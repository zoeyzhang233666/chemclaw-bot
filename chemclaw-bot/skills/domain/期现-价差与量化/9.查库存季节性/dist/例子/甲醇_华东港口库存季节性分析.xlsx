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与说明" sheetId="1" state="visible" r:id="rId1"/>
    <sheet xmlns:r="http://schemas.openxmlformats.org/officeDocument/2006/relationships" name="01 口径核验" sheetId="2" state="visible" r:id="rId2"/>
    <sheet xmlns:r="http://schemas.openxmlformats.org/officeDocument/2006/relationships" name="02 历史库存明细" sheetId="3" state="visible" r:id="rId3"/>
    <sheet xmlns:r="http://schemas.openxmlformats.org/officeDocument/2006/relationships" name="03 周度矩阵" sheetId="4" state="visible" r:id="rId4"/>
    <sheet xmlns:r="http://schemas.openxmlformats.org/officeDocument/2006/relationships" name="04 年份对齐" sheetId="5" state="visible" r:id="rId5"/>
    <sheet xmlns:r="http://schemas.openxmlformats.org/officeDocument/2006/relationships" name="05 季节性分位" sheetId="6" state="visible" r:id="rId6"/>
    <sheet xmlns:r="http://schemas.openxmlformats.org/officeDocument/2006/relationships" name="06 逐年曲线数据" sheetId="7" state="visible" r:id="rId7"/>
    <sheet xmlns:r="http://schemas.openxmlformats.org/officeDocument/2006/relationships" name="07 年度对齐" sheetId="8" state="visible" r:id="rId8"/>
    <sheet xmlns:r="http://schemas.openxmlformats.org/officeDocument/2006/relationships" name="08 累去库速度" sheetId="9" state="visible" r:id="rId9"/>
    <sheet xmlns:r="http://schemas.openxmlformats.org/officeDocument/2006/relationships" name="09 样本变化检验" sheetId="10" state="visible" r:id="rId10"/>
    <sheet xmlns:r="http://schemas.openxmlformats.org/officeDocument/2006/relationships" name="10 异常年份" sheetId="11" state="visible" r:id="rId11"/>
    <sheet xmlns:r="http://schemas.openxmlformats.org/officeDocument/2006/relationships" name="11 来源与查证" sheetId="12" state="visible" r:id="rId12"/>
    <sheet xmlns:r="http://schemas.openxmlformats.org/officeDocument/2006/relationships" name="12 当前状态摘要" sheetId="13" state="visible" r:id="rId13"/>
  </sheets>
  <definedNames>
    <definedName name="_xlnm._FilterDatabase" localSheetId="1" hidden="1">'01 口径核验'!$A$4:$E$11</definedName>
    <definedName name="_xlnm._FilterDatabase" localSheetId="2" hidden="1">'02 历史库存明细'!$A$4:$T$234</definedName>
    <definedName name="_xlnm._FilterDatabase" localSheetId="5" hidden="1">'05 季节性分位'!$A$4:$M$56</definedName>
    <definedName name="_xlnm._FilterDatabase" localSheetId="6" hidden="1">'06 逐年曲线数据'!$A$4:$J$234</definedName>
    <definedName name="_xlnm._FilterDatabase" localSheetId="7" hidden="1">'07 年度对齐'!$A$4:$R$9</definedName>
    <definedName name="_xlnm._FilterDatabase" localSheetId="8" hidden="1">'08 累去库速度'!$A$4:$H$234</definedName>
    <definedName name="_xlnm._FilterDatabase" localSheetId="10" hidden="1">'10 异常年份'!$A$4:$I$9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0"/>
    </font>
    <font>
      <sz val="10"/>
    </font>
    <font>
      <b val="1"/>
      <color rgb="00C00000"/>
      <sz val="10"/>
    </font>
    <font>
      <b val="1"/>
      <color rgb="00FFFFFF"/>
      <sz val="14"/>
    </font>
    <font>
      <color rgb="00595959"/>
      <sz val="9"/>
    </font>
    <font>
      <b val="1"/>
      <color rgb="00FFFFFF"/>
      <sz val="10"/>
    </font>
    <font>
      <sz val="9"/>
    </font>
    <font>
      <b val="1"/>
      <color rgb="001F3864"/>
      <sz val="11"/>
    </font>
    <font>
      <b val="1"/>
      <color rgb="00FFFFFF"/>
      <sz val="9"/>
    </font>
    <font>
      <b val="1"/>
      <color rgb="00C00000"/>
      <sz val="9"/>
    </font>
    <font>
      <color rgb="00C00000"/>
      <sz val="9"/>
    </font>
    <font>
      <b val="1"/>
      <sz val="9"/>
    </font>
    <font>
      <i val="1"/>
      <color rgb="00C00000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0" borderId="1" applyAlignment="1" pivotButton="0" quotePrefix="0" xfId="0">
      <alignment vertical="top" wrapText="1"/>
    </xf>
    <xf numFmtId="0" fontId="8" fillId="4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10" fillId="3" borderId="0" applyAlignment="1" pivotButton="0" quotePrefix="0" xfId="0">
      <alignment horizontal="center" wrapText="1"/>
    </xf>
    <xf numFmtId="0" fontId="12" fillId="0" borderId="0" pivotButton="0" quotePrefix="0" xfId="0"/>
    <xf numFmtId="2" fontId="8" fillId="0" borderId="1" pivotButton="0" quotePrefix="0" xfId="0"/>
    <xf numFmtId="1" fontId="8" fillId="0" borderId="1" pivotButton="0" quotePrefix="0" xfId="0"/>
    <xf numFmtId="0" fontId="7" fillId="3" borderId="0" applyAlignment="1" pivotButton="0" quotePrefix="0" xfId="0">
      <alignment horizontal="center"/>
    </xf>
    <xf numFmtId="0" fontId="13" fillId="0" borderId="0" pivotButton="0" quotePrefix="0" xfId="0"/>
    <xf numFmtId="2" fontId="8" fillId="4" borderId="1" pivotButton="0" quotePrefix="0" xfId="0"/>
    <xf numFmtId="2" fontId="0" fillId="0" borderId="0" pivotButton="0" quotePrefix="0" xfId="0"/>
    <xf numFmtId="0" fontId="14" fillId="0" borderId="0" pivotButton="0" quotePrefix="0" xfId="0"/>
    <xf numFmtId="0" fontId="15" fillId="3" borderId="0" pivotButton="0" quotePrefix="0" xfId="0"/>
    <xf numFmtId="0" fontId="10" fillId="3" borderId="0" pivotButton="0" quotePrefix="0" xfId="0"/>
    <xf numFmtId="0" fontId="8" fillId="0" borderId="0" pivotButton="0" quotePrefix="0" xfId="0"/>
    <xf numFmtId="2" fontId="8" fillId="0" borderId="0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逐年对齐：华东港口库存（万吨）</a:t>
            </a:r>
          </a:p>
        </rich>
      </tx>
    </title>
    <plotArea>
      <lineChart>
        <grouping val="standard"/>
        <ser>
          <idx val="0"/>
          <order val="0"/>
          <tx>
            <strRef>
              <f>'06 逐年曲线数据'!N4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 逐年曲线数据'!$M$5:$M$56</f>
            </numRef>
          </cat>
          <val>
            <numRef>
              <f>'06 逐年曲线数据'!$N$5:$N$56</f>
            </numRef>
          </val>
        </ser>
        <ser>
          <idx val="1"/>
          <order val="1"/>
          <tx>
            <strRef>
              <f>'06 逐年曲线数据'!O4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 逐年曲线数据'!$M$5:$M$56</f>
            </numRef>
          </cat>
          <val>
            <numRef>
              <f>'06 逐年曲线数据'!$O$5:$O$56</f>
            </numRef>
          </val>
        </ser>
        <ser>
          <idx val="2"/>
          <order val="2"/>
          <tx>
            <strRef>
              <f>'06 逐年曲线数据'!P4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 逐年曲线数据'!$M$5:$M$56</f>
            </numRef>
          </cat>
          <val>
            <numRef>
              <f>'06 逐年曲线数据'!$P$5:$P$56</f>
            </numRef>
          </val>
        </ser>
        <ser>
          <idx val="3"/>
          <order val="3"/>
          <tx>
            <strRef>
              <f>'06 逐年曲线数据'!Q4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 逐年曲线数据'!$M$5:$M$56</f>
            </numRef>
          </cat>
          <val>
            <numRef>
              <f>'06 逐年曲线数据'!$Q$5:$Q$56</f>
            </numRef>
          </val>
        </ser>
        <ser>
          <idx val="4"/>
          <order val="4"/>
          <tx>
            <strRef>
              <f>'06 逐年曲线数据'!R4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 逐年曲线数据'!$M$5:$M$56</f>
            </numRef>
          </cat>
          <val>
            <numRef>
              <f>'06 逐年曲线数据'!$R$5:$R$56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ISO 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滚动累计变化（万吨）</a:t>
            </a:r>
          </a:p>
        </rich>
      </tx>
    </title>
    <plotArea>
      <lineChart>
        <grouping val="standard"/>
        <ser>
          <idx val="0"/>
          <order val="0"/>
          <tx>
            <strRef>
              <f>'08 累去库速度'!I4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 累去库速度'!$D$5:$D$234</f>
            </numRef>
          </cat>
          <val>
            <numRef>
              <f>'08 累去库速度'!$I$5:$I$234</f>
            </numRef>
          </val>
        </ser>
        <ser>
          <idx val="1"/>
          <order val="1"/>
          <tx>
            <strRef>
              <f>'08 累去库速度'!J4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 累去库速度'!$D$5:$D$234</f>
            </numRef>
          </cat>
          <val>
            <numRef>
              <f>'08 累去库速度'!$J$5:$J$234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40" customHeight="1">
      <c r="A1" s="1" t="inlineStr">
        <is>
          <t>甲醇 · 华东甲醇港口库存（江苏+浙江） 库存季节性工作簿</t>
        </is>
      </c>
    </row>
    <row r="3">
      <c r="A3" s="2" t="inlineStr">
        <is>
          <t>案例编号</t>
        </is>
      </c>
      <c r="B3" s="3" t="inlineStr">
        <is>
          <t>MA-HUADONG-PORT</t>
        </is>
      </c>
    </row>
    <row r="4">
      <c r="A4" s="2" t="inlineStr">
        <is>
          <t>数据截止</t>
        </is>
      </c>
      <c r="B4" s="3" t="inlineStr">
        <is>
          <t>2026-10-14（周报，周三发布）</t>
        </is>
      </c>
    </row>
    <row r="5">
      <c r="A5" s="2" t="inlineStr">
        <is>
          <t>生成日期</t>
        </is>
      </c>
      <c r="B5" s="3" t="inlineStr">
        <is>
          <t>2026-10-20</t>
        </is>
      </c>
    </row>
    <row r="6">
      <c r="A6" s="2" t="inlineStr">
        <is>
          <t>统计对象</t>
        </is>
      </c>
      <c r="B6" s="3" t="inlineStr">
        <is>
          <t>华东总计（江苏+浙江）（港口库存 = 显性罐存）</t>
        </is>
      </c>
    </row>
    <row r="7">
      <c r="A7" s="2" t="inlineStr">
        <is>
          <t>单位</t>
        </is>
      </c>
      <c r="B7" s="3" t="inlineStr">
        <is>
          <t>万吨</t>
        </is>
      </c>
    </row>
    <row r="8">
      <c r="A8" s="2" t="inlineStr">
        <is>
          <t>发布方 / 载体</t>
        </is>
      </c>
      <c r="B8" s="3" t="inlineStr">
        <is>
          <t>隆众资讯 / 我的钢铁网（Mysteel）能源化工频道转载</t>
        </is>
      </c>
    </row>
    <row r="9">
      <c r="A9" s="2" t="inlineStr">
        <is>
          <t>样本期</t>
        </is>
      </c>
      <c r="B9" s="3" t="inlineStr">
        <is>
          <t>2022-04-06 ~ 2026-10-14，共 230 期</t>
        </is>
      </c>
    </row>
    <row r="10">
      <c r="A10" s="2" t="inlineStr">
        <is>
          <t>历史对照年</t>
        </is>
      </c>
      <c r="B10" s="3" t="inlineStr">
        <is>
          <t>2025 / 2024 / 2023 / 2022（本年剔除）</t>
        </is>
      </c>
    </row>
    <row r="11">
      <c r="A11" s="2" t="inlineStr">
        <is>
          <t>季节模型</t>
        </is>
      </c>
      <c r="B11" s="3" t="inlineStr">
        <is>
          <t>ln I = 趋势(52 周中心化 MA) + 季节(傅里叶 K=2)，R²=0.264，留一年 MAPE=25.9%</t>
        </is>
      </c>
    </row>
    <row r="12">
      <c r="A12" s="2" t="inlineStr">
        <is>
          <t>分位口径</t>
        </is>
      </c>
      <c r="B12" s="3" t="inlineStr">
        <is>
          <t>同 ISO 周次 ±1 周，剔除本年的历史样本；端点 0/100 表示低于/高于全部样本</t>
        </is>
      </c>
    </row>
    <row r="13">
      <c r="A13" s="2" t="inlineStr"/>
      <c r="B13" s="3" t="inlineStr"/>
    </row>
    <row r="14">
      <c r="A14" s="2" t="inlineStr">
        <is>
          <t>阅读顺序</t>
        </is>
      </c>
      <c r="B14" s="3" t="inlineStr">
        <is>
          <t>01 核对口径 → 02 看逐周原始值与来源 → 05 看分位与今年位置 → 08 看累去库速度 → 09/10 看样本断点与异常年</t>
        </is>
      </c>
    </row>
    <row r="15">
      <c r="A15" s="2" t="inlineStr"/>
      <c r="B15" s="3" t="inlineStr"/>
    </row>
    <row r="16">
      <c r="A16" s="4" t="inlineStr">
        <is>
          <t>【重要边界】</t>
        </is>
      </c>
      <c r="B16" s="3" t="inlineStr">
        <is>
          <t>① 库存高于/低于历史均值不直接推导价格方向，价格还需结合基差、到港、开工、MTO 利润与合约结构。</t>
        </is>
      </c>
    </row>
    <row r="17">
      <c r="A17" s="2" t="inlineStr"/>
      <c r="B17" s="3" t="inlineStr">
        <is>
          <t>② 港库、厂库、交易所仓单是三个不同池子，本工作簿只统计港口库存，未混算。</t>
        </is>
      </c>
    </row>
    <row r="18">
      <c r="A18" s="2" t="inlineStr"/>
      <c r="B18" s="3" t="inlineStr">
        <is>
          <t>③ 华东（江苏+浙江）与全国港口（华东+华南）分列，规模不可直接比较，分位只在本口径内成立。</t>
        </is>
      </c>
    </row>
    <row r="19">
      <c r="A19" s="2" t="inlineStr"/>
      <c r="B19" s="3" t="inlineStr">
        <is>
          <t>④ 2026-07-29 之后逐地区库存未再公开，水平值不可得；表内以增减额与全国港口总量描述变化，替代值均标注。</t>
        </is>
      </c>
    </row>
    <row r="20">
      <c r="A20" s="2" t="inlineStr"/>
      <c r="B20" s="3" t="inlineStr">
        <is>
          <t>⑤ 派生列（合计、差分、累计、分位）均写成 Excel 公式，可篡改原始值后自行复算。</t>
        </is>
      </c>
    </row>
    <row r="21">
      <c r="A21" s="2" t="inlineStr"/>
      <c r="B21" s="3" t="inlineStr"/>
    </row>
    <row r="22">
      <c r="A22" s="2" t="inlineStr">
        <is>
          <t>图表</t>
        </is>
      </c>
      <c r="B22" s="3" t="inlineStr">
        <is>
          <t>06 表内嵌“逐年曲线对齐”折线图；08 表内嵌滚动累计变化图</t>
        </is>
      </c>
    </row>
    <row r="23">
      <c r="A23" s="2" t="inlineStr">
        <is>
          <t>可复核性</t>
        </is>
      </c>
      <c r="B23" s="3" t="inlineStr">
        <is>
          <t>每期数据可回溯到原文标题、发布日期与增减额；取值方式分为“表格直接披露 / 由增减额递推 / 全国港口折算”三种，逐行标注</t>
        </is>
      </c>
    </row>
  </sheetData>
  <mergeCells count="1">
    <mergeCell ref="A1:B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62" customWidth="1" min="4" max="4"/>
    <col width="10" customWidth="1" min="5" max="5"/>
  </cols>
  <sheetData>
    <row r="1" ht="26" customHeight="1">
      <c r="A1" s="5" t="inlineStr">
        <is>
          <t>01 口径核验：这条库存到底统计了什么</t>
        </is>
      </c>
    </row>
    <row r="2" ht="30" customHeight="1">
      <c r="A2" s="6" t="inlineStr">
        <is>
          <t>先把统计对象、覆盖、单位、频率、机构、发布时点锁定；口径不清的分位没有意义。</t>
        </is>
      </c>
    </row>
    <row r="4" ht="28" customHeight="1">
      <c r="A4" s="7" t="inlineStr">
        <is>
          <t>编号</t>
        </is>
      </c>
      <c r="B4" s="7" t="inlineStr">
        <is>
          <t>检查项</t>
        </is>
      </c>
      <c r="C4" s="7" t="inlineStr">
        <is>
          <t>结论</t>
        </is>
      </c>
      <c r="D4" s="7" t="inlineStr">
        <is>
          <t>证据</t>
        </is>
      </c>
      <c r="E4" s="7" t="inlineStr">
        <is>
          <t>状态</t>
        </is>
      </c>
    </row>
    <row r="5">
      <c r="A5" s="8" t="inlineStr">
        <is>
          <t>C1</t>
        </is>
      </c>
      <c r="B5" s="8" t="inlineStr">
        <is>
          <t>统计对象与口径</t>
        </is>
      </c>
      <c r="C5" s="9" t="inlineStr">
        <is>
          <t>华东总计（江苏+浙江），port 类库存，weekly 频，单位 万吨，发布方 隆众资讯</t>
        </is>
      </c>
      <c r="D5" s="9" t="inlineStr">
        <is>
          <t>A 样本 230 期（2022-04-06 ~ 2026-10-14），逐期原文可核验 182 期</t>
        </is>
      </c>
      <c r="E5" s="10" t="inlineStr">
        <is>
          <t>通过</t>
        </is>
      </c>
    </row>
    <row r="6">
      <c r="A6" s="8" t="inlineStr">
        <is>
          <t>C2</t>
        </is>
      </c>
      <c r="B6" s="8" t="inlineStr">
        <is>
          <t>华东口径与全国港口口径分离</t>
        </is>
      </c>
      <c r="C6" s="9" t="inlineStr">
        <is>
          <t>华东（江苏+浙江）与全国港口（华东+华南）分列，不混算；对照口径只用于覆盖偏差度量与缺失期水平替代</t>
        </is>
      </c>
      <c r="D6" s="9" t="inlineStr">
        <is>
          <t>华南占全国港口比例中位数 0.265，替代值标记为 east_from_port，不进入主统计</t>
        </is>
      </c>
      <c r="E6" s="10" t="inlineStr">
        <is>
          <t>通过</t>
        </is>
      </c>
    </row>
    <row r="7">
      <c r="A7" s="8" t="inlineStr">
        <is>
          <t>C3</t>
        </is>
      </c>
      <c r="B7" s="8" t="inlineStr">
        <is>
          <t>历史频率一致</t>
        </is>
      </c>
      <c r="C7" s="9" t="inlineStr">
        <is>
          <t>相邻两期间隔中位数 7.0 天、最大 15.0 天</t>
        </is>
      </c>
      <c r="D7" s="9" t="inlineStr">
        <is>
          <t>缺报（跨度&gt;16 天）0 周；&gt;10 天的双周报 存在</t>
        </is>
      </c>
      <c r="E7" s="11" t="inlineStr">
        <is>
          <t>注意</t>
        </is>
      </c>
    </row>
    <row r="8">
      <c r="A8" s="8" t="inlineStr">
        <is>
          <t>C4</t>
        </is>
      </c>
      <c r="B8" s="8" t="inlineStr">
        <is>
          <t>周次对齐</t>
        </is>
      </c>
      <c r="C8" s="9" t="inlineStr">
        <is>
          <t>以 ISO 周年 + ISO 周次为季节坐标，历史样本 5 年（2025,2024,2023,2022），同周次 ±1 周容差</t>
        </is>
      </c>
      <c r="D8" s="9" t="inlineStr">
        <is>
          <t>可用周次 52 个；样本年数不足 4 的周次 20 个</t>
        </is>
      </c>
      <c r="E8" s="10" t="inlineStr">
        <is>
          <t>通过</t>
        </is>
      </c>
    </row>
    <row r="9">
      <c r="A9" s="8" t="inlineStr">
        <is>
          <t>C5</t>
        </is>
      </c>
      <c r="B9" s="8" t="inlineStr">
        <is>
          <t>季节分解</t>
        </is>
      </c>
      <c r="C9" s="9" t="inlineStr">
        <is>
          <t>ln I = 趋势(52 周中心化 MA) + 季节(傅里叶 K=2)，季节效应振幅 48.2%</t>
        </is>
      </c>
      <c r="D9" s="9" t="inlineStr">
        <is>
          <t>去季节 R² = 0.264；留一年样本外 MAPE = 25.9%</t>
        </is>
      </c>
      <c r="E9" s="10" t="inlineStr">
        <is>
          <t>通过</t>
        </is>
      </c>
    </row>
    <row r="10">
      <c r="A10" s="8" t="inlineStr">
        <is>
          <t>C6</t>
        </is>
      </c>
      <c r="B10" s="8" t="inlineStr">
        <is>
          <t>样本与披露变化</t>
        </is>
      </c>
      <c r="C10" s="9" t="inlineStr">
        <is>
          <t>逐地区披露止于 2026-10-14；华东水平值最后一个可核验期为 2026-07-29；此后仅由官方增减额递推，2026-07-30 起水平不可得</t>
        </is>
      </c>
      <c r="D10" s="9" t="inlineStr">
        <is>
          <t>递推 18 期（最长连续 2 期）；官方增减额与表格差分不一致 7 期（局部口径补报）</t>
        </is>
      </c>
      <c r="E10" s="11" t="inlineStr">
        <is>
          <t>注意</t>
        </is>
      </c>
    </row>
    <row r="11">
      <c r="A11" s="8" t="inlineStr">
        <is>
          <t>C7</t>
        </is>
      </c>
      <c r="B11" s="8" t="inlineStr">
        <is>
          <t>断点显式化</t>
        </is>
      </c>
      <c r="C11" s="9" t="inlineStr">
        <is>
          <t>2018-05-24 数据中继；2022-04-06 统计范围变更；2026-07-01 披露变更；2026-07-22 披露断档</t>
        </is>
      </c>
      <c r="D11" s="9" t="inlineStr">
        <is>
          <t>断点两侧样本不合并统计，仅在“剔除异常段”敏感性场景中对照</t>
        </is>
      </c>
      <c r="E11" s="10" t="inlineStr">
        <is>
          <t>通过</t>
        </is>
      </c>
    </row>
    <row r="13">
      <c r="A13" s="12" t="inlineStr">
        <is>
          <t>口径字典</t>
        </is>
      </c>
    </row>
    <row r="14" ht="28" customHeight="1">
      <c r="A14" s="7" t="inlineStr">
        <is>
          <t>项目</t>
        </is>
      </c>
      <c r="B14" s="7" t="inlineStr">
        <is>
          <t>内容</t>
        </is>
      </c>
    </row>
    <row r="15">
      <c r="A15" s="8" t="inlineStr">
        <is>
          <t>统计对象</t>
        </is>
      </c>
      <c r="B15" s="8" t="inlineStr">
        <is>
          <t>华东总计（江苏+浙江）</t>
        </is>
      </c>
    </row>
    <row r="16">
      <c r="A16" s="8" t="inlineStr">
        <is>
          <t>库存类型</t>
        </is>
      </c>
      <c r="B16" s="8" t="inlineStr">
        <is>
          <t>港口库存（显性罐存）</t>
        </is>
      </c>
    </row>
    <row r="17">
      <c r="A17" s="8" t="inlineStr">
        <is>
          <t>覆盖省份</t>
        </is>
      </c>
      <c r="B17" s="8" t="inlineStr">
        <is>
          <t>江苏、浙江、广东、福建</t>
        </is>
      </c>
    </row>
    <row r="18">
      <c r="A18" s="8" t="inlineStr">
        <is>
          <t>单位</t>
        </is>
      </c>
      <c r="B18" s="8" t="inlineStr">
        <is>
          <t>万吨</t>
        </is>
      </c>
    </row>
    <row r="19">
      <c r="A19" s="8" t="inlineStr">
        <is>
          <t>频率</t>
        </is>
      </c>
      <c r="B19" s="8" t="inlineStr">
        <is>
          <t>周度（每周三 14:00 前后发布）</t>
        </is>
      </c>
    </row>
    <row r="20">
      <c r="A20" s="8" t="inlineStr">
        <is>
          <t>日历</t>
        </is>
      </c>
      <c r="B20" s="8" t="inlineStr">
        <is>
          <t>ISO 周年 + ISO 周次</t>
        </is>
      </c>
    </row>
    <row r="21">
      <c r="A21" s="8" t="inlineStr">
        <is>
          <t>发布机构</t>
        </is>
      </c>
      <c r="B21" s="8" t="inlineStr">
        <is>
          <t>隆众资讯</t>
        </is>
      </c>
    </row>
    <row r="22">
      <c r="A22" s="8" t="inlineStr">
        <is>
          <t>转载载体</t>
        </is>
      </c>
      <c r="B22" s="8" t="inlineStr">
        <is>
          <t>我的钢铁网（Mysteel）能源化工频道转载</t>
        </is>
      </c>
    </row>
    <row r="23">
      <c r="A23" s="8" t="inlineStr">
        <is>
          <t>A 样本期数</t>
        </is>
      </c>
      <c r="B23" s="8" t="n">
        <v>230</v>
      </c>
    </row>
    <row r="24">
      <c r="A24" s="8" t="inlineStr">
        <is>
          <t>表格直接披露期数</t>
        </is>
      </c>
      <c r="B24" s="8" t="n">
        <v>195</v>
      </c>
    </row>
    <row r="25">
      <c r="A25" s="8" t="inlineStr">
        <is>
          <t>由增减额递延期数</t>
        </is>
      </c>
      <c r="B25" s="8" t="n">
        <v>18</v>
      </c>
    </row>
    <row r="26">
      <c r="A26" s="8" t="inlineStr">
        <is>
          <t>逐地区齐全期数</t>
        </is>
      </c>
      <c r="B26" s="8" t="n">
        <v>172</v>
      </c>
    </row>
    <row r="27">
      <c r="A27" s="8" t="inlineStr">
        <is>
          <t>文本分区披露期数</t>
        </is>
      </c>
      <c r="B27" s="8" t="n">
        <v>182</v>
      </c>
    </row>
    <row r="28">
      <c r="A28" s="8" t="inlineStr">
        <is>
          <t>官方增减额 vs 表格差分不一致期数</t>
        </is>
      </c>
      <c r="B28" s="8" t="n">
        <v>7</v>
      </c>
    </row>
    <row r="29">
      <c r="A29" s="8" t="inlineStr">
        <is>
          <t>B 样本（不并入主统计）</t>
        </is>
      </c>
      <c r="B29" s="9" t="inlineStr">
        <is>
          <t>34 期，2016-08-18 ~ 2018-05-24</t>
        </is>
      </c>
    </row>
  </sheetData>
  <autoFilter ref="A4:E11"/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2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15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4" customWidth="1" min="11" max="11"/>
    <col width="13" customWidth="1" min="12" max="12"/>
    <col width="20" customWidth="1" min="13" max="13"/>
    <col width="11" customWidth="1" min="14" max="14"/>
    <col width="11" customWidth="1" min="15" max="15"/>
    <col width="18" customWidth="1" min="16" max="16"/>
    <col width="13" customWidth="1" min="17" max="17"/>
    <col width="9" customWidth="1" min="18" max="18"/>
    <col width="42" customWidth="1" min="19" max="19"/>
    <col width="42" customWidth="1" min="20" max="20"/>
    <col width="16" customWidth="1" min="21" max="21"/>
    <col width="10" customWidth="1" min="22" max="22"/>
  </cols>
  <sheetData>
    <row r="1" ht="26" customHeight="1">
      <c r="A1" s="5" t="inlineStr">
        <is>
          <t>02 历史库存明细（逐周）· 全部原始值 + 来源 + 取值方式</t>
        </is>
      </c>
    </row>
    <row r="2" ht="30" customHeight="1">
      <c r="A2" s="6" t="inlineStr">
        <is>
          <t>★ 这是全表数据底座。east 列可能来自①表格直接披露②由官方增减额递推③与全国港口折算无关（不填）。取值方式列逐行标注。</t>
        </is>
      </c>
    </row>
    <row r="4" ht="28" customHeight="1">
      <c r="A4" s="7" t="inlineStr">
        <is>
          <t>截止日</t>
        </is>
      </c>
      <c r="B4" s="7" t="inlineStr">
        <is>
          <t>ISO年</t>
        </is>
      </c>
      <c r="C4" s="7" t="inlineStr">
        <is>
          <t>ISO周</t>
        </is>
      </c>
      <c r="D4" s="7" t="inlineStr">
        <is>
          <t>全国港口合计(万吨)</t>
        </is>
      </c>
      <c r="E4" s="7" t="inlineStr">
        <is>
          <t>华东=江苏+浙江(万吨)</t>
        </is>
      </c>
      <c r="F4" s="7" t="inlineStr">
        <is>
          <t>江苏(万吨)</t>
        </is>
      </c>
      <c r="G4" s="7" t="inlineStr">
        <is>
          <t>浙江(万吨)</t>
        </is>
      </c>
      <c r="H4" s="7" t="inlineStr">
        <is>
          <t>广东(万吨)</t>
        </is>
      </c>
      <c r="I4" s="7" t="inlineStr">
        <is>
          <t>福建(万吨)</t>
        </is>
      </c>
      <c r="J4" s="7" t="inlineStr">
        <is>
          <t>原文华东增减额(万吨)</t>
        </is>
      </c>
      <c r="K4" s="7" t="inlineStr">
        <is>
          <t>采用增减额(万吨)</t>
        </is>
      </c>
      <c r="L4" s="7" t="inlineStr">
        <is>
          <t>表格差分(万吨)</t>
        </is>
      </c>
      <c r="M4" s="7" t="inlineStr">
        <is>
          <t>华东取值方式</t>
        </is>
      </c>
      <c r="N4" s="7" t="inlineStr">
        <is>
          <t>增减额是否官方</t>
        </is>
      </c>
      <c r="O4" s="7" t="inlineStr">
        <is>
          <t>逐地区是否齐全</t>
        </is>
      </c>
      <c r="P4" s="7" t="inlineStr">
        <is>
          <t>华东替代值(全国×占比)</t>
        </is>
      </c>
      <c r="Q4" s="7" t="inlineStr">
        <is>
          <t>距上期间隔(天)</t>
        </is>
      </c>
      <c r="R4" s="7" t="inlineStr">
        <is>
          <t>是否缺报</t>
        </is>
      </c>
      <c r="S4" s="7" t="inlineStr">
        <is>
          <t>原文标题</t>
        </is>
      </c>
      <c r="T4" s="7" t="inlineStr">
        <is>
          <t>原文链接</t>
        </is>
      </c>
      <c r="U4" s="13" t="inlineStr">
        <is>
          <t>核对：江苏+浙江</t>
        </is>
      </c>
      <c r="V4" s="13" t="inlineStr">
        <is>
          <t>是否一致</t>
        </is>
      </c>
      <c r="X4" s="14" t="inlineStr">
        <is>
          <t>本列用公式把江苏+浙江与华东列对拍；若某期表格为局部口径，会出现“差异”，这正是局部采样的证据。</t>
        </is>
      </c>
    </row>
    <row r="5">
      <c r="A5" s="8" t="inlineStr">
        <is>
          <t>2022-04-06</t>
        </is>
      </c>
      <c r="B5" s="8" t="n">
        <v>2022</v>
      </c>
      <c r="C5" s="8" t="n">
        <v>14</v>
      </c>
      <c r="D5" s="15" t="n">
        <v>74.36</v>
      </c>
      <c r="E5" s="15" t="n">
        <v>60.07</v>
      </c>
      <c r="F5" s="15" t="n">
        <v>43.07</v>
      </c>
      <c r="G5" s="15" t="n">
        <v>17</v>
      </c>
      <c r="H5" s="15" t="n">
        <v>8.6</v>
      </c>
      <c r="I5" s="15" t="n">
        <v>5.69</v>
      </c>
      <c r="J5" s="15" t="n"/>
      <c r="K5" s="15" t="n"/>
      <c r="L5" s="15" t="n"/>
      <c r="M5" s="8" t="inlineStr">
        <is>
          <t>east_table</t>
        </is>
      </c>
      <c r="N5" s="8" t="b">
        <v>0</v>
      </c>
      <c r="O5" s="8" t="b">
        <v>1</v>
      </c>
      <c r="P5" s="8" t="n">
        <v>54.64</v>
      </c>
      <c r="Q5" s="16" t="n"/>
      <c r="R5" s="8" t="b">
        <v>0</v>
      </c>
      <c r="S5" s="9" t="inlineStr">
        <is>
          <t>[港口库存]：中国甲醇样本港口库存周数据统计(20220406)</t>
        </is>
      </c>
      <c r="T5" s="9" t="inlineStr">
        <is>
          <t>https://nenghua.m.mysteel.com/a/24072813/314F9A7C057B609C_abc.html</t>
        </is>
      </c>
      <c r="U5">
        <f>IF(OR(F5="",G5=""),"",ROUND(F5+G5,2))</f>
        <v/>
      </c>
      <c r="V5">
        <f>IF(U5="","",IF(ABS(U5-E5)&lt;0.05,"一致","差异"))</f>
        <v/>
      </c>
    </row>
    <row r="6">
      <c r="A6" s="8" t="inlineStr">
        <is>
          <t>2022-04-13</t>
        </is>
      </c>
      <c r="B6" s="8" t="n">
        <v>2022</v>
      </c>
      <c r="C6" s="8" t="n">
        <v>15</v>
      </c>
      <c r="D6" s="15" t="n">
        <v>74.18000000000001</v>
      </c>
      <c r="E6" s="15" t="n">
        <v>57.92</v>
      </c>
      <c r="F6" s="15" t="n">
        <v>44.26</v>
      </c>
      <c r="G6" s="15" t="n">
        <v>13.66</v>
      </c>
      <c r="H6" s="15" t="n">
        <v>7.2</v>
      </c>
      <c r="I6" s="15" t="n">
        <v>9.06</v>
      </c>
      <c r="J6" s="15" t="n"/>
      <c r="K6" s="15" t="n">
        <v>-2.15</v>
      </c>
      <c r="L6" s="15" t="n">
        <v>-2.15</v>
      </c>
      <c r="M6" s="8" t="inlineStr">
        <is>
          <t>east_table</t>
        </is>
      </c>
      <c r="N6" s="8" t="b">
        <v>0</v>
      </c>
      <c r="O6" s="8" t="b">
        <v>1</v>
      </c>
      <c r="P6" s="8" t="n">
        <v>54.51</v>
      </c>
      <c r="Q6" s="16" t="n">
        <v>7</v>
      </c>
      <c r="R6" s="8" t="b">
        <v>0</v>
      </c>
      <c r="S6" s="9" t="inlineStr">
        <is>
          <t>[港口库存]：中国甲醇样本港口库存周数据统计(20220413)</t>
        </is>
      </c>
      <c r="T6" s="9" t="inlineStr">
        <is>
          <t>https://nenghua.m.mysteel.com/a/24072813/2DA0FF597EA56FA9_abc.html</t>
        </is>
      </c>
      <c r="U6">
        <f>IF(OR(F6="",G6=""),"",ROUND(F6+G6,2))</f>
        <v/>
      </c>
      <c r="V6">
        <f>IF(U6="","",IF(ABS(U6-E6)&lt;0.05,"一致","差异"))</f>
        <v/>
      </c>
    </row>
    <row r="7">
      <c r="A7" s="8" t="inlineStr">
        <is>
          <t>2022-04-20</t>
        </is>
      </c>
      <c r="B7" s="8" t="n">
        <v>2022</v>
      </c>
      <c r="C7" s="8" t="n">
        <v>16</v>
      </c>
      <c r="D7" s="15" t="n">
        <v>71.77</v>
      </c>
      <c r="E7" s="15" t="n">
        <v>57.49</v>
      </c>
      <c r="F7" s="15" t="n">
        <v>42.25</v>
      </c>
      <c r="G7" s="15" t="n">
        <v>15.24</v>
      </c>
      <c r="H7" s="15" t="n">
        <v>6.91</v>
      </c>
      <c r="I7" s="15" t="n">
        <v>7.37</v>
      </c>
      <c r="J7" s="15" t="n"/>
      <c r="K7" s="15" t="n">
        <v>-0.43</v>
      </c>
      <c r="L7" s="15" t="n">
        <v>-0.43</v>
      </c>
      <c r="M7" s="8" t="inlineStr">
        <is>
          <t>east_table</t>
        </is>
      </c>
      <c r="N7" s="8" t="b">
        <v>0</v>
      </c>
      <c r="O7" s="8" t="b">
        <v>1</v>
      </c>
      <c r="P7" s="8" t="n">
        <v>52.74</v>
      </c>
      <c r="Q7" s="16" t="n">
        <v>7</v>
      </c>
      <c r="R7" s="8" t="b">
        <v>0</v>
      </c>
      <c r="S7" s="9" t="inlineStr">
        <is>
          <t>[港口库存]：中国甲醇样本港口库存周数据统计(20220420)</t>
        </is>
      </c>
      <c r="T7" s="9" t="inlineStr">
        <is>
          <t>https://nenghua.m.mysteel.com/a/24072813/7BE4792785AE0289_abc.html</t>
        </is>
      </c>
      <c r="U7">
        <f>IF(OR(F7="",G7=""),"",ROUND(F7+G7,2))</f>
        <v/>
      </c>
      <c r="V7">
        <f>IF(U7="","",IF(ABS(U7-E7)&lt;0.05,"一致","差异"))</f>
        <v/>
      </c>
    </row>
    <row r="8">
      <c r="A8" s="8" t="inlineStr">
        <is>
          <t>2022-04-27</t>
        </is>
      </c>
      <c r="B8" s="8" t="n">
        <v>2022</v>
      </c>
      <c r="C8" s="8" t="n">
        <v>17</v>
      </c>
      <c r="D8" s="15" t="n">
        <v>77.06</v>
      </c>
      <c r="E8" s="15" t="n">
        <v>61.1</v>
      </c>
      <c r="F8" s="15" t="n">
        <v>42.7</v>
      </c>
      <c r="G8" s="15" t="n">
        <v>18.4</v>
      </c>
      <c r="H8" s="15" t="n">
        <v>9.550000000000001</v>
      </c>
      <c r="I8" s="15" t="n">
        <v>6.41</v>
      </c>
      <c r="J8" s="15" t="n"/>
      <c r="K8" s="15" t="n">
        <v>3.61</v>
      </c>
      <c r="L8" s="15" t="n">
        <v>3.61</v>
      </c>
      <c r="M8" s="8" t="inlineStr">
        <is>
          <t>east_table</t>
        </is>
      </c>
      <c r="N8" s="8" t="b">
        <v>0</v>
      </c>
      <c r="O8" s="8" t="b">
        <v>1</v>
      </c>
      <c r="P8" s="8" t="n">
        <v>56.62</v>
      </c>
      <c r="Q8" s="16" t="n">
        <v>7</v>
      </c>
      <c r="R8" s="8" t="b">
        <v>0</v>
      </c>
      <c r="S8" s="9" t="inlineStr">
        <is>
          <t>[港口库存]：中国甲醇样本港口库存周数据统计(20220427)</t>
        </is>
      </c>
      <c r="T8" s="9" t="inlineStr">
        <is>
          <t>https://nenghua.m.mysteel.com/a/24072813/45E37964EB246261_abc.html</t>
        </is>
      </c>
      <c r="U8">
        <f>IF(OR(F8="",G8=""),"",ROUND(F8+G8,2))</f>
        <v/>
      </c>
      <c r="V8">
        <f>IF(U8="","",IF(ABS(U8-E8)&lt;0.05,"一致","差异"))</f>
        <v/>
      </c>
    </row>
    <row r="9">
      <c r="A9" s="8" t="inlineStr">
        <is>
          <t>2022-05-05</t>
        </is>
      </c>
      <c r="B9" s="8" t="n">
        <v>2022</v>
      </c>
      <c r="C9" s="8" t="n">
        <v>18</v>
      </c>
      <c r="D9" s="15" t="n">
        <v>83.06</v>
      </c>
      <c r="E9" s="15" t="n">
        <v>67.51000000000001</v>
      </c>
      <c r="F9" s="15" t="n">
        <v>46.81</v>
      </c>
      <c r="G9" s="15" t="n">
        <v>20.7</v>
      </c>
      <c r="H9" s="15" t="n">
        <v>9.6</v>
      </c>
      <c r="I9" s="15" t="n">
        <v>5.95</v>
      </c>
      <c r="J9" s="15" t="n"/>
      <c r="K9" s="15" t="n">
        <v>6.41</v>
      </c>
      <c r="L9" s="15" t="n">
        <v>6.41</v>
      </c>
      <c r="M9" s="8" t="inlineStr">
        <is>
          <t>east_table</t>
        </is>
      </c>
      <c r="N9" s="8" t="b">
        <v>0</v>
      </c>
      <c r="O9" s="8" t="b">
        <v>1</v>
      </c>
      <c r="P9" s="8" t="n">
        <v>61.03</v>
      </c>
      <c r="Q9" s="16" t="n">
        <v>8</v>
      </c>
      <c r="R9" s="8" t="b">
        <v>0</v>
      </c>
      <c r="S9" s="9" t="inlineStr">
        <is>
          <t>[港口库存]：中国甲醇样本港口库存周数据统计(20220505)</t>
        </is>
      </c>
      <c r="T9" s="9" t="inlineStr">
        <is>
          <t>https://nenghua.m.mysteel.com/a/24072813/4CD94DF91863030F_abc.html</t>
        </is>
      </c>
      <c r="U9">
        <f>IF(OR(F9="",G9=""),"",ROUND(F9+G9,2))</f>
        <v/>
      </c>
      <c r="V9">
        <f>IF(U9="","",IF(ABS(U9-E9)&lt;0.05,"一致","差异"))</f>
        <v/>
      </c>
    </row>
    <row r="10">
      <c r="A10" s="8" t="inlineStr">
        <is>
          <t>2022-05-11</t>
        </is>
      </c>
      <c r="B10" s="8" t="n">
        <v>2022</v>
      </c>
      <c r="C10" s="8" t="n">
        <v>19</v>
      </c>
      <c r="D10" s="15" t="n">
        <v>78.73</v>
      </c>
      <c r="E10" s="15" t="n">
        <v>61.91</v>
      </c>
      <c r="F10" s="15" t="n">
        <v>46.07</v>
      </c>
      <c r="G10" s="15" t="n">
        <v>15.84</v>
      </c>
      <c r="H10" s="15" t="n">
        <v>8.1</v>
      </c>
      <c r="I10" s="15" t="n">
        <v>8.720000000000001</v>
      </c>
      <c r="J10" s="15" t="n"/>
      <c r="K10" s="15" t="n">
        <v>-5.6</v>
      </c>
      <c r="L10" s="15" t="n">
        <v>-5.6</v>
      </c>
      <c r="M10" s="8" t="inlineStr">
        <is>
          <t>east_table</t>
        </is>
      </c>
      <c r="N10" s="8" t="b">
        <v>0</v>
      </c>
      <c r="O10" s="8" t="b">
        <v>1</v>
      </c>
      <c r="P10" s="8" t="n">
        <v>57.85</v>
      </c>
      <c r="Q10" s="16" t="n">
        <v>6</v>
      </c>
      <c r="R10" s="8" t="b">
        <v>0</v>
      </c>
      <c r="S10" s="9" t="inlineStr">
        <is>
          <t>[港口库存]：中国甲醇样本港口库存周数据统计(20220511)</t>
        </is>
      </c>
      <c r="T10" s="9" t="inlineStr">
        <is>
          <t>https://nenghua.m.mysteel.com/a/24072813/BBB2138F9A892B9B_abc.html</t>
        </is>
      </c>
      <c r="U10">
        <f>IF(OR(F10="",G10=""),"",ROUND(F10+G10,2))</f>
        <v/>
      </c>
      <c r="V10">
        <f>IF(U10="","",IF(ABS(U10-E10)&lt;0.05,"一致","差异"))</f>
        <v/>
      </c>
    </row>
    <row r="11">
      <c r="A11" s="8" t="inlineStr">
        <is>
          <t>2022-05-18</t>
        </is>
      </c>
      <c r="B11" s="8" t="n">
        <v>2022</v>
      </c>
      <c r="C11" s="8" t="n">
        <v>20</v>
      </c>
      <c r="D11" s="15" t="n">
        <v>88.67</v>
      </c>
      <c r="E11" s="15" t="n">
        <v>71.26000000000001</v>
      </c>
      <c r="F11" s="15" t="n">
        <v>49.48</v>
      </c>
      <c r="G11" s="15" t="n">
        <v>21.78</v>
      </c>
      <c r="H11" s="15" t="n">
        <v>10.48</v>
      </c>
      <c r="I11" s="15" t="n">
        <v>6.93</v>
      </c>
      <c r="J11" s="15" t="n"/>
      <c r="K11" s="15" t="n">
        <v>9.35</v>
      </c>
      <c r="L11" s="15" t="n">
        <v>9.35</v>
      </c>
      <c r="M11" s="8" t="inlineStr">
        <is>
          <t>east_table</t>
        </is>
      </c>
      <c r="N11" s="8" t="b">
        <v>0</v>
      </c>
      <c r="O11" s="8" t="b">
        <v>1</v>
      </c>
      <c r="P11" s="8" t="n">
        <v>65.15000000000001</v>
      </c>
      <c r="Q11" s="16" t="n">
        <v>7</v>
      </c>
      <c r="R11" s="8" t="b">
        <v>0</v>
      </c>
      <c r="S11" s="9" t="inlineStr">
        <is>
          <t>[港口库存]：中国甲醇样本港口库存周数据统计(20220518)</t>
        </is>
      </c>
      <c r="T11" s="9" t="inlineStr">
        <is>
          <t>https://nenghua.m.mysteel.com/a/24072813/D2451F32FDC1119F_abc.html</t>
        </is>
      </c>
      <c r="U11">
        <f>IF(OR(F11="",G11=""),"",ROUND(F11+G11,2))</f>
        <v/>
      </c>
      <c r="V11">
        <f>IF(U11="","",IF(ABS(U11-E11)&lt;0.05,"一致","差异"))</f>
        <v/>
      </c>
    </row>
    <row r="12">
      <c r="A12" s="8" t="inlineStr">
        <is>
          <t>2022-05-25</t>
        </is>
      </c>
      <c r="B12" s="8" t="n">
        <v>2022</v>
      </c>
      <c r="C12" s="8" t="n">
        <v>21</v>
      </c>
      <c r="D12" s="15" t="n">
        <v>89.23</v>
      </c>
      <c r="E12" s="15" t="n">
        <v>72.34999999999999</v>
      </c>
      <c r="F12" s="15" t="n">
        <v>46.95</v>
      </c>
      <c r="G12" s="15" t="n">
        <v>25.4</v>
      </c>
      <c r="H12" s="15" t="n">
        <v>8.039999999999999</v>
      </c>
      <c r="I12" s="15" t="n">
        <v>8.84</v>
      </c>
      <c r="J12" s="15" t="n"/>
      <c r="K12" s="15" t="n">
        <v>1.09</v>
      </c>
      <c r="L12" s="15" t="n">
        <v>1.09</v>
      </c>
      <c r="M12" s="8" t="inlineStr">
        <is>
          <t>east_table</t>
        </is>
      </c>
      <c r="N12" s="8" t="b">
        <v>0</v>
      </c>
      <c r="O12" s="8" t="b">
        <v>1</v>
      </c>
      <c r="P12" s="8" t="n">
        <v>65.56999999999999</v>
      </c>
      <c r="Q12" s="16" t="n">
        <v>7</v>
      </c>
      <c r="R12" s="8" t="b">
        <v>0</v>
      </c>
      <c r="S12" s="9" t="inlineStr">
        <is>
          <t>[港口库存]：中国甲醇样本港口库存周数据统计(20220525)</t>
        </is>
      </c>
      <c r="T12" s="9" t="inlineStr">
        <is>
          <t>https://nenghua.m.mysteel.com/a/24072813/890F84E5F123D839_abc.html</t>
        </is>
      </c>
      <c r="U12">
        <f>IF(OR(F12="",G12=""),"",ROUND(F12+G12,2))</f>
        <v/>
      </c>
      <c r="V12">
        <f>IF(U12="","",IF(ABS(U12-E12)&lt;0.05,"一致","差异"))</f>
        <v/>
      </c>
    </row>
    <row r="13">
      <c r="A13" s="8" t="inlineStr">
        <is>
          <t>2022-06-01</t>
        </is>
      </c>
      <c r="B13" s="8" t="n">
        <v>2022</v>
      </c>
      <c r="C13" s="8" t="n">
        <v>22</v>
      </c>
      <c r="D13" s="15" t="n">
        <v>87.61</v>
      </c>
      <c r="E13" s="15" t="n">
        <v>73.72</v>
      </c>
      <c r="F13" s="15" t="n">
        <v>50.63</v>
      </c>
      <c r="G13" s="15" t="n">
        <v>23.09</v>
      </c>
      <c r="H13" s="15" t="n">
        <v>6.28</v>
      </c>
      <c r="I13" s="15" t="n">
        <v>7.61</v>
      </c>
      <c r="J13" s="15" t="n"/>
      <c r="K13" s="15" t="n">
        <v>1.37</v>
      </c>
      <c r="L13" s="15" t="n">
        <v>1.37</v>
      </c>
      <c r="M13" s="8" t="inlineStr">
        <is>
          <t>east_table</t>
        </is>
      </c>
      <c r="N13" s="8" t="b">
        <v>0</v>
      </c>
      <c r="O13" s="8" t="b">
        <v>1</v>
      </c>
      <c r="P13" s="8" t="n">
        <v>64.38</v>
      </c>
      <c r="Q13" s="16" t="n">
        <v>7</v>
      </c>
      <c r="R13" s="8" t="b">
        <v>0</v>
      </c>
      <c r="S13" s="9" t="inlineStr">
        <is>
          <t>[港口库存]：中国甲醇样本港口库存周数据统计(20220601)</t>
        </is>
      </c>
      <c r="T13" s="9" t="inlineStr">
        <is>
          <t>https://nenghua.m.mysteel.com/a/24072813/AE94FC33468A27F1_abc.html</t>
        </is>
      </c>
      <c r="U13">
        <f>IF(OR(F13="",G13=""),"",ROUND(F13+G13,2))</f>
        <v/>
      </c>
      <c r="V13">
        <f>IF(U13="","",IF(ABS(U13-E13)&lt;0.05,"一致","差异"))</f>
        <v/>
      </c>
    </row>
    <row r="14">
      <c r="A14" s="8" t="inlineStr">
        <is>
          <t>2022-06-08</t>
        </is>
      </c>
      <c r="B14" s="8" t="n">
        <v>2022</v>
      </c>
      <c r="C14" s="8" t="n">
        <v>23</v>
      </c>
      <c r="D14" s="15" t="n">
        <v>96.20999999999999</v>
      </c>
      <c r="E14" s="15" t="n">
        <v>79.39</v>
      </c>
      <c r="F14" s="15" t="n">
        <v>55.7</v>
      </c>
      <c r="G14" s="15" t="n">
        <v>23.69</v>
      </c>
      <c r="H14" s="15" t="n">
        <v>9.699999999999999</v>
      </c>
      <c r="I14" s="15" t="n">
        <v>7.12</v>
      </c>
      <c r="J14" s="15" t="n"/>
      <c r="K14" s="15" t="n">
        <v>5.67</v>
      </c>
      <c r="L14" s="15" t="n">
        <v>5.67</v>
      </c>
      <c r="M14" s="8" t="inlineStr">
        <is>
          <t>east_table</t>
        </is>
      </c>
      <c r="N14" s="8" t="b">
        <v>0</v>
      </c>
      <c r="O14" s="8" t="b">
        <v>1</v>
      </c>
      <c r="P14" s="8" t="n">
        <v>70.69</v>
      </c>
      <c r="Q14" s="16" t="n">
        <v>7</v>
      </c>
      <c r="R14" s="8" t="b">
        <v>0</v>
      </c>
      <c r="S14" s="9" t="inlineStr">
        <is>
          <t>[港口库存]：中国甲醇样本港口库存周数据统计(20220608)</t>
        </is>
      </c>
      <c r="T14" s="9" t="inlineStr">
        <is>
          <t>https://nenghua.m.mysteel.com/a/24072813/374B285C12E1E5BF_abc.html</t>
        </is>
      </c>
      <c r="U14">
        <f>IF(OR(F14="",G14=""),"",ROUND(F14+G14,2))</f>
        <v/>
      </c>
      <c r="V14">
        <f>IF(U14="","",IF(ABS(U14-E14)&lt;0.05,"一致","差异"))</f>
        <v/>
      </c>
    </row>
    <row r="15">
      <c r="A15" s="8" t="inlineStr">
        <is>
          <t>2022-06-15</t>
        </is>
      </c>
      <c r="B15" s="8" t="n">
        <v>2022</v>
      </c>
      <c r="C15" s="8" t="n">
        <v>24</v>
      </c>
      <c r="D15" s="15" t="n">
        <v>102.35</v>
      </c>
      <c r="E15" s="15" t="n">
        <v>84.54000000000001</v>
      </c>
      <c r="F15" s="15" t="n">
        <v>59.21</v>
      </c>
      <c r="G15" s="15" t="n">
        <v>25.33</v>
      </c>
      <c r="H15" s="15" t="n">
        <v>10.1</v>
      </c>
      <c r="I15" s="15" t="n">
        <v>7.71</v>
      </c>
      <c r="J15" s="15" t="n"/>
      <c r="K15" s="15" t="n">
        <v>5.15</v>
      </c>
      <c r="L15" s="15" t="n">
        <v>5.15</v>
      </c>
      <c r="M15" s="8" t="inlineStr">
        <is>
          <t>east_table</t>
        </is>
      </c>
      <c r="N15" s="8" t="b">
        <v>0</v>
      </c>
      <c r="O15" s="8" t="b">
        <v>1</v>
      </c>
      <c r="P15" s="8" t="n">
        <v>75.20999999999999</v>
      </c>
      <c r="Q15" s="16" t="n">
        <v>7</v>
      </c>
      <c r="R15" s="8" t="b">
        <v>0</v>
      </c>
      <c r="S15" s="9" t="inlineStr">
        <is>
          <t>[港口库存]：中国甲醇样本港口库存周数据统计(20220615)</t>
        </is>
      </c>
      <c r="T15" s="9" t="inlineStr">
        <is>
          <t>https://nenghua.m.mysteel.com/a/24072813/E84239BB87BA2669_abc.html</t>
        </is>
      </c>
      <c r="U15">
        <f>IF(OR(F15="",G15=""),"",ROUND(F15+G15,2))</f>
        <v/>
      </c>
      <c r="V15">
        <f>IF(U15="","",IF(ABS(U15-E15)&lt;0.05,"一致","差异"))</f>
        <v/>
      </c>
    </row>
    <row r="16">
      <c r="A16" s="8" t="inlineStr">
        <is>
          <t>2022-06-22</t>
        </is>
      </c>
      <c r="B16" s="8" t="n">
        <v>2022</v>
      </c>
      <c r="C16" s="8" t="n">
        <v>25</v>
      </c>
      <c r="D16" s="15" t="n">
        <v>104.15</v>
      </c>
      <c r="E16" s="15" t="n">
        <v>87.34999999999999</v>
      </c>
      <c r="F16" s="15" t="n">
        <v>59.35</v>
      </c>
      <c r="G16" s="15" t="n">
        <v>28</v>
      </c>
      <c r="H16" s="15" t="n">
        <v>9.300000000000001</v>
      </c>
      <c r="I16" s="15" t="n">
        <v>7.5</v>
      </c>
      <c r="J16" s="15" t="n"/>
      <c r="K16" s="15" t="n">
        <v>2.81</v>
      </c>
      <c r="L16" s="15" t="n">
        <v>2.81</v>
      </c>
      <c r="M16" s="8" t="inlineStr">
        <is>
          <t>east_table</t>
        </is>
      </c>
      <c r="N16" s="8" t="b">
        <v>0</v>
      </c>
      <c r="O16" s="8" t="b">
        <v>1</v>
      </c>
      <c r="P16" s="8" t="n">
        <v>76.53</v>
      </c>
      <c r="Q16" s="16" t="n">
        <v>7</v>
      </c>
      <c r="R16" s="8" t="b">
        <v>0</v>
      </c>
      <c r="S16" s="9" t="inlineStr">
        <is>
          <t>[港口库存]：中国甲醇样本港口库存周数据统计(20220622)</t>
        </is>
      </c>
      <c r="T16" s="9" t="inlineStr">
        <is>
          <t>https://nenghua.m.mysteel.com/a/24072812/CB3BFFED7FF0736F_abc.html</t>
        </is>
      </c>
      <c r="U16">
        <f>IF(OR(F16="",G16=""),"",ROUND(F16+G16,2))</f>
        <v/>
      </c>
      <c r="V16">
        <f>IF(U16="","",IF(ABS(U16-E16)&lt;0.05,"一致","差异"))</f>
        <v/>
      </c>
    </row>
    <row r="17">
      <c r="A17" s="8" t="inlineStr">
        <is>
          <t>2022-06-29</t>
        </is>
      </c>
      <c r="B17" s="8" t="n">
        <v>2022</v>
      </c>
      <c r="C17" s="8" t="n">
        <v>26</v>
      </c>
      <c r="D17" s="15" t="n">
        <v>103.22</v>
      </c>
      <c r="E17" s="15" t="n">
        <v>86.84999999999999</v>
      </c>
      <c r="F17" s="15" t="n">
        <v>60.75</v>
      </c>
      <c r="G17" s="15" t="n">
        <v>26.1</v>
      </c>
      <c r="H17" s="15" t="n">
        <v>9.4</v>
      </c>
      <c r="I17" s="15" t="n">
        <v>6.97</v>
      </c>
      <c r="J17" s="15" t="n"/>
      <c r="K17" s="15" t="n">
        <v>-0.5</v>
      </c>
      <c r="L17" s="15" t="n">
        <v>-0.5</v>
      </c>
      <c r="M17" s="8" t="inlineStr">
        <is>
          <t>east_table</t>
        </is>
      </c>
      <c r="N17" s="8" t="b">
        <v>0</v>
      </c>
      <c r="O17" s="8" t="b">
        <v>1</v>
      </c>
      <c r="P17" s="8" t="n">
        <v>75.84999999999999</v>
      </c>
      <c r="Q17" s="16" t="n">
        <v>7</v>
      </c>
      <c r="R17" s="8" t="b">
        <v>0</v>
      </c>
      <c r="S17" s="9" t="inlineStr">
        <is>
          <t>[港口库存]：中国甲醇样本港口库存周数据统计(20220629)</t>
        </is>
      </c>
      <c r="T17" s="9" t="inlineStr">
        <is>
          <t>https://nenghua.m.mysteel.com/a/24072812/752258B9A0543356_abc.html</t>
        </is>
      </c>
      <c r="U17">
        <f>IF(OR(F17="",G17=""),"",ROUND(F17+G17,2))</f>
        <v/>
      </c>
      <c r="V17">
        <f>IF(U17="","",IF(ABS(U17-E17)&lt;0.05,"一致","差异"))</f>
        <v/>
      </c>
    </row>
    <row r="18">
      <c r="A18" s="8" t="inlineStr">
        <is>
          <t>2022-07-06</t>
        </is>
      </c>
      <c r="B18" s="8" t="n">
        <v>2022</v>
      </c>
      <c r="C18" s="8" t="n">
        <v>27</v>
      </c>
      <c r="D18" s="15" t="n">
        <v>94.23999999999999</v>
      </c>
      <c r="E18" s="15" t="n">
        <v>78.78</v>
      </c>
      <c r="F18" s="15" t="n">
        <v>54.48</v>
      </c>
      <c r="G18" s="15" t="n">
        <v>24.3</v>
      </c>
      <c r="H18" s="15" t="n">
        <v>7.7</v>
      </c>
      <c r="I18" s="15" t="n">
        <v>7.76</v>
      </c>
      <c r="J18" s="15" t="n"/>
      <c r="K18" s="15" t="n">
        <v>-8.07</v>
      </c>
      <c r="L18" s="15" t="n">
        <v>-8.07</v>
      </c>
      <c r="M18" s="8" t="inlineStr">
        <is>
          <t>east_table</t>
        </is>
      </c>
      <c r="N18" s="8" t="b">
        <v>0</v>
      </c>
      <c r="O18" s="8" t="b">
        <v>1</v>
      </c>
      <c r="P18" s="8" t="n">
        <v>69.25</v>
      </c>
      <c r="Q18" s="16" t="n">
        <v>7</v>
      </c>
      <c r="R18" s="8" t="b">
        <v>0</v>
      </c>
      <c r="S18" s="9" t="inlineStr">
        <is>
          <t>[港口库存]：中国甲醇样本港口库存周数据统计(20220706)</t>
        </is>
      </c>
      <c r="T18" s="9" t="inlineStr">
        <is>
          <t>https://nenghua.m.mysteel.com/a/24072812/FAB8248EB443D707_abc.html</t>
        </is>
      </c>
      <c r="U18">
        <f>IF(OR(F18="",G18=""),"",ROUND(F18+G18,2))</f>
        <v/>
      </c>
      <c r="V18">
        <f>IF(U18="","",IF(ABS(U18-E18)&lt;0.05,"一致","差异"))</f>
        <v/>
      </c>
    </row>
    <row r="19">
      <c r="A19" s="8" t="inlineStr">
        <is>
          <t>2022-07-13</t>
        </is>
      </c>
      <c r="B19" s="8" t="n">
        <v>2022</v>
      </c>
      <c r="C19" s="8" t="n">
        <v>28</v>
      </c>
      <c r="D19" s="15" t="n">
        <v>94.94</v>
      </c>
      <c r="E19" s="15" t="n">
        <v>75.84999999999999</v>
      </c>
      <c r="F19" s="15" t="n">
        <v>51.45</v>
      </c>
      <c r="G19" s="15" t="n">
        <v>24.4</v>
      </c>
      <c r="H19" s="15" t="n">
        <v>11</v>
      </c>
      <c r="I19" s="15" t="n">
        <v>8.09</v>
      </c>
      <c r="J19" s="15" t="n"/>
      <c r="K19" s="15" t="n">
        <v>-2.93</v>
      </c>
      <c r="L19" s="15" t="n">
        <v>-2.93</v>
      </c>
      <c r="M19" s="8" t="inlineStr">
        <is>
          <t>east_table</t>
        </is>
      </c>
      <c r="N19" s="8" t="b">
        <v>0</v>
      </c>
      <c r="O19" s="8" t="b">
        <v>1</v>
      </c>
      <c r="P19" s="8" t="n">
        <v>69.76000000000001</v>
      </c>
      <c r="Q19" s="16" t="n">
        <v>7</v>
      </c>
      <c r="R19" s="8" t="b">
        <v>0</v>
      </c>
      <c r="S19" s="9" t="inlineStr">
        <is>
          <t>[港口库存]：中国甲醇样本港口库存周数据统计(20220713)</t>
        </is>
      </c>
      <c r="T19" s="9" t="inlineStr">
        <is>
          <t>https://nenghua.m.mysteel.com/a/24072812/824EAC24F11EF628_abc.html</t>
        </is>
      </c>
      <c r="U19">
        <f>IF(OR(F19="",G19=""),"",ROUND(F19+G19,2))</f>
        <v/>
      </c>
      <c r="V19">
        <f>IF(U19="","",IF(ABS(U19-E19)&lt;0.05,"一致","差异"))</f>
        <v/>
      </c>
    </row>
    <row r="20">
      <c r="A20" s="8" t="inlineStr">
        <is>
          <t>2022-07-20</t>
        </is>
      </c>
      <c r="B20" s="8" t="n">
        <v>2022</v>
      </c>
      <c r="C20" s="8" t="n">
        <v>29</v>
      </c>
      <c r="D20" s="15" t="n">
        <v>96.25</v>
      </c>
      <c r="E20" s="15" t="n">
        <v>77.55</v>
      </c>
      <c r="F20" s="15" t="n">
        <v>54.67</v>
      </c>
      <c r="G20" s="15" t="n">
        <v>22.88</v>
      </c>
      <c r="H20" s="15" t="n"/>
      <c r="I20" s="15" t="n">
        <v>7.7</v>
      </c>
      <c r="J20" s="15" t="n"/>
      <c r="K20" s="15" t="n">
        <v>1.7</v>
      </c>
      <c r="L20" s="15" t="n">
        <v>1.7</v>
      </c>
      <c r="M20" s="8" t="inlineStr">
        <is>
          <t>east_table</t>
        </is>
      </c>
      <c r="N20" s="8" t="b">
        <v>0</v>
      </c>
      <c r="O20" s="8" t="b">
        <v>0</v>
      </c>
      <c r="P20" s="8" t="n">
        <v>70.72</v>
      </c>
      <c r="Q20" s="16" t="n">
        <v>7</v>
      </c>
      <c r="R20" s="8" t="b">
        <v>0</v>
      </c>
      <c r="S20" s="9" t="inlineStr">
        <is>
          <t>[港口库存]：中国甲醇样本港口库存周数据统计(20220720)</t>
        </is>
      </c>
      <c r="T20" s="9" t="inlineStr">
        <is>
          <t>https://nenghua.m.mysteel.com/a/24072812/C57B025C4C2CCF59_abc.html</t>
        </is>
      </c>
      <c r="U20">
        <f>IF(OR(F20="",G20=""),"",ROUND(F20+G20,2))</f>
        <v/>
      </c>
      <c r="V20">
        <f>IF(U20="","",IF(ABS(U20-E20)&lt;0.05,"一致","差异"))</f>
        <v/>
      </c>
    </row>
    <row r="21">
      <c r="A21" s="8" t="inlineStr">
        <is>
          <t>2022-07-27</t>
        </is>
      </c>
      <c r="B21" s="8" t="n">
        <v>2022</v>
      </c>
      <c r="C21" s="8" t="n">
        <v>30</v>
      </c>
      <c r="D21" s="15" t="n">
        <v>103.45</v>
      </c>
      <c r="E21" s="15" t="n">
        <v>84.53</v>
      </c>
      <c r="F21" s="15" t="n">
        <v>61.15</v>
      </c>
      <c r="G21" s="15" t="n">
        <v>23.38</v>
      </c>
      <c r="H21" s="15" t="n">
        <v>9.77</v>
      </c>
      <c r="I21" s="15" t="n">
        <v>9.15</v>
      </c>
      <c r="J21" s="15" t="n"/>
      <c r="K21" s="15" t="n">
        <v>6.98</v>
      </c>
      <c r="L21" s="15" t="n">
        <v>6.98</v>
      </c>
      <c r="M21" s="8" t="inlineStr">
        <is>
          <t>east_table</t>
        </is>
      </c>
      <c r="N21" s="8" t="b">
        <v>0</v>
      </c>
      <c r="O21" s="8" t="b">
        <v>1</v>
      </c>
      <c r="P21" s="8" t="n">
        <v>76.01000000000001</v>
      </c>
      <c r="Q21" s="16" t="n">
        <v>7</v>
      </c>
      <c r="R21" s="8" t="b">
        <v>0</v>
      </c>
      <c r="S21" s="9" t="inlineStr">
        <is>
          <t>[港口库存]：中国甲醇样本港口库存周数据统计(20220727)</t>
        </is>
      </c>
      <c r="T21" s="9" t="inlineStr">
        <is>
          <t>https://nenghua.m.mysteel.com/a/24072812/15CD51531E7C6D2E_abc.html</t>
        </is>
      </c>
      <c r="U21">
        <f>IF(OR(F21="",G21=""),"",ROUND(F21+G21,2))</f>
        <v/>
      </c>
      <c r="V21">
        <f>IF(U21="","",IF(ABS(U21-E21)&lt;0.05,"一致","差异"))</f>
        <v/>
      </c>
    </row>
    <row r="22">
      <c r="A22" s="8" t="inlineStr">
        <is>
          <t>2022-08-03</t>
        </is>
      </c>
      <c r="B22" s="8" t="n">
        <v>2022</v>
      </c>
      <c r="C22" s="8" t="n">
        <v>31</v>
      </c>
      <c r="D22" s="15" t="n">
        <v>99.47</v>
      </c>
      <c r="E22" s="15" t="n">
        <v>80.65000000000001</v>
      </c>
      <c r="F22" s="15" t="n">
        <v>57.89</v>
      </c>
      <c r="G22" s="15" t="n">
        <v>22.76</v>
      </c>
      <c r="H22" s="15" t="n">
        <v>10.34</v>
      </c>
      <c r="I22" s="15" t="n">
        <v>8.48</v>
      </c>
      <c r="J22" s="15" t="n"/>
      <c r="K22" s="15" t="n">
        <v>-3.88</v>
      </c>
      <c r="L22" s="15" t="n">
        <v>-3.88</v>
      </c>
      <c r="M22" s="8" t="inlineStr">
        <is>
          <t>east_table</t>
        </is>
      </c>
      <c r="N22" s="8" t="b">
        <v>0</v>
      </c>
      <c r="O22" s="8" t="b">
        <v>1</v>
      </c>
      <c r="P22" s="8" t="n">
        <v>73.09</v>
      </c>
      <c r="Q22" s="16" t="n">
        <v>7</v>
      </c>
      <c r="R22" s="8" t="b">
        <v>0</v>
      </c>
      <c r="S22" s="9" t="inlineStr">
        <is>
          <t>[港口库存]：中国甲醇样本港口库存周数据统计(20220803)</t>
        </is>
      </c>
      <c r="T22" s="9" t="inlineStr">
        <is>
          <t>https://nenghua.m.mysteel.com/a/24072812/65A78C3ACB576889_abc.html</t>
        </is>
      </c>
      <c r="U22">
        <f>IF(OR(F22="",G22=""),"",ROUND(F22+G22,2))</f>
        <v/>
      </c>
      <c r="V22">
        <f>IF(U22="","",IF(ABS(U22-E22)&lt;0.05,"一致","差异"))</f>
        <v/>
      </c>
    </row>
    <row r="23">
      <c r="A23" s="8" t="inlineStr">
        <is>
          <t>2022-08-10</t>
        </is>
      </c>
      <c r="B23" s="8" t="n">
        <v>2022</v>
      </c>
      <c r="C23" s="8" t="n">
        <v>32</v>
      </c>
      <c r="D23" s="15" t="n">
        <v>103.19</v>
      </c>
      <c r="E23" s="15" t="n">
        <v>83.86</v>
      </c>
      <c r="F23" s="15" t="n">
        <v>55.25</v>
      </c>
      <c r="G23" s="15" t="n">
        <v>28.61</v>
      </c>
      <c r="H23" s="15" t="n">
        <v>10.26</v>
      </c>
      <c r="I23" s="15" t="n">
        <v>9.07</v>
      </c>
      <c r="J23" s="15" t="n"/>
      <c r="K23" s="15" t="n">
        <v>3.21</v>
      </c>
      <c r="L23" s="15" t="n">
        <v>3.21</v>
      </c>
      <c r="M23" s="8" t="inlineStr">
        <is>
          <t>east_table</t>
        </is>
      </c>
      <c r="N23" s="8" t="b">
        <v>0</v>
      </c>
      <c r="O23" s="8" t="b">
        <v>1</v>
      </c>
      <c r="P23" s="8" t="n">
        <v>75.81999999999999</v>
      </c>
      <c r="Q23" s="16" t="n">
        <v>7</v>
      </c>
      <c r="R23" s="8" t="b">
        <v>0</v>
      </c>
      <c r="S23" s="9" t="inlineStr">
        <is>
          <t>[港口库存]：中国甲醇样本港口库存周数据统计(20220810)</t>
        </is>
      </c>
      <c r="T23" s="9" t="inlineStr">
        <is>
          <t>https://nenghua.m.mysteel.com/a/24072811/2027A5E83B47B272_abc.html</t>
        </is>
      </c>
      <c r="U23">
        <f>IF(OR(F23="",G23=""),"",ROUND(F23+G23,2))</f>
        <v/>
      </c>
      <c r="V23">
        <f>IF(U23="","",IF(ABS(U23-E23)&lt;0.05,"一致","差异"))</f>
        <v/>
      </c>
    </row>
    <row r="24">
      <c r="A24" s="8" t="inlineStr">
        <is>
          <t>2022-08-17</t>
        </is>
      </c>
      <c r="B24" s="8" t="n">
        <v>2022</v>
      </c>
      <c r="C24" s="8" t="n">
        <v>33</v>
      </c>
      <c r="D24" s="15" t="n">
        <v>104.93</v>
      </c>
      <c r="E24" s="15" t="n">
        <v>86.95999999999999</v>
      </c>
      <c r="F24" s="15" t="n">
        <v>55.85</v>
      </c>
      <c r="G24" s="15" t="n"/>
      <c r="H24" s="15" t="n">
        <v>10.03</v>
      </c>
      <c r="I24" s="15" t="n">
        <v>7.94</v>
      </c>
      <c r="J24" s="15" t="n">
        <v>3.1</v>
      </c>
      <c r="K24" s="15" t="n">
        <v>3.1</v>
      </c>
      <c r="L24" s="15" t="n">
        <v>3.1</v>
      </c>
      <c r="M24" s="8" t="inlineStr">
        <is>
          <t>east_table</t>
        </is>
      </c>
      <c r="N24" s="8" t="b">
        <v>1</v>
      </c>
      <c r="O24" s="8" t="b">
        <v>0</v>
      </c>
      <c r="P24" s="8" t="n">
        <v>77.09999999999999</v>
      </c>
      <c r="Q24" s="16" t="n">
        <v>7</v>
      </c>
      <c r="R24" s="8" t="b">
        <v>0</v>
      </c>
      <c r="S24" s="9" t="inlineStr">
        <is>
          <t>[港口库存]：中国甲醇样本港口库存周数据统计(20220817)</t>
        </is>
      </c>
      <c r="T24" s="9" t="inlineStr">
        <is>
          <t>https://nenghua.m.mysteel.com/a/24072810/D547CF1E3C2C77B2_abc.html</t>
        </is>
      </c>
      <c r="U24">
        <f>IF(OR(F24="",G24=""),"",ROUND(F24+G24,2))</f>
        <v/>
      </c>
      <c r="V24">
        <f>IF(U24="","",IF(ABS(U24-E24)&lt;0.05,"一致","差异"))</f>
        <v/>
      </c>
    </row>
    <row r="25">
      <c r="A25" s="8" t="inlineStr">
        <is>
          <t>2022-08-24</t>
        </is>
      </c>
      <c r="B25" s="8" t="n">
        <v>2022</v>
      </c>
      <c r="C25" s="8" t="n">
        <v>34</v>
      </c>
      <c r="D25" s="15" t="n">
        <v>96.2</v>
      </c>
      <c r="E25" s="15" t="n">
        <v>79.98</v>
      </c>
      <c r="F25" s="15" t="n">
        <v>48.55</v>
      </c>
      <c r="G25" s="15" t="n">
        <v>31.43</v>
      </c>
      <c r="H25" s="15" t="n">
        <v>8.08</v>
      </c>
      <c r="I25" s="15" t="n">
        <v>8.140000000000001</v>
      </c>
      <c r="J25" s="15" t="n">
        <v>-6.98</v>
      </c>
      <c r="K25" s="15" t="n">
        <v>-6.98</v>
      </c>
      <c r="L25" s="15" t="n">
        <v>-6.98</v>
      </c>
      <c r="M25" s="8" t="inlineStr">
        <is>
          <t>east_table</t>
        </is>
      </c>
      <c r="N25" s="8" t="b">
        <v>1</v>
      </c>
      <c r="O25" s="8" t="b">
        <v>1</v>
      </c>
      <c r="P25" s="8" t="n">
        <v>70.69</v>
      </c>
      <c r="Q25" s="16" t="n">
        <v>7</v>
      </c>
      <c r="R25" s="8" t="b">
        <v>0</v>
      </c>
      <c r="S25" s="9" t="inlineStr">
        <is>
          <t>[港口库存]：中国甲醇样本港口库存周数据统计(20220824)</t>
        </is>
      </c>
      <c r="T25" s="9" t="inlineStr">
        <is>
          <t>https://nenghua.m.mysteel.com/a/24072810/2289CC24785C5189_abc.html</t>
        </is>
      </c>
      <c r="U25">
        <f>IF(OR(F25="",G25=""),"",ROUND(F25+G25,2))</f>
        <v/>
      </c>
      <c r="V25">
        <f>IF(U25="","",IF(ABS(U25-E25)&lt;0.05,"一致","差异"))</f>
        <v/>
      </c>
    </row>
    <row r="26">
      <c r="A26" s="8" t="inlineStr">
        <is>
          <t>2022-08-31</t>
        </is>
      </c>
      <c r="B26" s="8" t="n">
        <v>2022</v>
      </c>
      <c r="C26" s="8" t="n">
        <v>35</v>
      </c>
      <c r="D26" s="15" t="n">
        <v>92.08</v>
      </c>
      <c r="E26" s="15" t="n">
        <v>77.61</v>
      </c>
      <c r="F26" s="15" t="n">
        <v>47.98</v>
      </c>
      <c r="G26" s="15" t="n">
        <v>29.63</v>
      </c>
      <c r="H26" s="15" t="n">
        <v>7.22</v>
      </c>
      <c r="I26" s="15" t="n">
        <v>7.25</v>
      </c>
      <c r="J26" s="15" t="n">
        <v>-2.37</v>
      </c>
      <c r="K26" s="15" t="n">
        <v>-2.37</v>
      </c>
      <c r="L26" s="15" t="n">
        <v>-2.37</v>
      </c>
      <c r="M26" s="8" t="inlineStr">
        <is>
          <t>east_table</t>
        </is>
      </c>
      <c r="N26" s="8" t="b">
        <v>1</v>
      </c>
      <c r="O26" s="8" t="b">
        <v>1</v>
      </c>
      <c r="P26" s="8" t="n">
        <v>67.66</v>
      </c>
      <c r="Q26" s="16" t="n">
        <v>7</v>
      </c>
      <c r="R26" s="8" t="b">
        <v>0</v>
      </c>
      <c r="S26" s="9" t="inlineStr">
        <is>
          <t>[港口库存]：中国甲醇样本港口库存周数据统计(20220831)</t>
        </is>
      </c>
      <c r="T26" s="9" t="inlineStr">
        <is>
          <t>https://nenghua.m.mysteel.com/a/24072810/E0169463D33D7DCB_abc.html</t>
        </is>
      </c>
      <c r="U26">
        <f>IF(OR(F26="",G26=""),"",ROUND(F26+G26,2))</f>
        <v/>
      </c>
      <c r="V26">
        <f>IF(U26="","",IF(ABS(U26-E26)&lt;0.05,"一致","差异"))</f>
        <v/>
      </c>
    </row>
    <row r="27">
      <c r="A27" s="8" t="inlineStr">
        <is>
          <t>2022-09-07</t>
        </is>
      </c>
      <c r="B27" s="8" t="n">
        <v>2022</v>
      </c>
      <c r="C27" s="8" t="n">
        <v>36</v>
      </c>
      <c r="D27" s="15" t="n">
        <v>88.42</v>
      </c>
      <c r="E27" s="15" t="n">
        <v>76.29000000000001</v>
      </c>
      <c r="F27" s="15" t="n">
        <v>47.34</v>
      </c>
      <c r="G27" s="15" t="n">
        <v>28.95</v>
      </c>
      <c r="H27" s="15" t="n">
        <v>5.76</v>
      </c>
      <c r="I27" s="15" t="n">
        <v>6.37</v>
      </c>
      <c r="J27" s="15" t="n">
        <v>-1.32</v>
      </c>
      <c r="K27" s="15" t="n">
        <v>-1.32</v>
      </c>
      <c r="L27" s="15" t="n">
        <v>-1.32</v>
      </c>
      <c r="M27" s="8" t="inlineStr">
        <is>
          <t>east_table</t>
        </is>
      </c>
      <c r="N27" s="8" t="b">
        <v>1</v>
      </c>
      <c r="O27" s="8" t="b">
        <v>1</v>
      </c>
      <c r="P27" s="8" t="n">
        <v>64.97</v>
      </c>
      <c r="Q27" s="16" t="n">
        <v>7</v>
      </c>
      <c r="R27" s="8" t="b">
        <v>0</v>
      </c>
      <c r="S27" s="9" t="inlineStr">
        <is>
          <t>[港口库存]：中国甲醇样本港口库存周数据统计(20220907)</t>
        </is>
      </c>
      <c r="T27" s="9" t="inlineStr">
        <is>
          <t>https://nenghua.m.mysteel.com/a/24072810/F7EC8B32FBCA96F2_abc.html</t>
        </is>
      </c>
      <c r="U27">
        <f>IF(OR(F27="",G27=""),"",ROUND(F27+G27,2))</f>
        <v/>
      </c>
      <c r="V27">
        <f>IF(U27="","",IF(ABS(U27-E27)&lt;0.05,"一致","差异"))</f>
        <v/>
      </c>
    </row>
    <row r="28">
      <c r="A28" s="8" t="inlineStr">
        <is>
          <t>2022-09-14</t>
        </is>
      </c>
      <c r="B28" s="8" t="n">
        <v>2022</v>
      </c>
      <c r="C28" s="8" t="n">
        <v>37</v>
      </c>
      <c r="D28" s="15" t="n">
        <v>83.76000000000001</v>
      </c>
      <c r="E28" s="15" t="n">
        <v>72.3</v>
      </c>
      <c r="F28" s="15" t="n">
        <v>48.9</v>
      </c>
      <c r="G28" s="15" t="n">
        <v>23.4</v>
      </c>
      <c r="H28" s="15" t="n">
        <v>6.5</v>
      </c>
      <c r="I28" s="15" t="n">
        <v>4.96</v>
      </c>
      <c r="J28" s="15" t="n">
        <v>-3.99</v>
      </c>
      <c r="K28" s="15" t="n">
        <v>-3.99</v>
      </c>
      <c r="L28" s="15" t="n">
        <v>-3.99</v>
      </c>
      <c r="M28" s="8" t="inlineStr">
        <is>
          <t>east_table</t>
        </is>
      </c>
      <c r="N28" s="8" t="b">
        <v>1</v>
      </c>
      <c r="O28" s="8" t="b">
        <v>1</v>
      </c>
      <c r="P28" s="8" t="n">
        <v>61.55</v>
      </c>
      <c r="Q28" s="16" t="n">
        <v>7</v>
      </c>
      <c r="R28" s="8" t="b">
        <v>0</v>
      </c>
      <c r="S28" s="9" t="inlineStr">
        <is>
          <t>[港口库存]：中国甲醇样本港口库存周数据统计(20220914)</t>
        </is>
      </c>
      <c r="T28" s="9" t="inlineStr">
        <is>
          <t>https://nenghua.m.mysteel.com/a/24072809/CF411DF01B29642B_abc.html</t>
        </is>
      </c>
      <c r="U28">
        <f>IF(OR(F28="",G28=""),"",ROUND(F28+G28,2))</f>
        <v/>
      </c>
      <c r="V28">
        <f>IF(U28="","",IF(ABS(U28-E28)&lt;0.05,"一致","差异"))</f>
        <v/>
      </c>
    </row>
    <row r="29">
      <c r="A29" s="8" t="inlineStr">
        <is>
          <t>2022-09-21</t>
        </is>
      </c>
      <c r="B29" s="8" t="n">
        <v>2022</v>
      </c>
      <c r="C29" s="8" t="n">
        <v>38</v>
      </c>
      <c r="D29" s="15" t="n">
        <v>73.84999999999999</v>
      </c>
      <c r="E29" s="15" t="n">
        <v>64.09999999999999</v>
      </c>
      <c r="F29" s="15" t="n">
        <v>43.35</v>
      </c>
      <c r="G29" s="15" t="n">
        <v>20.75</v>
      </c>
      <c r="H29" s="15" t="n">
        <v>6.39</v>
      </c>
      <c r="I29" s="15" t="n">
        <v>3.36</v>
      </c>
      <c r="J29" s="15" t="n"/>
      <c r="K29" s="15" t="n">
        <v>-8.199999999999999</v>
      </c>
      <c r="L29" s="15" t="n">
        <v>-8.199999999999999</v>
      </c>
      <c r="M29" s="8" t="inlineStr">
        <is>
          <t>east_table</t>
        </is>
      </c>
      <c r="N29" s="8" t="b">
        <v>0</v>
      </c>
      <c r="O29" s="8" t="b">
        <v>1</v>
      </c>
      <c r="P29" s="8" t="n">
        <v>54.26</v>
      </c>
      <c r="Q29" s="16" t="n">
        <v>7</v>
      </c>
      <c r="R29" s="8" t="b">
        <v>0</v>
      </c>
      <c r="S29" s="9" t="inlineStr">
        <is>
          <t>[港口库存]：中国甲醇样本港口库存周数据统计(20220921)</t>
        </is>
      </c>
      <c r="T29" s="9" t="inlineStr">
        <is>
          <t>https://nenghua.m.mysteel.com/a/24072809/56E564D77FA599E8_abc.html</t>
        </is>
      </c>
      <c r="U29">
        <f>IF(OR(F29="",G29=""),"",ROUND(F29+G29,2))</f>
        <v/>
      </c>
      <c r="V29">
        <f>IF(U29="","",IF(ABS(U29-E29)&lt;0.05,"一致","差异"))</f>
        <v/>
      </c>
    </row>
    <row r="30">
      <c r="A30" s="8" t="inlineStr">
        <is>
          <t>2022-09-28</t>
        </is>
      </c>
      <c r="B30" s="8" t="n">
        <v>2022</v>
      </c>
      <c r="C30" s="8" t="n">
        <v>39</v>
      </c>
      <c r="D30" s="15" t="n">
        <v>64.61</v>
      </c>
      <c r="E30" s="15" t="n">
        <v>56.72</v>
      </c>
      <c r="F30" s="15" t="n">
        <v>38.95</v>
      </c>
      <c r="G30" s="15" t="n">
        <v>17.77</v>
      </c>
      <c r="H30" s="15" t="n">
        <v>5.87</v>
      </c>
      <c r="I30" s="15" t="n">
        <v>2.02</v>
      </c>
      <c r="J30" s="15" t="n"/>
      <c r="K30" s="15" t="n">
        <v>-7.38</v>
      </c>
      <c r="L30" s="15" t="n">
        <v>-7.38</v>
      </c>
      <c r="M30" s="8" t="inlineStr">
        <is>
          <t>east_table</t>
        </is>
      </c>
      <c r="N30" s="8" t="b">
        <v>0</v>
      </c>
      <c r="O30" s="8" t="b">
        <v>1</v>
      </c>
      <c r="P30" s="8" t="n">
        <v>47.47</v>
      </c>
      <c r="Q30" s="16" t="n">
        <v>7</v>
      </c>
      <c r="R30" s="8" t="b">
        <v>0</v>
      </c>
      <c r="S30" s="9" t="inlineStr">
        <is>
          <t>[港口库存]：中国甲醇样本港口库存周数据统计(20220928）</t>
        </is>
      </c>
      <c r="T30" s="9" t="inlineStr">
        <is>
          <t>https://nenghua.m.mysteel.com/a/24072809/1DB1F26007321A9A_abc.html</t>
        </is>
      </c>
      <c r="U30">
        <f>IF(OR(F30="",G30=""),"",ROUND(F30+G30,2))</f>
        <v/>
      </c>
      <c r="V30">
        <f>IF(U30="","",IF(ABS(U30-E30)&lt;0.05,"一致","差异"))</f>
        <v/>
      </c>
    </row>
    <row r="31">
      <c r="A31" s="8" t="inlineStr">
        <is>
          <t>2022-10-12</t>
        </is>
      </c>
      <c r="B31" s="8" t="n">
        <v>2022</v>
      </c>
      <c r="C31" s="8" t="n">
        <v>41</v>
      </c>
      <c r="D31" s="15" t="n">
        <v>58.83</v>
      </c>
      <c r="E31" s="15" t="n">
        <v>49.52</v>
      </c>
      <c r="F31" s="15" t="n">
        <v>31.75</v>
      </c>
      <c r="G31" s="15" t="n"/>
      <c r="H31" s="15" t="n">
        <v>8</v>
      </c>
      <c r="I31" s="15" t="n">
        <v>1.31</v>
      </c>
      <c r="J31" s="15" t="n">
        <v>-7.2</v>
      </c>
      <c r="K31" s="15" t="n">
        <v>-7.2</v>
      </c>
      <c r="L31" s="15" t="n">
        <v>-7.2</v>
      </c>
      <c r="M31" s="8" t="inlineStr">
        <is>
          <t>east_table</t>
        </is>
      </c>
      <c r="N31" s="8" t="b">
        <v>1</v>
      </c>
      <c r="O31" s="8" t="b">
        <v>0</v>
      </c>
      <c r="P31" s="8" t="n">
        <v>43.23</v>
      </c>
      <c r="Q31" s="16" t="n">
        <v>14</v>
      </c>
      <c r="R31" s="8" t="b">
        <v>0</v>
      </c>
      <c r="S31" s="9" t="inlineStr">
        <is>
          <t>[港口库存]：中国甲醇样本港口库存周数据统计(20221012）</t>
        </is>
      </c>
      <c r="T31" s="9" t="inlineStr">
        <is>
          <t>https://nenghua.m.mysteel.com/a/24072809/8CB2146AEB8EA2A5_abc.html</t>
        </is>
      </c>
      <c r="U31">
        <f>IF(OR(F31="",G31=""),"",ROUND(F31+G31,2))</f>
        <v/>
      </c>
      <c r="V31">
        <f>IF(U31="","",IF(ABS(U31-E31)&lt;0.05,"一致","差异"))</f>
        <v/>
      </c>
    </row>
    <row r="32">
      <c r="A32" s="8" t="inlineStr">
        <is>
          <t>2022-10-19</t>
        </is>
      </c>
      <c r="B32" s="8" t="n">
        <v>2022</v>
      </c>
      <c r="C32" s="8" t="n">
        <v>42</v>
      </c>
      <c r="D32" s="15" t="n">
        <v>47.32</v>
      </c>
      <c r="E32" s="15" t="n">
        <v>40.34</v>
      </c>
      <c r="F32" s="15" t="n">
        <v>26.75</v>
      </c>
      <c r="G32" s="15" t="n">
        <v>13.59</v>
      </c>
      <c r="H32" s="15" t="n">
        <v>5.2</v>
      </c>
      <c r="I32" s="15" t="n">
        <v>1.78</v>
      </c>
      <c r="J32" s="15" t="n">
        <v>-9.18</v>
      </c>
      <c r="K32" s="15" t="n">
        <v>-9.18</v>
      </c>
      <c r="L32" s="15" t="n">
        <v>-9.18</v>
      </c>
      <c r="M32" s="8" t="inlineStr">
        <is>
          <t>east_table</t>
        </is>
      </c>
      <c r="N32" s="8" t="b">
        <v>1</v>
      </c>
      <c r="O32" s="8" t="b">
        <v>1</v>
      </c>
      <c r="P32" s="8" t="n">
        <v>34.77</v>
      </c>
      <c r="Q32" s="16" t="n">
        <v>7</v>
      </c>
      <c r="R32" s="8" t="b">
        <v>0</v>
      </c>
      <c r="S32" s="9" t="inlineStr">
        <is>
          <t>[港口库存]：中国甲醇样本港口库存周数据统计(20221019）</t>
        </is>
      </c>
      <c r="T32" s="9" t="inlineStr">
        <is>
          <t>https://nenghua.m.mysteel.com/a/24072809/84456C282799B957_abc.html</t>
        </is>
      </c>
      <c r="U32">
        <f>IF(OR(F32="",G32=""),"",ROUND(F32+G32,2))</f>
        <v/>
      </c>
      <c r="V32">
        <f>IF(U32="","",IF(ABS(U32-E32)&lt;0.05,"一致","差异"))</f>
        <v/>
      </c>
    </row>
    <row r="33">
      <c r="A33" s="8" t="inlineStr">
        <is>
          <t>2022-10-26</t>
        </is>
      </c>
      <c r="B33" s="8" t="n">
        <v>2022</v>
      </c>
      <c r="C33" s="8" t="n">
        <v>43</v>
      </c>
      <c r="D33" s="15" t="n">
        <v>45.22</v>
      </c>
      <c r="E33" s="15" t="n">
        <v>37.69</v>
      </c>
      <c r="F33" s="15" t="n">
        <v>22.15</v>
      </c>
      <c r="G33" s="15" t="n">
        <v>15.54</v>
      </c>
      <c r="H33" s="15" t="n">
        <v>4.9</v>
      </c>
      <c r="I33" s="15" t="n">
        <v>2.63</v>
      </c>
      <c r="J33" s="15" t="n">
        <v>-2.65</v>
      </c>
      <c r="K33" s="15" t="n">
        <v>-2.65</v>
      </c>
      <c r="L33" s="15" t="n">
        <v>-2.65</v>
      </c>
      <c r="M33" s="8" t="inlineStr">
        <is>
          <t>east_table</t>
        </is>
      </c>
      <c r="N33" s="8" t="b">
        <v>1</v>
      </c>
      <c r="O33" s="8" t="b">
        <v>1</v>
      </c>
      <c r="P33" s="8" t="n">
        <v>33.23</v>
      </c>
      <c r="Q33" s="16" t="n">
        <v>7</v>
      </c>
      <c r="R33" s="8" t="b">
        <v>0</v>
      </c>
      <c r="S33" s="9" t="inlineStr">
        <is>
          <t>[港口库存]：中国甲醇样本港口库存周数据统计(20221026）</t>
        </is>
      </c>
      <c r="T33" s="9" t="inlineStr">
        <is>
          <t>https://nenghua.m.mysteel.com/a/24072809/BA0C66D79F18C5A0_abc.html</t>
        </is>
      </c>
      <c r="U33">
        <f>IF(OR(F33="",G33=""),"",ROUND(F33+G33,2))</f>
        <v/>
      </c>
      <c r="V33">
        <f>IF(U33="","",IF(ABS(U33-E33)&lt;0.05,"一致","差异"))</f>
        <v/>
      </c>
    </row>
    <row r="34">
      <c r="A34" s="8" t="inlineStr">
        <is>
          <t>2022-11-02</t>
        </is>
      </c>
      <c r="B34" s="8" t="n">
        <v>2022</v>
      </c>
      <c r="C34" s="8" t="n">
        <v>44</v>
      </c>
      <c r="D34" s="15" t="n">
        <v>49.9</v>
      </c>
      <c r="E34" s="15" t="n">
        <v>40.8</v>
      </c>
      <c r="F34" s="15" t="n">
        <v>24.3</v>
      </c>
      <c r="G34" s="15" t="n">
        <v>16.5</v>
      </c>
      <c r="H34" s="15" t="n">
        <v>6.7</v>
      </c>
      <c r="I34" s="15" t="n">
        <v>2.4</v>
      </c>
      <c r="J34" s="15" t="n">
        <v>3.11</v>
      </c>
      <c r="K34" s="15" t="n">
        <v>3.11</v>
      </c>
      <c r="L34" s="15" t="n">
        <v>3.11</v>
      </c>
      <c r="M34" s="8" t="inlineStr">
        <is>
          <t>east_table</t>
        </is>
      </c>
      <c r="N34" s="8" t="b">
        <v>1</v>
      </c>
      <c r="O34" s="8" t="b">
        <v>1</v>
      </c>
      <c r="P34" s="8" t="n">
        <v>36.67</v>
      </c>
      <c r="Q34" s="16" t="n">
        <v>7</v>
      </c>
      <c r="R34" s="8" t="b">
        <v>0</v>
      </c>
      <c r="S34" s="9" t="inlineStr">
        <is>
          <t>[港口库存]：中国甲醇样本港口库存周数据统计(20221102）</t>
        </is>
      </c>
      <c r="T34" s="9" t="inlineStr">
        <is>
          <t>https://nenghua.m.mysteel.com/a/24072809/01A0C8D8F0AF4577_abc.html</t>
        </is>
      </c>
      <c r="U34">
        <f>IF(OR(F34="",G34=""),"",ROUND(F34+G34,2))</f>
        <v/>
      </c>
      <c r="V34">
        <f>IF(U34="","",IF(ABS(U34-E34)&lt;0.05,"一致","差异"))</f>
        <v/>
      </c>
    </row>
    <row r="35">
      <c r="A35" s="8" t="inlineStr">
        <is>
          <t>2022-11-09</t>
        </is>
      </c>
      <c r="B35" s="8" t="n">
        <v>2022</v>
      </c>
      <c r="C35" s="8" t="n">
        <v>45</v>
      </c>
      <c r="D35" s="15" t="n">
        <v>55.95</v>
      </c>
      <c r="E35" s="15" t="n">
        <v>49</v>
      </c>
      <c r="F35" s="15" t="n">
        <v>31.4</v>
      </c>
      <c r="G35" s="15" t="n">
        <v>17.6</v>
      </c>
      <c r="H35" s="15" t="n">
        <v>4.51</v>
      </c>
      <c r="I35" s="15" t="n">
        <v>2.44</v>
      </c>
      <c r="J35" s="15" t="n">
        <v>8.5</v>
      </c>
      <c r="K35" s="15" t="n">
        <v>8.5</v>
      </c>
      <c r="L35" s="15" t="n">
        <v>8.199999999999999</v>
      </c>
      <c r="M35" s="8" t="inlineStr">
        <is>
          <t>east_table</t>
        </is>
      </c>
      <c r="N35" s="8" t="b">
        <v>1</v>
      </c>
      <c r="O35" s="8" t="b">
        <v>1</v>
      </c>
      <c r="P35" s="8" t="n">
        <v>41.11</v>
      </c>
      <c r="Q35" s="16" t="n">
        <v>7</v>
      </c>
      <c r="R35" s="8" t="b">
        <v>0</v>
      </c>
      <c r="S35" s="9" t="inlineStr">
        <is>
          <t>[港口库存]：中国甲醇样本港口库存周数据统计(20221109）</t>
        </is>
      </c>
      <c r="T35" s="9" t="inlineStr">
        <is>
          <t>https://nenghua.m.mysteel.com/a/24072809/B146B6EB9C2B0157_abc.html</t>
        </is>
      </c>
      <c r="U35">
        <f>IF(OR(F35="",G35=""),"",ROUND(F35+G35,2))</f>
        <v/>
      </c>
      <c r="V35">
        <f>IF(U35="","",IF(ABS(U35-E35)&lt;0.05,"一致","差异"))</f>
        <v/>
      </c>
    </row>
    <row r="36">
      <c r="A36" s="8" t="inlineStr">
        <is>
          <t>2022-11-16</t>
        </is>
      </c>
      <c r="B36" s="8" t="n">
        <v>2022</v>
      </c>
      <c r="C36" s="8" t="n">
        <v>46</v>
      </c>
      <c r="D36" s="15" t="n">
        <v>54.97</v>
      </c>
      <c r="E36" s="15" t="n">
        <v>47.4</v>
      </c>
      <c r="F36" s="15" t="n">
        <v>29</v>
      </c>
      <c r="G36" s="15" t="n">
        <v>18.4</v>
      </c>
      <c r="H36" s="15" t="n">
        <v>4.4</v>
      </c>
      <c r="I36" s="15" t="n">
        <v>3.17</v>
      </c>
      <c r="J36" s="15" t="n">
        <v>-1.6</v>
      </c>
      <c r="K36" s="15" t="n">
        <v>-1.6</v>
      </c>
      <c r="L36" s="15" t="n">
        <v>-1.6</v>
      </c>
      <c r="M36" s="8" t="inlineStr">
        <is>
          <t>east_table</t>
        </is>
      </c>
      <c r="N36" s="8" t="b">
        <v>1</v>
      </c>
      <c r="O36" s="8" t="b">
        <v>1</v>
      </c>
      <c r="P36" s="8" t="n">
        <v>40.39</v>
      </c>
      <c r="Q36" s="16" t="n">
        <v>7</v>
      </c>
      <c r="R36" s="8" t="b">
        <v>0</v>
      </c>
      <c r="S36" s="9" t="inlineStr">
        <is>
          <t>[港口库存]：中国甲醇样本港口库存周数据统计(20221116）</t>
        </is>
      </c>
      <c r="T36" s="9" t="inlineStr">
        <is>
          <t>https://nenghua.m.mysteel.com/a/24072809/96D4F0A0E7EC355C_abc.html</t>
        </is>
      </c>
      <c r="U36">
        <f>IF(OR(F36="",G36=""),"",ROUND(F36+G36,2))</f>
        <v/>
      </c>
      <c r="V36">
        <f>IF(U36="","",IF(ABS(U36-E36)&lt;0.05,"一致","差异"))</f>
        <v/>
      </c>
    </row>
    <row r="37">
      <c r="A37" s="8" t="inlineStr">
        <is>
          <t>2022-11-23</t>
        </is>
      </c>
      <c r="B37" s="8" t="n">
        <v>2022</v>
      </c>
      <c r="C37" s="8" t="n">
        <v>47</v>
      </c>
      <c r="D37" s="15" t="n">
        <v>54.28</v>
      </c>
      <c r="E37" s="15" t="n">
        <v>45.94</v>
      </c>
      <c r="F37" s="15" t="n">
        <v>24.45</v>
      </c>
      <c r="G37" s="15" t="n">
        <v>21.49</v>
      </c>
      <c r="H37" s="15" t="n">
        <v>4.15</v>
      </c>
      <c r="I37" s="15" t="n">
        <v>4.19</v>
      </c>
      <c r="J37" s="15" t="n">
        <v>-1.46</v>
      </c>
      <c r="K37" s="15" t="n">
        <v>-1.46</v>
      </c>
      <c r="L37" s="15" t="n">
        <v>-1.46</v>
      </c>
      <c r="M37" s="8" t="inlineStr">
        <is>
          <t>east_table</t>
        </is>
      </c>
      <c r="N37" s="8" t="b">
        <v>1</v>
      </c>
      <c r="O37" s="8" t="b">
        <v>1</v>
      </c>
      <c r="P37" s="8" t="n">
        <v>39.88</v>
      </c>
      <c r="Q37" s="16" t="n">
        <v>7</v>
      </c>
      <c r="R37" s="8" t="b">
        <v>0</v>
      </c>
      <c r="S37" s="9" t="inlineStr">
        <is>
          <t>[港口库存]：中国甲醇样本港口库存周数据统计(20221123）</t>
        </is>
      </c>
      <c r="T37" s="9" t="inlineStr">
        <is>
          <t>https://nenghua.m.mysteel.com/a/24072809/81C14B48543376C2_abc.html</t>
        </is>
      </c>
      <c r="U37">
        <f>IF(OR(F37="",G37=""),"",ROUND(F37+G37,2))</f>
        <v/>
      </c>
      <c r="V37">
        <f>IF(U37="","",IF(ABS(U37-E37)&lt;0.05,"一致","差异"))</f>
        <v/>
      </c>
    </row>
    <row r="38">
      <c r="A38" s="8" t="inlineStr">
        <is>
          <t>2022-11-30</t>
        </is>
      </c>
      <c r="B38" s="8" t="n">
        <v>2022</v>
      </c>
      <c r="C38" s="8" t="n">
        <v>48</v>
      </c>
      <c r="D38" s="15" t="n">
        <v>58.64</v>
      </c>
      <c r="E38" s="15" t="n">
        <v>48.72</v>
      </c>
      <c r="F38" s="15" t="n"/>
      <c r="G38" s="15" t="n"/>
      <c r="H38" s="15" t="n"/>
      <c r="I38" s="15" t="n"/>
      <c r="J38" s="15" t="n">
        <v>2.78</v>
      </c>
      <c r="K38" s="15" t="n">
        <v>2.78</v>
      </c>
      <c r="L38" s="15" t="n">
        <v>2.78</v>
      </c>
      <c r="M38" s="8" t="inlineStr">
        <is>
          <t>east_estimated</t>
        </is>
      </c>
      <c r="N38" s="8" t="b">
        <v>1</v>
      </c>
      <c r="O38" s="8" t="b">
        <v>0</v>
      </c>
      <c r="P38" s="8" t="n">
        <v>43.09</v>
      </c>
      <c r="Q38" s="16" t="n">
        <v>7</v>
      </c>
      <c r="R38" s="8" t="b">
        <v>0</v>
      </c>
      <c r="S38" s="9" t="inlineStr">
        <is>
          <t>[港口库存]：中国甲醇样本港口库存周数据统计(20221130）</t>
        </is>
      </c>
      <c r="T38" s="9" t="inlineStr">
        <is>
          <t>https://nenghua.m.mysteel.com/a/24072808/99B7D2112CC9BA11_abc.html</t>
        </is>
      </c>
      <c r="U38">
        <f>IF(OR(F38="",G38=""),"",ROUND(F38+G38,2))</f>
        <v/>
      </c>
      <c r="V38">
        <f>IF(U38="","",IF(ABS(U38-E38)&lt;0.05,"一致","差异"))</f>
        <v/>
      </c>
    </row>
    <row r="39">
      <c r="A39" s="8" t="inlineStr">
        <is>
          <t>2022-12-07</t>
        </is>
      </c>
      <c r="B39" s="8" t="n">
        <v>2022</v>
      </c>
      <c r="C39" s="8" t="n">
        <v>49</v>
      </c>
      <c r="D39" s="15" t="n">
        <v>56.42</v>
      </c>
      <c r="E39" s="15" t="n">
        <v>46.29</v>
      </c>
      <c r="F39" s="15" t="n">
        <v>22.9</v>
      </c>
      <c r="G39" s="15" t="n">
        <v>23.39</v>
      </c>
      <c r="H39" s="15" t="n">
        <v>5.9</v>
      </c>
      <c r="I39" s="15" t="n">
        <v>4.23</v>
      </c>
      <c r="J39" s="15" t="n">
        <v>-2.43</v>
      </c>
      <c r="K39" s="15" t="n">
        <v>-2.43</v>
      </c>
      <c r="L39" s="15" t="n">
        <v>-2.43</v>
      </c>
      <c r="M39" s="8" t="inlineStr">
        <is>
          <t>east_table</t>
        </is>
      </c>
      <c r="N39" s="8" t="b">
        <v>1</v>
      </c>
      <c r="O39" s="8" t="b">
        <v>1</v>
      </c>
      <c r="P39" s="8" t="n">
        <v>41.46</v>
      </c>
      <c r="Q39" s="16" t="n">
        <v>7</v>
      </c>
      <c r="R39" s="8" t="b">
        <v>0</v>
      </c>
      <c r="S39" s="9" t="inlineStr">
        <is>
          <t>[港口库存]：中国甲醇样本港口库存周数据统计(20221207）</t>
        </is>
      </c>
      <c r="T39" s="9" t="inlineStr">
        <is>
          <t>https://nenghua.m.mysteel.com/a/24072808/993344EF2828CA50_abc.html</t>
        </is>
      </c>
      <c r="U39">
        <f>IF(OR(F39="",G39=""),"",ROUND(F39+G39,2))</f>
        <v/>
      </c>
      <c r="V39">
        <f>IF(U39="","",IF(ABS(U39-E39)&lt;0.05,"一致","差异"))</f>
        <v/>
      </c>
    </row>
    <row r="40">
      <c r="A40" s="8" t="inlineStr">
        <is>
          <t>2022-12-14</t>
        </is>
      </c>
      <c r="B40" s="8" t="n">
        <v>2022</v>
      </c>
      <c r="C40" s="8" t="n">
        <v>50</v>
      </c>
      <c r="D40" s="15" t="n">
        <v>64.41</v>
      </c>
      <c r="E40" s="15" t="n">
        <v>54.45</v>
      </c>
      <c r="F40" s="15" t="n">
        <v>27.8</v>
      </c>
      <c r="G40" s="15" t="n">
        <v>26.65</v>
      </c>
      <c r="H40" s="15" t="n">
        <v>4.76</v>
      </c>
      <c r="I40" s="15" t="n">
        <v>5.2</v>
      </c>
      <c r="J40" s="15" t="n"/>
      <c r="K40" s="15" t="n">
        <v>8.16</v>
      </c>
      <c r="L40" s="15" t="n">
        <v>8.16</v>
      </c>
      <c r="M40" s="8" t="inlineStr">
        <is>
          <t>east_table</t>
        </is>
      </c>
      <c r="N40" s="8" t="b">
        <v>0</v>
      </c>
      <c r="O40" s="8" t="b">
        <v>1</v>
      </c>
      <c r="P40" s="8" t="n">
        <v>47.33</v>
      </c>
      <c r="Q40" s="16" t="n">
        <v>7</v>
      </c>
      <c r="R40" s="8" t="b">
        <v>0</v>
      </c>
      <c r="S40" s="9" t="inlineStr">
        <is>
          <t>[港口库存]：中国甲醇样本港口库存周数据统计(20221214）</t>
        </is>
      </c>
      <c r="T40" s="9" t="inlineStr">
        <is>
          <t>https://nenghua.m.mysteel.com/a/24072808/578619828327422A_abc.html</t>
        </is>
      </c>
      <c r="U40">
        <f>IF(OR(F40="",G40=""),"",ROUND(F40+G40,2))</f>
        <v/>
      </c>
      <c r="V40">
        <f>IF(U40="","",IF(ABS(U40-E40)&lt;0.05,"一致","差异"))</f>
        <v/>
      </c>
    </row>
    <row r="41">
      <c r="A41" s="8" t="inlineStr">
        <is>
          <t>2022-12-21</t>
        </is>
      </c>
      <c r="B41" s="8" t="n">
        <v>2022</v>
      </c>
      <c r="C41" s="8" t="n">
        <v>51</v>
      </c>
      <c r="D41" s="15" t="n">
        <v>64.48</v>
      </c>
      <c r="E41" s="15" t="n">
        <v>51.76</v>
      </c>
      <c r="F41" s="15" t="n">
        <v>25.9</v>
      </c>
      <c r="G41" s="15" t="n">
        <v>25.86</v>
      </c>
      <c r="H41" s="15" t="n">
        <v>6.8</v>
      </c>
      <c r="I41" s="15" t="n">
        <v>5.92</v>
      </c>
      <c r="J41" s="15" t="n"/>
      <c r="K41" s="15" t="n">
        <v>-2.69</v>
      </c>
      <c r="L41" s="15" t="n">
        <v>-2.69</v>
      </c>
      <c r="M41" s="8" t="inlineStr">
        <is>
          <t>east_table</t>
        </is>
      </c>
      <c r="N41" s="8" t="b">
        <v>0</v>
      </c>
      <c r="O41" s="8" t="b">
        <v>1</v>
      </c>
      <c r="P41" s="8" t="n">
        <v>47.38</v>
      </c>
      <c r="Q41" s="16" t="n">
        <v>7</v>
      </c>
      <c r="R41" s="8" t="b">
        <v>0</v>
      </c>
      <c r="S41" s="9" t="inlineStr">
        <is>
          <t>[港口库存]：中国甲醇样本港口库存周数据统计(20221221）</t>
        </is>
      </c>
      <c r="T41" s="9" t="inlineStr">
        <is>
          <t>https://nenghua.m.mysteel.com/a/24072808/3A754501B35EE583_abc.html</t>
        </is>
      </c>
      <c r="U41">
        <f>IF(OR(F41="",G41=""),"",ROUND(F41+G41,2))</f>
        <v/>
      </c>
      <c r="V41">
        <f>IF(U41="","",IF(ABS(U41-E41)&lt;0.05,"一致","差异"))</f>
        <v/>
      </c>
    </row>
    <row r="42">
      <c r="A42" s="8" t="inlineStr">
        <is>
          <t>2022-12-28</t>
        </is>
      </c>
      <c r="B42" s="8" t="n">
        <v>2022</v>
      </c>
      <c r="C42" s="8" t="n">
        <v>52</v>
      </c>
      <c r="D42" s="15" t="n">
        <v>62.06</v>
      </c>
      <c r="E42" s="15" t="n">
        <v>49.88</v>
      </c>
      <c r="F42" s="15" t="n">
        <v>25.4</v>
      </c>
      <c r="G42" s="15" t="n">
        <v>24.48</v>
      </c>
      <c r="H42" s="15" t="n">
        <v>7.3</v>
      </c>
      <c r="I42" s="15" t="n">
        <v>4.88</v>
      </c>
      <c r="J42" s="15" t="n"/>
      <c r="K42" s="15" t="n">
        <v>-1.88</v>
      </c>
      <c r="L42" s="15" t="n">
        <v>-1.88</v>
      </c>
      <c r="M42" s="8" t="inlineStr">
        <is>
          <t>east_table</t>
        </is>
      </c>
      <c r="N42" s="8" t="b">
        <v>0</v>
      </c>
      <c r="O42" s="8" t="b">
        <v>1</v>
      </c>
      <c r="P42" s="8" t="n">
        <v>45.6</v>
      </c>
      <c r="Q42" s="16" t="n">
        <v>7</v>
      </c>
      <c r="R42" s="8" t="b">
        <v>0</v>
      </c>
      <c r="S42" s="9" t="inlineStr">
        <is>
          <t>[港口库存]：中国甲醇样本港口库存周数据统计(20221228）</t>
        </is>
      </c>
      <c r="T42" s="9" t="inlineStr">
        <is>
          <t>https://nenghua.m.mysteel.com/a/24072808/EC128E3CB5C627FF_abc.html</t>
        </is>
      </c>
      <c r="U42">
        <f>IF(OR(F42="",G42=""),"",ROUND(F42+G42,2))</f>
        <v/>
      </c>
      <c r="V42">
        <f>IF(U42="","",IF(ABS(U42-E42)&lt;0.05,"一致","差异"))</f>
        <v/>
      </c>
    </row>
    <row r="43">
      <c r="A43" s="8" t="inlineStr">
        <is>
          <t>2023-01-04</t>
        </is>
      </c>
      <c r="B43" s="8" t="n">
        <v>2023</v>
      </c>
      <c r="C43" s="8" t="n">
        <v>1</v>
      </c>
      <c r="D43" s="15" t="n">
        <v>71.66</v>
      </c>
      <c r="E43" s="15" t="n">
        <v>58.8</v>
      </c>
      <c r="F43" s="15" t="n">
        <v>34.7</v>
      </c>
      <c r="G43" s="15" t="n">
        <v>24.1</v>
      </c>
      <c r="H43" s="15" t="n">
        <v>7.58</v>
      </c>
      <c r="I43" s="15" t="n">
        <v>5.28</v>
      </c>
      <c r="J43" s="15" t="n">
        <v>8.92</v>
      </c>
      <c r="K43" s="15" t="n">
        <v>8.92</v>
      </c>
      <c r="L43" s="15" t="n">
        <v>8.92</v>
      </c>
      <c r="M43" s="8" t="inlineStr">
        <is>
          <t>east_table</t>
        </is>
      </c>
      <c r="N43" s="8" t="b">
        <v>1</v>
      </c>
      <c r="O43" s="8" t="b">
        <v>1</v>
      </c>
      <c r="P43" s="8" t="n">
        <v>52.66</v>
      </c>
      <c r="Q43" s="16" t="n">
        <v>7</v>
      </c>
      <c r="R43" s="8" t="b">
        <v>0</v>
      </c>
      <c r="S43" s="9" t="inlineStr">
        <is>
          <t>[港口库存]：中国甲醇样本港口库存周数据统计(20230104）</t>
        </is>
      </c>
      <c r="T43" s="9" t="inlineStr">
        <is>
          <t>https://nenghua.m.mysteel.com/a/24072719/3804E72EC9E121A5_abc.html</t>
        </is>
      </c>
      <c r="U43">
        <f>IF(OR(F43="",G43=""),"",ROUND(F43+G43,2))</f>
        <v/>
      </c>
      <c r="V43">
        <f>IF(U43="","",IF(ABS(U43-E43)&lt;0.05,"一致","差异"))</f>
        <v/>
      </c>
    </row>
    <row r="44">
      <c r="A44" s="8" t="inlineStr">
        <is>
          <t>2023-01-11</t>
        </is>
      </c>
      <c r="B44" s="8" t="n">
        <v>2023</v>
      </c>
      <c r="C44" s="8" t="n">
        <v>2</v>
      </c>
      <c r="D44" s="15" t="n">
        <v>79.73999999999999</v>
      </c>
      <c r="E44" s="15" t="n">
        <v>67.56999999999999</v>
      </c>
      <c r="F44" s="15" t="n">
        <v>41.85</v>
      </c>
      <c r="G44" s="15" t="n">
        <v>25.72</v>
      </c>
      <c r="H44" s="15" t="n">
        <v>8.1</v>
      </c>
      <c r="I44" s="15" t="n">
        <v>4.07</v>
      </c>
      <c r="J44" s="15" t="n">
        <v>8.77</v>
      </c>
      <c r="K44" s="15" t="n">
        <v>8.77</v>
      </c>
      <c r="L44" s="15" t="n">
        <v>8.77</v>
      </c>
      <c r="M44" s="8" t="inlineStr">
        <is>
          <t>east_table</t>
        </is>
      </c>
      <c r="N44" s="8" t="b">
        <v>1</v>
      </c>
      <c r="O44" s="8" t="b">
        <v>1</v>
      </c>
      <c r="P44" s="8" t="n">
        <v>58.59</v>
      </c>
      <c r="Q44" s="16" t="n">
        <v>7</v>
      </c>
      <c r="R44" s="8" t="b">
        <v>0</v>
      </c>
      <c r="S44" s="9" t="inlineStr">
        <is>
          <t>[港口库存]：中国甲醇样本港口库存周数据统计(202301011）</t>
        </is>
      </c>
      <c r="T44" s="9" t="inlineStr">
        <is>
          <t>https://nenghua.m.mysteel.com/a/24072719/7713E959E86657E0_abc.html</t>
        </is>
      </c>
      <c r="U44">
        <f>IF(OR(F44="",G44=""),"",ROUND(F44+G44,2))</f>
        <v/>
      </c>
      <c r="V44">
        <f>IF(U44="","",IF(ABS(U44-E44)&lt;0.05,"一致","差异"))</f>
        <v/>
      </c>
    </row>
    <row r="45">
      <c r="A45" s="8" t="inlineStr">
        <is>
          <t>2023-01-18</t>
        </is>
      </c>
      <c r="B45" s="8" t="n">
        <v>2023</v>
      </c>
      <c r="C45" s="8" t="n">
        <v>3</v>
      </c>
      <c r="D45" s="15" t="n">
        <v>76.14</v>
      </c>
      <c r="E45" s="15" t="n">
        <v>63.71</v>
      </c>
      <c r="F45" s="15" t="n">
        <v>39.51</v>
      </c>
      <c r="G45" s="15" t="n">
        <v>24.2</v>
      </c>
      <c r="H45" s="15" t="n">
        <v>8.15</v>
      </c>
      <c r="I45" s="15" t="n">
        <v>4.28</v>
      </c>
      <c r="J45" s="15" t="n">
        <v>-3.86</v>
      </c>
      <c r="K45" s="15" t="n">
        <v>-3.86</v>
      </c>
      <c r="L45" s="15" t="n">
        <v>-3.86</v>
      </c>
      <c r="M45" s="8" t="inlineStr">
        <is>
          <t>east_table</t>
        </is>
      </c>
      <c r="N45" s="8" t="b">
        <v>1</v>
      </c>
      <c r="O45" s="8" t="b">
        <v>1</v>
      </c>
      <c r="P45" s="8" t="n">
        <v>55.95</v>
      </c>
      <c r="Q45" s="16" t="n">
        <v>7</v>
      </c>
      <c r="R45" s="8" t="b">
        <v>0</v>
      </c>
      <c r="S45" s="9" t="inlineStr">
        <is>
          <t>[港口库存]：中国甲醇样本港口库存周数据统计(20230118）</t>
        </is>
      </c>
      <c r="T45" s="9" t="inlineStr">
        <is>
          <t>https://nenghua.m.mysteel.com/a/24072719/4971797A1E6DF69D_abc.html</t>
        </is>
      </c>
      <c r="U45">
        <f>IF(OR(F45="",G45=""),"",ROUND(F45+G45,2))</f>
        <v/>
      </c>
      <c r="V45">
        <f>IF(U45="","",IF(ABS(U45-E45)&lt;0.05,"一致","差异"))</f>
        <v/>
      </c>
    </row>
    <row r="46">
      <c r="A46" s="8" t="inlineStr">
        <is>
          <t>2023-02-01</t>
        </is>
      </c>
      <c r="B46" s="8" t="n">
        <v>2023</v>
      </c>
      <c r="C46" s="8" t="n">
        <v>5</v>
      </c>
      <c r="D46" s="15" t="n">
        <v>69.81999999999999</v>
      </c>
      <c r="E46" s="15" t="n">
        <v>53.5</v>
      </c>
      <c r="F46" s="15" t="n">
        <v>34.85</v>
      </c>
      <c r="G46" s="15" t="n">
        <v>18.65</v>
      </c>
      <c r="H46" s="15" t="n">
        <v>9.9</v>
      </c>
      <c r="I46" s="15" t="n">
        <v>6.42</v>
      </c>
      <c r="J46" s="15" t="n"/>
      <c r="K46" s="15" t="n">
        <v>-10.21</v>
      </c>
      <c r="L46" s="15" t="n">
        <v>-10.21</v>
      </c>
      <c r="M46" s="8" t="inlineStr">
        <is>
          <t>east_table</t>
        </is>
      </c>
      <c r="N46" s="8" t="b">
        <v>0</v>
      </c>
      <c r="O46" s="8" t="b">
        <v>1</v>
      </c>
      <c r="P46" s="8" t="n">
        <v>51.3</v>
      </c>
      <c r="Q46" s="16" t="n">
        <v>14</v>
      </c>
      <c r="R46" s="8" t="b">
        <v>0</v>
      </c>
      <c r="S46" s="9" t="inlineStr">
        <is>
          <t>[港口库存]：中国甲醇样本港口库存周数据统计(20230201）</t>
        </is>
      </c>
      <c r="T46" s="9" t="inlineStr">
        <is>
          <t>https://nenghua.m.mysteel.com/a/24072719/DFE67237BE11B187_abc.html</t>
        </is>
      </c>
      <c r="U46">
        <f>IF(OR(F46="",G46=""),"",ROUND(F46+G46,2))</f>
        <v/>
      </c>
      <c r="V46">
        <f>IF(U46="","",IF(ABS(U46-E46)&lt;0.05,"一致","差异"))</f>
        <v/>
      </c>
    </row>
    <row r="47">
      <c r="A47" s="8" t="inlineStr">
        <is>
          <t>2023-02-08</t>
        </is>
      </c>
      <c r="B47" s="8" t="n">
        <v>2023</v>
      </c>
      <c r="C47" s="8" t="n">
        <v>6</v>
      </c>
      <c r="D47" s="15" t="n">
        <v>71.51000000000001</v>
      </c>
      <c r="E47" s="15" t="n">
        <v>55.05</v>
      </c>
      <c r="F47" s="15" t="n">
        <v>40.85</v>
      </c>
      <c r="G47" s="15" t="n">
        <v>14.2</v>
      </c>
      <c r="H47" s="15" t="n">
        <v>11.1</v>
      </c>
      <c r="I47" s="15" t="n">
        <v>5.36</v>
      </c>
      <c r="J47" s="15" t="n"/>
      <c r="K47" s="15" t="n">
        <v>1.55</v>
      </c>
      <c r="L47" s="15" t="n">
        <v>1.55</v>
      </c>
      <c r="M47" s="8" t="inlineStr">
        <is>
          <t>east_table</t>
        </is>
      </c>
      <c r="N47" s="8" t="b">
        <v>0</v>
      </c>
      <c r="O47" s="8" t="b">
        <v>1</v>
      </c>
      <c r="P47" s="8" t="n">
        <v>52.54</v>
      </c>
      <c r="Q47" s="16" t="n">
        <v>7</v>
      </c>
      <c r="R47" s="8" t="b">
        <v>0</v>
      </c>
      <c r="S47" s="9" t="inlineStr">
        <is>
          <t>[港口库存]：中国甲醇样本港口库存周数据统计(20230208）</t>
        </is>
      </c>
      <c r="T47" s="9" t="inlineStr">
        <is>
          <t>https://nenghua.m.mysteel.com/a/24072719/C683DD1289EA630C_abc.html</t>
        </is>
      </c>
      <c r="U47">
        <f>IF(OR(F47="",G47=""),"",ROUND(F47+G47,2))</f>
        <v/>
      </c>
      <c r="V47">
        <f>IF(U47="","",IF(ABS(U47-E47)&lt;0.05,"一致","差异"))</f>
        <v/>
      </c>
    </row>
    <row r="48">
      <c r="A48" s="8" t="inlineStr">
        <is>
          <t>2023-02-15</t>
        </is>
      </c>
      <c r="B48" s="8" t="n">
        <v>2023</v>
      </c>
      <c r="C48" s="8" t="n">
        <v>7</v>
      </c>
      <c r="D48" s="15" t="n">
        <v>75.52</v>
      </c>
      <c r="E48" s="15" t="n">
        <v>59.77</v>
      </c>
      <c r="F48" s="15" t="n">
        <v>40</v>
      </c>
      <c r="G48" s="15" t="n">
        <v>19.77</v>
      </c>
      <c r="H48" s="15" t="n">
        <v>11.7</v>
      </c>
      <c r="I48" s="15" t="n">
        <v>4.05</v>
      </c>
      <c r="J48" s="15" t="n">
        <v>4.72</v>
      </c>
      <c r="K48" s="15" t="n">
        <v>4.72</v>
      </c>
      <c r="L48" s="15" t="n">
        <v>4.72</v>
      </c>
      <c r="M48" s="8" t="inlineStr">
        <is>
          <t>east_table</t>
        </is>
      </c>
      <c r="N48" s="8" t="b">
        <v>1</v>
      </c>
      <c r="O48" s="8" t="b">
        <v>1</v>
      </c>
      <c r="P48" s="8" t="n">
        <v>55.49</v>
      </c>
      <c r="Q48" s="16" t="n">
        <v>7</v>
      </c>
      <c r="R48" s="8" t="b">
        <v>0</v>
      </c>
      <c r="S48" s="9" t="inlineStr">
        <is>
          <t>[港口库存]：中国甲醇样本港口库存周数据统计(20230215）</t>
        </is>
      </c>
      <c r="T48" s="9" t="inlineStr">
        <is>
          <t>https://nenghua.m.mysteel.com/a/24072719/8E6BCC3D2B9CE6A0_abc.html</t>
        </is>
      </c>
      <c r="U48">
        <f>IF(OR(F48="",G48=""),"",ROUND(F48+G48,2))</f>
        <v/>
      </c>
      <c r="V48">
        <f>IF(U48="","",IF(ABS(U48-E48)&lt;0.05,"一致","差异"))</f>
        <v/>
      </c>
    </row>
    <row r="49">
      <c r="A49" s="8" t="inlineStr">
        <is>
          <t>2023-02-22</t>
        </is>
      </c>
      <c r="B49" s="8" t="n">
        <v>2023</v>
      </c>
      <c r="C49" s="8" t="n">
        <v>8</v>
      </c>
      <c r="D49" s="15" t="n">
        <v>72.09</v>
      </c>
      <c r="E49" s="15" t="n">
        <v>57.74</v>
      </c>
      <c r="F49" s="15" t="n">
        <v>36.7</v>
      </c>
      <c r="G49" s="15" t="n">
        <v>21.04</v>
      </c>
      <c r="H49" s="15" t="n">
        <v>10.45</v>
      </c>
      <c r="I49" s="15" t="n">
        <v>3.9</v>
      </c>
      <c r="J49" s="15" t="n">
        <v>-2.03</v>
      </c>
      <c r="K49" s="15" t="n">
        <v>-2.03</v>
      </c>
      <c r="L49" s="15" t="n">
        <v>-2.03</v>
      </c>
      <c r="M49" s="8" t="inlineStr">
        <is>
          <t>east_table</t>
        </is>
      </c>
      <c r="N49" s="8" t="b">
        <v>1</v>
      </c>
      <c r="O49" s="8" t="b">
        <v>1</v>
      </c>
      <c r="P49" s="8" t="n">
        <v>52.97</v>
      </c>
      <c r="Q49" s="16" t="n">
        <v>7</v>
      </c>
      <c r="R49" s="8" t="b">
        <v>0</v>
      </c>
      <c r="S49" s="9" t="inlineStr">
        <is>
          <t>[港口库存]：中国甲醇样本港口库存周数据统计(20230222）</t>
        </is>
      </c>
      <c r="T49" s="9" t="inlineStr">
        <is>
          <t>https://nenghua.m.mysteel.com/a/24072719/2071E1497DFEE28C_abc.html</t>
        </is>
      </c>
      <c r="U49">
        <f>IF(OR(F49="",G49=""),"",ROUND(F49+G49,2))</f>
        <v/>
      </c>
      <c r="V49">
        <f>IF(U49="","",IF(ABS(U49-E49)&lt;0.05,"一致","差异"))</f>
        <v/>
      </c>
    </row>
    <row r="50">
      <c r="A50" s="8" t="inlineStr">
        <is>
          <t>2023-03-01</t>
        </is>
      </c>
      <c r="B50" s="8" t="n">
        <v>2023</v>
      </c>
      <c r="C50" s="8" t="n">
        <v>9</v>
      </c>
      <c r="D50" s="15" t="n">
        <v>68.52</v>
      </c>
      <c r="E50" s="15" t="n">
        <v>56</v>
      </c>
      <c r="F50" s="15" t="n">
        <v>33.6</v>
      </c>
      <c r="G50" s="15" t="n">
        <v>22.4</v>
      </c>
      <c r="H50" s="15" t="n">
        <v>9.699999999999999</v>
      </c>
      <c r="I50" s="15" t="n">
        <v>2.82</v>
      </c>
      <c r="J50" s="15" t="n">
        <v>-1.74</v>
      </c>
      <c r="K50" s="15" t="n">
        <v>-1.74</v>
      </c>
      <c r="L50" s="15" t="n">
        <v>-1.74</v>
      </c>
      <c r="M50" s="8" t="inlineStr">
        <is>
          <t>east_table</t>
        </is>
      </c>
      <c r="N50" s="8" t="b">
        <v>1</v>
      </c>
      <c r="O50" s="8" t="b">
        <v>1</v>
      </c>
      <c r="P50" s="8" t="n">
        <v>50.35</v>
      </c>
      <c r="Q50" s="16" t="n">
        <v>7</v>
      </c>
      <c r="R50" s="8" t="b">
        <v>0</v>
      </c>
      <c r="S50" s="9" t="inlineStr">
        <is>
          <t>[港口库存]：中国甲醇样本港口库存周数据统计(20230301）</t>
        </is>
      </c>
      <c r="T50" s="9" t="inlineStr">
        <is>
          <t>https://nenghua.m.mysteel.com/a/24072719/F36D27905D7020A8_abc.html</t>
        </is>
      </c>
      <c r="U50">
        <f>IF(OR(F50="",G50=""),"",ROUND(F50+G50,2))</f>
        <v/>
      </c>
      <c r="V50">
        <f>IF(U50="","",IF(ABS(U50-E50)&lt;0.05,"一致","差异"))</f>
        <v/>
      </c>
    </row>
    <row r="51">
      <c r="A51" s="8" t="inlineStr">
        <is>
          <t>2023-03-08</t>
        </is>
      </c>
      <c r="B51" s="8" t="n">
        <v>2023</v>
      </c>
      <c r="C51" s="8" t="n">
        <v>10</v>
      </c>
      <c r="D51" s="15" t="n">
        <v>68.95999999999999</v>
      </c>
      <c r="E51" s="15" t="n">
        <v>57.85</v>
      </c>
      <c r="F51" s="15" t="n">
        <v>35.35</v>
      </c>
      <c r="G51" s="15" t="n">
        <v>22.5</v>
      </c>
      <c r="H51" s="15" t="n">
        <v>9.050000000000001</v>
      </c>
      <c r="I51" s="15" t="n">
        <v>2.06</v>
      </c>
      <c r="J51" s="15" t="n">
        <v>1.85</v>
      </c>
      <c r="K51" s="15" t="n">
        <v>1.85</v>
      </c>
      <c r="L51" s="15" t="n">
        <v>1.85</v>
      </c>
      <c r="M51" s="8" t="inlineStr">
        <is>
          <t>east_table</t>
        </is>
      </c>
      <c r="N51" s="8" t="b">
        <v>1</v>
      </c>
      <c r="O51" s="8" t="b">
        <v>1</v>
      </c>
      <c r="P51" s="8" t="n">
        <v>50.67</v>
      </c>
      <c r="Q51" s="16" t="n">
        <v>7</v>
      </c>
      <c r="R51" s="8" t="b">
        <v>0</v>
      </c>
      <c r="S51" s="9" t="inlineStr">
        <is>
          <t>[港口库存]：中国甲醇样本港口库存周数据统计(20230308）</t>
        </is>
      </c>
      <c r="T51" s="9" t="inlineStr">
        <is>
          <t>https://nenghua.m.mysteel.com/a/24072719/27611AAC70EBBBF9_abc.html</t>
        </is>
      </c>
      <c r="U51">
        <f>IF(OR(F51="",G51=""),"",ROUND(F51+G51,2))</f>
        <v/>
      </c>
      <c r="V51">
        <f>IF(U51="","",IF(ABS(U51-E51)&lt;0.05,"一致","差异"))</f>
        <v/>
      </c>
    </row>
    <row r="52">
      <c r="A52" s="8" t="inlineStr">
        <is>
          <t>2023-03-15</t>
        </is>
      </c>
      <c r="B52" s="8" t="n">
        <v>2023</v>
      </c>
      <c r="C52" s="8" t="n">
        <v>11</v>
      </c>
      <c r="D52" s="15" t="n">
        <v>67.84999999999999</v>
      </c>
      <c r="E52" s="15" t="n">
        <v>54.9</v>
      </c>
      <c r="F52" s="15" t="n">
        <v>34</v>
      </c>
      <c r="G52" s="15" t="n">
        <v>20.9</v>
      </c>
      <c r="H52" s="15" t="n">
        <v>9.75</v>
      </c>
      <c r="I52" s="15" t="n">
        <v>3.2</v>
      </c>
      <c r="J52" s="15" t="n">
        <v>-2.95</v>
      </c>
      <c r="K52" s="15" t="n">
        <v>-2.95</v>
      </c>
      <c r="L52" s="15" t="n">
        <v>-2.95</v>
      </c>
      <c r="M52" s="8" t="inlineStr">
        <is>
          <t>east_table</t>
        </is>
      </c>
      <c r="N52" s="8" t="b">
        <v>1</v>
      </c>
      <c r="O52" s="8" t="b">
        <v>1</v>
      </c>
      <c r="P52" s="8" t="n">
        <v>49.86</v>
      </c>
      <c r="Q52" s="16" t="n">
        <v>7</v>
      </c>
      <c r="R52" s="8" t="b">
        <v>0</v>
      </c>
      <c r="S52" s="9" t="inlineStr">
        <is>
          <t>[港口库存]：中国甲醇样本港口库存周数据统计(20230315）</t>
        </is>
      </c>
      <c r="T52" s="9" t="inlineStr">
        <is>
          <t>https://nenghua.m.mysteel.com/a/24072718/B1E451E2276A4D0E_abc.html</t>
        </is>
      </c>
      <c r="U52">
        <f>IF(OR(F52="",G52=""),"",ROUND(F52+G52,2))</f>
        <v/>
      </c>
      <c r="V52">
        <f>IF(U52="","",IF(ABS(U52-E52)&lt;0.05,"一致","差异"))</f>
        <v/>
      </c>
    </row>
    <row r="53">
      <c r="A53" s="8" t="inlineStr">
        <is>
          <t>2023-03-22</t>
        </is>
      </c>
      <c r="B53" s="8" t="n">
        <v>2023</v>
      </c>
      <c r="C53" s="8" t="n">
        <v>12</v>
      </c>
      <c r="D53" s="15" t="n">
        <v>71.67</v>
      </c>
      <c r="E53" s="15" t="n">
        <v>60.94</v>
      </c>
      <c r="F53" s="15" t="n">
        <v>32.95</v>
      </c>
      <c r="G53" s="15" t="n">
        <v>27.99</v>
      </c>
      <c r="H53" s="15" t="n">
        <v>8.9</v>
      </c>
      <c r="I53" s="15" t="n">
        <v>1.83</v>
      </c>
      <c r="J53" s="15" t="n"/>
      <c r="K53" s="15" t="n">
        <v>6.04</v>
      </c>
      <c r="L53" s="15" t="n">
        <v>6.04</v>
      </c>
      <c r="M53" s="8" t="inlineStr">
        <is>
          <t>east_table</t>
        </is>
      </c>
      <c r="N53" s="8" t="b">
        <v>0</v>
      </c>
      <c r="O53" s="8" t="b">
        <v>1</v>
      </c>
      <c r="P53" s="8" t="n">
        <v>52.66</v>
      </c>
      <c r="Q53" s="16" t="n">
        <v>7</v>
      </c>
      <c r="R53" s="8" t="b">
        <v>0</v>
      </c>
      <c r="S53" s="9" t="inlineStr">
        <is>
          <t>[港口库存]：中国甲醇样本港口库存周数据统计(20230322）</t>
        </is>
      </c>
      <c r="T53" s="9" t="inlineStr">
        <is>
          <t>https://nenghua.m.mysteel.com/a/24072718/C8323EC861A06D96_abc.html</t>
        </is>
      </c>
      <c r="U53">
        <f>IF(OR(F53="",G53=""),"",ROUND(F53+G53,2))</f>
        <v/>
      </c>
      <c r="V53">
        <f>IF(U53="","",IF(ABS(U53-E53)&lt;0.05,"一致","差异"))</f>
        <v/>
      </c>
    </row>
    <row r="54">
      <c r="A54" s="8" t="inlineStr">
        <is>
          <t>2023-03-29</t>
        </is>
      </c>
      <c r="B54" s="8" t="n">
        <v>2023</v>
      </c>
      <c r="C54" s="8" t="n">
        <v>13</v>
      </c>
      <c r="D54" s="15" t="n">
        <v>79.3</v>
      </c>
      <c r="E54" s="15" t="n">
        <v>69.5</v>
      </c>
      <c r="F54" s="15" t="n">
        <v>43.45</v>
      </c>
      <c r="G54" s="15" t="n">
        <v>26.05</v>
      </c>
      <c r="H54" s="15" t="n">
        <v>6.95</v>
      </c>
      <c r="I54" s="15" t="n">
        <v>2.85</v>
      </c>
      <c r="J54" s="15" t="n"/>
      <c r="K54" s="15" t="n">
        <v>8.56</v>
      </c>
      <c r="L54" s="15" t="n">
        <v>8.56</v>
      </c>
      <c r="M54" s="8" t="inlineStr">
        <is>
          <t>east_table</t>
        </is>
      </c>
      <c r="N54" s="8" t="b">
        <v>0</v>
      </c>
      <c r="O54" s="8" t="b">
        <v>1</v>
      </c>
      <c r="P54" s="8" t="n">
        <v>58.27</v>
      </c>
      <c r="Q54" s="16" t="n">
        <v>7</v>
      </c>
      <c r="R54" s="8" t="b">
        <v>0</v>
      </c>
      <c r="S54" s="9" t="inlineStr">
        <is>
          <t>[港口库存]：中国甲醇样本港口库存周数据统计(20230329）</t>
        </is>
      </c>
      <c r="T54" s="9" t="inlineStr">
        <is>
          <t>https://nenghua.m.mysteel.com/a/24072718/640C562023407FCB_abc.html</t>
        </is>
      </c>
      <c r="U54">
        <f>IF(OR(F54="",G54=""),"",ROUND(F54+G54,2))</f>
        <v/>
      </c>
      <c r="V54">
        <f>IF(U54="","",IF(ABS(U54-E54)&lt;0.05,"一致","差异"))</f>
        <v/>
      </c>
    </row>
    <row r="55">
      <c r="A55" s="8" t="inlineStr">
        <is>
          <t>2023-04-04</t>
        </is>
      </c>
      <c r="B55" s="8" t="n">
        <v>2023</v>
      </c>
      <c r="C55" s="8" t="n">
        <v>14</v>
      </c>
      <c r="D55" s="15" t="n">
        <v>76.66</v>
      </c>
      <c r="E55" s="15" t="n">
        <v>70.25</v>
      </c>
      <c r="F55" s="15" t="n">
        <v>45.5</v>
      </c>
      <c r="G55" s="15" t="n">
        <v>24.75</v>
      </c>
      <c r="H55" s="15" t="n">
        <v>4.69</v>
      </c>
      <c r="I55" s="15" t="n">
        <v>1.72</v>
      </c>
      <c r="J55" s="15" t="n"/>
      <c r="K55" s="15" t="n">
        <v>0.75</v>
      </c>
      <c r="L55" s="15" t="n">
        <v>0.75</v>
      </c>
      <c r="M55" s="8" t="inlineStr">
        <is>
          <t>east_table</t>
        </is>
      </c>
      <c r="N55" s="8" t="b">
        <v>0</v>
      </c>
      <c r="O55" s="8" t="b">
        <v>1</v>
      </c>
      <c r="P55" s="8" t="n">
        <v>56.33</v>
      </c>
      <c r="Q55" s="16" t="n">
        <v>6</v>
      </c>
      <c r="R55" s="8" t="b">
        <v>0</v>
      </c>
      <c r="S55" s="9" t="inlineStr">
        <is>
          <t>[港口库存]：中国甲醇样本港口库存周数据统计(20230404）</t>
        </is>
      </c>
      <c r="T55" s="9" t="inlineStr">
        <is>
          <t>https://nenghua.m.mysteel.com/a/24072718/E549BDC4574EFCD1_abc.html</t>
        </is>
      </c>
      <c r="U55">
        <f>IF(OR(F55="",G55=""),"",ROUND(F55+G55,2))</f>
        <v/>
      </c>
      <c r="V55">
        <f>IF(U55="","",IF(ABS(U55-E55)&lt;0.05,"一致","差异"))</f>
        <v/>
      </c>
    </row>
    <row r="56">
      <c r="A56" s="8" t="inlineStr">
        <is>
          <t>2023-04-12</t>
        </is>
      </c>
      <c r="B56" s="8" t="n">
        <v>2023</v>
      </c>
      <c r="C56" s="8" t="n">
        <v>15</v>
      </c>
      <c r="D56" s="15" t="n">
        <v>67.69</v>
      </c>
      <c r="E56" s="15" t="n">
        <v>59.85</v>
      </c>
      <c r="F56" s="15" t="n">
        <v>38.5</v>
      </c>
      <c r="G56" s="15" t="n">
        <v>21.35</v>
      </c>
      <c r="H56" s="15" t="n">
        <v>5.27</v>
      </c>
      <c r="I56" s="15" t="n">
        <v>2.57</v>
      </c>
      <c r="J56" s="15" t="n">
        <v>-10.94</v>
      </c>
      <c r="K56" s="15" t="n">
        <v>-10.94</v>
      </c>
      <c r="L56" s="15" t="n">
        <v>-10.4</v>
      </c>
      <c r="M56" s="8" t="inlineStr">
        <is>
          <t>east_table</t>
        </is>
      </c>
      <c r="N56" s="8" t="b">
        <v>1</v>
      </c>
      <c r="O56" s="8" t="b">
        <v>1</v>
      </c>
      <c r="P56" s="8" t="n">
        <v>49.74</v>
      </c>
      <c r="Q56" s="16" t="n">
        <v>8</v>
      </c>
      <c r="R56" s="8" t="b">
        <v>0</v>
      </c>
      <c r="S56" s="9" t="inlineStr">
        <is>
          <t>[港口库存]：中国甲醇样本港口库存周数据统计(20230412）</t>
        </is>
      </c>
      <c r="T56" s="9" t="inlineStr">
        <is>
          <t>https://nenghua.m.mysteel.com/a/24072718/5BF0207AB95260CA_abc.html</t>
        </is>
      </c>
      <c r="U56">
        <f>IF(OR(F56="",G56=""),"",ROUND(F56+G56,2))</f>
        <v/>
      </c>
      <c r="V56">
        <f>IF(U56="","",IF(ABS(U56-E56)&lt;0.05,"一致","差异"))</f>
        <v/>
      </c>
    </row>
    <row r="57">
      <c r="A57" s="8" t="inlineStr">
        <is>
          <t>2023-04-19</t>
        </is>
      </c>
      <c r="B57" s="8" t="n">
        <v>2023</v>
      </c>
      <c r="C57" s="8" t="n">
        <v>16</v>
      </c>
      <c r="D57" s="15" t="n">
        <v>67.18000000000001</v>
      </c>
      <c r="E57" s="15" t="n">
        <v>56.75</v>
      </c>
      <c r="F57" s="15" t="n">
        <v>40</v>
      </c>
      <c r="G57" s="15" t="n">
        <v>16.75</v>
      </c>
      <c r="H57" s="15" t="n">
        <v>7.73</v>
      </c>
      <c r="I57" s="15" t="n">
        <v>2.7</v>
      </c>
      <c r="J57" s="15" t="n">
        <v>-3.1</v>
      </c>
      <c r="K57" s="15" t="n">
        <v>-3.1</v>
      </c>
      <c r="L57" s="15" t="n">
        <v>-3.1</v>
      </c>
      <c r="M57" s="8" t="inlineStr">
        <is>
          <t>east_table</t>
        </is>
      </c>
      <c r="N57" s="8" t="b">
        <v>1</v>
      </c>
      <c r="O57" s="8" t="b">
        <v>1</v>
      </c>
      <c r="P57" s="8" t="n">
        <v>49.36</v>
      </c>
      <c r="Q57" s="16" t="n">
        <v>7</v>
      </c>
      <c r="R57" s="8" t="b">
        <v>0</v>
      </c>
      <c r="S57" s="9" t="inlineStr">
        <is>
          <t>[港口库存]：中国甲醇样本港口库存周数据统计(20230419）</t>
        </is>
      </c>
      <c r="T57" s="9" t="inlineStr">
        <is>
          <t>https://nenghua.m.mysteel.com/a/24072718/C0F44446EF5635BE_abc.html</t>
        </is>
      </c>
      <c r="U57">
        <f>IF(OR(F57="",G57=""),"",ROUND(F57+G57,2))</f>
        <v/>
      </c>
      <c r="V57">
        <f>IF(U57="","",IF(ABS(U57-E57)&lt;0.05,"一致","差异"))</f>
        <v/>
      </c>
    </row>
    <row r="58">
      <c r="A58" s="8" t="inlineStr">
        <is>
          <t>2023-04-26</t>
        </is>
      </c>
      <c r="B58" s="8" t="n">
        <v>2023</v>
      </c>
      <c r="C58" s="8" t="n">
        <v>17</v>
      </c>
      <c r="D58" s="15" t="n">
        <v>65.55</v>
      </c>
      <c r="E58" s="15" t="n">
        <v>49.75</v>
      </c>
      <c r="F58" s="15" t="n">
        <v>33.15</v>
      </c>
      <c r="G58" s="15" t="n">
        <v>16.6</v>
      </c>
      <c r="H58" s="15" t="n">
        <v>12.6</v>
      </c>
      <c r="I58" s="15" t="n">
        <v>3.2</v>
      </c>
      <c r="J58" s="15" t="n">
        <v>-7</v>
      </c>
      <c r="K58" s="15" t="n">
        <v>-7</v>
      </c>
      <c r="L58" s="15" t="n">
        <v>-7</v>
      </c>
      <c r="M58" s="8" t="inlineStr">
        <is>
          <t>east_table</t>
        </is>
      </c>
      <c r="N58" s="8" t="b">
        <v>1</v>
      </c>
      <c r="O58" s="8" t="b">
        <v>1</v>
      </c>
      <c r="P58" s="8" t="n">
        <v>48.17</v>
      </c>
      <c r="Q58" s="16" t="n">
        <v>7</v>
      </c>
      <c r="R58" s="8" t="b">
        <v>0</v>
      </c>
      <c r="S58" s="9" t="inlineStr">
        <is>
          <t>[港口库存]：中国甲醇样本港口库存周数据统计(20230426）</t>
        </is>
      </c>
      <c r="T58" s="9" t="inlineStr">
        <is>
          <t>https://nenghua.m.mysteel.com/a/24072717/56BE7AB838D3C9E3_abc.html</t>
        </is>
      </c>
      <c r="U58">
        <f>IF(OR(F58="",G58=""),"",ROUND(F58+G58,2))</f>
        <v/>
      </c>
      <c r="V58">
        <f>IF(U58="","",IF(ABS(U58-E58)&lt;0.05,"一致","差异"))</f>
        <v/>
      </c>
    </row>
    <row r="59">
      <c r="A59" s="8" t="inlineStr">
        <is>
          <t>2023-05-04</t>
        </is>
      </c>
      <c r="B59" s="8" t="n">
        <v>2023</v>
      </c>
      <c r="C59" s="8" t="n">
        <v>18</v>
      </c>
      <c r="D59" s="15" t="n">
        <v>72.54000000000001</v>
      </c>
      <c r="E59" s="15" t="n">
        <v>56.04</v>
      </c>
      <c r="F59" s="15" t="n">
        <v>34.6</v>
      </c>
      <c r="G59" s="15" t="n">
        <v>21.44</v>
      </c>
      <c r="H59" s="15" t="n">
        <v>14</v>
      </c>
      <c r="I59" s="15" t="n">
        <v>2.5</v>
      </c>
      <c r="J59" s="15" t="n">
        <v>6.29</v>
      </c>
      <c r="K59" s="15" t="n">
        <v>6.29</v>
      </c>
      <c r="L59" s="15" t="n">
        <v>6.29</v>
      </c>
      <c r="M59" s="8" t="inlineStr">
        <is>
          <t>east_table</t>
        </is>
      </c>
      <c r="N59" s="8" t="b">
        <v>1</v>
      </c>
      <c r="O59" s="8" t="b">
        <v>1</v>
      </c>
      <c r="P59" s="8" t="n">
        <v>53.3</v>
      </c>
      <c r="Q59" s="16" t="n">
        <v>8</v>
      </c>
      <c r="R59" s="8" t="b">
        <v>0</v>
      </c>
      <c r="S59" s="9" t="inlineStr">
        <is>
          <t>[港口库存]：中国甲醇样本港口库存周数据统计(20230504）</t>
        </is>
      </c>
      <c r="T59" s="9" t="inlineStr">
        <is>
          <t>https://nenghua.m.mysteel.com/a/24072717/02066DDB63C03B2D_abc.html</t>
        </is>
      </c>
      <c r="U59">
        <f>IF(OR(F59="",G59=""),"",ROUND(F59+G59,2))</f>
        <v/>
      </c>
      <c r="V59">
        <f>IF(U59="","",IF(ABS(U59-E59)&lt;0.05,"一致","差异"))</f>
        <v/>
      </c>
    </row>
    <row r="60">
      <c r="A60" s="8" t="inlineStr">
        <is>
          <t>2023-05-10</t>
        </is>
      </c>
      <c r="B60" s="8" t="n">
        <v>2023</v>
      </c>
      <c r="C60" s="8" t="n">
        <v>19</v>
      </c>
      <c r="D60" s="15" t="n">
        <v>77.03</v>
      </c>
      <c r="E60" s="15" t="n">
        <v>58.34</v>
      </c>
      <c r="F60" s="15" t="n">
        <v>39.2</v>
      </c>
      <c r="G60" s="15" t="n">
        <v>19.14</v>
      </c>
      <c r="H60" s="15" t="n">
        <v>14.73</v>
      </c>
      <c r="I60" s="15" t="n">
        <v>3.96</v>
      </c>
      <c r="J60" s="15" t="n">
        <v>2.3</v>
      </c>
      <c r="K60" s="15" t="n">
        <v>2.3</v>
      </c>
      <c r="L60" s="15" t="n">
        <v>2.3</v>
      </c>
      <c r="M60" s="8" t="inlineStr">
        <is>
          <t>east_table</t>
        </is>
      </c>
      <c r="N60" s="8" t="b">
        <v>1</v>
      </c>
      <c r="O60" s="8" t="b">
        <v>1</v>
      </c>
      <c r="P60" s="8" t="n">
        <v>56.6</v>
      </c>
      <c r="Q60" s="16" t="n">
        <v>6</v>
      </c>
      <c r="R60" s="8" t="b">
        <v>0</v>
      </c>
      <c r="S60" s="9" t="inlineStr">
        <is>
          <t>[港口库存]：中国甲醇样本港口库存周数据统计(20230510）</t>
        </is>
      </c>
      <c r="T60" s="9" t="inlineStr">
        <is>
          <t>https://nenghua.m.mysteel.com/a/24072717/A30D4A83E3146206_abc.html</t>
        </is>
      </c>
      <c r="U60">
        <f>IF(OR(F60="",G60=""),"",ROUND(F60+G60,2))</f>
        <v/>
      </c>
      <c r="V60">
        <f>IF(U60="","",IF(ABS(U60-E60)&lt;0.05,"一致","差异"))</f>
        <v/>
      </c>
    </row>
    <row r="61">
      <c r="A61" s="8" t="inlineStr">
        <is>
          <t>2023-05-17</t>
        </is>
      </c>
      <c r="B61" s="8" t="n">
        <v>2023</v>
      </c>
      <c r="C61" s="8" t="n">
        <v>20</v>
      </c>
      <c r="D61" s="15" t="n">
        <v>77.33</v>
      </c>
      <c r="E61" s="15" t="n">
        <v>56.36</v>
      </c>
      <c r="F61" s="15" t="n">
        <v>38.97</v>
      </c>
      <c r="G61" s="15" t="n">
        <v>17.39</v>
      </c>
      <c r="H61" s="15" t="n">
        <v>13.6</v>
      </c>
      <c r="I61" s="15" t="n">
        <v>7.37</v>
      </c>
      <c r="J61" s="15" t="n">
        <v>-1.98</v>
      </c>
      <c r="K61" s="15" t="n">
        <v>-1.98</v>
      </c>
      <c r="L61" s="15" t="n">
        <v>-1.98</v>
      </c>
      <c r="M61" s="8" t="inlineStr">
        <is>
          <t>east_table</t>
        </is>
      </c>
      <c r="N61" s="8" t="b">
        <v>1</v>
      </c>
      <c r="O61" s="8" t="b">
        <v>1</v>
      </c>
      <c r="P61" s="8" t="n">
        <v>56.82</v>
      </c>
      <c r="Q61" s="16" t="n">
        <v>7</v>
      </c>
      <c r="R61" s="8" t="b">
        <v>0</v>
      </c>
      <c r="S61" s="9" t="inlineStr">
        <is>
          <t>[港口库存]：中国甲醇样本港口库存周数据统计(20230517）</t>
        </is>
      </c>
      <c r="T61" s="9" t="inlineStr">
        <is>
          <t>https://nenghua.m.mysteel.com/a/24072717/E373DB854D794831_abc.html</t>
        </is>
      </c>
      <c r="U61">
        <f>IF(OR(F61="",G61=""),"",ROUND(F61+G61,2))</f>
        <v/>
      </c>
      <c r="V61">
        <f>IF(U61="","",IF(ABS(U61-E61)&lt;0.05,"一致","差异"))</f>
        <v/>
      </c>
    </row>
    <row r="62">
      <c r="A62" s="8" t="inlineStr">
        <is>
          <t>2023-05-24</t>
        </is>
      </c>
      <c r="B62" s="8" t="n">
        <v>2023</v>
      </c>
      <c r="C62" s="8" t="n">
        <v>21</v>
      </c>
      <c r="D62" s="15" t="n">
        <v>78.44</v>
      </c>
      <c r="E62" s="15" t="n">
        <v>52.14</v>
      </c>
      <c r="F62" s="15" t="n">
        <v>34.4</v>
      </c>
      <c r="G62" s="15" t="n">
        <v>17.74</v>
      </c>
      <c r="H62" s="15" t="n">
        <v>17.4</v>
      </c>
      <c r="I62" s="15" t="n">
        <v>8.9</v>
      </c>
      <c r="J62" s="15" t="n">
        <v>-4.22</v>
      </c>
      <c r="K62" s="15" t="n">
        <v>-4.22</v>
      </c>
      <c r="L62" s="15" t="n">
        <v>-4.22</v>
      </c>
      <c r="M62" s="8" t="inlineStr">
        <is>
          <t>east_table</t>
        </is>
      </c>
      <c r="N62" s="8" t="b">
        <v>1</v>
      </c>
      <c r="O62" s="8" t="b">
        <v>1</v>
      </c>
      <c r="P62" s="8" t="n">
        <v>57.64</v>
      </c>
      <c r="Q62" s="16" t="n">
        <v>7</v>
      </c>
      <c r="R62" s="8" t="b">
        <v>0</v>
      </c>
      <c r="S62" s="9" t="inlineStr">
        <is>
          <t>[港口库存]：中国甲醇样本港口库存周数据统计(20230524）</t>
        </is>
      </c>
      <c r="T62" s="9" t="inlineStr">
        <is>
          <t>https://nenghua.m.mysteel.com/a/24072716/F26FFF13A6F94349_abc.html</t>
        </is>
      </c>
      <c r="U62">
        <f>IF(OR(F62="",G62=""),"",ROUND(F62+G62,2))</f>
        <v/>
      </c>
      <c r="V62">
        <f>IF(U62="","",IF(ABS(U62-E62)&lt;0.05,"一致","差异"))</f>
        <v/>
      </c>
    </row>
    <row r="63">
      <c r="A63" s="8" t="inlineStr">
        <is>
          <t>2023-05-31</t>
        </is>
      </c>
      <c r="B63" s="8" t="n">
        <v>2023</v>
      </c>
      <c r="C63" s="8" t="n">
        <v>22</v>
      </c>
      <c r="D63" s="15" t="n">
        <v>71.18000000000001</v>
      </c>
      <c r="E63" s="15" t="n">
        <v>43.85</v>
      </c>
      <c r="F63" s="15" t="n">
        <v>30.2</v>
      </c>
      <c r="G63" s="15" t="n">
        <v>13.65</v>
      </c>
      <c r="H63" s="15" t="n">
        <v>18</v>
      </c>
      <c r="I63" s="15" t="n">
        <v>9.33</v>
      </c>
      <c r="J63" s="15" t="n">
        <v>-8.289999999999999</v>
      </c>
      <c r="K63" s="15" t="n">
        <v>-8.289999999999999</v>
      </c>
      <c r="L63" s="15" t="n">
        <v>-8.289999999999999</v>
      </c>
      <c r="M63" s="8" t="inlineStr">
        <is>
          <t>east_table</t>
        </is>
      </c>
      <c r="N63" s="8" t="b">
        <v>1</v>
      </c>
      <c r="O63" s="8" t="b">
        <v>1</v>
      </c>
      <c r="P63" s="8" t="n">
        <v>52.3</v>
      </c>
      <c r="Q63" s="16" t="n">
        <v>7</v>
      </c>
      <c r="R63" s="8" t="b">
        <v>0</v>
      </c>
      <c r="S63" s="9" t="inlineStr">
        <is>
          <t>[港口库存]：中国甲醇样本港口库存周数据统计(20230531）</t>
        </is>
      </c>
      <c r="T63" s="9" t="inlineStr">
        <is>
          <t>https://nenghua.m.mysteel.com/a/24072716/F4D39E24257CF5A9_abc.html</t>
        </is>
      </c>
      <c r="U63">
        <f>IF(OR(F63="",G63=""),"",ROUND(F63+G63,2))</f>
        <v/>
      </c>
      <c r="V63">
        <f>IF(U63="","",IF(ABS(U63-E63)&lt;0.05,"一致","差异"))</f>
        <v/>
      </c>
    </row>
    <row r="64">
      <c r="A64" s="8" t="inlineStr">
        <is>
          <t>2023-06-07</t>
        </is>
      </c>
      <c r="B64" s="8" t="n">
        <v>2023</v>
      </c>
      <c r="C64" s="8" t="n">
        <v>23</v>
      </c>
      <c r="D64" s="15" t="n">
        <v>75</v>
      </c>
      <c r="E64" s="15" t="n">
        <v>50.75</v>
      </c>
      <c r="F64" s="15" t="n">
        <v>37.25</v>
      </c>
      <c r="G64" s="15" t="n">
        <v>13.5</v>
      </c>
      <c r="H64" s="15" t="n">
        <v>16</v>
      </c>
      <c r="I64" s="15" t="n">
        <v>8.25</v>
      </c>
      <c r="J64" s="15" t="n">
        <v>6.9</v>
      </c>
      <c r="K64" s="15" t="n">
        <v>6.9</v>
      </c>
      <c r="L64" s="15" t="n">
        <v>6.9</v>
      </c>
      <c r="M64" s="8" t="inlineStr">
        <is>
          <t>east_table</t>
        </is>
      </c>
      <c r="N64" s="8" t="b">
        <v>1</v>
      </c>
      <c r="O64" s="8" t="b">
        <v>1</v>
      </c>
      <c r="P64" s="8" t="n">
        <v>55.11</v>
      </c>
      <c r="Q64" s="16" t="n">
        <v>7</v>
      </c>
      <c r="R64" s="8" t="b">
        <v>0</v>
      </c>
      <c r="S64" s="9" t="inlineStr">
        <is>
          <t>[港口库存]：中国甲醇样本港口库存周数据统计(202300607）</t>
        </is>
      </c>
      <c r="T64" s="9" t="inlineStr">
        <is>
          <t>https://nenghua.m.mysteel.com/a/24072715/B37F422E9FD0E90A_abc.html</t>
        </is>
      </c>
      <c r="U64">
        <f>IF(OR(F64="",G64=""),"",ROUND(F64+G64,2))</f>
        <v/>
      </c>
      <c r="V64">
        <f>IF(U64="","",IF(ABS(U64-E64)&lt;0.05,"一致","差异"))</f>
        <v/>
      </c>
    </row>
    <row r="65">
      <c r="A65" s="8" t="inlineStr">
        <is>
          <t>2023-06-14</t>
        </is>
      </c>
      <c r="B65" s="8" t="n">
        <v>2023</v>
      </c>
      <c r="C65" s="8" t="n">
        <v>24</v>
      </c>
      <c r="D65" s="15" t="n">
        <v>74.28</v>
      </c>
      <c r="E65" s="15" t="n">
        <v>49.49</v>
      </c>
      <c r="F65" s="15" t="n">
        <v>35.64</v>
      </c>
      <c r="G65" s="15" t="n">
        <v>13.85</v>
      </c>
      <c r="H65" s="15" t="n">
        <v>16.2</v>
      </c>
      <c r="I65" s="15" t="n">
        <v>8.59</v>
      </c>
      <c r="J65" s="15" t="n">
        <v>-1.26</v>
      </c>
      <c r="K65" s="15" t="n">
        <v>-1.26</v>
      </c>
      <c r="L65" s="15" t="n">
        <v>-1.26</v>
      </c>
      <c r="M65" s="8" t="inlineStr">
        <is>
          <t>east_table</t>
        </is>
      </c>
      <c r="N65" s="8" t="b">
        <v>1</v>
      </c>
      <c r="O65" s="8" t="b">
        <v>1</v>
      </c>
      <c r="P65" s="8" t="n">
        <v>54.58</v>
      </c>
      <c r="Q65" s="16" t="n">
        <v>7</v>
      </c>
      <c r="R65" s="8" t="b">
        <v>0</v>
      </c>
      <c r="S65" s="9" t="inlineStr">
        <is>
          <t>[港口库存]：中国甲醇样本港口库存周数据统计(202300614）</t>
        </is>
      </c>
      <c r="T65" s="9" t="inlineStr">
        <is>
          <t>https://nenghua.m.mysteel.com/a/24072715/DDAEEF498737BAF7_abc.html</t>
        </is>
      </c>
      <c r="U65">
        <f>IF(OR(F65="",G65=""),"",ROUND(F65+G65,2))</f>
        <v/>
      </c>
      <c r="V65">
        <f>IF(U65="","",IF(ABS(U65-E65)&lt;0.05,"一致","差异"))</f>
        <v/>
      </c>
    </row>
    <row r="66">
      <c r="A66" s="8" t="inlineStr">
        <is>
          <t>2023-06-21</t>
        </is>
      </c>
      <c r="B66" s="8" t="n">
        <v>2023</v>
      </c>
      <c r="C66" s="8" t="n">
        <v>25</v>
      </c>
      <c r="D66" s="15" t="n">
        <v>81.26000000000001</v>
      </c>
      <c r="E66" s="15" t="n">
        <v>57.85</v>
      </c>
      <c r="F66" s="15" t="n">
        <v>46.5</v>
      </c>
      <c r="G66" s="15" t="n">
        <v>11.35</v>
      </c>
      <c r="H66" s="15" t="n">
        <v>13.7</v>
      </c>
      <c r="I66" s="15" t="n">
        <v>9.710000000000001</v>
      </c>
      <c r="J66" s="15" t="n">
        <v>8.359999999999999</v>
      </c>
      <c r="K66" s="15" t="n">
        <v>8.359999999999999</v>
      </c>
      <c r="L66" s="15" t="n">
        <v>8.359999999999999</v>
      </c>
      <c r="M66" s="8" t="inlineStr">
        <is>
          <t>east_table</t>
        </is>
      </c>
      <c r="N66" s="8" t="b">
        <v>1</v>
      </c>
      <c r="O66" s="8" t="b">
        <v>1</v>
      </c>
      <c r="P66" s="8" t="n">
        <v>59.71</v>
      </c>
      <c r="Q66" s="16" t="n">
        <v>7</v>
      </c>
      <c r="R66" s="8" t="b">
        <v>0</v>
      </c>
      <c r="S66" s="9" t="inlineStr">
        <is>
          <t>[港口库存]：中国甲醇样本港口库存周数据统计(202300621）</t>
        </is>
      </c>
      <c r="T66" s="9" t="inlineStr">
        <is>
          <t>https://nenghua.m.mysteel.com/a/24072714/0D58D55A1EABEDAD_abc.html</t>
        </is>
      </c>
      <c r="U66">
        <f>IF(OR(F66="",G66=""),"",ROUND(F66+G66,2))</f>
        <v/>
      </c>
      <c r="V66">
        <f>IF(U66="","",IF(ABS(U66-E66)&lt;0.05,"一致","差异"))</f>
        <v/>
      </c>
    </row>
    <row r="67">
      <c r="A67" s="8" t="inlineStr">
        <is>
          <t>2023-07-05</t>
        </is>
      </c>
      <c r="B67" s="8" t="n">
        <v>2023</v>
      </c>
      <c r="C67" s="8" t="n">
        <v>27</v>
      </c>
      <c r="D67" s="15" t="n">
        <v>86.18000000000001</v>
      </c>
      <c r="E67" s="15" t="n">
        <v>65.08</v>
      </c>
      <c r="F67" s="15" t="n">
        <v>52.2</v>
      </c>
      <c r="G67" s="15" t="n">
        <v>12.88</v>
      </c>
      <c r="H67" s="15" t="n">
        <v>14.6</v>
      </c>
      <c r="I67" s="15" t="n">
        <v>6.5</v>
      </c>
      <c r="J67" s="15" t="n">
        <v>-0.25</v>
      </c>
      <c r="K67" s="15" t="n">
        <v>-0.25</v>
      </c>
      <c r="L67" s="15" t="n">
        <v>7.23</v>
      </c>
      <c r="M67" s="8" t="inlineStr">
        <is>
          <t>east_table</t>
        </is>
      </c>
      <c r="N67" s="8" t="b">
        <v>1</v>
      </c>
      <c r="O67" s="8" t="b">
        <v>1</v>
      </c>
      <c r="P67" s="8" t="n">
        <v>63.32</v>
      </c>
      <c r="Q67" s="16" t="n">
        <v>14</v>
      </c>
      <c r="R67" s="8" t="b">
        <v>0</v>
      </c>
      <c r="S67" s="9" t="inlineStr">
        <is>
          <t>[港口库存]：中国甲醇样本港口库存周数据统计(20230705）</t>
        </is>
      </c>
      <c r="T67" s="9" t="inlineStr">
        <is>
          <t>https://nenghua.m.mysteel.com/a/24072714/2ED3B212B75D73AD_abc.html</t>
        </is>
      </c>
      <c r="U67">
        <f>IF(OR(F67="",G67=""),"",ROUND(F67+G67,2))</f>
        <v/>
      </c>
      <c r="V67">
        <f>IF(U67="","",IF(ABS(U67-E67)&lt;0.05,"一致","差异"))</f>
        <v/>
      </c>
    </row>
    <row r="68">
      <c r="A68" s="8" t="inlineStr">
        <is>
          <t>2023-07-12</t>
        </is>
      </c>
      <c r="B68" s="8" t="n">
        <v>2023</v>
      </c>
      <c r="C68" s="8" t="n">
        <v>28</v>
      </c>
      <c r="D68" s="15" t="n">
        <v>85.81</v>
      </c>
      <c r="E68" s="15" t="n">
        <v>67.7</v>
      </c>
      <c r="F68" s="15" t="n">
        <v>50.4</v>
      </c>
      <c r="G68" s="15" t="n">
        <v>17.3</v>
      </c>
      <c r="H68" s="15" t="n">
        <v>12.2</v>
      </c>
      <c r="I68" s="15" t="n">
        <v>5.91</v>
      </c>
      <c r="J68" s="15" t="n">
        <v>2.62</v>
      </c>
      <c r="K68" s="15" t="n">
        <v>2.62</v>
      </c>
      <c r="L68" s="15" t="n">
        <v>2.62</v>
      </c>
      <c r="M68" s="8" t="inlineStr">
        <is>
          <t>east_table</t>
        </is>
      </c>
      <c r="N68" s="8" t="b">
        <v>1</v>
      </c>
      <c r="O68" s="8" t="b">
        <v>1</v>
      </c>
      <c r="P68" s="8" t="n">
        <v>63.05</v>
      </c>
      <c r="Q68" s="16" t="n">
        <v>7</v>
      </c>
      <c r="R68" s="8" t="b">
        <v>0</v>
      </c>
      <c r="S68" s="9" t="inlineStr">
        <is>
          <t>[港口库存]：中国甲醇样本港口库存周数据统计(20230712）</t>
        </is>
      </c>
      <c r="T68" s="9" t="inlineStr">
        <is>
          <t>https://nenghua.m.mysteel.com/a/24072713/6CE78946E0521D09_abc.html</t>
        </is>
      </c>
      <c r="U68">
        <f>IF(OR(F68="",G68=""),"",ROUND(F68+G68,2))</f>
        <v/>
      </c>
      <c r="V68">
        <f>IF(U68="","",IF(ABS(U68-E68)&lt;0.05,"一致","差异"))</f>
        <v/>
      </c>
    </row>
    <row r="69">
      <c r="A69" s="8" t="inlineStr">
        <is>
          <t>2023-07-19</t>
        </is>
      </c>
      <c r="B69" s="8" t="n">
        <v>2023</v>
      </c>
      <c r="C69" s="8" t="n">
        <v>29</v>
      </c>
      <c r="D69" s="15" t="n">
        <v>86.76000000000001</v>
      </c>
      <c r="E69" s="15" t="n">
        <v>68.75</v>
      </c>
      <c r="F69" s="15" t="n">
        <v>51.75</v>
      </c>
      <c r="G69" s="15" t="n">
        <v>17</v>
      </c>
      <c r="H69" s="15" t="n">
        <v>10.4</v>
      </c>
      <c r="I69" s="15" t="n">
        <v>7.61</v>
      </c>
      <c r="J69" s="15" t="n">
        <v>1.05</v>
      </c>
      <c r="K69" s="15" t="n">
        <v>1.05</v>
      </c>
      <c r="L69" s="15" t="n">
        <v>1.05</v>
      </c>
      <c r="M69" s="8" t="inlineStr">
        <is>
          <t>east_table</t>
        </is>
      </c>
      <c r="N69" s="8" t="b">
        <v>1</v>
      </c>
      <c r="O69" s="8" t="b">
        <v>1</v>
      </c>
      <c r="P69" s="8" t="n">
        <v>63.75</v>
      </c>
      <c r="Q69" s="16" t="n">
        <v>7</v>
      </c>
      <c r="R69" s="8" t="b">
        <v>0</v>
      </c>
      <c r="S69" s="9" t="inlineStr">
        <is>
          <t>[港口库存]：中国甲醇样本港口库存周数据统计(20230719）</t>
        </is>
      </c>
      <c r="T69" s="9" t="inlineStr">
        <is>
          <t>https://nenghua.m.mysteel.com/a/24072713/88D25AC8C3414157_abc.html</t>
        </is>
      </c>
      <c r="U69">
        <f>IF(OR(F69="",G69=""),"",ROUND(F69+G69,2))</f>
        <v/>
      </c>
      <c r="V69">
        <f>IF(U69="","",IF(ABS(U69-E69)&lt;0.05,"一致","差异"))</f>
        <v/>
      </c>
    </row>
    <row r="70">
      <c r="A70" s="8" t="inlineStr">
        <is>
          <t>2023-07-26</t>
        </is>
      </c>
      <c r="B70" s="8" t="n">
        <v>2023</v>
      </c>
      <c r="C70" s="8" t="n">
        <v>30</v>
      </c>
      <c r="D70" s="15" t="n">
        <v>95.27</v>
      </c>
      <c r="E70" s="15" t="n">
        <v>77.65000000000001</v>
      </c>
      <c r="F70" s="15" t="n">
        <v>58.55</v>
      </c>
      <c r="G70" s="15" t="n">
        <v>19.1</v>
      </c>
      <c r="H70" s="15" t="n">
        <v>9.800000000000001</v>
      </c>
      <c r="I70" s="15" t="n">
        <v>7.82</v>
      </c>
      <c r="J70" s="15" t="n">
        <v>8.9</v>
      </c>
      <c r="K70" s="15" t="n">
        <v>8.9</v>
      </c>
      <c r="L70" s="15" t="n">
        <v>8.9</v>
      </c>
      <c r="M70" s="8" t="inlineStr">
        <is>
          <t>east_table</t>
        </is>
      </c>
      <c r="N70" s="8" t="b">
        <v>1</v>
      </c>
      <c r="O70" s="8" t="b">
        <v>1</v>
      </c>
      <c r="P70" s="8" t="n">
        <v>70</v>
      </c>
      <c r="Q70" s="16" t="n">
        <v>7</v>
      </c>
      <c r="R70" s="8" t="b">
        <v>0</v>
      </c>
      <c r="S70" s="9" t="inlineStr">
        <is>
          <t>[港口库存]：中国甲醇样本港口库存周数据统计(20230726）</t>
        </is>
      </c>
      <c r="T70" s="9" t="inlineStr">
        <is>
          <t>https://nenghua.m.mysteel.com/a/24072713/71B65126E2835E57_abc.html</t>
        </is>
      </c>
      <c r="U70">
        <f>IF(OR(F70="",G70=""),"",ROUND(F70+G70,2))</f>
        <v/>
      </c>
      <c r="V70">
        <f>IF(U70="","",IF(ABS(U70-E70)&lt;0.05,"一致","差异"))</f>
        <v/>
      </c>
    </row>
    <row r="71">
      <c r="A71" s="8" t="inlineStr">
        <is>
          <t>2023-08-02</t>
        </is>
      </c>
      <c r="B71" s="8" t="n">
        <v>2023</v>
      </c>
      <c r="C71" s="8" t="n">
        <v>31</v>
      </c>
      <c r="D71" s="15" t="n">
        <v>87.43000000000001</v>
      </c>
      <c r="E71" s="15" t="n">
        <v>67.15000000000001</v>
      </c>
      <c r="F71" s="15" t="n">
        <v>52.25</v>
      </c>
      <c r="G71" s="15" t="n">
        <v>14.9</v>
      </c>
      <c r="H71" s="15" t="n">
        <v>12</v>
      </c>
      <c r="I71" s="15" t="n">
        <v>8.279999999999999</v>
      </c>
      <c r="J71" s="15" t="n">
        <v>-10.5</v>
      </c>
      <c r="K71" s="15" t="n">
        <v>-10.5</v>
      </c>
      <c r="L71" s="15" t="n">
        <v>-10.5</v>
      </c>
      <c r="M71" s="8" t="inlineStr">
        <is>
          <t>east_table</t>
        </is>
      </c>
      <c r="N71" s="8" t="b">
        <v>1</v>
      </c>
      <c r="O71" s="8" t="b">
        <v>1</v>
      </c>
      <c r="P71" s="8" t="n">
        <v>64.23999999999999</v>
      </c>
      <c r="Q71" s="16" t="n">
        <v>7</v>
      </c>
      <c r="R71" s="8" t="b">
        <v>0</v>
      </c>
      <c r="S71" s="9" t="inlineStr">
        <is>
          <t>[港口库存]：中国甲醇样本港口库存周数据统计(20230802）</t>
        </is>
      </c>
      <c r="T71" s="9" t="inlineStr">
        <is>
          <t>https://nenghua.m.mysteel.com/a/24072712/4DE51E9B4C40B736_abc.html</t>
        </is>
      </c>
      <c r="U71">
        <f>IF(OR(F71="",G71=""),"",ROUND(F71+G71,2))</f>
        <v/>
      </c>
      <c r="V71">
        <f>IF(U71="","",IF(ABS(U71-E71)&lt;0.05,"一致","差异"))</f>
        <v/>
      </c>
    </row>
    <row r="72">
      <c r="A72" s="8" t="inlineStr">
        <is>
          <t>2023-08-09</t>
        </is>
      </c>
      <c r="B72" s="8" t="n">
        <v>2023</v>
      </c>
      <c r="C72" s="8" t="n">
        <v>32</v>
      </c>
      <c r="D72" s="15" t="n">
        <v>90.25</v>
      </c>
      <c r="E72" s="15" t="n">
        <v>68.7</v>
      </c>
      <c r="F72" s="15" t="n"/>
      <c r="G72" s="15" t="n">
        <v>16.45</v>
      </c>
      <c r="H72" s="15" t="n">
        <v>9.6</v>
      </c>
      <c r="I72" s="15" t="n">
        <v>11.95</v>
      </c>
      <c r="J72" s="15" t="n">
        <v>1.22</v>
      </c>
      <c r="K72" s="15" t="n">
        <v>1.22</v>
      </c>
      <c r="L72" s="15" t="n">
        <v>1.55</v>
      </c>
      <c r="M72" s="8" t="inlineStr">
        <is>
          <t>east_table</t>
        </is>
      </c>
      <c r="N72" s="8" t="b">
        <v>1</v>
      </c>
      <c r="O72" s="8" t="b">
        <v>0</v>
      </c>
      <c r="P72" s="8" t="n">
        <v>66.31</v>
      </c>
      <c r="Q72" s="16" t="n">
        <v>7</v>
      </c>
      <c r="R72" s="8" t="b">
        <v>0</v>
      </c>
      <c r="S72" s="9" t="inlineStr">
        <is>
          <t>[港口库存]：中国甲醇样本港口库存周数据统计(20230809）</t>
        </is>
      </c>
      <c r="T72" s="9" t="inlineStr">
        <is>
          <t>https://nenghua.m.mysteel.com/a/24072712/E70277DA08FF35D8_abc.html</t>
        </is>
      </c>
      <c r="U72">
        <f>IF(OR(F72="",G72=""),"",ROUND(F72+G72,2))</f>
        <v/>
      </c>
      <c r="V72">
        <f>IF(U72="","",IF(ABS(U72-E72)&lt;0.05,"一致","差异"))</f>
        <v/>
      </c>
    </row>
    <row r="73">
      <c r="A73" s="8" t="inlineStr">
        <is>
          <t>2023-08-16</t>
        </is>
      </c>
      <c r="B73" s="8" t="n">
        <v>2023</v>
      </c>
      <c r="C73" s="8" t="n">
        <v>33</v>
      </c>
      <c r="D73" s="15" t="n">
        <v>96.45999999999999</v>
      </c>
      <c r="E73" s="15" t="n">
        <v>74.59999999999999</v>
      </c>
      <c r="F73" s="15" t="n">
        <v>57.15</v>
      </c>
      <c r="G73" s="15" t="n">
        <v>17.45</v>
      </c>
      <c r="H73" s="15" t="n">
        <v>8.199999999999999</v>
      </c>
      <c r="I73" s="15" t="n">
        <v>13.66</v>
      </c>
      <c r="J73" s="15" t="n">
        <v>5.9</v>
      </c>
      <c r="K73" s="15" t="n">
        <v>5.9</v>
      </c>
      <c r="L73" s="15" t="n">
        <v>5.9</v>
      </c>
      <c r="M73" s="8" t="inlineStr">
        <is>
          <t>east_table</t>
        </is>
      </c>
      <c r="N73" s="8" t="b">
        <v>1</v>
      </c>
      <c r="O73" s="8" t="b">
        <v>1</v>
      </c>
      <c r="P73" s="8" t="n">
        <v>70.88</v>
      </c>
      <c r="Q73" s="16" t="n">
        <v>7</v>
      </c>
      <c r="R73" s="8" t="b">
        <v>0</v>
      </c>
      <c r="S73" s="9" t="inlineStr">
        <is>
          <t>[港口库存]：中国甲醇样本港口库存周数据统计(20230816）</t>
        </is>
      </c>
      <c r="T73" s="9" t="inlineStr">
        <is>
          <t>https://nenghua.m.mysteel.com/a/24072712/F8DC372B9633B4BC_abc.html</t>
        </is>
      </c>
      <c r="U73">
        <f>IF(OR(F73="",G73=""),"",ROUND(F73+G73,2))</f>
        <v/>
      </c>
      <c r="V73">
        <f>IF(U73="","",IF(ABS(U73-E73)&lt;0.05,"一致","差异"))</f>
        <v/>
      </c>
    </row>
    <row r="74">
      <c r="A74" s="8" t="inlineStr">
        <is>
          <t>2023-08-23</t>
        </is>
      </c>
      <c r="B74" s="8" t="n">
        <v>2023</v>
      </c>
      <c r="C74" s="8" t="n">
        <v>34</v>
      </c>
      <c r="D74" s="15" t="n">
        <v>99.81</v>
      </c>
      <c r="E74" s="15" t="n">
        <v>76.40000000000001</v>
      </c>
      <c r="F74" s="15" t="n">
        <v>58.3</v>
      </c>
      <c r="G74" s="15" t="n">
        <v>18.1</v>
      </c>
      <c r="H74" s="15" t="n">
        <v>9.699999999999999</v>
      </c>
      <c r="I74" s="15" t="n">
        <v>13.71</v>
      </c>
      <c r="J74" s="15" t="n">
        <v>1.8</v>
      </c>
      <c r="K74" s="15" t="n">
        <v>1.8</v>
      </c>
      <c r="L74" s="15" t="n">
        <v>1.8</v>
      </c>
      <c r="M74" s="8" t="inlineStr">
        <is>
          <t>east_table</t>
        </is>
      </c>
      <c r="N74" s="8" t="b">
        <v>1</v>
      </c>
      <c r="O74" s="8" t="b">
        <v>1</v>
      </c>
      <c r="P74" s="8" t="n">
        <v>73.34</v>
      </c>
      <c r="Q74" s="16" t="n">
        <v>7</v>
      </c>
      <c r="R74" s="8" t="b">
        <v>0</v>
      </c>
      <c r="S74" s="9" t="inlineStr">
        <is>
          <t>[港口库存]：中国甲醇样本港口库存周数据统计(20230823）</t>
        </is>
      </c>
      <c r="T74" s="9" t="inlineStr">
        <is>
          <t>https://nenghua.m.mysteel.com/a/24072711/3B1DC92A20D277AD_abc.html</t>
        </is>
      </c>
      <c r="U74">
        <f>IF(OR(F74="",G74=""),"",ROUND(F74+G74,2))</f>
        <v/>
      </c>
      <c r="V74">
        <f>IF(U74="","",IF(ABS(U74-E74)&lt;0.05,"一致","差异"))</f>
        <v/>
      </c>
    </row>
    <row r="75">
      <c r="A75" s="8" t="inlineStr">
        <is>
          <t>2023-08-30</t>
        </is>
      </c>
      <c r="B75" s="8" t="n">
        <v>2023</v>
      </c>
      <c r="C75" s="8" t="n">
        <v>35</v>
      </c>
      <c r="D75" s="15" t="n">
        <v>102.03</v>
      </c>
      <c r="E75" s="15" t="n">
        <v>76.22</v>
      </c>
      <c r="F75" s="15" t="n">
        <v>58.22</v>
      </c>
      <c r="G75" s="15" t="n">
        <v>18</v>
      </c>
      <c r="H75" s="15" t="n">
        <v>10.5</v>
      </c>
      <c r="I75" s="15" t="n">
        <v>15.31</v>
      </c>
      <c r="J75" s="15" t="n"/>
      <c r="K75" s="15" t="n">
        <v>-0.18</v>
      </c>
      <c r="L75" s="15" t="n">
        <v>-0.18</v>
      </c>
      <c r="M75" s="8" t="inlineStr">
        <is>
          <t>east_table</t>
        </is>
      </c>
      <c r="N75" s="8" t="b">
        <v>0</v>
      </c>
      <c r="O75" s="8" t="b">
        <v>1</v>
      </c>
      <c r="P75" s="8" t="n">
        <v>74.97</v>
      </c>
      <c r="Q75" s="16" t="n">
        <v>7</v>
      </c>
      <c r="R75" s="8" t="b">
        <v>0</v>
      </c>
      <c r="S75" s="9" t="inlineStr">
        <is>
          <t>[港口库存]：中国甲醇样本港口库存周数据统计(20230830）</t>
        </is>
      </c>
      <c r="T75" s="9" t="inlineStr">
        <is>
          <t>https://nenghua.m.mysteel.com/a/24072711/F1C7B12D02F69E0A_abc.html</t>
        </is>
      </c>
      <c r="U75">
        <f>IF(OR(F75="",G75=""),"",ROUND(F75+G75,2))</f>
        <v/>
      </c>
      <c r="V75">
        <f>IF(U75="","",IF(ABS(U75-E75)&lt;0.05,"一致","差异"))</f>
        <v/>
      </c>
    </row>
    <row r="76">
      <c r="A76" s="8" t="inlineStr">
        <is>
          <t>2023-09-06</t>
        </is>
      </c>
      <c r="B76" s="8" t="n">
        <v>2023</v>
      </c>
      <c r="C76" s="8" t="n">
        <v>36</v>
      </c>
      <c r="D76" s="15" t="n">
        <v>103.85</v>
      </c>
      <c r="E76" s="15" t="n">
        <v>76.45</v>
      </c>
      <c r="F76" s="15" t="n">
        <v>57.35</v>
      </c>
      <c r="G76" s="15" t="n">
        <v>19.1</v>
      </c>
      <c r="H76" s="15" t="n">
        <v>13.1</v>
      </c>
      <c r="I76" s="15" t="n">
        <v>14.3</v>
      </c>
      <c r="J76" s="15" t="n"/>
      <c r="K76" s="15" t="n">
        <v>0.23</v>
      </c>
      <c r="L76" s="15" t="n">
        <v>0.23</v>
      </c>
      <c r="M76" s="8" t="inlineStr">
        <is>
          <t>east_table</t>
        </is>
      </c>
      <c r="N76" s="8" t="b">
        <v>0</v>
      </c>
      <c r="O76" s="8" t="b">
        <v>1</v>
      </c>
      <c r="P76" s="8" t="n">
        <v>76.31</v>
      </c>
      <c r="Q76" s="16" t="n">
        <v>7</v>
      </c>
      <c r="R76" s="8" t="b">
        <v>0</v>
      </c>
      <c r="S76" s="9" t="inlineStr">
        <is>
          <t>[港口库存]：中国甲醇样本港口库存周数据统计(20230906）</t>
        </is>
      </c>
      <c r="T76" s="9" t="inlineStr">
        <is>
          <t>https://nenghua.m.mysteel.com/a/24072711/003CFF1241EFCBD0_abc.html</t>
        </is>
      </c>
      <c r="U76">
        <f>IF(OR(F76="",G76=""),"",ROUND(F76+G76,2))</f>
        <v/>
      </c>
      <c r="V76">
        <f>IF(U76="","",IF(ABS(U76-E76)&lt;0.05,"一致","差异"))</f>
        <v/>
      </c>
    </row>
    <row r="77">
      <c r="A77" s="8" t="inlineStr">
        <is>
          <t>2023-09-13</t>
        </is>
      </c>
      <c r="B77" s="8" t="n">
        <v>2023</v>
      </c>
      <c r="C77" s="8" t="n">
        <v>37</v>
      </c>
      <c r="D77" s="15" t="n">
        <v>113.21</v>
      </c>
      <c r="E77" s="15" t="n">
        <v>81.16</v>
      </c>
      <c r="F77" s="15" t="n">
        <v>62.1</v>
      </c>
      <c r="G77" s="15" t="n">
        <v>19.06</v>
      </c>
      <c r="H77" s="15" t="n">
        <v>16.3</v>
      </c>
      <c r="I77" s="15" t="n">
        <v>15.75</v>
      </c>
      <c r="J77" s="15" t="n"/>
      <c r="K77" s="15" t="n">
        <v>4.71</v>
      </c>
      <c r="L77" s="15" t="n">
        <v>4.71</v>
      </c>
      <c r="M77" s="8" t="inlineStr">
        <is>
          <t>east_table</t>
        </is>
      </c>
      <c r="N77" s="8" t="b">
        <v>0</v>
      </c>
      <c r="O77" s="8" t="b">
        <v>1</v>
      </c>
      <c r="P77" s="8" t="n">
        <v>83.19</v>
      </c>
      <c r="Q77" s="16" t="n">
        <v>7</v>
      </c>
      <c r="R77" s="8" t="b">
        <v>0</v>
      </c>
      <c r="S77" s="9" t="inlineStr">
        <is>
          <t>[港口库存]：中国甲醇样本港口库存周数据统计(20230913）</t>
        </is>
      </c>
      <c r="T77" s="9" t="inlineStr">
        <is>
          <t>https://nenghua.m.mysteel.com/a/24072711/7228AA1CEBAD6FB7_abc.html</t>
        </is>
      </c>
      <c r="U77">
        <f>IF(OR(F77="",G77=""),"",ROUND(F77+G77,2))</f>
        <v/>
      </c>
      <c r="V77">
        <f>IF(U77="","",IF(ABS(U77-E77)&lt;0.05,"一致","差异"))</f>
        <v/>
      </c>
    </row>
    <row r="78">
      <c r="A78" s="8" t="inlineStr">
        <is>
          <t>2023-09-20</t>
        </is>
      </c>
      <c r="B78" s="8" t="n">
        <v>2023</v>
      </c>
      <c r="C78" s="8" t="n">
        <v>38</v>
      </c>
      <c r="D78" s="15" t="n">
        <v>114.56</v>
      </c>
      <c r="E78" s="15" t="n">
        <v>85.25</v>
      </c>
      <c r="F78" s="15" t="n">
        <v>63.55</v>
      </c>
      <c r="G78" s="15" t="n">
        <v>21.7</v>
      </c>
      <c r="H78" s="15" t="n">
        <v>14.5</v>
      </c>
      <c r="I78" s="15" t="n">
        <v>14.81</v>
      </c>
      <c r="J78" s="15" t="n">
        <v>4.09</v>
      </c>
      <c r="K78" s="15" t="n">
        <v>4.09</v>
      </c>
      <c r="L78" s="15" t="n">
        <v>4.09</v>
      </c>
      <c r="M78" s="8" t="inlineStr">
        <is>
          <t>east_table</t>
        </is>
      </c>
      <c r="N78" s="8" t="b">
        <v>1</v>
      </c>
      <c r="O78" s="8" t="b">
        <v>1</v>
      </c>
      <c r="P78" s="8" t="n">
        <v>84.18000000000001</v>
      </c>
      <c r="Q78" s="16" t="n">
        <v>7</v>
      </c>
      <c r="R78" s="8" t="b">
        <v>0</v>
      </c>
      <c r="S78" s="9" t="inlineStr">
        <is>
          <t>[港口库存]：中国甲醇样本港口库存周数据统计(20230920）</t>
        </is>
      </c>
      <c r="T78" s="9" t="inlineStr">
        <is>
          <t>https://nenghua.m.mysteel.com/a/24072711/C6D5161A9145E2E0_abc.html</t>
        </is>
      </c>
      <c r="U78">
        <f>IF(OR(F78="",G78=""),"",ROUND(F78+G78,2))</f>
        <v/>
      </c>
      <c r="V78">
        <f>IF(U78="","",IF(ABS(U78-E78)&lt;0.05,"一致","差异"))</f>
        <v/>
      </c>
    </row>
    <row r="79">
      <c r="A79" s="8" t="inlineStr">
        <is>
          <t>2023-09-27</t>
        </is>
      </c>
      <c r="B79" s="8" t="n">
        <v>2023</v>
      </c>
      <c r="C79" s="8" t="n">
        <v>39</v>
      </c>
      <c r="D79" s="15" t="n">
        <v>110.29</v>
      </c>
      <c r="E79" s="15" t="n">
        <v>78.09999999999999</v>
      </c>
      <c r="F79" s="15" t="n">
        <v>58.3</v>
      </c>
      <c r="G79" s="15" t="n">
        <v>19.8</v>
      </c>
      <c r="H79" s="15" t="n">
        <v>17</v>
      </c>
      <c r="I79" s="15" t="n">
        <v>15.19</v>
      </c>
      <c r="J79" s="15" t="n">
        <v>-7.15</v>
      </c>
      <c r="K79" s="15" t="n">
        <v>-7.15</v>
      </c>
      <c r="L79" s="15" t="n">
        <v>-7.15</v>
      </c>
      <c r="M79" s="8" t="inlineStr">
        <is>
          <t>east_table</t>
        </is>
      </c>
      <c r="N79" s="8" t="b">
        <v>1</v>
      </c>
      <c r="O79" s="8" t="b">
        <v>1</v>
      </c>
      <c r="P79" s="8" t="n">
        <v>81.04000000000001</v>
      </c>
      <c r="Q79" s="16" t="n">
        <v>7</v>
      </c>
      <c r="R79" s="8" t="b">
        <v>0</v>
      </c>
      <c r="S79" s="9" t="inlineStr">
        <is>
          <t>[港口库存]：中国甲醇样本港口库存周数据统计(20230927）</t>
        </is>
      </c>
      <c r="T79" s="9" t="inlineStr">
        <is>
          <t>https://nenghua.m.mysteel.com/a/24072710/C4A8F9262755E3D2_abc.html</t>
        </is>
      </c>
      <c r="U79">
        <f>IF(OR(F79="",G79=""),"",ROUND(F79+G79,2))</f>
        <v/>
      </c>
      <c r="V79">
        <f>IF(U79="","",IF(ABS(U79-E79)&lt;0.05,"一致","差异"))</f>
        <v/>
      </c>
    </row>
    <row r="80">
      <c r="A80" s="8" t="inlineStr">
        <is>
          <t>2023-10-08</t>
        </is>
      </c>
      <c r="B80" s="8" t="n">
        <v>2023</v>
      </c>
      <c r="C80" s="8" t="n">
        <v>40</v>
      </c>
      <c r="D80" s="15" t="n">
        <v>94.73999999999999</v>
      </c>
      <c r="E80" s="15" t="n">
        <v>63.5</v>
      </c>
      <c r="F80" s="15" t="n">
        <v>49.1</v>
      </c>
      <c r="G80" s="15" t="n">
        <v>14.4</v>
      </c>
      <c r="H80" s="15" t="n">
        <v>16.3</v>
      </c>
      <c r="I80" s="15" t="n">
        <v>14.94</v>
      </c>
      <c r="J80" s="15" t="n">
        <v>-14.6</v>
      </c>
      <c r="K80" s="15" t="n">
        <v>-14.6</v>
      </c>
      <c r="L80" s="15" t="n">
        <v>-14.6</v>
      </c>
      <c r="M80" s="8" t="inlineStr">
        <is>
          <t>east_table</t>
        </is>
      </c>
      <c r="N80" s="8" t="b">
        <v>1</v>
      </c>
      <c r="O80" s="8" t="b">
        <v>1</v>
      </c>
      <c r="P80" s="8" t="n">
        <v>69.61</v>
      </c>
      <c r="Q80" s="16" t="n">
        <v>11</v>
      </c>
      <c r="R80" s="8" t="b">
        <v>0</v>
      </c>
      <c r="S80" s="9" t="inlineStr">
        <is>
          <t>[港口库存]：中国甲醇样本港口库存周数据统计(20231008）</t>
        </is>
      </c>
      <c r="T80" s="9" t="inlineStr">
        <is>
          <t>https://nenghua.m.mysteel.com/a/24072710/6E45755E422AD35F_abc.html</t>
        </is>
      </c>
      <c r="U80">
        <f>IF(OR(F80="",G80=""),"",ROUND(F80+G80,2))</f>
        <v/>
      </c>
      <c r="V80">
        <f>IF(U80="","",IF(ABS(U80-E80)&lt;0.05,"一致","差异"))</f>
        <v/>
      </c>
    </row>
    <row r="81">
      <c r="A81" s="8" t="inlineStr">
        <is>
          <t>2023-10-11</t>
        </is>
      </c>
      <c r="B81" s="8" t="n">
        <v>2023</v>
      </c>
      <c r="C81" s="8" t="n">
        <v>41</v>
      </c>
      <c r="D81" s="15" t="n">
        <v>88.09999999999999</v>
      </c>
      <c r="E81" s="15" t="n">
        <v>59.4</v>
      </c>
      <c r="F81" s="15" t="n">
        <v>44.4</v>
      </c>
      <c r="G81" s="15" t="n">
        <v>15</v>
      </c>
      <c r="H81" s="15" t="n">
        <v>14.92</v>
      </c>
      <c r="I81" s="15" t="n">
        <v>13.78</v>
      </c>
      <c r="J81" s="15" t="n">
        <v>-4.1</v>
      </c>
      <c r="K81" s="15" t="n">
        <v>-4.1</v>
      </c>
      <c r="L81" s="15" t="n">
        <v>-4.1</v>
      </c>
      <c r="M81" s="8" t="inlineStr">
        <is>
          <t>east_table</t>
        </is>
      </c>
      <c r="N81" s="8" t="b">
        <v>1</v>
      </c>
      <c r="O81" s="8" t="b">
        <v>1</v>
      </c>
      <c r="P81" s="8" t="n">
        <v>64.73999999999999</v>
      </c>
      <c r="Q81" s="16" t="n">
        <v>3</v>
      </c>
      <c r="R81" s="8" t="b">
        <v>0</v>
      </c>
      <c r="S81" s="9" t="inlineStr">
        <is>
          <t>[港口库存]：中国甲醇样本港口库存周数据统计(20231011）</t>
        </is>
      </c>
      <c r="T81" s="9" t="inlineStr">
        <is>
          <t>https://nenghua.m.mysteel.com/a/24072710/3B3E04271597FAB8_abc.html</t>
        </is>
      </c>
      <c r="U81">
        <f>IF(OR(F81="",G81=""),"",ROUND(F81+G81,2))</f>
        <v/>
      </c>
      <c r="V81">
        <f>IF(U81="","",IF(ABS(U81-E81)&lt;0.05,"一致","差异"))</f>
        <v/>
      </c>
    </row>
    <row r="82">
      <c r="A82" s="8" t="inlineStr">
        <is>
          <t>2023-10-18</t>
        </is>
      </c>
      <c r="B82" s="8" t="n">
        <v>2023</v>
      </c>
      <c r="C82" s="8" t="n">
        <v>42</v>
      </c>
      <c r="D82" s="15" t="n">
        <v>87.40000000000001</v>
      </c>
      <c r="E82" s="15" t="n">
        <v>62.5</v>
      </c>
      <c r="F82" s="15" t="n">
        <v>46.7</v>
      </c>
      <c r="G82" s="15" t="n">
        <v>15.8</v>
      </c>
      <c r="H82" s="15" t="n">
        <v>13.1</v>
      </c>
      <c r="I82" s="15" t="n">
        <v>11.8</v>
      </c>
      <c r="J82" s="15" t="n">
        <v>3.1</v>
      </c>
      <c r="K82" s="15" t="n">
        <v>3.1</v>
      </c>
      <c r="L82" s="15" t="n">
        <v>3.1</v>
      </c>
      <c r="M82" s="8" t="inlineStr">
        <is>
          <t>east_table</t>
        </is>
      </c>
      <c r="N82" s="8" t="b">
        <v>1</v>
      </c>
      <c r="O82" s="8" t="b">
        <v>1</v>
      </c>
      <c r="P82" s="8" t="n">
        <v>64.22</v>
      </c>
      <c r="Q82" s="16" t="n">
        <v>7</v>
      </c>
      <c r="R82" s="8" t="b">
        <v>0</v>
      </c>
      <c r="S82" s="9" t="inlineStr">
        <is>
          <t>[港口库存]：中国甲醇样本港口库存周数据统计(20231018）</t>
        </is>
      </c>
      <c r="T82" s="9" t="inlineStr">
        <is>
          <t>https://nenghua.m.mysteel.com/a/24072710/BB75D4860F7EE1E2_abc.html</t>
        </is>
      </c>
      <c r="U82">
        <f>IF(OR(F82="",G82=""),"",ROUND(F82+G82,2))</f>
        <v/>
      </c>
      <c r="V82">
        <f>IF(U82="","",IF(ABS(U82-E82)&lt;0.05,"一致","差异"))</f>
        <v/>
      </c>
    </row>
    <row r="83">
      <c r="A83" s="8" t="inlineStr">
        <is>
          <t>2023-10-25</t>
        </is>
      </c>
      <c r="B83" s="8" t="n">
        <v>2023</v>
      </c>
      <c r="C83" s="8" t="n">
        <v>43</v>
      </c>
      <c r="D83" s="15" t="n">
        <v>89.81999999999999</v>
      </c>
      <c r="E83" s="15" t="n">
        <v>65.2</v>
      </c>
      <c r="F83" s="15" t="n">
        <v>49.1</v>
      </c>
      <c r="G83" s="15" t="n">
        <v>16.1</v>
      </c>
      <c r="H83" s="15" t="n">
        <v>12.7</v>
      </c>
      <c r="I83" s="15" t="n">
        <v>11.92</v>
      </c>
      <c r="J83" s="15" t="n">
        <v>2.7</v>
      </c>
      <c r="K83" s="15" t="n">
        <v>2.7</v>
      </c>
      <c r="L83" s="15" t="n">
        <v>2.7</v>
      </c>
      <c r="M83" s="8" t="inlineStr">
        <is>
          <t>east_table</t>
        </is>
      </c>
      <c r="N83" s="8" t="b">
        <v>1</v>
      </c>
      <c r="O83" s="8" t="b">
        <v>1</v>
      </c>
      <c r="P83" s="8" t="n">
        <v>66</v>
      </c>
      <c r="Q83" s="16" t="n">
        <v>7</v>
      </c>
      <c r="R83" s="8" t="b">
        <v>0</v>
      </c>
      <c r="S83" s="9" t="inlineStr">
        <is>
          <t>[港口库存]：中国甲醇样本港口库存周数据统计(20231025）</t>
        </is>
      </c>
      <c r="T83" s="9" t="inlineStr">
        <is>
          <t>https://nenghua.m.mysteel.com/a/24072710/47338E991350BAE4_abc.html</t>
        </is>
      </c>
      <c r="U83">
        <f>IF(OR(F83="",G83=""),"",ROUND(F83+G83,2))</f>
        <v/>
      </c>
      <c r="V83">
        <f>IF(U83="","",IF(ABS(U83-E83)&lt;0.05,"一致","差异"))</f>
        <v/>
      </c>
    </row>
    <row r="84">
      <c r="A84" s="8" t="inlineStr">
        <is>
          <t>2023-11-01</t>
        </is>
      </c>
      <c r="B84" s="8" t="n">
        <v>2023</v>
      </c>
      <c r="C84" s="8" t="n">
        <v>44</v>
      </c>
      <c r="D84" s="15" t="n">
        <v>87.68000000000001</v>
      </c>
      <c r="E84" s="15" t="n">
        <v>64.65000000000001</v>
      </c>
      <c r="F84" s="15" t="n">
        <v>47.75</v>
      </c>
      <c r="G84" s="15" t="n">
        <v>16.9</v>
      </c>
      <c r="H84" s="15" t="n">
        <v>12.1</v>
      </c>
      <c r="I84" s="15" t="n">
        <v>10.93</v>
      </c>
      <c r="J84" s="15" t="n">
        <v>-0.55</v>
      </c>
      <c r="K84" s="15" t="n">
        <v>-0.55</v>
      </c>
      <c r="L84" s="15" t="n">
        <v>-0.55</v>
      </c>
      <c r="M84" s="8" t="inlineStr">
        <is>
          <t>east_table</t>
        </is>
      </c>
      <c r="N84" s="8" t="b">
        <v>1</v>
      </c>
      <c r="O84" s="8" t="b">
        <v>1</v>
      </c>
      <c r="P84" s="8" t="n">
        <v>64.43000000000001</v>
      </c>
      <c r="Q84" s="16" t="n">
        <v>7</v>
      </c>
      <c r="R84" s="8" t="b">
        <v>0</v>
      </c>
      <c r="S84" s="9" t="inlineStr">
        <is>
          <t>[港口库存]：中国甲醇样本港口库存周数据统计(20231101）</t>
        </is>
      </c>
      <c r="T84" s="9" t="inlineStr">
        <is>
          <t>https://nenghua.m.mysteel.com/a/24072710/A3912871A8E35B7F_abc.html</t>
        </is>
      </c>
      <c r="U84">
        <f>IF(OR(F84="",G84=""),"",ROUND(F84+G84,2))</f>
        <v/>
      </c>
      <c r="V84">
        <f>IF(U84="","",IF(ABS(U84-E84)&lt;0.05,"一致","差异"))</f>
        <v/>
      </c>
    </row>
    <row r="85">
      <c r="A85" s="8" t="inlineStr">
        <is>
          <t>2023-11-08</t>
        </is>
      </c>
      <c r="B85" s="8" t="n">
        <v>2023</v>
      </c>
      <c r="C85" s="8" t="n">
        <v>45</v>
      </c>
      <c r="D85" s="15" t="n">
        <v>93.83</v>
      </c>
      <c r="E85" s="15" t="n">
        <v>71.59999999999999</v>
      </c>
      <c r="F85" s="15" t="n">
        <v>52.8</v>
      </c>
      <c r="G85" s="15" t="n">
        <v>18.8</v>
      </c>
      <c r="H85" s="15" t="n">
        <v>10.9</v>
      </c>
      <c r="I85" s="15" t="n">
        <v>11.33</v>
      </c>
      <c r="J85" s="15" t="n">
        <v>6.95</v>
      </c>
      <c r="K85" s="15" t="n">
        <v>6.95</v>
      </c>
      <c r="L85" s="15" t="n">
        <v>6.95</v>
      </c>
      <c r="M85" s="8" t="inlineStr">
        <is>
          <t>east_table</t>
        </is>
      </c>
      <c r="N85" s="8" t="b">
        <v>1</v>
      </c>
      <c r="O85" s="8" t="b">
        <v>1</v>
      </c>
      <c r="P85" s="8" t="n">
        <v>68.95</v>
      </c>
      <c r="Q85" s="16" t="n">
        <v>7</v>
      </c>
      <c r="R85" s="8" t="b">
        <v>0</v>
      </c>
      <c r="S85" s="9" t="inlineStr">
        <is>
          <t>[港口库存]：中国甲醇样本港口库存周数据统计(20231108）</t>
        </is>
      </c>
      <c r="T85" s="9" t="inlineStr">
        <is>
          <t>https://nenghua.m.mysteel.com/a/24072709/69D8F665481CFD81_abc.html</t>
        </is>
      </c>
      <c r="U85">
        <f>IF(OR(F85="",G85=""),"",ROUND(F85+G85,2))</f>
        <v/>
      </c>
      <c r="V85">
        <f>IF(U85="","",IF(ABS(U85-E85)&lt;0.05,"一致","差异"))</f>
        <v/>
      </c>
    </row>
    <row r="86">
      <c r="A86" s="8" t="inlineStr">
        <is>
          <t>2023-11-15</t>
        </is>
      </c>
      <c r="B86" s="8" t="n">
        <v>2023</v>
      </c>
      <c r="C86" s="8" t="n">
        <v>46</v>
      </c>
      <c r="D86" s="15" t="n">
        <v>98.40000000000001</v>
      </c>
      <c r="E86" s="15" t="n">
        <v>78.18000000000001</v>
      </c>
      <c r="F86" s="15" t="n">
        <v>56.38</v>
      </c>
      <c r="G86" s="15" t="n">
        <v>21.8</v>
      </c>
      <c r="H86" s="15" t="n"/>
      <c r="I86" s="15" t="n">
        <v>9.32</v>
      </c>
      <c r="J86" s="15" t="n">
        <v>6.58</v>
      </c>
      <c r="K86" s="15" t="n">
        <v>6.58</v>
      </c>
      <c r="L86" s="15" t="n">
        <v>6.58</v>
      </c>
      <c r="M86" s="8" t="inlineStr">
        <is>
          <t>east_table</t>
        </is>
      </c>
      <c r="N86" s="8" t="b">
        <v>1</v>
      </c>
      <c r="O86" s="8" t="b">
        <v>0</v>
      </c>
      <c r="P86" s="8" t="n">
        <v>72.3</v>
      </c>
      <c r="Q86" s="16" t="n">
        <v>7</v>
      </c>
      <c r="R86" s="8" t="b">
        <v>0</v>
      </c>
      <c r="S86" s="9" t="inlineStr">
        <is>
          <t>[港口库存]：中国甲醇样本港口库存周数据统计(20231115）</t>
        </is>
      </c>
      <c r="T86" s="9" t="inlineStr">
        <is>
          <t>https://nenghua.m.mysteel.com/a/24072709/685267E487522507_abc.html</t>
        </is>
      </c>
      <c r="U86">
        <f>IF(OR(F86="",G86=""),"",ROUND(F86+G86,2))</f>
        <v/>
      </c>
      <c r="V86">
        <f>IF(U86="","",IF(ABS(U86-E86)&lt;0.05,"一致","差异"))</f>
        <v/>
      </c>
    </row>
    <row r="87">
      <c r="A87" s="8" t="inlineStr">
        <is>
          <t>2023-11-22</t>
        </is>
      </c>
      <c r="B87" s="8" t="n">
        <v>2023</v>
      </c>
      <c r="C87" s="8" t="n">
        <v>47</v>
      </c>
      <c r="D87" s="15" t="n">
        <v>92.55</v>
      </c>
      <c r="E87" s="15" t="n">
        <v>76.33</v>
      </c>
      <c r="F87" s="15" t="n">
        <v>56.63</v>
      </c>
      <c r="G87" s="15" t="n">
        <v>19.7</v>
      </c>
      <c r="H87" s="15" t="n">
        <v>8.800000000000001</v>
      </c>
      <c r="I87" s="15" t="n">
        <v>7.42</v>
      </c>
      <c r="J87" s="15" t="n">
        <v>-1.85</v>
      </c>
      <c r="K87" s="15" t="n">
        <v>-1.85</v>
      </c>
      <c r="L87" s="15" t="n">
        <v>-1.85</v>
      </c>
      <c r="M87" s="8" t="inlineStr">
        <is>
          <t>east_table</t>
        </is>
      </c>
      <c r="N87" s="8" t="b">
        <v>1</v>
      </c>
      <c r="O87" s="8" t="b">
        <v>1</v>
      </c>
      <c r="P87" s="8" t="n">
        <v>68</v>
      </c>
      <c r="Q87" s="16" t="n">
        <v>7</v>
      </c>
      <c r="R87" s="8" t="b">
        <v>0</v>
      </c>
      <c r="S87" s="9" t="inlineStr">
        <is>
          <t>[港口库存]：中国甲醇样本港口库存周数据统计(20231122）</t>
        </is>
      </c>
      <c r="T87" s="9" t="inlineStr">
        <is>
          <t>https://nenghua.m.mysteel.com/a/24072709/6DCD6D70A2D6BA5F_abc.html</t>
        </is>
      </c>
      <c r="U87">
        <f>IF(OR(F87="",G87=""),"",ROUND(F87+G87,2))</f>
        <v/>
      </c>
      <c r="V87">
        <f>IF(U87="","",IF(ABS(U87-E87)&lt;0.05,"一致","差异"))</f>
        <v/>
      </c>
    </row>
    <row r="88">
      <c r="A88" s="8" t="inlineStr">
        <is>
          <t>2023-11-29</t>
        </is>
      </c>
      <c r="B88" s="8" t="n">
        <v>2023</v>
      </c>
      <c r="C88" s="8" t="n">
        <v>48</v>
      </c>
      <c r="D88" s="15" t="n">
        <v>86.15000000000001</v>
      </c>
      <c r="E88" s="15" t="n">
        <v>68.86</v>
      </c>
      <c r="F88" s="15" t="n">
        <v>49.66</v>
      </c>
      <c r="G88" s="15" t="n">
        <v>19.2</v>
      </c>
      <c r="H88" s="15" t="n">
        <v>10.7</v>
      </c>
      <c r="I88" s="15" t="n">
        <v>6.59</v>
      </c>
      <c r="J88" s="15" t="n"/>
      <c r="K88" s="15" t="n">
        <v>-7.47</v>
      </c>
      <c r="L88" s="15" t="n">
        <v>-7.47</v>
      </c>
      <c r="M88" s="8" t="inlineStr">
        <is>
          <t>east_table</t>
        </is>
      </c>
      <c r="N88" s="8" t="b">
        <v>0</v>
      </c>
      <c r="O88" s="8" t="b">
        <v>1</v>
      </c>
      <c r="P88" s="8" t="n">
        <v>63.3</v>
      </c>
      <c r="Q88" s="16" t="n">
        <v>7</v>
      </c>
      <c r="R88" s="8" t="b">
        <v>0</v>
      </c>
      <c r="S88" s="9" t="inlineStr">
        <is>
          <t>[港口库存]：中国甲醇样本港口库存周数据统计(20231129）</t>
        </is>
      </c>
      <c r="T88" s="9" t="inlineStr">
        <is>
          <t>https://nenghua.m.mysteel.com/a/24072709/6CE66E03773E3FEC_abc.html</t>
        </is>
      </c>
      <c r="U88">
        <f>IF(OR(F88="",G88=""),"",ROUND(F88+G88,2))</f>
        <v/>
      </c>
      <c r="V88">
        <f>IF(U88="","",IF(ABS(U88-E88)&lt;0.05,"一致","差异"))</f>
        <v/>
      </c>
    </row>
    <row r="89">
      <c r="A89" s="8" t="inlineStr">
        <is>
          <t>2023-12-06</t>
        </is>
      </c>
      <c r="B89" s="8" t="n">
        <v>2023</v>
      </c>
      <c r="C89" s="8" t="n">
        <v>49</v>
      </c>
      <c r="D89" s="15" t="n">
        <v>87.44</v>
      </c>
      <c r="E89" s="15" t="n">
        <v>67.01000000000001</v>
      </c>
      <c r="F89" s="15" t="n">
        <v>44.51</v>
      </c>
      <c r="G89" s="15" t="n">
        <v>22.5</v>
      </c>
      <c r="H89" s="15" t="n">
        <v>10.8</v>
      </c>
      <c r="I89" s="15" t="n">
        <v>9.630000000000001</v>
      </c>
      <c r="J89" s="15" t="n"/>
      <c r="K89" s="15" t="n">
        <v>-1.85</v>
      </c>
      <c r="L89" s="15" t="n">
        <v>-1.85</v>
      </c>
      <c r="M89" s="8" t="inlineStr">
        <is>
          <t>east_table</t>
        </is>
      </c>
      <c r="N89" s="8" t="b">
        <v>0</v>
      </c>
      <c r="O89" s="8" t="b">
        <v>1</v>
      </c>
      <c r="P89" s="8" t="n">
        <v>64.25</v>
      </c>
      <c r="Q89" s="16" t="n">
        <v>7</v>
      </c>
      <c r="R89" s="8" t="b">
        <v>0</v>
      </c>
      <c r="S89" s="9" t="inlineStr">
        <is>
          <t>[港口库存]：中国甲醇样本港口库存周数据统计(20231206）</t>
        </is>
      </c>
      <c r="T89" s="9" t="inlineStr">
        <is>
          <t>https://nenghua.m.mysteel.com/a/24072709/75AED98D595AE9A2_abc.html</t>
        </is>
      </c>
      <c r="U89">
        <f>IF(OR(F89="",G89=""),"",ROUND(F89+G89,2))</f>
        <v/>
      </c>
      <c r="V89">
        <f>IF(U89="","",IF(ABS(U89-E89)&lt;0.05,"一致","差异"))</f>
        <v/>
      </c>
    </row>
    <row r="90">
      <c r="A90" s="8" t="inlineStr">
        <is>
          <t>2023-12-13</t>
        </is>
      </c>
      <c r="B90" s="8" t="n">
        <v>2023</v>
      </c>
      <c r="C90" s="8" t="n">
        <v>50</v>
      </c>
      <c r="D90" s="15" t="n">
        <v>95.09999999999999</v>
      </c>
      <c r="E90" s="15" t="n">
        <v>73.20999999999999</v>
      </c>
      <c r="F90" s="15" t="n">
        <v>49.61</v>
      </c>
      <c r="G90" s="15" t="n">
        <v>23.6</v>
      </c>
      <c r="H90" s="15" t="n">
        <v>13.1</v>
      </c>
      <c r="I90" s="15" t="n">
        <v>8.789999999999999</v>
      </c>
      <c r="J90" s="15" t="n"/>
      <c r="K90" s="15" t="n">
        <v>6.2</v>
      </c>
      <c r="L90" s="15" t="n">
        <v>6.2</v>
      </c>
      <c r="M90" s="8" t="inlineStr">
        <is>
          <t>east_table</t>
        </is>
      </c>
      <c r="N90" s="8" t="b">
        <v>0</v>
      </c>
      <c r="O90" s="8" t="b">
        <v>1</v>
      </c>
      <c r="P90" s="8" t="n">
        <v>69.88</v>
      </c>
      <c r="Q90" s="16" t="n">
        <v>7</v>
      </c>
      <c r="R90" s="8" t="b">
        <v>0</v>
      </c>
      <c r="S90" s="9" t="inlineStr">
        <is>
          <t>[港口库存]：中国甲醇样本港口库存周数据统计(20231213）</t>
        </is>
      </c>
      <c r="T90" s="9" t="inlineStr">
        <is>
          <t>https://nenghua.m.mysteel.com/a/24072709/B0F942B07B013471_abc.html</t>
        </is>
      </c>
      <c r="U90">
        <f>IF(OR(F90="",G90=""),"",ROUND(F90+G90,2))</f>
        <v/>
      </c>
      <c r="V90">
        <f>IF(U90="","",IF(ABS(U90-E90)&lt;0.05,"一致","差异"))</f>
        <v/>
      </c>
    </row>
    <row r="91">
      <c r="A91" s="8" t="inlineStr">
        <is>
          <t>2023-12-20</t>
        </is>
      </c>
      <c r="B91" s="8" t="n">
        <v>2023</v>
      </c>
      <c r="C91" s="8" t="n">
        <v>51</v>
      </c>
      <c r="D91" s="15" t="n">
        <v>96.76000000000001</v>
      </c>
      <c r="E91" s="15" t="n">
        <v>73.40000000000001</v>
      </c>
      <c r="F91" s="15" t="n">
        <v>47.4</v>
      </c>
      <c r="G91" s="15" t="n">
        <v>26</v>
      </c>
      <c r="H91" s="15" t="n">
        <v>15.8</v>
      </c>
      <c r="I91" s="15" t="n">
        <v>7.56</v>
      </c>
      <c r="J91" s="15" t="n"/>
      <c r="K91" s="15" t="n">
        <v>0.19</v>
      </c>
      <c r="L91" s="15" t="n">
        <v>0.19</v>
      </c>
      <c r="M91" s="8" t="inlineStr">
        <is>
          <t>east_table</t>
        </is>
      </c>
      <c r="N91" s="8" t="b">
        <v>0</v>
      </c>
      <c r="O91" s="8" t="b">
        <v>1</v>
      </c>
      <c r="P91" s="8" t="n">
        <v>71.09999999999999</v>
      </c>
      <c r="Q91" s="16" t="n">
        <v>7</v>
      </c>
      <c r="R91" s="8" t="b">
        <v>0</v>
      </c>
      <c r="S91" s="9" t="inlineStr">
        <is>
          <t>[港口库存]：中国甲醇样本港口库存周数据统计(20231220）</t>
        </is>
      </c>
      <c r="T91" s="9" t="inlineStr">
        <is>
          <t>https://nenghua.m.mysteel.com/a/24072708/7C47094A40B4D9B3_abc.html</t>
        </is>
      </c>
      <c r="U91">
        <f>IF(OR(F91="",G91=""),"",ROUND(F91+G91,2))</f>
        <v/>
      </c>
      <c r="V91">
        <f>IF(U91="","",IF(ABS(U91-E91)&lt;0.05,"一致","差异"))</f>
        <v/>
      </c>
    </row>
    <row r="92">
      <c r="A92" s="8" t="inlineStr">
        <is>
          <t>2023-12-27</t>
        </is>
      </c>
      <c r="B92" s="8" t="n">
        <v>2023</v>
      </c>
      <c r="C92" s="8" t="n">
        <v>52</v>
      </c>
      <c r="D92" s="15" t="n">
        <v>90.54000000000001</v>
      </c>
      <c r="E92" s="15" t="n">
        <v>69.7</v>
      </c>
      <c r="F92" s="15" t="n">
        <v>48.4</v>
      </c>
      <c r="G92" s="15" t="n">
        <v>21.3</v>
      </c>
      <c r="H92" s="15" t="n">
        <v>13.5</v>
      </c>
      <c r="I92" s="15" t="n">
        <v>7.34</v>
      </c>
      <c r="J92" s="15" t="n">
        <v>-3.7</v>
      </c>
      <c r="K92" s="15" t="n">
        <v>-3.7</v>
      </c>
      <c r="L92" s="15" t="n">
        <v>-3.7</v>
      </c>
      <c r="M92" s="8" t="inlineStr">
        <is>
          <t>east_table</t>
        </is>
      </c>
      <c r="N92" s="8" t="b">
        <v>1</v>
      </c>
      <c r="O92" s="8" t="b">
        <v>1</v>
      </c>
      <c r="P92" s="8" t="n">
        <v>66.53</v>
      </c>
      <c r="Q92" s="16" t="n">
        <v>7</v>
      </c>
      <c r="R92" s="8" t="b">
        <v>0</v>
      </c>
      <c r="S92" s="9" t="inlineStr">
        <is>
          <t>[港口库存]：中国甲醇样本港口库存周数据统计(20231227）</t>
        </is>
      </c>
      <c r="T92" s="9" t="inlineStr">
        <is>
          <t>https://nenghua.m.mysteel.com/a/24072708/0210565D0F34E69A_abc.html</t>
        </is>
      </c>
      <c r="U92">
        <f>IF(OR(F92="",G92=""),"",ROUND(F92+G92,2))</f>
        <v/>
      </c>
      <c r="V92">
        <f>IF(U92="","",IF(ABS(U92-E92)&lt;0.05,"一致","差异"))</f>
        <v/>
      </c>
    </row>
    <row r="93">
      <c r="A93" s="8" t="inlineStr">
        <is>
          <t>2024-01-03</t>
        </is>
      </c>
      <c r="B93" s="8" t="n">
        <v>2024</v>
      </c>
      <c r="C93" s="8" t="n">
        <v>1</v>
      </c>
      <c r="D93" s="15" t="n">
        <v>82.48999999999999</v>
      </c>
      <c r="E93" s="15" t="n">
        <v>61.45</v>
      </c>
      <c r="F93" s="15" t="n">
        <v>41.55</v>
      </c>
      <c r="G93" s="15" t="n">
        <v>19.9</v>
      </c>
      <c r="H93" s="15" t="n">
        <v>14.8</v>
      </c>
      <c r="I93" s="15" t="n">
        <v>6.24</v>
      </c>
      <c r="J93" s="15" t="n"/>
      <c r="K93" s="15" t="n">
        <v>-8.25</v>
      </c>
      <c r="L93" s="15" t="n">
        <v>-8.25</v>
      </c>
      <c r="M93" s="8" t="inlineStr">
        <is>
          <t>east_table</t>
        </is>
      </c>
      <c r="N93" s="8" t="b">
        <v>0</v>
      </c>
      <c r="O93" s="8" t="b">
        <v>1</v>
      </c>
      <c r="P93" s="8" t="n">
        <v>60.61</v>
      </c>
      <c r="Q93" s="16" t="n">
        <v>7</v>
      </c>
      <c r="R93" s="8" t="b">
        <v>0</v>
      </c>
      <c r="S93" s="9" t="inlineStr">
        <is>
          <t>[港口库存]：中国甲醇样本港口库存周数据统计(20240103）</t>
        </is>
      </c>
      <c r="T93" s="9" t="inlineStr">
        <is>
          <t>https://nenghua.m.mysteel.com/a/24072717/A11C9DA76B2CC374_abc.html</t>
        </is>
      </c>
      <c r="U93">
        <f>IF(OR(F93="",G93=""),"",ROUND(F93+G93,2))</f>
        <v/>
      </c>
      <c r="V93">
        <f>IF(U93="","",IF(ABS(U93-E93)&lt;0.05,"一致","差异"))</f>
        <v/>
      </c>
    </row>
    <row r="94">
      <c r="A94" s="8" t="inlineStr">
        <is>
          <t>2024-01-10</t>
        </is>
      </c>
      <c r="B94" s="8" t="n">
        <v>2024</v>
      </c>
      <c r="C94" s="8" t="n">
        <v>2</v>
      </c>
      <c r="D94" s="15" t="n">
        <v>73.04000000000001</v>
      </c>
      <c r="E94" s="15" t="n">
        <v>51.74</v>
      </c>
      <c r="F94" s="15" t="n">
        <v>35.74</v>
      </c>
      <c r="G94" s="15" t="n">
        <v>16</v>
      </c>
      <c r="H94" s="15" t="n">
        <v>13.1</v>
      </c>
      <c r="I94" s="15" t="n">
        <v>8.199999999999999</v>
      </c>
      <c r="J94" s="15" t="n"/>
      <c r="K94" s="15" t="n">
        <v>-9.710000000000001</v>
      </c>
      <c r="L94" s="15" t="n">
        <v>-9.710000000000001</v>
      </c>
      <c r="M94" s="8" t="inlineStr">
        <is>
          <t>east_table</t>
        </is>
      </c>
      <c r="N94" s="8" t="b">
        <v>0</v>
      </c>
      <c r="O94" s="8" t="b">
        <v>1</v>
      </c>
      <c r="P94" s="8" t="n">
        <v>53.67</v>
      </c>
      <c r="Q94" s="16" t="n">
        <v>7</v>
      </c>
      <c r="R94" s="8" t="b">
        <v>0</v>
      </c>
      <c r="S94" s="9" t="inlineStr">
        <is>
          <t>[港口库存]：中国甲醇样本港口库存周数据统计(20240110）</t>
        </is>
      </c>
      <c r="T94" s="9" t="inlineStr">
        <is>
          <t>https://nenghua.m.mysteel.com/a/24072716/C38132C4695FBD76_abc.html</t>
        </is>
      </c>
      <c r="U94">
        <f>IF(OR(F94="",G94=""),"",ROUND(F94+G94,2))</f>
        <v/>
      </c>
      <c r="V94">
        <f>IF(U94="","",IF(ABS(U94-E94)&lt;0.05,"一致","差异"))</f>
        <v/>
      </c>
    </row>
    <row r="95">
      <c r="A95" s="8" t="inlineStr">
        <is>
          <t>2024-01-17</t>
        </is>
      </c>
      <c r="B95" s="8" t="n">
        <v>2024</v>
      </c>
      <c r="C95" s="8" t="n">
        <v>3</v>
      </c>
      <c r="D95" s="15" t="n">
        <v>78.14</v>
      </c>
      <c r="E95" s="15" t="n">
        <v>56.6</v>
      </c>
      <c r="F95" s="15" t="n">
        <v>36.3</v>
      </c>
      <c r="G95" s="15" t="n">
        <v>20.3</v>
      </c>
      <c r="H95" s="15" t="n">
        <v>12.3</v>
      </c>
      <c r="I95" s="15" t="n">
        <v>9.24</v>
      </c>
      <c r="J95" s="15" t="n">
        <v>4.86</v>
      </c>
      <c r="K95" s="15" t="n">
        <v>4.86</v>
      </c>
      <c r="L95" s="15" t="n">
        <v>4.86</v>
      </c>
      <c r="M95" s="8" t="inlineStr">
        <is>
          <t>east_table</t>
        </is>
      </c>
      <c r="N95" s="8" t="b">
        <v>1</v>
      </c>
      <c r="O95" s="8" t="b">
        <v>1</v>
      </c>
      <c r="P95" s="8" t="n">
        <v>57.42</v>
      </c>
      <c r="Q95" s="16" t="n">
        <v>7</v>
      </c>
      <c r="R95" s="8" t="b">
        <v>0</v>
      </c>
      <c r="S95" s="9" t="inlineStr">
        <is>
          <t>[港口库存]：中国甲醇样本港口库存周数据统计(20240117）</t>
        </is>
      </c>
      <c r="T95" s="9" t="inlineStr">
        <is>
          <t>https://nenghua.m.mysteel.com/a/24072716/AB0CF0FADC126C57_abc.html</t>
        </is>
      </c>
      <c r="U95">
        <f>IF(OR(F95="",G95=""),"",ROUND(F95+G95,2))</f>
        <v/>
      </c>
      <c r="V95">
        <f>IF(U95="","",IF(ABS(U95-E95)&lt;0.05,"一致","差异"))</f>
        <v/>
      </c>
    </row>
    <row r="96">
      <c r="A96" s="8" t="inlineStr">
        <is>
          <t>2024-01-24</t>
        </is>
      </c>
      <c r="B96" s="8" t="n">
        <v>2024</v>
      </c>
      <c r="C96" s="8" t="n">
        <v>4</v>
      </c>
      <c r="D96" s="15" t="n">
        <v>78.67</v>
      </c>
      <c r="E96" s="15" t="n">
        <v>57.8</v>
      </c>
      <c r="F96" s="15" t="n">
        <v>33.75</v>
      </c>
      <c r="G96" s="15" t="n">
        <v>24.05</v>
      </c>
      <c r="H96" s="15" t="n">
        <v>10.22</v>
      </c>
      <c r="I96" s="15" t="n">
        <v>10.65</v>
      </c>
      <c r="J96" s="15" t="n">
        <v>1.2</v>
      </c>
      <c r="K96" s="15" t="n">
        <v>1.2</v>
      </c>
      <c r="L96" s="15" t="n">
        <v>1.2</v>
      </c>
      <c r="M96" s="8" t="inlineStr">
        <is>
          <t>east_table</t>
        </is>
      </c>
      <c r="N96" s="8" t="b">
        <v>1</v>
      </c>
      <c r="O96" s="8" t="b">
        <v>1</v>
      </c>
      <c r="P96" s="8" t="n">
        <v>57.81</v>
      </c>
      <c r="Q96" s="16" t="n">
        <v>7</v>
      </c>
      <c r="R96" s="8" t="b">
        <v>0</v>
      </c>
      <c r="S96" s="9" t="inlineStr">
        <is>
          <t>[港口库存]：中国甲醇样本港口库存周数据统计(20240124）</t>
        </is>
      </c>
      <c r="T96" s="9" t="inlineStr">
        <is>
          <t>https://nenghua.m.mysteel.com/a/24072715/EC11F627679FD35A_abc.html</t>
        </is>
      </c>
      <c r="U96">
        <f>IF(OR(F96="",G96=""),"",ROUND(F96+G96,2))</f>
        <v/>
      </c>
      <c r="V96">
        <f>IF(U96="","",IF(ABS(U96-E96)&lt;0.05,"一致","差异"))</f>
        <v/>
      </c>
    </row>
    <row r="97">
      <c r="A97" s="8" t="inlineStr">
        <is>
          <t>2024-01-31</t>
        </is>
      </c>
      <c r="B97" s="8" t="n">
        <v>2024</v>
      </c>
      <c r="C97" s="8" t="n">
        <v>5</v>
      </c>
      <c r="D97" s="15" t="n">
        <v>80.06</v>
      </c>
      <c r="E97" s="15" t="n">
        <v>61.05</v>
      </c>
      <c r="F97" s="15" t="n">
        <v>39.5</v>
      </c>
      <c r="G97" s="15" t="n">
        <v>21.55</v>
      </c>
      <c r="H97" s="15" t="n">
        <v>9.65</v>
      </c>
      <c r="I97" s="15" t="n">
        <v>9.359999999999999</v>
      </c>
      <c r="J97" s="15" t="n">
        <v>3.25</v>
      </c>
      <c r="K97" s="15" t="n">
        <v>3.25</v>
      </c>
      <c r="L97" s="15" t="n">
        <v>3.25</v>
      </c>
      <c r="M97" s="8" t="inlineStr">
        <is>
          <t>east_table</t>
        </is>
      </c>
      <c r="N97" s="8" t="b">
        <v>1</v>
      </c>
      <c r="O97" s="8" t="b">
        <v>1</v>
      </c>
      <c r="P97" s="8" t="n">
        <v>58.83</v>
      </c>
      <c r="Q97" s="16" t="n">
        <v>7</v>
      </c>
      <c r="R97" s="8" t="b">
        <v>0</v>
      </c>
      <c r="S97" s="9" t="inlineStr">
        <is>
          <t>[港口库存]：中国甲醇样本港口库存周数据统计(20240131）</t>
        </is>
      </c>
      <c r="T97" s="9" t="inlineStr">
        <is>
          <t>https://nenghua.m.mysteel.com/a/24072715/28101951DBDAE608_abc.html</t>
        </is>
      </c>
      <c r="U97">
        <f>IF(OR(F97="",G97=""),"",ROUND(F97+G97,2))</f>
        <v/>
      </c>
      <c r="V97">
        <f>IF(U97="","",IF(ABS(U97-E97)&lt;0.05,"一致","差异"))</f>
        <v/>
      </c>
    </row>
    <row r="98">
      <c r="A98" s="8" t="inlineStr">
        <is>
          <t>2024-02-07</t>
        </is>
      </c>
      <c r="B98" s="8" t="n">
        <v>2024</v>
      </c>
      <c r="C98" s="8" t="n">
        <v>6</v>
      </c>
      <c r="D98" s="15" t="n">
        <v>79</v>
      </c>
      <c r="E98" s="15" t="n">
        <v>57.47</v>
      </c>
      <c r="F98" s="15" t="n">
        <v>33.51</v>
      </c>
      <c r="G98" s="15" t="n">
        <v>23.96</v>
      </c>
      <c r="H98" s="15" t="n">
        <v>11.54</v>
      </c>
      <c r="I98" s="15" t="n">
        <v>9.99</v>
      </c>
      <c r="J98" s="15" t="n">
        <v>-3.58</v>
      </c>
      <c r="K98" s="15" t="n">
        <v>-3.58</v>
      </c>
      <c r="L98" s="15" t="n">
        <v>-3.58</v>
      </c>
      <c r="M98" s="8" t="inlineStr">
        <is>
          <t>east_table</t>
        </is>
      </c>
      <c r="N98" s="8" t="b">
        <v>1</v>
      </c>
      <c r="O98" s="8" t="b">
        <v>1</v>
      </c>
      <c r="P98" s="8" t="n">
        <v>58.05</v>
      </c>
      <c r="Q98" s="16" t="n">
        <v>7</v>
      </c>
      <c r="R98" s="8" t="b">
        <v>0</v>
      </c>
      <c r="S98" s="9" t="inlineStr">
        <is>
          <t>[港口库存]：中国甲醇样本港口库存周数据统计(20240207）</t>
        </is>
      </c>
      <c r="T98" s="9" t="inlineStr">
        <is>
          <t>https://nenghua.m.mysteel.com/a/24072715/C96695273879DB0B_abc.html</t>
        </is>
      </c>
      <c r="U98">
        <f>IF(OR(F98="",G98=""),"",ROUND(F98+G98,2))</f>
        <v/>
      </c>
      <c r="V98">
        <f>IF(U98="","",IF(ABS(U98-E98)&lt;0.05,"一致","差异"))</f>
        <v/>
      </c>
    </row>
    <row r="99">
      <c r="A99" s="8" t="inlineStr">
        <is>
          <t>2024-02-18</t>
        </is>
      </c>
      <c r="B99" s="8" t="n">
        <v>2024</v>
      </c>
      <c r="C99" s="8" t="n">
        <v>7</v>
      </c>
      <c r="D99" s="15" t="n">
        <v>84.54000000000001</v>
      </c>
      <c r="E99" s="15" t="n">
        <v>60.6</v>
      </c>
      <c r="F99" s="15" t="n">
        <v>38.2</v>
      </c>
      <c r="G99" s="15" t="n">
        <v>22.4</v>
      </c>
      <c r="H99" s="15" t="n">
        <v>14.32</v>
      </c>
      <c r="I99" s="15" t="n">
        <v>9.619999999999999</v>
      </c>
      <c r="J99" s="15" t="n">
        <v>3.13</v>
      </c>
      <c r="K99" s="15" t="n">
        <v>3.13</v>
      </c>
      <c r="L99" s="15" t="n">
        <v>3.13</v>
      </c>
      <c r="M99" s="8" t="inlineStr">
        <is>
          <t>east_table</t>
        </is>
      </c>
      <c r="N99" s="8" t="b">
        <v>1</v>
      </c>
      <c r="O99" s="8" t="b">
        <v>1</v>
      </c>
      <c r="P99" s="8" t="n">
        <v>62.12</v>
      </c>
      <c r="Q99" s="16" t="n">
        <v>11</v>
      </c>
      <c r="R99" s="8" t="b">
        <v>0</v>
      </c>
      <c r="S99" s="9" t="inlineStr">
        <is>
          <t>[港口库存]：中国甲醇样本港口库存周数据统计(20240218）</t>
        </is>
      </c>
      <c r="T99" s="9" t="inlineStr">
        <is>
          <t>https://nenghua.m.mysteel.com/a/24072714/BC84FA52C2430259_abc.html</t>
        </is>
      </c>
      <c r="U99">
        <f>IF(OR(F99="",G99=""),"",ROUND(F99+G99,2))</f>
        <v/>
      </c>
      <c r="V99">
        <f>IF(U99="","",IF(ABS(U99-E99)&lt;0.05,"一致","差异"))</f>
        <v/>
      </c>
    </row>
    <row r="100">
      <c r="A100" s="8" t="inlineStr">
        <is>
          <t>2024-02-21</t>
        </is>
      </c>
      <c r="B100" s="8" t="n">
        <v>2024</v>
      </c>
      <c r="C100" s="8" t="n">
        <v>8</v>
      </c>
      <c r="D100" s="15" t="n">
        <v>81.48</v>
      </c>
      <c r="E100" s="15" t="n">
        <v>55.85</v>
      </c>
      <c r="F100" s="15" t="n">
        <v>36.45</v>
      </c>
      <c r="G100" s="15" t="n">
        <v>19.4</v>
      </c>
      <c r="H100" s="15" t="n">
        <v>16.3</v>
      </c>
      <c r="I100" s="15" t="n">
        <v>9.33</v>
      </c>
      <c r="J100" s="15" t="n">
        <v>-4.75</v>
      </c>
      <c r="K100" s="15" t="n">
        <v>-4.75</v>
      </c>
      <c r="L100" s="15" t="n">
        <v>-4.75</v>
      </c>
      <c r="M100" s="8" t="inlineStr">
        <is>
          <t>east_table</t>
        </is>
      </c>
      <c r="N100" s="8" t="b">
        <v>1</v>
      </c>
      <c r="O100" s="8" t="b">
        <v>1</v>
      </c>
      <c r="P100" s="8" t="n">
        <v>59.87</v>
      </c>
      <c r="Q100" s="16" t="n">
        <v>3</v>
      </c>
      <c r="R100" s="8" t="b">
        <v>0</v>
      </c>
      <c r="S100" s="9" t="inlineStr">
        <is>
          <t>[港口库存]：中国甲醇样本港口库存周数据统计(20240221）</t>
        </is>
      </c>
      <c r="T100" s="9" t="inlineStr">
        <is>
          <t>https://nenghua.m.mysteel.com/a/24072714/485F5D2DC5F81E55_abc.html</t>
        </is>
      </c>
      <c r="U100">
        <f>IF(OR(F100="",G100=""),"",ROUND(F100+G100,2))</f>
        <v/>
      </c>
      <c r="V100">
        <f>IF(U100="","",IF(ABS(U100-E100)&lt;0.05,"一致","差异"))</f>
        <v/>
      </c>
    </row>
    <row r="101">
      <c r="A101" s="8" t="inlineStr">
        <is>
          <t>2024-02-28</t>
        </is>
      </c>
      <c r="B101" s="8" t="n">
        <v>2024</v>
      </c>
      <c r="C101" s="8" t="n">
        <v>9</v>
      </c>
      <c r="D101" s="15" t="n">
        <v>76.05</v>
      </c>
      <c r="E101" s="15" t="n">
        <v>52.55</v>
      </c>
      <c r="F101" s="15" t="n">
        <v>35.05</v>
      </c>
      <c r="G101" s="15" t="n">
        <v>17.5</v>
      </c>
      <c r="H101" s="15" t="n">
        <v>15.18</v>
      </c>
      <c r="I101" s="15" t="n">
        <v>8.32</v>
      </c>
      <c r="J101" s="15" t="n">
        <v>-3.3</v>
      </c>
      <c r="K101" s="15" t="n">
        <v>-3.3</v>
      </c>
      <c r="L101" s="15" t="n">
        <v>-3.3</v>
      </c>
      <c r="M101" s="8" t="inlineStr">
        <is>
          <t>east_table</t>
        </is>
      </c>
      <c r="N101" s="8" t="b">
        <v>1</v>
      </c>
      <c r="O101" s="8" t="b">
        <v>1</v>
      </c>
      <c r="P101" s="8" t="n">
        <v>55.88</v>
      </c>
      <c r="Q101" s="16" t="n">
        <v>7</v>
      </c>
      <c r="R101" s="8" t="b">
        <v>0</v>
      </c>
      <c r="S101" s="9" t="inlineStr">
        <is>
          <t>[港口库存]：中国甲醇样本港口库存周数据统计(20240228）</t>
        </is>
      </c>
      <c r="T101" s="9" t="inlineStr">
        <is>
          <t>https://nenghua.m.mysteel.com/a/24072714/91108C2921F5E58A_abc.html</t>
        </is>
      </c>
      <c r="U101">
        <f>IF(OR(F101="",G101=""),"",ROUND(F101+G101,2))</f>
        <v/>
      </c>
      <c r="V101">
        <f>IF(U101="","",IF(ABS(U101-E101)&lt;0.05,"一致","差异"))</f>
        <v/>
      </c>
    </row>
    <row r="102">
      <c r="A102" s="8" t="inlineStr">
        <is>
          <t>2024-03-06</t>
        </is>
      </c>
      <c r="B102" s="8" t="n">
        <v>2024</v>
      </c>
      <c r="C102" s="8" t="n">
        <v>10</v>
      </c>
      <c r="D102" s="15" t="n">
        <v>71.78</v>
      </c>
      <c r="E102" s="15" t="n">
        <v>49.7</v>
      </c>
      <c r="F102" s="15" t="n">
        <v>31.4</v>
      </c>
      <c r="G102" s="15" t="n">
        <v>18.3</v>
      </c>
      <c r="H102" s="15" t="n">
        <v>12.9</v>
      </c>
      <c r="I102" s="15" t="n">
        <v>9.18</v>
      </c>
      <c r="J102" s="15" t="n">
        <v>-2.85</v>
      </c>
      <c r="K102" s="15" t="n">
        <v>-2.85</v>
      </c>
      <c r="L102" s="15" t="n">
        <v>-2.85</v>
      </c>
      <c r="M102" s="8" t="inlineStr">
        <is>
          <t>east_table</t>
        </is>
      </c>
      <c r="N102" s="8" t="b">
        <v>1</v>
      </c>
      <c r="O102" s="8" t="b">
        <v>1</v>
      </c>
      <c r="P102" s="8" t="n">
        <v>52.74</v>
      </c>
      <c r="Q102" s="16" t="n">
        <v>7</v>
      </c>
      <c r="R102" s="8" t="b">
        <v>0</v>
      </c>
      <c r="S102" s="9" t="inlineStr">
        <is>
          <t>[港口库存]：中国甲醇样本港口库存周数据统计(20240306）</t>
        </is>
      </c>
      <c r="T102" s="9" t="inlineStr">
        <is>
          <t>https://nenghua.m.mysteel.com/a/24072714/BBE088C4ADC469AD_abc.html</t>
        </is>
      </c>
      <c r="U102">
        <f>IF(OR(F102="",G102=""),"",ROUND(F102+G102,2))</f>
        <v/>
      </c>
      <c r="V102">
        <f>IF(U102="","",IF(ABS(U102-E102)&lt;0.05,"一致","差异"))</f>
        <v/>
      </c>
    </row>
    <row r="103">
      <c r="A103" s="8" t="inlineStr">
        <is>
          <t>2024-03-13</t>
        </is>
      </c>
      <c r="B103" s="8" t="n">
        <v>2024</v>
      </c>
      <c r="C103" s="8" t="n">
        <v>11</v>
      </c>
      <c r="D103" s="15" t="n">
        <v>73.5</v>
      </c>
      <c r="E103" s="15" t="n">
        <v>52.8</v>
      </c>
      <c r="F103" s="15" t="n">
        <v>28.5</v>
      </c>
      <c r="G103" s="15" t="n">
        <v>24.3</v>
      </c>
      <c r="H103" s="15" t="n">
        <v>12.4</v>
      </c>
      <c r="I103" s="15" t="n">
        <v>8.300000000000001</v>
      </c>
      <c r="J103" s="15" t="n">
        <v>3.1</v>
      </c>
      <c r="K103" s="15" t="n">
        <v>3.1</v>
      </c>
      <c r="L103" s="15" t="n">
        <v>3.1</v>
      </c>
      <c r="M103" s="8" t="inlineStr">
        <is>
          <t>east_table</t>
        </is>
      </c>
      <c r="N103" s="8" t="b">
        <v>1</v>
      </c>
      <c r="O103" s="8" t="b">
        <v>1</v>
      </c>
      <c r="P103" s="8" t="n">
        <v>54.01</v>
      </c>
      <c r="Q103" s="16" t="n">
        <v>7</v>
      </c>
      <c r="R103" s="8" t="b">
        <v>0</v>
      </c>
      <c r="S103" s="9" t="inlineStr">
        <is>
          <t>[港口库存]：中国甲醇样本港口库存周数据统计(20240313）</t>
        </is>
      </c>
      <c r="T103" s="9" t="inlineStr">
        <is>
          <t>https://nenghua.m.mysteel.com/a/24072713/9F6F52BFC80A9E4A_abc.html</t>
        </is>
      </c>
      <c r="U103">
        <f>IF(OR(F103="",G103=""),"",ROUND(F103+G103,2))</f>
        <v/>
      </c>
      <c r="V103">
        <f>IF(U103="","",IF(ABS(U103-E103)&lt;0.05,"一致","差异"))</f>
        <v/>
      </c>
    </row>
    <row r="104">
      <c r="A104" s="8" t="inlineStr">
        <is>
          <t>2024-03-20</t>
        </is>
      </c>
      <c r="B104" s="8" t="n">
        <v>2024</v>
      </c>
      <c r="C104" s="8" t="n">
        <v>12</v>
      </c>
      <c r="D104" s="15" t="n">
        <v>67.61</v>
      </c>
      <c r="E104" s="15" t="n">
        <v>49.2</v>
      </c>
      <c r="F104" s="15" t="n">
        <v>27.8</v>
      </c>
      <c r="G104" s="15" t="n">
        <v>21.4</v>
      </c>
      <c r="H104" s="15" t="n">
        <v>11</v>
      </c>
      <c r="I104" s="15" t="n">
        <v>7.41</v>
      </c>
      <c r="J104" s="15" t="n">
        <v>-3.6</v>
      </c>
      <c r="K104" s="15" t="n">
        <v>-3.6</v>
      </c>
      <c r="L104" s="15" t="n">
        <v>-3.6</v>
      </c>
      <c r="M104" s="8" t="inlineStr">
        <is>
          <t>east_table</t>
        </is>
      </c>
      <c r="N104" s="8" t="b">
        <v>1</v>
      </c>
      <c r="O104" s="8" t="b">
        <v>1</v>
      </c>
      <c r="P104" s="8" t="n">
        <v>49.68</v>
      </c>
      <c r="Q104" s="16" t="n">
        <v>7</v>
      </c>
      <c r="R104" s="8" t="b">
        <v>0</v>
      </c>
      <c r="S104" s="9" t="inlineStr">
        <is>
          <t>[港口库存]：中国甲醇样本港口库存周数据统计(20240320）</t>
        </is>
      </c>
      <c r="T104" s="9" t="inlineStr">
        <is>
          <t>https://nenghua.m.mysteel.com/a/24072713/F7DF73042A6C782D_abc.html</t>
        </is>
      </c>
      <c r="U104">
        <f>IF(OR(F104="",G104=""),"",ROUND(F104+G104,2))</f>
        <v/>
      </c>
      <c r="V104">
        <f>IF(U104="","",IF(ABS(U104-E104)&lt;0.05,"一致","差异"))</f>
        <v/>
      </c>
    </row>
    <row r="105">
      <c r="A105" s="8" t="inlineStr">
        <is>
          <t>2024-03-27</t>
        </is>
      </c>
      <c r="B105" s="8" t="n">
        <v>2024</v>
      </c>
      <c r="C105" s="8" t="n">
        <v>13</v>
      </c>
      <c r="D105" s="15" t="n">
        <v>52.82</v>
      </c>
      <c r="E105" s="15" t="n">
        <v>35.82</v>
      </c>
      <c r="F105" s="15" t="n">
        <v>20.42</v>
      </c>
      <c r="G105" s="15" t="n">
        <v>15.4</v>
      </c>
      <c r="H105" s="15" t="n">
        <v>10.2</v>
      </c>
      <c r="I105" s="15" t="n">
        <v>6.8</v>
      </c>
      <c r="J105" s="15" t="n">
        <v>-13.38</v>
      </c>
      <c r="K105" s="15" t="n">
        <v>-13.38</v>
      </c>
      <c r="L105" s="15" t="n">
        <v>-13.38</v>
      </c>
      <c r="M105" s="8" t="inlineStr">
        <is>
          <t>east_table</t>
        </is>
      </c>
      <c r="N105" s="8" t="b">
        <v>1</v>
      </c>
      <c r="O105" s="8" t="b">
        <v>1</v>
      </c>
      <c r="P105" s="8" t="n">
        <v>38.81</v>
      </c>
      <c r="Q105" s="16" t="n">
        <v>7</v>
      </c>
      <c r="R105" s="8" t="b">
        <v>0</v>
      </c>
      <c r="S105" s="9" t="inlineStr">
        <is>
          <t>[港口库存]：中国甲醇样本港口库存周数据统计(20240327）</t>
        </is>
      </c>
      <c r="T105" s="9" t="inlineStr">
        <is>
          <t>https://nenghua.m.mysteel.com/a/24072713/8282B196040B1EE3_abc.html</t>
        </is>
      </c>
      <c r="U105">
        <f>IF(OR(F105="",G105=""),"",ROUND(F105+G105,2))</f>
        <v/>
      </c>
      <c r="V105">
        <f>IF(U105="","",IF(ABS(U105-E105)&lt;0.05,"一致","差异"))</f>
        <v/>
      </c>
    </row>
    <row r="106">
      <c r="A106" s="8" t="inlineStr">
        <is>
          <t>2024-04-03</t>
        </is>
      </c>
      <c r="B106" s="8" t="n">
        <v>2024</v>
      </c>
      <c r="C106" s="8" t="n">
        <v>14</v>
      </c>
      <c r="D106" s="15" t="n">
        <v>62.44</v>
      </c>
      <c r="E106" s="15" t="n">
        <v>45.6</v>
      </c>
      <c r="F106" s="15" t="n">
        <v>26.8</v>
      </c>
      <c r="G106" s="15" t="n">
        <v>18.8</v>
      </c>
      <c r="H106" s="15" t="n">
        <v>10.9</v>
      </c>
      <c r="I106" s="15" t="n">
        <v>5.94</v>
      </c>
      <c r="J106" s="15" t="n">
        <v>9.779999999999999</v>
      </c>
      <c r="K106" s="15" t="n">
        <v>9.779999999999999</v>
      </c>
      <c r="L106" s="15" t="n">
        <v>9.779999999999999</v>
      </c>
      <c r="M106" s="8" t="inlineStr">
        <is>
          <t>east_table</t>
        </is>
      </c>
      <c r="N106" s="8" t="b">
        <v>1</v>
      </c>
      <c r="O106" s="8" t="b">
        <v>1</v>
      </c>
      <c r="P106" s="8" t="n">
        <v>45.88</v>
      </c>
      <c r="Q106" s="16" t="n">
        <v>7</v>
      </c>
      <c r="R106" s="8" t="b">
        <v>0</v>
      </c>
      <c r="S106" s="9" t="inlineStr">
        <is>
          <t>[港口库存]：中国甲醇样本港口库存周数据统计(20240403）</t>
        </is>
      </c>
      <c r="T106" s="9" t="inlineStr">
        <is>
          <t>https://nenghua.m.mysteel.com/a/24072712/76E7A42C608C5EFE_abc.html</t>
        </is>
      </c>
      <c r="U106">
        <f>IF(OR(F106="",G106=""),"",ROUND(F106+G106,2))</f>
        <v/>
      </c>
      <c r="V106">
        <f>IF(U106="","",IF(ABS(U106-E106)&lt;0.05,"一致","差异"))</f>
        <v/>
      </c>
    </row>
    <row r="107">
      <c r="A107" s="8" t="inlineStr">
        <is>
          <t>2024-04-10</t>
        </is>
      </c>
      <c r="B107" s="8" t="n">
        <v>2024</v>
      </c>
      <c r="C107" s="8" t="n">
        <v>15</v>
      </c>
      <c r="D107" s="15" t="n">
        <v>63.71</v>
      </c>
      <c r="E107" s="15" t="n">
        <v>47.9</v>
      </c>
      <c r="F107" s="15" t="n">
        <v>28</v>
      </c>
      <c r="G107" s="15" t="n">
        <v>19.9</v>
      </c>
      <c r="H107" s="15" t="n">
        <v>10.2</v>
      </c>
      <c r="I107" s="15" t="n">
        <v>5.61</v>
      </c>
      <c r="J107" s="15" t="n">
        <v>2.3</v>
      </c>
      <c r="K107" s="15" t="n">
        <v>2.3</v>
      </c>
      <c r="L107" s="15" t="n">
        <v>2.3</v>
      </c>
      <c r="M107" s="8" t="inlineStr">
        <is>
          <t>east_table</t>
        </is>
      </c>
      <c r="N107" s="8" t="b">
        <v>1</v>
      </c>
      <c r="O107" s="8" t="b">
        <v>1</v>
      </c>
      <c r="P107" s="8" t="n">
        <v>46.81</v>
      </c>
      <c r="Q107" s="16" t="n">
        <v>7</v>
      </c>
      <c r="R107" s="8" t="b">
        <v>0</v>
      </c>
      <c r="S107" s="9" t="inlineStr">
        <is>
          <t>[港口库存]：中国甲醇样本港口库存周数据统计(20240410）</t>
        </is>
      </c>
      <c r="T107" s="9" t="inlineStr">
        <is>
          <t>https://nenghua.m.mysteel.com/a/24072712/1F47994264946AEF_abc.html</t>
        </is>
      </c>
      <c r="U107">
        <f>IF(OR(F107="",G107=""),"",ROUND(F107+G107,2))</f>
        <v/>
      </c>
      <c r="V107">
        <f>IF(U107="","",IF(ABS(U107-E107)&lt;0.05,"一致","差异"))</f>
        <v/>
      </c>
    </row>
    <row r="108">
      <c r="A108" s="8" t="inlineStr">
        <is>
          <t>2024-04-17</t>
        </is>
      </c>
      <c r="B108" s="8" t="n">
        <v>2024</v>
      </c>
      <c r="C108" s="8" t="n">
        <v>16</v>
      </c>
      <c r="D108" s="15" t="n">
        <v>67.79000000000001</v>
      </c>
      <c r="E108" s="15" t="n">
        <v>52.4</v>
      </c>
      <c r="F108" s="15" t="n">
        <v>33.7</v>
      </c>
      <c r="G108" s="15" t="n">
        <v>18.7</v>
      </c>
      <c r="H108" s="15" t="n">
        <v>8.25</v>
      </c>
      <c r="I108" s="15" t="n">
        <v>7.14</v>
      </c>
      <c r="J108" s="15" t="n">
        <v>4.5</v>
      </c>
      <c r="K108" s="15" t="n">
        <v>4.5</v>
      </c>
      <c r="L108" s="15" t="n">
        <v>4.5</v>
      </c>
      <c r="M108" s="8" t="inlineStr">
        <is>
          <t>east_table</t>
        </is>
      </c>
      <c r="N108" s="8" t="b">
        <v>1</v>
      </c>
      <c r="O108" s="8" t="b">
        <v>1</v>
      </c>
      <c r="P108" s="8" t="n">
        <v>49.81</v>
      </c>
      <c r="Q108" s="16" t="n">
        <v>7</v>
      </c>
      <c r="R108" s="8" t="b">
        <v>0</v>
      </c>
      <c r="S108" s="9" t="inlineStr">
        <is>
          <t>[港口库存]：中国甲醇样本港口库存周数据统计(20240417）</t>
        </is>
      </c>
      <c r="T108" s="9" t="inlineStr">
        <is>
          <t>https://nenghua.m.mysteel.com/a/24072712/EDB4891765A006E8_abc.html</t>
        </is>
      </c>
      <c r="U108">
        <f>IF(OR(F108="",G108=""),"",ROUND(F108+G108,2))</f>
        <v/>
      </c>
      <c r="V108">
        <f>IF(U108="","",IF(ABS(U108-E108)&lt;0.05,"一致","差异"))</f>
        <v/>
      </c>
    </row>
    <row r="109">
      <c r="A109" s="8" t="inlineStr">
        <is>
          <t>2024-04-24</t>
        </is>
      </c>
      <c r="B109" s="8" t="n">
        <v>2024</v>
      </c>
      <c r="C109" s="8" t="n">
        <v>17</v>
      </c>
      <c r="D109" s="15" t="n">
        <v>64.73999999999999</v>
      </c>
      <c r="E109" s="15" t="n">
        <v>49.83</v>
      </c>
      <c r="F109" s="15" t="n">
        <v>34.13</v>
      </c>
      <c r="G109" s="15" t="n">
        <v>15.7</v>
      </c>
      <c r="H109" s="15" t="n">
        <v>9</v>
      </c>
      <c r="I109" s="15" t="n">
        <v>5.91</v>
      </c>
      <c r="J109" s="15" t="n">
        <v>-2.57</v>
      </c>
      <c r="K109" s="15" t="n">
        <v>-2.57</v>
      </c>
      <c r="L109" s="15" t="n">
        <v>-2.57</v>
      </c>
      <c r="M109" s="8" t="inlineStr">
        <is>
          <t>east_table</t>
        </is>
      </c>
      <c r="N109" s="8" t="b">
        <v>1</v>
      </c>
      <c r="O109" s="8" t="b">
        <v>1</v>
      </c>
      <c r="P109" s="8" t="n">
        <v>47.57</v>
      </c>
      <c r="Q109" s="16" t="n">
        <v>7</v>
      </c>
      <c r="R109" s="8" t="b">
        <v>0</v>
      </c>
      <c r="S109" s="9" t="inlineStr">
        <is>
          <t>[港口库存]：中国甲醇样本港口库存周数据统计(20240424）</t>
        </is>
      </c>
      <c r="T109" s="9" t="inlineStr">
        <is>
          <t>https://nenghua.m.mysteel.com/a/24072711/593DD00A6CF0C7DD_abc.html</t>
        </is>
      </c>
      <c r="U109">
        <f>IF(OR(F109="",G109=""),"",ROUND(F109+G109,2))</f>
        <v/>
      </c>
      <c r="V109">
        <f>IF(U109="","",IF(ABS(U109-E109)&lt;0.05,"一致","差异"))</f>
        <v/>
      </c>
    </row>
    <row r="110">
      <c r="A110" s="8" t="inlineStr">
        <is>
          <t>2024-04-30</t>
        </is>
      </c>
      <c r="B110" s="8" t="n">
        <v>2024</v>
      </c>
      <c r="C110" s="8" t="n">
        <v>18</v>
      </c>
      <c r="D110" s="15" t="n">
        <v>62.73</v>
      </c>
      <c r="E110" s="15" t="n">
        <v>48.9</v>
      </c>
      <c r="F110" s="15" t="n">
        <v>33.7</v>
      </c>
      <c r="G110" s="15" t="n">
        <v>15.2</v>
      </c>
      <c r="H110" s="15" t="n">
        <v>7.3</v>
      </c>
      <c r="I110" s="15" t="n">
        <v>6.53</v>
      </c>
      <c r="J110" s="15" t="n">
        <v>-0.93</v>
      </c>
      <c r="K110" s="15" t="n">
        <v>-0.93</v>
      </c>
      <c r="L110" s="15" t="n">
        <v>-0.93</v>
      </c>
      <c r="M110" s="8" t="inlineStr">
        <is>
          <t>east_table</t>
        </is>
      </c>
      <c r="N110" s="8" t="b">
        <v>1</v>
      </c>
      <c r="O110" s="8" t="b">
        <v>1</v>
      </c>
      <c r="P110" s="8" t="n">
        <v>46.09</v>
      </c>
      <c r="Q110" s="16" t="n">
        <v>6</v>
      </c>
      <c r="R110" s="8" t="b">
        <v>0</v>
      </c>
      <c r="S110" s="9" t="inlineStr">
        <is>
          <t>[港口库存]：中国甲醇样本港口库存周数据统计(20240430）</t>
        </is>
      </c>
      <c r="T110" s="9" t="inlineStr">
        <is>
          <t>https://nenghua.m.mysteel.com/a/24072711/39649484E932324E_abc.html</t>
        </is>
      </c>
      <c r="U110">
        <f>IF(OR(F110="",G110=""),"",ROUND(F110+G110,2))</f>
        <v/>
      </c>
      <c r="V110">
        <f>IF(U110="","",IF(ABS(U110-E110)&lt;0.05,"一致","差异"))</f>
        <v/>
      </c>
    </row>
    <row r="111">
      <c r="A111" s="8" t="inlineStr">
        <is>
          <t>2024-05-08</t>
        </is>
      </c>
      <c r="B111" s="8" t="n">
        <v>2024</v>
      </c>
      <c r="C111" s="8" t="n">
        <v>19</v>
      </c>
      <c r="D111" s="15" t="n">
        <v>64.23</v>
      </c>
      <c r="E111" s="15" t="n">
        <v>50.9</v>
      </c>
      <c r="F111" s="15" t="n">
        <v>34.7</v>
      </c>
      <c r="G111" s="15" t="n">
        <v>16.2</v>
      </c>
      <c r="H111" s="15" t="n">
        <v>8.6</v>
      </c>
      <c r="I111" s="15" t="n">
        <v>4.73</v>
      </c>
      <c r="J111" s="15" t="n">
        <v>2</v>
      </c>
      <c r="K111" s="15" t="n">
        <v>2</v>
      </c>
      <c r="L111" s="15" t="n">
        <v>2</v>
      </c>
      <c r="M111" s="8" t="inlineStr">
        <is>
          <t>east_table</t>
        </is>
      </c>
      <c r="N111" s="8" t="b">
        <v>1</v>
      </c>
      <c r="O111" s="8" t="b">
        <v>1</v>
      </c>
      <c r="P111" s="8" t="n">
        <v>47.2</v>
      </c>
      <c r="Q111" s="16" t="n">
        <v>8</v>
      </c>
      <c r="R111" s="8" t="b">
        <v>0</v>
      </c>
      <c r="S111" s="9" t="inlineStr">
        <is>
          <t>[港口库存]：中国甲醇样本港口库存周数据统计(20240508）</t>
        </is>
      </c>
      <c r="T111" s="9" t="inlineStr">
        <is>
          <t>https://nenghua.m.mysteel.com/a/24070420/27E7AE784D4DA8BD_abc.html</t>
        </is>
      </c>
      <c r="U111">
        <f>IF(OR(F111="",G111=""),"",ROUND(F111+G111,2))</f>
        <v/>
      </c>
      <c r="V111">
        <f>IF(U111="","",IF(ABS(U111-E111)&lt;0.05,"一致","差异"))</f>
        <v/>
      </c>
    </row>
    <row r="112">
      <c r="A112" s="8" t="inlineStr">
        <is>
          <t>2024-05-15</t>
        </is>
      </c>
      <c r="B112" s="8" t="n">
        <v>2024</v>
      </c>
      <c r="C112" s="8" t="n">
        <v>20</v>
      </c>
      <c r="D112" s="15" t="n">
        <v>55.87</v>
      </c>
      <c r="E112" s="15" t="n">
        <v>44.75</v>
      </c>
      <c r="F112" s="15" t="n">
        <v>31.15</v>
      </c>
      <c r="G112" s="15" t="n">
        <v>13.6</v>
      </c>
      <c r="H112" s="15" t="n">
        <v>6.1</v>
      </c>
      <c r="I112" s="15" t="n">
        <v>5.02</v>
      </c>
      <c r="J112" s="15" t="n">
        <v>-6.15</v>
      </c>
      <c r="K112" s="15" t="n">
        <v>-6.15</v>
      </c>
      <c r="L112" s="15" t="n">
        <v>-6.15</v>
      </c>
      <c r="M112" s="8" t="inlineStr">
        <is>
          <t>east_table</t>
        </is>
      </c>
      <c r="N112" s="8" t="b">
        <v>1</v>
      </c>
      <c r="O112" s="8" t="b">
        <v>1</v>
      </c>
      <c r="P112" s="8" t="n">
        <v>41.05</v>
      </c>
      <c r="Q112" s="16" t="n">
        <v>7</v>
      </c>
      <c r="R112" s="8" t="b">
        <v>0</v>
      </c>
      <c r="S112" s="9" t="inlineStr">
        <is>
          <t>[港口库存]：中国甲醇样本港口库存周数据统计(20240515）</t>
        </is>
      </c>
      <c r="T112" s="9" t="inlineStr">
        <is>
          <t>https://nenghua.m.mysteel.com/a/24070420/02AAF84843656A09_abc.html</t>
        </is>
      </c>
      <c r="U112">
        <f>IF(OR(F112="",G112=""),"",ROUND(F112+G112,2))</f>
        <v/>
      </c>
      <c r="V112">
        <f>IF(U112="","",IF(ABS(U112-E112)&lt;0.05,"一致","差异"))</f>
        <v/>
      </c>
    </row>
    <row r="113">
      <c r="A113" s="8" t="inlineStr">
        <is>
          <t>2024-05-22</t>
        </is>
      </c>
      <c r="B113" s="8" t="n">
        <v>2024</v>
      </c>
      <c r="C113" s="8" t="n">
        <v>21</v>
      </c>
      <c r="D113" s="15" t="n">
        <v>58.82</v>
      </c>
      <c r="E113" s="15" t="n">
        <v>48.7</v>
      </c>
      <c r="F113" s="15" t="n">
        <v>31.2</v>
      </c>
      <c r="G113" s="15" t="n">
        <v>17.5</v>
      </c>
      <c r="H113" s="15" t="n">
        <v>5.75</v>
      </c>
      <c r="I113" s="15" t="n">
        <v>4.37</v>
      </c>
      <c r="J113" s="15" t="n">
        <v>3.95</v>
      </c>
      <c r="K113" s="15" t="n">
        <v>3.95</v>
      </c>
      <c r="L113" s="15" t="n">
        <v>3.95</v>
      </c>
      <c r="M113" s="8" t="inlineStr">
        <is>
          <t>east_table</t>
        </is>
      </c>
      <c r="N113" s="8" t="b">
        <v>1</v>
      </c>
      <c r="O113" s="8" t="b">
        <v>1</v>
      </c>
      <c r="P113" s="8" t="n">
        <v>43.22</v>
      </c>
      <c r="Q113" s="16" t="n">
        <v>7</v>
      </c>
      <c r="R113" s="8" t="b">
        <v>0</v>
      </c>
      <c r="S113" s="9" t="inlineStr">
        <is>
          <t>[港口库存]：中国甲醇样本港口库存周数据统计(20240522）</t>
        </is>
      </c>
      <c r="T113" s="9" t="inlineStr">
        <is>
          <t>https://nenghua.m.mysteel.com/a/24070420/4860D6435C1E68C3_abc.html</t>
        </is>
      </c>
      <c r="U113">
        <f>IF(OR(F113="",G113=""),"",ROUND(F113+G113,2))</f>
        <v/>
      </c>
      <c r="V113">
        <f>IF(U113="","",IF(ABS(U113-E113)&lt;0.05,"一致","差异"))</f>
        <v/>
      </c>
    </row>
    <row r="114">
      <c r="A114" s="8" t="inlineStr">
        <is>
          <t>2024-05-29</t>
        </is>
      </c>
      <c r="B114" s="8" t="n">
        <v>2024</v>
      </c>
      <c r="C114" s="8" t="n">
        <v>22</v>
      </c>
      <c r="D114" s="15" t="n">
        <v>61.44</v>
      </c>
      <c r="E114" s="15" t="n">
        <v>46.7</v>
      </c>
      <c r="F114" s="15" t="n">
        <v>28.1</v>
      </c>
      <c r="G114" s="15" t="n">
        <v>18.6</v>
      </c>
      <c r="H114" s="15" t="n">
        <v>8.699999999999999</v>
      </c>
      <c r="I114" s="15" t="n">
        <v>6.04</v>
      </c>
      <c r="J114" s="15" t="n"/>
      <c r="K114" s="15" t="n">
        <v>-2</v>
      </c>
      <c r="L114" s="15" t="n">
        <v>-2</v>
      </c>
      <c r="M114" s="8" t="inlineStr">
        <is>
          <t>east_table</t>
        </is>
      </c>
      <c r="N114" s="8" t="b">
        <v>0</v>
      </c>
      <c r="O114" s="8" t="b">
        <v>1</v>
      </c>
      <c r="P114" s="8" t="n">
        <v>45.15</v>
      </c>
      <c r="Q114" s="16" t="n">
        <v>7</v>
      </c>
      <c r="R114" s="8" t="b">
        <v>0</v>
      </c>
      <c r="S114" s="9" t="inlineStr">
        <is>
          <t>[港口库存]：中国甲醇样本港口库存周数据统计(20240529）</t>
        </is>
      </c>
      <c r="T114" s="9" t="inlineStr">
        <is>
          <t>https://nenghua.m.mysteel.com/a/24070420/4DD6C1AFAE0C99D0_abc.html</t>
        </is>
      </c>
      <c r="U114">
        <f>IF(OR(F114="",G114=""),"",ROUND(F114+G114,2))</f>
        <v/>
      </c>
      <c r="V114">
        <f>IF(U114="","",IF(ABS(U114-E114)&lt;0.05,"一致","差异"))</f>
        <v/>
      </c>
    </row>
    <row r="115">
      <c r="A115" s="8" t="inlineStr">
        <is>
          <t>2024-06-05</t>
        </is>
      </c>
      <c r="B115" s="8" t="n">
        <v>2024</v>
      </c>
      <c r="C115" s="8" t="n">
        <v>23</v>
      </c>
      <c r="D115" s="15" t="n">
        <v>61.8</v>
      </c>
      <c r="E115" s="15" t="n">
        <v>43.5</v>
      </c>
      <c r="F115" s="15" t="n">
        <v>26.4</v>
      </c>
      <c r="G115" s="15" t="n">
        <v>17.1</v>
      </c>
      <c r="H115" s="15" t="n">
        <v>11.4</v>
      </c>
      <c r="I115" s="15" t="n">
        <v>6.9</v>
      </c>
      <c r="J115" s="15" t="n"/>
      <c r="K115" s="15" t="n">
        <v>-3.2</v>
      </c>
      <c r="L115" s="15" t="n">
        <v>-3.2</v>
      </c>
      <c r="M115" s="8" t="inlineStr">
        <is>
          <t>east_table</t>
        </is>
      </c>
      <c r="N115" s="8" t="b">
        <v>0</v>
      </c>
      <c r="O115" s="8" t="b">
        <v>1</v>
      </c>
      <c r="P115" s="8" t="n">
        <v>45.41</v>
      </c>
      <c r="Q115" s="16" t="n">
        <v>7</v>
      </c>
      <c r="R115" s="8" t="b">
        <v>0</v>
      </c>
      <c r="S115" s="9" t="inlineStr">
        <is>
          <t>[港口库存]：中国甲醇样本港口库存周数据统计(20240605）</t>
        </is>
      </c>
      <c r="T115" s="9" t="inlineStr">
        <is>
          <t>https://nenghua.m.mysteel.com/a/24070420/5F42D69A318E0ECB_abc.html</t>
        </is>
      </c>
      <c r="U115">
        <f>IF(OR(F115="",G115=""),"",ROUND(F115+G115,2))</f>
        <v/>
      </c>
      <c r="V115">
        <f>IF(U115="","",IF(ABS(U115-E115)&lt;0.05,"一致","差异"))</f>
        <v/>
      </c>
    </row>
    <row r="116">
      <c r="A116" s="8" t="inlineStr">
        <is>
          <t>2024-06-12</t>
        </is>
      </c>
      <c r="B116" s="8" t="n">
        <v>2024</v>
      </c>
      <c r="C116" s="8" t="n">
        <v>24</v>
      </c>
      <c r="D116" s="15" t="n">
        <v>67.73999999999999</v>
      </c>
      <c r="E116" s="15" t="n">
        <v>50.4</v>
      </c>
      <c r="F116" s="15" t="n">
        <v>34.4</v>
      </c>
      <c r="G116" s="15" t="n">
        <v>16</v>
      </c>
      <c r="H116" s="15" t="n">
        <v>10.45</v>
      </c>
      <c r="I116" s="15" t="n">
        <v>6.89</v>
      </c>
      <c r="J116" s="15" t="n">
        <v>6.9</v>
      </c>
      <c r="K116" s="15" t="n">
        <v>6.9</v>
      </c>
      <c r="L116" s="15" t="n">
        <v>6.9</v>
      </c>
      <c r="M116" s="8" t="inlineStr">
        <is>
          <t>east_table</t>
        </is>
      </c>
      <c r="N116" s="8" t="b">
        <v>1</v>
      </c>
      <c r="O116" s="8" t="b">
        <v>1</v>
      </c>
      <c r="P116" s="8" t="n">
        <v>49.77</v>
      </c>
      <c r="Q116" s="16" t="n">
        <v>7</v>
      </c>
      <c r="R116" s="8" t="b">
        <v>0</v>
      </c>
      <c r="S116" s="9" t="inlineStr">
        <is>
          <t>[港口库存]：中国甲醇样本港口库存周数据统计(20240612）</t>
        </is>
      </c>
      <c r="T116" s="9" t="inlineStr">
        <is>
          <t>https://nenghua.m.mysteel.com/a/24070420/E3ACE4F2B23445CF_abc.html</t>
        </is>
      </c>
      <c r="U116">
        <f>IF(OR(F116="",G116=""),"",ROUND(F116+G116,2))</f>
        <v/>
      </c>
      <c r="V116">
        <f>IF(U116="","",IF(ABS(U116-E116)&lt;0.05,"一致","差异"))</f>
        <v/>
      </c>
    </row>
    <row r="117">
      <c r="A117" s="8" t="inlineStr">
        <is>
          <t>2024-06-19</t>
        </is>
      </c>
      <c r="B117" s="8" t="n">
        <v>2024</v>
      </c>
      <c r="C117" s="8" t="n">
        <v>25</v>
      </c>
      <c r="D117" s="15" t="n">
        <v>68.95999999999999</v>
      </c>
      <c r="E117" s="15" t="n">
        <v>52.1</v>
      </c>
      <c r="F117" s="15" t="n">
        <v>36</v>
      </c>
      <c r="G117" s="15" t="n">
        <v>16.1</v>
      </c>
      <c r="H117" s="15" t="n">
        <v>10.7</v>
      </c>
      <c r="I117" s="15" t="n">
        <v>6.16</v>
      </c>
      <c r="J117" s="15" t="n">
        <v>1.7</v>
      </c>
      <c r="K117" s="15" t="n">
        <v>1.7</v>
      </c>
      <c r="L117" s="15" t="n">
        <v>1.7</v>
      </c>
      <c r="M117" s="8" t="inlineStr">
        <is>
          <t>east_table</t>
        </is>
      </c>
      <c r="N117" s="8" t="b">
        <v>1</v>
      </c>
      <c r="O117" s="8" t="b">
        <v>1</v>
      </c>
      <c r="P117" s="8" t="n">
        <v>50.67</v>
      </c>
      <c r="Q117" s="16" t="n">
        <v>7</v>
      </c>
      <c r="R117" s="8" t="b">
        <v>0</v>
      </c>
      <c r="S117" s="9" t="inlineStr">
        <is>
          <t>[港口库存]：中国甲醇样本港口库存周数据统计(20240619）</t>
        </is>
      </c>
      <c r="T117" s="9" t="inlineStr">
        <is>
          <t>https://nenghua.m.mysteel.com/a/24070420/07D4323510609586_abc.html</t>
        </is>
      </c>
      <c r="U117">
        <f>IF(OR(F117="",G117=""),"",ROUND(F117+G117,2))</f>
        <v/>
      </c>
      <c r="V117">
        <f>IF(U117="","",IF(ABS(U117-E117)&lt;0.05,"一致","差异"))</f>
        <v/>
      </c>
    </row>
    <row r="118">
      <c r="A118" s="8" t="inlineStr">
        <is>
          <t>2024-06-26</t>
        </is>
      </c>
      <c r="B118" s="8" t="n">
        <v>2024</v>
      </c>
      <c r="C118" s="8" t="n">
        <v>26</v>
      </c>
      <c r="D118" s="15" t="n">
        <v>79.03</v>
      </c>
      <c r="E118" s="15" t="n">
        <v>63.73</v>
      </c>
      <c r="F118" s="15" t="n">
        <v>45.63</v>
      </c>
      <c r="G118" s="15" t="n">
        <v>18.1</v>
      </c>
      <c r="H118" s="15" t="n">
        <v>7.9</v>
      </c>
      <c r="I118" s="15" t="n">
        <v>7.4</v>
      </c>
      <c r="J118" s="15" t="n">
        <v>11.63</v>
      </c>
      <c r="K118" s="15" t="n">
        <v>11.63</v>
      </c>
      <c r="L118" s="15" t="n">
        <v>11.63</v>
      </c>
      <c r="M118" s="8" t="inlineStr">
        <is>
          <t>east_table</t>
        </is>
      </c>
      <c r="N118" s="8" t="b">
        <v>1</v>
      </c>
      <c r="O118" s="8" t="b">
        <v>1</v>
      </c>
      <c r="P118" s="8" t="n">
        <v>58.07</v>
      </c>
      <c r="Q118" s="16" t="n">
        <v>7</v>
      </c>
      <c r="R118" s="8" t="b">
        <v>0</v>
      </c>
      <c r="S118" s="9" t="inlineStr">
        <is>
          <t>[港口库存]：中国甲醇样本港口库存周数据统计(20240626）</t>
        </is>
      </c>
      <c r="T118" s="9" t="inlineStr">
        <is>
          <t>https://nenghua.m.mysteel.com/a/24070420/75395D0233800565_abc.html</t>
        </is>
      </c>
      <c r="U118">
        <f>IF(OR(F118="",G118=""),"",ROUND(F118+G118,2))</f>
        <v/>
      </c>
      <c r="V118">
        <f>IF(U118="","",IF(ABS(U118-E118)&lt;0.05,"一致","差异"))</f>
        <v/>
      </c>
    </row>
    <row r="119">
      <c r="A119" s="8" t="inlineStr">
        <is>
          <t>2024-07-03</t>
        </is>
      </c>
      <c r="B119" s="8" t="n">
        <v>2024</v>
      </c>
      <c r="C119" s="8" t="n">
        <v>27</v>
      </c>
      <c r="D119" s="15" t="n">
        <v>88.75</v>
      </c>
      <c r="E119" s="15" t="n">
        <v>71.59999999999999</v>
      </c>
      <c r="F119" s="15" t="n">
        <v>52.6</v>
      </c>
      <c r="G119" s="15" t="n">
        <v>19</v>
      </c>
      <c r="H119" s="15" t="n">
        <v>8.91</v>
      </c>
      <c r="I119" s="15" t="n">
        <v>8.24</v>
      </c>
      <c r="J119" s="15" t="n">
        <v>7.87</v>
      </c>
      <c r="K119" s="15" t="n">
        <v>7.87</v>
      </c>
      <c r="L119" s="15" t="n">
        <v>7.87</v>
      </c>
      <c r="M119" s="8" t="inlineStr">
        <is>
          <t>east_table</t>
        </is>
      </c>
      <c r="N119" s="8" t="b">
        <v>1</v>
      </c>
      <c r="O119" s="8" t="b">
        <v>1</v>
      </c>
      <c r="P119" s="8" t="n">
        <v>65.20999999999999</v>
      </c>
      <c r="Q119" s="16" t="n">
        <v>7</v>
      </c>
      <c r="R119" s="8" t="b">
        <v>0</v>
      </c>
      <c r="S119" s="9" t="inlineStr">
        <is>
          <t>[港口库存]：中国甲醇样本港口库存周数据统计(20240703）</t>
        </is>
      </c>
      <c r="T119" s="9" t="inlineStr">
        <is>
          <t>https://nenghua.m.mysteel.com/a/24070420/6F6FE2B9C404BE9E_abc.html</t>
        </is>
      </c>
      <c r="U119">
        <f>IF(OR(F119="",G119=""),"",ROUND(F119+G119,2))</f>
        <v/>
      </c>
      <c r="V119">
        <f>IF(U119="","",IF(ABS(U119-E119)&lt;0.05,"一致","差异"))</f>
        <v/>
      </c>
    </row>
    <row r="120">
      <c r="A120" s="8" t="inlineStr">
        <is>
          <t>2024-07-10</t>
        </is>
      </c>
      <c r="B120" s="8" t="n">
        <v>2024</v>
      </c>
      <c r="C120" s="8" t="n">
        <v>28</v>
      </c>
      <c r="D120" s="15" t="n">
        <v>92.34</v>
      </c>
      <c r="E120" s="15" t="n">
        <v>74.25</v>
      </c>
      <c r="F120" s="15" t="n">
        <v>51.65</v>
      </c>
      <c r="G120" s="15" t="n">
        <v>22.6</v>
      </c>
      <c r="H120" s="15" t="n">
        <v>10.35</v>
      </c>
      <c r="I120" s="15" t="n">
        <v>7.74</v>
      </c>
      <c r="J120" s="15" t="n">
        <v>2.65</v>
      </c>
      <c r="K120" s="15" t="n">
        <v>2.65</v>
      </c>
      <c r="L120" s="15" t="n">
        <v>2.65</v>
      </c>
      <c r="M120" s="8" t="inlineStr">
        <is>
          <t>east_table</t>
        </is>
      </c>
      <c r="N120" s="8" t="b">
        <v>1</v>
      </c>
      <c r="O120" s="8" t="b">
        <v>1</v>
      </c>
      <c r="P120" s="8" t="n">
        <v>67.84999999999999</v>
      </c>
      <c r="Q120" s="16" t="n">
        <v>7</v>
      </c>
      <c r="R120" s="8" t="b">
        <v>0</v>
      </c>
      <c r="S120" s="9" t="inlineStr">
        <is>
          <t>[港口库存]：中国甲醇样本港口库存周数据统计(20240710）</t>
        </is>
      </c>
      <c r="T120" s="9" t="inlineStr">
        <is>
          <t>https://nenghua.m.mysteel.com/a/24071014/8B56048916A41C6B_abc.html</t>
        </is>
      </c>
      <c r="U120">
        <f>IF(OR(F120="",G120=""),"",ROUND(F120+G120,2))</f>
        <v/>
      </c>
      <c r="V120">
        <f>IF(U120="","",IF(ABS(U120-E120)&lt;0.05,"一致","差异"))</f>
        <v/>
      </c>
    </row>
    <row r="121">
      <c r="A121" s="8" t="inlineStr">
        <is>
          <t>2024-07-17</t>
        </is>
      </c>
      <c r="B121" s="8" t="n">
        <v>2024</v>
      </c>
      <c r="C121" s="8" t="n">
        <v>29</v>
      </c>
      <c r="D121" s="15" t="n">
        <v>98.09</v>
      </c>
      <c r="E121" s="15" t="n">
        <v>77.40000000000001</v>
      </c>
      <c r="F121" s="15" t="n">
        <v>59.6</v>
      </c>
      <c r="G121" s="15" t="n">
        <v>17.8</v>
      </c>
      <c r="H121" s="15" t="n">
        <v>14.55</v>
      </c>
      <c r="I121" s="15" t="n">
        <v>6.14</v>
      </c>
      <c r="J121" s="15" t="n">
        <v>3.15</v>
      </c>
      <c r="K121" s="15" t="n">
        <v>3.15</v>
      </c>
      <c r="L121" s="15" t="n">
        <v>3.15</v>
      </c>
      <c r="M121" s="8" t="inlineStr">
        <is>
          <t>east_table</t>
        </is>
      </c>
      <c r="N121" s="8" t="b">
        <v>1</v>
      </c>
      <c r="O121" s="8" t="b">
        <v>1</v>
      </c>
      <c r="P121" s="8" t="n">
        <v>72.08</v>
      </c>
      <c r="Q121" s="16" t="n">
        <v>7</v>
      </c>
      <c r="R121" s="8" t="b">
        <v>0</v>
      </c>
      <c r="S121" s="9" t="inlineStr">
        <is>
          <t>[港口库存]：中国甲醇样本港口库存周数据统计(20240717）</t>
        </is>
      </c>
      <c r="T121" s="9" t="inlineStr">
        <is>
          <t>https://nenghua.m.mysteel.com/a/24071717/BCA775A321DAAC0D_abc.html</t>
        </is>
      </c>
      <c r="U121">
        <f>IF(OR(F121="",G121=""),"",ROUND(F121+G121,2))</f>
        <v/>
      </c>
      <c r="V121">
        <f>IF(U121="","",IF(ABS(U121-E121)&lt;0.05,"一致","差异"))</f>
        <v/>
      </c>
    </row>
    <row r="122">
      <c r="A122" s="8" t="inlineStr">
        <is>
          <t>2024-07-24</t>
        </is>
      </c>
      <c r="B122" s="8" t="n">
        <v>2024</v>
      </c>
      <c r="C122" s="8" t="n">
        <v>30</v>
      </c>
      <c r="D122" s="15" t="n">
        <v>103.44</v>
      </c>
      <c r="E122" s="15" t="n">
        <v>80.90000000000001</v>
      </c>
      <c r="F122" s="15" t="n">
        <v>60.4</v>
      </c>
      <c r="G122" s="15" t="n">
        <v>20.5</v>
      </c>
      <c r="H122" s="15" t="n">
        <v>15.35</v>
      </c>
      <c r="I122" s="15" t="n">
        <v>7.19</v>
      </c>
      <c r="J122" s="15" t="n">
        <v>3.5</v>
      </c>
      <c r="K122" s="15" t="n">
        <v>3.5</v>
      </c>
      <c r="L122" s="15" t="n">
        <v>3.5</v>
      </c>
      <c r="M122" s="8" t="inlineStr">
        <is>
          <t>east_table</t>
        </is>
      </c>
      <c r="N122" s="8" t="b">
        <v>1</v>
      </c>
      <c r="O122" s="8" t="b">
        <v>1</v>
      </c>
      <c r="P122" s="8" t="n">
        <v>76.01000000000001</v>
      </c>
      <c r="Q122" s="16" t="n">
        <v>7</v>
      </c>
      <c r="R122" s="8" t="b">
        <v>0</v>
      </c>
      <c r="S122" s="9" t="inlineStr">
        <is>
          <t>[港口库存]：中国甲醇样本港口库存周数据统计(20240724）</t>
        </is>
      </c>
      <c r="T122" s="9" t="inlineStr">
        <is>
          <t>https://nenghua.m.mysteel.com/a/24072414/11A9767949A17F06_abc.html</t>
        </is>
      </c>
      <c r="U122">
        <f>IF(OR(F122="",G122=""),"",ROUND(F122+G122,2))</f>
        <v/>
      </c>
      <c r="V122">
        <f>IF(U122="","",IF(ABS(U122-E122)&lt;0.05,"一致","差异"))</f>
        <v/>
      </c>
    </row>
    <row r="123">
      <c r="A123" s="8" t="inlineStr">
        <is>
          <t>2024-07-31</t>
        </is>
      </c>
      <c r="B123" s="8" t="n">
        <v>2024</v>
      </c>
      <c r="C123" s="8" t="n">
        <v>31</v>
      </c>
      <c r="D123" s="15" t="n">
        <v>101.37</v>
      </c>
      <c r="E123" s="15" t="n">
        <v>76</v>
      </c>
      <c r="F123" s="15" t="n">
        <v>54.6</v>
      </c>
      <c r="G123" s="15" t="n">
        <v>21.4</v>
      </c>
      <c r="H123" s="15" t="n">
        <v>17.7</v>
      </c>
      <c r="I123" s="15" t="n">
        <v>7.67</v>
      </c>
      <c r="J123" s="15" t="n">
        <v>-4.9</v>
      </c>
      <c r="K123" s="15" t="n">
        <v>-4.9</v>
      </c>
      <c r="L123" s="15" t="n">
        <v>-4.9</v>
      </c>
      <c r="M123" s="8" t="inlineStr">
        <is>
          <t>east_table</t>
        </is>
      </c>
      <c r="N123" s="8" t="b">
        <v>1</v>
      </c>
      <c r="O123" s="8" t="b">
        <v>1</v>
      </c>
      <c r="P123" s="8" t="n">
        <v>74.48999999999999</v>
      </c>
      <c r="Q123" s="16" t="n">
        <v>7</v>
      </c>
      <c r="R123" s="8" t="b">
        <v>0</v>
      </c>
      <c r="S123" s="9" t="inlineStr">
        <is>
          <t>[港口库存]：中国甲醇样本港口库存周数据统计(20240731）</t>
        </is>
      </c>
      <c r="T123" s="9" t="inlineStr">
        <is>
          <t>https://nenghua.m.mysteel.com/a/24073114/5983B5AA9C2B8F7D_abc.html</t>
        </is>
      </c>
      <c r="U123">
        <f>IF(OR(F123="",G123=""),"",ROUND(F123+G123,2))</f>
        <v/>
      </c>
      <c r="V123">
        <f>IF(U123="","",IF(ABS(U123-E123)&lt;0.05,"一致","差异"))</f>
        <v/>
      </c>
    </row>
    <row r="124">
      <c r="A124" s="8" t="inlineStr">
        <is>
          <t>2024-08-07</t>
        </is>
      </c>
      <c r="B124" s="8" t="n">
        <v>2024</v>
      </c>
      <c r="C124" s="8" t="n">
        <v>32</v>
      </c>
      <c r="D124" s="15" t="n">
        <v>94.05</v>
      </c>
      <c r="E124" s="15" t="n">
        <v>68.2</v>
      </c>
      <c r="F124" s="15" t="n">
        <v>51.4</v>
      </c>
      <c r="G124" s="15" t="n">
        <v>16.8</v>
      </c>
      <c r="H124" s="15" t="n">
        <v>18.7</v>
      </c>
      <c r="I124" s="15" t="n">
        <v>7.15</v>
      </c>
      <c r="J124" s="15" t="n">
        <v>-7.8</v>
      </c>
      <c r="K124" s="15" t="n">
        <v>-7.8</v>
      </c>
      <c r="L124" s="15" t="n">
        <v>-7.8</v>
      </c>
      <c r="M124" s="8" t="inlineStr">
        <is>
          <t>east_table</t>
        </is>
      </c>
      <c r="N124" s="8" t="b">
        <v>1</v>
      </c>
      <c r="O124" s="8" t="b">
        <v>1</v>
      </c>
      <c r="P124" s="8" t="n">
        <v>69.11</v>
      </c>
      <c r="Q124" s="16" t="n">
        <v>7</v>
      </c>
      <c r="R124" s="8" t="b">
        <v>0</v>
      </c>
      <c r="S124" s="9" t="inlineStr">
        <is>
          <t>[港口库存]：中国甲醇样本港口库存周数据统计(20240807）</t>
        </is>
      </c>
      <c r="T124" s="9" t="inlineStr">
        <is>
          <t>https://nenghua.m.mysteel.com/a/24080714/BA85ABCA41B2BC94_abc.html</t>
        </is>
      </c>
      <c r="U124">
        <f>IF(OR(F124="",G124=""),"",ROUND(F124+G124,2))</f>
        <v/>
      </c>
      <c r="V124">
        <f>IF(U124="","",IF(ABS(U124-E124)&lt;0.05,"一致","差异"))</f>
        <v/>
      </c>
    </row>
    <row r="125">
      <c r="A125" s="8" t="inlineStr">
        <is>
          <t>2024-08-14</t>
        </is>
      </c>
      <c r="B125" s="8" t="n">
        <v>2024</v>
      </c>
      <c r="C125" s="8" t="n">
        <v>33</v>
      </c>
      <c r="D125" s="15" t="n">
        <v>98.53</v>
      </c>
      <c r="E125" s="15" t="n">
        <v>67.93000000000001</v>
      </c>
      <c r="F125" s="15" t="n">
        <v>50.2</v>
      </c>
      <c r="G125" s="15" t="n">
        <v>17.73</v>
      </c>
      <c r="H125" s="15" t="n">
        <v>19</v>
      </c>
      <c r="I125" s="15" t="n">
        <v>11.6</v>
      </c>
      <c r="J125" s="15" t="n">
        <v>-0.27</v>
      </c>
      <c r="K125" s="15" t="n">
        <v>-0.27</v>
      </c>
      <c r="L125" s="15" t="n">
        <v>-0.27</v>
      </c>
      <c r="M125" s="8" t="inlineStr">
        <is>
          <t>east_table</t>
        </is>
      </c>
      <c r="N125" s="8" t="b">
        <v>1</v>
      </c>
      <c r="O125" s="8" t="b">
        <v>1</v>
      </c>
      <c r="P125" s="8" t="n">
        <v>72.40000000000001</v>
      </c>
      <c r="Q125" s="16" t="n">
        <v>7</v>
      </c>
      <c r="R125" s="8" t="b">
        <v>0</v>
      </c>
      <c r="S125" s="9" t="inlineStr">
        <is>
          <t>[港口库存]：中国甲醇样本港口库存周数据统计(20240814）</t>
        </is>
      </c>
      <c r="T125" s="9" t="inlineStr">
        <is>
          <t>https://nenghua.m.mysteel.com/a/24081414/C42D7B4BD6F65788_abc.html</t>
        </is>
      </c>
      <c r="U125">
        <f>IF(OR(F125="",G125=""),"",ROUND(F125+G125,2))</f>
        <v/>
      </c>
      <c r="V125">
        <f>IF(U125="","",IF(ABS(U125-E125)&lt;0.05,"一致","差异"))</f>
        <v/>
      </c>
    </row>
    <row r="126">
      <c r="A126" s="8" t="inlineStr">
        <is>
          <t>2024-08-21</t>
        </is>
      </c>
      <c r="B126" s="8" t="n">
        <v>2024</v>
      </c>
      <c r="C126" s="8" t="n">
        <v>34</v>
      </c>
      <c r="D126" s="15" t="n">
        <v>103.3</v>
      </c>
      <c r="E126" s="15" t="n">
        <v>72.84999999999999</v>
      </c>
      <c r="F126" s="15" t="n">
        <v>49.25</v>
      </c>
      <c r="G126" s="15" t="n">
        <v>23.6</v>
      </c>
      <c r="H126" s="15" t="n">
        <v>17.7</v>
      </c>
      <c r="I126" s="15" t="n">
        <v>12.75</v>
      </c>
      <c r="J126" s="15" t="n"/>
      <c r="K126" s="15" t="n">
        <v>4.92</v>
      </c>
      <c r="L126" s="15" t="n">
        <v>4.92</v>
      </c>
      <c r="M126" s="8" t="inlineStr">
        <is>
          <t>east_table</t>
        </is>
      </c>
      <c r="N126" s="8" t="b">
        <v>0</v>
      </c>
      <c r="O126" s="8" t="b">
        <v>1</v>
      </c>
      <c r="P126" s="8" t="n">
        <v>75.90000000000001</v>
      </c>
      <c r="Q126" s="16" t="n">
        <v>7</v>
      </c>
      <c r="R126" s="8" t="b">
        <v>0</v>
      </c>
      <c r="S126" s="9" t="inlineStr">
        <is>
          <t>[港口库存]：中国甲醇样本港口库存周数据统计(20240821）</t>
        </is>
      </c>
      <c r="T126" s="9" t="inlineStr">
        <is>
          <t>https://nenghua.m.mysteel.com/a/24082114/7EB3D2AFA9B08573_abc.html</t>
        </is>
      </c>
      <c r="U126">
        <f>IF(OR(F126="",G126=""),"",ROUND(F126+G126,2))</f>
        <v/>
      </c>
      <c r="V126">
        <f>IF(U126="","",IF(ABS(U126-E126)&lt;0.05,"一致","差异"))</f>
        <v/>
      </c>
    </row>
    <row r="127">
      <c r="A127" s="8" t="inlineStr">
        <is>
          <t>2024-08-28</t>
        </is>
      </c>
      <c r="B127" s="8" t="n">
        <v>2024</v>
      </c>
      <c r="C127" s="8" t="n">
        <v>35</v>
      </c>
      <c r="D127" s="15" t="n">
        <v>112.43</v>
      </c>
      <c r="E127" s="15" t="n">
        <v>80.08</v>
      </c>
      <c r="F127" s="15" t="n">
        <v>58.38</v>
      </c>
      <c r="G127" s="15" t="n">
        <v>21.7</v>
      </c>
      <c r="H127" s="15" t="n">
        <v>20.4</v>
      </c>
      <c r="I127" s="15" t="n">
        <v>11.95</v>
      </c>
      <c r="J127" s="15" t="n">
        <v>7.23</v>
      </c>
      <c r="K127" s="15" t="n">
        <v>7.23</v>
      </c>
      <c r="L127" s="15" t="n">
        <v>7.23</v>
      </c>
      <c r="M127" s="8" t="inlineStr">
        <is>
          <t>east_table</t>
        </is>
      </c>
      <c r="N127" s="8" t="b">
        <v>1</v>
      </c>
      <c r="O127" s="8" t="b">
        <v>1</v>
      </c>
      <c r="P127" s="8" t="n">
        <v>82.61</v>
      </c>
      <c r="Q127" s="16" t="n">
        <v>7</v>
      </c>
      <c r="R127" s="8" t="b">
        <v>0</v>
      </c>
      <c r="S127" s="9" t="inlineStr">
        <is>
          <t>[港口库存]：中国甲醇样本港口库存周数据统计(20240828）</t>
        </is>
      </c>
      <c r="T127" s="9" t="inlineStr">
        <is>
          <t>https://nenghua.m.mysteel.com/a/24082814/B26884A91F9BFB15_abc.html</t>
        </is>
      </c>
      <c r="U127">
        <f>IF(OR(F127="",G127=""),"",ROUND(F127+G127,2))</f>
        <v/>
      </c>
      <c r="V127">
        <f>IF(U127="","",IF(ABS(U127-E127)&lt;0.05,"一致","差异"))</f>
        <v/>
      </c>
    </row>
    <row r="128">
      <c r="A128" s="8" t="inlineStr">
        <is>
          <t>2024-09-04</t>
        </is>
      </c>
      <c r="B128" s="8" t="n">
        <v>2024</v>
      </c>
      <c r="C128" s="8" t="n">
        <v>36</v>
      </c>
      <c r="D128" s="15" t="n">
        <v>117.44</v>
      </c>
      <c r="E128" s="15" t="n">
        <v>81.93000000000001</v>
      </c>
      <c r="F128" s="15" t="n">
        <v>61.23</v>
      </c>
      <c r="G128" s="15" t="n">
        <v>20.7</v>
      </c>
      <c r="H128" s="15" t="n">
        <v>22.7</v>
      </c>
      <c r="I128" s="15" t="n">
        <v>12.81</v>
      </c>
      <c r="J128" s="15" t="n">
        <v>1.85</v>
      </c>
      <c r="K128" s="15" t="n">
        <v>1.85</v>
      </c>
      <c r="L128" s="15" t="n">
        <v>1.85</v>
      </c>
      <c r="M128" s="8" t="inlineStr">
        <is>
          <t>east_table</t>
        </is>
      </c>
      <c r="N128" s="8" t="b">
        <v>1</v>
      </c>
      <c r="O128" s="8" t="b">
        <v>1</v>
      </c>
      <c r="P128" s="8" t="n">
        <v>86.29000000000001</v>
      </c>
      <c r="Q128" s="16" t="n">
        <v>7</v>
      </c>
      <c r="R128" s="8" t="b">
        <v>0</v>
      </c>
      <c r="S128" s="9" t="inlineStr">
        <is>
          <t>[港口库存]：中国甲醇样本港口库存周数据统计(20240904）</t>
        </is>
      </c>
      <c r="T128" s="9" t="inlineStr">
        <is>
          <t>https://nenghua.m.mysteel.com/a/24090414/1AEA08F2ACAA9E10_abc.html</t>
        </is>
      </c>
      <c r="U128">
        <f>IF(OR(F128="",G128=""),"",ROUND(F128+G128,2))</f>
        <v/>
      </c>
      <c r="V128">
        <f>IF(U128="","",IF(ABS(U128-E128)&lt;0.05,"一致","差异"))</f>
        <v/>
      </c>
    </row>
    <row r="129">
      <c r="A129" s="8" t="inlineStr">
        <is>
          <t>2024-09-11</t>
        </is>
      </c>
      <c r="B129" s="8" t="n">
        <v>2024</v>
      </c>
      <c r="C129" s="8" t="n">
        <v>37</v>
      </c>
      <c r="D129" s="15" t="n">
        <v>116.83</v>
      </c>
      <c r="E129" s="15" t="n">
        <v>83.58</v>
      </c>
      <c r="F129" s="15" t="n">
        <v>58.48</v>
      </c>
      <c r="G129" s="15" t="n">
        <v>25.1</v>
      </c>
      <c r="H129" s="15" t="n">
        <v>21</v>
      </c>
      <c r="I129" s="15" t="n">
        <v>12.25</v>
      </c>
      <c r="J129" s="15" t="n">
        <v>1.65</v>
      </c>
      <c r="K129" s="15" t="n">
        <v>1.65</v>
      </c>
      <c r="L129" s="15" t="n">
        <v>1.65</v>
      </c>
      <c r="M129" s="8" t="inlineStr">
        <is>
          <t>east_table</t>
        </is>
      </c>
      <c r="N129" s="8" t="b">
        <v>1</v>
      </c>
      <c r="O129" s="8" t="b">
        <v>1</v>
      </c>
      <c r="P129" s="8" t="n">
        <v>85.84999999999999</v>
      </c>
      <c r="Q129" s="16" t="n">
        <v>7</v>
      </c>
      <c r="R129" s="8" t="b">
        <v>0</v>
      </c>
      <c r="S129" s="9" t="inlineStr">
        <is>
          <t>[港口库存]：中国甲醇样本港口库存周数据统计(20240911）</t>
        </is>
      </c>
      <c r="T129" s="9" t="inlineStr">
        <is>
          <t>https://nenghua.m.mysteel.com/a/24091114/B78D6101F7AAD6A2_abc.html</t>
        </is>
      </c>
      <c r="U129">
        <f>IF(OR(F129="",G129=""),"",ROUND(F129+G129,2))</f>
        <v/>
      </c>
      <c r="V129">
        <f>IF(U129="","",IF(ABS(U129-E129)&lt;0.05,"一致","差异"))</f>
        <v/>
      </c>
    </row>
    <row r="130">
      <c r="A130" s="8" t="inlineStr">
        <is>
          <t>2024-09-18</t>
        </is>
      </c>
      <c r="B130" s="8" t="n">
        <v>2024</v>
      </c>
      <c r="C130" s="8" t="n">
        <v>38</v>
      </c>
      <c r="D130" s="15" t="n">
        <v>99.81999999999999</v>
      </c>
      <c r="E130" s="15" t="n">
        <v>68.37</v>
      </c>
      <c r="F130" s="15" t="n">
        <v>50.18</v>
      </c>
      <c r="G130" s="15" t="n">
        <v>18.19</v>
      </c>
      <c r="H130" s="15" t="n">
        <v>19.9</v>
      </c>
      <c r="I130" s="15" t="n">
        <v>11.55</v>
      </c>
      <c r="J130" s="15" t="n">
        <v>-15.21</v>
      </c>
      <c r="K130" s="15" t="n">
        <v>-15.21</v>
      </c>
      <c r="L130" s="15" t="n">
        <v>-15.21</v>
      </c>
      <c r="M130" s="8" t="inlineStr">
        <is>
          <t>east_table</t>
        </is>
      </c>
      <c r="N130" s="8" t="b">
        <v>1</v>
      </c>
      <c r="O130" s="8" t="b">
        <v>1</v>
      </c>
      <c r="P130" s="8" t="n">
        <v>73.34999999999999</v>
      </c>
      <c r="Q130" s="16" t="n">
        <v>7</v>
      </c>
      <c r="R130" s="8" t="b">
        <v>0</v>
      </c>
      <c r="S130" s="9" t="inlineStr">
        <is>
          <t>[港口库存]：中国甲醇样本港口库存周数据统计(20240918）</t>
        </is>
      </c>
      <c r="T130" s="9" t="inlineStr">
        <is>
          <t>https://nenghua.m.mysteel.com/a/24091814/732D7165C2912DCB_abc.html</t>
        </is>
      </c>
      <c r="U130">
        <f>IF(OR(F130="",G130=""),"",ROUND(F130+G130,2))</f>
        <v/>
      </c>
      <c r="V130">
        <f>IF(U130="","",IF(ABS(U130-E130)&lt;0.05,"一致","差异"))</f>
        <v/>
      </c>
    </row>
    <row r="131">
      <c r="A131" s="8" t="inlineStr">
        <is>
          <t>2024-09-25</t>
        </is>
      </c>
      <c r="B131" s="8" t="n">
        <v>2024</v>
      </c>
      <c r="C131" s="8" t="n">
        <v>39</v>
      </c>
      <c r="D131" s="15" t="n">
        <v>95.2</v>
      </c>
      <c r="E131" s="15" t="n">
        <v>60.88</v>
      </c>
      <c r="F131" s="15" t="n">
        <v>44.68</v>
      </c>
      <c r="G131" s="15" t="n">
        <v>16.2</v>
      </c>
      <c r="H131" s="15" t="n">
        <v>19.2</v>
      </c>
      <c r="I131" s="15" t="n">
        <v>15.12</v>
      </c>
      <c r="J131" s="15" t="n">
        <v>-7.49</v>
      </c>
      <c r="K131" s="15" t="n">
        <v>-7.49</v>
      </c>
      <c r="L131" s="15" t="n">
        <v>-7.49</v>
      </c>
      <c r="M131" s="8" t="inlineStr">
        <is>
          <t>east_table</t>
        </is>
      </c>
      <c r="N131" s="8" t="b">
        <v>1</v>
      </c>
      <c r="O131" s="8" t="b">
        <v>1</v>
      </c>
      <c r="P131" s="8" t="n">
        <v>69.95</v>
      </c>
      <c r="Q131" s="16" t="n">
        <v>7</v>
      </c>
      <c r="R131" s="8" t="b">
        <v>0</v>
      </c>
      <c r="S131" s="9" t="inlineStr">
        <is>
          <t>[港口库存]：中国甲醇样本港口库存周数据统计(20240925）</t>
        </is>
      </c>
      <c r="T131" s="9" t="inlineStr">
        <is>
          <t>https://nenghua.m.mysteel.com/a/24092514/DEE30CDA05EAD6D3_abc.html</t>
        </is>
      </c>
      <c r="U131">
        <f>IF(OR(F131="",G131=""),"",ROUND(F131+G131,2))</f>
        <v/>
      </c>
      <c r="V131">
        <f>IF(U131="","",IF(ABS(U131-E131)&lt;0.05,"一致","差异"))</f>
        <v/>
      </c>
    </row>
    <row r="132">
      <c r="A132" s="8" t="inlineStr">
        <is>
          <t>2024-10-09</t>
        </is>
      </c>
      <c r="B132" s="8" t="n">
        <v>2024</v>
      </c>
      <c r="C132" s="8" t="n">
        <v>41</v>
      </c>
      <c r="D132" s="15" t="n">
        <v>102.05</v>
      </c>
      <c r="E132" s="15" t="n">
        <v>64.09999999999999</v>
      </c>
      <c r="F132" s="15" t="n">
        <v>50.8</v>
      </c>
      <c r="G132" s="15" t="n">
        <v>13.3</v>
      </c>
      <c r="H132" s="15" t="n">
        <v>20.5</v>
      </c>
      <c r="I132" s="15" t="n">
        <v>17.45</v>
      </c>
      <c r="J132" s="15" t="n">
        <v>3.22</v>
      </c>
      <c r="K132" s="15" t="n">
        <v>3.22</v>
      </c>
      <c r="L132" s="15" t="n">
        <v>3.22</v>
      </c>
      <c r="M132" s="8" t="inlineStr">
        <is>
          <t>east_table</t>
        </is>
      </c>
      <c r="N132" s="8" t="b">
        <v>1</v>
      </c>
      <c r="O132" s="8" t="b">
        <v>1</v>
      </c>
      <c r="P132" s="8" t="n">
        <v>74.98999999999999</v>
      </c>
      <c r="Q132" s="16" t="n">
        <v>14</v>
      </c>
      <c r="R132" s="8" t="b">
        <v>0</v>
      </c>
      <c r="S132" s="9" t="inlineStr">
        <is>
          <t>[港口库存]：中国甲醇样本港口库存周数据统计(20241009）</t>
        </is>
      </c>
      <c r="T132" s="9" t="inlineStr">
        <is>
          <t>https://nenghua.m.mysteel.com/a/24100914/263CC2BFDBE56F47_abc.html</t>
        </is>
      </c>
      <c r="U132">
        <f>IF(OR(F132="",G132=""),"",ROUND(F132+G132,2))</f>
        <v/>
      </c>
      <c r="V132">
        <f>IF(U132="","",IF(ABS(U132-E132)&lt;0.05,"一致","差异"))</f>
        <v/>
      </c>
    </row>
    <row r="133">
      <c r="A133" s="8" t="inlineStr">
        <is>
          <t>2024-10-16</t>
        </is>
      </c>
      <c r="B133" s="8" t="n">
        <v>2024</v>
      </c>
      <c r="C133" s="8" t="n">
        <v>42</v>
      </c>
      <c r="D133" s="15" t="n">
        <v>110.24</v>
      </c>
      <c r="E133" s="15" t="n">
        <v>76.15000000000001</v>
      </c>
      <c r="F133" s="15" t="n">
        <v>58.55</v>
      </c>
      <c r="G133" s="15" t="n">
        <v>17.6</v>
      </c>
      <c r="H133" s="15" t="n">
        <v>18.19</v>
      </c>
      <c r="I133" s="15" t="n">
        <v>15.9</v>
      </c>
      <c r="J133" s="15" t="n"/>
      <c r="K133" s="15" t="n">
        <v>12.05</v>
      </c>
      <c r="L133" s="15" t="n">
        <v>12.05</v>
      </c>
      <c r="M133" s="8" t="inlineStr">
        <is>
          <t>east_table</t>
        </is>
      </c>
      <c r="N133" s="8" t="b">
        <v>0</v>
      </c>
      <c r="O133" s="8" t="b">
        <v>1</v>
      </c>
      <c r="P133" s="8" t="n">
        <v>81</v>
      </c>
      <c r="Q133" s="16" t="n">
        <v>7</v>
      </c>
      <c r="R133" s="8" t="b">
        <v>0</v>
      </c>
      <c r="S133" s="9" t="inlineStr">
        <is>
          <t>[港口库存]：中国甲醇样本港口库存周数据统计(20241016）</t>
        </is>
      </c>
      <c r="T133" s="9" t="inlineStr">
        <is>
          <t>https://nenghua.m.mysteel.com/a/24101614/F72551EA3816C902_abc.html</t>
        </is>
      </c>
      <c r="U133">
        <f>IF(OR(F133="",G133=""),"",ROUND(F133+G133,2))</f>
        <v/>
      </c>
      <c r="V133">
        <f>IF(U133="","",IF(ABS(U133-E133)&lt;0.05,"一致","差异"))</f>
        <v/>
      </c>
    </row>
    <row r="134">
      <c r="A134" s="8" t="inlineStr">
        <is>
          <t>2024-10-23</t>
        </is>
      </c>
      <c r="B134" s="8" t="n">
        <v>2024</v>
      </c>
      <c r="C134" s="8" t="n">
        <v>43</v>
      </c>
      <c r="D134" s="15" t="n">
        <v>110.87</v>
      </c>
      <c r="E134" s="15" t="n">
        <v>77.18000000000001</v>
      </c>
      <c r="F134" s="15" t="n">
        <v>59.2</v>
      </c>
      <c r="G134" s="15" t="n">
        <v>17.98</v>
      </c>
      <c r="H134" s="15" t="n">
        <v>16.91</v>
      </c>
      <c r="I134" s="15" t="n">
        <v>16.78</v>
      </c>
      <c r="J134" s="15" t="n"/>
      <c r="K134" s="15" t="n">
        <v>1.03</v>
      </c>
      <c r="L134" s="15" t="n">
        <v>1.03</v>
      </c>
      <c r="M134" s="8" t="inlineStr">
        <is>
          <t>east_table</t>
        </is>
      </c>
      <c r="N134" s="8" t="b">
        <v>0</v>
      </c>
      <c r="O134" s="8" t="b">
        <v>1</v>
      </c>
      <c r="P134" s="8" t="n">
        <v>81.47</v>
      </c>
      <c r="Q134" s="16" t="n">
        <v>7</v>
      </c>
      <c r="R134" s="8" t="b">
        <v>0</v>
      </c>
      <c r="S134" s="9" t="inlineStr">
        <is>
          <t>[港口库存]：中国甲醇样本港口库存周数据统计(20241023）</t>
        </is>
      </c>
      <c r="T134" s="9" t="inlineStr">
        <is>
          <t>https://nenghua.m.mysteel.com/a/24102314/B1EC372D0FC47C8C_abc.html</t>
        </is>
      </c>
      <c r="U134">
        <f>IF(OR(F134="",G134=""),"",ROUND(F134+G134,2))</f>
        <v/>
      </c>
      <c r="V134">
        <f>IF(U134="","",IF(ABS(U134-E134)&lt;0.05,"一致","差异"))</f>
        <v/>
      </c>
    </row>
    <row r="135">
      <c r="A135" s="8" t="inlineStr">
        <is>
          <t>2024-10-30</t>
        </is>
      </c>
      <c r="B135" s="8" t="n">
        <v>2024</v>
      </c>
      <c r="C135" s="8" t="n">
        <v>44</v>
      </c>
      <c r="D135" s="15" t="n">
        <v>118.78</v>
      </c>
      <c r="E135" s="15" t="n">
        <v>84.15000000000001</v>
      </c>
      <c r="F135" s="15" t="n">
        <v>67.05</v>
      </c>
      <c r="G135" s="15" t="n">
        <v>17.1</v>
      </c>
      <c r="H135" s="15" t="n">
        <v>17.3</v>
      </c>
      <c r="I135" s="15" t="n">
        <v>17.33</v>
      </c>
      <c r="J135" s="15" t="n">
        <v>6.97</v>
      </c>
      <c r="K135" s="15" t="n">
        <v>6.97</v>
      </c>
      <c r="L135" s="15" t="n">
        <v>6.97</v>
      </c>
      <c r="M135" s="8" t="inlineStr">
        <is>
          <t>east_table</t>
        </is>
      </c>
      <c r="N135" s="8" t="b">
        <v>1</v>
      </c>
      <c r="O135" s="8" t="b">
        <v>1</v>
      </c>
      <c r="P135" s="8" t="n">
        <v>87.28</v>
      </c>
      <c r="Q135" s="16" t="n">
        <v>7</v>
      </c>
      <c r="R135" s="8" t="b">
        <v>0</v>
      </c>
      <c r="S135" s="9" t="inlineStr">
        <is>
          <t>[港口库存]：中国甲醇样本港口库存周数据统计(20241030）</t>
        </is>
      </c>
      <c r="T135" s="9" t="inlineStr">
        <is>
          <t>https://nenghua.m.mysteel.com/a/24103014/1E6B89CCFC92E4F9_abc.html</t>
        </is>
      </c>
      <c r="U135">
        <f>IF(OR(F135="",G135=""),"",ROUND(F135+G135,2))</f>
        <v/>
      </c>
      <c r="V135">
        <f>IF(U135="","",IF(ABS(U135-E135)&lt;0.05,"一致","差异"))</f>
        <v/>
      </c>
    </row>
    <row r="136">
      <c r="A136" s="8" t="inlineStr">
        <is>
          <t>2024-11-06</t>
        </is>
      </c>
      <c r="B136" s="8" t="n">
        <v>2024</v>
      </c>
      <c r="C136" s="8" t="n">
        <v>45</v>
      </c>
      <c r="D136" s="15" t="n">
        <v>120.64</v>
      </c>
      <c r="E136" s="15" t="n">
        <v>83.8</v>
      </c>
      <c r="F136" s="15" t="n">
        <v>66.90000000000001</v>
      </c>
      <c r="G136" s="15" t="n">
        <v>16.9</v>
      </c>
      <c r="H136" s="15" t="n">
        <v>17.75</v>
      </c>
      <c r="I136" s="15" t="n">
        <v>19.09</v>
      </c>
      <c r="J136" s="15" t="n"/>
      <c r="K136" s="15" t="n">
        <v>-0.35</v>
      </c>
      <c r="L136" s="15" t="n">
        <v>-0.35</v>
      </c>
      <c r="M136" s="8" t="inlineStr">
        <is>
          <t>east_table</t>
        </is>
      </c>
      <c r="N136" s="8" t="b">
        <v>0</v>
      </c>
      <c r="O136" s="8" t="b">
        <v>1</v>
      </c>
      <c r="P136" s="8" t="n">
        <v>88.65000000000001</v>
      </c>
      <c r="Q136" s="16" t="n">
        <v>7</v>
      </c>
      <c r="R136" s="8" t="b">
        <v>0</v>
      </c>
      <c r="S136" s="9" t="inlineStr">
        <is>
          <t>[港口库存]：中国甲醇样本港口库存周数据统计(20241106）</t>
        </is>
      </c>
      <c r="T136" s="9" t="inlineStr">
        <is>
          <t>https://nenghua.m.mysteel.com/a/24110614/D16D93B9ACB3E807_abc.html</t>
        </is>
      </c>
      <c r="U136">
        <f>IF(OR(F136="",G136=""),"",ROUND(F136+G136,2))</f>
        <v/>
      </c>
      <c r="V136">
        <f>IF(U136="","",IF(ABS(U136-E136)&lt;0.05,"一致","差异"))</f>
        <v/>
      </c>
    </row>
    <row r="137">
      <c r="A137" s="8" t="inlineStr">
        <is>
          <t>2024-11-13</t>
        </is>
      </c>
      <c r="B137" s="8" t="n">
        <v>2024</v>
      </c>
      <c r="C137" s="8" t="n">
        <v>46</v>
      </c>
      <c r="D137" s="15" t="n">
        <v>125.28</v>
      </c>
      <c r="E137" s="15" t="n">
        <v>90.40000000000001</v>
      </c>
      <c r="F137" s="15" t="n">
        <v>67.59999999999999</v>
      </c>
      <c r="G137" s="15" t="n">
        <v>22.8</v>
      </c>
      <c r="H137" s="15" t="n">
        <v>15.9</v>
      </c>
      <c r="I137" s="15" t="n">
        <v>18.98</v>
      </c>
      <c r="J137" s="15" t="n">
        <v>6.6</v>
      </c>
      <c r="K137" s="15" t="n">
        <v>6.6</v>
      </c>
      <c r="L137" s="15" t="n">
        <v>6.6</v>
      </c>
      <c r="M137" s="8" t="inlineStr">
        <is>
          <t>east_table</t>
        </is>
      </c>
      <c r="N137" s="8" t="b">
        <v>1</v>
      </c>
      <c r="O137" s="8" t="b">
        <v>1</v>
      </c>
      <c r="P137" s="8" t="n">
        <v>92.05</v>
      </c>
      <c r="Q137" s="16" t="n">
        <v>7</v>
      </c>
      <c r="R137" s="8" t="b">
        <v>0</v>
      </c>
      <c r="S137" s="9" t="inlineStr">
        <is>
          <t>[港口库存]：中国甲醇样本港口库存周数据统计(20241113）</t>
        </is>
      </c>
      <c r="T137" s="9" t="inlineStr">
        <is>
          <t>https://nenghua.m.mysteel.com/a/24111314/146DEB0BA555484A_abc.html</t>
        </is>
      </c>
      <c r="U137">
        <f>IF(OR(F137="",G137=""),"",ROUND(F137+G137,2))</f>
        <v/>
      </c>
      <c r="V137">
        <f>IF(U137="","",IF(ABS(U137-E137)&lt;0.05,"一致","差异"))</f>
        <v/>
      </c>
    </row>
    <row r="138">
      <c r="A138" s="8" t="inlineStr">
        <is>
          <t>2024-11-20</t>
        </is>
      </c>
      <c r="B138" s="8" t="n">
        <v>2024</v>
      </c>
      <c r="C138" s="8" t="n">
        <v>47</v>
      </c>
      <c r="D138" s="15" t="n">
        <v>127.57</v>
      </c>
      <c r="E138" s="15" t="n">
        <v>93.61</v>
      </c>
      <c r="F138" s="15" t="n">
        <v>72.56</v>
      </c>
      <c r="G138" s="15" t="n">
        <v>21.05</v>
      </c>
      <c r="H138" s="15" t="n">
        <v>15.75</v>
      </c>
      <c r="I138" s="15" t="n">
        <v>18.21</v>
      </c>
      <c r="J138" s="15" t="n">
        <v>3.21</v>
      </c>
      <c r="K138" s="15" t="n">
        <v>3.21</v>
      </c>
      <c r="L138" s="15" t="n">
        <v>3.21</v>
      </c>
      <c r="M138" s="8" t="inlineStr">
        <is>
          <t>east_table</t>
        </is>
      </c>
      <c r="N138" s="8" t="b">
        <v>1</v>
      </c>
      <c r="O138" s="8" t="b">
        <v>1</v>
      </c>
      <c r="P138" s="8" t="n">
        <v>93.73999999999999</v>
      </c>
      <c r="Q138" s="16" t="n">
        <v>7</v>
      </c>
      <c r="R138" s="8" t="b">
        <v>0</v>
      </c>
      <c r="S138" s="9" t="inlineStr">
        <is>
          <t>[港口库存]：中国甲醇样本港口库存周数据统计(20241120）</t>
        </is>
      </c>
      <c r="T138" s="9" t="inlineStr">
        <is>
          <t>https://nenghua.m.mysteel.com/a/24112014/42C62EDC834154E0_abc.html</t>
        </is>
      </c>
      <c r="U138">
        <f>IF(OR(F138="",G138=""),"",ROUND(F138+G138,2))</f>
        <v/>
      </c>
      <c r="V138">
        <f>IF(U138="","",IF(ABS(U138-E138)&lt;0.05,"一致","差异"))</f>
        <v/>
      </c>
    </row>
    <row r="139">
      <c r="A139" s="8" t="inlineStr">
        <is>
          <t>2024-11-27</t>
        </is>
      </c>
      <c r="B139" s="8" t="n">
        <v>2024</v>
      </c>
      <c r="C139" s="8" t="n">
        <v>48</v>
      </c>
      <c r="D139" s="15" t="n">
        <v>117.7</v>
      </c>
      <c r="E139" s="15" t="n">
        <v>83.5</v>
      </c>
      <c r="F139" s="15" t="n">
        <v>67.2</v>
      </c>
      <c r="G139" s="15" t="n">
        <v>16.3</v>
      </c>
      <c r="H139" s="15" t="n">
        <v>15.1</v>
      </c>
      <c r="I139" s="15" t="n">
        <v>19.1</v>
      </c>
      <c r="J139" s="15" t="n">
        <v>-10.11</v>
      </c>
      <c r="K139" s="15" t="n">
        <v>-10.11</v>
      </c>
      <c r="L139" s="15" t="n">
        <v>-10.11</v>
      </c>
      <c r="M139" s="8" t="inlineStr">
        <is>
          <t>east_table</t>
        </is>
      </c>
      <c r="N139" s="8" t="b">
        <v>1</v>
      </c>
      <c r="O139" s="8" t="b">
        <v>1</v>
      </c>
      <c r="P139" s="8" t="n">
        <v>86.48</v>
      </c>
      <c r="Q139" s="16" t="n">
        <v>7</v>
      </c>
      <c r="R139" s="8" t="b">
        <v>0</v>
      </c>
      <c r="S139" s="9" t="inlineStr">
        <is>
          <t>[港口库存]：中国甲醇样本港口库存周数据统计(20241127）</t>
        </is>
      </c>
      <c r="T139" s="9" t="inlineStr">
        <is>
          <t>https://nenghua.m.mysteel.com/a/24112714/5E6724EC739E0156_abc.html</t>
        </is>
      </c>
      <c r="U139">
        <f>IF(OR(F139="",G139=""),"",ROUND(F139+G139,2))</f>
        <v/>
      </c>
      <c r="V139">
        <f>IF(U139="","",IF(ABS(U139-E139)&lt;0.05,"一致","差异"))</f>
        <v/>
      </c>
    </row>
    <row r="140">
      <c r="A140" s="8" t="inlineStr">
        <is>
          <t>2024-12-04</t>
        </is>
      </c>
      <c r="B140" s="8" t="n">
        <v>2024</v>
      </c>
      <c r="C140" s="8" t="n">
        <v>49</v>
      </c>
      <c r="D140" s="15" t="n">
        <v>122.13</v>
      </c>
      <c r="E140" s="15" t="n">
        <v>89.3</v>
      </c>
      <c r="F140" s="15" t="n">
        <v>71.8</v>
      </c>
      <c r="G140" s="15" t="n">
        <v>17.5</v>
      </c>
      <c r="H140" s="15" t="n">
        <v>13.9</v>
      </c>
      <c r="I140" s="15" t="n">
        <v>18.93</v>
      </c>
      <c r="J140" s="15" t="n">
        <v>5.8</v>
      </c>
      <c r="K140" s="15" t="n">
        <v>5.8</v>
      </c>
      <c r="L140" s="15" t="n">
        <v>5.8</v>
      </c>
      <c r="M140" s="8" t="inlineStr">
        <is>
          <t>east_table</t>
        </is>
      </c>
      <c r="N140" s="8" t="b">
        <v>1</v>
      </c>
      <c r="O140" s="8" t="b">
        <v>1</v>
      </c>
      <c r="P140" s="8" t="n">
        <v>89.73999999999999</v>
      </c>
      <c r="Q140" s="16" t="n">
        <v>7</v>
      </c>
      <c r="R140" s="8" t="b">
        <v>0</v>
      </c>
      <c r="S140" s="9" t="inlineStr">
        <is>
          <t>[港口库存]：中国甲醇样本港口库存周数据统计(20241204）</t>
        </is>
      </c>
      <c r="T140" s="9" t="inlineStr">
        <is>
          <t>https://nenghua.m.mysteel.com/a/24120414/8EBB51BAB06FC967_abc.html</t>
        </is>
      </c>
      <c r="U140">
        <f>IF(OR(F140="",G140=""),"",ROUND(F140+G140,2))</f>
        <v/>
      </c>
      <c r="V140">
        <f>IF(U140="","",IF(ABS(U140-E140)&lt;0.05,"一致","差异"))</f>
        <v/>
      </c>
    </row>
    <row r="141">
      <c r="A141" s="8" t="inlineStr">
        <is>
          <t>2024-12-11</t>
        </is>
      </c>
      <c r="B141" s="8" t="n">
        <v>2024</v>
      </c>
      <c r="C141" s="8" t="n">
        <v>50</v>
      </c>
      <c r="D141" s="15" t="n">
        <v>108.5</v>
      </c>
      <c r="E141" s="15" t="n">
        <v>78.45</v>
      </c>
      <c r="F141" s="15" t="n">
        <v>64.05</v>
      </c>
      <c r="G141" s="15" t="n">
        <v>14.4</v>
      </c>
      <c r="H141" s="15" t="n">
        <v>12.9</v>
      </c>
      <c r="I141" s="15" t="n">
        <v>17.15</v>
      </c>
      <c r="J141" s="15" t="n">
        <v>-10.85</v>
      </c>
      <c r="K141" s="15" t="n">
        <v>-10.85</v>
      </c>
      <c r="L141" s="15" t="n">
        <v>-10.85</v>
      </c>
      <c r="M141" s="8" t="inlineStr">
        <is>
          <t>east_table</t>
        </is>
      </c>
      <c r="N141" s="8" t="b">
        <v>1</v>
      </c>
      <c r="O141" s="8" t="b">
        <v>1</v>
      </c>
      <c r="P141" s="8" t="n">
        <v>79.72</v>
      </c>
      <c r="Q141" s="16" t="n">
        <v>7</v>
      </c>
      <c r="R141" s="8" t="b">
        <v>0</v>
      </c>
      <c r="S141" s="9" t="inlineStr">
        <is>
          <t>[港口库存]：中国甲醇样本港口库存周数据统计(20241211）</t>
        </is>
      </c>
      <c r="T141" s="9" t="inlineStr">
        <is>
          <t>https://nenghua.m.mysteel.com/a/24121114/81ECB461D5A18D47_abc.html</t>
        </is>
      </c>
      <c r="U141">
        <f>IF(OR(F141="",G141=""),"",ROUND(F141+G141,2))</f>
        <v/>
      </c>
      <c r="V141">
        <f>IF(U141="","",IF(ABS(U141-E141)&lt;0.05,"一致","差异"))</f>
        <v/>
      </c>
    </row>
    <row r="142">
      <c r="A142" s="8" t="inlineStr">
        <is>
          <t>2024-12-18</t>
        </is>
      </c>
      <c r="B142" s="8" t="n">
        <v>2024</v>
      </c>
      <c r="C142" s="8" t="n">
        <v>51</v>
      </c>
      <c r="D142" s="15" t="n">
        <v>107.03</v>
      </c>
      <c r="E142" s="15" t="n">
        <v>77.05</v>
      </c>
      <c r="F142" s="15" t="n">
        <v>57.85</v>
      </c>
      <c r="G142" s="15" t="n">
        <v>19.2</v>
      </c>
      <c r="H142" s="15" t="n">
        <v>13.95</v>
      </c>
      <c r="I142" s="15" t="n">
        <v>16.03</v>
      </c>
      <c r="J142" s="15" t="n">
        <v>-1.4</v>
      </c>
      <c r="K142" s="15" t="n">
        <v>-1.4</v>
      </c>
      <c r="L142" s="15" t="n">
        <v>-1.4</v>
      </c>
      <c r="M142" s="8" t="inlineStr">
        <is>
          <t>east_table</t>
        </is>
      </c>
      <c r="N142" s="8" t="b">
        <v>1</v>
      </c>
      <c r="O142" s="8" t="b">
        <v>1</v>
      </c>
      <c r="P142" s="8" t="n">
        <v>78.64</v>
      </c>
      <c r="Q142" s="16" t="n">
        <v>7</v>
      </c>
      <c r="R142" s="8" t="b">
        <v>0</v>
      </c>
      <c r="S142" s="9" t="inlineStr">
        <is>
          <t>[港口库存]：中国甲醇样本港口库存周数据统计(20241218）</t>
        </is>
      </c>
      <c r="T142" s="9" t="inlineStr">
        <is>
          <t>https://nenghua.m.mysteel.com/a/24121814/EB3D26E72FAE7BAD_abc.html</t>
        </is>
      </c>
      <c r="U142">
        <f>IF(OR(F142="",G142=""),"",ROUND(F142+G142,2))</f>
        <v/>
      </c>
      <c r="V142">
        <f>IF(U142="","",IF(ABS(U142-E142)&lt;0.05,"一致","差异"))</f>
        <v/>
      </c>
    </row>
    <row r="143">
      <c r="A143" s="8" t="inlineStr">
        <is>
          <t>2024-12-25</t>
        </is>
      </c>
      <c r="B143" s="8" t="n">
        <v>2024</v>
      </c>
      <c r="C143" s="8" t="n">
        <v>52</v>
      </c>
      <c r="D143" s="15" t="n">
        <v>95.83</v>
      </c>
      <c r="E143" s="15" t="n">
        <v>68.09999999999999</v>
      </c>
      <c r="F143" s="15" t="n">
        <v>54.6</v>
      </c>
      <c r="G143" s="15" t="n">
        <v>13.5</v>
      </c>
      <c r="H143" s="15" t="n">
        <v>12.9</v>
      </c>
      <c r="I143" s="15" t="n">
        <v>14.83</v>
      </c>
      <c r="J143" s="15" t="n">
        <v>-8.949999999999999</v>
      </c>
      <c r="K143" s="15" t="n">
        <v>-8.949999999999999</v>
      </c>
      <c r="L143" s="15" t="n">
        <v>-8.949999999999999</v>
      </c>
      <c r="M143" s="8" t="inlineStr">
        <is>
          <t>east_table</t>
        </is>
      </c>
      <c r="N143" s="8" t="b">
        <v>1</v>
      </c>
      <c r="O143" s="8" t="b">
        <v>1</v>
      </c>
      <c r="P143" s="8" t="n">
        <v>70.42</v>
      </c>
      <c r="Q143" s="16" t="n">
        <v>7</v>
      </c>
      <c r="R143" s="8" t="b">
        <v>0</v>
      </c>
      <c r="S143" s="9" t="inlineStr">
        <is>
          <t>[港口库存]：中国甲醇样本港口库存周数据统计(20241225）</t>
        </is>
      </c>
      <c r="T143" s="9" t="inlineStr">
        <is>
          <t>https://nenghua.m.mysteel.com/a/24122514/84E57F30C0DBE8ED_abc.html</t>
        </is>
      </c>
      <c r="U143">
        <f>IF(OR(F143="",G143=""),"",ROUND(F143+G143,2))</f>
        <v/>
      </c>
      <c r="V143">
        <f>IF(U143="","",IF(ABS(U143-E143)&lt;0.05,"一致","差异"))</f>
        <v/>
      </c>
    </row>
    <row r="144">
      <c r="A144" s="8" t="inlineStr">
        <is>
          <t>2025-01-02</t>
        </is>
      </c>
      <c r="B144" s="8" t="n">
        <v>2025</v>
      </c>
      <c r="C144" s="8" t="n">
        <v>1</v>
      </c>
      <c r="D144" s="15" t="n">
        <v>93.36</v>
      </c>
      <c r="E144" s="15" t="n">
        <v>67.2</v>
      </c>
      <c r="F144" s="15" t="n">
        <v>56.2</v>
      </c>
      <c r="G144" s="15" t="n">
        <v>11</v>
      </c>
      <c r="H144" s="15" t="n">
        <v>12.1</v>
      </c>
      <c r="I144" s="15" t="n">
        <v>14.06</v>
      </c>
      <c r="J144" s="15" t="n">
        <v>-0.9</v>
      </c>
      <c r="K144" s="15" t="n">
        <v>-0.9</v>
      </c>
      <c r="L144" s="15" t="n">
        <v>-0.9</v>
      </c>
      <c r="M144" s="8" t="inlineStr">
        <is>
          <t>east_table</t>
        </is>
      </c>
      <c r="N144" s="8" t="b">
        <v>1</v>
      </c>
      <c r="O144" s="8" t="b">
        <v>1</v>
      </c>
      <c r="P144" s="8" t="n">
        <v>68.59999999999999</v>
      </c>
      <c r="Q144" s="16" t="n">
        <v>8</v>
      </c>
      <c r="R144" s="8" t="b">
        <v>0</v>
      </c>
      <c r="S144" s="9" t="inlineStr">
        <is>
          <t>[港口库存]：中国甲醇样本港口库存周数据统计(20250102）</t>
        </is>
      </c>
      <c r="T144" s="9" t="inlineStr">
        <is>
          <t>https://nenghua.m.mysteel.com/a/25010214/DC91E166360C7DD1_abc.html</t>
        </is>
      </c>
      <c r="U144">
        <f>IF(OR(F144="",G144=""),"",ROUND(F144+G144,2))</f>
        <v/>
      </c>
      <c r="V144">
        <f>IF(U144="","",IF(ABS(U144-E144)&lt;0.05,"一致","差异"))</f>
        <v/>
      </c>
    </row>
    <row r="145">
      <c r="A145" s="8" t="inlineStr">
        <is>
          <t>2025-01-08</t>
        </is>
      </c>
      <c r="B145" s="8" t="n">
        <v>2025</v>
      </c>
      <c r="C145" s="8" t="n">
        <v>2</v>
      </c>
      <c r="D145" s="15" t="n">
        <v>84.77</v>
      </c>
      <c r="E145" s="15" t="n">
        <v>58.9</v>
      </c>
      <c r="F145" s="15" t="n">
        <v>48.5</v>
      </c>
      <c r="G145" s="15" t="n">
        <v>10.4</v>
      </c>
      <c r="H145" s="15" t="n">
        <v>11.75</v>
      </c>
      <c r="I145" s="15" t="n">
        <v>14.12</v>
      </c>
      <c r="J145" s="15" t="n">
        <v>-8.300000000000001</v>
      </c>
      <c r="K145" s="15" t="n">
        <v>-8.300000000000001</v>
      </c>
      <c r="L145" s="15" t="n">
        <v>-8.300000000000001</v>
      </c>
      <c r="M145" s="8" t="inlineStr">
        <is>
          <t>east_table</t>
        </is>
      </c>
      <c r="N145" s="8" t="b">
        <v>1</v>
      </c>
      <c r="O145" s="8" t="b">
        <v>1</v>
      </c>
      <c r="P145" s="8" t="n">
        <v>62.29</v>
      </c>
      <c r="Q145" s="16" t="n">
        <v>6</v>
      </c>
      <c r="R145" s="8" t="b">
        <v>0</v>
      </c>
      <c r="S145" s="9" t="inlineStr">
        <is>
          <t>[港口库存]：中国甲醇样本港口库存周数据统计(20250108）</t>
        </is>
      </c>
      <c r="T145" s="9" t="inlineStr">
        <is>
          <t>https://nenghua.m.mysteel.com/a/25010814/9BF7B686E1BEBE2A_abc.html</t>
        </is>
      </c>
      <c r="U145">
        <f>IF(OR(F145="",G145=""),"",ROUND(F145+G145,2))</f>
        <v/>
      </c>
      <c r="V145">
        <f>IF(U145="","",IF(ABS(U145-E145)&lt;0.05,"一致","差异"))</f>
        <v/>
      </c>
    </row>
    <row r="146">
      <c r="A146" s="8" t="inlineStr">
        <is>
          <t>2025-01-15</t>
        </is>
      </c>
      <c r="B146" s="8" t="n">
        <v>2025</v>
      </c>
      <c r="C146" s="8" t="n">
        <v>3</v>
      </c>
      <c r="D146" s="15" t="n">
        <v>91.47</v>
      </c>
      <c r="E146" s="15" t="n">
        <v>66.90000000000001</v>
      </c>
      <c r="F146" s="15" t="n">
        <v>52.9</v>
      </c>
      <c r="G146" s="15" t="n">
        <v>14</v>
      </c>
      <c r="H146" s="15" t="n">
        <v>10.7</v>
      </c>
      <c r="I146" s="15" t="n">
        <v>13.87</v>
      </c>
      <c r="J146" s="15" t="n">
        <v>8</v>
      </c>
      <c r="K146" s="15" t="n">
        <v>8</v>
      </c>
      <c r="L146" s="15" t="n">
        <v>8</v>
      </c>
      <c r="M146" s="8" t="inlineStr">
        <is>
          <t>east_table</t>
        </is>
      </c>
      <c r="N146" s="8" t="b">
        <v>1</v>
      </c>
      <c r="O146" s="8" t="b">
        <v>1</v>
      </c>
      <c r="P146" s="8" t="n">
        <v>67.20999999999999</v>
      </c>
      <c r="Q146" s="16" t="n">
        <v>7</v>
      </c>
      <c r="R146" s="8" t="b">
        <v>0</v>
      </c>
      <c r="S146" s="9" t="inlineStr">
        <is>
          <t>[港口库存]：中国甲醇样本港口库存周数据统计(20250115）</t>
        </is>
      </c>
      <c r="T146" s="9" t="inlineStr">
        <is>
          <t>https://nenghua.m.mysteel.com/a/25011514/C7F12E12B3431B2C_abc.html</t>
        </is>
      </c>
      <c r="U146">
        <f>IF(OR(F146="",G146=""),"",ROUND(F146+G146,2))</f>
        <v/>
      </c>
      <c r="V146">
        <f>IF(U146="","",IF(ABS(U146-E146)&lt;0.05,"一致","差异"))</f>
        <v/>
      </c>
    </row>
    <row r="147">
      <c r="A147" s="8" t="inlineStr">
        <is>
          <t>2025-01-22</t>
        </is>
      </c>
      <c r="B147" s="8" t="n">
        <v>2025</v>
      </c>
      <c r="C147" s="8" t="n">
        <v>4</v>
      </c>
      <c r="D147" s="15" t="n">
        <v>92.97</v>
      </c>
      <c r="E147" s="15" t="n">
        <v>69.06</v>
      </c>
      <c r="F147" s="15" t="n">
        <v>54.66</v>
      </c>
      <c r="G147" s="15" t="n">
        <v>14.4</v>
      </c>
      <c r="H147" s="15" t="n">
        <v>10.3</v>
      </c>
      <c r="I147" s="15" t="n">
        <v>13.61</v>
      </c>
      <c r="J147" s="15" t="n">
        <v>2.16</v>
      </c>
      <c r="K147" s="15" t="n">
        <v>2.16</v>
      </c>
      <c r="L147" s="15" t="n">
        <v>2.16</v>
      </c>
      <c r="M147" s="8" t="inlineStr">
        <is>
          <t>east_table</t>
        </is>
      </c>
      <c r="N147" s="8" t="b">
        <v>1</v>
      </c>
      <c r="O147" s="8" t="b">
        <v>1</v>
      </c>
      <c r="P147" s="8" t="n">
        <v>68.31</v>
      </c>
      <c r="Q147" s="16" t="n">
        <v>7</v>
      </c>
      <c r="R147" s="8" t="b">
        <v>0</v>
      </c>
      <c r="S147" s="9" t="inlineStr">
        <is>
          <t>[港口库存]：中国甲醇样本港口库存周数据统计(20250122）</t>
        </is>
      </c>
      <c r="T147" s="9" t="inlineStr">
        <is>
          <t>https://nenghua.m.mysteel.com/a/25012214/34C0D105C00C64C5_abc.html</t>
        </is>
      </c>
      <c r="U147">
        <f>IF(OR(F147="",G147=""),"",ROUND(F147+G147,2))</f>
        <v/>
      </c>
      <c r="V147">
        <f>IF(U147="","",IF(ABS(U147-E147)&lt;0.05,"一致","差异"))</f>
        <v/>
      </c>
    </row>
    <row r="148">
      <c r="A148" s="8" t="inlineStr">
        <is>
          <t>2025-02-05</t>
        </is>
      </c>
      <c r="B148" s="8" t="n">
        <v>2025</v>
      </c>
      <c r="C148" s="8" t="n">
        <v>6</v>
      </c>
      <c r="D148" s="15" t="n">
        <v>95.51000000000001</v>
      </c>
      <c r="E148" s="15" t="n">
        <v>69.40000000000001</v>
      </c>
      <c r="F148" s="15" t="n">
        <v>56.9</v>
      </c>
      <c r="G148" s="15" t="n">
        <v>12.5</v>
      </c>
      <c r="H148" s="15" t="n">
        <v>12.3</v>
      </c>
      <c r="I148" s="15" t="n">
        <v>13.81</v>
      </c>
      <c r="J148" s="15" t="n">
        <v>0.34</v>
      </c>
      <c r="K148" s="15" t="n">
        <v>0.34</v>
      </c>
      <c r="L148" s="15" t="n">
        <v>0.34</v>
      </c>
      <c r="M148" s="8" t="inlineStr">
        <is>
          <t>east_table</t>
        </is>
      </c>
      <c r="N148" s="8" t="b">
        <v>1</v>
      </c>
      <c r="O148" s="8" t="b">
        <v>1</v>
      </c>
      <c r="P148" s="8" t="n">
        <v>70.18000000000001</v>
      </c>
      <c r="Q148" s="16" t="n">
        <v>14</v>
      </c>
      <c r="R148" s="8" t="b">
        <v>0</v>
      </c>
      <c r="S148" s="9" t="inlineStr">
        <is>
          <t>[港口库存]：中国甲醇样本港口库存周数据统计(20250205）</t>
        </is>
      </c>
      <c r="T148" s="9" t="inlineStr">
        <is>
          <t>https://nenghua.m.mysteel.com/a/25020514/6031624C7DD21CDF_abc.html</t>
        </is>
      </c>
      <c r="U148">
        <f>IF(OR(F148="",G148=""),"",ROUND(F148+G148,2))</f>
        <v/>
      </c>
      <c r="V148">
        <f>IF(U148="","",IF(ABS(U148-E148)&lt;0.05,"一致","差异"))</f>
        <v/>
      </c>
    </row>
    <row r="149">
      <c r="A149" s="8" t="inlineStr">
        <is>
          <t>2025-02-12</t>
        </is>
      </c>
      <c r="B149" s="8" t="n">
        <v>2025</v>
      </c>
      <c r="C149" s="8" t="n">
        <v>7</v>
      </c>
      <c r="D149" s="15" t="n">
        <v>96.95</v>
      </c>
      <c r="E149" s="15" t="n">
        <v>71.73</v>
      </c>
      <c r="F149" s="15" t="n">
        <v>62.15</v>
      </c>
      <c r="G149" s="15" t="n">
        <v>9.58</v>
      </c>
      <c r="H149" s="15" t="n">
        <v>11.85</v>
      </c>
      <c r="I149" s="15" t="n">
        <v>13.37</v>
      </c>
      <c r="J149" s="15" t="n">
        <v>2.33</v>
      </c>
      <c r="K149" s="15" t="n">
        <v>2.33</v>
      </c>
      <c r="L149" s="15" t="n">
        <v>2.33</v>
      </c>
      <c r="M149" s="8" t="inlineStr">
        <is>
          <t>east_table</t>
        </is>
      </c>
      <c r="N149" s="8" t="b">
        <v>1</v>
      </c>
      <c r="O149" s="8" t="b">
        <v>1</v>
      </c>
      <c r="P149" s="8" t="n">
        <v>71.23999999999999</v>
      </c>
      <c r="Q149" s="16" t="n">
        <v>7</v>
      </c>
      <c r="R149" s="8" t="b">
        <v>0</v>
      </c>
      <c r="S149" s="9" t="inlineStr">
        <is>
          <t>[港口库存]：中国甲醇样本港口库存周数据统计(20250212）</t>
        </is>
      </c>
      <c r="T149" s="9" t="inlineStr">
        <is>
          <t>https://nenghua.m.mysteel.com/a/25021214/13F7AD8E33DCC9B2_abc.html</t>
        </is>
      </c>
      <c r="U149">
        <f>IF(OR(F149="",G149=""),"",ROUND(F149+G149,2))</f>
        <v/>
      </c>
      <c r="V149">
        <f>IF(U149="","",IF(ABS(U149-E149)&lt;0.05,"一致","差异"))</f>
        <v/>
      </c>
    </row>
    <row r="150">
      <c r="A150" s="8" t="inlineStr">
        <is>
          <t>2025-02-19</t>
        </is>
      </c>
      <c r="B150" s="8" t="n">
        <v>2025</v>
      </c>
      <c r="C150" s="8" t="n">
        <v>8</v>
      </c>
      <c r="D150" s="15" t="n">
        <v>100.12</v>
      </c>
      <c r="E150" s="15" t="n">
        <v>77.7</v>
      </c>
      <c r="F150" s="15" t="n">
        <v>67.34999999999999</v>
      </c>
      <c r="G150" s="15" t="n">
        <v>10.35</v>
      </c>
      <c r="H150" s="15" t="n">
        <v>10.2</v>
      </c>
      <c r="I150" s="15" t="n">
        <v>12.22</v>
      </c>
      <c r="J150" s="15" t="n">
        <v>5.97</v>
      </c>
      <c r="K150" s="15" t="n">
        <v>5.97</v>
      </c>
      <c r="L150" s="15" t="n">
        <v>5.97</v>
      </c>
      <c r="M150" s="8" t="inlineStr">
        <is>
          <t>east_table</t>
        </is>
      </c>
      <c r="N150" s="8" t="b">
        <v>1</v>
      </c>
      <c r="O150" s="8" t="b">
        <v>1</v>
      </c>
      <c r="P150" s="8" t="n">
        <v>73.56999999999999</v>
      </c>
      <c r="Q150" s="16" t="n">
        <v>7</v>
      </c>
      <c r="R150" s="8" t="b">
        <v>0</v>
      </c>
      <c r="S150" s="9" t="inlineStr">
        <is>
          <t>[港口库存]：中国甲醇样本港口库存周数据统计(20250219）</t>
        </is>
      </c>
      <c r="T150" s="9" t="inlineStr">
        <is>
          <t>https://nenghua.m.mysteel.com/a/25021914/BFD737CD91C6C455_abc.html</t>
        </is>
      </c>
      <c r="U150">
        <f>IF(OR(F150="",G150=""),"",ROUND(F150+G150,2))</f>
        <v/>
      </c>
      <c r="V150">
        <f>IF(U150="","",IF(ABS(U150-E150)&lt;0.05,"一致","差异"))</f>
        <v/>
      </c>
    </row>
    <row r="151">
      <c r="A151" s="8" t="inlineStr">
        <is>
          <t>2025-02-26</t>
        </is>
      </c>
      <c r="B151" s="8" t="n">
        <v>2025</v>
      </c>
      <c r="C151" s="8" t="n">
        <v>9</v>
      </c>
      <c r="D151" s="15" t="n">
        <v>106.92</v>
      </c>
      <c r="E151" s="15" t="n">
        <v>84.12</v>
      </c>
      <c r="F151" s="15" t="n">
        <v>65</v>
      </c>
      <c r="G151" s="15" t="n">
        <v>19.12</v>
      </c>
      <c r="H151" s="15" t="n">
        <v>9.699999999999999</v>
      </c>
      <c r="I151" s="15" t="n">
        <v>13.1</v>
      </c>
      <c r="J151" s="15" t="n">
        <v>5.72</v>
      </c>
      <c r="K151" s="15" t="n">
        <v>5.72</v>
      </c>
      <c r="L151" s="15" t="n">
        <v>6.42</v>
      </c>
      <c r="M151" s="8" t="inlineStr">
        <is>
          <t>east_table</t>
        </is>
      </c>
      <c r="N151" s="8" t="b">
        <v>1</v>
      </c>
      <c r="O151" s="8" t="b">
        <v>1</v>
      </c>
      <c r="P151" s="8" t="n">
        <v>78.56</v>
      </c>
      <c r="Q151" s="16" t="n">
        <v>7</v>
      </c>
      <c r="R151" s="8" t="b">
        <v>0</v>
      </c>
      <c r="S151" s="9" t="inlineStr">
        <is>
          <t>[港口库存]：中国甲醇样本港口库存周数据统计(20250226）</t>
        </is>
      </c>
      <c r="T151" s="9" t="inlineStr">
        <is>
          <t>https://nenghua.m.mysteel.com/a/25022614/8A1F652566884357_abc.html</t>
        </is>
      </c>
      <c r="U151">
        <f>IF(OR(F151="",G151=""),"",ROUND(F151+G151,2))</f>
        <v/>
      </c>
      <c r="V151">
        <f>IF(U151="","",IF(ABS(U151-E151)&lt;0.05,"一致","差异"))</f>
        <v/>
      </c>
    </row>
    <row r="152">
      <c r="A152" s="8" t="inlineStr">
        <is>
          <t>2025-03-05</t>
        </is>
      </c>
      <c r="B152" s="8" t="n">
        <v>2025</v>
      </c>
      <c r="C152" s="8" t="n">
        <v>10</v>
      </c>
      <c r="D152" s="15" t="n">
        <v>100.61</v>
      </c>
      <c r="E152" s="15" t="n">
        <v>76.54000000000001</v>
      </c>
      <c r="F152" s="15" t="n">
        <v>60.02</v>
      </c>
      <c r="G152" s="15" t="n">
        <v>16.52</v>
      </c>
      <c r="H152" s="15" t="n">
        <v>12.2</v>
      </c>
      <c r="I152" s="15" t="n">
        <v>11.87</v>
      </c>
      <c r="J152" s="15" t="n">
        <v>-7.58</v>
      </c>
      <c r="K152" s="15" t="n">
        <v>-7.58</v>
      </c>
      <c r="L152" s="15" t="n">
        <v>-7.58</v>
      </c>
      <c r="M152" s="8" t="inlineStr">
        <is>
          <t>east_table</t>
        </is>
      </c>
      <c r="N152" s="8" t="b">
        <v>1</v>
      </c>
      <c r="O152" s="8" t="b">
        <v>1</v>
      </c>
      <c r="P152" s="8" t="n">
        <v>73.93000000000001</v>
      </c>
      <c r="Q152" s="16" t="n">
        <v>7</v>
      </c>
      <c r="R152" s="8" t="b">
        <v>0</v>
      </c>
      <c r="S152" s="9" t="inlineStr">
        <is>
          <t>[港口库存]：中国甲醇样本港口库存周数据统计(20250305）</t>
        </is>
      </c>
      <c r="T152" s="9" t="inlineStr">
        <is>
          <t>https://nenghua.m.mysteel.com/a/25030514/2933A3C8C6EF862D_abc.html</t>
        </is>
      </c>
      <c r="U152">
        <f>IF(OR(F152="",G152=""),"",ROUND(F152+G152,2))</f>
        <v/>
      </c>
      <c r="V152">
        <f>IF(U152="","",IF(ABS(U152-E152)&lt;0.05,"一致","差异"))</f>
        <v/>
      </c>
    </row>
    <row r="153">
      <c r="A153" s="8" t="inlineStr">
        <is>
          <t>2025-03-12</t>
        </is>
      </c>
      <c r="B153" s="8" t="n">
        <v>2025</v>
      </c>
      <c r="C153" s="8" t="n">
        <v>11</v>
      </c>
      <c r="D153" s="15" t="n">
        <v>91.09999999999999</v>
      </c>
      <c r="E153" s="15" t="n">
        <v>67.5</v>
      </c>
      <c r="F153" s="15" t="n">
        <v>54.1</v>
      </c>
      <c r="G153" s="15" t="n">
        <v>13.4</v>
      </c>
      <c r="H153" s="15" t="n">
        <v>12.35</v>
      </c>
      <c r="I153" s="15" t="n">
        <v>11.25</v>
      </c>
      <c r="J153" s="15" t="n">
        <v>-9.039999999999999</v>
      </c>
      <c r="K153" s="15" t="n">
        <v>-9.039999999999999</v>
      </c>
      <c r="L153" s="15" t="n">
        <v>-9.039999999999999</v>
      </c>
      <c r="M153" s="8" t="inlineStr">
        <is>
          <t>east_table</t>
        </is>
      </c>
      <c r="N153" s="8" t="b">
        <v>1</v>
      </c>
      <c r="O153" s="8" t="b">
        <v>1</v>
      </c>
      <c r="P153" s="8" t="n">
        <v>66.94</v>
      </c>
      <c r="Q153" s="16" t="n">
        <v>7</v>
      </c>
      <c r="R153" s="8" t="b">
        <v>0</v>
      </c>
      <c r="S153" s="9" t="inlineStr">
        <is>
          <t>[港口库存]：中国甲醇样本港口库存周数据统计(20250312）</t>
        </is>
      </c>
      <c r="T153" s="9" t="inlineStr">
        <is>
          <t>https://nenghua.m.mysteel.com/a/25031214/3D0A2D314981138C_abc.html</t>
        </is>
      </c>
      <c r="U153">
        <f>IF(OR(F153="",G153=""),"",ROUND(F153+G153,2))</f>
        <v/>
      </c>
      <c r="V153">
        <f>IF(U153="","",IF(ABS(U153-E153)&lt;0.05,"一致","差异"))</f>
        <v/>
      </c>
    </row>
    <row r="154">
      <c r="A154" s="8" t="inlineStr">
        <is>
          <t>2025-03-19</t>
        </is>
      </c>
      <c r="B154" s="8" t="n">
        <v>2025</v>
      </c>
      <c r="C154" s="8" t="n">
        <v>12</v>
      </c>
      <c r="D154" s="15" t="n">
        <v>80.01000000000001</v>
      </c>
      <c r="E154" s="15" t="n">
        <v>58.8</v>
      </c>
      <c r="F154" s="15" t="n">
        <v>47.1</v>
      </c>
      <c r="G154" s="15" t="n">
        <v>11.7</v>
      </c>
      <c r="H154" s="15" t="n">
        <v>11.2</v>
      </c>
      <c r="I154" s="15" t="n">
        <v>10.01</v>
      </c>
      <c r="J154" s="15" t="n">
        <v>-8.699999999999999</v>
      </c>
      <c r="K154" s="15" t="n">
        <v>-8.699999999999999</v>
      </c>
      <c r="L154" s="15" t="n">
        <v>-8.699999999999999</v>
      </c>
      <c r="M154" s="8" t="inlineStr">
        <is>
          <t>east_table</t>
        </is>
      </c>
      <c r="N154" s="8" t="b">
        <v>1</v>
      </c>
      <c r="O154" s="8" t="b">
        <v>1</v>
      </c>
      <c r="P154" s="8" t="n">
        <v>58.79</v>
      </c>
      <c r="Q154" s="16" t="n">
        <v>7</v>
      </c>
      <c r="R154" s="8" t="b">
        <v>0</v>
      </c>
      <c r="S154" s="9" t="inlineStr">
        <is>
          <t>[港口库存]：中国甲醇样本港口库存周数据统计(20250319）</t>
        </is>
      </c>
      <c r="T154" s="9" t="inlineStr">
        <is>
          <t>https://nenghua.m.mysteel.com/a/25031914/0CAC0884FBDC0B96_abc.html</t>
        </is>
      </c>
      <c r="U154">
        <f>IF(OR(F154="",G154=""),"",ROUND(F154+G154,2))</f>
        <v/>
      </c>
      <c r="V154">
        <f>IF(U154="","",IF(ABS(U154-E154)&lt;0.05,"一致","差异"))</f>
        <v/>
      </c>
    </row>
    <row r="155">
      <c r="A155" s="8" t="inlineStr">
        <is>
          <t>2025-03-26</t>
        </is>
      </c>
      <c r="B155" s="8" t="n">
        <v>2025</v>
      </c>
      <c r="C155" s="8" t="n">
        <v>13</v>
      </c>
      <c r="D155" s="15" t="n">
        <v>77.38</v>
      </c>
      <c r="E155" s="15" t="n">
        <v>56.65</v>
      </c>
      <c r="F155" s="15" t="n">
        <v>40.8</v>
      </c>
      <c r="G155" s="15" t="n">
        <v>15.85</v>
      </c>
      <c r="H155" s="15" t="n">
        <v>11.1</v>
      </c>
      <c r="I155" s="15" t="n">
        <v>9.630000000000001</v>
      </c>
      <c r="J155" s="15" t="n">
        <v>-2.15</v>
      </c>
      <c r="K155" s="15" t="n">
        <v>-2.15</v>
      </c>
      <c r="L155" s="15" t="n">
        <v>-2.15</v>
      </c>
      <c r="M155" s="8" t="inlineStr">
        <is>
          <t>east_table</t>
        </is>
      </c>
      <c r="N155" s="8" t="b">
        <v>1</v>
      </c>
      <c r="O155" s="8" t="b">
        <v>1</v>
      </c>
      <c r="P155" s="8" t="n">
        <v>56.86</v>
      </c>
      <c r="Q155" s="16" t="n">
        <v>7</v>
      </c>
      <c r="R155" s="8" t="b">
        <v>0</v>
      </c>
      <c r="S155" s="9" t="inlineStr">
        <is>
          <t>[港口库存]：中国甲醇样本港口库存周数据统计(20250326）</t>
        </is>
      </c>
      <c r="T155" s="9" t="inlineStr">
        <is>
          <t>https://nenghua.m.mysteel.com/a/25032614/883B189285270B87_abc.html</t>
        </is>
      </c>
      <c r="U155">
        <f>IF(OR(F155="",G155=""),"",ROUND(F155+G155,2))</f>
        <v/>
      </c>
      <c r="V155">
        <f>IF(U155="","",IF(ABS(U155-E155)&lt;0.05,"一致","差异"))</f>
        <v/>
      </c>
    </row>
    <row r="156">
      <c r="A156" s="8" t="inlineStr">
        <is>
          <t>2025-04-02</t>
        </is>
      </c>
      <c r="B156" s="8" t="n">
        <v>2025</v>
      </c>
      <c r="C156" s="8" t="n">
        <v>14</v>
      </c>
      <c r="D156" s="15" t="n">
        <v>61.61</v>
      </c>
      <c r="E156" s="15" t="n">
        <v>45.1</v>
      </c>
      <c r="F156" s="15" t="n">
        <v>34</v>
      </c>
      <c r="G156" s="15" t="n">
        <v>11.1</v>
      </c>
      <c r="H156" s="15" t="n">
        <v>8.25</v>
      </c>
      <c r="I156" s="15" t="n">
        <v>8.26</v>
      </c>
      <c r="J156" s="15" t="n">
        <v>-11.55</v>
      </c>
      <c r="K156" s="15" t="n">
        <v>-11.55</v>
      </c>
      <c r="L156" s="15" t="n">
        <v>-11.55</v>
      </c>
      <c r="M156" s="8" t="inlineStr">
        <is>
          <t>east_table</t>
        </is>
      </c>
      <c r="N156" s="8" t="b">
        <v>1</v>
      </c>
      <c r="O156" s="8" t="b">
        <v>1</v>
      </c>
      <c r="P156" s="8" t="n">
        <v>45.27</v>
      </c>
      <c r="Q156" s="16" t="n">
        <v>7</v>
      </c>
      <c r="R156" s="8" t="b">
        <v>0</v>
      </c>
      <c r="S156" s="9" t="inlineStr">
        <is>
          <t>[港口库存]：中国甲醇样本港口库存周数据统计(20250402）</t>
        </is>
      </c>
      <c r="T156" s="9" t="inlineStr">
        <is>
          <t>https://nenghua.m.mysteel.com/a/25040214/0D0560CC7E39D6D9_abc.html</t>
        </is>
      </c>
      <c r="U156">
        <f>IF(OR(F156="",G156=""),"",ROUND(F156+G156,2))</f>
        <v/>
      </c>
      <c r="V156">
        <f>IF(U156="","",IF(ABS(U156-E156)&lt;0.05,"一致","差异"))</f>
        <v/>
      </c>
    </row>
    <row r="157">
      <c r="A157" s="8" t="inlineStr">
        <is>
          <t>2025-04-09</t>
        </is>
      </c>
      <c r="B157" s="8" t="n">
        <v>2025</v>
      </c>
      <c r="C157" s="8" t="n">
        <v>15</v>
      </c>
      <c r="D157" s="15" t="n">
        <v>56.98</v>
      </c>
      <c r="E157" s="15" t="n">
        <v>40</v>
      </c>
      <c r="F157" s="15" t="n">
        <v>26.2</v>
      </c>
      <c r="G157" s="15" t="n">
        <v>13.8</v>
      </c>
      <c r="H157" s="15" t="n">
        <v>8.800000000000001</v>
      </c>
      <c r="I157" s="15" t="n">
        <v>8.18</v>
      </c>
      <c r="J157" s="15" t="n">
        <v>-5.1</v>
      </c>
      <c r="K157" s="15" t="n">
        <v>-5.1</v>
      </c>
      <c r="L157" s="15" t="n">
        <v>-5.1</v>
      </c>
      <c r="M157" s="8" t="inlineStr">
        <is>
          <t>east_table</t>
        </is>
      </c>
      <c r="N157" s="8" t="b">
        <v>1</v>
      </c>
      <c r="O157" s="8" t="b">
        <v>1</v>
      </c>
      <c r="P157" s="8" t="n">
        <v>41.87</v>
      </c>
      <c r="Q157" s="16" t="n">
        <v>7</v>
      </c>
      <c r="R157" s="8" t="b">
        <v>0</v>
      </c>
      <c r="S157" s="9" t="inlineStr">
        <is>
          <t>[港口库存]：中国甲醇样本港口库存周数据统计(20250409）</t>
        </is>
      </c>
      <c r="T157" s="9" t="inlineStr">
        <is>
          <t>https://nenghua.m.mysteel.com/a/25040914/A734541E90C05BCE_abc.html</t>
        </is>
      </c>
      <c r="U157">
        <f>IF(OR(F157="",G157=""),"",ROUND(F157+G157,2))</f>
        <v/>
      </c>
      <c r="V157">
        <f>IF(U157="","",IF(ABS(U157-E157)&lt;0.05,"一致","差异"))</f>
        <v/>
      </c>
    </row>
    <row r="158">
      <c r="A158" s="8" t="inlineStr">
        <is>
          <t>2025-04-16</t>
        </is>
      </c>
      <c r="B158" s="8" t="n">
        <v>2025</v>
      </c>
      <c r="C158" s="8" t="n">
        <v>16</v>
      </c>
      <c r="D158" s="15" t="n">
        <v>58.56</v>
      </c>
      <c r="E158" s="15" t="n">
        <v>43.03</v>
      </c>
      <c r="F158" s="15" t="n">
        <v>28.13</v>
      </c>
      <c r="G158" s="15" t="n">
        <v>14.9</v>
      </c>
      <c r="H158" s="15" t="n">
        <v>7.9</v>
      </c>
      <c r="I158" s="15" t="n">
        <v>7.63</v>
      </c>
      <c r="J158" s="15" t="n">
        <v>3.03</v>
      </c>
      <c r="K158" s="15" t="n">
        <v>3.03</v>
      </c>
      <c r="L158" s="15" t="n">
        <v>3.03</v>
      </c>
      <c r="M158" s="8" t="inlineStr">
        <is>
          <t>east_table</t>
        </is>
      </c>
      <c r="N158" s="8" t="b">
        <v>1</v>
      </c>
      <c r="O158" s="8" t="b">
        <v>1</v>
      </c>
      <c r="P158" s="8" t="n">
        <v>43.03</v>
      </c>
      <c r="Q158" s="16" t="n">
        <v>7</v>
      </c>
      <c r="R158" s="8" t="b">
        <v>0</v>
      </c>
      <c r="S158" s="9" t="inlineStr">
        <is>
          <t>[港口库存]：中国甲醇样本港口库存周数据统计(20250416）</t>
        </is>
      </c>
      <c r="T158" s="9" t="inlineStr">
        <is>
          <t>https://nenghua.m.mysteel.com/a/25041614/2711879CAF92DFF5_abc.html</t>
        </is>
      </c>
      <c r="U158">
        <f>IF(OR(F158="",G158=""),"",ROUND(F158+G158,2))</f>
        <v/>
      </c>
      <c r="V158">
        <f>IF(U158="","",IF(ABS(U158-E158)&lt;0.05,"一致","差异"))</f>
        <v/>
      </c>
    </row>
    <row r="159">
      <c r="A159" s="8" t="inlineStr">
        <is>
          <t>2025-04-23</t>
        </is>
      </c>
      <c r="B159" s="8" t="n">
        <v>2025</v>
      </c>
      <c r="C159" s="8" t="n">
        <v>17</v>
      </c>
      <c r="D159" s="15" t="n">
        <v>46.32</v>
      </c>
      <c r="E159" s="15" t="n">
        <v>33.8</v>
      </c>
      <c r="F159" s="15" t="n">
        <v>22.4</v>
      </c>
      <c r="G159" s="15" t="n">
        <v>11.4</v>
      </c>
      <c r="H159" s="15" t="n">
        <v>5.4</v>
      </c>
      <c r="I159" s="15" t="n">
        <v>7.12</v>
      </c>
      <c r="J159" s="15" t="n">
        <v>-9.23</v>
      </c>
      <c r="K159" s="15" t="n">
        <v>-9.23</v>
      </c>
      <c r="L159" s="15" t="n">
        <v>-9.23</v>
      </c>
      <c r="M159" s="8" t="inlineStr">
        <is>
          <t>east_table</t>
        </is>
      </c>
      <c r="N159" s="8" t="b">
        <v>1</v>
      </c>
      <c r="O159" s="8" t="b">
        <v>1</v>
      </c>
      <c r="P159" s="8" t="n">
        <v>34.04</v>
      </c>
      <c r="Q159" s="16" t="n">
        <v>7</v>
      </c>
      <c r="R159" s="8" t="b">
        <v>0</v>
      </c>
      <c r="S159" s="9" t="inlineStr">
        <is>
          <t>[港口库存]：中国甲醇样本港口库存周数据统计(20250423）</t>
        </is>
      </c>
      <c r="T159" s="9" t="inlineStr">
        <is>
          <t>https://nenghua.m.mysteel.com/a/25042314/1459D83691A0ECAD_abc.html</t>
        </is>
      </c>
      <c r="U159">
        <f>IF(OR(F159="",G159=""),"",ROUND(F159+G159,2))</f>
        <v/>
      </c>
      <c r="V159">
        <f>IF(U159="","",IF(ABS(U159-E159)&lt;0.05,"一致","差异"))</f>
        <v/>
      </c>
    </row>
    <row r="160">
      <c r="A160" s="8" t="inlineStr">
        <is>
          <t>2025-04-30</t>
        </is>
      </c>
      <c r="B160" s="8" t="n">
        <v>2025</v>
      </c>
      <c r="C160" s="8" t="n">
        <v>18</v>
      </c>
      <c r="D160" s="15" t="n">
        <v>53.74</v>
      </c>
      <c r="E160" s="15" t="n">
        <v>39.24</v>
      </c>
      <c r="F160" s="15" t="n">
        <v>24.8</v>
      </c>
      <c r="G160" s="15" t="n">
        <v>14.44</v>
      </c>
      <c r="H160" s="15" t="n">
        <v>6.3</v>
      </c>
      <c r="I160" s="15" t="n">
        <v>8.199999999999999</v>
      </c>
      <c r="J160" s="15" t="n">
        <v>5.44</v>
      </c>
      <c r="K160" s="15" t="n">
        <v>5.44</v>
      </c>
      <c r="L160" s="15" t="n">
        <v>5.44</v>
      </c>
      <c r="M160" s="8" t="inlineStr">
        <is>
          <t>east_table</t>
        </is>
      </c>
      <c r="N160" s="8" t="b">
        <v>1</v>
      </c>
      <c r="O160" s="8" t="b">
        <v>1</v>
      </c>
      <c r="P160" s="8" t="n">
        <v>39.49</v>
      </c>
      <c r="Q160" s="16" t="n">
        <v>7</v>
      </c>
      <c r="R160" s="8" t="b">
        <v>0</v>
      </c>
      <c r="S160" s="9" t="inlineStr">
        <is>
          <t>[港口库存]：中国甲醇样本港口库存周数据统计(20250430）</t>
        </is>
      </c>
      <c r="T160" s="9" t="inlineStr">
        <is>
          <t>https://nenghua.m.mysteel.com/a/25043014/07A0A18714F610C2_abc.html</t>
        </is>
      </c>
      <c r="U160">
        <f>IF(OR(F160="",G160=""),"",ROUND(F160+G160,2))</f>
        <v/>
      </c>
      <c r="V160">
        <f>IF(U160="","",IF(ABS(U160-E160)&lt;0.05,"一致","差异"))</f>
        <v/>
      </c>
    </row>
    <row r="161">
      <c r="A161" s="8" t="inlineStr">
        <is>
          <t>2025-05-07</t>
        </is>
      </c>
      <c r="B161" s="8" t="n">
        <v>2025</v>
      </c>
      <c r="C161" s="8" t="n">
        <v>19</v>
      </c>
      <c r="D161" s="15" t="n">
        <v>56.19</v>
      </c>
      <c r="E161" s="15" t="n">
        <v>37.95</v>
      </c>
      <c r="F161" s="15" t="n">
        <v>23</v>
      </c>
      <c r="G161" s="15" t="n">
        <v>14.95</v>
      </c>
      <c r="H161" s="15" t="n">
        <v>10.9</v>
      </c>
      <c r="I161" s="15" t="n">
        <v>7.34</v>
      </c>
      <c r="J161" s="15" t="n">
        <v>-1.29</v>
      </c>
      <c r="K161" s="15" t="n">
        <v>-1.29</v>
      </c>
      <c r="L161" s="15" t="n">
        <v>-1.29</v>
      </c>
      <c r="M161" s="8" t="inlineStr">
        <is>
          <t>east_table</t>
        </is>
      </c>
      <c r="N161" s="8" t="b">
        <v>1</v>
      </c>
      <c r="O161" s="8" t="b">
        <v>1</v>
      </c>
      <c r="P161" s="8" t="n">
        <v>41.29</v>
      </c>
      <c r="Q161" s="16" t="n">
        <v>7</v>
      </c>
      <c r="R161" s="8" t="b">
        <v>0</v>
      </c>
      <c r="S161" s="9" t="inlineStr">
        <is>
          <t>[港口库存]：中国甲醇样本港口库存周数据统计(20250507）</t>
        </is>
      </c>
      <c r="T161" s="9" t="inlineStr">
        <is>
          <t>https://nenghua.m.mysteel.com/a/25050714/3427A41950949D16_abc.html</t>
        </is>
      </c>
      <c r="U161">
        <f>IF(OR(F161="",G161=""),"",ROUND(F161+G161,2))</f>
        <v/>
      </c>
      <c r="V161">
        <f>IF(U161="","",IF(ABS(U161-E161)&lt;0.05,"一致","差异"))</f>
        <v/>
      </c>
    </row>
    <row r="162">
      <c r="A162" s="8" t="inlineStr">
        <is>
          <t>2025-05-14</t>
        </is>
      </c>
      <c r="B162" s="8" t="n">
        <v>2025</v>
      </c>
      <c r="C162" s="8" t="n">
        <v>20</v>
      </c>
      <c r="D162" s="15" t="n">
        <v>48.39</v>
      </c>
      <c r="E162" s="15" t="n">
        <v>32.4</v>
      </c>
      <c r="F162" s="15" t="n">
        <v>20.3</v>
      </c>
      <c r="G162" s="15" t="n">
        <v>12.1</v>
      </c>
      <c r="H162" s="15" t="n">
        <v>7.9</v>
      </c>
      <c r="I162" s="15" t="n">
        <v>8.09</v>
      </c>
      <c r="J162" s="15" t="n">
        <v>-5.55</v>
      </c>
      <c r="K162" s="15" t="n">
        <v>-5.55</v>
      </c>
      <c r="L162" s="15" t="n">
        <v>-5.55</v>
      </c>
      <c r="M162" s="8" t="inlineStr">
        <is>
          <t>east_table</t>
        </is>
      </c>
      <c r="N162" s="8" t="b">
        <v>1</v>
      </c>
      <c r="O162" s="8" t="b">
        <v>1</v>
      </c>
      <c r="P162" s="8" t="n">
        <v>35.56</v>
      </c>
      <c r="Q162" s="16" t="n">
        <v>7</v>
      </c>
      <c r="R162" s="8" t="b">
        <v>0</v>
      </c>
      <c r="S162" s="9" t="inlineStr">
        <is>
          <t>[港口库存]：中国甲醇样本港口库存周数据统计(20250514）</t>
        </is>
      </c>
      <c r="T162" s="9" t="inlineStr">
        <is>
          <t>https://nenghua.m.mysteel.com/a/25051414/7139B8A8355E80AB_abc.html</t>
        </is>
      </c>
      <c r="U162">
        <f>IF(OR(F162="",G162=""),"",ROUND(F162+G162,2))</f>
        <v/>
      </c>
      <c r="V162">
        <f>IF(U162="","",IF(ABS(U162-E162)&lt;0.05,"一致","差异"))</f>
        <v/>
      </c>
    </row>
    <row r="163">
      <c r="A163" s="8" t="inlineStr">
        <is>
          <t>2025-05-21</t>
        </is>
      </c>
      <c r="B163" s="8" t="n">
        <v>2025</v>
      </c>
      <c r="C163" s="8" t="n">
        <v>21</v>
      </c>
      <c r="D163" s="15" t="n">
        <v>49.04</v>
      </c>
      <c r="E163" s="15" t="n">
        <v>32.7</v>
      </c>
      <c r="F163" s="15" t="n">
        <v>21.5</v>
      </c>
      <c r="G163" s="15" t="n">
        <v>11.2</v>
      </c>
      <c r="H163" s="15" t="n">
        <v>8.75</v>
      </c>
      <c r="I163" s="15" t="n">
        <v>7.59</v>
      </c>
      <c r="J163" s="15" t="n">
        <v>0.3</v>
      </c>
      <c r="K163" s="15" t="n">
        <v>0.3</v>
      </c>
      <c r="L163" s="15" t="n">
        <v>0.3</v>
      </c>
      <c r="M163" s="8" t="inlineStr">
        <is>
          <t>east_table</t>
        </is>
      </c>
      <c r="N163" s="8" t="b">
        <v>1</v>
      </c>
      <c r="O163" s="8" t="b">
        <v>1</v>
      </c>
      <c r="P163" s="8" t="n">
        <v>36.03</v>
      </c>
      <c r="Q163" s="16" t="n">
        <v>7</v>
      </c>
      <c r="R163" s="8" t="b">
        <v>0</v>
      </c>
      <c r="S163" s="9" t="inlineStr">
        <is>
          <t>[港口库存]：中国甲醇样本港口库存周数据统计(20250521）</t>
        </is>
      </c>
      <c r="T163" s="9" t="inlineStr">
        <is>
          <t>https://nenghua.m.mysteel.com/a/25052114/DF00EE47C1C05CD7_abc.html</t>
        </is>
      </c>
      <c r="U163">
        <f>IF(OR(F163="",G163=""),"",ROUND(F163+G163,2))</f>
        <v/>
      </c>
      <c r="V163">
        <f>IF(U163="","",IF(ABS(U163-E163)&lt;0.05,"一致","差异"))</f>
        <v/>
      </c>
    </row>
    <row r="164">
      <c r="A164" s="8" t="inlineStr">
        <is>
          <t>2025-05-28</t>
        </is>
      </c>
      <c r="B164" s="8" t="n">
        <v>2025</v>
      </c>
      <c r="C164" s="8" t="n">
        <v>22</v>
      </c>
      <c r="D164" s="15" t="n">
        <v>52.3</v>
      </c>
      <c r="E164" s="15" t="n">
        <v>37.1</v>
      </c>
      <c r="F164" s="15" t="n">
        <v>23</v>
      </c>
      <c r="G164" s="15" t="n">
        <v>14.1</v>
      </c>
      <c r="H164" s="15" t="n">
        <v>8</v>
      </c>
      <c r="I164" s="15" t="n">
        <v>7.2</v>
      </c>
      <c r="J164" s="15" t="n">
        <v>4.4</v>
      </c>
      <c r="K164" s="15" t="n">
        <v>4.4</v>
      </c>
      <c r="L164" s="15" t="n">
        <v>4.4</v>
      </c>
      <c r="M164" s="8" t="inlineStr">
        <is>
          <t>east_table</t>
        </is>
      </c>
      <c r="N164" s="8" t="b">
        <v>1</v>
      </c>
      <c r="O164" s="8" t="b">
        <v>1</v>
      </c>
      <c r="P164" s="8" t="n">
        <v>38.43</v>
      </c>
      <c r="Q164" s="16" t="n">
        <v>7</v>
      </c>
      <c r="R164" s="8" t="b">
        <v>0</v>
      </c>
      <c r="S164" s="9" t="inlineStr">
        <is>
          <t>[港口库存]：中国甲醇样本港口库存周数据统计(20250528）</t>
        </is>
      </c>
      <c r="T164" s="9" t="inlineStr">
        <is>
          <t>https://nenghua.m.mysteel.com/a/25052814/35BBCBDE38397E0D_abc.html</t>
        </is>
      </c>
      <c r="U164">
        <f>IF(OR(F164="",G164=""),"",ROUND(F164+G164,2))</f>
        <v/>
      </c>
      <c r="V164">
        <f>IF(U164="","",IF(ABS(U164-E164)&lt;0.05,"一致","差异"))</f>
        <v/>
      </c>
    </row>
    <row r="165">
      <c r="A165" s="8" t="inlineStr">
        <is>
          <t>2025-06-04</t>
        </is>
      </c>
      <c r="B165" s="8" t="n">
        <v>2025</v>
      </c>
      <c r="C165" s="8" t="n">
        <v>23</v>
      </c>
      <c r="D165" s="15" t="n">
        <v>58.12</v>
      </c>
      <c r="E165" s="15" t="n">
        <v>42.23</v>
      </c>
      <c r="F165" s="15" t="n">
        <v>28.13</v>
      </c>
      <c r="G165" s="15" t="n"/>
      <c r="H165" s="15" t="n">
        <v>10.3</v>
      </c>
      <c r="I165" s="15" t="n">
        <v>5.59</v>
      </c>
      <c r="J165" s="15" t="n">
        <v>5.13</v>
      </c>
      <c r="K165" s="15" t="n">
        <v>5.13</v>
      </c>
      <c r="L165" s="15" t="n">
        <v>5.13</v>
      </c>
      <c r="M165" s="8" t="inlineStr">
        <is>
          <t>east_table</t>
        </is>
      </c>
      <c r="N165" s="8" t="b">
        <v>1</v>
      </c>
      <c r="O165" s="8" t="b">
        <v>0</v>
      </c>
      <c r="P165" s="8" t="n">
        <v>42.71</v>
      </c>
      <c r="Q165" s="16" t="n">
        <v>7</v>
      </c>
      <c r="R165" s="8" t="b">
        <v>0</v>
      </c>
      <c r="S165" s="9" t="inlineStr">
        <is>
          <t>[港口库存]：中国甲醇样本港口库存周数据统计(20250604）</t>
        </is>
      </c>
      <c r="T165" s="9" t="inlineStr">
        <is>
          <t>https://nenghua.m.mysteel.com/a/25060414/A6121695D0430474_abc.html</t>
        </is>
      </c>
      <c r="U165">
        <f>IF(OR(F165="",G165=""),"",ROUND(F165+G165,2))</f>
        <v/>
      </c>
      <c r="V165">
        <f>IF(U165="","",IF(ABS(U165-E165)&lt;0.05,"一致","差异"))</f>
        <v/>
      </c>
    </row>
    <row r="166">
      <c r="A166" s="8" t="inlineStr">
        <is>
          <t>2025-06-11</t>
        </is>
      </c>
      <c r="B166" s="8" t="n">
        <v>2025</v>
      </c>
      <c r="C166" s="8" t="n">
        <v>24</v>
      </c>
      <c r="D166" s="15" t="n">
        <v>65.22</v>
      </c>
      <c r="E166" s="15" t="n">
        <v>46.8</v>
      </c>
      <c r="F166" s="15" t="n">
        <v>31.2</v>
      </c>
      <c r="G166" s="15" t="n">
        <v>15.6</v>
      </c>
      <c r="H166" s="15" t="n">
        <v>12.4</v>
      </c>
      <c r="I166" s="15" t="n">
        <v>6.02</v>
      </c>
      <c r="J166" s="15" t="n">
        <v>4.57</v>
      </c>
      <c r="K166" s="15" t="n">
        <v>4.57</v>
      </c>
      <c r="L166" s="15" t="n">
        <v>4.57</v>
      </c>
      <c r="M166" s="8" t="inlineStr">
        <is>
          <t>east_table</t>
        </is>
      </c>
      <c r="N166" s="8" t="b">
        <v>1</v>
      </c>
      <c r="O166" s="8" t="b">
        <v>1</v>
      </c>
      <c r="P166" s="8" t="n">
        <v>47.92</v>
      </c>
      <c r="Q166" s="16" t="n">
        <v>7</v>
      </c>
      <c r="R166" s="8" t="b">
        <v>0</v>
      </c>
      <c r="S166" s="9" t="inlineStr">
        <is>
          <t>[港口库存]：中国甲醇样本港口库存周数据统计(20250611）</t>
        </is>
      </c>
      <c r="T166" s="9" t="inlineStr">
        <is>
          <t>https://nenghua.m.mysteel.com/a/25061114/62D7D85685911BAB_abc.html</t>
        </is>
      </c>
      <c r="U166">
        <f>IF(OR(F166="",G166=""),"",ROUND(F166+G166,2))</f>
        <v/>
      </c>
      <c r="V166">
        <f>IF(U166="","",IF(ABS(U166-E166)&lt;0.05,"一致","差异"))</f>
        <v/>
      </c>
    </row>
    <row r="167">
      <c r="A167" s="8" t="inlineStr">
        <is>
          <t>2025-06-18</t>
        </is>
      </c>
      <c r="B167" s="8" t="n">
        <v>2025</v>
      </c>
      <c r="C167" s="8" t="n">
        <v>25</v>
      </c>
      <c r="D167" s="15" t="n">
        <v>58.64</v>
      </c>
      <c r="E167" s="15" t="n">
        <v>43.7</v>
      </c>
      <c r="F167" s="15" t="n">
        <v>29.35</v>
      </c>
      <c r="G167" s="15" t="n">
        <v>14.35</v>
      </c>
      <c r="H167" s="15" t="n">
        <v>9.949999999999999</v>
      </c>
      <c r="I167" s="15" t="n">
        <v>4.99</v>
      </c>
      <c r="J167" s="15" t="n">
        <v>-3.1</v>
      </c>
      <c r="K167" s="15" t="n">
        <v>-3.1</v>
      </c>
      <c r="L167" s="15" t="n">
        <v>-3.1</v>
      </c>
      <c r="M167" s="8" t="inlineStr">
        <is>
          <t>east_table</t>
        </is>
      </c>
      <c r="N167" s="8" t="b">
        <v>1</v>
      </c>
      <c r="O167" s="8" t="b">
        <v>1</v>
      </c>
      <c r="P167" s="8" t="n">
        <v>43.09</v>
      </c>
      <c r="Q167" s="16" t="n">
        <v>7</v>
      </c>
      <c r="R167" s="8" t="b">
        <v>0</v>
      </c>
      <c r="S167" s="9" t="inlineStr">
        <is>
          <t>[港口库存]：中国甲醇样本港口库存周数据统计(20250618）</t>
        </is>
      </c>
      <c r="T167" s="9" t="inlineStr">
        <is>
          <t>https://nenghua.m.mysteel.com/a/25061814/361A8DAF33C49A43_abc.html</t>
        </is>
      </c>
      <c r="U167">
        <f>IF(OR(F167="",G167=""),"",ROUND(F167+G167,2))</f>
        <v/>
      </c>
      <c r="V167">
        <f>IF(U167="","",IF(ABS(U167-E167)&lt;0.05,"一致","差异"))</f>
        <v/>
      </c>
    </row>
    <row r="168">
      <c r="A168" s="8" t="inlineStr">
        <is>
          <t>2025-06-25</t>
        </is>
      </c>
      <c r="B168" s="8" t="n">
        <v>2025</v>
      </c>
      <c r="C168" s="8" t="n">
        <v>26</v>
      </c>
      <c r="D168" s="15" t="n">
        <v>67.05</v>
      </c>
      <c r="E168" s="15" t="n">
        <v>49.6</v>
      </c>
      <c r="F168" s="15" t="n">
        <v>35.65</v>
      </c>
      <c r="G168" s="15" t="n">
        <v>13.95</v>
      </c>
      <c r="H168" s="15" t="n">
        <v>13.4</v>
      </c>
      <c r="I168" s="15" t="n">
        <v>4.05</v>
      </c>
      <c r="J168" s="15" t="n">
        <v>5.9</v>
      </c>
      <c r="K168" s="15" t="n">
        <v>5.9</v>
      </c>
      <c r="L168" s="15" t="n">
        <v>5.9</v>
      </c>
      <c r="M168" s="8" t="inlineStr">
        <is>
          <t>east_table</t>
        </is>
      </c>
      <c r="N168" s="8" t="b">
        <v>1</v>
      </c>
      <c r="O168" s="8" t="b">
        <v>1</v>
      </c>
      <c r="P168" s="8" t="n">
        <v>49.27</v>
      </c>
      <c r="Q168" s="16" t="n">
        <v>7</v>
      </c>
      <c r="R168" s="8" t="b">
        <v>0</v>
      </c>
      <c r="S168" s="9" t="inlineStr">
        <is>
          <t>[港口库存]：中国甲醇样本港口库存周数据统计(20250625）</t>
        </is>
      </c>
      <c r="T168" s="9" t="inlineStr">
        <is>
          <t>https://nenghua.m.mysteel.com/a/25062514/4BD4D4CAF78D057E_abc.html</t>
        </is>
      </c>
      <c r="U168">
        <f>IF(OR(F168="",G168=""),"",ROUND(F168+G168,2))</f>
        <v/>
      </c>
      <c r="V168">
        <f>IF(U168="","",IF(ABS(U168-E168)&lt;0.05,"一致","差异"))</f>
        <v/>
      </c>
    </row>
    <row r="169">
      <c r="A169" s="8" t="inlineStr">
        <is>
          <t>2025-07-02</t>
        </is>
      </c>
      <c r="B169" s="8" t="n">
        <v>2025</v>
      </c>
      <c r="C169" s="8" t="n">
        <v>27</v>
      </c>
      <c r="D169" s="15" t="n">
        <v>67.37</v>
      </c>
      <c r="E169" s="15" t="n">
        <v>50.95</v>
      </c>
      <c r="F169" s="15" t="n">
        <v>33.3</v>
      </c>
      <c r="G169" s="15" t="n">
        <v>17.65</v>
      </c>
      <c r="H169" s="15" t="n">
        <v>12.05</v>
      </c>
      <c r="I169" s="15" t="n">
        <v>4.37</v>
      </c>
      <c r="J169" s="15" t="n">
        <v>1.35</v>
      </c>
      <c r="K169" s="15" t="n">
        <v>1.35</v>
      </c>
      <c r="L169" s="15" t="n">
        <v>1.35</v>
      </c>
      <c r="M169" s="8" t="inlineStr">
        <is>
          <t>east_table</t>
        </is>
      </c>
      <c r="N169" s="8" t="b">
        <v>1</v>
      </c>
      <c r="O169" s="8" t="b">
        <v>1</v>
      </c>
      <c r="P169" s="8" t="n">
        <v>49.5</v>
      </c>
      <c r="Q169" s="16" t="n">
        <v>7</v>
      </c>
      <c r="R169" s="8" t="b">
        <v>0</v>
      </c>
      <c r="S169" s="9" t="inlineStr">
        <is>
          <t>[港口库存]：中国甲醇样本港口库存周数据统计(20250702）</t>
        </is>
      </c>
      <c r="T169" s="9" t="inlineStr">
        <is>
          <t>https://nenghua.m.mysteel.com/a/25070214/AC44104C5E68B639_abc.html</t>
        </is>
      </c>
      <c r="U169">
        <f>IF(OR(F169="",G169=""),"",ROUND(F169+G169,2))</f>
        <v/>
      </c>
      <c r="V169">
        <f>IF(U169="","",IF(ABS(U169-E169)&lt;0.05,"一致","差异"))</f>
        <v/>
      </c>
    </row>
    <row r="170">
      <c r="A170" s="8" t="inlineStr">
        <is>
          <t>2025-07-09</t>
        </is>
      </c>
      <c r="B170" s="8" t="n">
        <v>2025</v>
      </c>
      <c r="C170" s="8" t="n">
        <v>28</v>
      </c>
      <c r="D170" s="15" t="n">
        <v>71.89</v>
      </c>
      <c r="E170" s="15" t="n">
        <v>57.05</v>
      </c>
      <c r="F170" s="15" t="n">
        <v>39.5</v>
      </c>
      <c r="G170" s="15" t="n">
        <v>17.55</v>
      </c>
      <c r="H170" s="15" t="n">
        <v>11.2</v>
      </c>
      <c r="I170" s="15" t="n">
        <v>3.64</v>
      </c>
      <c r="J170" s="15" t="n">
        <v>6.1</v>
      </c>
      <c r="K170" s="15" t="n">
        <v>6.1</v>
      </c>
      <c r="L170" s="15" t="n">
        <v>6.1</v>
      </c>
      <c r="M170" s="8" t="inlineStr">
        <is>
          <t>east_table</t>
        </is>
      </c>
      <c r="N170" s="8" t="b">
        <v>1</v>
      </c>
      <c r="O170" s="8" t="b">
        <v>1</v>
      </c>
      <c r="P170" s="8" t="n">
        <v>52.82</v>
      </c>
      <c r="Q170" s="16" t="n">
        <v>7</v>
      </c>
      <c r="R170" s="8" t="b">
        <v>0</v>
      </c>
      <c r="S170" s="9" t="inlineStr">
        <is>
          <t>[港口库存]：中国甲醇样本港口库存周数据统计(20250709）</t>
        </is>
      </c>
      <c r="T170" s="9" t="inlineStr">
        <is>
          <t>https://nenghua.m.mysteel.com/a/25070914/E4824C6583883AC9_abc.html</t>
        </is>
      </c>
      <c r="U170">
        <f>IF(OR(F170="",G170=""),"",ROUND(F170+G170,2))</f>
        <v/>
      </c>
      <c r="V170">
        <f>IF(U170="","",IF(ABS(U170-E170)&lt;0.05,"一致","差异"))</f>
        <v/>
      </c>
    </row>
    <row r="171">
      <c r="A171" s="8" t="inlineStr">
        <is>
          <t>2025-07-16</t>
        </is>
      </c>
      <c r="B171" s="8" t="n">
        <v>2025</v>
      </c>
      <c r="C171" s="8" t="n">
        <v>29</v>
      </c>
      <c r="D171" s="15" t="n">
        <v>79.02</v>
      </c>
      <c r="E171" s="15" t="n">
        <v>63.4</v>
      </c>
      <c r="F171" s="15" t="n">
        <v>45.4</v>
      </c>
      <c r="G171" s="15" t="n">
        <v>18</v>
      </c>
      <c r="H171" s="15" t="n">
        <v>10.6</v>
      </c>
      <c r="I171" s="15" t="n">
        <v>5.02</v>
      </c>
      <c r="J171" s="15" t="n">
        <v>6.35</v>
      </c>
      <c r="K171" s="15" t="n">
        <v>6.35</v>
      </c>
      <c r="L171" s="15" t="n">
        <v>6.35</v>
      </c>
      <c r="M171" s="8" t="inlineStr">
        <is>
          <t>east_table</t>
        </is>
      </c>
      <c r="N171" s="8" t="b">
        <v>1</v>
      </c>
      <c r="O171" s="8" t="b">
        <v>1</v>
      </c>
      <c r="P171" s="8" t="n">
        <v>58.06</v>
      </c>
      <c r="Q171" s="16" t="n">
        <v>7</v>
      </c>
      <c r="R171" s="8" t="b">
        <v>0</v>
      </c>
      <c r="S171" s="9" t="inlineStr">
        <is>
          <t>[港口库存]：中国甲醇样本港口库存周数据统计(20250716）</t>
        </is>
      </c>
      <c r="T171" s="9" t="inlineStr">
        <is>
          <t>https://nenghua.m.mysteel.com/a/25071614/8DDC4BCB51739ECA_abc.html</t>
        </is>
      </c>
      <c r="U171">
        <f>IF(OR(F171="",G171=""),"",ROUND(F171+G171,2))</f>
        <v/>
      </c>
      <c r="V171">
        <f>IF(U171="","",IF(ABS(U171-E171)&lt;0.05,"一致","差异"))</f>
        <v/>
      </c>
    </row>
    <row r="172">
      <c r="A172" s="8" t="inlineStr">
        <is>
          <t>2025-07-23</t>
        </is>
      </c>
      <c r="B172" s="8" t="n">
        <v>2025</v>
      </c>
      <c r="C172" s="8" t="n">
        <v>30</v>
      </c>
      <c r="D172" s="15" t="n">
        <v>72.58</v>
      </c>
      <c r="E172" s="15" t="n">
        <v>54.7</v>
      </c>
      <c r="F172" s="15" t="n">
        <v>40.9</v>
      </c>
      <c r="G172" s="15" t="n">
        <v>13.8</v>
      </c>
      <c r="H172" s="15" t="n">
        <v>12.25</v>
      </c>
      <c r="I172" s="15" t="n">
        <v>5.63</v>
      </c>
      <c r="J172" s="15" t="n">
        <v>-8.699999999999999</v>
      </c>
      <c r="K172" s="15" t="n">
        <v>-8.699999999999999</v>
      </c>
      <c r="L172" s="15" t="n">
        <v>-8.699999999999999</v>
      </c>
      <c r="M172" s="8" t="inlineStr">
        <is>
          <t>east_table</t>
        </is>
      </c>
      <c r="N172" s="8" t="b">
        <v>1</v>
      </c>
      <c r="O172" s="8" t="b">
        <v>1</v>
      </c>
      <c r="P172" s="8" t="n">
        <v>53.33</v>
      </c>
      <c r="Q172" s="16" t="n">
        <v>7</v>
      </c>
      <c r="R172" s="8" t="b">
        <v>0</v>
      </c>
      <c r="S172" s="9" t="inlineStr">
        <is>
          <t>[港口库存]：中国甲醇样本港口库存周数据统计(20250723）</t>
        </is>
      </c>
      <c r="T172" s="9" t="inlineStr">
        <is>
          <t>https://nenghua.m.mysteel.com/a/25072314/D96A98003715515B_abc.html</t>
        </is>
      </c>
      <c r="U172">
        <f>IF(OR(F172="",G172=""),"",ROUND(F172+G172,2))</f>
        <v/>
      </c>
      <c r="V172">
        <f>IF(U172="","",IF(ABS(U172-E172)&lt;0.05,"一致","差异"))</f>
        <v/>
      </c>
    </row>
    <row r="173">
      <c r="A173" s="8" t="inlineStr">
        <is>
          <t>2025-07-30</t>
        </is>
      </c>
      <c r="B173" s="8" t="n">
        <v>2025</v>
      </c>
      <c r="C173" s="8" t="n">
        <v>31</v>
      </c>
      <c r="D173" s="15" t="n">
        <v>80.84</v>
      </c>
      <c r="E173" s="15" t="n">
        <v>57.2</v>
      </c>
      <c r="F173" s="15" t="n"/>
      <c r="G173" s="15" t="n"/>
      <c r="H173" s="15" t="n"/>
      <c r="I173" s="15" t="n"/>
      <c r="J173" s="15" t="n">
        <v>2.5</v>
      </c>
      <c r="K173" s="15" t="n">
        <v>2.5</v>
      </c>
      <c r="L173" s="15" t="n">
        <v>2.5</v>
      </c>
      <c r="M173" s="8" t="inlineStr">
        <is>
          <t>east_estimated</t>
        </is>
      </c>
      <c r="N173" s="8" t="b">
        <v>1</v>
      </c>
      <c r="O173" s="8" t="b">
        <v>0</v>
      </c>
      <c r="P173" s="8" t="n">
        <v>59.4</v>
      </c>
      <c r="Q173" s="16" t="n">
        <v>7</v>
      </c>
      <c r="R173" s="8" t="b">
        <v>0</v>
      </c>
      <c r="S173" s="9" t="inlineStr">
        <is>
          <t>[港口库存]：中国甲醇样本港口库存周数据统计(20250730）</t>
        </is>
      </c>
      <c r="T173" s="9" t="inlineStr">
        <is>
          <t>https://nenghua.m.mysteel.com/a/25073014/9195C4AB5D69E6AC_abc.html</t>
        </is>
      </c>
      <c r="U173">
        <f>IF(OR(F173="",G173=""),"",ROUND(F173+G173,2))</f>
        <v/>
      </c>
      <c r="V173">
        <f>IF(U173="","",IF(ABS(U173-E173)&lt;0.05,"一致","差异"))</f>
        <v/>
      </c>
    </row>
    <row r="174">
      <c r="A174" s="8" t="inlineStr">
        <is>
          <t>2025-08-06</t>
        </is>
      </c>
      <c r="B174" s="8" t="n">
        <v>2025</v>
      </c>
      <c r="C174" s="8" t="n">
        <v>32</v>
      </c>
      <c r="D174" s="15" t="n">
        <v>92.55</v>
      </c>
      <c r="E174" s="15" t="n">
        <v>64.2</v>
      </c>
      <c r="F174" s="15" t="n"/>
      <c r="G174" s="15" t="n">
        <v>14.4</v>
      </c>
      <c r="H174" s="15" t="n"/>
      <c r="I174" s="15" t="n"/>
      <c r="J174" s="15" t="n">
        <v>7</v>
      </c>
      <c r="K174" s="15" t="n">
        <v>7</v>
      </c>
      <c r="L174" s="15" t="n">
        <v>7</v>
      </c>
      <c r="M174" s="8" t="inlineStr">
        <is>
          <t>east_estimated</t>
        </is>
      </c>
      <c r="N174" s="8" t="b">
        <v>1</v>
      </c>
      <c r="O174" s="8" t="b">
        <v>0</v>
      </c>
      <c r="P174" s="8" t="n">
        <v>68</v>
      </c>
      <c r="Q174" s="16" t="n">
        <v>7</v>
      </c>
      <c r="R174" s="8" t="b">
        <v>0</v>
      </c>
      <c r="S174" s="9" t="inlineStr">
        <is>
          <t>[港口库存]：中国甲醇样本港口库存周数据统计(20250806）</t>
        </is>
      </c>
      <c r="T174" s="9" t="inlineStr">
        <is>
          <t>https://nenghua.m.mysteel.com/a/25080614/DE0B99B2F8B94944_abc.html</t>
        </is>
      </c>
      <c r="U174">
        <f>IF(OR(F174="",G174=""),"",ROUND(F174+G174,2))</f>
        <v/>
      </c>
      <c r="V174">
        <f>IF(U174="","",IF(ABS(U174-E174)&lt;0.05,"一致","差异"))</f>
        <v/>
      </c>
    </row>
    <row r="175">
      <c r="A175" s="8" t="inlineStr">
        <is>
          <t>2025-08-13</t>
        </is>
      </c>
      <c r="B175" s="8" t="n">
        <v>2025</v>
      </c>
      <c r="C175" s="8" t="n">
        <v>33</v>
      </c>
      <c r="D175" s="15" t="n">
        <v>102.18</v>
      </c>
      <c r="E175" s="15" t="n"/>
      <c r="F175" s="15" t="n"/>
      <c r="G175" s="15" t="n">
        <v>13.9</v>
      </c>
      <c r="H175" s="15" t="n"/>
      <c r="I175" s="15" t="n"/>
      <c r="J175" s="15" t="n">
        <v>4.5</v>
      </c>
      <c r="K175" s="15" t="n">
        <v>4.5</v>
      </c>
      <c r="L175" s="15" t="n"/>
      <c r="M175" s="8" t="n"/>
      <c r="N175" s="8" t="b">
        <v>1</v>
      </c>
      <c r="O175" s="8" t="b">
        <v>0</v>
      </c>
      <c r="P175" s="8" t="n">
        <v>75.08</v>
      </c>
      <c r="Q175" s="16" t="n">
        <v>7</v>
      </c>
      <c r="R175" s="8" t="b">
        <v>0</v>
      </c>
      <c r="S175" s="9" t="inlineStr">
        <is>
          <t>[港口库存]：中国甲醇样本港口库存周数据统计(20250813）</t>
        </is>
      </c>
      <c r="T175" s="9" t="inlineStr">
        <is>
          <t>https://nenghua.m.mysteel.com/a/25081314/A4AF4C3174649F2C_abc.html</t>
        </is>
      </c>
      <c r="U175">
        <f>IF(OR(F175="",G175=""),"",ROUND(F175+G175,2))</f>
        <v/>
      </c>
      <c r="V175">
        <f>IF(U175="","",IF(ABS(U175-E175)&lt;0.05,"一致","差异"))</f>
        <v/>
      </c>
    </row>
    <row r="176">
      <c r="A176" s="8" t="inlineStr">
        <is>
          <t>2025-08-20</t>
        </is>
      </c>
      <c r="B176" s="8" t="n">
        <v>2025</v>
      </c>
      <c r="C176" s="8" t="n">
        <v>34</v>
      </c>
      <c r="D176" s="15" t="n">
        <v>107.6</v>
      </c>
      <c r="E176" s="15" t="n"/>
      <c r="F176" s="15" t="n">
        <v>54.75</v>
      </c>
      <c r="G176" s="15" t="n"/>
      <c r="H176" s="15" t="n"/>
      <c r="I176" s="15" t="n"/>
      <c r="J176" s="15" t="n">
        <v>1.92</v>
      </c>
      <c r="K176" s="15" t="n">
        <v>1.92</v>
      </c>
      <c r="L176" s="15" t="n"/>
      <c r="M176" s="8" t="n"/>
      <c r="N176" s="8" t="b">
        <v>1</v>
      </c>
      <c r="O176" s="8" t="b">
        <v>0</v>
      </c>
      <c r="P176" s="8" t="n">
        <v>79.06</v>
      </c>
      <c r="Q176" s="16" t="n">
        <v>7</v>
      </c>
      <c r="R176" s="8" t="b">
        <v>0</v>
      </c>
      <c r="S176" s="9" t="inlineStr">
        <is>
          <t>[港口库存]：中国甲醇样本港口库存周数据统计(20250820）</t>
        </is>
      </c>
      <c r="T176" s="9" t="inlineStr">
        <is>
          <t>https://nenghua.m.mysteel.com/a/25082014/B880B76158B3361C_abc.html</t>
        </is>
      </c>
      <c r="U176">
        <f>IF(OR(F176="",G176=""),"",ROUND(F176+G176,2))</f>
        <v/>
      </c>
      <c r="V176">
        <f>IF(U176="","",IF(ABS(U176-E176)&lt;0.05,"一致","差异"))</f>
        <v/>
      </c>
    </row>
    <row r="177">
      <c r="A177" s="8" t="inlineStr">
        <is>
          <t>2025-08-27</t>
        </is>
      </c>
      <c r="B177" s="8" t="n">
        <v>2025</v>
      </c>
      <c r="C177" s="8" t="n">
        <v>35</v>
      </c>
      <c r="D177" s="15" t="n">
        <v>129.93</v>
      </c>
      <c r="E177" s="15" t="n"/>
      <c r="F177" s="15" t="n"/>
      <c r="G177" s="15" t="n"/>
      <c r="H177" s="15" t="n"/>
      <c r="I177" s="15" t="n"/>
      <c r="J177" s="15" t="n">
        <v>18.28</v>
      </c>
      <c r="K177" s="15" t="n">
        <v>18.28</v>
      </c>
      <c r="L177" s="15" t="n"/>
      <c r="M177" s="8" t="n"/>
      <c r="N177" s="8" t="b">
        <v>1</v>
      </c>
      <c r="O177" s="8" t="b">
        <v>0</v>
      </c>
      <c r="P177" s="8" t="n">
        <v>95.47</v>
      </c>
      <c r="Q177" s="16" t="n">
        <v>7</v>
      </c>
      <c r="R177" s="8" t="b">
        <v>0</v>
      </c>
      <c r="S177" s="9" t="inlineStr">
        <is>
          <t>[港口库存]：中国甲醇样本港口库存周数据统计(20250827）</t>
        </is>
      </c>
      <c r="T177" s="9" t="inlineStr">
        <is>
          <t>https://nenghua.m.mysteel.com/a/25082714/8E1A33B5D4AD94CA_abc.html</t>
        </is>
      </c>
      <c r="U177">
        <f>IF(OR(F177="",G177=""),"",ROUND(F177+G177,2))</f>
        <v/>
      </c>
      <c r="V177">
        <f>IF(U177="","",IF(ABS(U177-E177)&lt;0.05,"一致","差异"))</f>
        <v/>
      </c>
    </row>
    <row r="178">
      <c r="A178" s="8" t="inlineStr">
        <is>
          <t>2025-09-03</t>
        </is>
      </c>
      <c r="B178" s="8" t="n">
        <v>2025</v>
      </c>
      <c r="C178" s="8" t="n">
        <v>36</v>
      </c>
      <c r="D178" s="15" t="n">
        <v>142.77</v>
      </c>
      <c r="E178" s="15" t="n"/>
      <c r="F178" s="15" t="n"/>
      <c r="G178" s="15" t="n"/>
      <c r="H178" s="15" t="n"/>
      <c r="I178" s="15" t="n">
        <v>15.84</v>
      </c>
      <c r="J178" s="15" t="n">
        <v>11.33</v>
      </c>
      <c r="K178" s="15" t="n">
        <v>11.33</v>
      </c>
      <c r="L178" s="15" t="n"/>
      <c r="M178" s="8" t="n"/>
      <c r="N178" s="8" t="b">
        <v>1</v>
      </c>
      <c r="O178" s="8" t="b">
        <v>0</v>
      </c>
      <c r="P178" s="8" t="n">
        <v>104.91</v>
      </c>
      <c r="Q178" s="16" t="n">
        <v>7</v>
      </c>
      <c r="R178" s="8" t="b">
        <v>0</v>
      </c>
      <c r="S178" s="9" t="inlineStr">
        <is>
          <t>[港口库存]：中国甲醇样本港口库存周数据统计(20250903）</t>
        </is>
      </c>
      <c r="T178" s="9" t="inlineStr">
        <is>
          <t>https://nenghua.m.mysteel.com/a/25090314/809AC765CD873B4D_abc.html</t>
        </is>
      </c>
      <c r="U178">
        <f>IF(OR(F178="",G178=""),"",ROUND(F178+G178,2))</f>
        <v/>
      </c>
      <c r="V178">
        <f>IF(U178="","",IF(ABS(U178-E178)&lt;0.05,"一致","差异"))</f>
        <v/>
      </c>
    </row>
    <row r="179">
      <c r="A179" s="8" t="inlineStr">
        <is>
          <t>2025-09-10</t>
        </is>
      </c>
      <c r="B179" s="8" t="n">
        <v>2025</v>
      </c>
      <c r="C179" s="8" t="n">
        <v>37</v>
      </c>
      <c r="D179" s="15" t="n">
        <v>155.03</v>
      </c>
      <c r="E179" s="15" t="n"/>
      <c r="F179" s="15" t="n"/>
      <c r="G179" s="15" t="n"/>
      <c r="H179" s="15" t="n"/>
      <c r="I179" s="15" t="n"/>
      <c r="J179" s="15" t="n">
        <v>8.720000000000001</v>
      </c>
      <c r="K179" s="15" t="n">
        <v>8.720000000000001</v>
      </c>
      <c r="L179" s="15" t="n"/>
      <c r="M179" s="8" t="n"/>
      <c r="N179" s="8" t="b">
        <v>1</v>
      </c>
      <c r="O179" s="8" t="b">
        <v>0</v>
      </c>
      <c r="P179" s="8" t="n">
        <v>113.91</v>
      </c>
      <c r="Q179" s="16" t="n">
        <v>7</v>
      </c>
      <c r="R179" s="8" t="b">
        <v>0</v>
      </c>
      <c r="S179" s="9" t="inlineStr">
        <is>
          <t>[港口库存]：中国甲醇样本港口库存周数据统计(20250910）</t>
        </is>
      </c>
      <c r="T179" s="9" t="inlineStr">
        <is>
          <t>https://nenghua.m.mysteel.com/a/25091014/014A7A7C053322CE_abc.html</t>
        </is>
      </c>
      <c r="U179">
        <f>IF(OR(F179="",G179=""),"",ROUND(F179+G179,2))</f>
        <v/>
      </c>
      <c r="V179">
        <f>IF(U179="","",IF(ABS(U179-E179)&lt;0.05,"一致","差异"))</f>
        <v/>
      </c>
    </row>
    <row r="180">
      <c r="A180" s="8" t="inlineStr">
        <is>
          <t>2025-09-17</t>
        </is>
      </c>
      <c r="B180" s="8" t="n">
        <v>2025</v>
      </c>
      <c r="C180" s="8" t="n">
        <v>38</v>
      </c>
      <c r="D180" s="15" t="n">
        <v>155.78</v>
      </c>
      <c r="E180" s="15" t="n">
        <v>107.39</v>
      </c>
      <c r="F180" s="15" t="n">
        <v>78.7</v>
      </c>
      <c r="G180" s="15" t="n"/>
      <c r="H180" s="15" t="n"/>
      <c r="I180" s="15" t="n">
        <v>18.09</v>
      </c>
      <c r="J180" s="15" t="n">
        <v>-1.56</v>
      </c>
      <c r="K180" s="15" t="n">
        <v>-1.56</v>
      </c>
      <c r="L180" s="15" t="n"/>
      <c r="M180" s="8" t="inlineStr">
        <is>
          <t>east_table</t>
        </is>
      </c>
      <c r="N180" s="8" t="b">
        <v>1</v>
      </c>
      <c r="O180" s="8" t="b">
        <v>0</v>
      </c>
      <c r="P180" s="8" t="n">
        <v>114.47</v>
      </c>
      <c r="Q180" s="16" t="n">
        <v>7</v>
      </c>
      <c r="R180" s="8" t="b">
        <v>0</v>
      </c>
      <c r="S180" s="9" t="inlineStr">
        <is>
          <t>[港口库存]：中国甲醇样本港口库存周数据统计(20250917）</t>
        </is>
      </c>
      <c r="T180" s="9" t="inlineStr">
        <is>
          <t>https://nenghua.m.mysteel.com/a/25091714/655A1C2BFB40933C_abc.html</t>
        </is>
      </c>
      <c r="U180">
        <f>IF(OR(F180="",G180=""),"",ROUND(F180+G180,2))</f>
        <v/>
      </c>
      <c r="V180">
        <f>IF(U180="","",IF(ABS(U180-E180)&lt;0.05,"一致","差异"))</f>
        <v/>
      </c>
    </row>
    <row r="181">
      <c r="A181" s="8" t="inlineStr">
        <is>
          <t>2025-09-24</t>
        </is>
      </c>
      <c r="B181" s="8" t="n">
        <v>2025</v>
      </c>
      <c r="C181" s="8" t="n">
        <v>39</v>
      </c>
      <c r="D181" s="15" t="n">
        <v>149.22</v>
      </c>
      <c r="E181" s="15" t="n">
        <v>103.27</v>
      </c>
      <c r="F181" s="15" t="n">
        <v>77.90000000000001</v>
      </c>
      <c r="G181" s="15" t="n">
        <v>25.37</v>
      </c>
      <c r="H181" s="15" t="n">
        <v>29.3</v>
      </c>
      <c r="I181" s="15" t="n">
        <v>16.65</v>
      </c>
      <c r="J181" s="15" t="n">
        <v>-4.12</v>
      </c>
      <c r="K181" s="15" t="n">
        <v>-4.12</v>
      </c>
      <c r="L181" s="15" t="n">
        <v>-4.12</v>
      </c>
      <c r="M181" s="8" t="inlineStr">
        <is>
          <t>east_table</t>
        </is>
      </c>
      <c r="N181" s="8" t="b">
        <v>1</v>
      </c>
      <c r="O181" s="8" t="b">
        <v>1</v>
      </c>
      <c r="P181" s="8" t="n">
        <v>109.65</v>
      </c>
      <c r="Q181" s="16" t="n">
        <v>7</v>
      </c>
      <c r="R181" s="8" t="b">
        <v>0</v>
      </c>
      <c r="S181" s="9" t="inlineStr">
        <is>
          <t>[港口库存]：中国甲醇样本港口库存周数据统计(20250924）</t>
        </is>
      </c>
      <c r="T181" s="9" t="inlineStr">
        <is>
          <t>https://nenghua.m.mysteel.com/a/25092414/34715E9E45493C11_abc.html</t>
        </is>
      </c>
      <c r="U181">
        <f>IF(OR(F181="",G181=""),"",ROUND(F181+G181,2))</f>
        <v/>
      </c>
      <c r="V181">
        <f>IF(U181="","",IF(ABS(U181-E181)&lt;0.05,"一致","差异"))</f>
        <v/>
      </c>
    </row>
    <row r="182">
      <c r="A182" s="8" t="inlineStr">
        <is>
          <t>2025-10-09</t>
        </is>
      </c>
      <c r="B182" s="8" t="n">
        <v>2025</v>
      </c>
      <c r="C182" s="8" t="n">
        <v>41</v>
      </c>
      <c r="D182" s="15" t="n">
        <v>154.32</v>
      </c>
      <c r="E182" s="15" t="n">
        <v>108.05</v>
      </c>
      <c r="F182" s="15" t="n"/>
      <c r="G182" s="15" t="n"/>
      <c r="H182" s="15" t="n"/>
      <c r="I182" s="15" t="n">
        <v>16.27</v>
      </c>
      <c r="J182" s="15" t="n">
        <v>4.78</v>
      </c>
      <c r="K182" s="15" t="n">
        <v>4.78</v>
      </c>
      <c r="L182" s="15" t="n">
        <v>4.78</v>
      </c>
      <c r="M182" s="8" t="inlineStr">
        <is>
          <t>east_estimated</t>
        </is>
      </c>
      <c r="N182" s="8" t="b">
        <v>1</v>
      </c>
      <c r="O182" s="8" t="b">
        <v>0</v>
      </c>
      <c r="P182" s="8" t="n">
        <v>113.39</v>
      </c>
      <c r="Q182" s="16" t="n">
        <v>15</v>
      </c>
      <c r="R182" s="8" t="b">
        <v>0</v>
      </c>
      <c r="S182" s="9" t="inlineStr">
        <is>
          <t>[港口库存]：中国甲醇样本港口库存周数据统计(20251009）</t>
        </is>
      </c>
      <c r="T182" s="9" t="inlineStr">
        <is>
          <t>https://nenghua.m.mysteel.com/a/25100914/EED5297109AAC6EE_abc.html</t>
        </is>
      </c>
      <c r="U182">
        <f>IF(OR(F182="",G182=""),"",ROUND(F182+G182,2))</f>
        <v/>
      </c>
      <c r="V182">
        <f>IF(U182="","",IF(ABS(U182-E182)&lt;0.05,"一致","差异"))</f>
        <v/>
      </c>
    </row>
    <row r="183">
      <c r="A183" s="8" t="inlineStr">
        <is>
          <t>2025-10-15</t>
        </is>
      </c>
      <c r="B183" s="8" t="n">
        <v>2025</v>
      </c>
      <c r="C183" s="8" t="n">
        <v>42</v>
      </c>
      <c r="D183" s="15" t="n">
        <v>149.14</v>
      </c>
      <c r="E183" s="15" t="n">
        <v>99.7</v>
      </c>
      <c r="F183" s="15" t="n">
        <v>77.3</v>
      </c>
      <c r="G183" s="15" t="n">
        <v>22.4</v>
      </c>
      <c r="H183" s="15" t="n">
        <v>32.3</v>
      </c>
      <c r="I183" s="15" t="n">
        <v>17.14</v>
      </c>
      <c r="J183" s="15" t="n">
        <v>-8.35</v>
      </c>
      <c r="K183" s="15" t="n">
        <v>-8.35</v>
      </c>
      <c r="L183" s="15" t="n">
        <v>-8.35</v>
      </c>
      <c r="M183" s="8" t="inlineStr">
        <is>
          <t>east_table</t>
        </is>
      </c>
      <c r="N183" s="8" t="b">
        <v>1</v>
      </c>
      <c r="O183" s="8" t="b">
        <v>1</v>
      </c>
      <c r="P183" s="8" t="n">
        <v>109.59</v>
      </c>
      <c r="Q183" s="16" t="n">
        <v>6</v>
      </c>
      <c r="R183" s="8" t="b">
        <v>0</v>
      </c>
      <c r="S183" s="9" t="inlineStr">
        <is>
          <t>[港口库存]：中国甲醇样本港口库存周数据统计(20251015）</t>
        </is>
      </c>
      <c r="T183" s="9" t="inlineStr">
        <is>
          <t>https://nenghua.m.mysteel.com/a/25101514/B272DD307DA87F22_abc.html</t>
        </is>
      </c>
      <c r="U183">
        <f>IF(OR(F183="",G183=""),"",ROUND(F183+G183,2))</f>
        <v/>
      </c>
      <c r="V183">
        <f>IF(U183="","",IF(ABS(U183-E183)&lt;0.05,"一致","差异"))</f>
        <v/>
      </c>
    </row>
    <row r="184">
      <c r="A184" s="8" t="inlineStr">
        <is>
          <t>2025-10-22</t>
        </is>
      </c>
      <c r="B184" s="8" t="n">
        <v>2025</v>
      </c>
      <c r="C184" s="8" t="n">
        <v>43</v>
      </c>
      <c r="D184" s="15" t="n">
        <v>151.22</v>
      </c>
      <c r="E184" s="15" t="n">
        <v>102.7</v>
      </c>
      <c r="F184" s="15" t="n"/>
      <c r="G184" s="15" t="n">
        <v>17.65</v>
      </c>
      <c r="H184" s="15" t="n">
        <v>30.4</v>
      </c>
      <c r="I184" s="15" t="n"/>
      <c r="J184" s="15" t="n">
        <v>3</v>
      </c>
      <c r="K184" s="15" t="n">
        <v>3</v>
      </c>
      <c r="L184" s="15" t="n">
        <v>3</v>
      </c>
      <c r="M184" s="8" t="inlineStr">
        <is>
          <t>east_estimated</t>
        </is>
      </c>
      <c r="N184" s="8" t="b">
        <v>1</v>
      </c>
      <c r="O184" s="8" t="b">
        <v>0</v>
      </c>
      <c r="P184" s="8" t="n">
        <v>111.12</v>
      </c>
      <c r="Q184" s="16" t="n">
        <v>7</v>
      </c>
      <c r="R184" s="8" t="b">
        <v>0</v>
      </c>
      <c r="S184" s="9" t="inlineStr">
        <is>
          <t>[港口库存]：中国甲醇样本港口库存周数据统计(20251022）</t>
        </is>
      </c>
      <c r="T184" s="9" t="inlineStr">
        <is>
          <t>https://nenghua.m.mysteel.com/a/25102214/64684507B0055537_abc.html</t>
        </is>
      </c>
      <c r="U184">
        <f>IF(OR(F184="",G184=""),"",ROUND(F184+G184,2))</f>
        <v/>
      </c>
      <c r="V184">
        <f>IF(U184="","",IF(ABS(U184-E184)&lt;0.05,"一致","差异"))</f>
        <v/>
      </c>
    </row>
    <row r="185">
      <c r="A185" s="8" t="inlineStr">
        <is>
          <t>2025-10-29</t>
        </is>
      </c>
      <c r="B185" s="8" t="n">
        <v>2025</v>
      </c>
      <c r="C185" s="8" t="n">
        <v>44</v>
      </c>
      <c r="D185" s="15" t="n">
        <v>150.65</v>
      </c>
      <c r="E185" s="15" t="n">
        <v>99.73</v>
      </c>
      <c r="F185" s="15" t="n">
        <v>82.43000000000001</v>
      </c>
      <c r="G185" s="15" t="n">
        <v>17.3</v>
      </c>
      <c r="H185" s="15" t="n"/>
      <c r="I185" s="15" t="n"/>
      <c r="J185" s="15" t="n">
        <v>-2.97</v>
      </c>
      <c r="K185" s="15" t="n">
        <v>-2.97</v>
      </c>
      <c r="L185" s="15" t="n">
        <v>-2.97</v>
      </c>
      <c r="M185" s="8" t="inlineStr">
        <is>
          <t>east_table</t>
        </is>
      </c>
      <c r="N185" s="8" t="b">
        <v>1</v>
      </c>
      <c r="O185" s="8" t="b">
        <v>0</v>
      </c>
      <c r="P185" s="8" t="n">
        <v>110.7</v>
      </c>
      <c r="Q185" s="16" t="n">
        <v>7</v>
      </c>
      <c r="R185" s="8" t="b">
        <v>0</v>
      </c>
      <c r="S185" s="9" t="inlineStr">
        <is>
          <t>[港口库存]：中国甲醇样本港口库存周数据统计(20251029）</t>
        </is>
      </c>
      <c r="T185" s="9" t="inlineStr">
        <is>
          <t>https://nenghua.m.mysteel.com/a/25102914/859A56349263AF74_abc.html</t>
        </is>
      </c>
      <c r="U185">
        <f>IF(OR(F185="",G185=""),"",ROUND(F185+G185,2))</f>
        <v/>
      </c>
      <c r="V185">
        <f>IF(U185="","",IF(ABS(U185-E185)&lt;0.05,"一致","差异"))</f>
        <v/>
      </c>
    </row>
    <row r="186">
      <c r="A186" s="8" t="inlineStr">
        <is>
          <t>2025-11-05</t>
        </is>
      </c>
      <c r="B186" s="8" t="n">
        <v>2025</v>
      </c>
      <c r="C186" s="8" t="n">
        <v>45</v>
      </c>
      <c r="D186" s="15" t="n">
        <v>151.71</v>
      </c>
      <c r="E186" s="15" t="n">
        <v>102.15</v>
      </c>
      <c r="F186" s="15" t="n">
        <v>82.15000000000001</v>
      </c>
      <c r="G186" s="15" t="n"/>
      <c r="H186" s="15" t="n">
        <v>29.7</v>
      </c>
      <c r="I186" s="15" t="n">
        <v>19.86</v>
      </c>
      <c r="J186" s="15" t="n">
        <v>2.42</v>
      </c>
      <c r="K186" s="15" t="n">
        <v>2.42</v>
      </c>
      <c r="L186" s="15" t="n">
        <v>2.42</v>
      </c>
      <c r="M186" s="8" t="inlineStr">
        <is>
          <t>east_estimated</t>
        </is>
      </c>
      <c r="N186" s="8" t="b">
        <v>1</v>
      </c>
      <c r="O186" s="8" t="b">
        <v>0</v>
      </c>
      <c r="P186" s="8" t="n">
        <v>111.48</v>
      </c>
      <c r="Q186" s="16" t="n">
        <v>7</v>
      </c>
      <c r="R186" s="8" t="b">
        <v>0</v>
      </c>
      <c r="S186" s="9" t="inlineStr">
        <is>
          <t>[港口库存]：中国甲醇样本港口库存周数据统计(20251105）</t>
        </is>
      </c>
      <c r="T186" s="9" t="inlineStr">
        <is>
          <t>https://nenghua.m.mysteel.com/a/25110514/CDF762E201028B87_abc.html</t>
        </is>
      </c>
      <c r="U186">
        <f>IF(OR(F186="",G186=""),"",ROUND(F186+G186,2))</f>
        <v/>
      </c>
      <c r="V186">
        <f>IF(U186="","",IF(ABS(U186-E186)&lt;0.05,"一致","差异"))</f>
        <v/>
      </c>
    </row>
    <row r="187">
      <c r="A187" s="8" t="inlineStr">
        <is>
          <t>2025-11-12</t>
        </is>
      </c>
      <c r="B187" s="8" t="n">
        <v>2025</v>
      </c>
      <c r="C187" s="8" t="n">
        <v>46</v>
      </c>
      <c r="D187" s="15" t="n">
        <v>154.36</v>
      </c>
      <c r="E187" s="15" t="n">
        <v>108.64</v>
      </c>
      <c r="F187" s="15" t="n"/>
      <c r="G187" s="15" t="n"/>
      <c r="H187" s="15" t="n">
        <v>29</v>
      </c>
      <c r="I187" s="15" t="n">
        <v>19.72</v>
      </c>
      <c r="J187" s="15" t="n">
        <v>6.49</v>
      </c>
      <c r="K187" s="15" t="n">
        <v>6.49</v>
      </c>
      <c r="L187" s="15" t="n">
        <v>6.49</v>
      </c>
      <c r="M187" s="8" t="inlineStr">
        <is>
          <t>east_estimated</t>
        </is>
      </c>
      <c r="N187" s="8" t="b">
        <v>1</v>
      </c>
      <c r="O187" s="8" t="b">
        <v>0</v>
      </c>
      <c r="P187" s="8" t="n">
        <v>113.42</v>
      </c>
      <c r="Q187" s="16" t="n">
        <v>7</v>
      </c>
      <c r="R187" s="8" t="b">
        <v>0</v>
      </c>
      <c r="S187" s="9" t="inlineStr">
        <is>
          <t>[港口库存]：中国甲醇样本港口库存周数据统计(20251112）</t>
        </is>
      </c>
      <c r="T187" s="9" t="inlineStr">
        <is>
          <t>https://nenghua.m.mysteel.com/a/25111214/5A8D3259653F1904_abc.html</t>
        </is>
      </c>
      <c r="U187">
        <f>IF(OR(F187="",G187=""),"",ROUND(F187+G187,2))</f>
        <v/>
      </c>
      <c r="V187">
        <f>IF(U187="","",IF(ABS(U187-E187)&lt;0.05,"一致","差异"))</f>
        <v/>
      </c>
    </row>
    <row r="188">
      <c r="A188" s="8" t="inlineStr">
        <is>
          <t>2025-11-19</t>
        </is>
      </c>
      <c r="B188" s="8" t="n">
        <v>2025</v>
      </c>
      <c r="C188" s="8" t="n">
        <v>47</v>
      </c>
      <c r="D188" s="15" t="n">
        <v>147.93</v>
      </c>
      <c r="E188" s="15" t="n">
        <v>101.78</v>
      </c>
      <c r="F188" s="15" t="n">
        <v>81.93000000000001</v>
      </c>
      <c r="G188" s="15" t="n">
        <v>19.85</v>
      </c>
      <c r="H188" s="15" t="n">
        <v>27.7</v>
      </c>
      <c r="I188" s="15" t="n">
        <v>18.45</v>
      </c>
      <c r="J188" s="15" t="n">
        <v>-3.86</v>
      </c>
      <c r="K188" s="15" t="n">
        <v>-3.86</v>
      </c>
      <c r="L188" s="15" t="n">
        <v>-6.86</v>
      </c>
      <c r="M188" s="8" t="inlineStr">
        <is>
          <t>east_table</t>
        </is>
      </c>
      <c r="N188" s="8" t="b">
        <v>1</v>
      </c>
      <c r="O188" s="8" t="b">
        <v>1</v>
      </c>
      <c r="P188" s="8" t="n">
        <v>108.7</v>
      </c>
      <c r="Q188" s="16" t="n">
        <v>7</v>
      </c>
      <c r="R188" s="8" t="b">
        <v>0</v>
      </c>
      <c r="S188" s="9" t="inlineStr">
        <is>
          <t>[港口库存]：中国甲醇样本港口库存周数据统计(20251119）</t>
        </is>
      </c>
      <c r="T188" s="9" t="inlineStr">
        <is>
          <t>https://nenghua.m.mysteel.com/a/25111914/0B3582A146B92C01_abc.html</t>
        </is>
      </c>
      <c r="U188">
        <f>IF(OR(F188="",G188=""),"",ROUND(F188+G188,2))</f>
        <v/>
      </c>
      <c r="V188">
        <f>IF(U188="","",IF(ABS(U188-E188)&lt;0.05,"一致","差异"))</f>
        <v/>
      </c>
    </row>
    <row r="189">
      <c r="A189" s="8" t="inlineStr">
        <is>
          <t>2025-11-26</t>
        </is>
      </c>
      <c r="B189" s="8" t="n">
        <v>2025</v>
      </c>
      <c r="C189" s="8" t="n">
        <v>48</v>
      </c>
      <c r="D189" s="15" t="n">
        <v>136.35</v>
      </c>
      <c r="E189" s="15" t="n">
        <v>93.75</v>
      </c>
      <c r="F189" s="15" t="n">
        <v>74.8</v>
      </c>
      <c r="G189" s="15" t="n">
        <v>18.95</v>
      </c>
      <c r="H189" s="15" t="n">
        <v>25.85</v>
      </c>
      <c r="I189" s="15" t="n">
        <v>16.75</v>
      </c>
      <c r="J189" s="15" t="n">
        <v>-8.029999999999999</v>
      </c>
      <c r="K189" s="15" t="n">
        <v>-8.029999999999999</v>
      </c>
      <c r="L189" s="15" t="n">
        <v>-8.029999999999999</v>
      </c>
      <c r="M189" s="8" t="inlineStr">
        <is>
          <t>east_table</t>
        </is>
      </c>
      <c r="N189" s="8" t="b">
        <v>1</v>
      </c>
      <c r="O189" s="8" t="b">
        <v>1</v>
      </c>
      <c r="P189" s="8" t="n">
        <v>100.19</v>
      </c>
      <c r="Q189" s="16" t="n">
        <v>7</v>
      </c>
      <c r="R189" s="8" t="b">
        <v>0</v>
      </c>
      <c r="S189" s="9" t="inlineStr">
        <is>
          <t>[港口库存]：中国甲醇样本港口库存周数据统计(20251126）</t>
        </is>
      </c>
      <c r="T189" s="9" t="inlineStr">
        <is>
          <t>https://nenghua.m.mysteel.com/a/25112614/63632903D303C240_abc.html</t>
        </is>
      </c>
      <c r="U189">
        <f>IF(OR(F189="",G189=""),"",ROUND(F189+G189,2))</f>
        <v/>
      </c>
      <c r="V189">
        <f>IF(U189="","",IF(ABS(U189-E189)&lt;0.05,"一致","差异"))</f>
        <v/>
      </c>
    </row>
    <row r="190">
      <c r="A190" s="8" t="inlineStr">
        <is>
          <t>2025-12-03</t>
        </is>
      </c>
      <c r="B190" s="8" t="n">
        <v>2025</v>
      </c>
      <c r="C190" s="8" t="n">
        <v>49</v>
      </c>
      <c r="D190" s="15" t="n">
        <v>134.94</v>
      </c>
      <c r="E190" s="15" t="n">
        <v>93.88</v>
      </c>
      <c r="F190" s="15" t="n">
        <v>70.33</v>
      </c>
      <c r="G190" s="15" t="n"/>
      <c r="H190" s="15" t="n">
        <v>25.2</v>
      </c>
      <c r="I190" s="15" t="n">
        <v>15.86</v>
      </c>
      <c r="J190" s="15" t="n">
        <v>0.13</v>
      </c>
      <c r="K190" s="15" t="n">
        <v>0.13</v>
      </c>
      <c r="L190" s="15" t="n">
        <v>0.13</v>
      </c>
      <c r="M190" s="8" t="inlineStr">
        <is>
          <t>east_estimated</t>
        </is>
      </c>
      <c r="N190" s="8" t="b">
        <v>1</v>
      </c>
      <c r="O190" s="8" t="b">
        <v>0</v>
      </c>
      <c r="P190" s="8" t="n">
        <v>99.15000000000001</v>
      </c>
      <c r="Q190" s="16" t="n">
        <v>7</v>
      </c>
      <c r="R190" s="8" t="b">
        <v>0</v>
      </c>
      <c r="S190" s="9" t="inlineStr">
        <is>
          <t>[港口库存]：中国甲醇样本港口库存周数据统计(20251203）</t>
        </is>
      </c>
      <c r="T190" s="9" t="inlineStr">
        <is>
          <t>https://nenghua.m.mysteel.com/a/25120314/CBE77E131B0AA88B_abc.html</t>
        </is>
      </c>
      <c r="U190">
        <f>IF(OR(F190="",G190=""),"",ROUND(F190+G190,2))</f>
        <v/>
      </c>
      <c r="V190">
        <f>IF(U190="","",IF(ABS(U190-E190)&lt;0.05,"一致","差异"))</f>
        <v/>
      </c>
    </row>
    <row r="191">
      <c r="A191" s="8" t="inlineStr">
        <is>
          <t>2025-12-10</t>
        </is>
      </c>
      <c r="B191" s="8" t="n">
        <v>2025</v>
      </c>
      <c r="C191" s="8" t="n">
        <v>50</v>
      </c>
      <c r="D191" s="15" t="n">
        <v>123.44</v>
      </c>
      <c r="E191" s="15" t="n">
        <v>83.06</v>
      </c>
      <c r="F191" s="15" t="n">
        <v>63.51</v>
      </c>
      <c r="G191" s="15" t="n">
        <v>19.55</v>
      </c>
      <c r="H191" s="15" t="n"/>
      <c r="I191" s="15" t="n">
        <v>15.08</v>
      </c>
      <c r="J191" s="15" t="n">
        <v>-10.82</v>
      </c>
      <c r="K191" s="15" t="n">
        <v>-10.82</v>
      </c>
      <c r="L191" s="15" t="n">
        <v>-10.82</v>
      </c>
      <c r="M191" s="8" t="inlineStr">
        <is>
          <t>east_table</t>
        </is>
      </c>
      <c r="N191" s="8" t="b">
        <v>1</v>
      </c>
      <c r="O191" s="8" t="b">
        <v>0</v>
      </c>
      <c r="P191" s="8" t="n">
        <v>90.7</v>
      </c>
      <c r="Q191" s="16" t="n">
        <v>7</v>
      </c>
      <c r="R191" s="8" t="b">
        <v>0</v>
      </c>
      <c r="S191" s="9" t="inlineStr">
        <is>
          <t>[港口库存]：中国甲醇样本港口库存周数据统计(20251210）</t>
        </is>
      </c>
      <c r="T191" s="9" t="inlineStr">
        <is>
          <t>https://nenghua.m.mysteel.com/a/25121014/EBA876CE6FDF1BB8_abc.html</t>
        </is>
      </c>
      <c r="U191">
        <f>IF(OR(F191="",G191=""),"",ROUND(F191+G191,2))</f>
        <v/>
      </c>
      <c r="V191">
        <f>IF(U191="","",IF(ABS(U191-E191)&lt;0.05,"一致","差异"))</f>
        <v/>
      </c>
    </row>
    <row r="192">
      <c r="A192" s="8" t="inlineStr">
        <is>
          <t>2025-12-17</t>
        </is>
      </c>
      <c r="B192" s="8" t="n">
        <v>2025</v>
      </c>
      <c r="C192" s="8" t="n">
        <v>51</v>
      </c>
      <c r="D192" s="15" t="n">
        <v>121.88</v>
      </c>
      <c r="E192" s="15" t="n">
        <v>79.95999999999999</v>
      </c>
      <c r="F192" s="15" t="n">
        <v>60.4</v>
      </c>
      <c r="G192" s="15" t="n"/>
      <c r="H192" s="15" t="n"/>
      <c r="I192" s="15" t="n"/>
      <c r="J192" s="15" t="n">
        <v>-3.1</v>
      </c>
      <c r="K192" s="15" t="n">
        <v>-3.1</v>
      </c>
      <c r="L192" s="15" t="n">
        <v>-3.1</v>
      </c>
      <c r="M192" s="8" t="inlineStr">
        <is>
          <t>east_table</t>
        </is>
      </c>
      <c r="N192" s="8" t="b">
        <v>1</v>
      </c>
      <c r="O192" s="8" t="b">
        <v>0</v>
      </c>
      <c r="P192" s="8" t="n">
        <v>89.56</v>
      </c>
      <c r="Q192" s="16" t="n">
        <v>7</v>
      </c>
      <c r="R192" s="8" t="b">
        <v>0</v>
      </c>
      <c r="S192" s="9" t="inlineStr">
        <is>
          <t>[港口库存]：中国甲醇样本港口库存周数据统计(20251217）</t>
        </is>
      </c>
      <c r="T192" s="9" t="inlineStr">
        <is>
          <t>https://nenghua.m.mysteel.com/a/25121714/651B1CA765C390F1_abc.html</t>
        </is>
      </c>
      <c r="U192">
        <f>IF(OR(F192="",G192=""),"",ROUND(F192+G192,2))</f>
        <v/>
      </c>
      <c r="V192">
        <f>IF(U192="","",IF(ABS(U192-E192)&lt;0.05,"一致","差异"))</f>
        <v/>
      </c>
    </row>
    <row r="193">
      <c r="A193" s="8" t="inlineStr">
        <is>
          <t>2025-12-24</t>
        </is>
      </c>
      <c r="B193" s="8" t="n">
        <v>2025</v>
      </c>
      <c r="C193" s="8" t="n">
        <v>52</v>
      </c>
      <c r="D193" s="15" t="n">
        <v>141.25</v>
      </c>
      <c r="E193" s="15" t="n">
        <v>100.73</v>
      </c>
      <c r="F193" s="15" t="n"/>
      <c r="G193" s="15" t="n">
        <v>19.2</v>
      </c>
      <c r="H193" s="15" t="n">
        <v>23.3</v>
      </c>
      <c r="I193" s="15" t="n"/>
      <c r="J193" s="15" t="n">
        <v>20.77</v>
      </c>
      <c r="K193" s="15" t="n">
        <v>20.77</v>
      </c>
      <c r="L193" s="15" t="n">
        <v>20.77</v>
      </c>
      <c r="M193" s="8" t="inlineStr">
        <is>
          <t>east_estimated</t>
        </is>
      </c>
      <c r="N193" s="8" t="b">
        <v>1</v>
      </c>
      <c r="O193" s="8" t="b">
        <v>0</v>
      </c>
      <c r="P193" s="8" t="n">
        <v>103.79</v>
      </c>
      <c r="Q193" s="16" t="n">
        <v>7</v>
      </c>
      <c r="R193" s="8" t="b">
        <v>0</v>
      </c>
      <c r="S193" s="9" t="inlineStr">
        <is>
          <t>[港口库存]：中国甲醇样本港口库存周数据统计(20251224）</t>
        </is>
      </c>
      <c r="T193" s="9" t="inlineStr">
        <is>
          <t>https://nenghua.m.mysteel.com/a/25122414/7AAA184D1F3B27A0_abc.html</t>
        </is>
      </c>
      <c r="U193">
        <f>IF(OR(F193="",G193=""),"",ROUND(F193+G193,2))</f>
        <v/>
      </c>
      <c r="V193">
        <f>IF(U193="","",IF(ABS(U193-E193)&lt;0.05,"一致","差异"))</f>
        <v/>
      </c>
    </row>
    <row r="194">
      <c r="A194" s="8" t="inlineStr">
        <is>
          <t>2025-12-31</t>
        </is>
      </c>
      <c r="B194" s="8" t="n">
        <v>2026</v>
      </c>
      <c r="C194" s="8" t="n">
        <v>1</v>
      </c>
      <c r="D194" s="15" t="n">
        <v>147.74</v>
      </c>
      <c r="E194" s="15" t="n">
        <v>104.71</v>
      </c>
      <c r="F194" s="15" t="n"/>
      <c r="G194" s="15" t="n"/>
      <c r="H194" s="15" t="n">
        <v>21.4</v>
      </c>
      <c r="I194" s="15" t="n"/>
      <c r="J194" s="15" t="n">
        <v>3.98</v>
      </c>
      <c r="K194" s="15" t="n">
        <v>3.98</v>
      </c>
      <c r="L194" s="15" t="n">
        <v>3.98</v>
      </c>
      <c r="M194" s="8" t="inlineStr">
        <is>
          <t>east_estimated</t>
        </is>
      </c>
      <c r="N194" s="8" t="b">
        <v>1</v>
      </c>
      <c r="O194" s="8" t="b">
        <v>0</v>
      </c>
      <c r="P194" s="8" t="n">
        <v>108.56</v>
      </c>
      <c r="Q194" s="16" t="n">
        <v>7</v>
      </c>
      <c r="R194" s="8" t="b">
        <v>0</v>
      </c>
      <c r="S194" s="9" t="inlineStr">
        <is>
          <t>[港口库存]：中国甲醇样本港口库存周数据统计(20251231）</t>
        </is>
      </c>
      <c r="T194" s="9" t="inlineStr">
        <is>
          <t>https://nenghua.m.mysteel.com/a/25123114/5F88ECD18915A877_abc.html</t>
        </is>
      </c>
      <c r="U194">
        <f>IF(OR(F194="",G194=""),"",ROUND(F194+G194,2))</f>
        <v/>
      </c>
      <c r="V194">
        <f>IF(U194="","",IF(ABS(U194-E194)&lt;0.05,"一致","差异"))</f>
        <v/>
      </c>
    </row>
    <row r="195">
      <c r="A195" s="8" t="inlineStr">
        <is>
          <t>2026-01-07</t>
        </is>
      </c>
      <c r="B195" s="8" t="n">
        <v>2026</v>
      </c>
      <c r="C195" s="8" t="n">
        <v>2</v>
      </c>
      <c r="D195" s="15" t="n">
        <v>153.72</v>
      </c>
      <c r="E195" s="15" t="n"/>
      <c r="F195" s="15" t="n">
        <v>83.09999999999999</v>
      </c>
      <c r="G195" s="15" t="n"/>
      <c r="H195" s="15" t="n">
        <v>21.3</v>
      </c>
      <c r="I195" s="15" t="n">
        <v>20.09</v>
      </c>
      <c r="J195" s="15" t="n">
        <v>5.72</v>
      </c>
      <c r="K195" s="15" t="n">
        <v>5.72</v>
      </c>
      <c r="L195" s="15" t="n"/>
      <c r="M195" s="8" t="n"/>
      <c r="N195" s="8" t="b">
        <v>1</v>
      </c>
      <c r="O195" s="8" t="b">
        <v>0</v>
      </c>
      <c r="P195" s="8" t="n">
        <v>112.95</v>
      </c>
      <c r="Q195" s="16" t="n">
        <v>7</v>
      </c>
      <c r="R195" s="8" t="b">
        <v>0</v>
      </c>
      <c r="S195" s="9" t="inlineStr">
        <is>
          <t>[港口库存]：中国甲醇样本港口库存周数据统计(20260107）</t>
        </is>
      </c>
      <c r="T195" s="9" t="inlineStr">
        <is>
          <t>https://nenghua.m.mysteel.com/a/26010714/F74FBFB9F8C5E8F9_abc.html</t>
        </is>
      </c>
      <c r="U195">
        <f>IF(OR(F195="",G195=""),"",ROUND(F195+G195,2))</f>
        <v/>
      </c>
      <c r="V195">
        <f>IF(U195="","",IF(ABS(U195-E195)&lt;0.05,"一致","差异"))</f>
        <v/>
      </c>
    </row>
    <row r="196">
      <c r="A196" s="8" t="inlineStr">
        <is>
          <t>2026-01-14</t>
        </is>
      </c>
      <c r="B196" s="8" t="n">
        <v>2026</v>
      </c>
      <c r="C196" s="8" t="n">
        <v>3</v>
      </c>
      <c r="D196" s="15" t="n">
        <v>143.53</v>
      </c>
      <c r="E196" s="15" t="n">
        <v>103.89</v>
      </c>
      <c r="F196" s="15" t="n">
        <v>76.58</v>
      </c>
      <c r="G196" s="15" t="n">
        <v>27.31</v>
      </c>
      <c r="H196" s="15" t="n">
        <v>19.8</v>
      </c>
      <c r="I196" s="15" t="n">
        <v>19.84</v>
      </c>
      <c r="J196" s="15" t="n">
        <v>-8.44</v>
      </c>
      <c r="K196" s="15" t="n">
        <v>-8.44</v>
      </c>
      <c r="L196" s="15" t="n"/>
      <c r="M196" s="8" t="inlineStr">
        <is>
          <t>east_table</t>
        </is>
      </c>
      <c r="N196" s="8" t="b">
        <v>1</v>
      </c>
      <c r="O196" s="8" t="b">
        <v>1</v>
      </c>
      <c r="P196" s="8" t="n">
        <v>105.46</v>
      </c>
      <c r="Q196" s="16" t="n">
        <v>7</v>
      </c>
      <c r="R196" s="8" t="b">
        <v>0</v>
      </c>
      <c r="S196" s="9" t="inlineStr">
        <is>
          <t>[港口库存]：中国甲醇样本港口库存周数据统计(20260114）</t>
        </is>
      </c>
      <c r="T196" s="9" t="inlineStr">
        <is>
          <t>https://nenghua.m.mysteel.com/a/26011414/7346A0ADC0F209DE_abc.html</t>
        </is>
      </c>
      <c r="U196">
        <f>IF(OR(F196="",G196=""),"",ROUND(F196+G196,2))</f>
        <v/>
      </c>
      <c r="V196">
        <f>IF(U196="","",IF(ABS(U196-E196)&lt;0.05,"一致","差异"))</f>
        <v/>
      </c>
    </row>
    <row r="197">
      <c r="A197" s="8" t="inlineStr">
        <is>
          <t>2026-01-21</t>
        </is>
      </c>
      <c r="B197" s="8" t="n">
        <v>2026</v>
      </c>
      <c r="C197" s="8" t="n">
        <v>4</v>
      </c>
      <c r="D197" s="15" t="n">
        <v>145.75</v>
      </c>
      <c r="E197" s="15" t="n">
        <v>102.53</v>
      </c>
      <c r="F197" s="15" t="n">
        <v>71.3</v>
      </c>
      <c r="G197" s="15" t="n"/>
      <c r="H197" s="15" t="n"/>
      <c r="I197" s="15" t="n"/>
      <c r="J197" s="15" t="n">
        <v>-1.36</v>
      </c>
      <c r="K197" s="15" t="n">
        <v>-1.36</v>
      </c>
      <c r="L197" s="15" t="n">
        <v>-1.36</v>
      </c>
      <c r="M197" s="8" t="inlineStr">
        <is>
          <t>east_table</t>
        </is>
      </c>
      <c r="N197" s="8" t="b">
        <v>1</v>
      </c>
      <c r="O197" s="8" t="b">
        <v>0</v>
      </c>
      <c r="P197" s="8" t="n">
        <v>107.1</v>
      </c>
      <c r="Q197" s="16" t="n">
        <v>7</v>
      </c>
      <c r="R197" s="8" t="b">
        <v>0</v>
      </c>
      <c r="S197" s="9" t="inlineStr">
        <is>
          <t>[港口库存]：中国甲醇样本港口库存周数据统计(20260121）</t>
        </is>
      </c>
      <c r="T197" s="9" t="inlineStr">
        <is>
          <t>https://nenghua.m.mysteel.com/a/26012114/5F10AD31E22704CB_abc.html</t>
        </is>
      </c>
      <c r="U197">
        <f>IF(OR(F197="",G197=""),"",ROUND(F197+G197,2))</f>
        <v/>
      </c>
      <c r="V197">
        <f>IF(U197="","",IF(ABS(U197-E197)&lt;0.05,"一致","差异"))</f>
        <v/>
      </c>
    </row>
    <row r="198">
      <c r="A198" s="8" t="inlineStr">
        <is>
          <t>2026-01-28</t>
        </is>
      </c>
      <c r="B198" s="8" t="n">
        <v>2026</v>
      </c>
      <c r="C198" s="8" t="n">
        <v>5</v>
      </c>
      <c r="D198" s="15" t="n">
        <v>147.21</v>
      </c>
      <c r="E198" s="15" t="n">
        <v>107.29</v>
      </c>
      <c r="F198" s="15" t="n"/>
      <c r="G198" s="15" t="n"/>
      <c r="H198" s="15" t="n">
        <v>21</v>
      </c>
      <c r="I198" s="15" t="n">
        <v>18.92</v>
      </c>
      <c r="J198" s="15" t="n">
        <v>4.76</v>
      </c>
      <c r="K198" s="15" t="n">
        <v>4.76</v>
      </c>
      <c r="L198" s="15" t="n">
        <v>4.76</v>
      </c>
      <c r="M198" s="8" t="inlineStr">
        <is>
          <t>east_estimated</t>
        </is>
      </c>
      <c r="N198" s="8" t="b">
        <v>1</v>
      </c>
      <c r="O198" s="8" t="b">
        <v>0</v>
      </c>
      <c r="P198" s="8" t="n">
        <v>108.17</v>
      </c>
      <c r="Q198" s="16" t="n">
        <v>7</v>
      </c>
      <c r="R198" s="8" t="b">
        <v>0</v>
      </c>
      <c r="S198" s="9" t="inlineStr">
        <is>
          <t>[港口库存]：中国甲醇样本港口库存周数据统计(20260128）</t>
        </is>
      </c>
      <c r="T198" s="9" t="inlineStr">
        <is>
          <t>https://nenghua.m.mysteel.com/a/26012814/BB95EFF4E44AC1F7_abc.html</t>
        </is>
      </c>
      <c r="U198">
        <f>IF(OR(F198="",G198=""),"",ROUND(F198+G198,2))</f>
        <v/>
      </c>
      <c r="V198">
        <f>IF(U198="","",IF(ABS(U198-E198)&lt;0.05,"一致","差异"))</f>
        <v/>
      </c>
    </row>
    <row r="199">
      <c r="A199" s="8" t="inlineStr">
        <is>
          <t>2026-02-04</t>
        </is>
      </c>
      <c r="B199" s="8" t="n">
        <v>2026</v>
      </c>
      <c r="C199" s="8" t="n">
        <v>6</v>
      </c>
      <c r="D199" s="15" t="n">
        <v>141.1</v>
      </c>
      <c r="E199" s="15" t="n">
        <v>100.81</v>
      </c>
      <c r="F199" s="15" t="n">
        <v>69.70999999999999</v>
      </c>
      <c r="G199" s="15" t="n">
        <v>31.1</v>
      </c>
      <c r="H199" s="15" t="n">
        <v>20.7</v>
      </c>
      <c r="I199" s="15" t="n"/>
      <c r="J199" s="15" t="n">
        <v>-6.48</v>
      </c>
      <c r="K199" s="15" t="n">
        <v>-6.48</v>
      </c>
      <c r="L199" s="15" t="n">
        <v>-6.48</v>
      </c>
      <c r="M199" s="8" t="inlineStr">
        <is>
          <t>east_table</t>
        </is>
      </c>
      <c r="N199" s="8" t="b">
        <v>1</v>
      </c>
      <c r="O199" s="8" t="b">
        <v>0</v>
      </c>
      <c r="P199" s="8" t="n">
        <v>103.68</v>
      </c>
      <c r="Q199" s="16" t="n">
        <v>7</v>
      </c>
      <c r="R199" s="8" t="b">
        <v>0</v>
      </c>
      <c r="S199" s="9" t="inlineStr">
        <is>
          <t>[港口库存]：中国甲醇样本港口库存周数据统计(20260204）</t>
        </is>
      </c>
      <c r="T199" s="9" t="inlineStr">
        <is>
          <t>https://nenghua.m.mysteel.com/a/26020414/6258F7CFFA49BD19_abc.html</t>
        </is>
      </c>
      <c r="U199">
        <f>IF(OR(F199="",G199=""),"",ROUND(F199+G199,2))</f>
        <v/>
      </c>
      <c r="V199">
        <f>IF(U199="","",IF(ABS(U199-E199)&lt;0.05,"一致","差异"))</f>
        <v/>
      </c>
    </row>
    <row r="200">
      <c r="A200" s="8" t="inlineStr">
        <is>
          <t>2026-02-11</t>
        </is>
      </c>
      <c r="B200" s="8" t="n">
        <v>2026</v>
      </c>
      <c r="C200" s="8" t="n">
        <v>7</v>
      </c>
      <c r="D200" s="15" t="n">
        <v>143.22</v>
      </c>
      <c r="E200" s="15" t="n">
        <v>104.47</v>
      </c>
      <c r="F200" s="15" t="n">
        <v>68.67</v>
      </c>
      <c r="G200" s="15" t="n"/>
      <c r="H200" s="15" t="n">
        <v>20.2</v>
      </c>
      <c r="I200" s="15" t="n">
        <v>18.55</v>
      </c>
      <c r="J200" s="15" t="n">
        <v>3.66</v>
      </c>
      <c r="K200" s="15" t="n">
        <v>3.66</v>
      </c>
      <c r="L200" s="15" t="n">
        <v>3.66</v>
      </c>
      <c r="M200" s="8" t="inlineStr">
        <is>
          <t>east_estimated</t>
        </is>
      </c>
      <c r="N200" s="8" t="b">
        <v>1</v>
      </c>
      <c r="O200" s="8" t="b">
        <v>0</v>
      </c>
      <c r="P200" s="8" t="n">
        <v>105.24</v>
      </c>
      <c r="Q200" s="16" t="n">
        <v>7</v>
      </c>
      <c r="R200" s="8" t="b">
        <v>0</v>
      </c>
      <c r="S200" s="9" t="inlineStr">
        <is>
          <t>[港口库存]：中国甲醇样本港口库存周数据统计(20260211）</t>
        </is>
      </c>
      <c r="T200" s="9" t="inlineStr">
        <is>
          <t>https://nenghua.m.mysteel.com/a/26021114/F3B60BAF0E09DD79_abc.html</t>
        </is>
      </c>
      <c r="U200">
        <f>IF(OR(F200="",G200=""),"",ROUND(F200+G200,2))</f>
        <v/>
      </c>
      <c r="V200">
        <f>IF(U200="","",IF(ABS(U200-E200)&lt;0.05,"一致","差异"))</f>
        <v/>
      </c>
    </row>
    <row r="201">
      <c r="A201" s="8" t="inlineStr">
        <is>
          <t>2026-02-25</t>
        </is>
      </c>
      <c r="B201" s="8" t="n">
        <v>2026</v>
      </c>
      <c r="C201" s="8" t="n">
        <v>9</v>
      </c>
      <c r="D201" s="15" t="n">
        <v>144.67</v>
      </c>
      <c r="E201" s="15" t="n">
        <v>104.42</v>
      </c>
      <c r="F201" s="15" t="n"/>
      <c r="G201" s="15" t="n">
        <v>32.13</v>
      </c>
      <c r="H201" s="15" t="n"/>
      <c r="I201" s="15" t="n">
        <v>17.75</v>
      </c>
      <c r="J201" s="15" t="n"/>
      <c r="K201" s="15" t="n">
        <v>-0.05</v>
      </c>
      <c r="L201" s="15" t="n">
        <v>-0.05</v>
      </c>
      <c r="M201" s="8" t="inlineStr">
        <is>
          <t>east_table</t>
        </is>
      </c>
      <c r="N201" s="8" t="b">
        <v>0</v>
      </c>
      <c r="O201" s="8" t="b">
        <v>0</v>
      </c>
      <c r="P201" s="8" t="n">
        <v>106.3</v>
      </c>
      <c r="Q201" s="16" t="n">
        <v>14</v>
      </c>
      <c r="R201" s="8" t="b">
        <v>0</v>
      </c>
      <c r="S201" s="9" t="inlineStr">
        <is>
          <t>[港口库存]：中国甲醇样本港口库存周数据统计(20260225）</t>
        </is>
      </c>
      <c r="T201" s="9" t="inlineStr">
        <is>
          <t>https://nenghua.m.mysteel.com/a/26022514/1D15DDB6F94E38EF_abc.html</t>
        </is>
      </c>
      <c r="U201">
        <f>IF(OR(F201="",G201=""),"",ROUND(F201+G201,2))</f>
        <v/>
      </c>
      <c r="V201">
        <f>IF(U201="","",IF(ABS(U201-E201)&lt;0.05,"一致","差异"))</f>
        <v/>
      </c>
    </row>
    <row r="202">
      <c r="A202" s="8" t="inlineStr">
        <is>
          <t>2026-03-04</t>
        </is>
      </c>
      <c r="B202" s="8" t="n">
        <v>2026</v>
      </c>
      <c r="C202" s="8" t="n">
        <v>10</v>
      </c>
      <c r="D202" s="15" t="n">
        <v>144.35</v>
      </c>
      <c r="E202" s="15" t="n">
        <v>106.84</v>
      </c>
      <c r="F202" s="15" t="n"/>
      <c r="G202" s="15" t="n">
        <v>30.6</v>
      </c>
      <c r="H202" s="15" t="n">
        <v>20.1</v>
      </c>
      <c r="I202" s="15" t="n">
        <v>17.41</v>
      </c>
      <c r="J202" s="15" t="n">
        <v>2.42</v>
      </c>
      <c r="K202" s="15" t="n">
        <v>2.42</v>
      </c>
      <c r="L202" s="15" t="n">
        <v>2.42</v>
      </c>
      <c r="M202" s="8" t="inlineStr">
        <is>
          <t>east_estimated</t>
        </is>
      </c>
      <c r="N202" s="8" t="b">
        <v>1</v>
      </c>
      <c r="O202" s="8" t="b">
        <v>0</v>
      </c>
      <c r="P202" s="8" t="n">
        <v>106.07</v>
      </c>
      <c r="Q202" s="16" t="n">
        <v>7</v>
      </c>
      <c r="R202" s="8" t="b">
        <v>0</v>
      </c>
      <c r="S202" s="9" t="inlineStr">
        <is>
          <t>[港口库存]：中国甲醇样本港口库存周数据统计(20260304）</t>
        </is>
      </c>
      <c r="T202" s="9" t="inlineStr">
        <is>
          <t>https://nenghua.m.mysteel.com/a/26030414/C82528F3C35933AC_abc.html</t>
        </is>
      </c>
      <c r="U202">
        <f>IF(OR(F202="",G202=""),"",ROUND(F202+G202,2))</f>
        <v/>
      </c>
      <c r="V202">
        <f>IF(U202="","",IF(ABS(U202-E202)&lt;0.05,"一致","差异"))</f>
        <v/>
      </c>
    </row>
    <row r="203">
      <c r="A203" s="8" t="inlineStr">
        <is>
          <t>2026-03-11</t>
        </is>
      </c>
      <c r="B203" s="8" t="n">
        <v>2026</v>
      </c>
      <c r="C203" s="8" t="n">
        <v>11</v>
      </c>
      <c r="D203" s="15" t="n">
        <v>131.28</v>
      </c>
      <c r="E203" s="15" t="n">
        <v>97.28</v>
      </c>
      <c r="F203" s="15" t="n">
        <v>67.18000000000001</v>
      </c>
      <c r="G203" s="15" t="n">
        <v>30.1</v>
      </c>
      <c r="H203" s="15" t="n">
        <v>17.7</v>
      </c>
      <c r="I203" s="15" t="n">
        <v>16.3</v>
      </c>
      <c r="J203" s="15" t="n">
        <v>-9.56</v>
      </c>
      <c r="K203" s="15" t="n">
        <v>-9.56</v>
      </c>
      <c r="L203" s="15" t="n">
        <v>-9.56</v>
      </c>
      <c r="M203" s="8" t="inlineStr">
        <is>
          <t>east_table</t>
        </is>
      </c>
      <c r="N203" s="8" t="b">
        <v>1</v>
      </c>
      <c r="O203" s="8" t="b">
        <v>1</v>
      </c>
      <c r="P203" s="8" t="n">
        <v>96.45999999999999</v>
      </c>
      <c r="Q203" s="16" t="n">
        <v>7</v>
      </c>
      <c r="R203" s="8" t="b">
        <v>0</v>
      </c>
      <c r="S203" s="9" t="inlineStr">
        <is>
          <t>[港口库存]：中国甲醇样本港口库存周数据统计(20260311）</t>
        </is>
      </c>
      <c r="T203" s="9" t="inlineStr">
        <is>
          <t>https://nenghua.m.mysteel.com/a/26031114/1D4E8B8AE332C013_abc.html</t>
        </is>
      </c>
      <c r="U203">
        <f>IF(OR(F203="",G203=""),"",ROUND(F203+G203,2))</f>
        <v/>
      </c>
      <c r="V203">
        <f>IF(U203="","",IF(ABS(U203-E203)&lt;0.05,"一致","差异"))</f>
        <v/>
      </c>
    </row>
    <row r="204">
      <c r="A204" s="8" t="inlineStr">
        <is>
          <t>2026-03-18</t>
        </is>
      </c>
      <c r="B204" s="8" t="n">
        <v>2026</v>
      </c>
      <c r="C204" s="8" t="n">
        <v>12</v>
      </c>
      <c r="D204" s="15" t="n">
        <v>126.17</v>
      </c>
      <c r="E204" s="15" t="n">
        <v>94.52</v>
      </c>
      <c r="F204" s="15" t="n">
        <v>62.72</v>
      </c>
      <c r="G204" s="15" t="n"/>
      <c r="H204" s="15" t="n">
        <v>16.8</v>
      </c>
      <c r="I204" s="15" t="n">
        <v>14.85</v>
      </c>
      <c r="J204" s="15" t="n">
        <v>-2.76</v>
      </c>
      <c r="K204" s="15" t="n">
        <v>-2.76</v>
      </c>
      <c r="L204" s="15" t="n">
        <v>-2.76</v>
      </c>
      <c r="M204" s="8" t="inlineStr">
        <is>
          <t>east_table</t>
        </is>
      </c>
      <c r="N204" s="8" t="b">
        <v>1</v>
      </c>
      <c r="O204" s="8" t="b">
        <v>0</v>
      </c>
      <c r="P204" s="8" t="n">
        <v>92.70999999999999</v>
      </c>
      <c r="Q204" s="16" t="n">
        <v>7</v>
      </c>
      <c r="R204" s="8" t="b">
        <v>0</v>
      </c>
      <c r="S204" s="9" t="inlineStr">
        <is>
          <t>[港口库存]：中国甲醇样本港口库存周数据统计(20260318）</t>
        </is>
      </c>
      <c r="T204" s="9" t="inlineStr">
        <is>
          <t>https://nenghua.m.mysteel.com/a/26031814/C3E9BAB1AC1A0D59_abc.html</t>
        </is>
      </c>
      <c r="U204">
        <f>IF(OR(F204="",G204=""),"",ROUND(F204+G204,2))</f>
        <v/>
      </c>
      <c r="V204">
        <f>IF(U204="","",IF(ABS(U204-E204)&lt;0.05,"一致","差异"))</f>
        <v/>
      </c>
    </row>
    <row r="205">
      <c r="A205" s="8" t="inlineStr">
        <is>
          <t>2026-03-25</t>
        </is>
      </c>
      <c r="B205" s="8" t="n">
        <v>2026</v>
      </c>
      <c r="C205" s="8" t="n">
        <v>13</v>
      </c>
      <c r="D205" s="15" t="n">
        <v>115.55</v>
      </c>
      <c r="E205" s="15" t="n">
        <v>86.05</v>
      </c>
      <c r="F205" s="15" t="n">
        <v>57.55</v>
      </c>
      <c r="G205" s="15" t="n">
        <v>28.5</v>
      </c>
      <c r="H205" s="15" t="n">
        <v>16.1</v>
      </c>
      <c r="I205" s="15" t="n">
        <v>13.4</v>
      </c>
      <c r="J205" s="15" t="n">
        <v>-8.470000000000001</v>
      </c>
      <c r="K205" s="15" t="n">
        <v>-8.470000000000001</v>
      </c>
      <c r="L205" s="15" t="n">
        <v>-8.470000000000001</v>
      </c>
      <c r="M205" s="8" t="inlineStr">
        <is>
          <t>east_table</t>
        </is>
      </c>
      <c r="N205" s="8" t="b">
        <v>1</v>
      </c>
      <c r="O205" s="8" t="b">
        <v>1</v>
      </c>
      <c r="P205" s="8" t="n">
        <v>84.91</v>
      </c>
      <c r="Q205" s="16" t="n">
        <v>7</v>
      </c>
      <c r="R205" s="8" t="b">
        <v>0</v>
      </c>
      <c r="S205" s="9" t="inlineStr">
        <is>
          <t>[港口库存]：中国甲醇样本港口库存周数据统计(20260325）</t>
        </is>
      </c>
      <c r="T205" s="9" t="inlineStr">
        <is>
          <t>https://nenghua.m.mysteel.com/a/26032514/B00B13AD19BB8148_abc.html</t>
        </is>
      </c>
      <c r="U205">
        <f>IF(OR(F205="",G205=""),"",ROUND(F205+G205,2))</f>
        <v/>
      </c>
      <c r="V205">
        <f>IF(U205="","",IF(ABS(U205-E205)&lt;0.05,"一致","差异"))</f>
        <v/>
      </c>
    </row>
    <row r="206">
      <c r="A206" s="8" t="inlineStr">
        <is>
          <t>2026-04-01</t>
        </is>
      </c>
      <c r="B206" s="8" t="n">
        <v>2026</v>
      </c>
      <c r="C206" s="8" t="n">
        <v>14</v>
      </c>
      <c r="D206" s="15" t="n">
        <v>103.4</v>
      </c>
      <c r="E206" s="15" t="n">
        <v>76.83</v>
      </c>
      <c r="F206" s="15" t="n">
        <v>51.76</v>
      </c>
      <c r="G206" s="15" t="n">
        <v>25.07</v>
      </c>
      <c r="H206" s="15" t="n">
        <v>14.1</v>
      </c>
      <c r="I206" s="15" t="n">
        <v>12.47</v>
      </c>
      <c r="J206" s="15" t="n">
        <v>-9.220000000000001</v>
      </c>
      <c r="K206" s="15" t="n">
        <v>-9.220000000000001</v>
      </c>
      <c r="L206" s="15" t="n">
        <v>-9.220000000000001</v>
      </c>
      <c r="M206" s="8" t="inlineStr">
        <is>
          <t>east_table</t>
        </is>
      </c>
      <c r="N206" s="8" t="b">
        <v>1</v>
      </c>
      <c r="O206" s="8" t="b">
        <v>1</v>
      </c>
      <c r="P206" s="8" t="n">
        <v>75.98</v>
      </c>
      <c r="Q206" s="16" t="n">
        <v>7</v>
      </c>
      <c r="R206" s="8" t="b">
        <v>0</v>
      </c>
      <c r="S206" s="9" t="inlineStr">
        <is>
          <t>[港口库存]：中国甲醇样本港口库存周数据统计(20260401）</t>
        </is>
      </c>
      <c r="T206" s="9" t="inlineStr">
        <is>
          <t>https://nenghua.m.mysteel.com/a/26040114/F2ABCAB2224D997F_abc.html</t>
        </is>
      </c>
      <c r="U206">
        <f>IF(OR(F206="",G206=""),"",ROUND(F206+G206,2))</f>
        <v/>
      </c>
      <c r="V206">
        <f>IF(U206="","",IF(ABS(U206-E206)&lt;0.05,"一致","差异"))</f>
        <v/>
      </c>
    </row>
    <row r="207">
      <c r="A207" s="8" t="inlineStr">
        <is>
          <t>2026-04-08</t>
        </is>
      </c>
      <c r="B207" s="8" t="n">
        <v>2026</v>
      </c>
      <c r="C207" s="8" t="n">
        <v>15</v>
      </c>
      <c r="D207" s="15" t="n">
        <v>102.55</v>
      </c>
      <c r="E207" s="15" t="n">
        <v>76.42</v>
      </c>
      <c r="F207" s="15" t="n"/>
      <c r="G207" s="15" t="n">
        <v>22.77</v>
      </c>
      <c r="H207" s="15" t="n"/>
      <c r="I207" s="15" t="n">
        <v>11.68</v>
      </c>
      <c r="J207" s="15" t="n"/>
      <c r="K207" s="15" t="n">
        <v>-0.41</v>
      </c>
      <c r="L207" s="15" t="n">
        <v>-0.41</v>
      </c>
      <c r="M207" s="8" t="inlineStr">
        <is>
          <t>east_table</t>
        </is>
      </c>
      <c r="N207" s="8" t="b">
        <v>0</v>
      </c>
      <c r="O207" s="8" t="b">
        <v>0</v>
      </c>
      <c r="P207" s="8" t="n">
        <v>75.34999999999999</v>
      </c>
      <c r="Q207" s="16" t="n">
        <v>7</v>
      </c>
      <c r="R207" s="8" t="b">
        <v>0</v>
      </c>
      <c r="S207" s="9" t="inlineStr">
        <is>
          <t>[港口库存]：中国甲醇样本港口库存周数据统计(20260408）</t>
        </is>
      </c>
      <c r="T207" s="9" t="inlineStr">
        <is>
          <t>https://nenghua.m.mysteel.com/a/26040814/5F0EA27EB5083C9A_abc.html</t>
        </is>
      </c>
      <c r="U207">
        <f>IF(OR(F207="",G207=""),"",ROUND(F207+G207,2))</f>
        <v/>
      </c>
      <c r="V207">
        <f>IF(U207="","",IF(ABS(U207-E207)&lt;0.05,"一致","差异"))</f>
        <v/>
      </c>
    </row>
    <row r="208">
      <c r="A208" s="8" t="inlineStr">
        <is>
          <t>2026-04-15</t>
        </is>
      </c>
      <c r="B208" s="8" t="n">
        <v>2026</v>
      </c>
      <c r="C208" s="8" t="n">
        <v>16</v>
      </c>
      <c r="D208" s="15" t="n">
        <v>95.36</v>
      </c>
      <c r="E208" s="15" t="n">
        <v>68.26000000000001</v>
      </c>
      <c r="F208" s="15" t="n">
        <v>45.98</v>
      </c>
      <c r="G208" s="15" t="n">
        <v>22.28</v>
      </c>
      <c r="H208" s="15" t="n"/>
      <c r="I208" s="15" t="n">
        <v>11.6</v>
      </c>
      <c r="J208" s="15" t="n"/>
      <c r="K208" s="15" t="n">
        <v>-8.16</v>
      </c>
      <c r="L208" s="15" t="n">
        <v>-8.16</v>
      </c>
      <c r="M208" s="8" t="inlineStr">
        <is>
          <t>east_table</t>
        </is>
      </c>
      <c r="N208" s="8" t="b">
        <v>0</v>
      </c>
      <c r="O208" s="8" t="b">
        <v>0</v>
      </c>
      <c r="P208" s="8" t="n">
        <v>70.06999999999999</v>
      </c>
      <c r="Q208" s="16" t="n">
        <v>7</v>
      </c>
      <c r="R208" s="8" t="b">
        <v>0</v>
      </c>
      <c r="S208" s="9" t="inlineStr">
        <is>
          <t>[港口库存]：中国甲醇样本港口库存周数据统计(20260415）</t>
        </is>
      </c>
      <c r="T208" s="9" t="inlineStr">
        <is>
          <t>https://nenghua.m.mysteel.com/a/26041514/6947C9D7CB3776A1_abc.html</t>
        </is>
      </c>
      <c r="U208">
        <f>IF(OR(F208="",G208=""),"",ROUND(F208+G208,2))</f>
        <v/>
      </c>
      <c r="V208">
        <f>IF(U208="","",IF(ABS(U208-E208)&lt;0.05,"一致","差异"))</f>
        <v/>
      </c>
    </row>
    <row r="209">
      <c r="A209" s="8" t="inlineStr">
        <is>
          <t>2026-04-22</t>
        </is>
      </c>
      <c r="B209" s="8" t="n">
        <v>2026</v>
      </c>
      <c r="C209" s="8" t="n">
        <v>17</v>
      </c>
      <c r="D209" s="15" t="n">
        <v>97.56999999999999</v>
      </c>
      <c r="E209" s="15" t="n">
        <v>72.98999999999999</v>
      </c>
      <c r="F209" s="15" t="n"/>
      <c r="G209" s="15" t="n"/>
      <c r="H209" s="15" t="n">
        <v>14.5</v>
      </c>
      <c r="I209" s="15" t="n">
        <v>9.43</v>
      </c>
      <c r="J209" s="15" t="n">
        <v>4.73</v>
      </c>
      <c r="K209" s="15" t="n">
        <v>4.73</v>
      </c>
      <c r="L209" s="15" t="n">
        <v>4.73</v>
      </c>
      <c r="M209" s="8" t="inlineStr">
        <is>
          <t>east_estimated</t>
        </is>
      </c>
      <c r="N209" s="8" t="b">
        <v>1</v>
      </c>
      <c r="O209" s="8" t="b">
        <v>0</v>
      </c>
      <c r="P209" s="8" t="n">
        <v>71.69</v>
      </c>
      <c r="Q209" s="16" t="n">
        <v>7</v>
      </c>
      <c r="R209" s="8" t="b">
        <v>0</v>
      </c>
      <c r="S209" s="9" t="inlineStr">
        <is>
          <t>[港口库存]：中国甲醇样本港口库存周数据统计(20260422）</t>
        </is>
      </c>
      <c r="T209" s="9" t="inlineStr">
        <is>
          <t>https://nenghua.m.mysteel.com/a/26042214/06044C5E2445D2B2_abc.html</t>
        </is>
      </c>
      <c r="U209">
        <f>IF(OR(F209="",G209=""),"",ROUND(F209+G209,2))</f>
        <v/>
      </c>
      <c r="V209">
        <f>IF(U209="","",IF(ABS(U209-E209)&lt;0.05,"一致","差异"))</f>
        <v/>
      </c>
    </row>
    <row r="210">
      <c r="A210" s="8" t="inlineStr">
        <is>
          <t>2026-04-29</t>
        </is>
      </c>
      <c r="B210" s="8" t="n">
        <v>2026</v>
      </c>
      <c r="C210" s="8" t="n">
        <v>18</v>
      </c>
      <c r="D210" s="15" t="n">
        <v>91.48999999999999</v>
      </c>
      <c r="E210" s="15" t="n">
        <v>73.36</v>
      </c>
      <c r="F210" s="15" t="n"/>
      <c r="G210" s="15" t="n">
        <v>25.7</v>
      </c>
      <c r="H210" s="15" t="n">
        <v>10.9</v>
      </c>
      <c r="I210" s="15" t="n">
        <v>7.23</v>
      </c>
      <c r="J210" s="15" t="n"/>
      <c r="K210" s="15" t="n">
        <v>0.37</v>
      </c>
      <c r="L210" s="15" t="n">
        <v>0.37</v>
      </c>
      <c r="M210" s="8" t="inlineStr">
        <is>
          <t>east_table</t>
        </is>
      </c>
      <c r="N210" s="8" t="b">
        <v>0</v>
      </c>
      <c r="O210" s="8" t="b">
        <v>0</v>
      </c>
      <c r="P210" s="8" t="n">
        <v>67.23</v>
      </c>
      <c r="Q210" s="16" t="n">
        <v>7</v>
      </c>
      <c r="R210" s="8" t="b">
        <v>0</v>
      </c>
      <c r="S210" s="9" t="inlineStr">
        <is>
          <t>[港口库存]：中国甲醇样本港口库存周数据统计(20260429）</t>
        </is>
      </c>
      <c r="T210" s="9" t="inlineStr">
        <is>
          <t>https://nenghua.m.mysteel.com/a/26042914/46A0FBE55BD8ECB2_abc.html</t>
        </is>
      </c>
      <c r="U210">
        <f>IF(OR(F210="",G210=""),"",ROUND(F210+G210,2))</f>
        <v/>
      </c>
      <c r="V210">
        <f>IF(U210="","",IF(ABS(U210-E210)&lt;0.05,"一致","差异"))</f>
        <v/>
      </c>
    </row>
    <row r="211">
      <c r="A211" s="8" t="inlineStr">
        <is>
          <t>2026-05-06</t>
        </is>
      </c>
      <c r="B211" s="8" t="n">
        <v>2026</v>
      </c>
      <c r="C211" s="8" t="n">
        <v>19</v>
      </c>
      <c r="D211" s="15" t="n">
        <v>92.2</v>
      </c>
      <c r="E211" s="15" t="n">
        <v>78.26000000000001</v>
      </c>
      <c r="F211" s="15" t="n"/>
      <c r="G211" s="15" t="n">
        <v>22.57</v>
      </c>
      <c r="H211" s="15" t="n">
        <v>9.75</v>
      </c>
      <c r="I211" s="15" t="n">
        <v>4.19</v>
      </c>
      <c r="J211" s="15" t="n">
        <v>4.9</v>
      </c>
      <c r="K211" s="15" t="n">
        <v>4.9</v>
      </c>
      <c r="L211" s="15" t="n">
        <v>4.9</v>
      </c>
      <c r="M211" s="8" t="inlineStr">
        <is>
          <t>east_estimated</t>
        </is>
      </c>
      <c r="N211" s="8" t="b">
        <v>1</v>
      </c>
      <c r="O211" s="8" t="b">
        <v>0</v>
      </c>
      <c r="P211" s="8" t="n">
        <v>67.75</v>
      </c>
      <c r="Q211" s="16" t="n">
        <v>7</v>
      </c>
      <c r="R211" s="8" t="b">
        <v>0</v>
      </c>
      <c r="S211" s="9" t="inlineStr">
        <is>
          <t>[港口库存]：中国甲醇样本港口库存周数据统计(20260506）</t>
        </is>
      </c>
      <c r="T211" s="9" t="inlineStr">
        <is>
          <t>https://nenghua.m.mysteel.com/a/26050614/82F009D7359B763B_abc.html</t>
        </is>
      </c>
      <c r="U211">
        <f>IF(OR(F211="",G211=""),"",ROUND(F211+G211,2))</f>
        <v/>
      </c>
      <c r="V211">
        <f>IF(U211="","",IF(ABS(U211-E211)&lt;0.05,"一致","差异"))</f>
        <v/>
      </c>
    </row>
    <row r="212">
      <c r="A212" s="8" t="inlineStr">
        <is>
          <t>2026-05-13</t>
        </is>
      </c>
      <c r="B212" s="8" t="n">
        <v>2026</v>
      </c>
      <c r="C212" s="8" t="n">
        <v>20</v>
      </c>
      <c r="D212" s="15" t="n">
        <v>79.68000000000001</v>
      </c>
      <c r="E212" s="15" t="n">
        <v>66.75</v>
      </c>
      <c r="F212" s="15" t="n">
        <v>50.34</v>
      </c>
      <c r="G212" s="15" t="n">
        <v>16.41</v>
      </c>
      <c r="H212" s="15" t="n">
        <v>9.199999999999999</v>
      </c>
      <c r="I212" s="15" t="n">
        <v>3.73</v>
      </c>
      <c r="J212" s="15" t="n">
        <v>-11.51</v>
      </c>
      <c r="K212" s="15" t="n">
        <v>-11.51</v>
      </c>
      <c r="L212" s="15" t="n">
        <v>-11.51</v>
      </c>
      <c r="M212" s="8" t="inlineStr">
        <is>
          <t>east_table</t>
        </is>
      </c>
      <c r="N212" s="8" t="b">
        <v>1</v>
      </c>
      <c r="O212" s="8" t="b">
        <v>1</v>
      </c>
      <c r="P212" s="8" t="n">
        <v>58.55</v>
      </c>
      <c r="Q212" s="16" t="n">
        <v>7</v>
      </c>
      <c r="R212" s="8" t="b">
        <v>0</v>
      </c>
      <c r="S212" s="9" t="inlineStr">
        <is>
          <t>[港口库存]：中国甲醇样本港口库存周数据统计(20260513）</t>
        </is>
      </c>
      <c r="T212" s="9" t="inlineStr">
        <is>
          <t>https://nenghua.m.mysteel.com/a/26051314/6F9E74FA0755ABEC_abc.html</t>
        </is>
      </c>
      <c r="U212">
        <f>IF(OR(F212="",G212=""),"",ROUND(F212+G212,2))</f>
        <v/>
      </c>
      <c r="V212">
        <f>IF(U212="","",IF(ABS(U212-E212)&lt;0.05,"一致","差异"))</f>
        <v/>
      </c>
    </row>
    <row r="213">
      <c r="A213" s="8" t="inlineStr">
        <is>
          <t>2026-05-20</t>
        </is>
      </c>
      <c r="B213" s="8" t="n">
        <v>2026</v>
      </c>
      <c r="C213" s="8" t="n">
        <v>21</v>
      </c>
      <c r="D213" s="15" t="n">
        <v>71.55</v>
      </c>
      <c r="E213" s="15" t="n">
        <v>61.02</v>
      </c>
      <c r="F213" s="15" t="n">
        <v>44.43</v>
      </c>
      <c r="G213" s="15" t="n"/>
      <c r="H213" s="15" t="n">
        <v>8.1</v>
      </c>
      <c r="I213" s="15" t="n">
        <v>2.43</v>
      </c>
      <c r="J213" s="15" t="n">
        <v>-5.73</v>
      </c>
      <c r="K213" s="15" t="n">
        <v>-5.73</v>
      </c>
      <c r="L213" s="15" t="n">
        <v>-5.73</v>
      </c>
      <c r="M213" s="8" t="inlineStr">
        <is>
          <t>east_table</t>
        </is>
      </c>
      <c r="N213" s="8" t="b">
        <v>1</v>
      </c>
      <c r="O213" s="8" t="b">
        <v>0</v>
      </c>
      <c r="P213" s="8" t="n">
        <v>52.57</v>
      </c>
      <c r="Q213" s="16" t="n">
        <v>7</v>
      </c>
      <c r="R213" s="8" t="b">
        <v>0</v>
      </c>
      <c r="S213" s="9" t="inlineStr">
        <is>
          <t>[港口库存]：中国甲醇样本港口库存周数据统计(20260520）</t>
        </is>
      </c>
      <c r="T213" s="9" t="inlineStr">
        <is>
          <t>https://nenghua.m.mysteel.com/a/26052014/E893EF73F8C3CB7A_abc.html</t>
        </is>
      </c>
      <c r="U213">
        <f>IF(OR(F213="",G213=""),"",ROUND(F213+G213,2))</f>
        <v/>
      </c>
      <c r="V213">
        <f>IF(U213="","",IF(ABS(U213-E213)&lt;0.05,"一致","差异"))</f>
        <v/>
      </c>
    </row>
    <row r="214">
      <c r="A214" s="8" t="inlineStr">
        <is>
          <t>2026-05-27</t>
        </is>
      </c>
      <c r="B214" s="8" t="n">
        <v>2026</v>
      </c>
      <c r="C214" s="8" t="n">
        <v>22</v>
      </c>
      <c r="D214" s="15" t="n">
        <v>66.2</v>
      </c>
      <c r="E214" s="15" t="n">
        <v>54.5</v>
      </c>
      <c r="F214" s="15" t="n">
        <v>37.65</v>
      </c>
      <c r="G214" s="15" t="n">
        <v>16.85</v>
      </c>
      <c r="H214" s="15" t="n"/>
      <c r="I214" s="15" t="n">
        <v>1.25</v>
      </c>
      <c r="J214" s="15" t="n">
        <v>-8.52</v>
      </c>
      <c r="K214" s="15" t="n">
        <v>-8.52</v>
      </c>
      <c r="L214" s="15" t="n">
        <v>-6.52</v>
      </c>
      <c r="M214" s="8" t="inlineStr">
        <is>
          <t>east_table</t>
        </is>
      </c>
      <c r="N214" s="8" t="b">
        <v>1</v>
      </c>
      <c r="O214" s="8" t="b">
        <v>0</v>
      </c>
      <c r="P214" s="8" t="n">
        <v>48.64</v>
      </c>
      <c r="Q214" s="16" t="n">
        <v>7</v>
      </c>
      <c r="R214" s="8" t="b">
        <v>0</v>
      </c>
      <c r="S214" s="9" t="inlineStr">
        <is>
          <t>[港口库存]：中国甲醇样本港口库存周数据统计(20260527）</t>
        </is>
      </c>
      <c r="T214" s="9" t="inlineStr">
        <is>
          <t>https://nenghua.m.mysteel.com/a/26052714/873ACEEBA7050295_abc.html</t>
        </is>
      </c>
      <c r="U214">
        <f>IF(OR(F214="",G214=""),"",ROUND(F214+G214,2))</f>
        <v/>
      </c>
      <c r="V214">
        <f>IF(U214="","",IF(ABS(U214-E214)&lt;0.05,"一致","差异"))</f>
        <v/>
      </c>
    </row>
    <row r="215">
      <c r="A215" s="8" t="inlineStr">
        <is>
          <t>2026-06-03</t>
        </is>
      </c>
      <c r="B215" s="8" t="n">
        <v>2026</v>
      </c>
      <c r="C215" s="8" t="n">
        <v>23</v>
      </c>
      <c r="D215" s="15" t="n">
        <v>63.35</v>
      </c>
      <c r="E215" s="15" t="n">
        <v>54.23</v>
      </c>
      <c r="F215" s="15" t="n"/>
      <c r="G215" s="15" t="n">
        <v>16.52</v>
      </c>
      <c r="H215" s="15" t="n">
        <v>7.7</v>
      </c>
      <c r="I215" s="15" t="n"/>
      <c r="J215" s="15" t="n">
        <v>-0.27</v>
      </c>
      <c r="K215" s="15" t="n">
        <v>-0.27</v>
      </c>
      <c r="L215" s="15" t="n">
        <v>-0.27</v>
      </c>
      <c r="M215" s="8" t="inlineStr">
        <is>
          <t>east_table</t>
        </is>
      </c>
      <c r="N215" s="8" t="b">
        <v>1</v>
      </c>
      <c r="O215" s="8" t="b">
        <v>0</v>
      </c>
      <c r="P215" s="8" t="n">
        <v>46.55</v>
      </c>
      <c r="Q215" s="16" t="n">
        <v>7</v>
      </c>
      <c r="R215" s="8" t="b">
        <v>0</v>
      </c>
      <c r="S215" s="9" t="inlineStr">
        <is>
          <t>[港口库存]：中国甲醇样本港口库存周数据统计(20260603）</t>
        </is>
      </c>
      <c r="T215" s="9" t="inlineStr">
        <is>
          <t>https://nenghua.m.mysteel.com/a/26060314/429E9952F1333C5C_abc.html</t>
        </is>
      </c>
      <c r="U215">
        <f>IF(OR(F215="",G215=""),"",ROUND(F215+G215,2))</f>
        <v/>
      </c>
      <c r="V215">
        <f>IF(U215="","",IF(ABS(U215-E215)&lt;0.05,"一致","差异"))</f>
        <v/>
      </c>
    </row>
    <row r="216">
      <c r="A216" s="8" t="inlineStr">
        <is>
          <t>2026-06-10</t>
        </is>
      </c>
      <c r="B216" s="8" t="n">
        <v>2026</v>
      </c>
      <c r="C216" s="8" t="n">
        <v>24</v>
      </c>
      <c r="D216" s="15" t="n">
        <v>56.61</v>
      </c>
      <c r="E216" s="15" t="n">
        <v>48.11</v>
      </c>
      <c r="F216" s="15" t="n">
        <v>33.63</v>
      </c>
      <c r="G216" s="15" t="n">
        <v>14.48</v>
      </c>
      <c r="H216" s="15" t="n">
        <v>7.4</v>
      </c>
      <c r="I216" s="15" t="n">
        <v>1.1</v>
      </c>
      <c r="J216" s="15" t="n">
        <v>-6.12</v>
      </c>
      <c r="K216" s="15" t="n">
        <v>-6.12</v>
      </c>
      <c r="L216" s="15" t="n">
        <v>-6.12</v>
      </c>
      <c r="M216" s="8" t="inlineStr">
        <is>
          <t>east_table</t>
        </is>
      </c>
      <c r="N216" s="8" t="b">
        <v>1</v>
      </c>
      <c r="O216" s="8" t="b">
        <v>1</v>
      </c>
      <c r="P216" s="8" t="n">
        <v>41.6</v>
      </c>
      <c r="Q216" s="16" t="n">
        <v>7</v>
      </c>
      <c r="R216" s="8" t="b">
        <v>0</v>
      </c>
      <c r="S216" s="9" t="inlineStr">
        <is>
          <t>[港口库存]：中国甲醇样本港口库存周数据统计(20260610）</t>
        </is>
      </c>
      <c r="T216" s="9" t="inlineStr">
        <is>
          <t>https://nenghua.m.mysteel.com/a/26061014/AD1169A93F6BD1AF_abc.html</t>
        </is>
      </c>
      <c r="U216">
        <f>IF(OR(F216="",G216=""),"",ROUND(F216+G216,2))</f>
        <v/>
      </c>
      <c r="V216">
        <f>IF(U216="","",IF(ABS(U216-E216)&lt;0.05,"一致","差异"))</f>
        <v/>
      </c>
    </row>
    <row r="217">
      <c r="A217" s="8" t="inlineStr">
        <is>
          <t>2026-06-17</t>
        </is>
      </c>
      <c r="B217" s="8" t="n">
        <v>2026</v>
      </c>
      <c r="C217" s="8" t="n">
        <v>25</v>
      </c>
      <c r="D217" s="15" t="n">
        <v>63.24</v>
      </c>
      <c r="E217" s="15" t="n">
        <v>52.06</v>
      </c>
      <c r="F217" s="15" t="n">
        <v>30.68</v>
      </c>
      <c r="G217" s="15" t="n"/>
      <c r="H217" s="15" t="n"/>
      <c r="I217" s="15" t="n"/>
      <c r="J217" s="15" t="n">
        <v>3.95</v>
      </c>
      <c r="K217" s="15" t="n">
        <v>3.95</v>
      </c>
      <c r="L217" s="15" t="n">
        <v>3.95</v>
      </c>
      <c r="M217" s="8" t="inlineStr">
        <is>
          <t>east_estimated</t>
        </is>
      </c>
      <c r="N217" s="8" t="b">
        <v>1</v>
      </c>
      <c r="O217" s="8" t="b">
        <v>0</v>
      </c>
      <c r="P217" s="8" t="n">
        <v>46.47</v>
      </c>
      <c r="Q217" s="16" t="n">
        <v>7</v>
      </c>
      <c r="R217" s="8" t="b">
        <v>0</v>
      </c>
      <c r="S217" s="9" t="inlineStr">
        <is>
          <t>[港口库存]：中国甲醇样本港口库存周数据统计(20260617）</t>
        </is>
      </c>
      <c r="T217" s="9" t="inlineStr">
        <is>
          <t>https://nenghua.m.mysteel.com/a/26061714/5527EC54A9F1BD06_abc.html</t>
        </is>
      </c>
      <c r="U217">
        <f>IF(OR(F217="",G217=""),"",ROUND(F217+G217,2))</f>
        <v/>
      </c>
      <c r="V217">
        <f>IF(U217="","",IF(ABS(U217-E217)&lt;0.05,"一致","差异"))</f>
        <v/>
      </c>
    </row>
    <row r="218">
      <c r="A218" s="8" t="inlineStr">
        <is>
          <t>2026-06-24</t>
        </is>
      </c>
      <c r="B218" s="8" t="n">
        <v>2026</v>
      </c>
      <c r="C218" s="8" t="n">
        <v>26</v>
      </c>
      <c r="D218" s="15" t="n">
        <v>56.03</v>
      </c>
      <c r="E218" s="15" t="n">
        <v>47.08</v>
      </c>
      <c r="F218" s="15" t="n">
        <v>25.55</v>
      </c>
      <c r="G218" s="15" t="n"/>
      <c r="H218" s="15" t="n">
        <v>8.1</v>
      </c>
      <c r="I218" s="15" t="n">
        <v>0.85</v>
      </c>
      <c r="J218" s="15" t="n">
        <v>-4.98</v>
      </c>
      <c r="K218" s="15" t="n">
        <v>-4.98</v>
      </c>
      <c r="L218" s="15" t="n">
        <v>-4.98</v>
      </c>
      <c r="M218" s="8" t="inlineStr">
        <is>
          <t>east_table</t>
        </is>
      </c>
      <c r="N218" s="8" t="b">
        <v>1</v>
      </c>
      <c r="O218" s="8" t="b">
        <v>0</v>
      </c>
      <c r="P218" s="8" t="n">
        <v>41.17</v>
      </c>
      <c r="Q218" s="16" t="n">
        <v>7</v>
      </c>
      <c r="R218" s="8" t="b">
        <v>0</v>
      </c>
      <c r="S218" s="9" t="inlineStr">
        <is>
          <t>[港口库存]：中国甲醇样本港口库存周数据统计(20260624）</t>
        </is>
      </c>
      <c r="T218" s="9" t="inlineStr">
        <is>
          <t>https://nenghua.m.mysteel.com/a/26062414/FD95A1DDEF4733AD_abc.html</t>
        </is>
      </c>
      <c r="U218">
        <f>IF(OR(F218="",G218=""),"",ROUND(F218+G218,2))</f>
        <v/>
      </c>
      <c r="V218">
        <f>IF(U218="","",IF(ABS(U218-E218)&lt;0.05,"一致","差异"))</f>
        <v/>
      </c>
    </row>
    <row r="219">
      <c r="A219" s="8" t="inlineStr">
        <is>
          <t>2026-07-01</t>
        </is>
      </c>
      <c r="B219" s="8" t="n">
        <v>2026</v>
      </c>
      <c r="C219" s="8" t="n">
        <v>27</v>
      </c>
      <c r="D219" s="15" t="n">
        <v>49.32</v>
      </c>
      <c r="E219" s="15" t="n">
        <v>44.99</v>
      </c>
      <c r="F219" s="15" t="n">
        <v>25.46</v>
      </c>
      <c r="G219" s="15" t="n">
        <v>19.53</v>
      </c>
      <c r="H219" s="15" t="n">
        <v>3.8</v>
      </c>
      <c r="I219" s="15" t="n">
        <v>0.53</v>
      </c>
      <c r="J219" s="15" t="n">
        <v>-2.09</v>
      </c>
      <c r="K219" s="15" t="n">
        <v>-2.09</v>
      </c>
      <c r="L219" s="15" t="n">
        <v>-2.09</v>
      </c>
      <c r="M219" s="8" t="inlineStr">
        <is>
          <t>east_table</t>
        </is>
      </c>
      <c r="N219" s="8" t="b">
        <v>1</v>
      </c>
      <c r="O219" s="8" t="b">
        <v>1</v>
      </c>
      <c r="P219" s="8" t="n">
        <v>36.24</v>
      </c>
      <c r="Q219" s="16" t="n">
        <v>7</v>
      </c>
      <c r="R219" s="8" t="b">
        <v>0</v>
      </c>
      <c r="S219" s="9" t="inlineStr">
        <is>
          <t>[港口库存]：中国甲醇样本港口库存周数据统计(20260701）</t>
        </is>
      </c>
      <c r="T219" s="9" t="inlineStr">
        <is>
          <t>https://nenghua.m.mysteel.com/a/26070114/1C98462FDD7C80AF_abc.html</t>
        </is>
      </c>
      <c r="U219">
        <f>IF(OR(F219="",G219=""),"",ROUND(F219+G219,2))</f>
        <v/>
      </c>
      <c r="V219">
        <f>IF(U219="","",IF(ABS(U219-E219)&lt;0.05,"一致","差异"))</f>
        <v/>
      </c>
    </row>
    <row r="220">
      <c r="A220" s="8" t="inlineStr">
        <is>
          <t>2026-07-08</t>
        </is>
      </c>
      <c r="B220" s="8" t="n">
        <v>2026</v>
      </c>
      <c r="C220" s="8" t="n">
        <v>28</v>
      </c>
      <c r="D220" s="15" t="n">
        <v>44.67</v>
      </c>
      <c r="E220" s="15" t="n">
        <v>38.47</v>
      </c>
      <c r="F220" s="15" t="n">
        <v>22.31</v>
      </c>
      <c r="G220" s="15" t="n">
        <v>16.16</v>
      </c>
      <c r="H220" s="15" t="n">
        <v>3.7</v>
      </c>
      <c r="I220" s="15" t="n"/>
      <c r="J220" s="15" t="n">
        <v>-6.52</v>
      </c>
      <c r="K220" s="15" t="n">
        <v>-6.52</v>
      </c>
      <c r="L220" s="15" t="n">
        <v>-6.52</v>
      </c>
      <c r="M220" s="8" t="inlineStr">
        <is>
          <t>east_table</t>
        </is>
      </c>
      <c r="N220" s="8" t="b">
        <v>1</v>
      </c>
      <c r="O220" s="8" t="b">
        <v>0</v>
      </c>
      <c r="P220" s="8" t="n">
        <v>32.82</v>
      </c>
      <c r="Q220" s="16" t="n">
        <v>7</v>
      </c>
      <c r="R220" s="8" t="b">
        <v>0</v>
      </c>
      <c r="S220" s="9" t="inlineStr">
        <is>
          <t>[港口库存]：中国甲醇样本港口库存周数据统计(20260708）</t>
        </is>
      </c>
      <c r="T220" s="9" t="inlineStr">
        <is>
          <t>https://nenghua.m.mysteel.com/a/26070814/4D387D1BEA508F24_abc.html</t>
        </is>
      </c>
      <c r="U220">
        <f>IF(OR(F220="",G220=""),"",ROUND(F220+G220,2))</f>
        <v/>
      </c>
      <c r="V220">
        <f>IF(U220="","",IF(ABS(U220-E220)&lt;0.05,"一致","差异"))</f>
        <v/>
      </c>
    </row>
    <row r="221">
      <c r="A221" s="8" t="inlineStr">
        <is>
          <t>2026-07-15</t>
        </is>
      </c>
      <c r="B221" s="8" t="n">
        <v>2026</v>
      </c>
      <c r="C221" s="8" t="n">
        <v>29</v>
      </c>
      <c r="D221" s="15" t="n">
        <v>40.15</v>
      </c>
      <c r="E221" s="15" t="n">
        <v>30.52</v>
      </c>
      <c r="F221" s="15" t="n">
        <v>19.49</v>
      </c>
      <c r="G221" s="15" t="n">
        <v>11.03</v>
      </c>
      <c r="H221" s="15" t="n">
        <v>3.55</v>
      </c>
      <c r="I221" s="15" t="n"/>
      <c r="J221" s="15" t="n">
        <v>-7.95</v>
      </c>
      <c r="K221" s="15" t="n">
        <v>-7.95</v>
      </c>
      <c r="L221" s="15" t="n">
        <v>-7.95</v>
      </c>
      <c r="M221" s="8" t="inlineStr">
        <is>
          <t>east_table</t>
        </is>
      </c>
      <c r="N221" s="8" t="b">
        <v>1</v>
      </c>
      <c r="O221" s="8" t="b">
        <v>0</v>
      </c>
      <c r="P221" s="8" t="n">
        <v>29.5</v>
      </c>
      <c r="Q221" s="16" t="n">
        <v>7</v>
      </c>
      <c r="R221" s="8" t="b">
        <v>0</v>
      </c>
      <c r="S221" s="9" t="inlineStr">
        <is>
          <t>[港口库存]：中国甲醇样本港口库存周数据统计(20260715）</t>
        </is>
      </c>
      <c r="T221" s="9" t="inlineStr">
        <is>
          <t>https://nenghua.m.mysteel.com/a/26071514/AA201399BBBC4D05_abc.html</t>
        </is>
      </c>
      <c r="U221">
        <f>IF(OR(F221="",G221=""),"",ROUND(F221+G221,2))</f>
        <v/>
      </c>
      <c r="V221">
        <f>IF(U221="","",IF(ABS(U221-E221)&lt;0.05,"一致","差异"))</f>
        <v/>
      </c>
    </row>
    <row r="222">
      <c r="A222" s="8" t="inlineStr">
        <is>
          <t>2026-07-22</t>
        </is>
      </c>
      <c r="B222" s="8" t="n">
        <v>2026</v>
      </c>
      <c r="C222" s="8" t="n">
        <v>30</v>
      </c>
      <c r="D222" s="15" t="n">
        <v>54.87</v>
      </c>
      <c r="E222" s="15" t="n">
        <v>39.14</v>
      </c>
      <c r="F222" s="15" t="n"/>
      <c r="G222" s="15" t="n"/>
      <c r="H222" s="15" t="n"/>
      <c r="I222" s="15" t="n"/>
      <c r="J222" s="15" t="n">
        <v>8.619999999999999</v>
      </c>
      <c r="K222" s="15" t="n">
        <v>8.619999999999999</v>
      </c>
      <c r="L222" s="15" t="n">
        <v>8.619999999999999</v>
      </c>
      <c r="M222" s="8" t="inlineStr">
        <is>
          <t>east_estimated</t>
        </is>
      </c>
      <c r="N222" s="8" t="b">
        <v>1</v>
      </c>
      <c r="O222" s="8" t="b">
        <v>0</v>
      </c>
      <c r="P222" s="8" t="n">
        <v>40.32</v>
      </c>
      <c r="Q222" s="16" t="n">
        <v>7</v>
      </c>
      <c r="R222" s="8" t="b">
        <v>0</v>
      </c>
      <c r="S222" s="9" t="inlineStr">
        <is>
          <t>[港口库存]：中国甲醇样本港口库存周数据统计(20260722）</t>
        </is>
      </c>
      <c r="T222" s="9" t="inlineStr">
        <is>
          <t>https://nenghua.m.mysteel.com/a/26072214/9CFA7277B2B1585E_abc.html</t>
        </is>
      </c>
      <c r="U222">
        <f>IF(OR(F222="",G222=""),"",ROUND(F222+G222,2))</f>
        <v/>
      </c>
      <c r="V222">
        <f>IF(U222="","",IF(ABS(U222-E222)&lt;0.05,"一致","差异"))</f>
        <v/>
      </c>
    </row>
    <row r="223">
      <c r="A223" s="8" t="inlineStr">
        <is>
          <t>2026-07-29</t>
        </is>
      </c>
      <c r="B223" s="8" t="n">
        <v>2026</v>
      </c>
      <c r="C223" s="8" t="n">
        <v>31</v>
      </c>
      <c r="D223" s="15" t="n">
        <v>68.68000000000001</v>
      </c>
      <c r="E223" s="15" t="n">
        <v>52.32</v>
      </c>
      <c r="F223" s="15" t="n"/>
      <c r="G223" s="15" t="n"/>
      <c r="H223" s="15" t="n"/>
      <c r="I223" s="15" t="n"/>
      <c r="J223" s="15" t="n">
        <v>13.18</v>
      </c>
      <c r="K223" s="15" t="n">
        <v>13.18</v>
      </c>
      <c r="L223" s="15" t="n">
        <v>13.18</v>
      </c>
      <c r="M223" s="8" t="inlineStr">
        <is>
          <t>east_estimated</t>
        </is>
      </c>
      <c r="N223" s="8" t="b">
        <v>1</v>
      </c>
      <c r="O223" s="8" t="b">
        <v>0</v>
      </c>
      <c r="P223" s="8" t="n">
        <v>50.47</v>
      </c>
      <c r="Q223" s="16" t="n">
        <v>7</v>
      </c>
      <c r="R223" s="8" t="b">
        <v>0</v>
      </c>
      <c r="S223" s="9" t="inlineStr">
        <is>
          <t>[港口库存]：中国甲醇样本港口库存周数据统计(20260729）</t>
        </is>
      </c>
      <c r="T223" s="9" t="inlineStr">
        <is>
          <t>https://nenghua.m.mysteel.com/a/26072914/2BB60DED0688EAD9_abc.html</t>
        </is>
      </c>
      <c r="U223">
        <f>IF(OR(F223="",G223=""),"",ROUND(F223+G223,2))</f>
        <v/>
      </c>
      <c r="V223">
        <f>IF(U223="","",IF(ABS(U223-E223)&lt;0.05,"一致","差异"))</f>
        <v/>
      </c>
    </row>
    <row r="224">
      <c r="A224" s="8" t="inlineStr">
        <is>
          <t>2026-08-05</t>
        </is>
      </c>
      <c r="B224" s="8" t="n">
        <v>2026</v>
      </c>
      <c r="C224" s="8" t="n">
        <v>32</v>
      </c>
      <c r="D224" s="15" t="n">
        <v>69.26000000000001</v>
      </c>
      <c r="E224" s="15" t="n"/>
      <c r="F224" s="15" t="n"/>
      <c r="G224" s="15" t="n"/>
      <c r="H224" s="15" t="n"/>
      <c r="I224" s="15" t="n"/>
      <c r="J224" s="15" t="n">
        <v>0.64</v>
      </c>
      <c r="K224" s="15" t="n">
        <v>0.64</v>
      </c>
      <c r="L224" s="15" t="n"/>
      <c r="M224" s="8" t="n"/>
      <c r="N224" s="8" t="b">
        <v>1</v>
      </c>
      <c r="O224" s="8" t="b">
        <v>0</v>
      </c>
      <c r="P224" s="8" t="n">
        <v>50.89</v>
      </c>
      <c r="Q224" s="16" t="n">
        <v>7</v>
      </c>
      <c r="R224" s="8" t="b">
        <v>0</v>
      </c>
      <c r="S224" s="9" t="inlineStr">
        <is>
          <t>[港口库存]：中国甲醇样本港口库存周数据统计(20260805）</t>
        </is>
      </c>
      <c r="T224" s="9" t="inlineStr">
        <is>
          <t>https://nenghua.m.mysteel.com/a/26080514/0297C4DF0486BEE1_abc.html</t>
        </is>
      </c>
      <c r="U224">
        <f>IF(OR(F224="",G224=""),"",ROUND(F224+G224,2))</f>
        <v/>
      </c>
      <c r="V224">
        <f>IF(U224="","",IF(ABS(U224-E224)&lt;0.05,"一致","差异"))</f>
        <v/>
      </c>
    </row>
    <row r="225">
      <c r="A225" s="8" t="inlineStr">
        <is>
          <t>2026-08-12</t>
        </is>
      </c>
      <c r="B225" s="8" t="n">
        <v>2026</v>
      </c>
      <c r="C225" s="8" t="n">
        <v>33</v>
      </c>
      <c r="D225" s="15" t="n">
        <v>60</v>
      </c>
      <c r="E225" s="15" t="n"/>
      <c r="F225" s="15" t="n"/>
      <c r="G225" s="15" t="n"/>
      <c r="H225" s="15" t="n"/>
      <c r="I225" s="15" t="n"/>
      <c r="J225" s="15" t="n">
        <v>-6.76</v>
      </c>
      <c r="K225" s="15" t="n">
        <v>-6.76</v>
      </c>
      <c r="L225" s="15" t="n"/>
      <c r="M225" s="8" t="n"/>
      <c r="N225" s="8" t="b">
        <v>1</v>
      </c>
      <c r="O225" s="8" t="b">
        <v>0</v>
      </c>
      <c r="P225" s="8" t="n">
        <v>44.09</v>
      </c>
      <c r="Q225" s="16" t="n">
        <v>7</v>
      </c>
      <c r="R225" s="8" t="b">
        <v>0</v>
      </c>
      <c r="S225" s="9" t="inlineStr">
        <is>
          <t>[港口库存]：中国甲醇样本港口库存周数据统计(20260812）</t>
        </is>
      </c>
      <c r="T225" s="9" t="inlineStr">
        <is>
          <t>https://nenghua.m.mysteel.com/a/26081214/B0610FC4223A4F59_abc.html</t>
        </is>
      </c>
      <c r="U225">
        <f>IF(OR(F225="",G225=""),"",ROUND(F225+G225,2))</f>
        <v/>
      </c>
      <c r="V225">
        <f>IF(U225="","",IF(ABS(U225-E225)&lt;0.05,"一致","差异"))</f>
        <v/>
      </c>
    </row>
    <row r="226">
      <c r="A226" s="8" t="inlineStr">
        <is>
          <t>2026-08-19</t>
        </is>
      </c>
      <c r="B226" s="8" t="n">
        <v>2026</v>
      </c>
      <c r="C226" s="8" t="n">
        <v>34</v>
      </c>
      <c r="D226" s="15" t="n">
        <v>66.7</v>
      </c>
      <c r="E226" s="15" t="n"/>
      <c r="F226" s="15" t="n"/>
      <c r="G226" s="15" t="n"/>
      <c r="H226" s="15" t="n"/>
      <c r="I226" s="15" t="n"/>
      <c r="J226" s="15" t="n">
        <v>6.79</v>
      </c>
      <c r="K226" s="15" t="n">
        <v>6.79</v>
      </c>
      <c r="L226" s="15" t="n"/>
      <c r="M226" s="8" t="n"/>
      <c r="N226" s="8" t="b">
        <v>1</v>
      </c>
      <c r="O226" s="8" t="b">
        <v>0</v>
      </c>
      <c r="P226" s="8" t="n">
        <v>49.01</v>
      </c>
      <c r="Q226" s="16" t="n">
        <v>7</v>
      </c>
      <c r="R226" s="8" t="b">
        <v>0</v>
      </c>
      <c r="S226" s="9" t="inlineStr">
        <is>
          <t>[港口库存]：中国甲醇样本港口库存周数据统计(20260819）</t>
        </is>
      </c>
      <c r="T226" s="9" t="inlineStr">
        <is>
          <t>https://nenghua.m.mysteel.com/a/26081913/B1F2BE84B8EBE22A_abc.html</t>
        </is>
      </c>
      <c r="U226">
        <f>IF(OR(F226="",G226=""),"",ROUND(F226+G226,2))</f>
        <v/>
      </c>
      <c r="V226">
        <f>IF(U226="","",IF(ABS(U226-E226)&lt;0.05,"一致","差异"))</f>
        <v/>
      </c>
    </row>
    <row r="227">
      <c r="A227" s="8" t="inlineStr">
        <is>
          <t>2026-08-26</t>
        </is>
      </c>
      <c r="B227" s="8" t="n">
        <v>2026</v>
      </c>
      <c r="C227" s="8" t="n">
        <v>35</v>
      </c>
      <c r="D227" s="15" t="n">
        <v>68.56</v>
      </c>
      <c r="E227" s="15" t="n"/>
      <c r="F227" s="15" t="n"/>
      <c r="G227" s="15" t="n"/>
      <c r="H227" s="15" t="n"/>
      <c r="I227" s="15" t="n"/>
      <c r="J227" s="15" t="n">
        <v>2.24</v>
      </c>
      <c r="K227" s="15" t="n">
        <v>2.24</v>
      </c>
      <c r="L227" s="15" t="n"/>
      <c r="M227" s="8" t="n"/>
      <c r="N227" s="8" t="b">
        <v>1</v>
      </c>
      <c r="O227" s="8" t="b">
        <v>0</v>
      </c>
      <c r="P227" s="8" t="n">
        <v>50.38</v>
      </c>
      <c r="Q227" s="16" t="n">
        <v>7</v>
      </c>
      <c r="R227" s="8" t="b">
        <v>0</v>
      </c>
      <c r="S227" s="9" t="inlineStr">
        <is>
          <t>[港口库存]：中国甲醇样本港口库存周数据统计(20260826）</t>
        </is>
      </c>
      <c r="T227" s="9" t="inlineStr">
        <is>
          <t>https://nenghua.m.mysteel.com/a/26082614/219854B66D01D811_abc.html</t>
        </is>
      </c>
      <c r="U227">
        <f>IF(OR(F227="",G227=""),"",ROUND(F227+G227,2))</f>
        <v/>
      </c>
      <c r="V227">
        <f>IF(U227="","",IF(ABS(U227-E227)&lt;0.05,"一致","差异"))</f>
        <v/>
      </c>
    </row>
    <row r="228">
      <c r="A228" s="8" t="inlineStr">
        <is>
          <t>2026-09-02</t>
        </is>
      </c>
      <c r="B228" s="8" t="n">
        <v>2026</v>
      </c>
      <c r="C228" s="8" t="n">
        <v>36</v>
      </c>
      <c r="D228" s="15" t="n">
        <v>64.15000000000001</v>
      </c>
      <c r="E228" s="15" t="n"/>
      <c r="F228" s="15" t="n"/>
      <c r="G228" s="15" t="n"/>
      <c r="H228" s="15" t="n"/>
      <c r="I228" s="15" t="n"/>
      <c r="J228" s="15" t="n">
        <v>-1.65</v>
      </c>
      <c r="K228" s="15" t="n">
        <v>-1.65</v>
      </c>
      <c r="L228" s="15" t="n"/>
      <c r="M228" s="8" t="n"/>
      <c r="N228" s="8" t="b">
        <v>1</v>
      </c>
      <c r="O228" s="8" t="b">
        <v>0</v>
      </c>
      <c r="P228" s="8" t="n">
        <v>47.14</v>
      </c>
      <c r="Q228" s="16" t="n">
        <v>7</v>
      </c>
      <c r="R228" s="8" t="b">
        <v>0</v>
      </c>
      <c r="S228" s="9" t="inlineStr">
        <is>
          <t>[港口库存]：中国甲醇样本港口库存周数据统计(20260902）</t>
        </is>
      </c>
      <c r="T228" s="9" t="inlineStr">
        <is>
          <t>https://nenghua.m.mysteel.com/a/26090214/AF0D6D08EE328F1C_abc.html</t>
        </is>
      </c>
      <c r="U228">
        <f>IF(OR(F228="",G228=""),"",ROUND(F228+G228,2))</f>
        <v/>
      </c>
      <c r="V228">
        <f>IF(U228="","",IF(ABS(U228-E228)&lt;0.05,"一致","差异"))</f>
        <v/>
      </c>
    </row>
    <row r="229">
      <c r="A229" s="8" t="inlineStr">
        <is>
          <t>2026-09-09</t>
        </is>
      </c>
      <c r="B229" s="8" t="n">
        <v>2026</v>
      </c>
      <c r="C229" s="8" t="n">
        <v>37</v>
      </c>
      <c r="D229" s="15" t="n">
        <v>55.15</v>
      </c>
      <c r="E229" s="15" t="n"/>
      <c r="F229" s="15" t="n"/>
      <c r="G229" s="15" t="n"/>
      <c r="H229" s="15" t="n"/>
      <c r="I229" s="15" t="n"/>
      <c r="J229" s="15" t="n">
        <v>-4.77</v>
      </c>
      <c r="K229" s="15" t="n">
        <v>-4.77</v>
      </c>
      <c r="L229" s="15" t="n"/>
      <c r="M229" s="8" t="n"/>
      <c r="N229" s="8" t="b">
        <v>1</v>
      </c>
      <c r="O229" s="8" t="b">
        <v>0</v>
      </c>
      <c r="P229" s="8" t="n">
        <v>40.52</v>
      </c>
      <c r="Q229" s="16" t="n">
        <v>7</v>
      </c>
      <c r="R229" s="8" t="b">
        <v>0</v>
      </c>
      <c r="S229" s="9" t="inlineStr">
        <is>
          <t>[港口库存]：中国甲醇样本港口库存周数据统计(20260909）</t>
        </is>
      </c>
      <c r="T229" s="9" t="inlineStr">
        <is>
          <t>https://nenghua.m.mysteel.com/a/26090914/03659B1A6AFDA3EE_abc.html</t>
        </is>
      </c>
      <c r="U229">
        <f>IF(OR(F229="",G229=""),"",ROUND(F229+G229,2))</f>
        <v/>
      </c>
      <c r="V229">
        <f>IF(U229="","",IF(ABS(U229-E229)&lt;0.05,"一致","差异"))</f>
        <v/>
      </c>
    </row>
    <row r="230">
      <c r="A230" s="8" t="inlineStr">
        <is>
          <t>2026-09-16</t>
        </is>
      </c>
      <c r="B230" s="8" t="n">
        <v>2026</v>
      </c>
      <c r="C230" s="8" t="n">
        <v>38</v>
      </c>
      <c r="D230" s="15" t="n">
        <v>42.39</v>
      </c>
      <c r="E230" s="15" t="n"/>
      <c r="F230" s="15" t="n"/>
      <c r="G230" s="15" t="n"/>
      <c r="H230" s="15" t="n"/>
      <c r="I230" s="15" t="n"/>
      <c r="J230" s="15" t="n">
        <v>-10.51</v>
      </c>
      <c r="K230" s="15" t="n">
        <v>-10.51</v>
      </c>
      <c r="L230" s="15" t="n"/>
      <c r="M230" s="8" t="n"/>
      <c r="N230" s="8" t="b">
        <v>1</v>
      </c>
      <c r="O230" s="8" t="b">
        <v>0</v>
      </c>
      <c r="P230" s="8" t="n">
        <v>31.15</v>
      </c>
      <c r="Q230" s="16" t="n">
        <v>7</v>
      </c>
      <c r="R230" s="8" t="b">
        <v>0</v>
      </c>
      <c r="S230" s="9" t="inlineStr">
        <is>
          <t>[港口库存]：中国甲醇样本港口库存周数据统计(20260916）</t>
        </is>
      </c>
      <c r="T230" s="9" t="inlineStr">
        <is>
          <t>https://nenghua.m.mysteel.com/a/26091614/BC4B2C554986CC54_abc.html</t>
        </is>
      </c>
      <c r="U230">
        <f>IF(OR(F230="",G230=""),"",ROUND(F230+G230,2))</f>
        <v/>
      </c>
      <c r="V230">
        <f>IF(U230="","",IF(ABS(U230-E230)&lt;0.05,"一致","差异"))</f>
        <v/>
      </c>
    </row>
    <row r="231">
      <c r="A231" s="8" t="inlineStr">
        <is>
          <t>2026-09-23</t>
        </is>
      </c>
      <c r="B231" s="8" t="n">
        <v>2026</v>
      </c>
      <c r="C231" s="8" t="n">
        <v>39</v>
      </c>
      <c r="D231" s="15" t="n">
        <v>41.2</v>
      </c>
      <c r="E231" s="15" t="n"/>
      <c r="F231" s="15" t="n"/>
      <c r="G231" s="15" t="n"/>
      <c r="H231" s="15" t="n"/>
      <c r="I231" s="15" t="n"/>
      <c r="J231" s="15" t="n">
        <v>-4.13</v>
      </c>
      <c r="K231" s="15" t="n">
        <v>-4.13</v>
      </c>
      <c r="L231" s="15" t="n"/>
      <c r="M231" s="8" t="n"/>
      <c r="N231" s="8" t="b">
        <v>1</v>
      </c>
      <c r="O231" s="8" t="b">
        <v>0</v>
      </c>
      <c r="P231" s="8" t="n">
        <v>30.27</v>
      </c>
      <c r="Q231" s="16" t="n">
        <v>7</v>
      </c>
      <c r="R231" s="8" t="b">
        <v>0</v>
      </c>
      <c r="S231" s="9" t="inlineStr">
        <is>
          <t>[港口库存]：中国甲醇样本港口库存周数据统计(20260923）</t>
        </is>
      </c>
      <c r="T231" s="9" t="inlineStr">
        <is>
          <t>https://nenghua.m.mysteel.com/a/26092314/39174CC8F100278B_abc.html</t>
        </is>
      </c>
      <c r="U231">
        <f>IF(OR(F231="",G231=""),"",ROUND(F231+G231,2))</f>
        <v/>
      </c>
      <c r="V231">
        <f>IF(U231="","",IF(ABS(U231-E231)&lt;0.05,"一致","差异"))</f>
        <v/>
      </c>
    </row>
    <row r="232">
      <c r="A232" s="8" t="inlineStr">
        <is>
          <t>2026-09-30</t>
        </is>
      </c>
      <c r="B232" s="8" t="n">
        <v>2026</v>
      </c>
      <c r="C232" s="8" t="n">
        <v>40</v>
      </c>
      <c r="D232" s="15" t="n">
        <v>39.35</v>
      </c>
      <c r="E232" s="15" t="n"/>
      <c r="F232" s="15" t="n"/>
      <c r="G232" s="15" t="n"/>
      <c r="H232" s="15" t="n"/>
      <c r="I232" s="15" t="n"/>
      <c r="J232" s="15" t="n">
        <v>-2.37</v>
      </c>
      <c r="K232" s="15" t="n">
        <v>-2.37</v>
      </c>
      <c r="L232" s="15" t="n"/>
      <c r="M232" s="8" t="n"/>
      <c r="N232" s="8" t="b">
        <v>1</v>
      </c>
      <c r="O232" s="8" t="b">
        <v>0</v>
      </c>
      <c r="P232" s="8" t="n">
        <v>28.91</v>
      </c>
      <c r="Q232" s="16" t="n">
        <v>7</v>
      </c>
      <c r="R232" s="8" t="b">
        <v>0</v>
      </c>
      <c r="S232" s="9" t="inlineStr">
        <is>
          <t>[港口库存]：中国甲醇样本港口库存周数据统计(20260930）</t>
        </is>
      </c>
      <c r="T232" s="9" t="inlineStr">
        <is>
          <t>https://nenghua.m.mysteel.com/a/26093014/68445D28F9E2F736_abc.html</t>
        </is>
      </c>
      <c r="U232">
        <f>IF(OR(F232="",G232=""),"",ROUND(F232+G232,2))</f>
        <v/>
      </c>
      <c r="V232">
        <f>IF(U232="","",IF(ABS(U232-E232)&lt;0.05,"一致","差异"))</f>
        <v/>
      </c>
    </row>
    <row r="233">
      <c r="A233" s="8" t="inlineStr">
        <is>
          <t>2026-10-08</t>
        </is>
      </c>
      <c r="B233" s="8" t="n">
        <v>2026</v>
      </c>
      <c r="C233" s="8" t="n">
        <v>41</v>
      </c>
      <c r="D233" s="15" t="n">
        <v>30.51</v>
      </c>
      <c r="E233" s="15" t="n"/>
      <c r="F233" s="15" t="n"/>
      <c r="G233" s="15" t="n"/>
      <c r="H233" s="15" t="n"/>
      <c r="I233" s="15" t="n"/>
      <c r="J233" s="15" t="n">
        <v>-7.99</v>
      </c>
      <c r="K233" s="15" t="n">
        <v>-7.99</v>
      </c>
      <c r="L233" s="15" t="n"/>
      <c r="M233" s="8" t="n"/>
      <c r="N233" s="8" t="b">
        <v>1</v>
      </c>
      <c r="O233" s="8" t="b">
        <v>0</v>
      </c>
      <c r="P233" s="8" t="n">
        <v>22.42</v>
      </c>
      <c r="Q233" s="16" t="n">
        <v>8</v>
      </c>
      <c r="R233" s="8" t="b">
        <v>0</v>
      </c>
      <c r="S233" s="9" t="inlineStr">
        <is>
          <t>[港口库存]：中国甲醇样本港口库存周数据统计(20261008）</t>
        </is>
      </c>
      <c r="T233" s="9" t="inlineStr">
        <is>
          <t>https://nenghua.m.mysteel.com/a/26100814/9582A44A60D9C42E_abc.html</t>
        </is>
      </c>
      <c r="U233">
        <f>IF(OR(F233="",G233=""),"",ROUND(F233+G233,2))</f>
        <v/>
      </c>
      <c r="V233">
        <f>IF(U233="","",IF(ABS(U233-E233)&lt;0.05,"一致","差异"))</f>
        <v/>
      </c>
    </row>
    <row r="234">
      <c r="A234" s="8" t="inlineStr">
        <is>
          <t>2026-10-14</t>
        </is>
      </c>
      <c r="B234" s="8" t="n">
        <v>2026</v>
      </c>
      <c r="C234" s="8" t="n">
        <v>42</v>
      </c>
      <c r="D234" s="15" t="n">
        <v>36.72</v>
      </c>
      <c r="E234" s="15" t="n"/>
      <c r="F234" s="15" t="n"/>
      <c r="G234" s="15" t="n"/>
      <c r="H234" s="15" t="n"/>
      <c r="I234" s="15" t="n"/>
      <c r="J234" s="15" t="n">
        <v>-3.16</v>
      </c>
      <c r="K234" s="15" t="n">
        <v>-3.16</v>
      </c>
      <c r="L234" s="15" t="n"/>
      <c r="M234" s="8" t="n"/>
      <c r="N234" s="8" t="b">
        <v>1</v>
      </c>
      <c r="O234" s="8" t="b">
        <v>0</v>
      </c>
      <c r="P234" s="8" t="n">
        <v>26.98</v>
      </c>
      <c r="Q234" s="16" t="n">
        <v>6</v>
      </c>
      <c r="R234" s="8" t="b">
        <v>0</v>
      </c>
      <c r="S234" s="9" t="inlineStr">
        <is>
          <t>[港口库存]：中国甲醇样本港口库存周数据统计(20261014）</t>
        </is>
      </c>
      <c r="T234" s="9" t="inlineStr">
        <is>
          <t>https://nenghua.m.mysteel.com/a/26101414/42917F27FC58AFB4_abc.html</t>
        </is>
      </c>
      <c r="U234">
        <f>IF(OR(F234="",G234=""),"",ROUND(F234+G234,2))</f>
        <v/>
      </c>
      <c r="V234">
        <f>IF(U234="","",IF(ABS(U234-E234)&lt;0.05,"一致","差异"))</f>
        <v/>
      </c>
    </row>
  </sheetData>
  <autoFilter ref="A4:T234"/>
  <mergeCells count="3">
    <mergeCell ref="A2:L2"/>
    <mergeCell ref="X4:Z4"/>
    <mergeCell ref="A1:L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6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26" customHeight="1">
      <c r="A1" s="5" t="inlineStr">
        <is>
          <t>03 周次 × 年份 矩阵（ISO 周次对齐）</t>
        </is>
      </c>
    </row>
    <row r="2" ht="30" customHeight="1">
      <c r="A2" s="6" t="inlineStr">
        <is>
          <t>单元格为该周库存（万吨），空=该周未披露。跨年周归入其 ISO 年。</t>
        </is>
      </c>
    </row>
    <row r="4">
      <c r="A4" t="inlineStr">
        <is>
          <t>ISO周次</t>
        </is>
      </c>
      <c r="B4" s="17" t="inlineStr">
        <is>
          <t>2022</t>
        </is>
      </c>
      <c r="C4" s="17" t="inlineStr">
        <is>
          <t>2023</t>
        </is>
      </c>
      <c r="D4" s="17" t="inlineStr">
        <is>
          <t>2024</t>
        </is>
      </c>
      <c r="E4" s="17" t="inlineStr">
        <is>
          <t>2025</t>
        </is>
      </c>
      <c r="F4" s="17" t="inlineStr">
        <is>
          <t>2026</t>
        </is>
      </c>
    </row>
    <row r="5">
      <c r="A5" s="18" t="inlineStr">
        <is>
          <t>W1</t>
        </is>
      </c>
      <c r="B5" s="15" t="n"/>
      <c r="C5" s="15" t="n">
        <v>58.8</v>
      </c>
      <c r="D5" s="15" t="n">
        <v>61.45</v>
      </c>
      <c r="E5" s="15" t="n">
        <v>67.2</v>
      </c>
      <c r="F5" s="19" t="n">
        <v>104.71</v>
      </c>
    </row>
    <row r="6">
      <c r="A6" s="18" t="inlineStr">
        <is>
          <t>W2</t>
        </is>
      </c>
      <c r="B6" s="15" t="n"/>
      <c r="C6" s="15" t="n">
        <v>67.56999999999999</v>
      </c>
      <c r="D6" s="15" t="n">
        <v>51.74</v>
      </c>
      <c r="E6" s="15" t="n">
        <v>58.9</v>
      </c>
      <c r="F6" s="19" t="n"/>
    </row>
    <row r="7">
      <c r="A7" s="18" t="inlineStr">
        <is>
          <t>W3</t>
        </is>
      </c>
      <c r="B7" s="15" t="n"/>
      <c r="C7" s="15" t="n">
        <v>63.71</v>
      </c>
      <c r="D7" s="15" t="n">
        <v>56.6</v>
      </c>
      <c r="E7" s="15" t="n">
        <v>66.90000000000001</v>
      </c>
      <c r="F7" s="19" t="n">
        <v>103.89</v>
      </c>
    </row>
    <row r="8">
      <c r="A8" s="18" t="inlineStr">
        <is>
          <t>W4</t>
        </is>
      </c>
      <c r="B8" s="15" t="n"/>
      <c r="C8" s="15" t="n"/>
      <c r="D8" s="15" t="n">
        <v>57.8</v>
      </c>
      <c r="E8" s="15" t="n">
        <v>69.06</v>
      </c>
      <c r="F8" s="19" t="n">
        <v>102.53</v>
      </c>
    </row>
    <row r="9">
      <c r="A9" s="18" t="inlineStr">
        <is>
          <t>W5</t>
        </is>
      </c>
      <c r="B9" s="15" t="n"/>
      <c r="C9" s="15" t="n">
        <v>53.5</v>
      </c>
      <c r="D9" s="15" t="n">
        <v>61.05</v>
      </c>
      <c r="E9" s="15" t="n"/>
      <c r="F9" s="19" t="n">
        <v>107.29</v>
      </c>
    </row>
    <row r="10">
      <c r="A10" s="18" t="inlineStr">
        <is>
          <t>W6</t>
        </is>
      </c>
      <c r="B10" s="15" t="n"/>
      <c r="C10" s="15" t="n">
        <v>55.05</v>
      </c>
      <c r="D10" s="15" t="n">
        <v>57.47</v>
      </c>
      <c r="E10" s="15" t="n">
        <v>69.40000000000001</v>
      </c>
      <c r="F10" s="19" t="n">
        <v>100.81</v>
      </c>
    </row>
    <row r="11">
      <c r="A11" s="18" t="inlineStr">
        <is>
          <t>W7</t>
        </is>
      </c>
      <c r="B11" s="15" t="n"/>
      <c r="C11" s="15" t="n">
        <v>59.77</v>
      </c>
      <c r="D11" s="15" t="n">
        <v>60.6</v>
      </c>
      <c r="E11" s="15" t="n">
        <v>71.73</v>
      </c>
      <c r="F11" s="19" t="n">
        <v>104.47</v>
      </c>
    </row>
    <row r="12">
      <c r="A12" s="18" t="inlineStr">
        <is>
          <t>W8</t>
        </is>
      </c>
      <c r="B12" s="15" t="n"/>
      <c r="C12" s="15" t="n">
        <v>57.74</v>
      </c>
      <c r="D12" s="15" t="n">
        <v>55.85</v>
      </c>
      <c r="E12" s="15" t="n">
        <v>77.7</v>
      </c>
      <c r="F12" s="19" t="n"/>
    </row>
    <row r="13">
      <c r="A13" s="18" t="inlineStr">
        <is>
          <t>W9</t>
        </is>
      </c>
      <c r="B13" s="15" t="n"/>
      <c r="C13" s="15" t="n">
        <v>56</v>
      </c>
      <c r="D13" s="15" t="n">
        <v>52.55</v>
      </c>
      <c r="E13" s="15" t="n">
        <v>84.12</v>
      </c>
      <c r="F13" s="19" t="n">
        <v>104.42</v>
      </c>
    </row>
    <row r="14">
      <c r="A14" s="18" t="inlineStr">
        <is>
          <t>W10</t>
        </is>
      </c>
      <c r="B14" s="15" t="n"/>
      <c r="C14" s="15" t="n">
        <v>57.85</v>
      </c>
      <c r="D14" s="15" t="n">
        <v>49.7</v>
      </c>
      <c r="E14" s="15" t="n">
        <v>76.54000000000001</v>
      </c>
      <c r="F14" s="19" t="n">
        <v>106.84</v>
      </c>
    </row>
    <row r="15">
      <c r="A15" s="18" t="inlineStr">
        <is>
          <t>W11</t>
        </is>
      </c>
      <c r="B15" s="15" t="n"/>
      <c r="C15" s="15" t="n">
        <v>54.9</v>
      </c>
      <c r="D15" s="15" t="n">
        <v>52.8</v>
      </c>
      <c r="E15" s="15" t="n">
        <v>67.5</v>
      </c>
      <c r="F15" s="19" t="n">
        <v>97.28</v>
      </c>
    </row>
    <row r="16">
      <c r="A16" s="18" t="inlineStr">
        <is>
          <t>W12</t>
        </is>
      </c>
      <c r="B16" s="15" t="n"/>
      <c r="C16" s="15" t="n">
        <v>60.94</v>
      </c>
      <c r="D16" s="15" t="n">
        <v>49.2</v>
      </c>
      <c r="E16" s="15" t="n">
        <v>58.8</v>
      </c>
      <c r="F16" s="19" t="n">
        <v>94.52</v>
      </c>
    </row>
    <row r="17">
      <c r="A17" s="18" t="inlineStr">
        <is>
          <t>W13</t>
        </is>
      </c>
      <c r="B17" s="15" t="n"/>
      <c r="C17" s="15" t="n">
        <v>69.5</v>
      </c>
      <c r="D17" s="15" t="n">
        <v>35.82</v>
      </c>
      <c r="E17" s="15" t="n">
        <v>56.65</v>
      </c>
      <c r="F17" s="19" t="n">
        <v>86.05</v>
      </c>
    </row>
    <row r="18">
      <c r="A18" s="18" t="inlineStr">
        <is>
          <t>W14</t>
        </is>
      </c>
      <c r="B18" s="15" t="n">
        <v>60.07</v>
      </c>
      <c r="C18" s="15" t="n">
        <v>70.25</v>
      </c>
      <c r="D18" s="15" t="n">
        <v>45.6</v>
      </c>
      <c r="E18" s="15" t="n">
        <v>45.1</v>
      </c>
      <c r="F18" s="19" t="n">
        <v>76.83</v>
      </c>
    </row>
    <row r="19">
      <c r="A19" s="18" t="inlineStr">
        <is>
          <t>W15</t>
        </is>
      </c>
      <c r="B19" s="15" t="n">
        <v>57.92</v>
      </c>
      <c r="C19" s="15" t="n">
        <v>59.85</v>
      </c>
      <c r="D19" s="15" t="n">
        <v>47.9</v>
      </c>
      <c r="E19" s="15" t="n">
        <v>40</v>
      </c>
      <c r="F19" s="19" t="n">
        <v>76.42</v>
      </c>
    </row>
    <row r="20">
      <c r="A20" s="18" t="inlineStr">
        <is>
          <t>W16</t>
        </is>
      </c>
      <c r="B20" s="15" t="n">
        <v>57.49</v>
      </c>
      <c r="C20" s="15" t="n">
        <v>56.75</v>
      </c>
      <c r="D20" s="15" t="n">
        <v>52.4</v>
      </c>
      <c r="E20" s="15" t="n">
        <v>43.03</v>
      </c>
      <c r="F20" s="19" t="n">
        <v>68.26000000000001</v>
      </c>
    </row>
    <row r="21">
      <c r="A21" s="18" t="inlineStr">
        <is>
          <t>W17</t>
        </is>
      </c>
      <c r="B21" s="15" t="n">
        <v>61.1</v>
      </c>
      <c r="C21" s="15" t="n">
        <v>49.75</v>
      </c>
      <c r="D21" s="15" t="n">
        <v>49.83</v>
      </c>
      <c r="E21" s="15" t="n">
        <v>33.8</v>
      </c>
      <c r="F21" s="19" t="n">
        <v>72.98999999999999</v>
      </c>
    </row>
    <row r="22">
      <c r="A22" s="18" t="inlineStr">
        <is>
          <t>W18</t>
        </is>
      </c>
      <c r="B22" s="15" t="n">
        <v>67.51000000000001</v>
      </c>
      <c r="C22" s="15" t="n">
        <v>56.04</v>
      </c>
      <c r="D22" s="15" t="n">
        <v>48.9</v>
      </c>
      <c r="E22" s="15" t="n">
        <v>39.24</v>
      </c>
      <c r="F22" s="19" t="n">
        <v>73.36</v>
      </c>
    </row>
    <row r="23">
      <c r="A23" s="18" t="inlineStr">
        <is>
          <t>W19</t>
        </is>
      </c>
      <c r="B23" s="15" t="n">
        <v>61.91</v>
      </c>
      <c r="C23" s="15" t="n">
        <v>58.34</v>
      </c>
      <c r="D23" s="15" t="n">
        <v>50.9</v>
      </c>
      <c r="E23" s="15" t="n">
        <v>37.95</v>
      </c>
      <c r="F23" s="19" t="n">
        <v>78.26000000000001</v>
      </c>
    </row>
    <row r="24">
      <c r="A24" s="18" t="inlineStr">
        <is>
          <t>W20</t>
        </is>
      </c>
      <c r="B24" s="15" t="n">
        <v>71.26000000000001</v>
      </c>
      <c r="C24" s="15" t="n">
        <v>56.36</v>
      </c>
      <c r="D24" s="15" t="n">
        <v>44.75</v>
      </c>
      <c r="E24" s="15" t="n">
        <v>32.4</v>
      </c>
      <c r="F24" s="19" t="n">
        <v>66.75</v>
      </c>
    </row>
    <row r="25">
      <c r="A25" s="18" t="inlineStr">
        <is>
          <t>W21</t>
        </is>
      </c>
      <c r="B25" s="15" t="n">
        <v>72.34999999999999</v>
      </c>
      <c r="C25" s="15" t="n">
        <v>52.14</v>
      </c>
      <c r="D25" s="15" t="n">
        <v>48.7</v>
      </c>
      <c r="E25" s="15" t="n">
        <v>32.7</v>
      </c>
      <c r="F25" s="19" t="n">
        <v>61.02</v>
      </c>
    </row>
    <row r="26">
      <c r="A26" s="18" t="inlineStr">
        <is>
          <t>W22</t>
        </is>
      </c>
      <c r="B26" s="15" t="n">
        <v>73.72</v>
      </c>
      <c r="C26" s="15" t="n">
        <v>43.85</v>
      </c>
      <c r="D26" s="15" t="n">
        <v>46.7</v>
      </c>
      <c r="E26" s="15" t="n">
        <v>37.1</v>
      </c>
      <c r="F26" s="19" t="n">
        <v>54.5</v>
      </c>
    </row>
    <row r="27">
      <c r="A27" s="18" t="inlineStr">
        <is>
          <t>W23</t>
        </is>
      </c>
      <c r="B27" s="15" t="n">
        <v>79.39</v>
      </c>
      <c r="C27" s="15" t="n">
        <v>50.75</v>
      </c>
      <c r="D27" s="15" t="n">
        <v>43.5</v>
      </c>
      <c r="E27" s="15" t="n">
        <v>42.23</v>
      </c>
      <c r="F27" s="19" t="n">
        <v>54.23</v>
      </c>
    </row>
    <row r="28">
      <c r="A28" s="18" t="inlineStr">
        <is>
          <t>W24</t>
        </is>
      </c>
      <c r="B28" s="15" t="n">
        <v>84.54000000000001</v>
      </c>
      <c r="C28" s="15" t="n">
        <v>49.49</v>
      </c>
      <c r="D28" s="15" t="n">
        <v>50.4</v>
      </c>
      <c r="E28" s="15" t="n">
        <v>46.8</v>
      </c>
      <c r="F28" s="19" t="n">
        <v>48.11</v>
      </c>
    </row>
    <row r="29">
      <c r="A29" s="18" t="inlineStr">
        <is>
          <t>W25</t>
        </is>
      </c>
      <c r="B29" s="15" t="n">
        <v>87.34999999999999</v>
      </c>
      <c r="C29" s="15" t="n">
        <v>57.85</v>
      </c>
      <c r="D29" s="15" t="n">
        <v>52.1</v>
      </c>
      <c r="E29" s="15" t="n">
        <v>43.7</v>
      </c>
      <c r="F29" s="19" t="n">
        <v>52.06</v>
      </c>
    </row>
    <row r="30">
      <c r="A30" s="18" t="inlineStr">
        <is>
          <t>W26</t>
        </is>
      </c>
      <c r="B30" s="15" t="n">
        <v>86.84999999999999</v>
      </c>
      <c r="C30" s="15" t="n"/>
      <c r="D30" s="15" t="n">
        <v>63.73</v>
      </c>
      <c r="E30" s="15" t="n">
        <v>49.6</v>
      </c>
      <c r="F30" s="19" t="n">
        <v>47.08</v>
      </c>
    </row>
    <row r="31">
      <c r="A31" s="18" t="inlineStr">
        <is>
          <t>W27</t>
        </is>
      </c>
      <c r="B31" s="15" t="n">
        <v>78.78</v>
      </c>
      <c r="C31" s="15" t="n">
        <v>65.08</v>
      </c>
      <c r="D31" s="15" t="n">
        <v>71.59999999999999</v>
      </c>
      <c r="E31" s="15" t="n">
        <v>50.95</v>
      </c>
      <c r="F31" s="19" t="n">
        <v>44.99</v>
      </c>
    </row>
    <row r="32">
      <c r="A32" s="18" t="inlineStr">
        <is>
          <t>W28</t>
        </is>
      </c>
      <c r="B32" s="15" t="n">
        <v>75.84999999999999</v>
      </c>
      <c r="C32" s="15" t="n">
        <v>67.7</v>
      </c>
      <c r="D32" s="15" t="n">
        <v>74.25</v>
      </c>
      <c r="E32" s="15" t="n">
        <v>57.05</v>
      </c>
      <c r="F32" s="19" t="n">
        <v>38.47</v>
      </c>
    </row>
    <row r="33">
      <c r="A33" s="18" t="inlineStr">
        <is>
          <t>W29</t>
        </is>
      </c>
      <c r="B33" s="15" t="n">
        <v>77.55</v>
      </c>
      <c r="C33" s="15" t="n">
        <v>68.75</v>
      </c>
      <c r="D33" s="15" t="n">
        <v>77.40000000000001</v>
      </c>
      <c r="E33" s="15" t="n">
        <v>63.4</v>
      </c>
      <c r="F33" s="19" t="n">
        <v>30.52</v>
      </c>
    </row>
    <row r="34">
      <c r="A34" s="18" t="inlineStr">
        <is>
          <t>W30</t>
        </is>
      </c>
      <c r="B34" s="15" t="n">
        <v>84.53</v>
      </c>
      <c r="C34" s="15" t="n">
        <v>77.65000000000001</v>
      </c>
      <c r="D34" s="15" t="n">
        <v>80.90000000000001</v>
      </c>
      <c r="E34" s="15" t="n">
        <v>54.7</v>
      </c>
      <c r="F34" s="19" t="n">
        <v>39.14</v>
      </c>
    </row>
    <row r="35">
      <c r="A35" s="18" t="inlineStr">
        <is>
          <t>W31</t>
        </is>
      </c>
      <c r="B35" s="15" t="n">
        <v>80.65000000000001</v>
      </c>
      <c r="C35" s="15" t="n">
        <v>67.15000000000001</v>
      </c>
      <c r="D35" s="15" t="n">
        <v>76</v>
      </c>
      <c r="E35" s="15" t="n">
        <v>57.2</v>
      </c>
      <c r="F35" s="19" t="n">
        <v>52.32</v>
      </c>
    </row>
    <row r="36">
      <c r="A36" s="18" t="inlineStr">
        <is>
          <t>W32</t>
        </is>
      </c>
      <c r="B36" s="15" t="n">
        <v>83.86</v>
      </c>
      <c r="C36" s="15" t="n">
        <v>68.7</v>
      </c>
      <c r="D36" s="15" t="n">
        <v>68.2</v>
      </c>
      <c r="E36" s="15" t="n">
        <v>64.2</v>
      </c>
      <c r="F36" s="19" t="n"/>
    </row>
    <row r="37">
      <c r="A37" s="18" t="inlineStr">
        <is>
          <t>W33</t>
        </is>
      </c>
      <c r="B37" s="15" t="n">
        <v>86.95999999999999</v>
      </c>
      <c r="C37" s="15" t="n">
        <v>74.59999999999999</v>
      </c>
      <c r="D37" s="15" t="n">
        <v>67.93000000000001</v>
      </c>
      <c r="E37" s="15" t="n"/>
      <c r="F37" s="19" t="n"/>
    </row>
    <row r="38">
      <c r="A38" s="18" t="inlineStr">
        <is>
          <t>W34</t>
        </is>
      </c>
      <c r="B38" s="15" t="n">
        <v>79.98</v>
      </c>
      <c r="C38" s="15" t="n">
        <v>76.40000000000001</v>
      </c>
      <c r="D38" s="15" t="n">
        <v>72.84999999999999</v>
      </c>
      <c r="E38" s="15" t="n"/>
      <c r="F38" s="19" t="n"/>
    </row>
    <row r="39">
      <c r="A39" s="18" t="inlineStr">
        <is>
          <t>W35</t>
        </is>
      </c>
      <c r="B39" s="15" t="n">
        <v>77.61</v>
      </c>
      <c r="C39" s="15" t="n">
        <v>76.22</v>
      </c>
      <c r="D39" s="15" t="n">
        <v>80.08</v>
      </c>
      <c r="E39" s="15" t="n"/>
      <c r="F39" s="19" t="n"/>
    </row>
    <row r="40">
      <c r="A40" s="18" t="inlineStr">
        <is>
          <t>W36</t>
        </is>
      </c>
      <c r="B40" s="15" t="n">
        <v>76.29000000000001</v>
      </c>
      <c r="C40" s="15" t="n">
        <v>76.45</v>
      </c>
      <c r="D40" s="15" t="n">
        <v>81.93000000000001</v>
      </c>
      <c r="E40" s="15" t="n"/>
      <c r="F40" s="19" t="n"/>
    </row>
    <row r="41">
      <c r="A41" s="18" t="inlineStr">
        <is>
          <t>W37</t>
        </is>
      </c>
      <c r="B41" s="15" t="n">
        <v>72.3</v>
      </c>
      <c r="C41" s="15" t="n">
        <v>81.16</v>
      </c>
      <c r="D41" s="15" t="n">
        <v>83.58</v>
      </c>
      <c r="E41" s="15" t="n"/>
      <c r="F41" s="19" t="n"/>
    </row>
    <row r="42">
      <c r="A42" s="18" t="inlineStr">
        <is>
          <t>W38</t>
        </is>
      </c>
      <c r="B42" s="15" t="n">
        <v>64.09999999999999</v>
      </c>
      <c r="C42" s="15" t="n">
        <v>85.25</v>
      </c>
      <c r="D42" s="15" t="n">
        <v>68.37</v>
      </c>
      <c r="E42" s="15" t="n">
        <v>107.39</v>
      </c>
      <c r="F42" s="19" t="n"/>
    </row>
    <row r="43">
      <c r="A43" s="18" t="inlineStr">
        <is>
          <t>W39</t>
        </is>
      </c>
      <c r="B43" s="15" t="n">
        <v>56.72</v>
      </c>
      <c r="C43" s="15" t="n">
        <v>78.09999999999999</v>
      </c>
      <c r="D43" s="15" t="n">
        <v>60.88</v>
      </c>
      <c r="E43" s="15" t="n">
        <v>103.27</v>
      </c>
      <c r="F43" s="19" t="n"/>
    </row>
    <row r="44">
      <c r="A44" s="18" t="inlineStr">
        <is>
          <t>W40</t>
        </is>
      </c>
      <c r="B44" s="15" t="n"/>
      <c r="C44" s="15" t="n">
        <v>63.5</v>
      </c>
      <c r="D44" s="15" t="n"/>
      <c r="E44" s="15" t="n"/>
      <c r="F44" s="19" t="n"/>
    </row>
    <row r="45">
      <c r="A45" s="18" t="inlineStr">
        <is>
          <t>W41</t>
        </is>
      </c>
      <c r="B45" s="15" t="n">
        <v>49.52</v>
      </c>
      <c r="C45" s="15" t="n">
        <v>59.4</v>
      </c>
      <c r="D45" s="15" t="n">
        <v>64.09999999999999</v>
      </c>
      <c r="E45" s="15" t="n">
        <v>108.05</v>
      </c>
      <c r="F45" s="19" t="n"/>
    </row>
    <row r="46">
      <c r="A46" s="18" t="inlineStr">
        <is>
          <t>W42</t>
        </is>
      </c>
      <c r="B46" s="15" t="n">
        <v>40.34</v>
      </c>
      <c r="C46" s="15" t="n">
        <v>62.5</v>
      </c>
      <c r="D46" s="15" t="n">
        <v>76.15000000000001</v>
      </c>
      <c r="E46" s="15" t="n">
        <v>99.7</v>
      </c>
      <c r="F46" s="19" t="n"/>
    </row>
    <row r="47">
      <c r="A47" s="18" t="inlineStr">
        <is>
          <t>W43</t>
        </is>
      </c>
      <c r="B47" s="15" t="n">
        <v>37.69</v>
      </c>
      <c r="C47" s="15" t="n">
        <v>65.2</v>
      </c>
      <c r="D47" s="15" t="n">
        <v>77.18000000000001</v>
      </c>
      <c r="E47" s="15" t="n">
        <v>102.7</v>
      </c>
      <c r="F47" s="19" t="n"/>
    </row>
    <row r="48">
      <c r="A48" s="18" t="inlineStr">
        <is>
          <t>W44</t>
        </is>
      </c>
      <c r="B48" s="15" t="n">
        <v>40.8</v>
      </c>
      <c r="C48" s="15" t="n">
        <v>64.65000000000001</v>
      </c>
      <c r="D48" s="15" t="n">
        <v>84.15000000000001</v>
      </c>
      <c r="E48" s="15" t="n">
        <v>99.73</v>
      </c>
      <c r="F48" s="19" t="n"/>
    </row>
    <row r="49">
      <c r="A49" s="18" t="inlineStr">
        <is>
          <t>W45</t>
        </is>
      </c>
      <c r="B49" s="15" t="n">
        <v>49</v>
      </c>
      <c r="C49" s="15" t="n">
        <v>71.59999999999999</v>
      </c>
      <c r="D49" s="15" t="n">
        <v>83.8</v>
      </c>
      <c r="E49" s="15" t="n">
        <v>102.15</v>
      </c>
      <c r="F49" s="19" t="n"/>
    </row>
    <row r="50">
      <c r="A50" s="18" t="inlineStr">
        <is>
          <t>W46</t>
        </is>
      </c>
      <c r="B50" s="15" t="n">
        <v>47.4</v>
      </c>
      <c r="C50" s="15" t="n">
        <v>78.18000000000001</v>
      </c>
      <c r="D50" s="15" t="n">
        <v>90.40000000000001</v>
      </c>
      <c r="E50" s="15" t="n">
        <v>108.64</v>
      </c>
      <c r="F50" s="19" t="n"/>
    </row>
    <row r="51">
      <c r="A51" s="18" t="inlineStr">
        <is>
          <t>W47</t>
        </is>
      </c>
      <c r="B51" s="15" t="n">
        <v>45.94</v>
      </c>
      <c r="C51" s="15" t="n">
        <v>76.33</v>
      </c>
      <c r="D51" s="15" t="n">
        <v>93.61</v>
      </c>
      <c r="E51" s="15" t="n">
        <v>101.78</v>
      </c>
      <c r="F51" s="19" t="n"/>
    </row>
    <row r="52">
      <c r="A52" s="18" t="inlineStr">
        <is>
          <t>W48</t>
        </is>
      </c>
      <c r="B52" s="15" t="n">
        <v>48.72</v>
      </c>
      <c r="C52" s="15" t="n">
        <v>68.86</v>
      </c>
      <c r="D52" s="15" t="n">
        <v>83.5</v>
      </c>
      <c r="E52" s="15" t="n">
        <v>93.75</v>
      </c>
      <c r="F52" s="19" t="n"/>
    </row>
    <row r="53">
      <c r="A53" s="18" t="inlineStr">
        <is>
          <t>W49</t>
        </is>
      </c>
      <c r="B53" s="15" t="n">
        <v>46.29</v>
      </c>
      <c r="C53" s="15" t="n">
        <v>67.01000000000001</v>
      </c>
      <c r="D53" s="15" t="n">
        <v>89.3</v>
      </c>
      <c r="E53" s="15" t="n">
        <v>93.88</v>
      </c>
      <c r="F53" s="19" t="n"/>
    </row>
    <row r="54">
      <c r="A54" s="18" t="inlineStr">
        <is>
          <t>W50</t>
        </is>
      </c>
      <c r="B54" s="15" t="n">
        <v>54.45</v>
      </c>
      <c r="C54" s="15" t="n">
        <v>73.20999999999999</v>
      </c>
      <c r="D54" s="15" t="n">
        <v>78.45</v>
      </c>
      <c r="E54" s="15" t="n">
        <v>83.06</v>
      </c>
      <c r="F54" s="19" t="n"/>
    </row>
    <row r="55">
      <c r="A55" s="18" t="inlineStr">
        <is>
          <t>W51</t>
        </is>
      </c>
      <c r="B55" s="15" t="n">
        <v>51.76</v>
      </c>
      <c r="C55" s="15" t="n">
        <v>73.40000000000001</v>
      </c>
      <c r="D55" s="15" t="n">
        <v>77.05</v>
      </c>
      <c r="E55" s="15" t="n">
        <v>79.95999999999999</v>
      </c>
      <c r="F55" s="19" t="n"/>
    </row>
    <row r="56">
      <c r="A56" s="18" t="inlineStr">
        <is>
          <t>W52</t>
        </is>
      </c>
      <c r="B56" s="15" t="n">
        <v>49.88</v>
      </c>
      <c r="C56" s="15" t="n">
        <v>69.7</v>
      </c>
      <c r="D56" s="15" t="n">
        <v>68.09999999999999</v>
      </c>
      <c r="E56" s="15" t="n">
        <v>100.73</v>
      </c>
      <c r="F56" s="19" t="n"/>
    </row>
    <row r="58">
      <c r="A58" s="18" t="inlineStr">
        <is>
          <t>年均值</t>
        </is>
      </c>
      <c r="B58" s="20">
        <f>IFERROR(AVERAGE(B5:B56),"")</f>
        <v/>
      </c>
      <c r="C58" s="20">
        <f>IFERROR(AVERAGE(C5:C56),"")</f>
        <v/>
      </c>
      <c r="D58" s="20">
        <f>IFERROR(AVERAGE(D5:D56),"")</f>
        <v/>
      </c>
      <c r="E58" s="20">
        <f>IFERROR(AVERAGE(E5:E56),"")</f>
        <v/>
      </c>
      <c r="F58" s="20">
        <f>IFERROR(AVERAGE(F5:F56),"")</f>
        <v/>
      </c>
    </row>
    <row r="59">
      <c r="A59" s="18" t="inlineStr">
        <is>
          <t>年最低</t>
        </is>
      </c>
      <c r="B59" s="20">
        <f>IFERROR(MIN(B5:B56),"")</f>
        <v/>
      </c>
      <c r="C59" s="20">
        <f>IFERROR(MIN(C5:C56),"")</f>
        <v/>
      </c>
      <c r="D59" s="20">
        <f>IFERROR(MIN(D5:D56),"")</f>
        <v/>
      </c>
      <c r="E59" s="20">
        <f>IFERROR(MIN(E5:E56),"")</f>
        <v/>
      </c>
      <c r="F59" s="20">
        <f>IFERROR(MIN(F5:F56),"")</f>
        <v/>
      </c>
    </row>
    <row r="60">
      <c r="A60" s="18" t="inlineStr">
        <is>
          <t>年最高</t>
        </is>
      </c>
      <c r="B60" s="20">
        <f>IFERROR(MAX(B5:B56),"")</f>
        <v/>
      </c>
      <c r="C60" s="20">
        <f>IFERROR(MAX(C5:C56),"")</f>
        <v/>
      </c>
      <c r="D60" s="20">
        <f>IFERROR(MAX(D5:D56),"")</f>
        <v/>
      </c>
      <c r="E60" s="20">
        <f>IFERROR(MAX(E5:E56),"")</f>
        <v/>
      </c>
      <c r="F60" s="20">
        <f>IFERROR(MAX(F5:F56),"")</f>
        <v/>
      </c>
    </row>
    <row r="61">
      <c r="A61" s="18" t="inlineStr">
        <is>
          <t>披露周数</t>
        </is>
      </c>
      <c r="B61">
        <f>COUNT(B5:B56)</f>
        <v/>
      </c>
      <c r="C61">
        <f>COUNT(C5:C56)</f>
        <v/>
      </c>
      <c r="D61">
        <f>COUNT(D5:D56)</f>
        <v/>
      </c>
      <c r="E61">
        <f>COUNT(E5:E56)</f>
        <v/>
      </c>
      <c r="F61">
        <f>COUNT(F5:F56)</f>
        <v/>
      </c>
    </row>
  </sheetData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2" customWidth="1" min="3" max="3"/>
    <col width="13" customWidth="1" min="4" max="4"/>
    <col width="13" customWidth="1" min="5" max="5"/>
    <col width="10" customWidth="1" min="6" max="6"/>
    <col width="10" customWidth="1" min="7" max="7"/>
  </cols>
  <sheetData>
    <row r="1" ht="26" customHeight="1">
      <c r="A1" s="5" t="inlineStr">
        <is>
          <t>04 年份对齐说明与检查</t>
        </is>
      </c>
    </row>
    <row r="2" ht="30" customHeight="1">
      <c r="A2" s="6" t="inlineStr">
        <is>
          <t>为何按 ISO 周次对齐：库存季节性由生产/进口到港/下游开工的日历节奏驱动，公历日期跨年漂移会污染同期比较。</t>
        </is>
      </c>
    </row>
    <row r="4" ht="28" customHeight="1">
      <c r="A4" s="7" t="inlineStr">
        <is>
          <t>项目</t>
        </is>
      </c>
      <c r="B4" s="7" t="inlineStr">
        <is>
          <t>说明</t>
        </is>
      </c>
    </row>
    <row r="5">
      <c r="A5" s="8" t="inlineStr">
        <is>
          <t>对齐键</t>
        </is>
      </c>
      <c r="B5" s="9" t="inlineStr">
        <is>
          <t>ISO 周年（ISO year）+ ISO 周次（1-53）</t>
        </is>
      </c>
    </row>
    <row r="6">
      <c r="A6" s="8" t="inlineStr">
        <is>
          <t>为何用 ISO 年</t>
        </is>
      </c>
      <c r="B6" s="9" t="inlineStr">
        <is>
          <t>12 月末与 1 月初属同一 ISO 周时，若按自然年切分会把同一周拆到两年，导致某年只有 51 或 53 周</t>
        </is>
      </c>
    </row>
    <row r="7">
      <c r="A7" s="8" t="inlineStr">
        <is>
          <t>跨年周处理</t>
        </is>
      </c>
      <c r="B7" s="9" t="inlineStr">
        <is>
          <t>整周归入其 ISO 周年；因此本表“年”是 ISO 年，与自然年可能相差 1-2 周</t>
        </is>
      </c>
    </row>
    <row r="8">
      <c r="A8" s="8" t="inlineStr">
        <is>
          <t>周次 53</t>
        </is>
      </c>
      <c r="B8" s="9" t="inlineStr">
        <is>
          <t>仅闰年结构出现；本样本未使用 W53 做分位（周次 1-52 覆盖）</t>
        </is>
      </c>
    </row>
    <row r="9">
      <c r="A9" s="8" t="inlineStr">
        <is>
          <t>同期容差</t>
        </is>
      </c>
      <c r="B9" s="9" t="inlineStr">
        <is>
          <t>分位计算取目标周次 ±1 周，避免单周缺报导致样本空缺</t>
        </is>
      </c>
    </row>
    <row r="10">
      <c r="A10" s="8" t="inlineStr">
        <is>
          <t>本年处理</t>
        </is>
      </c>
      <c r="B10" s="9" t="inlineStr">
        <is>
          <t>本年样本不进入历史分布（避免自己与自己比较），仅作为“今年值”叠加</t>
        </is>
      </c>
    </row>
    <row r="11">
      <c r="A11" s="8" t="inlineStr">
        <is>
          <t>频率一致性</t>
        </is>
      </c>
      <c r="B11" s="9" t="inlineStr">
        <is>
          <t>相邻两期间隔中位数 7.0 天，最大 15.0 天（春节前后双周报）</t>
        </is>
      </c>
    </row>
    <row r="12">
      <c r="A12" s="8" t="inlineStr">
        <is>
          <t>缺报判定</t>
        </is>
      </c>
      <c r="B12" s="9" t="inlineStr">
        <is>
          <t>间隔 &gt; 16 天记为缺报；10-16 天视为双周报，不剔除</t>
        </is>
      </c>
    </row>
    <row r="14">
      <c r="A14" s="12" t="inlineStr">
        <is>
          <t>各 ISO 年覆盖情况</t>
        </is>
      </c>
    </row>
    <row r="15" ht="28" customHeight="1">
      <c r="A15" s="7" t="inlineStr">
        <is>
          <t>ISO 年</t>
        </is>
      </c>
      <c r="B15" s="7" t="inlineStr">
        <is>
          <t>期数</t>
        </is>
      </c>
      <c r="C15" s="7" t="inlineStr">
        <is>
          <t>首期</t>
        </is>
      </c>
      <c r="D15" s="7" t="inlineStr">
        <is>
          <t>末期</t>
        </is>
      </c>
      <c r="E15" s="7" t="inlineStr">
        <is>
          <t>首期周次</t>
        </is>
      </c>
      <c r="F15" s="7" t="inlineStr">
        <is>
          <t>末期周次</t>
        </is>
      </c>
    </row>
    <row r="16">
      <c r="A16" s="8" t="n">
        <v>2022</v>
      </c>
      <c r="B16" s="8" t="n">
        <v>38</v>
      </c>
      <c r="C16" s="8" t="inlineStr">
        <is>
          <t>2022-04-06</t>
        </is>
      </c>
      <c r="D16" s="8" t="inlineStr">
        <is>
          <t>2022-12-28</t>
        </is>
      </c>
      <c r="E16" s="8" t="n">
        <v>14</v>
      </c>
      <c r="F16" s="8" t="n">
        <v>52</v>
      </c>
    </row>
    <row r="17">
      <c r="A17" s="8" t="n">
        <v>2023</v>
      </c>
      <c r="B17" s="8" t="n">
        <v>50</v>
      </c>
      <c r="C17" s="8" t="inlineStr">
        <is>
          <t>2023-01-04</t>
        </is>
      </c>
      <c r="D17" s="8" t="inlineStr">
        <is>
          <t>2023-12-27</t>
        </is>
      </c>
      <c r="E17" s="8" t="n">
        <v>1</v>
      </c>
      <c r="F17" s="8" t="n">
        <v>52</v>
      </c>
    </row>
    <row r="18">
      <c r="A18" s="8" t="n">
        <v>2024</v>
      </c>
      <c r="B18" s="8" t="n">
        <v>51</v>
      </c>
      <c r="C18" s="8" t="inlineStr">
        <is>
          <t>2024-01-03</t>
        </is>
      </c>
      <c r="D18" s="8" t="inlineStr">
        <is>
          <t>2024-12-25</t>
        </is>
      </c>
      <c r="E18" s="8" t="n">
        <v>1</v>
      </c>
      <c r="F18" s="8" t="n">
        <v>52</v>
      </c>
    </row>
    <row r="19">
      <c r="A19" s="8" t="n">
        <v>2025</v>
      </c>
      <c r="B19" s="8" t="n">
        <v>50</v>
      </c>
      <c r="C19" s="8" t="inlineStr">
        <is>
          <t>2025-01-02</t>
        </is>
      </c>
      <c r="D19" s="8" t="inlineStr">
        <is>
          <t>2025-12-24</t>
        </is>
      </c>
      <c r="E19" s="8" t="n">
        <v>1</v>
      </c>
      <c r="F19" s="8" t="n">
        <v>52</v>
      </c>
    </row>
    <row r="20">
      <c r="A20" s="8" t="n">
        <v>2026</v>
      </c>
      <c r="B20" s="8" t="n">
        <v>41</v>
      </c>
      <c r="C20" s="8" t="inlineStr">
        <is>
          <t>2025-12-31</t>
        </is>
      </c>
      <c r="D20" s="8" t="inlineStr">
        <is>
          <t>2026-10-14</t>
        </is>
      </c>
      <c r="E20" s="8" t="n">
        <v>1</v>
      </c>
      <c r="F20" s="8" t="n">
        <v>42</v>
      </c>
    </row>
  </sheetData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11" customWidth="1" min="13" max="13"/>
  </cols>
  <sheetData>
    <row r="1" ht="26" customHeight="1">
      <c r="A1" s="5" t="inlineStr">
        <is>
          <t>05 季节性分位：过去 N 年同周次分布 + 今年位置</t>
        </is>
      </c>
    </row>
    <row r="2" ht="30" customHeight="1">
      <c r="A2" s="6" t="inlineStr">
        <is>
          <t>分布列由 03 表历史年份同周次样本计算；今年列取自 02 表。分位＝(小于当期数+0.5×等于当期数)/样本数×100。</t>
        </is>
      </c>
    </row>
    <row r="4" ht="28" customHeight="1">
      <c r="A4" s="7" t="inlineStr">
        <is>
          <t>ISO周次</t>
        </is>
      </c>
      <c r="B4" s="7" t="inlineStr">
        <is>
          <t>历史样本年数</t>
        </is>
      </c>
      <c r="C4" s="7" t="inlineStr">
        <is>
          <t>均值</t>
        </is>
      </c>
      <c r="D4" s="7" t="inlineStr">
        <is>
          <t>中位数</t>
        </is>
      </c>
      <c r="E4" s="7" t="inlineStr">
        <is>
          <t>最小</t>
        </is>
      </c>
      <c r="F4" s="7" t="inlineStr">
        <is>
          <t>最大</t>
        </is>
      </c>
      <c r="G4" s="7" t="inlineStr">
        <is>
          <t>p10</t>
        </is>
      </c>
      <c r="H4" s="7" t="inlineStr">
        <is>
          <t>p25</t>
        </is>
      </c>
      <c r="I4" s="7" t="inlineStr">
        <is>
          <t>p75</t>
        </is>
      </c>
      <c r="J4" s="7" t="inlineStr">
        <is>
          <t>p90</t>
        </is>
      </c>
      <c r="K4" s="7" t="inlineStr">
        <is>
          <t>今年值</t>
        </is>
      </c>
      <c r="L4" s="7" t="inlineStr">
        <is>
          <t>今年分位</t>
        </is>
      </c>
      <c r="M4" s="7" t="inlineStr">
        <is>
          <t>位置判定</t>
        </is>
      </c>
    </row>
    <row r="5">
      <c r="A5" s="8" t="n">
        <v>1</v>
      </c>
      <c r="B5" s="8" t="n">
        <v>3</v>
      </c>
      <c r="C5" s="15" t="n">
        <v>62.48</v>
      </c>
      <c r="D5" s="15" t="n">
        <v>61.45</v>
      </c>
      <c r="E5" s="15" t="n">
        <v>58.8</v>
      </c>
      <c r="F5" s="15" t="n">
        <v>67.2</v>
      </c>
      <c r="G5" s="15" t="n">
        <v>59.33</v>
      </c>
      <c r="H5" s="15" t="n">
        <v>60.12</v>
      </c>
      <c r="I5" s="15" t="n">
        <v>64.33</v>
      </c>
      <c r="J5" s="15" t="n">
        <v>66.05</v>
      </c>
      <c r="K5" s="15" t="n">
        <v>104.71</v>
      </c>
      <c r="L5" s="8" t="n">
        <v>100</v>
      </c>
      <c r="M5" s="8" t="inlineStr">
        <is>
          <t>高于历史最大值</t>
        </is>
      </c>
    </row>
    <row r="6">
      <c r="A6" s="8" t="n">
        <v>2</v>
      </c>
      <c r="B6" s="8" t="n">
        <v>3</v>
      </c>
      <c r="C6" s="15" t="n">
        <v>59.4</v>
      </c>
      <c r="D6" s="15" t="n">
        <v>58.9</v>
      </c>
      <c r="E6" s="15" t="n">
        <v>51.74</v>
      </c>
      <c r="F6" s="15" t="n">
        <v>67.56999999999999</v>
      </c>
      <c r="G6" s="15" t="n">
        <v>53.17</v>
      </c>
      <c r="H6" s="15" t="n">
        <v>55.32</v>
      </c>
      <c r="I6" s="15" t="n">
        <v>63.23</v>
      </c>
      <c r="J6" s="15" t="n">
        <v>65.84</v>
      </c>
      <c r="K6" s="15" t="n"/>
      <c r="L6" s="8" t="n"/>
      <c r="M6" s="8" t="inlineStr">
        <is>
          <t>今年无披露</t>
        </is>
      </c>
    </row>
    <row r="7">
      <c r="A7" s="8" t="n">
        <v>3</v>
      </c>
      <c r="B7" s="8" t="n">
        <v>3</v>
      </c>
      <c r="C7" s="15" t="n">
        <v>62.4</v>
      </c>
      <c r="D7" s="15" t="n">
        <v>63.71</v>
      </c>
      <c r="E7" s="15" t="n">
        <v>56.6</v>
      </c>
      <c r="F7" s="15" t="n">
        <v>66.90000000000001</v>
      </c>
      <c r="G7" s="15" t="n">
        <v>58.02</v>
      </c>
      <c r="H7" s="15" t="n">
        <v>60.16</v>
      </c>
      <c r="I7" s="15" t="n">
        <v>65.31</v>
      </c>
      <c r="J7" s="15" t="n">
        <v>66.26000000000001</v>
      </c>
      <c r="K7" s="15" t="n">
        <v>103.89</v>
      </c>
      <c r="L7" s="8" t="n">
        <v>100</v>
      </c>
      <c r="M7" s="8" t="inlineStr">
        <is>
          <t>高于历史最大值</t>
        </is>
      </c>
    </row>
    <row r="8">
      <c r="A8" s="8" t="n">
        <v>4</v>
      </c>
      <c r="B8" s="8" t="n">
        <v>2</v>
      </c>
      <c r="C8" s="15" t="n">
        <v>63.43</v>
      </c>
      <c r="D8" s="15" t="n">
        <v>63.43</v>
      </c>
      <c r="E8" s="15" t="n">
        <v>57.8</v>
      </c>
      <c r="F8" s="15" t="n">
        <v>69.06</v>
      </c>
      <c r="G8" s="15" t="n">
        <v>58.93</v>
      </c>
      <c r="H8" s="15" t="n">
        <v>60.61</v>
      </c>
      <c r="I8" s="15" t="n">
        <v>66.25</v>
      </c>
      <c r="J8" s="15" t="n">
        <v>67.93000000000001</v>
      </c>
      <c r="K8" s="15" t="n">
        <v>102.53</v>
      </c>
      <c r="L8" s="8" t="n">
        <v>100</v>
      </c>
      <c r="M8" s="8" t="inlineStr">
        <is>
          <t>高于历史最大值</t>
        </is>
      </c>
    </row>
    <row r="9">
      <c r="A9" s="8" t="n">
        <v>5</v>
      </c>
      <c r="B9" s="8" t="n">
        <v>2</v>
      </c>
      <c r="C9" s="15" t="n">
        <v>57.27</v>
      </c>
      <c r="D9" s="15" t="n">
        <v>57.27</v>
      </c>
      <c r="E9" s="15" t="n">
        <v>53.5</v>
      </c>
      <c r="F9" s="15" t="n">
        <v>61.05</v>
      </c>
      <c r="G9" s="15" t="n">
        <v>54.26</v>
      </c>
      <c r="H9" s="15" t="n">
        <v>55.39</v>
      </c>
      <c r="I9" s="15" t="n">
        <v>59.16</v>
      </c>
      <c r="J9" s="15" t="n">
        <v>60.29</v>
      </c>
      <c r="K9" s="15" t="n">
        <v>107.29</v>
      </c>
      <c r="L9" s="8" t="n">
        <v>100</v>
      </c>
      <c r="M9" s="8" t="inlineStr">
        <is>
          <t>高于历史最大值</t>
        </is>
      </c>
    </row>
    <row r="10">
      <c r="A10" s="8" t="n">
        <v>6</v>
      </c>
      <c r="B10" s="8" t="n">
        <v>3</v>
      </c>
      <c r="C10" s="15" t="n">
        <v>60.64</v>
      </c>
      <c r="D10" s="15" t="n">
        <v>57.47</v>
      </c>
      <c r="E10" s="15" t="n">
        <v>55.05</v>
      </c>
      <c r="F10" s="15" t="n">
        <v>69.40000000000001</v>
      </c>
      <c r="G10" s="15" t="n">
        <v>55.53</v>
      </c>
      <c r="H10" s="15" t="n">
        <v>56.26</v>
      </c>
      <c r="I10" s="15" t="n">
        <v>63.44</v>
      </c>
      <c r="J10" s="15" t="n">
        <v>67.01000000000001</v>
      </c>
      <c r="K10" s="15" t="n">
        <v>100.81</v>
      </c>
      <c r="L10" s="8" t="n">
        <v>100</v>
      </c>
      <c r="M10" s="8" t="inlineStr">
        <is>
          <t>高于历史最大值</t>
        </is>
      </c>
    </row>
    <row r="11">
      <c r="A11" s="8" t="n">
        <v>7</v>
      </c>
      <c r="B11" s="8" t="n">
        <v>3</v>
      </c>
      <c r="C11" s="15" t="n">
        <v>64.03</v>
      </c>
      <c r="D11" s="15" t="n">
        <v>60.6</v>
      </c>
      <c r="E11" s="15" t="n">
        <v>59.77</v>
      </c>
      <c r="F11" s="15" t="n">
        <v>71.73</v>
      </c>
      <c r="G11" s="15" t="n">
        <v>59.94</v>
      </c>
      <c r="H11" s="15" t="n">
        <v>60.19</v>
      </c>
      <c r="I11" s="15" t="n">
        <v>66.17</v>
      </c>
      <c r="J11" s="15" t="n">
        <v>69.5</v>
      </c>
      <c r="K11" s="15" t="n">
        <v>104.47</v>
      </c>
      <c r="L11" s="8" t="n">
        <v>100</v>
      </c>
      <c r="M11" s="8" t="inlineStr">
        <is>
          <t>高于历史最大值</t>
        </is>
      </c>
    </row>
    <row r="12">
      <c r="A12" s="8" t="n">
        <v>8</v>
      </c>
      <c r="B12" s="8" t="n">
        <v>3</v>
      </c>
      <c r="C12" s="15" t="n">
        <v>63.76</v>
      </c>
      <c r="D12" s="15" t="n">
        <v>57.74</v>
      </c>
      <c r="E12" s="15" t="n">
        <v>55.85</v>
      </c>
      <c r="F12" s="15" t="n">
        <v>77.7</v>
      </c>
      <c r="G12" s="15" t="n">
        <v>56.23</v>
      </c>
      <c r="H12" s="15" t="n">
        <v>56.8</v>
      </c>
      <c r="I12" s="15" t="n">
        <v>67.72</v>
      </c>
      <c r="J12" s="15" t="n">
        <v>73.70999999999999</v>
      </c>
      <c r="K12" s="15" t="n"/>
      <c r="L12" s="8" t="n"/>
      <c r="M12" s="8" t="inlineStr">
        <is>
          <t>今年无披露</t>
        </is>
      </c>
    </row>
    <row r="13">
      <c r="A13" s="8" t="n">
        <v>9</v>
      </c>
      <c r="B13" s="8" t="n">
        <v>3</v>
      </c>
      <c r="C13" s="15" t="n">
        <v>64.22</v>
      </c>
      <c r="D13" s="15" t="n">
        <v>56</v>
      </c>
      <c r="E13" s="15" t="n">
        <v>52.55</v>
      </c>
      <c r="F13" s="15" t="n">
        <v>84.12</v>
      </c>
      <c r="G13" s="15" t="n">
        <v>53.24</v>
      </c>
      <c r="H13" s="15" t="n">
        <v>54.27</v>
      </c>
      <c r="I13" s="15" t="n">
        <v>70.06</v>
      </c>
      <c r="J13" s="15" t="n">
        <v>78.5</v>
      </c>
      <c r="K13" s="15" t="n">
        <v>104.42</v>
      </c>
      <c r="L13" s="8" t="n">
        <v>100</v>
      </c>
      <c r="M13" s="8" t="inlineStr">
        <is>
          <t>高于历史最大值</t>
        </is>
      </c>
    </row>
    <row r="14">
      <c r="A14" s="8" t="n">
        <v>10</v>
      </c>
      <c r="B14" s="8" t="n">
        <v>3</v>
      </c>
      <c r="C14" s="15" t="n">
        <v>61.36</v>
      </c>
      <c r="D14" s="15" t="n">
        <v>57.85</v>
      </c>
      <c r="E14" s="15" t="n">
        <v>49.7</v>
      </c>
      <c r="F14" s="15" t="n">
        <v>76.54000000000001</v>
      </c>
      <c r="G14" s="15" t="n">
        <v>51.33</v>
      </c>
      <c r="H14" s="15" t="n">
        <v>53.78</v>
      </c>
      <c r="I14" s="15" t="n">
        <v>67.2</v>
      </c>
      <c r="J14" s="15" t="n">
        <v>72.8</v>
      </c>
      <c r="K14" s="15" t="n">
        <v>106.84</v>
      </c>
      <c r="L14" s="8" t="n">
        <v>100</v>
      </c>
      <c r="M14" s="8" t="inlineStr">
        <is>
          <t>高于历史最大值</t>
        </is>
      </c>
    </row>
    <row r="15">
      <c r="A15" s="8" t="n">
        <v>11</v>
      </c>
      <c r="B15" s="8" t="n">
        <v>3</v>
      </c>
      <c r="C15" s="15" t="n">
        <v>58.4</v>
      </c>
      <c r="D15" s="15" t="n">
        <v>54.9</v>
      </c>
      <c r="E15" s="15" t="n">
        <v>52.8</v>
      </c>
      <c r="F15" s="15" t="n">
        <v>67.5</v>
      </c>
      <c r="G15" s="15" t="n">
        <v>53.22</v>
      </c>
      <c r="H15" s="15" t="n">
        <v>53.85</v>
      </c>
      <c r="I15" s="15" t="n">
        <v>61.2</v>
      </c>
      <c r="J15" s="15" t="n">
        <v>64.98</v>
      </c>
      <c r="K15" s="15" t="n">
        <v>97.28</v>
      </c>
      <c r="L15" s="8" t="n">
        <v>100</v>
      </c>
      <c r="M15" s="8" t="inlineStr">
        <is>
          <t>高于历史最大值</t>
        </is>
      </c>
    </row>
    <row r="16">
      <c r="A16" s="8" t="n">
        <v>12</v>
      </c>
      <c r="B16" s="8" t="n">
        <v>3</v>
      </c>
      <c r="C16" s="15" t="n">
        <v>56.31</v>
      </c>
      <c r="D16" s="15" t="n">
        <v>58.8</v>
      </c>
      <c r="E16" s="15" t="n">
        <v>49.2</v>
      </c>
      <c r="F16" s="15" t="n">
        <v>60.94</v>
      </c>
      <c r="G16" s="15" t="n">
        <v>51.12</v>
      </c>
      <c r="H16" s="15" t="n">
        <v>54</v>
      </c>
      <c r="I16" s="15" t="n">
        <v>59.87</v>
      </c>
      <c r="J16" s="15" t="n">
        <v>60.51</v>
      </c>
      <c r="K16" s="15" t="n">
        <v>94.52</v>
      </c>
      <c r="L16" s="8" t="n">
        <v>100</v>
      </c>
      <c r="M16" s="8" t="inlineStr">
        <is>
          <t>高于历史最大值</t>
        </is>
      </c>
    </row>
    <row r="17">
      <c r="A17" s="8" t="n">
        <v>13</v>
      </c>
      <c r="B17" s="8" t="n">
        <v>3</v>
      </c>
      <c r="C17" s="15" t="n">
        <v>53.99</v>
      </c>
      <c r="D17" s="15" t="n">
        <v>56.65</v>
      </c>
      <c r="E17" s="15" t="n">
        <v>35.82</v>
      </c>
      <c r="F17" s="15" t="n">
        <v>69.5</v>
      </c>
      <c r="G17" s="15" t="n">
        <v>39.99</v>
      </c>
      <c r="H17" s="15" t="n">
        <v>46.23</v>
      </c>
      <c r="I17" s="15" t="n">
        <v>63.08</v>
      </c>
      <c r="J17" s="15" t="n">
        <v>66.93000000000001</v>
      </c>
      <c r="K17" s="15" t="n">
        <v>86.05</v>
      </c>
      <c r="L17" s="8" t="n">
        <v>100</v>
      </c>
      <c r="M17" s="8" t="inlineStr">
        <is>
          <t>高于历史最大值</t>
        </is>
      </c>
    </row>
    <row r="18">
      <c r="A18" s="8" t="n">
        <v>14</v>
      </c>
      <c r="B18" s="8" t="n">
        <v>4</v>
      </c>
      <c r="C18" s="15" t="n">
        <v>55.25</v>
      </c>
      <c r="D18" s="15" t="n">
        <v>52.84</v>
      </c>
      <c r="E18" s="15" t="n">
        <v>45.1</v>
      </c>
      <c r="F18" s="15" t="n">
        <v>70.25</v>
      </c>
      <c r="G18" s="15" t="n">
        <v>45.25</v>
      </c>
      <c r="H18" s="15" t="n">
        <v>45.48</v>
      </c>
      <c r="I18" s="15" t="n">
        <v>62.62</v>
      </c>
      <c r="J18" s="15" t="n">
        <v>67.2</v>
      </c>
      <c r="K18" s="15" t="n">
        <v>76.83</v>
      </c>
      <c r="L18" s="8" t="n">
        <v>100</v>
      </c>
      <c r="M18" s="8" t="inlineStr">
        <is>
          <t>高于历史最大值</t>
        </is>
      </c>
    </row>
    <row r="19">
      <c r="A19" s="8" t="n">
        <v>15</v>
      </c>
      <c r="B19" s="8" t="n">
        <v>4</v>
      </c>
      <c r="C19" s="15" t="n">
        <v>51.42</v>
      </c>
      <c r="D19" s="15" t="n">
        <v>52.91</v>
      </c>
      <c r="E19" s="15" t="n">
        <v>40</v>
      </c>
      <c r="F19" s="15" t="n">
        <v>59.85</v>
      </c>
      <c r="G19" s="15" t="n">
        <v>42.37</v>
      </c>
      <c r="H19" s="15" t="n">
        <v>45.92</v>
      </c>
      <c r="I19" s="15" t="n">
        <v>58.4</v>
      </c>
      <c r="J19" s="15" t="n">
        <v>59.27</v>
      </c>
      <c r="K19" s="15" t="n">
        <v>76.42</v>
      </c>
      <c r="L19" s="8" t="n">
        <v>100</v>
      </c>
      <c r="M19" s="8" t="inlineStr">
        <is>
          <t>高于历史最大值</t>
        </is>
      </c>
    </row>
    <row r="20">
      <c r="A20" s="8" t="n">
        <v>16</v>
      </c>
      <c r="B20" s="8" t="n">
        <v>4</v>
      </c>
      <c r="C20" s="15" t="n">
        <v>52.42</v>
      </c>
      <c r="D20" s="15" t="n">
        <v>54.58</v>
      </c>
      <c r="E20" s="15" t="n">
        <v>43.03</v>
      </c>
      <c r="F20" s="15" t="n">
        <v>57.49</v>
      </c>
      <c r="G20" s="15" t="n">
        <v>45.84</v>
      </c>
      <c r="H20" s="15" t="n">
        <v>50.06</v>
      </c>
      <c r="I20" s="15" t="n">
        <v>56.94</v>
      </c>
      <c r="J20" s="15" t="n">
        <v>57.27</v>
      </c>
      <c r="K20" s="15" t="n">
        <v>68.26000000000001</v>
      </c>
      <c r="L20" s="8" t="n">
        <v>100</v>
      </c>
      <c r="M20" s="8" t="inlineStr">
        <is>
          <t>高于历史最大值</t>
        </is>
      </c>
    </row>
    <row r="21">
      <c r="A21" s="8" t="n">
        <v>17</v>
      </c>
      <c r="B21" s="8" t="n">
        <v>4</v>
      </c>
      <c r="C21" s="15" t="n">
        <v>48.62</v>
      </c>
      <c r="D21" s="15" t="n">
        <v>49.79</v>
      </c>
      <c r="E21" s="15" t="n">
        <v>33.8</v>
      </c>
      <c r="F21" s="15" t="n">
        <v>61.1</v>
      </c>
      <c r="G21" s="15" t="n">
        <v>38.59</v>
      </c>
      <c r="H21" s="15" t="n">
        <v>45.76</v>
      </c>
      <c r="I21" s="15" t="n">
        <v>52.65</v>
      </c>
      <c r="J21" s="15" t="n">
        <v>57.72</v>
      </c>
      <c r="K21" s="15" t="n">
        <v>72.98999999999999</v>
      </c>
      <c r="L21" s="8" t="n">
        <v>100</v>
      </c>
      <c r="M21" s="8" t="inlineStr">
        <is>
          <t>高于历史最大值</t>
        </is>
      </c>
    </row>
    <row r="22">
      <c r="A22" s="8" t="n">
        <v>18</v>
      </c>
      <c r="B22" s="8" t="n">
        <v>4</v>
      </c>
      <c r="C22" s="15" t="n">
        <v>52.92</v>
      </c>
      <c r="D22" s="15" t="n">
        <v>52.47</v>
      </c>
      <c r="E22" s="15" t="n">
        <v>39.24</v>
      </c>
      <c r="F22" s="15" t="n">
        <v>67.51000000000001</v>
      </c>
      <c r="G22" s="15" t="n">
        <v>42.14</v>
      </c>
      <c r="H22" s="15" t="n">
        <v>46.48</v>
      </c>
      <c r="I22" s="15" t="n">
        <v>58.91</v>
      </c>
      <c r="J22" s="15" t="n">
        <v>64.06999999999999</v>
      </c>
      <c r="K22" s="15" t="n">
        <v>73.36</v>
      </c>
      <c r="L22" s="8" t="n">
        <v>100</v>
      </c>
      <c r="M22" s="8" t="inlineStr">
        <is>
          <t>高于历史最大值</t>
        </is>
      </c>
    </row>
    <row r="23">
      <c r="A23" s="8" t="n">
        <v>19</v>
      </c>
      <c r="B23" s="8" t="n">
        <v>4</v>
      </c>
      <c r="C23" s="15" t="n">
        <v>52.28</v>
      </c>
      <c r="D23" s="15" t="n">
        <v>54.62</v>
      </c>
      <c r="E23" s="15" t="n">
        <v>37.95</v>
      </c>
      <c r="F23" s="15" t="n">
        <v>61.91</v>
      </c>
      <c r="G23" s="15" t="n">
        <v>41.84</v>
      </c>
      <c r="H23" s="15" t="n">
        <v>47.66</v>
      </c>
      <c r="I23" s="15" t="n">
        <v>59.23</v>
      </c>
      <c r="J23" s="15" t="n">
        <v>60.84</v>
      </c>
      <c r="K23" s="15" t="n">
        <v>78.26000000000001</v>
      </c>
      <c r="L23" s="8" t="n">
        <v>100</v>
      </c>
      <c r="M23" s="8" t="inlineStr">
        <is>
          <t>高于历史最大值</t>
        </is>
      </c>
    </row>
    <row r="24">
      <c r="A24" s="8" t="n">
        <v>20</v>
      </c>
      <c r="B24" s="8" t="n">
        <v>4</v>
      </c>
      <c r="C24" s="15" t="n">
        <v>51.19</v>
      </c>
      <c r="D24" s="15" t="n">
        <v>50.55</v>
      </c>
      <c r="E24" s="15" t="n">
        <v>32.4</v>
      </c>
      <c r="F24" s="15" t="n">
        <v>71.26000000000001</v>
      </c>
      <c r="G24" s="15" t="n">
        <v>36.1</v>
      </c>
      <c r="H24" s="15" t="n">
        <v>41.66</v>
      </c>
      <c r="I24" s="15" t="n">
        <v>60.09</v>
      </c>
      <c r="J24" s="15" t="n">
        <v>66.79000000000001</v>
      </c>
      <c r="K24" s="15" t="n">
        <v>66.75</v>
      </c>
      <c r="L24" s="8" t="n">
        <v>75</v>
      </c>
      <c r="M24" s="8" t="inlineStr">
        <is>
          <t>p75-p90</t>
        </is>
      </c>
    </row>
    <row r="25">
      <c r="A25" s="8" t="n">
        <v>21</v>
      </c>
      <c r="B25" s="8" t="n">
        <v>4</v>
      </c>
      <c r="C25" s="15" t="n">
        <v>51.47</v>
      </c>
      <c r="D25" s="15" t="n">
        <v>50.42</v>
      </c>
      <c r="E25" s="15" t="n">
        <v>32.7</v>
      </c>
      <c r="F25" s="15" t="n">
        <v>72.34999999999999</v>
      </c>
      <c r="G25" s="15" t="n">
        <v>37.5</v>
      </c>
      <c r="H25" s="15" t="n">
        <v>44.7</v>
      </c>
      <c r="I25" s="15" t="n">
        <v>57.19</v>
      </c>
      <c r="J25" s="15" t="n">
        <v>66.29000000000001</v>
      </c>
      <c r="K25" s="15" t="n">
        <v>61.02</v>
      </c>
      <c r="L25" s="8" t="n">
        <v>75</v>
      </c>
      <c r="M25" s="8" t="inlineStr">
        <is>
          <t>p75-p90</t>
        </is>
      </c>
    </row>
    <row r="26">
      <c r="A26" s="8" t="n">
        <v>22</v>
      </c>
      <c r="B26" s="8" t="n">
        <v>4</v>
      </c>
      <c r="C26" s="15" t="n">
        <v>50.34</v>
      </c>
      <c r="D26" s="15" t="n">
        <v>45.28</v>
      </c>
      <c r="E26" s="15" t="n">
        <v>37.1</v>
      </c>
      <c r="F26" s="15" t="n">
        <v>73.72</v>
      </c>
      <c r="G26" s="15" t="n">
        <v>39.12</v>
      </c>
      <c r="H26" s="15" t="n">
        <v>42.16</v>
      </c>
      <c r="I26" s="15" t="n">
        <v>53.45</v>
      </c>
      <c r="J26" s="15" t="n">
        <v>65.61</v>
      </c>
      <c r="K26" s="15" t="n">
        <v>54.5</v>
      </c>
      <c r="L26" s="8" t="n">
        <v>75</v>
      </c>
      <c r="M26" s="8" t="inlineStr">
        <is>
          <t>p75-p90</t>
        </is>
      </c>
    </row>
    <row r="27">
      <c r="A27" s="8" t="n">
        <v>23</v>
      </c>
      <c r="B27" s="8" t="n">
        <v>4</v>
      </c>
      <c r="C27" s="15" t="n">
        <v>53.97</v>
      </c>
      <c r="D27" s="15" t="n">
        <v>47.12</v>
      </c>
      <c r="E27" s="15" t="n">
        <v>42.23</v>
      </c>
      <c r="F27" s="15" t="n">
        <v>79.39</v>
      </c>
      <c r="G27" s="15" t="n">
        <v>42.61</v>
      </c>
      <c r="H27" s="15" t="n">
        <v>43.18</v>
      </c>
      <c r="I27" s="15" t="n">
        <v>57.91</v>
      </c>
      <c r="J27" s="15" t="n">
        <v>70.8</v>
      </c>
      <c r="K27" s="15" t="n">
        <v>54.23</v>
      </c>
      <c r="L27" s="8" t="n">
        <v>75</v>
      </c>
      <c r="M27" s="8" t="inlineStr">
        <is>
          <t>p25-p75</t>
        </is>
      </c>
    </row>
    <row r="28">
      <c r="A28" s="8" t="n">
        <v>24</v>
      </c>
      <c r="B28" s="8" t="n">
        <v>4</v>
      </c>
      <c r="C28" s="15" t="n">
        <v>57.81</v>
      </c>
      <c r="D28" s="15" t="n">
        <v>49.95</v>
      </c>
      <c r="E28" s="15" t="n">
        <v>46.8</v>
      </c>
      <c r="F28" s="15" t="n">
        <v>84.54000000000001</v>
      </c>
      <c r="G28" s="15" t="n">
        <v>47.61</v>
      </c>
      <c r="H28" s="15" t="n">
        <v>48.82</v>
      </c>
      <c r="I28" s="15" t="n">
        <v>58.94</v>
      </c>
      <c r="J28" s="15" t="n">
        <v>74.3</v>
      </c>
      <c r="K28" s="15" t="n">
        <v>48.11</v>
      </c>
      <c r="L28" s="8" t="n">
        <v>25</v>
      </c>
      <c r="M28" s="8" t="inlineStr">
        <is>
          <t>p10-p25</t>
        </is>
      </c>
    </row>
    <row r="29">
      <c r="A29" s="8" t="n">
        <v>25</v>
      </c>
      <c r="B29" s="8" t="n">
        <v>4</v>
      </c>
      <c r="C29" s="15" t="n">
        <v>60.25</v>
      </c>
      <c r="D29" s="15" t="n">
        <v>54.98</v>
      </c>
      <c r="E29" s="15" t="n">
        <v>43.7</v>
      </c>
      <c r="F29" s="15" t="n">
        <v>87.34999999999999</v>
      </c>
      <c r="G29" s="15" t="n">
        <v>46.22</v>
      </c>
      <c r="H29" s="15" t="n">
        <v>50</v>
      </c>
      <c r="I29" s="15" t="n">
        <v>65.22</v>
      </c>
      <c r="J29" s="15" t="n">
        <v>78.5</v>
      </c>
      <c r="K29" s="15" t="n">
        <v>52.06</v>
      </c>
      <c r="L29" s="8" t="n">
        <v>25</v>
      </c>
      <c r="M29" s="8" t="inlineStr">
        <is>
          <t>p25-p75</t>
        </is>
      </c>
    </row>
    <row r="30">
      <c r="A30" s="8" t="n">
        <v>26</v>
      </c>
      <c r="B30" s="8" t="n">
        <v>3</v>
      </c>
      <c r="C30" s="15" t="n">
        <v>66.73</v>
      </c>
      <c r="D30" s="15" t="n">
        <v>63.73</v>
      </c>
      <c r="E30" s="15" t="n">
        <v>49.6</v>
      </c>
      <c r="F30" s="15" t="n">
        <v>86.84999999999999</v>
      </c>
      <c r="G30" s="15" t="n">
        <v>52.43</v>
      </c>
      <c r="H30" s="15" t="n">
        <v>56.66</v>
      </c>
      <c r="I30" s="15" t="n">
        <v>75.29000000000001</v>
      </c>
      <c r="J30" s="15" t="n">
        <v>82.23</v>
      </c>
      <c r="K30" s="15" t="n">
        <v>47.08</v>
      </c>
      <c r="L30" s="8" t="n">
        <v>0</v>
      </c>
      <c r="M30" s="8" t="inlineStr">
        <is>
          <t>低于历史最小值</t>
        </is>
      </c>
    </row>
    <row r="31">
      <c r="A31" s="8" t="n">
        <v>27</v>
      </c>
      <c r="B31" s="8" t="n">
        <v>4</v>
      </c>
      <c r="C31" s="15" t="n">
        <v>66.59999999999999</v>
      </c>
      <c r="D31" s="15" t="n">
        <v>68.34</v>
      </c>
      <c r="E31" s="15" t="n">
        <v>50.95</v>
      </c>
      <c r="F31" s="15" t="n">
        <v>78.78</v>
      </c>
      <c r="G31" s="15" t="n">
        <v>55.19</v>
      </c>
      <c r="H31" s="15" t="n">
        <v>61.55</v>
      </c>
      <c r="I31" s="15" t="n">
        <v>73.39</v>
      </c>
      <c r="J31" s="15" t="n">
        <v>76.63</v>
      </c>
      <c r="K31" s="15" t="n">
        <v>44.99</v>
      </c>
      <c r="L31" s="8" t="n">
        <v>0</v>
      </c>
      <c r="M31" s="8" t="inlineStr">
        <is>
          <t>低于历史最小值</t>
        </is>
      </c>
    </row>
    <row r="32">
      <c r="A32" s="8" t="n">
        <v>28</v>
      </c>
      <c r="B32" s="8" t="n">
        <v>4</v>
      </c>
      <c r="C32" s="15" t="n">
        <v>68.70999999999999</v>
      </c>
      <c r="D32" s="15" t="n">
        <v>70.97</v>
      </c>
      <c r="E32" s="15" t="n">
        <v>57.05</v>
      </c>
      <c r="F32" s="15" t="n">
        <v>75.84999999999999</v>
      </c>
      <c r="G32" s="15" t="n">
        <v>60.24</v>
      </c>
      <c r="H32" s="15" t="n">
        <v>65.04000000000001</v>
      </c>
      <c r="I32" s="15" t="n">
        <v>74.65000000000001</v>
      </c>
      <c r="J32" s="15" t="n">
        <v>75.37</v>
      </c>
      <c r="K32" s="15" t="n">
        <v>38.47</v>
      </c>
      <c r="L32" s="8" t="n">
        <v>0</v>
      </c>
      <c r="M32" s="8" t="inlineStr">
        <is>
          <t>低于历史最小值</t>
        </is>
      </c>
    </row>
    <row r="33">
      <c r="A33" s="8" t="n">
        <v>29</v>
      </c>
      <c r="B33" s="8" t="n">
        <v>4</v>
      </c>
      <c r="C33" s="15" t="n">
        <v>71.78</v>
      </c>
      <c r="D33" s="15" t="n">
        <v>73.08</v>
      </c>
      <c r="E33" s="15" t="n">
        <v>63.4</v>
      </c>
      <c r="F33" s="15" t="n">
        <v>77.55</v>
      </c>
      <c r="G33" s="15" t="n">
        <v>65</v>
      </c>
      <c r="H33" s="15" t="n">
        <v>67.41</v>
      </c>
      <c r="I33" s="15" t="n">
        <v>77.44</v>
      </c>
      <c r="J33" s="15" t="n">
        <v>77.5</v>
      </c>
      <c r="K33" s="15" t="n">
        <v>30.52</v>
      </c>
      <c r="L33" s="8" t="n">
        <v>0</v>
      </c>
      <c r="M33" s="8" t="inlineStr">
        <is>
          <t>低于历史最小值</t>
        </is>
      </c>
    </row>
    <row r="34">
      <c r="A34" s="8" t="n">
        <v>30</v>
      </c>
      <c r="B34" s="8" t="n">
        <v>4</v>
      </c>
      <c r="C34" s="15" t="n">
        <v>74.45</v>
      </c>
      <c r="D34" s="15" t="n">
        <v>79.28</v>
      </c>
      <c r="E34" s="15" t="n">
        <v>54.7</v>
      </c>
      <c r="F34" s="15" t="n">
        <v>84.53</v>
      </c>
      <c r="G34" s="15" t="n">
        <v>61.59</v>
      </c>
      <c r="H34" s="15" t="n">
        <v>71.91</v>
      </c>
      <c r="I34" s="15" t="n">
        <v>81.81</v>
      </c>
      <c r="J34" s="15" t="n">
        <v>83.44</v>
      </c>
      <c r="K34" s="15" t="n">
        <v>39.14</v>
      </c>
      <c r="L34" s="8" t="n">
        <v>0</v>
      </c>
      <c r="M34" s="8" t="inlineStr">
        <is>
          <t>低于历史最小值</t>
        </is>
      </c>
    </row>
    <row r="35">
      <c r="A35" s="8" t="n">
        <v>31</v>
      </c>
      <c r="B35" s="8" t="n">
        <v>4</v>
      </c>
      <c r="C35" s="15" t="n">
        <v>70.25</v>
      </c>
      <c r="D35" s="15" t="n">
        <v>71.58</v>
      </c>
      <c r="E35" s="15" t="n">
        <v>57.2</v>
      </c>
      <c r="F35" s="15" t="n">
        <v>80.65000000000001</v>
      </c>
      <c r="G35" s="15" t="n">
        <v>60.19</v>
      </c>
      <c r="H35" s="15" t="n">
        <v>64.66</v>
      </c>
      <c r="I35" s="15" t="n">
        <v>77.16</v>
      </c>
      <c r="J35" s="15" t="n">
        <v>79.26000000000001</v>
      </c>
      <c r="K35" s="15" t="n">
        <v>52.32</v>
      </c>
      <c r="L35" s="8" t="n">
        <v>0</v>
      </c>
      <c r="M35" s="8" t="inlineStr">
        <is>
          <t>低于历史最小值</t>
        </is>
      </c>
    </row>
    <row r="36">
      <c r="A36" s="8" t="n">
        <v>32</v>
      </c>
      <c r="B36" s="8" t="n">
        <v>4</v>
      </c>
      <c r="C36" s="15" t="n">
        <v>71.23999999999999</v>
      </c>
      <c r="D36" s="15" t="n">
        <v>68.45</v>
      </c>
      <c r="E36" s="15" t="n">
        <v>64.2</v>
      </c>
      <c r="F36" s="15" t="n">
        <v>83.86</v>
      </c>
      <c r="G36" s="15" t="n">
        <v>65.40000000000001</v>
      </c>
      <c r="H36" s="15" t="n">
        <v>67.2</v>
      </c>
      <c r="I36" s="15" t="n">
        <v>72.48999999999999</v>
      </c>
      <c r="J36" s="15" t="n">
        <v>79.31</v>
      </c>
      <c r="K36" s="15" t="n"/>
      <c r="L36" s="8" t="n"/>
      <c r="M36" s="8" t="inlineStr">
        <is>
          <t>今年无披露</t>
        </is>
      </c>
    </row>
    <row r="37">
      <c r="A37" s="8" t="n">
        <v>33</v>
      </c>
      <c r="B37" s="8" t="n">
        <v>3</v>
      </c>
      <c r="C37" s="15" t="n">
        <v>76.5</v>
      </c>
      <c r="D37" s="15" t="n">
        <v>74.59999999999999</v>
      </c>
      <c r="E37" s="15" t="n">
        <v>67.93000000000001</v>
      </c>
      <c r="F37" s="15" t="n">
        <v>86.95999999999999</v>
      </c>
      <c r="G37" s="15" t="n">
        <v>69.26000000000001</v>
      </c>
      <c r="H37" s="15" t="n">
        <v>71.27</v>
      </c>
      <c r="I37" s="15" t="n">
        <v>80.78</v>
      </c>
      <c r="J37" s="15" t="n">
        <v>84.48999999999999</v>
      </c>
      <c r="K37" s="15" t="n"/>
      <c r="L37" s="8" t="n"/>
      <c r="M37" s="8" t="inlineStr">
        <is>
          <t>今年无披露</t>
        </is>
      </c>
    </row>
    <row r="38">
      <c r="A38" s="8" t="n">
        <v>34</v>
      </c>
      <c r="B38" s="8" t="n">
        <v>3</v>
      </c>
      <c r="C38" s="15" t="n">
        <v>76.41</v>
      </c>
      <c r="D38" s="15" t="n">
        <v>76.40000000000001</v>
      </c>
      <c r="E38" s="15" t="n">
        <v>72.84999999999999</v>
      </c>
      <c r="F38" s="15" t="n">
        <v>79.98</v>
      </c>
      <c r="G38" s="15" t="n">
        <v>73.56</v>
      </c>
      <c r="H38" s="15" t="n">
        <v>74.62</v>
      </c>
      <c r="I38" s="15" t="n">
        <v>78.19</v>
      </c>
      <c r="J38" s="15" t="n">
        <v>79.26000000000001</v>
      </c>
      <c r="K38" s="15" t="n"/>
      <c r="L38" s="8" t="n"/>
      <c r="M38" s="8" t="inlineStr">
        <is>
          <t>今年无披露</t>
        </is>
      </c>
    </row>
    <row r="39">
      <c r="A39" s="8" t="n">
        <v>35</v>
      </c>
      <c r="B39" s="8" t="n">
        <v>3</v>
      </c>
      <c r="C39" s="15" t="n">
        <v>77.97</v>
      </c>
      <c r="D39" s="15" t="n">
        <v>77.61</v>
      </c>
      <c r="E39" s="15" t="n">
        <v>76.22</v>
      </c>
      <c r="F39" s="15" t="n">
        <v>80.08</v>
      </c>
      <c r="G39" s="15" t="n">
        <v>76.5</v>
      </c>
      <c r="H39" s="15" t="n">
        <v>76.91</v>
      </c>
      <c r="I39" s="15" t="n">
        <v>78.84</v>
      </c>
      <c r="J39" s="15" t="n">
        <v>79.59</v>
      </c>
      <c r="K39" s="15" t="n"/>
      <c r="L39" s="8" t="n"/>
      <c r="M39" s="8" t="inlineStr">
        <is>
          <t>今年无披露</t>
        </is>
      </c>
    </row>
    <row r="40">
      <c r="A40" s="8" t="n">
        <v>36</v>
      </c>
      <c r="B40" s="8" t="n">
        <v>3</v>
      </c>
      <c r="C40" s="15" t="n">
        <v>78.22</v>
      </c>
      <c r="D40" s="15" t="n">
        <v>76.45</v>
      </c>
      <c r="E40" s="15" t="n">
        <v>76.29000000000001</v>
      </c>
      <c r="F40" s="15" t="n">
        <v>81.93000000000001</v>
      </c>
      <c r="G40" s="15" t="n">
        <v>76.31999999999999</v>
      </c>
      <c r="H40" s="15" t="n">
        <v>76.37</v>
      </c>
      <c r="I40" s="15" t="n">
        <v>79.19</v>
      </c>
      <c r="J40" s="15" t="n">
        <v>80.83</v>
      </c>
      <c r="K40" s="15" t="n"/>
      <c r="L40" s="8" t="n"/>
      <c r="M40" s="8" t="inlineStr">
        <is>
          <t>今年无披露</t>
        </is>
      </c>
    </row>
    <row r="41">
      <c r="A41" s="8" t="n">
        <v>37</v>
      </c>
      <c r="B41" s="8" t="n">
        <v>3</v>
      </c>
      <c r="C41" s="15" t="n">
        <v>79.01000000000001</v>
      </c>
      <c r="D41" s="15" t="n">
        <v>81.16</v>
      </c>
      <c r="E41" s="15" t="n">
        <v>72.3</v>
      </c>
      <c r="F41" s="15" t="n">
        <v>83.58</v>
      </c>
      <c r="G41" s="15" t="n">
        <v>74.06999999999999</v>
      </c>
      <c r="H41" s="15" t="n">
        <v>76.73</v>
      </c>
      <c r="I41" s="15" t="n">
        <v>82.37</v>
      </c>
      <c r="J41" s="15" t="n">
        <v>83.09999999999999</v>
      </c>
      <c r="K41" s="15" t="n"/>
      <c r="L41" s="8" t="n"/>
      <c r="M41" s="8" t="inlineStr">
        <is>
          <t>今年无披露</t>
        </is>
      </c>
    </row>
    <row r="42">
      <c r="A42" s="8" t="n">
        <v>38</v>
      </c>
      <c r="B42" s="8" t="n">
        <v>4</v>
      </c>
      <c r="C42" s="15" t="n">
        <v>81.28</v>
      </c>
      <c r="D42" s="15" t="n">
        <v>76.81</v>
      </c>
      <c r="E42" s="15" t="n">
        <v>64.09999999999999</v>
      </c>
      <c r="F42" s="15" t="n">
        <v>107.39</v>
      </c>
      <c r="G42" s="15" t="n">
        <v>65.38</v>
      </c>
      <c r="H42" s="15" t="n">
        <v>67.3</v>
      </c>
      <c r="I42" s="15" t="n">
        <v>90.78</v>
      </c>
      <c r="J42" s="15" t="n">
        <v>100.75</v>
      </c>
      <c r="K42" s="15" t="n"/>
      <c r="L42" s="8" t="n"/>
      <c r="M42" s="8" t="inlineStr">
        <is>
          <t>今年无披露</t>
        </is>
      </c>
    </row>
    <row r="43">
      <c r="A43" s="8" t="n">
        <v>39</v>
      </c>
      <c r="B43" s="8" t="n">
        <v>4</v>
      </c>
      <c r="C43" s="15" t="n">
        <v>74.73999999999999</v>
      </c>
      <c r="D43" s="15" t="n">
        <v>69.48999999999999</v>
      </c>
      <c r="E43" s="15" t="n">
        <v>56.72</v>
      </c>
      <c r="F43" s="15" t="n">
        <v>103.27</v>
      </c>
      <c r="G43" s="15" t="n">
        <v>57.97</v>
      </c>
      <c r="H43" s="15" t="n">
        <v>59.84</v>
      </c>
      <c r="I43" s="15" t="n">
        <v>84.39</v>
      </c>
      <c r="J43" s="15" t="n">
        <v>95.72</v>
      </c>
      <c r="K43" s="15" t="n"/>
      <c r="L43" s="8" t="n"/>
      <c r="M43" s="8" t="inlineStr">
        <is>
          <t>今年无披露</t>
        </is>
      </c>
    </row>
    <row r="44">
      <c r="A44" s="8" t="n">
        <v>40</v>
      </c>
      <c r="B44" s="8" t="n">
        <v>1</v>
      </c>
      <c r="C44" s="15" t="n">
        <v>63.5</v>
      </c>
      <c r="D44" s="15" t="n">
        <v>63.5</v>
      </c>
      <c r="E44" s="15" t="n">
        <v>63.5</v>
      </c>
      <c r="F44" s="15" t="n">
        <v>63.5</v>
      </c>
      <c r="G44" s="15" t="n">
        <v>63.5</v>
      </c>
      <c r="H44" s="15" t="n">
        <v>63.5</v>
      </c>
      <c r="I44" s="15" t="n">
        <v>63.5</v>
      </c>
      <c r="J44" s="15" t="n">
        <v>63.5</v>
      </c>
      <c r="K44" s="15" t="n"/>
      <c r="L44" s="8" t="n"/>
      <c r="M44" s="8" t="inlineStr">
        <is>
          <t>今年无披露</t>
        </is>
      </c>
    </row>
    <row r="45">
      <c r="A45" s="8" t="n">
        <v>41</v>
      </c>
      <c r="B45" s="8" t="n">
        <v>4</v>
      </c>
      <c r="C45" s="15" t="n">
        <v>70.27</v>
      </c>
      <c r="D45" s="15" t="n">
        <v>61.75</v>
      </c>
      <c r="E45" s="15" t="n">
        <v>49.52</v>
      </c>
      <c r="F45" s="15" t="n">
        <v>108.05</v>
      </c>
      <c r="G45" s="15" t="n">
        <v>52.48</v>
      </c>
      <c r="H45" s="15" t="n">
        <v>56.93</v>
      </c>
      <c r="I45" s="15" t="n">
        <v>75.09</v>
      </c>
      <c r="J45" s="15" t="n">
        <v>94.87</v>
      </c>
      <c r="K45" s="15" t="n"/>
      <c r="L45" s="8" t="n"/>
      <c r="M45" s="8" t="inlineStr">
        <is>
          <t>今年无披露</t>
        </is>
      </c>
    </row>
    <row r="46">
      <c r="A46" s="8" t="n">
        <v>42</v>
      </c>
      <c r="B46" s="8" t="n">
        <v>4</v>
      </c>
      <c r="C46" s="15" t="n">
        <v>69.67</v>
      </c>
      <c r="D46" s="15" t="n">
        <v>69.33</v>
      </c>
      <c r="E46" s="15" t="n">
        <v>40.34</v>
      </c>
      <c r="F46" s="15" t="n">
        <v>99.7</v>
      </c>
      <c r="G46" s="15" t="n">
        <v>46.99</v>
      </c>
      <c r="H46" s="15" t="n">
        <v>56.96</v>
      </c>
      <c r="I46" s="15" t="n">
        <v>82.04000000000001</v>
      </c>
      <c r="J46" s="15" t="n">
        <v>92.64</v>
      </c>
      <c r="K46" s="15" t="n"/>
      <c r="L46" s="8" t="n"/>
      <c r="M46" s="8" t="inlineStr">
        <is>
          <t>今年无披露</t>
        </is>
      </c>
    </row>
    <row r="47">
      <c r="A47" s="8" t="n">
        <v>43</v>
      </c>
      <c r="B47" s="8" t="n">
        <v>4</v>
      </c>
      <c r="C47" s="15" t="n">
        <v>70.69</v>
      </c>
      <c r="D47" s="15" t="n">
        <v>71.19</v>
      </c>
      <c r="E47" s="15" t="n">
        <v>37.69</v>
      </c>
      <c r="F47" s="15" t="n">
        <v>102.7</v>
      </c>
      <c r="G47" s="15" t="n">
        <v>45.94</v>
      </c>
      <c r="H47" s="15" t="n">
        <v>58.32</v>
      </c>
      <c r="I47" s="15" t="n">
        <v>83.56</v>
      </c>
      <c r="J47" s="15" t="n">
        <v>95.04000000000001</v>
      </c>
      <c r="K47" s="15" t="n"/>
      <c r="L47" s="8" t="n"/>
      <c r="M47" s="8" t="inlineStr">
        <is>
          <t>今年无披露</t>
        </is>
      </c>
    </row>
    <row r="48">
      <c r="A48" s="8" t="n">
        <v>44</v>
      </c>
      <c r="B48" s="8" t="n">
        <v>4</v>
      </c>
      <c r="C48" s="15" t="n">
        <v>72.33</v>
      </c>
      <c r="D48" s="15" t="n">
        <v>74.40000000000001</v>
      </c>
      <c r="E48" s="15" t="n">
        <v>40.8</v>
      </c>
      <c r="F48" s="15" t="n">
        <v>99.73</v>
      </c>
      <c r="G48" s="15" t="n">
        <v>47.95</v>
      </c>
      <c r="H48" s="15" t="n">
        <v>58.69</v>
      </c>
      <c r="I48" s="15" t="n">
        <v>88.05</v>
      </c>
      <c r="J48" s="15" t="n">
        <v>95.06</v>
      </c>
      <c r="K48" s="15" t="n"/>
      <c r="L48" s="8" t="n"/>
      <c r="M48" s="8" t="inlineStr">
        <is>
          <t>今年无披露</t>
        </is>
      </c>
    </row>
    <row r="49">
      <c r="A49" s="8" t="n">
        <v>45</v>
      </c>
      <c r="B49" s="8" t="n">
        <v>4</v>
      </c>
      <c r="C49" s="15" t="n">
        <v>76.64</v>
      </c>
      <c r="D49" s="15" t="n">
        <v>77.7</v>
      </c>
      <c r="E49" s="15" t="n">
        <v>49</v>
      </c>
      <c r="F49" s="15" t="n">
        <v>102.15</v>
      </c>
      <c r="G49" s="15" t="n">
        <v>55.78</v>
      </c>
      <c r="H49" s="15" t="n">
        <v>65.95</v>
      </c>
      <c r="I49" s="15" t="n">
        <v>88.39</v>
      </c>
      <c r="J49" s="15" t="n">
        <v>96.65000000000001</v>
      </c>
      <c r="K49" s="15" t="n"/>
      <c r="L49" s="8" t="n"/>
      <c r="M49" s="8" t="inlineStr">
        <is>
          <t>今年无披露</t>
        </is>
      </c>
    </row>
    <row r="50">
      <c r="A50" s="8" t="n">
        <v>46</v>
      </c>
      <c r="B50" s="8" t="n">
        <v>4</v>
      </c>
      <c r="C50" s="15" t="n">
        <v>81.16</v>
      </c>
      <c r="D50" s="15" t="n">
        <v>84.29000000000001</v>
      </c>
      <c r="E50" s="15" t="n">
        <v>47.4</v>
      </c>
      <c r="F50" s="15" t="n">
        <v>108.64</v>
      </c>
      <c r="G50" s="15" t="n">
        <v>56.63</v>
      </c>
      <c r="H50" s="15" t="n">
        <v>70.48</v>
      </c>
      <c r="I50" s="15" t="n">
        <v>94.95999999999999</v>
      </c>
      <c r="J50" s="15" t="n">
        <v>103.17</v>
      </c>
      <c r="K50" s="15" t="n"/>
      <c r="L50" s="8" t="n"/>
      <c r="M50" s="8" t="inlineStr">
        <is>
          <t>今年无披露</t>
        </is>
      </c>
    </row>
    <row r="51">
      <c r="A51" s="8" t="n">
        <v>47</v>
      </c>
      <c r="B51" s="8" t="n">
        <v>4</v>
      </c>
      <c r="C51" s="15" t="n">
        <v>79.41</v>
      </c>
      <c r="D51" s="15" t="n">
        <v>84.97</v>
      </c>
      <c r="E51" s="15" t="n">
        <v>45.94</v>
      </c>
      <c r="F51" s="15" t="n">
        <v>101.78</v>
      </c>
      <c r="G51" s="15" t="n">
        <v>55.06</v>
      </c>
      <c r="H51" s="15" t="n">
        <v>68.73</v>
      </c>
      <c r="I51" s="15" t="n">
        <v>95.65000000000001</v>
      </c>
      <c r="J51" s="15" t="n">
        <v>99.33</v>
      </c>
      <c r="K51" s="15" t="n"/>
      <c r="L51" s="8" t="n"/>
      <c r="M51" s="8" t="inlineStr">
        <is>
          <t>今年无披露</t>
        </is>
      </c>
    </row>
    <row r="52">
      <c r="A52" s="8" t="n">
        <v>48</v>
      </c>
      <c r="B52" s="8" t="n">
        <v>4</v>
      </c>
      <c r="C52" s="15" t="n">
        <v>73.70999999999999</v>
      </c>
      <c r="D52" s="15" t="n">
        <v>76.18000000000001</v>
      </c>
      <c r="E52" s="15" t="n">
        <v>48.72</v>
      </c>
      <c r="F52" s="15" t="n">
        <v>93.75</v>
      </c>
      <c r="G52" s="15" t="n">
        <v>54.76</v>
      </c>
      <c r="H52" s="15" t="n">
        <v>63.83</v>
      </c>
      <c r="I52" s="15" t="n">
        <v>86.06</v>
      </c>
      <c r="J52" s="15" t="n">
        <v>90.67</v>
      </c>
      <c r="K52" s="15" t="n"/>
      <c r="L52" s="8" t="n"/>
      <c r="M52" s="8" t="inlineStr">
        <is>
          <t>今年无披露</t>
        </is>
      </c>
    </row>
    <row r="53">
      <c r="A53" s="8" t="n">
        <v>49</v>
      </c>
      <c r="B53" s="8" t="n">
        <v>4</v>
      </c>
      <c r="C53" s="15" t="n">
        <v>74.12</v>
      </c>
      <c r="D53" s="15" t="n">
        <v>78.16</v>
      </c>
      <c r="E53" s="15" t="n">
        <v>46.29</v>
      </c>
      <c r="F53" s="15" t="n">
        <v>93.88</v>
      </c>
      <c r="G53" s="15" t="n">
        <v>52.51</v>
      </c>
      <c r="H53" s="15" t="n">
        <v>61.83</v>
      </c>
      <c r="I53" s="15" t="n">
        <v>90.44</v>
      </c>
      <c r="J53" s="15" t="n">
        <v>92.51000000000001</v>
      </c>
      <c r="K53" s="15" t="n"/>
      <c r="L53" s="8" t="n"/>
      <c r="M53" s="8" t="inlineStr">
        <is>
          <t>今年无披露</t>
        </is>
      </c>
    </row>
    <row r="54">
      <c r="A54" s="8" t="n">
        <v>50</v>
      </c>
      <c r="B54" s="8" t="n">
        <v>4</v>
      </c>
      <c r="C54" s="15" t="n">
        <v>72.29000000000001</v>
      </c>
      <c r="D54" s="15" t="n">
        <v>75.83</v>
      </c>
      <c r="E54" s="15" t="n">
        <v>54.45</v>
      </c>
      <c r="F54" s="15" t="n">
        <v>83.06</v>
      </c>
      <c r="G54" s="15" t="n">
        <v>60.08</v>
      </c>
      <c r="H54" s="15" t="n">
        <v>68.52</v>
      </c>
      <c r="I54" s="15" t="n">
        <v>79.59999999999999</v>
      </c>
      <c r="J54" s="15" t="n">
        <v>81.68000000000001</v>
      </c>
      <c r="K54" s="15" t="n"/>
      <c r="L54" s="8" t="n"/>
      <c r="M54" s="8" t="inlineStr">
        <is>
          <t>今年无披露</t>
        </is>
      </c>
    </row>
    <row r="55">
      <c r="A55" s="8" t="n">
        <v>51</v>
      </c>
      <c r="B55" s="8" t="n">
        <v>4</v>
      </c>
      <c r="C55" s="15" t="n">
        <v>70.54000000000001</v>
      </c>
      <c r="D55" s="15" t="n">
        <v>75.22</v>
      </c>
      <c r="E55" s="15" t="n">
        <v>51.76</v>
      </c>
      <c r="F55" s="15" t="n">
        <v>79.95999999999999</v>
      </c>
      <c r="G55" s="15" t="n">
        <v>58.25</v>
      </c>
      <c r="H55" s="15" t="n">
        <v>67.98999999999999</v>
      </c>
      <c r="I55" s="15" t="n">
        <v>77.78</v>
      </c>
      <c r="J55" s="15" t="n">
        <v>79.09</v>
      </c>
      <c r="K55" s="15" t="n"/>
      <c r="L55" s="8" t="n"/>
      <c r="M55" s="8" t="inlineStr">
        <is>
          <t>今年无披露</t>
        </is>
      </c>
    </row>
    <row r="56">
      <c r="A56" s="8" t="n">
        <v>52</v>
      </c>
      <c r="B56" s="8" t="n">
        <v>4</v>
      </c>
      <c r="C56" s="15" t="n">
        <v>72.09999999999999</v>
      </c>
      <c r="D56" s="15" t="n">
        <v>68.90000000000001</v>
      </c>
      <c r="E56" s="15" t="n">
        <v>49.88</v>
      </c>
      <c r="F56" s="15" t="n">
        <v>100.73</v>
      </c>
      <c r="G56" s="15" t="n">
        <v>55.35</v>
      </c>
      <c r="H56" s="15" t="n">
        <v>63.54</v>
      </c>
      <c r="I56" s="15" t="n">
        <v>77.45999999999999</v>
      </c>
      <c r="J56" s="15" t="n">
        <v>91.42</v>
      </c>
      <c r="K56" s="15" t="n"/>
      <c r="L56" s="8" t="n"/>
      <c r="M56" s="8" t="inlineStr">
        <is>
          <t>今年无披露</t>
        </is>
      </c>
    </row>
    <row r="58">
      <c r="A58" s="21" t="inlineStr">
        <is>
          <t>说明：今年值只在其周次已披露时存在；2026-07-29 之后华东水平值不可得，故 8 月以后为空（不是 0）。</t>
        </is>
      </c>
    </row>
  </sheetData>
  <autoFilter ref="A4:M56"/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2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10" customWidth="1" min="9" max="9"/>
    <col width="20" customWidth="1" min="10" max="10"/>
  </cols>
  <sheetData>
    <row r="1" ht="26" customHeight="1">
      <c r="A1" s="5" t="inlineStr">
        <is>
          <t>06 逐年曲线数据（周次对齐长表）+ 折线图</t>
        </is>
      </c>
    </row>
    <row r="2" ht="30" customHeight="1">
      <c r="A2" s="6" t="inlineStr">
        <is>
          <t>长表便于自行作图：一行 = 一年一周次的库存。图在表格右侧。</t>
        </is>
      </c>
    </row>
    <row r="3">
      <c r="M3" s="12" t="inlineStr">
        <is>
          <t>宽表（作图用）</t>
        </is>
      </c>
    </row>
    <row r="4" ht="28" customHeight="1">
      <c r="A4" s="7" t="inlineStr">
        <is>
          <t>截止日</t>
        </is>
      </c>
      <c r="B4" s="7" t="inlineStr">
        <is>
          <t>ISO年</t>
        </is>
      </c>
      <c r="C4" s="7" t="inlineStr">
        <is>
          <t>ISO周</t>
        </is>
      </c>
      <c r="D4" s="7" t="inlineStr">
        <is>
          <t>华东</t>
        </is>
      </c>
      <c r="E4" s="7" t="inlineStr">
        <is>
          <t>全国港口</t>
        </is>
      </c>
      <c r="F4" s="7" t="inlineStr">
        <is>
          <t>华东替代值</t>
        </is>
      </c>
      <c r="G4" s="7" t="inlineStr">
        <is>
          <t>江苏</t>
        </is>
      </c>
      <c r="H4" s="7" t="inlineStr">
        <is>
          <t>浙江</t>
        </is>
      </c>
      <c r="I4" s="7" t="inlineStr">
        <is>
          <t>华东增减额</t>
        </is>
      </c>
      <c r="J4" s="7" t="inlineStr">
        <is>
          <t>取值方式</t>
        </is>
      </c>
      <c r="M4" s="22" t="inlineStr">
        <is>
          <t>ISO周</t>
        </is>
      </c>
      <c r="N4" s="23" t="n">
        <v>2022</v>
      </c>
      <c r="O4" s="23" t="n">
        <v>2023</v>
      </c>
      <c r="P4" s="23" t="n">
        <v>2024</v>
      </c>
      <c r="Q4" s="23" t="n">
        <v>2025</v>
      </c>
      <c r="R4" s="23" t="n">
        <v>2026</v>
      </c>
    </row>
    <row r="5">
      <c r="A5" s="8" t="inlineStr">
        <is>
          <t>2022-04-06</t>
        </is>
      </c>
      <c r="B5" s="8" t="n">
        <v>2022</v>
      </c>
      <c r="C5" s="8" t="n">
        <v>14</v>
      </c>
      <c r="D5" s="15" t="n">
        <v>60.07</v>
      </c>
      <c r="E5" s="15" t="n">
        <v>74.36</v>
      </c>
      <c r="F5" s="15" t="n">
        <v>54.64</v>
      </c>
      <c r="G5" s="15" t="n">
        <v>43.07</v>
      </c>
      <c r="H5" s="15" t="n">
        <v>17</v>
      </c>
      <c r="I5" s="15" t="n"/>
      <c r="J5" s="8" t="inlineStr">
        <is>
          <t>east_table</t>
        </is>
      </c>
      <c r="M5" s="24" t="n">
        <v>1</v>
      </c>
      <c r="N5" s="25" t="n"/>
      <c r="O5" s="25" t="n">
        <v>58.8</v>
      </c>
      <c r="P5" s="25" t="n">
        <v>61.45</v>
      </c>
      <c r="Q5" s="25" t="n">
        <v>67.2</v>
      </c>
      <c r="R5" s="25" t="n">
        <v>104.71</v>
      </c>
    </row>
    <row r="6">
      <c r="A6" s="8" t="inlineStr">
        <is>
          <t>2022-04-13</t>
        </is>
      </c>
      <c r="B6" s="8" t="n">
        <v>2022</v>
      </c>
      <c r="C6" s="8" t="n">
        <v>15</v>
      </c>
      <c r="D6" s="15" t="n">
        <v>57.92</v>
      </c>
      <c r="E6" s="15" t="n">
        <v>74.18000000000001</v>
      </c>
      <c r="F6" s="15" t="n">
        <v>54.51</v>
      </c>
      <c r="G6" s="15" t="n">
        <v>44.26</v>
      </c>
      <c r="H6" s="15" t="n">
        <v>13.66</v>
      </c>
      <c r="I6" s="15" t="n">
        <v>-2.15</v>
      </c>
      <c r="J6" s="8" t="inlineStr">
        <is>
          <t>east_table</t>
        </is>
      </c>
      <c r="M6" s="24" t="n">
        <v>2</v>
      </c>
      <c r="N6" s="25" t="n"/>
      <c r="O6" s="25" t="n">
        <v>67.56999999999999</v>
      </c>
      <c r="P6" s="25" t="n">
        <v>51.74</v>
      </c>
      <c r="Q6" s="25" t="n">
        <v>58.9</v>
      </c>
      <c r="R6" s="25" t="n"/>
    </row>
    <row r="7">
      <c r="A7" s="8" t="inlineStr">
        <is>
          <t>2022-04-20</t>
        </is>
      </c>
      <c r="B7" s="8" t="n">
        <v>2022</v>
      </c>
      <c r="C7" s="8" t="n">
        <v>16</v>
      </c>
      <c r="D7" s="15" t="n">
        <v>57.49</v>
      </c>
      <c r="E7" s="15" t="n">
        <v>71.77</v>
      </c>
      <c r="F7" s="15" t="n">
        <v>52.74</v>
      </c>
      <c r="G7" s="15" t="n">
        <v>42.25</v>
      </c>
      <c r="H7" s="15" t="n">
        <v>15.24</v>
      </c>
      <c r="I7" s="15" t="n">
        <v>-0.43</v>
      </c>
      <c r="J7" s="8" t="inlineStr">
        <is>
          <t>east_table</t>
        </is>
      </c>
      <c r="M7" s="24" t="n">
        <v>3</v>
      </c>
      <c r="N7" s="25" t="n"/>
      <c r="O7" s="25" t="n">
        <v>63.71</v>
      </c>
      <c r="P7" s="25" t="n">
        <v>56.6</v>
      </c>
      <c r="Q7" s="25" t="n">
        <v>66.90000000000001</v>
      </c>
      <c r="R7" s="25" t="n">
        <v>103.89</v>
      </c>
    </row>
    <row r="8">
      <c r="A8" s="8" t="inlineStr">
        <is>
          <t>2022-04-27</t>
        </is>
      </c>
      <c r="B8" s="8" t="n">
        <v>2022</v>
      </c>
      <c r="C8" s="8" t="n">
        <v>17</v>
      </c>
      <c r="D8" s="15" t="n">
        <v>61.1</v>
      </c>
      <c r="E8" s="15" t="n">
        <v>77.06</v>
      </c>
      <c r="F8" s="15" t="n">
        <v>56.62</v>
      </c>
      <c r="G8" s="15" t="n">
        <v>42.7</v>
      </c>
      <c r="H8" s="15" t="n">
        <v>18.4</v>
      </c>
      <c r="I8" s="15" t="n">
        <v>3.61</v>
      </c>
      <c r="J8" s="8" t="inlineStr">
        <is>
          <t>east_table</t>
        </is>
      </c>
      <c r="M8" s="24" t="n">
        <v>4</v>
      </c>
      <c r="N8" s="25" t="n"/>
      <c r="O8" s="25" t="n"/>
      <c r="P8" s="25" t="n">
        <v>57.8</v>
      </c>
      <c r="Q8" s="25" t="n">
        <v>69.06</v>
      </c>
      <c r="R8" s="25" t="n">
        <v>102.53</v>
      </c>
    </row>
    <row r="9">
      <c r="A9" s="8" t="inlineStr">
        <is>
          <t>2022-05-05</t>
        </is>
      </c>
      <c r="B9" s="8" t="n">
        <v>2022</v>
      </c>
      <c r="C9" s="8" t="n">
        <v>18</v>
      </c>
      <c r="D9" s="15" t="n">
        <v>67.51000000000001</v>
      </c>
      <c r="E9" s="15" t="n">
        <v>83.06</v>
      </c>
      <c r="F9" s="15" t="n">
        <v>61.03</v>
      </c>
      <c r="G9" s="15" t="n">
        <v>46.81</v>
      </c>
      <c r="H9" s="15" t="n">
        <v>20.7</v>
      </c>
      <c r="I9" s="15" t="n">
        <v>6.41</v>
      </c>
      <c r="J9" s="8" t="inlineStr">
        <is>
          <t>east_table</t>
        </is>
      </c>
      <c r="M9" s="24" t="n">
        <v>5</v>
      </c>
      <c r="N9" s="25" t="n"/>
      <c r="O9" s="25" t="n">
        <v>53.5</v>
      </c>
      <c r="P9" s="25" t="n">
        <v>61.05</v>
      </c>
      <c r="Q9" s="25" t="n"/>
      <c r="R9" s="25" t="n">
        <v>107.29</v>
      </c>
    </row>
    <row r="10">
      <c r="A10" s="8" t="inlineStr">
        <is>
          <t>2022-05-11</t>
        </is>
      </c>
      <c r="B10" s="8" t="n">
        <v>2022</v>
      </c>
      <c r="C10" s="8" t="n">
        <v>19</v>
      </c>
      <c r="D10" s="15" t="n">
        <v>61.91</v>
      </c>
      <c r="E10" s="15" t="n">
        <v>78.73</v>
      </c>
      <c r="F10" s="15" t="n">
        <v>57.85</v>
      </c>
      <c r="G10" s="15" t="n">
        <v>46.07</v>
      </c>
      <c r="H10" s="15" t="n">
        <v>15.84</v>
      </c>
      <c r="I10" s="15" t="n">
        <v>-5.6</v>
      </c>
      <c r="J10" s="8" t="inlineStr">
        <is>
          <t>east_table</t>
        </is>
      </c>
      <c r="M10" s="24" t="n">
        <v>6</v>
      </c>
      <c r="N10" s="25" t="n"/>
      <c r="O10" s="25" t="n">
        <v>55.05</v>
      </c>
      <c r="P10" s="25" t="n">
        <v>57.47</v>
      </c>
      <c r="Q10" s="25" t="n">
        <v>69.40000000000001</v>
      </c>
      <c r="R10" s="25" t="n">
        <v>100.81</v>
      </c>
    </row>
    <row r="11">
      <c r="A11" s="8" t="inlineStr">
        <is>
          <t>2022-05-18</t>
        </is>
      </c>
      <c r="B11" s="8" t="n">
        <v>2022</v>
      </c>
      <c r="C11" s="8" t="n">
        <v>20</v>
      </c>
      <c r="D11" s="15" t="n">
        <v>71.26000000000001</v>
      </c>
      <c r="E11" s="15" t="n">
        <v>88.67</v>
      </c>
      <c r="F11" s="15" t="n">
        <v>65.15000000000001</v>
      </c>
      <c r="G11" s="15" t="n">
        <v>49.48</v>
      </c>
      <c r="H11" s="15" t="n">
        <v>21.78</v>
      </c>
      <c r="I11" s="15" t="n">
        <v>9.35</v>
      </c>
      <c r="J11" s="8" t="inlineStr">
        <is>
          <t>east_table</t>
        </is>
      </c>
      <c r="M11" s="24" t="n">
        <v>7</v>
      </c>
      <c r="N11" s="25" t="n"/>
      <c r="O11" s="25" t="n">
        <v>59.77</v>
      </c>
      <c r="P11" s="25" t="n">
        <v>60.6</v>
      </c>
      <c r="Q11" s="25" t="n">
        <v>71.73</v>
      </c>
      <c r="R11" s="25" t="n">
        <v>104.47</v>
      </c>
    </row>
    <row r="12">
      <c r="A12" s="8" t="inlineStr">
        <is>
          <t>2022-05-25</t>
        </is>
      </c>
      <c r="B12" s="8" t="n">
        <v>2022</v>
      </c>
      <c r="C12" s="8" t="n">
        <v>21</v>
      </c>
      <c r="D12" s="15" t="n">
        <v>72.34999999999999</v>
      </c>
      <c r="E12" s="15" t="n">
        <v>89.23</v>
      </c>
      <c r="F12" s="15" t="n">
        <v>65.56999999999999</v>
      </c>
      <c r="G12" s="15" t="n">
        <v>46.95</v>
      </c>
      <c r="H12" s="15" t="n">
        <v>25.4</v>
      </c>
      <c r="I12" s="15" t="n">
        <v>1.09</v>
      </c>
      <c r="J12" s="8" t="inlineStr">
        <is>
          <t>east_table</t>
        </is>
      </c>
      <c r="M12" s="24" t="n">
        <v>8</v>
      </c>
      <c r="N12" s="25" t="n"/>
      <c r="O12" s="25" t="n">
        <v>57.74</v>
      </c>
      <c r="P12" s="25" t="n">
        <v>55.85</v>
      </c>
      <c r="Q12" s="25" t="n">
        <v>77.7</v>
      </c>
      <c r="R12" s="25" t="n"/>
    </row>
    <row r="13">
      <c r="A13" s="8" t="inlineStr">
        <is>
          <t>2022-06-01</t>
        </is>
      </c>
      <c r="B13" s="8" t="n">
        <v>2022</v>
      </c>
      <c r="C13" s="8" t="n">
        <v>22</v>
      </c>
      <c r="D13" s="15" t="n">
        <v>73.72</v>
      </c>
      <c r="E13" s="15" t="n">
        <v>87.61</v>
      </c>
      <c r="F13" s="15" t="n">
        <v>64.38</v>
      </c>
      <c r="G13" s="15" t="n">
        <v>50.63</v>
      </c>
      <c r="H13" s="15" t="n">
        <v>23.09</v>
      </c>
      <c r="I13" s="15" t="n">
        <v>1.37</v>
      </c>
      <c r="J13" s="8" t="inlineStr">
        <is>
          <t>east_table</t>
        </is>
      </c>
      <c r="M13" s="24" t="n">
        <v>9</v>
      </c>
      <c r="N13" s="25" t="n"/>
      <c r="O13" s="25" t="n">
        <v>56</v>
      </c>
      <c r="P13" s="25" t="n">
        <v>52.55</v>
      </c>
      <c r="Q13" s="25" t="n">
        <v>84.12</v>
      </c>
      <c r="R13" s="25" t="n">
        <v>104.42</v>
      </c>
    </row>
    <row r="14">
      <c r="A14" s="8" t="inlineStr">
        <is>
          <t>2022-06-08</t>
        </is>
      </c>
      <c r="B14" s="8" t="n">
        <v>2022</v>
      </c>
      <c r="C14" s="8" t="n">
        <v>23</v>
      </c>
      <c r="D14" s="15" t="n">
        <v>79.39</v>
      </c>
      <c r="E14" s="15" t="n">
        <v>96.20999999999999</v>
      </c>
      <c r="F14" s="15" t="n">
        <v>70.69</v>
      </c>
      <c r="G14" s="15" t="n">
        <v>55.7</v>
      </c>
      <c r="H14" s="15" t="n">
        <v>23.69</v>
      </c>
      <c r="I14" s="15" t="n">
        <v>5.67</v>
      </c>
      <c r="J14" s="8" t="inlineStr">
        <is>
          <t>east_table</t>
        </is>
      </c>
      <c r="M14" s="24" t="n">
        <v>10</v>
      </c>
      <c r="N14" s="25" t="n"/>
      <c r="O14" s="25" t="n">
        <v>57.85</v>
      </c>
      <c r="P14" s="25" t="n">
        <v>49.7</v>
      </c>
      <c r="Q14" s="25" t="n">
        <v>76.54000000000001</v>
      </c>
      <c r="R14" s="25" t="n">
        <v>106.84</v>
      </c>
    </row>
    <row r="15">
      <c r="A15" s="8" t="inlineStr">
        <is>
          <t>2022-06-15</t>
        </is>
      </c>
      <c r="B15" s="8" t="n">
        <v>2022</v>
      </c>
      <c r="C15" s="8" t="n">
        <v>24</v>
      </c>
      <c r="D15" s="15" t="n">
        <v>84.54000000000001</v>
      </c>
      <c r="E15" s="15" t="n">
        <v>102.35</v>
      </c>
      <c r="F15" s="15" t="n">
        <v>75.20999999999999</v>
      </c>
      <c r="G15" s="15" t="n">
        <v>59.21</v>
      </c>
      <c r="H15" s="15" t="n">
        <v>25.33</v>
      </c>
      <c r="I15" s="15" t="n">
        <v>5.15</v>
      </c>
      <c r="J15" s="8" t="inlineStr">
        <is>
          <t>east_table</t>
        </is>
      </c>
      <c r="M15" s="24" t="n">
        <v>11</v>
      </c>
      <c r="N15" s="25" t="n"/>
      <c r="O15" s="25" t="n">
        <v>54.9</v>
      </c>
      <c r="P15" s="25" t="n">
        <v>52.8</v>
      </c>
      <c r="Q15" s="25" t="n">
        <v>67.5</v>
      </c>
      <c r="R15" s="25" t="n">
        <v>97.28</v>
      </c>
    </row>
    <row r="16">
      <c r="A16" s="8" t="inlineStr">
        <is>
          <t>2022-06-22</t>
        </is>
      </c>
      <c r="B16" s="8" t="n">
        <v>2022</v>
      </c>
      <c r="C16" s="8" t="n">
        <v>25</v>
      </c>
      <c r="D16" s="15" t="n">
        <v>87.34999999999999</v>
      </c>
      <c r="E16" s="15" t="n">
        <v>104.15</v>
      </c>
      <c r="F16" s="15" t="n">
        <v>76.53</v>
      </c>
      <c r="G16" s="15" t="n">
        <v>59.35</v>
      </c>
      <c r="H16" s="15" t="n">
        <v>28</v>
      </c>
      <c r="I16" s="15" t="n">
        <v>2.81</v>
      </c>
      <c r="J16" s="8" t="inlineStr">
        <is>
          <t>east_table</t>
        </is>
      </c>
      <c r="M16" s="24" t="n">
        <v>12</v>
      </c>
      <c r="N16" s="25" t="n"/>
      <c r="O16" s="25" t="n">
        <v>60.94</v>
      </c>
      <c r="P16" s="25" t="n">
        <v>49.2</v>
      </c>
      <c r="Q16" s="25" t="n">
        <v>58.8</v>
      </c>
      <c r="R16" s="25" t="n">
        <v>94.52</v>
      </c>
    </row>
    <row r="17">
      <c r="A17" s="8" t="inlineStr">
        <is>
          <t>2022-06-29</t>
        </is>
      </c>
      <c r="B17" s="8" t="n">
        <v>2022</v>
      </c>
      <c r="C17" s="8" t="n">
        <v>26</v>
      </c>
      <c r="D17" s="15" t="n">
        <v>86.84999999999999</v>
      </c>
      <c r="E17" s="15" t="n">
        <v>103.22</v>
      </c>
      <c r="F17" s="15" t="n">
        <v>75.84999999999999</v>
      </c>
      <c r="G17" s="15" t="n">
        <v>60.75</v>
      </c>
      <c r="H17" s="15" t="n">
        <v>26.1</v>
      </c>
      <c r="I17" s="15" t="n">
        <v>-0.5</v>
      </c>
      <c r="J17" s="8" t="inlineStr">
        <is>
          <t>east_table</t>
        </is>
      </c>
      <c r="M17" s="24" t="n">
        <v>13</v>
      </c>
      <c r="N17" s="25" t="n"/>
      <c r="O17" s="25" t="n">
        <v>69.5</v>
      </c>
      <c r="P17" s="25" t="n">
        <v>35.82</v>
      </c>
      <c r="Q17" s="25" t="n">
        <v>56.65</v>
      </c>
      <c r="R17" s="25" t="n">
        <v>86.05</v>
      </c>
    </row>
    <row r="18">
      <c r="A18" s="8" t="inlineStr">
        <is>
          <t>2022-07-06</t>
        </is>
      </c>
      <c r="B18" s="8" t="n">
        <v>2022</v>
      </c>
      <c r="C18" s="8" t="n">
        <v>27</v>
      </c>
      <c r="D18" s="15" t="n">
        <v>78.78</v>
      </c>
      <c r="E18" s="15" t="n">
        <v>94.23999999999999</v>
      </c>
      <c r="F18" s="15" t="n">
        <v>69.25</v>
      </c>
      <c r="G18" s="15" t="n">
        <v>54.48</v>
      </c>
      <c r="H18" s="15" t="n">
        <v>24.3</v>
      </c>
      <c r="I18" s="15" t="n">
        <v>-8.07</v>
      </c>
      <c r="J18" s="8" t="inlineStr">
        <is>
          <t>east_table</t>
        </is>
      </c>
      <c r="M18" s="24" t="n">
        <v>14</v>
      </c>
      <c r="N18" s="25" t="n">
        <v>60.07</v>
      </c>
      <c r="O18" s="25" t="n">
        <v>70.25</v>
      </c>
      <c r="P18" s="25" t="n">
        <v>45.6</v>
      </c>
      <c r="Q18" s="25" t="n">
        <v>45.1</v>
      </c>
      <c r="R18" s="25" t="n">
        <v>76.83</v>
      </c>
    </row>
    <row r="19">
      <c r="A19" s="8" t="inlineStr">
        <is>
          <t>2022-07-13</t>
        </is>
      </c>
      <c r="B19" s="8" t="n">
        <v>2022</v>
      </c>
      <c r="C19" s="8" t="n">
        <v>28</v>
      </c>
      <c r="D19" s="15" t="n">
        <v>75.84999999999999</v>
      </c>
      <c r="E19" s="15" t="n">
        <v>94.94</v>
      </c>
      <c r="F19" s="15" t="n">
        <v>69.76000000000001</v>
      </c>
      <c r="G19" s="15" t="n">
        <v>51.45</v>
      </c>
      <c r="H19" s="15" t="n">
        <v>24.4</v>
      </c>
      <c r="I19" s="15" t="n">
        <v>-2.93</v>
      </c>
      <c r="J19" s="8" t="inlineStr">
        <is>
          <t>east_table</t>
        </is>
      </c>
      <c r="M19" s="24" t="n">
        <v>15</v>
      </c>
      <c r="N19" s="25" t="n">
        <v>57.92</v>
      </c>
      <c r="O19" s="25" t="n">
        <v>59.85</v>
      </c>
      <c r="P19" s="25" t="n">
        <v>47.9</v>
      </c>
      <c r="Q19" s="25" t="n">
        <v>40</v>
      </c>
      <c r="R19" s="25" t="n">
        <v>76.42</v>
      </c>
    </row>
    <row r="20">
      <c r="A20" s="8" t="inlineStr">
        <is>
          <t>2022-07-20</t>
        </is>
      </c>
      <c r="B20" s="8" t="n">
        <v>2022</v>
      </c>
      <c r="C20" s="8" t="n">
        <v>29</v>
      </c>
      <c r="D20" s="15" t="n">
        <v>77.55</v>
      </c>
      <c r="E20" s="15" t="n">
        <v>96.25</v>
      </c>
      <c r="F20" s="15" t="n">
        <v>70.72</v>
      </c>
      <c r="G20" s="15" t="n">
        <v>54.67</v>
      </c>
      <c r="H20" s="15" t="n">
        <v>22.88</v>
      </c>
      <c r="I20" s="15" t="n">
        <v>1.7</v>
      </c>
      <c r="J20" s="8" t="inlineStr">
        <is>
          <t>east_table</t>
        </is>
      </c>
      <c r="M20" s="24" t="n">
        <v>16</v>
      </c>
      <c r="N20" s="25" t="n">
        <v>57.49</v>
      </c>
      <c r="O20" s="25" t="n">
        <v>56.75</v>
      </c>
      <c r="P20" s="25" t="n">
        <v>52.4</v>
      </c>
      <c r="Q20" s="25" t="n">
        <v>43.03</v>
      </c>
      <c r="R20" s="25" t="n">
        <v>68.26000000000001</v>
      </c>
    </row>
    <row r="21">
      <c r="A21" s="8" t="inlineStr">
        <is>
          <t>2022-07-27</t>
        </is>
      </c>
      <c r="B21" s="8" t="n">
        <v>2022</v>
      </c>
      <c r="C21" s="8" t="n">
        <v>30</v>
      </c>
      <c r="D21" s="15" t="n">
        <v>84.53</v>
      </c>
      <c r="E21" s="15" t="n">
        <v>103.45</v>
      </c>
      <c r="F21" s="15" t="n">
        <v>76.01000000000001</v>
      </c>
      <c r="G21" s="15" t="n">
        <v>61.15</v>
      </c>
      <c r="H21" s="15" t="n">
        <v>23.38</v>
      </c>
      <c r="I21" s="15" t="n">
        <v>6.98</v>
      </c>
      <c r="J21" s="8" t="inlineStr">
        <is>
          <t>east_table</t>
        </is>
      </c>
      <c r="M21" s="24" t="n">
        <v>17</v>
      </c>
      <c r="N21" s="25" t="n">
        <v>61.1</v>
      </c>
      <c r="O21" s="25" t="n">
        <v>49.75</v>
      </c>
      <c r="P21" s="25" t="n">
        <v>49.83</v>
      </c>
      <c r="Q21" s="25" t="n">
        <v>33.8</v>
      </c>
      <c r="R21" s="25" t="n">
        <v>72.98999999999999</v>
      </c>
    </row>
    <row r="22">
      <c r="A22" s="8" t="inlineStr">
        <is>
          <t>2022-08-03</t>
        </is>
      </c>
      <c r="B22" s="8" t="n">
        <v>2022</v>
      </c>
      <c r="C22" s="8" t="n">
        <v>31</v>
      </c>
      <c r="D22" s="15" t="n">
        <v>80.65000000000001</v>
      </c>
      <c r="E22" s="15" t="n">
        <v>99.47</v>
      </c>
      <c r="F22" s="15" t="n">
        <v>73.09</v>
      </c>
      <c r="G22" s="15" t="n">
        <v>57.89</v>
      </c>
      <c r="H22" s="15" t="n">
        <v>22.76</v>
      </c>
      <c r="I22" s="15" t="n">
        <v>-3.88</v>
      </c>
      <c r="J22" s="8" t="inlineStr">
        <is>
          <t>east_table</t>
        </is>
      </c>
      <c r="M22" s="24" t="n">
        <v>18</v>
      </c>
      <c r="N22" s="25" t="n">
        <v>67.51000000000001</v>
      </c>
      <c r="O22" s="25" t="n">
        <v>56.04</v>
      </c>
      <c r="P22" s="25" t="n">
        <v>48.9</v>
      </c>
      <c r="Q22" s="25" t="n">
        <v>39.24</v>
      </c>
      <c r="R22" s="25" t="n">
        <v>73.36</v>
      </c>
    </row>
    <row r="23">
      <c r="A23" s="8" t="inlineStr">
        <is>
          <t>2022-08-10</t>
        </is>
      </c>
      <c r="B23" s="8" t="n">
        <v>2022</v>
      </c>
      <c r="C23" s="8" t="n">
        <v>32</v>
      </c>
      <c r="D23" s="15" t="n">
        <v>83.86</v>
      </c>
      <c r="E23" s="15" t="n">
        <v>103.19</v>
      </c>
      <c r="F23" s="15" t="n">
        <v>75.81999999999999</v>
      </c>
      <c r="G23" s="15" t="n">
        <v>55.25</v>
      </c>
      <c r="H23" s="15" t="n">
        <v>28.61</v>
      </c>
      <c r="I23" s="15" t="n">
        <v>3.21</v>
      </c>
      <c r="J23" s="8" t="inlineStr">
        <is>
          <t>east_table</t>
        </is>
      </c>
      <c r="M23" s="24" t="n">
        <v>19</v>
      </c>
      <c r="N23" s="25" t="n">
        <v>61.91</v>
      </c>
      <c r="O23" s="25" t="n">
        <v>58.34</v>
      </c>
      <c r="P23" s="25" t="n">
        <v>50.9</v>
      </c>
      <c r="Q23" s="25" t="n">
        <v>37.95</v>
      </c>
      <c r="R23" s="25" t="n">
        <v>78.26000000000001</v>
      </c>
    </row>
    <row r="24">
      <c r="A24" s="8" t="inlineStr">
        <is>
          <t>2022-08-17</t>
        </is>
      </c>
      <c r="B24" s="8" t="n">
        <v>2022</v>
      </c>
      <c r="C24" s="8" t="n">
        <v>33</v>
      </c>
      <c r="D24" s="15" t="n">
        <v>86.95999999999999</v>
      </c>
      <c r="E24" s="15" t="n">
        <v>104.93</v>
      </c>
      <c r="F24" s="15" t="n">
        <v>77.09999999999999</v>
      </c>
      <c r="G24" s="15" t="n">
        <v>55.85</v>
      </c>
      <c r="H24" s="15" t="n"/>
      <c r="I24" s="15" t="n">
        <v>3.1</v>
      </c>
      <c r="J24" s="8" t="inlineStr">
        <is>
          <t>east_table</t>
        </is>
      </c>
      <c r="M24" s="24" t="n">
        <v>20</v>
      </c>
      <c r="N24" s="25" t="n">
        <v>71.26000000000001</v>
      </c>
      <c r="O24" s="25" t="n">
        <v>56.36</v>
      </c>
      <c r="P24" s="25" t="n">
        <v>44.75</v>
      </c>
      <c r="Q24" s="25" t="n">
        <v>32.4</v>
      </c>
      <c r="R24" s="25" t="n">
        <v>66.75</v>
      </c>
    </row>
    <row r="25">
      <c r="A25" s="8" t="inlineStr">
        <is>
          <t>2022-08-24</t>
        </is>
      </c>
      <c r="B25" s="8" t="n">
        <v>2022</v>
      </c>
      <c r="C25" s="8" t="n">
        <v>34</v>
      </c>
      <c r="D25" s="15" t="n">
        <v>79.98</v>
      </c>
      <c r="E25" s="15" t="n">
        <v>96.2</v>
      </c>
      <c r="F25" s="15" t="n">
        <v>70.69</v>
      </c>
      <c r="G25" s="15" t="n">
        <v>48.55</v>
      </c>
      <c r="H25" s="15" t="n">
        <v>31.43</v>
      </c>
      <c r="I25" s="15" t="n">
        <v>-6.98</v>
      </c>
      <c r="J25" s="8" t="inlineStr">
        <is>
          <t>east_table</t>
        </is>
      </c>
      <c r="M25" s="24" t="n">
        <v>21</v>
      </c>
      <c r="N25" s="25" t="n">
        <v>72.34999999999999</v>
      </c>
      <c r="O25" s="25" t="n">
        <v>52.14</v>
      </c>
      <c r="P25" s="25" t="n">
        <v>48.7</v>
      </c>
      <c r="Q25" s="25" t="n">
        <v>32.7</v>
      </c>
      <c r="R25" s="25" t="n">
        <v>61.02</v>
      </c>
    </row>
    <row r="26">
      <c r="A26" s="8" t="inlineStr">
        <is>
          <t>2022-08-31</t>
        </is>
      </c>
      <c r="B26" s="8" t="n">
        <v>2022</v>
      </c>
      <c r="C26" s="8" t="n">
        <v>35</v>
      </c>
      <c r="D26" s="15" t="n">
        <v>77.61</v>
      </c>
      <c r="E26" s="15" t="n">
        <v>92.08</v>
      </c>
      <c r="F26" s="15" t="n">
        <v>67.66</v>
      </c>
      <c r="G26" s="15" t="n">
        <v>47.98</v>
      </c>
      <c r="H26" s="15" t="n">
        <v>29.63</v>
      </c>
      <c r="I26" s="15" t="n">
        <v>-2.37</v>
      </c>
      <c r="J26" s="8" t="inlineStr">
        <is>
          <t>east_table</t>
        </is>
      </c>
      <c r="M26" s="24" t="n">
        <v>22</v>
      </c>
      <c r="N26" s="25" t="n">
        <v>73.72</v>
      </c>
      <c r="O26" s="25" t="n">
        <v>43.85</v>
      </c>
      <c r="P26" s="25" t="n">
        <v>46.7</v>
      </c>
      <c r="Q26" s="25" t="n">
        <v>37.1</v>
      </c>
      <c r="R26" s="25" t="n">
        <v>54.5</v>
      </c>
    </row>
    <row r="27">
      <c r="A27" s="8" t="inlineStr">
        <is>
          <t>2022-09-07</t>
        </is>
      </c>
      <c r="B27" s="8" t="n">
        <v>2022</v>
      </c>
      <c r="C27" s="8" t="n">
        <v>36</v>
      </c>
      <c r="D27" s="15" t="n">
        <v>76.29000000000001</v>
      </c>
      <c r="E27" s="15" t="n">
        <v>88.42</v>
      </c>
      <c r="F27" s="15" t="n">
        <v>64.97</v>
      </c>
      <c r="G27" s="15" t="n">
        <v>47.34</v>
      </c>
      <c r="H27" s="15" t="n">
        <v>28.95</v>
      </c>
      <c r="I27" s="15" t="n">
        <v>-1.32</v>
      </c>
      <c r="J27" s="8" t="inlineStr">
        <is>
          <t>east_table</t>
        </is>
      </c>
      <c r="M27" s="24" t="n">
        <v>23</v>
      </c>
      <c r="N27" s="25" t="n">
        <v>79.39</v>
      </c>
      <c r="O27" s="25" t="n">
        <v>50.75</v>
      </c>
      <c r="P27" s="25" t="n">
        <v>43.5</v>
      </c>
      <c r="Q27" s="25" t="n">
        <v>42.23</v>
      </c>
      <c r="R27" s="25" t="n">
        <v>54.23</v>
      </c>
    </row>
    <row r="28">
      <c r="A28" s="8" t="inlineStr">
        <is>
          <t>2022-09-14</t>
        </is>
      </c>
      <c r="B28" s="8" t="n">
        <v>2022</v>
      </c>
      <c r="C28" s="8" t="n">
        <v>37</v>
      </c>
      <c r="D28" s="15" t="n">
        <v>72.3</v>
      </c>
      <c r="E28" s="15" t="n">
        <v>83.76000000000001</v>
      </c>
      <c r="F28" s="15" t="n">
        <v>61.55</v>
      </c>
      <c r="G28" s="15" t="n">
        <v>48.9</v>
      </c>
      <c r="H28" s="15" t="n">
        <v>23.4</v>
      </c>
      <c r="I28" s="15" t="n">
        <v>-3.99</v>
      </c>
      <c r="J28" s="8" t="inlineStr">
        <is>
          <t>east_table</t>
        </is>
      </c>
      <c r="M28" s="24" t="n">
        <v>24</v>
      </c>
      <c r="N28" s="25" t="n">
        <v>84.54000000000001</v>
      </c>
      <c r="O28" s="25" t="n">
        <v>49.49</v>
      </c>
      <c r="P28" s="25" t="n">
        <v>50.4</v>
      </c>
      <c r="Q28" s="25" t="n">
        <v>46.8</v>
      </c>
      <c r="R28" s="25" t="n">
        <v>48.11</v>
      </c>
    </row>
    <row r="29">
      <c r="A29" s="8" t="inlineStr">
        <is>
          <t>2022-09-21</t>
        </is>
      </c>
      <c r="B29" s="8" t="n">
        <v>2022</v>
      </c>
      <c r="C29" s="8" t="n">
        <v>38</v>
      </c>
      <c r="D29" s="15" t="n">
        <v>64.09999999999999</v>
      </c>
      <c r="E29" s="15" t="n">
        <v>73.84999999999999</v>
      </c>
      <c r="F29" s="15" t="n">
        <v>54.26</v>
      </c>
      <c r="G29" s="15" t="n">
        <v>43.35</v>
      </c>
      <c r="H29" s="15" t="n">
        <v>20.75</v>
      </c>
      <c r="I29" s="15" t="n">
        <v>-8.199999999999999</v>
      </c>
      <c r="J29" s="8" t="inlineStr">
        <is>
          <t>east_table</t>
        </is>
      </c>
      <c r="M29" s="24" t="n">
        <v>25</v>
      </c>
      <c r="N29" s="25" t="n">
        <v>87.34999999999999</v>
      </c>
      <c r="O29" s="25" t="n">
        <v>57.85</v>
      </c>
      <c r="P29" s="25" t="n">
        <v>52.1</v>
      </c>
      <c r="Q29" s="25" t="n">
        <v>43.7</v>
      </c>
      <c r="R29" s="25" t="n">
        <v>52.06</v>
      </c>
    </row>
    <row r="30">
      <c r="A30" s="8" t="inlineStr">
        <is>
          <t>2022-09-28</t>
        </is>
      </c>
      <c r="B30" s="8" t="n">
        <v>2022</v>
      </c>
      <c r="C30" s="8" t="n">
        <v>39</v>
      </c>
      <c r="D30" s="15" t="n">
        <v>56.72</v>
      </c>
      <c r="E30" s="15" t="n">
        <v>64.61</v>
      </c>
      <c r="F30" s="15" t="n">
        <v>47.47</v>
      </c>
      <c r="G30" s="15" t="n">
        <v>38.95</v>
      </c>
      <c r="H30" s="15" t="n">
        <v>17.77</v>
      </c>
      <c r="I30" s="15" t="n">
        <v>-7.38</v>
      </c>
      <c r="J30" s="8" t="inlineStr">
        <is>
          <t>east_table</t>
        </is>
      </c>
      <c r="M30" s="24" t="n">
        <v>26</v>
      </c>
      <c r="N30" s="25" t="n">
        <v>86.84999999999999</v>
      </c>
      <c r="O30" s="25" t="n"/>
      <c r="P30" s="25" t="n">
        <v>63.73</v>
      </c>
      <c r="Q30" s="25" t="n">
        <v>49.6</v>
      </c>
      <c r="R30" s="25" t="n">
        <v>47.08</v>
      </c>
    </row>
    <row r="31">
      <c r="A31" s="8" t="inlineStr">
        <is>
          <t>2022-10-12</t>
        </is>
      </c>
      <c r="B31" s="8" t="n">
        <v>2022</v>
      </c>
      <c r="C31" s="8" t="n">
        <v>41</v>
      </c>
      <c r="D31" s="15" t="n">
        <v>49.52</v>
      </c>
      <c r="E31" s="15" t="n">
        <v>58.83</v>
      </c>
      <c r="F31" s="15" t="n">
        <v>43.23</v>
      </c>
      <c r="G31" s="15" t="n">
        <v>31.75</v>
      </c>
      <c r="H31" s="15" t="n"/>
      <c r="I31" s="15" t="n">
        <v>-7.2</v>
      </c>
      <c r="J31" s="8" t="inlineStr">
        <is>
          <t>east_table</t>
        </is>
      </c>
      <c r="M31" s="24" t="n">
        <v>27</v>
      </c>
      <c r="N31" s="25" t="n">
        <v>78.78</v>
      </c>
      <c r="O31" s="25" t="n">
        <v>65.08</v>
      </c>
      <c r="P31" s="25" t="n">
        <v>71.59999999999999</v>
      </c>
      <c r="Q31" s="25" t="n">
        <v>50.95</v>
      </c>
      <c r="R31" s="25" t="n">
        <v>44.99</v>
      </c>
    </row>
    <row r="32">
      <c r="A32" s="8" t="inlineStr">
        <is>
          <t>2022-10-19</t>
        </is>
      </c>
      <c r="B32" s="8" t="n">
        <v>2022</v>
      </c>
      <c r="C32" s="8" t="n">
        <v>42</v>
      </c>
      <c r="D32" s="15" t="n">
        <v>40.34</v>
      </c>
      <c r="E32" s="15" t="n">
        <v>47.32</v>
      </c>
      <c r="F32" s="15" t="n">
        <v>34.77</v>
      </c>
      <c r="G32" s="15" t="n">
        <v>26.75</v>
      </c>
      <c r="H32" s="15" t="n">
        <v>13.59</v>
      </c>
      <c r="I32" s="15" t="n">
        <v>-9.18</v>
      </c>
      <c r="J32" s="8" t="inlineStr">
        <is>
          <t>east_table</t>
        </is>
      </c>
      <c r="M32" s="24" t="n">
        <v>28</v>
      </c>
      <c r="N32" s="25" t="n">
        <v>75.84999999999999</v>
      </c>
      <c r="O32" s="25" t="n">
        <v>67.7</v>
      </c>
      <c r="P32" s="25" t="n">
        <v>74.25</v>
      </c>
      <c r="Q32" s="25" t="n">
        <v>57.05</v>
      </c>
      <c r="R32" s="25" t="n">
        <v>38.47</v>
      </c>
    </row>
    <row r="33">
      <c r="A33" s="8" t="inlineStr">
        <is>
          <t>2022-10-26</t>
        </is>
      </c>
      <c r="B33" s="8" t="n">
        <v>2022</v>
      </c>
      <c r="C33" s="8" t="n">
        <v>43</v>
      </c>
      <c r="D33" s="15" t="n">
        <v>37.69</v>
      </c>
      <c r="E33" s="15" t="n">
        <v>45.22</v>
      </c>
      <c r="F33" s="15" t="n">
        <v>33.23</v>
      </c>
      <c r="G33" s="15" t="n">
        <v>22.15</v>
      </c>
      <c r="H33" s="15" t="n">
        <v>15.54</v>
      </c>
      <c r="I33" s="15" t="n">
        <v>-2.65</v>
      </c>
      <c r="J33" s="8" t="inlineStr">
        <is>
          <t>east_table</t>
        </is>
      </c>
      <c r="M33" s="24" t="n">
        <v>29</v>
      </c>
      <c r="N33" s="25" t="n">
        <v>77.55</v>
      </c>
      <c r="O33" s="25" t="n">
        <v>68.75</v>
      </c>
      <c r="P33" s="25" t="n">
        <v>77.40000000000001</v>
      </c>
      <c r="Q33" s="25" t="n">
        <v>63.4</v>
      </c>
      <c r="R33" s="25" t="n">
        <v>30.52</v>
      </c>
    </row>
    <row r="34">
      <c r="A34" s="8" t="inlineStr">
        <is>
          <t>2022-11-02</t>
        </is>
      </c>
      <c r="B34" s="8" t="n">
        <v>2022</v>
      </c>
      <c r="C34" s="8" t="n">
        <v>44</v>
      </c>
      <c r="D34" s="15" t="n">
        <v>40.8</v>
      </c>
      <c r="E34" s="15" t="n">
        <v>49.9</v>
      </c>
      <c r="F34" s="15" t="n">
        <v>36.67</v>
      </c>
      <c r="G34" s="15" t="n">
        <v>24.3</v>
      </c>
      <c r="H34" s="15" t="n">
        <v>16.5</v>
      </c>
      <c r="I34" s="15" t="n">
        <v>3.11</v>
      </c>
      <c r="J34" s="8" t="inlineStr">
        <is>
          <t>east_table</t>
        </is>
      </c>
      <c r="M34" s="24" t="n">
        <v>30</v>
      </c>
      <c r="N34" s="25" t="n">
        <v>84.53</v>
      </c>
      <c r="O34" s="25" t="n">
        <v>77.65000000000001</v>
      </c>
      <c r="P34" s="25" t="n">
        <v>80.90000000000001</v>
      </c>
      <c r="Q34" s="25" t="n">
        <v>54.7</v>
      </c>
      <c r="R34" s="25" t="n">
        <v>39.14</v>
      </c>
    </row>
    <row r="35">
      <c r="A35" s="8" t="inlineStr">
        <is>
          <t>2022-11-09</t>
        </is>
      </c>
      <c r="B35" s="8" t="n">
        <v>2022</v>
      </c>
      <c r="C35" s="8" t="n">
        <v>45</v>
      </c>
      <c r="D35" s="15" t="n">
        <v>49</v>
      </c>
      <c r="E35" s="15" t="n">
        <v>55.95</v>
      </c>
      <c r="F35" s="15" t="n">
        <v>41.11</v>
      </c>
      <c r="G35" s="15" t="n">
        <v>31.4</v>
      </c>
      <c r="H35" s="15" t="n">
        <v>17.6</v>
      </c>
      <c r="I35" s="15" t="n">
        <v>8.5</v>
      </c>
      <c r="J35" s="8" t="inlineStr">
        <is>
          <t>east_table</t>
        </is>
      </c>
      <c r="M35" s="24" t="n">
        <v>31</v>
      </c>
      <c r="N35" s="25" t="n">
        <v>80.65000000000001</v>
      </c>
      <c r="O35" s="25" t="n">
        <v>67.15000000000001</v>
      </c>
      <c r="P35" s="25" t="n">
        <v>76</v>
      </c>
      <c r="Q35" s="25" t="n">
        <v>57.2</v>
      </c>
      <c r="R35" s="25" t="n">
        <v>52.32</v>
      </c>
    </row>
    <row r="36">
      <c r="A36" s="8" t="inlineStr">
        <is>
          <t>2022-11-16</t>
        </is>
      </c>
      <c r="B36" s="8" t="n">
        <v>2022</v>
      </c>
      <c r="C36" s="8" t="n">
        <v>46</v>
      </c>
      <c r="D36" s="15" t="n">
        <v>47.4</v>
      </c>
      <c r="E36" s="15" t="n">
        <v>54.97</v>
      </c>
      <c r="F36" s="15" t="n">
        <v>40.39</v>
      </c>
      <c r="G36" s="15" t="n">
        <v>29</v>
      </c>
      <c r="H36" s="15" t="n">
        <v>18.4</v>
      </c>
      <c r="I36" s="15" t="n">
        <v>-1.6</v>
      </c>
      <c r="J36" s="8" t="inlineStr">
        <is>
          <t>east_table</t>
        </is>
      </c>
      <c r="M36" s="24" t="n">
        <v>32</v>
      </c>
      <c r="N36" s="25" t="n">
        <v>83.86</v>
      </c>
      <c r="O36" s="25" t="n">
        <v>68.7</v>
      </c>
      <c r="P36" s="25" t="n">
        <v>68.2</v>
      </c>
      <c r="Q36" s="25" t="n">
        <v>64.2</v>
      </c>
      <c r="R36" s="25" t="n"/>
    </row>
    <row r="37">
      <c r="A37" s="8" t="inlineStr">
        <is>
          <t>2022-11-23</t>
        </is>
      </c>
      <c r="B37" s="8" t="n">
        <v>2022</v>
      </c>
      <c r="C37" s="8" t="n">
        <v>47</v>
      </c>
      <c r="D37" s="15" t="n">
        <v>45.94</v>
      </c>
      <c r="E37" s="15" t="n">
        <v>54.28</v>
      </c>
      <c r="F37" s="15" t="n">
        <v>39.88</v>
      </c>
      <c r="G37" s="15" t="n">
        <v>24.45</v>
      </c>
      <c r="H37" s="15" t="n">
        <v>21.49</v>
      </c>
      <c r="I37" s="15" t="n">
        <v>-1.46</v>
      </c>
      <c r="J37" s="8" t="inlineStr">
        <is>
          <t>east_table</t>
        </is>
      </c>
      <c r="M37" s="24" t="n">
        <v>33</v>
      </c>
      <c r="N37" s="25" t="n">
        <v>86.95999999999999</v>
      </c>
      <c r="O37" s="25" t="n">
        <v>74.59999999999999</v>
      </c>
      <c r="P37" s="25" t="n">
        <v>67.93000000000001</v>
      </c>
      <c r="Q37" s="25" t="n"/>
      <c r="R37" s="25" t="n"/>
    </row>
    <row r="38">
      <c r="A38" s="8" t="inlineStr">
        <is>
          <t>2022-11-30</t>
        </is>
      </c>
      <c r="B38" s="8" t="n">
        <v>2022</v>
      </c>
      <c r="C38" s="8" t="n">
        <v>48</v>
      </c>
      <c r="D38" s="15" t="n">
        <v>48.72</v>
      </c>
      <c r="E38" s="15" t="n">
        <v>58.64</v>
      </c>
      <c r="F38" s="15" t="n">
        <v>43.09</v>
      </c>
      <c r="G38" s="15" t="n"/>
      <c r="H38" s="15" t="n"/>
      <c r="I38" s="15" t="n">
        <v>2.78</v>
      </c>
      <c r="J38" s="8" t="inlineStr">
        <is>
          <t>east_estimated</t>
        </is>
      </c>
      <c r="M38" s="24" t="n">
        <v>34</v>
      </c>
      <c r="N38" s="25" t="n">
        <v>79.98</v>
      </c>
      <c r="O38" s="25" t="n">
        <v>76.40000000000001</v>
      </c>
      <c r="P38" s="25" t="n">
        <v>72.84999999999999</v>
      </c>
      <c r="Q38" s="25" t="n"/>
      <c r="R38" s="25" t="n"/>
    </row>
    <row r="39">
      <c r="A39" s="8" t="inlineStr">
        <is>
          <t>2022-12-07</t>
        </is>
      </c>
      <c r="B39" s="8" t="n">
        <v>2022</v>
      </c>
      <c r="C39" s="8" t="n">
        <v>49</v>
      </c>
      <c r="D39" s="15" t="n">
        <v>46.29</v>
      </c>
      <c r="E39" s="15" t="n">
        <v>56.42</v>
      </c>
      <c r="F39" s="15" t="n">
        <v>41.46</v>
      </c>
      <c r="G39" s="15" t="n">
        <v>22.9</v>
      </c>
      <c r="H39" s="15" t="n">
        <v>23.39</v>
      </c>
      <c r="I39" s="15" t="n">
        <v>-2.43</v>
      </c>
      <c r="J39" s="8" t="inlineStr">
        <is>
          <t>east_table</t>
        </is>
      </c>
      <c r="M39" s="24" t="n">
        <v>35</v>
      </c>
      <c r="N39" s="25" t="n">
        <v>77.61</v>
      </c>
      <c r="O39" s="25" t="n">
        <v>76.22</v>
      </c>
      <c r="P39" s="25" t="n">
        <v>80.08</v>
      </c>
      <c r="Q39" s="25" t="n"/>
      <c r="R39" s="25" t="n"/>
    </row>
    <row r="40">
      <c r="A40" s="8" t="inlineStr">
        <is>
          <t>2022-12-14</t>
        </is>
      </c>
      <c r="B40" s="8" t="n">
        <v>2022</v>
      </c>
      <c r="C40" s="8" t="n">
        <v>50</v>
      </c>
      <c r="D40" s="15" t="n">
        <v>54.45</v>
      </c>
      <c r="E40" s="15" t="n">
        <v>64.41</v>
      </c>
      <c r="F40" s="15" t="n">
        <v>47.33</v>
      </c>
      <c r="G40" s="15" t="n">
        <v>27.8</v>
      </c>
      <c r="H40" s="15" t="n">
        <v>26.65</v>
      </c>
      <c r="I40" s="15" t="n">
        <v>8.16</v>
      </c>
      <c r="J40" s="8" t="inlineStr">
        <is>
          <t>east_table</t>
        </is>
      </c>
      <c r="M40" s="24" t="n">
        <v>36</v>
      </c>
      <c r="N40" s="25" t="n">
        <v>76.29000000000001</v>
      </c>
      <c r="O40" s="25" t="n">
        <v>76.45</v>
      </c>
      <c r="P40" s="25" t="n">
        <v>81.93000000000001</v>
      </c>
      <c r="Q40" s="25" t="n"/>
      <c r="R40" s="25" t="n"/>
    </row>
    <row r="41">
      <c r="A41" s="8" t="inlineStr">
        <is>
          <t>2022-12-21</t>
        </is>
      </c>
      <c r="B41" s="8" t="n">
        <v>2022</v>
      </c>
      <c r="C41" s="8" t="n">
        <v>51</v>
      </c>
      <c r="D41" s="15" t="n">
        <v>51.76</v>
      </c>
      <c r="E41" s="15" t="n">
        <v>64.48</v>
      </c>
      <c r="F41" s="15" t="n">
        <v>47.38</v>
      </c>
      <c r="G41" s="15" t="n">
        <v>25.9</v>
      </c>
      <c r="H41" s="15" t="n">
        <v>25.86</v>
      </c>
      <c r="I41" s="15" t="n">
        <v>-2.69</v>
      </c>
      <c r="J41" s="8" t="inlineStr">
        <is>
          <t>east_table</t>
        </is>
      </c>
      <c r="M41" s="24" t="n">
        <v>37</v>
      </c>
      <c r="N41" s="25" t="n">
        <v>72.3</v>
      </c>
      <c r="O41" s="25" t="n">
        <v>81.16</v>
      </c>
      <c r="P41" s="25" t="n">
        <v>83.58</v>
      </c>
      <c r="Q41" s="25" t="n"/>
      <c r="R41" s="25" t="n"/>
    </row>
    <row r="42">
      <c r="A42" s="8" t="inlineStr">
        <is>
          <t>2022-12-28</t>
        </is>
      </c>
      <c r="B42" s="8" t="n">
        <v>2022</v>
      </c>
      <c r="C42" s="8" t="n">
        <v>52</v>
      </c>
      <c r="D42" s="15" t="n">
        <v>49.88</v>
      </c>
      <c r="E42" s="15" t="n">
        <v>62.06</v>
      </c>
      <c r="F42" s="15" t="n">
        <v>45.6</v>
      </c>
      <c r="G42" s="15" t="n">
        <v>25.4</v>
      </c>
      <c r="H42" s="15" t="n">
        <v>24.48</v>
      </c>
      <c r="I42" s="15" t="n">
        <v>-1.88</v>
      </c>
      <c r="J42" s="8" t="inlineStr">
        <is>
          <t>east_table</t>
        </is>
      </c>
      <c r="M42" s="24" t="n">
        <v>38</v>
      </c>
      <c r="N42" s="25" t="n">
        <v>64.09999999999999</v>
      </c>
      <c r="O42" s="25" t="n">
        <v>85.25</v>
      </c>
      <c r="P42" s="25" t="n">
        <v>68.37</v>
      </c>
      <c r="Q42" s="25" t="n">
        <v>107.39</v>
      </c>
      <c r="R42" s="25" t="n"/>
    </row>
    <row r="43">
      <c r="A43" s="8" t="inlineStr">
        <is>
          <t>2023-01-04</t>
        </is>
      </c>
      <c r="B43" s="8" t="n">
        <v>2023</v>
      </c>
      <c r="C43" s="8" t="n">
        <v>1</v>
      </c>
      <c r="D43" s="15" t="n">
        <v>58.8</v>
      </c>
      <c r="E43" s="15" t="n">
        <v>71.66</v>
      </c>
      <c r="F43" s="15" t="n">
        <v>52.66</v>
      </c>
      <c r="G43" s="15" t="n">
        <v>34.7</v>
      </c>
      <c r="H43" s="15" t="n">
        <v>24.1</v>
      </c>
      <c r="I43" s="15" t="n">
        <v>8.92</v>
      </c>
      <c r="J43" s="8" t="inlineStr">
        <is>
          <t>east_table</t>
        </is>
      </c>
      <c r="M43" s="24" t="n">
        <v>39</v>
      </c>
      <c r="N43" s="25" t="n">
        <v>56.72</v>
      </c>
      <c r="O43" s="25" t="n">
        <v>78.09999999999999</v>
      </c>
      <c r="P43" s="25" t="n">
        <v>60.88</v>
      </c>
      <c r="Q43" s="25" t="n">
        <v>103.27</v>
      </c>
      <c r="R43" s="25" t="n"/>
    </row>
    <row r="44">
      <c r="A44" s="8" t="inlineStr">
        <is>
          <t>2023-01-11</t>
        </is>
      </c>
      <c r="B44" s="8" t="n">
        <v>2023</v>
      </c>
      <c r="C44" s="8" t="n">
        <v>2</v>
      </c>
      <c r="D44" s="15" t="n">
        <v>67.56999999999999</v>
      </c>
      <c r="E44" s="15" t="n">
        <v>79.73999999999999</v>
      </c>
      <c r="F44" s="15" t="n">
        <v>58.59</v>
      </c>
      <c r="G44" s="15" t="n">
        <v>41.85</v>
      </c>
      <c r="H44" s="15" t="n">
        <v>25.72</v>
      </c>
      <c r="I44" s="15" t="n">
        <v>8.77</v>
      </c>
      <c r="J44" s="8" t="inlineStr">
        <is>
          <t>east_table</t>
        </is>
      </c>
      <c r="M44" s="24" t="n">
        <v>40</v>
      </c>
      <c r="N44" s="25" t="n"/>
      <c r="O44" s="25" t="n">
        <v>63.5</v>
      </c>
      <c r="P44" s="25" t="n"/>
      <c r="Q44" s="25" t="n"/>
      <c r="R44" s="25" t="n"/>
    </row>
    <row r="45">
      <c r="A45" s="8" t="inlineStr">
        <is>
          <t>2023-01-18</t>
        </is>
      </c>
      <c r="B45" s="8" t="n">
        <v>2023</v>
      </c>
      <c r="C45" s="8" t="n">
        <v>3</v>
      </c>
      <c r="D45" s="15" t="n">
        <v>63.71</v>
      </c>
      <c r="E45" s="15" t="n">
        <v>76.14</v>
      </c>
      <c r="F45" s="15" t="n">
        <v>55.95</v>
      </c>
      <c r="G45" s="15" t="n">
        <v>39.51</v>
      </c>
      <c r="H45" s="15" t="n">
        <v>24.2</v>
      </c>
      <c r="I45" s="15" t="n">
        <v>-3.86</v>
      </c>
      <c r="J45" s="8" t="inlineStr">
        <is>
          <t>east_table</t>
        </is>
      </c>
      <c r="M45" s="24" t="n">
        <v>41</v>
      </c>
      <c r="N45" s="25" t="n">
        <v>49.52</v>
      </c>
      <c r="O45" s="25" t="n">
        <v>59.4</v>
      </c>
      <c r="P45" s="25" t="n">
        <v>64.09999999999999</v>
      </c>
      <c r="Q45" s="25" t="n">
        <v>108.05</v>
      </c>
      <c r="R45" s="25" t="n"/>
    </row>
    <row r="46">
      <c r="A46" s="8" t="inlineStr">
        <is>
          <t>2023-02-01</t>
        </is>
      </c>
      <c r="B46" s="8" t="n">
        <v>2023</v>
      </c>
      <c r="C46" s="8" t="n">
        <v>5</v>
      </c>
      <c r="D46" s="15" t="n">
        <v>53.5</v>
      </c>
      <c r="E46" s="15" t="n">
        <v>69.81999999999999</v>
      </c>
      <c r="F46" s="15" t="n">
        <v>51.3</v>
      </c>
      <c r="G46" s="15" t="n">
        <v>34.85</v>
      </c>
      <c r="H46" s="15" t="n">
        <v>18.65</v>
      </c>
      <c r="I46" s="15" t="n">
        <v>-10.21</v>
      </c>
      <c r="J46" s="8" t="inlineStr">
        <is>
          <t>east_table</t>
        </is>
      </c>
      <c r="M46" s="24" t="n">
        <v>42</v>
      </c>
      <c r="N46" s="25" t="n">
        <v>40.34</v>
      </c>
      <c r="O46" s="25" t="n">
        <v>62.5</v>
      </c>
      <c r="P46" s="25" t="n">
        <v>76.15000000000001</v>
      </c>
      <c r="Q46" s="25" t="n">
        <v>99.7</v>
      </c>
      <c r="R46" s="25" t="n"/>
    </row>
    <row r="47">
      <c r="A47" s="8" t="inlineStr">
        <is>
          <t>2023-02-08</t>
        </is>
      </c>
      <c r="B47" s="8" t="n">
        <v>2023</v>
      </c>
      <c r="C47" s="8" t="n">
        <v>6</v>
      </c>
      <c r="D47" s="15" t="n">
        <v>55.05</v>
      </c>
      <c r="E47" s="15" t="n">
        <v>71.51000000000001</v>
      </c>
      <c r="F47" s="15" t="n">
        <v>52.54</v>
      </c>
      <c r="G47" s="15" t="n">
        <v>40.85</v>
      </c>
      <c r="H47" s="15" t="n">
        <v>14.2</v>
      </c>
      <c r="I47" s="15" t="n">
        <v>1.55</v>
      </c>
      <c r="J47" s="8" t="inlineStr">
        <is>
          <t>east_table</t>
        </is>
      </c>
      <c r="M47" s="24" t="n">
        <v>43</v>
      </c>
      <c r="N47" s="25" t="n">
        <v>37.69</v>
      </c>
      <c r="O47" s="25" t="n">
        <v>65.2</v>
      </c>
      <c r="P47" s="25" t="n">
        <v>77.18000000000001</v>
      </c>
      <c r="Q47" s="25" t="n">
        <v>102.7</v>
      </c>
      <c r="R47" s="25" t="n"/>
    </row>
    <row r="48">
      <c r="A48" s="8" t="inlineStr">
        <is>
          <t>2023-02-15</t>
        </is>
      </c>
      <c r="B48" s="8" t="n">
        <v>2023</v>
      </c>
      <c r="C48" s="8" t="n">
        <v>7</v>
      </c>
      <c r="D48" s="15" t="n">
        <v>59.77</v>
      </c>
      <c r="E48" s="15" t="n">
        <v>75.52</v>
      </c>
      <c r="F48" s="15" t="n">
        <v>55.49</v>
      </c>
      <c r="G48" s="15" t="n">
        <v>40</v>
      </c>
      <c r="H48" s="15" t="n">
        <v>19.77</v>
      </c>
      <c r="I48" s="15" t="n">
        <v>4.72</v>
      </c>
      <c r="J48" s="8" t="inlineStr">
        <is>
          <t>east_table</t>
        </is>
      </c>
      <c r="M48" s="24" t="n">
        <v>44</v>
      </c>
      <c r="N48" s="25" t="n">
        <v>40.8</v>
      </c>
      <c r="O48" s="25" t="n">
        <v>64.65000000000001</v>
      </c>
      <c r="P48" s="25" t="n">
        <v>84.15000000000001</v>
      </c>
      <c r="Q48" s="25" t="n">
        <v>99.73</v>
      </c>
      <c r="R48" s="25" t="n"/>
    </row>
    <row r="49">
      <c r="A49" s="8" t="inlineStr">
        <is>
          <t>2023-02-22</t>
        </is>
      </c>
      <c r="B49" s="8" t="n">
        <v>2023</v>
      </c>
      <c r="C49" s="8" t="n">
        <v>8</v>
      </c>
      <c r="D49" s="15" t="n">
        <v>57.74</v>
      </c>
      <c r="E49" s="15" t="n">
        <v>72.09</v>
      </c>
      <c r="F49" s="15" t="n">
        <v>52.97</v>
      </c>
      <c r="G49" s="15" t="n">
        <v>36.7</v>
      </c>
      <c r="H49" s="15" t="n">
        <v>21.04</v>
      </c>
      <c r="I49" s="15" t="n">
        <v>-2.03</v>
      </c>
      <c r="J49" s="8" t="inlineStr">
        <is>
          <t>east_table</t>
        </is>
      </c>
      <c r="M49" s="24" t="n">
        <v>45</v>
      </c>
      <c r="N49" s="25" t="n">
        <v>49</v>
      </c>
      <c r="O49" s="25" t="n">
        <v>71.59999999999999</v>
      </c>
      <c r="P49" s="25" t="n">
        <v>83.8</v>
      </c>
      <c r="Q49" s="25" t="n">
        <v>102.15</v>
      </c>
      <c r="R49" s="25" t="n"/>
    </row>
    <row r="50">
      <c r="A50" s="8" t="inlineStr">
        <is>
          <t>2023-03-01</t>
        </is>
      </c>
      <c r="B50" s="8" t="n">
        <v>2023</v>
      </c>
      <c r="C50" s="8" t="n">
        <v>9</v>
      </c>
      <c r="D50" s="15" t="n">
        <v>56</v>
      </c>
      <c r="E50" s="15" t="n">
        <v>68.52</v>
      </c>
      <c r="F50" s="15" t="n">
        <v>50.35</v>
      </c>
      <c r="G50" s="15" t="n">
        <v>33.6</v>
      </c>
      <c r="H50" s="15" t="n">
        <v>22.4</v>
      </c>
      <c r="I50" s="15" t="n">
        <v>-1.74</v>
      </c>
      <c r="J50" s="8" t="inlineStr">
        <is>
          <t>east_table</t>
        </is>
      </c>
      <c r="M50" s="24" t="n">
        <v>46</v>
      </c>
      <c r="N50" s="25" t="n">
        <v>47.4</v>
      </c>
      <c r="O50" s="25" t="n">
        <v>78.18000000000001</v>
      </c>
      <c r="P50" s="25" t="n">
        <v>90.40000000000001</v>
      </c>
      <c r="Q50" s="25" t="n">
        <v>108.64</v>
      </c>
      <c r="R50" s="25" t="n"/>
    </row>
    <row r="51">
      <c r="A51" s="8" t="inlineStr">
        <is>
          <t>2023-03-08</t>
        </is>
      </c>
      <c r="B51" s="8" t="n">
        <v>2023</v>
      </c>
      <c r="C51" s="8" t="n">
        <v>10</v>
      </c>
      <c r="D51" s="15" t="n">
        <v>57.85</v>
      </c>
      <c r="E51" s="15" t="n">
        <v>68.95999999999999</v>
      </c>
      <c r="F51" s="15" t="n">
        <v>50.67</v>
      </c>
      <c r="G51" s="15" t="n">
        <v>35.35</v>
      </c>
      <c r="H51" s="15" t="n">
        <v>22.5</v>
      </c>
      <c r="I51" s="15" t="n">
        <v>1.85</v>
      </c>
      <c r="J51" s="8" t="inlineStr">
        <is>
          <t>east_table</t>
        </is>
      </c>
      <c r="M51" s="24" t="n">
        <v>47</v>
      </c>
      <c r="N51" s="25" t="n">
        <v>45.94</v>
      </c>
      <c r="O51" s="25" t="n">
        <v>76.33</v>
      </c>
      <c r="P51" s="25" t="n">
        <v>93.61</v>
      </c>
      <c r="Q51" s="25" t="n">
        <v>101.78</v>
      </c>
      <c r="R51" s="25" t="n"/>
    </row>
    <row r="52">
      <c r="A52" s="8" t="inlineStr">
        <is>
          <t>2023-03-15</t>
        </is>
      </c>
      <c r="B52" s="8" t="n">
        <v>2023</v>
      </c>
      <c r="C52" s="8" t="n">
        <v>11</v>
      </c>
      <c r="D52" s="15" t="n">
        <v>54.9</v>
      </c>
      <c r="E52" s="15" t="n">
        <v>67.84999999999999</v>
      </c>
      <c r="F52" s="15" t="n">
        <v>49.86</v>
      </c>
      <c r="G52" s="15" t="n">
        <v>34</v>
      </c>
      <c r="H52" s="15" t="n">
        <v>20.9</v>
      </c>
      <c r="I52" s="15" t="n">
        <v>-2.95</v>
      </c>
      <c r="J52" s="8" t="inlineStr">
        <is>
          <t>east_table</t>
        </is>
      </c>
      <c r="M52" s="24" t="n">
        <v>48</v>
      </c>
      <c r="N52" s="25" t="n">
        <v>48.72</v>
      </c>
      <c r="O52" s="25" t="n">
        <v>68.86</v>
      </c>
      <c r="P52" s="25" t="n">
        <v>83.5</v>
      </c>
      <c r="Q52" s="25" t="n">
        <v>93.75</v>
      </c>
      <c r="R52" s="25" t="n"/>
    </row>
    <row r="53">
      <c r="A53" s="8" t="inlineStr">
        <is>
          <t>2023-03-22</t>
        </is>
      </c>
      <c r="B53" s="8" t="n">
        <v>2023</v>
      </c>
      <c r="C53" s="8" t="n">
        <v>12</v>
      </c>
      <c r="D53" s="15" t="n">
        <v>60.94</v>
      </c>
      <c r="E53" s="15" t="n">
        <v>71.67</v>
      </c>
      <c r="F53" s="15" t="n">
        <v>52.66</v>
      </c>
      <c r="G53" s="15" t="n">
        <v>32.95</v>
      </c>
      <c r="H53" s="15" t="n">
        <v>27.99</v>
      </c>
      <c r="I53" s="15" t="n">
        <v>6.04</v>
      </c>
      <c r="J53" s="8" t="inlineStr">
        <is>
          <t>east_table</t>
        </is>
      </c>
      <c r="M53" s="24" t="n">
        <v>49</v>
      </c>
      <c r="N53" s="25" t="n">
        <v>46.29</v>
      </c>
      <c r="O53" s="25" t="n">
        <v>67.01000000000001</v>
      </c>
      <c r="P53" s="25" t="n">
        <v>89.3</v>
      </c>
      <c r="Q53" s="25" t="n">
        <v>93.88</v>
      </c>
      <c r="R53" s="25" t="n"/>
    </row>
    <row r="54">
      <c r="A54" s="8" t="inlineStr">
        <is>
          <t>2023-03-29</t>
        </is>
      </c>
      <c r="B54" s="8" t="n">
        <v>2023</v>
      </c>
      <c r="C54" s="8" t="n">
        <v>13</v>
      </c>
      <c r="D54" s="15" t="n">
        <v>69.5</v>
      </c>
      <c r="E54" s="15" t="n">
        <v>79.3</v>
      </c>
      <c r="F54" s="15" t="n">
        <v>58.27</v>
      </c>
      <c r="G54" s="15" t="n">
        <v>43.45</v>
      </c>
      <c r="H54" s="15" t="n">
        <v>26.05</v>
      </c>
      <c r="I54" s="15" t="n">
        <v>8.56</v>
      </c>
      <c r="J54" s="8" t="inlineStr">
        <is>
          <t>east_table</t>
        </is>
      </c>
      <c r="M54" s="24" t="n">
        <v>50</v>
      </c>
      <c r="N54" s="25" t="n">
        <v>54.45</v>
      </c>
      <c r="O54" s="25" t="n">
        <v>73.20999999999999</v>
      </c>
      <c r="P54" s="25" t="n">
        <v>78.45</v>
      </c>
      <c r="Q54" s="25" t="n">
        <v>83.06</v>
      </c>
      <c r="R54" s="25" t="n"/>
    </row>
    <row r="55">
      <c r="A55" s="8" t="inlineStr">
        <is>
          <t>2023-04-04</t>
        </is>
      </c>
      <c r="B55" s="8" t="n">
        <v>2023</v>
      </c>
      <c r="C55" s="8" t="n">
        <v>14</v>
      </c>
      <c r="D55" s="15" t="n">
        <v>70.25</v>
      </c>
      <c r="E55" s="15" t="n">
        <v>76.66</v>
      </c>
      <c r="F55" s="15" t="n">
        <v>56.33</v>
      </c>
      <c r="G55" s="15" t="n">
        <v>45.5</v>
      </c>
      <c r="H55" s="15" t="n">
        <v>24.75</v>
      </c>
      <c r="I55" s="15" t="n">
        <v>0.75</v>
      </c>
      <c r="J55" s="8" t="inlineStr">
        <is>
          <t>east_table</t>
        </is>
      </c>
      <c r="M55" s="24" t="n">
        <v>51</v>
      </c>
      <c r="N55" s="25" t="n">
        <v>51.76</v>
      </c>
      <c r="O55" s="25" t="n">
        <v>73.40000000000001</v>
      </c>
      <c r="P55" s="25" t="n">
        <v>77.05</v>
      </c>
      <c r="Q55" s="25" t="n">
        <v>79.95999999999999</v>
      </c>
      <c r="R55" s="25" t="n"/>
    </row>
    <row r="56">
      <c r="A56" s="8" t="inlineStr">
        <is>
          <t>2023-04-12</t>
        </is>
      </c>
      <c r="B56" s="8" t="n">
        <v>2023</v>
      </c>
      <c r="C56" s="8" t="n">
        <v>15</v>
      </c>
      <c r="D56" s="15" t="n">
        <v>59.85</v>
      </c>
      <c r="E56" s="15" t="n">
        <v>67.69</v>
      </c>
      <c r="F56" s="15" t="n">
        <v>49.74</v>
      </c>
      <c r="G56" s="15" t="n">
        <v>38.5</v>
      </c>
      <c r="H56" s="15" t="n">
        <v>21.35</v>
      </c>
      <c r="I56" s="15" t="n">
        <v>-10.94</v>
      </c>
      <c r="J56" s="8" t="inlineStr">
        <is>
          <t>east_table</t>
        </is>
      </c>
      <c r="M56" s="24" t="n">
        <v>52</v>
      </c>
      <c r="N56" s="25" t="n">
        <v>49.88</v>
      </c>
      <c r="O56" s="25" t="n">
        <v>69.7</v>
      </c>
      <c r="P56" s="25" t="n">
        <v>68.09999999999999</v>
      </c>
      <c r="Q56" s="25" t="n">
        <v>100.73</v>
      </c>
      <c r="R56" s="25" t="n"/>
    </row>
    <row r="57">
      <c r="A57" s="8" t="inlineStr">
        <is>
          <t>2023-04-19</t>
        </is>
      </c>
      <c r="B57" s="8" t="n">
        <v>2023</v>
      </c>
      <c r="C57" s="8" t="n">
        <v>16</v>
      </c>
      <c r="D57" s="15" t="n">
        <v>56.75</v>
      </c>
      <c r="E57" s="15" t="n">
        <v>67.18000000000001</v>
      </c>
      <c r="F57" s="15" t="n">
        <v>49.36</v>
      </c>
      <c r="G57" s="15" t="n">
        <v>40</v>
      </c>
      <c r="H57" s="15" t="n">
        <v>16.75</v>
      </c>
      <c r="I57" s="15" t="n">
        <v>-3.1</v>
      </c>
      <c r="J57" s="8" t="inlineStr">
        <is>
          <t>east_table</t>
        </is>
      </c>
    </row>
    <row r="58">
      <c r="A58" s="8" t="inlineStr">
        <is>
          <t>2023-04-26</t>
        </is>
      </c>
      <c r="B58" s="8" t="n">
        <v>2023</v>
      </c>
      <c r="C58" s="8" t="n">
        <v>17</v>
      </c>
      <c r="D58" s="15" t="n">
        <v>49.75</v>
      </c>
      <c r="E58" s="15" t="n">
        <v>65.55</v>
      </c>
      <c r="F58" s="15" t="n">
        <v>48.17</v>
      </c>
      <c r="G58" s="15" t="n">
        <v>33.15</v>
      </c>
      <c r="H58" s="15" t="n">
        <v>16.6</v>
      </c>
      <c r="I58" s="15" t="n">
        <v>-7</v>
      </c>
      <c r="J58" s="8" t="inlineStr">
        <is>
          <t>east_table</t>
        </is>
      </c>
    </row>
    <row r="59">
      <c r="A59" s="8" t="inlineStr">
        <is>
          <t>2023-05-04</t>
        </is>
      </c>
      <c r="B59" s="8" t="n">
        <v>2023</v>
      </c>
      <c r="C59" s="8" t="n">
        <v>18</v>
      </c>
      <c r="D59" s="15" t="n">
        <v>56.04</v>
      </c>
      <c r="E59" s="15" t="n">
        <v>72.54000000000001</v>
      </c>
      <c r="F59" s="15" t="n">
        <v>53.3</v>
      </c>
      <c r="G59" s="15" t="n">
        <v>34.6</v>
      </c>
      <c r="H59" s="15" t="n">
        <v>21.44</v>
      </c>
      <c r="I59" s="15" t="n">
        <v>6.29</v>
      </c>
      <c r="J59" s="8" t="inlineStr">
        <is>
          <t>east_table</t>
        </is>
      </c>
    </row>
    <row r="60">
      <c r="A60" s="8" t="inlineStr">
        <is>
          <t>2023-05-10</t>
        </is>
      </c>
      <c r="B60" s="8" t="n">
        <v>2023</v>
      </c>
      <c r="C60" s="8" t="n">
        <v>19</v>
      </c>
      <c r="D60" s="15" t="n">
        <v>58.34</v>
      </c>
      <c r="E60" s="15" t="n">
        <v>77.03</v>
      </c>
      <c r="F60" s="15" t="n">
        <v>56.6</v>
      </c>
      <c r="G60" s="15" t="n">
        <v>39.2</v>
      </c>
      <c r="H60" s="15" t="n">
        <v>19.14</v>
      </c>
      <c r="I60" s="15" t="n">
        <v>2.3</v>
      </c>
      <c r="J60" s="8" t="inlineStr">
        <is>
          <t>east_table</t>
        </is>
      </c>
    </row>
    <row r="61">
      <c r="A61" s="8" t="inlineStr">
        <is>
          <t>2023-05-17</t>
        </is>
      </c>
      <c r="B61" s="8" t="n">
        <v>2023</v>
      </c>
      <c r="C61" s="8" t="n">
        <v>20</v>
      </c>
      <c r="D61" s="15" t="n">
        <v>56.36</v>
      </c>
      <c r="E61" s="15" t="n">
        <v>77.33</v>
      </c>
      <c r="F61" s="15" t="n">
        <v>56.82</v>
      </c>
      <c r="G61" s="15" t="n">
        <v>38.97</v>
      </c>
      <c r="H61" s="15" t="n">
        <v>17.39</v>
      </c>
      <c r="I61" s="15" t="n">
        <v>-1.98</v>
      </c>
      <c r="J61" s="8" t="inlineStr">
        <is>
          <t>east_table</t>
        </is>
      </c>
    </row>
    <row r="62">
      <c r="A62" s="8" t="inlineStr">
        <is>
          <t>2023-05-24</t>
        </is>
      </c>
      <c r="B62" s="8" t="n">
        <v>2023</v>
      </c>
      <c r="C62" s="8" t="n">
        <v>21</v>
      </c>
      <c r="D62" s="15" t="n">
        <v>52.14</v>
      </c>
      <c r="E62" s="15" t="n">
        <v>78.44</v>
      </c>
      <c r="F62" s="15" t="n">
        <v>57.64</v>
      </c>
      <c r="G62" s="15" t="n">
        <v>34.4</v>
      </c>
      <c r="H62" s="15" t="n">
        <v>17.74</v>
      </c>
      <c r="I62" s="15" t="n">
        <v>-4.22</v>
      </c>
      <c r="J62" s="8" t="inlineStr">
        <is>
          <t>east_table</t>
        </is>
      </c>
    </row>
    <row r="63">
      <c r="A63" s="8" t="inlineStr">
        <is>
          <t>2023-05-31</t>
        </is>
      </c>
      <c r="B63" s="8" t="n">
        <v>2023</v>
      </c>
      <c r="C63" s="8" t="n">
        <v>22</v>
      </c>
      <c r="D63" s="15" t="n">
        <v>43.85</v>
      </c>
      <c r="E63" s="15" t="n">
        <v>71.18000000000001</v>
      </c>
      <c r="F63" s="15" t="n">
        <v>52.3</v>
      </c>
      <c r="G63" s="15" t="n">
        <v>30.2</v>
      </c>
      <c r="H63" s="15" t="n">
        <v>13.65</v>
      </c>
      <c r="I63" s="15" t="n">
        <v>-8.289999999999999</v>
      </c>
      <c r="J63" s="8" t="inlineStr">
        <is>
          <t>east_table</t>
        </is>
      </c>
    </row>
    <row r="64">
      <c r="A64" s="8" t="inlineStr">
        <is>
          <t>2023-06-07</t>
        </is>
      </c>
      <c r="B64" s="8" t="n">
        <v>2023</v>
      </c>
      <c r="C64" s="8" t="n">
        <v>23</v>
      </c>
      <c r="D64" s="15" t="n">
        <v>50.75</v>
      </c>
      <c r="E64" s="15" t="n">
        <v>75</v>
      </c>
      <c r="F64" s="15" t="n">
        <v>55.11</v>
      </c>
      <c r="G64" s="15" t="n">
        <v>37.25</v>
      </c>
      <c r="H64" s="15" t="n">
        <v>13.5</v>
      </c>
      <c r="I64" s="15" t="n">
        <v>6.9</v>
      </c>
      <c r="J64" s="8" t="inlineStr">
        <is>
          <t>east_table</t>
        </is>
      </c>
    </row>
    <row r="65">
      <c r="A65" s="8" t="inlineStr">
        <is>
          <t>2023-06-14</t>
        </is>
      </c>
      <c r="B65" s="8" t="n">
        <v>2023</v>
      </c>
      <c r="C65" s="8" t="n">
        <v>24</v>
      </c>
      <c r="D65" s="15" t="n">
        <v>49.49</v>
      </c>
      <c r="E65" s="15" t="n">
        <v>74.28</v>
      </c>
      <c r="F65" s="15" t="n">
        <v>54.58</v>
      </c>
      <c r="G65" s="15" t="n">
        <v>35.64</v>
      </c>
      <c r="H65" s="15" t="n">
        <v>13.85</v>
      </c>
      <c r="I65" s="15" t="n">
        <v>-1.26</v>
      </c>
      <c r="J65" s="8" t="inlineStr">
        <is>
          <t>east_table</t>
        </is>
      </c>
    </row>
    <row r="66">
      <c r="A66" s="8" t="inlineStr">
        <is>
          <t>2023-06-21</t>
        </is>
      </c>
      <c r="B66" s="8" t="n">
        <v>2023</v>
      </c>
      <c r="C66" s="8" t="n">
        <v>25</v>
      </c>
      <c r="D66" s="15" t="n">
        <v>57.85</v>
      </c>
      <c r="E66" s="15" t="n">
        <v>81.26000000000001</v>
      </c>
      <c r="F66" s="15" t="n">
        <v>59.71</v>
      </c>
      <c r="G66" s="15" t="n">
        <v>46.5</v>
      </c>
      <c r="H66" s="15" t="n">
        <v>11.35</v>
      </c>
      <c r="I66" s="15" t="n">
        <v>8.359999999999999</v>
      </c>
      <c r="J66" s="8" t="inlineStr">
        <is>
          <t>east_table</t>
        </is>
      </c>
    </row>
    <row r="67">
      <c r="A67" s="8" t="inlineStr">
        <is>
          <t>2023-07-05</t>
        </is>
      </c>
      <c r="B67" s="8" t="n">
        <v>2023</v>
      </c>
      <c r="C67" s="8" t="n">
        <v>27</v>
      </c>
      <c r="D67" s="15" t="n">
        <v>65.08</v>
      </c>
      <c r="E67" s="15" t="n">
        <v>86.18000000000001</v>
      </c>
      <c r="F67" s="15" t="n">
        <v>63.32</v>
      </c>
      <c r="G67" s="15" t="n">
        <v>52.2</v>
      </c>
      <c r="H67" s="15" t="n">
        <v>12.88</v>
      </c>
      <c r="I67" s="15" t="n">
        <v>-0.25</v>
      </c>
      <c r="J67" s="8" t="inlineStr">
        <is>
          <t>east_table</t>
        </is>
      </c>
    </row>
    <row r="68">
      <c r="A68" s="8" t="inlineStr">
        <is>
          <t>2023-07-12</t>
        </is>
      </c>
      <c r="B68" s="8" t="n">
        <v>2023</v>
      </c>
      <c r="C68" s="8" t="n">
        <v>28</v>
      </c>
      <c r="D68" s="15" t="n">
        <v>67.7</v>
      </c>
      <c r="E68" s="15" t="n">
        <v>85.81</v>
      </c>
      <c r="F68" s="15" t="n">
        <v>63.05</v>
      </c>
      <c r="G68" s="15" t="n">
        <v>50.4</v>
      </c>
      <c r="H68" s="15" t="n">
        <v>17.3</v>
      </c>
      <c r="I68" s="15" t="n">
        <v>2.62</v>
      </c>
      <c r="J68" s="8" t="inlineStr">
        <is>
          <t>east_table</t>
        </is>
      </c>
    </row>
    <row r="69">
      <c r="A69" s="8" t="inlineStr">
        <is>
          <t>2023-07-19</t>
        </is>
      </c>
      <c r="B69" s="8" t="n">
        <v>2023</v>
      </c>
      <c r="C69" s="8" t="n">
        <v>29</v>
      </c>
      <c r="D69" s="15" t="n">
        <v>68.75</v>
      </c>
      <c r="E69" s="15" t="n">
        <v>86.76000000000001</v>
      </c>
      <c r="F69" s="15" t="n">
        <v>63.75</v>
      </c>
      <c r="G69" s="15" t="n">
        <v>51.75</v>
      </c>
      <c r="H69" s="15" t="n">
        <v>17</v>
      </c>
      <c r="I69" s="15" t="n">
        <v>1.05</v>
      </c>
      <c r="J69" s="8" t="inlineStr">
        <is>
          <t>east_table</t>
        </is>
      </c>
    </row>
    <row r="70">
      <c r="A70" s="8" t="inlineStr">
        <is>
          <t>2023-07-26</t>
        </is>
      </c>
      <c r="B70" s="8" t="n">
        <v>2023</v>
      </c>
      <c r="C70" s="8" t="n">
        <v>30</v>
      </c>
      <c r="D70" s="15" t="n">
        <v>77.65000000000001</v>
      </c>
      <c r="E70" s="15" t="n">
        <v>95.27</v>
      </c>
      <c r="F70" s="15" t="n">
        <v>70</v>
      </c>
      <c r="G70" s="15" t="n">
        <v>58.55</v>
      </c>
      <c r="H70" s="15" t="n">
        <v>19.1</v>
      </c>
      <c r="I70" s="15" t="n">
        <v>8.9</v>
      </c>
      <c r="J70" s="8" t="inlineStr">
        <is>
          <t>east_table</t>
        </is>
      </c>
    </row>
    <row r="71">
      <c r="A71" s="8" t="inlineStr">
        <is>
          <t>2023-08-02</t>
        </is>
      </c>
      <c r="B71" s="8" t="n">
        <v>2023</v>
      </c>
      <c r="C71" s="8" t="n">
        <v>31</v>
      </c>
      <c r="D71" s="15" t="n">
        <v>67.15000000000001</v>
      </c>
      <c r="E71" s="15" t="n">
        <v>87.43000000000001</v>
      </c>
      <c r="F71" s="15" t="n">
        <v>64.23999999999999</v>
      </c>
      <c r="G71" s="15" t="n">
        <v>52.25</v>
      </c>
      <c r="H71" s="15" t="n">
        <v>14.9</v>
      </c>
      <c r="I71" s="15" t="n">
        <v>-10.5</v>
      </c>
      <c r="J71" s="8" t="inlineStr">
        <is>
          <t>east_table</t>
        </is>
      </c>
    </row>
    <row r="72">
      <c r="A72" s="8" t="inlineStr">
        <is>
          <t>2023-08-09</t>
        </is>
      </c>
      <c r="B72" s="8" t="n">
        <v>2023</v>
      </c>
      <c r="C72" s="8" t="n">
        <v>32</v>
      </c>
      <c r="D72" s="15" t="n">
        <v>68.7</v>
      </c>
      <c r="E72" s="15" t="n">
        <v>90.25</v>
      </c>
      <c r="F72" s="15" t="n">
        <v>66.31</v>
      </c>
      <c r="G72" s="15" t="n"/>
      <c r="H72" s="15" t="n">
        <v>16.45</v>
      </c>
      <c r="I72" s="15" t="n">
        <v>1.22</v>
      </c>
      <c r="J72" s="8" t="inlineStr">
        <is>
          <t>east_table</t>
        </is>
      </c>
    </row>
    <row r="73">
      <c r="A73" s="8" t="inlineStr">
        <is>
          <t>2023-08-16</t>
        </is>
      </c>
      <c r="B73" s="8" t="n">
        <v>2023</v>
      </c>
      <c r="C73" s="8" t="n">
        <v>33</v>
      </c>
      <c r="D73" s="15" t="n">
        <v>74.59999999999999</v>
      </c>
      <c r="E73" s="15" t="n">
        <v>96.45999999999999</v>
      </c>
      <c r="F73" s="15" t="n">
        <v>70.88</v>
      </c>
      <c r="G73" s="15" t="n">
        <v>57.15</v>
      </c>
      <c r="H73" s="15" t="n">
        <v>17.45</v>
      </c>
      <c r="I73" s="15" t="n">
        <v>5.9</v>
      </c>
      <c r="J73" s="8" t="inlineStr">
        <is>
          <t>east_table</t>
        </is>
      </c>
    </row>
    <row r="74">
      <c r="A74" s="8" t="inlineStr">
        <is>
          <t>2023-08-23</t>
        </is>
      </c>
      <c r="B74" s="8" t="n">
        <v>2023</v>
      </c>
      <c r="C74" s="8" t="n">
        <v>34</v>
      </c>
      <c r="D74" s="15" t="n">
        <v>76.40000000000001</v>
      </c>
      <c r="E74" s="15" t="n">
        <v>99.81</v>
      </c>
      <c r="F74" s="15" t="n">
        <v>73.34</v>
      </c>
      <c r="G74" s="15" t="n">
        <v>58.3</v>
      </c>
      <c r="H74" s="15" t="n">
        <v>18.1</v>
      </c>
      <c r="I74" s="15" t="n">
        <v>1.8</v>
      </c>
      <c r="J74" s="8" t="inlineStr">
        <is>
          <t>east_table</t>
        </is>
      </c>
    </row>
    <row r="75">
      <c r="A75" s="8" t="inlineStr">
        <is>
          <t>2023-08-30</t>
        </is>
      </c>
      <c r="B75" s="8" t="n">
        <v>2023</v>
      </c>
      <c r="C75" s="8" t="n">
        <v>35</v>
      </c>
      <c r="D75" s="15" t="n">
        <v>76.22</v>
      </c>
      <c r="E75" s="15" t="n">
        <v>102.03</v>
      </c>
      <c r="F75" s="15" t="n">
        <v>74.97</v>
      </c>
      <c r="G75" s="15" t="n">
        <v>58.22</v>
      </c>
      <c r="H75" s="15" t="n">
        <v>18</v>
      </c>
      <c r="I75" s="15" t="n">
        <v>-0.18</v>
      </c>
      <c r="J75" s="8" t="inlineStr">
        <is>
          <t>east_table</t>
        </is>
      </c>
    </row>
    <row r="76">
      <c r="A76" s="8" t="inlineStr">
        <is>
          <t>2023-09-06</t>
        </is>
      </c>
      <c r="B76" s="8" t="n">
        <v>2023</v>
      </c>
      <c r="C76" s="8" t="n">
        <v>36</v>
      </c>
      <c r="D76" s="15" t="n">
        <v>76.45</v>
      </c>
      <c r="E76" s="15" t="n">
        <v>103.85</v>
      </c>
      <c r="F76" s="15" t="n">
        <v>76.31</v>
      </c>
      <c r="G76" s="15" t="n">
        <v>57.35</v>
      </c>
      <c r="H76" s="15" t="n">
        <v>19.1</v>
      </c>
      <c r="I76" s="15" t="n">
        <v>0.23</v>
      </c>
      <c r="J76" s="8" t="inlineStr">
        <is>
          <t>east_table</t>
        </is>
      </c>
    </row>
    <row r="77">
      <c r="A77" s="8" t="inlineStr">
        <is>
          <t>2023-09-13</t>
        </is>
      </c>
      <c r="B77" s="8" t="n">
        <v>2023</v>
      </c>
      <c r="C77" s="8" t="n">
        <v>37</v>
      </c>
      <c r="D77" s="15" t="n">
        <v>81.16</v>
      </c>
      <c r="E77" s="15" t="n">
        <v>113.21</v>
      </c>
      <c r="F77" s="15" t="n">
        <v>83.19</v>
      </c>
      <c r="G77" s="15" t="n">
        <v>62.1</v>
      </c>
      <c r="H77" s="15" t="n">
        <v>19.06</v>
      </c>
      <c r="I77" s="15" t="n">
        <v>4.71</v>
      </c>
      <c r="J77" s="8" t="inlineStr">
        <is>
          <t>east_table</t>
        </is>
      </c>
    </row>
    <row r="78">
      <c r="A78" s="8" t="inlineStr">
        <is>
          <t>2023-09-20</t>
        </is>
      </c>
      <c r="B78" s="8" t="n">
        <v>2023</v>
      </c>
      <c r="C78" s="8" t="n">
        <v>38</v>
      </c>
      <c r="D78" s="15" t="n">
        <v>85.25</v>
      </c>
      <c r="E78" s="15" t="n">
        <v>114.56</v>
      </c>
      <c r="F78" s="15" t="n">
        <v>84.18000000000001</v>
      </c>
      <c r="G78" s="15" t="n">
        <v>63.55</v>
      </c>
      <c r="H78" s="15" t="n">
        <v>21.7</v>
      </c>
      <c r="I78" s="15" t="n">
        <v>4.09</v>
      </c>
      <c r="J78" s="8" t="inlineStr">
        <is>
          <t>east_table</t>
        </is>
      </c>
    </row>
    <row r="79">
      <c r="A79" s="8" t="inlineStr">
        <is>
          <t>2023-09-27</t>
        </is>
      </c>
      <c r="B79" s="8" t="n">
        <v>2023</v>
      </c>
      <c r="C79" s="8" t="n">
        <v>39</v>
      </c>
      <c r="D79" s="15" t="n">
        <v>78.09999999999999</v>
      </c>
      <c r="E79" s="15" t="n">
        <v>110.29</v>
      </c>
      <c r="F79" s="15" t="n">
        <v>81.04000000000001</v>
      </c>
      <c r="G79" s="15" t="n">
        <v>58.3</v>
      </c>
      <c r="H79" s="15" t="n">
        <v>19.8</v>
      </c>
      <c r="I79" s="15" t="n">
        <v>-7.15</v>
      </c>
      <c r="J79" s="8" t="inlineStr">
        <is>
          <t>east_table</t>
        </is>
      </c>
    </row>
    <row r="80">
      <c r="A80" s="8" t="inlineStr">
        <is>
          <t>2023-10-08</t>
        </is>
      </c>
      <c r="B80" s="8" t="n">
        <v>2023</v>
      </c>
      <c r="C80" s="8" t="n">
        <v>40</v>
      </c>
      <c r="D80" s="15" t="n">
        <v>63.5</v>
      </c>
      <c r="E80" s="15" t="n">
        <v>94.73999999999999</v>
      </c>
      <c r="F80" s="15" t="n">
        <v>69.61</v>
      </c>
      <c r="G80" s="15" t="n">
        <v>49.1</v>
      </c>
      <c r="H80" s="15" t="n">
        <v>14.4</v>
      </c>
      <c r="I80" s="15" t="n">
        <v>-14.6</v>
      </c>
      <c r="J80" s="8" t="inlineStr">
        <is>
          <t>east_table</t>
        </is>
      </c>
    </row>
    <row r="81">
      <c r="A81" s="8" t="inlineStr">
        <is>
          <t>2023-10-11</t>
        </is>
      </c>
      <c r="B81" s="8" t="n">
        <v>2023</v>
      </c>
      <c r="C81" s="8" t="n">
        <v>41</v>
      </c>
      <c r="D81" s="15" t="n">
        <v>59.4</v>
      </c>
      <c r="E81" s="15" t="n">
        <v>88.09999999999999</v>
      </c>
      <c r="F81" s="15" t="n">
        <v>64.73999999999999</v>
      </c>
      <c r="G81" s="15" t="n">
        <v>44.4</v>
      </c>
      <c r="H81" s="15" t="n">
        <v>15</v>
      </c>
      <c r="I81" s="15" t="n">
        <v>-4.1</v>
      </c>
      <c r="J81" s="8" t="inlineStr">
        <is>
          <t>east_table</t>
        </is>
      </c>
    </row>
    <row r="82">
      <c r="A82" s="8" t="inlineStr">
        <is>
          <t>2023-10-18</t>
        </is>
      </c>
      <c r="B82" s="8" t="n">
        <v>2023</v>
      </c>
      <c r="C82" s="8" t="n">
        <v>42</v>
      </c>
      <c r="D82" s="15" t="n">
        <v>62.5</v>
      </c>
      <c r="E82" s="15" t="n">
        <v>87.40000000000001</v>
      </c>
      <c r="F82" s="15" t="n">
        <v>64.22</v>
      </c>
      <c r="G82" s="15" t="n">
        <v>46.7</v>
      </c>
      <c r="H82" s="15" t="n">
        <v>15.8</v>
      </c>
      <c r="I82" s="15" t="n">
        <v>3.1</v>
      </c>
      <c r="J82" s="8" t="inlineStr">
        <is>
          <t>east_table</t>
        </is>
      </c>
    </row>
    <row r="83">
      <c r="A83" s="8" t="inlineStr">
        <is>
          <t>2023-10-25</t>
        </is>
      </c>
      <c r="B83" s="8" t="n">
        <v>2023</v>
      </c>
      <c r="C83" s="8" t="n">
        <v>43</v>
      </c>
      <c r="D83" s="15" t="n">
        <v>65.2</v>
      </c>
      <c r="E83" s="15" t="n">
        <v>89.81999999999999</v>
      </c>
      <c r="F83" s="15" t="n">
        <v>66</v>
      </c>
      <c r="G83" s="15" t="n">
        <v>49.1</v>
      </c>
      <c r="H83" s="15" t="n">
        <v>16.1</v>
      </c>
      <c r="I83" s="15" t="n">
        <v>2.7</v>
      </c>
      <c r="J83" s="8" t="inlineStr">
        <is>
          <t>east_table</t>
        </is>
      </c>
    </row>
    <row r="84">
      <c r="A84" s="8" t="inlineStr">
        <is>
          <t>2023-11-01</t>
        </is>
      </c>
      <c r="B84" s="8" t="n">
        <v>2023</v>
      </c>
      <c r="C84" s="8" t="n">
        <v>44</v>
      </c>
      <c r="D84" s="15" t="n">
        <v>64.65000000000001</v>
      </c>
      <c r="E84" s="15" t="n">
        <v>87.68000000000001</v>
      </c>
      <c r="F84" s="15" t="n">
        <v>64.43000000000001</v>
      </c>
      <c r="G84" s="15" t="n">
        <v>47.75</v>
      </c>
      <c r="H84" s="15" t="n">
        <v>16.9</v>
      </c>
      <c r="I84" s="15" t="n">
        <v>-0.55</v>
      </c>
      <c r="J84" s="8" t="inlineStr">
        <is>
          <t>east_table</t>
        </is>
      </c>
    </row>
    <row r="85">
      <c r="A85" s="8" t="inlineStr">
        <is>
          <t>2023-11-08</t>
        </is>
      </c>
      <c r="B85" s="8" t="n">
        <v>2023</v>
      </c>
      <c r="C85" s="8" t="n">
        <v>45</v>
      </c>
      <c r="D85" s="15" t="n">
        <v>71.59999999999999</v>
      </c>
      <c r="E85" s="15" t="n">
        <v>93.83</v>
      </c>
      <c r="F85" s="15" t="n">
        <v>68.95</v>
      </c>
      <c r="G85" s="15" t="n">
        <v>52.8</v>
      </c>
      <c r="H85" s="15" t="n">
        <v>18.8</v>
      </c>
      <c r="I85" s="15" t="n">
        <v>6.95</v>
      </c>
      <c r="J85" s="8" t="inlineStr">
        <is>
          <t>east_table</t>
        </is>
      </c>
    </row>
    <row r="86">
      <c r="A86" s="8" t="inlineStr">
        <is>
          <t>2023-11-15</t>
        </is>
      </c>
      <c r="B86" s="8" t="n">
        <v>2023</v>
      </c>
      <c r="C86" s="8" t="n">
        <v>46</v>
      </c>
      <c r="D86" s="15" t="n">
        <v>78.18000000000001</v>
      </c>
      <c r="E86" s="15" t="n">
        <v>98.40000000000001</v>
      </c>
      <c r="F86" s="15" t="n">
        <v>72.3</v>
      </c>
      <c r="G86" s="15" t="n">
        <v>56.38</v>
      </c>
      <c r="H86" s="15" t="n">
        <v>21.8</v>
      </c>
      <c r="I86" s="15" t="n">
        <v>6.58</v>
      </c>
      <c r="J86" s="8" t="inlineStr">
        <is>
          <t>east_table</t>
        </is>
      </c>
    </row>
    <row r="87">
      <c r="A87" s="8" t="inlineStr">
        <is>
          <t>2023-11-22</t>
        </is>
      </c>
      <c r="B87" s="8" t="n">
        <v>2023</v>
      </c>
      <c r="C87" s="8" t="n">
        <v>47</v>
      </c>
      <c r="D87" s="15" t="n">
        <v>76.33</v>
      </c>
      <c r="E87" s="15" t="n">
        <v>92.55</v>
      </c>
      <c r="F87" s="15" t="n">
        <v>68</v>
      </c>
      <c r="G87" s="15" t="n">
        <v>56.63</v>
      </c>
      <c r="H87" s="15" t="n">
        <v>19.7</v>
      </c>
      <c r="I87" s="15" t="n">
        <v>-1.85</v>
      </c>
      <c r="J87" s="8" t="inlineStr">
        <is>
          <t>east_table</t>
        </is>
      </c>
    </row>
    <row r="88">
      <c r="A88" s="8" t="inlineStr">
        <is>
          <t>2023-11-29</t>
        </is>
      </c>
      <c r="B88" s="8" t="n">
        <v>2023</v>
      </c>
      <c r="C88" s="8" t="n">
        <v>48</v>
      </c>
      <c r="D88" s="15" t="n">
        <v>68.86</v>
      </c>
      <c r="E88" s="15" t="n">
        <v>86.15000000000001</v>
      </c>
      <c r="F88" s="15" t="n">
        <v>63.3</v>
      </c>
      <c r="G88" s="15" t="n">
        <v>49.66</v>
      </c>
      <c r="H88" s="15" t="n">
        <v>19.2</v>
      </c>
      <c r="I88" s="15" t="n">
        <v>-7.47</v>
      </c>
      <c r="J88" s="8" t="inlineStr">
        <is>
          <t>east_table</t>
        </is>
      </c>
    </row>
    <row r="89">
      <c r="A89" s="8" t="inlineStr">
        <is>
          <t>2023-12-06</t>
        </is>
      </c>
      <c r="B89" s="8" t="n">
        <v>2023</v>
      </c>
      <c r="C89" s="8" t="n">
        <v>49</v>
      </c>
      <c r="D89" s="15" t="n">
        <v>67.01000000000001</v>
      </c>
      <c r="E89" s="15" t="n">
        <v>87.44</v>
      </c>
      <c r="F89" s="15" t="n">
        <v>64.25</v>
      </c>
      <c r="G89" s="15" t="n">
        <v>44.51</v>
      </c>
      <c r="H89" s="15" t="n">
        <v>22.5</v>
      </c>
      <c r="I89" s="15" t="n">
        <v>-1.85</v>
      </c>
      <c r="J89" s="8" t="inlineStr">
        <is>
          <t>east_table</t>
        </is>
      </c>
    </row>
    <row r="90">
      <c r="A90" s="8" t="inlineStr">
        <is>
          <t>2023-12-13</t>
        </is>
      </c>
      <c r="B90" s="8" t="n">
        <v>2023</v>
      </c>
      <c r="C90" s="8" t="n">
        <v>50</v>
      </c>
      <c r="D90" s="15" t="n">
        <v>73.20999999999999</v>
      </c>
      <c r="E90" s="15" t="n">
        <v>95.09999999999999</v>
      </c>
      <c r="F90" s="15" t="n">
        <v>69.88</v>
      </c>
      <c r="G90" s="15" t="n">
        <v>49.61</v>
      </c>
      <c r="H90" s="15" t="n">
        <v>23.6</v>
      </c>
      <c r="I90" s="15" t="n">
        <v>6.2</v>
      </c>
      <c r="J90" s="8" t="inlineStr">
        <is>
          <t>east_table</t>
        </is>
      </c>
    </row>
    <row r="91">
      <c r="A91" s="8" t="inlineStr">
        <is>
          <t>2023-12-20</t>
        </is>
      </c>
      <c r="B91" s="8" t="n">
        <v>2023</v>
      </c>
      <c r="C91" s="8" t="n">
        <v>51</v>
      </c>
      <c r="D91" s="15" t="n">
        <v>73.40000000000001</v>
      </c>
      <c r="E91" s="15" t="n">
        <v>96.76000000000001</v>
      </c>
      <c r="F91" s="15" t="n">
        <v>71.09999999999999</v>
      </c>
      <c r="G91" s="15" t="n">
        <v>47.4</v>
      </c>
      <c r="H91" s="15" t="n">
        <v>26</v>
      </c>
      <c r="I91" s="15" t="n">
        <v>0.19</v>
      </c>
      <c r="J91" s="8" t="inlineStr">
        <is>
          <t>east_table</t>
        </is>
      </c>
    </row>
    <row r="92">
      <c r="A92" s="8" t="inlineStr">
        <is>
          <t>2023-12-27</t>
        </is>
      </c>
      <c r="B92" s="8" t="n">
        <v>2023</v>
      </c>
      <c r="C92" s="8" t="n">
        <v>52</v>
      </c>
      <c r="D92" s="15" t="n">
        <v>69.7</v>
      </c>
      <c r="E92" s="15" t="n">
        <v>90.54000000000001</v>
      </c>
      <c r="F92" s="15" t="n">
        <v>66.53</v>
      </c>
      <c r="G92" s="15" t="n">
        <v>48.4</v>
      </c>
      <c r="H92" s="15" t="n">
        <v>21.3</v>
      </c>
      <c r="I92" s="15" t="n">
        <v>-3.7</v>
      </c>
      <c r="J92" s="8" t="inlineStr">
        <is>
          <t>east_table</t>
        </is>
      </c>
    </row>
    <row r="93">
      <c r="A93" s="8" t="inlineStr">
        <is>
          <t>2024-01-03</t>
        </is>
      </c>
      <c r="B93" s="8" t="n">
        <v>2024</v>
      </c>
      <c r="C93" s="8" t="n">
        <v>1</v>
      </c>
      <c r="D93" s="15" t="n">
        <v>61.45</v>
      </c>
      <c r="E93" s="15" t="n">
        <v>82.48999999999999</v>
      </c>
      <c r="F93" s="15" t="n">
        <v>60.61</v>
      </c>
      <c r="G93" s="15" t="n">
        <v>41.55</v>
      </c>
      <c r="H93" s="15" t="n">
        <v>19.9</v>
      </c>
      <c r="I93" s="15" t="n">
        <v>-8.25</v>
      </c>
      <c r="J93" s="8" t="inlineStr">
        <is>
          <t>east_table</t>
        </is>
      </c>
    </row>
    <row r="94">
      <c r="A94" s="8" t="inlineStr">
        <is>
          <t>2024-01-10</t>
        </is>
      </c>
      <c r="B94" s="8" t="n">
        <v>2024</v>
      </c>
      <c r="C94" s="8" t="n">
        <v>2</v>
      </c>
      <c r="D94" s="15" t="n">
        <v>51.74</v>
      </c>
      <c r="E94" s="15" t="n">
        <v>73.04000000000001</v>
      </c>
      <c r="F94" s="15" t="n">
        <v>53.67</v>
      </c>
      <c r="G94" s="15" t="n">
        <v>35.74</v>
      </c>
      <c r="H94" s="15" t="n">
        <v>16</v>
      </c>
      <c r="I94" s="15" t="n">
        <v>-9.710000000000001</v>
      </c>
      <c r="J94" s="8" t="inlineStr">
        <is>
          <t>east_table</t>
        </is>
      </c>
    </row>
    <row r="95">
      <c r="A95" s="8" t="inlineStr">
        <is>
          <t>2024-01-17</t>
        </is>
      </c>
      <c r="B95" s="8" t="n">
        <v>2024</v>
      </c>
      <c r="C95" s="8" t="n">
        <v>3</v>
      </c>
      <c r="D95" s="15" t="n">
        <v>56.6</v>
      </c>
      <c r="E95" s="15" t="n">
        <v>78.14</v>
      </c>
      <c r="F95" s="15" t="n">
        <v>57.42</v>
      </c>
      <c r="G95" s="15" t="n">
        <v>36.3</v>
      </c>
      <c r="H95" s="15" t="n">
        <v>20.3</v>
      </c>
      <c r="I95" s="15" t="n">
        <v>4.86</v>
      </c>
      <c r="J95" s="8" t="inlineStr">
        <is>
          <t>east_table</t>
        </is>
      </c>
    </row>
    <row r="96">
      <c r="A96" s="8" t="inlineStr">
        <is>
          <t>2024-01-24</t>
        </is>
      </c>
      <c r="B96" s="8" t="n">
        <v>2024</v>
      </c>
      <c r="C96" s="8" t="n">
        <v>4</v>
      </c>
      <c r="D96" s="15" t="n">
        <v>57.8</v>
      </c>
      <c r="E96" s="15" t="n">
        <v>78.67</v>
      </c>
      <c r="F96" s="15" t="n">
        <v>57.81</v>
      </c>
      <c r="G96" s="15" t="n">
        <v>33.75</v>
      </c>
      <c r="H96" s="15" t="n">
        <v>24.05</v>
      </c>
      <c r="I96" s="15" t="n">
        <v>1.2</v>
      </c>
      <c r="J96" s="8" t="inlineStr">
        <is>
          <t>east_table</t>
        </is>
      </c>
    </row>
    <row r="97">
      <c r="A97" s="8" t="inlineStr">
        <is>
          <t>2024-01-31</t>
        </is>
      </c>
      <c r="B97" s="8" t="n">
        <v>2024</v>
      </c>
      <c r="C97" s="8" t="n">
        <v>5</v>
      </c>
      <c r="D97" s="15" t="n">
        <v>61.05</v>
      </c>
      <c r="E97" s="15" t="n">
        <v>80.06</v>
      </c>
      <c r="F97" s="15" t="n">
        <v>58.83</v>
      </c>
      <c r="G97" s="15" t="n">
        <v>39.5</v>
      </c>
      <c r="H97" s="15" t="n">
        <v>21.55</v>
      </c>
      <c r="I97" s="15" t="n">
        <v>3.25</v>
      </c>
      <c r="J97" s="8" t="inlineStr">
        <is>
          <t>east_table</t>
        </is>
      </c>
    </row>
    <row r="98">
      <c r="A98" s="8" t="inlineStr">
        <is>
          <t>2024-02-07</t>
        </is>
      </c>
      <c r="B98" s="8" t="n">
        <v>2024</v>
      </c>
      <c r="C98" s="8" t="n">
        <v>6</v>
      </c>
      <c r="D98" s="15" t="n">
        <v>57.47</v>
      </c>
      <c r="E98" s="15" t="n">
        <v>79</v>
      </c>
      <c r="F98" s="15" t="n">
        <v>58.05</v>
      </c>
      <c r="G98" s="15" t="n">
        <v>33.51</v>
      </c>
      <c r="H98" s="15" t="n">
        <v>23.96</v>
      </c>
      <c r="I98" s="15" t="n">
        <v>-3.58</v>
      </c>
      <c r="J98" s="8" t="inlineStr">
        <is>
          <t>east_table</t>
        </is>
      </c>
    </row>
    <row r="99">
      <c r="A99" s="8" t="inlineStr">
        <is>
          <t>2024-02-18</t>
        </is>
      </c>
      <c r="B99" s="8" t="n">
        <v>2024</v>
      </c>
      <c r="C99" s="8" t="n">
        <v>7</v>
      </c>
      <c r="D99" s="15" t="n">
        <v>60.6</v>
      </c>
      <c r="E99" s="15" t="n">
        <v>84.54000000000001</v>
      </c>
      <c r="F99" s="15" t="n">
        <v>62.12</v>
      </c>
      <c r="G99" s="15" t="n">
        <v>38.2</v>
      </c>
      <c r="H99" s="15" t="n">
        <v>22.4</v>
      </c>
      <c r="I99" s="15" t="n">
        <v>3.13</v>
      </c>
      <c r="J99" s="8" t="inlineStr">
        <is>
          <t>east_table</t>
        </is>
      </c>
    </row>
    <row r="100">
      <c r="A100" s="8" t="inlineStr">
        <is>
          <t>2024-02-21</t>
        </is>
      </c>
      <c r="B100" s="8" t="n">
        <v>2024</v>
      </c>
      <c r="C100" s="8" t="n">
        <v>8</v>
      </c>
      <c r="D100" s="15" t="n">
        <v>55.85</v>
      </c>
      <c r="E100" s="15" t="n">
        <v>81.48</v>
      </c>
      <c r="F100" s="15" t="n">
        <v>59.87</v>
      </c>
      <c r="G100" s="15" t="n">
        <v>36.45</v>
      </c>
      <c r="H100" s="15" t="n">
        <v>19.4</v>
      </c>
      <c r="I100" s="15" t="n">
        <v>-4.75</v>
      </c>
      <c r="J100" s="8" t="inlineStr">
        <is>
          <t>east_table</t>
        </is>
      </c>
    </row>
    <row r="101">
      <c r="A101" s="8" t="inlineStr">
        <is>
          <t>2024-02-28</t>
        </is>
      </c>
      <c r="B101" s="8" t="n">
        <v>2024</v>
      </c>
      <c r="C101" s="8" t="n">
        <v>9</v>
      </c>
      <c r="D101" s="15" t="n">
        <v>52.55</v>
      </c>
      <c r="E101" s="15" t="n">
        <v>76.05</v>
      </c>
      <c r="F101" s="15" t="n">
        <v>55.88</v>
      </c>
      <c r="G101" s="15" t="n">
        <v>35.05</v>
      </c>
      <c r="H101" s="15" t="n">
        <v>17.5</v>
      </c>
      <c r="I101" s="15" t="n">
        <v>-3.3</v>
      </c>
      <c r="J101" s="8" t="inlineStr">
        <is>
          <t>east_table</t>
        </is>
      </c>
    </row>
    <row r="102">
      <c r="A102" s="8" t="inlineStr">
        <is>
          <t>2024-03-06</t>
        </is>
      </c>
      <c r="B102" s="8" t="n">
        <v>2024</v>
      </c>
      <c r="C102" s="8" t="n">
        <v>10</v>
      </c>
      <c r="D102" s="15" t="n">
        <v>49.7</v>
      </c>
      <c r="E102" s="15" t="n">
        <v>71.78</v>
      </c>
      <c r="F102" s="15" t="n">
        <v>52.74</v>
      </c>
      <c r="G102" s="15" t="n">
        <v>31.4</v>
      </c>
      <c r="H102" s="15" t="n">
        <v>18.3</v>
      </c>
      <c r="I102" s="15" t="n">
        <v>-2.85</v>
      </c>
      <c r="J102" s="8" t="inlineStr">
        <is>
          <t>east_table</t>
        </is>
      </c>
    </row>
    <row r="103">
      <c r="A103" s="8" t="inlineStr">
        <is>
          <t>2024-03-13</t>
        </is>
      </c>
      <c r="B103" s="8" t="n">
        <v>2024</v>
      </c>
      <c r="C103" s="8" t="n">
        <v>11</v>
      </c>
      <c r="D103" s="15" t="n">
        <v>52.8</v>
      </c>
      <c r="E103" s="15" t="n">
        <v>73.5</v>
      </c>
      <c r="F103" s="15" t="n">
        <v>54.01</v>
      </c>
      <c r="G103" s="15" t="n">
        <v>28.5</v>
      </c>
      <c r="H103" s="15" t="n">
        <v>24.3</v>
      </c>
      <c r="I103" s="15" t="n">
        <v>3.1</v>
      </c>
      <c r="J103" s="8" t="inlineStr">
        <is>
          <t>east_table</t>
        </is>
      </c>
    </row>
    <row r="104">
      <c r="A104" s="8" t="inlineStr">
        <is>
          <t>2024-03-20</t>
        </is>
      </c>
      <c r="B104" s="8" t="n">
        <v>2024</v>
      </c>
      <c r="C104" s="8" t="n">
        <v>12</v>
      </c>
      <c r="D104" s="15" t="n">
        <v>49.2</v>
      </c>
      <c r="E104" s="15" t="n">
        <v>67.61</v>
      </c>
      <c r="F104" s="15" t="n">
        <v>49.68</v>
      </c>
      <c r="G104" s="15" t="n">
        <v>27.8</v>
      </c>
      <c r="H104" s="15" t="n">
        <v>21.4</v>
      </c>
      <c r="I104" s="15" t="n">
        <v>-3.6</v>
      </c>
      <c r="J104" s="8" t="inlineStr">
        <is>
          <t>east_table</t>
        </is>
      </c>
    </row>
    <row r="105">
      <c r="A105" s="8" t="inlineStr">
        <is>
          <t>2024-03-27</t>
        </is>
      </c>
      <c r="B105" s="8" t="n">
        <v>2024</v>
      </c>
      <c r="C105" s="8" t="n">
        <v>13</v>
      </c>
      <c r="D105" s="15" t="n">
        <v>35.82</v>
      </c>
      <c r="E105" s="15" t="n">
        <v>52.82</v>
      </c>
      <c r="F105" s="15" t="n">
        <v>38.81</v>
      </c>
      <c r="G105" s="15" t="n">
        <v>20.42</v>
      </c>
      <c r="H105" s="15" t="n">
        <v>15.4</v>
      </c>
      <c r="I105" s="15" t="n">
        <v>-13.38</v>
      </c>
      <c r="J105" s="8" t="inlineStr">
        <is>
          <t>east_table</t>
        </is>
      </c>
    </row>
    <row r="106">
      <c r="A106" s="8" t="inlineStr">
        <is>
          <t>2024-04-03</t>
        </is>
      </c>
      <c r="B106" s="8" t="n">
        <v>2024</v>
      </c>
      <c r="C106" s="8" t="n">
        <v>14</v>
      </c>
      <c r="D106" s="15" t="n">
        <v>45.6</v>
      </c>
      <c r="E106" s="15" t="n">
        <v>62.44</v>
      </c>
      <c r="F106" s="15" t="n">
        <v>45.88</v>
      </c>
      <c r="G106" s="15" t="n">
        <v>26.8</v>
      </c>
      <c r="H106" s="15" t="n">
        <v>18.8</v>
      </c>
      <c r="I106" s="15" t="n">
        <v>9.779999999999999</v>
      </c>
      <c r="J106" s="8" t="inlineStr">
        <is>
          <t>east_table</t>
        </is>
      </c>
    </row>
    <row r="107">
      <c r="A107" s="8" t="inlineStr">
        <is>
          <t>2024-04-10</t>
        </is>
      </c>
      <c r="B107" s="8" t="n">
        <v>2024</v>
      </c>
      <c r="C107" s="8" t="n">
        <v>15</v>
      </c>
      <c r="D107" s="15" t="n">
        <v>47.9</v>
      </c>
      <c r="E107" s="15" t="n">
        <v>63.71</v>
      </c>
      <c r="F107" s="15" t="n">
        <v>46.81</v>
      </c>
      <c r="G107" s="15" t="n">
        <v>28</v>
      </c>
      <c r="H107" s="15" t="n">
        <v>19.9</v>
      </c>
      <c r="I107" s="15" t="n">
        <v>2.3</v>
      </c>
      <c r="J107" s="8" t="inlineStr">
        <is>
          <t>east_table</t>
        </is>
      </c>
    </row>
    <row r="108">
      <c r="A108" s="8" t="inlineStr">
        <is>
          <t>2024-04-17</t>
        </is>
      </c>
      <c r="B108" s="8" t="n">
        <v>2024</v>
      </c>
      <c r="C108" s="8" t="n">
        <v>16</v>
      </c>
      <c r="D108" s="15" t="n">
        <v>52.4</v>
      </c>
      <c r="E108" s="15" t="n">
        <v>67.79000000000001</v>
      </c>
      <c r="F108" s="15" t="n">
        <v>49.81</v>
      </c>
      <c r="G108" s="15" t="n">
        <v>33.7</v>
      </c>
      <c r="H108" s="15" t="n">
        <v>18.7</v>
      </c>
      <c r="I108" s="15" t="n">
        <v>4.5</v>
      </c>
      <c r="J108" s="8" t="inlineStr">
        <is>
          <t>east_table</t>
        </is>
      </c>
    </row>
    <row r="109">
      <c r="A109" s="8" t="inlineStr">
        <is>
          <t>2024-04-24</t>
        </is>
      </c>
      <c r="B109" s="8" t="n">
        <v>2024</v>
      </c>
      <c r="C109" s="8" t="n">
        <v>17</v>
      </c>
      <c r="D109" s="15" t="n">
        <v>49.83</v>
      </c>
      <c r="E109" s="15" t="n">
        <v>64.73999999999999</v>
      </c>
      <c r="F109" s="15" t="n">
        <v>47.57</v>
      </c>
      <c r="G109" s="15" t="n">
        <v>34.13</v>
      </c>
      <c r="H109" s="15" t="n">
        <v>15.7</v>
      </c>
      <c r="I109" s="15" t="n">
        <v>-2.57</v>
      </c>
      <c r="J109" s="8" t="inlineStr">
        <is>
          <t>east_table</t>
        </is>
      </c>
    </row>
    <row r="110">
      <c r="A110" s="8" t="inlineStr">
        <is>
          <t>2024-04-30</t>
        </is>
      </c>
      <c r="B110" s="8" t="n">
        <v>2024</v>
      </c>
      <c r="C110" s="8" t="n">
        <v>18</v>
      </c>
      <c r="D110" s="15" t="n">
        <v>48.9</v>
      </c>
      <c r="E110" s="15" t="n">
        <v>62.73</v>
      </c>
      <c r="F110" s="15" t="n">
        <v>46.09</v>
      </c>
      <c r="G110" s="15" t="n">
        <v>33.7</v>
      </c>
      <c r="H110" s="15" t="n">
        <v>15.2</v>
      </c>
      <c r="I110" s="15" t="n">
        <v>-0.93</v>
      </c>
      <c r="J110" s="8" t="inlineStr">
        <is>
          <t>east_table</t>
        </is>
      </c>
    </row>
    <row r="111">
      <c r="A111" s="8" t="inlineStr">
        <is>
          <t>2024-05-08</t>
        </is>
      </c>
      <c r="B111" s="8" t="n">
        <v>2024</v>
      </c>
      <c r="C111" s="8" t="n">
        <v>19</v>
      </c>
      <c r="D111" s="15" t="n">
        <v>50.9</v>
      </c>
      <c r="E111" s="15" t="n">
        <v>64.23</v>
      </c>
      <c r="F111" s="15" t="n">
        <v>47.2</v>
      </c>
      <c r="G111" s="15" t="n">
        <v>34.7</v>
      </c>
      <c r="H111" s="15" t="n">
        <v>16.2</v>
      </c>
      <c r="I111" s="15" t="n">
        <v>2</v>
      </c>
      <c r="J111" s="8" t="inlineStr">
        <is>
          <t>east_table</t>
        </is>
      </c>
    </row>
    <row r="112">
      <c r="A112" s="8" t="inlineStr">
        <is>
          <t>2024-05-15</t>
        </is>
      </c>
      <c r="B112" s="8" t="n">
        <v>2024</v>
      </c>
      <c r="C112" s="8" t="n">
        <v>20</v>
      </c>
      <c r="D112" s="15" t="n">
        <v>44.75</v>
      </c>
      <c r="E112" s="15" t="n">
        <v>55.87</v>
      </c>
      <c r="F112" s="15" t="n">
        <v>41.05</v>
      </c>
      <c r="G112" s="15" t="n">
        <v>31.15</v>
      </c>
      <c r="H112" s="15" t="n">
        <v>13.6</v>
      </c>
      <c r="I112" s="15" t="n">
        <v>-6.15</v>
      </c>
      <c r="J112" s="8" t="inlineStr">
        <is>
          <t>east_table</t>
        </is>
      </c>
    </row>
    <row r="113">
      <c r="A113" s="8" t="inlineStr">
        <is>
          <t>2024-05-22</t>
        </is>
      </c>
      <c r="B113" s="8" t="n">
        <v>2024</v>
      </c>
      <c r="C113" s="8" t="n">
        <v>21</v>
      </c>
      <c r="D113" s="15" t="n">
        <v>48.7</v>
      </c>
      <c r="E113" s="15" t="n">
        <v>58.82</v>
      </c>
      <c r="F113" s="15" t="n">
        <v>43.22</v>
      </c>
      <c r="G113" s="15" t="n">
        <v>31.2</v>
      </c>
      <c r="H113" s="15" t="n">
        <v>17.5</v>
      </c>
      <c r="I113" s="15" t="n">
        <v>3.95</v>
      </c>
      <c r="J113" s="8" t="inlineStr">
        <is>
          <t>east_table</t>
        </is>
      </c>
    </row>
    <row r="114">
      <c r="A114" s="8" t="inlineStr">
        <is>
          <t>2024-05-29</t>
        </is>
      </c>
      <c r="B114" s="8" t="n">
        <v>2024</v>
      </c>
      <c r="C114" s="8" t="n">
        <v>22</v>
      </c>
      <c r="D114" s="15" t="n">
        <v>46.7</v>
      </c>
      <c r="E114" s="15" t="n">
        <v>61.44</v>
      </c>
      <c r="F114" s="15" t="n">
        <v>45.15</v>
      </c>
      <c r="G114" s="15" t="n">
        <v>28.1</v>
      </c>
      <c r="H114" s="15" t="n">
        <v>18.6</v>
      </c>
      <c r="I114" s="15" t="n">
        <v>-2</v>
      </c>
      <c r="J114" s="8" t="inlineStr">
        <is>
          <t>east_table</t>
        </is>
      </c>
    </row>
    <row r="115">
      <c r="A115" s="8" t="inlineStr">
        <is>
          <t>2024-06-05</t>
        </is>
      </c>
      <c r="B115" s="8" t="n">
        <v>2024</v>
      </c>
      <c r="C115" s="8" t="n">
        <v>23</v>
      </c>
      <c r="D115" s="15" t="n">
        <v>43.5</v>
      </c>
      <c r="E115" s="15" t="n">
        <v>61.8</v>
      </c>
      <c r="F115" s="15" t="n">
        <v>45.41</v>
      </c>
      <c r="G115" s="15" t="n">
        <v>26.4</v>
      </c>
      <c r="H115" s="15" t="n">
        <v>17.1</v>
      </c>
      <c r="I115" s="15" t="n">
        <v>-3.2</v>
      </c>
      <c r="J115" s="8" t="inlineStr">
        <is>
          <t>east_table</t>
        </is>
      </c>
    </row>
    <row r="116">
      <c r="A116" s="8" t="inlineStr">
        <is>
          <t>2024-06-12</t>
        </is>
      </c>
      <c r="B116" s="8" t="n">
        <v>2024</v>
      </c>
      <c r="C116" s="8" t="n">
        <v>24</v>
      </c>
      <c r="D116" s="15" t="n">
        <v>50.4</v>
      </c>
      <c r="E116" s="15" t="n">
        <v>67.73999999999999</v>
      </c>
      <c r="F116" s="15" t="n">
        <v>49.77</v>
      </c>
      <c r="G116" s="15" t="n">
        <v>34.4</v>
      </c>
      <c r="H116" s="15" t="n">
        <v>16</v>
      </c>
      <c r="I116" s="15" t="n">
        <v>6.9</v>
      </c>
      <c r="J116" s="8" t="inlineStr">
        <is>
          <t>east_table</t>
        </is>
      </c>
    </row>
    <row r="117">
      <c r="A117" s="8" t="inlineStr">
        <is>
          <t>2024-06-19</t>
        </is>
      </c>
      <c r="B117" s="8" t="n">
        <v>2024</v>
      </c>
      <c r="C117" s="8" t="n">
        <v>25</v>
      </c>
      <c r="D117" s="15" t="n">
        <v>52.1</v>
      </c>
      <c r="E117" s="15" t="n">
        <v>68.95999999999999</v>
      </c>
      <c r="F117" s="15" t="n">
        <v>50.67</v>
      </c>
      <c r="G117" s="15" t="n">
        <v>36</v>
      </c>
      <c r="H117" s="15" t="n">
        <v>16.1</v>
      </c>
      <c r="I117" s="15" t="n">
        <v>1.7</v>
      </c>
      <c r="J117" s="8" t="inlineStr">
        <is>
          <t>east_table</t>
        </is>
      </c>
    </row>
    <row r="118">
      <c r="A118" s="8" t="inlineStr">
        <is>
          <t>2024-06-26</t>
        </is>
      </c>
      <c r="B118" s="8" t="n">
        <v>2024</v>
      </c>
      <c r="C118" s="8" t="n">
        <v>26</v>
      </c>
      <c r="D118" s="15" t="n">
        <v>63.73</v>
      </c>
      <c r="E118" s="15" t="n">
        <v>79.03</v>
      </c>
      <c r="F118" s="15" t="n">
        <v>58.07</v>
      </c>
      <c r="G118" s="15" t="n">
        <v>45.63</v>
      </c>
      <c r="H118" s="15" t="n">
        <v>18.1</v>
      </c>
      <c r="I118" s="15" t="n">
        <v>11.63</v>
      </c>
      <c r="J118" s="8" t="inlineStr">
        <is>
          <t>east_table</t>
        </is>
      </c>
    </row>
    <row r="119">
      <c r="A119" s="8" t="inlineStr">
        <is>
          <t>2024-07-03</t>
        </is>
      </c>
      <c r="B119" s="8" t="n">
        <v>2024</v>
      </c>
      <c r="C119" s="8" t="n">
        <v>27</v>
      </c>
      <c r="D119" s="15" t="n">
        <v>71.59999999999999</v>
      </c>
      <c r="E119" s="15" t="n">
        <v>88.75</v>
      </c>
      <c r="F119" s="15" t="n">
        <v>65.20999999999999</v>
      </c>
      <c r="G119" s="15" t="n">
        <v>52.6</v>
      </c>
      <c r="H119" s="15" t="n">
        <v>19</v>
      </c>
      <c r="I119" s="15" t="n">
        <v>7.87</v>
      </c>
      <c r="J119" s="8" t="inlineStr">
        <is>
          <t>east_table</t>
        </is>
      </c>
    </row>
    <row r="120">
      <c r="A120" s="8" t="inlineStr">
        <is>
          <t>2024-07-10</t>
        </is>
      </c>
      <c r="B120" s="8" t="n">
        <v>2024</v>
      </c>
      <c r="C120" s="8" t="n">
        <v>28</v>
      </c>
      <c r="D120" s="15" t="n">
        <v>74.25</v>
      </c>
      <c r="E120" s="15" t="n">
        <v>92.34</v>
      </c>
      <c r="F120" s="15" t="n">
        <v>67.84999999999999</v>
      </c>
      <c r="G120" s="15" t="n">
        <v>51.65</v>
      </c>
      <c r="H120" s="15" t="n">
        <v>22.6</v>
      </c>
      <c r="I120" s="15" t="n">
        <v>2.65</v>
      </c>
      <c r="J120" s="8" t="inlineStr">
        <is>
          <t>east_table</t>
        </is>
      </c>
    </row>
    <row r="121">
      <c r="A121" s="8" t="inlineStr">
        <is>
          <t>2024-07-17</t>
        </is>
      </c>
      <c r="B121" s="8" t="n">
        <v>2024</v>
      </c>
      <c r="C121" s="8" t="n">
        <v>29</v>
      </c>
      <c r="D121" s="15" t="n">
        <v>77.40000000000001</v>
      </c>
      <c r="E121" s="15" t="n">
        <v>98.09</v>
      </c>
      <c r="F121" s="15" t="n">
        <v>72.08</v>
      </c>
      <c r="G121" s="15" t="n">
        <v>59.6</v>
      </c>
      <c r="H121" s="15" t="n">
        <v>17.8</v>
      </c>
      <c r="I121" s="15" t="n">
        <v>3.15</v>
      </c>
      <c r="J121" s="8" t="inlineStr">
        <is>
          <t>east_table</t>
        </is>
      </c>
    </row>
    <row r="122">
      <c r="A122" s="8" t="inlineStr">
        <is>
          <t>2024-07-24</t>
        </is>
      </c>
      <c r="B122" s="8" t="n">
        <v>2024</v>
      </c>
      <c r="C122" s="8" t="n">
        <v>30</v>
      </c>
      <c r="D122" s="15" t="n">
        <v>80.90000000000001</v>
      </c>
      <c r="E122" s="15" t="n">
        <v>103.44</v>
      </c>
      <c r="F122" s="15" t="n">
        <v>76.01000000000001</v>
      </c>
      <c r="G122" s="15" t="n">
        <v>60.4</v>
      </c>
      <c r="H122" s="15" t="n">
        <v>20.5</v>
      </c>
      <c r="I122" s="15" t="n">
        <v>3.5</v>
      </c>
      <c r="J122" s="8" t="inlineStr">
        <is>
          <t>east_table</t>
        </is>
      </c>
    </row>
    <row r="123">
      <c r="A123" s="8" t="inlineStr">
        <is>
          <t>2024-07-31</t>
        </is>
      </c>
      <c r="B123" s="8" t="n">
        <v>2024</v>
      </c>
      <c r="C123" s="8" t="n">
        <v>31</v>
      </c>
      <c r="D123" s="15" t="n">
        <v>76</v>
      </c>
      <c r="E123" s="15" t="n">
        <v>101.37</v>
      </c>
      <c r="F123" s="15" t="n">
        <v>74.48999999999999</v>
      </c>
      <c r="G123" s="15" t="n">
        <v>54.6</v>
      </c>
      <c r="H123" s="15" t="n">
        <v>21.4</v>
      </c>
      <c r="I123" s="15" t="n">
        <v>-4.9</v>
      </c>
      <c r="J123" s="8" t="inlineStr">
        <is>
          <t>east_table</t>
        </is>
      </c>
    </row>
    <row r="124">
      <c r="A124" s="8" t="inlineStr">
        <is>
          <t>2024-08-07</t>
        </is>
      </c>
      <c r="B124" s="8" t="n">
        <v>2024</v>
      </c>
      <c r="C124" s="8" t="n">
        <v>32</v>
      </c>
      <c r="D124" s="15" t="n">
        <v>68.2</v>
      </c>
      <c r="E124" s="15" t="n">
        <v>94.05</v>
      </c>
      <c r="F124" s="15" t="n">
        <v>69.11</v>
      </c>
      <c r="G124" s="15" t="n">
        <v>51.4</v>
      </c>
      <c r="H124" s="15" t="n">
        <v>16.8</v>
      </c>
      <c r="I124" s="15" t="n">
        <v>-7.8</v>
      </c>
      <c r="J124" s="8" t="inlineStr">
        <is>
          <t>east_table</t>
        </is>
      </c>
    </row>
    <row r="125">
      <c r="A125" s="8" t="inlineStr">
        <is>
          <t>2024-08-14</t>
        </is>
      </c>
      <c r="B125" s="8" t="n">
        <v>2024</v>
      </c>
      <c r="C125" s="8" t="n">
        <v>33</v>
      </c>
      <c r="D125" s="15" t="n">
        <v>67.93000000000001</v>
      </c>
      <c r="E125" s="15" t="n">
        <v>98.53</v>
      </c>
      <c r="F125" s="15" t="n">
        <v>72.40000000000001</v>
      </c>
      <c r="G125" s="15" t="n">
        <v>50.2</v>
      </c>
      <c r="H125" s="15" t="n">
        <v>17.73</v>
      </c>
      <c r="I125" s="15" t="n">
        <v>-0.27</v>
      </c>
      <c r="J125" s="8" t="inlineStr">
        <is>
          <t>east_table</t>
        </is>
      </c>
    </row>
    <row r="126">
      <c r="A126" s="8" t="inlineStr">
        <is>
          <t>2024-08-21</t>
        </is>
      </c>
      <c r="B126" s="8" t="n">
        <v>2024</v>
      </c>
      <c r="C126" s="8" t="n">
        <v>34</v>
      </c>
      <c r="D126" s="15" t="n">
        <v>72.84999999999999</v>
      </c>
      <c r="E126" s="15" t="n">
        <v>103.3</v>
      </c>
      <c r="F126" s="15" t="n">
        <v>75.90000000000001</v>
      </c>
      <c r="G126" s="15" t="n">
        <v>49.25</v>
      </c>
      <c r="H126" s="15" t="n">
        <v>23.6</v>
      </c>
      <c r="I126" s="15" t="n">
        <v>4.92</v>
      </c>
      <c r="J126" s="8" t="inlineStr">
        <is>
          <t>east_table</t>
        </is>
      </c>
    </row>
    <row r="127">
      <c r="A127" s="8" t="inlineStr">
        <is>
          <t>2024-08-28</t>
        </is>
      </c>
      <c r="B127" s="8" t="n">
        <v>2024</v>
      </c>
      <c r="C127" s="8" t="n">
        <v>35</v>
      </c>
      <c r="D127" s="15" t="n">
        <v>80.08</v>
      </c>
      <c r="E127" s="15" t="n">
        <v>112.43</v>
      </c>
      <c r="F127" s="15" t="n">
        <v>82.61</v>
      </c>
      <c r="G127" s="15" t="n">
        <v>58.38</v>
      </c>
      <c r="H127" s="15" t="n">
        <v>21.7</v>
      </c>
      <c r="I127" s="15" t="n">
        <v>7.23</v>
      </c>
      <c r="J127" s="8" t="inlineStr">
        <is>
          <t>east_table</t>
        </is>
      </c>
    </row>
    <row r="128">
      <c r="A128" s="8" t="inlineStr">
        <is>
          <t>2024-09-04</t>
        </is>
      </c>
      <c r="B128" s="8" t="n">
        <v>2024</v>
      </c>
      <c r="C128" s="8" t="n">
        <v>36</v>
      </c>
      <c r="D128" s="15" t="n">
        <v>81.93000000000001</v>
      </c>
      <c r="E128" s="15" t="n">
        <v>117.44</v>
      </c>
      <c r="F128" s="15" t="n">
        <v>86.29000000000001</v>
      </c>
      <c r="G128" s="15" t="n">
        <v>61.23</v>
      </c>
      <c r="H128" s="15" t="n">
        <v>20.7</v>
      </c>
      <c r="I128" s="15" t="n">
        <v>1.85</v>
      </c>
      <c r="J128" s="8" t="inlineStr">
        <is>
          <t>east_table</t>
        </is>
      </c>
    </row>
    <row r="129">
      <c r="A129" s="8" t="inlineStr">
        <is>
          <t>2024-09-11</t>
        </is>
      </c>
      <c r="B129" s="8" t="n">
        <v>2024</v>
      </c>
      <c r="C129" s="8" t="n">
        <v>37</v>
      </c>
      <c r="D129" s="15" t="n">
        <v>83.58</v>
      </c>
      <c r="E129" s="15" t="n">
        <v>116.83</v>
      </c>
      <c r="F129" s="15" t="n">
        <v>85.84999999999999</v>
      </c>
      <c r="G129" s="15" t="n">
        <v>58.48</v>
      </c>
      <c r="H129" s="15" t="n">
        <v>25.1</v>
      </c>
      <c r="I129" s="15" t="n">
        <v>1.65</v>
      </c>
      <c r="J129" s="8" t="inlineStr">
        <is>
          <t>east_table</t>
        </is>
      </c>
    </row>
    <row r="130">
      <c r="A130" s="8" t="inlineStr">
        <is>
          <t>2024-09-18</t>
        </is>
      </c>
      <c r="B130" s="8" t="n">
        <v>2024</v>
      </c>
      <c r="C130" s="8" t="n">
        <v>38</v>
      </c>
      <c r="D130" s="15" t="n">
        <v>68.37</v>
      </c>
      <c r="E130" s="15" t="n">
        <v>99.81999999999999</v>
      </c>
      <c r="F130" s="15" t="n">
        <v>73.34999999999999</v>
      </c>
      <c r="G130" s="15" t="n">
        <v>50.18</v>
      </c>
      <c r="H130" s="15" t="n">
        <v>18.19</v>
      </c>
      <c r="I130" s="15" t="n">
        <v>-15.21</v>
      </c>
      <c r="J130" s="8" t="inlineStr">
        <is>
          <t>east_table</t>
        </is>
      </c>
    </row>
    <row r="131">
      <c r="A131" s="8" t="inlineStr">
        <is>
          <t>2024-09-25</t>
        </is>
      </c>
      <c r="B131" s="8" t="n">
        <v>2024</v>
      </c>
      <c r="C131" s="8" t="n">
        <v>39</v>
      </c>
      <c r="D131" s="15" t="n">
        <v>60.88</v>
      </c>
      <c r="E131" s="15" t="n">
        <v>95.2</v>
      </c>
      <c r="F131" s="15" t="n">
        <v>69.95</v>
      </c>
      <c r="G131" s="15" t="n">
        <v>44.68</v>
      </c>
      <c r="H131" s="15" t="n">
        <v>16.2</v>
      </c>
      <c r="I131" s="15" t="n">
        <v>-7.49</v>
      </c>
      <c r="J131" s="8" t="inlineStr">
        <is>
          <t>east_table</t>
        </is>
      </c>
    </row>
    <row r="132">
      <c r="A132" s="8" t="inlineStr">
        <is>
          <t>2024-10-09</t>
        </is>
      </c>
      <c r="B132" s="8" t="n">
        <v>2024</v>
      </c>
      <c r="C132" s="8" t="n">
        <v>41</v>
      </c>
      <c r="D132" s="15" t="n">
        <v>64.09999999999999</v>
      </c>
      <c r="E132" s="15" t="n">
        <v>102.05</v>
      </c>
      <c r="F132" s="15" t="n">
        <v>74.98999999999999</v>
      </c>
      <c r="G132" s="15" t="n">
        <v>50.8</v>
      </c>
      <c r="H132" s="15" t="n">
        <v>13.3</v>
      </c>
      <c r="I132" s="15" t="n">
        <v>3.22</v>
      </c>
      <c r="J132" s="8" t="inlineStr">
        <is>
          <t>east_table</t>
        </is>
      </c>
    </row>
    <row r="133">
      <c r="A133" s="8" t="inlineStr">
        <is>
          <t>2024-10-16</t>
        </is>
      </c>
      <c r="B133" s="8" t="n">
        <v>2024</v>
      </c>
      <c r="C133" s="8" t="n">
        <v>42</v>
      </c>
      <c r="D133" s="15" t="n">
        <v>76.15000000000001</v>
      </c>
      <c r="E133" s="15" t="n">
        <v>110.24</v>
      </c>
      <c r="F133" s="15" t="n">
        <v>81</v>
      </c>
      <c r="G133" s="15" t="n">
        <v>58.55</v>
      </c>
      <c r="H133" s="15" t="n">
        <v>17.6</v>
      </c>
      <c r="I133" s="15" t="n">
        <v>12.05</v>
      </c>
      <c r="J133" s="8" t="inlineStr">
        <is>
          <t>east_table</t>
        </is>
      </c>
    </row>
    <row r="134">
      <c r="A134" s="8" t="inlineStr">
        <is>
          <t>2024-10-23</t>
        </is>
      </c>
      <c r="B134" s="8" t="n">
        <v>2024</v>
      </c>
      <c r="C134" s="8" t="n">
        <v>43</v>
      </c>
      <c r="D134" s="15" t="n">
        <v>77.18000000000001</v>
      </c>
      <c r="E134" s="15" t="n">
        <v>110.87</v>
      </c>
      <c r="F134" s="15" t="n">
        <v>81.47</v>
      </c>
      <c r="G134" s="15" t="n">
        <v>59.2</v>
      </c>
      <c r="H134" s="15" t="n">
        <v>17.98</v>
      </c>
      <c r="I134" s="15" t="n">
        <v>1.03</v>
      </c>
      <c r="J134" s="8" t="inlineStr">
        <is>
          <t>east_table</t>
        </is>
      </c>
    </row>
    <row r="135">
      <c r="A135" s="8" t="inlineStr">
        <is>
          <t>2024-10-30</t>
        </is>
      </c>
      <c r="B135" s="8" t="n">
        <v>2024</v>
      </c>
      <c r="C135" s="8" t="n">
        <v>44</v>
      </c>
      <c r="D135" s="15" t="n">
        <v>84.15000000000001</v>
      </c>
      <c r="E135" s="15" t="n">
        <v>118.78</v>
      </c>
      <c r="F135" s="15" t="n">
        <v>87.28</v>
      </c>
      <c r="G135" s="15" t="n">
        <v>67.05</v>
      </c>
      <c r="H135" s="15" t="n">
        <v>17.1</v>
      </c>
      <c r="I135" s="15" t="n">
        <v>6.97</v>
      </c>
      <c r="J135" s="8" t="inlineStr">
        <is>
          <t>east_table</t>
        </is>
      </c>
    </row>
    <row r="136">
      <c r="A136" s="8" t="inlineStr">
        <is>
          <t>2024-11-06</t>
        </is>
      </c>
      <c r="B136" s="8" t="n">
        <v>2024</v>
      </c>
      <c r="C136" s="8" t="n">
        <v>45</v>
      </c>
      <c r="D136" s="15" t="n">
        <v>83.8</v>
      </c>
      <c r="E136" s="15" t="n">
        <v>120.64</v>
      </c>
      <c r="F136" s="15" t="n">
        <v>88.65000000000001</v>
      </c>
      <c r="G136" s="15" t="n">
        <v>66.90000000000001</v>
      </c>
      <c r="H136" s="15" t="n">
        <v>16.9</v>
      </c>
      <c r="I136" s="15" t="n">
        <v>-0.35</v>
      </c>
      <c r="J136" s="8" t="inlineStr">
        <is>
          <t>east_table</t>
        </is>
      </c>
    </row>
    <row r="137">
      <c r="A137" s="8" t="inlineStr">
        <is>
          <t>2024-11-13</t>
        </is>
      </c>
      <c r="B137" s="8" t="n">
        <v>2024</v>
      </c>
      <c r="C137" s="8" t="n">
        <v>46</v>
      </c>
      <c r="D137" s="15" t="n">
        <v>90.40000000000001</v>
      </c>
      <c r="E137" s="15" t="n">
        <v>125.28</v>
      </c>
      <c r="F137" s="15" t="n">
        <v>92.05</v>
      </c>
      <c r="G137" s="15" t="n">
        <v>67.59999999999999</v>
      </c>
      <c r="H137" s="15" t="n">
        <v>22.8</v>
      </c>
      <c r="I137" s="15" t="n">
        <v>6.6</v>
      </c>
      <c r="J137" s="8" t="inlineStr">
        <is>
          <t>east_table</t>
        </is>
      </c>
    </row>
    <row r="138">
      <c r="A138" s="8" t="inlineStr">
        <is>
          <t>2024-11-20</t>
        </is>
      </c>
      <c r="B138" s="8" t="n">
        <v>2024</v>
      </c>
      <c r="C138" s="8" t="n">
        <v>47</v>
      </c>
      <c r="D138" s="15" t="n">
        <v>93.61</v>
      </c>
      <c r="E138" s="15" t="n">
        <v>127.57</v>
      </c>
      <c r="F138" s="15" t="n">
        <v>93.73999999999999</v>
      </c>
      <c r="G138" s="15" t="n">
        <v>72.56</v>
      </c>
      <c r="H138" s="15" t="n">
        <v>21.05</v>
      </c>
      <c r="I138" s="15" t="n">
        <v>3.21</v>
      </c>
      <c r="J138" s="8" t="inlineStr">
        <is>
          <t>east_table</t>
        </is>
      </c>
    </row>
    <row r="139">
      <c r="A139" s="8" t="inlineStr">
        <is>
          <t>2024-11-27</t>
        </is>
      </c>
      <c r="B139" s="8" t="n">
        <v>2024</v>
      </c>
      <c r="C139" s="8" t="n">
        <v>48</v>
      </c>
      <c r="D139" s="15" t="n">
        <v>83.5</v>
      </c>
      <c r="E139" s="15" t="n">
        <v>117.7</v>
      </c>
      <c r="F139" s="15" t="n">
        <v>86.48</v>
      </c>
      <c r="G139" s="15" t="n">
        <v>67.2</v>
      </c>
      <c r="H139" s="15" t="n">
        <v>16.3</v>
      </c>
      <c r="I139" s="15" t="n">
        <v>-10.11</v>
      </c>
      <c r="J139" s="8" t="inlineStr">
        <is>
          <t>east_table</t>
        </is>
      </c>
    </row>
    <row r="140">
      <c r="A140" s="8" t="inlineStr">
        <is>
          <t>2024-12-04</t>
        </is>
      </c>
      <c r="B140" s="8" t="n">
        <v>2024</v>
      </c>
      <c r="C140" s="8" t="n">
        <v>49</v>
      </c>
      <c r="D140" s="15" t="n">
        <v>89.3</v>
      </c>
      <c r="E140" s="15" t="n">
        <v>122.13</v>
      </c>
      <c r="F140" s="15" t="n">
        <v>89.73999999999999</v>
      </c>
      <c r="G140" s="15" t="n">
        <v>71.8</v>
      </c>
      <c r="H140" s="15" t="n">
        <v>17.5</v>
      </c>
      <c r="I140" s="15" t="n">
        <v>5.8</v>
      </c>
      <c r="J140" s="8" t="inlineStr">
        <is>
          <t>east_table</t>
        </is>
      </c>
    </row>
    <row r="141">
      <c r="A141" s="8" t="inlineStr">
        <is>
          <t>2024-12-11</t>
        </is>
      </c>
      <c r="B141" s="8" t="n">
        <v>2024</v>
      </c>
      <c r="C141" s="8" t="n">
        <v>50</v>
      </c>
      <c r="D141" s="15" t="n">
        <v>78.45</v>
      </c>
      <c r="E141" s="15" t="n">
        <v>108.5</v>
      </c>
      <c r="F141" s="15" t="n">
        <v>79.72</v>
      </c>
      <c r="G141" s="15" t="n">
        <v>64.05</v>
      </c>
      <c r="H141" s="15" t="n">
        <v>14.4</v>
      </c>
      <c r="I141" s="15" t="n">
        <v>-10.85</v>
      </c>
      <c r="J141" s="8" t="inlineStr">
        <is>
          <t>east_table</t>
        </is>
      </c>
    </row>
    <row r="142">
      <c r="A142" s="8" t="inlineStr">
        <is>
          <t>2024-12-18</t>
        </is>
      </c>
      <c r="B142" s="8" t="n">
        <v>2024</v>
      </c>
      <c r="C142" s="8" t="n">
        <v>51</v>
      </c>
      <c r="D142" s="15" t="n">
        <v>77.05</v>
      </c>
      <c r="E142" s="15" t="n">
        <v>107.03</v>
      </c>
      <c r="F142" s="15" t="n">
        <v>78.64</v>
      </c>
      <c r="G142" s="15" t="n">
        <v>57.85</v>
      </c>
      <c r="H142" s="15" t="n">
        <v>19.2</v>
      </c>
      <c r="I142" s="15" t="n">
        <v>-1.4</v>
      </c>
      <c r="J142" s="8" t="inlineStr">
        <is>
          <t>east_table</t>
        </is>
      </c>
    </row>
    <row r="143">
      <c r="A143" s="8" t="inlineStr">
        <is>
          <t>2024-12-25</t>
        </is>
      </c>
      <c r="B143" s="8" t="n">
        <v>2024</v>
      </c>
      <c r="C143" s="8" t="n">
        <v>52</v>
      </c>
      <c r="D143" s="15" t="n">
        <v>68.09999999999999</v>
      </c>
      <c r="E143" s="15" t="n">
        <v>95.83</v>
      </c>
      <c r="F143" s="15" t="n">
        <v>70.42</v>
      </c>
      <c r="G143" s="15" t="n">
        <v>54.6</v>
      </c>
      <c r="H143" s="15" t="n">
        <v>13.5</v>
      </c>
      <c r="I143" s="15" t="n">
        <v>-8.949999999999999</v>
      </c>
      <c r="J143" s="8" t="inlineStr">
        <is>
          <t>east_table</t>
        </is>
      </c>
    </row>
    <row r="144">
      <c r="A144" s="8" t="inlineStr">
        <is>
          <t>2025-01-02</t>
        </is>
      </c>
      <c r="B144" s="8" t="n">
        <v>2025</v>
      </c>
      <c r="C144" s="8" t="n">
        <v>1</v>
      </c>
      <c r="D144" s="15" t="n">
        <v>67.2</v>
      </c>
      <c r="E144" s="15" t="n">
        <v>93.36</v>
      </c>
      <c r="F144" s="15" t="n">
        <v>68.59999999999999</v>
      </c>
      <c r="G144" s="15" t="n">
        <v>56.2</v>
      </c>
      <c r="H144" s="15" t="n">
        <v>11</v>
      </c>
      <c r="I144" s="15" t="n">
        <v>-0.9</v>
      </c>
      <c r="J144" s="8" t="inlineStr">
        <is>
          <t>east_table</t>
        </is>
      </c>
    </row>
    <row r="145">
      <c r="A145" s="8" t="inlineStr">
        <is>
          <t>2025-01-08</t>
        </is>
      </c>
      <c r="B145" s="8" t="n">
        <v>2025</v>
      </c>
      <c r="C145" s="8" t="n">
        <v>2</v>
      </c>
      <c r="D145" s="15" t="n">
        <v>58.9</v>
      </c>
      <c r="E145" s="15" t="n">
        <v>84.77</v>
      </c>
      <c r="F145" s="15" t="n">
        <v>62.29</v>
      </c>
      <c r="G145" s="15" t="n">
        <v>48.5</v>
      </c>
      <c r="H145" s="15" t="n">
        <v>10.4</v>
      </c>
      <c r="I145" s="15" t="n">
        <v>-8.300000000000001</v>
      </c>
      <c r="J145" s="8" t="inlineStr">
        <is>
          <t>east_table</t>
        </is>
      </c>
    </row>
    <row r="146">
      <c r="A146" s="8" t="inlineStr">
        <is>
          <t>2025-01-15</t>
        </is>
      </c>
      <c r="B146" s="8" t="n">
        <v>2025</v>
      </c>
      <c r="C146" s="8" t="n">
        <v>3</v>
      </c>
      <c r="D146" s="15" t="n">
        <v>66.90000000000001</v>
      </c>
      <c r="E146" s="15" t="n">
        <v>91.47</v>
      </c>
      <c r="F146" s="15" t="n">
        <v>67.20999999999999</v>
      </c>
      <c r="G146" s="15" t="n">
        <v>52.9</v>
      </c>
      <c r="H146" s="15" t="n">
        <v>14</v>
      </c>
      <c r="I146" s="15" t="n">
        <v>8</v>
      </c>
      <c r="J146" s="8" t="inlineStr">
        <is>
          <t>east_table</t>
        </is>
      </c>
    </row>
    <row r="147">
      <c r="A147" s="8" t="inlineStr">
        <is>
          <t>2025-01-22</t>
        </is>
      </c>
      <c r="B147" s="8" t="n">
        <v>2025</v>
      </c>
      <c r="C147" s="8" t="n">
        <v>4</v>
      </c>
      <c r="D147" s="15" t="n">
        <v>69.06</v>
      </c>
      <c r="E147" s="15" t="n">
        <v>92.97</v>
      </c>
      <c r="F147" s="15" t="n">
        <v>68.31</v>
      </c>
      <c r="G147" s="15" t="n">
        <v>54.66</v>
      </c>
      <c r="H147" s="15" t="n">
        <v>14.4</v>
      </c>
      <c r="I147" s="15" t="n">
        <v>2.16</v>
      </c>
      <c r="J147" s="8" t="inlineStr">
        <is>
          <t>east_table</t>
        </is>
      </c>
    </row>
    <row r="148">
      <c r="A148" s="8" t="inlineStr">
        <is>
          <t>2025-02-05</t>
        </is>
      </c>
      <c r="B148" s="8" t="n">
        <v>2025</v>
      </c>
      <c r="C148" s="8" t="n">
        <v>6</v>
      </c>
      <c r="D148" s="15" t="n">
        <v>69.40000000000001</v>
      </c>
      <c r="E148" s="15" t="n">
        <v>95.51000000000001</v>
      </c>
      <c r="F148" s="15" t="n">
        <v>70.18000000000001</v>
      </c>
      <c r="G148" s="15" t="n">
        <v>56.9</v>
      </c>
      <c r="H148" s="15" t="n">
        <v>12.5</v>
      </c>
      <c r="I148" s="15" t="n">
        <v>0.34</v>
      </c>
      <c r="J148" s="8" t="inlineStr">
        <is>
          <t>east_table</t>
        </is>
      </c>
    </row>
    <row r="149">
      <c r="A149" s="8" t="inlineStr">
        <is>
          <t>2025-02-12</t>
        </is>
      </c>
      <c r="B149" s="8" t="n">
        <v>2025</v>
      </c>
      <c r="C149" s="8" t="n">
        <v>7</v>
      </c>
      <c r="D149" s="15" t="n">
        <v>71.73</v>
      </c>
      <c r="E149" s="15" t="n">
        <v>96.95</v>
      </c>
      <c r="F149" s="15" t="n">
        <v>71.23999999999999</v>
      </c>
      <c r="G149" s="15" t="n">
        <v>62.15</v>
      </c>
      <c r="H149" s="15" t="n">
        <v>9.58</v>
      </c>
      <c r="I149" s="15" t="n">
        <v>2.33</v>
      </c>
      <c r="J149" s="8" t="inlineStr">
        <is>
          <t>east_table</t>
        </is>
      </c>
    </row>
    <row r="150">
      <c r="A150" s="8" t="inlineStr">
        <is>
          <t>2025-02-19</t>
        </is>
      </c>
      <c r="B150" s="8" t="n">
        <v>2025</v>
      </c>
      <c r="C150" s="8" t="n">
        <v>8</v>
      </c>
      <c r="D150" s="15" t="n">
        <v>77.7</v>
      </c>
      <c r="E150" s="15" t="n">
        <v>100.12</v>
      </c>
      <c r="F150" s="15" t="n">
        <v>73.56999999999999</v>
      </c>
      <c r="G150" s="15" t="n">
        <v>67.34999999999999</v>
      </c>
      <c r="H150" s="15" t="n">
        <v>10.35</v>
      </c>
      <c r="I150" s="15" t="n">
        <v>5.97</v>
      </c>
      <c r="J150" s="8" t="inlineStr">
        <is>
          <t>east_table</t>
        </is>
      </c>
    </row>
    <row r="151">
      <c r="A151" s="8" t="inlineStr">
        <is>
          <t>2025-02-26</t>
        </is>
      </c>
      <c r="B151" s="8" t="n">
        <v>2025</v>
      </c>
      <c r="C151" s="8" t="n">
        <v>9</v>
      </c>
      <c r="D151" s="15" t="n">
        <v>84.12</v>
      </c>
      <c r="E151" s="15" t="n">
        <v>106.92</v>
      </c>
      <c r="F151" s="15" t="n">
        <v>78.56</v>
      </c>
      <c r="G151" s="15" t="n">
        <v>65</v>
      </c>
      <c r="H151" s="15" t="n">
        <v>19.12</v>
      </c>
      <c r="I151" s="15" t="n">
        <v>5.72</v>
      </c>
      <c r="J151" s="8" t="inlineStr">
        <is>
          <t>east_table</t>
        </is>
      </c>
    </row>
    <row r="152">
      <c r="A152" s="8" t="inlineStr">
        <is>
          <t>2025-03-05</t>
        </is>
      </c>
      <c r="B152" s="8" t="n">
        <v>2025</v>
      </c>
      <c r="C152" s="8" t="n">
        <v>10</v>
      </c>
      <c r="D152" s="15" t="n">
        <v>76.54000000000001</v>
      </c>
      <c r="E152" s="15" t="n">
        <v>100.61</v>
      </c>
      <c r="F152" s="15" t="n">
        <v>73.93000000000001</v>
      </c>
      <c r="G152" s="15" t="n">
        <v>60.02</v>
      </c>
      <c r="H152" s="15" t="n">
        <v>16.52</v>
      </c>
      <c r="I152" s="15" t="n">
        <v>-7.58</v>
      </c>
      <c r="J152" s="8" t="inlineStr">
        <is>
          <t>east_table</t>
        </is>
      </c>
    </row>
    <row r="153">
      <c r="A153" s="8" t="inlineStr">
        <is>
          <t>2025-03-12</t>
        </is>
      </c>
      <c r="B153" s="8" t="n">
        <v>2025</v>
      </c>
      <c r="C153" s="8" t="n">
        <v>11</v>
      </c>
      <c r="D153" s="15" t="n">
        <v>67.5</v>
      </c>
      <c r="E153" s="15" t="n">
        <v>91.09999999999999</v>
      </c>
      <c r="F153" s="15" t="n">
        <v>66.94</v>
      </c>
      <c r="G153" s="15" t="n">
        <v>54.1</v>
      </c>
      <c r="H153" s="15" t="n">
        <v>13.4</v>
      </c>
      <c r="I153" s="15" t="n">
        <v>-9.039999999999999</v>
      </c>
      <c r="J153" s="8" t="inlineStr">
        <is>
          <t>east_table</t>
        </is>
      </c>
    </row>
    <row r="154">
      <c r="A154" s="8" t="inlineStr">
        <is>
          <t>2025-03-19</t>
        </is>
      </c>
      <c r="B154" s="8" t="n">
        <v>2025</v>
      </c>
      <c r="C154" s="8" t="n">
        <v>12</v>
      </c>
      <c r="D154" s="15" t="n">
        <v>58.8</v>
      </c>
      <c r="E154" s="15" t="n">
        <v>80.01000000000001</v>
      </c>
      <c r="F154" s="15" t="n">
        <v>58.79</v>
      </c>
      <c r="G154" s="15" t="n">
        <v>47.1</v>
      </c>
      <c r="H154" s="15" t="n">
        <v>11.7</v>
      </c>
      <c r="I154" s="15" t="n">
        <v>-8.699999999999999</v>
      </c>
      <c r="J154" s="8" t="inlineStr">
        <is>
          <t>east_table</t>
        </is>
      </c>
    </row>
    <row r="155">
      <c r="A155" s="8" t="inlineStr">
        <is>
          <t>2025-03-26</t>
        </is>
      </c>
      <c r="B155" s="8" t="n">
        <v>2025</v>
      </c>
      <c r="C155" s="8" t="n">
        <v>13</v>
      </c>
      <c r="D155" s="15" t="n">
        <v>56.65</v>
      </c>
      <c r="E155" s="15" t="n">
        <v>77.38</v>
      </c>
      <c r="F155" s="15" t="n">
        <v>56.86</v>
      </c>
      <c r="G155" s="15" t="n">
        <v>40.8</v>
      </c>
      <c r="H155" s="15" t="n">
        <v>15.85</v>
      </c>
      <c r="I155" s="15" t="n">
        <v>-2.15</v>
      </c>
      <c r="J155" s="8" t="inlineStr">
        <is>
          <t>east_table</t>
        </is>
      </c>
    </row>
    <row r="156">
      <c r="A156" s="8" t="inlineStr">
        <is>
          <t>2025-04-02</t>
        </is>
      </c>
      <c r="B156" s="8" t="n">
        <v>2025</v>
      </c>
      <c r="C156" s="8" t="n">
        <v>14</v>
      </c>
      <c r="D156" s="15" t="n">
        <v>45.1</v>
      </c>
      <c r="E156" s="15" t="n">
        <v>61.61</v>
      </c>
      <c r="F156" s="15" t="n">
        <v>45.27</v>
      </c>
      <c r="G156" s="15" t="n">
        <v>34</v>
      </c>
      <c r="H156" s="15" t="n">
        <v>11.1</v>
      </c>
      <c r="I156" s="15" t="n">
        <v>-11.55</v>
      </c>
      <c r="J156" s="8" t="inlineStr">
        <is>
          <t>east_table</t>
        </is>
      </c>
    </row>
    <row r="157">
      <c r="A157" s="8" t="inlineStr">
        <is>
          <t>2025-04-09</t>
        </is>
      </c>
      <c r="B157" s="8" t="n">
        <v>2025</v>
      </c>
      <c r="C157" s="8" t="n">
        <v>15</v>
      </c>
      <c r="D157" s="15" t="n">
        <v>40</v>
      </c>
      <c r="E157" s="15" t="n">
        <v>56.98</v>
      </c>
      <c r="F157" s="15" t="n">
        <v>41.87</v>
      </c>
      <c r="G157" s="15" t="n">
        <v>26.2</v>
      </c>
      <c r="H157" s="15" t="n">
        <v>13.8</v>
      </c>
      <c r="I157" s="15" t="n">
        <v>-5.1</v>
      </c>
      <c r="J157" s="8" t="inlineStr">
        <is>
          <t>east_table</t>
        </is>
      </c>
    </row>
    <row r="158">
      <c r="A158" s="8" t="inlineStr">
        <is>
          <t>2025-04-16</t>
        </is>
      </c>
      <c r="B158" s="8" t="n">
        <v>2025</v>
      </c>
      <c r="C158" s="8" t="n">
        <v>16</v>
      </c>
      <c r="D158" s="15" t="n">
        <v>43.03</v>
      </c>
      <c r="E158" s="15" t="n">
        <v>58.56</v>
      </c>
      <c r="F158" s="15" t="n">
        <v>43.03</v>
      </c>
      <c r="G158" s="15" t="n">
        <v>28.13</v>
      </c>
      <c r="H158" s="15" t="n">
        <v>14.9</v>
      </c>
      <c r="I158" s="15" t="n">
        <v>3.03</v>
      </c>
      <c r="J158" s="8" t="inlineStr">
        <is>
          <t>east_table</t>
        </is>
      </c>
    </row>
    <row r="159">
      <c r="A159" s="8" t="inlineStr">
        <is>
          <t>2025-04-23</t>
        </is>
      </c>
      <c r="B159" s="8" t="n">
        <v>2025</v>
      </c>
      <c r="C159" s="8" t="n">
        <v>17</v>
      </c>
      <c r="D159" s="15" t="n">
        <v>33.8</v>
      </c>
      <c r="E159" s="15" t="n">
        <v>46.32</v>
      </c>
      <c r="F159" s="15" t="n">
        <v>34.04</v>
      </c>
      <c r="G159" s="15" t="n">
        <v>22.4</v>
      </c>
      <c r="H159" s="15" t="n">
        <v>11.4</v>
      </c>
      <c r="I159" s="15" t="n">
        <v>-9.23</v>
      </c>
      <c r="J159" s="8" t="inlineStr">
        <is>
          <t>east_table</t>
        </is>
      </c>
    </row>
    <row r="160">
      <c r="A160" s="8" t="inlineStr">
        <is>
          <t>2025-04-30</t>
        </is>
      </c>
      <c r="B160" s="8" t="n">
        <v>2025</v>
      </c>
      <c r="C160" s="8" t="n">
        <v>18</v>
      </c>
      <c r="D160" s="15" t="n">
        <v>39.24</v>
      </c>
      <c r="E160" s="15" t="n">
        <v>53.74</v>
      </c>
      <c r="F160" s="15" t="n">
        <v>39.49</v>
      </c>
      <c r="G160" s="15" t="n">
        <v>24.8</v>
      </c>
      <c r="H160" s="15" t="n">
        <v>14.44</v>
      </c>
      <c r="I160" s="15" t="n">
        <v>5.44</v>
      </c>
      <c r="J160" s="8" t="inlineStr">
        <is>
          <t>east_table</t>
        </is>
      </c>
    </row>
    <row r="161">
      <c r="A161" s="8" t="inlineStr">
        <is>
          <t>2025-05-07</t>
        </is>
      </c>
      <c r="B161" s="8" t="n">
        <v>2025</v>
      </c>
      <c r="C161" s="8" t="n">
        <v>19</v>
      </c>
      <c r="D161" s="15" t="n">
        <v>37.95</v>
      </c>
      <c r="E161" s="15" t="n">
        <v>56.19</v>
      </c>
      <c r="F161" s="15" t="n">
        <v>41.29</v>
      </c>
      <c r="G161" s="15" t="n">
        <v>23</v>
      </c>
      <c r="H161" s="15" t="n">
        <v>14.95</v>
      </c>
      <c r="I161" s="15" t="n">
        <v>-1.29</v>
      </c>
      <c r="J161" s="8" t="inlineStr">
        <is>
          <t>east_table</t>
        </is>
      </c>
    </row>
    <row r="162">
      <c r="A162" s="8" t="inlineStr">
        <is>
          <t>2025-05-14</t>
        </is>
      </c>
      <c r="B162" s="8" t="n">
        <v>2025</v>
      </c>
      <c r="C162" s="8" t="n">
        <v>20</v>
      </c>
      <c r="D162" s="15" t="n">
        <v>32.4</v>
      </c>
      <c r="E162" s="15" t="n">
        <v>48.39</v>
      </c>
      <c r="F162" s="15" t="n">
        <v>35.56</v>
      </c>
      <c r="G162" s="15" t="n">
        <v>20.3</v>
      </c>
      <c r="H162" s="15" t="n">
        <v>12.1</v>
      </c>
      <c r="I162" s="15" t="n">
        <v>-5.55</v>
      </c>
      <c r="J162" s="8" t="inlineStr">
        <is>
          <t>east_table</t>
        </is>
      </c>
    </row>
    <row r="163">
      <c r="A163" s="8" t="inlineStr">
        <is>
          <t>2025-05-21</t>
        </is>
      </c>
      <c r="B163" s="8" t="n">
        <v>2025</v>
      </c>
      <c r="C163" s="8" t="n">
        <v>21</v>
      </c>
      <c r="D163" s="15" t="n">
        <v>32.7</v>
      </c>
      <c r="E163" s="15" t="n">
        <v>49.04</v>
      </c>
      <c r="F163" s="15" t="n">
        <v>36.03</v>
      </c>
      <c r="G163" s="15" t="n">
        <v>21.5</v>
      </c>
      <c r="H163" s="15" t="n">
        <v>11.2</v>
      </c>
      <c r="I163" s="15" t="n">
        <v>0.3</v>
      </c>
      <c r="J163" s="8" t="inlineStr">
        <is>
          <t>east_table</t>
        </is>
      </c>
    </row>
    <row r="164">
      <c r="A164" s="8" t="inlineStr">
        <is>
          <t>2025-05-28</t>
        </is>
      </c>
      <c r="B164" s="8" t="n">
        <v>2025</v>
      </c>
      <c r="C164" s="8" t="n">
        <v>22</v>
      </c>
      <c r="D164" s="15" t="n">
        <v>37.1</v>
      </c>
      <c r="E164" s="15" t="n">
        <v>52.3</v>
      </c>
      <c r="F164" s="15" t="n">
        <v>38.43</v>
      </c>
      <c r="G164" s="15" t="n">
        <v>23</v>
      </c>
      <c r="H164" s="15" t="n">
        <v>14.1</v>
      </c>
      <c r="I164" s="15" t="n">
        <v>4.4</v>
      </c>
      <c r="J164" s="8" t="inlineStr">
        <is>
          <t>east_table</t>
        </is>
      </c>
    </row>
    <row r="165">
      <c r="A165" s="8" t="inlineStr">
        <is>
          <t>2025-06-04</t>
        </is>
      </c>
      <c r="B165" s="8" t="n">
        <v>2025</v>
      </c>
      <c r="C165" s="8" t="n">
        <v>23</v>
      </c>
      <c r="D165" s="15" t="n">
        <v>42.23</v>
      </c>
      <c r="E165" s="15" t="n">
        <v>58.12</v>
      </c>
      <c r="F165" s="15" t="n">
        <v>42.71</v>
      </c>
      <c r="G165" s="15" t="n">
        <v>28.13</v>
      </c>
      <c r="H165" s="15" t="n"/>
      <c r="I165" s="15" t="n">
        <v>5.13</v>
      </c>
      <c r="J165" s="8" t="inlineStr">
        <is>
          <t>east_table</t>
        </is>
      </c>
    </row>
    <row r="166">
      <c r="A166" s="8" t="inlineStr">
        <is>
          <t>2025-06-11</t>
        </is>
      </c>
      <c r="B166" s="8" t="n">
        <v>2025</v>
      </c>
      <c r="C166" s="8" t="n">
        <v>24</v>
      </c>
      <c r="D166" s="15" t="n">
        <v>46.8</v>
      </c>
      <c r="E166" s="15" t="n">
        <v>65.22</v>
      </c>
      <c r="F166" s="15" t="n">
        <v>47.92</v>
      </c>
      <c r="G166" s="15" t="n">
        <v>31.2</v>
      </c>
      <c r="H166" s="15" t="n">
        <v>15.6</v>
      </c>
      <c r="I166" s="15" t="n">
        <v>4.57</v>
      </c>
      <c r="J166" s="8" t="inlineStr">
        <is>
          <t>east_table</t>
        </is>
      </c>
    </row>
    <row r="167">
      <c r="A167" s="8" t="inlineStr">
        <is>
          <t>2025-06-18</t>
        </is>
      </c>
      <c r="B167" s="8" t="n">
        <v>2025</v>
      </c>
      <c r="C167" s="8" t="n">
        <v>25</v>
      </c>
      <c r="D167" s="15" t="n">
        <v>43.7</v>
      </c>
      <c r="E167" s="15" t="n">
        <v>58.64</v>
      </c>
      <c r="F167" s="15" t="n">
        <v>43.09</v>
      </c>
      <c r="G167" s="15" t="n">
        <v>29.35</v>
      </c>
      <c r="H167" s="15" t="n">
        <v>14.35</v>
      </c>
      <c r="I167" s="15" t="n">
        <v>-3.1</v>
      </c>
      <c r="J167" s="8" t="inlineStr">
        <is>
          <t>east_table</t>
        </is>
      </c>
    </row>
    <row r="168">
      <c r="A168" s="8" t="inlineStr">
        <is>
          <t>2025-06-25</t>
        </is>
      </c>
      <c r="B168" s="8" t="n">
        <v>2025</v>
      </c>
      <c r="C168" s="8" t="n">
        <v>26</v>
      </c>
      <c r="D168" s="15" t="n">
        <v>49.6</v>
      </c>
      <c r="E168" s="15" t="n">
        <v>67.05</v>
      </c>
      <c r="F168" s="15" t="n">
        <v>49.27</v>
      </c>
      <c r="G168" s="15" t="n">
        <v>35.65</v>
      </c>
      <c r="H168" s="15" t="n">
        <v>13.95</v>
      </c>
      <c r="I168" s="15" t="n">
        <v>5.9</v>
      </c>
      <c r="J168" s="8" t="inlineStr">
        <is>
          <t>east_table</t>
        </is>
      </c>
    </row>
    <row r="169">
      <c r="A169" s="8" t="inlineStr">
        <is>
          <t>2025-07-02</t>
        </is>
      </c>
      <c r="B169" s="8" t="n">
        <v>2025</v>
      </c>
      <c r="C169" s="8" t="n">
        <v>27</v>
      </c>
      <c r="D169" s="15" t="n">
        <v>50.95</v>
      </c>
      <c r="E169" s="15" t="n">
        <v>67.37</v>
      </c>
      <c r="F169" s="15" t="n">
        <v>49.5</v>
      </c>
      <c r="G169" s="15" t="n">
        <v>33.3</v>
      </c>
      <c r="H169" s="15" t="n">
        <v>17.65</v>
      </c>
      <c r="I169" s="15" t="n">
        <v>1.35</v>
      </c>
      <c r="J169" s="8" t="inlineStr">
        <is>
          <t>east_table</t>
        </is>
      </c>
    </row>
    <row r="170">
      <c r="A170" s="8" t="inlineStr">
        <is>
          <t>2025-07-09</t>
        </is>
      </c>
      <c r="B170" s="8" t="n">
        <v>2025</v>
      </c>
      <c r="C170" s="8" t="n">
        <v>28</v>
      </c>
      <c r="D170" s="15" t="n">
        <v>57.05</v>
      </c>
      <c r="E170" s="15" t="n">
        <v>71.89</v>
      </c>
      <c r="F170" s="15" t="n">
        <v>52.82</v>
      </c>
      <c r="G170" s="15" t="n">
        <v>39.5</v>
      </c>
      <c r="H170" s="15" t="n">
        <v>17.55</v>
      </c>
      <c r="I170" s="15" t="n">
        <v>6.1</v>
      </c>
      <c r="J170" s="8" t="inlineStr">
        <is>
          <t>east_table</t>
        </is>
      </c>
    </row>
    <row r="171">
      <c r="A171" s="8" t="inlineStr">
        <is>
          <t>2025-07-16</t>
        </is>
      </c>
      <c r="B171" s="8" t="n">
        <v>2025</v>
      </c>
      <c r="C171" s="8" t="n">
        <v>29</v>
      </c>
      <c r="D171" s="15" t="n">
        <v>63.4</v>
      </c>
      <c r="E171" s="15" t="n">
        <v>79.02</v>
      </c>
      <c r="F171" s="15" t="n">
        <v>58.06</v>
      </c>
      <c r="G171" s="15" t="n">
        <v>45.4</v>
      </c>
      <c r="H171" s="15" t="n">
        <v>18</v>
      </c>
      <c r="I171" s="15" t="n">
        <v>6.35</v>
      </c>
      <c r="J171" s="8" t="inlineStr">
        <is>
          <t>east_table</t>
        </is>
      </c>
    </row>
    <row r="172">
      <c r="A172" s="8" t="inlineStr">
        <is>
          <t>2025-07-23</t>
        </is>
      </c>
      <c r="B172" s="8" t="n">
        <v>2025</v>
      </c>
      <c r="C172" s="8" t="n">
        <v>30</v>
      </c>
      <c r="D172" s="15" t="n">
        <v>54.7</v>
      </c>
      <c r="E172" s="15" t="n">
        <v>72.58</v>
      </c>
      <c r="F172" s="15" t="n">
        <v>53.33</v>
      </c>
      <c r="G172" s="15" t="n">
        <v>40.9</v>
      </c>
      <c r="H172" s="15" t="n">
        <v>13.8</v>
      </c>
      <c r="I172" s="15" t="n">
        <v>-8.699999999999999</v>
      </c>
      <c r="J172" s="8" t="inlineStr">
        <is>
          <t>east_table</t>
        </is>
      </c>
    </row>
    <row r="173">
      <c r="A173" s="8" t="inlineStr">
        <is>
          <t>2025-07-30</t>
        </is>
      </c>
      <c r="B173" s="8" t="n">
        <v>2025</v>
      </c>
      <c r="C173" s="8" t="n">
        <v>31</v>
      </c>
      <c r="D173" s="15" t="n">
        <v>57.2</v>
      </c>
      <c r="E173" s="15" t="n">
        <v>80.84</v>
      </c>
      <c r="F173" s="15" t="n">
        <v>59.4</v>
      </c>
      <c r="G173" s="15" t="n"/>
      <c r="H173" s="15" t="n"/>
      <c r="I173" s="15" t="n">
        <v>2.5</v>
      </c>
      <c r="J173" s="8" t="inlineStr">
        <is>
          <t>east_estimated</t>
        </is>
      </c>
    </row>
    <row r="174">
      <c r="A174" s="8" t="inlineStr">
        <is>
          <t>2025-08-06</t>
        </is>
      </c>
      <c r="B174" s="8" t="n">
        <v>2025</v>
      </c>
      <c r="C174" s="8" t="n">
        <v>32</v>
      </c>
      <c r="D174" s="15" t="n">
        <v>64.2</v>
      </c>
      <c r="E174" s="15" t="n">
        <v>92.55</v>
      </c>
      <c r="F174" s="15" t="n">
        <v>68</v>
      </c>
      <c r="G174" s="15" t="n"/>
      <c r="H174" s="15" t="n">
        <v>14.4</v>
      </c>
      <c r="I174" s="15" t="n">
        <v>7</v>
      </c>
      <c r="J174" s="8" t="inlineStr">
        <is>
          <t>east_estimated</t>
        </is>
      </c>
    </row>
    <row r="175">
      <c r="A175" s="8" t="inlineStr">
        <is>
          <t>2025-08-13</t>
        </is>
      </c>
      <c r="B175" s="8" t="n">
        <v>2025</v>
      </c>
      <c r="C175" s="8" t="n">
        <v>33</v>
      </c>
      <c r="D175" s="15" t="n"/>
      <c r="E175" s="15" t="n">
        <v>102.18</v>
      </c>
      <c r="F175" s="15" t="n">
        <v>75.08</v>
      </c>
      <c r="G175" s="15" t="n"/>
      <c r="H175" s="15" t="n">
        <v>13.9</v>
      </c>
      <c r="I175" s="15" t="n">
        <v>4.5</v>
      </c>
      <c r="J175" s="8" t="n"/>
    </row>
    <row r="176">
      <c r="A176" s="8" t="inlineStr">
        <is>
          <t>2025-08-20</t>
        </is>
      </c>
      <c r="B176" s="8" t="n">
        <v>2025</v>
      </c>
      <c r="C176" s="8" t="n">
        <v>34</v>
      </c>
      <c r="D176" s="15" t="n"/>
      <c r="E176" s="15" t="n">
        <v>107.6</v>
      </c>
      <c r="F176" s="15" t="n">
        <v>79.06</v>
      </c>
      <c r="G176" s="15" t="n">
        <v>54.75</v>
      </c>
      <c r="H176" s="15" t="n"/>
      <c r="I176" s="15" t="n">
        <v>1.92</v>
      </c>
      <c r="J176" s="8" t="n"/>
    </row>
    <row r="177">
      <c r="A177" s="8" t="inlineStr">
        <is>
          <t>2025-08-27</t>
        </is>
      </c>
      <c r="B177" s="8" t="n">
        <v>2025</v>
      </c>
      <c r="C177" s="8" t="n">
        <v>35</v>
      </c>
      <c r="D177" s="15" t="n"/>
      <c r="E177" s="15" t="n">
        <v>129.93</v>
      </c>
      <c r="F177" s="15" t="n">
        <v>95.47</v>
      </c>
      <c r="G177" s="15" t="n"/>
      <c r="H177" s="15" t="n"/>
      <c r="I177" s="15" t="n">
        <v>18.28</v>
      </c>
      <c r="J177" s="8" t="n"/>
    </row>
    <row r="178">
      <c r="A178" s="8" t="inlineStr">
        <is>
          <t>2025-09-03</t>
        </is>
      </c>
      <c r="B178" s="8" t="n">
        <v>2025</v>
      </c>
      <c r="C178" s="8" t="n">
        <v>36</v>
      </c>
      <c r="D178" s="15" t="n"/>
      <c r="E178" s="15" t="n">
        <v>142.77</v>
      </c>
      <c r="F178" s="15" t="n">
        <v>104.91</v>
      </c>
      <c r="G178" s="15" t="n"/>
      <c r="H178" s="15" t="n"/>
      <c r="I178" s="15" t="n">
        <v>11.33</v>
      </c>
      <c r="J178" s="8" t="n"/>
    </row>
    <row r="179">
      <c r="A179" s="8" t="inlineStr">
        <is>
          <t>2025-09-10</t>
        </is>
      </c>
      <c r="B179" s="8" t="n">
        <v>2025</v>
      </c>
      <c r="C179" s="8" t="n">
        <v>37</v>
      </c>
      <c r="D179" s="15" t="n"/>
      <c r="E179" s="15" t="n">
        <v>155.03</v>
      </c>
      <c r="F179" s="15" t="n">
        <v>113.91</v>
      </c>
      <c r="G179" s="15" t="n"/>
      <c r="H179" s="15" t="n"/>
      <c r="I179" s="15" t="n">
        <v>8.720000000000001</v>
      </c>
      <c r="J179" s="8" t="n"/>
    </row>
    <row r="180">
      <c r="A180" s="8" t="inlineStr">
        <is>
          <t>2025-09-17</t>
        </is>
      </c>
      <c r="B180" s="8" t="n">
        <v>2025</v>
      </c>
      <c r="C180" s="8" t="n">
        <v>38</v>
      </c>
      <c r="D180" s="15" t="n">
        <v>107.39</v>
      </c>
      <c r="E180" s="15" t="n">
        <v>155.78</v>
      </c>
      <c r="F180" s="15" t="n">
        <v>114.47</v>
      </c>
      <c r="G180" s="15" t="n">
        <v>78.7</v>
      </c>
      <c r="H180" s="15" t="n"/>
      <c r="I180" s="15" t="n">
        <v>-1.56</v>
      </c>
      <c r="J180" s="8" t="inlineStr">
        <is>
          <t>east_table</t>
        </is>
      </c>
    </row>
    <row r="181">
      <c r="A181" s="8" t="inlineStr">
        <is>
          <t>2025-09-24</t>
        </is>
      </c>
      <c r="B181" s="8" t="n">
        <v>2025</v>
      </c>
      <c r="C181" s="8" t="n">
        <v>39</v>
      </c>
      <c r="D181" s="15" t="n">
        <v>103.27</v>
      </c>
      <c r="E181" s="15" t="n">
        <v>149.22</v>
      </c>
      <c r="F181" s="15" t="n">
        <v>109.65</v>
      </c>
      <c r="G181" s="15" t="n">
        <v>77.90000000000001</v>
      </c>
      <c r="H181" s="15" t="n">
        <v>25.37</v>
      </c>
      <c r="I181" s="15" t="n">
        <v>-4.12</v>
      </c>
      <c r="J181" s="8" t="inlineStr">
        <is>
          <t>east_table</t>
        </is>
      </c>
    </row>
    <row r="182">
      <c r="A182" s="8" t="inlineStr">
        <is>
          <t>2025-10-09</t>
        </is>
      </c>
      <c r="B182" s="8" t="n">
        <v>2025</v>
      </c>
      <c r="C182" s="8" t="n">
        <v>41</v>
      </c>
      <c r="D182" s="15" t="n">
        <v>108.05</v>
      </c>
      <c r="E182" s="15" t="n">
        <v>154.32</v>
      </c>
      <c r="F182" s="15" t="n">
        <v>113.39</v>
      </c>
      <c r="G182" s="15" t="n"/>
      <c r="H182" s="15" t="n"/>
      <c r="I182" s="15" t="n">
        <v>4.78</v>
      </c>
      <c r="J182" s="8" t="inlineStr">
        <is>
          <t>east_estimated</t>
        </is>
      </c>
    </row>
    <row r="183">
      <c r="A183" s="8" t="inlineStr">
        <is>
          <t>2025-10-15</t>
        </is>
      </c>
      <c r="B183" s="8" t="n">
        <v>2025</v>
      </c>
      <c r="C183" s="8" t="n">
        <v>42</v>
      </c>
      <c r="D183" s="15" t="n">
        <v>99.7</v>
      </c>
      <c r="E183" s="15" t="n">
        <v>149.14</v>
      </c>
      <c r="F183" s="15" t="n">
        <v>109.59</v>
      </c>
      <c r="G183" s="15" t="n">
        <v>77.3</v>
      </c>
      <c r="H183" s="15" t="n">
        <v>22.4</v>
      </c>
      <c r="I183" s="15" t="n">
        <v>-8.35</v>
      </c>
      <c r="J183" s="8" t="inlineStr">
        <is>
          <t>east_table</t>
        </is>
      </c>
    </row>
    <row r="184">
      <c r="A184" s="8" t="inlineStr">
        <is>
          <t>2025-10-22</t>
        </is>
      </c>
      <c r="B184" s="8" t="n">
        <v>2025</v>
      </c>
      <c r="C184" s="8" t="n">
        <v>43</v>
      </c>
      <c r="D184" s="15" t="n">
        <v>102.7</v>
      </c>
      <c r="E184" s="15" t="n">
        <v>151.22</v>
      </c>
      <c r="F184" s="15" t="n">
        <v>111.12</v>
      </c>
      <c r="G184" s="15" t="n"/>
      <c r="H184" s="15" t="n">
        <v>17.65</v>
      </c>
      <c r="I184" s="15" t="n">
        <v>3</v>
      </c>
      <c r="J184" s="8" t="inlineStr">
        <is>
          <t>east_estimated</t>
        </is>
      </c>
    </row>
    <row r="185">
      <c r="A185" s="8" t="inlineStr">
        <is>
          <t>2025-10-29</t>
        </is>
      </c>
      <c r="B185" s="8" t="n">
        <v>2025</v>
      </c>
      <c r="C185" s="8" t="n">
        <v>44</v>
      </c>
      <c r="D185" s="15" t="n">
        <v>99.73</v>
      </c>
      <c r="E185" s="15" t="n">
        <v>150.65</v>
      </c>
      <c r="F185" s="15" t="n">
        <v>110.7</v>
      </c>
      <c r="G185" s="15" t="n">
        <v>82.43000000000001</v>
      </c>
      <c r="H185" s="15" t="n">
        <v>17.3</v>
      </c>
      <c r="I185" s="15" t="n">
        <v>-2.97</v>
      </c>
      <c r="J185" s="8" t="inlineStr">
        <is>
          <t>east_table</t>
        </is>
      </c>
    </row>
    <row r="186">
      <c r="A186" s="8" t="inlineStr">
        <is>
          <t>2025-11-05</t>
        </is>
      </c>
      <c r="B186" s="8" t="n">
        <v>2025</v>
      </c>
      <c r="C186" s="8" t="n">
        <v>45</v>
      </c>
      <c r="D186" s="15" t="n">
        <v>102.15</v>
      </c>
      <c r="E186" s="15" t="n">
        <v>151.71</v>
      </c>
      <c r="F186" s="15" t="n">
        <v>111.48</v>
      </c>
      <c r="G186" s="15" t="n">
        <v>82.15000000000001</v>
      </c>
      <c r="H186" s="15" t="n"/>
      <c r="I186" s="15" t="n">
        <v>2.42</v>
      </c>
      <c r="J186" s="8" t="inlineStr">
        <is>
          <t>east_estimated</t>
        </is>
      </c>
    </row>
    <row r="187">
      <c r="A187" s="8" t="inlineStr">
        <is>
          <t>2025-11-12</t>
        </is>
      </c>
      <c r="B187" s="8" t="n">
        <v>2025</v>
      </c>
      <c r="C187" s="8" t="n">
        <v>46</v>
      </c>
      <c r="D187" s="15" t="n">
        <v>108.64</v>
      </c>
      <c r="E187" s="15" t="n">
        <v>154.36</v>
      </c>
      <c r="F187" s="15" t="n">
        <v>113.42</v>
      </c>
      <c r="G187" s="15" t="n"/>
      <c r="H187" s="15" t="n"/>
      <c r="I187" s="15" t="n">
        <v>6.49</v>
      </c>
      <c r="J187" s="8" t="inlineStr">
        <is>
          <t>east_estimated</t>
        </is>
      </c>
    </row>
    <row r="188">
      <c r="A188" s="8" t="inlineStr">
        <is>
          <t>2025-11-19</t>
        </is>
      </c>
      <c r="B188" s="8" t="n">
        <v>2025</v>
      </c>
      <c r="C188" s="8" t="n">
        <v>47</v>
      </c>
      <c r="D188" s="15" t="n">
        <v>101.78</v>
      </c>
      <c r="E188" s="15" t="n">
        <v>147.93</v>
      </c>
      <c r="F188" s="15" t="n">
        <v>108.7</v>
      </c>
      <c r="G188" s="15" t="n">
        <v>81.93000000000001</v>
      </c>
      <c r="H188" s="15" t="n">
        <v>19.85</v>
      </c>
      <c r="I188" s="15" t="n">
        <v>-3.86</v>
      </c>
      <c r="J188" s="8" t="inlineStr">
        <is>
          <t>east_table</t>
        </is>
      </c>
    </row>
    <row r="189">
      <c r="A189" s="8" t="inlineStr">
        <is>
          <t>2025-11-26</t>
        </is>
      </c>
      <c r="B189" s="8" t="n">
        <v>2025</v>
      </c>
      <c r="C189" s="8" t="n">
        <v>48</v>
      </c>
      <c r="D189" s="15" t="n">
        <v>93.75</v>
      </c>
      <c r="E189" s="15" t="n">
        <v>136.35</v>
      </c>
      <c r="F189" s="15" t="n">
        <v>100.19</v>
      </c>
      <c r="G189" s="15" t="n">
        <v>74.8</v>
      </c>
      <c r="H189" s="15" t="n">
        <v>18.95</v>
      </c>
      <c r="I189" s="15" t="n">
        <v>-8.029999999999999</v>
      </c>
      <c r="J189" s="8" t="inlineStr">
        <is>
          <t>east_table</t>
        </is>
      </c>
    </row>
    <row r="190">
      <c r="A190" s="8" t="inlineStr">
        <is>
          <t>2025-12-03</t>
        </is>
      </c>
      <c r="B190" s="8" t="n">
        <v>2025</v>
      </c>
      <c r="C190" s="8" t="n">
        <v>49</v>
      </c>
      <c r="D190" s="15" t="n">
        <v>93.88</v>
      </c>
      <c r="E190" s="15" t="n">
        <v>134.94</v>
      </c>
      <c r="F190" s="15" t="n">
        <v>99.15000000000001</v>
      </c>
      <c r="G190" s="15" t="n">
        <v>70.33</v>
      </c>
      <c r="H190" s="15" t="n"/>
      <c r="I190" s="15" t="n">
        <v>0.13</v>
      </c>
      <c r="J190" s="8" t="inlineStr">
        <is>
          <t>east_estimated</t>
        </is>
      </c>
    </row>
    <row r="191">
      <c r="A191" s="8" t="inlineStr">
        <is>
          <t>2025-12-10</t>
        </is>
      </c>
      <c r="B191" s="8" t="n">
        <v>2025</v>
      </c>
      <c r="C191" s="8" t="n">
        <v>50</v>
      </c>
      <c r="D191" s="15" t="n">
        <v>83.06</v>
      </c>
      <c r="E191" s="15" t="n">
        <v>123.44</v>
      </c>
      <c r="F191" s="15" t="n">
        <v>90.7</v>
      </c>
      <c r="G191" s="15" t="n">
        <v>63.51</v>
      </c>
      <c r="H191" s="15" t="n">
        <v>19.55</v>
      </c>
      <c r="I191" s="15" t="n">
        <v>-10.82</v>
      </c>
      <c r="J191" s="8" t="inlineStr">
        <is>
          <t>east_table</t>
        </is>
      </c>
    </row>
    <row r="192">
      <c r="A192" s="8" t="inlineStr">
        <is>
          <t>2025-12-17</t>
        </is>
      </c>
      <c r="B192" s="8" t="n">
        <v>2025</v>
      </c>
      <c r="C192" s="8" t="n">
        <v>51</v>
      </c>
      <c r="D192" s="15" t="n">
        <v>79.95999999999999</v>
      </c>
      <c r="E192" s="15" t="n">
        <v>121.88</v>
      </c>
      <c r="F192" s="15" t="n">
        <v>89.56</v>
      </c>
      <c r="G192" s="15" t="n">
        <v>60.4</v>
      </c>
      <c r="H192" s="15" t="n"/>
      <c r="I192" s="15" t="n">
        <v>-3.1</v>
      </c>
      <c r="J192" s="8" t="inlineStr">
        <is>
          <t>east_table</t>
        </is>
      </c>
    </row>
    <row r="193">
      <c r="A193" s="8" t="inlineStr">
        <is>
          <t>2025-12-24</t>
        </is>
      </c>
      <c r="B193" s="8" t="n">
        <v>2025</v>
      </c>
      <c r="C193" s="8" t="n">
        <v>52</v>
      </c>
      <c r="D193" s="15" t="n">
        <v>100.73</v>
      </c>
      <c r="E193" s="15" t="n">
        <v>141.25</v>
      </c>
      <c r="F193" s="15" t="n">
        <v>103.79</v>
      </c>
      <c r="G193" s="15" t="n"/>
      <c r="H193" s="15" t="n">
        <v>19.2</v>
      </c>
      <c r="I193" s="15" t="n">
        <v>20.77</v>
      </c>
      <c r="J193" s="8" t="inlineStr">
        <is>
          <t>east_estimated</t>
        </is>
      </c>
    </row>
    <row r="194">
      <c r="A194" s="8" t="inlineStr">
        <is>
          <t>2025-12-31</t>
        </is>
      </c>
      <c r="B194" s="8" t="n">
        <v>2026</v>
      </c>
      <c r="C194" s="8" t="n">
        <v>1</v>
      </c>
      <c r="D194" s="15" t="n">
        <v>104.71</v>
      </c>
      <c r="E194" s="15" t="n">
        <v>147.74</v>
      </c>
      <c r="F194" s="15" t="n">
        <v>108.56</v>
      </c>
      <c r="G194" s="15" t="n"/>
      <c r="H194" s="15" t="n"/>
      <c r="I194" s="15" t="n">
        <v>3.98</v>
      </c>
      <c r="J194" s="8" t="inlineStr">
        <is>
          <t>east_estimated</t>
        </is>
      </c>
    </row>
    <row r="195">
      <c r="A195" s="8" t="inlineStr">
        <is>
          <t>2026-01-07</t>
        </is>
      </c>
      <c r="B195" s="8" t="n">
        <v>2026</v>
      </c>
      <c r="C195" s="8" t="n">
        <v>2</v>
      </c>
      <c r="D195" s="15" t="n"/>
      <c r="E195" s="15" t="n">
        <v>153.72</v>
      </c>
      <c r="F195" s="15" t="n">
        <v>112.95</v>
      </c>
      <c r="G195" s="15" t="n">
        <v>83.09999999999999</v>
      </c>
      <c r="H195" s="15" t="n"/>
      <c r="I195" s="15" t="n">
        <v>5.72</v>
      </c>
      <c r="J195" s="8" t="n"/>
    </row>
    <row r="196">
      <c r="A196" s="8" t="inlineStr">
        <is>
          <t>2026-01-14</t>
        </is>
      </c>
      <c r="B196" s="8" t="n">
        <v>2026</v>
      </c>
      <c r="C196" s="8" t="n">
        <v>3</v>
      </c>
      <c r="D196" s="15" t="n">
        <v>103.89</v>
      </c>
      <c r="E196" s="15" t="n">
        <v>143.53</v>
      </c>
      <c r="F196" s="15" t="n">
        <v>105.46</v>
      </c>
      <c r="G196" s="15" t="n">
        <v>76.58</v>
      </c>
      <c r="H196" s="15" t="n">
        <v>27.31</v>
      </c>
      <c r="I196" s="15" t="n">
        <v>-8.44</v>
      </c>
      <c r="J196" s="8" t="inlineStr">
        <is>
          <t>east_table</t>
        </is>
      </c>
    </row>
    <row r="197">
      <c r="A197" s="8" t="inlineStr">
        <is>
          <t>2026-01-21</t>
        </is>
      </c>
      <c r="B197" s="8" t="n">
        <v>2026</v>
      </c>
      <c r="C197" s="8" t="n">
        <v>4</v>
      </c>
      <c r="D197" s="15" t="n">
        <v>102.53</v>
      </c>
      <c r="E197" s="15" t="n">
        <v>145.75</v>
      </c>
      <c r="F197" s="15" t="n">
        <v>107.1</v>
      </c>
      <c r="G197" s="15" t="n">
        <v>71.3</v>
      </c>
      <c r="H197" s="15" t="n"/>
      <c r="I197" s="15" t="n">
        <v>-1.36</v>
      </c>
      <c r="J197" s="8" t="inlineStr">
        <is>
          <t>east_table</t>
        </is>
      </c>
    </row>
    <row r="198">
      <c r="A198" s="8" t="inlineStr">
        <is>
          <t>2026-01-28</t>
        </is>
      </c>
      <c r="B198" s="8" t="n">
        <v>2026</v>
      </c>
      <c r="C198" s="8" t="n">
        <v>5</v>
      </c>
      <c r="D198" s="15" t="n">
        <v>107.29</v>
      </c>
      <c r="E198" s="15" t="n">
        <v>147.21</v>
      </c>
      <c r="F198" s="15" t="n">
        <v>108.17</v>
      </c>
      <c r="G198" s="15" t="n"/>
      <c r="H198" s="15" t="n"/>
      <c r="I198" s="15" t="n">
        <v>4.76</v>
      </c>
      <c r="J198" s="8" t="inlineStr">
        <is>
          <t>east_estimated</t>
        </is>
      </c>
    </row>
    <row r="199">
      <c r="A199" s="8" t="inlineStr">
        <is>
          <t>2026-02-04</t>
        </is>
      </c>
      <c r="B199" s="8" t="n">
        <v>2026</v>
      </c>
      <c r="C199" s="8" t="n">
        <v>6</v>
      </c>
      <c r="D199" s="15" t="n">
        <v>100.81</v>
      </c>
      <c r="E199" s="15" t="n">
        <v>141.1</v>
      </c>
      <c r="F199" s="15" t="n">
        <v>103.68</v>
      </c>
      <c r="G199" s="15" t="n">
        <v>69.70999999999999</v>
      </c>
      <c r="H199" s="15" t="n">
        <v>31.1</v>
      </c>
      <c r="I199" s="15" t="n">
        <v>-6.48</v>
      </c>
      <c r="J199" s="8" t="inlineStr">
        <is>
          <t>east_table</t>
        </is>
      </c>
    </row>
    <row r="200">
      <c r="A200" s="8" t="inlineStr">
        <is>
          <t>2026-02-11</t>
        </is>
      </c>
      <c r="B200" s="8" t="n">
        <v>2026</v>
      </c>
      <c r="C200" s="8" t="n">
        <v>7</v>
      </c>
      <c r="D200" s="15" t="n">
        <v>104.47</v>
      </c>
      <c r="E200" s="15" t="n">
        <v>143.22</v>
      </c>
      <c r="F200" s="15" t="n">
        <v>105.24</v>
      </c>
      <c r="G200" s="15" t="n">
        <v>68.67</v>
      </c>
      <c r="H200" s="15" t="n"/>
      <c r="I200" s="15" t="n">
        <v>3.66</v>
      </c>
      <c r="J200" s="8" t="inlineStr">
        <is>
          <t>east_estimated</t>
        </is>
      </c>
    </row>
    <row r="201">
      <c r="A201" s="8" t="inlineStr">
        <is>
          <t>2026-02-25</t>
        </is>
      </c>
      <c r="B201" s="8" t="n">
        <v>2026</v>
      </c>
      <c r="C201" s="8" t="n">
        <v>9</v>
      </c>
      <c r="D201" s="15" t="n">
        <v>104.42</v>
      </c>
      <c r="E201" s="15" t="n">
        <v>144.67</v>
      </c>
      <c r="F201" s="15" t="n">
        <v>106.3</v>
      </c>
      <c r="G201" s="15" t="n"/>
      <c r="H201" s="15" t="n">
        <v>32.13</v>
      </c>
      <c r="I201" s="15" t="n">
        <v>-0.05</v>
      </c>
      <c r="J201" s="8" t="inlineStr">
        <is>
          <t>east_table</t>
        </is>
      </c>
    </row>
    <row r="202">
      <c r="A202" s="8" t="inlineStr">
        <is>
          <t>2026-03-04</t>
        </is>
      </c>
      <c r="B202" s="8" t="n">
        <v>2026</v>
      </c>
      <c r="C202" s="8" t="n">
        <v>10</v>
      </c>
      <c r="D202" s="15" t="n">
        <v>106.84</v>
      </c>
      <c r="E202" s="15" t="n">
        <v>144.35</v>
      </c>
      <c r="F202" s="15" t="n">
        <v>106.07</v>
      </c>
      <c r="G202" s="15" t="n"/>
      <c r="H202" s="15" t="n">
        <v>30.6</v>
      </c>
      <c r="I202" s="15" t="n">
        <v>2.42</v>
      </c>
      <c r="J202" s="8" t="inlineStr">
        <is>
          <t>east_estimated</t>
        </is>
      </c>
    </row>
    <row r="203">
      <c r="A203" s="8" t="inlineStr">
        <is>
          <t>2026-03-11</t>
        </is>
      </c>
      <c r="B203" s="8" t="n">
        <v>2026</v>
      </c>
      <c r="C203" s="8" t="n">
        <v>11</v>
      </c>
      <c r="D203" s="15" t="n">
        <v>97.28</v>
      </c>
      <c r="E203" s="15" t="n">
        <v>131.28</v>
      </c>
      <c r="F203" s="15" t="n">
        <v>96.45999999999999</v>
      </c>
      <c r="G203" s="15" t="n">
        <v>67.18000000000001</v>
      </c>
      <c r="H203" s="15" t="n">
        <v>30.1</v>
      </c>
      <c r="I203" s="15" t="n">
        <v>-9.56</v>
      </c>
      <c r="J203" s="8" t="inlineStr">
        <is>
          <t>east_table</t>
        </is>
      </c>
    </row>
    <row r="204">
      <c r="A204" s="8" t="inlineStr">
        <is>
          <t>2026-03-18</t>
        </is>
      </c>
      <c r="B204" s="8" t="n">
        <v>2026</v>
      </c>
      <c r="C204" s="8" t="n">
        <v>12</v>
      </c>
      <c r="D204" s="15" t="n">
        <v>94.52</v>
      </c>
      <c r="E204" s="15" t="n">
        <v>126.17</v>
      </c>
      <c r="F204" s="15" t="n">
        <v>92.70999999999999</v>
      </c>
      <c r="G204" s="15" t="n">
        <v>62.72</v>
      </c>
      <c r="H204" s="15" t="n"/>
      <c r="I204" s="15" t="n">
        <v>-2.76</v>
      </c>
      <c r="J204" s="8" t="inlineStr">
        <is>
          <t>east_table</t>
        </is>
      </c>
    </row>
    <row r="205">
      <c r="A205" s="8" t="inlineStr">
        <is>
          <t>2026-03-25</t>
        </is>
      </c>
      <c r="B205" s="8" t="n">
        <v>2026</v>
      </c>
      <c r="C205" s="8" t="n">
        <v>13</v>
      </c>
      <c r="D205" s="15" t="n">
        <v>86.05</v>
      </c>
      <c r="E205" s="15" t="n">
        <v>115.55</v>
      </c>
      <c r="F205" s="15" t="n">
        <v>84.91</v>
      </c>
      <c r="G205" s="15" t="n">
        <v>57.55</v>
      </c>
      <c r="H205" s="15" t="n">
        <v>28.5</v>
      </c>
      <c r="I205" s="15" t="n">
        <v>-8.470000000000001</v>
      </c>
      <c r="J205" s="8" t="inlineStr">
        <is>
          <t>east_table</t>
        </is>
      </c>
    </row>
    <row r="206">
      <c r="A206" s="8" t="inlineStr">
        <is>
          <t>2026-04-01</t>
        </is>
      </c>
      <c r="B206" s="8" t="n">
        <v>2026</v>
      </c>
      <c r="C206" s="8" t="n">
        <v>14</v>
      </c>
      <c r="D206" s="15" t="n">
        <v>76.83</v>
      </c>
      <c r="E206" s="15" t="n">
        <v>103.4</v>
      </c>
      <c r="F206" s="15" t="n">
        <v>75.98</v>
      </c>
      <c r="G206" s="15" t="n">
        <v>51.76</v>
      </c>
      <c r="H206" s="15" t="n">
        <v>25.07</v>
      </c>
      <c r="I206" s="15" t="n">
        <v>-9.220000000000001</v>
      </c>
      <c r="J206" s="8" t="inlineStr">
        <is>
          <t>east_table</t>
        </is>
      </c>
    </row>
    <row r="207">
      <c r="A207" s="8" t="inlineStr">
        <is>
          <t>2026-04-08</t>
        </is>
      </c>
      <c r="B207" s="8" t="n">
        <v>2026</v>
      </c>
      <c r="C207" s="8" t="n">
        <v>15</v>
      </c>
      <c r="D207" s="15" t="n">
        <v>76.42</v>
      </c>
      <c r="E207" s="15" t="n">
        <v>102.55</v>
      </c>
      <c r="F207" s="15" t="n">
        <v>75.34999999999999</v>
      </c>
      <c r="G207" s="15" t="n"/>
      <c r="H207" s="15" t="n">
        <v>22.77</v>
      </c>
      <c r="I207" s="15" t="n">
        <v>-0.41</v>
      </c>
      <c r="J207" s="8" t="inlineStr">
        <is>
          <t>east_table</t>
        </is>
      </c>
    </row>
    <row r="208">
      <c r="A208" s="8" t="inlineStr">
        <is>
          <t>2026-04-15</t>
        </is>
      </c>
      <c r="B208" s="8" t="n">
        <v>2026</v>
      </c>
      <c r="C208" s="8" t="n">
        <v>16</v>
      </c>
      <c r="D208" s="15" t="n">
        <v>68.26000000000001</v>
      </c>
      <c r="E208" s="15" t="n">
        <v>95.36</v>
      </c>
      <c r="F208" s="15" t="n">
        <v>70.06999999999999</v>
      </c>
      <c r="G208" s="15" t="n">
        <v>45.98</v>
      </c>
      <c r="H208" s="15" t="n">
        <v>22.28</v>
      </c>
      <c r="I208" s="15" t="n">
        <v>-8.16</v>
      </c>
      <c r="J208" s="8" t="inlineStr">
        <is>
          <t>east_table</t>
        </is>
      </c>
    </row>
    <row r="209">
      <c r="A209" s="8" t="inlineStr">
        <is>
          <t>2026-04-22</t>
        </is>
      </c>
      <c r="B209" s="8" t="n">
        <v>2026</v>
      </c>
      <c r="C209" s="8" t="n">
        <v>17</v>
      </c>
      <c r="D209" s="15" t="n">
        <v>72.98999999999999</v>
      </c>
      <c r="E209" s="15" t="n">
        <v>97.56999999999999</v>
      </c>
      <c r="F209" s="15" t="n">
        <v>71.69</v>
      </c>
      <c r="G209" s="15" t="n"/>
      <c r="H209" s="15" t="n"/>
      <c r="I209" s="15" t="n">
        <v>4.73</v>
      </c>
      <c r="J209" s="8" t="inlineStr">
        <is>
          <t>east_estimated</t>
        </is>
      </c>
    </row>
    <row r="210">
      <c r="A210" s="8" t="inlineStr">
        <is>
          <t>2026-04-29</t>
        </is>
      </c>
      <c r="B210" s="8" t="n">
        <v>2026</v>
      </c>
      <c r="C210" s="8" t="n">
        <v>18</v>
      </c>
      <c r="D210" s="15" t="n">
        <v>73.36</v>
      </c>
      <c r="E210" s="15" t="n">
        <v>91.48999999999999</v>
      </c>
      <c r="F210" s="15" t="n">
        <v>67.23</v>
      </c>
      <c r="G210" s="15" t="n"/>
      <c r="H210" s="15" t="n">
        <v>25.7</v>
      </c>
      <c r="I210" s="15" t="n">
        <v>0.37</v>
      </c>
      <c r="J210" s="8" t="inlineStr">
        <is>
          <t>east_table</t>
        </is>
      </c>
    </row>
    <row r="211">
      <c r="A211" s="8" t="inlineStr">
        <is>
          <t>2026-05-06</t>
        </is>
      </c>
      <c r="B211" s="8" t="n">
        <v>2026</v>
      </c>
      <c r="C211" s="8" t="n">
        <v>19</v>
      </c>
      <c r="D211" s="15" t="n">
        <v>78.26000000000001</v>
      </c>
      <c r="E211" s="15" t="n">
        <v>92.2</v>
      </c>
      <c r="F211" s="15" t="n">
        <v>67.75</v>
      </c>
      <c r="G211" s="15" t="n"/>
      <c r="H211" s="15" t="n">
        <v>22.57</v>
      </c>
      <c r="I211" s="15" t="n">
        <v>4.9</v>
      </c>
      <c r="J211" s="8" t="inlineStr">
        <is>
          <t>east_estimated</t>
        </is>
      </c>
    </row>
    <row r="212">
      <c r="A212" s="8" t="inlineStr">
        <is>
          <t>2026-05-13</t>
        </is>
      </c>
      <c r="B212" s="8" t="n">
        <v>2026</v>
      </c>
      <c r="C212" s="8" t="n">
        <v>20</v>
      </c>
      <c r="D212" s="15" t="n">
        <v>66.75</v>
      </c>
      <c r="E212" s="15" t="n">
        <v>79.68000000000001</v>
      </c>
      <c r="F212" s="15" t="n">
        <v>58.55</v>
      </c>
      <c r="G212" s="15" t="n">
        <v>50.34</v>
      </c>
      <c r="H212" s="15" t="n">
        <v>16.41</v>
      </c>
      <c r="I212" s="15" t="n">
        <v>-11.51</v>
      </c>
      <c r="J212" s="8" t="inlineStr">
        <is>
          <t>east_table</t>
        </is>
      </c>
    </row>
    <row r="213">
      <c r="A213" s="8" t="inlineStr">
        <is>
          <t>2026-05-20</t>
        </is>
      </c>
      <c r="B213" s="8" t="n">
        <v>2026</v>
      </c>
      <c r="C213" s="8" t="n">
        <v>21</v>
      </c>
      <c r="D213" s="15" t="n">
        <v>61.02</v>
      </c>
      <c r="E213" s="15" t="n">
        <v>71.55</v>
      </c>
      <c r="F213" s="15" t="n">
        <v>52.57</v>
      </c>
      <c r="G213" s="15" t="n">
        <v>44.43</v>
      </c>
      <c r="H213" s="15" t="n"/>
      <c r="I213" s="15" t="n">
        <v>-5.73</v>
      </c>
      <c r="J213" s="8" t="inlineStr">
        <is>
          <t>east_table</t>
        </is>
      </c>
    </row>
    <row r="214">
      <c r="A214" s="8" t="inlineStr">
        <is>
          <t>2026-05-27</t>
        </is>
      </c>
      <c r="B214" s="8" t="n">
        <v>2026</v>
      </c>
      <c r="C214" s="8" t="n">
        <v>22</v>
      </c>
      <c r="D214" s="15" t="n">
        <v>54.5</v>
      </c>
      <c r="E214" s="15" t="n">
        <v>66.2</v>
      </c>
      <c r="F214" s="15" t="n">
        <v>48.64</v>
      </c>
      <c r="G214" s="15" t="n">
        <v>37.65</v>
      </c>
      <c r="H214" s="15" t="n">
        <v>16.85</v>
      </c>
      <c r="I214" s="15" t="n">
        <v>-8.52</v>
      </c>
      <c r="J214" s="8" t="inlineStr">
        <is>
          <t>east_table</t>
        </is>
      </c>
    </row>
    <row r="215">
      <c r="A215" s="8" t="inlineStr">
        <is>
          <t>2026-06-03</t>
        </is>
      </c>
      <c r="B215" s="8" t="n">
        <v>2026</v>
      </c>
      <c r="C215" s="8" t="n">
        <v>23</v>
      </c>
      <c r="D215" s="15" t="n">
        <v>54.23</v>
      </c>
      <c r="E215" s="15" t="n">
        <v>63.35</v>
      </c>
      <c r="F215" s="15" t="n">
        <v>46.55</v>
      </c>
      <c r="G215" s="15" t="n"/>
      <c r="H215" s="15" t="n">
        <v>16.52</v>
      </c>
      <c r="I215" s="15" t="n">
        <v>-0.27</v>
      </c>
      <c r="J215" s="8" t="inlineStr">
        <is>
          <t>east_table</t>
        </is>
      </c>
    </row>
    <row r="216">
      <c r="A216" s="8" t="inlineStr">
        <is>
          <t>2026-06-10</t>
        </is>
      </c>
      <c r="B216" s="8" t="n">
        <v>2026</v>
      </c>
      <c r="C216" s="8" t="n">
        <v>24</v>
      </c>
      <c r="D216" s="15" t="n">
        <v>48.11</v>
      </c>
      <c r="E216" s="15" t="n">
        <v>56.61</v>
      </c>
      <c r="F216" s="15" t="n">
        <v>41.6</v>
      </c>
      <c r="G216" s="15" t="n">
        <v>33.63</v>
      </c>
      <c r="H216" s="15" t="n">
        <v>14.48</v>
      </c>
      <c r="I216" s="15" t="n">
        <v>-6.12</v>
      </c>
      <c r="J216" s="8" t="inlineStr">
        <is>
          <t>east_table</t>
        </is>
      </c>
    </row>
    <row r="217">
      <c r="A217" s="8" t="inlineStr">
        <is>
          <t>2026-06-17</t>
        </is>
      </c>
      <c r="B217" s="8" t="n">
        <v>2026</v>
      </c>
      <c r="C217" s="8" t="n">
        <v>25</v>
      </c>
      <c r="D217" s="15" t="n">
        <v>52.06</v>
      </c>
      <c r="E217" s="15" t="n">
        <v>63.24</v>
      </c>
      <c r="F217" s="15" t="n">
        <v>46.47</v>
      </c>
      <c r="G217" s="15" t="n">
        <v>30.68</v>
      </c>
      <c r="H217" s="15" t="n"/>
      <c r="I217" s="15" t="n">
        <v>3.95</v>
      </c>
      <c r="J217" s="8" t="inlineStr">
        <is>
          <t>east_estimated</t>
        </is>
      </c>
    </row>
    <row r="218">
      <c r="A218" s="8" t="inlineStr">
        <is>
          <t>2026-06-24</t>
        </is>
      </c>
      <c r="B218" s="8" t="n">
        <v>2026</v>
      </c>
      <c r="C218" s="8" t="n">
        <v>26</v>
      </c>
      <c r="D218" s="15" t="n">
        <v>47.08</v>
      </c>
      <c r="E218" s="15" t="n">
        <v>56.03</v>
      </c>
      <c r="F218" s="15" t="n">
        <v>41.17</v>
      </c>
      <c r="G218" s="15" t="n">
        <v>25.55</v>
      </c>
      <c r="H218" s="15" t="n"/>
      <c r="I218" s="15" t="n">
        <v>-4.98</v>
      </c>
      <c r="J218" s="8" t="inlineStr">
        <is>
          <t>east_table</t>
        </is>
      </c>
    </row>
    <row r="219">
      <c r="A219" s="8" t="inlineStr">
        <is>
          <t>2026-07-01</t>
        </is>
      </c>
      <c r="B219" s="8" t="n">
        <v>2026</v>
      </c>
      <c r="C219" s="8" t="n">
        <v>27</v>
      </c>
      <c r="D219" s="15" t="n">
        <v>44.99</v>
      </c>
      <c r="E219" s="15" t="n">
        <v>49.32</v>
      </c>
      <c r="F219" s="15" t="n">
        <v>36.24</v>
      </c>
      <c r="G219" s="15" t="n">
        <v>25.46</v>
      </c>
      <c r="H219" s="15" t="n">
        <v>19.53</v>
      </c>
      <c r="I219" s="15" t="n">
        <v>-2.09</v>
      </c>
      <c r="J219" s="8" t="inlineStr">
        <is>
          <t>east_table</t>
        </is>
      </c>
    </row>
    <row r="220">
      <c r="A220" s="8" t="inlineStr">
        <is>
          <t>2026-07-08</t>
        </is>
      </c>
      <c r="B220" s="8" t="n">
        <v>2026</v>
      </c>
      <c r="C220" s="8" t="n">
        <v>28</v>
      </c>
      <c r="D220" s="15" t="n">
        <v>38.47</v>
      </c>
      <c r="E220" s="15" t="n">
        <v>44.67</v>
      </c>
      <c r="F220" s="15" t="n">
        <v>32.82</v>
      </c>
      <c r="G220" s="15" t="n">
        <v>22.31</v>
      </c>
      <c r="H220" s="15" t="n">
        <v>16.16</v>
      </c>
      <c r="I220" s="15" t="n">
        <v>-6.52</v>
      </c>
      <c r="J220" s="8" t="inlineStr">
        <is>
          <t>east_table</t>
        </is>
      </c>
    </row>
    <row r="221">
      <c r="A221" s="8" t="inlineStr">
        <is>
          <t>2026-07-15</t>
        </is>
      </c>
      <c r="B221" s="8" t="n">
        <v>2026</v>
      </c>
      <c r="C221" s="8" t="n">
        <v>29</v>
      </c>
      <c r="D221" s="15" t="n">
        <v>30.52</v>
      </c>
      <c r="E221" s="15" t="n">
        <v>40.15</v>
      </c>
      <c r="F221" s="15" t="n">
        <v>29.5</v>
      </c>
      <c r="G221" s="15" t="n">
        <v>19.49</v>
      </c>
      <c r="H221" s="15" t="n">
        <v>11.03</v>
      </c>
      <c r="I221" s="15" t="n">
        <v>-7.95</v>
      </c>
      <c r="J221" s="8" t="inlineStr">
        <is>
          <t>east_table</t>
        </is>
      </c>
    </row>
    <row r="222">
      <c r="A222" s="8" t="inlineStr">
        <is>
          <t>2026-07-22</t>
        </is>
      </c>
      <c r="B222" s="8" t="n">
        <v>2026</v>
      </c>
      <c r="C222" s="8" t="n">
        <v>30</v>
      </c>
      <c r="D222" s="15" t="n">
        <v>39.14</v>
      </c>
      <c r="E222" s="15" t="n">
        <v>54.87</v>
      </c>
      <c r="F222" s="15" t="n">
        <v>40.32</v>
      </c>
      <c r="G222" s="15" t="n"/>
      <c r="H222" s="15" t="n"/>
      <c r="I222" s="15" t="n">
        <v>8.619999999999999</v>
      </c>
      <c r="J222" s="8" t="inlineStr">
        <is>
          <t>east_estimated</t>
        </is>
      </c>
    </row>
    <row r="223">
      <c r="A223" s="8" t="inlineStr">
        <is>
          <t>2026-07-29</t>
        </is>
      </c>
      <c r="B223" s="8" t="n">
        <v>2026</v>
      </c>
      <c r="C223" s="8" t="n">
        <v>31</v>
      </c>
      <c r="D223" s="15" t="n">
        <v>52.32</v>
      </c>
      <c r="E223" s="15" t="n">
        <v>68.68000000000001</v>
      </c>
      <c r="F223" s="15" t="n">
        <v>50.47</v>
      </c>
      <c r="G223" s="15" t="n"/>
      <c r="H223" s="15" t="n"/>
      <c r="I223" s="15" t="n">
        <v>13.18</v>
      </c>
      <c r="J223" s="8" t="inlineStr">
        <is>
          <t>east_estimated</t>
        </is>
      </c>
    </row>
    <row r="224">
      <c r="A224" s="8" t="inlineStr">
        <is>
          <t>2026-08-05</t>
        </is>
      </c>
      <c r="B224" s="8" t="n">
        <v>2026</v>
      </c>
      <c r="C224" s="8" t="n">
        <v>32</v>
      </c>
      <c r="D224" s="15" t="n"/>
      <c r="E224" s="15" t="n">
        <v>69.26000000000001</v>
      </c>
      <c r="F224" s="15" t="n">
        <v>50.89</v>
      </c>
      <c r="G224" s="15" t="n"/>
      <c r="H224" s="15" t="n"/>
      <c r="I224" s="15" t="n">
        <v>0.64</v>
      </c>
      <c r="J224" s="8" t="n"/>
    </row>
    <row r="225">
      <c r="A225" s="8" t="inlineStr">
        <is>
          <t>2026-08-12</t>
        </is>
      </c>
      <c r="B225" s="8" t="n">
        <v>2026</v>
      </c>
      <c r="C225" s="8" t="n">
        <v>33</v>
      </c>
      <c r="D225" s="15" t="n"/>
      <c r="E225" s="15" t="n">
        <v>60</v>
      </c>
      <c r="F225" s="15" t="n">
        <v>44.09</v>
      </c>
      <c r="G225" s="15" t="n"/>
      <c r="H225" s="15" t="n"/>
      <c r="I225" s="15" t="n">
        <v>-6.76</v>
      </c>
      <c r="J225" s="8" t="n"/>
    </row>
    <row r="226">
      <c r="A226" s="8" t="inlineStr">
        <is>
          <t>2026-08-19</t>
        </is>
      </c>
      <c r="B226" s="8" t="n">
        <v>2026</v>
      </c>
      <c r="C226" s="8" t="n">
        <v>34</v>
      </c>
      <c r="D226" s="15" t="n"/>
      <c r="E226" s="15" t="n">
        <v>66.7</v>
      </c>
      <c r="F226" s="15" t="n">
        <v>49.01</v>
      </c>
      <c r="G226" s="15" t="n"/>
      <c r="H226" s="15" t="n"/>
      <c r="I226" s="15" t="n">
        <v>6.79</v>
      </c>
      <c r="J226" s="8" t="n"/>
    </row>
    <row r="227">
      <c r="A227" s="8" t="inlineStr">
        <is>
          <t>2026-08-26</t>
        </is>
      </c>
      <c r="B227" s="8" t="n">
        <v>2026</v>
      </c>
      <c r="C227" s="8" t="n">
        <v>35</v>
      </c>
      <c r="D227" s="15" t="n"/>
      <c r="E227" s="15" t="n">
        <v>68.56</v>
      </c>
      <c r="F227" s="15" t="n">
        <v>50.38</v>
      </c>
      <c r="G227" s="15" t="n"/>
      <c r="H227" s="15" t="n"/>
      <c r="I227" s="15" t="n">
        <v>2.24</v>
      </c>
      <c r="J227" s="8" t="n"/>
    </row>
    <row r="228">
      <c r="A228" s="8" t="inlineStr">
        <is>
          <t>2026-09-02</t>
        </is>
      </c>
      <c r="B228" s="8" t="n">
        <v>2026</v>
      </c>
      <c r="C228" s="8" t="n">
        <v>36</v>
      </c>
      <c r="D228" s="15" t="n"/>
      <c r="E228" s="15" t="n">
        <v>64.15000000000001</v>
      </c>
      <c r="F228" s="15" t="n">
        <v>47.14</v>
      </c>
      <c r="G228" s="15" t="n"/>
      <c r="H228" s="15" t="n"/>
      <c r="I228" s="15" t="n">
        <v>-1.65</v>
      </c>
      <c r="J228" s="8" t="n"/>
    </row>
    <row r="229">
      <c r="A229" s="8" t="inlineStr">
        <is>
          <t>2026-09-09</t>
        </is>
      </c>
      <c r="B229" s="8" t="n">
        <v>2026</v>
      </c>
      <c r="C229" s="8" t="n">
        <v>37</v>
      </c>
      <c r="D229" s="15" t="n"/>
      <c r="E229" s="15" t="n">
        <v>55.15</v>
      </c>
      <c r="F229" s="15" t="n">
        <v>40.52</v>
      </c>
      <c r="G229" s="15" t="n"/>
      <c r="H229" s="15" t="n"/>
      <c r="I229" s="15" t="n">
        <v>-4.77</v>
      </c>
      <c r="J229" s="8" t="n"/>
    </row>
    <row r="230">
      <c r="A230" s="8" t="inlineStr">
        <is>
          <t>2026-09-16</t>
        </is>
      </c>
      <c r="B230" s="8" t="n">
        <v>2026</v>
      </c>
      <c r="C230" s="8" t="n">
        <v>38</v>
      </c>
      <c r="D230" s="15" t="n"/>
      <c r="E230" s="15" t="n">
        <v>42.39</v>
      </c>
      <c r="F230" s="15" t="n">
        <v>31.15</v>
      </c>
      <c r="G230" s="15" t="n"/>
      <c r="H230" s="15" t="n"/>
      <c r="I230" s="15" t="n">
        <v>-10.51</v>
      </c>
      <c r="J230" s="8" t="n"/>
    </row>
    <row r="231">
      <c r="A231" s="8" t="inlineStr">
        <is>
          <t>2026-09-23</t>
        </is>
      </c>
      <c r="B231" s="8" t="n">
        <v>2026</v>
      </c>
      <c r="C231" s="8" t="n">
        <v>39</v>
      </c>
      <c r="D231" s="15" t="n"/>
      <c r="E231" s="15" t="n">
        <v>41.2</v>
      </c>
      <c r="F231" s="15" t="n">
        <v>30.27</v>
      </c>
      <c r="G231" s="15" t="n"/>
      <c r="H231" s="15" t="n"/>
      <c r="I231" s="15" t="n">
        <v>-4.13</v>
      </c>
      <c r="J231" s="8" t="n"/>
    </row>
    <row r="232">
      <c r="A232" s="8" t="inlineStr">
        <is>
          <t>2026-09-30</t>
        </is>
      </c>
      <c r="B232" s="8" t="n">
        <v>2026</v>
      </c>
      <c r="C232" s="8" t="n">
        <v>40</v>
      </c>
      <c r="D232" s="15" t="n"/>
      <c r="E232" s="15" t="n">
        <v>39.35</v>
      </c>
      <c r="F232" s="15" t="n">
        <v>28.91</v>
      </c>
      <c r="G232" s="15" t="n"/>
      <c r="H232" s="15" t="n"/>
      <c r="I232" s="15" t="n">
        <v>-2.37</v>
      </c>
      <c r="J232" s="8" t="n"/>
    </row>
    <row r="233">
      <c r="A233" s="8" t="inlineStr">
        <is>
          <t>2026-10-08</t>
        </is>
      </c>
      <c r="B233" s="8" t="n">
        <v>2026</v>
      </c>
      <c r="C233" s="8" t="n">
        <v>41</v>
      </c>
      <c r="D233" s="15" t="n"/>
      <c r="E233" s="15" t="n">
        <v>30.51</v>
      </c>
      <c r="F233" s="15" t="n">
        <v>22.42</v>
      </c>
      <c r="G233" s="15" t="n"/>
      <c r="H233" s="15" t="n"/>
      <c r="I233" s="15" t="n">
        <v>-7.99</v>
      </c>
      <c r="J233" s="8" t="n"/>
    </row>
    <row r="234">
      <c r="A234" s="8" t="inlineStr">
        <is>
          <t>2026-10-14</t>
        </is>
      </c>
      <c r="B234" s="8" t="n">
        <v>2026</v>
      </c>
      <c r="C234" s="8" t="n">
        <v>42</v>
      </c>
      <c r="D234" s="15" t="n"/>
      <c r="E234" s="15" t="n">
        <v>36.72</v>
      </c>
      <c r="F234" s="15" t="n">
        <v>26.98</v>
      </c>
      <c r="G234" s="15" t="n"/>
      <c r="H234" s="15" t="n"/>
      <c r="I234" s="15" t="n">
        <v>-3.16</v>
      </c>
      <c r="J234" s="8" t="n"/>
    </row>
  </sheetData>
  <autoFilter ref="A4:J234"/>
  <mergeCells count="2">
    <mergeCell ref="A2:L2"/>
    <mergeCell ref="A1:L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0" customWidth="1" min="5" max="5"/>
    <col width="11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9" customWidth="1" min="18" max="18"/>
  </cols>
  <sheetData>
    <row r="1" ht="26" customHeight="1">
      <c r="A1" s="5" t="inlineStr">
        <is>
          <t>07 年度对齐：每年同周次水平对比</t>
        </is>
      </c>
    </row>
    <row r="2" ht="30" customHeight="1">
      <c r="A2" s="6" t="inlineStr">
        <is>
          <t>每行一年，列出关键周次的库存，便于横向看“同一时点不同年份”。</t>
        </is>
      </c>
    </row>
    <row r="4" ht="28" customHeight="1">
      <c r="A4" s="7" t="inlineStr">
        <is>
          <t>ISO年</t>
        </is>
      </c>
      <c r="B4" s="7" t="inlineStr">
        <is>
          <t>披露周数</t>
        </is>
      </c>
      <c r="C4" s="7" t="inlineStr">
        <is>
          <t>均值</t>
        </is>
      </c>
      <c r="D4" s="7" t="inlineStr">
        <is>
          <t>最低</t>
        </is>
      </c>
      <c r="E4" s="7" t="inlineStr">
        <is>
          <t>最高</t>
        </is>
      </c>
      <c r="F4" s="7" t="inlineStr">
        <is>
          <t>年末增减额合计</t>
        </is>
      </c>
      <c r="G4" s="7" t="inlineStr">
        <is>
          <t>W4±1</t>
        </is>
      </c>
      <c r="H4" s="7" t="inlineStr">
        <is>
          <t>W8±1</t>
        </is>
      </c>
      <c r="I4" s="7" t="inlineStr">
        <is>
          <t>W13±1</t>
        </is>
      </c>
      <c r="J4" s="7" t="inlineStr">
        <is>
          <t>W17±1</t>
        </is>
      </c>
      <c r="K4" s="7" t="inlineStr">
        <is>
          <t>W22±1</t>
        </is>
      </c>
      <c r="L4" s="7" t="inlineStr">
        <is>
          <t>W26±1</t>
        </is>
      </c>
      <c r="M4" s="7" t="inlineStr">
        <is>
          <t>W31±1</t>
        </is>
      </c>
      <c r="N4" s="7" t="inlineStr">
        <is>
          <t>W35±1</t>
        </is>
      </c>
      <c r="O4" s="7" t="inlineStr">
        <is>
          <t>W39±1</t>
        </is>
      </c>
      <c r="P4" s="7" t="inlineStr">
        <is>
          <t>W43±1</t>
        </is>
      </c>
      <c r="Q4" s="7" t="inlineStr">
        <is>
          <t>W48±1</t>
        </is>
      </c>
      <c r="R4" s="7" t="inlineStr">
        <is>
          <t>W52±1</t>
        </is>
      </c>
    </row>
    <row r="5">
      <c r="A5" s="8" t="n">
        <v>2022</v>
      </c>
      <c r="B5" s="8" t="n">
        <v>38</v>
      </c>
      <c r="C5" s="15" t="n">
        <v>65.22</v>
      </c>
      <c r="D5" s="15" t="n">
        <v>37.69</v>
      </c>
      <c r="E5" s="15" t="n">
        <v>87.34999999999999</v>
      </c>
      <c r="F5" s="15" t="n">
        <v>-9.890000000000001</v>
      </c>
      <c r="G5" s="15" t="n"/>
      <c r="H5" s="15" t="n"/>
      <c r="I5" s="15" t="n">
        <v>60.07</v>
      </c>
      <c r="J5" s="15" t="n">
        <v>62.03</v>
      </c>
      <c r="K5" s="15" t="n">
        <v>75.15000000000001</v>
      </c>
      <c r="L5" s="15" t="n">
        <v>84.33</v>
      </c>
      <c r="M5" s="15" t="n">
        <v>83.01000000000001</v>
      </c>
      <c r="N5" s="15" t="n">
        <v>77.95999999999999</v>
      </c>
      <c r="O5" s="15" t="n">
        <v>60.41</v>
      </c>
      <c r="P5" s="15" t="n">
        <v>39.61</v>
      </c>
      <c r="Q5" s="15" t="n">
        <v>46.98</v>
      </c>
      <c r="R5" s="15" t="n">
        <v>50.82</v>
      </c>
    </row>
    <row r="6">
      <c r="A6" s="8" t="n">
        <v>2023</v>
      </c>
      <c r="B6" s="8" t="n">
        <v>50</v>
      </c>
      <c r="C6" s="15" t="n">
        <v>64.67</v>
      </c>
      <c r="D6" s="15" t="n">
        <v>43.85</v>
      </c>
      <c r="E6" s="15" t="n">
        <v>85.25</v>
      </c>
      <c r="F6" s="15" t="n">
        <v>11.47</v>
      </c>
      <c r="G6" s="15" t="n">
        <v>58.61</v>
      </c>
      <c r="H6" s="15" t="n">
        <v>57.84</v>
      </c>
      <c r="I6" s="15" t="n">
        <v>66.90000000000001</v>
      </c>
      <c r="J6" s="15" t="n">
        <v>54.18</v>
      </c>
      <c r="K6" s="15" t="n">
        <v>48.91</v>
      </c>
      <c r="L6" s="15" t="n">
        <v>61.47</v>
      </c>
      <c r="M6" s="15" t="n">
        <v>71.17</v>
      </c>
      <c r="N6" s="15" t="n">
        <v>76.36</v>
      </c>
      <c r="O6" s="15" t="n">
        <v>75.62</v>
      </c>
      <c r="P6" s="15" t="n">
        <v>64.12</v>
      </c>
      <c r="Q6" s="15" t="n">
        <v>70.73</v>
      </c>
      <c r="R6" s="15" t="n">
        <v>71.55</v>
      </c>
    </row>
    <row r="7">
      <c r="A7" s="8" t="n">
        <v>2024</v>
      </c>
      <c r="B7" s="8" t="n">
        <v>51</v>
      </c>
      <c r="C7" s="15" t="n">
        <v>64.27</v>
      </c>
      <c r="D7" s="15" t="n">
        <v>35.82</v>
      </c>
      <c r="E7" s="15" t="n">
        <v>93.61</v>
      </c>
      <c r="F7" s="15" t="n">
        <v>-1.6</v>
      </c>
      <c r="G7" s="15" t="n">
        <v>58.48</v>
      </c>
      <c r="H7" s="15" t="n">
        <v>56.33</v>
      </c>
      <c r="I7" s="15" t="n">
        <v>43.54</v>
      </c>
      <c r="J7" s="15" t="n">
        <v>50.38</v>
      </c>
      <c r="K7" s="15" t="n">
        <v>46.3</v>
      </c>
      <c r="L7" s="15" t="n">
        <v>62.48</v>
      </c>
      <c r="M7" s="15" t="n">
        <v>75.03</v>
      </c>
      <c r="N7" s="15" t="n">
        <v>78.29000000000001</v>
      </c>
      <c r="O7" s="15" t="n">
        <v>64.62</v>
      </c>
      <c r="P7" s="15" t="n">
        <v>79.16</v>
      </c>
      <c r="Q7" s="15" t="n">
        <v>88.8</v>
      </c>
      <c r="R7" s="15" t="n">
        <v>72.56999999999999</v>
      </c>
    </row>
    <row r="8">
      <c r="A8" s="8" t="n">
        <v>2025</v>
      </c>
      <c r="B8" s="8" t="n">
        <v>45</v>
      </c>
      <c r="C8" s="15" t="n">
        <v>68.45</v>
      </c>
      <c r="D8" s="15" t="n">
        <v>32.4</v>
      </c>
      <c r="E8" s="15" t="n">
        <v>108.64</v>
      </c>
      <c r="F8" s="15" t="n">
        <v>34.93</v>
      </c>
      <c r="G8" s="15" t="n">
        <v>67.98</v>
      </c>
      <c r="H8" s="15" t="n">
        <v>77.84999999999999</v>
      </c>
      <c r="I8" s="15" t="n">
        <v>53.52</v>
      </c>
      <c r="J8" s="15" t="n">
        <v>38.69</v>
      </c>
      <c r="K8" s="15" t="n">
        <v>37.34</v>
      </c>
      <c r="L8" s="15" t="n">
        <v>48.08</v>
      </c>
      <c r="M8" s="15" t="n">
        <v>58.7</v>
      </c>
      <c r="N8" s="15" t="n"/>
      <c r="O8" s="15" t="n">
        <v>105.33</v>
      </c>
      <c r="P8" s="15" t="n">
        <v>100.71</v>
      </c>
      <c r="Q8" s="15" t="n">
        <v>96.47</v>
      </c>
      <c r="R8" s="15" t="n">
        <v>90.34</v>
      </c>
    </row>
    <row r="9">
      <c r="A9" s="8" t="n">
        <v>2026</v>
      </c>
      <c r="B9" s="8" t="n">
        <v>29</v>
      </c>
      <c r="C9" s="15" t="n">
        <v>74.06999999999999</v>
      </c>
      <c r="D9" s="15" t="n">
        <v>30.52</v>
      </c>
      <c r="E9" s="15" t="n">
        <v>107.29</v>
      </c>
      <c r="F9" s="15" t="n">
        <v>-83.98</v>
      </c>
      <c r="G9" s="15" t="n">
        <v>104.57</v>
      </c>
      <c r="H9" s="15" t="n">
        <v>104.44</v>
      </c>
      <c r="I9" s="15" t="n">
        <v>85.8</v>
      </c>
      <c r="J9" s="15" t="n">
        <v>71.54000000000001</v>
      </c>
      <c r="K9" s="15" t="n">
        <v>56.58</v>
      </c>
      <c r="L9" s="15" t="n">
        <v>48.04</v>
      </c>
      <c r="M9" s="15" t="n">
        <v>45.73</v>
      </c>
      <c r="N9" s="15" t="n"/>
      <c r="O9" s="15" t="n"/>
      <c r="P9" s="15" t="n"/>
      <c r="Q9" s="15" t="n"/>
      <c r="R9" s="15" t="n"/>
    </row>
  </sheetData>
  <autoFilter ref="A4:R9"/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2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20" customWidth="1" min="7" max="7"/>
    <col width="9" customWidth="1" min="8" max="8"/>
    <col width="22" customWidth="1" min="13" max="13"/>
    <col width="22" customWidth="1" min="14" max="14"/>
    <col width="22" customWidth="1" min="15" max="15"/>
  </cols>
  <sheetData>
    <row r="1" ht="26" customHeight="1">
      <c r="A1" s="5" t="inlineStr">
        <is>
          <t>08 累去库速度：周度增减额与实际幅度</t>
        </is>
      </c>
    </row>
    <row r="2" ht="30" customHeight="1">
      <c r="A2" s="6" t="inlineStr">
        <is>
          <t>增减额优先取原文披露值（东部地区），缺失时才回退为表格差分。累计列由公式计算，可改原值复算。</t>
        </is>
      </c>
    </row>
    <row r="4" ht="28" customHeight="1">
      <c r="A4" s="7" t="inlineStr">
        <is>
          <t>截止日</t>
        </is>
      </c>
      <c r="B4" s="7" t="inlineStr">
        <is>
          <t>ISO周</t>
        </is>
      </c>
      <c r="C4" s="7" t="inlineStr">
        <is>
          <t>华东水平</t>
        </is>
      </c>
      <c r="D4" s="7" t="inlineStr">
        <is>
          <t>原文增减额</t>
        </is>
      </c>
      <c r="E4" s="7" t="inlineStr">
        <is>
          <t>采用增减额</t>
        </is>
      </c>
      <c r="F4" s="7" t="inlineStr">
        <is>
          <t>表格差分</t>
        </is>
      </c>
      <c r="G4" s="7" t="inlineStr">
        <is>
          <t>取值方式</t>
        </is>
      </c>
      <c r="H4" s="7" t="inlineStr">
        <is>
          <t>增减额来源</t>
        </is>
      </c>
      <c r="I4" s="23" t="inlineStr">
        <is>
          <t>滚动4周累计</t>
        </is>
      </c>
      <c r="J4" s="23" t="inlineStr">
        <is>
          <t>滚动12周累计</t>
        </is>
      </c>
      <c r="K4" s="23" t="inlineStr">
        <is>
          <t>滚动26周累计</t>
        </is>
      </c>
      <c r="M4" s="12" t="inlineStr">
        <is>
          <t>速度汇总（当前）</t>
        </is>
      </c>
    </row>
    <row r="5">
      <c r="A5" s="8" t="inlineStr">
        <is>
          <t>2022-04-06</t>
        </is>
      </c>
      <c r="B5" s="8" t="n">
        <v>14</v>
      </c>
      <c r="C5" s="15" t="n">
        <v>60.07</v>
      </c>
      <c r="D5" s="15" t="n"/>
      <c r="E5" s="15" t="n"/>
      <c r="F5" s="15" t="n"/>
      <c r="G5" s="8" t="inlineStr">
        <is>
          <t>east_table</t>
        </is>
      </c>
      <c r="H5" s="8" t="inlineStr">
        <is>
          <t>表格差分</t>
        </is>
      </c>
      <c r="M5" s="23" t="inlineStr">
        <is>
          <t>项目</t>
        </is>
      </c>
      <c r="N5" s="23" t="inlineStr">
        <is>
          <t>数值</t>
        </is>
      </c>
      <c r="O5" s="23" t="inlineStr">
        <is>
          <t>单位</t>
        </is>
      </c>
    </row>
    <row r="6">
      <c r="A6" s="8" t="inlineStr">
        <is>
          <t>2022-04-13</t>
        </is>
      </c>
      <c r="B6" s="8" t="n">
        <v>15</v>
      </c>
      <c r="C6" s="15" t="n">
        <v>57.92</v>
      </c>
      <c r="D6" s="15" t="n"/>
      <c r="E6" s="15" t="n">
        <v>-2.15</v>
      </c>
      <c r="F6" s="15" t="n">
        <v>-2.15</v>
      </c>
      <c r="G6" s="8" t="inlineStr">
        <is>
          <t>east_table</t>
        </is>
      </c>
      <c r="H6" s="8" t="inlineStr">
        <is>
          <t>表格差分</t>
        </is>
      </c>
      <c r="M6" s="24" t="inlineStr">
        <is>
          <t>最近一周变化</t>
        </is>
      </c>
      <c r="N6" s="24" t="n">
        <v>-3.16</v>
      </c>
      <c r="O6" s="24" t="inlineStr">
        <is>
          <t>万吨</t>
        </is>
      </c>
    </row>
    <row r="7">
      <c r="A7" s="8" t="inlineStr">
        <is>
          <t>2022-04-20</t>
        </is>
      </c>
      <c r="B7" s="8" t="n">
        <v>16</v>
      </c>
      <c r="C7" s="15" t="n">
        <v>57.49</v>
      </c>
      <c r="D7" s="15" t="n"/>
      <c r="E7" s="15" t="n">
        <v>-0.43</v>
      </c>
      <c r="F7" s="15" t="n">
        <v>-0.43</v>
      </c>
      <c r="G7" s="8" t="inlineStr">
        <is>
          <t>east_table</t>
        </is>
      </c>
      <c r="H7" s="8" t="inlineStr">
        <is>
          <t>表格差分</t>
        </is>
      </c>
      <c r="M7" s="24" t="inlineStr">
        <is>
          <t>连续状态</t>
        </is>
      </c>
      <c r="N7" s="24" t="inlineStr">
        <is>
          <t>连续去库</t>
        </is>
      </c>
      <c r="O7" s="24" t="inlineStr">
        <is>
          <t>-7 周</t>
        </is>
      </c>
    </row>
    <row r="8">
      <c r="A8" s="8" t="inlineStr">
        <is>
          <t>2022-04-27</t>
        </is>
      </c>
      <c r="B8" s="8" t="n">
        <v>17</v>
      </c>
      <c r="C8" s="15" t="n">
        <v>61.1</v>
      </c>
      <c r="D8" s="15" t="n"/>
      <c r="E8" s="15" t="n">
        <v>3.61</v>
      </c>
      <c r="F8" s="15" t="n">
        <v>3.61</v>
      </c>
      <c r="G8" s="8" t="inlineStr">
        <is>
          <t>east_table</t>
        </is>
      </c>
      <c r="H8" s="8" t="inlineStr">
        <is>
          <t>表格差分</t>
        </is>
      </c>
      <c r="I8" s="20">
        <f>IF(COUNT(E5:E8)=4,ROUND(SUM(E5:E8),2),"")</f>
        <v/>
      </c>
      <c r="M8" s="24" t="inlineStr">
        <is>
          <t>近 4 周累计</t>
        </is>
      </c>
      <c r="N8" s="24" t="n">
        <v>-17.65</v>
      </c>
      <c r="O8" s="24" t="inlineStr">
        <is>
          <t>万吨</t>
        </is>
      </c>
    </row>
    <row r="9">
      <c r="A9" s="8" t="inlineStr">
        <is>
          <t>2022-05-05</t>
        </is>
      </c>
      <c r="B9" s="8" t="n">
        <v>18</v>
      </c>
      <c r="C9" s="15" t="n">
        <v>67.51000000000001</v>
      </c>
      <c r="D9" s="15" t="n"/>
      <c r="E9" s="15" t="n">
        <v>6.41</v>
      </c>
      <c r="F9" s="15" t="n">
        <v>6.41</v>
      </c>
      <c r="G9" s="8" t="inlineStr">
        <is>
          <t>east_table</t>
        </is>
      </c>
      <c r="H9" s="8" t="inlineStr">
        <is>
          <t>表格差分</t>
        </is>
      </c>
      <c r="I9" s="20">
        <f>IF(COUNT(E6:E9)=4,ROUND(SUM(E6:E9),2),"")</f>
        <v/>
      </c>
      <c r="M9" s="24" t="inlineStr">
        <is>
          <t>近 12 周累计</t>
        </is>
      </c>
      <c r="N9" s="24" t="n">
        <v>-18.49</v>
      </c>
      <c r="O9" s="24" t="inlineStr">
        <is>
          <t>万吨</t>
        </is>
      </c>
    </row>
    <row r="10">
      <c r="A10" s="8" t="inlineStr">
        <is>
          <t>2022-05-11</t>
        </is>
      </c>
      <c r="B10" s="8" t="n">
        <v>19</v>
      </c>
      <c r="C10" s="15" t="n">
        <v>61.91</v>
      </c>
      <c r="D10" s="15" t="n"/>
      <c r="E10" s="15" t="n">
        <v>-5.6</v>
      </c>
      <c r="F10" s="15" t="n">
        <v>-5.6</v>
      </c>
      <c r="G10" s="8" t="inlineStr">
        <is>
          <t>east_table</t>
        </is>
      </c>
      <c r="H10" s="8" t="inlineStr">
        <is>
          <t>表格差分</t>
        </is>
      </c>
      <c r="I10" s="20">
        <f>IF(COUNT(E7:E10)=4,ROUND(SUM(E7:E10),2),"")</f>
        <v/>
      </c>
      <c r="M10" s="24" t="inlineStr">
        <is>
          <t>近 26 周累计</t>
        </is>
      </c>
      <c r="N10" s="24" t="n">
        <v>-49.61</v>
      </c>
      <c r="O10" s="24" t="inlineStr">
        <is>
          <t>万吨</t>
        </is>
      </c>
    </row>
    <row r="11">
      <c r="A11" s="8" t="inlineStr">
        <is>
          <t>2022-05-18</t>
        </is>
      </c>
      <c r="B11" s="8" t="n">
        <v>20</v>
      </c>
      <c r="C11" s="15" t="n">
        <v>71.26000000000001</v>
      </c>
      <c r="D11" s="15" t="n"/>
      <c r="E11" s="15" t="n">
        <v>9.35</v>
      </c>
      <c r="F11" s="15" t="n">
        <v>9.35</v>
      </c>
      <c r="G11" s="8" t="inlineStr">
        <is>
          <t>east_table</t>
        </is>
      </c>
      <c r="H11" s="8" t="inlineStr">
        <is>
          <t>表格差分</t>
        </is>
      </c>
      <c r="I11" s="20">
        <f>IF(COUNT(E8:E11)=4,ROUND(SUM(E8:E11),2),"")</f>
        <v/>
      </c>
      <c r="M11" s="24" t="inlineStr">
        <is>
          <t>近 52 周累计</t>
        </is>
      </c>
      <c r="N11" s="24" t="n">
        <v>-88.3</v>
      </c>
      <c r="O11" s="24" t="inlineStr">
        <is>
          <t>万吨</t>
        </is>
      </c>
    </row>
    <row r="12">
      <c r="A12" s="8" t="inlineStr">
        <is>
          <t>2022-05-25</t>
        </is>
      </c>
      <c r="B12" s="8" t="n">
        <v>21</v>
      </c>
      <c r="C12" s="15" t="n">
        <v>72.34999999999999</v>
      </c>
      <c r="D12" s="15" t="n"/>
      <c r="E12" s="15" t="n">
        <v>1.09</v>
      </c>
      <c r="F12" s="15" t="n">
        <v>1.09</v>
      </c>
      <c r="G12" s="8" t="inlineStr">
        <is>
          <t>east_table</t>
        </is>
      </c>
      <c r="H12" s="8" t="inlineStr">
        <is>
          <t>表格差分</t>
        </is>
      </c>
      <c r="I12" s="20">
        <f>IF(COUNT(E9:E12)=4,ROUND(SUM(E9:E12),2),"")</f>
        <v/>
      </c>
      <c r="M12" s="24" t="inlineStr">
        <is>
          <t>4 周变化历史同周次中位数</t>
        </is>
      </c>
      <c r="N12" s="24" t="n">
        <v>-13.76</v>
      </c>
      <c r="O12" s="24" t="inlineStr">
        <is>
          <t>万吨</t>
        </is>
      </c>
    </row>
    <row r="13">
      <c r="A13" s="8" t="inlineStr">
        <is>
          <t>2022-06-01</t>
        </is>
      </c>
      <c r="B13" s="8" t="n">
        <v>22</v>
      </c>
      <c r="C13" s="15" t="n">
        <v>73.72</v>
      </c>
      <c r="D13" s="15" t="n"/>
      <c r="E13" s="15" t="n">
        <v>1.37</v>
      </c>
      <c r="F13" s="15" t="n">
        <v>1.37</v>
      </c>
      <c r="G13" s="8" t="inlineStr">
        <is>
          <t>east_table</t>
        </is>
      </c>
      <c r="H13" s="8" t="inlineStr">
        <is>
          <t>表格差分</t>
        </is>
      </c>
      <c r="I13" s="20">
        <f>IF(COUNT(E10:E13)=4,ROUND(SUM(E10:E13),2),"")</f>
        <v/>
      </c>
      <c r="M13" s="24" t="inlineStr">
        <is>
          <t>4 周变化历史分位</t>
        </is>
      </c>
      <c r="N13" s="24" t="n">
        <v>50</v>
      </c>
      <c r="O13" s="24" t="inlineStr">
        <is>
          <t>%</t>
        </is>
      </c>
    </row>
    <row r="14">
      <c r="A14" s="8" t="inlineStr">
        <is>
          <t>2022-06-08</t>
        </is>
      </c>
      <c r="B14" s="8" t="n">
        <v>23</v>
      </c>
      <c r="C14" s="15" t="n">
        <v>79.39</v>
      </c>
      <c r="D14" s="15" t="n"/>
      <c r="E14" s="15" t="n">
        <v>5.67</v>
      </c>
      <c r="F14" s="15" t="n">
        <v>5.67</v>
      </c>
      <c r="G14" s="8" t="inlineStr">
        <is>
          <t>east_table</t>
        </is>
      </c>
      <c r="H14" s="8" t="inlineStr">
        <is>
          <t>表格差分</t>
        </is>
      </c>
      <c r="I14" s="20">
        <f>IF(COUNT(E11:E14)=4,ROUND(SUM(E11:E14),2),"")</f>
        <v/>
      </c>
      <c r="M14" s="24" t="inlineStr">
        <is>
          <t>12 周变化历史分位</t>
        </is>
      </c>
      <c r="N14" s="24" t="n">
        <v>25</v>
      </c>
      <c r="O14" s="24" t="inlineStr">
        <is>
          <t>%</t>
        </is>
      </c>
    </row>
    <row r="15">
      <c r="A15" s="8" t="inlineStr">
        <is>
          <t>2022-06-15</t>
        </is>
      </c>
      <c r="B15" s="8" t="n">
        <v>24</v>
      </c>
      <c r="C15" s="15" t="n">
        <v>84.54000000000001</v>
      </c>
      <c r="D15" s="15" t="n"/>
      <c r="E15" s="15" t="n">
        <v>5.15</v>
      </c>
      <c r="F15" s="15" t="n">
        <v>5.15</v>
      </c>
      <c r="G15" s="8" t="inlineStr">
        <is>
          <t>east_table</t>
        </is>
      </c>
      <c r="H15" s="8" t="inlineStr">
        <is>
          <t>表格差分</t>
        </is>
      </c>
      <c r="I15" s="20">
        <f>IF(COUNT(E12:E15)=4,ROUND(SUM(E12:E15),2),"")</f>
        <v/>
      </c>
      <c r="M15" s="24" t="inlineStr">
        <is>
          <t>历史单期平均绝对变化</t>
        </is>
      </c>
      <c r="N15" s="24" t="n">
        <v>4.22</v>
      </c>
      <c r="O15" s="24" t="inlineStr">
        <is>
          <t>万吨</t>
        </is>
      </c>
    </row>
    <row r="16">
      <c r="A16" s="8" t="inlineStr">
        <is>
          <t>2022-06-22</t>
        </is>
      </c>
      <c r="B16" s="8" t="n">
        <v>25</v>
      </c>
      <c r="C16" s="15" t="n">
        <v>87.34999999999999</v>
      </c>
      <c r="D16" s="15" t="n"/>
      <c r="E16" s="15" t="n">
        <v>2.81</v>
      </c>
      <c r="F16" s="15" t="n">
        <v>2.81</v>
      </c>
      <c r="G16" s="8" t="inlineStr">
        <is>
          <t>east_table</t>
        </is>
      </c>
      <c r="H16" s="8" t="inlineStr">
        <is>
          <t>表格差分</t>
        </is>
      </c>
      <c r="I16" s="20">
        <f>IF(COUNT(E13:E16)=4,ROUND(SUM(E13:E16),2),"")</f>
        <v/>
      </c>
      <c r="J16" s="20">
        <f>IF(COUNT(E5:E16)=12,ROUND(SUM(E5:E16),2),"")</f>
        <v/>
      </c>
    </row>
    <row r="17">
      <c r="A17" s="8" t="inlineStr">
        <is>
          <t>2022-06-29</t>
        </is>
      </c>
      <c r="B17" s="8" t="n">
        <v>26</v>
      </c>
      <c r="C17" s="15" t="n">
        <v>86.84999999999999</v>
      </c>
      <c r="D17" s="15" t="n"/>
      <c r="E17" s="15" t="n">
        <v>-0.5</v>
      </c>
      <c r="F17" s="15" t="n">
        <v>-0.5</v>
      </c>
      <c r="G17" s="8" t="inlineStr">
        <is>
          <t>east_table</t>
        </is>
      </c>
      <c r="H17" s="8" t="inlineStr">
        <is>
          <t>表格差分</t>
        </is>
      </c>
      <c r="I17" s="20">
        <f>IF(COUNT(E14:E17)=4,ROUND(SUM(E14:E17),2),"")</f>
        <v/>
      </c>
      <c r="J17" s="20">
        <f>IF(COUNT(E6:E17)=12,ROUND(SUM(E6:E17),2),"")</f>
        <v/>
      </c>
    </row>
    <row r="18">
      <c r="A18" s="8" t="inlineStr">
        <is>
          <t>2022-07-06</t>
        </is>
      </c>
      <c r="B18" s="8" t="n">
        <v>27</v>
      </c>
      <c r="C18" s="15" t="n">
        <v>78.78</v>
      </c>
      <c r="D18" s="15" t="n"/>
      <c r="E18" s="15" t="n">
        <v>-8.07</v>
      </c>
      <c r="F18" s="15" t="n">
        <v>-8.07</v>
      </c>
      <c r="G18" s="8" t="inlineStr">
        <is>
          <t>east_table</t>
        </is>
      </c>
      <c r="H18" s="8" t="inlineStr">
        <is>
          <t>表格差分</t>
        </is>
      </c>
      <c r="I18" s="20">
        <f>IF(COUNT(E15:E18)=4,ROUND(SUM(E15:E18),2),"")</f>
        <v/>
      </c>
      <c r="J18" s="20">
        <f>IF(COUNT(E7:E18)=12,ROUND(SUM(E7:E18),2),"")</f>
        <v/>
      </c>
    </row>
    <row r="19">
      <c r="A19" s="8" t="inlineStr">
        <is>
          <t>2022-07-13</t>
        </is>
      </c>
      <c r="B19" s="8" t="n">
        <v>28</v>
      </c>
      <c r="C19" s="15" t="n">
        <v>75.84999999999999</v>
      </c>
      <c r="D19" s="15" t="n"/>
      <c r="E19" s="15" t="n">
        <v>-2.93</v>
      </c>
      <c r="F19" s="15" t="n">
        <v>-2.93</v>
      </c>
      <c r="G19" s="8" t="inlineStr">
        <is>
          <t>east_table</t>
        </is>
      </c>
      <c r="H19" s="8" t="inlineStr">
        <is>
          <t>表格差分</t>
        </is>
      </c>
      <c r="I19" s="20">
        <f>IF(COUNT(E16:E19)=4,ROUND(SUM(E16:E19),2),"")</f>
        <v/>
      </c>
      <c r="J19" s="20">
        <f>IF(COUNT(E8:E19)=12,ROUND(SUM(E8:E19),2),"")</f>
        <v/>
      </c>
    </row>
    <row r="20">
      <c r="A20" s="8" t="inlineStr">
        <is>
          <t>2022-07-20</t>
        </is>
      </c>
      <c r="B20" s="8" t="n">
        <v>29</v>
      </c>
      <c r="C20" s="15" t="n">
        <v>77.55</v>
      </c>
      <c r="D20" s="15" t="n"/>
      <c r="E20" s="15" t="n">
        <v>1.7</v>
      </c>
      <c r="F20" s="15" t="n">
        <v>1.7</v>
      </c>
      <c r="G20" s="8" t="inlineStr">
        <is>
          <t>east_table</t>
        </is>
      </c>
      <c r="H20" s="8" t="inlineStr">
        <is>
          <t>表格差分</t>
        </is>
      </c>
      <c r="I20" s="20">
        <f>IF(COUNT(E17:E20)=4,ROUND(SUM(E17:E20),2),"")</f>
        <v/>
      </c>
      <c r="J20" s="20">
        <f>IF(COUNT(E9:E20)=12,ROUND(SUM(E9:E20),2),"")</f>
        <v/>
      </c>
    </row>
    <row r="21">
      <c r="A21" s="8" t="inlineStr">
        <is>
          <t>2022-07-27</t>
        </is>
      </c>
      <c r="B21" s="8" t="n">
        <v>30</v>
      </c>
      <c r="C21" s="15" t="n">
        <v>84.53</v>
      </c>
      <c r="D21" s="15" t="n"/>
      <c r="E21" s="15" t="n">
        <v>6.98</v>
      </c>
      <c r="F21" s="15" t="n">
        <v>6.98</v>
      </c>
      <c r="G21" s="8" t="inlineStr">
        <is>
          <t>east_table</t>
        </is>
      </c>
      <c r="H21" s="8" t="inlineStr">
        <is>
          <t>表格差分</t>
        </is>
      </c>
      <c r="I21" s="20">
        <f>IF(COUNT(E18:E21)=4,ROUND(SUM(E18:E21),2),"")</f>
        <v/>
      </c>
      <c r="J21" s="20">
        <f>IF(COUNT(E10:E21)=12,ROUND(SUM(E10:E21),2),"")</f>
        <v/>
      </c>
    </row>
    <row r="22">
      <c r="A22" s="8" t="inlineStr">
        <is>
          <t>2022-08-03</t>
        </is>
      </c>
      <c r="B22" s="8" t="n">
        <v>31</v>
      </c>
      <c r="C22" s="15" t="n">
        <v>80.65000000000001</v>
      </c>
      <c r="D22" s="15" t="n"/>
      <c r="E22" s="15" t="n">
        <v>-3.88</v>
      </c>
      <c r="F22" s="15" t="n">
        <v>-3.88</v>
      </c>
      <c r="G22" s="8" t="inlineStr">
        <is>
          <t>east_table</t>
        </is>
      </c>
      <c r="H22" s="8" t="inlineStr">
        <is>
          <t>表格差分</t>
        </is>
      </c>
      <c r="I22" s="20">
        <f>IF(COUNT(E19:E22)=4,ROUND(SUM(E19:E22),2),"")</f>
        <v/>
      </c>
      <c r="J22" s="20">
        <f>IF(COUNT(E11:E22)=12,ROUND(SUM(E11:E22),2),"")</f>
        <v/>
      </c>
    </row>
    <row r="23">
      <c r="A23" s="8" t="inlineStr">
        <is>
          <t>2022-08-10</t>
        </is>
      </c>
      <c r="B23" s="8" t="n">
        <v>32</v>
      </c>
      <c r="C23" s="15" t="n">
        <v>83.86</v>
      </c>
      <c r="D23" s="15" t="n"/>
      <c r="E23" s="15" t="n">
        <v>3.21</v>
      </c>
      <c r="F23" s="15" t="n">
        <v>3.21</v>
      </c>
      <c r="G23" s="8" t="inlineStr">
        <is>
          <t>east_table</t>
        </is>
      </c>
      <c r="H23" s="8" t="inlineStr">
        <is>
          <t>表格差分</t>
        </is>
      </c>
      <c r="I23" s="20">
        <f>IF(COUNT(E20:E23)=4,ROUND(SUM(E20:E23),2),"")</f>
        <v/>
      </c>
      <c r="J23" s="20">
        <f>IF(COUNT(E12:E23)=12,ROUND(SUM(E12:E23),2),"")</f>
        <v/>
      </c>
    </row>
    <row r="24">
      <c r="A24" s="8" t="inlineStr">
        <is>
          <t>2022-08-17</t>
        </is>
      </c>
      <c r="B24" s="8" t="n">
        <v>33</v>
      </c>
      <c r="C24" s="15" t="n">
        <v>86.95999999999999</v>
      </c>
      <c r="D24" s="15" t="n">
        <v>3.1</v>
      </c>
      <c r="E24" s="15" t="n">
        <v>3.1</v>
      </c>
      <c r="F24" s="15" t="n">
        <v>3.1</v>
      </c>
      <c r="G24" s="8" t="inlineStr">
        <is>
          <t>east_table</t>
        </is>
      </c>
      <c r="H24" s="8" t="inlineStr">
        <is>
          <t>原文</t>
        </is>
      </c>
      <c r="I24" s="20">
        <f>IF(COUNT(E21:E24)=4,ROUND(SUM(E21:E24),2),"")</f>
        <v/>
      </c>
      <c r="J24" s="20">
        <f>IF(COUNT(E13:E24)=12,ROUND(SUM(E13:E24),2),"")</f>
        <v/>
      </c>
    </row>
    <row r="25">
      <c r="A25" s="8" t="inlineStr">
        <is>
          <t>2022-08-24</t>
        </is>
      </c>
      <c r="B25" s="8" t="n">
        <v>34</v>
      </c>
      <c r="C25" s="15" t="n">
        <v>79.98</v>
      </c>
      <c r="D25" s="15" t="n">
        <v>-6.98</v>
      </c>
      <c r="E25" s="15" t="n">
        <v>-6.98</v>
      </c>
      <c r="F25" s="15" t="n">
        <v>-6.98</v>
      </c>
      <c r="G25" s="8" t="inlineStr">
        <is>
          <t>east_table</t>
        </is>
      </c>
      <c r="H25" s="8" t="inlineStr">
        <is>
          <t>原文</t>
        </is>
      </c>
      <c r="I25" s="20">
        <f>IF(COUNT(E22:E25)=4,ROUND(SUM(E22:E25),2),"")</f>
        <v/>
      </c>
      <c r="J25" s="20">
        <f>IF(COUNT(E14:E25)=12,ROUND(SUM(E14:E25),2),"")</f>
        <v/>
      </c>
    </row>
    <row r="26">
      <c r="A26" s="8" t="inlineStr">
        <is>
          <t>2022-08-31</t>
        </is>
      </c>
      <c r="B26" s="8" t="n">
        <v>35</v>
      </c>
      <c r="C26" s="15" t="n">
        <v>77.61</v>
      </c>
      <c r="D26" s="15" t="n">
        <v>-2.37</v>
      </c>
      <c r="E26" s="15" t="n">
        <v>-2.37</v>
      </c>
      <c r="F26" s="15" t="n">
        <v>-2.37</v>
      </c>
      <c r="G26" s="8" t="inlineStr">
        <is>
          <t>east_table</t>
        </is>
      </c>
      <c r="H26" s="8" t="inlineStr">
        <is>
          <t>原文</t>
        </is>
      </c>
      <c r="I26" s="20">
        <f>IF(COUNT(E23:E26)=4,ROUND(SUM(E23:E26),2),"")</f>
        <v/>
      </c>
      <c r="J26" s="20">
        <f>IF(COUNT(E15:E26)=12,ROUND(SUM(E15:E26),2),"")</f>
        <v/>
      </c>
    </row>
    <row r="27">
      <c r="A27" s="8" t="inlineStr">
        <is>
          <t>2022-09-07</t>
        </is>
      </c>
      <c r="B27" s="8" t="n">
        <v>36</v>
      </c>
      <c r="C27" s="15" t="n">
        <v>76.29000000000001</v>
      </c>
      <c r="D27" s="15" t="n">
        <v>-1.32</v>
      </c>
      <c r="E27" s="15" t="n">
        <v>-1.32</v>
      </c>
      <c r="F27" s="15" t="n">
        <v>-1.32</v>
      </c>
      <c r="G27" s="8" t="inlineStr">
        <is>
          <t>east_table</t>
        </is>
      </c>
      <c r="H27" s="8" t="inlineStr">
        <is>
          <t>原文</t>
        </is>
      </c>
      <c r="I27" s="20">
        <f>IF(COUNT(E24:E27)=4,ROUND(SUM(E24:E27),2),"")</f>
        <v/>
      </c>
      <c r="J27" s="20">
        <f>IF(COUNT(E16:E27)=12,ROUND(SUM(E16:E27),2),"")</f>
        <v/>
      </c>
    </row>
    <row r="28">
      <c r="A28" s="8" t="inlineStr">
        <is>
          <t>2022-09-14</t>
        </is>
      </c>
      <c r="B28" s="8" t="n">
        <v>37</v>
      </c>
      <c r="C28" s="15" t="n">
        <v>72.3</v>
      </c>
      <c r="D28" s="15" t="n">
        <v>-3.99</v>
      </c>
      <c r="E28" s="15" t="n">
        <v>-3.99</v>
      </c>
      <c r="F28" s="15" t="n">
        <v>-3.99</v>
      </c>
      <c r="G28" s="8" t="inlineStr">
        <is>
          <t>east_table</t>
        </is>
      </c>
      <c r="H28" s="8" t="inlineStr">
        <is>
          <t>原文</t>
        </is>
      </c>
      <c r="I28" s="20">
        <f>IF(COUNT(E25:E28)=4,ROUND(SUM(E25:E28),2),"")</f>
        <v/>
      </c>
      <c r="J28" s="20">
        <f>IF(COUNT(E17:E28)=12,ROUND(SUM(E17:E28),2),"")</f>
        <v/>
      </c>
    </row>
    <row r="29">
      <c r="A29" s="8" t="inlineStr">
        <is>
          <t>2022-09-21</t>
        </is>
      </c>
      <c r="B29" s="8" t="n">
        <v>38</v>
      </c>
      <c r="C29" s="15" t="n">
        <v>64.09999999999999</v>
      </c>
      <c r="D29" s="15" t="n"/>
      <c r="E29" s="15" t="n">
        <v>-8.199999999999999</v>
      </c>
      <c r="F29" s="15" t="n">
        <v>-8.199999999999999</v>
      </c>
      <c r="G29" s="8" t="inlineStr">
        <is>
          <t>east_table</t>
        </is>
      </c>
      <c r="H29" s="8" t="inlineStr">
        <is>
          <t>表格差分</t>
        </is>
      </c>
      <c r="I29" s="20">
        <f>IF(COUNT(E26:E29)=4,ROUND(SUM(E26:E29),2),"")</f>
        <v/>
      </c>
      <c r="J29" s="20">
        <f>IF(COUNT(E18:E29)=12,ROUND(SUM(E18:E29),2),"")</f>
        <v/>
      </c>
    </row>
    <row r="30">
      <c r="A30" s="8" t="inlineStr">
        <is>
          <t>2022-09-28</t>
        </is>
      </c>
      <c r="B30" s="8" t="n">
        <v>39</v>
      </c>
      <c r="C30" s="15" t="n">
        <v>56.72</v>
      </c>
      <c r="D30" s="15" t="n"/>
      <c r="E30" s="15" t="n">
        <v>-7.38</v>
      </c>
      <c r="F30" s="15" t="n">
        <v>-7.38</v>
      </c>
      <c r="G30" s="8" t="inlineStr">
        <is>
          <t>east_table</t>
        </is>
      </c>
      <c r="H30" s="8" t="inlineStr">
        <is>
          <t>表格差分</t>
        </is>
      </c>
      <c r="I30" s="20">
        <f>IF(COUNT(E27:E30)=4,ROUND(SUM(E27:E30),2),"")</f>
        <v/>
      </c>
      <c r="J30" s="20">
        <f>IF(COUNT(E19:E30)=12,ROUND(SUM(E19:E30),2),"")</f>
        <v/>
      </c>
      <c r="K30" s="20">
        <f>IF(COUNT(E5:E30)=26,ROUND(SUM(E5:E30),2),"")</f>
        <v/>
      </c>
    </row>
    <row r="31">
      <c r="A31" s="8" t="inlineStr">
        <is>
          <t>2022-10-12</t>
        </is>
      </c>
      <c r="B31" s="8" t="n">
        <v>41</v>
      </c>
      <c r="C31" s="15" t="n">
        <v>49.52</v>
      </c>
      <c r="D31" s="15" t="n">
        <v>-7.2</v>
      </c>
      <c r="E31" s="15" t="n">
        <v>-7.2</v>
      </c>
      <c r="F31" s="15" t="n">
        <v>-7.2</v>
      </c>
      <c r="G31" s="8" t="inlineStr">
        <is>
          <t>east_table</t>
        </is>
      </c>
      <c r="H31" s="8" t="inlineStr">
        <is>
          <t>原文</t>
        </is>
      </c>
      <c r="I31" s="20">
        <f>IF(COUNT(E28:E31)=4,ROUND(SUM(E28:E31),2),"")</f>
        <v/>
      </c>
      <c r="J31" s="20">
        <f>IF(COUNT(E20:E31)=12,ROUND(SUM(E20:E31),2),"")</f>
        <v/>
      </c>
      <c r="K31" s="20">
        <f>IF(COUNT(E6:E31)=26,ROUND(SUM(E6:E31),2),"")</f>
        <v/>
      </c>
    </row>
    <row r="32">
      <c r="A32" s="8" t="inlineStr">
        <is>
          <t>2022-10-19</t>
        </is>
      </c>
      <c r="B32" s="8" t="n">
        <v>42</v>
      </c>
      <c r="C32" s="15" t="n">
        <v>40.34</v>
      </c>
      <c r="D32" s="15" t="n">
        <v>-9.18</v>
      </c>
      <c r="E32" s="15" t="n">
        <v>-9.18</v>
      </c>
      <c r="F32" s="15" t="n">
        <v>-9.18</v>
      </c>
      <c r="G32" s="8" t="inlineStr">
        <is>
          <t>east_table</t>
        </is>
      </c>
      <c r="H32" s="8" t="inlineStr">
        <is>
          <t>原文</t>
        </is>
      </c>
      <c r="I32" s="20">
        <f>IF(COUNT(E29:E32)=4,ROUND(SUM(E29:E32),2),"")</f>
        <v/>
      </c>
      <c r="J32" s="20">
        <f>IF(COUNT(E21:E32)=12,ROUND(SUM(E21:E32),2),"")</f>
        <v/>
      </c>
      <c r="K32" s="20">
        <f>IF(COUNT(E7:E32)=26,ROUND(SUM(E7:E32),2),"")</f>
        <v/>
      </c>
    </row>
    <row r="33">
      <c r="A33" s="8" t="inlineStr">
        <is>
          <t>2022-10-26</t>
        </is>
      </c>
      <c r="B33" s="8" t="n">
        <v>43</v>
      </c>
      <c r="C33" s="15" t="n">
        <v>37.69</v>
      </c>
      <c r="D33" s="15" t="n">
        <v>-2.65</v>
      </c>
      <c r="E33" s="15" t="n">
        <v>-2.65</v>
      </c>
      <c r="F33" s="15" t="n">
        <v>-2.65</v>
      </c>
      <c r="G33" s="8" t="inlineStr">
        <is>
          <t>east_table</t>
        </is>
      </c>
      <c r="H33" s="8" t="inlineStr">
        <is>
          <t>原文</t>
        </is>
      </c>
      <c r="I33" s="20">
        <f>IF(COUNT(E30:E33)=4,ROUND(SUM(E30:E33),2),"")</f>
        <v/>
      </c>
      <c r="J33" s="20">
        <f>IF(COUNT(E22:E33)=12,ROUND(SUM(E22:E33),2),"")</f>
        <v/>
      </c>
      <c r="K33" s="20">
        <f>IF(COUNT(E8:E33)=26,ROUND(SUM(E8:E33),2),"")</f>
        <v/>
      </c>
    </row>
    <row r="34">
      <c r="A34" s="8" t="inlineStr">
        <is>
          <t>2022-11-02</t>
        </is>
      </c>
      <c r="B34" s="8" t="n">
        <v>44</v>
      </c>
      <c r="C34" s="15" t="n">
        <v>40.8</v>
      </c>
      <c r="D34" s="15" t="n">
        <v>3.11</v>
      </c>
      <c r="E34" s="15" t="n">
        <v>3.11</v>
      </c>
      <c r="F34" s="15" t="n">
        <v>3.11</v>
      </c>
      <c r="G34" s="8" t="inlineStr">
        <is>
          <t>east_table</t>
        </is>
      </c>
      <c r="H34" s="8" t="inlineStr">
        <is>
          <t>原文</t>
        </is>
      </c>
      <c r="I34" s="20">
        <f>IF(COUNT(E31:E34)=4,ROUND(SUM(E31:E34),2),"")</f>
        <v/>
      </c>
      <c r="J34" s="20">
        <f>IF(COUNT(E23:E34)=12,ROUND(SUM(E23:E34),2),"")</f>
        <v/>
      </c>
      <c r="K34" s="20">
        <f>IF(COUNT(E9:E34)=26,ROUND(SUM(E9:E34),2),"")</f>
        <v/>
      </c>
    </row>
    <row r="35">
      <c r="A35" s="8" t="inlineStr">
        <is>
          <t>2022-11-09</t>
        </is>
      </c>
      <c r="B35" s="8" t="n">
        <v>45</v>
      </c>
      <c r="C35" s="15" t="n">
        <v>49</v>
      </c>
      <c r="D35" s="15" t="n">
        <v>8.5</v>
      </c>
      <c r="E35" s="15" t="n">
        <v>8.5</v>
      </c>
      <c r="F35" s="15" t="n">
        <v>8.199999999999999</v>
      </c>
      <c r="G35" s="8" t="inlineStr">
        <is>
          <t>east_table</t>
        </is>
      </c>
      <c r="H35" s="8" t="inlineStr">
        <is>
          <t>原文</t>
        </is>
      </c>
      <c r="I35" s="20">
        <f>IF(COUNT(E32:E35)=4,ROUND(SUM(E32:E35),2),"")</f>
        <v/>
      </c>
      <c r="J35" s="20">
        <f>IF(COUNT(E24:E35)=12,ROUND(SUM(E24:E35),2),"")</f>
        <v/>
      </c>
      <c r="K35" s="20">
        <f>IF(COUNT(E10:E35)=26,ROUND(SUM(E10:E35),2),"")</f>
        <v/>
      </c>
    </row>
    <row r="36">
      <c r="A36" s="8" t="inlineStr">
        <is>
          <t>2022-11-16</t>
        </is>
      </c>
      <c r="B36" s="8" t="n">
        <v>46</v>
      </c>
      <c r="C36" s="15" t="n">
        <v>47.4</v>
      </c>
      <c r="D36" s="15" t="n">
        <v>-1.6</v>
      </c>
      <c r="E36" s="15" t="n">
        <v>-1.6</v>
      </c>
      <c r="F36" s="15" t="n">
        <v>-1.6</v>
      </c>
      <c r="G36" s="8" t="inlineStr">
        <is>
          <t>east_table</t>
        </is>
      </c>
      <c r="H36" s="8" t="inlineStr">
        <is>
          <t>原文</t>
        </is>
      </c>
      <c r="I36" s="20">
        <f>IF(COUNT(E33:E36)=4,ROUND(SUM(E33:E36),2),"")</f>
        <v/>
      </c>
      <c r="J36" s="20">
        <f>IF(COUNT(E25:E36)=12,ROUND(SUM(E25:E36),2),"")</f>
        <v/>
      </c>
      <c r="K36" s="20">
        <f>IF(COUNT(E11:E36)=26,ROUND(SUM(E11:E36),2),"")</f>
        <v/>
      </c>
    </row>
    <row r="37">
      <c r="A37" s="8" t="inlineStr">
        <is>
          <t>2022-11-23</t>
        </is>
      </c>
      <c r="B37" s="8" t="n">
        <v>47</v>
      </c>
      <c r="C37" s="15" t="n">
        <v>45.94</v>
      </c>
      <c r="D37" s="15" t="n">
        <v>-1.46</v>
      </c>
      <c r="E37" s="15" t="n">
        <v>-1.46</v>
      </c>
      <c r="F37" s="15" t="n">
        <v>-1.46</v>
      </c>
      <c r="G37" s="8" t="inlineStr">
        <is>
          <t>east_table</t>
        </is>
      </c>
      <c r="H37" s="8" t="inlineStr">
        <is>
          <t>原文</t>
        </is>
      </c>
      <c r="I37" s="20">
        <f>IF(COUNT(E34:E37)=4,ROUND(SUM(E34:E37),2),"")</f>
        <v/>
      </c>
      <c r="J37" s="20">
        <f>IF(COUNT(E26:E37)=12,ROUND(SUM(E26:E37),2),"")</f>
        <v/>
      </c>
      <c r="K37" s="20">
        <f>IF(COUNT(E12:E37)=26,ROUND(SUM(E12:E37),2),"")</f>
        <v/>
      </c>
    </row>
    <row r="38">
      <c r="A38" s="8" t="inlineStr">
        <is>
          <t>2022-11-30</t>
        </is>
      </c>
      <c r="B38" s="8" t="n">
        <v>48</v>
      </c>
      <c r="C38" s="15" t="n">
        <v>48.72</v>
      </c>
      <c r="D38" s="15" t="n">
        <v>2.78</v>
      </c>
      <c r="E38" s="15" t="n">
        <v>2.78</v>
      </c>
      <c r="F38" s="15" t="n">
        <v>2.78</v>
      </c>
      <c r="G38" s="8" t="inlineStr">
        <is>
          <t>east_estimated</t>
        </is>
      </c>
      <c r="H38" s="8" t="inlineStr">
        <is>
          <t>原文</t>
        </is>
      </c>
      <c r="I38" s="20">
        <f>IF(COUNT(E35:E38)=4,ROUND(SUM(E35:E38),2),"")</f>
        <v/>
      </c>
      <c r="J38" s="20">
        <f>IF(COUNT(E27:E38)=12,ROUND(SUM(E27:E38),2),"")</f>
        <v/>
      </c>
      <c r="K38" s="20">
        <f>IF(COUNT(E13:E38)=26,ROUND(SUM(E13:E38),2),"")</f>
        <v/>
      </c>
    </row>
    <row r="39">
      <c r="A39" s="8" t="inlineStr">
        <is>
          <t>2022-12-07</t>
        </is>
      </c>
      <c r="B39" s="8" t="n">
        <v>49</v>
      </c>
      <c r="C39" s="15" t="n">
        <v>46.29</v>
      </c>
      <c r="D39" s="15" t="n">
        <v>-2.43</v>
      </c>
      <c r="E39" s="15" t="n">
        <v>-2.43</v>
      </c>
      <c r="F39" s="15" t="n">
        <v>-2.43</v>
      </c>
      <c r="G39" s="8" t="inlineStr">
        <is>
          <t>east_table</t>
        </is>
      </c>
      <c r="H39" s="8" t="inlineStr">
        <is>
          <t>原文</t>
        </is>
      </c>
      <c r="I39" s="20">
        <f>IF(COUNT(E36:E39)=4,ROUND(SUM(E36:E39),2),"")</f>
        <v/>
      </c>
      <c r="J39" s="20">
        <f>IF(COUNT(E28:E39)=12,ROUND(SUM(E28:E39),2),"")</f>
        <v/>
      </c>
      <c r="K39" s="20">
        <f>IF(COUNT(E14:E39)=26,ROUND(SUM(E14:E39),2),"")</f>
        <v/>
      </c>
    </row>
    <row r="40">
      <c r="A40" s="8" t="inlineStr">
        <is>
          <t>2022-12-14</t>
        </is>
      </c>
      <c r="B40" s="8" t="n">
        <v>50</v>
      </c>
      <c r="C40" s="15" t="n">
        <v>54.45</v>
      </c>
      <c r="D40" s="15" t="n"/>
      <c r="E40" s="15" t="n">
        <v>8.16</v>
      </c>
      <c r="F40" s="15" t="n">
        <v>8.16</v>
      </c>
      <c r="G40" s="8" t="inlineStr">
        <is>
          <t>east_table</t>
        </is>
      </c>
      <c r="H40" s="8" t="inlineStr">
        <is>
          <t>表格差分</t>
        </is>
      </c>
      <c r="I40" s="20">
        <f>IF(COUNT(E37:E40)=4,ROUND(SUM(E37:E40),2),"")</f>
        <v/>
      </c>
      <c r="J40" s="20">
        <f>IF(COUNT(E29:E40)=12,ROUND(SUM(E29:E40),2),"")</f>
        <v/>
      </c>
      <c r="K40" s="20">
        <f>IF(COUNT(E15:E40)=26,ROUND(SUM(E15:E40),2),"")</f>
        <v/>
      </c>
    </row>
    <row r="41">
      <c r="A41" s="8" t="inlineStr">
        <is>
          <t>2022-12-21</t>
        </is>
      </c>
      <c r="B41" s="8" t="n">
        <v>51</v>
      </c>
      <c r="C41" s="15" t="n">
        <v>51.76</v>
      </c>
      <c r="D41" s="15" t="n"/>
      <c r="E41" s="15" t="n">
        <v>-2.69</v>
      </c>
      <c r="F41" s="15" t="n">
        <v>-2.69</v>
      </c>
      <c r="G41" s="8" t="inlineStr">
        <is>
          <t>east_table</t>
        </is>
      </c>
      <c r="H41" s="8" t="inlineStr">
        <is>
          <t>表格差分</t>
        </is>
      </c>
      <c r="I41" s="20">
        <f>IF(COUNT(E38:E41)=4,ROUND(SUM(E38:E41),2),"")</f>
        <v/>
      </c>
      <c r="J41" s="20">
        <f>IF(COUNT(E30:E41)=12,ROUND(SUM(E30:E41),2),"")</f>
        <v/>
      </c>
      <c r="K41" s="20">
        <f>IF(COUNT(E16:E41)=26,ROUND(SUM(E16:E41),2),"")</f>
        <v/>
      </c>
    </row>
    <row r="42">
      <c r="A42" s="8" t="inlineStr">
        <is>
          <t>2022-12-28</t>
        </is>
      </c>
      <c r="B42" s="8" t="n">
        <v>52</v>
      </c>
      <c r="C42" s="15" t="n">
        <v>49.88</v>
      </c>
      <c r="D42" s="15" t="n"/>
      <c r="E42" s="15" t="n">
        <v>-1.88</v>
      </c>
      <c r="F42" s="15" t="n">
        <v>-1.88</v>
      </c>
      <c r="G42" s="8" t="inlineStr">
        <is>
          <t>east_table</t>
        </is>
      </c>
      <c r="H42" s="8" t="inlineStr">
        <is>
          <t>表格差分</t>
        </is>
      </c>
      <c r="I42" s="20">
        <f>IF(COUNT(E39:E42)=4,ROUND(SUM(E39:E42),2),"")</f>
        <v/>
      </c>
      <c r="J42" s="20">
        <f>IF(COUNT(E31:E42)=12,ROUND(SUM(E31:E42),2),"")</f>
        <v/>
      </c>
      <c r="K42" s="20">
        <f>IF(COUNT(E17:E42)=26,ROUND(SUM(E17:E42),2),"")</f>
        <v/>
      </c>
    </row>
    <row r="43">
      <c r="A43" s="8" t="inlineStr">
        <is>
          <t>2023-01-04</t>
        </is>
      </c>
      <c r="B43" s="8" t="n">
        <v>1</v>
      </c>
      <c r="C43" s="15" t="n">
        <v>58.8</v>
      </c>
      <c r="D43" s="15" t="n">
        <v>8.92</v>
      </c>
      <c r="E43" s="15" t="n">
        <v>8.92</v>
      </c>
      <c r="F43" s="15" t="n">
        <v>8.92</v>
      </c>
      <c r="G43" s="8" t="inlineStr">
        <is>
          <t>east_table</t>
        </is>
      </c>
      <c r="H43" s="8" t="inlineStr">
        <is>
          <t>原文</t>
        </is>
      </c>
      <c r="I43" s="20">
        <f>IF(COUNT(E40:E43)=4,ROUND(SUM(E40:E43),2),"")</f>
        <v/>
      </c>
      <c r="J43" s="20">
        <f>IF(COUNT(E32:E43)=12,ROUND(SUM(E32:E43),2),"")</f>
        <v/>
      </c>
      <c r="K43" s="20">
        <f>IF(COUNT(E18:E43)=26,ROUND(SUM(E18:E43),2),"")</f>
        <v/>
      </c>
    </row>
    <row r="44">
      <c r="A44" s="8" t="inlineStr">
        <is>
          <t>2023-01-11</t>
        </is>
      </c>
      <c r="B44" s="8" t="n">
        <v>2</v>
      </c>
      <c r="C44" s="15" t="n">
        <v>67.56999999999999</v>
      </c>
      <c r="D44" s="15" t="n">
        <v>8.77</v>
      </c>
      <c r="E44" s="15" t="n">
        <v>8.77</v>
      </c>
      <c r="F44" s="15" t="n">
        <v>8.77</v>
      </c>
      <c r="G44" s="8" t="inlineStr">
        <is>
          <t>east_table</t>
        </is>
      </c>
      <c r="H44" s="8" t="inlineStr">
        <is>
          <t>原文</t>
        </is>
      </c>
      <c r="I44" s="20">
        <f>IF(COUNT(E41:E44)=4,ROUND(SUM(E41:E44),2),"")</f>
        <v/>
      </c>
      <c r="J44" s="20">
        <f>IF(COUNT(E33:E44)=12,ROUND(SUM(E33:E44),2),"")</f>
        <v/>
      </c>
      <c r="K44" s="20">
        <f>IF(COUNT(E19:E44)=26,ROUND(SUM(E19:E44),2),"")</f>
        <v/>
      </c>
    </row>
    <row r="45">
      <c r="A45" s="8" t="inlineStr">
        <is>
          <t>2023-01-18</t>
        </is>
      </c>
      <c r="B45" s="8" t="n">
        <v>3</v>
      </c>
      <c r="C45" s="15" t="n">
        <v>63.71</v>
      </c>
      <c r="D45" s="15" t="n">
        <v>-3.86</v>
      </c>
      <c r="E45" s="15" t="n">
        <v>-3.86</v>
      </c>
      <c r="F45" s="15" t="n">
        <v>-3.86</v>
      </c>
      <c r="G45" s="8" t="inlineStr">
        <is>
          <t>east_table</t>
        </is>
      </c>
      <c r="H45" s="8" t="inlineStr">
        <is>
          <t>原文</t>
        </is>
      </c>
      <c r="I45" s="20">
        <f>IF(COUNT(E42:E45)=4,ROUND(SUM(E42:E45),2),"")</f>
        <v/>
      </c>
      <c r="J45" s="20">
        <f>IF(COUNT(E34:E45)=12,ROUND(SUM(E34:E45),2),"")</f>
        <v/>
      </c>
      <c r="K45" s="20">
        <f>IF(COUNT(E20:E45)=26,ROUND(SUM(E20:E45),2),"")</f>
        <v/>
      </c>
    </row>
    <row r="46">
      <c r="A46" s="8" t="inlineStr">
        <is>
          <t>2023-02-01</t>
        </is>
      </c>
      <c r="B46" s="8" t="n">
        <v>5</v>
      </c>
      <c r="C46" s="15" t="n">
        <v>53.5</v>
      </c>
      <c r="D46" s="15" t="n"/>
      <c r="E46" s="15" t="n">
        <v>-10.21</v>
      </c>
      <c r="F46" s="15" t="n">
        <v>-10.21</v>
      </c>
      <c r="G46" s="8" t="inlineStr">
        <is>
          <t>east_table</t>
        </is>
      </c>
      <c r="H46" s="8" t="inlineStr">
        <is>
          <t>表格差分</t>
        </is>
      </c>
      <c r="I46" s="20">
        <f>IF(COUNT(E43:E46)=4,ROUND(SUM(E43:E46),2),"")</f>
        <v/>
      </c>
      <c r="J46" s="20">
        <f>IF(COUNT(E35:E46)=12,ROUND(SUM(E35:E46),2),"")</f>
        <v/>
      </c>
      <c r="K46" s="20">
        <f>IF(COUNT(E21:E46)=26,ROUND(SUM(E21:E46),2),"")</f>
        <v/>
      </c>
    </row>
    <row r="47">
      <c r="A47" s="8" t="inlineStr">
        <is>
          <t>2023-02-08</t>
        </is>
      </c>
      <c r="B47" s="8" t="n">
        <v>6</v>
      </c>
      <c r="C47" s="15" t="n">
        <v>55.05</v>
      </c>
      <c r="D47" s="15" t="n"/>
      <c r="E47" s="15" t="n">
        <v>1.55</v>
      </c>
      <c r="F47" s="15" t="n">
        <v>1.55</v>
      </c>
      <c r="G47" s="8" t="inlineStr">
        <is>
          <t>east_table</t>
        </is>
      </c>
      <c r="H47" s="8" t="inlineStr">
        <is>
          <t>表格差分</t>
        </is>
      </c>
      <c r="I47" s="20">
        <f>IF(COUNT(E44:E47)=4,ROUND(SUM(E44:E47),2),"")</f>
        <v/>
      </c>
      <c r="J47" s="20">
        <f>IF(COUNT(E36:E47)=12,ROUND(SUM(E36:E47),2),"")</f>
        <v/>
      </c>
      <c r="K47" s="20">
        <f>IF(COUNT(E22:E47)=26,ROUND(SUM(E22:E47),2),"")</f>
        <v/>
      </c>
    </row>
    <row r="48">
      <c r="A48" s="8" t="inlineStr">
        <is>
          <t>2023-02-15</t>
        </is>
      </c>
      <c r="B48" s="8" t="n">
        <v>7</v>
      </c>
      <c r="C48" s="15" t="n">
        <v>59.77</v>
      </c>
      <c r="D48" s="15" t="n">
        <v>4.72</v>
      </c>
      <c r="E48" s="15" t="n">
        <v>4.72</v>
      </c>
      <c r="F48" s="15" t="n">
        <v>4.72</v>
      </c>
      <c r="G48" s="8" t="inlineStr">
        <is>
          <t>east_table</t>
        </is>
      </c>
      <c r="H48" s="8" t="inlineStr">
        <is>
          <t>原文</t>
        </is>
      </c>
      <c r="I48" s="20">
        <f>IF(COUNT(E45:E48)=4,ROUND(SUM(E45:E48),2),"")</f>
        <v/>
      </c>
      <c r="J48" s="20">
        <f>IF(COUNT(E37:E48)=12,ROUND(SUM(E37:E48),2),"")</f>
        <v/>
      </c>
      <c r="K48" s="20">
        <f>IF(COUNT(E23:E48)=26,ROUND(SUM(E23:E48),2),"")</f>
        <v/>
      </c>
    </row>
    <row r="49">
      <c r="A49" s="8" t="inlineStr">
        <is>
          <t>2023-02-22</t>
        </is>
      </c>
      <c r="B49" s="8" t="n">
        <v>8</v>
      </c>
      <c r="C49" s="15" t="n">
        <v>57.74</v>
      </c>
      <c r="D49" s="15" t="n">
        <v>-2.03</v>
      </c>
      <c r="E49" s="15" t="n">
        <v>-2.03</v>
      </c>
      <c r="F49" s="15" t="n">
        <v>-2.03</v>
      </c>
      <c r="G49" s="8" t="inlineStr">
        <is>
          <t>east_table</t>
        </is>
      </c>
      <c r="H49" s="8" t="inlineStr">
        <is>
          <t>原文</t>
        </is>
      </c>
      <c r="I49" s="20">
        <f>IF(COUNT(E46:E49)=4,ROUND(SUM(E46:E49),2),"")</f>
        <v/>
      </c>
      <c r="J49" s="20">
        <f>IF(COUNT(E38:E49)=12,ROUND(SUM(E38:E49),2),"")</f>
        <v/>
      </c>
      <c r="K49" s="20">
        <f>IF(COUNT(E24:E49)=26,ROUND(SUM(E24:E49),2),"")</f>
        <v/>
      </c>
    </row>
    <row r="50">
      <c r="A50" s="8" t="inlineStr">
        <is>
          <t>2023-03-01</t>
        </is>
      </c>
      <c r="B50" s="8" t="n">
        <v>9</v>
      </c>
      <c r="C50" s="15" t="n">
        <v>56</v>
      </c>
      <c r="D50" s="15" t="n">
        <v>-1.74</v>
      </c>
      <c r="E50" s="15" t="n">
        <v>-1.74</v>
      </c>
      <c r="F50" s="15" t="n">
        <v>-1.74</v>
      </c>
      <c r="G50" s="8" t="inlineStr">
        <is>
          <t>east_table</t>
        </is>
      </c>
      <c r="H50" s="8" t="inlineStr">
        <is>
          <t>原文</t>
        </is>
      </c>
      <c r="I50" s="20">
        <f>IF(COUNT(E47:E50)=4,ROUND(SUM(E47:E50),2),"")</f>
        <v/>
      </c>
      <c r="J50" s="20">
        <f>IF(COUNT(E39:E50)=12,ROUND(SUM(E39:E50),2),"")</f>
        <v/>
      </c>
      <c r="K50" s="20">
        <f>IF(COUNT(E25:E50)=26,ROUND(SUM(E25:E50),2),"")</f>
        <v/>
      </c>
    </row>
    <row r="51">
      <c r="A51" s="8" t="inlineStr">
        <is>
          <t>2023-03-08</t>
        </is>
      </c>
      <c r="B51" s="8" t="n">
        <v>10</v>
      </c>
      <c r="C51" s="15" t="n">
        <v>57.85</v>
      </c>
      <c r="D51" s="15" t="n">
        <v>1.85</v>
      </c>
      <c r="E51" s="15" t="n">
        <v>1.85</v>
      </c>
      <c r="F51" s="15" t="n">
        <v>1.85</v>
      </c>
      <c r="G51" s="8" t="inlineStr">
        <is>
          <t>east_table</t>
        </is>
      </c>
      <c r="H51" s="8" t="inlineStr">
        <is>
          <t>原文</t>
        </is>
      </c>
      <c r="I51" s="20">
        <f>IF(COUNT(E48:E51)=4,ROUND(SUM(E48:E51),2),"")</f>
        <v/>
      </c>
      <c r="J51" s="20">
        <f>IF(COUNT(E40:E51)=12,ROUND(SUM(E40:E51),2),"")</f>
        <v/>
      </c>
      <c r="K51" s="20">
        <f>IF(COUNT(E26:E51)=26,ROUND(SUM(E26:E51),2),"")</f>
        <v/>
      </c>
    </row>
    <row r="52">
      <c r="A52" s="8" t="inlineStr">
        <is>
          <t>2023-03-15</t>
        </is>
      </c>
      <c r="B52" s="8" t="n">
        <v>11</v>
      </c>
      <c r="C52" s="15" t="n">
        <v>54.9</v>
      </c>
      <c r="D52" s="15" t="n">
        <v>-2.95</v>
      </c>
      <c r="E52" s="15" t="n">
        <v>-2.95</v>
      </c>
      <c r="F52" s="15" t="n">
        <v>-2.95</v>
      </c>
      <c r="G52" s="8" t="inlineStr">
        <is>
          <t>east_table</t>
        </is>
      </c>
      <c r="H52" s="8" t="inlineStr">
        <is>
          <t>原文</t>
        </is>
      </c>
      <c r="I52" s="20">
        <f>IF(COUNT(E49:E52)=4,ROUND(SUM(E49:E52),2),"")</f>
        <v/>
      </c>
      <c r="J52" s="20">
        <f>IF(COUNT(E41:E52)=12,ROUND(SUM(E41:E52),2),"")</f>
        <v/>
      </c>
      <c r="K52" s="20">
        <f>IF(COUNT(E27:E52)=26,ROUND(SUM(E27:E52),2),"")</f>
        <v/>
      </c>
    </row>
    <row r="53">
      <c r="A53" s="8" t="inlineStr">
        <is>
          <t>2023-03-22</t>
        </is>
      </c>
      <c r="B53" s="8" t="n">
        <v>12</v>
      </c>
      <c r="C53" s="15" t="n">
        <v>60.94</v>
      </c>
      <c r="D53" s="15" t="n"/>
      <c r="E53" s="15" t="n">
        <v>6.04</v>
      </c>
      <c r="F53" s="15" t="n">
        <v>6.04</v>
      </c>
      <c r="G53" s="8" t="inlineStr">
        <is>
          <t>east_table</t>
        </is>
      </c>
      <c r="H53" s="8" t="inlineStr">
        <is>
          <t>表格差分</t>
        </is>
      </c>
      <c r="I53" s="20">
        <f>IF(COUNT(E50:E53)=4,ROUND(SUM(E50:E53),2),"")</f>
        <v/>
      </c>
      <c r="J53" s="20">
        <f>IF(COUNT(E42:E53)=12,ROUND(SUM(E42:E53),2),"")</f>
        <v/>
      </c>
      <c r="K53" s="20">
        <f>IF(COUNT(E28:E53)=26,ROUND(SUM(E28:E53),2),"")</f>
        <v/>
      </c>
    </row>
    <row r="54">
      <c r="A54" s="8" t="inlineStr">
        <is>
          <t>2023-03-29</t>
        </is>
      </c>
      <c r="B54" s="8" t="n">
        <v>13</v>
      </c>
      <c r="C54" s="15" t="n">
        <v>69.5</v>
      </c>
      <c r="D54" s="15" t="n"/>
      <c r="E54" s="15" t="n">
        <v>8.56</v>
      </c>
      <c r="F54" s="15" t="n">
        <v>8.56</v>
      </c>
      <c r="G54" s="8" t="inlineStr">
        <is>
          <t>east_table</t>
        </is>
      </c>
      <c r="H54" s="8" t="inlineStr">
        <is>
          <t>表格差分</t>
        </is>
      </c>
      <c r="I54" s="20">
        <f>IF(COUNT(E51:E54)=4,ROUND(SUM(E51:E54),2),"")</f>
        <v/>
      </c>
      <c r="J54" s="20">
        <f>IF(COUNT(E43:E54)=12,ROUND(SUM(E43:E54),2),"")</f>
        <v/>
      </c>
      <c r="K54" s="20">
        <f>IF(COUNT(E29:E54)=26,ROUND(SUM(E29:E54),2),"")</f>
        <v/>
      </c>
    </row>
    <row r="55">
      <c r="A55" s="8" t="inlineStr">
        <is>
          <t>2023-04-04</t>
        </is>
      </c>
      <c r="B55" s="8" t="n">
        <v>14</v>
      </c>
      <c r="C55" s="15" t="n">
        <v>70.25</v>
      </c>
      <c r="D55" s="15" t="n"/>
      <c r="E55" s="15" t="n">
        <v>0.75</v>
      </c>
      <c r="F55" s="15" t="n">
        <v>0.75</v>
      </c>
      <c r="G55" s="8" t="inlineStr">
        <is>
          <t>east_table</t>
        </is>
      </c>
      <c r="H55" s="8" t="inlineStr">
        <is>
          <t>表格差分</t>
        </is>
      </c>
      <c r="I55" s="20">
        <f>IF(COUNT(E52:E55)=4,ROUND(SUM(E52:E55),2),"")</f>
        <v/>
      </c>
      <c r="J55" s="20">
        <f>IF(COUNT(E44:E55)=12,ROUND(SUM(E44:E55),2),"")</f>
        <v/>
      </c>
      <c r="K55" s="20">
        <f>IF(COUNT(E30:E55)=26,ROUND(SUM(E30:E55),2),"")</f>
        <v/>
      </c>
    </row>
    <row r="56">
      <c r="A56" s="8" t="inlineStr">
        <is>
          <t>2023-04-12</t>
        </is>
      </c>
      <c r="B56" s="8" t="n">
        <v>15</v>
      </c>
      <c r="C56" s="15" t="n">
        <v>59.85</v>
      </c>
      <c r="D56" s="15" t="n">
        <v>-10.94</v>
      </c>
      <c r="E56" s="15" t="n">
        <v>-10.94</v>
      </c>
      <c r="F56" s="15" t="n">
        <v>-10.4</v>
      </c>
      <c r="G56" s="8" t="inlineStr">
        <is>
          <t>east_table</t>
        </is>
      </c>
      <c r="H56" s="8" t="inlineStr">
        <is>
          <t>原文</t>
        </is>
      </c>
      <c r="I56" s="20">
        <f>IF(COUNT(E53:E56)=4,ROUND(SUM(E53:E56),2),"")</f>
        <v/>
      </c>
      <c r="J56" s="20">
        <f>IF(COUNT(E45:E56)=12,ROUND(SUM(E45:E56),2),"")</f>
        <v/>
      </c>
      <c r="K56" s="20">
        <f>IF(COUNT(E31:E56)=26,ROUND(SUM(E31:E56),2),"")</f>
        <v/>
      </c>
    </row>
    <row r="57">
      <c r="A57" s="8" t="inlineStr">
        <is>
          <t>2023-04-19</t>
        </is>
      </c>
      <c r="B57" s="8" t="n">
        <v>16</v>
      </c>
      <c r="C57" s="15" t="n">
        <v>56.75</v>
      </c>
      <c r="D57" s="15" t="n">
        <v>-3.1</v>
      </c>
      <c r="E57" s="15" t="n">
        <v>-3.1</v>
      </c>
      <c r="F57" s="15" t="n">
        <v>-3.1</v>
      </c>
      <c r="G57" s="8" t="inlineStr">
        <is>
          <t>east_table</t>
        </is>
      </c>
      <c r="H57" s="8" t="inlineStr">
        <is>
          <t>原文</t>
        </is>
      </c>
      <c r="I57" s="20">
        <f>IF(COUNT(E54:E57)=4,ROUND(SUM(E54:E57),2),"")</f>
        <v/>
      </c>
      <c r="J57" s="20">
        <f>IF(COUNT(E46:E57)=12,ROUND(SUM(E46:E57),2),"")</f>
        <v/>
      </c>
      <c r="K57" s="20">
        <f>IF(COUNT(E32:E57)=26,ROUND(SUM(E32:E57),2),"")</f>
        <v/>
      </c>
    </row>
    <row r="58">
      <c r="A58" s="8" t="inlineStr">
        <is>
          <t>2023-04-26</t>
        </is>
      </c>
      <c r="B58" s="8" t="n">
        <v>17</v>
      </c>
      <c r="C58" s="15" t="n">
        <v>49.75</v>
      </c>
      <c r="D58" s="15" t="n">
        <v>-7</v>
      </c>
      <c r="E58" s="15" t="n">
        <v>-7</v>
      </c>
      <c r="F58" s="15" t="n">
        <v>-7</v>
      </c>
      <c r="G58" s="8" t="inlineStr">
        <is>
          <t>east_table</t>
        </is>
      </c>
      <c r="H58" s="8" t="inlineStr">
        <is>
          <t>原文</t>
        </is>
      </c>
      <c r="I58" s="20">
        <f>IF(COUNT(E55:E58)=4,ROUND(SUM(E55:E58),2),"")</f>
        <v/>
      </c>
      <c r="J58" s="20">
        <f>IF(COUNT(E47:E58)=12,ROUND(SUM(E47:E58),2),"")</f>
        <v/>
      </c>
      <c r="K58" s="20">
        <f>IF(COUNT(E33:E58)=26,ROUND(SUM(E33:E58),2),"")</f>
        <v/>
      </c>
    </row>
    <row r="59">
      <c r="A59" s="8" t="inlineStr">
        <is>
          <t>2023-05-04</t>
        </is>
      </c>
      <c r="B59" s="8" t="n">
        <v>18</v>
      </c>
      <c r="C59" s="15" t="n">
        <v>56.04</v>
      </c>
      <c r="D59" s="15" t="n">
        <v>6.29</v>
      </c>
      <c r="E59" s="15" t="n">
        <v>6.29</v>
      </c>
      <c r="F59" s="15" t="n">
        <v>6.29</v>
      </c>
      <c r="G59" s="8" t="inlineStr">
        <is>
          <t>east_table</t>
        </is>
      </c>
      <c r="H59" s="8" t="inlineStr">
        <is>
          <t>原文</t>
        </is>
      </c>
      <c r="I59" s="20">
        <f>IF(COUNT(E56:E59)=4,ROUND(SUM(E56:E59),2),"")</f>
        <v/>
      </c>
      <c r="J59" s="20">
        <f>IF(COUNT(E48:E59)=12,ROUND(SUM(E48:E59),2),"")</f>
        <v/>
      </c>
      <c r="K59" s="20">
        <f>IF(COUNT(E34:E59)=26,ROUND(SUM(E34:E59),2),"")</f>
        <v/>
      </c>
    </row>
    <row r="60">
      <c r="A60" s="8" t="inlineStr">
        <is>
          <t>2023-05-10</t>
        </is>
      </c>
      <c r="B60" s="8" t="n">
        <v>19</v>
      </c>
      <c r="C60" s="15" t="n">
        <v>58.34</v>
      </c>
      <c r="D60" s="15" t="n">
        <v>2.3</v>
      </c>
      <c r="E60" s="15" t="n">
        <v>2.3</v>
      </c>
      <c r="F60" s="15" t="n">
        <v>2.3</v>
      </c>
      <c r="G60" s="8" t="inlineStr">
        <is>
          <t>east_table</t>
        </is>
      </c>
      <c r="H60" s="8" t="inlineStr">
        <is>
          <t>原文</t>
        </is>
      </c>
      <c r="I60" s="20">
        <f>IF(COUNT(E57:E60)=4,ROUND(SUM(E57:E60),2),"")</f>
        <v/>
      </c>
      <c r="J60" s="20">
        <f>IF(COUNT(E49:E60)=12,ROUND(SUM(E49:E60),2),"")</f>
        <v/>
      </c>
      <c r="K60" s="20">
        <f>IF(COUNT(E35:E60)=26,ROUND(SUM(E35:E60),2),"")</f>
        <v/>
      </c>
    </row>
    <row r="61">
      <c r="A61" s="8" t="inlineStr">
        <is>
          <t>2023-05-17</t>
        </is>
      </c>
      <c r="B61" s="8" t="n">
        <v>20</v>
      </c>
      <c r="C61" s="15" t="n">
        <v>56.36</v>
      </c>
      <c r="D61" s="15" t="n">
        <v>-1.98</v>
      </c>
      <c r="E61" s="15" t="n">
        <v>-1.98</v>
      </c>
      <c r="F61" s="15" t="n">
        <v>-1.98</v>
      </c>
      <c r="G61" s="8" t="inlineStr">
        <is>
          <t>east_table</t>
        </is>
      </c>
      <c r="H61" s="8" t="inlineStr">
        <is>
          <t>原文</t>
        </is>
      </c>
      <c r="I61" s="20">
        <f>IF(COUNT(E58:E61)=4,ROUND(SUM(E58:E61),2),"")</f>
        <v/>
      </c>
      <c r="J61" s="20">
        <f>IF(COUNT(E50:E61)=12,ROUND(SUM(E50:E61),2),"")</f>
        <v/>
      </c>
      <c r="K61" s="20">
        <f>IF(COUNT(E36:E61)=26,ROUND(SUM(E36:E61),2),"")</f>
        <v/>
      </c>
    </row>
    <row r="62">
      <c r="A62" s="8" t="inlineStr">
        <is>
          <t>2023-05-24</t>
        </is>
      </c>
      <c r="B62" s="8" t="n">
        <v>21</v>
      </c>
      <c r="C62" s="15" t="n">
        <v>52.14</v>
      </c>
      <c r="D62" s="15" t="n">
        <v>-4.22</v>
      </c>
      <c r="E62" s="15" t="n">
        <v>-4.22</v>
      </c>
      <c r="F62" s="15" t="n">
        <v>-4.22</v>
      </c>
      <c r="G62" s="8" t="inlineStr">
        <is>
          <t>east_table</t>
        </is>
      </c>
      <c r="H62" s="8" t="inlineStr">
        <is>
          <t>原文</t>
        </is>
      </c>
      <c r="I62" s="20">
        <f>IF(COUNT(E59:E62)=4,ROUND(SUM(E59:E62),2),"")</f>
        <v/>
      </c>
      <c r="J62" s="20">
        <f>IF(COUNT(E51:E62)=12,ROUND(SUM(E51:E62),2),"")</f>
        <v/>
      </c>
      <c r="K62" s="20">
        <f>IF(COUNT(E37:E62)=26,ROUND(SUM(E37:E62),2),"")</f>
        <v/>
      </c>
    </row>
    <row r="63">
      <c r="A63" s="8" t="inlineStr">
        <is>
          <t>2023-05-31</t>
        </is>
      </c>
      <c r="B63" s="8" t="n">
        <v>22</v>
      </c>
      <c r="C63" s="15" t="n">
        <v>43.85</v>
      </c>
      <c r="D63" s="15" t="n">
        <v>-8.289999999999999</v>
      </c>
      <c r="E63" s="15" t="n">
        <v>-8.289999999999999</v>
      </c>
      <c r="F63" s="15" t="n">
        <v>-8.289999999999999</v>
      </c>
      <c r="G63" s="8" t="inlineStr">
        <is>
          <t>east_table</t>
        </is>
      </c>
      <c r="H63" s="8" t="inlineStr">
        <is>
          <t>原文</t>
        </is>
      </c>
      <c r="I63" s="20">
        <f>IF(COUNT(E60:E63)=4,ROUND(SUM(E60:E63),2),"")</f>
        <v/>
      </c>
      <c r="J63" s="20">
        <f>IF(COUNT(E52:E63)=12,ROUND(SUM(E52:E63),2),"")</f>
        <v/>
      </c>
      <c r="K63" s="20">
        <f>IF(COUNT(E38:E63)=26,ROUND(SUM(E38:E63),2),"")</f>
        <v/>
      </c>
    </row>
    <row r="64">
      <c r="A64" s="8" t="inlineStr">
        <is>
          <t>2023-06-07</t>
        </is>
      </c>
      <c r="B64" s="8" t="n">
        <v>23</v>
      </c>
      <c r="C64" s="15" t="n">
        <v>50.75</v>
      </c>
      <c r="D64" s="15" t="n">
        <v>6.9</v>
      </c>
      <c r="E64" s="15" t="n">
        <v>6.9</v>
      </c>
      <c r="F64" s="15" t="n">
        <v>6.9</v>
      </c>
      <c r="G64" s="8" t="inlineStr">
        <is>
          <t>east_table</t>
        </is>
      </c>
      <c r="H64" s="8" t="inlineStr">
        <is>
          <t>原文</t>
        </is>
      </c>
      <c r="I64" s="20">
        <f>IF(COUNT(E61:E64)=4,ROUND(SUM(E61:E64),2),"")</f>
        <v/>
      </c>
      <c r="J64" s="20">
        <f>IF(COUNT(E53:E64)=12,ROUND(SUM(E53:E64),2),"")</f>
        <v/>
      </c>
      <c r="K64" s="20">
        <f>IF(COUNT(E39:E64)=26,ROUND(SUM(E39:E64),2),"")</f>
        <v/>
      </c>
    </row>
    <row r="65">
      <c r="A65" s="8" t="inlineStr">
        <is>
          <t>2023-06-14</t>
        </is>
      </c>
      <c r="B65" s="8" t="n">
        <v>24</v>
      </c>
      <c r="C65" s="15" t="n">
        <v>49.49</v>
      </c>
      <c r="D65" s="15" t="n">
        <v>-1.26</v>
      </c>
      <c r="E65" s="15" t="n">
        <v>-1.26</v>
      </c>
      <c r="F65" s="15" t="n">
        <v>-1.26</v>
      </c>
      <c r="G65" s="8" t="inlineStr">
        <is>
          <t>east_table</t>
        </is>
      </c>
      <c r="H65" s="8" t="inlineStr">
        <is>
          <t>原文</t>
        </is>
      </c>
      <c r="I65" s="20">
        <f>IF(COUNT(E62:E65)=4,ROUND(SUM(E62:E65),2),"")</f>
        <v/>
      </c>
      <c r="J65" s="20">
        <f>IF(COUNT(E54:E65)=12,ROUND(SUM(E54:E65),2),"")</f>
        <v/>
      </c>
      <c r="K65" s="20">
        <f>IF(COUNT(E40:E65)=26,ROUND(SUM(E40:E65),2),"")</f>
        <v/>
      </c>
    </row>
    <row r="66">
      <c r="A66" s="8" t="inlineStr">
        <is>
          <t>2023-06-21</t>
        </is>
      </c>
      <c r="B66" s="8" t="n">
        <v>25</v>
      </c>
      <c r="C66" s="15" t="n">
        <v>57.85</v>
      </c>
      <c r="D66" s="15" t="n">
        <v>8.359999999999999</v>
      </c>
      <c r="E66" s="15" t="n">
        <v>8.359999999999999</v>
      </c>
      <c r="F66" s="15" t="n">
        <v>8.359999999999999</v>
      </c>
      <c r="G66" s="8" t="inlineStr">
        <is>
          <t>east_table</t>
        </is>
      </c>
      <c r="H66" s="8" t="inlineStr">
        <is>
          <t>原文</t>
        </is>
      </c>
      <c r="I66" s="20">
        <f>IF(COUNT(E63:E66)=4,ROUND(SUM(E63:E66),2),"")</f>
        <v/>
      </c>
      <c r="J66" s="20">
        <f>IF(COUNT(E55:E66)=12,ROUND(SUM(E55:E66),2),"")</f>
        <v/>
      </c>
      <c r="K66" s="20">
        <f>IF(COUNT(E41:E66)=26,ROUND(SUM(E41:E66),2),"")</f>
        <v/>
      </c>
    </row>
    <row r="67">
      <c r="A67" s="8" t="inlineStr">
        <is>
          <t>2023-07-05</t>
        </is>
      </c>
      <c r="B67" s="8" t="n">
        <v>27</v>
      </c>
      <c r="C67" s="15" t="n">
        <v>65.08</v>
      </c>
      <c r="D67" s="15" t="n">
        <v>-0.25</v>
      </c>
      <c r="E67" s="15" t="n">
        <v>-0.25</v>
      </c>
      <c r="F67" s="15" t="n">
        <v>7.23</v>
      </c>
      <c r="G67" s="8" t="inlineStr">
        <is>
          <t>east_table</t>
        </is>
      </c>
      <c r="H67" s="8" t="inlineStr">
        <is>
          <t>原文</t>
        </is>
      </c>
      <c r="I67" s="20">
        <f>IF(COUNT(E64:E67)=4,ROUND(SUM(E64:E67),2),"")</f>
        <v/>
      </c>
      <c r="J67" s="20">
        <f>IF(COUNT(E56:E67)=12,ROUND(SUM(E56:E67),2),"")</f>
        <v/>
      </c>
      <c r="K67" s="20">
        <f>IF(COUNT(E42:E67)=26,ROUND(SUM(E42:E67),2),"")</f>
        <v/>
      </c>
    </row>
    <row r="68">
      <c r="A68" s="8" t="inlineStr">
        <is>
          <t>2023-07-12</t>
        </is>
      </c>
      <c r="B68" s="8" t="n">
        <v>28</v>
      </c>
      <c r="C68" s="15" t="n">
        <v>67.7</v>
      </c>
      <c r="D68" s="15" t="n">
        <v>2.62</v>
      </c>
      <c r="E68" s="15" t="n">
        <v>2.62</v>
      </c>
      <c r="F68" s="15" t="n">
        <v>2.62</v>
      </c>
      <c r="G68" s="8" t="inlineStr">
        <is>
          <t>east_table</t>
        </is>
      </c>
      <c r="H68" s="8" t="inlineStr">
        <is>
          <t>原文</t>
        </is>
      </c>
      <c r="I68" s="20">
        <f>IF(COUNT(E65:E68)=4,ROUND(SUM(E65:E68),2),"")</f>
        <v/>
      </c>
      <c r="J68" s="20">
        <f>IF(COUNT(E57:E68)=12,ROUND(SUM(E57:E68),2),"")</f>
        <v/>
      </c>
      <c r="K68" s="20">
        <f>IF(COUNT(E43:E68)=26,ROUND(SUM(E43:E68),2),"")</f>
        <v/>
      </c>
    </row>
    <row r="69">
      <c r="A69" s="8" t="inlineStr">
        <is>
          <t>2023-07-19</t>
        </is>
      </c>
      <c r="B69" s="8" t="n">
        <v>29</v>
      </c>
      <c r="C69" s="15" t="n">
        <v>68.75</v>
      </c>
      <c r="D69" s="15" t="n">
        <v>1.05</v>
      </c>
      <c r="E69" s="15" t="n">
        <v>1.05</v>
      </c>
      <c r="F69" s="15" t="n">
        <v>1.05</v>
      </c>
      <c r="G69" s="8" t="inlineStr">
        <is>
          <t>east_table</t>
        </is>
      </c>
      <c r="H69" s="8" t="inlineStr">
        <is>
          <t>原文</t>
        </is>
      </c>
      <c r="I69" s="20">
        <f>IF(COUNT(E66:E69)=4,ROUND(SUM(E66:E69),2),"")</f>
        <v/>
      </c>
      <c r="J69" s="20">
        <f>IF(COUNT(E58:E69)=12,ROUND(SUM(E58:E69),2),"")</f>
        <v/>
      </c>
      <c r="K69" s="20">
        <f>IF(COUNT(E44:E69)=26,ROUND(SUM(E44:E69),2),"")</f>
        <v/>
      </c>
    </row>
    <row r="70">
      <c r="A70" s="8" t="inlineStr">
        <is>
          <t>2023-07-26</t>
        </is>
      </c>
      <c r="B70" s="8" t="n">
        <v>30</v>
      </c>
      <c r="C70" s="15" t="n">
        <v>77.65000000000001</v>
      </c>
      <c r="D70" s="15" t="n">
        <v>8.9</v>
      </c>
      <c r="E70" s="15" t="n">
        <v>8.9</v>
      </c>
      <c r="F70" s="15" t="n">
        <v>8.9</v>
      </c>
      <c r="G70" s="8" t="inlineStr">
        <is>
          <t>east_table</t>
        </is>
      </c>
      <c r="H70" s="8" t="inlineStr">
        <is>
          <t>原文</t>
        </is>
      </c>
      <c r="I70" s="20">
        <f>IF(COUNT(E67:E70)=4,ROUND(SUM(E67:E70),2),"")</f>
        <v/>
      </c>
      <c r="J70" s="20">
        <f>IF(COUNT(E59:E70)=12,ROUND(SUM(E59:E70),2),"")</f>
        <v/>
      </c>
      <c r="K70" s="20">
        <f>IF(COUNT(E45:E70)=26,ROUND(SUM(E45:E70),2),"")</f>
        <v/>
      </c>
    </row>
    <row r="71">
      <c r="A71" s="8" t="inlineStr">
        <is>
          <t>2023-08-02</t>
        </is>
      </c>
      <c r="B71" s="8" t="n">
        <v>31</v>
      </c>
      <c r="C71" s="15" t="n">
        <v>67.15000000000001</v>
      </c>
      <c r="D71" s="15" t="n">
        <v>-10.5</v>
      </c>
      <c r="E71" s="15" t="n">
        <v>-10.5</v>
      </c>
      <c r="F71" s="15" t="n">
        <v>-10.5</v>
      </c>
      <c r="G71" s="8" t="inlineStr">
        <is>
          <t>east_table</t>
        </is>
      </c>
      <c r="H71" s="8" t="inlineStr">
        <is>
          <t>原文</t>
        </is>
      </c>
      <c r="I71" s="20">
        <f>IF(COUNT(E68:E71)=4,ROUND(SUM(E68:E71),2),"")</f>
        <v/>
      </c>
      <c r="J71" s="20">
        <f>IF(COUNT(E60:E71)=12,ROUND(SUM(E60:E71),2),"")</f>
        <v/>
      </c>
      <c r="K71" s="20">
        <f>IF(COUNT(E46:E71)=26,ROUND(SUM(E46:E71),2),"")</f>
        <v/>
      </c>
    </row>
    <row r="72">
      <c r="A72" s="8" t="inlineStr">
        <is>
          <t>2023-08-09</t>
        </is>
      </c>
      <c r="B72" s="8" t="n">
        <v>32</v>
      </c>
      <c r="C72" s="15" t="n">
        <v>68.7</v>
      </c>
      <c r="D72" s="15" t="n">
        <v>1.22</v>
      </c>
      <c r="E72" s="15" t="n">
        <v>1.22</v>
      </c>
      <c r="F72" s="15" t="n">
        <v>1.55</v>
      </c>
      <c r="G72" s="8" t="inlineStr">
        <is>
          <t>east_table</t>
        </is>
      </c>
      <c r="H72" s="8" t="inlineStr">
        <is>
          <t>原文</t>
        </is>
      </c>
      <c r="I72" s="20">
        <f>IF(COUNT(E69:E72)=4,ROUND(SUM(E69:E72),2),"")</f>
        <v/>
      </c>
      <c r="J72" s="20">
        <f>IF(COUNT(E61:E72)=12,ROUND(SUM(E61:E72),2),"")</f>
        <v/>
      </c>
      <c r="K72" s="20">
        <f>IF(COUNT(E47:E72)=26,ROUND(SUM(E47:E72),2),"")</f>
        <v/>
      </c>
    </row>
    <row r="73">
      <c r="A73" s="8" t="inlineStr">
        <is>
          <t>2023-08-16</t>
        </is>
      </c>
      <c r="B73" s="8" t="n">
        <v>33</v>
      </c>
      <c r="C73" s="15" t="n">
        <v>74.59999999999999</v>
      </c>
      <c r="D73" s="15" t="n">
        <v>5.9</v>
      </c>
      <c r="E73" s="15" t="n">
        <v>5.9</v>
      </c>
      <c r="F73" s="15" t="n">
        <v>5.9</v>
      </c>
      <c r="G73" s="8" t="inlineStr">
        <is>
          <t>east_table</t>
        </is>
      </c>
      <c r="H73" s="8" t="inlineStr">
        <is>
          <t>原文</t>
        </is>
      </c>
      <c r="I73" s="20">
        <f>IF(COUNT(E70:E73)=4,ROUND(SUM(E70:E73),2),"")</f>
        <v/>
      </c>
      <c r="J73" s="20">
        <f>IF(COUNT(E62:E73)=12,ROUND(SUM(E62:E73),2),"")</f>
        <v/>
      </c>
      <c r="K73" s="20">
        <f>IF(COUNT(E48:E73)=26,ROUND(SUM(E48:E73),2),"")</f>
        <v/>
      </c>
    </row>
    <row r="74">
      <c r="A74" s="8" t="inlineStr">
        <is>
          <t>2023-08-23</t>
        </is>
      </c>
      <c r="B74" s="8" t="n">
        <v>34</v>
      </c>
      <c r="C74" s="15" t="n">
        <v>76.40000000000001</v>
      </c>
      <c r="D74" s="15" t="n">
        <v>1.8</v>
      </c>
      <c r="E74" s="15" t="n">
        <v>1.8</v>
      </c>
      <c r="F74" s="15" t="n">
        <v>1.8</v>
      </c>
      <c r="G74" s="8" t="inlineStr">
        <is>
          <t>east_table</t>
        </is>
      </c>
      <c r="H74" s="8" t="inlineStr">
        <is>
          <t>原文</t>
        </is>
      </c>
      <c r="I74" s="20">
        <f>IF(COUNT(E71:E74)=4,ROUND(SUM(E71:E74),2),"")</f>
        <v/>
      </c>
      <c r="J74" s="20">
        <f>IF(COUNT(E63:E74)=12,ROUND(SUM(E63:E74),2),"")</f>
        <v/>
      </c>
      <c r="K74" s="20">
        <f>IF(COUNT(E49:E74)=26,ROUND(SUM(E49:E74),2),"")</f>
        <v/>
      </c>
    </row>
    <row r="75">
      <c r="A75" s="8" t="inlineStr">
        <is>
          <t>2023-08-30</t>
        </is>
      </c>
      <c r="B75" s="8" t="n">
        <v>35</v>
      </c>
      <c r="C75" s="15" t="n">
        <v>76.22</v>
      </c>
      <c r="D75" s="15" t="n"/>
      <c r="E75" s="15" t="n">
        <v>-0.18</v>
      </c>
      <c r="F75" s="15" t="n">
        <v>-0.18</v>
      </c>
      <c r="G75" s="8" t="inlineStr">
        <is>
          <t>east_table</t>
        </is>
      </c>
      <c r="H75" s="8" t="inlineStr">
        <is>
          <t>表格差分</t>
        </is>
      </c>
      <c r="I75" s="20">
        <f>IF(COUNT(E72:E75)=4,ROUND(SUM(E72:E75),2),"")</f>
        <v/>
      </c>
      <c r="J75" s="20">
        <f>IF(COUNT(E64:E75)=12,ROUND(SUM(E64:E75),2),"")</f>
        <v/>
      </c>
      <c r="K75" s="20">
        <f>IF(COUNT(E50:E75)=26,ROUND(SUM(E50:E75),2),"")</f>
        <v/>
      </c>
    </row>
    <row r="76">
      <c r="A76" s="8" t="inlineStr">
        <is>
          <t>2023-09-06</t>
        </is>
      </c>
      <c r="B76" s="8" t="n">
        <v>36</v>
      </c>
      <c r="C76" s="15" t="n">
        <v>76.45</v>
      </c>
      <c r="D76" s="15" t="n"/>
      <c r="E76" s="15" t="n">
        <v>0.23</v>
      </c>
      <c r="F76" s="15" t="n">
        <v>0.23</v>
      </c>
      <c r="G76" s="8" t="inlineStr">
        <is>
          <t>east_table</t>
        </is>
      </c>
      <c r="H76" s="8" t="inlineStr">
        <is>
          <t>表格差分</t>
        </is>
      </c>
      <c r="I76" s="20">
        <f>IF(COUNT(E73:E76)=4,ROUND(SUM(E73:E76),2),"")</f>
        <v/>
      </c>
      <c r="J76" s="20">
        <f>IF(COUNT(E65:E76)=12,ROUND(SUM(E65:E76),2),"")</f>
        <v/>
      </c>
      <c r="K76" s="20">
        <f>IF(COUNT(E51:E76)=26,ROUND(SUM(E51:E76),2),"")</f>
        <v/>
      </c>
    </row>
    <row r="77">
      <c r="A77" s="8" t="inlineStr">
        <is>
          <t>2023-09-13</t>
        </is>
      </c>
      <c r="B77" s="8" t="n">
        <v>37</v>
      </c>
      <c r="C77" s="15" t="n">
        <v>81.16</v>
      </c>
      <c r="D77" s="15" t="n"/>
      <c r="E77" s="15" t="n">
        <v>4.71</v>
      </c>
      <c r="F77" s="15" t="n">
        <v>4.71</v>
      </c>
      <c r="G77" s="8" t="inlineStr">
        <is>
          <t>east_table</t>
        </is>
      </c>
      <c r="H77" s="8" t="inlineStr">
        <is>
          <t>表格差分</t>
        </is>
      </c>
      <c r="I77" s="20">
        <f>IF(COUNT(E74:E77)=4,ROUND(SUM(E74:E77),2),"")</f>
        <v/>
      </c>
      <c r="J77" s="20">
        <f>IF(COUNT(E66:E77)=12,ROUND(SUM(E66:E77),2),"")</f>
        <v/>
      </c>
      <c r="K77" s="20">
        <f>IF(COUNT(E52:E77)=26,ROUND(SUM(E52:E77),2),"")</f>
        <v/>
      </c>
    </row>
    <row r="78">
      <c r="A78" s="8" t="inlineStr">
        <is>
          <t>2023-09-20</t>
        </is>
      </c>
      <c r="B78" s="8" t="n">
        <v>38</v>
      </c>
      <c r="C78" s="15" t="n">
        <v>85.25</v>
      </c>
      <c r="D78" s="15" t="n">
        <v>4.09</v>
      </c>
      <c r="E78" s="15" t="n">
        <v>4.09</v>
      </c>
      <c r="F78" s="15" t="n">
        <v>4.09</v>
      </c>
      <c r="G78" s="8" t="inlineStr">
        <is>
          <t>east_table</t>
        </is>
      </c>
      <c r="H78" s="8" t="inlineStr">
        <is>
          <t>原文</t>
        </is>
      </c>
      <c r="I78" s="20">
        <f>IF(COUNT(E75:E78)=4,ROUND(SUM(E75:E78),2),"")</f>
        <v/>
      </c>
      <c r="J78" s="20">
        <f>IF(COUNT(E67:E78)=12,ROUND(SUM(E67:E78),2),"")</f>
        <v/>
      </c>
      <c r="K78" s="20">
        <f>IF(COUNT(E53:E78)=26,ROUND(SUM(E53:E78),2),"")</f>
        <v/>
      </c>
    </row>
    <row r="79">
      <c r="A79" s="8" t="inlineStr">
        <is>
          <t>2023-09-27</t>
        </is>
      </c>
      <c r="B79" s="8" t="n">
        <v>39</v>
      </c>
      <c r="C79" s="15" t="n">
        <v>78.09999999999999</v>
      </c>
      <c r="D79" s="15" t="n">
        <v>-7.15</v>
      </c>
      <c r="E79" s="15" t="n">
        <v>-7.15</v>
      </c>
      <c r="F79" s="15" t="n">
        <v>-7.15</v>
      </c>
      <c r="G79" s="8" t="inlineStr">
        <is>
          <t>east_table</t>
        </is>
      </c>
      <c r="H79" s="8" t="inlineStr">
        <is>
          <t>原文</t>
        </is>
      </c>
      <c r="I79" s="20">
        <f>IF(COUNT(E76:E79)=4,ROUND(SUM(E76:E79),2),"")</f>
        <v/>
      </c>
      <c r="J79" s="20">
        <f>IF(COUNT(E68:E79)=12,ROUND(SUM(E68:E79),2),"")</f>
        <v/>
      </c>
      <c r="K79" s="20">
        <f>IF(COUNT(E54:E79)=26,ROUND(SUM(E54:E79),2),"")</f>
        <v/>
      </c>
    </row>
    <row r="80">
      <c r="A80" s="8" t="inlineStr">
        <is>
          <t>2023-10-08</t>
        </is>
      </c>
      <c r="B80" s="8" t="n">
        <v>40</v>
      </c>
      <c r="C80" s="15" t="n">
        <v>63.5</v>
      </c>
      <c r="D80" s="15" t="n">
        <v>-14.6</v>
      </c>
      <c r="E80" s="15" t="n">
        <v>-14.6</v>
      </c>
      <c r="F80" s="15" t="n">
        <v>-14.6</v>
      </c>
      <c r="G80" s="8" t="inlineStr">
        <is>
          <t>east_table</t>
        </is>
      </c>
      <c r="H80" s="8" t="inlineStr">
        <is>
          <t>原文</t>
        </is>
      </c>
      <c r="I80" s="20">
        <f>IF(COUNT(E77:E80)=4,ROUND(SUM(E77:E80),2),"")</f>
        <v/>
      </c>
      <c r="J80" s="20">
        <f>IF(COUNT(E69:E80)=12,ROUND(SUM(E69:E80),2),"")</f>
        <v/>
      </c>
      <c r="K80" s="20">
        <f>IF(COUNT(E55:E80)=26,ROUND(SUM(E55:E80),2),"")</f>
        <v/>
      </c>
    </row>
    <row r="81">
      <c r="A81" s="8" t="inlineStr">
        <is>
          <t>2023-10-11</t>
        </is>
      </c>
      <c r="B81" s="8" t="n">
        <v>41</v>
      </c>
      <c r="C81" s="15" t="n">
        <v>59.4</v>
      </c>
      <c r="D81" s="15" t="n">
        <v>-4.1</v>
      </c>
      <c r="E81" s="15" t="n">
        <v>-4.1</v>
      </c>
      <c r="F81" s="15" t="n">
        <v>-4.1</v>
      </c>
      <c r="G81" s="8" t="inlineStr">
        <is>
          <t>east_table</t>
        </is>
      </c>
      <c r="H81" s="8" t="inlineStr">
        <is>
          <t>原文</t>
        </is>
      </c>
      <c r="I81" s="20">
        <f>IF(COUNT(E78:E81)=4,ROUND(SUM(E78:E81),2),"")</f>
        <v/>
      </c>
      <c r="J81" s="20">
        <f>IF(COUNT(E70:E81)=12,ROUND(SUM(E70:E81),2),"")</f>
        <v/>
      </c>
      <c r="K81" s="20">
        <f>IF(COUNT(E56:E81)=26,ROUND(SUM(E56:E81),2),"")</f>
        <v/>
      </c>
    </row>
    <row r="82">
      <c r="A82" s="8" t="inlineStr">
        <is>
          <t>2023-10-18</t>
        </is>
      </c>
      <c r="B82" s="8" t="n">
        <v>42</v>
      </c>
      <c r="C82" s="15" t="n">
        <v>62.5</v>
      </c>
      <c r="D82" s="15" t="n">
        <v>3.1</v>
      </c>
      <c r="E82" s="15" t="n">
        <v>3.1</v>
      </c>
      <c r="F82" s="15" t="n">
        <v>3.1</v>
      </c>
      <c r="G82" s="8" t="inlineStr">
        <is>
          <t>east_table</t>
        </is>
      </c>
      <c r="H82" s="8" t="inlineStr">
        <is>
          <t>原文</t>
        </is>
      </c>
      <c r="I82" s="20">
        <f>IF(COUNT(E79:E82)=4,ROUND(SUM(E79:E82),2),"")</f>
        <v/>
      </c>
      <c r="J82" s="20">
        <f>IF(COUNT(E71:E82)=12,ROUND(SUM(E71:E82),2),"")</f>
        <v/>
      </c>
      <c r="K82" s="20">
        <f>IF(COUNT(E57:E82)=26,ROUND(SUM(E57:E82),2),"")</f>
        <v/>
      </c>
    </row>
    <row r="83">
      <c r="A83" s="8" t="inlineStr">
        <is>
          <t>2023-10-25</t>
        </is>
      </c>
      <c r="B83" s="8" t="n">
        <v>43</v>
      </c>
      <c r="C83" s="15" t="n">
        <v>65.2</v>
      </c>
      <c r="D83" s="15" t="n">
        <v>2.7</v>
      </c>
      <c r="E83" s="15" t="n">
        <v>2.7</v>
      </c>
      <c r="F83" s="15" t="n">
        <v>2.7</v>
      </c>
      <c r="G83" s="8" t="inlineStr">
        <is>
          <t>east_table</t>
        </is>
      </c>
      <c r="H83" s="8" t="inlineStr">
        <is>
          <t>原文</t>
        </is>
      </c>
      <c r="I83" s="20">
        <f>IF(COUNT(E80:E83)=4,ROUND(SUM(E80:E83),2),"")</f>
        <v/>
      </c>
      <c r="J83" s="20">
        <f>IF(COUNT(E72:E83)=12,ROUND(SUM(E72:E83),2),"")</f>
        <v/>
      </c>
      <c r="K83" s="20">
        <f>IF(COUNT(E58:E83)=26,ROUND(SUM(E58:E83),2),"")</f>
        <v/>
      </c>
    </row>
    <row r="84">
      <c r="A84" s="8" t="inlineStr">
        <is>
          <t>2023-11-01</t>
        </is>
      </c>
      <c r="B84" s="8" t="n">
        <v>44</v>
      </c>
      <c r="C84" s="15" t="n">
        <v>64.65000000000001</v>
      </c>
      <c r="D84" s="15" t="n">
        <v>-0.55</v>
      </c>
      <c r="E84" s="15" t="n">
        <v>-0.55</v>
      </c>
      <c r="F84" s="15" t="n">
        <v>-0.55</v>
      </c>
      <c r="G84" s="8" t="inlineStr">
        <is>
          <t>east_table</t>
        </is>
      </c>
      <c r="H84" s="8" t="inlineStr">
        <is>
          <t>原文</t>
        </is>
      </c>
      <c r="I84" s="20">
        <f>IF(COUNT(E81:E84)=4,ROUND(SUM(E81:E84),2),"")</f>
        <v/>
      </c>
      <c r="J84" s="20">
        <f>IF(COUNT(E73:E84)=12,ROUND(SUM(E73:E84),2),"")</f>
        <v/>
      </c>
      <c r="K84" s="20">
        <f>IF(COUNT(E59:E84)=26,ROUND(SUM(E59:E84),2),"")</f>
        <v/>
      </c>
    </row>
    <row r="85">
      <c r="A85" s="8" t="inlineStr">
        <is>
          <t>2023-11-08</t>
        </is>
      </c>
      <c r="B85" s="8" t="n">
        <v>45</v>
      </c>
      <c r="C85" s="15" t="n">
        <v>71.59999999999999</v>
      </c>
      <c r="D85" s="15" t="n">
        <v>6.95</v>
      </c>
      <c r="E85" s="15" t="n">
        <v>6.95</v>
      </c>
      <c r="F85" s="15" t="n">
        <v>6.95</v>
      </c>
      <c r="G85" s="8" t="inlineStr">
        <is>
          <t>east_table</t>
        </is>
      </c>
      <c r="H85" s="8" t="inlineStr">
        <is>
          <t>原文</t>
        </is>
      </c>
      <c r="I85" s="20">
        <f>IF(COUNT(E82:E85)=4,ROUND(SUM(E82:E85),2),"")</f>
        <v/>
      </c>
      <c r="J85" s="20">
        <f>IF(COUNT(E74:E85)=12,ROUND(SUM(E74:E85),2),"")</f>
        <v/>
      </c>
      <c r="K85" s="20">
        <f>IF(COUNT(E60:E85)=26,ROUND(SUM(E60:E85),2),"")</f>
        <v/>
      </c>
    </row>
    <row r="86">
      <c r="A86" s="8" t="inlineStr">
        <is>
          <t>2023-11-15</t>
        </is>
      </c>
      <c r="B86" s="8" t="n">
        <v>46</v>
      </c>
      <c r="C86" s="15" t="n">
        <v>78.18000000000001</v>
      </c>
      <c r="D86" s="15" t="n">
        <v>6.58</v>
      </c>
      <c r="E86" s="15" t="n">
        <v>6.58</v>
      </c>
      <c r="F86" s="15" t="n">
        <v>6.58</v>
      </c>
      <c r="G86" s="8" t="inlineStr">
        <is>
          <t>east_table</t>
        </is>
      </c>
      <c r="H86" s="8" t="inlineStr">
        <is>
          <t>原文</t>
        </is>
      </c>
      <c r="I86" s="20">
        <f>IF(COUNT(E83:E86)=4,ROUND(SUM(E83:E86),2),"")</f>
        <v/>
      </c>
      <c r="J86" s="20">
        <f>IF(COUNT(E75:E86)=12,ROUND(SUM(E75:E86),2),"")</f>
        <v/>
      </c>
      <c r="K86" s="20">
        <f>IF(COUNT(E61:E86)=26,ROUND(SUM(E61:E86),2),"")</f>
        <v/>
      </c>
    </row>
    <row r="87">
      <c r="A87" s="8" t="inlineStr">
        <is>
          <t>2023-11-22</t>
        </is>
      </c>
      <c r="B87" s="8" t="n">
        <v>47</v>
      </c>
      <c r="C87" s="15" t="n">
        <v>76.33</v>
      </c>
      <c r="D87" s="15" t="n">
        <v>-1.85</v>
      </c>
      <c r="E87" s="15" t="n">
        <v>-1.85</v>
      </c>
      <c r="F87" s="15" t="n">
        <v>-1.85</v>
      </c>
      <c r="G87" s="8" t="inlineStr">
        <is>
          <t>east_table</t>
        </is>
      </c>
      <c r="H87" s="8" t="inlineStr">
        <is>
          <t>原文</t>
        </is>
      </c>
      <c r="I87" s="20">
        <f>IF(COUNT(E84:E87)=4,ROUND(SUM(E84:E87),2),"")</f>
        <v/>
      </c>
      <c r="J87" s="20">
        <f>IF(COUNT(E76:E87)=12,ROUND(SUM(E76:E87),2),"")</f>
        <v/>
      </c>
      <c r="K87" s="20">
        <f>IF(COUNT(E62:E87)=26,ROUND(SUM(E62:E87),2),"")</f>
        <v/>
      </c>
    </row>
    <row r="88">
      <c r="A88" s="8" t="inlineStr">
        <is>
          <t>2023-11-29</t>
        </is>
      </c>
      <c r="B88" s="8" t="n">
        <v>48</v>
      </c>
      <c r="C88" s="15" t="n">
        <v>68.86</v>
      </c>
      <c r="D88" s="15" t="n"/>
      <c r="E88" s="15" t="n">
        <v>-7.47</v>
      </c>
      <c r="F88" s="15" t="n">
        <v>-7.47</v>
      </c>
      <c r="G88" s="8" t="inlineStr">
        <is>
          <t>east_table</t>
        </is>
      </c>
      <c r="H88" s="8" t="inlineStr">
        <is>
          <t>表格差分</t>
        </is>
      </c>
      <c r="I88" s="20">
        <f>IF(COUNT(E85:E88)=4,ROUND(SUM(E85:E88),2),"")</f>
        <v/>
      </c>
      <c r="J88" s="20">
        <f>IF(COUNT(E77:E88)=12,ROUND(SUM(E77:E88),2),"")</f>
        <v/>
      </c>
      <c r="K88" s="20">
        <f>IF(COUNT(E63:E88)=26,ROUND(SUM(E63:E88),2),"")</f>
        <v/>
      </c>
    </row>
    <row r="89">
      <c r="A89" s="8" t="inlineStr">
        <is>
          <t>2023-12-06</t>
        </is>
      </c>
      <c r="B89" s="8" t="n">
        <v>49</v>
      </c>
      <c r="C89" s="15" t="n">
        <v>67.01000000000001</v>
      </c>
      <c r="D89" s="15" t="n"/>
      <c r="E89" s="15" t="n">
        <v>-1.85</v>
      </c>
      <c r="F89" s="15" t="n">
        <v>-1.85</v>
      </c>
      <c r="G89" s="8" t="inlineStr">
        <is>
          <t>east_table</t>
        </is>
      </c>
      <c r="H89" s="8" t="inlineStr">
        <is>
          <t>表格差分</t>
        </is>
      </c>
      <c r="I89" s="20">
        <f>IF(COUNT(E86:E89)=4,ROUND(SUM(E86:E89),2),"")</f>
        <v/>
      </c>
      <c r="J89" s="20">
        <f>IF(COUNT(E78:E89)=12,ROUND(SUM(E78:E89),2),"")</f>
        <v/>
      </c>
      <c r="K89" s="20">
        <f>IF(COUNT(E64:E89)=26,ROUND(SUM(E64:E89),2),"")</f>
        <v/>
      </c>
    </row>
    <row r="90">
      <c r="A90" s="8" t="inlineStr">
        <is>
          <t>2023-12-13</t>
        </is>
      </c>
      <c r="B90" s="8" t="n">
        <v>50</v>
      </c>
      <c r="C90" s="15" t="n">
        <v>73.20999999999999</v>
      </c>
      <c r="D90" s="15" t="n"/>
      <c r="E90" s="15" t="n">
        <v>6.2</v>
      </c>
      <c r="F90" s="15" t="n">
        <v>6.2</v>
      </c>
      <c r="G90" s="8" t="inlineStr">
        <is>
          <t>east_table</t>
        </is>
      </c>
      <c r="H90" s="8" t="inlineStr">
        <is>
          <t>表格差分</t>
        </is>
      </c>
      <c r="I90" s="20">
        <f>IF(COUNT(E87:E90)=4,ROUND(SUM(E87:E90),2),"")</f>
        <v/>
      </c>
      <c r="J90" s="20">
        <f>IF(COUNT(E79:E90)=12,ROUND(SUM(E79:E90),2),"")</f>
        <v/>
      </c>
      <c r="K90" s="20">
        <f>IF(COUNT(E65:E90)=26,ROUND(SUM(E65:E90),2),"")</f>
        <v/>
      </c>
    </row>
    <row r="91">
      <c r="A91" s="8" t="inlineStr">
        <is>
          <t>2023-12-20</t>
        </is>
      </c>
      <c r="B91" s="8" t="n">
        <v>51</v>
      </c>
      <c r="C91" s="15" t="n">
        <v>73.40000000000001</v>
      </c>
      <c r="D91" s="15" t="n"/>
      <c r="E91" s="15" t="n">
        <v>0.19</v>
      </c>
      <c r="F91" s="15" t="n">
        <v>0.19</v>
      </c>
      <c r="G91" s="8" t="inlineStr">
        <is>
          <t>east_table</t>
        </is>
      </c>
      <c r="H91" s="8" t="inlineStr">
        <is>
          <t>表格差分</t>
        </is>
      </c>
      <c r="I91" s="20">
        <f>IF(COUNT(E88:E91)=4,ROUND(SUM(E88:E91),2),"")</f>
        <v/>
      </c>
      <c r="J91" s="20">
        <f>IF(COUNT(E80:E91)=12,ROUND(SUM(E80:E91),2),"")</f>
        <v/>
      </c>
      <c r="K91" s="20">
        <f>IF(COUNT(E66:E91)=26,ROUND(SUM(E66:E91),2),"")</f>
        <v/>
      </c>
    </row>
    <row r="92">
      <c r="A92" s="8" t="inlineStr">
        <is>
          <t>2023-12-27</t>
        </is>
      </c>
      <c r="B92" s="8" t="n">
        <v>52</v>
      </c>
      <c r="C92" s="15" t="n">
        <v>69.7</v>
      </c>
      <c r="D92" s="15" t="n">
        <v>-3.7</v>
      </c>
      <c r="E92" s="15" t="n">
        <v>-3.7</v>
      </c>
      <c r="F92" s="15" t="n">
        <v>-3.7</v>
      </c>
      <c r="G92" s="8" t="inlineStr">
        <is>
          <t>east_table</t>
        </is>
      </c>
      <c r="H92" s="8" t="inlineStr">
        <is>
          <t>原文</t>
        </is>
      </c>
      <c r="I92" s="20">
        <f>IF(COUNT(E89:E92)=4,ROUND(SUM(E89:E92),2),"")</f>
        <v/>
      </c>
      <c r="J92" s="20">
        <f>IF(COUNT(E81:E92)=12,ROUND(SUM(E81:E92),2),"")</f>
        <v/>
      </c>
      <c r="K92" s="20">
        <f>IF(COUNT(E67:E92)=26,ROUND(SUM(E67:E92),2),"")</f>
        <v/>
      </c>
    </row>
    <row r="93">
      <c r="A93" s="8" t="inlineStr">
        <is>
          <t>2024-01-03</t>
        </is>
      </c>
      <c r="B93" s="8" t="n">
        <v>1</v>
      </c>
      <c r="C93" s="15" t="n">
        <v>61.45</v>
      </c>
      <c r="D93" s="15" t="n"/>
      <c r="E93" s="15" t="n">
        <v>-8.25</v>
      </c>
      <c r="F93" s="15" t="n">
        <v>-8.25</v>
      </c>
      <c r="G93" s="8" t="inlineStr">
        <is>
          <t>east_table</t>
        </is>
      </c>
      <c r="H93" s="8" t="inlineStr">
        <is>
          <t>表格差分</t>
        </is>
      </c>
      <c r="I93" s="20">
        <f>IF(COUNT(E90:E93)=4,ROUND(SUM(E90:E93),2),"")</f>
        <v/>
      </c>
      <c r="J93" s="20">
        <f>IF(COUNT(E82:E93)=12,ROUND(SUM(E82:E93),2),"")</f>
        <v/>
      </c>
      <c r="K93" s="20">
        <f>IF(COUNT(E68:E93)=26,ROUND(SUM(E68:E93),2),"")</f>
        <v/>
      </c>
    </row>
    <row r="94">
      <c r="A94" s="8" t="inlineStr">
        <is>
          <t>2024-01-10</t>
        </is>
      </c>
      <c r="B94" s="8" t="n">
        <v>2</v>
      </c>
      <c r="C94" s="15" t="n">
        <v>51.74</v>
      </c>
      <c r="D94" s="15" t="n"/>
      <c r="E94" s="15" t="n">
        <v>-9.710000000000001</v>
      </c>
      <c r="F94" s="15" t="n">
        <v>-9.710000000000001</v>
      </c>
      <c r="G94" s="8" t="inlineStr">
        <is>
          <t>east_table</t>
        </is>
      </c>
      <c r="H94" s="8" t="inlineStr">
        <is>
          <t>表格差分</t>
        </is>
      </c>
      <c r="I94" s="20">
        <f>IF(COUNT(E91:E94)=4,ROUND(SUM(E91:E94),2),"")</f>
        <v/>
      </c>
      <c r="J94" s="20">
        <f>IF(COUNT(E83:E94)=12,ROUND(SUM(E83:E94),2),"")</f>
        <v/>
      </c>
      <c r="K94" s="20">
        <f>IF(COUNT(E69:E94)=26,ROUND(SUM(E69:E94),2),"")</f>
        <v/>
      </c>
    </row>
    <row r="95">
      <c r="A95" s="8" t="inlineStr">
        <is>
          <t>2024-01-17</t>
        </is>
      </c>
      <c r="B95" s="8" t="n">
        <v>3</v>
      </c>
      <c r="C95" s="15" t="n">
        <v>56.6</v>
      </c>
      <c r="D95" s="15" t="n">
        <v>4.86</v>
      </c>
      <c r="E95" s="15" t="n">
        <v>4.86</v>
      </c>
      <c r="F95" s="15" t="n">
        <v>4.86</v>
      </c>
      <c r="G95" s="8" t="inlineStr">
        <is>
          <t>east_table</t>
        </is>
      </c>
      <c r="H95" s="8" t="inlineStr">
        <is>
          <t>原文</t>
        </is>
      </c>
      <c r="I95" s="20">
        <f>IF(COUNT(E92:E95)=4,ROUND(SUM(E92:E95),2),"")</f>
        <v/>
      </c>
      <c r="J95" s="20">
        <f>IF(COUNT(E84:E95)=12,ROUND(SUM(E84:E95),2),"")</f>
        <v/>
      </c>
      <c r="K95" s="20">
        <f>IF(COUNT(E70:E95)=26,ROUND(SUM(E70:E95),2),"")</f>
        <v/>
      </c>
    </row>
    <row r="96">
      <c r="A96" s="8" t="inlineStr">
        <is>
          <t>2024-01-24</t>
        </is>
      </c>
      <c r="B96" s="8" t="n">
        <v>4</v>
      </c>
      <c r="C96" s="15" t="n">
        <v>57.8</v>
      </c>
      <c r="D96" s="15" t="n">
        <v>1.2</v>
      </c>
      <c r="E96" s="15" t="n">
        <v>1.2</v>
      </c>
      <c r="F96" s="15" t="n">
        <v>1.2</v>
      </c>
      <c r="G96" s="8" t="inlineStr">
        <is>
          <t>east_table</t>
        </is>
      </c>
      <c r="H96" s="8" t="inlineStr">
        <is>
          <t>原文</t>
        </is>
      </c>
      <c r="I96" s="20">
        <f>IF(COUNT(E93:E96)=4,ROUND(SUM(E93:E96),2),"")</f>
        <v/>
      </c>
      <c r="J96" s="20">
        <f>IF(COUNT(E85:E96)=12,ROUND(SUM(E85:E96),2),"")</f>
        <v/>
      </c>
      <c r="K96" s="20">
        <f>IF(COUNT(E71:E96)=26,ROUND(SUM(E71:E96),2),"")</f>
        <v/>
      </c>
    </row>
    <row r="97">
      <c r="A97" s="8" t="inlineStr">
        <is>
          <t>2024-01-31</t>
        </is>
      </c>
      <c r="B97" s="8" t="n">
        <v>5</v>
      </c>
      <c r="C97" s="15" t="n">
        <v>61.05</v>
      </c>
      <c r="D97" s="15" t="n">
        <v>3.25</v>
      </c>
      <c r="E97" s="15" t="n">
        <v>3.25</v>
      </c>
      <c r="F97" s="15" t="n">
        <v>3.25</v>
      </c>
      <c r="G97" s="8" t="inlineStr">
        <is>
          <t>east_table</t>
        </is>
      </c>
      <c r="H97" s="8" t="inlineStr">
        <is>
          <t>原文</t>
        </is>
      </c>
      <c r="I97" s="20">
        <f>IF(COUNT(E94:E97)=4,ROUND(SUM(E94:E97),2),"")</f>
        <v/>
      </c>
      <c r="J97" s="20">
        <f>IF(COUNT(E86:E97)=12,ROUND(SUM(E86:E97),2),"")</f>
        <v/>
      </c>
      <c r="K97" s="20">
        <f>IF(COUNT(E72:E97)=26,ROUND(SUM(E72:E97),2),"")</f>
        <v/>
      </c>
    </row>
    <row r="98">
      <c r="A98" s="8" t="inlineStr">
        <is>
          <t>2024-02-07</t>
        </is>
      </c>
      <c r="B98" s="8" t="n">
        <v>6</v>
      </c>
      <c r="C98" s="15" t="n">
        <v>57.47</v>
      </c>
      <c r="D98" s="15" t="n">
        <v>-3.58</v>
      </c>
      <c r="E98" s="15" t="n">
        <v>-3.58</v>
      </c>
      <c r="F98" s="15" t="n">
        <v>-3.58</v>
      </c>
      <c r="G98" s="8" t="inlineStr">
        <is>
          <t>east_table</t>
        </is>
      </c>
      <c r="H98" s="8" t="inlineStr">
        <is>
          <t>原文</t>
        </is>
      </c>
      <c r="I98" s="20">
        <f>IF(COUNT(E95:E98)=4,ROUND(SUM(E95:E98),2),"")</f>
        <v/>
      </c>
      <c r="J98" s="20">
        <f>IF(COUNT(E87:E98)=12,ROUND(SUM(E87:E98),2),"")</f>
        <v/>
      </c>
      <c r="K98" s="20">
        <f>IF(COUNT(E73:E98)=26,ROUND(SUM(E73:E98),2),"")</f>
        <v/>
      </c>
    </row>
    <row r="99">
      <c r="A99" s="8" t="inlineStr">
        <is>
          <t>2024-02-18</t>
        </is>
      </c>
      <c r="B99" s="8" t="n">
        <v>7</v>
      </c>
      <c r="C99" s="15" t="n">
        <v>60.6</v>
      </c>
      <c r="D99" s="15" t="n">
        <v>3.13</v>
      </c>
      <c r="E99" s="15" t="n">
        <v>3.13</v>
      </c>
      <c r="F99" s="15" t="n">
        <v>3.13</v>
      </c>
      <c r="G99" s="8" t="inlineStr">
        <is>
          <t>east_table</t>
        </is>
      </c>
      <c r="H99" s="8" t="inlineStr">
        <is>
          <t>原文</t>
        </is>
      </c>
      <c r="I99" s="20">
        <f>IF(COUNT(E96:E99)=4,ROUND(SUM(E96:E99),2),"")</f>
        <v/>
      </c>
      <c r="J99" s="20">
        <f>IF(COUNT(E88:E99)=12,ROUND(SUM(E88:E99),2),"")</f>
        <v/>
      </c>
      <c r="K99" s="20">
        <f>IF(COUNT(E74:E99)=26,ROUND(SUM(E74:E99),2),"")</f>
        <v/>
      </c>
    </row>
    <row r="100">
      <c r="A100" s="8" t="inlineStr">
        <is>
          <t>2024-02-21</t>
        </is>
      </c>
      <c r="B100" s="8" t="n">
        <v>8</v>
      </c>
      <c r="C100" s="15" t="n">
        <v>55.85</v>
      </c>
      <c r="D100" s="15" t="n">
        <v>-4.75</v>
      </c>
      <c r="E100" s="15" t="n">
        <v>-4.75</v>
      </c>
      <c r="F100" s="15" t="n">
        <v>-4.75</v>
      </c>
      <c r="G100" s="8" t="inlineStr">
        <is>
          <t>east_table</t>
        </is>
      </c>
      <c r="H100" s="8" t="inlineStr">
        <is>
          <t>原文</t>
        </is>
      </c>
      <c r="I100" s="20">
        <f>IF(COUNT(E97:E100)=4,ROUND(SUM(E97:E100),2),"")</f>
        <v/>
      </c>
      <c r="J100" s="20">
        <f>IF(COUNT(E89:E100)=12,ROUND(SUM(E89:E100),2),"")</f>
        <v/>
      </c>
      <c r="K100" s="20">
        <f>IF(COUNT(E75:E100)=26,ROUND(SUM(E75:E100),2),"")</f>
        <v/>
      </c>
    </row>
    <row r="101">
      <c r="A101" s="8" t="inlineStr">
        <is>
          <t>2024-02-28</t>
        </is>
      </c>
      <c r="B101" s="8" t="n">
        <v>9</v>
      </c>
      <c r="C101" s="15" t="n">
        <v>52.55</v>
      </c>
      <c r="D101" s="15" t="n">
        <v>-3.3</v>
      </c>
      <c r="E101" s="15" t="n">
        <v>-3.3</v>
      </c>
      <c r="F101" s="15" t="n">
        <v>-3.3</v>
      </c>
      <c r="G101" s="8" t="inlineStr">
        <is>
          <t>east_table</t>
        </is>
      </c>
      <c r="H101" s="8" t="inlineStr">
        <is>
          <t>原文</t>
        </is>
      </c>
      <c r="I101" s="20">
        <f>IF(COUNT(E98:E101)=4,ROUND(SUM(E98:E101),2),"")</f>
        <v/>
      </c>
      <c r="J101" s="20">
        <f>IF(COUNT(E90:E101)=12,ROUND(SUM(E90:E101),2),"")</f>
        <v/>
      </c>
      <c r="K101" s="20">
        <f>IF(COUNT(E76:E101)=26,ROUND(SUM(E76:E101),2),"")</f>
        <v/>
      </c>
    </row>
    <row r="102">
      <c r="A102" s="8" t="inlineStr">
        <is>
          <t>2024-03-06</t>
        </is>
      </c>
      <c r="B102" s="8" t="n">
        <v>10</v>
      </c>
      <c r="C102" s="15" t="n">
        <v>49.7</v>
      </c>
      <c r="D102" s="15" t="n">
        <v>-2.85</v>
      </c>
      <c r="E102" s="15" t="n">
        <v>-2.85</v>
      </c>
      <c r="F102" s="15" t="n">
        <v>-2.85</v>
      </c>
      <c r="G102" s="8" t="inlineStr">
        <is>
          <t>east_table</t>
        </is>
      </c>
      <c r="H102" s="8" t="inlineStr">
        <is>
          <t>原文</t>
        </is>
      </c>
      <c r="I102" s="20">
        <f>IF(COUNT(E99:E102)=4,ROUND(SUM(E99:E102),2),"")</f>
        <v/>
      </c>
      <c r="J102" s="20">
        <f>IF(COUNT(E91:E102)=12,ROUND(SUM(E91:E102),2),"")</f>
        <v/>
      </c>
      <c r="K102" s="20">
        <f>IF(COUNT(E77:E102)=26,ROUND(SUM(E77:E102),2),"")</f>
        <v/>
      </c>
    </row>
    <row r="103">
      <c r="A103" s="8" t="inlineStr">
        <is>
          <t>2024-03-13</t>
        </is>
      </c>
      <c r="B103" s="8" t="n">
        <v>11</v>
      </c>
      <c r="C103" s="15" t="n">
        <v>52.8</v>
      </c>
      <c r="D103" s="15" t="n">
        <v>3.1</v>
      </c>
      <c r="E103" s="15" t="n">
        <v>3.1</v>
      </c>
      <c r="F103" s="15" t="n">
        <v>3.1</v>
      </c>
      <c r="G103" s="8" t="inlineStr">
        <is>
          <t>east_table</t>
        </is>
      </c>
      <c r="H103" s="8" t="inlineStr">
        <is>
          <t>原文</t>
        </is>
      </c>
      <c r="I103" s="20">
        <f>IF(COUNT(E100:E103)=4,ROUND(SUM(E100:E103),2),"")</f>
        <v/>
      </c>
      <c r="J103" s="20">
        <f>IF(COUNT(E92:E103)=12,ROUND(SUM(E92:E103),2),"")</f>
        <v/>
      </c>
      <c r="K103" s="20">
        <f>IF(COUNT(E78:E103)=26,ROUND(SUM(E78:E103),2),"")</f>
        <v/>
      </c>
    </row>
    <row r="104">
      <c r="A104" s="8" t="inlineStr">
        <is>
          <t>2024-03-20</t>
        </is>
      </c>
      <c r="B104" s="8" t="n">
        <v>12</v>
      </c>
      <c r="C104" s="15" t="n">
        <v>49.2</v>
      </c>
      <c r="D104" s="15" t="n">
        <v>-3.6</v>
      </c>
      <c r="E104" s="15" t="n">
        <v>-3.6</v>
      </c>
      <c r="F104" s="15" t="n">
        <v>-3.6</v>
      </c>
      <c r="G104" s="8" t="inlineStr">
        <is>
          <t>east_table</t>
        </is>
      </c>
      <c r="H104" s="8" t="inlineStr">
        <is>
          <t>原文</t>
        </is>
      </c>
      <c r="I104" s="20">
        <f>IF(COUNT(E101:E104)=4,ROUND(SUM(E101:E104),2),"")</f>
        <v/>
      </c>
      <c r="J104" s="20">
        <f>IF(COUNT(E93:E104)=12,ROUND(SUM(E93:E104),2),"")</f>
        <v/>
      </c>
      <c r="K104" s="20">
        <f>IF(COUNT(E79:E104)=26,ROUND(SUM(E79:E104),2),"")</f>
        <v/>
      </c>
    </row>
    <row r="105">
      <c r="A105" s="8" t="inlineStr">
        <is>
          <t>2024-03-27</t>
        </is>
      </c>
      <c r="B105" s="8" t="n">
        <v>13</v>
      </c>
      <c r="C105" s="15" t="n">
        <v>35.82</v>
      </c>
      <c r="D105" s="15" t="n">
        <v>-13.38</v>
      </c>
      <c r="E105" s="15" t="n">
        <v>-13.38</v>
      </c>
      <c r="F105" s="15" t="n">
        <v>-13.38</v>
      </c>
      <c r="G105" s="8" t="inlineStr">
        <is>
          <t>east_table</t>
        </is>
      </c>
      <c r="H105" s="8" t="inlineStr">
        <is>
          <t>原文</t>
        </is>
      </c>
      <c r="I105" s="20">
        <f>IF(COUNT(E102:E105)=4,ROUND(SUM(E102:E105),2),"")</f>
        <v/>
      </c>
      <c r="J105" s="20">
        <f>IF(COUNT(E94:E105)=12,ROUND(SUM(E94:E105),2),"")</f>
        <v/>
      </c>
      <c r="K105" s="20">
        <f>IF(COUNT(E80:E105)=26,ROUND(SUM(E80:E105),2),"")</f>
        <v/>
      </c>
    </row>
    <row r="106">
      <c r="A106" s="8" t="inlineStr">
        <is>
          <t>2024-04-03</t>
        </is>
      </c>
      <c r="B106" s="8" t="n">
        <v>14</v>
      </c>
      <c r="C106" s="15" t="n">
        <v>45.6</v>
      </c>
      <c r="D106" s="15" t="n">
        <v>9.779999999999999</v>
      </c>
      <c r="E106" s="15" t="n">
        <v>9.779999999999999</v>
      </c>
      <c r="F106" s="15" t="n">
        <v>9.779999999999999</v>
      </c>
      <c r="G106" s="8" t="inlineStr">
        <is>
          <t>east_table</t>
        </is>
      </c>
      <c r="H106" s="8" t="inlineStr">
        <is>
          <t>原文</t>
        </is>
      </c>
      <c r="I106" s="20">
        <f>IF(COUNT(E103:E106)=4,ROUND(SUM(E103:E106),2),"")</f>
        <v/>
      </c>
      <c r="J106" s="20">
        <f>IF(COUNT(E95:E106)=12,ROUND(SUM(E95:E106),2),"")</f>
        <v/>
      </c>
      <c r="K106" s="20">
        <f>IF(COUNT(E81:E106)=26,ROUND(SUM(E81:E106),2),"")</f>
        <v/>
      </c>
    </row>
    <row r="107">
      <c r="A107" s="8" t="inlineStr">
        <is>
          <t>2024-04-10</t>
        </is>
      </c>
      <c r="B107" s="8" t="n">
        <v>15</v>
      </c>
      <c r="C107" s="15" t="n">
        <v>47.9</v>
      </c>
      <c r="D107" s="15" t="n">
        <v>2.3</v>
      </c>
      <c r="E107" s="15" t="n">
        <v>2.3</v>
      </c>
      <c r="F107" s="15" t="n">
        <v>2.3</v>
      </c>
      <c r="G107" s="8" t="inlineStr">
        <is>
          <t>east_table</t>
        </is>
      </c>
      <c r="H107" s="8" t="inlineStr">
        <is>
          <t>原文</t>
        </is>
      </c>
      <c r="I107" s="20">
        <f>IF(COUNT(E104:E107)=4,ROUND(SUM(E104:E107),2),"")</f>
        <v/>
      </c>
      <c r="J107" s="20">
        <f>IF(COUNT(E96:E107)=12,ROUND(SUM(E96:E107),2),"")</f>
        <v/>
      </c>
      <c r="K107" s="20">
        <f>IF(COUNT(E82:E107)=26,ROUND(SUM(E82:E107),2),"")</f>
        <v/>
      </c>
    </row>
    <row r="108">
      <c r="A108" s="8" t="inlineStr">
        <is>
          <t>2024-04-17</t>
        </is>
      </c>
      <c r="B108" s="8" t="n">
        <v>16</v>
      </c>
      <c r="C108" s="15" t="n">
        <v>52.4</v>
      </c>
      <c r="D108" s="15" t="n">
        <v>4.5</v>
      </c>
      <c r="E108" s="15" t="n">
        <v>4.5</v>
      </c>
      <c r="F108" s="15" t="n">
        <v>4.5</v>
      </c>
      <c r="G108" s="8" t="inlineStr">
        <is>
          <t>east_table</t>
        </is>
      </c>
      <c r="H108" s="8" t="inlineStr">
        <is>
          <t>原文</t>
        </is>
      </c>
      <c r="I108" s="20">
        <f>IF(COUNT(E105:E108)=4,ROUND(SUM(E105:E108),2),"")</f>
        <v/>
      </c>
      <c r="J108" s="20">
        <f>IF(COUNT(E97:E108)=12,ROUND(SUM(E97:E108),2),"")</f>
        <v/>
      </c>
      <c r="K108" s="20">
        <f>IF(COUNT(E83:E108)=26,ROUND(SUM(E83:E108),2),"")</f>
        <v/>
      </c>
    </row>
    <row r="109">
      <c r="A109" s="8" t="inlineStr">
        <is>
          <t>2024-04-24</t>
        </is>
      </c>
      <c r="B109" s="8" t="n">
        <v>17</v>
      </c>
      <c r="C109" s="15" t="n">
        <v>49.83</v>
      </c>
      <c r="D109" s="15" t="n">
        <v>-2.57</v>
      </c>
      <c r="E109" s="15" t="n">
        <v>-2.57</v>
      </c>
      <c r="F109" s="15" t="n">
        <v>-2.57</v>
      </c>
      <c r="G109" s="8" t="inlineStr">
        <is>
          <t>east_table</t>
        </is>
      </c>
      <c r="H109" s="8" t="inlineStr">
        <is>
          <t>原文</t>
        </is>
      </c>
      <c r="I109" s="20">
        <f>IF(COUNT(E106:E109)=4,ROUND(SUM(E106:E109),2),"")</f>
        <v/>
      </c>
      <c r="J109" s="20">
        <f>IF(COUNT(E98:E109)=12,ROUND(SUM(E98:E109),2),"")</f>
        <v/>
      </c>
      <c r="K109" s="20">
        <f>IF(COUNT(E84:E109)=26,ROUND(SUM(E84:E109),2),"")</f>
        <v/>
      </c>
    </row>
    <row r="110">
      <c r="A110" s="8" t="inlineStr">
        <is>
          <t>2024-04-30</t>
        </is>
      </c>
      <c r="B110" s="8" t="n">
        <v>18</v>
      </c>
      <c r="C110" s="15" t="n">
        <v>48.9</v>
      </c>
      <c r="D110" s="15" t="n">
        <v>-0.93</v>
      </c>
      <c r="E110" s="15" t="n">
        <v>-0.93</v>
      </c>
      <c r="F110" s="15" t="n">
        <v>-0.93</v>
      </c>
      <c r="G110" s="8" t="inlineStr">
        <is>
          <t>east_table</t>
        </is>
      </c>
      <c r="H110" s="8" t="inlineStr">
        <is>
          <t>原文</t>
        </is>
      </c>
      <c r="I110" s="20">
        <f>IF(COUNT(E107:E110)=4,ROUND(SUM(E107:E110),2),"")</f>
        <v/>
      </c>
      <c r="J110" s="20">
        <f>IF(COUNT(E99:E110)=12,ROUND(SUM(E99:E110),2),"")</f>
        <v/>
      </c>
      <c r="K110" s="20">
        <f>IF(COUNT(E85:E110)=26,ROUND(SUM(E85:E110),2),"")</f>
        <v/>
      </c>
    </row>
    <row r="111">
      <c r="A111" s="8" t="inlineStr">
        <is>
          <t>2024-05-08</t>
        </is>
      </c>
      <c r="B111" s="8" t="n">
        <v>19</v>
      </c>
      <c r="C111" s="15" t="n">
        <v>50.9</v>
      </c>
      <c r="D111" s="15" t="n">
        <v>2</v>
      </c>
      <c r="E111" s="15" t="n">
        <v>2</v>
      </c>
      <c r="F111" s="15" t="n">
        <v>2</v>
      </c>
      <c r="G111" s="8" t="inlineStr">
        <is>
          <t>east_table</t>
        </is>
      </c>
      <c r="H111" s="8" t="inlineStr">
        <is>
          <t>原文</t>
        </is>
      </c>
      <c r="I111" s="20">
        <f>IF(COUNT(E108:E111)=4,ROUND(SUM(E108:E111),2),"")</f>
        <v/>
      </c>
      <c r="J111" s="20">
        <f>IF(COUNT(E100:E111)=12,ROUND(SUM(E100:E111),2),"")</f>
        <v/>
      </c>
      <c r="K111" s="20">
        <f>IF(COUNT(E86:E111)=26,ROUND(SUM(E86:E111),2),"")</f>
        <v/>
      </c>
    </row>
    <row r="112">
      <c r="A112" s="8" t="inlineStr">
        <is>
          <t>2024-05-15</t>
        </is>
      </c>
      <c r="B112" s="8" t="n">
        <v>20</v>
      </c>
      <c r="C112" s="15" t="n">
        <v>44.75</v>
      </c>
      <c r="D112" s="15" t="n">
        <v>-6.15</v>
      </c>
      <c r="E112" s="15" t="n">
        <v>-6.15</v>
      </c>
      <c r="F112" s="15" t="n">
        <v>-6.15</v>
      </c>
      <c r="G112" s="8" t="inlineStr">
        <is>
          <t>east_table</t>
        </is>
      </c>
      <c r="H112" s="8" t="inlineStr">
        <is>
          <t>原文</t>
        </is>
      </c>
      <c r="I112" s="20">
        <f>IF(COUNT(E109:E112)=4,ROUND(SUM(E109:E112),2),"")</f>
        <v/>
      </c>
      <c r="J112" s="20">
        <f>IF(COUNT(E101:E112)=12,ROUND(SUM(E101:E112),2),"")</f>
        <v/>
      </c>
      <c r="K112" s="20">
        <f>IF(COUNT(E87:E112)=26,ROUND(SUM(E87:E112),2),"")</f>
        <v/>
      </c>
    </row>
    <row r="113">
      <c r="A113" s="8" t="inlineStr">
        <is>
          <t>2024-05-22</t>
        </is>
      </c>
      <c r="B113" s="8" t="n">
        <v>21</v>
      </c>
      <c r="C113" s="15" t="n">
        <v>48.7</v>
      </c>
      <c r="D113" s="15" t="n">
        <v>3.95</v>
      </c>
      <c r="E113" s="15" t="n">
        <v>3.95</v>
      </c>
      <c r="F113" s="15" t="n">
        <v>3.95</v>
      </c>
      <c r="G113" s="8" t="inlineStr">
        <is>
          <t>east_table</t>
        </is>
      </c>
      <c r="H113" s="8" t="inlineStr">
        <is>
          <t>原文</t>
        </is>
      </c>
      <c r="I113" s="20">
        <f>IF(COUNT(E110:E113)=4,ROUND(SUM(E110:E113),2),"")</f>
        <v/>
      </c>
      <c r="J113" s="20">
        <f>IF(COUNT(E102:E113)=12,ROUND(SUM(E102:E113),2),"")</f>
        <v/>
      </c>
      <c r="K113" s="20">
        <f>IF(COUNT(E88:E113)=26,ROUND(SUM(E88:E113),2),"")</f>
        <v/>
      </c>
    </row>
    <row r="114">
      <c r="A114" s="8" t="inlineStr">
        <is>
          <t>2024-05-29</t>
        </is>
      </c>
      <c r="B114" s="8" t="n">
        <v>22</v>
      </c>
      <c r="C114" s="15" t="n">
        <v>46.7</v>
      </c>
      <c r="D114" s="15" t="n"/>
      <c r="E114" s="15" t="n">
        <v>-2</v>
      </c>
      <c r="F114" s="15" t="n">
        <v>-2</v>
      </c>
      <c r="G114" s="8" t="inlineStr">
        <is>
          <t>east_table</t>
        </is>
      </c>
      <c r="H114" s="8" t="inlineStr">
        <is>
          <t>表格差分</t>
        </is>
      </c>
      <c r="I114" s="20">
        <f>IF(COUNT(E111:E114)=4,ROUND(SUM(E111:E114),2),"")</f>
        <v/>
      </c>
      <c r="J114" s="20">
        <f>IF(COUNT(E103:E114)=12,ROUND(SUM(E103:E114),2),"")</f>
        <v/>
      </c>
      <c r="K114" s="20">
        <f>IF(COUNT(E89:E114)=26,ROUND(SUM(E89:E114),2),"")</f>
        <v/>
      </c>
    </row>
    <row r="115">
      <c r="A115" s="8" t="inlineStr">
        <is>
          <t>2024-06-05</t>
        </is>
      </c>
      <c r="B115" s="8" t="n">
        <v>23</v>
      </c>
      <c r="C115" s="15" t="n">
        <v>43.5</v>
      </c>
      <c r="D115" s="15" t="n"/>
      <c r="E115" s="15" t="n">
        <v>-3.2</v>
      </c>
      <c r="F115" s="15" t="n">
        <v>-3.2</v>
      </c>
      <c r="G115" s="8" t="inlineStr">
        <is>
          <t>east_table</t>
        </is>
      </c>
      <c r="H115" s="8" t="inlineStr">
        <is>
          <t>表格差分</t>
        </is>
      </c>
      <c r="I115" s="20">
        <f>IF(COUNT(E112:E115)=4,ROUND(SUM(E112:E115),2),"")</f>
        <v/>
      </c>
      <c r="J115" s="20">
        <f>IF(COUNT(E104:E115)=12,ROUND(SUM(E104:E115),2),"")</f>
        <v/>
      </c>
      <c r="K115" s="20">
        <f>IF(COUNT(E90:E115)=26,ROUND(SUM(E90:E115),2),"")</f>
        <v/>
      </c>
    </row>
    <row r="116">
      <c r="A116" s="8" t="inlineStr">
        <is>
          <t>2024-06-12</t>
        </is>
      </c>
      <c r="B116" s="8" t="n">
        <v>24</v>
      </c>
      <c r="C116" s="15" t="n">
        <v>50.4</v>
      </c>
      <c r="D116" s="15" t="n">
        <v>6.9</v>
      </c>
      <c r="E116" s="15" t="n">
        <v>6.9</v>
      </c>
      <c r="F116" s="15" t="n">
        <v>6.9</v>
      </c>
      <c r="G116" s="8" t="inlineStr">
        <is>
          <t>east_table</t>
        </is>
      </c>
      <c r="H116" s="8" t="inlineStr">
        <is>
          <t>原文</t>
        </is>
      </c>
      <c r="I116" s="20">
        <f>IF(COUNT(E113:E116)=4,ROUND(SUM(E113:E116),2),"")</f>
        <v/>
      </c>
      <c r="J116" s="20">
        <f>IF(COUNT(E105:E116)=12,ROUND(SUM(E105:E116),2),"")</f>
        <v/>
      </c>
      <c r="K116" s="20">
        <f>IF(COUNT(E91:E116)=26,ROUND(SUM(E91:E116),2),"")</f>
        <v/>
      </c>
    </row>
    <row r="117">
      <c r="A117" s="8" t="inlineStr">
        <is>
          <t>2024-06-19</t>
        </is>
      </c>
      <c r="B117" s="8" t="n">
        <v>25</v>
      </c>
      <c r="C117" s="15" t="n">
        <v>52.1</v>
      </c>
      <c r="D117" s="15" t="n">
        <v>1.7</v>
      </c>
      <c r="E117" s="15" t="n">
        <v>1.7</v>
      </c>
      <c r="F117" s="15" t="n">
        <v>1.7</v>
      </c>
      <c r="G117" s="8" t="inlineStr">
        <is>
          <t>east_table</t>
        </is>
      </c>
      <c r="H117" s="8" t="inlineStr">
        <is>
          <t>原文</t>
        </is>
      </c>
      <c r="I117" s="20">
        <f>IF(COUNT(E114:E117)=4,ROUND(SUM(E114:E117),2),"")</f>
        <v/>
      </c>
      <c r="J117" s="20">
        <f>IF(COUNT(E106:E117)=12,ROUND(SUM(E106:E117),2),"")</f>
        <v/>
      </c>
      <c r="K117" s="20">
        <f>IF(COUNT(E92:E117)=26,ROUND(SUM(E92:E117),2),"")</f>
        <v/>
      </c>
    </row>
    <row r="118">
      <c r="A118" s="8" t="inlineStr">
        <is>
          <t>2024-06-26</t>
        </is>
      </c>
      <c r="B118" s="8" t="n">
        <v>26</v>
      </c>
      <c r="C118" s="15" t="n">
        <v>63.73</v>
      </c>
      <c r="D118" s="15" t="n">
        <v>11.63</v>
      </c>
      <c r="E118" s="15" t="n">
        <v>11.63</v>
      </c>
      <c r="F118" s="15" t="n">
        <v>11.63</v>
      </c>
      <c r="G118" s="8" t="inlineStr">
        <is>
          <t>east_table</t>
        </is>
      </c>
      <c r="H118" s="8" t="inlineStr">
        <is>
          <t>原文</t>
        </is>
      </c>
      <c r="I118" s="20">
        <f>IF(COUNT(E115:E118)=4,ROUND(SUM(E115:E118),2),"")</f>
        <v/>
      </c>
      <c r="J118" s="20">
        <f>IF(COUNT(E107:E118)=12,ROUND(SUM(E107:E118),2),"")</f>
        <v/>
      </c>
      <c r="K118" s="20">
        <f>IF(COUNT(E93:E118)=26,ROUND(SUM(E93:E118),2),"")</f>
        <v/>
      </c>
    </row>
    <row r="119">
      <c r="A119" s="8" t="inlineStr">
        <is>
          <t>2024-07-03</t>
        </is>
      </c>
      <c r="B119" s="8" t="n">
        <v>27</v>
      </c>
      <c r="C119" s="15" t="n">
        <v>71.59999999999999</v>
      </c>
      <c r="D119" s="15" t="n">
        <v>7.87</v>
      </c>
      <c r="E119" s="15" t="n">
        <v>7.87</v>
      </c>
      <c r="F119" s="15" t="n">
        <v>7.87</v>
      </c>
      <c r="G119" s="8" t="inlineStr">
        <is>
          <t>east_table</t>
        </is>
      </c>
      <c r="H119" s="8" t="inlineStr">
        <is>
          <t>原文</t>
        </is>
      </c>
      <c r="I119" s="20">
        <f>IF(COUNT(E116:E119)=4,ROUND(SUM(E116:E119),2),"")</f>
        <v/>
      </c>
      <c r="J119" s="20">
        <f>IF(COUNT(E108:E119)=12,ROUND(SUM(E108:E119),2),"")</f>
        <v/>
      </c>
      <c r="K119" s="20">
        <f>IF(COUNT(E94:E119)=26,ROUND(SUM(E94:E119),2),"")</f>
        <v/>
      </c>
    </row>
    <row r="120">
      <c r="A120" s="8" t="inlineStr">
        <is>
          <t>2024-07-10</t>
        </is>
      </c>
      <c r="B120" s="8" t="n">
        <v>28</v>
      </c>
      <c r="C120" s="15" t="n">
        <v>74.25</v>
      </c>
      <c r="D120" s="15" t="n">
        <v>2.65</v>
      </c>
      <c r="E120" s="15" t="n">
        <v>2.65</v>
      </c>
      <c r="F120" s="15" t="n">
        <v>2.65</v>
      </c>
      <c r="G120" s="8" t="inlineStr">
        <is>
          <t>east_table</t>
        </is>
      </c>
      <c r="H120" s="8" t="inlineStr">
        <is>
          <t>原文</t>
        </is>
      </c>
      <c r="I120" s="20">
        <f>IF(COUNT(E117:E120)=4,ROUND(SUM(E117:E120),2),"")</f>
        <v/>
      </c>
      <c r="J120" s="20">
        <f>IF(COUNT(E109:E120)=12,ROUND(SUM(E109:E120),2),"")</f>
        <v/>
      </c>
      <c r="K120" s="20">
        <f>IF(COUNT(E95:E120)=26,ROUND(SUM(E95:E120),2),"")</f>
        <v/>
      </c>
    </row>
    <row r="121">
      <c r="A121" s="8" t="inlineStr">
        <is>
          <t>2024-07-17</t>
        </is>
      </c>
      <c r="B121" s="8" t="n">
        <v>29</v>
      </c>
      <c r="C121" s="15" t="n">
        <v>77.40000000000001</v>
      </c>
      <c r="D121" s="15" t="n">
        <v>3.15</v>
      </c>
      <c r="E121" s="15" t="n">
        <v>3.15</v>
      </c>
      <c r="F121" s="15" t="n">
        <v>3.15</v>
      </c>
      <c r="G121" s="8" t="inlineStr">
        <is>
          <t>east_table</t>
        </is>
      </c>
      <c r="H121" s="8" t="inlineStr">
        <is>
          <t>原文</t>
        </is>
      </c>
      <c r="I121" s="20">
        <f>IF(COUNT(E118:E121)=4,ROUND(SUM(E118:E121),2),"")</f>
        <v/>
      </c>
      <c r="J121" s="20">
        <f>IF(COUNT(E110:E121)=12,ROUND(SUM(E110:E121),2),"")</f>
        <v/>
      </c>
      <c r="K121" s="20">
        <f>IF(COUNT(E96:E121)=26,ROUND(SUM(E96:E121),2),"")</f>
        <v/>
      </c>
    </row>
    <row r="122">
      <c r="A122" s="8" t="inlineStr">
        <is>
          <t>2024-07-24</t>
        </is>
      </c>
      <c r="B122" s="8" t="n">
        <v>30</v>
      </c>
      <c r="C122" s="15" t="n">
        <v>80.90000000000001</v>
      </c>
      <c r="D122" s="15" t="n">
        <v>3.5</v>
      </c>
      <c r="E122" s="15" t="n">
        <v>3.5</v>
      </c>
      <c r="F122" s="15" t="n">
        <v>3.5</v>
      </c>
      <c r="G122" s="8" t="inlineStr">
        <is>
          <t>east_table</t>
        </is>
      </c>
      <c r="H122" s="8" t="inlineStr">
        <is>
          <t>原文</t>
        </is>
      </c>
      <c r="I122" s="20">
        <f>IF(COUNT(E119:E122)=4,ROUND(SUM(E119:E122),2),"")</f>
        <v/>
      </c>
      <c r="J122" s="20">
        <f>IF(COUNT(E111:E122)=12,ROUND(SUM(E111:E122),2),"")</f>
        <v/>
      </c>
      <c r="K122" s="20">
        <f>IF(COUNT(E97:E122)=26,ROUND(SUM(E97:E122),2),"")</f>
        <v/>
      </c>
    </row>
    <row r="123">
      <c r="A123" s="8" t="inlineStr">
        <is>
          <t>2024-07-31</t>
        </is>
      </c>
      <c r="B123" s="8" t="n">
        <v>31</v>
      </c>
      <c r="C123" s="15" t="n">
        <v>76</v>
      </c>
      <c r="D123" s="15" t="n">
        <v>-4.9</v>
      </c>
      <c r="E123" s="15" t="n">
        <v>-4.9</v>
      </c>
      <c r="F123" s="15" t="n">
        <v>-4.9</v>
      </c>
      <c r="G123" s="8" t="inlineStr">
        <is>
          <t>east_table</t>
        </is>
      </c>
      <c r="H123" s="8" t="inlineStr">
        <is>
          <t>原文</t>
        </is>
      </c>
      <c r="I123" s="20">
        <f>IF(COUNT(E120:E123)=4,ROUND(SUM(E120:E123),2),"")</f>
        <v/>
      </c>
      <c r="J123" s="20">
        <f>IF(COUNT(E112:E123)=12,ROUND(SUM(E112:E123),2),"")</f>
        <v/>
      </c>
      <c r="K123" s="20">
        <f>IF(COUNT(E98:E123)=26,ROUND(SUM(E98:E123),2),"")</f>
        <v/>
      </c>
    </row>
    <row r="124">
      <c r="A124" s="8" t="inlineStr">
        <is>
          <t>2024-08-07</t>
        </is>
      </c>
      <c r="B124" s="8" t="n">
        <v>32</v>
      </c>
      <c r="C124" s="15" t="n">
        <v>68.2</v>
      </c>
      <c r="D124" s="15" t="n">
        <v>-7.8</v>
      </c>
      <c r="E124" s="15" t="n">
        <v>-7.8</v>
      </c>
      <c r="F124" s="15" t="n">
        <v>-7.8</v>
      </c>
      <c r="G124" s="8" t="inlineStr">
        <is>
          <t>east_table</t>
        </is>
      </c>
      <c r="H124" s="8" t="inlineStr">
        <is>
          <t>原文</t>
        </is>
      </c>
      <c r="I124" s="20">
        <f>IF(COUNT(E121:E124)=4,ROUND(SUM(E121:E124),2),"")</f>
        <v/>
      </c>
      <c r="J124" s="20">
        <f>IF(COUNT(E113:E124)=12,ROUND(SUM(E113:E124),2),"")</f>
        <v/>
      </c>
      <c r="K124" s="20">
        <f>IF(COUNT(E99:E124)=26,ROUND(SUM(E99:E124),2),"")</f>
        <v/>
      </c>
    </row>
    <row r="125">
      <c r="A125" s="8" t="inlineStr">
        <is>
          <t>2024-08-14</t>
        </is>
      </c>
      <c r="B125" s="8" t="n">
        <v>33</v>
      </c>
      <c r="C125" s="15" t="n">
        <v>67.93000000000001</v>
      </c>
      <c r="D125" s="15" t="n">
        <v>-0.27</v>
      </c>
      <c r="E125" s="15" t="n">
        <v>-0.27</v>
      </c>
      <c r="F125" s="15" t="n">
        <v>-0.27</v>
      </c>
      <c r="G125" s="8" t="inlineStr">
        <is>
          <t>east_table</t>
        </is>
      </c>
      <c r="H125" s="8" t="inlineStr">
        <is>
          <t>原文</t>
        </is>
      </c>
      <c r="I125" s="20">
        <f>IF(COUNT(E122:E125)=4,ROUND(SUM(E122:E125),2),"")</f>
        <v/>
      </c>
      <c r="J125" s="20">
        <f>IF(COUNT(E114:E125)=12,ROUND(SUM(E114:E125),2),"")</f>
        <v/>
      </c>
      <c r="K125" s="20">
        <f>IF(COUNT(E100:E125)=26,ROUND(SUM(E100:E125),2),"")</f>
        <v/>
      </c>
    </row>
    <row r="126">
      <c r="A126" s="8" t="inlineStr">
        <is>
          <t>2024-08-21</t>
        </is>
      </c>
      <c r="B126" s="8" t="n">
        <v>34</v>
      </c>
      <c r="C126" s="15" t="n">
        <v>72.84999999999999</v>
      </c>
      <c r="D126" s="15" t="n"/>
      <c r="E126" s="15" t="n">
        <v>4.92</v>
      </c>
      <c r="F126" s="15" t="n">
        <v>4.92</v>
      </c>
      <c r="G126" s="8" t="inlineStr">
        <is>
          <t>east_table</t>
        </is>
      </c>
      <c r="H126" s="8" t="inlineStr">
        <is>
          <t>表格差分</t>
        </is>
      </c>
      <c r="I126" s="20">
        <f>IF(COUNT(E123:E126)=4,ROUND(SUM(E123:E126),2),"")</f>
        <v/>
      </c>
      <c r="J126" s="20">
        <f>IF(COUNT(E115:E126)=12,ROUND(SUM(E115:E126),2),"")</f>
        <v/>
      </c>
      <c r="K126" s="20">
        <f>IF(COUNT(E101:E126)=26,ROUND(SUM(E101:E126),2),"")</f>
        <v/>
      </c>
    </row>
    <row r="127">
      <c r="A127" s="8" t="inlineStr">
        <is>
          <t>2024-08-28</t>
        </is>
      </c>
      <c r="B127" s="8" t="n">
        <v>35</v>
      </c>
      <c r="C127" s="15" t="n">
        <v>80.08</v>
      </c>
      <c r="D127" s="15" t="n">
        <v>7.23</v>
      </c>
      <c r="E127" s="15" t="n">
        <v>7.23</v>
      </c>
      <c r="F127" s="15" t="n">
        <v>7.23</v>
      </c>
      <c r="G127" s="8" t="inlineStr">
        <is>
          <t>east_table</t>
        </is>
      </c>
      <c r="H127" s="8" t="inlineStr">
        <is>
          <t>原文</t>
        </is>
      </c>
      <c r="I127" s="20">
        <f>IF(COUNT(E124:E127)=4,ROUND(SUM(E124:E127),2),"")</f>
        <v/>
      </c>
      <c r="J127" s="20">
        <f>IF(COUNT(E116:E127)=12,ROUND(SUM(E116:E127),2),"")</f>
        <v/>
      </c>
      <c r="K127" s="20">
        <f>IF(COUNT(E102:E127)=26,ROUND(SUM(E102:E127),2),"")</f>
        <v/>
      </c>
    </row>
    <row r="128">
      <c r="A128" s="8" t="inlineStr">
        <is>
          <t>2024-09-04</t>
        </is>
      </c>
      <c r="B128" s="8" t="n">
        <v>36</v>
      </c>
      <c r="C128" s="15" t="n">
        <v>81.93000000000001</v>
      </c>
      <c r="D128" s="15" t="n">
        <v>1.85</v>
      </c>
      <c r="E128" s="15" t="n">
        <v>1.85</v>
      </c>
      <c r="F128" s="15" t="n">
        <v>1.85</v>
      </c>
      <c r="G128" s="8" t="inlineStr">
        <is>
          <t>east_table</t>
        </is>
      </c>
      <c r="H128" s="8" t="inlineStr">
        <is>
          <t>原文</t>
        </is>
      </c>
      <c r="I128" s="20">
        <f>IF(COUNT(E125:E128)=4,ROUND(SUM(E125:E128),2),"")</f>
        <v/>
      </c>
      <c r="J128" s="20">
        <f>IF(COUNT(E117:E128)=12,ROUND(SUM(E117:E128),2),"")</f>
        <v/>
      </c>
      <c r="K128" s="20">
        <f>IF(COUNT(E103:E128)=26,ROUND(SUM(E103:E128),2),"")</f>
        <v/>
      </c>
    </row>
    <row r="129">
      <c r="A129" s="8" t="inlineStr">
        <is>
          <t>2024-09-11</t>
        </is>
      </c>
      <c r="B129" s="8" t="n">
        <v>37</v>
      </c>
      <c r="C129" s="15" t="n">
        <v>83.58</v>
      </c>
      <c r="D129" s="15" t="n">
        <v>1.65</v>
      </c>
      <c r="E129" s="15" t="n">
        <v>1.65</v>
      </c>
      <c r="F129" s="15" t="n">
        <v>1.65</v>
      </c>
      <c r="G129" s="8" t="inlineStr">
        <is>
          <t>east_table</t>
        </is>
      </c>
      <c r="H129" s="8" t="inlineStr">
        <is>
          <t>原文</t>
        </is>
      </c>
      <c r="I129" s="20">
        <f>IF(COUNT(E126:E129)=4,ROUND(SUM(E126:E129),2),"")</f>
        <v/>
      </c>
      <c r="J129" s="20">
        <f>IF(COUNT(E118:E129)=12,ROUND(SUM(E118:E129),2),"")</f>
        <v/>
      </c>
      <c r="K129" s="20">
        <f>IF(COUNT(E104:E129)=26,ROUND(SUM(E104:E129),2),"")</f>
        <v/>
      </c>
    </row>
    <row r="130">
      <c r="A130" s="8" t="inlineStr">
        <is>
          <t>2024-09-18</t>
        </is>
      </c>
      <c r="B130" s="8" t="n">
        <v>38</v>
      </c>
      <c r="C130" s="15" t="n">
        <v>68.37</v>
      </c>
      <c r="D130" s="15" t="n">
        <v>-15.21</v>
      </c>
      <c r="E130" s="15" t="n">
        <v>-15.21</v>
      </c>
      <c r="F130" s="15" t="n">
        <v>-15.21</v>
      </c>
      <c r="G130" s="8" t="inlineStr">
        <is>
          <t>east_table</t>
        </is>
      </c>
      <c r="H130" s="8" t="inlineStr">
        <is>
          <t>原文</t>
        </is>
      </c>
      <c r="I130" s="20">
        <f>IF(COUNT(E127:E130)=4,ROUND(SUM(E127:E130),2),"")</f>
        <v/>
      </c>
      <c r="J130" s="20">
        <f>IF(COUNT(E119:E130)=12,ROUND(SUM(E119:E130),2),"")</f>
        <v/>
      </c>
      <c r="K130" s="20">
        <f>IF(COUNT(E105:E130)=26,ROUND(SUM(E105:E130),2),"")</f>
        <v/>
      </c>
    </row>
    <row r="131">
      <c r="A131" s="8" t="inlineStr">
        <is>
          <t>2024-09-25</t>
        </is>
      </c>
      <c r="B131" s="8" t="n">
        <v>39</v>
      </c>
      <c r="C131" s="15" t="n">
        <v>60.88</v>
      </c>
      <c r="D131" s="15" t="n">
        <v>-7.49</v>
      </c>
      <c r="E131" s="15" t="n">
        <v>-7.49</v>
      </c>
      <c r="F131" s="15" t="n">
        <v>-7.49</v>
      </c>
      <c r="G131" s="8" t="inlineStr">
        <is>
          <t>east_table</t>
        </is>
      </c>
      <c r="H131" s="8" t="inlineStr">
        <is>
          <t>原文</t>
        </is>
      </c>
      <c r="I131" s="20">
        <f>IF(COUNT(E128:E131)=4,ROUND(SUM(E128:E131),2),"")</f>
        <v/>
      </c>
      <c r="J131" s="20">
        <f>IF(COUNT(E120:E131)=12,ROUND(SUM(E120:E131),2),"")</f>
        <v/>
      </c>
      <c r="K131" s="20">
        <f>IF(COUNT(E106:E131)=26,ROUND(SUM(E106:E131),2),"")</f>
        <v/>
      </c>
    </row>
    <row r="132">
      <c r="A132" s="8" t="inlineStr">
        <is>
          <t>2024-10-09</t>
        </is>
      </c>
      <c r="B132" s="8" t="n">
        <v>41</v>
      </c>
      <c r="C132" s="15" t="n">
        <v>64.09999999999999</v>
      </c>
      <c r="D132" s="15" t="n">
        <v>3.22</v>
      </c>
      <c r="E132" s="15" t="n">
        <v>3.22</v>
      </c>
      <c r="F132" s="15" t="n">
        <v>3.22</v>
      </c>
      <c r="G132" s="8" t="inlineStr">
        <is>
          <t>east_table</t>
        </is>
      </c>
      <c r="H132" s="8" t="inlineStr">
        <is>
          <t>原文</t>
        </is>
      </c>
      <c r="I132" s="20">
        <f>IF(COUNT(E129:E132)=4,ROUND(SUM(E129:E132),2),"")</f>
        <v/>
      </c>
      <c r="J132" s="20">
        <f>IF(COUNT(E121:E132)=12,ROUND(SUM(E121:E132),2),"")</f>
        <v/>
      </c>
      <c r="K132" s="20">
        <f>IF(COUNT(E107:E132)=26,ROUND(SUM(E107:E132),2),"")</f>
        <v/>
      </c>
    </row>
    <row r="133">
      <c r="A133" s="8" t="inlineStr">
        <is>
          <t>2024-10-16</t>
        </is>
      </c>
      <c r="B133" s="8" t="n">
        <v>42</v>
      </c>
      <c r="C133" s="15" t="n">
        <v>76.15000000000001</v>
      </c>
      <c r="D133" s="15" t="n"/>
      <c r="E133" s="15" t="n">
        <v>12.05</v>
      </c>
      <c r="F133" s="15" t="n">
        <v>12.05</v>
      </c>
      <c r="G133" s="8" t="inlineStr">
        <is>
          <t>east_table</t>
        </is>
      </c>
      <c r="H133" s="8" t="inlineStr">
        <is>
          <t>表格差分</t>
        </is>
      </c>
      <c r="I133" s="20">
        <f>IF(COUNT(E130:E133)=4,ROUND(SUM(E130:E133),2),"")</f>
        <v/>
      </c>
      <c r="J133" s="20">
        <f>IF(COUNT(E122:E133)=12,ROUND(SUM(E122:E133),2),"")</f>
        <v/>
      </c>
      <c r="K133" s="20">
        <f>IF(COUNT(E108:E133)=26,ROUND(SUM(E108:E133),2),"")</f>
        <v/>
      </c>
    </row>
    <row r="134">
      <c r="A134" s="8" t="inlineStr">
        <is>
          <t>2024-10-23</t>
        </is>
      </c>
      <c r="B134" s="8" t="n">
        <v>43</v>
      </c>
      <c r="C134" s="15" t="n">
        <v>77.18000000000001</v>
      </c>
      <c r="D134" s="15" t="n"/>
      <c r="E134" s="15" t="n">
        <v>1.03</v>
      </c>
      <c r="F134" s="15" t="n">
        <v>1.03</v>
      </c>
      <c r="G134" s="8" t="inlineStr">
        <is>
          <t>east_table</t>
        </is>
      </c>
      <c r="H134" s="8" t="inlineStr">
        <is>
          <t>表格差分</t>
        </is>
      </c>
      <c r="I134" s="20">
        <f>IF(COUNT(E131:E134)=4,ROUND(SUM(E131:E134),2),"")</f>
        <v/>
      </c>
      <c r="J134" s="20">
        <f>IF(COUNT(E123:E134)=12,ROUND(SUM(E123:E134),2),"")</f>
        <v/>
      </c>
      <c r="K134" s="20">
        <f>IF(COUNT(E109:E134)=26,ROUND(SUM(E109:E134),2),"")</f>
        <v/>
      </c>
    </row>
    <row r="135">
      <c r="A135" s="8" t="inlineStr">
        <is>
          <t>2024-10-30</t>
        </is>
      </c>
      <c r="B135" s="8" t="n">
        <v>44</v>
      </c>
      <c r="C135" s="15" t="n">
        <v>84.15000000000001</v>
      </c>
      <c r="D135" s="15" t="n">
        <v>6.97</v>
      </c>
      <c r="E135" s="15" t="n">
        <v>6.97</v>
      </c>
      <c r="F135" s="15" t="n">
        <v>6.97</v>
      </c>
      <c r="G135" s="8" t="inlineStr">
        <is>
          <t>east_table</t>
        </is>
      </c>
      <c r="H135" s="8" t="inlineStr">
        <is>
          <t>原文</t>
        </is>
      </c>
      <c r="I135" s="20">
        <f>IF(COUNT(E132:E135)=4,ROUND(SUM(E132:E135),2),"")</f>
        <v/>
      </c>
      <c r="J135" s="20">
        <f>IF(COUNT(E124:E135)=12,ROUND(SUM(E124:E135),2),"")</f>
        <v/>
      </c>
      <c r="K135" s="20">
        <f>IF(COUNT(E110:E135)=26,ROUND(SUM(E110:E135),2),"")</f>
        <v/>
      </c>
    </row>
    <row r="136">
      <c r="A136" s="8" t="inlineStr">
        <is>
          <t>2024-11-06</t>
        </is>
      </c>
      <c r="B136" s="8" t="n">
        <v>45</v>
      </c>
      <c r="C136" s="15" t="n">
        <v>83.8</v>
      </c>
      <c r="D136" s="15" t="n"/>
      <c r="E136" s="15" t="n">
        <v>-0.35</v>
      </c>
      <c r="F136" s="15" t="n">
        <v>-0.35</v>
      </c>
      <c r="G136" s="8" t="inlineStr">
        <is>
          <t>east_table</t>
        </is>
      </c>
      <c r="H136" s="8" t="inlineStr">
        <is>
          <t>表格差分</t>
        </is>
      </c>
      <c r="I136" s="20">
        <f>IF(COUNT(E133:E136)=4,ROUND(SUM(E133:E136),2),"")</f>
        <v/>
      </c>
      <c r="J136" s="20">
        <f>IF(COUNT(E125:E136)=12,ROUND(SUM(E125:E136),2),"")</f>
        <v/>
      </c>
      <c r="K136" s="20">
        <f>IF(COUNT(E111:E136)=26,ROUND(SUM(E111:E136),2),"")</f>
        <v/>
      </c>
    </row>
    <row r="137">
      <c r="A137" s="8" t="inlineStr">
        <is>
          <t>2024-11-13</t>
        </is>
      </c>
      <c r="B137" s="8" t="n">
        <v>46</v>
      </c>
      <c r="C137" s="15" t="n">
        <v>90.40000000000001</v>
      </c>
      <c r="D137" s="15" t="n">
        <v>6.6</v>
      </c>
      <c r="E137" s="15" t="n">
        <v>6.6</v>
      </c>
      <c r="F137" s="15" t="n">
        <v>6.6</v>
      </c>
      <c r="G137" s="8" t="inlineStr">
        <is>
          <t>east_table</t>
        </is>
      </c>
      <c r="H137" s="8" t="inlineStr">
        <is>
          <t>原文</t>
        </is>
      </c>
      <c r="I137" s="20">
        <f>IF(COUNT(E134:E137)=4,ROUND(SUM(E134:E137),2),"")</f>
        <v/>
      </c>
      <c r="J137" s="20">
        <f>IF(COUNT(E126:E137)=12,ROUND(SUM(E126:E137),2),"")</f>
        <v/>
      </c>
      <c r="K137" s="20">
        <f>IF(COUNT(E112:E137)=26,ROUND(SUM(E112:E137),2),"")</f>
        <v/>
      </c>
    </row>
    <row r="138">
      <c r="A138" s="8" t="inlineStr">
        <is>
          <t>2024-11-20</t>
        </is>
      </c>
      <c r="B138" s="8" t="n">
        <v>47</v>
      </c>
      <c r="C138" s="15" t="n">
        <v>93.61</v>
      </c>
      <c r="D138" s="15" t="n">
        <v>3.21</v>
      </c>
      <c r="E138" s="15" t="n">
        <v>3.21</v>
      </c>
      <c r="F138" s="15" t="n">
        <v>3.21</v>
      </c>
      <c r="G138" s="8" t="inlineStr">
        <is>
          <t>east_table</t>
        </is>
      </c>
      <c r="H138" s="8" t="inlineStr">
        <is>
          <t>原文</t>
        </is>
      </c>
      <c r="I138" s="20">
        <f>IF(COUNT(E135:E138)=4,ROUND(SUM(E135:E138),2),"")</f>
        <v/>
      </c>
      <c r="J138" s="20">
        <f>IF(COUNT(E127:E138)=12,ROUND(SUM(E127:E138),2),"")</f>
        <v/>
      </c>
      <c r="K138" s="20">
        <f>IF(COUNT(E113:E138)=26,ROUND(SUM(E113:E138),2),"")</f>
        <v/>
      </c>
    </row>
    <row r="139">
      <c r="A139" s="8" t="inlineStr">
        <is>
          <t>2024-11-27</t>
        </is>
      </c>
      <c r="B139" s="8" t="n">
        <v>48</v>
      </c>
      <c r="C139" s="15" t="n">
        <v>83.5</v>
      </c>
      <c r="D139" s="15" t="n">
        <v>-10.11</v>
      </c>
      <c r="E139" s="15" t="n">
        <v>-10.11</v>
      </c>
      <c r="F139" s="15" t="n">
        <v>-10.11</v>
      </c>
      <c r="G139" s="8" t="inlineStr">
        <is>
          <t>east_table</t>
        </is>
      </c>
      <c r="H139" s="8" t="inlineStr">
        <is>
          <t>原文</t>
        </is>
      </c>
      <c r="I139" s="20">
        <f>IF(COUNT(E136:E139)=4,ROUND(SUM(E136:E139),2),"")</f>
        <v/>
      </c>
      <c r="J139" s="20">
        <f>IF(COUNT(E128:E139)=12,ROUND(SUM(E128:E139),2),"")</f>
        <v/>
      </c>
      <c r="K139" s="20">
        <f>IF(COUNT(E114:E139)=26,ROUND(SUM(E114:E139),2),"")</f>
        <v/>
      </c>
    </row>
    <row r="140">
      <c r="A140" s="8" t="inlineStr">
        <is>
          <t>2024-12-04</t>
        </is>
      </c>
      <c r="B140" s="8" t="n">
        <v>49</v>
      </c>
      <c r="C140" s="15" t="n">
        <v>89.3</v>
      </c>
      <c r="D140" s="15" t="n">
        <v>5.8</v>
      </c>
      <c r="E140" s="15" t="n">
        <v>5.8</v>
      </c>
      <c r="F140" s="15" t="n">
        <v>5.8</v>
      </c>
      <c r="G140" s="8" t="inlineStr">
        <is>
          <t>east_table</t>
        </is>
      </c>
      <c r="H140" s="8" t="inlineStr">
        <is>
          <t>原文</t>
        </is>
      </c>
      <c r="I140" s="20">
        <f>IF(COUNT(E137:E140)=4,ROUND(SUM(E137:E140),2),"")</f>
        <v/>
      </c>
      <c r="J140" s="20">
        <f>IF(COUNT(E129:E140)=12,ROUND(SUM(E129:E140),2),"")</f>
        <v/>
      </c>
      <c r="K140" s="20">
        <f>IF(COUNT(E115:E140)=26,ROUND(SUM(E115:E140),2),"")</f>
        <v/>
      </c>
    </row>
    <row r="141">
      <c r="A141" s="8" t="inlineStr">
        <is>
          <t>2024-12-11</t>
        </is>
      </c>
      <c r="B141" s="8" t="n">
        <v>50</v>
      </c>
      <c r="C141" s="15" t="n">
        <v>78.45</v>
      </c>
      <c r="D141" s="15" t="n">
        <v>-10.85</v>
      </c>
      <c r="E141" s="15" t="n">
        <v>-10.85</v>
      </c>
      <c r="F141" s="15" t="n">
        <v>-10.85</v>
      </c>
      <c r="G141" s="8" t="inlineStr">
        <is>
          <t>east_table</t>
        </is>
      </c>
      <c r="H141" s="8" t="inlineStr">
        <is>
          <t>原文</t>
        </is>
      </c>
      <c r="I141" s="20">
        <f>IF(COUNT(E138:E141)=4,ROUND(SUM(E138:E141),2),"")</f>
        <v/>
      </c>
      <c r="J141" s="20">
        <f>IF(COUNT(E130:E141)=12,ROUND(SUM(E130:E141),2),"")</f>
        <v/>
      </c>
      <c r="K141" s="20">
        <f>IF(COUNT(E116:E141)=26,ROUND(SUM(E116:E141),2),"")</f>
        <v/>
      </c>
    </row>
    <row r="142">
      <c r="A142" s="8" t="inlineStr">
        <is>
          <t>2024-12-18</t>
        </is>
      </c>
      <c r="B142" s="8" t="n">
        <v>51</v>
      </c>
      <c r="C142" s="15" t="n">
        <v>77.05</v>
      </c>
      <c r="D142" s="15" t="n">
        <v>-1.4</v>
      </c>
      <c r="E142" s="15" t="n">
        <v>-1.4</v>
      </c>
      <c r="F142" s="15" t="n">
        <v>-1.4</v>
      </c>
      <c r="G142" s="8" t="inlineStr">
        <is>
          <t>east_table</t>
        </is>
      </c>
      <c r="H142" s="8" t="inlineStr">
        <is>
          <t>原文</t>
        </is>
      </c>
      <c r="I142" s="20">
        <f>IF(COUNT(E139:E142)=4,ROUND(SUM(E139:E142),2),"")</f>
        <v/>
      </c>
      <c r="J142" s="20">
        <f>IF(COUNT(E131:E142)=12,ROUND(SUM(E131:E142),2),"")</f>
        <v/>
      </c>
      <c r="K142" s="20">
        <f>IF(COUNT(E117:E142)=26,ROUND(SUM(E117:E142),2),"")</f>
        <v/>
      </c>
    </row>
    <row r="143">
      <c r="A143" s="8" t="inlineStr">
        <is>
          <t>2024-12-25</t>
        </is>
      </c>
      <c r="B143" s="8" t="n">
        <v>52</v>
      </c>
      <c r="C143" s="15" t="n">
        <v>68.09999999999999</v>
      </c>
      <c r="D143" s="15" t="n">
        <v>-8.949999999999999</v>
      </c>
      <c r="E143" s="15" t="n">
        <v>-8.949999999999999</v>
      </c>
      <c r="F143" s="15" t="n">
        <v>-8.949999999999999</v>
      </c>
      <c r="G143" s="8" t="inlineStr">
        <is>
          <t>east_table</t>
        </is>
      </c>
      <c r="H143" s="8" t="inlineStr">
        <is>
          <t>原文</t>
        </is>
      </c>
      <c r="I143" s="20">
        <f>IF(COUNT(E140:E143)=4,ROUND(SUM(E140:E143),2),"")</f>
        <v/>
      </c>
      <c r="J143" s="20">
        <f>IF(COUNT(E132:E143)=12,ROUND(SUM(E132:E143),2),"")</f>
        <v/>
      </c>
      <c r="K143" s="20">
        <f>IF(COUNT(E118:E143)=26,ROUND(SUM(E118:E143),2),"")</f>
        <v/>
      </c>
    </row>
    <row r="144">
      <c r="A144" s="8" t="inlineStr">
        <is>
          <t>2025-01-02</t>
        </is>
      </c>
      <c r="B144" s="8" t="n">
        <v>1</v>
      </c>
      <c r="C144" s="15" t="n">
        <v>67.2</v>
      </c>
      <c r="D144" s="15" t="n">
        <v>-0.9</v>
      </c>
      <c r="E144" s="15" t="n">
        <v>-0.9</v>
      </c>
      <c r="F144" s="15" t="n">
        <v>-0.9</v>
      </c>
      <c r="G144" s="8" t="inlineStr">
        <is>
          <t>east_table</t>
        </is>
      </c>
      <c r="H144" s="8" t="inlineStr">
        <is>
          <t>原文</t>
        </is>
      </c>
      <c r="I144" s="20">
        <f>IF(COUNT(E141:E144)=4,ROUND(SUM(E141:E144),2),"")</f>
        <v/>
      </c>
      <c r="J144" s="20">
        <f>IF(COUNT(E133:E144)=12,ROUND(SUM(E133:E144),2),"")</f>
        <v/>
      </c>
      <c r="K144" s="20">
        <f>IF(COUNT(E119:E144)=26,ROUND(SUM(E119:E144),2),"")</f>
        <v/>
      </c>
    </row>
    <row r="145">
      <c r="A145" s="8" t="inlineStr">
        <is>
          <t>2025-01-08</t>
        </is>
      </c>
      <c r="B145" s="8" t="n">
        <v>2</v>
      </c>
      <c r="C145" s="15" t="n">
        <v>58.9</v>
      </c>
      <c r="D145" s="15" t="n">
        <v>-8.300000000000001</v>
      </c>
      <c r="E145" s="15" t="n">
        <v>-8.300000000000001</v>
      </c>
      <c r="F145" s="15" t="n">
        <v>-8.300000000000001</v>
      </c>
      <c r="G145" s="8" t="inlineStr">
        <is>
          <t>east_table</t>
        </is>
      </c>
      <c r="H145" s="8" t="inlineStr">
        <is>
          <t>原文</t>
        </is>
      </c>
      <c r="I145" s="20">
        <f>IF(COUNT(E142:E145)=4,ROUND(SUM(E142:E145),2),"")</f>
        <v/>
      </c>
      <c r="J145" s="20">
        <f>IF(COUNT(E134:E145)=12,ROUND(SUM(E134:E145),2),"")</f>
        <v/>
      </c>
      <c r="K145" s="20">
        <f>IF(COUNT(E120:E145)=26,ROUND(SUM(E120:E145),2),"")</f>
        <v/>
      </c>
    </row>
    <row r="146">
      <c r="A146" s="8" t="inlineStr">
        <is>
          <t>2025-01-15</t>
        </is>
      </c>
      <c r="B146" s="8" t="n">
        <v>3</v>
      </c>
      <c r="C146" s="15" t="n">
        <v>66.90000000000001</v>
      </c>
      <c r="D146" s="15" t="n">
        <v>8</v>
      </c>
      <c r="E146" s="15" t="n">
        <v>8</v>
      </c>
      <c r="F146" s="15" t="n">
        <v>8</v>
      </c>
      <c r="G146" s="8" t="inlineStr">
        <is>
          <t>east_table</t>
        </is>
      </c>
      <c r="H146" s="8" t="inlineStr">
        <is>
          <t>原文</t>
        </is>
      </c>
      <c r="I146" s="20">
        <f>IF(COUNT(E143:E146)=4,ROUND(SUM(E143:E146),2),"")</f>
        <v/>
      </c>
      <c r="J146" s="20">
        <f>IF(COUNT(E135:E146)=12,ROUND(SUM(E135:E146),2),"")</f>
        <v/>
      </c>
      <c r="K146" s="20">
        <f>IF(COUNT(E121:E146)=26,ROUND(SUM(E121:E146),2),"")</f>
        <v/>
      </c>
    </row>
    <row r="147">
      <c r="A147" s="8" t="inlineStr">
        <is>
          <t>2025-01-22</t>
        </is>
      </c>
      <c r="B147" s="8" t="n">
        <v>4</v>
      </c>
      <c r="C147" s="15" t="n">
        <v>69.06</v>
      </c>
      <c r="D147" s="15" t="n">
        <v>2.16</v>
      </c>
      <c r="E147" s="15" t="n">
        <v>2.16</v>
      </c>
      <c r="F147" s="15" t="n">
        <v>2.16</v>
      </c>
      <c r="G147" s="8" t="inlineStr">
        <is>
          <t>east_table</t>
        </is>
      </c>
      <c r="H147" s="8" t="inlineStr">
        <is>
          <t>原文</t>
        </is>
      </c>
      <c r="I147" s="20">
        <f>IF(COUNT(E144:E147)=4,ROUND(SUM(E144:E147),2),"")</f>
        <v/>
      </c>
      <c r="J147" s="20">
        <f>IF(COUNT(E136:E147)=12,ROUND(SUM(E136:E147),2),"")</f>
        <v/>
      </c>
      <c r="K147" s="20">
        <f>IF(COUNT(E122:E147)=26,ROUND(SUM(E122:E147),2),"")</f>
        <v/>
      </c>
    </row>
    <row r="148">
      <c r="A148" s="8" t="inlineStr">
        <is>
          <t>2025-02-05</t>
        </is>
      </c>
      <c r="B148" s="8" t="n">
        <v>6</v>
      </c>
      <c r="C148" s="15" t="n">
        <v>69.40000000000001</v>
      </c>
      <c r="D148" s="15" t="n">
        <v>0.34</v>
      </c>
      <c r="E148" s="15" t="n">
        <v>0.34</v>
      </c>
      <c r="F148" s="15" t="n">
        <v>0.34</v>
      </c>
      <c r="G148" s="8" t="inlineStr">
        <is>
          <t>east_table</t>
        </is>
      </c>
      <c r="H148" s="8" t="inlineStr">
        <is>
          <t>原文</t>
        </is>
      </c>
      <c r="I148" s="20">
        <f>IF(COUNT(E145:E148)=4,ROUND(SUM(E145:E148),2),"")</f>
        <v/>
      </c>
      <c r="J148" s="20">
        <f>IF(COUNT(E137:E148)=12,ROUND(SUM(E137:E148),2),"")</f>
        <v/>
      </c>
      <c r="K148" s="20">
        <f>IF(COUNT(E123:E148)=26,ROUND(SUM(E123:E148),2),"")</f>
        <v/>
      </c>
    </row>
    <row r="149">
      <c r="A149" s="8" t="inlineStr">
        <is>
          <t>2025-02-12</t>
        </is>
      </c>
      <c r="B149" s="8" t="n">
        <v>7</v>
      </c>
      <c r="C149" s="15" t="n">
        <v>71.73</v>
      </c>
      <c r="D149" s="15" t="n">
        <v>2.33</v>
      </c>
      <c r="E149" s="15" t="n">
        <v>2.33</v>
      </c>
      <c r="F149" s="15" t="n">
        <v>2.33</v>
      </c>
      <c r="G149" s="8" t="inlineStr">
        <is>
          <t>east_table</t>
        </is>
      </c>
      <c r="H149" s="8" t="inlineStr">
        <is>
          <t>原文</t>
        </is>
      </c>
      <c r="I149" s="20">
        <f>IF(COUNT(E146:E149)=4,ROUND(SUM(E146:E149),2),"")</f>
        <v/>
      </c>
      <c r="J149" s="20">
        <f>IF(COUNT(E138:E149)=12,ROUND(SUM(E138:E149),2),"")</f>
        <v/>
      </c>
      <c r="K149" s="20">
        <f>IF(COUNT(E124:E149)=26,ROUND(SUM(E124:E149),2),"")</f>
        <v/>
      </c>
    </row>
    <row r="150">
      <c r="A150" s="8" t="inlineStr">
        <is>
          <t>2025-02-19</t>
        </is>
      </c>
      <c r="B150" s="8" t="n">
        <v>8</v>
      </c>
      <c r="C150" s="15" t="n">
        <v>77.7</v>
      </c>
      <c r="D150" s="15" t="n">
        <v>5.97</v>
      </c>
      <c r="E150" s="15" t="n">
        <v>5.97</v>
      </c>
      <c r="F150" s="15" t="n">
        <v>5.97</v>
      </c>
      <c r="G150" s="8" t="inlineStr">
        <is>
          <t>east_table</t>
        </is>
      </c>
      <c r="H150" s="8" t="inlineStr">
        <is>
          <t>原文</t>
        </is>
      </c>
      <c r="I150" s="20">
        <f>IF(COUNT(E147:E150)=4,ROUND(SUM(E147:E150),2),"")</f>
        <v/>
      </c>
      <c r="J150" s="20">
        <f>IF(COUNT(E139:E150)=12,ROUND(SUM(E139:E150),2),"")</f>
        <v/>
      </c>
      <c r="K150" s="20">
        <f>IF(COUNT(E125:E150)=26,ROUND(SUM(E125:E150),2),"")</f>
        <v/>
      </c>
    </row>
    <row r="151">
      <c r="A151" s="8" t="inlineStr">
        <is>
          <t>2025-02-26</t>
        </is>
      </c>
      <c r="B151" s="8" t="n">
        <v>9</v>
      </c>
      <c r="C151" s="15" t="n">
        <v>84.12</v>
      </c>
      <c r="D151" s="15" t="n">
        <v>5.72</v>
      </c>
      <c r="E151" s="15" t="n">
        <v>5.72</v>
      </c>
      <c r="F151" s="15" t="n">
        <v>6.42</v>
      </c>
      <c r="G151" s="8" t="inlineStr">
        <is>
          <t>east_table</t>
        </is>
      </c>
      <c r="H151" s="8" t="inlineStr">
        <is>
          <t>原文</t>
        </is>
      </c>
      <c r="I151" s="20">
        <f>IF(COUNT(E148:E151)=4,ROUND(SUM(E148:E151),2),"")</f>
        <v/>
      </c>
      <c r="J151" s="20">
        <f>IF(COUNT(E140:E151)=12,ROUND(SUM(E140:E151),2),"")</f>
        <v/>
      </c>
      <c r="K151" s="20">
        <f>IF(COUNT(E126:E151)=26,ROUND(SUM(E126:E151),2),"")</f>
        <v/>
      </c>
    </row>
    <row r="152">
      <c r="A152" s="8" t="inlineStr">
        <is>
          <t>2025-03-05</t>
        </is>
      </c>
      <c r="B152" s="8" t="n">
        <v>10</v>
      </c>
      <c r="C152" s="15" t="n">
        <v>76.54000000000001</v>
      </c>
      <c r="D152" s="15" t="n">
        <v>-7.58</v>
      </c>
      <c r="E152" s="15" t="n">
        <v>-7.58</v>
      </c>
      <c r="F152" s="15" t="n">
        <v>-7.58</v>
      </c>
      <c r="G152" s="8" t="inlineStr">
        <is>
          <t>east_table</t>
        </is>
      </c>
      <c r="H152" s="8" t="inlineStr">
        <is>
          <t>原文</t>
        </is>
      </c>
      <c r="I152" s="20">
        <f>IF(COUNT(E149:E152)=4,ROUND(SUM(E149:E152),2),"")</f>
        <v/>
      </c>
      <c r="J152" s="20">
        <f>IF(COUNT(E141:E152)=12,ROUND(SUM(E141:E152),2),"")</f>
        <v/>
      </c>
      <c r="K152" s="20">
        <f>IF(COUNT(E127:E152)=26,ROUND(SUM(E127:E152),2),"")</f>
        <v/>
      </c>
    </row>
    <row r="153">
      <c r="A153" s="8" t="inlineStr">
        <is>
          <t>2025-03-12</t>
        </is>
      </c>
      <c r="B153" s="8" t="n">
        <v>11</v>
      </c>
      <c r="C153" s="15" t="n">
        <v>67.5</v>
      </c>
      <c r="D153" s="15" t="n">
        <v>-9.039999999999999</v>
      </c>
      <c r="E153" s="15" t="n">
        <v>-9.039999999999999</v>
      </c>
      <c r="F153" s="15" t="n">
        <v>-9.039999999999999</v>
      </c>
      <c r="G153" s="8" t="inlineStr">
        <is>
          <t>east_table</t>
        </is>
      </c>
      <c r="H153" s="8" t="inlineStr">
        <is>
          <t>原文</t>
        </is>
      </c>
      <c r="I153" s="20">
        <f>IF(COUNT(E150:E153)=4,ROUND(SUM(E150:E153),2),"")</f>
        <v/>
      </c>
      <c r="J153" s="20">
        <f>IF(COUNT(E142:E153)=12,ROUND(SUM(E142:E153),2),"")</f>
        <v/>
      </c>
      <c r="K153" s="20">
        <f>IF(COUNT(E128:E153)=26,ROUND(SUM(E128:E153),2),"")</f>
        <v/>
      </c>
    </row>
    <row r="154">
      <c r="A154" s="8" t="inlineStr">
        <is>
          <t>2025-03-19</t>
        </is>
      </c>
      <c r="B154" s="8" t="n">
        <v>12</v>
      </c>
      <c r="C154" s="15" t="n">
        <v>58.8</v>
      </c>
      <c r="D154" s="15" t="n">
        <v>-8.699999999999999</v>
      </c>
      <c r="E154" s="15" t="n">
        <v>-8.699999999999999</v>
      </c>
      <c r="F154" s="15" t="n">
        <v>-8.699999999999999</v>
      </c>
      <c r="G154" s="8" t="inlineStr">
        <is>
          <t>east_table</t>
        </is>
      </c>
      <c r="H154" s="8" t="inlineStr">
        <is>
          <t>原文</t>
        </is>
      </c>
      <c r="I154" s="20">
        <f>IF(COUNT(E151:E154)=4,ROUND(SUM(E151:E154),2),"")</f>
        <v/>
      </c>
      <c r="J154" s="20">
        <f>IF(COUNT(E143:E154)=12,ROUND(SUM(E143:E154),2),"")</f>
        <v/>
      </c>
      <c r="K154" s="20">
        <f>IF(COUNT(E129:E154)=26,ROUND(SUM(E129:E154),2),"")</f>
        <v/>
      </c>
    </row>
    <row r="155">
      <c r="A155" s="8" t="inlineStr">
        <is>
          <t>2025-03-26</t>
        </is>
      </c>
      <c r="B155" s="8" t="n">
        <v>13</v>
      </c>
      <c r="C155" s="15" t="n">
        <v>56.65</v>
      </c>
      <c r="D155" s="15" t="n">
        <v>-2.15</v>
      </c>
      <c r="E155" s="15" t="n">
        <v>-2.15</v>
      </c>
      <c r="F155" s="15" t="n">
        <v>-2.15</v>
      </c>
      <c r="G155" s="8" t="inlineStr">
        <is>
          <t>east_table</t>
        </is>
      </c>
      <c r="H155" s="8" t="inlineStr">
        <is>
          <t>原文</t>
        </is>
      </c>
      <c r="I155" s="20">
        <f>IF(COUNT(E152:E155)=4,ROUND(SUM(E152:E155),2),"")</f>
        <v/>
      </c>
      <c r="J155" s="20">
        <f>IF(COUNT(E144:E155)=12,ROUND(SUM(E144:E155),2),"")</f>
        <v/>
      </c>
      <c r="K155" s="20">
        <f>IF(COUNT(E130:E155)=26,ROUND(SUM(E130:E155),2),"")</f>
        <v/>
      </c>
    </row>
    <row r="156">
      <c r="A156" s="8" t="inlineStr">
        <is>
          <t>2025-04-02</t>
        </is>
      </c>
      <c r="B156" s="8" t="n">
        <v>14</v>
      </c>
      <c r="C156" s="15" t="n">
        <v>45.1</v>
      </c>
      <c r="D156" s="15" t="n">
        <v>-11.55</v>
      </c>
      <c r="E156" s="15" t="n">
        <v>-11.55</v>
      </c>
      <c r="F156" s="15" t="n">
        <v>-11.55</v>
      </c>
      <c r="G156" s="8" t="inlineStr">
        <is>
          <t>east_table</t>
        </is>
      </c>
      <c r="H156" s="8" t="inlineStr">
        <is>
          <t>原文</t>
        </is>
      </c>
      <c r="I156" s="20">
        <f>IF(COUNT(E153:E156)=4,ROUND(SUM(E153:E156),2),"")</f>
        <v/>
      </c>
      <c r="J156" s="20">
        <f>IF(COUNT(E145:E156)=12,ROUND(SUM(E145:E156),2),"")</f>
        <v/>
      </c>
      <c r="K156" s="20">
        <f>IF(COUNT(E131:E156)=26,ROUND(SUM(E131:E156),2),"")</f>
        <v/>
      </c>
    </row>
    <row r="157">
      <c r="A157" s="8" t="inlineStr">
        <is>
          <t>2025-04-09</t>
        </is>
      </c>
      <c r="B157" s="8" t="n">
        <v>15</v>
      </c>
      <c r="C157" s="15" t="n">
        <v>40</v>
      </c>
      <c r="D157" s="15" t="n">
        <v>-5.1</v>
      </c>
      <c r="E157" s="15" t="n">
        <v>-5.1</v>
      </c>
      <c r="F157" s="15" t="n">
        <v>-5.1</v>
      </c>
      <c r="G157" s="8" t="inlineStr">
        <is>
          <t>east_table</t>
        </is>
      </c>
      <c r="H157" s="8" t="inlineStr">
        <is>
          <t>原文</t>
        </is>
      </c>
      <c r="I157" s="20">
        <f>IF(COUNT(E154:E157)=4,ROUND(SUM(E154:E157),2),"")</f>
        <v/>
      </c>
      <c r="J157" s="20">
        <f>IF(COUNT(E146:E157)=12,ROUND(SUM(E146:E157),2),"")</f>
        <v/>
      </c>
      <c r="K157" s="20">
        <f>IF(COUNT(E132:E157)=26,ROUND(SUM(E132:E157),2),"")</f>
        <v/>
      </c>
    </row>
    <row r="158">
      <c r="A158" s="8" t="inlineStr">
        <is>
          <t>2025-04-16</t>
        </is>
      </c>
      <c r="B158" s="8" t="n">
        <v>16</v>
      </c>
      <c r="C158" s="15" t="n">
        <v>43.03</v>
      </c>
      <c r="D158" s="15" t="n">
        <v>3.03</v>
      </c>
      <c r="E158" s="15" t="n">
        <v>3.03</v>
      </c>
      <c r="F158" s="15" t="n">
        <v>3.03</v>
      </c>
      <c r="G158" s="8" t="inlineStr">
        <is>
          <t>east_table</t>
        </is>
      </c>
      <c r="H158" s="8" t="inlineStr">
        <is>
          <t>原文</t>
        </is>
      </c>
      <c r="I158" s="20">
        <f>IF(COUNT(E155:E158)=4,ROUND(SUM(E155:E158),2),"")</f>
        <v/>
      </c>
      <c r="J158" s="20">
        <f>IF(COUNT(E147:E158)=12,ROUND(SUM(E147:E158),2),"")</f>
        <v/>
      </c>
      <c r="K158" s="20">
        <f>IF(COUNT(E133:E158)=26,ROUND(SUM(E133:E158),2),"")</f>
        <v/>
      </c>
    </row>
    <row r="159">
      <c r="A159" s="8" t="inlineStr">
        <is>
          <t>2025-04-23</t>
        </is>
      </c>
      <c r="B159" s="8" t="n">
        <v>17</v>
      </c>
      <c r="C159" s="15" t="n">
        <v>33.8</v>
      </c>
      <c r="D159" s="15" t="n">
        <v>-9.23</v>
      </c>
      <c r="E159" s="15" t="n">
        <v>-9.23</v>
      </c>
      <c r="F159" s="15" t="n">
        <v>-9.23</v>
      </c>
      <c r="G159" s="8" t="inlineStr">
        <is>
          <t>east_table</t>
        </is>
      </c>
      <c r="H159" s="8" t="inlineStr">
        <is>
          <t>原文</t>
        </is>
      </c>
      <c r="I159" s="20">
        <f>IF(COUNT(E156:E159)=4,ROUND(SUM(E156:E159),2),"")</f>
        <v/>
      </c>
      <c r="J159" s="20">
        <f>IF(COUNT(E148:E159)=12,ROUND(SUM(E148:E159),2),"")</f>
        <v/>
      </c>
      <c r="K159" s="20">
        <f>IF(COUNT(E134:E159)=26,ROUND(SUM(E134:E159),2),"")</f>
        <v/>
      </c>
    </row>
    <row r="160">
      <c r="A160" s="8" t="inlineStr">
        <is>
          <t>2025-04-30</t>
        </is>
      </c>
      <c r="B160" s="8" t="n">
        <v>18</v>
      </c>
      <c r="C160" s="15" t="n">
        <v>39.24</v>
      </c>
      <c r="D160" s="15" t="n">
        <v>5.44</v>
      </c>
      <c r="E160" s="15" t="n">
        <v>5.44</v>
      </c>
      <c r="F160" s="15" t="n">
        <v>5.44</v>
      </c>
      <c r="G160" s="8" t="inlineStr">
        <is>
          <t>east_table</t>
        </is>
      </c>
      <c r="H160" s="8" t="inlineStr">
        <is>
          <t>原文</t>
        </is>
      </c>
      <c r="I160" s="20">
        <f>IF(COUNT(E157:E160)=4,ROUND(SUM(E157:E160),2),"")</f>
        <v/>
      </c>
      <c r="J160" s="20">
        <f>IF(COUNT(E149:E160)=12,ROUND(SUM(E149:E160),2),"")</f>
        <v/>
      </c>
      <c r="K160" s="20">
        <f>IF(COUNT(E135:E160)=26,ROUND(SUM(E135:E160),2),"")</f>
        <v/>
      </c>
    </row>
    <row r="161">
      <c r="A161" s="8" t="inlineStr">
        <is>
          <t>2025-05-07</t>
        </is>
      </c>
      <c r="B161" s="8" t="n">
        <v>19</v>
      </c>
      <c r="C161" s="15" t="n">
        <v>37.95</v>
      </c>
      <c r="D161" s="15" t="n">
        <v>-1.29</v>
      </c>
      <c r="E161" s="15" t="n">
        <v>-1.29</v>
      </c>
      <c r="F161" s="15" t="n">
        <v>-1.29</v>
      </c>
      <c r="G161" s="8" t="inlineStr">
        <is>
          <t>east_table</t>
        </is>
      </c>
      <c r="H161" s="8" t="inlineStr">
        <is>
          <t>原文</t>
        </is>
      </c>
      <c r="I161" s="20">
        <f>IF(COUNT(E158:E161)=4,ROUND(SUM(E158:E161),2),"")</f>
        <v/>
      </c>
      <c r="J161" s="20">
        <f>IF(COUNT(E150:E161)=12,ROUND(SUM(E150:E161),2),"")</f>
        <v/>
      </c>
      <c r="K161" s="20">
        <f>IF(COUNT(E136:E161)=26,ROUND(SUM(E136:E161),2),"")</f>
        <v/>
      </c>
    </row>
    <row r="162">
      <c r="A162" s="8" t="inlineStr">
        <is>
          <t>2025-05-14</t>
        </is>
      </c>
      <c r="B162" s="8" t="n">
        <v>20</v>
      </c>
      <c r="C162" s="15" t="n">
        <v>32.4</v>
      </c>
      <c r="D162" s="15" t="n">
        <v>-5.55</v>
      </c>
      <c r="E162" s="15" t="n">
        <v>-5.55</v>
      </c>
      <c r="F162" s="15" t="n">
        <v>-5.55</v>
      </c>
      <c r="G162" s="8" t="inlineStr">
        <is>
          <t>east_table</t>
        </is>
      </c>
      <c r="H162" s="8" t="inlineStr">
        <is>
          <t>原文</t>
        </is>
      </c>
      <c r="I162" s="20">
        <f>IF(COUNT(E159:E162)=4,ROUND(SUM(E159:E162),2),"")</f>
        <v/>
      </c>
      <c r="J162" s="20">
        <f>IF(COUNT(E151:E162)=12,ROUND(SUM(E151:E162),2),"")</f>
        <v/>
      </c>
      <c r="K162" s="20">
        <f>IF(COUNT(E137:E162)=26,ROUND(SUM(E137:E162),2),"")</f>
        <v/>
      </c>
    </row>
    <row r="163">
      <c r="A163" s="8" t="inlineStr">
        <is>
          <t>2025-05-21</t>
        </is>
      </c>
      <c r="B163" s="8" t="n">
        <v>21</v>
      </c>
      <c r="C163" s="15" t="n">
        <v>32.7</v>
      </c>
      <c r="D163" s="15" t="n">
        <v>0.3</v>
      </c>
      <c r="E163" s="15" t="n">
        <v>0.3</v>
      </c>
      <c r="F163" s="15" t="n">
        <v>0.3</v>
      </c>
      <c r="G163" s="8" t="inlineStr">
        <is>
          <t>east_table</t>
        </is>
      </c>
      <c r="H163" s="8" t="inlineStr">
        <is>
          <t>原文</t>
        </is>
      </c>
      <c r="I163" s="20">
        <f>IF(COUNT(E160:E163)=4,ROUND(SUM(E160:E163),2),"")</f>
        <v/>
      </c>
      <c r="J163" s="20">
        <f>IF(COUNT(E152:E163)=12,ROUND(SUM(E152:E163),2),"")</f>
        <v/>
      </c>
      <c r="K163" s="20">
        <f>IF(COUNT(E138:E163)=26,ROUND(SUM(E138:E163),2),"")</f>
        <v/>
      </c>
    </row>
    <row r="164">
      <c r="A164" s="8" t="inlineStr">
        <is>
          <t>2025-05-28</t>
        </is>
      </c>
      <c r="B164" s="8" t="n">
        <v>22</v>
      </c>
      <c r="C164" s="15" t="n">
        <v>37.1</v>
      </c>
      <c r="D164" s="15" t="n">
        <v>4.4</v>
      </c>
      <c r="E164" s="15" t="n">
        <v>4.4</v>
      </c>
      <c r="F164" s="15" t="n">
        <v>4.4</v>
      </c>
      <c r="G164" s="8" t="inlineStr">
        <is>
          <t>east_table</t>
        </is>
      </c>
      <c r="H164" s="8" t="inlineStr">
        <is>
          <t>原文</t>
        </is>
      </c>
      <c r="I164" s="20">
        <f>IF(COUNT(E161:E164)=4,ROUND(SUM(E161:E164),2),"")</f>
        <v/>
      </c>
      <c r="J164" s="20">
        <f>IF(COUNT(E153:E164)=12,ROUND(SUM(E153:E164),2),"")</f>
        <v/>
      </c>
      <c r="K164" s="20">
        <f>IF(COUNT(E139:E164)=26,ROUND(SUM(E139:E164),2),"")</f>
        <v/>
      </c>
    </row>
    <row r="165">
      <c r="A165" s="8" t="inlineStr">
        <is>
          <t>2025-06-04</t>
        </is>
      </c>
      <c r="B165" s="8" t="n">
        <v>23</v>
      </c>
      <c r="C165" s="15" t="n">
        <v>42.23</v>
      </c>
      <c r="D165" s="15" t="n">
        <v>5.13</v>
      </c>
      <c r="E165" s="15" t="n">
        <v>5.13</v>
      </c>
      <c r="F165" s="15" t="n">
        <v>5.13</v>
      </c>
      <c r="G165" s="8" t="inlineStr">
        <is>
          <t>east_table</t>
        </is>
      </c>
      <c r="H165" s="8" t="inlineStr">
        <is>
          <t>原文</t>
        </is>
      </c>
      <c r="I165" s="20">
        <f>IF(COUNT(E162:E165)=4,ROUND(SUM(E162:E165),2),"")</f>
        <v/>
      </c>
      <c r="J165" s="20">
        <f>IF(COUNT(E154:E165)=12,ROUND(SUM(E154:E165),2),"")</f>
        <v/>
      </c>
      <c r="K165" s="20">
        <f>IF(COUNT(E140:E165)=26,ROUND(SUM(E140:E165),2),"")</f>
        <v/>
      </c>
    </row>
    <row r="166">
      <c r="A166" s="8" t="inlineStr">
        <is>
          <t>2025-06-11</t>
        </is>
      </c>
      <c r="B166" s="8" t="n">
        <v>24</v>
      </c>
      <c r="C166" s="15" t="n">
        <v>46.8</v>
      </c>
      <c r="D166" s="15" t="n">
        <v>4.57</v>
      </c>
      <c r="E166" s="15" t="n">
        <v>4.57</v>
      </c>
      <c r="F166" s="15" t="n">
        <v>4.57</v>
      </c>
      <c r="G166" s="8" t="inlineStr">
        <is>
          <t>east_table</t>
        </is>
      </c>
      <c r="H166" s="8" t="inlineStr">
        <is>
          <t>原文</t>
        </is>
      </c>
      <c r="I166" s="20">
        <f>IF(COUNT(E163:E166)=4,ROUND(SUM(E163:E166),2),"")</f>
        <v/>
      </c>
      <c r="J166" s="20">
        <f>IF(COUNT(E155:E166)=12,ROUND(SUM(E155:E166),2),"")</f>
        <v/>
      </c>
      <c r="K166" s="20">
        <f>IF(COUNT(E141:E166)=26,ROUND(SUM(E141:E166),2),"")</f>
        <v/>
      </c>
    </row>
    <row r="167">
      <c r="A167" s="8" t="inlineStr">
        <is>
          <t>2025-06-18</t>
        </is>
      </c>
      <c r="B167" s="8" t="n">
        <v>25</v>
      </c>
      <c r="C167" s="15" t="n">
        <v>43.7</v>
      </c>
      <c r="D167" s="15" t="n">
        <v>-3.1</v>
      </c>
      <c r="E167" s="15" t="n">
        <v>-3.1</v>
      </c>
      <c r="F167" s="15" t="n">
        <v>-3.1</v>
      </c>
      <c r="G167" s="8" t="inlineStr">
        <is>
          <t>east_table</t>
        </is>
      </c>
      <c r="H167" s="8" t="inlineStr">
        <is>
          <t>原文</t>
        </is>
      </c>
      <c r="I167" s="20">
        <f>IF(COUNT(E164:E167)=4,ROUND(SUM(E164:E167),2),"")</f>
        <v/>
      </c>
      <c r="J167" s="20">
        <f>IF(COUNT(E156:E167)=12,ROUND(SUM(E156:E167),2),"")</f>
        <v/>
      </c>
      <c r="K167" s="20">
        <f>IF(COUNT(E142:E167)=26,ROUND(SUM(E142:E167),2),"")</f>
        <v/>
      </c>
    </row>
    <row r="168">
      <c r="A168" s="8" t="inlineStr">
        <is>
          <t>2025-06-25</t>
        </is>
      </c>
      <c r="B168" s="8" t="n">
        <v>26</v>
      </c>
      <c r="C168" s="15" t="n">
        <v>49.6</v>
      </c>
      <c r="D168" s="15" t="n">
        <v>5.9</v>
      </c>
      <c r="E168" s="15" t="n">
        <v>5.9</v>
      </c>
      <c r="F168" s="15" t="n">
        <v>5.9</v>
      </c>
      <c r="G168" s="8" t="inlineStr">
        <is>
          <t>east_table</t>
        </is>
      </c>
      <c r="H168" s="8" t="inlineStr">
        <is>
          <t>原文</t>
        </is>
      </c>
      <c r="I168" s="20">
        <f>IF(COUNT(E165:E168)=4,ROUND(SUM(E165:E168),2),"")</f>
        <v/>
      </c>
      <c r="J168" s="20">
        <f>IF(COUNT(E157:E168)=12,ROUND(SUM(E157:E168),2),"")</f>
        <v/>
      </c>
      <c r="K168" s="20">
        <f>IF(COUNT(E143:E168)=26,ROUND(SUM(E143:E168),2),"")</f>
        <v/>
      </c>
    </row>
    <row r="169">
      <c r="A169" s="8" t="inlineStr">
        <is>
          <t>2025-07-02</t>
        </is>
      </c>
      <c r="B169" s="8" t="n">
        <v>27</v>
      </c>
      <c r="C169" s="15" t="n">
        <v>50.95</v>
      </c>
      <c r="D169" s="15" t="n">
        <v>1.35</v>
      </c>
      <c r="E169" s="15" t="n">
        <v>1.35</v>
      </c>
      <c r="F169" s="15" t="n">
        <v>1.35</v>
      </c>
      <c r="G169" s="8" t="inlineStr">
        <is>
          <t>east_table</t>
        </is>
      </c>
      <c r="H169" s="8" t="inlineStr">
        <is>
          <t>原文</t>
        </is>
      </c>
      <c r="I169" s="20">
        <f>IF(COUNT(E166:E169)=4,ROUND(SUM(E166:E169),2),"")</f>
        <v/>
      </c>
      <c r="J169" s="20">
        <f>IF(COUNT(E158:E169)=12,ROUND(SUM(E158:E169),2),"")</f>
        <v/>
      </c>
      <c r="K169" s="20">
        <f>IF(COUNT(E144:E169)=26,ROUND(SUM(E144:E169),2),"")</f>
        <v/>
      </c>
    </row>
    <row r="170">
      <c r="A170" s="8" t="inlineStr">
        <is>
          <t>2025-07-09</t>
        </is>
      </c>
      <c r="B170" s="8" t="n">
        <v>28</v>
      </c>
      <c r="C170" s="15" t="n">
        <v>57.05</v>
      </c>
      <c r="D170" s="15" t="n">
        <v>6.1</v>
      </c>
      <c r="E170" s="15" t="n">
        <v>6.1</v>
      </c>
      <c r="F170" s="15" t="n">
        <v>6.1</v>
      </c>
      <c r="G170" s="8" t="inlineStr">
        <is>
          <t>east_table</t>
        </is>
      </c>
      <c r="H170" s="8" t="inlineStr">
        <is>
          <t>原文</t>
        </is>
      </c>
      <c r="I170" s="20">
        <f>IF(COUNT(E167:E170)=4,ROUND(SUM(E167:E170),2),"")</f>
        <v/>
      </c>
      <c r="J170" s="20">
        <f>IF(COUNT(E159:E170)=12,ROUND(SUM(E159:E170),2),"")</f>
        <v/>
      </c>
      <c r="K170" s="20">
        <f>IF(COUNT(E145:E170)=26,ROUND(SUM(E145:E170),2),"")</f>
        <v/>
      </c>
    </row>
    <row r="171">
      <c r="A171" s="8" t="inlineStr">
        <is>
          <t>2025-07-16</t>
        </is>
      </c>
      <c r="B171" s="8" t="n">
        <v>29</v>
      </c>
      <c r="C171" s="15" t="n">
        <v>63.4</v>
      </c>
      <c r="D171" s="15" t="n">
        <v>6.35</v>
      </c>
      <c r="E171" s="15" t="n">
        <v>6.35</v>
      </c>
      <c r="F171" s="15" t="n">
        <v>6.35</v>
      </c>
      <c r="G171" s="8" t="inlineStr">
        <is>
          <t>east_table</t>
        </is>
      </c>
      <c r="H171" s="8" t="inlineStr">
        <is>
          <t>原文</t>
        </is>
      </c>
      <c r="I171" s="20">
        <f>IF(COUNT(E168:E171)=4,ROUND(SUM(E168:E171),2),"")</f>
        <v/>
      </c>
      <c r="J171" s="20">
        <f>IF(COUNT(E160:E171)=12,ROUND(SUM(E160:E171),2),"")</f>
        <v/>
      </c>
      <c r="K171" s="20">
        <f>IF(COUNT(E146:E171)=26,ROUND(SUM(E146:E171),2),"")</f>
        <v/>
      </c>
    </row>
    <row r="172">
      <c r="A172" s="8" t="inlineStr">
        <is>
          <t>2025-07-23</t>
        </is>
      </c>
      <c r="B172" s="8" t="n">
        <v>30</v>
      </c>
      <c r="C172" s="15" t="n">
        <v>54.7</v>
      </c>
      <c r="D172" s="15" t="n">
        <v>-8.699999999999999</v>
      </c>
      <c r="E172" s="15" t="n">
        <v>-8.699999999999999</v>
      </c>
      <c r="F172" s="15" t="n">
        <v>-8.699999999999999</v>
      </c>
      <c r="G172" s="8" t="inlineStr">
        <is>
          <t>east_table</t>
        </is>
      </c>
      <c r="H172" s="8" t="inlineStr">
        <is>
          <t>原文</t>
        </is>
      </c>
      <c r="I172" s="20">
        <f>IF(COUNT(E169:E172)=4,ROUND(SUM(E169:E172),2),"")</f>
        <v/>
      </c>
      <c r="J172" s="20">
        <f>IF(COUNT(E161:E172)=12,ROUND(SUM(E161:E172),2),"")</f>
        <v/>
      </c>
      <c r="K172" s="20">
        <f>IF(COUNT(E147:E172)=26,ROUND(SUM(E147:E172),2),"")</f>
        <v/>
      </c>
    </row>
    <row r="173">
      <c r="A173" s="8" t="inlineStr">
        <is>
          <t>2025-07-30</t>
        </is>
      </c>
      <c r="B173" s="8" t="n">
        <v>31</v>
      </c>
      <c r="C173" s="15" t="n">
        <v>57.2</v>
      </c>
      <c r="D173" s="15" t="n">
        <v>2.5</v>
      </c>
      <c r="E173" s="15" t="n">
        <v>2.5</v>
      </c>
      <c r="F173" s="15" t="n">
        <v>2.5</v>
      </c>
      <c r="G173" s="8" t="inlineStr">
        <is>
          <t>east_estimated</t>
        </is>
      </c>
      <c r="H173" s="8" t="inlineStr">
        <is>
          <t>原文</t>
        </is>
      </c>
      <c r="I173" s="20">
        <f>IF(COUNT(E170:E173)=4,ROUND(SUM(E170:E173),2),"")</f>
        <v/>
      </c>
      <c r="J173" s="20">
        <f>IF(COUNT(E162:E173)=12,ROUND(SUM(E162:E173),2),"")</f>
        <v/>
      </c>
      <c r="K173" s="20">
        <f>IF(COUNT(E148:E173)=26,ROUND(SUM(E148:E173),2),"")</f>
        <v/>
      </c>
    </row>
    <row r="174">
      <c r="A174" s="8" t="inlineStr">
        <is>
          <t>2025-08-06</t>
        </is>
      </c>
      <c r="B174" s="8" t="n">
        <v>32</v>
      </c>
      <c r="C174" s="15" t="n">
        <v>64.2</v>
      </c>
      <c r="D174" s="15" t="n">
        <v>7</v>
      </c>
      <c r="E174" s="15" t="n">
        <v>7</v>
      </c>
      <c r="F174" s="15" t="n">
        <v>7</v>
      </c>
      <c r="G174" s="8" t="inlineStr">
        <is>
          <t>east_estimated</t>
        </is>
      </c>
      <c r="H174" s="8" t="inlineStr">
        <is>
          <t>原文</t>
        </is>
      </c>
      <c r="I174" s="20">
        <f>IF(COUNT(E171:E174)=4,ROUND(SUM(E171:E174),2),"")</f>
        <v/>
      </c>
      <c r="J174" s="20">
        <f>IF(COUNT(E163:E174)=12,ROUND(SUM(E163:E174),2),"")</f>
        <v/>
      </c>
      <c r="K174" s="20">
        <f>IF(COUNT(E149:E174)=26,ROUND(SUM(E149:E174),2),"")</f>
        <v/>
      </c>
    </row>
    <row r="175">
      <c r="A175" s="8" t="inlineStr">
        <is>
          <t>2025-08-13</t>
        </is>
      </c>
      <c r="B175" s="8" t="n">
        <v>33</v>
      </c>
      <c r="C175" s="15" t="n"/>
      <c r="D175" s="15" t="n">
        <v>4.5</v>
      </c>
      <c r="E175" s="15" t="n">
        <v>4.5</v>
      </c>
      <c r="F175" s="15" t="n"/>
      <c r="G175" s="8" t="n"/>
      <c r="H175" s="8" t="inlineStr">
        <is>
          <t>原文</t>
        </is>
      </c>
      <c r="I175" s="20">
        <f>IF(COUNT(E172:E175)=4,ROUND(SUM(E172:E175),2),"")</f>
        <v/>
      </c>
      <c r="J175" s="20">
        <f>IF(COUNT(E164:E175)=12,ROUND(SUM(E164:E175),2),"")</f>
        <v/>
      </c>
      <c r="K175" s="20">
        <f>IF(COUNT(E150:E175)=26,ROUND(SUM(E150:E175),2),"")</f>
        <v/>
      </c>
    </row>
    <row r="176">
      <c r="A176" s="8" t="inlineStr">
        <is>
          <t>2025-08-20</t>
        </is>
      </c>
      <c r="B176" s="8" t="n">
        <v>34</v>
      </c>
      <c r="C176" s="15" t="n"/>
      <c r="D176" s="15" t="n">
        <v>1.92</v>
      </c>
      <c r="E176" s="15" t="n">
        <v>1.92</v>
      </c>
      <c r="F176" s="15" t="n"/>
      <c r="G176" s="8" t="n"/>
      <c r="H176" s="8" t="inlineStr">
        <is>
          <t>原文</t>
        </is>
      </c>
      <c r="I176" s="20">
        <f>IF(COUNT(E173:E176)=4,ROUND(SUM(E173:E176),2),"")</f>
        <v/>
      </c>
      <c r="J176" s="20">
        <f>IF(COUNT(E165:E176)=12,ROUND(SUM(E165:E176),2),"")</f>
        <v/>
      </c>
      <c r="K176" s="20">
        <f>IF(COUNT(E151:E176)=26,ROUND(SUM(E151:E176),2),"")</f>
        <v/>
      </c>
    </row>
    <row r="177">
      <c r="A177" s="8" t="inlineStr">
        <is>
          <t>2025-08-27</t>
        </is>
      </c>
      <c r="B177" s="8" t="n">
        <v>35</v>
      </c>
      <c r="C177" s="15" t="n"/>
      <c r="D177" s="15" t="n">
        <v>18.28</v>
      </c>
      <c r="E177" s="15" t="n">
        <v>18.28</v>
      </c>
      <c r="F177" s="15" t="n"/>
      <c r="G177" s="8" t="n"/>
      <c r="H177" s="8" t="inlineStr">
        <is>
          <t>原文</t>
        </is>
      </c>
      <c r="I177" s="20">
        <f>IF(COUNT(E174:E177)=4,ROUND(SUM(E174:E177),2),"")</f>
        <v/>
      </c>
      <c r="J177" s="20">
        <f>IF(COUNT(E166:E177)=12,ROUND(SUM(E166:E177),2),"")</f>
        <v/>
      </c>
      <c r="K177" s="20">
        <f>IF(COUNT(E152:E177)=26,ROUND(SUM(E152:E177),2),"")</f>
        <v/>
      </c>
    </row>
    <row r="178">
      <c r="A178" s="8" t="inlineStr">
        <is>
          <t>2025-09-03</t>
        </is>
      </c>
      <c r="B178" s="8" t="n">
        <v>36</v>
      </c>
      <c r="C178" s="15" t="n"/>
      <c r="D178" s="15" t="n">
        <v>11.33</v>
      </c>
      <c r="E178" s="15" t="n">
        <v>11.33</v>
      </c>
      <c r="F178" s="15" t="n"/>
      <c r="G178" s="8" t="n"/>
      <c r="H178" s="8" t="inlineStr">
        <is>
          <t>原文</t>
        </is>
      </c>
      <c r="I178" s="20">
        <f>IF(COUNT(E175:E178)=4,ROUND(SUM(E175:E178),2),"")</f>
        <v/>
      </c>
      <c r="J178" s="20">
        <f>IF(COUNT(E167:E178)=12,ROUND(SUM(E167:E178),2),"")</f>
        <v/>
      </c>
      <c r="K178" s="20">
        <f>IF(COUNT(E153:E178)=26,ROUND(SUM(E153:E178),2),"")</f>
        <v/>
      </c>
    </row>
    <row r="179">
      <c r="A179" s="8" t="inlineStr">
        <is>
          <t>2025-09-10</t>
        </is>
      </c>
      <c r="B179" s="8" t="n">
        <v>37</v>
      </c>
      <c r="C179" s="15" t="n"/>
      <c r="D179" s="15" t="n">
        <v>8.720000000000001</v>
      </c>
      <c r="E179" s="15" t="n">
        <v>8.720000000000001</v>
      </c>
      <c r="F179" s="15" t="n"/>
      <c r="G179" s="8" t="n"/>
      <c r="H179" s="8" t="inlineStr">
        <is>
          <t>原文</t>
        </is>
      </c>
      <c r="I179" s="20">
        <f>IF(COUNT(E176:E179)=4,ROUND(SUM(E176:E179),2),"")</f>
        <v/>
      </c>
      <c r="J179" s="20">
        <f>IF(COUNT(E168:E179)=12,ROUND(SUM(E168:E179),2),"")</f>
        <v/>
      </c>
      <c r="K179" s="20">
        <f>IF(COUNT(E154:E179)=26,ROUND(SUM(E154:E179),2),"")</f>
        <v/>
      </c>
    </row>
    <row r="180">
      <c r="A180" s="8" t="inlineStr">
        <is>
          <t>2025-09-17</t>
        </is>
      </c>
      <c r="B180" s="8" t="n">
        <v>38</v>
      </c>
      <c r="C180" s="15" t="n">
        <v>107.39</v>
      </c>
      <c r="D180" s="15" t="n">
        <v>-1.56</v>
      </c>
      <c r="E180" s="15" t="n">
        <v>-1.56</v>
      </c>
      <c r="F180" s="15" t="n"/>
      <c r="G180" s="8" t="inlineStr">
        <is>
          <t>east_table</t>
        </is>
      </c>
      <c r="H180" s="8" t="inlineStr">
        <is>
          <t>原文</t>
        </is>
      </c>
      <c r="I180" s="20">
        <f>IF(COUNT(E177:E180)=4,ROUND(SUM(E177:E180),2),"")</f>
        <v/>
      </c>
      <c r="J180" s="20">
        <f>IF(COUNT(E169:E180)=12,ROUND(SUM(E169:E180),2),"")</f>
        <v/>
      </c>
      <c r="K180" s="20">
        <f>IF(COUNT(E155:E180)=26,ROUND(SUM(E155:E180),2),"")</f>
        <v/>
      </c>
    </row>
    <row r="181">
      <c r="A181" s="8" t="inlineStr">
        <is>
          <t>2025-09-24</t>
        </is>
      </c>
      <c r="B181" s="8" t="n">
        <v>39</v>
      </c>
      <c r="C181" s="15" t="n">
        <v>103.27</v>
      </c>
      <c r="D181" s="15" t="n">
        <v>-4.12</v>
      </c>
      <c r="E181" s="15" t="n">
        <v>-4.12</v>
      </c>
      <c r="F181" s="15" t="n">
        <v>-4.12</v>
      </c>
      <c r="G181" s="8" t="inlineStr">
        <is>
          <t>east_table</t>
        </is>
      </c>
      <c r="H181" s="8" t="inlineStr">
        <is>
          <t>原文</t>
        </is>
      </c>
      <c r="I181" s="20">
        <f>IF(COUNT(E178:E181)=4,ROUND(SUM(E178:E181),2),"")</f>
        <v/>
      </c>
      <c r="J181" s="20">
        <f>IF(COUNT(E170:E181)=12,ROUND(SUM(E170:E181),2),"")</f>
        <v/>
      </c>
      <c r="K181" s="20">
        <f>IF(COUNT(E156:E181)=26,ROUND(SUM(E156:E181),2),"")</f>
        <v/>
      </c>
    </row>
    <row r="182">
      <c r="A182" s="8" t="inlineStr">
        <is>
          <t>2025-10-09</t>
        </is>
      </c>
      <c r="B182" s="8" t="n">
        <v>41</v>
      </c>
      <c r="C182" s="15" t="n">
        <v>108.05</v>
      </c>
      <c r="D182" s="15" t="n">
        <v>4.78</v>
      </c>
      <c r="E182" s="15" t="n">
        <v>4.78</v>
      </c>
      <c r="F182" s="15" t="n">
        <v>4.78</v>
      </c>
      <c r="G182" s="8" t="inlineStr">
        <is>
          <t>east_estimated</t>
        </is>
      </c>
      <c r="H182" s="8" t="inlineStr">
        <is>
          <t>原文</t>
        </is>
      </c>
      <c r="I182" s="20">
        <f>IF(COUNT(E179:E182)=4,ROUND(SUM(E179:E182),2),"")</f>
        <v/>
      </c>
      <c r="J182" s="20">
        <f>IF(COUNT(E171:E182)=12,ROUND(SUM(E171:E182),2),"")</f>
        <v/>
      </c>
      <c r="K182" s="20">
        <f>IF(COUNT(E157:E182)=26,ROUND(SUM(E157:E182),2),"")</f>
        <v/>
      </c>
    </row>
    <row r="183">
      <c r="A183" s="8" t="inlineStr">
        <is>
          <t>2025-10-15</t>
        </is>
      </c>
      <c r="B183" s="8" t="n">
        <v>42</v>
      </c>
      <c r="C183" s="15" t="n">
        <v>99.7</v>
      </c>
      <c r="D183" s="15" t="n">
        <v>-8.35</v>
      </c>
      <c r="E183" s="15" t="n">
        <v>-8.35</v>
      </c>
      <c r="F183" s="15" t="n">
        <v>-8.35</v>
      </c>
      <c r="G183" s="8" t="inlineStr">
        <is>
          <t>east_table</t>
        </is>
      </c>
      <c r="H183" s="8" t="inlineStr">
        <is>
          <t>原文</t>
        </is>
      </c>
      <c r="I183" s="20">
        <f>IF(COUNT(E180:E183)=4,ROUND(SUM(E180:E183),2),"")</f>
        <v/>
      </c>
      <c r="J183" s="20">
        <f>IF(COUNT(E172:E183)=12,ROUND(SUM(E172:E183),2),"")</f>
        <v/>
      </c>
      <c r="K183" s="20">
        <f>IF(COUNT(E158:E183)=26,ROUND(SUM(E158:E183),2),"")</f>
        <v/>
      </c>
    </row>
    <row r="184">
      <c r="A184" s="8" t="inlineStr">
        <is>
          <t>2025-10-22</t>
        </is>
      </c>
      <c r="B184" s="8" t="n">
        <v>43</v>
      </c>
      <c r="C184" s="15" t="n">
        <v>102.7</v>
      </c>
      <c r="D184" s="15" t="n">
        <v>3</v>
      </c>
      <c r="E184" s="15" t="n">
        <v>3</v>
      </c>
      <c r="F184" s="15" t="n">
        <v>3</v>
      </c>
      <c r="G184" s="8" t="inlineStr">
        <is>
          <t>east_estimated</t>
        </is>
      </c>
      <c r="H184" s="8" t="inlineStr">
        <is>
          <t>原文</t>
        </is>
      </c>
      <c r="I184" s="20">
        <f>IF(COUNT(E181:E184)=4,ROUND(SUM(E181:E184),2),"")</f>
        <v/>
      </c>
      <c r="J184" s="20">
        <f>IF(COUNT(E173:E184)=12,ROUND(SUM(E173:E184),2),"")</f>
        <v/>
      </c>
      <c r="K184" s="20">
        <f>IF(COUNT(E159:E184)=26,ROUND(SUM(E159:E184),2),"")</f>
        <v/>
      </c>
    </row>
    <row r="185">
      <c r="A185" s="8" t="inlineStr">
        <is>
          <t>2025-10-29</t>
        </is>
      </c>
      <c r="B185" s="8" t="n">
        <v>44</v>
      </c>
      <c r="C185" s="15" t="n">
        <v>99.73</v>
      </c>
      <c r="D185" s="15" t="n">
        <v>-2.97</v>
      </c>
      <c r="E185" s="15" t="n">
        <v>-2.97</v>
      </c>
      <c r="F185" s="15" t="n">
        <v>-2.97</v>
      </c>
      <c r="G185" s="8" t="inlineStr">
        <is>
          <t>east_table</t>
        </is>
      </c>
      <c r="H185" s="8" t="inlineStr">
        <is>
          <t>原文</t>
        </is>
      </c>
      <c r="I185" s="20">
        <f>IF(COUNT(E182:E185)=4,ROUND(SUM(E182:E185),2),"")</f>
        <v/>
      </c>
      <c r="J185" s="20">
        <f>IF(COUNT(E174:E185)=12,ROUND(SUM(E174:E185),2),"")</f>
        <v/>
      </c>
      <c r="K185" s="20">
        <f>IF(COUNT(E160:E185)=26,ROUND(SUM(E160:E185),2),"")</f>
        <v/>
      </c>
    </row>
    <row r="186">
      <c r="A186" s="8" t="inlineStr">
        <is>
          <t>2025-11-05</t>
        </is>
      </c>
      <c r="B186" s="8" t="n">
        <v>45</v>
      </c>
      <c r="C186" s="15" t="n">
        <v>102.15</v>
      </c>
      <c r="D186" s="15" t="n">
        <v>2.42</v>
      </c>
      <c r="E186" s="15" t="n">
        <v>2.42</v>
      </c>
      <c r="F186" s="15" t="n">
        <v>2.42</v>
      </c>
      <c r="G186" s="8" t="inlineStr">
        <is>
          <t>east_estimated</t>
        </is>
      </c>
      <c r="H186" s="8" t="inlineStr">
        <is>
          <t>原文</t>
        </is>
      </c>
      <c r="I186" s="20">
        <f>IF(COUNT(E183:E186)=4,ROUND(SUM(E183:E186),2),"")</f>
        <v/>
      </c>
      <c r="J186" s="20">
        <f>IF(COUNT(E175:E186)=12,ROUND(SUM(E175:E186),2),"")</f>
        <v/>
      </c>
      <c r="K186" s="20">
        <f>IF(COUNT(E161:E186)=26,ROUND(SUM(E161:E186),2),"")</f>
        <v/>
      </c>
    </row>
    <row r="187">
      <c r="A187" s="8" t="inlineStr">
        <is>
          <t>2025-11-12</t>
        </is>
      </c>
      <c r="B187" s="8" t="n">
        <v>46</v>
      </c>
      <c r="C187" s="15" t="n">
        <v>108.64</v>
      </c>
      <c r="D187" s="15" t="n">
        <v>6.49</v>
      </c>
      <c r="E187" s="15" t="n">
        <v>6.49</v>
      </c>
      <c r="F187" s="15" t="n">
        <v>6.49</v>
      </c>
      <c r="G187" s="8" t="inlineStr">
        <is>
          <t>east_estimated</t>
        </is>
      </c>
      <c r="H187" s="8" t="inlineStr">
        <is>
          <t>原文</t>
        </is>
      </c>
      <c r="I187" s="20">
        <f>IF(COUNT(E184:E187)=4,ROUND(SUM(E184:E187),2),"")</f>
        <v/>
      </c>
      <c r="J187" s="20">
        <f>IF(COUNT(E176:E187)=12,ROUND(SUM(E176:E187),2),"")</f>
        <v/>
      </c>
      <c r="K187" s="20">
        <f>IF(COUNT(E162:E187)=26,ROUND(SUM(E162:E187),2),"")</f>
        <v/>
      </c>
    </row>
    <row r="188">
      <c r="A188" s="8" t="inlineStr">
        <is>
          <t>2025-11-19</t>
        </is>
      </c>
      <c r="B188" s="8" t="n">
        <v>47</v>
      </c>
      <c r="C188" s="15" t="n">
        <v>101.78</v>
      </c>
      <c r="D188" s="15" t="n">
        <v>-3.86</v>
      </c>
      <c r="E188" s="15" t="n">
        <v>-3.86</v>
      </c>
      <c r="F188" s="15" t="n">
        <v>-6.86</v>
      </c>
      <c r="G188" s="8" t="inlineStr">
        <is>
          <t>east_table</t>
        </is>
      </c>
      <c r="H188" s="8" t="inlineStr">
        <is>
          <t>原文</t>
        </is>
      </c>
      <c r="I188" s="20">
        <f>IF(COUNT(E185:E188)=4,ROUND(SUM(E185:E188),2),"")</f>
        <v/>
      </c>
      <c r="J188" s="20">
        <f>IF(COUNT(E177:E188)=12,ROUND(SUM(E177:E188),2),"")</f>
        <v/>
      </c>
      <c r="K188" s="20">
        <f>IF(COUNT(E163:E188)=26,ROUND(SUM(E163:E188),2),"")</f>
        <v/>
      </c>
    </row>
    <row r="189">
      <c r="A189" s="8" t="inlineStr">
        <is>
          <t>2025-11-26</t>
        </is>
      </c>
      <c r="B189" s="8" t="n">
        <v>48</v>
      </c>
      <c r="C189" s="15" t="n">
        <v>93.75</v>
      </c>
      <c r="D189" s="15" t="n">
        <v>-8.029999999999999</v>
      </c>
      <c r="E189" s="15" t="n">
        <v>-8.029999999999999</v>
      </c>
      <c r="F189" s="15" t="n">
        <v>-8.029999999999999</v>
      </c>
      <c r="G189" s="8" t="inlineStr">
        <is>
          <t>east_table</t>
        </is>
      </c>
      <c r="H189" s="8" t="inlineStr">
        <is>
          <t>原文</t>
        </is>
      </c>
      <c r="I189" s="20">
        <f>IF(COUNT(E186:E189)=4,ROUND(SUM(E186:E189),2),"")</f>
        <v/>
      </c>
      <c r="J189" s="20">
        <f>IF(COUNT(E178:E189)=12,ROUND(SUM(E178:E189),2),"")</f>
        <v/>
      </c>
      <c r="K189" s="20">
        <f>IF(COUNT(E164:E189)=26,ROUND(SUM(E164:E189),2),"")</f>
        <v/>
      </c>
    </row>
    <row r="190">
      <c r="A190" s="8" t="inlineStr">
        <is>
          <t>2025-12-03</t>
        </is>
      </c>
      <c r="B190" s="8" t="n">
        <v>49</v>
      </c>
      <c r="C190" s="15" t="n">
        <v>93.88</v>
      </c>
      <c r="D190" s="15" t="n">
        <v>0.13</v>
      </c>
      <c r="E190" s="15" t="n">
        <v>0.13</v>
      </c>
      <c r="F190" s="15" t="n">
        <v>0.13</v>
      </c>
      <c r="G190" s="8" t="inlineStr">
        <is>
          <t>east_estimated</t>
        </is>
      </c>
      <c r="H190" s="8" t="inlineStr">
        <is>
          <t>原文</t>
        </is>
      </c>
      <c r="I190" s="20">
        <f>IF(COUNT(E187:E190)=4,ROUND(SUM(E187:E190),2),"")</f>
        <v/>
      </c>
      <c r="J190" s="20">
        <f>IF(COUNT(E179:E190)=12,ROUND(SUM(E179:E190),2),"")</f>
        <v/>
      </c>
      <c r="K190" s="20">
        <f>IF(COUNT(E165:E190)=26,ROUND(SUM(E165:E190),2),"")</f>
        <v/>
      </c>
    </row>
    <row r="191">
      <c r="A191" s="8" t="inlineStr">
        <is>
          <t>2025-12-10</t>
        </is>
      </c>
      <c r="B191" s="8" t="n">
        <v>50</v>
      </c>
      <c r="C191" s="15" t="n">
        <v>83.06</v>
      </c>
      <c r="D191" s="15" t="n">
        <v>-10.82</v>
      </c>
      <c r="E191" s="15" t="n">
        <v>-10.82</v>
      </c>
      <c r="F191" s="15" t="n">
        <v>-10.82</v>
      </c>
      <c r="G191" s="8" t="inlineStr">
        <is>
          <t>east_table</t>
        </is>
      </c>
      <c r="H191" s="8" t="inlineStr">
        <is>
          <t>原文</t>
        </is>
      </c>
      <c r="I191" s="20">
        <f>IF(COUNT(E188:E191)=4,ROUND(SUM(E188:E191),2),"")</f>
        <v/>
      </c>
      <c r="J191" s="20">
        <f>IF(COUNT(E180:E191)=12,ROUND(SUM(E180:E191),2),"")</f>
        <v/>
      </c>
      <c r="K191" s="20">
        <f>IF(COUNT(E166:E191)=26,ROUND(SUM(E166:E191),2),"")</f>
        <v/>
      </c>
    </row>
    <row r="192">
      <c r="A192" s="8" t="inlineStr">
        <is>
          <t>2025-12-17</t>
        </is>
      </c>
      <c r="B192" s="8" t="n">
        <v>51</v>
      </c>
      <c r="C192" s="15" t="n">
        <v>79.95999999999999</v>
      </c>
      <c r="D192" s="15" t="n">
        <v>-3.1</v>
      </c>
      <c r="E192" s="15" t="n">
        <v>-3.1</v>
      </c>
      <c r="F192" s="15" t="n">
        <v>-3.1</v>
      </c>
      <c r="G192" s="8" t="inlineStr">
        <is>
          <t>east_table</t>
        </is>
      </c>
      <c r="H192" s="8" t="inlineStr">
        <is>
          <t>原文</t>
        </is>
      </c>
      <c r="I192" s="20">
        <f>IF(COUNT(E189:E192)=4,ROUND(SUM(E189:E192),2),"")</f>
        <v/>
      </c>
      <c r="J192" s="20">
        <f>IF(COUNT(E181:E192)=12,ROUND(SUM(E181:E192),2),"")</f>
        <v/>
      </c>
      <c r="K192" s="20">
        <f>IF(COUNT(E167:E192)=26,ROUND(SUM(E167:E192),2),"")</f>
        <v/>
      </c>
    </row>
    <row r="193">
      <c r="A193" s="8" t="inlineStr">
        <is>
          <t>2025-12-24</t>
        </is>
      </c>
      <c r="B193" s="8" t="n">
        <v>52</v>
      </c>
      <c r="C193" s="15" t="n">
        <v>100.73</v>
      </c>
      <c r="D193" s="15" t="n">
        <v>20.77</v>
      </c>
      <c r="E193" s="15" t="n">
        <v>20.77</v>
      </c>
      <c r="F193" s="15" t="n">
        <v>20.77</v>
      </c>
      <c r="G193" s="8" t="inlineStr">
        <is>
          <t>east_estimated</t>
        </is>
      </c>
      <c r="H193" s="8" t="inlineStr">
        <is>
          <t>原文</t>
        </is>
      </c>
      <c r="I193" s="20">
        <f>IF(COUNT(E190:E193)=4,ROUND(SUM(E190:E193),2),"")</f>
        <v/>
      </c>
      <c r="J193" s="20">
        <f>IF(COUNT(E182:E193)=12,ROUND(SUM(E182:E193),2),"")</f>
        <v/>
      </c>
      <c r="K193" s="20">
        <f>IF(COUNT(E168:E193)=26,ROUND(SUM(E168:E193),2),"")</f>
        <v/>
      </c>
    </row>
    <row r="194">
      <c r="A194" s="8" t="inlineStr">
        <is>
          <t>2025-12-31</t>
        </is>
      </c>
      <c r="B194" s="8" t="n">
        <v>1</v>
      </c>
      <c r="C194" s="15" t="n">
        <v>104.71</v>
      </c>
      <c r="D194" s="15" t="n">
        <v>3.98</v>
      </c>
      <c r="E194" s="15" t="n">
        <v>3.98</v>
      </c>
      <c r="F194" s="15" t="n">
        <v>3.98</v>
      </c>
      <c r="G194" s="8" t="inlineStr">
        <is>
          <t>east_estimated</t>
        </is>
      </c>
      <c r="H194" s="8" t="inlineStr">
        <is>
          <t>原文</t>
        </is>
      </c>
      <c r="I194" s="20">
        <f>IF(COUNT(E191:E194)=4,ROUND(SUM(E191:E194),2),"")</f>
        <v/>
      </c>
      <c r="J194" s="20">
        <f>IF(COUNT(E183:E194)=12,ROUND(SUM(E183:E194),2),"")</f>
        <v/>
      </c>
      <c r="K194" s="20">
        <f>IF(COUNT(E169:E194)=26,ROUND(SUM(E169:E194),2),"")</f>
        <v/>
      </c>
    </row>
    <row r="195">
      <c r="A195" s="8" t="inlineStr">
        <is>
          <t>2026-01-07</t>
        </is>
      </c>
      <c r="B195" s="8" t="n">
        <v>2</v>
      </c>
      <c r="C195" s="15" t="n"/>
      <c r="D195" s="15" t="n">
        <v>5.72</v>
      </c>
      <c r="E195" s="15" t="n">
        <v>5.72</v>
      </c>
      <c r="F195" s="15" t="n"/>
      <c r="G195" s="8" t="n"/>
      <c r="H195" s="8" t="inlineStr">
        <is>
          <t>原文</t>
        </is>
      </c>
      <c r="I195" s="20">
        <f>IF(COUNT(E192:E195)=4,ROUND(SUM(E192:E195),2),"")</f>
        <v/>
      </c>
      <c r="J195" s="20">
        <f>IF(COUNT(E184:E195)=12,ROUND(SUM(E184:E195),2),"")</f>
        <v/>
      </c>
      <c r="K195" s="20">
        <f>IF(COUNT(E170:E195)=26,ROUND(SUM(E170:E195),2),"")</f>
        <v/>
      </c>
    </row>
    <row r="196">
      <c r="A196" s="8" t="inlineStr">
        <is>
          <t>2026-01-14</t>
        </is>
      </c>
      <c r="B196" s="8" t="n">
        <v>3</v>
      </c>
      <c r="C196" s="15" t="n">
        <v>103.89</v>
      </c>
      <c r="D196" s="15" t="n">
        <v>-8.44</v>
      </c>
      <c r="E196" s="15" t="n">
        <v>-8.44</v>
      </c>
      <c r="F196" s="15" t="n"/>
      <c r="G196" s="8" t="inlineStr">
        <is>
          <t>east_table</t>
        </is>
      </c>
      <c r="H196" s="8" t="inlineStr">
        <is>
          <t>原文</t>
        </is>
      </c>
      <c r="I196" s="20">
        <f>IF(COUNT(E193:E196)=4,ROUND(SUM(E193:E196),2),"")</f>
        <v/>
      </c>
      <c r="J196" s="20">
        <f>IF(COUNT(E185:E196)=12,ROUND(SUM(E185:E196),2),"")</f>
        <v/>
      </c>
      <c r="K196" s="20">
        <f>IF(COUNT(E171:E196)=26,ROUND(SUM(E171:E196),2),"")</f>
        <v/>
      </c>
    </row>
    <row r="197">
      <c r="A197" s="8" t="inlineStr">
        <is>
          <t>2026-01-21</t>
        </is>
      </c>
      <c r="B197" s="8" t="n">
        <v>4</v>
      </c>
      <c r="C197" s="15" t="n">
        <v>102.53</v>
      </c>
      <c r="D197" s="15" t="n">
        <v>-1.36</v>
      </c>
      <c r="E197" s="15" t="n">
        <v>-1.36</v>
      </c>
      <c r="F197" s="15" t="n">
        <v>-1.36</v>
      </c>
      <c r="G197" s="8" t="inlineStr">
        <is>
          <t>east_table</t>
        </is>
      </c>
      <c r="H197" s="8" t="inlineStr">
        <is>
          <t>原文</t>
        </is>
      </c>
      <c r="I197" s="20">
        <f>IF(COUNT(E194:E197)=4,ROUND(SUM(E194:E197),2),"")</f>
        <v/>
      </c>
      <c r="J197" s="20">
        <f>IF(COUNT(E186:E197)=12,ROUND(SUM(E186:E197),2),"")</f>
        <v/>
      </c>
      <c r="K197" s="20">
        <f>IF(COUNT(E172:E197)=26,ROUND(SUM(E172:E197),2),"")</f>
        <v/>
      </c>
    </row>
    <row r="198">
      <c r="A198" s="8" t="inlineStr">
        <is>
          <t>2026-01-28</t>
        </is>
      </c>
      <c r="B198" s="8" t="n">
        <v>5</v>
      </c>
      <c r="C198" s="15" t="n">
        <v>107.29</v>
      </c>
      <c r="D198" s="15" t="n">
        <v>4.76</v>
      </c>
      <c r="E198" s="15" t="n">
        <v>4.76</v>
      </c>
      <c r="F198" s="15" t="n">
        <v>4.76</v>
      </c>
      <c r="G198" s="8" t="inlineStr">
        <is>
          <t>east_estimated</t>
        </is>
      </c>
      <c r="H198" s="8" t="inlineStr">
        <is>
          <t>原文</t>
        </is>
      </c>
      <c r="I198" s="20">
        <f>IF(COUNT(E195:E198)=4,ROUND(SUM(E195:E198),2),"")</f>
        <v/>
      </c>
      <c r="J198" s="20">
        <f>IF(COUNT(E187:E198)=12,ROUND(SUM(E187:E198),2),"")</f>
        <v/>
      </c>
      <c r="K198" s="20">
        <f>IF(COUNT(E173:E198)=26,ROUND(SUM(E173:E198),2),"")</f>
        <v/>
      </c>
    </row>
    <row r="199">
      <c r="A199" s="8" t="inlineStr">
        <is>
          <t>2026-02-04</t>
        </is>
      </c>
      <c r="B199" s="8" t="n">
        <v>6</v>
      </c>
      <c r="C199" s="15" t="n">
        <v>100.81</v>
      </c>
      <c r="D199" s="15" t="n">
        <v>-6.48</v>
      </c>
      <c r="E199" s="15" t="n">
        <v>-6.48</v>
      </c>
      <c r="F199" s="15" t="n">
        <v>-6.48</v>
      </c>
      <c r="G199" s="8" t="inlineStr">
        <is>
          <t>east_table</t>
        </is>
      </c>
      <c r="H199" s="8" t="inlineStr">
        <is>
          <t>原文</t>
        </is>
      </c>
      <c r="I199" s="20">
        <f>IF(COUNT(E196:E199)=4,ROUND(SUM(E196:E199),2),"")</f>
        <v/>
      </c>
      <c r="J199" s="20">
        <f>IF(COUNT(E188:E199)=12,ROUND(SUM(E188:E199),2),"")</f>
        <v/>
      </c>
      <c r="K199" s="20">
        <f>IF(COUNT(E174:E199)=26,ROUND(SUM(E174:E199),2),"")</f>
        <v/>
      </c>
    </row>
    <row r="200">
      <c r="A200" s="8" t="inlineStr">
        <is>
          <t>2026-02-11</t>
        </is>
      </c>
      <c r="B200" s="8" t="n">
        <v>7</v>
      </c>
      <c r="C200" s="15" t="n">
        <v>104.47</v>
      </c>
      <c r="D200" s="15" t="n">
        <v>3.66</v>
      </c>
      <c r="E200" s="15" t="n">
        <v>3.66</v>
      </c>
      <c r="F200" s="15" t="n">
        <v>3.66</v>
      </c>
      <c r="G200" s="8" t="inlineStr">
        <is>
          <t>east_estimated</t>
        </is>
      </c>
      <c r="H200" s="8" t="inlineStr">
        <is>
          <t>原文</t>
        </is>
      </c>
      <c r="I200" s="20">
        <f>IF(COUNT(E197:E200)=4,ROUND(SUM(E197:E200),2),"")</f>
        <v/>
      </c>
      <c r="J200" s="20">
        <f>IF(COUNT(E189:E200)=12,ROUND(SUM(E189:E200),2),"")</f>
        <v/>
      </c>
      <c r="K200" s="20">
        <f>IF(COUNT(E175:E200)=26,ROUND(SUM(E175:E200),2),"")</f>
        <v/>
      </c>
    </row>
    <row r="201">
      <c r="A201" s="8" t="inlineStr">
        <is>
          <t>2026-02-25</t>
        </is>
      </c>
      <c r="B201" s="8" t="n">
        <v>9</v>
      </c>
      <c r="C201" s="15" t="n">
        <v>104.42</v>
      </c>
      <c r="D201" s="15" t="n"/>
      <c r="E201" s="15" t="n">
        <v>-0.05</v>
      </c>
      <c r="F201" s="15" t="n">
        <v>-0.05</v>
      </c>
      <c r="G201" s="8" t="inlineStr">
        <is>
          <t>east_table</t>
        </is>
      </c>
      <c r="H201" s="8" t="inlineStr">
        <is>
          <t>表格差分</t>
        </is>
      </c>
      <c r="I201" s="20">
        <f>IF(COUNT(E198:E201)=4,ROUND(SUM(E198:E201),2),"")</f>
        <v/>
      </c>
      <c r="J201" s="20">
        <f>IF(COUNT(E190:E201)=12,ROUND(SUM(E190:E201),2),"")</f>
        <v/>
      </c>
      <c r="K201" s="20">
        <f>IF(COUNT(E176:E201)=26,ROUND(SUM(E176:E201),2),"")</f>
        <v/>
      </c>
    </row>
    <row r="202">
      <c r="A202" s="8" t="inlineStr">
        <is>
          <t>2026-03-04</t>
        </is>
      </c>
      <c r="B202" s="8" t="n">
        <v>10</v>
      </c>
      <c r="C202" s="15" t="n">
        <v>106.84</v>
      </c>
      <c r="D202" s="15" t="n">
        <v>2.42</v>
      </c>
      <c r="E202" s="15" t="n">
        <v>2.42</v>
      </c>
      <c r="F202" s="15" t="n">
        <v>2.42</v>
      </c>
      <c r="G202" s="8" t="inlineStr">
        <is>
          <t>east_estimated</t>
        </is>
      </c>
      <c r="H202" s="8" t="inlineStr">
        <is>
          <t>原文</t>
        </is>
      </c>
      <c r="I202" s="20">
        <f>IF(COUNT(E199:E202)=4,ROUND(SUM(E199:E202),2),"")</f>
        <v/>
      </c>
      <c r="J202" s="20">
        <f>IF(COUNT(E191:E202)=12,ROUND(SUM(E191:E202),2),"")</f>
        <v/>
      </c>
      <c r="K202" s="20">
        <f>IF(COUNT(E177:E202)=26,ROUND(SUM(E177:E202),2),"")</f>
        <v/>
      </c>
    </row>
    <row r="203">
      <c r="A203" s="8" t="inlineStr">
        <is>
          <t>2026-03-11</t>
        </is>
      </c>
      <c r="B203" s="8" t="n">
        <v>11</v>
      </c>
      <c r="C203" s="15" t="n">
        <v>97.28</v>
      </c>
      <c r="D203" s="15" t="n">
        <v>-9.56</v>
      </c>
      <c r="E203" s="15" t="n">
        <v>-9.56</v>
      </c>
      <c r="F203" s="15" t="n">
        <v>-9.56</v>
      </c>
      <c r="G203" s="8" t="inlineStr">
        <is>
          <t>east_table</t>
        </is>
      </c>
      <c r="H203" s="8" t="inlineStr">
        <is>
          <t>原文</t>
        </is>
      </c>
      <c r="I203" s="20">
        <f>IF(COUNT(E200:E203)=4,ROUND(SUM(E200:E203),2),"")</f>
        <v/>
      </c>
      <c r="J203" s="20">
        <f>IF(COUNT(E192:E203)=12,ROUND(SUM(E192:E203),2),"")</f>
        <v/>
      </c>
      <c r="K203" s="20">
        <f>IF(COUNT(E178:E203)=26,ROUND(SUM(E178:E203),2),"")</f>
        <v/>
      </c>
    </row>
    <row r="204">
      <c r="A204" s="8" t="inlineStr">
        <is>
          <t>2026-03-18</t>
        </is>
      </c>
      <c r="B204" s="8" t="n">
        <v>12</v>
      </c>
      <c r="C204" s="15" t="n">
        <v>94.52</v>
      </c>
      <c r="D204" s="15" t="n">
        <v>-2.76</v>
      </c>
      <c r="E204" s="15" t="n">
        <v>-2.76</v>
      </c>
      <c r="F204" s="15" t="n">
        <v>-2.76</v>
      </c>
      <c r="G204" s="8" t="inlineStr">
        <is>
          <t>east_table</t>
        </is>
      </c>
      <c r="H204" s="8" t="inlineStr">
        <is>
          <t>原文</t>
        </is>
      </c>
      <c r="I204" s="20">
        <f>IF(COUNT(E201:E204)=4,ROUND(SUM(E201:E204),2),"")</f>
        <v/>
      </c>
      <c r="J204" s="20">
        <f>IF(COUNT(E193:E204)=12,ROUND(SUM(E193:E204),2),"")</f>
        <v/>
      </c>
      <c r="K204" s="20">
        <f>IF(COUNT(E179:E204)=26,ROUND(SUM(E179:E204),2),"")</f>
        <v/>
      </c>
    </row>
    <row r="205">
      <c r="A205" s="8" t="inlineStr">
        <is>
          <t>2026-03-25</t>
        </is>
      </c>
      <c r="B205" s="8" t="n">
        <v>13</v>
      </c>
      <c r="C205" s="15" t="n">
        <v>86.05</v>
      </c>
      <c r="D205" s="15" t="n">
        <v>-8.470000000000001</v>
      </c>
      <c r="E205" s="15" t="n">
        <v>-8.470000000000001</v>
      </c>
      <c r="F205" s="15" t="n">
        <v>-8.470000000000001</v>
      </c>
      <c r="G205" s="8" t="inlineStr">
        <is>
          <t>east_table</t>
        </is>
      </c>
      <c r="H205" s="8" t="inlineStr">
        <is>
          <t>原文</t>
        </is>
      </c>
      <c r="I205" s="20">
        <f>IF(COUNT(E202:E205)=4,ROUND(SUM(E202:E205),2),"")</f>
        <v/>
      </c>
      <c r="J205" s="20">
        <f>IF(COUNT(E194:E205)=12,ROUND(SUM(E194:E205),2),"")</f>
        <v/>
      </c>
      <c r="K205" s="20">
        <f>IF(COUNT(E180:E205)=26,ROUND(SUM(E180:E205),2),"")</f>
        <v/>
      </c>
    </row>
    <row r="206">
      <c r="A206" s="8" t="inlineStr">
        <is>
          <t>2026-04-01</t>
        </is>
      </c>
      <c r="B206" s="8" t="n">
        <v>14</v>
      </c>
      <c r="C206" s="15" t="n">
        <v>76.83</v>
      </c>
      <c r="D206" s="15" t="n">
        <v>-9.220000000000001</v>
      </c>
      <c r="E206" s="15" t="n">
        <v>-9.220000000000001</v>
      </c>
      <c r="F206" s="15" t="n">
        <v>-9.220000000000001</v>
      </c>
      <c r="G206" s="8" t="inlineStr">
        <is>
          <t>east_table</t>
        </is>
      </c>
      <c r="H206" s="8" t="inlineStr">
        <is>
          <t>原文</t>
        </is>
      </c>
      <c r="I206" s="20">
        <f>IF(COUNT(E203:E206)=4,ROUND(SUM(E203:E206),2),"")</f>
        <v/>
      </c>
      <c r="J206" s="20">
        <f>IF(COUNT(E195:E206)=12,ROUND(SUM(E195:E206),2),"")</f>
        <v/>
      </c>
      <c r="K206" s="20">
        <f>IF(COUNT(E181:E206)=26,ROUND(SUM(E181:E206),2),"")</f>
        <v/>
      </c>
    </row>
    <row r="207">
      <c r="A207" s="8" t="inlineStr">
        <is>
          <t>2026-04-08</t>
        </is>
      </c>
      <c r="B207" s="8" t="n">
        <v>15</v>
      </c>
      <c r="C207" s="15" t="n">
        <v>76.42</v>
      </c>
      <c r="D207" s="15" t="n"/>
      <c r="E207" s="15" t="n">
        <v>-0.41</v>
      </c>
      <c r="F207" s="15" t="n">
        <v>-0.41</v>
      </c>
      <c r="G207" s="8" t="inlineStr">
        <is>
          <t>east_table</t>
        </is>
      </c>
      <c r="H207" s="8" t="inlineStr">
        <is>
          <t>表格差分</t>
        </is>
      </c>
      <c r="I207" s="20">
        <f>IF(COUNT(E204:E207)=4,ROUND(SUM(E204:E207),2),"")</f>
        <v/>
      </c>
      <c r="J207" s="20">
        <f>IF(COUNT(E196:E207)=12,ROUND(SUM(E196:E207),2),"")</f>
        <v/>
      </c>
      <c r="K207" s="20">
        <f>IF(COUNT(E182:E207)=26,ROUND(SUM(E182:E207),2),"")</f>
        <v/>
      </c>
    </row>
    <row r="208">
      <c r="A208" s="8" t="inlineStr">
        <is>
          <t>2026-04-15</t>
        </is>
      </c>
      <c r="B208" s="8" t="n">
        <v>16</v>
      </c>
      <c r="C208" s="15" t="n">
        <v>68.26000000000001</v>
      </c>
      <c r="D208" s="15" t="n"/>
      <c r="E208" s="15" t="n">
        <v>-8.16</v>
      </c>
      <c r="F208" s="15" t="n">
        <v>-8.16</v>
      </c>
      <c r="G208" s="8" t="inlineStr">
        <is>
          <t>east_table</t>
        </is>
      </c>
      <c r="H208" s="8" t="inlineStr">
        <is>
          <t>表格差分</t>
        </is>
      </c>
      <c r="I208" s="20">
        <f>IF(COUNT(E205:E208)=4,ROUND(SUM(E205:E208),2),"")</f>
        <v/>
      </c>
      <c r="J208" s="20">
        <f>IF(COUNT(E197:E208)=12,ROUND(SUM(E197:E208),2),"")</f>
        <v/>
      </c>
      <c r="K208" s="20">
        <f>IF(COUNT(E183:E208)=26,ROUND(SUM(E183:E208),2),"")</f>
        <v/>
      </c>
    </row>
    <row r="209">
      <c r="A209" s="8" t="inlineStr">
        <is>
          <t>2026-04-22</t>
        </is>
      </c>
      <c r="B209" s="8" t="n">
        <v>17</v>
      </c>
      <c r="C209" s="15" t="n">
        <v>72.98999999999999</v>
      </c>
      <c r="D209" s="15" t="n">
        <v>4.73</v>
      </c>
      <c r="E209" s="15" t="n">
        <v>4.73</v>
      </c>
      <c r="F209" s="15" t="n">
        <v>4.73</v>
      </c>
      <c r="G209" s="8" t="inlineStr">
        <is>
          <t>east_estimated</t>
        </is>
      </c>
      <c r="H209" s="8" t="inlineStr">
        <is>
          <t>原文</t>
        </is>
      </c>
      <c r="I209" s="20">
        <f>IF(COUNT(E206:E209)=4,ROUND(SUM(E206:E209),2),"")</f>
        <v/>
      </c>
      <c r="J209" s="20">
        <f>IF(COUNT(E198:E209)=12,ROUND(SUM(E198:E209),2),"")</f>
        <v/>
      </c>
      <c r="K209" s="20">
        <f>IF(COUNT(E184:E209)=26,ROUND(SUM(E184:E209),2),"")</f>
        <v/>
      </c>
    </row>
    <row r="210">
      <c r="A210" s="8" t="inlineStr">
        <is>
          <t>2026-04-29</t>
        </is>
      </c>
      <c r="B210" s="8" t="n">
        <v>18</v>
      </c>
      <c r="C210" s="15" t="n">
        <v>73.36</v>
      </c>
      <c r="D210" s="15" t="n"/>
      <c r="E210" s="15" t="n">
        <v>0.37</v>
      </c>
      <c r="F210" s="15" t="n">
        <v>0.37</v>
      </c>
      <c r="G210" s="8" t="inlineStr">
        <is>
          <t>east_table</t>
        </is>
      </c>
      <c r="H210" s="8" t="inlineStr">
        <is>
          <t>表格差分</t>
        </is>
      </c>
      <c r="I210" s="20">
        <f>IF(COUNT(E207:E210)=4,ROUND(SUM(E207:E210),2),"")</f>
        <v/>
      </c>
      <c r="J210" s="20">
        <f>IF(COUNT(E199:E210)=12,ROUND(SUM(E199:E210),2),"")</f>
        <v/>
      </c>
      <c r="K210" s="20">
        <f>IF(COUNT(E185:E210)=26,ROUND(SUM(E185:E210),2),"")</f>
        <v/>
      </c>
    </row>
    <row r="211">
      <c r="A211" s="8" t="inlineStr">
        <is>
          <t>2026-05-06</t>
        </is>
      </c>
      <c r="B211" s="8" t="n">
        <v>19</v>
      </c>
      <c r="C211" s="15" t="n">
        <v>78.26000000000001</v>
      </c>
      <c r="D211" s="15" t="n">
        <v>4.9</v>
      </c>
      <c r="E211" s="15" t="n">
        <v>4.9</v>
      </c>
      <c r="F211" s="15" t="n">
        <v>4.9</v>
      </c>
      <c r="G211" s="8" t="inlineStr">
        <is>
          <t>east_estimated</t>
        </is>
      </c>
      <c r="H211" s="8" t="inlineStr">
        <is>
          <t>原文</t>
        </is>
      </c>
      <c r="I211" s="20">
        <f>IF(COUNT(E208:E211)=4,ROUND(SUM(E208:E211),2),"")</f>
        <v/>
      </c>
      <c r="J211" s="20">
        <f>IF(COUNT(E200:E211)=12,ROUND(SUM(E200:E211),2),"")</f>
        <v/>
      </c>
      <c r="K211" s="20">
        <f>IF(COUNT(E186:E211)=26,ROUND(SUM(E186:E211),2),"")</f>
        <v/>
      </c>
    </row>
    <row r="212">
      <c r="A212" s="8" t="inlineStr">
        <is>
          <t>2026-05-13</t>
        </is>
      </c>
      <c r="B212" s="8" t="n">
        <v>20</v>
      </c>
      <c r="C212" s="15" t="n">
        <v>66.75</v>
      </c>
      <c r="D212" s="15" t="n">
        <v>-11.51</v>
      </c>
      <c r="E212" s="15" t="n">
        <v>-11.51</v>
      </c>
      <c r="F212" s="15" t="n">
        <v>-11.51</v>
      </c>
      <c r="G212" s="8" t="inlineStr">
        <is>
          <t>east_table</t>
        </is>
      </c>
      <c r="H212" s="8" t="inlineStr">
        <is>
          <t>原文</t>
        </is>
      </c>
      <c r="I212" s="20">
        <f>IF(COUNT(E209:E212)=4,ROUND(SUM(E209:E212),2),"")</f>
        <v/>
      </c>
      <c r="J212" s="20">
        <f>IF(COUNT(E201:E212)=12,ROUND(SUM(E201:E212),2),"")</f>
        <v/>
      </c>
      <c r="K212" s="20">
        <f>IF(COUNT(E187:E212)=26,ROUND(SUM(E187:E212),2),"")</f>
        <v/>
      </c>
    </row>
    <row r="213">
      <c r="A213" s="8" t="inlineStr">
        <is>
          <t>2026-05-20</t>
        </is>
      </c>
      <c r="B213" s="8" t="n">
        <v>21</v>
      </c>
      <c r="C213" s="15" t="n">
        <v>61.02</v>
      </c>
      <c r="D213" s="15" t="n">
        <v>-5.73</v>
      </c>
      <c r="E213" s="15" t="n">
        <v>-5.73</v>
      </c>
      <c r="F213" s="15" t="n">
        <v>-5.73</v>
      </c>
      <c r="G213" s="8" t="inlineStr">
        <is>
          <t>east_table</t>
        </is>
      </c>
      <c r="H213" s="8" t="inlineStr">
        <is>
          <t>原文</t>
        </is>
      </c>
      <c r="I213" s="20">
        <f>IF(COUNT(E210:E213)=4,ROUND(SUM(E210:E213),2),"")</f>
        <v/>
      </c>
      <c r="J213" s="20">
        <f>IF(COUNT(E202:E213)=12,ROUND(SUM(E202:E213),2),"")</f>
        <v/>
      </c>
      <c r="K213" s="20">
        <f>IF(COUNT(E188:E213)=26,ROUND(SUM(E188:E213),2),"")</f>
        <v/>
      </c>
    </row>
    <row r="214">
      <c r="A214" s="8" t="inlineStr">
        <is>
          <t>2026-05-27</t>
        </is>
      </c>
      <c r="B214" s="8" t="n">
        <v>22</v>
      </c>
      <c r="C214" s="15" t="n">
        <v>54.5</v>
      </c>
      <c r="D214" s="15" t="n">
        <v>-8.52</v>
      </c>
      <c r="E214" s="15" t="n">
        <v>-8.52</v>
      </c>
      <c r="F214" s="15" t="n">
        <v>-6.52</v>
      </c>
      <c r="G214" s="8" t="inlineStr">
        <is>
          <t>east_table</t>
        </is>
      </c>
      <c r="H214" s="8" t="inlineStr">
        <is>
          <t>原文</t>
        </is>
      </c>
      <c r="I214" s="20">
        <f>IF(COUNT(E211:E214)=4,ROUND(SUM(E211:E214),2),"")</f>
        <v/>
      </c>
      <c r="J214" s="20">
        <f>IF(COUNT(E203:E214)=12,ROUND(SUM(E203:E214),2),"")</f>
        <v/>
      </c>
      <c r="K214" s="20">
        <f>IF(COUNT(E189:E214)=26,ROUND(SUM(E189:E214),2),"")</f>
        <v/>
      </c>
    </row>
    <row r="215">
      <c r="A215" s="8" t="inlineStr">
        <is>
          <t>2026-06-03</t>
        </is>
      </c>
      <c r="B215" s="8" t="n">
        <v>23</v>
      </c>
      <c r="C215" s="15" t="n">
        <v>54.23</v>
      </c>
      <c r="D215" s="15" t="n">
        <v>-0.27</v>
      </c>
      <c r="E215" s="15" t="n">
        <v>-0.27</v>
      </c>
      <c r="F215" s="15" t="n">
        <v>-0.27</v>
      </c>
      <c r="G215" s="8" t="inlineStr">
        <is>
          <t>east_table</t>
        </is>
      </c>
      <c r="H215" s="8" t="inlineStr">
        <is>
          <t>原文</t>
        </is>
      </c>
      <c r="I215" s="20">
        <f>IF(COUNT(E212:E215)=4,ROUND(SUM(E212:E215),2),"")</f>
        <v/>
      </c>
      <c r="J215" s="20">
        <f>IF(COUNT(E204:E215)=12,ROUND(SUM(E204:E215),2),"")</f>
        <v/>
      </c>
      <c r="K215" s="20">
        <f>IF(COUNT(E190:E215)=26,ROUND(SUM(E190:E215),2),"")</f>
        <v/>
      </c>
    </row>
    <row r="216">
      <c r="A216" s="8" t="inlineStr">
        <is>
          <t>2026-06-10</t>
        </is>
      </c>
      <c r="B216" s="8" t="n">
        <v>24</v>
      </c>
      <c r="C216" s="15" t="n">
        <v>48.11</v>
      </c>
      <c r="D216" s="15" t="n">
        <v>-6.12</v>
      </c>
      <c r="E216" s="15" t="n">
        <v>-6.12</v>
      </c>
      <c r="F216" s="15" t="n">
        <v>-6.12</v>
      </c>
      <c r="G216" s="8" t="inlineStr">
        <is>
          <t>east_table</t>
        </is>
      </c>
      <c r="H216" s="8" t="inlineStr">
        <is>
          <t>原文</t>
        </is>
      </c>
      <c r="I216" s="20">
        <f>IF(COUNT(E213:E216)=4,ROUND(SUM(E213:E216),2),"")</f>
        <v/>
      </c>
      <c r="J216" s="20">
        <f>IF(COUNT(E205:E216)=12,ROUND(SUM(E205:E216),2),"")</f>
        <v/>
      </c>
      <c r="K216" s="20">
        <f>IF(COUNT(E191:E216)=26,ROUND(SUM(E191:E216),2),"")</f>
        <v/>
      </c>
    </row>
    <row r="217">
      <c r="A217" s="8" t="inlineStr">
        <is>
          <t>2026-06-17</t>
        </is>
      </c>
      <c r="B217" s="8" t="n">
        <v>25</v>
      </c>
      <c r="C217" s="15" t="n">
        <v>52.06</v>
      </c>
      <c r="D217" s="15" t="n">
        <v>3.95</v>
      </c>
      <c r="E217" s="15" t="n">
        <v>3.95</v>
      </c>
      <c r="F217" s="15" t="n">
        <v>3.95</v>
      </c>
      <c r="G217" s="8" t="inlineStr">
        <is>
          <t>east_estimated</t>
        </is>
      </c>
      <c r="H217" s="8" t="inlineStr">
        <is>
          <t>原文</t>
        </is>
      </c>
      <c r="I217" s="20">
        <f>IF(COUNT(E214:E217)=4,ROUND(SUM(E214:E217),2),"")</f>
        <v/>
      </c>
      <c r="J217" s="20">
        <f>IF(COUNT(E206:E217)=12,ROUND(SUM(E206:E217),2),"")</f>
        <v/>
      </c>
      <c r="K217" s="20">
        <f>IF(COUNT(E192:E217)=26,ROUND(SUM(E192:E217),2),"")</f>
        <v/>
      </c>
    </row>
    <row r="218">
      <c r="A218" s="8" t="inlineStr">
        <is>
          <t>2026-06-24</t>
        </is>
      </c>
      <c r="B218" s="8" t="n">
        <v>26</v>
      </c>
      <c r="C218" s="15" t="n">
        <v>47.08</v>
      </c>
      <c r="D218" s="15" t="n">
        <v>-4.98</v>
      </c>
      <c r="E218" s="15" t="n">
        <v>-4.98</v>
      </c>
      <c r="F218" s="15" t="n">
        <v>-4.98</v>
      </c>
      <c r="G218" s="8" t="inlineStr">
        <is>
          <t>east_table</t>
        </is>
      </c>
      <c r="H218" s="8" t="inlineStr">
        <is>
          <t>原文</t>
        </is>
      </c>
      <c r="I218" s="20">
        <f>IF(COUNT(E215:E218)=4,ROUND(SUM(E215:E218),2),"")</f>
        <v/>
      </c>
      <c r="J218" s="20">
        <f>IF(COUNT(E207:E218)=12,ROUND(SUM(E207:E218),2),"")</f>
        <v/>
      </c>
      <c r="K218" s="20">
        <f>IF(COUNT(E193:E218)=26,ROUND(SUM(E193:E218),2),"")</f>
        <v/>
      </c>
    </row>
    <row r="219">
      <c r="A219" s="8" t="inlineStr">
        <is>
          <t>2026-07-01</t>
        </is>
      </c>
      <c r="B219" s="8" t="n">
        <v>27</v>
      </c>
      <c r="C219" s="15" t="n">
        <v>44.99</v>
      </c>
      <c r="D219" s="15" t="n">
        <v>-2.09</v>
      </c>
      <c r="E219" s="15" t="n">
        <v>-2.09</v>
      </c>
      <c r="F219" s="15" t="n">
        <v>-2.09</v>
      </c>
      <c r="G219" s="8" t="inlineStr">
        <is>
          <t>east_table</t>
        </is>
      </c>
      <c r="H219" s="8" t="inlineStr">
        <is>
          <t>原文</t>
        </is>
      </c>
      <c r="I219" s="20">
        <f>IF(COUNT(E216:E219)=4,ROUND(SUM(E216:E219),2),"")</f>
        <v/>
      </c>
      <c r="J219" s="20">
        <f>IF(COUNT(E208:E219)=12,ROUND(SUM(E208:E219),2),"")</f>
        <v/>
      </c>
      <c r="K219" s="20">
        <f>IF(COUNT(E194:E219)=26,ROUND(SUM(E194:E219),2),"")</f>
        <v/>
      </c>
    </row>
    <row r="220">
      <c r="A220" s="8" t="inlineStr">
        <is>
          <t>2026-07-08</t>
        </is>
      </c>
      <c r="B220" s="8" t="n">
        <v>28</v>
      </c>
      <c r="C220" s="15" t="n">
        <v>38.47</v>
      </c>
      <c r="D220" s="15" t="n">
        <v>-6.52</v>
      </c>
      <c r="E220" s="15" t="n">
        <v>-6.52</v>
      </c>
      <c r="F220" s="15" t="n">
        <v>-6.52</v>
      </c>
      <c r="G220" s="8" t="inlineStr">
        <is>
          <t>east_table</t>
        </is>
      </c>
      <c r="H220" s="8" t="inlineStr">
        <is>
          <t>原文</t>
        </is>
      </c>
      <c r="I220" s="20">
        <f>IF(COUNT(E217:E220)=4,ROUND(SUM(E217:E220),2),"")</f>
        <v/>
      </c>
      <c r="J220" s="20">
        <f>IF(COUNT(E209:E220)=12,ROUND(SUM(E209:E220),2),"")</f>
        <v/>
      </c>
      <c r="K220" s="20">
        <f>IF(COUNT(E195:E220)=26,ROUND(SUM(E195:E220),2),"")</f>
        <v/>
      </c>
    </row>
    <row r="221">
      <c r="A221" s="8" t="inlineStr">
        <is>
          <t>2026-07-15</t>
        </is>
      </c>
      <c r="B221" s="8" t="n">
        <v>29</v>
      </c>
      <c r="C221" s="15" t="n">
        <v>30.52</v>
      </c>
      <c r="D221" s="15" t="n">
        <v>-7.95</v>
      </c>
      <c r="E221" s="15" t="n">
        <v>-7.95</v>
      </c>
      <c r="F221" s="15" t="n">
        <v>-7.95</v>
      </c>
      <c r="G221" s="8" t="inlineStr">
        <is>
          <t>east_table</t>
        </is>
      </c>
      <c r="H221" s="8" t="inlineStr">
        <is>
          <t>原文</t>
        </is>
      </c>
      <c r="I221" s="20">
        <f>IF(COUNT(E218:E221)=4,ROUND(SUM(E218:E221),2),"")</f>
        <v/>
      </c>
      <c r="J221" s="20">
        <f>IF(COUNT(E210:E221)=12,ROUND(SUM(E210:E221),2),"")</f>
        <v/>
      </c>
      <c r="K221" s="20">
        <f>IF(COUNT(E196:E221)=26,ROUND(SUM(E196:E221),2),"")</f>
        <v/>
      </c>
    </row>
    <row r="222">
      <c r="A222" s="8" t="inlineStr">
        <is>
          <t>2026-07-22</t>
        </is>
      </c>
      <c r="B222" s="8" t="n">
        <v>30</v>
      </c>
      <c r="C222" s="15" t="n">
        <v>39.14</v>
      </c>
      <c r="D222" s="15" t="n">
        <v>8.619999999999999</v>
      </c>
      <c r="E222" s="15" t="n">
        <v>8.619999999999999</v>
      </c>
      <c r="F222" s="15" t="n">
        <v>8.619999999999999</v>
      </c>
      <c r="G222" s="8" t="inlineStr">
        <is>
          <t>east_estimated</t>
        </is>
      </c>
      <c r="H222" s="8" t="inlineStr">
        <is>
          <t>原文</t>
        </is>
      </c>
      <c r="I222" s="20">
        <f>IF(COUNT(E219:E222)=4,ROUND(SUM(E219:E222),2),"")</f>
        <v/>
      </c>
      <c r="J222" s="20">
        <f>IF(COUNT(E211:E222)=12,ROUND(SUM(E211:E222),2),"")</f>
        <v/>
      </c>
      <c r="K222" s="20">
        <f>IF(COUNT(E197:E222)=26,ROUND(SUM(E197:E222),2),"")</f>
        <v/>
      </c>
    </row>
    <row r="223">
      <c r="A223" s="8" t="inlineStr">
        <is>
          <t>2026-07-29</t>
        </is>
      </c>
      <c r="B223" s="8" t="n">
        <v>31</v>
      </c>
      <c r="C223" s="15" t="n">
        <v>52.32</v>
      </c>
      <c r="D223" s="15" t="n">
        <v>13.18</v>
      </c>
      <c r="E223" s="15" t="n">
        <v>13.18</v>
      </c>
      <c r="F223" s="15" t="n">
        <v>13.18</v>
      </c>
      <c r="G223" s="8" t="inlineStr">
        <is>
          <t>east_estimated</t>
        </is>
      </c>
      <c r="H223" s="8" t="inlineStr">
        <is>
          <t>原文</t>
        </is>
      </c>
      <c r="I223" s="20">
        <f>IF(COUNT(E220:E223)=4,ROUND(SUM(E220:E223),2),"")</f>
        <v/>
      </c>
      <c r="J223" s="20">
        <f>IF(COUNT(E212:E223)=12,ROUND(SUM(E212:E223),2),"")</f>
        <v/>
      </c>
      <c r="K223" s="20">
        <f>IF(COUNT(E198:E223)=26,ROUND(SUM(E198:E223),2),"")</f>
        <v/>
      </c>
    </row>
    <row r="224">
      <c r="A224" s="8" t="inlineStr">
        <is>
          <t>2026-08-05</t>
        </is>
      </c>
      <c r="B224" s="8" t="n">
        <v>32</v>
      </c>
      <c r="C224" s="15" t="n"/>
      <c r="D224" s="15" t="n">
        <v>0.64</v>
      </c>
      <c r="E224" s="15" t="n">
        <v>0.64</v>
      </c>
      <c r="F224" s="15" t="n"/>
      <c r="G224" s="8" t="n"/>
      <c r="H224" s="8" t="inlineStr">
        <is>
          <t>原文</t>
        </is>
      </c>
      <c r="I224" s="20">
        <f>IF(COUNT(E221:E224)=4,ROUND(SUM(E221:E224),2),"")</f>
        <v/>
      </c>
      <c r="J224" s="20">
        <f>IF(COUNT(E213:E224)=12,ROUND(SUM(E213:E224),2),"")</f>
        <v/>
      </c>
      <c r="K224" s="20">
        <f>IF(COUNT(E199:E224)=26,ROUND(SUM(E199:E224),2),"")</f>
        <v/>
      </c>
    </row>
    <row r="225">
      <c r="A225" s="8" t="inlineStr">
        <is>
          <t>2026-08-12</t>
        </is>
      </c>
      <c r="B225" s="8" t="n">
        <v>33</v>
      </c>
      <c r="C225" s="15" t="n"/>
      <c r="D225" s="15" t="n">
        <v>-6.76</v>
      </c>
      <c r="E225" s="15" t="n">
        <v>-6.76</v>
      </c>
      <c r="F225" s="15" t="n"/>
      <c r="G225" s="8" t="n"/>
      <c r="H225" s="8" t="inlineStr">
        <is>
          <t>原文</t>
        </is>
      </c>
      <c r="I225" s="20">
        <f>IF(COUNT(E222:E225)=4,ROUND(SUM(E222:E225),2),"")</f>
        <v/>
      </c>
      <c r="J225" s="20">
        <f>IF(COUNT(E214:E225)=12,ROUND(SUM(E214:E225),2),"")</f>
        <v/>
      </c>
      <c r="K225" s="20">
        <f>IF(COUNT(E200:E225)=26,ROUND(SUM(E200:E225),2),"")</f>
        <v/>
      </c>
    </row>
    <row r="226">
      <c r="A226" s="8" t="inlineStr">
        <is>
          <t>2026-08-19</t>
        </is>
      </c>
      <c r="B226" s="8" t="n">
        <v>34</v>
      </c>
      <c r="C226" s="15" t="n"/>
      <c r="D226" s="15" t="n">
        <v>6.79</v>
      </c>
      <c r="E226" s="15" t="n">
        <v>6.79</v>
      </c>
      <c r="F226" s="15" t="n"/>
      <c r="G226" s="8" t="n"/>
      <c r="H226" s="8" t="inlineStr">
        <is>
          <t>原文</t>
        </is>
      </c>
      <c r="I226" s="20">
        <f>IF(COUNT(E223:E226)=4,ROUND(SUM(E223:E226),2),"")</f>
        <v/>
      </c>
      <c r="J226" s="20">
        <f>IF(COUNT(E215:E226)=12,ROUND(SUM(E215:E226),2),"")</f>
        <v/>
      </c>
      <c r="K226" s="20">
        <f>IF(COUNT(E201:E226)=26,ROUND(SUM(E201:E226),2),"")</f>
        <v/>
      </c>
    </row>
    <row r="227">
      <c r="A227" s="8" t="inlineStr">
        <is>
          <t>2026-08-26</t>
        </is>
      </c>
      <c r="B227" s="8" t="n">
        <v>35</v>
      </c>
      <c r="C227" s="15" t="n"/>
      <c r="D227" s="15" t="n">
        <v>2.24</v>
      </c>
      <c r="E227" s="15" t="n">
        <v>2.24</v>
      </c>
      <c r="F227" s="15" t="n"/>
      <c r="G227" s="8" t="n"/>
      <c r="H227" s="8" t="inlineStr">
        <is>
          <t>原文</t>
        </is>
      </c>
      <c r="I227" s="20">
        <f>IF(COUNT(E224:E227)=4,ROUND(SUM(E224:E227),2),"")</f>
        <v/>
      </c>
      <c r="J227" s="20">
        <f>IF(COUNT(E216:E227)=12,ROUND(SUM(E216:E227),2),"")</f>
        <v/>
      </c>
      <c r="K227" s="20">
        <f>IF(COUNT(E202:E227)=26,ROUND(SUM(E202:E227),2),"")</f>
        <v/>
      </c>
    </row>
    <row r="228">
      <c r="A228" s="8" t="inlineStr">
        <is>
          <t>2026-09-02</t>
        </is>
      </c>
      <c r="B228" s="8" t="n">
        <v>36</v>
      </c>
      <c r="C228" s="15" t="n"/>
      <c r="D228" s="15" t="n">
        <v>-1.65</v>
      </c>
      <c r="E228" s="15" t="n">
        <v>-1.65</v>
      </c>
      <c r="F228" s="15" t="n"/>
      <c r="G228" s="8" t="n"/>
      <c r="H228" s="8" t="inlineStr">
        <is>
          <t>原文</t>
        </is>
      </c>
      <c r="I228" s="20">
        <f>IF(COUNT(E225:E228)=4,ROUND(SUM(E225:E228),2),"")</f>
        <v/>
      </c>
      <c r="J228" s="20">
        <f>IF(COUNT(E217:E228)=12,ROUND(SUM(E217:E228),2),"")</f>
        <v/>
      </c>
      <c r="K228" s="20">
        <f>IF(COUNT(E203:E228)=26,ROUND(SUM(E203:E228),2),"")</f>
        <v/>
      </c>
    </row>
    <row r="229">
      <c r="A229" s="8" t="inlineStr">
        <is>
          <t>2026-09-09</t>
        </is>
      </c>
      <c r="B229" s="8" t="n">
        <v>37</v>
      </c>
      <c r="C229" s="15" t="n"/>
      <c r="D229" s="15" t="n">
        <v>-4.77</v>
      </c>
      <c r="E229" s="15" t="n">
        <v>-4.77</v>
      </c>
      <c r="F229" s="15" t="n"/>
      <c r="G229" s="8" t="n"/>
      <c r="H229" s="8" t="inlineStr">
        <is>
          <t>原文</t>
        </is>
      </c>
      <c r="I229" s="20">
        <f>IF(COUNT(E226:E229)=4,ROUND(SUM(E226:E229),2),"")</f>
        <v/>
      </c>
      <c r="J229" s="20">
        <f>IF(COUNT(E218:E229)=12,ROUND(SUM(E218:E229),2),"")</f>
        <v/>
      </c>
      <c r="K229" s="20">
        <f>IF(COUNT(E204:E229)=26,ROUND(SUM(E204:E229),2),"")</f>
        <v/>
      </c>
    </row>
    <row r="230">
      <c r="A230" s="8" t="inlineStr">
        <is>
          <t>2026-09-16</t>
        </is>
      </c>
      <c r="B230" s="8" t="n">
        <v>38</v>
      </c>
      <c r="C230" s="15" t="n"/>
      <c r="D230" s="15" t="n">
        <v>-10.51</v>
      </c>
      <c r="E230" s="15" t="n">
        <v>-10.51</v>
      </c>
      <c r="F230" s="15" t="n"/>
      <c r="G230" s="8" t="n"/>
      <c r="H230" s="8" t="inlineStr">
        <is>
          <t>原文</t>
        </is>
      </c>
      <c r="I230" s="20">
        <f>IF(COUNT(E227:E230)=4,ROUND(SUM(E227:E230),2),"")</f>
        <v/>
      </c>
      <c r="J230" s="20">
        <f>IF(COUNT(E219:E230)=12,ROUND(SUM(E219:E230),2),"")</f>
        <v/>
      </c>
      <c r="K230" s="20">
        <f>IF(COUNT(E205:E230)=26,ROUND(SUM(E205:E230),2),"")</f>
        <v/>
      </c>
    </row>
    <row r="231">
      <c r="A231" s="8" t="inlineStr">
        <is>
          <t>2026-09-23</t>
        </is>
      </c>
      <c r="B231" s="8" t="n">
        <v>39</v>
      </c>
      <c r="C231" s="15" t="n"/>
      <c r="D231" s="15" t="n">
        <v>-4.13</v>
      </c>
      <c r="E231" s="15" t="n">
        <v>-4.13</v>
      </c>
      <c r="F231" s="15" t="n"/>
      <c r="G231" s="8" t="n"/>
      <c r="H231" s="8" t="inlineStr">
        <is>
          <t>原文</t>
        </is>
      </c>
      <c r="I231" s="20">
        <f>IF(COUNT(E228:E231)=4,ROUND(SUM(E228:E231),2),"")</f>
        <v/>
      </c>
      <c r="J231" s="20">
        <f>IF(COUNT(E220:E231)=12,ROUND(SUM(E220:E231),2),"")</f>
        <v/>
      </c>
      <c r="K231" s="20">
        <f>IF(COUNT(E206:E231)=26,ROUND(SUM(E206:E231),2),"")</f>
        <v/>
      </c>
    </row>
    <row r="232">
      <c r="A232" s="8" t="inlineStr">
        <is>
          <t>2026-09-30</t>
        </is>
      </c>
      <c r="B232" s="8" t="n">
        <v>40</v>
      </c>
      <c r="C232" s="15" t="n"/>
      <c r="D232" s="15" t="n">
        <v>-2.37</v>
      </c>
      <c r="E232" s="15" t="n">
        <v>-2.37</v>
      </c>
      <c r="F232" s="15" t="n"/>
      <c r="G232" s="8" t="n"/>
      <c r="H232" s="8" t="inlineStr">
        <is>
          <t>原文</t>
        </is>
      </c>
      <c r="I232" s="20">
        <f>IF(COUNT(E229:E232)=4,ROUND(SUM(E229:E232),2),"")</f>
        <v/>
      </c>
      <c r="J232" s="20">
        <f>IF(COUNT(E221:E232)=12,ROUND(SUM(E221:E232),2),"")</f>
        <v/>
      </c>
      <c r="K232" s="20">
        <f>IF(COUNT(E207:E232)=26,ROUND(SUM(E207:E232),2),"")</f>
        <v/>
      </c>
    </row>
    <row r="233">
      <c r="A233" s="8" t="inlineStr">
        <is>
          <t>2026-10-08</t>
        </is>
      </c>
      <c r="B233" s="8" t="n">
        <v>41</v>
      </c>
      <c r="C233" s="15" t="n"/>
      <c r="D233" s="15" t="n">
        <v>-7.99</v>
      </c>
      <c r="E233" s="15" t="n">
        <v>-7.99</v>
      </c>
      <c r="F233" s="15" t="n"/>
      <c r="G233" s="8" t="n"/>
      <c r="H233" s="8" t="inlineStr">
        <is>
          <t>原文</t>
        </is>
      </c>
      <c r="I233" s="20">
        <f>IF(COUNT(E230:E233)=4,ROUND(SUM(E230:E233),2),"")</f>
        <v/>
      </c>
      <c r="J233" s="20">
        <f>IF(COUNT(E222:E233)=12,ROUND(SUM(E222:E233),2),"")</f>
        <v/>
      </c>
      <c r="K233" s="20">
        <f>IF(COUNT(E208:E233)=26,ROUND(SUM(E208:E233),2),"")</f>
        <v/>
      </c>
    </row>
    <row r="234">
      <c r="A234" s="8" t="inlineStr">
        <is>
          <t>2026-10-14</t>
        </is>
      </c>
      <c r="B234" s="8" t="n">
        <v>42</v>
      </c>
      <c r="C234" s="15" t="n"/>
      <c r="D234" s="15" t="n">
        <v>-3.16</v>
      </c>
      <c r="E234" s="15" t="n">
        <v>-3.16</v>
      </c>
      <c r="F234" s="15" t="n"/>
      <c r="G234" s="8" t="n"/>
      <c r="H234" s="8" t="inlineStr">
        <is>
          <t>原文</t>
        </is>
      </c>
      <c r="I234" s="20">
        <f>IF(COUNT(E231:E234)=4,ROUND(SUM(E231:E234),2),"")</f>
        <v/>
      </c>
      <c r="J234" s="20">
        <f>IF(COUNT(E223:E234)=12,ROUND(SUM(E223:E234),2),"")</f>
        <v/>
      </c>
      <c r="K234" s="20">
        <f>IF(COUNT(E209:E234)=26,ROUND(SUM(E209:E234),2),"")</f>
        <v/>
      </c>
    </row>
  </sheetData>
  <autoFilter ref="A4:H234"/>
  <mergeCells count="2">
    <mergeCell ref="A2:L2"/>
    <mergeCell ref="A1:L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84"/>
  <sheetViews>
    <sheetView showGridLines="0"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5" t="inlineStr">
        <is>
          <t>09 样本变化检验：断点、披露降级、局部采样与敏感性</t>
        </is>
      </c>
    </row>
    <row r="2" ht="30" customHeight="1">
      <c r="A2" s="6" t="inlineStr">
        <is>
          <t>任何一次统计范围或披露方式的变化都在这里显式登记；断点两侧数据不合并统计。</t>
        </is>
      </c>
    </row>
    <row r="4" ht="28" customHeight="1">
      <c r="A4" s="7" t="inlineStr">
        <is>
          <t>日期</t>
        </is>
      </c>
      <c r="B4" s="7" t="inlineStr">
        <is>
          <t>类型</t>
        </is>
      </c>
      <c r="C4" s="7" t="inlineStr">
        <is>
          <t>对统计的影响</t>
        </is>
      </c>
    </row>
    <row r="5">
      <c r="A5" s="8" t="inlineStr">
        <is>
          <t>2018-05-24</t>
        </is>
      </c>
      <c r="B5" s="8" t="inlineStr">
        <is>
          <t>数据中继</t>
        </is>
      </c>
      <c r="C5" s="9" t="inlineStr">
        <is>
          <t>B 样本止于 2018-05-24，到 A 样本起点 2022-04-06 之间约 3.9 年无公开连续数据，两条序列不可拼接</t>
        </is>
      </c>
    </row>
    <row r="6">
      <c r="A6" s="8" t="inlineStr">
        <is>
          <t>2022-04-06</t>
        </is>
      </c>
      <c r="B6" s="8" t="inlineStr">
        <is>
          <t>统计范围变更</t>
        </is>
      </c>
      <c r="C6" s="9" t="inlineStr">
        <is>
          <t>A 样本起点：逐地区口径自该期起可在公开原文逐期核验；此前仅零散简报，频率不可靠</t>
        </is>
      </c>
    </row>
    <row r="7">
      <c r="A7" s="8" t="inlineStr">
        <is>
          <t>2026-07-01</t>
        </is>
      </c>
      <c r="B7" s="8" t="inlineStr">
        <is>
          <t>披露变更</t>
        </is>
      </c>
      <c r="C7" s="9" t="inlineStr">
        <is>
          <t>逐地区库存水平（江苏/浙江/广东/福建）停止公开，仅正文披露华东、华南周度增减量；华东水平值改为本人由增减量递推（east_derived）</t>
        </is>
      </c>
    </row>
    <row r="8">
      <c r="A8" s="8" t="inlineStr">
        <is>
          <t>2026-07-22</t>
        </is>
      </c>
      <c r="B8" s="8" t="inlineStr">
        <is>
          <t>披露断档</t>
        </is>
      </c>
      <c r="C8" s="9" t="inlineStr">
        <is>
          <t>正文不再逐周给出区域增减量（或仅给出总量级），华东递推链中断；该周及之后主口径只能以“全国港口总计”作水平替代，与华东口径不可直接比较</t>
        </is>
      </c>
    </row>
    <row r="10">
      <c r="A10" s="12" t="inlineStr">
        <is>
          <t>局部采样造成的虚假跳变（官方增减额 vs 表格差分）</t>
        </is>
      </c>
    </row>
    <row r="11" ht="28" customHeight="1">
      <c r="A11" s="7" t="inlineStr">
        <is>
          <t>截止日</t>
        </is>
      </c>
      <c r="B11" s="7" t="inlineStr">
        <is>
          <t>原文增减额</t>
        </is>
      </c>
      <c r="C11" s="7" t="inlineStr">
        <is>
          <t>表格差分</t>
        </is>
      </c>
      <c r="D11" s="7" t="inlineStr">
        <is>
          <t>差额</t>
        </is>
      </c>
    </row>
    <row r="12">
      <c r="A12" s="8" t="inlineStr">
        <is>
          <t>2022-11-09</t>
        </is>
      </c>
      <c r="B12" s="15" t="n">
        <v>8.5</v>
      </c>
      <c r="C12" s="15" t="n">
        <v>8.199999999999999</v>
      </c>
      <c r="D12" s="15" t="n">
        <v>0.3</v>
      </c>
    </row>
    <row r="13">
      <c r="A13" s="8" t="inlineStr">
        <is>
          <t>2023-04-12</t>
        </is>
      </c>
      <c r="B13" s="15" t="n">
        <v>-10.94</v>
      </c>
      <c r="C13" s="15" t="n">
        <v>-10.4</v>
      </c>
      <c r="D13" s="15" t="n">
        <v>-0.54</v>
      </c>
    </row>
    <row r="14">
      <c r="A14" s="8" t="inlineStr">
        <is>
          <t>2023-07-05</t>
        </is>
      </c>
      <c r="B14" s="15" t="n">
        <v>-0.25</v>
      </c>
      <c r="C14" s="15" t="n">
        <v>7.23</v>
      </c>
      <c r="D14" s="15" t="n">
        <v>-7.48</v>
      </c>
    </row>
    <row r="15">
      <c r="A15" s="8" t="inlineStr">
        <is>
          <t>2023-08-09</t>
        </is>
      </c>
      <c r="B15" s="15" t="n">
        <v>1.22</v>
      </c>
      <c r="C15" s="15" t="n">
        <v>1.55</v>
      </c>
      <c r="D15" s="15" t="n">
        <v>-0.33</v>
      </c>
    </row>
    <row r="16">
      <c r="A16" s="8" t="inlineStr">
        <is>
          <t>2025-02-26</t>
        </is>
      </c>
      <c r="B16" s="15" t="n">
        <v>5.72</v>
      </c>
      <c r="C16" s="15" t="n">
        <v>6.42</v>
      </c>
      <c r="D16" s="15" t="n">
        <v>-0.7</v>
      </c>
    </row>
    <row r="17">
      <c r="A17" s="8" t="inlineStr">
        <is>
          <t>2025-11-19</t>
        </is>
      </c>
      <c r="B17" s="15" t="n">
        <v>-3.86</v>
      </c>
      <c r="C17" s="15" t="n">
        <v>-6.86</v>
      </c>
      <c r="D17" s="15" t="n">
        <v>3</v>
      </c>
    </row>
    <row r="18">
      <c r="A18" s="8" t="inlineStr">
        <is>
          <t>2026-05-27</t>
        </is>
      </c>
      <c r="B18" s="15" t="n">
        <v>-8.52</v>
      </c>
      <c r="C18" s="15" t="n">
        <v>-6.52</v>
      </c>
      <c r="D18" s="15" t="n">
        <v>-2</v>
      </c>
    </row>
    <row r="20">
      <c r="A20" s="12" t="inlineStr">
        <is>
          <t>样本口径敏感性（同一指标、不同样本）</t>
        </is>
      </c>
    </row>
    <row r="21" ht="28" customHeight="1">
      <c r="A21" s="7" t="inlineStr">
        <is>
          <t>场景</t>
        </is>
      </c>
      <c r="B21" s="7" t="inlineStr">
        <is>
          <t>样本数</t>
        </is>
      </c>
      <c r="C21" s="7" t="inlineStr">
        <is>
          <t>均值</t>
        </is>
      </c>
      <c r="D21" s="7" t="inlineStr">
        <is>
          <t>中位数</t>
        </is>
      </c>
      <c r="E21" s="7" t="inlineStr">
        <is>
          <t>最小值</t>
        </is>
      </c>
      <c r="F21" s="7" t="inlineStr">
        <is>
          <t>最大值</t>
        </is>
      </c>
    </row>
    <row r="22">
      <c r="A22" s="8" t="inlineStr">
        <is>
          <t>全部可得周次（历史 N 年）</t>
        </is>
      </c>
      <c r="B22" s="8" t="n">
        <v>184</v>
      </c>
      <c r="C22" s="15" t="n">
        <v>65.59999999999999</v>
      </c>
      <c r="D22" s="8" t="n">
        <v>64.15000000000001</v>
      </c>
      <c r="E22" s="8" t="n">
        <v>32.4</v>
      </c>
      <c r="F22" s="8" t="n">
        <v>108.64</v>
      </c>
    </row>
    <row r="23">
      <c r="A23" s="8" t="inlineStr">
        <is>
          <t>剔除异常段：2026Q2 极端下行</t>
        </is>
      </c>
      <c r="B23" s="8" t="n">
        <v>184</v>
      </c>
      <c r="C23" s="15" t="n">
        <v>65.59999999999999</v>
      </c>
      <c r="D23" s="8" t="n">
        <v>64.15000000000001</v>
      </c>
      <c r="E23" s="8" t="n">
        <v>32.4</v>
      </c>
      <c r="F23" s="8" t="n">
        <v>108.64</v>
      </c>
    </row>
    <row r="24">
      <c r="A24" s="8" t="inlineStr">
        <is>
          <t>仅近 2 个完整年</t>
        </is>
      </c>
      <c r="B24" s="8" t="n">
        <v>96</v>
      </c>
      <c r="C24" s="15" t="n">
        <v>66.23</v>
      </c>
      <c r="D24" s="8" t="n">
        <v>63.91</v>
      </c>
      <c r="E24" s="8" t="n">
        <v>32.4</v>
      </c>
      <c r="F24" s="8" t="n">
        <v>108.64</v>
      </c>
    </row>
    <row r="25">
      <c r="A25" s="8" t="inlineStr">
        <is>
          <t>仅逐地区完整披露的周次</t>
        </is>
      </c>
      <c r="B25" s="8" t="n">
        <v>165</v>
      </c>
      <c r="C25" s="15" t="n">
        <v>63.7</v>
      </c>
      <c r="D25" s="8" t="n">
        <v>63.4</v>
      </c>
      <c r="E25" s="8" t="n">
        <v>32.4</v>
      </c>
      <c r="F25" s="8" t="n">
        <v>103.27</v>
      </c>
    </row>
    <row r="26">
      <c r="A26" s="9" t="inlineStr">
        <is>
          <t>B 样本（2016-08~2018-05 回溯加总）</t>
        </is>
      </c>
      <c r="B26" s="8" t="n">
        <v>34</v>
      </c>
      <c r="C26" s="15" t="n">
        <v>56.94</v>
      </c>
      <c r="D26" s="8" t="n">
        <v>55.05</v>
      </c>
      <c r="E26" s="8" t="n">
        <v>31.61</v>
      </c>
      <c r="F26" s="8" t="n">
        <v>86.64</v>
      </c>
    </row>
    <row r="28">
      <c r="A28" s="12" t="inlineStr">
        <is>
          <t>披露状态（逐月）</t>
        </is>
      </c>
    </row>
    <row r="29" ht="28" customHeight="1">
      <c r="A29" s="7" t="inlineStr">
        <is>
          <t>月份</t>
        </is>
      </c>
      <c r="B29" s="7" t="inlineStr">
        <is>
          <t>期数</t>
        </is>
      </c>
      <c r="C29" s="7" t="inlineStr">
        <is>
          <t>文本分区披露</t>
        </is>
      </c>
      <c r="D29" s="7" t="inlineStr">
        <is>
          <t>逐地区齐全</t>
        </is>
      </c>
      <c r="E29" s="7" t="inlineStr">
        <is>
          <t>华东表格值</t>
        </is>
      </c>
      <c r="F29" s="7" t="inlineStr">
        <is>
          <t>含官方增减额</t>
        </is>
      </c>
      <c r="G29" s="7" t="inlineStr">
        <is>
          <t>逐地区齐全比例</t>
        </is>
      </c>
    </row>
    <row r="30">
      <c r="A30" s="8" t="inlineStr">
        <is>
          <t>2022-04</t>
        </is>
      </c>
      <c r="B30" s="8" t="n">
        <v>4</v>
      </c>
      <c r="C30" s="8" t="n">
        <v>0</v>
      </c>
      <c r="D30" s="8" t="n">
        <v>4</v>
      </c>
      <c r="E30" s="8" t="n">
        <v>4</v>
      </c>
      <c r="F30" s="8" t="n">
        <v>0</v>
      </c>
      <c r="G30" s="8" t="n">
        <v>1</v>
      </c>
    </row>
    <row r="31">
      <c r="A31" s="8" t="inlineStr">
        <is>
          <t>2022-05</t>
        </is>
      </c>
      <c r="B31" s="8" t="n">
        <v>4</v>
      </c>
      <c r="C31" s="8" t="n">
        <v>0</v>
      </c>
      <c r="D31" s="8" t="n">
        <v>4</v>
      </c>
      <c r="E31" s="8" t="n">
        <v>4</v>
      </c>
      <c r="F31" s="8" t="n">
        <v>0</v>
      </c>
      <c r="G31" s="8" t="n">
        <v>1</v>
      </c>
    </row>
    <row r="32">
      <c r="A32" s="8" t="inlineStr">
        <is>
          <t>2022-06</t>
        </is>
      </c>
      <c r="B32" s="8" t="n">
        <v>5</v>
      </c>
      <c r="C32" s="8" t="n">
        <v>0</v>
      </c>
      <c r="D32" s="8" t="n">
        <v>5</v>
      </c>
      <c r="E32" s="8" t="n">
        <v>5</v>
      </c>
      <c r="F32" s="8" t="n">
        <v>0</v>
      </c>
      <c r="G32" s="8" t="n">
        <v>1</v>
      </c>
    </row>
    <row r="33">
      <c r="A33" s="8" t="inlineStr">
        <is>
          <t>2022-07</t>
        </is>
      </c>
      <c r="B33" s="8" t="n">
        <v>4</v>
      </c>
      <c r="C33" s="8" t="n">
        <v>0</v>
      </c>
      <c r="D33" s="8" t="n">
        <v>3</v>
      </c>
      <c r="E33" s="8" t="n">
        <v>4</v>
      </c>
      <c r="F33" s="8" t="n">
        <v>0</v>
      </c>
      <c r="G33" s="8" t="n">
        <v>0.75</v>
      </c>
    </row>
    <row r="34">
      <c r="A34" s="8" t="inlineStr">
        <is>
          <t>2022-08</t>
        </is>
      </c>
      <c r="B34" s="8" t="n">
        <v>5</v>
      </c>
      <c r="C34" s="8" t="n">
        <v>3</v>
      </c>
      <c r="D34" s="8" t="n">
        <v>4</v>
      </c>
      <c r="E34" s="8" t="n">
        <v>5</v>
      </c>
      <c r="F34" s="8" t="n">
        <v>3</v>
      </c>
      <c r="G34" s="8" t="n">
        <v>0.8</v>
      </c>
    </row>
    <row r="35">
      <c r="A35" s="8" t="inlineStr">
        <is>
          <t>2022-09</t>
        </is>
      </c>
      <c r="B35" s="8" t="n">
        <v>4</v>
      </c>
      <c r="C35" s="8" t="n">
        <v>2</v>
      </c>
      <c r="D35" s="8" t="n">
        <v>4</v>
      </c>
      <c r="E35" s="8" t="n">
        <v>4</v>
      </c>
      <c r="F35" s="8" t="n">
        <v>2</v>
      </c>
      <c r="G35" s="8" t="n">
        <v>1</v>
      </c>
    </row>
    <row r="36">
      <c r="A36" s="8" t="inlineStr">
        <is>
          <t>2022-10</t>
        </is>
      </c>
      <c r="B36" s="8" t="n">
        <v>3</v>
      </c>
      <c r="C36" s="8" t="n">
        <v>3</v>
      </c>
      <c r="D36" s="8" t="n">
        <v>2</v>
      </c>
      <c r="E36" s="8" t="n">
        <v>3</v>
      </c>
      <c r="F36" s="8" t="n">
        <v>3</v>
      </c>
      <c r="G36" s="8" t="n">
        <v>0.667</v>
      </c>
    </row>
    <row r="37">
      <c r="A37" s="8" t="inlineStr">
        <is>
          <t>2022-11</t>
        </is>
      </c>
      <c r="B37" s="8" t="n">
        <v>5</v>
      </c>
      <c r="C37" s="8" t="n">
        <v>5</v>
      </c>
      <c r="D37" s="8" t="n">
        <v>4</v>
      </c>
      <c r="E37" s="8" t="n">
        <v>4</v>
      </c>
      <c r="F37" s="8" t="n">
        <v>5</v>
      </c>
      <c r="G37" s="8" t="n">
        <v>0.8</v>
      </c>
    </row>
    <row r="38">
      <c r="A38" s="8" t="inlineStr">
        <is>
          <t>2022-12</t>
        </is>
      </c>
      <c r="B38" s="8" t="n">
        <v>4</v>
      </c>
      <c r="C38" s="8" t="n">
        <v>1</v>
      </c>
      <c r="D38" s="8" t="n">
        <v>4</v>
      </c>
      <c r="E38" s="8" t="n">
        <v>4</v>
      </c>
      <c r="F38" s="8" t="n">
        <v>1</v>
      </c>
      <c r="G38" s="8" t="n">
        <v>1</v>
      </c>
    </row>
    <row r="39">
      <c r="A39" s="8" t="inlineStr">
        <is>
          <t>2023-01</t>
        </is>
      </c>
      <c r="B39" s="8" t="n">
        <v>3</v>
      </c>
      <c r="C39" s="8" t="n">
        <v>3</v>
      </c>
      <c r="D39" s="8" t="n">
        <v>3</v>
      </c>
      <c r="E39" s="8" t="n">
        <v>3</v>
      </c>
      <c r="F39" s="8" t="n">
        <v>3</v>
      </c>
      <c r="G39" s="8" t="n">
        <v>1</v>
      </c>
    </row>
    <row r="40">
      <c r="A40" s="8" t="inlineStr">
        <is>
          <t>2023-02</t>
        </is>
      </c>
      <c r="B40" s="8" t="n">
        <v>4</v>
      </c>
      <c r="C40" s="8" t="n">
        <v>2</v>
      </c>
      <c r="D40" s="8" t="n">
        <v>4</v>
      </c>
      <c r="E40" s="8" t="n">
        <v>4</v>
      </c>
      <c r="F40" s="8" t="n">
        <v>2</v>
      </c>
      <c r="G40" s="8" t="n">
        <v>1</v>
      </c>
    </row>
    <row r="41">
      <c r="A41" s="8" t="inlineStr">
        <is>
          <t>2023-03</t>
        </is>
      </c>
      <c r="B41" s="8" t="n">
        <v>5</v>
      </c>
      <c r="C41" s="8" t="n">
        <v>3</v>
      </c>
      <c r="D41" s="8" t="n">
        <v>5</v>
      </c>
      <c r="E41" s="8" t="n">
        <v>5</v>
      </c>
      <c r="F41" s="8" t="n">
        <v>3</v>
      </c>
      <c r="G41" s="8" t="n">
        <v>1</v>
      </c>
    </row>
    <row r="42">
      <c r="A42" s="8" t="inlineStr">
        <is>
          <t>2023-04</t>
        </is>
      </c>
      <c r="B42" s="8" t="n">
        <v>4</v>
      </c>
      <c r="C42" s="8" t="n">
        <v>3</v>
      </c>
      <c r="D42" s="8" t="n">
        <v>4</v>
      </c>
      <c r="E42" s="8" t="n">
        <v>4</v>
      </c>
      <c r="F42" s="8" t="n">
        <v>3</v>
      </c>
      <c r="G42" s="8" t="n">
        <v>1</v>
      </c>
    </row>
    <row r="43">
      <c r="A43" s="8" t="inlineStr">
        <is>
          <t>2023-05</t>
        </is>
      </c>
      <c r="B43" s="8" t="n">
        <v>5</v>
      </c>
      <c r="C43" s="8" t="n">
        <v>5</v>
      </c>
      <c r="D43" s="8" t="n">
        <v>5</v>
      </c>
      <c r="E43" s="8" t="n">
        <v>5</v>
      </c>
      <c r="F43" s="8" t="n">
        <v>5</v>
      </c>
      <c r="G43" s="8" t="n">
        <v>1</v>
      </c>
    </row>
    <row r="44">
      <c r="A44" s="8" t="inlineStr">
        <is>
          <t>2023-06</t>
        </is>
      </c>
      <c r="B44" s="8" t="n">
        <v>3</v>
      </c>
      <c r="C44" s="8" t="n">
        <v>3</v>
      </c>
      <c r="D44" s="8" t="n">
        <v>3</v>
      </c>
      <c r="E44" s="8" t="n">
        <v>3</v>
      </c>
      <c r="F44" s="8" t="n">
        <v>3</v>
      </c>
      <c r="G44" s="8" t="n">
        <v>1</v>
      </c>
    </row>
    <row r="45">
      <c r="A45" s="8" t="inlineStr">
        <is>
          <t>2023-07</t>
        </is>
      </c>
      <c r="B45" s="8" t="n">
        <v>4</v>
      </c>
      <c r="C45" s="8" t="n">
        <v>4</v>
      </c>
      <c r="D45" s="8" t="n">
        <v>4</v>
      </c>
      <c r="E45" s="8" t="n">
        <v>4</v>
      </c>
      <c r="F45" s="8" t="n">
        <v>4</v>
      </c>
      <c r="G45" s="8" t="n">
        <v>1</v>
      </c>
    </row>
    <row r="46">
      <c r="A46" s="8" t="inlineStr">
        <is>
          <t>2023-08</t>
        </is>
      </c>
      <c r="B46" s="8" t="n">
        <v>5</v>
      </c>
      <c r="C46" s="8" t="n">
        <v>4</v>
      </c>
      <c r="D46" s="8" t="n">
        <v>4</v>
      </c>
      <c r="E46" s="8" t="n">
        <v>5</v>
      </c>
      <c r="F46" s="8" t="n">
        <v>4</v>
      </c>
      <c r="G46" s="8" t="n">
        <v>0.8</v>
      </c>
    </row>
    <row r="47">
      <c r="A47" s="8" t="inlineStr">
        <is>
          <t>2023-09</t>
        </is>
      </c>
      <c r="B47" s="8" t="n">
        <v>4</v>
      </c>
      <c r="C47" s="8" t="n">
        <v>2</v>
      </c>
      <c r="D47" s="8" t="n">
        <v>4</v>
      </c>
      <c r="E47" s="8" t="n">
        <v>4</v>
      </c>
      <c r="F47" s="8" t="n">
        <v>2</v>
      </c>
      <c r="G47" s="8" t="n">
        <v>1</v>
      </c>
    </row>
    <row r="48">
      <c r="A48" s="8" t="inlineStr">
        <is>
          <t>2023-10</t>
        </is>
      </c>
      <c r="B48" s="8" t="n">
        <v>4</v>
      </c>
      <c r="C48" s="8" t="n">
        <v>4</v>
      </c>
      <c r="D48" s="8" t="n">
        <v>4</v>
      </c>
      <c r="E48" s="8" t="n">
        <v>4</v>
      </c>
      <c r="F48" s="8" t="n">
        <v>4</v>
      </c>
      <c r="G48" s="8" t="n">
        <v>1</v>
      </c>
    </row>
    <row r="49">
      <c r="A49" s="8" t="inlineStr">
        <is>
          <t>2023-11</t>
        </is>
      </c>
      <c r="B49" s="8" t="n">
        <v>5</v>
      </c>
      <c r="C49" s="8" t="n">
        <v>4</v>
      </c>
      <c r="D49" s="8" t="n">
        <v>4</v>
      </c>
      <c r="E49" s="8" t="n">
        <v>5</v>
      </c>
      <c r="F49" s="8" t="n">
        <v>4</v>
      </c>
      <c r="G49" s="8" t="n">
        <v>0.8</v>
      </c>
    </row>
    <row r="50">
      <c r="A50" s="8" t="inlineStr">
        <is>
          <t>2023-12</t>
        </is>
      </c>
      <c r="B50" s="8" t="n">
        <v>4</v>
      </c>
      <c r="C50" s="8" t="n">
        <v>1</v>
      </c>
      <c r="D50" s="8" t="n">
        <v>4</v>
      </c>
      <c r="E50" s="8" t="n">
        <v>4</v>
      </c>
      <c r="F50" s="8" t="n">
        <v>1</v>
      </c>
      <c r="G50" s="8" t="n">
        <v>1</v>
      </c>
    </row>
    <row r="51">
      <c r="A51" s="8" t="inlineStr">
        <is>
          <t>2024-01</t>
        </is>
      </c>
      <c r="B51" s="8" t="n">
        <v>5</v>
      </c>
      <c r="C51" s="8" t="n">
        <v>3</v>
      </c>
      <c r="D51" s="8" t="n">
        <v>5</v>
      </c>
      <c r="E51" s="8" t="n">
        <v>5</v>
      </c>
      <c r="F51" s="8" t="n">
        <v>3</v>
      </c>
      <c r="G51" s="8" t="n">
        <v>1</v>
      </c>
    </row>
    <row r="52">
      <c r="A52" s="8" t="inlineStr">
        <is>
          <t>2024-02</t>
        </is>
      </c>
      <c r="B52" s="8" t="n">
        <v>4</v>
      </c>
      <c r="C52" s="8" t="n">
        <v>4</v>
      </c>
      <c r="D52" s="8" t="n">
        <v>4</v>
      </c>
      <c r="E52" s="8" t="n">
        <v>4</v>
      </c>
      <c r="F52" s="8" t="n">
        <v>4</v>
      </c>
      <c r="G52" s="8" t="n">
        <v>1</v>
      </c>
    </row>
    <row r="53">
      <c r="A53" s="8" t="inlineStr">
        <is>
          <t>2024-03</t>
        </is>
      </c>
      <c r="B53" s="8" t="n">
        <v>4</v>
      </c>
      <c r="C53" s="8" t="n">
        <v>4</v>
      </c>
      <c r="D53" s="8" t="n">
        <v>4</v>
      </c>
      <c r="E53" s="8" t="n">
        <v>4</v>
      </c>
      <c r="F53" s="8" t="n">
        <v>4</v>
      </c>
      <c r="G53" s="8" t="n">
        <v>1</v>
      </c>
    </row>
    <row r="54">
      <c r="A54" s="8" t="inlineStr">
        <is>
          <t>2024-04</t>
        </is>
      </c>
      <c r="B54" s="8" t="n">
        <v>5</v>
      </c>
      <c r="C54" s="8" t="n">
        <v>5</v>
      </c>
      <c r="D54" s="8" t="n">
        <v>5</v>
      </c>
      <c r="E54" s="8" t="n">
        <v>5</v>
      </c>
      <c r="F54" s="8" t="n">
        <v>5</v>
      </c>
      <c r="G54" s="8" t="n">
        <v>1</v>
      </c>
    </row>
    <row r="55">
      <c r="A55" s="8" t="inlineStr">
        <is>
          <t>2024-05</t>
        </is>
      </c>
      <c r="B55" s="8" t="n">
        <v>4</v>
      </c>
      <c r="C55" s="8" t="n">
        <v>3</v>
      </c>
      <c r="D55" s="8" t="n">
        <v>4</v>
      </c>
      <c r="E55" s="8" t="n">
        <v>4</v>
      </c>
      <c r="F55" s="8" t="n">
        <v>3</v>
      </c>
      <c r="G55" s="8" t="n">
        <v>1</v>
      </c>
    </row>
    <row r="56">
      <c r="A56" s="8" t="inlineStr">
        <is>
          <t>2024-06</t>
        </is>
      </c>
      <c r="B56" s="8" t="n">
        <v>4</v>
      </c>
      <c r="C56" s="8" t="n">
        <v>3</v>
      </c>
      <c r="D56" s="8" t="n">
        <v>4</v>
      </c>
      <c r="E56" s="8" t="n">
        <v>4</v>
      </c>
      <c r="F56" s="8" t="n">
        <v>3</v>
      </c>
      <c r="G56" s="8" t="n">
        <v>1</v>
      </c>
    </row>
    <row r="57">
      <c r="A57" s="8" t="inlineStr">
        <is>
          <t>2024-07</t>
        </is>
      </c>
      <c r="B57" s="8" t="n">
        <v>5</v>
      </c>
      <c r="C57" s="8" t="n">
        <v>5</v>
      </c>
      <c r="D57" s="8" t="n">
        <v>5</v>
      </c>
      <c r="E57" s="8" t="n">
        <v>5</v>
      </c>
      <c r="F57" s="8" t="n">
        <v>5</v>
      </c>
      <c r="G57" s="8" t="n">
        <v>1</v>
      </c>
    </row>
    <row r="58">
      <c r="A58" s="8" t="inlineStr">
        <is>
          <t>2024-08</t>
        </is>
      </c>
      <c r="B58" s="8" t="n">
        <v>4</v>
      </c>
      <c r="C58" s="8" t="n">
        <v>3</v>
      </c>
      <c r="D58" s="8" t="n">
        <v>4</v>
      </c>
      <c r="E58" s="8" t="n">
        <v>4</v>
      </c>
      <c r="F58" s="8" t="n">
        <v>3</v>
      </c>
      <c r="G58" s="8" t="n">
        <v>1</v>
      </c>
    </row>
    <row r="59">
      <c r="A59" s="8" t="inlineStr">
        <is>
          <t>2024-09</t>
        </is>
      </c>
      <c r="B59" s="8" t="n">
        <v>4</v>
      </c>
      <c r="C59" s="8" t="n">
        <v>4</v>
      </c>
      <c r="D59" s="8" t="n">
        <v>4</v>
      </c>
      <c r="E59" s="8" t="n">
        <v>4</v>
      </c>
      <c r="F59" s="8" t="n">
        <v>4</v>
      </c>
      <c r="G59" s="8" t="n">
        <v>1</v>
      </c>
    </row>
    <row r="60">
      <c r="A60" s="8" t="inlineStr">
        <is>
          <t>2024-10</t>
        </is>
      </c>
      <c r="B60" s="8" t="n">
        <v>4</v>
      </c>
      <c r="C60" s="8" t="n">
        <v>2</v>
      </c>
      <c r="D60" s="8" t="n">
        <v>4</v>
      </c>
      <c r="E60" s="8" t="n">
        <v>4</v>
      </c>
      <c r="F60" s="8" t="n">
        <v>2</v>
      </c>
      <c r="G60" s="8" t="n">
        <v>1</v>
      </c>
    </row>
    <row r="61">
      <c r="A61" s="8" t="inlineStr">
        <is>
          <t>2024-11</t>
        </is>
      </c>
      <c r="B61" s="8" t="n">
        <v>4</v>
      </c>
      <c r="C61" s="8" t="n">
        <v>3</v>
      </c>
      <c r="D61" s="8" t="n">
        <v>4</v>
      </c>
      <c r="E61" s="8" t="n">
        <v>4</v>
      </c>
      <c r="F61" s="8" t="n">
        <v>3</v>
      </c>
      <c r="G61" s="8" t="n">
        <v>1</v>
      </c>
    </row>
    <row r="62">
      <c r="A62" s="8" t="inlineStr">
        <is>
          <t>2024-12</t>
        </is>
      </c>
      <c r="B62" s="8" t="n">
        <v>4</v>
      </c>
      <c r="C62" s="8" t="n">
        <v>4</v>
      </c>
      <c r="D62" s="8" t="n">
        <v>4</v>
      </c>
      <c r="E62" s="8" t="n">
        <v>4</v>
      </c>
      <c r="F62" s="8" t="n">
        <v>4</v>
      </c>
      <c r="G62" s="8" t="n">
        <v>1</v>
      </c>
    </row>
    <row r="63">
      <c r="A63" s="8" t="inlineStr">
        <is>
          <t>2025-01</t>
        </is>
      </c>
      <c r="B63" s="8" t="n">
        <v>4</v>
      </c>
      <c r="C63" s="8" t="n">
        <v>4</v>
      </c>
      <c r="D63" s="8" t="n">
        <v>4</v>
      </c>
      <c r="E63" s="8" t="n">
        <v>4</v>
      </c>
      <c r="F63" s="8" t="n">
        <v>4</v>
      </c>
      <c r="G63" s="8" t="n">
        <v>1</v>
      </c>
    </row>
    <row r="64">
      <c r="A64" s="8" t="inlineStr">
        <is>
          <t>2025-02</t>
        </is>
      </c>
      <c r="B64" s="8" t="n">
        <v>4</v>
      </c>
      <c r="C64" s="8" t="n">
        <v>4</v>
      </c>
      <c r="D64" s="8" t="n">
        <v>4</v>
      </c>
      <c r="E64" s="8" t="n">
        <v>4</v>
      </c>
      <c r="F64" s="8" t="n">
        <v>4</v>
      </c>
      <c r="G64" s="8" t="n">
        <v>1</v>
      </c>
    </row>
    <row r="65">
      <c r="A65" s="8" t="inlineStr">
        <is>
          <t>2025-03</t>
        </is>
      </c>
      <c r="B65" s="8" t="n">
        <v>4</v>
      </c>
      <c r="C65" s="8" t="n">
        <v>4</v>
      </c>
      <c r="D65" s="8" t="n">
        <v>4</v>
      </c>
      <c r="E65" s="8" t="n">
        <v>4</v>
      </c>
      <c r="F65" s="8" t="n">
        <v>4</v>
      </c>
      <c r="G65" s="8" t="n">
        <v>1</v>
      </c>
    </row>
    <row r="66">
      <c r="A66" s="8" t="inlineStr">
        <is>
          <t>2025-04</t>
        </is>
      </c>
      <c r="B66" s="8" t="n">
        <v>5</v>
      </c>
      <c r="C66" s="8" t="n">
        <v>5</v>
      </c>
      <c r="D66" s="8" t="n">
        <v>5</v>
      </c>
      <c r="E66" s="8" t="n">
        <v>5</v>
      </c>
      <c r="F66" s="8" t="n">
        <v>5</v>
      </c>
      <c r="G66" s="8" t="n">
        <v>1</v>
      </c>
    </row>
    <row r="67">
      <c r="A67" s="8" t="inlineStr">
        <is>
          <t>2025-05</t>
        </is>
      </c>
      <c r="B67" s="8" t="n">
        <v>4</v>
      </c>
      <c r="C67" s="8" t="n">
        <v>4</v>
      </c>
      <c r="D67" s="8" t="n">
        <v>4</v>
      </c>
      <c r="E67" s="8" t="n">
        <v>4</v>
      </c>
      <c r="F67" s="8" t="n">
        <v>4</v>
      </c>
      <c r="G67" s="8" t="n">
        <v>1</v>
      </c>
    </row>
    <row r="68">
      <c r="A68" s="8" t="inlineStr">
        <is>
          <t>2025-06</t>
        </is>
      </c>
      <c r="B68" s="8" t="n">
        <v>4</v>
      </c>
      <c r="C68" s="8" t="n">
        <v>4</v>
      </c>
      <c r="D68" s="8" t="n">
        <v>3</v>
      </c>
      <c r="E68" s="8" t="n">
        <v>4</v>
      </c>
      <c r="F68" s="8" t="n">
        <v>4</v>
      </c>
      <c r="G68" s="8" t="n">
        <v>0.75</v>
      </c>
    </row>
    <row r="69">
      <c r="A69" s="8" t="inlineStr">
        <is>
          <t>2025-07</t>
        </is>
      </c>
      <c r="B69" s="8" t="n">
        <v>5</v>
      </c>
      <c r="C69" s="8" t="n">
        <v>5</v>
      </c>
      <c r="D69" s="8" t="n">
        <v>4</v>
      </c>
      <c r="E69" s="8" t="n">
        <v>4</v>
      </c>
      <c r="F69" s="8" t="n">
        <v>5</v>
      </c>
      <c r="G69" s="8" t="n">
        <v>0.8</v>
      </c>
    </row>
    <row r="70">
      <c r="A70" s="8" t="inlineStr">
        <is>
          <t>2025-08</t>
        </is>
      </c>
      <c r="B70" s="8" t="n">
        <v>4</v>
      </c>
      <c r="C70" s="8" t="n">
        <v>4</v>
      </c>
      <c r="D70" s="8" t="n">
        <v>0</v>
      </c>
      <c r="E70" s="8" t="n">
        <v>0</v>
      </c>
      <c r="F70" s="8" t="n">
        <v>4</v>
      </c>
      <c r="G70" s="8" t="n">
        <v>0</v>
      </c>
    </row>
    <row r="71">
      <c r="A71" s="8" t="inlineStr">
        <is>
          <t>2025-09</t>
        </is>
      </c>
      <c r="B71" s="8" t="n">
        <v>4</v>
      </c>
      <c r="C71" s="8" t="n">
        <v>4</v>
      </c>
      <c r="D71" s="8" t="n">
        <v>1</v>
      </c>
      <c r="E71" s="8" t="n">
        <v>2</v>
      </c>
      <c r="F71" s="8" t="n">
        <v>4</v>
      </c>
      <c r="G71" s="8" t="n">
        <v>0.25</v>
      </c>
    </row>
    <row r="72">
      <c r="A72" s="8" t="inlineStr">
        <is>
          <t>2025-10</t>
        </is>
      </c>
      <c r="B72" s="8" t="n">
        <v>4</v>
      </c>
      <c r="C72" s="8" t="n">
        <v>4</v>
      </c>
      <c r="D72" s="8" t="n">
        <v>1</v>
      </c>
      <c r="E72" s="8" t="n">
        <v>2</v>
      </c>
      <c r="F72" s="8" t="n">
        <v>4</v>
      </c>
      <c r="G72" s="8" t="n">
        <v>0.25</v>
      </c>
    </row>
    <row r="73">
      <c r="A73" s="8" t="inlineStr">
        <is>
          <t>2025-11</t>
        </is>
      </c>
      <c r="B73" s="8" t="n">
        <v>4</v>
      </c>
      <c r="C73" s="8" t="n">
        <v>4</v>
      </c>
      <c r="D73" s="8" t="n">
        <v>2</v>
      </c>
      <c r="E73" s="8" t="n">
        <v>2</v>
      </c>
      <c r="F73" s="8" t="n">
        <v>4</v>
      </c>
      <c r="G73" s="8" t="n">
        <v>0.5</v>
      </c>
    </row>
    <row r="74">
      <c r="A74" s="8" t="inlineStr">
        <is>
          <t>2025-12</t>
        </is>
      </c>
      <c r="B74" s="8" t="n">
        <v>5</v>
      </c>
      <c r="C74" s="8" t="n">
        <v>5</v>
      </c>
      <c r="D74" s="8" t="n">
        <v>0</v>
      </c>
      <c r="E74" s="8" t="n">
        <v>2</v>
      </c>
      <c r="F74" s="8" t="n">
        <v>5</v>
      </c>
      <c r="G74" s="8" t="n">
        <v>0</v>
      </c>
    </row>
    <row r="75">
      <c r="A75" s="8" t="inlineStr">
        <is>
          <t>2026-01</t>
        </is>
      </c>
      <c r="B75" s="8" t="n">
        <v>4</v>
      </c>
      <c r="C75" s="8" t="n">
        <v>4</v>
      </c>
      <c r="D75" s="8" t="n">
        <v>1</v>
      </c>
      <c r="E75" s="8" t="n">
        <v>2</v>
      </c>
      <c r="F75" s="8" t="n">
        <v>4</v>
      </c>
      <c r="G75" s="8" t="n">
        <v>0.25</v>
      </c>
    </row>
    <row r="76">
      <c r="A76" s="8" t="inlineStr">
        <is>
          <t>2026-02</t>
        </is>
      </c>
      <c r="B76" s="8" t="n">
        <v>3</v>
      </c>
      <c r="C76" s="8" t="n">
        <v>2</v>
      </c>
      <c r="D76" s="8" t="n">
        <v>0</v>
      </c>
      <c r="E76" s="8" t="n">
        <v>2</v>
      </c>
      <c r="F76" s="8" t="n">
        <v>2</v>
      </c>
      <c r="G76" s="8" t="n">
        <v>0</v>
      </c>
    </row>
    <row r="77">
      <c r="A77" s="8" t="inlineStr">
        <is>
          <t>2026-03</t>
        </is>
      </c>
      <c r="B77" s="8" t="n">
        <v>4</v>
      </c>
      <c r="C77" s="8" t="n">
        <v>4</v>
      </c>
      <c r="D77" s="8" t="n">
        <v>2</v>
      </c>
      <c r="E77" s="8" t="n">
        <v>3</v>
      </c>
      <c r="F77" s="8" t="n">
        <v>4</v>
      </c>
      <c r="G77" s="8" t="n">
        <v>0.5</v>
      </c>
    </row>
    <row r="78">
      <c r="A78" s="8" t="inlineStr">
        <is>
          <t>2026-04</t>
        </is>
      </c>
      <c r="B78" s="8" t="n">
        <v>5</v>
      </c>
      <c r="C78" s="8" t="n">
        <v>2</v>
      </c>
      <c r="D78" s="8" t="n">
        <v>1</v>
      </c>
      <c r="E78" s="8" t="n">
        <v>4</v>
      </c>
      <c r="F78" s="8" t="n">
        <v>2</v>
      </c>
      <c r="G78" s="8" t="n">
        <v>0.2</v>
      </c>
    </row>
    <row r="79">
      <c r="A79" s="8" t="inlineStr">
        <is>
          <t>2026-05</t>
        </is>
      </c>
      <c r="B79" s="8" t="n">
        <v>4</v>
      </c>
      <c r="C79" s="8" t="n">
        <v>4</v>
      </c>
      <c r="D79" s="8" t="n">
        <v>1</v>
      </c>
      <c r="E79" s="8" t="n">
        <v>3</v>
      </c>
      <c r="F79" s="8" t="n">
        <v>4</v>
      </c>
      <c r="G79" s="8" t="n">
        <v>0.25</v>
      </c>
    </row>
    <row r="80">
      <c r="A80" s="8" t="inlineStr">
        <is>
          <t>2026-06</t>
        </is>
      </c>
      <c r="B80" s="8" t="n">
        <v>4</v>
      </c>
      <c r="C80" s="8" t="n">
        <v>4</v>
      </c>
      <c r="D80" s="8" t="n">
        <v>1</v>
      </c>
      <c r="E80" s="8" t="n">
        <v>3</v>
      </c>
      <c r="F80" s="8" t="n">
        <v>4</v>
      </c>
      <c r="G80" s="8" t="n">
        <v>0.25</v>
      </c>
    </row>
    <row r="81">
      <c r="A81" s="8" t="inlineStr">
        <is>
          <t>2026-07</t>
        </is>
      </c>
      <c r="B81" s="8" t="n">
        <v>5</v>
      </c>
      <c r="C81" s="8" t="n">
        <v>5</v>
      </c>
      <c r="D81" s="8" t="n">
        <v>1</v>
      </c>
      <c r="E81" s="8" t="n">
        <v>3</v>
      </c>
      <c r="F81" s="8" t="n">
        <v>5</v>
      </c>
      <c r="G81" s="8" t="n">
        <v>0.2</v>
      </c>
    </row>
    <row r="82">
      <c r="A82" s="8" t="inlineStr">
        <is>
          <t>2026-08</t>
        </is>
      </c>
      <c r="B82" s="8" t="n">
        <v>4</v>
      </c>
      <c r="C82" s="8" t="n">
        <v>4</v>
      </c>
      <c r="D82" s="8" t="n">
        <v>0</v>
      </c>
      <c r="E82" s="8" t="n">
        <v>0</v>
      </c>
      <c r="F82" s="8" t="n">
        <v>4</v>
      </c>
      <c r="G82" s="8" t="n">
        <v>0</v>
      </c>
    </row>
    <row r="83">
      <c r="A83" s="8" t="inlineStr">
        <is>
          <t>2026-09</t>
        </is>
      </c>
      <c r="B83" s="8" t="n">
        <v>5</v>
      </c>
      <c r="C83" s="8" t="n">
        <v>5</v>
      </c>
      <c r="D83" s="8" t="n">
        <v>0</v>
      </c>
      <c r="E83" s="8" t="n">
        <v>0</v>
      </c>
      <c r="F83" s="8" t="n">
        <v>5</v>
      </c>
      <c r="G83" s="8" t="n">
        <v>0</v>
      </c>
    </row>
    <row r="84">
      <c r="A84" s="8" t="inlineStr">
        <is>
          <t>2026-10</t>
        </is>
      </c>
      <c r="B84" s="8" t="n">
        <v>2</v>
      </c>
      <c r="C84" s="8" t="n">
        <v>2</v>
      </c>
      <c r="D84" s="8" t="n">
        <v>0</v>
      </c>
      <c r="E84" s="8" t="n">
        <v>0</v>
      </c>
      <c r="F84" s="8" t="n">
        <v>2</v>
      </c>
      <c r="G84" s="8" t="n">
        <v>0</v>
      </c>
    </row>
  </sheetData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0" customWidth="1" min="5" max="5"/>
    <col width="9" customWidth="1" min="6" max="6"/>
    <col width="15" customWidth="1" min="7" max="7"/>
    <col width="9" customWidth="1" min="8" max="8"/>
    <col width="10" customWidth="1" min="9" max="9"/>
  </cols>
  <sheetData>
    <row r="1" ht="26" customHeight="1">
      <c r="A1" s="5" t="inlineStr">
        <is>
          <t>10 异常年份检查</t>
        </is>
      </c>
    </row>
    <row r="2" ht="30" customHeight="1">
      <c r="A2" s="6" t="inlineStr">
        <is>
          <t>去季节残差按年汇总；|z|&gt;2 记为异常周。异常年不剔除，但结论中必须标注。</t>
        </is>
      </c>
    </row>
    <row r="4" ht="28" customHeight="1">
      <c r="A4" s="7" t="inlineStr">
        <is>
          <t>年份</t>
        </is>
      </c>
      <c r="B4" s="7" t="inlineStr">
        <is>
          <t>样本周数</t>
        </is>
      </c>
      <c r="C4" s="7" t="inlineStr">
        <is>
          <t>平均去季节偏离%</t>
        </is>
      </c>
      <c r="D4" s="7" t="inlineStr">
        <is>
          <t>偏离标准差%</t>
        </is>
      </c>
      <c r="E4" s="7" t="inlineStr">
        <is>
          <t>|z|&gt;2周占比%</t>
        </is>
      </c>
      <c r="F4" s="7" t="inlineStr">
        <is>
          <t>最大偏离周次</t>
        </is>
      </c>
      <c r="G4" s="7" t="inlineStr">
        <is>
          <t>最大偏离%</t>
        </is>
      </c>
      <c r="H4" s="7" t="inlineStr">
        <is>
          <t>年内最低</t>
        </is>
      </c>
      <c r="I4" s="7" t="inlineStr">
        <is>
          <t>年内最高</t>
        </is>
      </c>
    </row>
    <row r="5">
      <c r="A5" s="8" t="n">
        <v>2022</v>
      </c>
      <c r="B5" s="8" t="n">
        <v>38</v>
      </c>
      <c r="C5" s="26" t="n">
        <v>0.7</v>
      </c>
      <c r="D5" s="26" t="n">
        <v>31.6</v>
      </c>
      <c r="E5" s="26" t="n">
        <v>0</v>
      </c>
      <c r="F5" s="8" t="n">
        <v>43</v>
      </c>
      <c r="G5" s="26" t="n">
        <v>-61.4</v>
      </c>
      <c r="H5" s="15" t="n">
        <v>37.69</v>
      </c>
      <c r="I5" s="15" t="n">
        <v>87.34999999999999</v>
      </c>
    </row>
    <row r="6">
      <c r="A6" s="8" t="n">
        <v>2023</v>
      </c>
      <c r="B6" s="8" t="n">
        <v>50</v>
      </c>
      <c r="C6" s="26" t="n">
        <v>3.6</v>
      </c>
      <c r="D6" s="26" t="n">
        <v>11.4</v>
      </c>
      <c r="E6" s="26" t="n">
        <v>4</v>
      </c>
      <c r="F6" s="8" t="n">
        <v>14</v>
      </c>
      <c r="G6" s="26" t="n">
        <v>29.5</v>
      </c>
      <c r="H6" s="15" t="n">
        <v>43.85</v>
      </c>
      <c r="I6" s="15" t="n">
        <v>85.25</v>
      </c>
    </row>
    <row r="7">
      <c r="A7" s="8" t="n">
        <v>2024</v>
      </c>
      <c r="B7" s="8" t="n">
        <v>51</v>
      </c>
      <c r="C7" s="26" t="n">
        <v>-1</v>
      </c>
      <c r="D7" s="26" t="n">
        <v>16.8</v>
      </c>
      <c r="E7" s="26" t="n">
        <v>2</v>
      </c>
      <c r="F7" s="8" t="n">
        <v>13</v>
      </c>
      <c r="G7" s="26" t="n">
        <v>-45.4</v>
      </c>
      <c r="H7" s="15" t="n">
        <v>35.82</v>
      </c>
      <c r="I7" s="15" t="n">
        <v>93.61</v>
      </c>
    </row>
    <row r="8">
      <c r="A8" s="8" t="n">
        <v>2025</v>
      </c>
      <c r="B8" s="8" t="n">
        <v>45</v>
      </c>
      <c r="C8" s="26" t="n">
        <v>-4.2</v>
      </c>
      <c r="D8" s="26" t="n">
        <v>24.1</v>
      </c>
      <c r="E8" s="26" t="n">
        <v>2.2</v>
      </c>
      <c r="F8" s="8" t="n">
        <v>20</v>
      </c>
      <c r="G8" s="26" t="n">
        <v>-48.2</v>
      </c>
      <c r="H8" s="15" t="n">
        <v>32.4</v>
      </c>
      <c r="I8" s="15" t="n">
        <v>108.64</v>
      </c>
    </row>
    <row r="9">
      <c r="A9" s="8" t="n">
        <v>2026</v>
      </c>
      <c r="B9" s="8" t="n">
        <v>29</v>
      </c>
      <c r="C9" s="26" t="n">
        <v>1.2</v>
      </c>
      <c r="D9" s="26" t="n">
        <v>30</v>
      </c>
      <c r="E9" s="26" t="n">
        <v>3.4</v>
      </c>
      <c r="F9" s="8" t="n">
        <v>29</v>
      </c>
      <c r="G9" s="26" t="n">
        <v>-80.40000000000001</v>
      </c>
      <c r="H9" s="15" t="n">
        <v>30.52</v>
      </c>
      <c r="I9" s="15" t="n">
        <v>107.29</v>
      </c>
    </row>
    <row r="11">
      <c r="A11" s="12" t="inlineStr">
        <is>
          <t>预登记异常窗口</t>
        </is>
      </c>
    </row>
    <row r="12" ht="28" customHeight="1">
      <c r="A12" s="7" t="inlineStr">
        <is>
          <t>name</t>
        </is>
      </c>
      <c r="B12" s="7" t="inlineStr">
        <is>
          <t>start</t>
        </is>
      </c>
      <c r="C12" s="7" t="inlineStr">
        <is>
          <t>end</t>
        </is>
      </c>
      <c r="D12" s="7" t="inlineStr">
        <is>
          <t>note</t>
        </is>
      </c>
    </row>
    <row r="13">
      <c r="A13" s="8" t="inlineStr">
        <is>
          <t>2026Q2 极端下行</t>
        </is>
      </c>
      <c r="B13" s="8" t="inlineStr">
        <is>
          <t>2026-03-25</t>
        </is>
      </c>
      <c r="C13" s="8" t="inlineStr">
        <is>
          <t>2026-07-15</t>
        </is>
      </c>
      <c r="D13" s="9" t="inlineStr">
        <is>
          <t>连续 8 周去库、最大单周去库 12.76 万吨，绝对水平显著低于全部历史同期，非统计错误但属分布外事件</t>
        </is>
      </c>
    </row>
    <row r="15">
      <c r="A15" s="12" t="inlineStr">
        <is>
          <t>年内极值（明细）</t>
        </is>
      </c>
    </row>
    <row r="16" ht="28" customHeight="1">
      <c r="A16" s="7" t="inlineStr">
        <is>
          <t>年份</t>
        </is>
      </c>
      <c r="B16" s="7" t="inlineStr">
        <is>
          <t>最低值</t>
        </is>
      </c>
      <c r="C16" s="7" t="inlineStr">
        <is>
          <t>最低周次</t>
        </is>
      </c>
      <c r="D16" s="7" t="inlineStr">
        <is>
          <t>最低日期</t>
        </is>
      </c>
      <c r="E16" s="7" t="inlineStr">
        <is>
          <t>最高值</t>
        </is>
      </c>
      <c r="F16" s="7" t="inlineStr">
        <is>
          <t>最高周次</t>
        </is>
      </c>
      <c r="G16" s="7" t="inlineStr">
        <is>
          <t>最高日期</t>
        </is>
      </c>
    </row>
    <row r="17">
      <c r="A17" s="8" t="n">
        <v>2022</v>
      </c>
      <c r="B17" s="8" t="n">
        <v>37.69</v>
      </c>
      <c r="C17" s="8" t="inlineStr">
        <is>
          <t>W43</t>
        </is>
      </c>
      <c r="D17" s="8" t="inlineStr">
        <is>
          <t>2022-10-26</t>
        </is>
      </c>
      <c r="E17" s="8" t="n">
        <v>87.34999999999999</v>
      </c>
      <c r="F17" s="8" t="inlineStr">
        <is>
          <t>W25</t>
        </is>
      </c>
      <c r="G17" s="8" t="inlineStr">
        <is>
          <t>2022-06-22</t>
        </is>
      </c>
    </row>
    <row r="18">
      <c r="A18" s="8" t="n">
        <v>2023</v>
      </c>
      <c r="B18" s="8" t="n">
        <v>43.85</v>
      </c>
      <c r="C18" s="8" t="inlineStr">
        <is>
          <t>W22</t>
        </is>
      </c>
      <c r="D18" s="8" t="inlineStr">
        <is>
          <t>2023-05-31</t>
        </is>
      </c>
      <c r="E18" s="8" t="n">
        <v>85.25</v>
      </c>
      <c r="F18" s="8" t="inlineStr">
        <is>
          <t>W38</t>
        </is>
      </c>
      <c r="G18" s="8" t="inlineStr">
        <is>
          <t>2023-09-20</t>
        </is>
      </c>
    </row>
    <row r="19">
      <c r="A19" s="8" t="n">
        <v>2024</v>
      </c>
      <c r="B19" s="8" t="n">
        <v>35.82</v>
      </c>
      <c r="C19" s="8" t="inlineStr">
        <is>
          <t>W13</t>
        </is>
      </c>
      <c r="D19" s="8" t="inlineStr">
        <is>
          <t>2024-03-27</t>
        </is>
      </c>
      <c r="E19" s="8" t="n">
        <v>93.61</v>
      </c>
      <c r="F19" s="8" t="inlineStr">
        <is>
          <t>W47</t>
        </is>
      </c>
      <c r="G19" s="8" t="inlineStr">
        <is>
          <t>2024-11-20</t>
        </is>
      </c>
    </row>
    <row r="20">
      <c r="A20" s="8" t="n">
        <v>2025</v>
      </c>
      <c r="B20" s="8" t="n">
        <v>32.4</v>
      </c>
      <c r="C20" s="8" t="inlineStr">
        <is>
          <t>W20</t>
        </is>
      </c>
      <c r="D20" s="8" t="inlineStr">
        <is>
          <t>2025-05-14</t>
        </is>
      </c>
      <c r="E20" s="8" t="n">
        <v>108.64</v>
      </c>
      <c r="F20" s="8" t="inlineStr">
        <is>
          <t>W46</t>
        </is>
      </c>
      <c r="G20" s="8" t="inlineStr">
        <is>
          <t>2025-11-12</t>
        </is>
      </c>
    </row>
    <row r="21">
      <c r="A21" s="8" t="n">
        <v>2026</v>
      </c>
      <c r="B21" s="8" t="n">
        <v>30.52</v>
      </c>
      <c r="C21" s="8" t="inlineStr">
        <is>
          <t>W29</t>
        </is>
      </c>
      <c r="D21" s="8" t="inlineStr">
        <is>
          <t>2026-07-15</t>
        </is>
      </c>
      <c r="E21" s="8" t="n">
        <v>107.29</v>
      </c>
      <c r="F21" s="8" t="inlineStr">
        <is>
          <t>W5</t>
        </is>
      </c>
      <c r="G21" s="8" t="inlineStr">
        <is>
          <t>2026-01-28</t>
        </is>
      </c>
    </row>
  </sheetData>
  <autoFilter ref="A4:I9"/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  <col width="60" customWidth="1" min="3" max="3"/>
  </cols>
  <sheetData>
    <row r="1" ht="26" customHeight="1">
      <c r="A1" s="5" t="inlineStr">
        <is>
          <t>11 来源与查证清单</t>
        </is>
      </c>
    </row>
    <row r="2" ht="30" customHeight="1">
      <c r="A2" s="6" t="inlineStr">
        <is>
          <t>每一期数据的原文标题/链接/发布日期都在 02 表；本表给出发布特征与核验要点。</t>
        </is>
      </c>
    </row>
    <row r="4" ht="28" customHeight="1">
      <c r="A4" s="7" t="inlineStr">
        <is>
          <t>项目</t>
        </is>
      </c>
      <c r="B4" s="7" t="inlineStr">
        <is>
          <t>内容</t>
        </is>
      </c>
    </row>
    <row r="5">
      <c r="A5" s="8" t="inlineStr">
        <is>
          <t>发布机构</t>
        </is>
      </c>
      <c r="B5" s="8" t="inlineStr">
        <is>
          <t>隆众资讯</t>
        </is>
      </c>
    </row>
    <row r="6">
      <c r="A6" s="8" t="inlineStr">
        <is>
          <t>转载载体</t>
        </is>
      </c>
      <c r="B6" s="8" t="inlineStr">
        <is>
          <t>我的钢铁网（Mysteel）能源化工频道转载</t>
        </is>
      </c>
    </row>
    <row r="7">
      <c r="A7" s="8" t="inlineStr">
        <is>
          <t>栏目</t>
        </is>
      </c>
      <c r="B7" s="8" t="inlineStr">
        <is>
          <t>[港口库存]：中国甲醇样本港口库存周数据统计</t>
        </is>
      </c>
    </row>
    <row r="8">
      <c r="A8" s="8" t="inlineStr">
        <is>
          <t>发布频率</t>
        </is>
      </c>
      <c r="B8" s="8" t="inlineStr">
        <is>
          <t>每周三下午 14:00 前后</t>
        </is>
      </c>
    </row>
    <row r="9">
      <c r="A9" s="8" t="inlineStr">
        <is>
          <t>正文结构</t>
        </is>
      </c>
      <c r="B9" s="9" t="inlineStr">
        <is>
          <t>港口库存总量 + 较上一期增减额；分列华东、华南增减额；表格列江苏/浙江/广东/福建</t>
        </is>
      </c>
    </row>
    <row r="10">
      <c r="A10" s="8" t="inlineStr">
        <is>
          <t>单位</t>
        </is>
      </c>
      <c r="B10" s="8" t="inlineStr">
        <is>
          <t>万吨</t>
        </is>
      </c>
    </row>
    <row r="11">
      <c r="A11" s="8" t="inlineStr">
        <is>
          <t>口径边界</t>
        </is>
      </c>
      <c r="B11" s="9" t="inlineStr">
        <is>
          <t>样本港口库存，非全国全量；不代表厂库与交易所仓单</t>
        </is>
      </c>
    </row>
    <row r="12">
      <c r="A12" s="8" t="inlineStr">
        <is>
          <t>核验要点1</t>
        </is>
      </c>
      <c r="B12" s="8" t="inlineStr">
        <is>
          <t>增减额取原文披露值，不用相邻两期表格值相减</t>
        </is>
      </c>
    </row>
    <row r="13">
      <c r="A13" s="8" t="inlineStr">
        <is>
          <t>核验要点2</t>
        </is>
      </c>
      <c r="B13" s="9" t="inlineStr">
        <is>
          <t>表格为局部采样，某期只覆盖部分港口时数值会跳变，需与增减额交叉验证</t>
        </is>
      </c>
    </row>
    <row r="14">
      <c r="A14" s="8" t="inlineStr">
        <is>
          <t>核验要点3</t>
        </is>
      </c>
      <c r="B14" s="9" t="inlineStr">
        <is>
          <t>2026-07 后表格不再逐地区披露，仅有总量与分区增减额，水平值须标注缺失</t>
        </is>
      </c>
    </row>
    <row r="15">
      <c r="A15" s="8" t="inlineStr">
        <is>
          <t>核验要点4</t>
        </is>
      </c>
      <c r="B15" s="9" t="inlineStr">
        <is>
          <t>2016-2018 存在口径不同的早期序列，其周报形式为简报，与本样本不可拼接</t>
        </is>
      </c>
    </row>
    <row r="16">
      <c r="A16" s="8" t="inlineStr">
        <is>
          <t>链接形态</t>
        </is>
      </c>
      <c r="B16" s="9" t="inlineStr">
        <is>
          <t>https://nenghua.m.mysteel.com/a/{post_id}_abc.html</t>
        </is>
      </c>
    </row>
    <row r="17">
      <c r="A17" s="8" t="inlineStr">
        <is>
          <t>复算方式</t>
        </is>
      </c>
      <c r="B17" s="9" t="inlineStr">
        <is>
          <t>本工作簿派生列均为公式；脚本见 skills/scripts/*.py，可一键重跑</t>
        </is>
      </c>
    </row>
    <row r="19">
      <c r="A19" s="12" t="inlineStr">
        <is>
          <t>原文样例（最近 8 期）</t>
        </is>
      </c>
    </row>
    <row r="20" ht="28" customHeight="1">
      <c r="A20" s="7" t="inlineStr">
        <is>
          <t>截止日</t>
        </is>
      </c>
      <c r="B20" s="7" t="inlineStr">
        <is>
          <t>原文标题</t>
        </is>
      </c>
      <c r="C20" s="7" t="inlineStr">
        <is>
          <t>链接</t>
        </is>
      </c>
    </row>
    <row r="21">
      <c r="A21" s="8" t="inlineStr">
        <is>
          <t>2026-08-26</t>
        </is>
      </c>
      <c r="B21" s="9" t="inlineStr">
        <is>
          <t>[港口库存]：中国甲醇样本港口库存周数据统计(20260826）</t>
        </is>
      </c>
      <c r="C21" s="9" t="inlineStr">
        <is>
          <t>https://nenghua.m.mysteel.com/a/26082614/219854B66D01D811_abc.html</t>
        </is>
      </c>
    </row>
    <row r="22">
      <c r="A22" s="8" t="inlineStr">
        <is>
          <t>2026-09-02</t>
        </is>
      </c>
      <c r="B22" s="9" t="inlineStr">
        <is>
          <t>[港口库存]：中国甲醇样本港口库存周数据统计(20260902）</t>
        </is>
      </c>
      <c r="C22" s="9" t="inlineStr">
        <is>
          <t>https://nenghua.m.mysteel.com/a/26090214/AF0D6D08EE328F1C_abc.html</t>
        </is>
      </c>
    </row>
    <row r="23">
      <c r="A23" s="8" t="inlineStr">
        <is>
          <t>2026-09-09</t>
        </is>
      </c>
      <c r="B23" s="9" t="inlineStr">
        <is>
          <t>[港口库存]：中国甲醇样本港口库存周数据统计(20260909）</t>
        </is>
      </c>
      <c r="C23" s="9" t="inlineStr">
        <is>
          <t>https://nenghua.m.mysteel.com/a/26090914/03659B1A6AFDA3EE_abc.html</t>
        </is>
      </c>
    </row>
    <row r="24">
      <c r="A24" s="8" t="inlineStr">
        <is>
          <t>2026-09-16</t>
        </is>
      </c>
      <c r="B24" s="9" t="inlineStr">
        <is>
          <t>[港口库存]：中国甲醇样本港口库存周数据统计(20260916）</t>
        </is>
      </c>
      <c r="C24" s="9" t="inlineStr">
        <is>
          <t>https://nenghua.m.mysteel.com/a/26091614/BC4B2C554986CC54_abc.html</t>
        </is>
      </c>
    </row>
    <row r="25">
      <c r="A25" s="8" t="inlineStr">
        <is>
          <t>2026-09-23</t>
        </is>
      </c>
      <c r="B25" s="9" t="inlineStr">
        <is>
          <t>[港口库存]：中国甲醇样本港口库存周数据统计(20260923）</t>
        </is>
      </c>
      <c r="C25" s="9" t="inlineStr">
        <is>
          <t>https://nenghua.m.mysteel.com/a/26092314/39174CC8F100278B_abc.html</t>
        </is>
      </c>
    </row>
    <row r="26">
      <c r="A26" s="8" t="inlineStr">
        <is>
          <t>2026-09-30</t>
        </is>
      </c>
      <c r="B26" s="9" t="inlineStr">
        <is>
          <t>[港口库存]：中国甲醇样本港口库存周数据统计(20260930）</t>
        </is>
      </c>
      <c r="C26" s="9" t="inlineStr">
        <is>
          <t>https://nenghua.m.mysteel.com/a/26093014/68445D28F9E2F736_abc.html</t>
        </is>
      </c>
    </row>
    <row r="27">
      <c r="A27" s="8" t="inlineStr">
        <is>
          <t>2026-10-08</t>
        </is>
      </c>
      <c r="B27" s="9" t="inlineStr">
        <is>
          <t>[港口库存]：中国甲醇样本港口库存周数据统计(20261008）</t>
        </is>
      </c>
      <c r="C27" s="9" t="inlineStr">
        <is>
          <t>https://nenghua.m.mysteel.com/a/26100814/9582A44A60D9C42E_abc.html</t>
        </is>
      </c>
    </row>
    <row r="28">
      <c r="A28" s="8" t="inlineStr">
        <is>
          <t>2026-10-14</t>
        </is>
      </c>
      <c r="B28" s="9" t="inlineStr">
        <is>
          <t>[港口库存]：中国甲醇样本港口库存周数据统计(20261014）</t>
        </is>
      </c>
      <c r="C28" s="9" t="inlineStr">
        <is>
          <t>https://nenghua.m.mysteel.com/a/26101414/42917F27FC58AFB4_abc.html</t>
        </is>
      </c>
    </row>
  </sheetData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workbookViewId="0">
      <pane ySplit="28" topLeftCell="A29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8" customWidth="1" min="3" max="3"/>
    <col width="62" customWidth="1" min="4" max="4"/>
  </cols>
  <sheetData>
    <row r="1" ht="26" customHeight="1">
      <c r="A1" s="5" t="inlineStr">
        <is>
          <t>12 当前状态摘要（首屏结论的数据底稿）</t>
        </is>
      </c>
    </row>
    <row r="2" ht="30" customHeight="1">
      <c r="A2" s="6" t="inlineStr">
        <is>
          <t>本表所有数字都来自前序工作表；结论句严格由规则生成，不含价格方向预测。</t>
        </is>
      </c>
    </row>
    <row r="4" ht="28" customHeight="1">
      <c r="A4" s="7" t="inlineStr">
        <is>
          <t>项目</t>
        </is>
      </c>
      <c r="B4" s="7" t="inlineStr">
        <is>
          <t>数值</t>
        </is>
      </c>
      <c r="C4" s="7" t="inlineStr">
        <is>
          <t>单位</t>
        </is>
      </c>
      <c r="D4" s="7" t="inlineStr">
        <is>
          <t>说明</t>
        </is>
      </c>
    </row>
    <row r="5">
      <c r="A5" s="8" t="inlineStr">
        <is>
          <t>主口径当前值</t>
        </is>
      </c>
      <c r="B5" s="8" t="n">
        <v>52.32</v>
      </c>
      <c r="C5" s="8" t="inlineStr">
        <is>
          <t>万吨</t>
        </is>
      </c>
      <c r="D5" s="8" t="inlineStr">
        <is>
          <t>截止 2026-07-29（W31）</t>
        </is>
      </c>
    </row>
    <row r="6">
      <c r="A6" s="8" t="inlineStr">
        <is>
          <t>同期历史分位</t>
        </is>
      </c>
      <c r="B6" s="8" t="n">
        <v>0</v>
      </c>
      <c r="C6" s="8" t="inlineStr">
        <is>
          <t>%</t>
        </is>
      </c>
      <c r="D6" s="8" t="inlineStr">
        <is>
          <t>样本 n=12，同周次 ±1 周</t>
        </is>
      </c>
    </row>
    <row r="7">
      <c r="A7" s="8" t="inlineStr">
        <is>
          <t>同期均值</t>
        </is>
      </c>
      <c r="B7" s="8" t="n">
        <v>71.98</v>
      </c>
      <c r="C7" s="8" t="inlineStr">
        <is>
          <t>万吨</t>
        </is>
      </c>
      <c r="D7" s="8" t="inlineStr">
        <is>
          <t>过去 5 年同周次</t>
        </is>
      </c>
    </row>
    <row r="8">
      <c r="A8" s="8" t="inlineStr">
        <is>
          <t>相对均值偏离</t>
        </is>
      </c>
      <c r="B8" s="8" t="n">
        <v>-27.3</v>
      </c>
      <c r="C8" s="8" t="inlineStr">
        <is>
          <t>%</t>
        </is>
      </c>
      <c r="D8" s="8" t="inlineStr">
        <is>
          <t>负=低于同期均值</t>
        </is>
      </c>
    </row>
    <row r="9">
      <c r="A9" s="8" t="inlineStr">
        <is>
          <t>近 4 周变化</t>
        </is>
      </c>
      <c r="B9" s="8" t="n">
        <v>-17.65</v>
      </c>
      <c r="C9" s="8" t="inlineStr">
        <is>
          <t>万吨</t>
        </is>
      </c>
      <c r="D9" s="8" t="inlineStr">
        <is>
          <t>官方增减额累计</t>
        </is>
      </c>
    </row>
    <row r="10">
      <c r="A10" s="8" t="inlineStr">
        <is>
          <t>近 12 周变化</t>
        </is>
      </c>
      <c r="B10" s="8" t="n">
        <v>-18.49</v>
      </c>
      <c r="C10" s="8" t="inlineStr">
        <is>
          <t>万吨</t>
        </is>
      </c>
      <c r="D10" s="8" t="inlineStr">
        <is>
          <t>官方增减额累计</t>
        </is>
      </c>
    </row>
    <row r="11">
      <c r="A11" s="8" t="inlineStr">
        <is>
          <t>连续状态</t>
        </is>
      </c>
      <c r="B11" s="8" t="inlineStr">
        <is>
          <t>连续去库 7 周</t>
        </is>
      </c>
      <c r="C11" s="8" t="inlineStr"/>
      <c r="D11" s="8" t="inlineStr">
        <is>
          <t>基于周度增减额符号</t>
        </is>
      </c>
    </row>
    <row r="12">
      <c r="A12" s="8" t="inlineStr">
        <is>
          <t>最新一期全国港口</t>
        </is>
      </c>
      <c r="B12" s="8" t="n">
        <v>36.72</v>
      </c>
      <c r="C12" s="8" t="inlineStr">
        <is>
          <t>万吨</t>
        </is>
      </c>
      <c r="D12" s="8" t="inlineStr">
        <is>
          <t>截止 2026-10-14（对照口径）</t>
        </is>
      </c>
    </row>
    <row r="13">
      <c r="A13" s="8" t="inlineStr">
        <is>
          <t>最新一期华东替代值</t>
        </is>
      </c>
      <c r="B13" s="8" t="n">
        <v>26.98</v>
      </c>
      <c r="C13" s="8" t="inlineStr">
        <is>
          <t>万吨</t>
        </is>
      </c>
      <c r="D13" s="8" t="inlineStr">
        <is>
          <t>全国港口 × 近一年华东占比，仅定位</t>
        </is>
      </c>
    </row>
    <row r="14">
      <c r="A14" s="8" t="inlineStr">
        <is>
          <t>水平状态判定</t>
        </is>
      </c>
      <c r="B14" s="8" t="inlineStr">
        <is>
          <t>显著低于历史同期</t>
        </is>
      </c>
      <c r="C14" s="8" t="inlineStr"/>
      <c r="D14" s="8" t="inlineStr">
        <is>
          <t>按 R3 五档规则，W31</t>
        </is>
      </c>
    </row>
    <row r="15">
      <c r="A15" s="8" t="inlineStr">
        <is>
          <t>去季节状态判定</t>
        </is>
      </c>
      <c r="B15" s="8" t="inlineStr">
        <is>
          <t>显著低于历史同期</t>
        </is>
      </c>
      <c r="C15" s="8" t="inlineStr"/>
      <c r="D15" s="8" t="inlineStr">
        <is>
          <t>去季节残差 -30.5%</t>
        </is>
      </c>
    </row>
    <row r="16">
      <c r="A16" s="8" t="inlineStr">
        <is>
          <t>速度状态判定</t>
        </is>
      </c>
      <c r="B16" s="8" t="inlineStr">
        <is>
          <t>累去库速度与历史同期相近</t>
        </is>
      </c>
      <c r="C16" s="8" t="inlineStr"/>
      <c r="D16" s="8" t="inlineStr">
        <is>
          <t>4 周变化分位 50.0</t>
        </is>
      </c>
    </row>
    <row r="17">
      <c r="A17" s="8" t="inlineStr">
        <is>
          <t>水平缺失起始</t>
        </is>
      </c>
      <c r="B17" s="8" t="inlineStr">
        <is>
          <t>2026-07-30</t>
        </is>
      </c>
      <c r="C17" s="8" t="inlineStr"/>
      <c r="D17" s="8" t="inlineStr">
        <is>
          <t>共 11 周无逐地区水平值</t>
        </is>
      </c>
    </row>
    <row r="18">
      <c r="A18" s="8" t="inlineStr">
        <is>
          <t>是否可下水平结论</t>
        </is>
      </c>
      <c r="B18" s="8" t="inlineStr">
        <is>
          <t>是</t>
        </is>
      </c>
      <c r="C18" s="8" t="inlineStr"/>
      <c r="D18" s="8" t="inlineStr">
        <is>
          <t>样本年数 ≥4 且有可核验水平值</t>
        </is>
      </c>
    </row>
    <row r="19">
      <c r="A19" s="8" t="inlineStr">
        <is>
          <t>护栏标记</t>
        </is>
      </c>
      <c r="B19" s="9" t="inlineStr">
        <is>
          <t>freq_gap、local_sampling_jump、season_weak</t>
        </is>
      </c>
      <c r="C19" s="8" t="inlineStr"/>
      <c r="D19" s="8" t="inlineStr">
        <is>
          <t>见 00 表边界说明与 09 表断点</t>
        </is>
      </c>
    </row>
    <row r="21">
      <c r="A21" s="12" t="inlineStr">
        <is>
          <t>结论句</t>
        </is>
      </c>
    </row>
    <row r="22" ht="46" customHeight="1">
      <c r="A22" s="3" t="inlineStr">
        <is>
          <t>1. 在可核验的最后一个水平期（2026-07-29，W31），华东港口库存为 52.32 万吨，处于过去 4 年（2022/2023/2024/2025）同周次（±1 周，n=12）0 分位，即低于同期全部 12 个历史样本（历史同期最小值 54.7），较同期均值 71.98 万吨低 19.66 万吨（-27.3%）。</t>
        </is>
      </c>
    </row>
    <row r="23" ht="46" customHeight="1">
      <c r="A23" s="3" t="inlineStr">
        <is>
          <t>2. 扣除季节性后（去季节残差 -30.5%），该值仍位于历史同期偏离分布的 0 分位，即低于同期全部历史样本——即“偏低”不只是季节位置造成的。</t>
        </is>
      </c>
    </row>
    <row r="24" ht="46" customHeight="1">
      <c r="A24" s="3" t="inlineStr">
        <is>
          <t>3. 最新一期（2026-10-14，W42）华东库存水平值不可得：自 2026-07-29 之后逐地区库存未再公开，自 2026-07-30 起只能以全国港口总量与官方增减额描述变化；同期全国港口库存 36.72 万吨，按近一年华东占比折算华东约 26.98 万吨（替代值，仅供定位，不参与分位计算）。</t>
        </is>
      </c>
    </row>
    <row r="25" ht="46" customHeight="1">
      <c r="A25" s="3" t="inlineStr">
        <is>
          <t>4. 最近 4 周 / 12 周华东累计变化 -17.65 / -18.49 万吨，4 周变化历史同周次分位 50.0（同期历史中位数 -15.36、p75 -6.74、p90 6.57），绝对幅度小于历史同期中位数——即当前既没有出现历史同期那种大规模累库，也没有异常急速去库；当前状态：连续去库（连续 7 周）。</t>
        </is>
      </c>
    </row>
    <row r="27">
      <c r="A27" s="12" t="inlineStr">
        <is>
          <t>判断规则（硬编码）</t>
        </is>
      </c>
    </row>
    <row r="28" ht="28" customHeight="1">
      <c r="A28" s="7" t="inlineStr">
        <is>
          <t>编号</t>
        </is>
      </c>
      <c r="B28" s="7" t="inlineStr">
        <is>
          <t>规则</t>
        </is>
      </c>
    </row>
    <row r="29">
      <c r="A29" s="8" t="inlineStr">
        <is>
          <t>R0</t>
        </is>
      </c>
      <c r="B29" s="9" t="inlineStr">
        <is>
          <t>库存高于/低于历史均值不直接推价格方向；本报告只描述库存相对季节性水平的位置与累去库幅度。</t>
        </is>
      </c>
    </row>
    <row r="30">
      <c r="A30" s="8" t="inlineStr">
        <is>
          <t>R1</t>
        </is>
      </c>
      <c r="B30" s="9" t="inlineStr">
        <is>
          <t>产品 + 口径 + 地区 + 统计机构 + 频率 五项必须同时确定，缺一不做分位结论。</t>
        </is>
      </c>
    </row>
    <row r="31">
      <c r="A31" s="8" t="inlineStr">
        <is>
          <t>R2</t>
        </is>
      </c>
      <c r="B31" s="9" t="inlineStr">
        <is>
          <t>统计样本年数 &lt; 4 时，分位只报区间不报结论（insufficient）。</t>
        </is>
      </c>
    </row>
    <row r="32">
      <c r="A32" s="8" t="inlineStr">
        <is>
          <t>R3</t>
        </is>
      </c>
      <c r="B32" s="9" t="inlineStr">
        <is>
          <t>历史分位五档：&lt;10 显著偏低 / 10-25 偏低 / 25-75 正常 / 75-90 偏高 / &gt;90 显著偏高。</t>
        </is>
      </c>
    </row>
    <row r="33">
      <c r="A33" s="8" t="inlineStr">
        <is>
          <t>R4</t>
        </is>
      </c>
      <c r="B33" s="9" t="inlineStr">
        <is>
          <t>累去库速度以 4 周累计变化相对历史同周次 p25-p75 带定位；速度不等于方向。</t>
        </is>
      </c>
    </row>
    <row r="34">
      <c r="A34" s="8" t="inlineStr">
        <is>
          <t>R5</t>
        </is>
      </c>
      <c r="B34" s="9" t="inlineStr">
        <is>
          <t>披露口径或统计样本发生变化时，断点后数据不与断点前合并统计，必须单独标注。</t>
        </is>
      </c>
    </row>
  </sheetData>
  <mergeCells count="6">
    <mergeCell ref="A2:L2"/>
    <mergeCell ref="A23:D23"/>
    <mergeCell ref="A22:D22"/>
    <mergeCell ref="A1:L1"/>
    <mergeCell ref="A25:D25"/>
    <mergeCell ref="A24:D2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2026-10-20T11:09:24Z</dcterms:created>
  <dcterms:modified xmlns:dcterms="http://purl.org/dc/terms/" xmlns:xsi="http://www.w3.org/2001/XMLSchema-instance" xsi:type="dcterms:W3CDTF">2026-10-20T11:09:26Z</dcterms:modified>
</cp:coreProperties>
</file>
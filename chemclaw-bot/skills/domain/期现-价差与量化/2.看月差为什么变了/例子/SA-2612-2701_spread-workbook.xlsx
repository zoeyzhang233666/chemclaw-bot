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使用说明" sheetId="1" state="visible" r:id="rId1"/>
    <sheet xmlns:r="http://schemas.openxmlformats.org/officeDocument/2006/relationships" name="02-结论摘要" sheetId="2" state="visible" r:id="rId2"/>
    <sheet xmlns:r="http://schemas.openxmlformats.org/officeDocument/2006/relationships" name="03-合约价格" sheetId="3" state="visible" r:id="rId3"/>
    <sheet xmlns:r="http://schemas.openxmlformats.org/officeDocument/2006/relationships" name="04-月差历史" sheetId="4" state="visible" r:id="rId4"/>
    <sheet xmlns:r="http://schemas.openxmlformats.org/officeDocument/2006/relationships" name="05-近期变化" sheetId="5" state="visible" r:id="rId5"/>
    <sheet xmlns:r="http://schemas.openxmlformats.org/officeDocument/2006/relationships" name="06-历史分位" sheetId="6" state="visible" r:id="rId6"/>
    <sheet xmlns:r="http://schemas.openxmlformats.org/officeDocument/2006/relationships" name="07-可比样本" sheetId="7" state="visible" r:id="rId7"/>
    <sheet xmlns:r="http://schemas.openxmlformats.org/officeDocument/2006/relationships" name="08-期限结构" sheetId="8" state="visible" r:id="rId8"/>
    <sheet xmlns:r="http://schemas.openxmlformats.org/officeDocument/2006/relationships" name="09-贡献分解" sheetId="9" state="visible" r:id="rId9"/>
    <sheet xmlns:r="http://schemas.openxmlformats.org/officeDocument/2006/relationships" name="10-近端结构演变" sheetId="10" state="visible" r:id="rId10"/>
    <sheet xmlns:r="http://schemas.openxmlformats.org/officeDocument/2006/relationships" name="11-仓单库存" sheetId="11" state="visible" r:id="rId11"/>
    <sheet xmlns:r="http://schemas.openxmlformats.org/officeDocument/2006/relationships" name="12-事件台账" sheetId="12" state="visible" r:id="rId12"/>
    <sheet xmlns:r="http://schemas.openxmlformats.org/officeDocument/2006/relationships" name="13-计算公式" sheetId="13" state="visible" r:id="rId13"/>
    <sheet xmlns:r="http://schemas.openxmlformats.org/officeDocument/2006/relationships" name="14-数据来源" sheetId="14" state="visible" r:id="rId14"/>
    <sheet xmlns:r="http://schemas.openxmlformats.org/officeDocument/2006/relationships" name="15-数据质量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+0.00;-0.00;0"/>
    <numFmt numFmtId="167" formatCode="+0.0000%;-0.0000%;0"/>
    <numFmt numFmtId="168" formatCode="+0;-0;0"/>
    <numFmt numFmtId="169" formatCode="0.000000"/>
  </numFmts>
  <fonts count="10">
    <font>
      <name val="Calibri"/>
      <family val="2"/>
      <color theme="1"/>
      <sz val="11"/>
      <scheme val="minor"/>
    </font>
    <font>
      <b val="1"/>
      <color rgb="001F3B57"/>
      <sz val="14"/>
    </font>
    <font>
      <b val="1"/>
      <sz val="11"/>
    </font>
    <font>
      <b val="1"/>
      <sz val="10"/>
    </font>
    <font>
      <b val="1"/>
      <color rgb="00B00020"/>
    </font>
    <font>
      <b val="1"/>
      <color rgb="00FFFFFF"/>
      <sz val="10"/>
    </font>
    <font>
      <b val="1"/>
    </font>
    <font>
      <i val="1"/>
      <color rgb="00555555"/>
      <sz val="10"/>
    </font>
    <font>
      <sz val="10"/>
    </font>
    <font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DFF5E1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CE9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7" fillId="0" borderId="0" pivotButton="0" quotePrefix="0" xfId="0"/>
    <xf numFmtId="2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6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6" fillId="0" borderId="0" pivotButton="0" quotePrefix="0" xfId="0"/>
    <xf numFmtId="3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0" fillId="5" borderId="0" applyAlignment="1" pivotButton="0" quotePrefix="0" xfId="0">
      <alignment wrapText="1"/>
    </xf>
    <xf numFmtId="0" fontId="9" fillId="0" borderId="1" applyAlignment="1" pivotButton="0" quotePrefix="0" xfId="0">
      <alignment vertical="top" wrapText="1"/>
    </xf>
    <xf numFmtId="0" fontId="8" fillId="0" borderId="1" pivotButton="0" quotePrefix="0" xfId="0"/>
    <xf numFmtId="16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://finance.eastmoney.com/a/202608123839139020.html" TargetMode="External" Id="rId1"/><Relationship Type="http://schemas.openxmlformats.org/officeDocument/2006/relationships/hyperlink" Target="http://finance.eastmoney.com/a/202608123839139020.html" TargetMode="External" Id="rId2"/><Relationship Type="http://schemas.openxmlformats.org/officeDocument/2006/relationships/hyperlink" Target="http://finance.eastmoney.com/a/202608123839139020.html" TargetMode="External" Id="rId3"/><Relationship Type="http://schemas.openxmlformats.org/officeDocument/2006/relationships/hyperlink" Target="http://futures.eastmoney.com/a/202608183843664070.html" TargetMode="External" Id="rId4"/><Relationship Type="http://schemas.openxmlformats.org/officeDocument/2006/relationships/hyperlink" Target="http://futures.eastmoney.com/a/202608183843664070.html" TargetMode="External" Id="rId5"/><Relationship Type="http://schemas.openxmlformats.org/officeDocument/2006/relationships/hyperlink" Target="http://futures.eastmoney.com/a/202608183843664070.html" TargetMode="External" Id="rId6"/><Relationship Type="http://schemas.openxmlformats.org/officeDocument/2006/relationships/hyperlink" Target="http://futures.eastmoney.com/a/202608183843664070.html" TargetMode="External" Id="rId7"/><Relationship Type="http://schemas.openxmlformats.org/officeDocument/2006/relationships/hyperlink" Target="http://futures.eastmoney.com/a/202610123892177482.html" TargetMode="External" Id="rId8"/><Relationship Type="http://schemas.openxmlformats.org/officeDocument/2006/relationships/hyperlink" Target="http://futures.eastmoney.com/a/202610133893315363.html" TargetMode="External" Id="rId9"/><Relationship Type="http://schemas.openxmlformats.org/officeDocument/2006/relationships/hyperlink" Target="http://finance.eastmoney.com/a/202610123892495626.html" TargetMode="External" Id="rId10"/><Relationship Type="http://schemas.openxmlformats.org/officeDocument/2006/relationships/hyperlink" Target="http://finance.eastmoney.com/a/202610153896859175.html" TargetMode="External" Id="rId11"/><Relationship Type="http://schemas.openxmlformats.org/officeDocument/2006/relationships/hyperlink" Target="http://finance.eastmoney.com/a/202610153896859175.html" TargetMode="External" Id="rId12"/><Relationship Type="http://schemas.openxmlformats.org/officeDocument/2006/relationships/hyperlink" Target="http://finance.eastmoney.com/a/202610153896859175.html" TargetMode="External" Id="rId13"/><Relationship Type="http://schemas.openxmlformats.org/officeDocument/2006/relationships/hyperlink" Target="http://finance.eastmoney.com/a/202610153896859175.html" TargetMode="External" Id="rId14"/><Relationship Type="http://schemas.openxmlformats.org/officeDocument/2006/relationships/hyperlink" Target="http://futures.eastmoney.com/a/202610173899037353.html" TargetMode="External" Id="rId15"/><Relationship Type="http://schemas.openxmlformats.org/officeDocument/2006/relationships/hyperlink" Target="https://www.100ppi.com/mprice/plist-1-533-1.html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SA 月差研究工作簿：SA2612 − SA2701</t>
        </is>
      </c>
    </row>
    <row r="4">
      <c r="A4" s="2" t="inlineStr">
        <is>
          <t>一、这份工作簿回答什么</t>
        </is>
      </c>
    </row>
    <row r="5">
      <c r="A5" s="3" t="inlineStr">
        <is>
          <t>1) 两个合约的最新价格与历史序列（03）</t>
        </is>
      </c>
    </row>
    <row r="6">
      <c r="A6" s="3" t="inlineStr">
        <is>
          <t>2) 月差的定义与符号约定（03/04/13）</t>
        </is>
      </c>
    </row>
    <row r="7">
      <c r="A7" s="3" t="inlineStr">
        <is>
          <t>3) 当前月差、近期变化、历史分位（04/05/06）</t>
        </is>
      </c>
    </row>
    <row r="8">
      <c r="A8" s="3" t="inlineStr">
        <is>
          <t>4) 当前挂牌合约的完整期限结构（08）</t>
        </is>
      </c>
    </row>
    <row r="9">
      <c r="A9" s="3" t="inlineStr">
        <is>
          <t>5) 历史相同月份组合、相近距交割时间的月差（07）</t>
        </is>
      </c>
    </row>
    <row r="10">
      <c r="A10" s="3" t="inlineStr">
        <is>
          <t>6) 库存/仓单/交割规则/季节性/已知事件对月差的解释（10/11/12）</t>
        </is>
      </c>
    </row>
    <row r="11">
      <c r="A11" s="3" t="inlineStr">
        <is>
          <t>7) 近月与远月对月差变化的贡献分解（09）</t>
        </is>
      </c>
    </row>
    <row r="13">
      <c r="A13" s="2" t="inlineStr">
        <is>
          <t>二、必须遵守的口径</t>
        </is>
      </c>
    </row>
    <row r="14">
      <c r="A14" s="4" t="inlineStr">
        <is>
          <t>月差定义</t>
        </is>
      </c>
      <c r="B14" s="5" t="inlineStr">
        <is>
          <t>月差 = P(SA2612) − P(SA2701)。A 写在前面，所有表、图、公式全程不换序。</t>
        </is>
      </c>
    </row>
    <row r="15">
      <c r="A15" s="4" t="inlineStr">
        <is>
          <t>价格口径</t>
        </is>
      </c>
      <c r="B15" s="5" t="inlineStr">
        <is>
          <t>收盘价（同步存两列，切换口径后必须重算而不是四舍五入）</t>
        </is>
      </c>
    </row>
    <row r="16">
      <c r="A16" s="4" t="inlineStr">
        <is>
          <t>日历间隔</t>
        </is>
      </c>
      <c r="B16" s="5" t="inlineStr">
        <is>
          <t>SA2612 与 SA2701 相隔 1 个月；距本腿交割 40 / 63 个交易日（按交割月第10个交易日计）</t>
        </is>
      </c>
    </row>
    <row r="17">
      <c r="A17" s="4" t="inlineStr">
        <is>
          <t>可比样本规则</t>
        </is>
      </c>
      <c r="B17" s="5" t="inlineStr">
        <is>
          <t>同月份组合（gap=1 月）且 |距本腿交割 − 40| ≤ 10 个交易日</t>
        </is>
      </c>
    </row>
    <row r="18">
      <c r="A18" s="4" t="inlineStr">
        <is>
          <t>禁止事项</t>
        </is>
      </c>
      <c r="B18" s="5" t="inlineStr">
        <is>
          <t>禁止把剩余到期时间不同的月差混入同一分布；禁止用主力连续合约算月差；禁止对缺失价格插值/前向填充。</t>
        </is>
      </c>
    </row>
    <row r="19">
      <c r="A19" s="4" t="inlineStr">
        <is>
          <t>最低持仓</t>
        </is>
      </c>
      <c r="B19" s="5" t="inlineStr">
        <is>
          <t>构建期限结构时要求持仓 ≥ 1000.0 手，避免把刚挂牌的占位报价当成真实价格。</t>
        </is>
      </c>
    </row>
    <row r="21">
      <c r="A21" s="2" t="inlineStr">
        <is>
          <t>三、如何复核</t>
        </is>
      </c>
    </row>
    <row r="22">
      <c r="A22" s="4" t="inlineStr">
        <is>
          <t>算法</t>
        </is>
      </c>
      <c r="B22" s="5" t="inlineStr">
        <is>
          <t>13-计算公式 页所有格子都是 Excel 真实公式，改任一价格即可看到月差、变化、分位联动。</t>
        </is>
      </c>
    </row>
    <row r="23">
      <c r="A23" s="4" t="inlineStr">
        <is>
          <t>数据血缘</t>
        </is>
      </c>
      <c r="B23" s="5" t="inlineStr">
        <is>
          <t>14-数据来源 给出行情接口、仓单接口、事件原文链接与各自覆盖区间。</t>
        </is>
      </c>
    </row>
    <row r="24">
      <c r="A24" s="4" t="inlineStr">
        <is>
          <t>质量门槛</t>
        </is>
      </c>
      <c r="B24" s="5" t="inlineStr">
        <is>
          <t>15-数据质量 有任何 ERROR 时，本工作簿的结论不可用。</t>
        </is>
      </c>
    </row>
    <row r="25">
      <c r="A25" s="4" t="inlineStr">
        <is>
          <t>生成器</t>
        </is>
      </c>
      <c r="B25" s="5" t="inlineStr">
        <is>
          <t>futures-calendar-spread / build_excel.py；数据快照 build/enriched.json；生成于 2026-10-20 18:28:44</t>
        </is>
      </c>
    </row>
    <row r="27">
      <c r="A27" s="6" t="inlineStr">
        <is>
          <t>免责声明：本工作簿为描述性研究，不含任何交易建议、目标价或方向性推荐。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62" customWidth="1" min="4" max="4"/>
  </cols>
  <sheetData>
    <row r="1">
      <c r="A1" s="1" t="inlineStr">
        <is>
          <t>结论摘要（先数字，后解释）</t>
        </is>
      </c>
    </row>
    <row r="4" ht="28" customHeight="1">
      <c r="A4" s="7" t="inlineStr">
        <is>
          <t>项目</t>
        </is>
      </c>
      <c r="B4" s="7" t="inlineStr">
        <is>
          <t>数值</t>
        </is>
      </c>
      <c r="C4" s="7" t="inlineStr">
        <is>
          <t>单位</t>
        </is>
      </c>
      <c r="D4" s="7" t="inlineStr">
        <is>
          <t>说明</t>
        </is>
      </c>
    </row>
    <row r="5">
      <c r="A5" s="8" t="inlineStr">
        <is>
          <t>当前月差</t>
        </is>
      </c>
      <c r="B5" s="9" t="n">
        <v>-4</v>
      </c>
      <c r="C5" s="10" t="inlineStr">
        <is>
          <t>元/吨</t>
        </is>
      </c>
      <c r="D5" s="11" t="inlineStr">
        <is>
          <t>2026-10-20，SA2612 934 / SA2701 938</t>
        </is>
      </c>
    </row>
    <row r="6">
      <c r="A6" s="8" t="inlineStr">
        <is>
          <t>近1周变化</t>
        </is>
      </c>
      <c r="B6" s="9" t="n">
        <v>1</v>
      </c>
      <c r="C6" s="10" t="inlineStr">
        <is>
          <t>元/吨</t>
        </is>
      </c>
      <c r="D6" s="11" t="inlineStr">
        <is>
          <t>2026-10-13 → 2026-10-20</t>
        </is>
      </c>
    </row>
    <row r="7">
      <c r="A7" s="8" t="inlineStr">
        <is>
          <t>近1月变化</t>
        </is>
      </c>
      <c r="B7" s="9" t="n">
        <v>2</v>
      </c>
      <c r="C7" s="10" t="inlineStr">
        <is>
          <t>元/吨</t>
        </is>
      </c>
      <c r="D7" s="11" t="inlineStr">
        <is>
          <t>2026-09-14 → 2026-10-20</t>
        </is>
      </c>
    </row>
    <row r="8">
      <c r="A8" s="8" t="inlineStr">
        <is>
          <t>本合约对全样本分位</t>
        </is>
      </c>
      <c r="B8" s="9" t="n">
        <v>62.71186440677966</v>
      </c>
      <c r="C8" s="10" t="inlineStr">
        <is>
          <t>%</t>
        </is>
      </c>
      <c r="D8" s="11" t="inlineStr">
        <is>
          <t>N=177（仅 2026-01-22 起，不足1年）</t>
        </is>
      </c>
    </row>
    <row r="9">
      <c r="A9" s="8" t="inlineStr">
        <is>
          <t>可比样本分位</t>
        </is>
      </c>
      <c r="B9" s="9" t="n">
        <v>37.16814159292036</v>
      </c>
      <c r="C9" s="10" t="inlineStr">
        <is>
          <t>%</t>
        </is>
      </c>
      <c r="D9" s="11" t="inlineStr">
        <is>
          <t>N=113，同月份组合＋距交割±10日</t>
        </is>
      </c>
    </row>
    <row r="10">
      <c r="A10" s="8" t="inlineStr">
        <is>
          <t>期限结构形态</t>
        </is>
      </c>
      <c r="B10" s="10" t="inlineStr">
        <is>
          <t>contango（全月正向、远月升水）</t>
        </is>
      </c>
      <c r="C10" s="10" t="inlineStr"/>
      <c r="D10" s="11" t="inlineStr">
        <is>
          <t>SA2612=+0 SA2701=+4 SA2703=+38 SA2705=+68 SA2709=+120</t>
        </is>
      </c>
    </row>
    <row r="11">
      <c r="A11" s="8" t="inlineStr">
        <is>
          <t>最近月→最远月</t>
        </is>
      </c>
      <c r="B11" s="9" t="n">
        <v>120</v>
      </c>
      <c r="C11" s="10" t="inlineStr">
        <is>
          <t>元/吨</t>
        </is>
      </c>
      <c r="D11" s="11" t="inlineStr">
        <is>
          <t>最远月 TS 减最近月 TS</t>
        </is>
      </c>
    </row>
    <row r="12">
      <c r="A12" s="8" t="inlineStr">
        <is>
          <t>近端(次近月 TS)</t>
        </is>
      </c>
      <c r="B12" s="9" t="n">
        <v>4</v>
      </c>
      <c r="C12" s="10" t="inlineStr">
        <is>
          <t>元/吨</t>
        </is>
      </c>
      <c r="D12" s="11" t="inlineStr">
        <is>
          <t>SA2701 相对 SA2612</t>
        </is>
      </c>
    </row>
    <row r="13">
      <c r="A13" s="8" t="inlineStr">
        <is>
          <t>去年同位置近端</t>
        </is>
      </c>
      <c r="B13" s="9" t="n">
        <v>11</v>
      </c>
      <c r="C13" s="10" t="inlineStr">
        <is>
          <t>元/吨</t>
        </is>
      </c>
      <c r="D13" s="11" t="inlineStr">
        <is>
          <t>2025-10-20，SA2601</t>
        </is>
      </c>
    </row>
    <row r="14">
      <c r="A14" s="8" t="inlineStr">
        <is>
          <t>近1周近月贡献</t>
        </is>
      </c>
      <c r="B14" s="9" t="n">
        <v>-2.33</v>
      </c>
      <c r="C14" s="10" t="inlineStr">
        <is>
          <t>%</t>
        </is>
      </c>
      <c r="D14" s="11" t="inlineStr">
        <is>
          <t>SA2612 涨跌 -22.0</t>
        </is>
      </c>
    </row>
    <row r="15">
      <c r="A15" s="8" t="inlineStr">
        <is>
          <t>近1周远月贡献</t>
        </is>
      </c>
      <c r="B15" s="9" t="n">
        <v>2.42</v>
      </c>
      <c r="C15" s="10" t="inlineStr">
        <is>
          <t>%</t>
        </is>
      </c>
      <c r="D15" s="11" t="inlineStr">
        <is>
          <t>SA2701 涨跌 -23.0</t>
        </is>
      </c>
    </row>
    <row r="16">
      <c r="A16" s="8" t="inlineStr">
        <is>
          <t>品种仓单</t>
        </is>
      </c>
      <c r="B16" s="9" t="n">
        <v>3214</v>
      </c>
      <c r="C16" s="10" t="inlineStr">
        <is>
          <t>张</t>
        </is>
      </c>
      <c r="D16" s="11" t="inlineStr">
        <is>
          <t>2026-10-20（品种级，不可拆分到合约）</t>
        </is>
      </c>
    </row>
    <row r="19">
      <c r="A19" s="2" t="inlineStr">
        <is>
          <t>可以说的 / 不能说的</t>
        </is>
      </c>
    </row>
    <row r="20" ht="32" customHeight="1">
      <c r="A20" s="12" t="inlineStr">
        <is>
          <t>✓</t>
        </is>
      </c>
      <c r="B20" s="5" t="inlineStr">
        <is>
          <t>本次“变化”主要不是月差本身，而是整条曲线的绝对水平下移；SA2612−SA2701 稳定在 -4 元附近的小幅贴水。</t>
        </is>
      </c>
    </row>
    <row r="21" ht="32" customHeight="1">
      <c r="A21" s="12" t="inlineStr">
        <is>
          <t>✓</t>
        </is>
      </c>
      <c r="B21" s="5" t="inlineStr">
        <is>
          <t>结构真正变化在近端：去年同位置的最近月→次近月为正升水，当前接近持平；近端升水在换月后被抹平。</t>
        </is>
      </c>
    </row>
    <row r="22" ht="32" customHeight="1">
      <c r="A22" s="12" t="inlineStr">
        <is>
          <t>✓</t>
        </is>
      </c>
      <c r="B22" s="5" t="inlineStr">
        <is>
          <t>近 1 周两腿近乎同幅下跌，近月与远月贡献相互抵消，月差不由单腿推动——这是“两腿同步”而非“某一腿主导”。</t>
        </is>
      </c>
    </row>
    <row r="23" ht="32" customHeight="1">
      <c r="A23" s="12" t="inlineStr">
        <is>
          <t>✓</t>
        </is>
      </c>
      <c r="B23" s="5" t="inlineStr">
        <is>
          <t>产业侧支持“近端无持续性偏紧”：厂库同比高位、开工率回升、检修为短期行为、远期中盐奈曼旗 500 万吨天然碱项目在建。</t>
        </is>
      </c>
    </row>
    <row r="24" ht="32" customHeight="1">
      <c r="A24" s="13" t="inlineStr">
        <is>
          <t>✗</t>
        </is>
      </c>
      <c r="B24" s="5" t="inlineStr">
        <is>
          <t>合约对实际历史仅 0.74 年（2026-01-22 起），不足 1 年，本项与全样本重合，不能称为“近1年分位”</t>
        </is>
      </c>
    </row>
    <row r="25" ht="32" customHeight="1">
      <c r="A25" s="13" t="inlineStr">
        <is>
          <t>✗</t>
        </is>
      </c>
      <c r="B25" s="5" t="inlineStr">
        <is>
          <t>仓单仅 3 个月、品种级，不能拆成近月/远月仓单，也不能与厂库混用；交易所仓单≠社会库存。</t>
        </is>
      </c>
    </row>
    <row r="26" ht="32" customHeight="1">
      <c r="A26" s="13" t="inlineStr">
        <is>
          <t>✗</t>
        </is>
      </c>
      <c r="B26" s="5" t="inlineStr">
        <is>
          <t>事件时间接近不等于因果；未做任何统计检验，不能宣称“因为 X 所以月差变成 Y”。</t>
        </is>
      </c>
    </row>
    <row r="27" ht="32" customHeight="1">
      <c r="A27" s="13" t="inlineStr">
        <is>
          <t>✗</t>
        </is>
      </c>
      <c r="B27" s="5" t="inlineStr">
        <is>
          <t>以上不含任何交易建议。</t>
        </is>
      </c>
    </row>
  </sheetData>
  <mergeCells count="8">
    <mergeCell ref="B23:D23"/>
    <mergeCell ref="B22:D22"/>
    <mergeCell ref="B26:D26"/>
    <mergeCell ref="B27:D27"/>
    <mergeCell ref="B21:D21"/>
    <mergeCell ref="B25:D25"/>
    <mergeCell ref="B24:D24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SA2612 与 SA2701 逐日价格序列</t>
        </is>
      </c>
    </row>
    <row r="2">
      <c r="A2" s="14" t="inlineStr">
        <is>
          <t>月差 = A − B；两腿必须同日都有报价才计入。</t>
        </is>
      </c>
    </row>
    <row r="4" ht="28" customHeight="1">
      <c r="A4" s="7" t="inlineStr">
        <is>
          <t>日期</t>
        </is>
      </c>
      <c r="B4" s="7" t="inlineStr">
        <is>
          <t>SA2612 收盘</t>
        </is>
      </c>
      <c r="C4" s="7" t="inlineStr">
        <is>
          <t>SA2612 结算</t>
        </is>
      </c>
      <c r="D4" s="7" t="inlineStr">
        <is>
          <t>SA2612 持仓</t>
        </is>
      </c>
      <c r="E4" s="7" t="inlineStr">
        <is>
          <t>SA2701 收盘</t>
        </is>
      </c>
      <c r="F4" s="7" t="inlineStr">
        <is>
          <t>SA2701 结算</t>
        </is>
      </c>
      <c r="G4" s="7" t="inlineStr">
        <is>
          <t>SA2701 持仓</t>
        </is>
      </c>
      <c r="H4" s="7" t="inlineStr">
        <is>
          <t>月差(A−B)</t>
        </is>
      </c>
      <c r="I4" s="7" t="inlineStr">
        <is>
          <t>月差%</t>
        </is>
      </c>
      <c r="J4" s="7" t="inlineStr">
        <is>
          <t>A距交割</t>
        </is>
      </c>
    </row>
    <row r="5">
      <c r="A5" s="10" t="inlineStr">
        <is>
          <t>2026-01-22</t>
        </is>
      </c>
      <c r="B5" s="10" t="n">
        <v>1283</v>
      </c>
      <c r="C5" s="10" t="n"/>
      <c r="D5" s="10" t="n">
        <v>5115</v>
      </c>
      <c r="E5" s="10" t="n">
        <v>1287</v>
      </c>
      <c r="F5" s="10" t="n"/>
      <c r="G5" s="15">
        <f>B5-E5</f>
        <v/>
      </c>
      <c r="H5" s="16">
        <f>IFERROR(G5/E5*100,"")</f>
        <v/>
      </c>
      <c r="I5" s="10" t="n"/>
      <c r="J5" s="10" t="n">
        <v>233</v>
      </c>
    </row>
    <row r="6">
      <c r="A6" s="10" t="inlineStr">
        <is>
          <t>2026-01-23</t>
        </is>
      </c>
      <c r="B6" s="10" t="n">
        <v>1292</v>
      </c>
      <c r="C6" s="10" t="n"/>
      <c r="D6" s="10" t="n">
        <v>5196</v>
      </c>
      <c r="E6" s="10" t="n">
        <v>1296</v>
      </c>
      <c r="F6" s="10" t="n"/>
      <c r="G6" s="15">
        <f>B6-E6</f>
        <v/>
      </c>
      <c r="H6" s="16">
        <f>IFERROR(G6/E6*100,"")</f>
        <v/>
      </c>
      <c r="I6" s="10" t="n"/>
      <c r="J6" s="10" t="n">
        <v>232</v>
      </c>
    </row>
    <row r="7">
      <c r="A7" s="10" t="inlineStr">
        <is>
          <t>2026-01-26</t>
        </is>
      </c>
      <c r="B7" s="10" t="n">
        <v>1297</v>
      </c>
      <c r="C7" s="10" t="n"/>
      <c r="D7" s="10" t="n">
        <v>5268</v>
      </c>
      <c r="E7" s="10" t="n">
        <v>1300</v>
      </c>
      <c r="F7" s="10" t="n"/>
      <c r="G7" s="15">
        <f>B7-E7</f>
        <v/>
      </c>
      <c r="H7" s="16">
        <f>IFERROR(G7/E7*100,"")</f>
        <v/>
      </c>
      <c r="I7" s="10" t="n"/>
      <c r="J7" s="10" t="n">
        <v>231</v>
      </c>
    </row>
    <row r="8">
      <c r="A8" s="10" t="inlineStr">
        <is>
          <t>2026-01-27</t>
        </is>
      </c>
      <c r="B8" s="10" t="n">
        <v>1287</v>
      </c>
      <c r="C8" s="10" t="n"/>
      <c r="D8" s="10" t="n">
        <v>5219</v>
      </c>
      <c r="E8" s="10" t="n">
        <v>1291</v>
      </c>
      <c r="F8" s="10" t="n"/>
      <c r="G8" s="15">
        <f>B8-E8</f>
        <v/>
      </c>
      <c r="H8" s="16">
        <f>IFERROR(G8/E8*100,"")</f>
        <v/>
      </c>
      <c r="I8" s="10" t="n"/>
      <c r="J8" s="10" t="n">
        <v>230</v>
      </c>
    </row>
    <row r="9">
      <c r="A9" s="10" t="inlineStr">
        <is>
          <t>2026-01-28</t>
        </is>
      </c>
      <c r="B9" s="10" t="n">
        <v>1294</v>
      </c>
      <c r="C9" s="10" t="n"/>
      <c r="D9" s="10" t="n">
        <v>5227</v>
      </c>
      <c r="E9" s="10" t="n">
        <v>1295</v>
      </c>
      <c r="F9" s="10" t="n"/>
      <c r="G9" s="15">
        <f>B9-E9</f>
        <v/>
      </c>
      <c r="H9" s="16">
        <f>IFERROR(G9/E9*100,"")</f>
        <v/>
      </c>
      <c r="I9" s="10" t="n"/>
      <c r="J9" s="10" t="n">
        <v>229</v>
      </c>
    </row>
    <row r="10">
      <c r="A10" s="10" t="inlineStr">
        <is>
          <t>2026-01-29</t>
        </is>
      </c>
      <c r="B10" s="10" t="n">
        <v>1304</v>
      </c>
      <c r="C10" s="10" t="n"/>
      <c r="D10" s="10" t="n">
        <v>5429</v>
      </c>
      <c r="E10" s="10" t="n">
        <v>1308</v>
      </c>
      <c r="F10" s="10" t="n"/>
      <c r="G10" s="15">
        <f>B10-E10</f>
        <v/>
      </c>
      <c r="H10" s="16">
        <f>IFERROR(G10/E10*100,"")</f>
        <v/>
      </c>
      <c r="I10" s="10" t="n"/>
      <c r="J10" s="10" t="n">
        <v>228</v>
      </c>
    </row>
    <row r="11">
      <c r="A11" s="10" t="inlineStr">
        <is>
          <t>2026-01-30</t>
        </is>
      </c>
      <c r="B11" s="10" t="n">
        <v>1297</v>
      </c>
      <c r="C11" s="10" t="n"/>
      <c r="D11" s="10" t="n">
        <v>5529</v>
      </c>
      <c r="E11" s="10" t="n">
        <v>1299</v>
      </c>
      <c r="F11" s="10" t="n"/>
      <c r="G11" s="15">
        <f>B11-E11</f>
        <v/>
      </c>
      <c r="H11" s="16">
        <f>IFERROR(G11/E11*100,"")</f>
        <v/>
      </c>
      <c r="I11" s="10" t="n"/>
      <c r="J11" s="10" t="n">
        <v>227</v>
      </c>
    </row>
    <row r="12">
      <c r="A12" s="10" t="inlineStr">
        <is>
          <t>2026-02-02</t>
        </is>
      </c>
      <c r="B12" s="10" t="n">
        <v>1296</v>
      </c>
      <c r="C12" s="10" t="n"/>
      <c r="D12" s="10" t="n">
        <v>5359</v>
      </c>
      <c r="E12" s="10" t="n">
        <v>1298</v>
      </c>
      <c r="F12" s="10" t="n"/>
      <c r="G12" s="15">
        <f>B12-E12</f>
        <v/>
      </c>
      <c r="H12" s="16">
        <f>IFERROR(G12/E12*100,"")</f>
        <v/>
      </c>
      <c r="I12" s="10" t="n"/>
      <c r="J12" s="10" t="n">
        <v>226</v>
      </c>
    </row>
    <row r="13">
      <c r="A13" s="10" t="inlineStr">
        <is>
          <t>2026-02-03</t>
        </is>
      </c>
      <c r="B13" s="10" t="n">
        <v>1296</v>
      </c>
      <c r="C13" s="10" t="n"/>
      <c r="D13" s="10" t="n">
        <v>5393</v>
      </c>
      <c r="E13" s="10" t="n">
        <v>1299</v>
      </c>
      <c r="F13" s="10" t="n"/>
      <c r="G13" s="15">
        <f>B13-E13</f>
        <v/>
      </c>
      <c r="H13" s="16">
        <f>IFERROR(G13/E13*100,"")</f>
        <v/>
      </c>
      <c r="I13" s="10" t="n"/>
      <c r="J13" s="10" t="n">
        <v>225</v>
      </c>
    </row>
    <row r="14">
      <c r="A14" s="10" t="inlineStr">
        <is>
          <t>2026-02-04</t>
        </is>
      </c>
      <c r="B14" s="10" t="n">
        <v>1316</v>
      </c>
      <c r="C14" s="10" t="n"/>
      <c r="D14" s="10" t="n">
        <v>5557</v>
      </c>
      <c r="E14" s="10" t="n">
        <v>1323</v>
      </c>
      <c r="F14" s="10" t="n"/>
      <c r="G14" s="15">
        <f>B14-E14</f>
        <v/>
      </c>
      <c r="H14" s="16">
        <f>IFERROR(G14/E14*100,"")</f>
        <v/>
      </c>
      <c r="I14" s="10" t="n"/>
      <c r="J14" s="10" t="n">
        <v>224</v>
      </c>
    </row>
    <row r="15">
      <c r="A15" s="10" t="inlineStr">
        <is>
          <t>2026-02-05</t>
        </is>
      </c>
      <c r="B15" s="10" t="n">
        <v>1305</v>
      </c>
      <c r="C15" s="10" t="n"/>
      <c r="D15" s="10" t="n">
        <v>5477</v>
      </c>
      <c r="E15" s="10" t="n">
        <v>1309</v>
      </c>
      <c r="F15" s="10" t="n"/>
      <c r="G15" s="15">
        <f>B15-E15</f>
        <v/>
      </c>
      <c r="H15" s="16">
        <f>IFERROR(G15/E15*100,"")</f>
        <v/>
      </c>
      <c r="I15" s="10" t="n"/>
      <c r="J15" s="10" t="n">
        <v>223</v>
      </c>
    </row>
    <row r="16">
      <c r="A16" s="10" t="inlineStr">
        <is>
          <t>2026-02-06</t>
        </is>
      </c>
      <c r="B16" s="10" t="n">
        <v>1290</v>
      </c>
      <c r="C16" s="10" t="n"/>
      <c r="D16" s="10" t="n">
        <v>5484</v>
      </c>
      <c r="E16" s="10" t="n">
        <v>1294</v>
      </c>
      <c r="F16" s="10" t="n"/>
      <c r="G16" s="15">
        <f>B16-E16</f>
        <v/>
      </c>
      <c r="H16" s="16">
        <f>IFERROR(G16/E16*100,"")</f>
        <v/>
      </c>
      <c r="I16" s="10" t="n"/>
      <c r="J16" s="10" t="n">
        <v>222</v>
      </c>
    </row>
    <row r="17">
      <c r="A17" s="10" t="inlineStr">
        <is>
          <t>2026-02-09</t>
        </is>
      </c>
      <c r="B17" s="10" t="n">
        <v>1284</v>
      </c>
      <c r="C17" s="10" t="n"/>
      <c r="D17" s="10" t="n">
        <v>5562</v>
      </c>
      <c r="E17" s="10" t="n">
        <v>1286</v>
      </c>
      <c r="F17" s="10" t="n"/>
      <c r="G17" s="15">
        <f>B17-E17</f>
        <v/>
      </c>
      <c r="H17" s="16">
        <f>IFERROR(G17/E17*100,"")</f>
        <v/>
      </c>
      <c r="I17" s="10" t="n"/>
      <c r="J17" s="10" t="n">
        <v>221</v>
      </c>
    </row>
    <row r="18">
      <c r="A18" s="10" t="inlineStr">
        <is>
          <t>2026-02-10</t>
        </is>
      </c>
      <c r="B18" s="10" t="n">
        <v>1278</v>
      </c>
      <c r="C18" s="10" t="n"/>
      <c r="D18" s="10" t="n">
        <v>5624</v>
      </c>
      <c r="E18" s="10" t="n">
        <v>1282</v>
      </c>
      <c r="F18" s="10" t="n"/>
      <c r="G18" s="15">
        <f>B18-E18</f>
        <v/>
      </c>
      <c r="H18" s="16">
        <f>IFERROR(G18/E18*100,"")</f>
        <v/>
      </c>
      <c r="I18" s="10" t="n"/>
      <c r="J18" s="10" t="n">
        <v>220</v>
      </c>
    </row>
    <row r="19">
      <c r="A19" s="10" t="inlineStr">
        <is>
          <t>2026-02-11</t>
        </is>
      </c>
      <c r="B19" s="10" t="n">
        <v>1283</v>
      </c>
      <c r="C19" s="10" t="n"/>
      <c r="D19" s="10" t="n">
        <v>5650</v>
      </c>
      <c r="E19" s="10" t="n">
        <v>1288</v>
      </c>
      <c r="F19" s="10" t="n"/>
      <c r="G19" s="15">
        <f>B19-E19</f>
        <v/>
      </c>
      <c r="H19" s="16">
        <f>IFERROR(G19/E19*100,"")</f>
        <v/>
      </c>
      <c r="I19" s="10" t="n"/>
      <c r="J19" s="10" t="n">
        <v>219</v>
      </c>
    </row>
    <row r="20">
      <c r="A20" s="10" t="inlineStr">
        <is>
          <t>2026-02-12</t>
        </is>
      </c>
      <c r="B20" s="10" t="n">
        <v>1274</v>
      </c>
      <c r="C20" s="10" t="n"/>
      <c r="D20" s="10" t="n">
        <v>5713</v>
      </c>
      <c r="E20" s="10" t="n">
        <v>1278</v>
      </c>
      <c r="F20" s="10" t="n"/>
      <c r="G20" s="15">
        <f>B20-E20</f>
        <v/>
      </c>
      <c r="H20" s="16">
        <f>IFERROR(G20/E20*100,"")</f>
        <v/>
      </c>
      <c r="I20" s="10" t="n"/>
      <c r="J20" s="10" t="n">
        <v>218</v>
      </c>
    </row>
    <row r="21">
      <c r="A21" s="10" t="inlineStr">
        <is>
          <t>2026-02-13</t>
        </is>
      </c>
      <c r="B21" s="10" t="n">
        <v>1271</v>
      </c>
      <c r="C21" s="10" t="n"/>
      <c r="D21" s="10" t="n">
        <v>5803</v>
      </c>
      <c r="E21" s="10" t="n">
        <v>1272</v>
      </c>
      <c r="F21" s="10" t="n"/>
      <c r="G21" s="15">
        <f>B21-E21</f>
        <v/>
      </c>
      <c r="H21" s="16">
        <f>IFERROR(G21/E21*100,"")</f>
        <v/>
      </c>
      <c r="I21" s="10" t="n"/>
      <c r="J21" s="10" t="n">
        <v>217</v>
      </c>
    </row>
    <row r="22">
      <c r="A22" s="10" t="inlineStr">
        <is>
          <t>2026-02-24</t>
        </is>
      </c>
      <c r="B22" s="10" t="n">
        <v>1278</v>
      </c>
      <c r="C22" s="10" t="n"/>
      <c r="D22" s="10" t="n">
        <v>5810</v>
      </c>
      <c r="E22" s="10" t="n">
        <v>1283</v>
      </c>
      <c r="F22" s="10" t="n"/>
      <c r="G22" s="15">
        <f>B22-E22</f>
        <v/>
      </c>
      <c r="H22" s="16">
        <f>IFERROR(G22/E22*100,"")</f>
        <v/>
      </c>
      <c r="I22" s="10" t="n"/>
      <c r="J22" s="10" t="n">
        <v>210</v>
      </c>
    </row>
    <row r="23">
      <c r="A23" s="10" t="inlineStr">
        <is>
          <t>2026-02-25</t>
        </is>
      </c>
      <c r="B23" s="10" t="n">
        <v>1297</v>
      </c>
      <c r="C23" s="10" t="n"/>
      <c r="D23" s="10" t="n">
        <v>5795</v>
      </c>
      <c r="E23" s="10" t="n">
        <v>1302</v>
      </c>
      <c r="F23" s="10" t="n"/>
      <c r="G23" s="15">
        <f>B23-E23</f>
        <v/>
      </c>
      <c r="H23" s="16">
        <f>IFERROR(G23/E23*100,"")</f>
        <v/>
      </c>
      <c r="I23" s="10" t="n"/>
      <c r="J23" s="10" t="n">
        <v>209</v>
      </c>
    </row>
    <row r="24">
      <c r="A24" s="10" t="inlineStr">
        <is>
          <t>2026-02-26</t>
        </is>
      </c>
      <c r="B24" s="10" t="n">
        <v>1299</v>
      </c>
      <c r="C24" s="10" t="n"/>
      <c r="D24" s="10" t="n">
        <v>5786</v>
      </c>
      <c r="E24" s="10" t="n">
        <v>1300</v>
      </c>
      <c r="F24" s="10" t="n"/>
      <c r="G24" s="15">
        <f>B24-E24</f>
        <v/>
      </c>
      <c r="H24" s="16">
        <f>IFERROR(G24/E24*100,"")</f>
        <v/>
      </c>
      <c r="I24" s="10" t="n"/>
      <c r="J24" s="10" t="n">
        <v>208</v>
      </c>
    </row>
    <row r="25">
      <c r="A25" s="10" t="inlineStr">
        <is>
          <t>2026-02-27</t>
        </is>
      </c>
      <c r="B25" s="10" t="n">
        <v>1299</v>
      </c>
      <c r="C25" s="10" t="n"/>
      <c r="D25" s="10" t="n">
        <v>5843</v>
      </c>
      <c r="E25" s="10" t="n">
        <v>1302</v>
      </c>
      <c r="F25" s="10" t="n"/>
      <c r="G25" s="15">
        <f>B25-E25</f>
        <v/>
      </c>
      <c r="H25" s="16">
        <f>IFERROR(G25/E25*100,"")</f>
        <v/>
      </c>
      <c r="I25" s="10" t="n"/>
      <c r="J25" s="10" t="n">
        <v>207</v>
      </c>
    </row>
    <row r="26">
      <c r="A26" s="10" t="inlineStr">
        <is>
          <t>2026-03-02</t>
        </is>
      </c>
      <c r="B26" s="10" t="n">
        <v>1296</v>
      </c>
      <c r="C26" s="10" t="n"/>
      <c r="D26" s="10" t="n">
        <v>5966</v>
      </c>
      <c r="E26" s="10" t="n">
        <v>1299</v>
      </c>
      <c r="F26" s="10" t="n"/>
      <c r="G26" s="15">
        <f>B26-E26</f>
        <v/>
      </c>
      <c r="H26" s="16">
        <f>IFERROR(G26/E26*100,"")</f>
        <v/>
      </c>
      <c r="I26" s="10" t="n"/>
      <c r="J26" s="10" t="n">
        <v>206</v>
      </c>
    </row>
    <row r="27">
      <c r="A27" s="10" t="inlineStr">
        <is>
          <t>2026-03-03</t>
        </is>
      </c>
      <c r="B27" s="10" t="n">
        <v>1315</v>
      </c>
      <c r="C27" s="10" t="n"/>
      <c r="D27" s="10" t="n">
        <v>6165</v>
      </c>
      <c r="E27" s="10" t="n">
        <v>1320</v>
      </c>
      <c r="F27" s="10" t="n"/>
      <c r="G27" s="15">
        <f>B27-E27</f>
        <v/>
      </c>
      <c r="H27" s="16">
        <f>IFERROR(G27/E27*100,"")</f>
        <v/>
      </c>
      <c r="I27" s="10" t="n"/>
      <c r="J27" s="10" t="n">
        <v>205</v>
      </c>
    </row>
    <row r="28">
      <c r="A28" s="10" t="inlineStr">
        <is>
          <t>2026-03-04</t>
        </is>
      </c>
      <c r="B28" s="10" t="n">
        <v>1304</v>
      </c>
      <c r="C28" s="10" t="n"/>
      <c r="D28" s="10" t="n">
        <v>6073</v>
      </c>
      <c r="E28" s="10" t="n">
        <v>1309</v>
      </c>
      <c r="F28" s="10" t="n"/>
      <c r="G28" s="15">
        <f>B28-E28</f>
        <v/>
      </c>
      <c r="H28" s="16">
        <f>IFERROR(G28/E28*100,"")</f>
        <v/>
      </c>
      <c r="I28" s="10" t="n"/>
      <c r="J28" s="10" t="n">
        <v>204</v>
      </c>
    </row>
    <row r="29">
      <c r="A29" s="10" t="inlineStr">
        <is>
          <t>2026-03-05</t>
        </is>
      </c>
      <c r="B29" s="10" t="n">
        <v>1312</v>
      </c>
      <c r="C29" s="10" t="n"/>
      <c r="D29" s="10" t="n">
        <v>6488</v>
      </c>
      <c r="E29" s="10" t="n">
        <v>1319</v>
      </c>
      <c r="F29" s="10" t="n"/>
      <c r="G29" s="15">
        <f>B29-E29</f>
        <v/>
      </c>
      <c r="H29" s="16">
        <f>IFERROR(G29/E29*100,"")</f>
        <v/>
      </c>
      <c r="I29" s="10" t="n"/>
      <c r="J29" s="10" t="n">
        <v>203</v>
      </c>
    </row>
    <row r="30">
      <c r="A30" s="10" t="inlineStr">
        <is>
          <t>2026-03-06</t>
        </is>
      </c>
      <c r="B30" s="10" t="n">
        <v>1326</v>
      </c>
      <c r="C30" s="10" t="n"/>
      <c r="D30" s="10" t="n">
        <v>6784</v>
      </c>
      <c r="E30" s="10" t="n">
        <v>1332</v>
      </c>
      <c r="F30" s="10" t="n"/>
      <c r="G30" s="15">
        <f>B30-E30</f>
        <v/>
      </c>
      <c r="H30" s="16">
        <f>IFERROR(G30/E30*100,"")</f>
        <v/>
      </c>
      <c r="I30" s="10" t="n"/>
      <c r="J30" s="10" t="n">
        <v>202</v>
      </c>
    </row>
    <row r="31">
      <c r="A31" s="10" t="inlineStr">
        <is>
          <t>2026-03-09</t>
        </is>
      </c>
      <c r="B31" s="10" t="n">
        <v>1351</v>
      </c>
      <c r="C31" s="10" t="n"/>
      <c r="D31" s="10" t="n">
        <v>7024</v>
      </c>
      <c r="E31" s="10" t="n">
        <v>1358</v>
      </c>
      <c r="F31" s="10" t="n"/>
      <c r="G31" s="15">
        <f>B31-E31</f>
        <v/>
      </c>
      <c r="H31" s="16">
        <f>IFERROR(G31/E31*100,"")</f>
        <v/>
      </c>
      <c r="I31" s="10" t="n"/>
      <c r="J31" s="10" t="n">
        <v>201</v>
      </c>
    </row>
    <row r="32">
      <c r="A32" s="10" t="inlineStr">
        <is>
          <t>2026-03-10</t>
        </is>
      </c>
      <c r="B32" s="10" t="n">
        <v>1330</v>
      </c>
      <c r="C32" s="10" t="n"/>
      <c r="D32" s="10" t="n">
        <v>7558</v>
      </c>
      <c r="E32" s="10" t="n">
        <v>1339</v>
      </c>
      <c r="F32" s="10" t="n"/>
      <c r="G32" s="15">
        <f>B32-E32</f>
        <v/>
      </c>
      <c r="H32" s="16">
        <f>IFERROR(G32/E32*100,"")</f>
        <v/>
      </c>
      <c r="I32" s="10" t="n"/>
      <c r="J32" s="10" t="n">
        <v>200</v>
      </c>
    </row>
    <row r="33">
      <c r="A33" s="10" t="inlineStr">
        <is>
          <t>2026-03-11</t>
        </is>
      </c>
      <c r="B33" s="10" t="n">
        <v>1350</v>
      </c>
      <c r="C33" s="10" t="n"/>
      <c r="D33" s="10" t="n">
        <v>8382</v>
      </c>
      <c r="E33" s="10" t="n">
        <v>1357</v>
      </c>
      <c r="F33" s="10" t="n"/>
      <c r="G33" s="15">
        <f>B33-E33</f>
        <v/>
      </c>
      <c r="H33" s="16">
        <f>IFERROR(G33/E33*100,"")</f>
        <v/>
      </c>
      <c r="I33" s="10" t="n"/>
      <c r="J33" s="10" t="n">
        <v>199</v>
      </c>
    </row>
    <row r="34">
      <c r="A34" s="10" t="inlineStr">
        <is>
          <t>2026-03-12</t>
        </is>
      </c>
      <c r="B34" s="10" t="n">
        <v>1359</v>
      </c>
      <c r="C34" s="10" t="n"/>
      <c r="D34" s="10" t="n">
        <v>8766</v>
      </c>
      <c r="E34" s="10" t="n">
        <v>1363</v>
      </c>
      <c r="F34" s="10" t="n"/>
      <c r="G34" s="15">
        <f>B34-E34</f>
        <v/>
      </c>
      <c r="H34" s="16">
        <f>IFERROR(G34/E34*100,"")</f>
        <v/>
      </c>
      <c r="I34" s="10" t="n"/>
      <c r="J34" s="10" t="n">
        <v>198</v>
      </c>
    </row>
    <row r="35">
      <c r="A35" s="10" t="inlineStr">
        <is>
          <t>2026-03-13</t>
        </is>
      </c>
      <c r="B35" s="10" t="n">
        <v>1370</v>
      </c>
      <c r="C35" s="10" t="n"/>
      <c r="D35" s="10" t="n">
        <v>8788</v>
      </c>
      <c r="E35" s="10" t="n">
        <v>1375</v>
      </c>
      <c r="F35" s="10" t="n"/>
      <c r="G35" s="15">
        <f>B35-E35</f>
        <v/>
      </c>
      <c r="H35" s="16">
        <f>IFERROR(G35/E35*100,"")</f>
        <v/>
      </c>
      <c r="I35" s="10" t="n"/>
      <c r="J35" s="10" t="n">
        <v>197</v>
      </c>
    </row>
    <row r="36">
      <c r="A36" s="10" t="inlineStr">
        <is>
          <t>2026-03-16</t>
        </is>
      </c>
      <c r="B36" s="10" t="n">
        <v>1356</v>
      </c>
      <c r="C36" s="10" t="n"/>
      <c r="D36" s="10" t="n">
        <v>8795</v>
      </c>
      <c r="E36" s="10" t="n">
        <v>1363</v>
      </c>
      <c r="F36" s="10" t="n"/>
      <c r="G36" s="15">
        <f>B36-E36</f>
        <v/>
      </c>
      <c r="H36" s="16">
        <f>IFERROR(G36/E36*100,"")</f>
        <v/>
      </c>
      <c r="I36" s="10" t="n"/>
      <c r="J36" s="10" t="n">
        <v>196</v>
      </c>
    </row>
    <row r="37">
      <c r="A37" s="10" t="inlineStr">
        <is>
          <t>2026-03-17</t>
        </is>
      </c>
      <c r="B37" s="10" t="n">
        <v>1346</v>
      </c>
      <c r="C37" s="10" t="n"/>
      <c r="D37" s="10" t="n">
        <v>8811</v>
      </c>
      <c r="E37" s="10" t="n">
        <v>1352</v>
      </c>
      <c r="F37" s="10" t="n"/>
      <c r="G37" s="15">
        <f>B37-E37</f>
        <v/>
      </c>
      <c r="H37" s="16">
        <f>IFERROR(G37/E37*100,"")</f>
        <v/>
      </c>
      <c r="I37" s="10" t="n"/>
      <c r="J37" s="10" t="n">
        <v>195</v>
      </c>
    </row>
    <row r="38">
      <c r="A38" s="10" t="inlineStr">
        <is>
          <t>2026-03-18</t>
        </is>
      </c>
      <c r="B38" s="10" t="n">
        <v>1321</v>
      </c>
      <c r="C38" s="10" t="n"/>
      <c r="D38" s="10" t="n">
        <v>8531</v>
      </c>
      <c r="E38" s="10" t="n">
        <v>1328</v>
      </c>
      <c r="F38" s="10" t="n"/>
      <c r="G38" s="15">
        <f>B38-E38</f>
        <v/>
      </c>
      <c r="H38" s="16">
        <f>IFERROR(G38/E38*100,"")</f>
        <v/>
      </c>
      <c r="I38" s="10" t="n"/>
      <c r="J38" s="10" t="n">
        <v>194</v>
      </c>
    </row>
    <row r="39">
      <c r="A39" s="10" t="inlineStr">
        <is>
          <t>2026-03-19</t>
        </is>
      </c>
      <c r="B39" s="10" t="n">
        <v>1332</v>
      </c>
      <c r="C39" s="10" t="n"/>
      <c r="D39" s="10" t="n">
        <v>8570</v>
      </c>
      <c r="E39" s="10" t="n">
        <v>1336</v>
      </c>
      <c r="F39" s="10" t="n"/>
      <c r="G39" s="15">
        <f>B39-E39</f>
        <v/>
      </c>
      <c r="H39" s="16">
        <f>IFERROR(G39/E39*100,"")</f>
        <v/>
      </c>
      <c r="I39" s="10" t="n"/>
      <c r="J39" s="10" t="n">
        <v>193</v>
      </c>
    </row>
    <row r="40">
      <c r="A40" s="10" t="inlineStr">
        <is>
          <t>2026-03-20</t>
        </is>
      </c>
      <c r="B40" s="10" t="n">
        <v>1318</v>
      </c>
      <c r="C40" s="10" t="n"/>
      <c r="D40" s="10" t="n">
        <v>8648</v>
      </c>
      <c r="E40" s="10" t="n">
        <v>1322</v>
      </c>
      <c r="F40" s="10" t="n"/>
      <c r="G40" s="15">
        <f>B40-E40</f>
        <v/>
      </c>
      <c r="H40" s="16">
        <f>IFERROR(G40/E40*100,"")</f>
        <v/>
      </c>
      <c r="I40" s="10" t="n"/>
      <c r="J40" s="10" t="n">
        <v>192</v>
      </c>
    </row>
    <row r="41">
      <c r="A41" s="10" t="inlineStr">
        <is>
          <t>2026-03-23</t>
        </is>
      </c>
      <c r="B41" s="10" t="n">
        <v>1371</v>
      </c>
      <c r="C41" s="10" t="n"/>
      <c r="D41" s="10" t="n">
        <v>8979</v>
      </c>
      <c r="E41" s="10" t="n">
        <v>1381</v>
      </c>
      <c r="F41" s="10" t="n"/>
      <c r="G41" s="15">
        <f>B41-E41</f>
        <v/>
      </c>
      <c r="H41" s="16">
        <f>IFERROR(G41/E41*100,"")</f>
        <v/>
      </c>
      <c r="I41" s="10" t="n"/>
      <c r="J41" s="10" t="n">
        <v>191</v>
      </c>
    </row>
    <row r="42">
      <c r="A42" s="10" t="inlineStr">
        <is>
          <t>2026-03-24</t>
        </is>
      </c>
      <c r="B42" s="10" t="n">
        <v>1362</v>
      </c>
      <c r="C42" s="10" t="n"/>
      <c r="D42" s="10" t="n">
        <v>9086</v>
      </c>
      <c r="E42" s="10" t="n">
        <v>1371</v>
      </c>
      <c r="F42" s="10" t="n"/>
      <c r="G42" s="15">
        <f>B42-E42</f>
        <v/>
      </c>
      <c r="H42" s="16">
        <f>IFERROR(G42/E42*100,"")</f>
        <v/>
      </c>
      <c r="I42" s="10" t="n"/>
      <c r="J42" s="10" t="n">
        <v>190</v>
      </c>
    </row>
    <row r="43">
      <c r="A43" s="10" t="inlineStr">
        <is>
          <t>2026-03-25</t>
        </is>
      </c>
      <c r="B43" s="10" t="n">
        <v>1364</v>
      </c>
      <c r="C43" s="10" t="n"/>
      <c r="D43" s="10" t="n">
        <v>9084</v>
      </c>
      <c r="E43" s="10" t="n">
        <v>1373</v>
      </c>
      <c r="F43" s="10" t="n"/>
      <c r="G43" s="15">
        <f>B43-E43</f>
        <v/>
      </c>
      <c r="H43" s="16">
        <f>IFERROR(G43/E43*100,"")</f>
        <v/>
      </c>
      <c r="I43" s="10" t="n"/>
      <c r="J43" s="10" t="n">
        <v>189</v>
      </c>
    </row>
    <row r="44">
      <c r="A44" s="10" t="inlineStr">
        <is>
          <t>2026-03-26</t>
        </is>
      </c>
      <c r="B44" s="10" t="n">
        <v>1354</v>
      </c>
      <c r="C44" s="10" t="n"/>
      <c r="D44" s="10" t="n">
        <v>9151</v>
      </c>
      <c r="E44" s="10" t="n">
        <v>1361</v>
      </c>
      <c r="F44" s="10" t="n"/>
      <c r="G44" s="15">
        <f>B44-E44</f>
        <v/>
      </c>
      <c r="H44" s="16">
        <f>IFERROR(G44/E44*100,"")</f>
        <v/>
      </c>
      <c r="I44" s="10" t="n"/>
      <c r="J44" s="10" t="n">
        <v>188</v>
      </c>
    </row>
    <row r="45">
      <c r="A45" s="10" t="inlineStr">
        <is>
          <t>2026-03-27</t>
        </is>
      </c>
      <c r="B45" s="10" t="n">
        <v>1355</v>
      </c>
      <c r="C45" s="10" t="n"/>
      <c r="D45" s="10" t="n">
        <v>9185</v>
      </c>
      <c r="E45" s="10" t="n">
        <v>1360</v>
      </c>
      <c r="F45" s="10" t="n"/>
      <c r="G45" s="15">
        <f>B45-E45</f>
        <v/>
      </c>
      <c r="H45" s="16">
        <f>IFERROR(G45/E45*100,"")</f>
        <v/>
      </c>
      <c r="I45" s="10" t="n"/>
      <c r="J45" s="10" t="n">
        <v>187</v>
      </c>
    </row>
    <row r="46">
      <c r="A46" s="10" t="inlineStr">
        <is>
          <t>2026-03-30</t>
        </is>
      </c>
      <c r="B46" s="10" t="n">
        <v>1340</v>
      </c>
      <c r="C46" s="10" t="n"/>
      <c r="D46" s="10" t="n">
        <v>9220</v>
      </c>
      <c r="E46" s="10" t="n">
        <v>1346</v>
      </c>
      <c r="F46" s="10" t="n"/>
      <c r="G46" s="15">
        <f>B46-E46</f>
        <v/>
      </c>
      <c r="H46" s="16">
        <f>IFERROR(G46/E46*100,"")</f>
        <v/>
      </c>
      <c r="I46" s="10" t="n"/>
      <c r="J46" s="10" t="n">
        <v>186</v>
      </c>
    </row>
    <row r="47">
      <c r="A47" s="10" t="inlineStr">
        <is>
          <t>2026-03-31</t>
        </is>
      </c>
      <c r="B47" s="10" t="n">
        <v>1303</v>
      </c>
      <c r="C47" s="10" t="n"/>
      <c r="D47" s="10" t="n">
        <v>9131</v>
      </c>
      <c r="E47" s="10" t="n">
        <v>1310</v>
      </c>
      <c r="F47" s="10" t="n"/>
      <c r="G47" s="15">
        <f>B47-E47</f>
        <v/>
      </c>
      <c r="H47" s="16">
        <f>IFERROR(G47/E47*100,"")</f>
        <v/>
      </c>
      <c r="I47" s="10" t="n"/>
      <c r="J47" s="10" t="n">
        <v>185</v>
      </c>
    </row>
    <row r="48">
      <c r="A48" s="10" t="inlineStr">
        <is>
          <t>2026-04-01</t>
        </is>
      </c>
      <c r="B48" s="10" t="n">
        <v>1293</v>
      </c>
      <c r="C48" s="10" t="n"/>
      <c r="D48" s="10" t="n">
        <v>8614</v>
      </c>
      <c r="E48" s="10" t="n">
        <v>1298</v>
      </c>
      <c r="F48" s="10" t="n"/>
      <c r="G48" s="15">
        <f>B48-E48</f>
        <v/>
      </c>
      <c r="H48" s="16">
        <f>IFERROR(G48/E48*100,"")</f>
        <v/>
      </c>
      <c r="I48" s="10" t="n"/>
      <c r="J48" s="10" t="n">
        <v>184</v>
      </c>
    </row>
    <row r="49">
      <c r="A49" s="10" t="inlineStr">
        <is>
          <t>2026-04-02</t>
        </is>
      </c>
      <c r="B49" s="10" t="n">
        <v>1304</v>
      </c>
      <c r="C49" s="10" t="n"/>
      <c r="D49" s="10" t="n">
        <v>8567</v>
      </c>
      <c r="E49" s="10" t="n">
        <v>1310</v>
      </c>
      <c r="F49" s="10" t="n"/>
      <c r="G49" s="15">
        <f>B49-E49</f>
        <v/>
      </c>
      <c r="H49" s="16">
        <f>IFERROR(G49/E49*100,"")</f>
        <v/>
      </c>
      <c r="I49" s="10" t="n"/>
      <c r="J49" s="10" t="n">
        <v>183</v>
      </c>
    </row>
    <row r="50">
      <c r="A50" s="10" t="inlineStr">
        <is>
          <t>2026-04-03</t>
        </is>
      </c>
      <c r="B50" s="10" t="n">
        <v>1295</v>
      </c>
      <c r="C50" s="10" t="n"/>
      <c r="D50" s="10" t="n">
        <v>8036</v>
      </c>
      <c r="E50" s="10" t="n">
        <v>1299</v>
      </c>
      <c r="F50" s="10" t="n"/>
      <c r="G50" s="15">
        <f>B50-E50</f>
        <v/>
      </c>
      <c r="H50" s="16">
        <f>IFERROR(G50/E50*100,"")</f>
        <v/>
      </c>
      <c r="I50" s="10" t="n"/>
      <c r="J50" s="10" t="n">
        <v>182</v>
      </c>
    </row>
    <row r="51">
      <c r="A51" s="10" t="inlineStr">
        <is>
          <t>2026-04-07</t>
        </is>
      </c>
      <c r="B51" s="10" t="n">
        <v>1274</v>
      </c>
      <c r="C51" s="10" t="n"/>
      <c r="D51" s="10" t="n">
        <v>7432</v>
      </c>
      <c r="E51" s="10" t="n">
        <v>1278</v>
      </c>
      <c r="F51" s="10" t="n"/>
      <c r="G51" s="15">
        <f>B51-E51</f>
        <v/>
      </c>
      <c r="H51" s="16">
        <f>IFERROR(G51/E51*100,"")</f>
        <v/>
      </c>
      <c r="I51" s="10" t="n"/>
      <c r="J51" s="10" t="n">
        <v>180</v>
      </c>
    </row>
    <row r="52">
      <c r="A52" s="10" t="inlineStr">
        <is>
          <t>2026-04-08</t>
        </is>
      </c>
      <c r="B52" s="10" t="n">
        <v>1273</v>
      </c>
      <c r="C52" s="10" t="n"/>
      <c r="D52" s="10" t="n">
        <v>7565</v>
      </c>
      <c r="E52" s="10" t="n">
        <v>1276</v>
      </c>
      <c r="F52" s="10" t="n"/>
      <c r="G52" s="15">
        <f>B52-E52</f>
        <v/>
      </c>
      <c r="H52" s="16">
        <f>IFERROR(G52/E52*100,"")</f>
        <v/>
      </c>
      <c r="I52" s="10" t="n"/>
      <c r="J52" s="10" t="n">
        <v>179</v>
      </c>
    </row>
    <row r="53">
      <c r="A53" s="10" t="inlineStr">
        <is>
          <t>2026-04-09</t>
        </is>
      </c>
      <c r="B53" s="10" t="n">
        <v>1260</v>
      </c>
      <c r="C53" s="10" t="n"/>
      <c r="D53" s="10" t="n">
        <v>7575</v>
      </c>
      <c r="E53" s="10" t="n">
        <v>1265</v>
      </c>
      <c r="F53" s="10" t="n"/>
      <c r="G53" s="15">
        <f>B53-E53</f>
        <v/>
      </c>
      <c r="H53" s="16">
        <f>IFERROR(G53/E53*100,"")</f>
        <v/>
      </c>
      <c r="I53" s="10" t="n"/>
      <c r="J53" s="10" t="n">
        <v>178</v>
      </c>
    </row>
    <row r="54">
      <c r="A54" s="10" t="inlineStr">
        <is>
          <t>2026-04-10</t>
        </is>
      </c>
      <c r="B54" s="10" t="n">
        <v>1276</v>
      </c>
      <c r="C54" s="10" t="n"/>
      <c r="D54" s="10" t="n">
        <v>7523</v>
      </c>
      <c r="E54" s="10" t="n">
        <v>1282</v>
      </c>
      <c r="F54" s="10" t="n"/>
      <c r="G54" s="15">
        <f>B54-E54</f>
        <v/>
      </c>
      <c r="H54" s="16">
        <f>IFERROR(G54/E54*100,"")</f>
        <v/>
      </c>
      <c r="I54" s="10" t="n"/>
      <c r="J54" s="10" t="n">
        <v>177</v>
      </c>
    </row>
    <row r="55">
      <c r="A55" s="10" t="inlineStr">
        <is>
          <t>2026-04-13</t>
        </is>
      </c>
      <c r="B55" s="10" t="n">
        <v>1265</v>
      </c>
      <c r="C55" s="10" t="n"/>
      <c r="D55" s="10" t="n">
        <v>7475</v>
      </c>
      <c r="E55" s="10" t="n">
        <v>1272</v>
      </c>
      <c r="F55" s="10" t="n"/>
      <c r="G55" s="15">
        <f>B55-E55</f>
        <v/>
      </c>
      <c r="H55" s="16">
        <f>IFERROR(G55/E55*100,"")</f>
        <v/>
      </c>
      <c r="I55" s="10" t="n"/>
      <c r="J55" s="10" t="n">
        <v>176</v>
      </c>
    </row>
    <row r="56">
      <c r="A56" s="10" t="inlineStr">
        <is>
          <t>2026-04-14</t>
        </is>
      </c>
      <c r="B56" s="10" t="n">
        <v>1274</v>
      </c>
      <c r="C56" s="10" t="n"/>
      <c r="D56" s="10" t="n">
        <v>7458</v>
      </c>
      <c r="E56" s="10" t="n">
        <v>1279</v>
      </c>
      <c r="F56" s="10" t="n"/>
      <c r="G56" s="15">
        <f>B56-E56</f>
        <v/>
      </c>
      <c r="H56" s="16">
        <f>IFERROR(G56/E56*100,"")</f>
        <v/>
      </c>
      <c r="I56" s="10" t="n"/>
      <c r="J56" s="10" t="n">
        <v>175</v>
      </c>
    </row>
    <row r="57">
      <c r="A57" s="10" t="inlineStr">
        <is>
          <t>2026-04-15</t>
        </is>
      </c>
      <c r="B57" s="10" t="n">
        <v>1278</v>
      </c>
      <c r="C57" s="10" t="n"/>
      <c r="D57" s="10" t="n">
        <v>7459</v>
      </c>
      <c r="E57" s="10" t="n">
        <v>1283</v>
      </c>
      <c r="F57" s="10" t="n"/>
      <c r="G57" s="15">
        <f>B57-E57</f>
        <v/>
      </c>
      <c r="H57" s="16">
        <f>IFERROR(G57/E57*100,"")</f>
        <v/>
      </c>
      <c r="I57" s="10" t="n"/>
      <c r="J57" s="10" t="n">
        <v>174</v>
      </c>
    </row>
    <row r="58">
      <c r="A58" s="10" t="inlineStr">
        <is>
          <t>2026-04-16</t>
        </is>
      </c>
      <c r="B58" s="10" t="n">
        <v>1292</v>
      </c>
      <c r="C58" s="10" t="n"/>
      <c r="D58" s="10" t="n">
        <v>7409</v>
      </c>
      <c r="E58" s="10" t="n">
        <v>1296</v>
      </c>
      <c r="F58" s="10" t="n"/>
      <c r="G58" s="15">
        <f>B58-E58</f>
        <v/>
      </c>
      <c r="H58" s="16">
        <f>IFERROR(G58/E58*100,"")</f>
        <v/>
      </c>
      <c r="I58" s="10" t="n"/>
      <c r="J58" s="10" t="n">
        <v>173</v>
      </c>
    </row>
    <row r="59">
      <c r="A59" s="10" t="inlineStr">
        <is>
          <t>2026-04-17</t>
        </is>
      </c>
      <c r="B59" s="10" t="n">
        <v>1290</v>
      </c>
      <c r="C59" s="10" t="n"/>
      <c r="D59" s="10" t="n">
        <v>7397</v>
      </c>
      <c r="E59" s="10" t="n">
        <v>1295</v>
      </c>
      <c r="F59" s="10" t="n"/>
      <c r="G59" s="15">
        <f>B59-E59</f>
        <v/>
      </c>
      <c r="H59" s="16">
        <f>IFERROR(G59/E59*100,"")</f>
        <v/>
      </c>
      <c r="I59" s="10" t="n"/>
      <c r="J59" s="10" t="n">
        <v>172</v>
      </c>
    </row>
    <row r="60">
      <c r="A60" s="10" t="inlineStr">
        <is>
          <t>2026-04-20</t>
        </is>
      </c>
      <c r="B60" s="10" t="n">
        <v>1299</v>
      </c>
      <c r="C60" s="10" t="n"/>
      <c r="D60" s="10" t="n">
        <v>7404</v>
      </c>
      <c r="E60" s="10" t="n">
        <v>1304</v>
      </c>
      <c r="F60" s="10" t="n"/>
      <c r="G60" s="15">
        <f>B60-E60</f>
        <v/>
      </c>
      <c r="H60" s="16">
        <f>IFERROR(G60/E60*100,"")</f>
        <v/>
      </c>
      <c r="I60" s="10" t="n"/>
      <c r="J60" s="10" t="n">
        <v>171</v>
      </c>
    </row>
    <row r="61">
      <c r="A61" s="10" t="inlineStr">
        <is>
          <t>2026-04-21</t>
        </is>
      </c>
      <c r="B61" s="10" t="n">
        <v>1298</v>
      </c>
      <c r="C61" s="10" t="n"/>
      <c r="D61" s="10" t="n">
        <v>7452</v>
      </c>
      <c r="E61" s="10" t="n">
        <v>1304</v>
      </c>
      <c r="F61" s="10" t="n"/>
      <c r="G61" s="15">
        <f>B61-E61</f>
        <v/>
      </c>
      <c r="H61" s="16">
        <f>IFERROR(G61/E61*100,"")</f>
        <v/>
      </c>
      <c r="I61" s="10" t="n"/>
      <c r="J61" s="10" t="n">
        <v>170</v>
      </c>
    </row>
    <row r="62">
      <c r="A62" s="10" t="inlineStr">
        <is>
          <t>2026-04-22</t>
        </is>
      </c>
      <c r="B62" s="10" t="n">
        <v>1313</v>
      </c>
      <c r="C62" s="10" t="n"/>
      <c r="D62" s="10" t="n">
        <v>8865</v>
      </c>
      <c r="E62" s="10" t="n">
        <v>1320</v>
      </c>
      <c r="F62" s="10" t="n"/>
      <c r="G62" s="15">
        <f>B62-E62</f>
        <v/>
      </c>
      <c r="H62" s="16">
        <f>IFERROR(G62/E62*100,"")</f>
        <v/>
      </c>
      <c r="I62" s="10" t="n"/>
      <c r="J62" s="10" t="n">
        <v>169</v>
      </c>
    </row>
    <row r="63">
      <c r="A63" s="10" t="inlineStr">
        <is>
          <t>2026-04-23</t>
        </is>
      </c>
      <c r="B63" s="10" t="n">
        <v>1308</v>
      </c>
      <c r="C63" s="10" t="n"/>
      <c r="D63" s="10" t="n">
        <v>7735</v>
      </c>
      <c r="E63" s="10" t="n">
        <v>1313</v>
      </c>
      <c r="F63" s="10" t="n"/>
      <c r="G63" s="15">
        <f>B63-E63</f>
        <v/>
      </c>
      <c r="H63" s="16">
        <f>IFERROR(G63/E63*100,"")</f>
        <v/>
      </c>
      <c r="I63" s="10" t="n"/>
      <c r="J63" s="10" t="n">
        <v>168</v>
      </c>
    </row>
    <row r="64">
      <c r="A64" s="10" t="inlineStr">
        <is>
          <t>2026-04-24</t>
        </is>
      </c>
      <c r="B64" s="10" t="n">
        <v>1301</v>
      </c>
      <c r="C64" s="10" t="n"/>
      <c r="D64" s="10" t="n">
        <v>6996</v>
      </c>
      <c r="E64" s="10" t="n">
        <v>1304</v>
      </c>
      <c r="F64" s="10" t="n"/>
      <c r="G64" s="15">
        <f>B64-E64</f>
        <v/>
      </c>
      <c r="H64" s="16">
        <f>IFERROR(G64/E64*100,"")</f>
        <v/>
      </c>
      <c r="I64" s="10" t="n"/>
      <c r="J64" s="10" t="n">
        <v>167</v>
      </c>
    </row>
    <row r="65">
      <c r="A65" s="10" t="inlineStr">
        <is>
          <t>2026-04-27</t>
        </is>
      </c>
      <c r="B65" s="10" t="n">
        <v>1311</v>
      </c>
      <c r="C65" s="10" t="n"/>
      <c r="D65" s="10" t="n">
        <v>7013</v>
      </c>
      <c r="E65" s="10" t="n">
        <v>1316</v>
      </c>
      <c r="F65" s="10" t="n"/>
      <c r="G65" s="15">
        <f>B65-E65</f>
        <v/>
      </c>
      <c r="H65" s="16">
        <f>IFERROR(G65/E65*100,"")</f>
        <v/>
      </c>
      <c r="I65" s="10" t="n"/>
      <c r="J65" s="10" t="n">
        <v>166</v>
      </c>
    </row>
    <row r="66">
      <c r="A66" s="10" t="inlineStr">
        <is>
          <t>2026-04-28</t>
        </is>
      </c>
      <c r="B66" s="10" t="n">
        <v>1293</v>
      </c>
      <c r="C66" s="10" t="n"/>
      <c r="D66" s="10" t="n">
        <v>7022</v>
      </c>
      <c r="E66" s="10" t="n">
        <v>1296</v>
      </c>
      <c r="F66" s="10" t="n"/>
      <c r="G66" s="15">
        <f>B66-E66</f>
        <v/>
      </c>
      <c r="H66" s="16">
        <f>IFERROR(G66/E66*100,"")</f>
        <v/>
      </c>
      <c r="I66" s="10" t="n"/>
      <c r="J66" s="10" t="n">
        <v>165</v>
      </c>
    </row>
    <row r="67">
      <c r="A67" s="10" t="inlineStr">
        <is>
          <t>2026-04-29</t>
        </is>
      </c>
      <c r="B67" s="10" t="n">
        <v>1290</v>
      </c>
      <c r="C67" s="10" t="n"/>
      <c r="D67" s="10" t="n">
        <v>7021</v>
      </c>
      <c r="E67" s="10" t="n">
        <v>1294</v>
      </c>
      <c r="F67" s="10" t="n"/>
      <c r="G67" s="15">
        <f>B67-E67</f>
        <v/>
      </c>
      <c r="H67" s="16">
        <f>IFERROR(G67/E67*100,"")</f>
        <v/>
      </c>
      <c r="I67" s="10" t="n"/>
      <c r="J67" s="10" t="n">
        <v>164</v>
      </c>
    </row>
    <row r="68">
      <c r="A68" s="10" t="inlineStr">
        <is>
          <t>2026-04-30</t>
        </is>
      </c>
      <c r="B68" s="10" t="n">
        <v>1291</v>
      </c>
      <c r="C68" s="10" t="n"/>
      <c r="D68" s="10" t="n">
        <v>7013</v>
      </c>
      <c r="E68" s="10" t="n">
        <v>1295</v>
      </c>
      <c r="F68" s="10" t="n"/>
      <c r="G68" s="15">
        <f>B68-E68</f>
        <v/>
      </c>
      <c r="H68" s="16">
        <f>IFERROR(G68/E68*100,"")</f>
        <v/>
      </c>
      <c r="I68" s="10" t="n"/>
      <c r="J68" s="10" t="n">
        <v>163</v>
      </c>
    </row>
    <row r="69">
      <c r="A69" s="10" t="inlineStr">
        <is>
          <t>2026-05-06</t>
        </is>
      </c>
      <c r="B69" s="10" t="n">
        <v>1318</v>
      </c>
      <c r="C69" s="10" t="n"/>
      <c r="D69" s="10" t="n">
        <v>7044</v>
      </c>
      <c r="E69" s="10" t="n">
        <v>1322</v>
      </c>
      <c r="F69" s="10" t="n"/>
      <c r="G69" s="15">
        <f>B69-E69</f>
        <v/>
      </c>
      <c r="H69" s="16">
        <f>IFERROR(G69/E69*100,"")</f>
        <v/>
      </c>
      <c r="I69" s="10" t="n"/>
      <c r="J69" s="10" t="n">
        <v>159</v>
      </c>
    </row>
    <row r="70">
      <c r="A70" s="10" t="inlineStr">
        <is>
          <t>2026-05-07</t>
        </is>
      </c>
      <c r="B70" s="10" t="n">
        <v>1316</v>
      </c>
      <c r="C70" s="10" t="n"/>
      <c r="D70" s="10" t="n">
        <v>7370</v>
      </c>
      <c r="E70" s="10" t="n">
        <v>1321</v>
      </c>
      <c r="F70" s="10" t="n"/>
      <c r="G70" s="15">
        <f>B70-E70</f>
        <v/>
      </c>
      <c r="H70" s="16">
        <f>IFERROR(G70/E70*100,"")</f>
        <v/>
      </c>
      <c r="I70" s="10" t="n"/>
      <c r="J70" s="10" t="n">
        <v>158</v>
      </c>
    </row>
    <row r="71">
      <c r="A71" s="10" t="inlineStr">
        <is>
          <t>2026-05-08</t>
        </is>
      </c>
      <c r="B71" s="10" t="n">
        <v>1282</v>
      </c>
      <c r="C71" s="10" t="n"/>
      <c r="D71" s="10" t="n">
        <v>7463</v>
      </c>
      <c r="E71" s="10" t="n">
        <v>1285</v>
      </c>
      <c r="F71" s="10" t="n"/>
      <c r="G71" s="15">
        <f>B71-E71</f>
        <v/>
      </c>
      <c r="H71" s="16">
        <f>IFERROR(G71/E71*100,"")</f>
        <v/>
      </c>
      <c r="I71" s="10" t="n"/>
      <c r="J71" s="10" t="n">
        <v>157</v>
      </c>
    </row>
    <row r="72">
      <c r="A72" s="10" t="inlineStr">
        <is>
          <t>2026-05-11</t>
        </is>
      </c>
      <c r="B72" s="10" t="n">
        <v>1281</v>
      </c>
      <c r="C72" s="10" t="n"/>
      <c r="D72" s="10" t="n">
        <v>7576</v>
      </c>
      <c r="E72" s="10" t="n">
        <v>1283</v>
      </c>
      <c r="F72" s="10" t="n"/>
      <c r="G72" s="15">
        <f>B72-E72</f>
        <v/>
      </c>
      <c r="H72" s="16">
        <f>IFERROR(G72/E72*100,"")</f>
        <v/>
      </c>
      <c r="I72" s="10" t="n"/>
      <c r="J72" s="10" t="n">
        <v>156</v>
      </c>
    </row>
    <row r="73">
      <c r="A73" s="10" t="inlineStr">
        <is>
          <t>2026-05-12</t>
        </is>
      </c>
      <c r="B73" s="10" t="n">
        <v>1272</v>
      </c>
      <c r="C73" s="10" t="n"/>
      <c r="D73" s="10" t="n">
        <v>7524</v>
      </c>
      <c r="E73" s="10" t="n">
        <v>1277</v>
      </c>
      <c r="F73" s="10" t="n"/>
      <c r="G73" s="15">
        <f>B73-E73</f>
        <v/>
      </c>
      <c r="H73" s="16">
        <f>IFERROR(G73/E73*100,"")</f>
        <v/>
      </c>
      <c r="I73" s="10" t="n"/>
      <c r="J73" s="10" t="n">
        <v>155</v>
      </c>
    </row>
    <row r="74">
      <c r="A74" s="10" t="inlineStr">
        <is>
          <t>2026-05-13</t>
        </is>
      </c>
      <c r="B74" s="10" t="n">
        <v>1276</v>
      </c>
      <c r="C74" s="10" t="n"/>
      <c r="D74" s="10" t="n">
        <v>7461</v>
      </c>
      <c r="E74" s="10" t="n">
        <v>1279</v>
      </c>
      <c r="F74" s="10" t="n"/>
      <c r="G74" s="15">
        <f>B74-E74</f>
        <v/>
      </c>
      <c r="H74" s="16">
        <f>IFERROR(G74/E74*100,"")</f>
        <v/>
      </c>
      <c r="I74" s="10" t="n"/>
      <c r="J74" s="10" t="n">
        <v>154</v>
      </c>
    </row>
    <row r="75">
      <c r="A75" s="10" t="inlineStr">
        <is>
          <t>2026-05-14</t>
        </is>
      </c>
      <c r="B75" s="10" t="n">
        <v>1263</v>
      </c>
      <c r="C75" s="10" t="n"/>
      <c r="D75" s="10" t="n">
        <v>7553</v>
      </c>
      <c r="E75" s="10" t="n">
        <v>1264</v>
      </c>
      <c r="F75" s="10" t="n"/>
      <c r="G75" s="15">
        <f>B75-E75</f>
        <v/>
      </c>
      <c r="H75" s="16">
        <f>IFERROR(G75/E75*100,"")</f>
        <v/>
      </c>
      <c r="I75" s="10" t="n"/>
      <c r="J75" s="10" t="n">
        <v>153</v>
      </c>
    </row>
    <row r="76">
      <c r="A76" s="10" t="inlineStr">
        <is>
          <t>2026-05-15</t>
        </is>
      </c>
      <c r="B76" s="10" t="n">
        <v>1244</v>
      </c>
      <c r="C76" s="10" t="n"/>
      <c r="D76" s="10" t="n">
        <v>7528</v>
      </c>
      <c r="E76" s="10" t="n">
        <v>1247</v>
      </c>
      <c r="F76" s="10" t="n"/>
      <c r="G76" s="15">
        <f>B76-E76</f>
        <v/>
      </c>
      <c r="H76" s="16">
        <f>IFERROR(G76/E76*100,"")</f>
        <v/>
      </c>
      <c r="I76" s="10" t="n"/>
      <c r="J76" s="10" t="n">
        <v>152</v>
      </c>
    </row>
    <row r="77">
      <c r="A77" s="10" t="inlineStr">
        <is>
          <t>2026-05-18</t>
        </is>
      </c>
      <c r="B77" s="10" t="n">
        <v>1250</v>
      </c>
      <c r="C77" s="10" t="n"/>
      <c r="D77" s="10" t="n">
        <v>7562</v>
      </c>
      <c r="E77" s="10" t="n">
        <v>1253</v>
      </c>
      <c r="F77" s="10" t="n"/>
      <c r="G77" s="15">
        <f>B77-E77</f>
        <v/>
      </c>
      <c r="H77" s="16">
        <f>IFERROR(G77/E77*100,"")</f>
        <v/>
      </c>
      <c r="I77" s="10" t="n"/>
      <c r="J77" s="10" t="n">
        <v>151</v>
      </c>
    </row>
    <row r="78">
      <c r="A78" s="10" t="inlineStr">
        <is>
          <t>2026-05-19</t>
        </is>
      </c>
      <c r="B78" s="10" t="n">
        <v>1244</v>
      </c>
      <c r="C78" s="10" t="n"/>
      <c r="D78" s="10" t="n">
        <v>7257</v>
      </c>
      <c r="E78" s="10" t="n">
        <v>1244</v>
      </c>
      <c r="F78" s="10" t="n"/>
      <c r="G78" s="15">
        <f>B78-E78</f>
        <v/>
      </c>
      <c r="H78" s="16">
        <f>IFERROR(G78/E78*100,"")</f>
        <v/>
      </c>
      <c r="I78" s="10" t="n"/>
      <c r="J78" s="10" t="n">
        <v>150</v>
      </c>
    </row>
    <row r="79">
      <c r="A79" s="10" t="inlineStr">
        <is>
          <t>2026-05-20</t>
        </is>
      </c>
      <c r="B79" s="10" t="n">
        <v>1234</v>
      </c>
      <c r="C79" s="10" t="n"/>
      <c r="D79" s="10" t="n">
        <v>6935</v>
      </c>
      <c r="E79" s="10" t="n">
        <v>1232</v>
      </c>
      <c r="F79" s="10" t="n"/>
      <c r="G79" s="15">
        <f>B79-E79</f>
        <v/>
      </c>
      <c r="H79" s="16">
        <f>IFERROR(G79/E79*100,"")</f>
        <v/>
      </c>
      <c r="I79" s="10" t="n"/>
      <c r="J79" s="10" t="n">
        <v>149</v>
      </c>
    </row>
    <row r="80">
      <c r="A80" s="10" t="inlineStr">
        <is>
          <t>2026-05-21</t>
        </is>
      </c>
      <c r="B80" s="10" t="n">
        <v>1235</v>
      </c>
      <c r="C80" s="10" t="n"/>
      <c r="D80" s="10" t="n">
        <v>7401</v>
      </c>
      <c r="E80" s="10" t="n">
        <v>1238</v>
      </c>
      <c r="F80" s="10" t="n"/>
      <c r="G80" s="15">
        <f>B80-E80</f>
        <v/>
      </c>
      <c r="H80" s="16">
        <f>IFERROR(G80/E80*100,"")</f>
        <v/>
      </c>
      <c r="I80" s="10" t="n"/>
      <c r="J80" s="10" t="n">
        <v>148</v>
      </c>
    </row>
    <row r="81">
      <c r="A81" s="10" t="inlineStr">
        <is>
          <t>2026-05-22</t>
        </is>
      </c>
      <c r="B81" s="10" t="n">
        <v>1235</v>
      </c>
      <c r="C81" s="10" t="n"/>
      <c r="D81" s="10" t="n">
        <v>7403</v>
      </c>
      <c r="E81" s="10" t="n">
        <v>1237</v>
      </c>
      <c r="F81" s="10" t="n"/>
      <c r="G81" s="15">
        <f>B81-E81</f>
        <v/>
      </c>
      <c r="H81" s="16">
        <f>IFERROR(G81/E81*100,"")</f>
        <v/>
      </c>
      <c r="I81" s="10" t="n"/>
      <c r="J81" s="10" t="n">
        <v>147</v>
      </c>
    </row>
    <row r="82">
      <c r="A82" s="10" t="inlineStr">
        <is>
          <t>2026-05-25</t>
        </is>
      </c>
      <c r="B82" s="10" t="n">
        <v>1266</v>
      </c>
      <c r="C82" s="10" t="n"/>
      <c r="D82" s="10" t="n">
        <v>7521</v>
      </c>
      <c r="E82" s="10" t="n">
        <v>1271</v>
      </c>
      <c r="F82" s="10" t="n"/>
      <c r="G82" s="15">
        <f>B82-E82</f>
        <v/>
      </c>
      <c r="H82" s="16">
        <f>IFERROR(G82/E82*100,"")</f>
        <v/>
      </c>
      <c r="I82" s="10" t="n"/>
      <c r="J82" s="10" t="n">
        <v>146</v>
      </c>
    </row>
    <row r="83">
      <c r="A83" s="10" t="inlineStr">
        <is>
          <t>2026-05-26</t>
        </is>
      </c>
      <c r="B83" s="10" t="n">
        <v>1248</v>
      </c>
      <c r="C83" s="10" t="n"/>
      <c r="D83" s="10" t="n">
        <v>7506</v>
      </c>
      <c r="E83" s="10" t="n">
        <v>1253</v>
      </c>
      <c r="F83" s="10" t="n"/>
      <c r="G83" s="15">
        <f>B83-E83</f>
        <v/>
      </c>
      <c r="H83" s="16">
        <f>IFERROR(G83/E83*100,"")</f>
        <v/>
      </c>
      <c r="I83" s="10" t="n"/>
      <c r="J83" s="10" t="n">
        <v>145</v>
      </c>
    </row>
    <row r="84">
      <c r="A84" s="10" t="inlineStr">
        <is>
          <t>2026-05-27</t>
        </is>
      </c>
      <c r="B84" s="10" t="n">
        <v>1253</v>
      </c>
      <c r="C84" s="10" t="n"/>
      <c r="D84" s="10" t="n">
        <v>7525</v>
      </c>
      <c r="E84" s="10" t="n">
        <v>1257</v>
      </c>
      <c r="F84" s="10" t="n"/>
      <c r="G84" s="15">
        <f>B84-E84</f>
        <v/>
      </c>
      <c r="H84" s="16">
        <f>IFERROR(G84/E84*100,"")</f>
        <v/>
      </c>
      <c r="I84" s="10" t="n"/>
      <c r="J84" s="10" t="n">
        <v>144</v>
      </c>
    </row>
    <row r="85">
      <c r="A85" s="10" t="inlineStr">
        <is>
          <t>2026-05-28</t>
        </is>
      </c>
      <c r="B85" s="10" t="n">
        <v>1256</v>
      </c>
      <c r="C85" s="10" t="n"/>
      <c r="D85" s="10" t="n">
        <v>7567</v>
      </c>
      <c r="E85" s="10" t="n">
        <v>1259</v>
      </c>
      <c r="F85" s="10" t="n"/>
      <c r="G85" s="15">
        <f>B85-E85</f>
        <v/>
      </c>
      <c r="H85" s="16">
        <f>IFERROR(G85/E85*100,"")</f>
        <v/>
      </c>
      <c r="I85" s="10" t="n"/>
      <c r="J85" s="10" t="n">
        <v>143</v>
      </c>
    </row>
    <row r="86">
      <c r="A86" s="10" t="inlineStr">
        <is>
          <t>2026-05-29</t>
        </is>
      </c>
      <c r="B86" s="10" t="n">
        <v>1269</v>
      </c>
      <c r="C86" s="10" t="n"/>
      <c r="D86" s="10" t="n">
        <v>7184</v>
      </c>
      <c r="E86" s="10" t="n">
        <v>1271</v>
      </c>
      <c r="F86" s="10" t="n"/>
      <c r="G86" s="15">
        <f>B86-E86</f>
        <v/>
      </c>
      <c r="H86" s="16">
        <f>IFERROR(G86/E86*100,"")</f>
        <v/>
      </c>
      <c r="I86" s="10" t="n"/>
      <c r="J86" s="10" t="n">
        <v>142</v>
      </c>
    </row>
    <row r="87">
      <c r="A87" s="10" t="inlineStr">
        <is>
          <t>2026-06-01</t>
        </is>
      </c>
      <c r="B87" s="10" t="n">
        <v>1275</v>
      </c>
      <c r="C87" s="10" t="n"/>
      <c r="D87" s="10" t="n">
        <v>7117</v>
      </c>
      <c r="E87" s="10" t="n">
        <v>1277</v>
      </c>
      <c r="F87" s="10" t="n"/>
      <c r="G87" s="15">
        <f>B87-E87</f>
        <v/>
      </c>
      <c r="H87" s="16">
        <f>IFERROR(G87/E87*100,"")</f>
        <v/>
      </c>
      <c r="I87" s="10" t="n"/>
      <c r="J87" s="10" t="n">
        <v>141</v>
      </c>
    </row>
    <row r="88">
      <c r="A88" s="10" t="inlineStr">
        <is>
          <t>2026-06-02</t>
        </is>
      </c>
      <c r="B88" s="10" t="n">
        <v>1260</v>
      </c>
      <c r="C88" s="10" t="n"/>
      <c r="D88" s="10" t="n">
        <v>7036</v>
      </c>
      <c r="E88" s="10" t="n">
        <v>1263</v>
      </c>
      <c r="F88" s="10" t="n"/>
      <c r="G88" s="15">
        <f>B88-E88</f>
        <v/>
      </c>
      <c r="H88" s="16">
        <f>IFERROR(G88/E88*100,"")</f>
        <v/>
      </c>
      <c r="I88" s="10" t="n"/>
      <c r="J88" s="10" t="n">
        <v>140</v>
      </c>
    </row>
    <row r="89">
      <c r="A89" s="10" t="inlineStr">
        <is>
          <t>2026-06-03</t>
        </is>
      </c>
      <c r="B89" s="10" t="n">
        <v>1256</v>
      </c>
      <c r="C89" s="10" t="n"/>
      <c r="D89" s="10" t="n">
        <v>6922</v>
      </c>
      <c r="E89" s="10" t="n">
        <v>1259</v>
      </c>
      <c r="F89" s="10" t="n"/>
      <c r="G89" s="15">
        <f>B89-E89</f>
        <v/>
      </c>
      <c r="H89" s="16">
        <f>IFERROR(G89/E89*100,"")</f>
        <v/>
      </c>
      <c r="I89" s="10" t="n"/>
      <c r="J89" s="10" t="n">
        <v>139</v>
      </c>
    </row>
    <row r="90">
      <c r="A90" s="10" t="inlineStr">
        <is>
          <t>2026-06-04</t>
        </is>
      </c>
      <c r="B90" s="10" t="n">
        <v>1235</v>
      </c>
      <c r="C90" s="10" t="n"/>
      <c r="D90" s="10" t="n">
        <v>6843</v>
      </c>
      <c r="E90" s="10" t="n">
        <v>1236</v>
      </c>
      <c r="F90" s="10" t="n"/>
      <c r="G90" s="15">
        <f>B90-E90</f>
        <v/>
      </c>
      <c r="H90" s="16">
        <f>IFERROR(G90/E90*100,"")</f>
        <v/>
      </c>
      <c r="I90" s="10" t="n"/>
      <c r="J90" s="10" t="n">
        <v>138</v>
      </c>
    </row>
    <row r="91">
      <c r="A91" s="10" t="inlineStr">
        <is>
          <t>2026-06-05</t>
        </is>
      </c>
      <c r="B91" s="10" t="n">
        <v>1214</v>
      </c>
      <c r="C91" s="10" t="n"/>
      <c r="D91" s="10" t="n">
        <v>6817</v>
      </c>
      <c r="E91" s="10" t="n">
        <v>1217</v>
      </c>
      <c r="F91" s="10" t="n"/>
      <c r="G91" s="15">
        <f>B91-E91</f>
        <v/>
      </c>
      <c r="H91" s="16">
        <f>IFERROR(G91/E91*100,"")</f>
        <v/>
      </c>
      <c r="I91" s="10" t="n"/>
      <c r="J91" s="10" t="n">
        <v>137</v>
      </c>
    </row>
    <row r="92">
      <c r="A92" s="10" t="inlineStr">
        <is>
          <t>2026-06-08</t>
        </is>
      </c>
      <c r="B92" s="10" t="n">
        <v>1208</v>
      </c>
      <c r="C92" s="10" t="n"/>
      <c r="D92" s="10" t="n">
        <v>6900</v>
      </c>
      <c r="E92" s="10" t="n">
        <v>1211</v>
      </c>
      <c r="F92" s="10" t="n"/>
      <c r="G92" s="15">
        <f>B92-E92</f>
        <v/>
      </c>
      <c r="H92" s="16">
        <f>IFERROR(G92/E92*100,"")</f>
        <v/>
      </c>
      <c r="I92" s="10" t="n"/>
      <c r="J92" s="10" t="n">
        <v>136</v>
      </c>
    </row>
    <row r="93">
      <c r="A93" s="10" t="inlineStr">
        <is>
          <t>2026-06-09</t>
        </is>
      </c>
      <c r="B93" s="10" t="n">
        <v>1209</v>
      </c>
      <c r="C93" s="10" t="n"/>
      <c r="D93" s="10" t="n">
        <v>7115</v>
      </c>
      <c r="E93" s="10" t="n">
        <v>1214</v>
      </c>
      <c r="F93" s="10" t="n"/>
      <c r="G93" s="15">
        <f>B93-E93</f>
        <v/>
      </c>
      <c r="H93" s="16">
        <f>IFERROR(G93/E93*100,"")</f>
        <v/>
      </c>
      <c r="I93" s="10" t="n"/>
      <c r="J93" s="10" t="n">
        <v>135</v>
      </c>
    </row>
    <row r="94">
      <c r="A94" s="10" t="inlineStr">
        <is>
          <t>2026-06-10</t>
        </is>
      </c>
      <c r="B94" s="10" t="n">
        <v>1207</v>
      </c>
      <c r="C94" s="10" t="n"/>
      <c r="D94" s="10" t="n">
        <v>7060</v>
      </c>
      <c r="E94" s="10" t="n">
        <v>1210</v>
      </c>
      <c r="F94" s="10" t="n"/>
      <c r="G94" s="15">
        <f>B94-E94</f>
        <v/>
      </c>
      <c r="H94" s="16">
        <f>IFERROR(G94/E94*100,"")</f>
        <v/>
      </c>
      <c r="I94" s="10" t="n"/>
      <c r="J94" s="10" t="n">
        <v>134</v>
      </c>
    </row>
    <row r="95">
      <c r="A95" s="10" t="inlineStr">
        <is>
          <t>2026-06-11</t>
        </is>
      </c>
      <c r="B95" s="10" t="n">
        <v>1210</v>
      </c>
      <c r="C95" s="10" t="n"/>
      <c r="D95" s="10" t="n">
        <v>6925</v>
      </c>
      <c r="E95" s="10" t="n">
        <v>1212</v>
      </c>
      <c r="F95" s="10" t="n"/>
      <c r="G95" s="15">
        <f>B95-E95</f>
        <v/>
      </c>
      <c r="H95" s="16">
        <f>IFERROR(G95/E95*100,"")</f>
        <v/>
      </c>
      <c r="I95" s="10" t="n"/>
      <c r="J95" s="10" t="n">
        <v>133</v>
      </c>
    </row>
    <row r="96">
      <c r="A96" s="10" t="inlineStr">
        <is>
          <t>2026-06-12</t>
        </is>
      </c>
      <c r="B96" s="10" t="n">
        <v>1204</v>
      </c>
      <c r="C96" s="10" t="n"/>
      <c r="D96" s="10" t="n">
        <v>6962</v>
      </c>
      <c r="E96" s="10" t="n">
        <v>1205</v>
      </c>
      <c r="F96" s="10" t="n"/>
      <c r="G96" s="15">
        <f>B96-E96</f>
        <v/>
      </c>
      <c r="H96" s="16">
        <f>IFERROR(G96/E96*100,"")</f>
        <v/>
      </c>
      <c r="I96" s="10" t="n"/>
      <c r="J96" s="10" t="n">
        <v>132</v>
      </c>
    </row>
    <row r="97">
      <c r="A97" s="10" t="inlineStr">
        <is>
          <t>2026-06-15</t>
        </is>
      </c>
      <c r="B97" s="10" t="n">
        <v>1221</v>
      </c>
      <c r="C97" s="10" t="n"/>
      <c r="D97" s="10" t="n">
        <v>8206</v>
      </c>
      <c r="E97" s="10" t="n">
        <v>1225</v>
      </c>
      <c r="F97" s="10" t="n"/>
      <c r="G97" s="15">
        <f>B97-E97</f>
        <v/>
      </c>
      <c r="H97" s="16">
        <f>IFERROR(G97/E97*100,"")</f>
        <v/>
      </c>
      <c r="I97" s="10" t="n"/>
      <c r="J97" s="10" t="n">
        <v>131</v>
      </c>
    </row>
    <row r="98">
      <c r="A98" s="10" t="inlineStr">
        <is>
          <t>2026-06-16</t>
        </is>
      </c>
      <c r="B98" s="10" t="n">
        <v>1213</v>
      </c>
      <c r="C98" s="10" t="n"/>
      <c r="D98" s="10" t="n">
        <v>8193</v>
      </c>
      <c r="E98" s="10" t="n">
        <v>1216</v>
      </c>
      <c r="F98" s="10" t="n"/>
      <c r="G98" s="15">
        <f>B98-E98</f>
        <v/>
      </c>
      <c r="H98" s="16">
        <f>IFERROR(G98/E98*100,"")</f>
        <v/>
      </c>
      <c r="I98" s="10" t="n"/>
      <c r="J98" s="10" t="n">
        <v>130</v>
      </c>
    </row>
    <row r="99">
      <c r="A99" s="10" t="inlineStr">
        <is>
          <t>2026-06-17</t>
        </is>
      </c>
      <c r="B99" s="10" t="n">
        <v>1201</v>
      </c>
      <c r="C99" s="10" t="n"/>
      <c r="D99" s="10" t="n">
        <v>8239</v>
      </c>
      <c r="E99" s="10" t="n">
        <v>1205</v>
      </c>
      <c r="F99" s="10" t="n"/>
      <c r="G99" s="15">
        <f>B99-E99</f>
        <v/>
      </c>
      <c r="H99" s="16">
        <f>IFERROR(G99/E99*100,"")</f>
        <v/>
      </c>
      <c r="I99" s="10" t="n"/>
      <c r="J99" s="10" t="n">
        <v>129</v>
      </c>
    </row>
    <row r="100">
      <c r="A100" s="10" t="inlineStr">
        <is>
          <t>2026-06-18</t>
        </is>
      </c>
      <c r="B100" s="10" t="n">
        <v>1180</v>
      </c>
      <c r="C100" s="10" t="n"/>
      <c r="D100" s="10" t="n">
        <v>8319</v>
      </c>
      <c r="E100" s="10" t="n">
        <v>1182</v>
      </c>
      <c r="F100" s="10" t="n"/>
      <c r="G100" s="15">
        <f>B100-E100</f>
        <v/>
      </c>
      <c r="H100" s="16">
        <f>IFERROR(G100/E100*100,"")</f>
        <v/>
      </c>
      <c r="I100" s="10" t="n"/>
      <c r="J100" s="10" t="n">
        <v>128</v>
      </c>
    </row>
    <row r="101">
      <c r="A101" s="10" t="inlineStr">
        <is>
          <t>2026-06-22</t>
        </is>
      </c>
      <c r="B101" s="10" t="n">
        <v>1183</v>
      </c>
      <c r="C101" s="10" t="n"/>
      <c r="D101" s="10" t="n">
        <v>8509</v>
      </c>
      <c r="E101" s="10" t="n">
        <v>1187</v>
      </c>
      <c r="F101" s="10" t="n"/>
      <c r="G101" s="15">
        <f>B101-E101</f>
        <v/>
      </c>
      <c r="H101" s="16">
        <f>IFERROR(G101/E101*100,"")</f>
        <v/>
      </c>
      <c r="I101" s="10" t="n"/>
      <c r="J101" s="10" t="n">
        <v>126</v>
      </c>
    </row>
    <row r="102">
      <c r="A102" s="10" t="inlineStr">
        <is>
          <t>2026-06-23</t>
        </is>
      </c>
      <c r="B102" s="10" t="n">
        <v>1187</v>
      </c>
      <c r="C102" s="10" t="n"/>
      <c r="D102" s="10" t="n">
        <v>8560</v>
      </c>
      <c r="E102" s="10" t="n">
        <v>1191</v>
      </c>
      <c r="F102" s="10" t="n"/>
      <c r="G102" s="15">
        <f>B102-E102</f>
        <v/>
      </c>
      <c r="H102" s="16">
        <f>IFERROR(G102/E102*100,"")</f>
        <v/>
      </c>
      <c r="I102" s="10" t="n"/>
      <c r="J102" s="10" t="n">
        <v>125</v>
      </c>
    </row>
    <row r="103">
      <c r="A103" s="10" t="inlineStr">
        <is>
          <t>2026-06-24</t>
        </is>
      </c>
      <c r="B103" s="10" t="n">
        <v>1176</v>
      </c>
      <c r="C103" s="10" t="n"/>
      <c r="D103" s="10" t="n">
        <v>8587</v>
      </c>
      <c r="E103" s="10" t="n">
        <v>1180</v>
      </c>
      <c r="F103" s="10" t="n"/>
      <c r="G103" s="15">
        <f>B103-E103</f>
        <v/>
      </c>
      <c r="H103" s="16">
        <f>IFERROR(G103/E103*100,"")</f>
        <v/>
      </c>
      <c r="I103" s="10" t="n"/>
      <c r="J103" s="10" t="n">
        <v>124</v>
      </c>
    </row>
    <row r="104">
      <c r="A104" s="10" t="inlineStr">
        <is>
          <t>2026-06-25</t>
        </is>
      </c>
      <c r="B104" s="10" t="n">
        <v>1172</v>
      </c>
      <c r="C104" s="10" t="n"/>
      <c r="D104" s="10" t="n">
        <v>8834</v>
      </c>
      <c r="E104" s="10" t="n">
        <v>1174</v>
      </c>
      <c r="F104" s="10" t="n"/>
      <c r="G104" s="15">
        <f>B104-E104</f>
        <v/>
      </c>
      <c r="H104" s="16">
        <f>IFERROR(G104/E104*100,"")</f>
        <v/>
      </c>
      <c r="I104" s="10" t="n"/>
      <c r="J104" s="10" t="n">
        <v>123</v>
      </c>
    </row>
    <row r="105">
      <c r="A105" s="10" t="inlineStr">
        <is>
          <t>2026-06-26</t>
        </is>
      </c>
      <c r="B105" s="10" t="n">
        <v>1161</v>
      </c>
      <c r="C105" s="10" t="n"/>
      <c r="D105" s="10" t="n">
        <v>8957</v>
      </c>
      <c r="E105" s="10" t="n">
        <v>1163</v>
      </c>
      <c r="F105" s="10" t="n"/>
      <c r="G105" s="15">
        <f>B105-E105</f>
        <v/>
      </c>
      <c r="H105" s="16">
        <f>IFERROR(G105/E105*100,"")</f>
        <v/>
      </c>
      <c r="I105" s="10" t="n"/>
      <c r="J105" s="10" t="n">
        <v>122</v>
      </c>
    </row>
    <row r="106">
      <c r="A106" s="10" t="inlineStr">
        <is>
          <t>2026-06-29</t>
        </is>
      </c>
      <c r="B106" s="10" t="n">
        <v>1170</v>
      </c>
      <c r="C106" s="10" t="n"/>
      <c r="D106" s="10" t="n">
        <v>9188</v>
      </c>
      <c r="E106" s="10" t="n">
        <v>1171</v>
      </c>
      <c r="F106" s="10" t="n"/>
      <c r="G106" s="15">
        <f>B106-E106</f>
        <v/>
      </c>
      <c r="H106" s="16">
        <f>IFERROR(G106/E106*100,"")</f>
        <v/>
      </c>
      <c r="I106" s="10" t="n"/>
      <c r="J106" s="10" t="n">
        <v>121</v>
      </c>
    </row>
    <row r="107">
      <c r="A107" s="10" t="inlineStr">
        <is>
          <t>2026-06-30</t>
        </is>
      </c>
      <c r="B107" s="10" t="n">
        <v>1153</v>
      </c>
      <c r="C107" s="10" t="n"/>
      <c r="D107" s="10" t="n">
        <v>9693</v>
      </c>
      <c r="E107" s="10" t="n">
        <v>1156</v>
      </c>
      <c r="F107" s="10" t="n"/>
      <c r="G107" s="15">
        <f>B107-E107</f>
        <v/>
      </c>
      <c r="H107" s="16">
        <f>IFERROR(G107/E107*100,"")</f>
        <v/>
      </c>
      <c r="I107" s="10" t="n"/>
      <c r="J107" s="10" t="n">
        <v>120</v>
      </c>
    </row>
    <row r="108">
      <c r="A108" s="10" t="inlineStr">
        <is>
          <t>2026-07-01</t>
        </is>
      </c>
      <c r="B108" s="10" t="n">
        <v>1154</v>
      </c>
      <c r="C108" s="10" t="n"/>
      <c r="D108" s="10" t="n">
        <v>48180</v>
      </c>
      <c r="E108" s="10" t="n">
        <v>1157</v>
      </c>
      <c r="F108" s="10" t="n"/>
      <c r="G108" s="15">
        <f>B108-E108</f>
        <v/>
      </c>
      <c r="H108" s="16">
        <f>IFERROR(G108/E108*100,"")</f>
        <v/>
      </c>
      <c r="I108" s="10" t="n"/>
      <c r="J108" s="10" t="n">
        <v>119</v>
      </c>
    </row>
    <row r="109">
      <c r="A109" s="10" t="inlineStr">
        <is>
          <t>2026-07-02</t>
        </is>
      </c>
      <c r="B109" s="10" t="n">
        <v>1166</v>
      </c>
      <c r="C109" s="10" t="n"/>
      <c r="D109" s="10" t="n">
        <v>67075</v>
      </c>
      <c r="E109" s="10" t="n">
        <v>1171</v>
      </c>
      <c r="F109" s="10" t="n"/>
      <c r="G109" s="15">
        <f>B109-E109</f>
        <v/>
      </c>
      <c r="H109" s="16">
        <f>IFERROR(G109/E109*100,"")</f>
        <v/>
      </c>
      <c r="I109" s="10" t="n"/>
      <c r="J109" s="10" t="n">
        <v>118</v>
      </c>
    </row>
    <row r="110">
      <c r="A110" s="10" t="inlineStr">
        <is>
          <t>2026-07-03</t>
        </is>
      </c>
      <c r="B110" s="10" t="n">
        <v>1167</v>
      </c>
      <c r="C110" s="10" t="n"/>
      <c r="D110" s="10" t="n">
        <v>78560</v>
      </c>
      <c r="E110" s="10" t="n">
        <v>1172</v>
      </c>
      <c r="F110" s="10" t="n"/>
      <c r="G110" s="15">
        <f>B110-E110</f>
        <v/>
      </c>
      <c r="H110" s="16">
        <f>IFERROR(G110/E110*100,"")</f>
        <v/>
      </c>
      <c r="I110" s="10" t="n"/>
      <c r="J110" s="10" t="n">
        <v>117</v>
      </c>
    </row>
    <row r="111">
      <c r="A111" s="10" t="inlineStr">
        <is>
          <t>2026-07-06</t>
        </is>
      </c>
      <c r="B111" s="10" t="n">
        <v>1163</v>
      </c>
      <c r="C111" s="10" t="n"/>
      <c r="D111" s="10" t="n">
        <v>87961</v>
      </c>
      <c r="E111" s="10" t="n">
        <v>1166</v>
      </c>
      <c r="F111" s="10" t="n"/>
      <c r="G111" s="15">
        <f>B111-E111</f>
        <v/>
      </c>
      <c r="H111" s="16">
        <f>IFERROR(G111/E111*100,"")</f>
        <v/>
      </c>
      <c r="I111" s="10" t="n"/>
      <c r="J111" s="10" t="n">
        <v>116</v>
      </c>
    </row>
    <row r="112">
      <c r="A112" s="10" t="inlineStr">
        <is>
          <t>2026-07-07</t>
        </is>
      </c>
      <c r="B112" s="10" t="n">
        <v>1134</v>
      </c>
      <c r="C112" s="10" t="n"/>
      <c r="D112" s="10" t="n">
        <v>99103</v>
      </c>
      <c r="E112" s="10" t="n">
        <v>1139</v>
      </c>
      <c r="F112" s="10" t="n"/>
      <c r="G112" s="15">
        <f>B112-E112</f>
        <v/>
      </c>
      <c r="H112" s="16">
        <f>IFERROR(G112/E112*100,"")</f>
        <v/>
      </c>
      <c r="I112" s="10" t="n"/>
      <c r="J112" s="10" t="n">
        <v>115</v>
      </c>
    </row>
    <row r="113">
      <c r="A113" s="10" t="inlineStr">
        <is>
          <t>2026-07-08</t>
        </is>
      </c>
      <c r="B113" s="10" t="n">
        <v>1142</v>
      </c>
      <c r="C113" s="10" t="n"/>
      <c r="D113" s="10" t="n">
        <v>100277</v>
      </c>
      <c r="E113" s="10" t="n">
        <v>1148</v>
      </c>
      <c r="F113" s="10" t="n"/>
      <c r="G113" s="15">
        <f>B113-E113</f>
        <v/>
      </c>
      <c r="H113" s="16">
        <f>IFERROR(G113/E113*100,"")</f>
        <v/>
      </c>
      <c r="I113" s="10" t="n"/>
      <c r="J113" s="10" t="n">
        <v>114</v>
      </c>
    </row>
    <row r="114">
      <c r="A114" s="10" t="inlineStr">
        <is>
          <t>2026-07-09</t>
        </is>
      </c>
      <c r="B114" s="10" t="n">
        <v>1140</v>
      </c>
      <c r="C114" s="10" t="n"/>
      <c r="D114" s="10" t="n">
        <v>100327</v>
      </c>
      <c r="E114" s="10" t="n">
        <v>1144</v>
      </c>
      <c r="F114" s="10" t="n"/>
      <c r="G114" s="15">
        <f>B114-E114</f>
        <v/>
      </c>
      <c r="H114" s="16">
        <f>IFERROR(G114/E114*100,"")</f>
        <v/>
      </c>
      <c r="I114" s="10" t="n"/>
      <c r="J114" s="10" t="n">
        <v>113</v>
      </c>
    </row>
    <row r="115">
      <c r="A115" s="10" t="inlineStr">
        <is>
          <t>2026-07-10</t>
        </is>
      </c>
      <c r="B115" s="10" t="n">
        <v>1149</v>
      </c>
      <c r="C115" s="10" t="n"/>
      <c r="D115" s="10" t="n">
        <v>100341</v>
      </c>
      <c r="E115" s="10" t="n">
        <v>1152</v>
      </c>
      <c r="F115" s="10" t="n"/>
      <c r="G115" s="15">
        <f>B115-E115</f>
        <v/>
      </c>
      <c r="H115" s="16">
        <f>IFERROR(G115/E115*100,"")</f>
        <v/>
      </c>
      <c r="I115" s="10" t="n"/>
      <c r="J115" s="10" t="n">
        <v>112</v>
      </c>
    </row>
    <row r="116">
      <c r="A116" s="10" t="inlineStr">
        <is>
          <t>2026-07-13</t>
        </is>
      </c>
      <c r="B116" s="10" t="n">
        <v>1127</v>
      </c>
      <c r="C116" s="10" t="n"/>
      <c r="D116" s="10" t="n">
        <v>103233</v>
      </c>
      <c r="E116" s="10" t="n">
        <v>1132</v>
      </c>
      <c r="F116" s="10" t="n"/>
      <c r="G116" s="15">
        <f>B116-E116</f>
        <v/>
      </c>
      <c r="H116" s="16">
        <f>IFERROR(G116/E116*100,"")</f>
        <v/>
      </c>
      <c r="I116" s="10" t="n"/>
      <c r="J116" s="10" t="n">
        <v>111</v>
      </c>
    </row>
    <row r="117">
      <c r="A117" s="10" t="inlineStr">
        <is>
          <t>2026-07-14</t>
        </is>
      </c>
      <c r="B117" s="10" t="n">
        <v>1130</v>
      </c>
      <c r="C117" s="10" t="n"/>
      <c r="D117" s="10" t="n">
        <v>103723</v>
      </c>
      <c r="E117" s="10" t="n">
        <v>1135</v>
      </c>
      <c r="F117" s="10" t="n"/>
      <c r="G117" s="15">
        <f>B117-E117</f>
        <v/>
      </c>
      <c r="H117" s="16">
        <f>IFERROR(G117/E117*100,"")</f>
        <v/>
      </c>
      <c r="I117" s="10" t="n"/>
      <c r="J117" s="10" t="n">
        <v>110</v>
      </c>
    </row>
    <row r="118">
      <c r="A118" s="10" t="inlineStr">
        <is>
          <t>2026-07-15</t>
        </is>
      </c>
      <c r="B118" s="10" t="n">
        <v>1117</v>
      </c>
      <c r="C118" s="10" t="n"/>
      <c r="D118" s="10" t="n">
        <v>105001</v>
      </c>
      <c r="E118" s="10" t="n">
        <v>1122</v>
      </c>
      <c r="F118" s="10" t="n"/>
      <c r="G118" s="15">
        <f>B118-E118</f>
        <v/>
      </c>
      <c r="H118" s="16">
        <f>IFERROR(G118/E118*100,"")</f>
        <v/>
      </c>
      <c r="I118" s="10" t="n"/>
      <c r="J118" s="10" t="n">
        <v>109</v>
      </c>
    </row>
    <row r="119">
      <c r="A119" s="10" t="inlineStr">
        <is>
          <t>2026-07-16</t>
        </is>
      </c>
      <c r="B119" s="10" t="n">
        <v>1095</v>
      </c>
      <c r="C119" s="10" t="n"/>
      <c r="D119" s="10" t="n">
        <v>106240</v>
      </c>
      <c r="E119" s="10" t="n">
        <v>1098</v>
      </c>
      <c r="F119" s="10" t="n"/>
      <c r="G119" s="15">
        <f>B119-E119</f>
        <v/>
      </c>
      <c r="H119" s="16">
        <f>IFERROR(G119/E119*100,"")</f>
        <v/>
      </c>
      <c r="I119" s="10" t="n"/>
      <c r="J119" s="10" t="n">
        <v>108</v>
      </c>
    </row>
    <row r="120">
      <c r="A120" s="10" t="inlineStr">
        <is>
          <t>2026-07-17</t>
        </is>
      </c>
      <c r="B120" s="10" t="n">
        <v>1074</v>
      </c>
      <c r="C120" s="10" t="n"/>
      <c r="D120" s="10" t="n">
        <v>104585</v>
      </c>
      <c r="E120" s="10" t="n">
        <v>1078</v>
      </c>
      <c r="F120" s="10" t="n"/>
      <c r="G120" s="15">
        <f>B120-E120</f>
        <v/>
      </c>
      <c r="H120" s="16">
        <f>IFERROR(G120/E120*100,"")</f>
        <v/>
      </c>
      <c r="I120" s="10" t="n"/>
      <c r="J120" s="10" t="n">
        <v>107</v>
      </c>
    </row>
    <row r="121">
      <c r="A121" s="10" t="inlineStr">
        <is>
          <t>2026-07-20</t>
        </is>
      </c>
      <c r="B121" s="10" t="n">
        <v>1081</v>
      </c>
      <c r="C121" s="10" t="n"/>
      <c r="D121" s="10" t="n">
        <v>107041</v>
      </c>
      <c r="E121" s="10" t="n">
        <v>1084</v>
      </c>
      <c r="F121" s="10" t="n"/>
      <c r="G121" s="15">
        <f>B121-E121</f>
        <v/>
      </c>
      <c r="H121" s="16">
        <f>IFERROR(G121/E121*100,"")</f>
        <v/>
      </c>
      <c r="I121" s="10" t="n"/>
      <c r="J121" s="10" t="n">
        <v>106</v>
      </c>
    </row>
    <row r="122">
      <c r="A122" s="10" t="inlineStr">
        <is>
          <t>2026-07-21</t>
        </is>
      </c>
      <c r="B122" s="10" t="n">
        <v>1080</v>
      </c>
      <c r="C122" s="10" t="n"/>
      <c r="D122" s="10" t="n">
        <v>107120</v>
      </c>
      <c r="E122" s="10" t="n">
        <v>1083</v>
      </c>
      <c r="F122" s="10" t="n"/>
      <c r="G122" s="15">
        <f>B122-E122</f>
        <v/>
      </c>
      <c r="H122" s="16">
        <f>IFERROR(G122/E122*100,"")</f>
        <v/>
      </c>
      <c r="I122" s="10" t="n"/>
      <c r="J122" s="10" t="n">
        <v>105</v>
      </c>
    </row>
    <row r="123">
      <c r="A123" s="10" t="inlineStr">
        <is>
          <t>2026-07-22</t>
        </is>
      </c>
      <c r="B123" s="10" t="n">
        <v>1078</v>
      </c>
      <c r="C123" s="10" t="n"/>
      <c r="D123" s="10" t="n">
        <v>105470</v>
      </c>
      <c r="E123" s="10" t="n">
        <v>1080</v>
      </c>
      <c r="F123" s="10" t="n"/>
      <c r="G123" s="15">
        <f>B123-E123</f>
        <v/>
      </c>
      <c r="H123" s="16">
        <f>IFERROR(G123/E123*100,"")</f>
        <v/>
      </c>
      <c r="I123" s="10" t="n"/>
      <c r="J123" s="10" t="n">
        <v>104</v>
      </c>
    </row>
    <row r="124">
      <c r="A124" s="10" t="inlineStr">
        <is>
          <t>2026-07-23</t>
        </is>
      </c>
      <c r="B124" s="10" t="n">
        <v>1073</v>
      </c>
      <c r="C124" s="10" t="n"/>
      <c r="D124" s="10" t="n">
        <v>102583</v>
      </c>
      <c r="E124" s="10" t="n">
        <v>1077</v>
      </c>
      <c r="F124" s="10" t="n"/>
      <c r="G124" s="15">
        <f>B124-E124</f>
        <v/>
      </c>
      <c r="H124" s="16">
        <f>IFERROR(G124/E124*100,"")</f>
        <v/>
      </c>
      <c r="I124" s="10" t="n"/>
      <c r="J124" s="10" t="n">
        <v>103</v>
      </c>
    </row>
    <row r="125">
      <c r="A125" s="10" t="inlineStr">
        <is>
          <t>2026-07-24</t>
        </is>
      </c>
      <c r="B125" s="10" t="n">
        <v>1071</v>
      </c>
      <c r="C125" s="10" t="n"/>
      <c r="D125" s="10" t="n">
        <v>103554</v>
      </c>
      <c r="E125" s="10" t="n">
        <v>1074</v>
      </c>
      <c r="F125" s="10" t="n"/>
      <c r="G125" s="15">
        <f>B125-E125</f>
        <v/>
      </c>
      <c r="H125" s="16">
        <f>IFERROR(G125/E125*100,"")</f>
        <v/>
      </c>
      <c r="I125" s="10" t="n"/>
      <c r="J125" s="10" t="n">
        <v>102</v>
      </c>
    </row>
    <row r="126">
      <c r="A126" s="10" t="inlineStr">
        <is>
          <t>2026-07-27</t>
        </is>
      </c>
      <c r="B126" s="10" t="n">
        <v>1063</v>
      </c>
      <c r="C126" s="10" t="n"/>
      <c r="D126" s="10" t="n">
        <v>93432</v>
      </c>
      <c r="E126" s="10" t="n">
        <v>1068</v>
      </c>
      <c r="F126" s="10" t="n"/>
      <c r="G126" s="15">
        <f>B126-E126</f>
        <v/>
      </c>
      <c r="H126" s="16">
        <f>IFERROR(G126/E126*100,"")</f>
        <v/>
      </c>
      <c r="I126" s="10" t="n"/>
      <c r="J126" s="10" t="n">
        <v>101</v>
      </c>
    </row>
    <row r="127">
      <c r="A127" s="10" t="inlineStr">
        <is>
          <t>2026-07-28</t>
        </is>
      </c>
      <c r="B127" s="10" t="n">
        <v>1030</v>
      </c>
      <c r="C127" s="10" t="n"/>
      <c r="D127" s="10" t="n">
        <v>92621</v>
      </c>
      <c r="E127" s="10" t="n">
        <v>1036</v>
      </c>
      <c r="F127" s="10" t="n"/>
      <c r="G127" s="15">
        <f>B127-E127</f>
        <v/>
      </c>
      <c r="H127" s="16">
        <f>IFERROR(G127/E127*100,"")</f>
        <v/>
      </c>
      <c r="I127" s="10" t="n"/>
      <c r="J127" s="10" t="n">
        <v>100</v>
      </c>
    </row>
    <row r="128">
      <c r="A128" s="10" t="inlineStr">
        <is>
          <t>2026-07-29</t>
        </is>
      </c>
      <c r="B128" s="10" t="n">
        <v>1014</v>
      </c>
      <c r="C128" s="10" t="n"/>
      <c r="D128" s="10" t="n">
        <v>87983</v>
      </c>
      <c r="E128" s="10" t="n">
        <v>1017</v>
      </c>
      <c r="F128" s="10" t="n"/>
      <c r="G128" s="15">
        <f>B128-E128</f>
        <v/>
      </c>
      <c r="H128" s="16">
        <f>IFERROR(G128/E128*100,"")</f>
        <v/>
      </c>
      <c r="I128" s="10" t="n"/>
      <c r="J128" s="10" t="n">
        <v>99</v>
      </c>
    </row>
    <row r="129">
      <c r="A129" s="10" t="inlineStr">
        <is>
          <t>2026-07-30</t>
        </is>
      </c>
      <c r="B129" s="10" t="n">
        <v>1003</v>
      </c>
      <c r="C129" s="10" t="n"/>
      <c r="D129" s="10" t="n">
        <v>86295</v>
      </c>
      <c r="E129" s="10" t="n">
        <v>1006</v>
      </c>
      <c r="F129" s="10" t="n"/>
      <c r="G129" s="15">
        <f>B129-E129</f>
        <v/>
      </c>
      <c r="H129" s="16">
        <f>IFERROR(G129/E129*100,"")</f>
        <v/>
      </c>
      <c r="I129" s="10" t="n"/>
      <c r="J129" s="10" t="n">
        <v>98</v>
      </c>
    </row>
    <row r="130">
      <c r="A130" s="10" t="inlineStr">
        <is>
          <t>2026-07-31</t>
        </is>
      </c>
      <c r="B130" s="10" t="n">
        <v>1004</v>
      </c>
      <c r="C130" s="10" t="n"/>
      <c r="D130" s="10" t="n">
        <v>89787</v>
      </c>
      <c r="E130" s="10" t="n">
        <v>1007</v>
      </c>
      <c r="F130" s="10" t="n"/>
      <c r="G130" s="15">
        <f>B130-E130</f>
        <v/>
      </c>
      <c r="H130" s="16">
        <f>IFERROR(G130/E130*100,"")</f>
        <v/>
      </c>
      <c r="I130" s="10" t="n"/>
      <c r="J130" s="10" t="n">
        <v>97</v>
      </c>
    </row>
    <row r="131">
      <c r="A131" s="10" t="inlineStr">
        <is>
          <t>2026-08-03</t>
        </is>
      </c>
      <c r="B131" s="10" t="n">
        <v>988</v>
      </c>
      <c r="C131" s="10" t="n"/>
      <c r="D131" s="10" t="n">
        <v>104330</v>
      </c>
      <c r="E131" s="10" t="n">
        <v>993</v>
      </c>
      <c r="F131" s="10" t="n"/>
      <c r="G131" s="15">
        <f>B131-E131</f>
        <v/>
      </c>
      <c r="H131" s="16">
        <f>IFERROR(G131/E131*100,"")</f>
        <v/>
      </c>
      <c r="I131" s="10" t="n"/>
      <c r="J131" s="10" t="n">
        <v>96</v>
      </c>
    </row>
    <row r="132">
      <c r="A132" s="10" t="inlineStr">
        <is>
          <t>2026-08-04</t>
        </is>
      </c>
      <c r="B132" s="10" t="n">
        <v>989</v>
      </c>
      <c r="C132" s="10" t="n"/>
      <c r="D132" s="10" t="n">
        <v>104661</v>
      </c>
      <c r="E132" s="10" t="n">
        <v>992</v>
      </c>
      <c r="F132" s="10" t="n"/>
      <c r="G132" s="15">
        <f>B132-E132</f>
        <v/>
      </c>
      <c r="H132" s="16">
        <f>IFERROR(G132/E132*100,"")</f>
        <v/>
      </c>
      <c r="I132" s="10" t="n"/>
      <c r="J132" s="10" t="n">
        <v>95</v>
      </c>
    </row>
    <row r="133">
      <c r="A133" s="10" t="inlineStr">
        <is>
          <t>2026-08-05</t>
        </is>
      </c>
      <c r="B133" s="10" t="n">
        <v>1007</v>
      </c>
      <c r="C133" s="10" t="n"/>
      <c r="D133" s="10" t="n">
        <v>111204</v>
      </c>
      <c r="E133" s="10" t="n">
        <v>1011</v>
      </c>
      <c r="F133" s="10" t="n"/>
      <c r="G133" s="15">
        <f>B133-E133</f>
        <v/>
      </c>
      <c r="H133" s="16">
        <f>IFERROR(G133/E133*100,"")</f>
        <v/>
      </c>
      <c r="I133" s="10" t="n"/>
      <c r="J133" s="10" t="n">
        <v>94</v>
      </c>
    </row>
    <row r="134">
      <c r="A134" s="10" t="inlineStr">
        <is>
          <t>2026-08-06</t>
        </is>
      </c>
      <c r="B134" s="10" t="n">
        <v>1008</v>
      </c>
      <c r="C134" s="10" t="n"/>
      <c r="D134" s="10" t="n">
        <v>115403</v>
      </c>
      <c r="E134" s="10" t="n">
        <v>1013</v>
      </c>
      <c r="F134" s="10" t="n"/>
      <c r="G134" s="15">
        <f>B134-E134</f>
        <v/>
      </c>
      <c r="H134" s="16">
        <f>IFERROR(G134/E134*100,"")</f>
        <v/>
      </c>
      <c r="I134" s="10" t="n"/>
      <c r="J134" s="10" t="n">
        <v>93</v>
      </c>
    </row>
    <row r="135">
      <c r="A135" s="10" t="inlineStr">
        <is>
          <t>2026-08-07</t>
        </is>
      </c>
      <c r="B135" s="10" t="n">
        <v>1009</v>
      </c>
      <c r="C135" s="10" t="n"/>
      <c r="D135" s="10" t="n">
        <v>113825</v>
      </c>
      <c r="E135" s="10" t="n">
        <v>1011</v>
      </c>
      <c r="F135" s="10" t="n"/>
      <c r="G135" s="15">
        <f>B135-E135</f>
        <v/>
      </c>
      <c r="H135" s="16">
        <f>IFERROR(G135/E135*100,"")</f>
        <v/>
      </c>
      <c r="I135" s="10" t="n"/>
      <c r="J135" s="10" t="n">
        <v>92</v>
      </c>
    </row>
    <row r="136">
      <c r="A136" s="10" t="inlineStr">
        <is>
          <t>2026-08-10</t>
        </is>
      </c>
      <c r="B136" s="10" t="n">
        <v>1035</v>
      </c>
      <c r="C136" s="10" t="n"/>
      <c r="D136" s="10" t="n">
        <v>114050</v>
      </c>
      <c r="E136" s="10" t="n">
        <v>1038</v>
      </c>
      <c r="F136" s="10" t="n"/>
      <c r="G136" s="15">
        <f>B136-E136</f>
        <v/>
      </c>
      <c r="H136" s="16">
        <f>IFERROR(G136/E136*100,"")</f>
        <v/>
      </c>
      <c r="I136" s="10" t="n"/>
      <c r="J136" s="10" t="n">
        <v>91</v>
      </c>
    </row>
    <row r="137">
      <c r="A137" s="10" t="inlineStr">
        <is>
          <t>2026-08-11</t>
        </is>
      </c>
      <c r="B137" s="10" t="n">
        <v>1057</v>
      </c>
      <c r="C137" s="10" t="n"/>
      <c r="D137" s="10" t="n">
        <v>124375</v>
      </c>
      <c r="E137" s="10" t="n">
        <v>1060</v>
      </c>
      <c r="F137" s="10" t="n"/>
      <c r="G137" s="15">
        <f>B137-E137</f>
        <v/>
      </c>
      <c r="H137" s="16">
        <f>IFERROR(G137/E137*100,"")</f>
        <v/>
      </c>
      <c r="I137" s="10" t="n"/>
      <c r="J137" s="10" t="n">
        <v>90</v>
      </c>
    </row>
    <row r="138">
      <c r="A138" s="10" t="inlineStr">
        <is>
          <t>2026-08-12</t>
        </is>
      </c>
      <c r="B138" s="10" t="n">
        <v>1037</v>
      </c>
      <c r="C138" s="10" t="n"/>
      <c r="D138" s="10" t="n">
        <v>116971</v>
      </c>
      <c r="E138" s="10" t="n">
        <v>1041</v>
      </c>
      <c r="F138" s="10" t="n"/>
      <c r="G138" s="15">
        <f>B138-E138</f>
        <v/>
      </c>
      <c r="H138" s="16">
        <f>IFERROR(G138/E138*100,"")</f>
        <v/>
      </c>
      <c r="I138" s="10" t="n"/>
      <c r="J138" s="10" t="n">
        <v>89</v>
      </c>
    </row>
    <row r="139">
      <c r="A139" s="10" t="inlineStr">
        <is>
          <t>2026-08-13</t>
        </is>
      </c>
      <c r="B139" s="10" t="n">
        <v>1036</v>
      </c>
      <c r="C139" s="10" t="n"/>
      <c r="D139" s="10" t="n">
        <v>115258</v>
      </c>
      <c r="E139" s="10" t="n">
        <v>1037</v>
      </c>
      <c r="F139" s="10" t="n"/>
      <c r="G139" s="15">
        <f>B139-E139</f>
        <v/>
      </c>
      <c r="H139" s="16">
        <f>IFERROR(G139/E139*100,"")</f>
        <v/>
      </c>
      <c r="I139" s="10" t="n"/>
      <c r="J139" s="10" t="n">
        <v>88</v>
      </c>
    </row>
    <row r="140">
      <c r="A140" s="10" t="inlineStr">
        <is>
          <t>2026-08-14</t>
        </is>
      </c>
      <c r="B140" s="10" t="n">
        <v>1020</v>
      </c>
      <c r="C140" s="10" t="n"/>
      <c r="D140" s="10" t="n">
        <v>119410</v>
      </c>
      <c r="E140" s="10" t="n">
        <v>1023</v>
      </c>
      <c r="F140" s="10" t="n"/>
      <c r="G140" s="15">
        <f>B140-E140</f>
        <v/>
      </c>
      <c r="H140" s="16">
        <f>IFERROR(G140/E140*100,"")</f>
        <v/>
      </c>
      <c r="I140" s="10" t="n"/>
      <c r="J140" s="10" t="n">
        <v>87</v>
      </c>
    </row>
    <row r="141">
      <c r="A141" s="10" t="inlineStr">
        <is>
          <t>2026-08-17</t>
        </is>
      </c>
      <c r="B141" s="10" t="n">
        <v>1029</v>
      </c>
      <c r="C141" s="10" t="n"/>
      <c r="D141" s="10" t="n">
        <v>115252</v>
      </c>
      <c r="E141" s="10" t="n">
        <v>1031</v>
      </c>
      <c r="F141" s="10" t="n"/>
      <c r="G141" s="15">
        <f>B141-E141</f>
        <v/>
      </c>
      <c r="H141" s="16">
        <f>IFERROR(G141/E141*100,"")</f>
        <v/>
      </c>
      <c r="I141" s="10" t="n"/>
      <c r="J141" s="10" t="n">
        <v>86</v>
      </c>
    </row>
    <row r="142">
      <c r="A142" s="10" t="inlineStr">
        <is>
          <t>2026-08-18</t>
        </is>
      </c>
      <c r="B142" s="10" t="n">
        <v>1041</v>
      </c>
      <c r="C142" s="10" t="n"/>
      <c r="D142" s="10" t="n">
        <v>113192</v>
      </c>
      <c r="E142" s="10" t="n">
        <v>1043</v>
      </c>
      <c r="F142" s="10" t="n"/>
      <c r="G142" s="15">
        <f>B142-E142</f>
        <v/>
      </c>
      <c r="H142" s="16">
        <f>IFERROR(G142/E142*100,"")</f>
        <v/>
      </c>
      <c r="I142" s="10" t="n"/>
      <c r="J142" s="10" t="n">
        <v>85</v>
      </c>
    </row>
    <row r="143">
      <c r="A143" s="10" t="inlineStr">
        <is>
          <t>2026-08-19</t>
        </is>
      </c>
      <c r="B143" s="10" t="n">
        <v>1010</v>
      </c>
      <c r="C143" s="10" t="n"/>
      <c r="D143" s="10" t="n">
        <v>118830</v>
      </c>
      <c r="E143" s="10" t="n">
        <v>1012</v>
      </c>
      <c r="F143" s="10" t="n"/>
      <c r="G143" s="15">
        <f>B143-E143</f>
        <v/>
      </c>
      <c r="H143" s="16">
        <f>IFERROR(G143/E143*100,"")</f>
        <v/>
      </c>
      <c r="I143" s="10" t="n"/>
      <c r="J143" s="10" t="n">
        <v>84</v>
      </c>
    </row>
    <row r="144">
      <c r="A144" s="10" t="inlineStr">
        <is>
          <t>2026-08-20</t>
        </is>
      </c>
      <c r="B144" s="10" t="n">
        <v>1030</v>
      </c>
      <c r="C144" s="10" t="n"/>
      <c r="D144" s="10" t="n">
        <v>130576</v>
      </c>
      <c r="E144" s="10" t="n">
        <v>1033</v>
      </c>
      <c r="F144" s="10" t="n"/>
      <c r="G144" s="15">
        <f>B144-E144</f>
        <v/>
      </c>
      <c r="H144" s="16">
        <f>IFERROR(G144/E144*100,"")</f>
        <v/>
      </c>
      <c r="I144" s="10" t="n"/>
      <c r="J144" s="10" t="n">
        <v>83</v>
      </c>
    </row>
    <row r="145">
      <c r="A145" s="10" t="inlineStr">
        <is>
          <t>2026-08-21</t>
        </is>
      </c>
      <c r="B145" s="10" t="n">
        <v>1035</v>
      </c>
      <c r="C145" s="10" t="n"/>
      <c r="D145" s="10" t="n">
        <v>127160</v>
      </c>
      <c r="E145" s="10" t="n">
        <v>1039</v>
      </c>
      <c r="F145" s="10" t="n"/>
      <c r="G145" s="15">
        <f>B145-E145</f>
        <v/>
      </c>
      <c r="H145" s="16">
        <f>IFERROR(G145/E145*100,"")</f>
        <v/>
      </c>
      <c r="I145" s="10" t="n"/>
      <c r="J145" s="10" t="n">
        <v>82</v>
      </c>
    </row>
    <row r="146">
      <c r="A146" s="10" t="inlineStr">
        <is>
          <t>2026-08-24</t>
        </is>
      </c>
      <c r="B146" s="10" t="n">
        <v>1050</v>
      </c>
      <c r="C146" s="10" t="n"/>
      <c r="D146" s="10" t="n">
        <v>122498</v>
      </c>
      <c r="E146" s="10" t="n">
        <v>1054</v>
      </c>
      <c r="F146" s="10" t="n"/>
      <c r="G146" s="15">
        <f>B146-E146</f>
        <v/>
      </c>
      <c r="H146" s="16">
        <f>IFERROR(G146/E146*100,"")</f>
        <v/>
      </c>
      <c r="I146" s="10" t="n"/>
      <c r="J146" s="10" t="n">
        <v>81</v>
      </c>
    </row>
    <row r="147">
      <c r="A147" s="10" t="inlineStr">
        <is>
          <t>2026-08-25</t>
        </is>
      </c>
      <c r="B147" s="10" t="n">
        <v>1044</v>
      </c>
      <c r="C147" s="10" t="n"/>
      <c r="D147" s="10" t="n">
        <v>124264</v>
      </c>
      <c r="E147" s="10" t="n">
        <v>1045</v>
      </c>
      <c r="F147" s="10" t="n"/>
      <c r="G147" s="15">
        <f>B147-E147</f>
        <v/>
      </c>
      <c r="H147" s="16">
        <f>IFERROR(G147/E147*100,"")</f>
        <v/>
      </c>
      <c r="I147" s="10" t="n"/>
      <c r="J147" s="10" t="n">
        <v>80</v>
      </c>
    </row>
    <row r="148">
      <c r="A148" s="10" t="inlineStr">
        <is>
          <t>2026-08-26</t>
        </is>
      </c>
      <c r="B148" s="10" t="n">
        <v>1031</v>
      </c>
      <c r="C148" s="10" t="n"/>
      <c r="D148" s="10" t="n">
        <v>126075</v>
      </c>
      <c r="E148" s="10" t="n">
        <v>1035</v>
      </c>
      <c r="F148" s="10" t="n"/>
      <c r="G148" s="15">
        <f>B148-E148</f>
        <v/>
      </c>
      <c r="H148" s="16">
        <f>IFERROR(G148/E148*100,"")</f>
        <v/>
      </c>
      <c r="I148" s="10" t="n"/>
      <c r="J148" s="10" t="n">
        <v>79</v>
      </c>
    </row>
    <row r="149">
      <c r="A149" s="10" t="inlineStr">
        <is>
          <t>2026-08-27</t>
        </is>
      </c>
      <c r="B149" s="10" t="n">
        <v>1009</v>
      </c>
      <c r="C149" s="10" t="n"/>
      <c r="D149" s="10" t="n">
        <v>125613</v>
      </c>
      <c r="E149" s="10" t="n">
        <v>1011</v>
      </c>
      <c r="F149" s="10" t="n"/>
      <c r="G149" s="15">
        <f>B149-E149</f>
        <v/>
      </c>
      <c r="H149" s="16">
        <f>IFERROR(G149/E149*100,"")</f>
        <v/>
      </c>
      <c r="I149" s="10" t="n"/>
      <c r="J149" s="10" t="n">
        <v>78</v>
      </c>
    </row>
    <row r="150">
      <c r="A150" s="10" t="inlineStr">
        <is>
          <t>2026-08-28</t>
        </is>
      </c>
      <c r="B150" s="10" t="n">
        <v>1043</v>
      </c>
      <c r="C150" s="10" t="n"/>
      <c r="D150" s="10" t="n">
        <v>124628</v>
      </c>
      <c r="E150" s="10" t="n">
        <v>1047</v>
      </c>
      <c r="F150" s="10" t="n"/>
      <c r="G150" s="15">
        <f>B150-E150</f>
        <v/>
      </c>
      <c r="H150" s="16">
        <f>IFERROR(G150/E150*100,"")</f>
        <v/>
      </c>
      <c r="I150" s="10" t="n"/>
      <c r="J150" s="10" t="n">
        <v>77</v>
      </c>
    </row>
    <row r="151">
      <c r="A151" s="10" t="inlineStr">
        <is>
          <t>2026-08-31</t>
        </is>
      </c>
      <c r="B151" s="10" t="n">
        <v>1054</v>
      </c>
      <c r="C151" s="10" t="n"/>
      <c r="D151" s="10" t="n">
        <v>127324</v>
      </c>
      <c r="E151" s="10" t="n">
        <v>1061</v>
      </c>
      <c r="F151" s="10" t="n"/>
      <c r="G151" s="15">
        <f>B151-E151</f>
        <v/>
      </c>
      <c r="H151" s="16">
        <f>IFERROR(G151/E151*100,"")</f>
        <v/>
      </c>
      <c r="I151" s="10" t="n"/>
      <c r="J151" s="10" t="n">
        <v>76</v>
      </c>
    </row>
    <row r="152">
      <c r="A152" s="10" t="inlineStr">
        <is>
          <t>2026-09-01</t>
        </is>
      </c>
      <c r="B152" s="10" t="n">
        <v>1064</v>
      </c>
      <c r="C152" s="10" t="n"/>
      <c r="D152" s="10" t="n">
        <v>135420</v>
      </c>
      <c r="E152" s="10" t="n">
        <v>1070</v>
      </c>
      <c r="F152" s="10" t="n"/>
      <c r="G152" s="15">
        <f>B152-E152</f>
        <v/>
      </c>
      <c r="H152" s="16">
        <f>IFERROR(G152/E152*100,"")</f>
        <v/>
      </c>
      <c r="I152" s="10" t="n"/>
      <c r="J152" s="10" t="n">
        <v>75</v>
      </c>
    </row>
    <row r="153">
      <c r="A153" s="10" t="inlineStr">
        <is>
          <t>2026-09-02</t>
        </is>
      </c>
      <c r="B153" s="10" t="n">
        <v>1050</v>
      </c>
      <c r="C153" s="10" t="n"/>
      <c r="D153" s="10" t="n">
        <v>135251</v>
      </c>
      <c r="E153" s="10" t="n">
        <v>1056</v>
      </c>
      <c r="F153" s="10" t="n"/>
      <c r="G153" s="15">
        <f>B153-E153</f>
        <v/>
      </c>
      <c r="H153" s="16">
        <f>IFERROR(G153/E153*100,"")</f>
        <v/>
      </c>
      <c r="I153" s="10" t="n"/>
      <c r="J153" s="10" t="n">
        <v>74</v>
      </c>
    </row>
    <row r="154">
      <c r="A154" s="10" t="inlineStr">
        <is>
          <t>2026-09-03</t>
        </is>
      </c>
      <c r="B154" s="10" t="n">
        <v>1050</v>
      </c>
      <c r="C154" s="10" t="n"/>
      <c r="D154" s="10" t="n">
        <v>131719</v>
      </c>
      <c r="E154" s="10" t="n">
        <v>1056</v>
      </c>
      <c r="F154" s="10" t="n"/>
      <c r="G154" s="15">
        <f>B154-E154</f>
        <v/>
      </c>
      <c r="H154" s="16">
        <f>IFERROR(G154/E154*100,"")</f>
        <v/>
      </c>
      <c r="I154" s="10" t="n"/>
      <c r="J154" s="10" t="n">
        <v>73</v>
      </c>
    </row>
    <row r="155">
      <c r="A155" s="10" t="inlineStr">
        <is>
          <t>2026-09-04</t>
        </is>
      </c>
      <c r="B155" s="10" t="n">
        <v>1088</v>
      </c>
      <c r="C155" s="10" t="n"/>
      <c r="D155" s="10" t="n">
        <v>128838</v>
      </c>
      <c r="E155" s="10" t="n">
        <v>1093</v>
      </c>
      <c r="F155" s="10" t="n"/>
      <c r="G155" s="15">
        <f>B155-E155</f>
        <v/>
      </c>
      <c r="H155" s="16">
        <f>IFERROR(G155/E155*100,"")</f>
        <v/>
      </c>
      <c r="I155" s="10" t="n"/>
      <c r="J155" s="10" t="n">
        <v>72</v>
      </c>
    </row>
    <row r="156">
      <c r="A156" s="10" t="inlineStr">
        <is>
          <t>2026-09-07</t>
        </is>
      </c>
      <c r="B156" s="10" t="n">
        <v>1071</v>
      </c>
      <c r="C156" s="10" t="n"/>
      <c r="D156" s="10" t="n">
        <v>129411</v>
      </c>
      <c r="E156" s="10" t="n">
        <v>1079</v>
      </c>
      <c r="F156" s="10" t="n"/>
      <c r="G156" s="15">
        <f>B156-E156</f>
        <v/>
      </c>
      <c r="H156" s="16">
        <f>IFERROR(G156/E156*100,"")</f>
        <v/>
      </c>
      <c r="I156" s="10" t="n"/>
      <c r="J156" s="10" t="n">
        <v>71</v>
      </c>
    </row>
    <row r="157">
      <c r="A157" s="10" t="inlineStr">
        <is>
          <t>2026-09-08</t>
        </is>
      </c>
      <c r="B157" s="10" t="n">
        <v>1079</v>
      </c>
      <c r="C157" s="10" t="n"/>
      <c r="D157" s="10" t="n">
        <v>128772</v>
      </c>
      <c r="E157" s="10" t="n">
        <v>1083</v>
      </c>
      <c r="F157" s="10" t="n"/>
      <c r="G157" s="15">
        <f>B157-E157</f>
        <v/>
      </c>
      <c r="H157" s="16">
        <f>IFERROR(G157/E157*100,"")</f>
        <v/>
      </c>
      <c r="I157" s="10" t="n"/>
      <c r="J157" s="10" t="n">
        <v>70</v>
      </c>
    </row>
    <row r="158">
      <c r="A158" s="10" t="inlineStr">
        <is>
          <t>2026-09-09</t>
        </is>
      </c>
      <c r="B158" s="10" t="n">
        <v>1071</v>
      </c>
      <c r="C158" s="10" t="n"/>
      <c r="D158" s="10" t="n">
        <v>132485</v>
      </c>
      <c r="E158" s="10" t="n">
        <v>1077</v>
      </c>
      <c r="F158" s="10" t="n"/>
      <c r="G158" s="15">
        <f>B158-E158</f>
        <v/>
      </c>
      <c r="H158" s="16">
        <f>IFERROR(G158/E158*100,"")</f>
        <v/>
      </c>
      <c r="I158" s="10" t="n"/>
      <c r="J158" s="10" t="n">
        <v>69</v>
      </c>
    </row>
    <row r="159">
      <c r="A159" s="10" t="inlineStr">
        <is>
          <t>2026-09-10</t>
        </is>
      </c>
      <c r="B159" s="10" t="n">
        <v>1068</v>
      </c>
      <c r="C159" s="10" t="n"/>
      <c r="D159" s="10" t="n">
        <v>143390</v>
      </c>
      <c r="E159" s="10" t="n">
        <v>1075</v>
      </c>
      <c r="F159" s="10" t="n"/>
      <c r="G159" s="15">
        <f>B159-E159</f>
        <v/>
      </c>
      <c r="H159" s="16">
        <f>IFERROR(G159/E159*100,"")</f>
        <v/>
      </c>
      <c r="I159" s="10" t="n"/>
      <c r="J159" s="10" t="n">
        <v>68</v>
      </c>
    </row>
    <row r="160">
      <c r="A160" s="10" t="inlineStr">
        <is>
          <t>2026-09-11</t>
        </is>
      </c>
      <c r="B160" s="10" t="n">
        <v>1058</v>
      </c>
      <c r="C160" s="10" t="n"/>
      <c r="D160" s="10" t="n">
        <v>137146</v>
      </c>
      <c r="E160" s="10" t="n">
        <v>1065</v>
      </c>
      <c r="F160" s="10" t="n"/>
      <c r="G160" s="15">
        <f>B160-E160</f>
        <v/>
      </c>
      <c r="H160" s="16">
        <f>IFERROR(G160/E160*100,"")</f>
        <v/>
      </c>
      <c r="I160" s="10" t="n"/>
      <c r="J160" s="10" t="n">
        <v>67</v>
      </c>
    </row>
    <row r="161">
      <c r="A161" s="10" t="inlineStr">
        <is>
          <t>2026-09-14</t>
        </is>
      </c>
      <c r="B161" s="10" t="n">
        <v>1013</v>
      </c>
      <c r="C161" s="10" t="n"/>
      <c r="D161" s="10" t="n">
        <v>139440</v>
      </c>
      <c r="E161" s="10" t="n">
        <v>1019</v>
      </c>
      <c r="F161" s="10" t="n"/>
      <c r="G161" s="15">
        <f>B161-E161</f>
        <v/>
      </c>
      <c r="H161" s="16">
        <f>IFERROR(G161/E161*100,"")</f>
        <v/>
      </c>
      <c r="I161" s="10" t="n"/>
      <c r="J161" s="10" t="n">
        <v>66</v>
      </c>
    </row>
    <row r="162">
      <c r="A162" s="10" t="inlineStr">
        <is>
          <t>2026-09-15</t>
        </is>
      </c>
      <c r="B162" s="10" t="n">
        <v>1004</v>
      </c>
      <c r="C162" s="10" t="n"/>
      <c r="D162" s="10" t="n">
        <v>135773</v>
      </c>
      <c r="E162" s="10" t="n">
        <v>1009</v>
      </c>
      <c r="F162" s="10" t="n"/>
      <c r="G162" s="15">
        <f>B162-E162</f>
        <v/>
      </c>
      <c r="H162" s="16">
        <f>IFERROR(G162/E162*100,"")</f>
        <v/>
      </c>
      <c r="I162" s="10" t="n"/>
      <c r="J162" s="10" t="n">
        <v>65</v>
      </c>
    </row>
    <row r="163">
      <c r="A163" s="10" t="inlineStr">
        <is>
          <t>2026-09-16</t>
        </is>
      </c>
      <c r="B163" s="10" t="n">
        <v>1007</v>
      </c>
      <c r="C163" s="10" t="n"/>
      <c r="D163" s="10" t="n">
        <v>134899</v>
      </c>
      <c r="E163" s="10" t="n">
        <v>1011</v>
      </c>
      <c r="F163" s="10" t="n"/>
      <c r="G163" s="15">
        <f>B163-E163</f>
        <v/>
      </c>
      <c r="H163" s="16">
        <f>IFERROR(G163/E163*100,"")</f>
        <v/>
      </c>
      <c r="I163" s="10" t="n"/>
      <c r="J163" s="10" t="n">
        <v>64</v>
      </c>
    </row>
    <row r="164">
      <c r="A164" s="10" t="inlineStr">
        <is>
          <t>2026-09-17</t>
        </is>
      </c>
      <c r="B164" s="10" t="n">
        <v>1002</v>
      </c>
      <c r="C164" s="10" t="n"/>
      <c r="D164" s="10" t="n">
        <v>136577</v>
      </c>
      <c r="E164" s="10" t="n">
        <v>1006</v>
      </c>
      <c r="F164" s="10" t="n"/>
      <c r="G164" s="15">
        <f>B164-E164</f>
        <v/>
      </c>
      <c r="H164" s="16">
        <f>IFERROR(G164/E164*100,"")</f>
        <v/>
      </c>
      <c r="I164" s="10" t="n"/>
      <c r="J164" s="10" t="n">
        <v>63</v>
      </c>
    </row>
    <row r="165">
      <c r="A165" s="10" t="inlineStr">
        <is>
          <t>2026-09-18</t>
        </is>
      </c>
      <c r="B165" s="10" t="n">
        <v>1003</v>
      </c>
      <c r="C165" s="10" t="n"/>
      <c r="D165" s="10" t="n">
        <v>128746</v>
      </c>
      <c r="E165" s="10" t="n">
        <v>1007</v>
      </c>
      <c r="F165" s="10" t="n"/>
      <c r="G165" s="15">
        <f>B165-E165</f>
        <v/>
      </c>
      <c r="H165" s="16">
        <f>IFERROR(G165/E165*100,"")</f>
        <v/>
      </c>
      <c r="I165" s="10" t="n"/>
      <c r="J165" s="10" t="n">
        <v>62</v>
      </c>
    </row>
    <row r="166">
      <c r="A166" s="10" t="inlineStr">
        <is>
          <t>2026-09-21</t>
        </is>
      </c>
      <c r="B166" s="10" t="n">
        <v>1015</v>
      </c>
      <c r="C166" s="10" t="n"/>
      <c r="D166" s="10" t="n">
        <v>125322</v>
      </c>
      <c r="E166" s="10" t="n">
        <v>1018</v>
      </c>
      <c r="F166" s="10" t="n"/>
      <c r="G166" s="15">
        <f>B166-E166</f>
        <v/>
      </c>
      <c r="H166" s="16">
        <f>IFERROR(G166/E166*100,"")</f>
        <v/>
      </c>
      <c r="I166" s="10" t="n"/>
      <c r="J166" s="10" t="n">
        <v>61</v>
      </c>
    </row>
    <row r="167">
      <c r="A167" s="10" t="inlineStr">
        <is>
          <t>2026-09-22</t>
        </is>
      </c>
      <c r="B167" s="10" t="n">
        <v>1012</v>
      </c>
      <c r="C167" s="10" t="n"/>
      <c r="D167" s="10" t="n">
        <v>126179</v>
      </c>
      <c r="E167" s="10" t="n">
        <v>1017</v>
      </c>
      <c r="F167" s="10" t="n"/>
      <c r="G167" s="15">
        <f>B167-E167</f>
        <v/>
      </c>
      <c r="H167" s="16">
        <f>IFERROR(G167/E167*100,"")</f>
        <v/>
      </c>
      <c r="I167" s="10" t="n"/>
      <c r="J167" s="10" t="n">
        <v>60</v>
      </c>
    </row>
    <row r="168">
      <c r="A168" s="10" t="inlineStr">
        <is>
          <t>2026-09-23</t>
        </is>
      </c>
      <c r="B168" s="10" t="n">
        <v>1006</v>
      </c>
      <c r="C168" s="10" t="n"/>
      <c r="D168" s="10" t="n">
        <v>128119</v>
      </c>
      <c r="E168" s="10" t="n">
        <v>1011</v>
      </c>
      <c r="F168" s="10" t="n"/>
      <c r="G168" s="15">
        <f>B168-E168</f>
        <v/>
      </c>
      <c r="H168" s="16">
        <f>IFERROR(G168/E168*100,"")</f>
        <v/>
      </c>
      <c r="I168" s="10" t="n"/>
      <c r="J168" s="10" t="n">
        <v>59</v>
      </c>
    </row>
    <row r="169">
      <c r="A169" s="10" t="inlineStr">
        <is>
          <t>2026-09-24</t>
        </is>
      </c>
      <c r="B169" s="10" t="n">
        <v>998</v>
      </c>
      <c r="C169" s="10" t="n"/>
      <c r="D169" s="10" t="n">
        <v>136231</v>
      </c>
      <c r="E169" s="10" t="n">
        <v>1004</v>
      </c>
      <c r="F169" s="10" t="n"/>
      <c r="G169" s="15">
        <f>B169-E169</f>
        <v/>
      </c>
      <c r="H169" s="16">
        <f>IFERROR(G169/E169*100,"")</f>
        <v/>
      </c>
      <c r="I169" s="10" t="n"/>
      <c r="J169" s="10" t="n">
        <v>58</v>
      </c>
    </row>
    <row r="170">
      <c r="A170" s="10" t="inlineStr">
        <is>
          <t>2026-09-28</t>
        </is>
      </c>
      <c r="B170" s="10" t="n">
        <v>1009</v>
      </c>
      <c r="C170" s="10" t="n"/>
      <c r="D170" s="10" t="n">
        <v>135217</v>
      </c>
      <c r="E170" s="10" t="n">
        <v>1014</v>
      </c>
      <c r="F170" s="10" t="n"/>
      <c r="G170" s="15">
        <f>B170-E170</f>
        <v/>
      </c>
      <c r="H170" s="16">
        <f>IFERROR(G170/E170*100,"")</f>
        <v/>
      </c>
      <c r="I170" s="10" t="n"/>
      <c r="J170" s="10" t="n">
        <v>56</v>
      </c>
    </row>
    <row r="171">
      <c r="A171" s="10" t="inlineStr">
        <is>
          <t>2026-09-29</t>
        </is>
      </c>
      <c r="B171" s="10" t="n">
        <v>1007</v>
      </c>
      <c r="C171" s="10" t="n"/>
      <c r="D171" s="10" t="n">
        <v>130520</v>
      </c>
      <c r="E171" s="10" t="n">
        <v>1012</v>
      </c>
      <c r="F171" s="10" t="n"/>
      <c r="G171" s="15">
        <f>B171-E171</f>
        <v/>
      </c>
      <c r="H171" s="16">
        <f>IFERROR(G171/E171*100,"")</f>
        <v/>
      </c>
      <c r="I171" s="10" t="n"/>
      <c r="J171" s="10" t="n">
        <v>55</v>
      </c>
    </row>
    <row r="172">
      <c r="A172" s="10" t="inlineStr">
        <is>
          <t>2026-09-30</t>
        </is>
      </c>
      <c r="B172" s="10" t="n">
        <v>1000</v>
      </c>
      <c r="C172" s="10" t="n"/>
      <c r="D172" s="10" t="n">
        <v>125672</v>
      </c>
      <c r="E172" s="10" t="n">
        <v>1006</v>
      </c>
      <c r="F172" s="10" t="n"/>
      <c r="G172" s="15">
        <f>B172-E172</f>
        <v/>
      </c>
      <c r="H172" s="16">
        <f>IFERROR(G172/E172*100,"")</f>
        <v/>
      </c>
      <c r="I172" s="10" t="n"/>
      <c r="J172" s="10" t="n">
        <v>54</v>
      </c>
    </row>
    <row r="173">
      <c r="A173" s="10" t="inlineStr">
        <is>
          <t>2026-10-08</t>
        </is>
      </c>
      <c r="B173" s="10" t="n">
        <v>977</v>
      </c>
      <c r="C173" s="10" t="n"/>
      <c r="D173" s="10" t="n">
        <v>125732</v>
      </c>
      <c r="E173" s="10" t="n">
        <v>983</v>
      </c>
      <c r="F173" s="10" t="n"/>
      <c r="G173" s="15">
        <f>B173-E173</f>
        <v/>
      </c>
      <c r="H173" s="16">
        <f>IFERROR(G173/E173*100,"")</f>
        <v/>
      </c>
      <c r="I173" s="10" t="n"/>
      <c r="J173" s="10" t="n">
        <v>48</v>
      </c>
    </row>
    <row r="174">
      <c r="A174" s="10" t="inlineStr">
        <is>
          <t>2026-10-09</t>
        </is>
      </c>
      <c r="B174" s="10" t="n">
        <v>1004</v>
      </c>
      <c r="C174" s="10" t="n"/>
      <c r="D174" s="10" t="n">
        <v>133631</v>
      </c>
      <c r="E174" s="10" t="n">
        <v>1010</v>
      </c>
      <c r="F174" s="10" t="n"/>
      <c r="G174" s="15">
        <f>B174-E174</f>
        <v/>
      </c>
      <c r="H174" s="16">
        <f>IFERROR(G174/E174*100,"")</f>
        <v/>
      </c>
      <c r="I174" s="10" t="n"/>
      <c r="J174" s="10" t="n">
        <v>47</v>
      </c>
    </row>
    <row r="175">
      <c r="A175" s="10" t="inlineStr">
        <is>
          <t>2026-10-12</t>
        </is>
      </c>
      <c r="B175" s="10" t="n">
        <v>981</v>
      </c>
      <c r="C175" s="10" t="n"/>
      <c r="D175" s="10" t="n">
        <v>134192</v>
      </c>
      <c r="E175" s="10" t="n">
        <v>985</v>
      </c>
      <c r="F175" s="10" t="n"/>
      <c r="G175" s="15">
        <f>B175-E175</f>
        <v/>
      </c>
      <c r="H175" s="16">
        <f>IFERROR(G175/E175*100,"")</f>
        <v/>
      </c>
      <c r="I175" s="10" t="n"/>
      <c r="J175" s="10" t="n">
        <v>46</v>
      </c>
    </row>
    <row r="176">
      <c r="A176" s="10" t="inlineStr">
        <is>
          <t>2026-10-13</t>
        </is>
      </c>
      <c r="B176" s="10" t="n">
        <v>956</v>
      </c>
      <c r="C176" s="10" t="n"/>
      <c r="D176" s="10" t="n">
        <v>131027</v>
      </c>
      <c r="E176" s="10" t="n">
        <v>961</v>
      </c>
      <c r="F176" s="10" t="n"/>
      <c r="G176" s="15">
        <f>B176-E176</f>
        <v/>
      </c>
      <c r="H176" s="16">
        <f>IFERROR(G176/E176*100,"")</f>
        <v/>
      </c>
      <c r="I176" s="10" t="n"/>
      <c r="J176" s="10" t="n">
        <v>45</v>
      </c>
    </row>
    <row r="177">
      <c r="A177" s="10" t="inlineStr">
        <is>
          <t>2026-10-14</t>
        </is>
      </c>
      <c r="B177" s="10" t="n">
        <v>941</v>
      </c>
      <c r="C177" s="10" t="n"/>
      <c r="D177" s="10" t="n">
        <v>123372</v>
      </c>
      <c r="E177" s="10" t="n">
        <v>944</v>
      </c>
      <c r="F177" s="10" t="n"/>
      <c r="G177" s="15">
        <f>B177-E177</f>
        <v/>
      </c>
      <c r="H177" s="16">
        <f>IFERROR(G177/E177*100,"")</f>
        <v/>
      </c>
      <c r="I177" s="10" t="n"/>
      <c r="J177" s="10" t="n">
        <v>44</v>
      </c>
    </row>
    <row r="178">
      <c r="A178" s="10" t="inlineStr">
        <is>
          <t>2026-10-15</t>
        </is>
      </c>
      <c r="B178" s="10" t="n">
        <v>926</v>
      </c>
      <c r="C178" s="10" t="n"/>
      <c r="D178" s="10" t="n">
        <v>122585</v>
      </c>
      <c r="E178" s="10" t="n">
        <v>932</v>
      </c>
      <c r="F178" s="10" t="n"/>
      <c r="G178" s="15">
        <f>B178-E178</f>
        <v/>
      </c>
      <c r="H178" s="16">
        <f>IFERROR(G178/E178*100,"")</f>
        <v/>
      </c>
      <c r="I178" s="10" t="n"/>
      <c r="J178" s="10" t="n">
        <v>43</v>
      </c>
    </row>
    <row r="179">
      <c r="A179" s="10" t="inlineStr">
        <is>
          <t>2026-10-16</t>
        </is>
      </c>
      <c r="B179" s="10" t="n">
        <v>937</v>
      </c>
      <c r="C179" s="10" t="n"/>
      <c r="D179" s="10" t="n">
        <v>130503</v>
      </c>
      <c r="E179" s="10" t="n">
        <v>939</v>
      </c>
      <c r="F179" s="10" t="n"/>
      <c r="G179" s="15">
        <f>B179-E179</f>
        <v/>
      </c>
      <c r="H179" s="16">
        <f>IFERROR(G179/E179*100,"")</f>
        <v/>
      </c>
      <c r="I179" s="10" t="n"/>
      <c r="J179" s="10" t="n">
        <v>42</v>
      </c>
    </row>
    <row r="180">
      <c r="A180" s="10" t="inlineStr">
        <is>
          <t>2026-10-19</t>
        </is>
      </c>
      <c r="B180" s="10" t="n">
        <v>947</v>
      </c>
      <c r="C180" s="10" t="n"/>
      <c r="D180" s="10" t="n">
        <v>135106</v>
      </c>
      <c r="E180" s="10" t="n">
        <v>951</v>
      </c>
      <c r="F180" s="10" t="n"/>
      <c r="G180" s="15">
        <f>B180-E180</f>
        <v/>
      </c>
      <c r="H180" s="16">
        <f>IFERROR(G180/E180*100,"")</f>
        <v/>
      </c>
      <c r="I180" s="10" t="n"/>
      <c r="J180" s="10" t="n">
        <v>41</v>
      </c>
    </row>
    <row r="181">
      <c r="A181" s="10" t="inlineStr">
        <is>
          <t>2026-10-20</t>
        </is>
      </c>
      <c r="B181" s="10" t="n">
        <v>934</v>
      </c>
      <c r="C181" s="10" t="n"/>
      <c r="D181" s="10" t="n">
        <v>142710</v>
      </c>
      <c r="E181" s="10" t="n">
        <v>938</v>
      </c>
      <c r="F181" s="10" t="n"/>
      <c r="G181" s="15">
        <f>B181-E181</f>
        <v/>
      </c>
      <c r="H181" s="16">
        <f>IFERROR(G181/E181*100,"")</f>
        <v/>
      </c>
      <c r="I181" s="10" t="n"/>
      <c r="J181" s="10" t="n">
        <v>40</v>
      </c>
    </row>
    <row r="183">
      <c r="A183" s="2" t="inlineStr">
        <is>
          <t>统计量</t>
        </is>
      </c>
    </row>
    <row r="184">
      <c r="A184" s="17" t="inlineStr">
        <is>
          <t>样本数 N</t>
        </is>
      </c>
      <c r="B184" s="18">
        <f>COUNT(G5:G181)</f>
        <v/>
      </c>
    </row>
    <row r="185">
      <c r="A185" s="17" t="inlineStr">
        <is>
          <t>均值</t>
        </is>
      </c>
      <c r="B185" s="19">
        <f>AVERAGE(G5:G181)</f>
        <v/>
      </c>
    </row>
    <row r="186">
      <c r="A186" s="17" t="inlineStr">
        <is>
          <t>中位数</t>
        </is>
      </c>
      <c r="B186" s="19">
        <f>MEDIAN(G5:G181)</f>
        <v/>
      </c>
    </row>
    <row r="187">
      <c r="A187" s="17" t="inlineStr">
        <is>
          <t>样本标准差</t>
        </is>
      </c>
      <c r="B187" s="19">
        <f>STDEV(G5:G181)</f>
        <v/>
      </c>
    </row>
    <row r="188">
      <c r="A188" s="17" t="inlineStr">
        <is>
          <t>最小值</t>
        </is>
      </c>
      <c r="B188" s="19">
        <f>MIN(G5:G181)</f>
        <v/>
      </c>
    </row>
    <row r="189">
      <c r="A189" s="17" t="inlineStr">
        <is>
          <t>最大值</t>
        </is>
      </c>
      <c r="B189" s="19">
        <f>MAX(G5:G181)</f>
        <v/>
      </c>
    </row>
    <row r="190">
      <c r="A190" s="17" t="inlineStr">
        <is>
          <t>25分位</t>
        </is>
      </c>
      <c r="B190" s="19">
        <f>PERCENTILE(G5:G181,0.25)</f>
        <v/>
      </c>
    </row>
    <row r="191">
      <c r="A191" s="17" t="inlineStr">
        <is>
          <t>75分位</t>
        </is>
      </c>
      <c r="B191" s="19">
        <f>PERCENTILE(G5:G181,0.75)</f>
        <v/>
      </c>
    </row>
    <row r="192">
      <c r="A192" s="17" t="inlineStr">
        <is>
          <t>当前值</t>
        </is>
      </c>
      <c r="B192" s="19">
        <f>G181</f>
        <v/>
      </c>
    </row>
    <row r="193">
      <c r="A193" s="17" t="inlineStr">
        <is>
          <t>当前值分位%</t>
        </is>
      </c>
      <c r="B193" s="20">
        <f>COUNTIF(G5:G181,"&lt;="&amp;G181)/COUNT(G5:G181)*100</f>
        <v/>
      </c>
    </row>
    <row r="195">
      <c r="A195" s="14" t="inlineStr">
        <is>
          <t>注：结算价列留空表示该合约当日无结算数据（新浪接口个别早期行），不做任何填充。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月差历史序列：SA2612 − SA2701</t>
        </is>
      </c>
    </row>
    <row r="2">
      <c r="A2" s="14" t="inlineStr">
        <is>
          <t>含 5/20 日滚动均值；末行为统计口径。</t>
        </is>
      </c>
    </row>
    <row r="4" ht="28" customHeight="1">
      <c r="A4" s="7" t="inlineStr">
        <is>
          <t>日期</t>
        </is>
      </c>
      <c r="B4" s="7" t="inlineStr">
        <is>
          <t>SA2612</t>
        </is>
      </c>
      <c r="C4" s="7" t="inlineStr">
        <is>
          <t>SA2701</t>
        </is>
      </c>
      <c r="D4" s="7" t="inlineStr">
        <is>
          <t>月差</t>
        </is>
      </c>
      <c r="E4" s="7" t="inlineStr">
        <is>
          <t>月差%</t>
        </is>
      </c>
      <c r="F4" s="7" t="inlineStr">
        <is>
          <t>MA5</t>
        </is>
      </c>
      <c r="G4" s="7" t="inlineStr">
        <is>
          <t>MA20</t>
        </is>
      </c>
    </row>
    <row r="5">
      <c r="A5" s="10" t="inlineStr">
        <is>
          <t>2026-01-22</t>
        </is>
      </c>
      <c r="B5" s="10" t="n">
        <v>1283</v>
      </c>
      <c r="C5" s="10" t="n">
        <v>1287</v>
      </c>
      <c r="D5" s="15">
        <f>B5-C5</f>
        <v/>
      </c>
      <c r="E5" s="16">
        <f>IFERROR(D5/C5*100,"")</f>
        <v/>
      </c>
      <c r="F5" s="10" t="n"/>
      <c r="G5" s="10" t="n"/>
    </row>
    <row r="6">
      <c r="A6" s="10" t="inlineStr">
        <is>
          <t>2026-01-23</t>
        </is>
      </c>
      <c r="B6" s="10" t="n">
        <v>1292</v>
      </c>
      <c r="C6" s="10" t="n">
        <v>1296</v>
      </c>
      <c r="D6" s="15">
        <f>B6-C6</f>
        <v/>
      </c>
      <c r="E6" s="16">
        <f>IFERROR(D6/C6*100,"")</f>
        <v/>
      </c>
      <c r="F6" s="10" t="n"/>
      <c r="G6" s="10" t="n"/>
    </row>
    <row r="7">
      <c r="A7" s="10" t="inlineStr">
        <is>
          <t>2026-01-26</t>
        </is>
      </c>
      <c r="B7" s="10" t="n">
        <v>1297</v>
      </c>
      <c r="C7" s="10" t="n">
        <v>1300</v>
      </c>
      <c r="D7" s="15">
        <f>B7-C7</f>
        <v/>
      </c>
      <c r="E7" s="16">
        <f>IFERROR(D7/C7*100,"")</f>
        <v/>
      </c>
      <c r="F7" s="10" t="n"/>
      <c r="G7" s="10" t="n"/>
    </row>
    <row r="8">
      <c r="A8" s="10" t="inlineStr">
        <is>
          <t>2026-01-27</t>
        </is>
      </c>
      <c r="B8" s="10" t="n">
        <v>1287</v>
      </c>
      <c r="C8" s="10" t="n">
        <v>1291</v>
      </c>
      <c r="D8" s="15">
        <f>B8-C8</f>
        <v/>
      </c>
      <c r="E8" s="16">
        <f>IFERROR(D8/C8*100,"")</f>
        <v/>
      </c>
      <c r="F8" s="10" t="n"/>
      <c r="G8" s="10" t="n"/>
    </row>
    <row r="9">
      <c r="A9" s="10" t="inlineStr">
        <is>
          <t>2026-01-28</t>
        </is>
      </c>
      <c r="B9" s="10" t="n">
        <v>1294</v>
      </c>
      <c r="C9" s="10" t="n">
        <v>1295</v>
      </c>
      <c r="D9" s="15">
        <f>B9-C9</f>
        <v/>
      </c>
      <c r="E9" s="16">
        <f>IFERROR(D9/C9*100,"")</f>
        <v/>
      </c>
      <c r="F9" s="15">
        <f>ROUND(AVERAGE(D5:D9),2)</f>
        <v/>
      </c>
      <c r="G9" s="10" t="n"/>
    </row>
    <row r="10">
      <c r="A10" s="10" t="inlineStr">
        <is>
          <t>2026-01-29</t>
        </is>
      </c>
      <c r="B10" s="10" t="n">
        <v>1304</v>
      </c>
      <c r="C10" s="10" t="n">
        <v>1308</v>
      </c>
      <c r="D10" s="15">
        <f>B10-C10</f>
        <v/>
      </c>
      <c r="E10" s="16">
        <f>IFERROR(D10/C10*100,"")</f>
        <v/>
      </c>
      <c r="F10" s="15">
        <f>ROUND(AVERAGE(D6:D10),2)</f>
        <v/>
      </c>
      <c r="G10" s="10" t="n"/>
    </row>
    <row r="11">
      <c r="A11" s="10" t="inlineStr">
        <is>
          <t>2026-01-30</t>
        </is>
      </c>
      <c r="B11" s="10" t="n">
        <v>1297</v>
      </c>
      <c r="C11" s="10" t="n">
        <v>1299</v>
      </c>
      <c r="D11" s="15">
        <f>B11-C11</f>
        <v/>
      </c>
      <c r="E11" s="16">
        <f>IFERROR(D11/C11*100,"")</f>
        <v/>
      </c>
      <c r="F11" s="15">
        <f>ROUND(AVERAGE(D7:D11),2)</f>
        <v/>
      </c>
      <c r="G11" s="10" t="n"/>
    </row>
    <row r="12">
      <c r="A12" s="10" t="inlineStr">
        <is>
          <t>2026-02-02</t>
        </is>
      </c>
      <c r="B12" s="10" t="n">
        <v>1296</v>
      </c>
      <c r="C12" s="10" t="n">
        <v>1298</v>
      </c>
      <c r="D12" s="15">
        <f>B12-C12</f>
        <v/>
      </c>
      <c r="E12" s="16">
        <f>IFERROR(D12/C12*100,"")</f>
        <v/>
      </c>
      <c r="F12" s="15">
        <f>ROUND(AVERAGE(D8:D12),2)</f>
        <v/>
      </c>
      <c r="G12" s="10" t="n"/>
    </row>
    <row r="13">
      <c r="A13" s="10" t="inlineStr">
        <is>
          <t>2026-02-03</t>
        </is>
      </c>
      <c r="B13" s="10" t="n">
        <v>1296</v>
      </c>
      <c r="C13" s="10" t="n">
        <v>1299</v>
      </c>
      <c r="D13" s="15">
        <f>B13-C13</f>
        <v/>
      </c>
      <c r="E13" s="16">
        <f>IFERROR(D13/C13*100,"")</f>
        <v/>
      </c>
      <c r="F13" s="15">
        <f>ROUND(AVERAGE(D9:D13),2)</f>
        <v/>
      </c>
      <c r="G13" s="10" t="n"/>
    </row>
    <row r="14">
      <c r="A14" s="10" t="inlineStr">
        <is>
          <t>2026-02-04</t>
        </is>
      </c>
      <c r="B14" s="10" t="n">
        <v>1316</v>
      </c>
      <c r="C14" s="10" t="n">
        <v>1323</v>
      </c>
      <c r="D14" s="15">
        <f>B14-C14</f>
        <v/>
      </c>
      <c r="E14" s="16">
        <f>IFERROR(D14/C14*100,"")</f>
        <v/>
      </c>
      <c r="F14" s="15">
        <f>ROUND(AVERAGE(D10:D14),2)</f>
        <v/>
      </c>
      <c r="G14" s="10" t="n"/>
    </row>
    <row r="15">
      <c r="A15" s="10" t="inlineStr">
        <is>
          <t>2026-02-05</t>
        </is>
      </c>
      <c r="B15" s="10" t="n">
        <v>1305</v>
      </c>
      <c r="C15" s="10" t="n">
        <v>1309</v>
      </c>
      <c r="D15" s="15">
        <f>B15-C15</f>
        <v/>
      </c>
      <c r="E15" s="16">
        <f>IFERROR(D15/C15*100,"")</f>
        <v/>
      </c>
      <c r="F15" s="15">
        <f>ROUND(AVERAGE(D11:D15),2)</f>
        <v/>
      </c>
      <c r="G15" s="10" t="n"/>
    </row>
    <row r="16">
      <c r="A16" s="10" t="inlineStr">
        <is>
          <t>2026-02-06</t>
        </is>
      </c>
      <c r="B16" s="10" t="n">
        <v>1290</v>
      </c>
      <c r="C16" s="10" t="n">
        <v>1294</v>
      </c>
      <c r="D16" s="15">
        <f>B16-C16</f>
        <v/>
      </c>
      <c r="E16" s="16">
        <f>IFERROR(D16/C16*100,"")</f>
        <v/>
      </c>
      <c r="F16" s="15">
        <f>ROUND(AVERAGE(D12:D16),2)</f>
        <v/>
      </c>
      <c r="G16" s="10" t="n"/>
    </row>
    <row r="17">
      <c r="A17" s="10" t="inlineStr">
        <is>
          <t>2026-02-09</t>
        </is>
      </c>
      <c r="B17" s="10" t="n">
        <v>1284</v>
      </c>
      <c r="C17" s="10" t="n">
        <v>1286</v>
      </c>
      <c r="D17" s="15">
        <f>B17-C17</f>
        <v/>
      </c>
      <c r="E17" s="16">
        <f>IFERROR(D17/C17*100,"")</f>
        <v/>
      </c>
      <c r="F17" s="15">
        <f>ROUND(AVERAGE(D13:D17),2)</f>
        <v/>
      </c>
      <c r="G17" s="10" t="n"/>
    </row>
    <row r="18">
      <c r="A18" s="10" t="inlineStr">
        <is>
          <t>2026-02-10</t>
        </is>
      </c>
      <c r="B18" s="10" t="n">
        <v>1278</v>
      </c>
      <c r="C18" s="10" t="n">
        <v>1282</v>
      </c>
      <c r="D18" s="15">
        <f>B18-C18</f>
        <v/>
      </c>
      <c r="E18" s="16">
        <f>IFERROR(D18/C18*100,"")</f>
        <v/>
      </c>
      <c r="F18" s="15">
        <f>ROUND(AVERAGE(D14:D18),2)</f>
        <v/>
      </c>
      <c r="G18" s="10" t="n"/>
    </row>
    <row r="19">
      <c r="A19" s="10" t="inlineStr">
        <is>
          <t>2026-02-11</t>
        </is>
      </c>
      <c r="B19" s="10" t="n">
        <v>1283</v>
      </c>
      <c r="C19" s="10" t="n">
        <v>1288</v>
      </c>
      <c r="D19" s="15">
        <f>B19-C19</f>
        <v/>
      </c>
      <c r="E19" s="16">
        <f>IFERROR(D19/C19*100,"")</f>
        <v/>
      </c>
      <c r="F19" s="15">
        <f>ROUND(AVERAGE(D15:D19),2)</f>
        <v/>
      </c>
      <c r="G19" s="10" t="n"/>
    </row>
    <row r="20">
      <c r="A20" s="10" t="inlineStr">
        <is>
          <t>2026-02-12</t>
        </is>
      </c>
      <c r="B20" s="10" t="n">
        <v>1274</v>
      </c>
      <c r="C20" s="10" t="n">
        <v>1278</v>
      </c>
      <c r="D20" s="15">
        <f>B20-C20</f>
        <v/>
      </c>
      <c r="E20" s="16">
        <f>IFERROR(D20/C20*100,"")</f>
        <v/>
      </c>
      <c r="F20" s="15">
        <f>ROUND(AVERAGE(D16:D20),2)</f>
        <v/>
      </c>
      <c r="G20" s="10" t="n"/>
    </row>
    <row r="21">
      <c r="A21" s="10" t="inlineStr">
        <is>
          <t>2026-02-13</t>
        </is>
      </c>
      <c r="B21" s="10" t="n">
        <v>1271</v>
      </c>
      <c r="C21" s="10" t="n">
        <v>1272</v>
      </c>
      <c r="D21" s="15">
        <f>B21-C21</f>
        <v/>
      </c>
      <c r="E21" s="16">
        <f>IFERROR(D21/C21*100,"")</f>
        <v/>
      </c>
      <c r="F21" s="15">
        <f>ROUND(AVERAGE(D17:D21),2)</f>
        <v/>
      </c>
      <c r="G21" s="10" t="n"/>
    </row>
    <row r="22">
      <c r="A22" s="10" t="inlineStr">
        <is>
          <t>2026-02-24</t>
        </is>
      </c>
      <c r="B22" s="10" t="n">
        <v>1278</v>
      </c>
      <c r="C22" s="10" t="n">
        <v>1283</v>
      </c>
      <c r="D22" s="15">
        <f>B22-C22</f>
        <v/>
      </c>
      <c r="E22" s="16">
        <f>IFERROR(D22/C22*100,"")</f>
        <v/>
      </c>
      <c r="F22" s="15">
        <f>ROUND(AVERAGE(D18:D22),2)</f>
        <v/>
      </c>
      <c r="G22" s="10" t="n"/>
    </row>
    <row r="23">
      <c r="A23" s="10" t="inlineStr">
        <is>
          <t>2026-02-25</t>
        </is>
      </c>
      <c r="B23" s="10" t="n">
        <v>1297</v>
      </c>
      <c r="C23" s="10" t="n">
        <v>1302</v>
      </c>
      <c r="D23" s="15">
        <f>B23-C23</f>
        <v/>
      </c>
      <c r="E23" s="16">
        <f>IFERROR(D23/C23*100,"")</f>
        <v/>
      </c>
      <c r="F23" s="15">
        <f>ROUND(AVERAGE(D19:D23),2)</f>
        <v/>
      </c>
      <c r="G23" s="10" t="n"/>
    </row>
    <row r="24">
      <c r="A24" s="10" t="inlineStr">
        <is>
          <t>2026-02-26</t>
        </is>
      </c>
      <c r="B24" s="10" t="n">
        <v>1299</v>
      </c>
      <c r="C24" s="10" t="n">
        <v>1300</v>
      </c>
      <c r="D24" s="15">
        <f>B24-C24</f>
        <v/>
      </c>
      <c r="E24" s="16">
        <f>IFERROR(D24/C24*100,"")</f>
        <v/>
      </c>
      <c r="F24" s="15">
        <f>ROUND(AVERAGE(D20:D24),2)</f>
        <v/>
      </c>
      <c r="G24" s="15">
        <f>ROUND(AVERAGE(D5:D24),2)</f>
        <v/>
      </c>
    </row>
    <row r="25">
      <c r="A25" s="10" t="inlineStr">
        <is>
          <t>2026-02-27</t>
        </is>
      </c>
      <c r="B25" s="10" t="n">
        <v>1299</v>
      </c>
      <c r="C25" s="10" t="n">
        <v>1302</v>
      </c>
      <c r="D25" s="15">
        <f>B25-C25</f>
        <v/>
      </c>
      <c r="E25" s="16">
        <f>IFERROR(D25/C25*100,"")</f>
        <v/>
      </c>
      <c r="F25" s="15">
        <f>ROUND(AVERAGE(D21:D25),2)</f>
        <v/>
      </c>
      <c r="G25" s="15">
        <f>ROUND(AVERAGE(D6:D25),2)</f>
        <v/>
      </c>
    </row>
    <row r="26">
      <c r="A26" s="10" t="inlineStr">
        <is>
          <t>2026-03-02</t>
        </is>
      </c>
      <c r="B26" s="10" t="n">
        <v>1296</v>
      </c>
      <c r="C26" s="10" t="n">
        <v>1299</v>
      </c>
      <c r="D26" s="15">
        <f>B26-C26</f>
        <v/>
      </c>
      <c r="E26" s="16">
        <f>IFERROR(D26/C26*100,"")</f>
        <v/>
      </c>
      <c r="F26" s="15">
        <f>ROUND(AVERAGE(D22:D26),2)</f>
        <v/>
      </c>
      <c r="G26" s="15">
        <f>ROUND(AVERAGE(D7:D26),2)</f>
        <v/>
      </c>
    </row>
    <row r="27">
      <c r="A27" s="10" t="inlineStr">
        <is>
          <t>2026-03-03</t>
        </is>
      </c>
      <c r="B27" s="10" t="n">
        <v>1315</v>
      </c>
      <c r="C27" s="10" t="n">
        <v>1320</v>
      </c>
      <c r="D27" s="15">
        <f>B27-C27</f>
        <v/>
      </c>
      <c r="E27" s="16">
        <f>IFERROR(D27/C27*100,"")</f>
        <v/>
      </c>
      <c r="F27" s="15">
        <f>ROUND(AVERAGE(D23:D27),2)</f>
        <v/>
      </c>
      <c r="G27" s="15">
        <f>ROUND(AVERAGE(D8:D27),2)</f>
        <v/>
      </c>
    </row>
    <row r="28">
      <c r="A28" s="10" t="inlineStr">
        <is>
          <t>2026-03-04</t>
        </is>
      </c>
      <c r="B28" s="10" t="n">
        <v>1304</v>
      </c>
      <c r="C28" s="10" t="n">
        <v>1309</v>
      </c>
      <c r="D28" s="15">
        <f>B28-C28</f>
        <v/>
      </c>
      <c r="E28" s="16">
        <f>IFERROR(D28/C28*100,"")</f>
        <v/>
      </c>
      <c r="F28" s="15">
        <f>ROUND(AVERAGE(D24:D28),2)</f>
        <v/>
      </c>
      <c r="G28" s="15">
        <f>ROUND(AVERAGE(D9:D28),2)</f>
        <v/>
      </c>
    </row>
    <row r="29">
      <c r="A29" s="10" t="inlineStr">
        <is>
          <t>2026-03-05</t>
        </is>
      </c>
      <c r="B29" s="10" t="n">
        <v>1312</v>
      </c>
      <c r="C29" s="10" t="n">
        <v>1319</v>
      </c>
      <c r="D29" s="15">
        <f>B29-C29</f>
        <v/>
      </c>
      <c r="E29" s="16">
        <f>IFERROR(D29/C29*100,"")</f>
        <v/>
      </c>
      <c r="F29" s="15">
        <f>ROUND(AVERAGE(D25:D29),2)</f>
        <v/>
      </c>
      <c r="G29" s="15">
        <f>ROUND(AVERAGE(D10:D29),2)</f>
        <v/>
      </c>
    </row>
    <row r="30">
      <c r="A30" s="10" t="inlineStr">
        <is>
          <t>2026-03-06</t>
        </is>
      </c>
      <c r="B30" s="10" t="n">
        <v>1326</v>
      </c>
      <c r="C30" s="10" t="n">
        <v>1332</v>
      </c>
      <c r="D30" s="15">
        <f>B30-C30</f>
        <v/>
      </c>
      <c r="E30" s="16">
        <f>IFERROR(D30/C30*100,"")</f>
        <v/>
      </c>
      <c r="F30" s="15">
        <f>ROUND(AVERAGE(D26:D30),2)</f>
        <v/>
      </c>
      <c r="G30" s="15">
        <f>ROUND(AVERAGE(D11:D30),2)</f>
        <v/>
      </c>
    </row>
    <row r="31">
      <c r="A31" s="10" t="inlineStr">
        <is>
          <t>2026-03-09</t>
        </is>
      </c>
      <c r="B31" s="10" t="n">
        <v>1351</v>
      </c>
      <c r="C31" s="10" t="n">
        <v>1358</v>
      </c>
      <c r="D31" s="15">
        <f>B31-C31</f>
        <v/>
      </c>
      <c r="E31" s="16">
        <f>IFERROR(D31/C31*100,"")</f>
        <v/>
      </c>
      <c r="F31" s="15">
        <f>ROUND(AVERAGE(D27:D31),2)</f>
        <v/>
      </c>
      <c r="G31" s="15">
        <f>ROUND(AVERAGE(D12:D31),2)</f>
        <v/>
      </c>
    </row>
    <row r="32">
      <c r="A32" s="10" t="inlineStr">
        <is>
          <t>2026-03-10</t>
        </is>
      </c>
      <c r="B32" s="10" t="n">
        <v>1330</v>
      </c>
      <c r="C32" s="10" t="n">
        <v>1339</v>
      </c>
      <c r="D32" s="15">
        <f>B32-C32</f>
        <v/>
      </c>
      <c r="E32" s="16">
        <f>IFERROR(D32/C32*100,"")</f>
        <v/>
      </c>
      <c r="F32" s="15">
        <f>ROUND(AVERAGE(D28:D32),2)</f>
        <v/>
      </c>
      <c r="G32" s="15">
        <f>ROUND(AVERAGE(D13:D32),2)</f>
        <v/>
      </c>
    </row>
    <row r="33">
      <c r="A33" s="10" t="inlineStr">
        <is>
          <t>2026-03-11</t>
        </is>
      </c>
      <c r="B33" s="10" t="n">
        <v>1350</v>
      </c>
      <c r="C33" s="10" t="n">
        <v>1357</v>
      </c>
      <c r="D33" s="15">
        <f>B33-C33</f>
        <v/>
      </c>
      <c r="E33" s="16">
        <f>IFERROR(D33/C33*100,"")</f>
        <v/>
      </c>
      <c r="F33" s="15">
        <f>ROUND(AVERAGE(D29:D33),2)</f>
        <v/>
      </c>
      <c r="G33" s="15">
        <f>ROUND(AVERAGE(D14:D33),2)</f>
        <v/>
      </c>
    </row>
    <row r="34">
      <c r="A34" s="10" t="inlineStr">
        <is>
          <t>2026-03-12</t>
        </is>
      </c>
      <c r="B34" s="10" t="n">
        <v>1359</v>
      </c>
      <c r="C34" s="10" t="n">
        <v>1363</v>
      </c>
      <c r="D34" s="15">
        <f>B34-C34</f>
        <v/>
      </c>
      <c r="E34" s="16">
        <f>IFERROR(D34/C34*100,"")</f>
        <v/>
      </c>
      <c r="F34" s="15">
        <f>ROUND(AVERAGE(D30:D34),2)</f>
        <v/>
      </c>
      <c r="G34" s="15">
        <f>ROUND(AVERAGE(D15:D34),2)</f>
        <v/>
      </c>
    </row>
    <row r="35">
      <c r="A35" s="10" t="inlineStr">
        <is>
          <t>2026-03-13</t>
        </is>
      </c>
      <c r="B35" s="10" t="n">
        <v>1370</v>
      </c>
      <c r="C35" s="10" t="n">
        <v>1375</v>
      </c>
      <c r="D35" s="15">
        <f>B35-C35</f>
        <v/>
      </c>
      <c r="E35" s="16">
        <f>IFERROR(D35/C35*100,"")</f>
        <v/>
      </c>
      <c r="F35" s="15">
        <f>ROUND(AVERAGE(D31:D35),2)</f>
        <v/>
      </c>
      <c r="G35" s="15">
        <f>ROUND(AVERAGE(D16:D35),2)</f>
        <v/>
      </c>
    </row>
    <row r="36">
      <c r="A36" s="10" t="inlineStr">
        <is>
          <t>2026-03-16</t>
        </is>
      </c>
      <c r="B36" s="10" t="n">
        <v>1356</v>
      </c>
      <c r="C36" s="10" t="n">
        <v>1363</v>
      </c>
      <c r="D36" s="15">
        <f>B36-C36</f>
        <v/>
      </c>
      <c r="E36" s="16">
        <f>IFERROR(D36/C36*100,"")</f>
        <v/>
      </c>
      <c r="F36" s="15">
        <f>ROUND(AVERAGE(D32:D36),2)</f>
        <v/>
      </c>
      <c r="G36" s="15">
        <f>ROUND(AVERAGE(D17:D36),2)</f>
        <v/>
      </c>
    </row>
    <row r="37">
      <c r="A37" s="10" t="inlineStr">
        <is>
          <t>2026-03-17</t>
        </is>
      </c>
      <c r="B37" s="10" t="n">
        <v>1346</v>
      </c>
      <c r="C37" s="10" t="n">
        <v>1352</v>
      </c>
      <c r="D37" s="15">
        <f>B37-C37</f>
        <v/>
      </c>
      <c r="E37" s="16">
        <f>IFERROR(D37/C37*100,"")</f>
        <v/>
      </c>
      <c r="F37" s="15">
        <f>ROUND(AVERAGE(D33:D37),2)</f>
        <v/>
      </c>
      <c r="G37" s="15">
        <f>ROUND(AVERAGE(D18:D37),2)</f>
        <v/>
      </c>
    </row>
    <row r="38">
      <c r="A38" s="10" t="inlineStr">
        <is>
          <t>2026-03-18</t>
        </is>
      </c>
      <c r="B38" s="10" t="n">
        <v>1321</v>
      </c>
      <c r="C38" s="10" t="n">
        <v>1328</v>
      </c>
      <c r="D38" s="15">
        <f>B38-C38</f>
        <v/>
      </c>
      <c r="E38" s="16">
        <f>IFERROR(D38/C38*100,"")</f>
        <v/>
      </c>
      <c r="F38" s="15">
        <f>ROUND(AVERAGE(D34:D38),2)</f>
        <v/>
      </c>
      <c r="G38" s="15">
        <f>ROUND(AVERAGE(D19:D38),2)</f>
        <v/>
      </c>
    </row>
    <row r="39">
      <c r="A39" s="10" t="inlineStr">
        <is>
          <t>2026-03-19</t>
        </is>
      </c>
      <c r="B39" s="10" t="n">
        <v>1332</v>
      </c>
      <c r="C39" s="10" t="n">
        <v>1336</v>
      </c>
      <c r="D39" s="15">
        <f>B39-C39</f>
        <v/>
      </c>
      <c r="E39" s="16">
        <f>IFERROR(D39/C39*100,"")</f>
        <v/>
      </c>
      <c r="F39" s="15">
        <f>ROUND(AVERAGE(D35:D39),2)</f>
        <v/>
      </c>
      <c r="G39" s="15">
        <f>ROUND(AVERAGE(D20:D39),2)</f>
        <v/>
      </c>
    </row>
    <row r="40">
      <c r="A40" s="10" t="inlineStr">
        <is>
          <t>2026-03-20</t>
        </is>
      </c>
      <c r="B40" s="10" t="n">
        <v>1318</v>
      </c>
      <c r="C40" s="10" t="n">
        <v>1322</v>
      </c>
      <c r="D40" s="15">
        <f>B40-C40</f>
        <v/>
      </c>
      <c r="E40" s="16">
        <f>IFERROR(D40/C40*100,"")</f>
        <v/>
      </c>
      <c r="F40" s="15">
        <f>ROUND(AVERAGE(D36:D40),2)</f>
        <v/>
      </c>
      <c r="G40" s="15">
        <f>ROUND(AVERAGE(D21:D40),2)</f>
        <v/>
      </c>
    </row>
    <row r="41">
      <c r="A41" s="10" t="inlineStr">
        <is>
          <t>2026-03-23</t>
        </is>
      </c>
      <c r="B41" s="10" t="n">
        <v>1371</v>
      </c>
      <c r="C41" s="10" t="n">
        <v>1381</v>
      </c>
      <c r="D41" s="15">
        <f>B41-C41</f>
        <v/>
      </c>
      <c r="E41" s="16">
        <f>IFERROR(D41/C41*100,"")</f>
        <v/>
      </c>
      <c r="F41" s="15">
        <f>ROUND(AVERAGE(D37:D41),2)</f>
        <v/>
      </c>
      <c r="G41" s="15">
        <f>ROUND(AVERAGE(D22:D41),2)</f>
        <v/>
      </c>
    </row>
    <row r="42">
      <c r="A42" s="10" t="inlineStr">
        <is>
          <t>2026-03-24</t>
        </is>
      </c>
      <c r="B42" s="10" t="n">
        <v>1362</v>
      </c>
      <c r="C42" s="10" t="n">
        <v>1371</v>
      </c>
      <c r="D42" s="15">
        <f>B42-C42</f>
        <v/>
      </c>
      <c r="E42" s="16">
        <f>IFERROR(D42/C42*100,"")</f>
        <v/>
      </c>
      <c r="F42" s="15">
        <f>ROUND(AVERAGE(D38:D42),2)</f>
        <v/>
      </c>
      <c r="G42" s="15">
        <f>ROUND(AVERAGE(D23:D42),2)</f>
        <v/>
      </c>
    </row>
    <row r="43">
      <c r="A43" s="10" t="inlineStr">
        <is>
          <t>2026-03-25</t>
        </is>
      </c>
      <c r="B43" s="10" t="n">
        <v>1364</v>
      </c>
      <c r="C43" s="10" t="n">
        <v>1373</v>
      </c>
      <c r="D43" s="15">
        <f>B43-C43</f>
        <v/>
      </c>
      <c r="E43" s="16">
        <f>IFERROR(D43/C43*100,"")</f>
        <v/>
      </c>
      <c r="F43" s="15">
        <f>ROUND(AVERAGE(D39:D43),2)</f>
        <v/>
      </c>
      <c r="G43" s="15">
        <f>ROUND(AVERAGE(D24:D43),2)</f>
        <v/>
      </c>
    </row>
    <row r="44">
      <c r="A44" s="10" t="inlineStr">
        <is>
          <t>2026-03-26</t>
        </is>
      </c>
      <c r="B44" s="10" t="n">
        <v>1354</v>
      </c>
      <c r="C44" s="10" t="n">
        <v>1361</v>
      </c>
      <c r="D44" s="15">
        <f>B44-C44</f>
        <v/>
      </c>
      <c r="E44" s="16">
        <f>IFERROR(D44/C44*100,"")</f>
        <v/>
      </c>
      <c r="F44" s="15">
        <f>ROUND(AVERAGE(D40:D44),2)</f>
        <v/>
      </c>
      <c r="G44" s="15">
        <f>ROUND(AVERAGE(D25:D44),2)</f>
        <v/>
      </c>
    </row>
    <row r="45">
      <c r="A45" s="10" t="inlineStr">
        <is>
          <t>2026-03-27</t>
        </is>
      </c>
      <c r="B45" s="10" t="n">
        <v>1355</v>
      </c>
      <c r="C45" s="10" t="n">
        <v>1360</v>
      </c>
      <c r="D45" s="15">
        <f>B45-C45</f>
        <v/>
      </c>
      <c r="E45" s="16">
        <f>IFERROR(D45/C45*100,"")</f>
        <v/>
      </c>
      <c r="F45" s="15">
        <f>ROUND(AVERAGE(D41:D45),2)</f>
        <v/>
      </c>
      <c r="G45" s="15">
        <f>ROUND(AVERAGE(D26:D45),2)</f>
        <v/>
      </c>
    </row>
    <row r="46">
      <c r="A46" s="10" t="inlineStr">
        <is>
          <t>2026-03-30</t>
        </is>
      </c>
      <c r="B46" s="10" t="n">
        <v>1340</v>
      </c>
      <c r="C46" s="10" t="n">
        <v>1346</v>
      </c>
      <c r="D46" s="15">
        <f>B46-C46</f>
        <v/>
      </c>
      <c r="E46" s="16">
        <f>IFERROR(D46/C46*100,"")</f>
        <v/>
      </c>
      <c r="F46" s="15">
        <f>ROUND(AVERAGE(D42:D46),2)</f>
        <v/>
      </c>
      <c r="G46" s="15">
        <f>ROUND(AVERAGE(D27:D46),2)</f>
        <v/>
      </c>
    </row>
    <row r="47">
      <c r="A47" s="10" t="inlineStr">
        <is>
          <t>2026-03-31</t>
        </is>
      </c>
      <c r="B47" s="10" t="n">
        <v>1303</v>
      </c>
      <c r="C47" s="10" t="n">
        <v>1310</v>
      </c>
      <c r="D47" s="15">
        <f>B47-C47</f>
        <v/>
      </c>
      <c r="E47" s="16">
        <f>IFERROR(D47/C47*100,"")</f>
        <v/>
      </c>
      <c r="F47" s="15">
        <f>ROUND(AVERAGE(D43:D47),2)</f>
        <v/>
      </c>
      <c r="G47" s="15">
        <f>ROUND(AVERAGE(D28:D47),2)</f>
        <v/>
      </c>
    </row>
    <row r="48">
      <c r="A48" s="10" t="inlineStr">
        <is>
          <t>2026-04-01</t>
        </is>
      </c>
      <c r="B48" s="10" t="n">
        <v>1293</v>
      </c>
      <c r="C48" s="10" t="n">
        <v>1298</v>
      </c>
      <c r="D48" s="15">
        <f>B48-C48</f>
        <v/>
      </c>
      <c r="E48" s="16">
        <f>IFERROR(D48/C48*100,"")</f>
        <v/>
      </c>
      <c r="F48" s="15">
        <f>ROUND(AVERAGE(D44:D48),2)</f>
        <v/>
      </c>
      <c r="G48" s="15">
        <f>ROUND(AVERAGE(D29:D48),2)</f>
        <v/>
      </c>
    </row>
    <row r="49">
      <c r="A49" s="10" t="inlineStr">
        <is>
          <t>2026-04-02</t>
        </is>
      </c>
      <c r="B49" s="10" t="n">
        <v>1304</v>
      </c>
      <c r="C49" s="10" t="n">
        <v>1310</v>
      </c>
      <c r="D49" s="15">
        <f>B49-C49</f>
        <v/>
      </c>
      <c r="E49" s="16">
        <f>IFERROR(D49/C49*100,"")</f>
        <v/>
      </c>
      <c r="F49" s="15">
        <f>ROUND(AVERAGE(D45:D49),2)</f>
        <v/>
      </c>
      <c r="G49" s="15">
        <f>ROUND(AVERAGE(D30:D49),2)</f>
        <v/>
      </c>
    </row>
    <row r="50">
      <c r="A50" s="10" t="inlineStr">
        <is>
          <t>2026-04-03</t>
        </is>
      </c>
      <c r="B50" s="10" t="n">
        <v>1295</v>
      </c>
      <c r="C50" s="10" t="n">
        <v>1299</v>
      </c>
      <c r="D50" s="15">
        <f>B50-C50</f>
        <v/>
      </c>
      <c r="E50" s="16">
        <f>IFERROR(D50/C50*100,"")</f>
        <v/>
      </c>
      <c r="F50" s="15">
        <f>ROUND(AVERAGE(D46:D50),2)</f>
        <v/>
      </c>
      <c r="G50" s="15">
        <f>ROUND(AVERAGE(D31:D50),2)</f>
        <v/>
      </c>
    </row>
    <row r="51">
      <c r="A51" s="10" t="inlineStr">
        <is>
          <t>2026-04-07</t>
        </is>
      </c>
      <c r="B51" s="10" t="n">
        <v>1274</v>
      </c>
      <c r="C51" s="10" t="n">
        <v>1278</v>
      </c>
      <c r="D51" s="15">
        <f>B51-C51</f>
        <v/>
      </c>
      <c r="E51" s="16">
        <f>IFERROR(D51/C51*100,"")</f>
        <v/>
      </c>
      <c r="F51" s="15">
        <f>ROUND(AVERAGE(D47:D51),2)</f>
        <v/>
      </c>
      <c r="G51" s="15">
        <f>ROUND(AVERAGE(D32:D51),2)</f>
        <v/>
      </c>
    </row>
    <row r="52">
      <c r="A52" s="10" t="inlineStr">
        <is>
          <t>2026-04-08</t>
        </is>
      </c>
      <c r="B52" s="10" t="n">
        <v>1273</v>
      </c>
      <c r="C52" s="10" t="n">
        <v>1276</v>
      </c>
      <c r="D52" s="15">
        <f>B52-C52</f>
        <v/>
      </c>
      <c r="E52" s="16">
        <f>IFERROR(D52/C52*100,"")</f>
        <v/>
      </c>
      <c r="F52" s="15">
        <f>ROUND(AVERAGE(D48:D52),2)</f>
        <v/>
      </c>
      <c r="G52" s="15">
        <f>ROUND(AVERAGE(D33:D52),2)</f>
        <v/>
      </c>
    </row>
    <row r="53">
      <c r="A53" s="10" t="inlineStr">
        <is>
          <t>2026-04-09</t>
        </is>
      </c>
      <c r="B53" s="10" t="n">
        <v>1260</v>
      </c>
      <c r="C53" s="10" t="n">
        <v>1265</v>
      </c>
      <c r="D53" s="15">
        <f>B53-C53</f>
        <v/>
      </c>
      <c r="E53" s="16">
        <f>IFERROR(D53/C53*100,"")</f>
        <v/>
      </c>
      <c r="F53" s="15">
        <f>ROUND(AVERAGE(D49:D53),2)</f>
        <v/>
      </c>
      <c r="G53" s="15">
        <f>ROUND(AVERAGE(D34:D53),2)</f>
        <v/>
      </c>
    </row>
    <row r="54">
      <c r="A54" s="10" t="inlineStr">
        <is>
          <t>2026-04-10</t>
        </is>
      </c>
      <c r="B54" s="10" t="n">
        <v>1276</v>
      </c>
      <c r="C54" s="10" t="n">
        <v>1282</v>
      </c>
      <c r="D54" s="15">
        <f>B54-C54</f>
        <v/>
      </c>
      <c r="E54" s="16">
        <f>IFERROR(D54/C54*100,"")</f>
        <v/>
      </c>
      <c r="F54" s="15">
        <f>ROUND(AVERAGE(D50:D54),2)</f>
        <v/>
      </c>
      <c r="G54" s="15">
        <f>ROUND(AVERAGE(D35:D54),2)</f>
        <v/>
      </c>
    </row>
    <row r="55">
      <c r="A55" s="10" t="inlineStr">
        <is>
          <t>2026-04-13</t>
        </is>
      </c>
      <c r="B55" s="10" t="n">
        <v>1265</v>
      </c>
      <c r="C55" s="10" t="n">
        <v>1272</v>
      </c>
      <c r="D55" s="15">
        <f>B55-C55</f>
        <v/>
      </c>
      <c r="E55" s="16">
        <f>IFERROR(D55/C55*100,"")</f>
        <v/>
      </c>
      <c r="F55" s="15">
        <f>ROUND(AVERAGE(D51:D55),2)</f>
        <v/>
      </c>
      <c r="G55" s="15">
        <f>ROUND(AVERAGE(D36:D55),2)</f>
        <v/>
      </c>
    </row>
    <row r="56">
      <c r="A56" s="10" t="inlineStr">
        <is>
          <t>2026-04-14</t>
        </is>
      </c>
      <c r="B56" s="10" t="n">
        <v>1274</v>
      </c>
      <c r="C56" s="10" t="n">
        <v>1279</v>
      </c>
      <c r="D56" s="15">
        <f>B56-C56</f>
        <v/>
      </c>
      <c r="E56" s="16">
        <f>IFERROR(D56/C56*100,"")</f>
        <v/>
      </c>
      <c r="F56" s="15">
        <f>ROUND(AVERAGE(D52:D56),2)</f>
        <v/>
      </c>
      <c r="G56" s="15">
        <f>ROUND(AVERAGE(D37:D56),2)</f>
        <v/>
      </c>
    </row>
    <row r="57">
      <c r="A57" s="10" t="inlineStr">
        <is>
          <t>2026-04-15</t>
        </is>
      </c>
      <c r="B57" s="10" t="n">
        <v>1278</v>
      </c>
      <c r="C57" s="10" t="n">
        <v>1283</v>
      </c>
      <c r="D57" s="15">
        <f>B57-C57</f>
        <v/>
      </c>
      <c r="E57" s="16">
        <f>IFERROR(D57/C57*100,"")</f>
        <v/>
      </c>
      <c r="F57" s="15">
        <f>ROUND(AVERAGE(D53:D57),2)</f>
        <v/>
      </c>
      <c r="G57" s="15">
        <f>ROUND(AVERAGE(D38:D57),2)</f>
        <v/>
      </c>
    </row>
    <row r="58">
      <c r="A58" s="10" t="inlineStr">
        <is>
          <t>2026-04-16</t>
        </is>
      </c>
      <c r="B58" s="10" t="n">
        <v>1292</v>
      </c>
      <c r="C58" s="10" t="n">
        <v>1296</v>
      </c>
      <c r="D58" s="15">
        <f>B58-C58</f>
        <v/>
      </c>
      <c r="E58" s="16">
        <f>IFERROR(D58/C58*100,"")</f>
        <v/>
      </c>
      <c r="F58" s="15">
        <f>ROUND(AVERAGE(D54:D58),2)</f>
        <v/>
      </c>
      <c r="G58" s="15">
        <f>ROUND(AVERAGE(D39:D58),2)</f>
        <v/>
      </c>
    </row>
    <row r="59">
      <c r="A59" s="10" t="inlineStr">
        <is>
          <t>2026-04-17</t>
        </is>
      </c>
      <c r="B59" s="10" t="n">
        <v>1290</v>
      </c>
      <c r="C59" s="10" t="n">
        <v>1295</v>
      </c>
      <c r="D59" s="15">
        <f>B59-C59</f>
        <v/>
      </c>
      <c r="E59" s="16">
        <f>IFERROR(D59/C59*100,"")</f>
        <v/>
      </c>
      <c r="F59" s="15">
        <f>ROUND(AVERAGE(D55:D59),2)</f>
        <v/>
      </c>
      <c r="G59" s="15">
        <f>ROUND(AVERAGE(D40:D59),2)</f>
        <v/>
      </c>
    </row>
    <row r="60">
      <c r="A60" s="10" t="inlineStr">
        <is>
          <t>2026-04-20</t>
        </is>
      </c>
      <c r="B60" s="10" t="n">
        <v>1299</v>
      </c>
      <c r="C60" s="10" t="n">
        <v>1304</v>
      </c>
      <c r="D60" s="15">
        <f>B60-C60</f>
        <v/>
      </c>
      <c r="E60" s="16">
        <f>IFERROR(D60/C60*100,"")</f>
        <v/>
      </c>
      <c r="F60" s="15">
        <f>ROUND(AVERAGE(D56:D60),2)</f>
        <v/>
      </c>
      <c r="G60" s="15">
        <f>ROUND(AVERAGE(D41:D60),2)</f>
        <v/>
      </c>
    </row>
    <row r="61">
      <c r="A61" s="10" t="inlineStr">
        <is>
          <t>2026-04-21</t>
        </is>
      </c>
      <c r="B61" s="10" t="n">
        <v>1298</v>
      </c>
      <c r="C61" s="10" t="n">
        <v>1304</v>
      </c>
      <c r="D61" s="15">
        <f>B61-C61</f>
        <v/>
      </c>
      <c r="E61" s="16">
        <f>IFERROR(D61/C61*100,"")</f>
        <v/>
      </c>
      <c r="F61" s="15">
        <f>ROUND(AVERAGE(D57:D61),2)</f>
        <v/>
      </c>
      <c r="G61" s="15">
        <f>ROUND(AVERAGE(D42:D61),2)</f>
        <v/>
      </c>
    </row>
    <row r="62">
      <c r="A62" s="10" t="inlineStr">
        <is>
          <t>2026-04-22</t>
        </is>
      </c>
      <c r="B62" s="10" t="n">
        <v>1313</v>
      </c>
      <c r="C62" s="10" t="n">
        <v>1320</v>
      </c>
      <c r="D62" s="15">
        <f>B62-C62</f>
        <v/>
      </c>
      <c r="E62" s="16">
        <f>IFERROR(D62/C62*100,"")</f>
        <v/>
      </c>
      <c r="F62" s="15">
        <f>ROUND(AVERAGE(D58:D62),2)</f>
        <v/>
      </c>
      <c r="G62" s="15">
        <f>ROUND(AVERAGE(D43:D62),2)</f>
        <v/>
      </c>
    </row>
    <row r="63">
      <c r="A63" s="10" t="inlineStr">
        <is>
          <t>2026-04-23</t>
        </is>
      </c>
      <c r="B63" s="10" t="n">
        <v>1308</v>
      </c>
      <c r="C63" s="10" t="n">
        <v>1313</v>
      </c>
      <c r="D63" s="15">
        <f>B63-C63</f>
        <v/>
      </c>
      <c r="E63" s="16">
        <f>IFERROR(D63/C63*100,"")</f>
        <v/>
      </c>
      <c r="F63" s="15">
        <f>ROUND(AVERAGE(D59:D63),2)</f>
        <v/>
      </c>
      <c r="G63" s="15">
        <f>ROUND(AVERAGE(D44:D63),2)</f>
        <v/>
      </c>
    </row>
    <row r="64">
      <c r="A64" s="10" t="inlineStr">
        <is>
          <t>2026-04-24</t>
        </is>
      </c>
      <c r="B64" s="10" t="n">
        <v>1301</v>
      </c>
      <c r="C64" s="10" t="n">
        <v>1304</v>
      </c>
      <c r="D64" s="15">
        <f>B64-C64</f>
        <v/>
      </c>
      <c r="E64" s="16">
        <f>IFERROR(D64/C64*100,"")</f>
        <v/>
      </c>
      <c r="F64" s="15">
        <f>ROUND(AVERAGE(D60:D64),2)</f>
        <v/>
      </c>
      <c r="G64" s="15">
        <f>ROUND(AVERAGE(D45:D64),2)</f>
        <v/>
      </c>
    </row>
    <row r="65">
      <c r="A65" s="10" t="inlineStr">
        <is>
          <t>2026-04-27</t>
        </is>
      </c>
      <c r="B65" s="10" t="n">
        <v>1311</v>
      </c>
      <c r="C65" s="10" t="n">
        <v>1316</v>
      </c>
      <c r="D65" s="15">
        <f>B65-C65</f>
        <v/>
      </c>
      <c r="E65" s="16">
        <f>IFERROR(D65/C65*100,"")</f>
        <v/>
      </c>
      <c r="F65" s="15">
        <f>ROUND(AVERAGE(D61:D65),2)</f>
        <v/>
      </c>
      <c r="G65" s="15">
        <f>ROUND(AVERAGE(D46:D65),2)</f>
        <v/>
      </c>
    </row>
    <row r="66">
      <c r="A66" s="10" t="inlineStr">
        <is>
          <t>2026-04-28</t>
        </is>
      </c>
      <c r="B66" s="10" t="n">
        <v>1293</v>
      </c>
      <c r="C66" s="10" t="n">
        <v>1296</v>
      </c>
      <c r="D66" s="15">
        <f>B66-C66</f>
        <v/>
      </c>
      <c r="E66" s="16">
        <f>IFERROR(D66/C66*100,"")</f>
        <v/>
      </c>
      <c r="F66" s="15">
        <f>ROUND(AVERAGE(D62:D66),2)</f>
        <v/>
      </c>
      <c r="G66" s="15">
        <f>ROUND(AVERAGE(D47:D66),2)</f>
        <v/>
      </c>
    </row>
    <row r="67">
      <c r="A67" s="10" t="inlineStr">
        <is>
          <t>2026-04-29</t>
        </is>
      </c>
      <c r="B67" s="10" t="n">
        <v>1290</v>
      </c>
      <c r="C67" s="10" t="n">
        <v>1294</v>
      </c>
      <c r="D67" s="15">
        <f>B67-C67</f>
        <v/>
      </c>
      <c r="E67" s="16">
        <f>IFERROR(D67/C67*100,"")</f>
        <v/>
      </c>
      <c r="F67" s="15">
        <f>ROUND(AVERAGE(D63:D67),2)</f>
        <v/>
      </c>
      <c r="G67" s="15">
        <f>ROUND(AVERAGE(D48:D67),2)</f>
        <v/>
      </c>
    </row>
    <row r="68">
      <c r="A68" s="10" t="inlineStr">
        <is>
          <t>2026-04-30</t>
        </is>
      </c>
      <c r="B68" s="10" t="n">
        <v>1291</v>
      </c>
      <c r="C68" s="10" t="n">
        <v>1295</v>
      </c>
      <c r="D68" s="15">
        <f>B68-C68</f>
        <v/>
      </c>
      <c r="E68" s="16">
        <f>IFERROR(D68/C68*100,"")</f>
        <v/>
      </c>
      <c r="F68" s="15">
        <f>ROUND(AVERAGE(D64:D68),2)</f>
        <v/>
      </c>
      <c r="G68" s="15">
        <f>ROUND(AVERAGE(D49:D68),2)</f>
        <v/>
      </c>
    </row>
    <row r="69">
      <c r="A69" s="10" t="inlineStr">
        <is>
          <t>2026-05-06</t>
        </is>
      </c>
      <c r="B69" s="10" t="n">
        <v>1318</v>
      </c>
      <c r="C69" s="10" t="n">
        <v>1322</v>
      </c>
      <c r="D69" s="15">
        <f>B69-C69</f>
        <v/>
      </c>
      <c r="E69" s="16">
        <f>IFERROR(D69/C69*100,"")</f>
        <v/>
      </c>
      <c r="F69" s="15">
        <f>ROUND(AVERAGE(D65:D69),2)</f>
        <v/>
      </c>
      <c r="G69" s="15">
        <f>ROUND(AVERAGE(D50:D69),2)</f>
        <v/>
      </c>
    </row>
    <row r="70">
      <c r="A70" s="10" t="inlineStr">
        <is>
          <t>2026-05-07</t>
        </is>
      </c>
      <c r="B70" s="10" t="n">
        <v>1316</v>
      </c>
      <c r="C70" s="10" t="n">
        <v>1321</v>
      </c>
      <c r="D70" s="15">
        <f>B70-C70</f>
        <v/>
      </c>
      <c r="E70" s="16">
        <f>IFERROR(D70/C70*100,"")</f>
        <v/>
      </c>
      <c r="F70" s="15">
        <f>ROUND(AVERAGE(D66:D70),2)</f>
        <v/>
      </c>
      <c r="G70" s="15">
        <f>ROUND(AVERAGE(D51:D70),2)</f>
        <v/>
      </c>
    </row>
    <row r="71">
      <c r="A71" s="10" t="inlineStr">
        <is>
          <t>2026-05-08</t>
        </is>
      </c>
      <c r="B71" s="10" t="n">
        <v>1282</v>
      </c>
      <c r="C71" s="10" t="n">
        <v>1285</v>
      </c>
      <c r="D71" s="15">
        <f>B71-C71</f>
        <v/>
      </c>
      <c r="E71" s="16">
        <f>IFERROR(D71/C71*100,"")</f>
        <v/>
      </c>
      <c r="F71" s="15">
        <f>ROUND(AVERAGE(D67:D71),2)</f>
        <v/>
      </c>
      <c r="G71" s="15">
        <f>ROUND(AVERAGE(D52:D71),2)</f>
        <v/>
      </c>
    </row>
    <row r="72">
      <c r="A72" s="10" t="inlineStr">
        <is>
          <t>2026-05-11</t>
        </is>
      </c>
      <c r="B72" s="10" t="n">
        <v>1281</v>
      </c>
      <c r="C72" s="10" t="n">
        <v>1283</v>
      </c>
      <c r="D72" s="15">
        <f>B72-C72</f>
        <v/>
      </c>
      <c r="E72" s="16">
        <f>IFERROR(D72/C72*100,"")</f>
        <v/>
      </c>
      <c r="F72" s="15">
        <f>ROUND(AVERAGE(D68:D72),2)</f>
        <v/>
      </c>
      <c r="G72" s="15">
        <f>ROUND(AVERAGE(D53:D72),2)</f>
        <v/>
      </c>
    </row>
    <row r="73">
      <c r="A73" s="10" t="inlineStr">
        <is>
          <t>2026-05-12</t>
        </is>
      </c>
      <c r="B73" s="10" t="n">
        <v>1272</v>
      </c>
      <c r="C73" s="10" t="n">
        <v>1277</v>
      </c>
      <c r="D73" s="15">
        <f>B73-C73</f>
        <v/>
      </c>
      <c r="E73" s="16">
        <f>IFERROR(D73/C73*100,"")</f>
        <v/>
      </c>
      <c r="F73" s="15">
        <f>ROUND(AVERAGE(D69:D73),2)</f>
        <v/>
      </c>
      <c r="G73" s="15">
        <f>ROUND(AVERAGE(D54:D73),2)</f>
        <v/>
      </c>
    </row>
    <row r="74">
      <c r="A74" s="10" t="inlineStr">
        <is>
          <t>2026-05-13</t>
        </is>
      </c>
      <c r="B74" s="10" t="n">
        <v>1276</v>
      </c>
      <c r="C74" s="10" t="n">
        <v>1279</v>
      </c>
      <c r="D74" s="15">
        <f>B74-C74</f>
        <v/>
      </c>
      <c r="E74" s="16">
        <f>IFERROR(D74/C74*100,"")</f>
        <v/>
      </c>
      <c r="F74" s="15">
        <f>ROUND(AVERAGE(D70:D74),2)</f>
        <v/>
      </c>
      <c r="G74" s="15">
        <f>ROUND(AVERAGE(D55:D74),2)</f>
        <v/>
      </c>
    </row>
    <row r="75">
      <c r="A75" s="10" t="inlineStr">
        <is>
          <t>2026-05-14</t>
        </is>
      </c>
      <c r="B75" s="10" t="n">
        <v>1263</v>
      </c>
      <c r="C75" s="10" t="n">
        <v>1264</v>
      </c>
      <c r="D75" s="15">
        <f>B75-C75</f>
        <v/>
      </c>
      <c r="E75" s="16">
        <f>IFERROR(D75/C75*100,"")</f>
        <v/>
      </c>
      <c r="F75" s="15">
        <f>ROUND(AVERAGE(D71:D75),2)</f>
        <v/>
      </c>
      <c r="G75" s="15">
        <f>ROUND(AVERAGE(D56:D75),2)</f>
        <v/>
      </c>
    </row>
    <row r="76">
      <c r="A76" s="10" t="inlineStr">
        <is>
          <t>2026-05-15</t>
        </is>
      </c>
      <c r="B76" s="10" t="n">
        <v>1244</v>
      </c>
      <c r="C76" s="10" t="n">
        <v>1247</v>
      </c>
      <c r="D76" s="15">
        <f>B76-C76</f>
        <v/>
      </c>
      <c r="E76" s="16">
        <f>IFERROR(D76/C76*100,"")</f>
        <v/>
      </c>
      <c r="F76" s="15">
        <f>ROUND(AVERAGE(D72:D76),2)</f>
        <v/>
      </c>
      <c r="G76" s="15">
        <f>ROUND(AVERAGE(D57:D76),2)</f>
        <v/>
      </c>
    </row>
    <row r="77">
      <c r="A77" s="10" t="inlineStr">
        <is>
          <t>2026-05-18</t>
        </is>
      </c>
      <c r="B77" s="10" t="n">
        <v>1250</v>
      </c>
      <c r="C77" s="10" t="n">
        <v>1253</v>
      </c>
      <c r="D77" s="15">
        <f>B77-C77</f>
        <v/>
      </c>
      <c r="E77" s="16">
        <f>IFERROR(D77/C77*100,"")</f>
        <v/>
      </c>
      <c r="F77" s="15">
        <f>ROUND(AVERAGE(D73:D77),2)</f>
        <v/>
      </c>
      <c r="G77" s="15">
        <f>ROUND(AVERAGE(D58:D77),2)</f>
        <v/>
      </c>
    </row>
    <row r="78">
      <c r="A78" s="10" t="inlineStr">
        <is>
          <t>2026-05-19</t>
        </is>
      </c>
      <c r="B78" s="10" t="n">
        <v>1244</v>
      </c>
      <c r="C78" s="10" t="n">
        <v>1244</v>
      </c>
      <c r="D78" s="15">
        <f>B78-C78</f>
        <v/>
      </c>
      <c r="E78" s="16">
        <f>IFERROR(D78/C78*100,"")</f>
        <v/>
      </c>
      <c r="F78" s="15">
        <f>ROUND(AVERAGE(D74:D78),2)</f>
        <v/>
      </c>
      <c r="G78" s="15">
        <f>ROUND(AVERAGE(D59:D78),2)</f>
        <v/>
      </c>
    </row>
    <row r="79">
      <c r="A79" s="10" t="inlineStr">
        <is>
          <t>2026-05-20</t>
        </is>
      </c>
      <c r="B79" s="10" t="n">
        <v>1234</v>
      </c>
      <c r="C79" s="10" t="n">
        <v>1232</v>
      </c>
      <c r="D79" s="15">
        <f>B79-C79</f>
        <v/>
      </c>
      <c r="E79" s="16">
        <f>IFERROR(D79/C79*100,"")</f>
        <v/>
      </c>
      <c r="F79" s="15">
        <f>ROUND(AVERAGE(D75:D79),2)</f>
        <v/>
      </c>
      <c r="G79" s="15">
        <f>ROUND(AVERAGE(D60:D79),2)</f>
        <v/>
      </c>
    </row>
    <row r="80">
      <c r="A80" s="10" t="inlineStr">
        <is>
          <t>2026-05-21</t>
        </is>
      </c>
      <c r="B80" s="10" t="n">
        <v>1235</v>
      </c>
      <c r="C80" s="10" t="n">
        <v>1238</v>
      </c>
      <c r="D80" s="15">
        <f>B80-C80</f>
        <v/>
      </c>
      <c r="E80" s="16">
        <f>IFERROR(D80/C80*100,"")</f>
        <v/>
      </c>
      <c r="F80" s="15">
        <f>ROUND(AVERAGE(D76:D80),2)</f>
        <v/>
      </c>
      <c r="G80" s="15">
        <f>ROUND(AVERAGE(D61:D80),2)</f>
        <v/>
      </c>
    </row>
    <row r="81">
      <c r="A81" s="10" t="inlineStr">
        <is>
          <t>2026-05-22</t>
        </is>
      </c>
      <c r="B81" s="10" t="n">
        <v>1235</v>
      </c>
      <c r="C81" s="10" t="n">
        <v>1237</v>
      </c>
      <c r="D81" s="15">
        <f>B81-C81</f>
        <v/>
      </c>
      <c r="E81" s="16">
        <f>IFERROR(D81/C81*100,"")</f>
        <v/>
      </c>
      <c r="F81" s="15">
        <f>ROUND(AVERAGE(D77:D81),2)</f>
        <v/>
      </c>
      <c r="G81" s="15">
        <f>ROUND(AVERAGE(D62:D81),2)</f>
        <v/>
      </c>
    </row>
    <row r="82">
      <c r="A82" s="10" t="inlineStr">
        <is>
          <t>2026-05-25</t>
        </is>
      </c>
      <c r="B82" s="10" t="n">
        <v>1266</v>
      </c>
      <c r="C82" s="10" t="n">
        <v>1271</v>
      </c>
      <c r="D82" s="15">
        <f>B82-C82</f>
        <v/>
      </c>
      <c r="E82" s="16">
        <f>IFERROR(D82/C82*100,"")</f>
        <v/>
      </c>
      <c r="F82" s="15">
        <f>ROUND(AVERAGE(D78:D82),2)</f>
        <v/>
      </c>
      <c r="G82" s="15">
        <f>ROUND(AVERAGE(D63:D82),2)</f>
        <v/>
      </c>
    </row>
    <row r="83">
      <c r="A83" s="10" t="inlineStr">
        <is>
          <t>2026-05-26</t>
        </is>
      </c>
      <c r="B83" s="10" t="n">
        <v>1248</v>
      </c>
      <c r="C83" s="10" t="n">
        <v>1253</v>
      </c>
      <c r="D83" s="15">
        <f>B83-C83</f>
        <v/>
      </c>
      <c r="E83" s="16">
        <f>IFERROR(D83/C83*100,"")</f>
        <v/>
      </c>
      <c r="F83" s="15">
        <f>ROUND(AVERAGE(D79:D83),2)</f>
        <v/>
      </c>
      <c r="G83" s="15">
        <f>ROUND(AVERAGE(D64:D83),2)</f>
        <v/>
      </c>
    </row>
    <row r="84">
      <c r="A84" s="10" t="inlineStr">
        <is>
          <t>2026-05-27</t>
        </is>
      </c>
      <c r="B84" s="10" t="n">
        <v>1253</v>
      </c>
      <c r="C84" s="10" t="n">
        <v>1257</v>
      </c>
      <c r="D84" s="15">
        <f>B84-C84</f>
        <v/>
      </c>
      <c r="E84" s="16">
        <f>IFERROR(D84/C84*100,"")</f>
        <v/>
      </c>
      <c r="F84" s="15">
        <f>ROUND(AVERAGE(D80:D84),2)</f>
        <v/>
      </c>
      <c r="G84" s="15">
        <f>ROUND(AVERAGE(D65:D84),2)</f>
        <v/>
      </c>
    </row>
    <row r="85">
      <c r="A85" s="10" t="inlineStr">
        <is>
          <t>2026-05-28</t>
        </is>
      </c>
      <c r="B85" s="10" t="n">
        <v>1256</v>
      </c>
      <c r="C85" s="10" t="n">
        <v>1259</v>
      </c>
      <c r="D85" s="15">
        <f>B85-C85</f>
        <v/>
      </c>
      <c r="E85" s="16">
        <f>IFERROR(D85/C85*100,"")</f>
        <v/>
      </c>
      <c r="F85" s="15">
        <f>ROUND(AVERAGE(D81:D85),2)</f>
        <v/>
      </c>
      <c r="G85" s="15">
        <f>ROUND(AVERAGE(D66:D85),2)</f>
        <v/>
      </c>
    </row>
    <row r="86">
      <c r="A86" s="10" t="inlineStr">
        <is>
          <t>2026-05-29</t>
        </is>
      </c>
      <c r="B86" s="10" t="n">
        <v>1269</v>
      </c>
      <c r="C86" s="10" t="n">
        <v>1271</v>
      </c>
      <c r="D86" s="15">
        <f>B86-C86</f>
        <v/>
      </c>
      <c r="E86" s="16">
        <f>IFERROR(D86/C86*100,"")</f>
        <v/>
      </c>
      <c r="F86" s="15">
        <f>ROUND(AVERAGE(D82:D86),2)</f>
        <v/>
      </c>
      <c r="G86" s="15">
        <f>ROUND(AVERAGE(D67:D86),2)</f>
        <v/>
      </c>
    </row>
    <row r="87">
      <c r="A87" s="10" t="inlineStr">
        <is>
          <t>2026-06-01</t>
        </is>
      </c>
      <c r="B87" s="10" t="n">
        <v>1275</v>
      </c>
      <c r="C87" s="10" t="n">
        <v>1277</v>
      </c>
      <c r="D87" s="15">
        <f>B87-C87</f>
        <v/>
      </c>
      <c r="E87" s="16">
        <f>IFERROR(D87/C87*100,"")</f>
        <v/>
      </c>
      <c r="F87" s="15">
        <f>ROUND(AVERAGE(D83:D87),2)</f>
        <v/>
      </c>
      <c r="G87" s="15">
        <f>ROUND(AVERAGE(D68:D87),2)</f>
        <v/>
      </c>
    </row>
    <row r="88">
      <c r="A88" s="10" t="inlineStr">
        <is>
          <t>2026-06-02</t>
        </is>
      </c>
      <c r="B88" s="10" t="n">
        <v>1260</v>
      </c>
      <c r="C88" s="10" t="n">
        <v>1263</v>
      </c>
      <c r="D88" s="15">
        <f>B88-C88</f>
        <v/>
      </c>
      <c r="E88" s="16">
        <f>IFERROR(D88/C88*100,"")</f>
        <v/>
      </c>
      <c r="F88" s="15">
        <f>ROUND(AVERAGE(D84:D88),2)</f>
        <v/>
      </c>
      <c r="G88" s="15">
        <f>ROUND(AVERAGE(D69:D88),2)</f>
        <v/>
      </c>
    </row>
    <row r="89">
      <c r="A89" s="10" t="inlineStr">
        <is>
          <t>2026-06-03</t>
        </is>
      </c>
      <c r="B89" s="10" t="n">
        <v>1256</v>
      </c>
      <c r="C89" s="10" t="n">
        <v>1259</v>
      </c>
      <c r="D89" s="15">
        <f>B89-C89</f>
        <v/>
      </c>
      <c r="E89" s="16">
        <f>IFERROR(D89/C89*100,"")</f>
        <v/>
      </c>
      <c r="F89" s="15">
        <f>ROUND(AVERAGE(D85:D89),2)</f>
        <v/>
      </c>
      <c r="G89" s="15">
        <f>ROUND(AVERAGE(D70:D89),2)</f>
        <v/>
      </c>
    </row>
    <row r="90">
      <c r="A90" s="10" t="inlineStr">
        <is>
          <t>2026-06-04</t>
        </is>
      </c>
      <c r="B90" s="10" t="n">
        <v>1235</v>
      </c>
      <c r="C90" s="10" t="n">
        <v>1236</v>
      </c>
      <c r="D90" s="15">
        <f>B90-C90</f>
        <v/>
      </c>
      <c r="E90" s="16">
        <f>IFERROR(D90/C90*100,"")</f>
        <v/>
      </c>
      <c r="F90" s="15">
        <f>ROUND(AVERAGE(D86:D90),2)</f>
        <v/>
      </c>
      <c r="G90" s="15">
        <f>ROUND(AVERAGE(D71:D90),2)</f>
        <v/>
      </c>
    </row>
    <row r="91">
      <c r="A91" s="10" t="inlineStr">
        <is>
          <t>2026-06-05</t>
        </is>
      </c>
      <c r="B91" s="10" t="n">
        <v>1214</v>
      </c>
      <c r="C91" s="10" t="n">
        <v>1217</v>
      </c>
      <c r="D91" s="15">
        <f>B91-C91</f>
        <v/>
      </c>
      <c r="E91" s="16">
        <f>IFERROR(D91/C91*100,"")</f>
        <v/>
      </c>
      <c r="F91" s="15">
        <f>ROUND(AVERAGE(D87:D91),2)</f>
        <v/>
      </c>
      <c r="G91" s="15">
        <f>ROUND(AVERAGE(D72:D91),2)</f>
        <v/>
      </c>
    </row>
    <row r="92">
      <c r="A92" s="10" t="inlineStr">
        <is>
          <t>2026-06-08</t>
        </is>
      </c>
      <c r="B92" s="10" t="n">
        <v>1208</v>
      </c>
      <c r="C92" s="10" t="n">
        <v>1211</v>
      </c>
      <c r="D92" s="15">
        <f>B92-C92</f>
        <v/>
      </c>
      <c r="E92" s="16">
        <f>IFERROR(D92/C92*100,"")</f>
        <v/>
      </c>
      <c r="F92" s="15">
        <f>ROUND(AVERAGE(D88:D92),2)</f>
        <v/>
      </c>
      <c r="G92" s="15">
        <f>ROUND(AVERAGE(D73:D92),2)</f>
        <v/>
      </c>
    </row>
    <row r="93">
      <c r="A93" s="10" t="inlineStr">
        <is>
          <t>2026-06-09</t>
        </is>
      </c>
      <c r="B93" s="10" t="n">
        <v>1209</v>
      </c>
      <c r="C93" s="10" t="n">
        <v>1214</v>
      </c>
      <c r="D93" s="15">
        <f>B93-C93</f>
        <v/>
      </c>
      <c r="E93" s="16">
        <f>IFERROR(D93/C93*100,"")</f>
        <v/>
      </c>
      <c r="F93" s="15">
        <f>ROUND(AVERAGE(D89:D93),2)</f>
        <v/>
      </c>
      <c r="G93" s="15">
        <f>ROUND(AVERAGE(D74:D93),2)</f>
        <v/>
      </c>
    </row>
    <row r="94">
      <c r="A94" s="10" t="inlineStr">
        <is>
          <t>2026-06-10</t>
        </is>
      </c>
      <c r="B94" s="10" t="n">
        <v>1207</v>
      </c>
      <c r="C94" s="10" t="n">
        <v>1210</v>
      </c>
      <c r="D94" s="15">
        <f>B94-C94</f>
        <v/>
      </c>
      <c r="E94" s="16">
        <f>IFERROR(D94/C94*100,"")</f>
        <v/>
      </c>
      <c r="F94" s="15">
        <f>ROUND(AVERAGE(D90:D94),2)</f>
        <v/>
      </c>
      <c r="G94" s="15">
        <f>ROUND(AVERAGE(D75:D94),2)</f>
        <v/>
      </c>
    </row>
    <row r="95">
      <c r="A95" s="10" t="inlineStr">
        <is>
          <t>2026-06-11</t>
        </is>
      </c>
      <c r="B95" s="10" t="n">
        <v>1210</v>
      </c>
      <c r="C95" s="10" t="n">
        <v>1212</v>
      </c>
      <c r="D95" s="15">
        <f>B95-C95</f>
        <v/>
      </c>
      <c r="E95" s="16">
        <f>IFERROR(D95/C95*100,"")</f>
        <v/>
      </c>
      <c r="F95" s="15">
        <f>ROUND(AVERAGE(D91:D95),2)</f>
        <v/>
      </c>
      <c r="G95" s="15">
        <f>ROUND(AVERAGE(D76:D95),2)</f>
        <v/>
      </c>
    </row>
    <row r="96">
      <c r="A96" s="10" t="inlineStr">
        <is>
          <t>2026-06-12</t>
        </is>
      </c>
      <c r="B96" s="10" t="n">
        <v>1204</v>
      </c>
      <c r="C96" s="10" t="n">
        <v>1205</v>
      </c>
      <c r="D96" s="15">
        <f>B96-C96</f>
        <v/>
      </c>
      <c r="E96" s="16">
        <f>IFERROR(D96/C96*100,"")</f>
        <v/>
      </c>
      <c r="F96" s="15">
        <f>ROUND(AVERAGE(D92:D96),2)</f>
        <v/>
      </c>
      <c r="G96" s="15">
        <f>ROUND(AVERAGE(D77:D96),2)</f>
        <v/>
      </c>
    </row>
    <row r="97">
      <c r="A97" s="10" t="inlineStr">
        <is>
          <t>2026-06-15</t>
        </is>
      </c>
      <c r="B97" s="10" t="n">
        <v>1221</v>
      </c>
      <c r="C97" s="10" t="n">
        <v>1225</v>
      </c>
      <c r="D97" s="15">
        <f>B97-C97</f>
        <v/>
      </c>
      <c r="E97" s="16">
        <f>IFERROR(D97/C97*100,"")</f>
        <v/>
      </c>
      <c r="F97" s="15">
        <f>ROUND(AVERAGE(D93:D97),2)</f>
        <v/>
      </c>
      <c r="G97" s="15">
        <f>ROUND(AVERAGE(D78:D97),2)</f>
        <v/>
      </c>
    </row>
    <row r="98">
      <c r="A98" s="10" t="inlineStr">
        <is>
          <t>2026-06-16</t>
        </is>
      </c>
      <c r="B98" s="10" t="n">
        <v>1213</v>
      </c>
      <c r="C98" s="10" t="n">
        <v>1216</v>
      </c>
      <c r="D98" s="15">
        <f>B98-C98</f>
        <v/>
      </c>
      <c r="E98" s="16">
        <f>IFERROR(D98/C98*100,"")</f>
        <v/>
      </c>
      <c r="F98" s="15">
        <f>ROUND(AVERAGE(D94:D98),2)</f>
        <v/>
      </c>
      <c r="G98" s="15">
        <f>ROUND(AVERAGE(D79:D98),2)</f>
        <v/>
      </c>
    </row>
    <row r="99">
      <c r="A99" s="10" t="inlineStr">
        <is>
          <t>2026-06-17</t>
        </is>
      </c>
      <c r="B99" s="10" t="n">
        <v>1201</v>
      </c>
      <c r="C99" s="10" t="n">
        <v>1205</v>
      </c>
      <c r="D99" s="15">
        <f>B99-C99</f>
        <v/>
      </c>
      <c r="E99" s="16">
        <f>IFERROR(D99/C99*100,"")</f>
        <v/>
      </c>
      <c r="F99" s="15">
        <f>ROUND(AVERAGE(D95:D99),2)</f>
        <v/>
      </c>
      <c r="G99" s="15">
        <f>ROUND(AVERAGE(D80:D99),2)</f>
        <v/>
      </c>
    </row>
    <row r="100">
      <c r="A100" s="10" t="inlineStr">
        <is>
          <t>2026-06-18</t>
        </is>
      </c>
      <c r="B100" s="10" t="n">
        <v>1180</v>
      </c>
      <c r="C100" s="10" t="n">
        <v>1182</v>
      </c>
      <c r="D100" s="15">
        <f>B100-C100</f>
        <v/>
      </c>
      <c r="E100" s="16">
        <f>IFERROR(D100/C100*100,"")</f>
        <v/>
      </c>
      <c r="F100" s="15">
        <f>ROUND(AVERAGE(D96:D100),2)</f>
        <v/>
      </c>
      <c r="G100" s="15">
        <f>ROUND(AVERAGE(D81:D100),2)</f>
        <v/>
      </c>
    </row>
    <row r="101">
      <c r="A101" s="10" t="inlineStr">
        <is>
          <t>2026-06-22</t>
        </is>
      </c>
      <c r="B101" s="10" t="n">
        <v>1183</v>
      </c>
      <c r="C101" s="10" t="n">
        <v>1187</v>
      </c>
      <c r="D101" s="15">
        <f>B101-C101</f>
        <v/>
      </c>
      <c r="E101" s="16">
        <f>IFERROR(D101/C101*100,"")</f>
        <v/>
      </c>
      <c r="F101" s="15">
        <f>ROUND(AVERAGE(D97:D101),2)</f>
        <v/>
      </c>
      <c r="G101" s="15">
        <f>ROUND(AVERAGE(D82:D101),2)</f>
        <v/>
      </c>
    </row>
    <row r="102">
      <c r="A102" s="10" t="inlineStr">
        <is>
          <t>2026-06-23</t>
        </is>
      </c>
      <c r="B102" s="10" t="n">
        <v>1187</v>
      </c>
      <c r="C102" s="10" t="n">
        <v>1191</v>
      </c>
      <c r="D102" s="15">
        <f>B102-C102</f>
        <v/>
      </c>
      <c r="E102" s="16">
        <f>IFERROR(D102/C102*100,"")</f>
        <v/>
      </c>
      <c r="F102" s="15">
        <f>ROUND(AVERAGE(D98:D102),2)</f>
        <v/>
      </c>
      <c r="G102" s="15">
        <f>ROUND(AVERAGE(D83:D102),2)</f>
        <v/>
      </c>
    </row>
    <row r="103">
      <c r="A103" s="10" t="inlineStr">
        <is>
          <t>2026-06-24</t>
        </is>
      </c>
      <c r="B103" s="10" t="n">
        <v>1176</v>
      </c>
      <c r="C103" s="10" t="n">
        <v>1180</v>
      </c>
      <c r="D103" s="15">
        <f>B103-C103</f>
        <v/>
      </c>
      <c r="E103" s="16">
        <f>IFERROR(D103/C103*100,"")</f>
        <v/>
      </c>
      <c r="F103" s="15">
        <f>ROUND(AVERAGE(D99:D103),2)</f>
        <v/>
      </c>
      <c r="G103" s="15">
        <f>ROUND(AVERAGE(D84:D103),2)</f>
        <v/>
      </c>
    </row>
    <row r="104">
      <c r="A104" s="10" t="inlineStr">
        <is>
          <t>2026-06-25</t>
        </is>
      </c>
      <c r="B104" s="10" t="n">
        <v>1172</v>
      </c>
      <c r="C104" s="10" t="n">
        <v>1174</v>
      </c>
      <c r="D104" s="15">
        <f>B104-C104</f>
        <v/>
      </c>
      <c r="E104" s="16">
        <f>IFERROR(D104/C104*100,"")</f>
        <v/>
      </c>
      <c r="F104" s="15">
        <f>ROUND(AVERAGE(D100:D104),2)</f>
        <v/>
      </c>
      <c r="G104" s="15">
        <f>ROUND(AVERAGE(D85:D104),2)</f>
        <v/>
      </c>
    </row>
    <row r="105">
      <c r="A105" s="10" t="inlineStr">
        <is>
          <t>2026-06-26</t>
        </is>
      </c>
      <c r="B105" s="10" t="n">
        <v>1161</v>
      </c>
      <c r="C105" s="10" t="n">
        <v>1163</v>
      </c>
      <c r="D105" s="15">
        <f>B105-C105</f>
        <v/>
      </c>
      <c r="E105" s="16">
        <f>IFERROR(D105/C105*100,"")</f>
        <v/>
      </c>
      <c r="F105" s="15">
        <f>ROUND(AVERAGE(D101:D105),2)</f>
        <v/>
      </c>
      <c r="G105" s="15">
        <f>ROUND(AVERAGE(D86:D105),2)</f>
        <v/>
      </c>
    </row>
    <row r="106">
      <c r="A106" s="10" t="inlineStr">
        <is>
          <t>2026-06-29</t>
        </is>
      </c>
      <c r="B106" s="10" t="n">
        <v>1170</v>
      </c>
      <c r="C106" s="10" t="n">
        <v>1171</v>
      </c>
      <c r="D106" s="15">
        <f>B106-C106</f>
        <v/>
      </c>
      <c r="E106" s="16">
        <f>IFERROR(D106/C106*100,"")</f>
        <v/>
      </c>
      <c r="F106" s="15">
        <f>ROUND(AVERAGE(D102:D106),2)</f>
        <v/>
      </c>
      <c r="G106" s="15">
        <f>ROUND(AVERAGE(D87:D106),2)</f>
        <v/>
      </c>
    </row>
    <row r="107">
      <c r="A107" s="10" t="inlineStr">
        <is>
          <t>2026-06-30</t>
        </is>
      </c>
      <c r="B107" s="10" t="n">
        <v>1153</v>
      </c>
      <c r="C107" s="10" t="n">
        <v>1156</v>
      </c>
      <c r="D107" s="15">
        <f>B107-C107</f>
        <v/>
      </c>
      <c r="E107" s="16">
        <f>IFERROR(D107/C107*100,"")</f>
        <v/>
      </c>
      <c r="F107" s="15">
        <f>ROUND(AVERAGE(D103:D107),2)</f>
        <v/>
      </c>
      <c r="G107" s="15">
        <f>ROUND(AVERAGE(D88:D107),2)</f>
        <v/>
      </c>
    </row>
    <row r="108">
      <c r="A108" s="10" t="inlineStr">
        <is>
          <t>2026-07-01</t>
        </is>
      </c>
      <c r="B108" s="10" t="n">
        <v>1154</v>
      </c>
      <c r="C108" s="10" t="n">
        <v>1157</v>
      </c>
      <c r="D108" s="15">
        <f>B108-C108</f>
        <v/>
      </c>
      <c r="E108" s="16">
        <f>IFERROR(D108/C108*100,"")</f>
        <v/>
      </c>
      <c r="F108" s="15">
        <f>ROUND(AVERAGE(D104:D108),2)</f>
        <v/>
      </c>
      <c r="G108" s="15">
        <f>ROUND(AVERAGE(D89:D108),2)</f>
        <v/>
      </c>
    </row>
    <row r="109">
      <c r="A109" s="10" t="inlineStr">
        <is>
          <t>2026-07-02</t>
        </is>
      </c>
      <c r="B109" s="10" t="n">
        <v>1166</v>
      </c>
      <c r="C109" s="10" t="n">
        <v>1171</v>
      </c>
      <c r="D109" s="15">
        <f>B109-C109</f>
        <v/>
      </c>
      <c r="E109" s="16">
        <f>IFERROR(D109/C109*100,"")</f>
        <v/>
      </c>
      <c r="F109" s="15">
        <f>ROUND(AVERAGE(D105:D109),2)</f>
        <v/>
      </c>
      <c r="G109" s="15">
        <f>ROUND(AVERAGE(D90:D109),2)</f>
        <v/>
      </c>
    </row>
    <row r="110">
      <c r="A110" s="10" t="inlineStr">
        <is>
          <t>2026-07-03</t>
        </is>
      </c>
      <c r="B110" s="10" t="n">
        <v>1167</v>
      </c>
      <c r="C110" s="10" t="n">
        <v>1172</v>
      </c>
      <c r="D110" s="15">
        <f>B110-C110</f>
        <v/>
      </c>
      <c r="E110" s="16">
        <f>IFERROR(D110/C110*100,"")</f>
        <v/>
      </c>
      <c r="F110" s="15">
        <f>ROUND(AVERAGE(D106:D110),2)</f>
        <v/>
      </c>
      <c r="G110" s="15">
        <f>ROUND(AVERAGE(D91:D110),2)</f>
        <v/>
      </c>
    </row>
    <row r="111">
      <c r="A111" s="10" t="inlineStr">
        <is>
          <t>2026-07-06</t>
        </is>
      </c>
      <c r="B111" s="10" t="n">
        <v>1163</v>
      </c>
      <c r="C111" s="10" t="n">
        <v>1166</v>
      </c>
      <c r="D111" s="15">
        <f>B111-C111</f>
        <v/>
      </c>
      <c r="E111" s="16">
        <f>IFERROR(D111/C111*100,"")</f>
        <v/>
      </c>
      <c r="F111" s="15">
        <f>ROUND(AVERAGE(D107:D111),2)</f>
        <v/>
      </c>
      <c r="G111" s="15">
        <f>ROUND(AVERAGE(D92:D111),2)</f>
        <v/>
      </c>
    </row>
    <row r="112">
      <c r="A112" s="10" t="inlineStr">
        <is>
          <t>2026-07-07</t>
        </is>
      </c>
      <c r="B112" s="10" t="n">
        <v>1134</v>
      </c>
      <c r="C112" s="10" t="n">
        <v>1139</v>
      </c>
      <c r="D112" s="15">
        <f>B112-C112</f>
        <v/>
      </c>
      <c r="E112" s="16">
        <f>IFERROR(D112/C112*100,"")</f>
        <v/>
      </c>
      <c r="F112" s="15">
        <f>ROUND(AVERAGE(D108:D112),2)</f>
        <v/>
      </c>
      <c r="G112" s="15">
        <f>ROUND(AVERAGE(D93:D112),2)</f>
        <v/>
      </c>
    </row>
    <row r="113">
      <c r="A113" s="10" t="inlineStr">
        <is>
          <t>2026-07-08</t>
        </is>
      </c>
      <c r="B113" s="10" t="n">
        <v>1142</v>
      </c>
      <c r="C113" s="10" t="n">
        <v>1148</v>
      </c>
      <c r="D113" s="15">
        <f>B113-C113</f>
        <v/>
      </c>
      <c r="E113" s="16">
        <f>IFERROR(D113/C113*100,"")</f>
        <v/>
      </c>
      <c r="F113" s="15">
        <f>ROUND(AVERAGE(D109:D113),2)</f>
        <v/>
      </c>
      <c r="G113" s="15">
        <f>ROUND(AVERAGE(D94:D113),2)</f>
        <v/>
      </c>
    </row>
    <row r="114">
      <c r="A114" s="10" t="inlineStr">
        <is>
          <t>2026-07-09</t>
        </is>
      </c>
      <c r="B114" s="10" t="n">
        <v>1140</v>
      </c>
      <c r="C114" s="10" t="n">
        <v>1144</v>
      </c>
      <c r="D114" s="15">
        <f>B114-C114</f>
        <v/>
      </c>
      <c r="E114" s="16">
        <f>IFERROR(D114/C114*100,"")</f>
        <v/>
      </c>
      <c r="F114" s="15">
        <f>ROUND(AVERAGE(D110:D114),2)</f>
        <v/>
      </c>
      <c r="G114" s="15">
        <f>ROUND(AVERAGE(D95:D114),2)</f>
        <v/>
      </c>
    </row>
    <row r="115">
      <c r="A115" s="10" t="inlineStr">
        <is>
          <t>2026-07-10</t>
        </is>
      </c>
      <c r="B115" s="10" t="n">
        <v>1149</v>
      </c>
      <c r="C115" s="10" t="n">
        <v>1152</v>
      </c>
      <c r="D115" s="15">
        <f>B115-C115</f>
        <v/>
      </c>
      <c r="E115" s="16">
        <f>IFERROR(D115/C115*100,"")</f>
        <v/>
      </c>
      <c r="F115" s="15">
        <f>ROUND(AVERAGE(D111:D115),2)</f>
        <v/>
      </c>
      <c r="G115" s="15">
        <f>ROUND(AVERAGE(D96:D115),2)</f>
        <v/>
      </c>
    </row>
    <row r="116">
      <c r="A116" s="10" t="inlineStr">
        <is>
          <t>2026-07-13</t>
        </is>
      </c>
      <c r="B116" s="10" t="n">
        <v>1127</v>
      </c>
      <c r="C116" s="10" t="n">
        <v>1132</v>
      </c>
      <c r="D116" s="15">
        <f>B116-C116</f>
        <v/>
      </c>
      <c r="E116" s="16">
        <f>IFERROR(D116/C116*100,"")</f>
        <v/>
      </c>
      <c r="F116" s="15">
        <f>ROUND(AVERAGE(D112:D116),2)</f>
        <v/>
      </c>
      <c r="G116" s="15">
        <f>ROUND(AVERAGE(D97:D116),2)</f>
        <v/>
      </c>
    </row>
    <row r="117">
      <c r="A117" s="10" t="inlineStr">
        <is>
          <t>2026-07-14</t>
        </is>
      </c>
      <c r="B117" s="10" t="n">
        <v>1130</v>
      </c>
      <c r="C117" s="10" t="n">
        <v>1135</v>
      </c>
      <c r="D117" s="15">
        <f>B117-C117</f>
        <v/>
      </c>
      <c r="E117" s="16">
        <f>IFERROR(D117/C117*100,"")</f>
        <v/>
      </c>
      <c r="F117" s="15">
        <f>ROUND(AVERAGE(D113:D117),2)</f>
        <v/>
      </c>
      <c r="G117" s="15">
        <f>ROUND(AVERAGE(D98:D117),2)</f>
        <v/>
      </c>
    </row>
    <row r="118">
      <c r="A118" s="10" t="inlineStr">
        <is>
          <t>2026-07-15</t>
        </is>
      </c>
      <c r="B118" s="10" t="n">
        <v>1117</v>
      </c>
      <c r="C118" s="10" t="n">
        <v>1122</v>
      </c>
      <c r="D118" s="15">
        <f>B118-C118</f>
        <v/>
      </c>
      <c r="E118" s="16">
        <f>IFERROR(D118/C118*100,"")</f>
        <v/>
      </c>
      <c r="F118" s="15">
        <f>ROUND(AVERAGE(D114:D118),2)</f>
        <v/>
      </c>
      <c r="G118" s="15">
        <f>ROUND(AVERAGE(D99:D118),2)</f>
        <v/>
      </c>
    </row>
    <row r="119">
      <c r="A119" s="10" t="inlineStr">
        <is>
          <t>2026-07-16</t>
        </is>
      </c>
      <c r="B119" s="10" t="n">
        <v>1095</v>
      </c>
      <c r="C119" s="10" t="n">
        <v>1098</v>
      </c>
      <c r="D119" s="15">
        <f>B119-C119</f>
        <v/>
      </c>
      <c r="E119" s="16">
        <f>IFERROR(D119/C119*100,"")</f>
        <v/>
      </c>
      <c r="F119" s="15">
        <f>ROUND(AVERAGE(D115:D119),2)</f>
        <v/>
      </c>
      <c r="G119" s="15">
        <f>ROUND(AVERAGE(D100:D119),2)</f>
        <v/>
      </c>
    </row>
    <row r="120">
      <c r="A120" s="10" t="inlineStr">
        <is>
          <t>2026-07-17</t>
        </is>
      </c>
      <c r="B120" s="10" t="n">
        <v>1074</v>
      </c>
      <c r="C120" s="10" t="n">
        <v>1078</v>
      </c>
      <c r="D120" s="15">
        <f>B120-C120</f>
        <v/>
      </c>
      <c r="E120" s="16">
        <f>IFERROR(D120/C120*100,"")</f>
        <v/>
      </c>
      <c r="F120" s="15">
        <f>ROUND(AVERAGE(D116:D120),2)</f>
        <v/>
      </c>
      <c r="G120" s="15">
        <f>ROUND(AVERAGE(D101:D120),2)</f>
        <v/>
      </c>
    </row>
    <row r="121">
      <c r="A121" s="10" t="inlineStr">
        <is>
          <t>2026-07-20</t>
        </is>
      </c>
      <c r="B121" s="10" t="n">
        <v>1081</v>
      </c>
      <c r="C121" s="10" t="n">
        <v>1084</v>
      </c>
      <c r="D121" s="15">
        <f>B121-C121</f>
        <v/>
      </c>
      <c r="E121" s="16">
        <f>IFERROR(D121/C121*100,"")</f>
        <v/>
      </c>
      <c r="F121" s="15">
        <f>ROUND(AVERAGE(D117:D121),2)</f>
        <v/>
      </c>
      <c r="G121" s="15">
        <f>ROUND(AVERAGE(D102:D121),2)</f>
        <v/>
      </c>
    </row>
    <row r="122">
      <c r="A122" s="10" t="inlineStr">
        <is>
          <t>2026-07-21</t>
        </is>
      </c>
      <c r="B122" s="10" t="n">
        <v>1080</v>
      </c>
      <c r="C122" s="10" t="n">
        <v>1083</v>
      </c>
      <c r="D122" s="15">
        <f>B122-C122</f>
        <v/>
      </c>
      <c r="E122" s="16">
        <f>IFERROR(D122/C122*100,"")</f>
        <v/>
      </c>
      <c r="F122" s="15">
        <f>ROUND(AVERAGE(D118:D122),2)</f>
        <v/>
      </c>
      <c r="G122" s="15">
        <f>ROUND(AVERAGE(D103:D122),2)</f>
        <v/>
      </c>
    </row>
    <row r="123">
      <c r="A123" s="10" t="inlineStr">
        <is>
          <t>2026-07-22</t>
        </is>
      </c>
      <c r="B123" s="10" t="n">
        <v>1078</v>
      </c>
      <c r="C123" s="10" t="n">
        <v>1080</v>
      </c>
      <c r="D123" s="15">
        <f>B123-C123</f>
        <v/>
      </c>
      <c r="E123" s="16">
        <f>IFERROR(D123/C123*100,"")</f>
        <v/>
      </c>
      <c r="F123" s="15">
        <f>ROUND(AVERAGE(D119:D123),2)</f>
        <v/>
      </c>
      <c r="G123" s="15">
        <f>ROUND(AVERAGE(D104:D123),2)</f>
        <v/>
      </c>
    </row>
    <row r="124">
      <c r="A124" s="10" t="inlineStr">
        <is>
          <t>2026-07-23</t>
        </is>
      </c>
      <c r="B124" s="10" t="n">
        <v>1073</v>
      </c>
      <c r="C124" s="10" t="n">
        <v>1077</v>
      </c>
      <c r="D124" s="15">
        <f>B124-C124</f>
        <v/>
      </c>
      <c r="E124" s="16">
        <f>IFERROR(D124/C124*100,"")</f>
        <v/>
      </c>
      <c r="F124" s="15">
        <f>ROUND(AVERAGE(D120:D124),2)</f>
        <v/>
      </c>
      <c r="G124" s="15">
        <f>ROUND(AVERAGE(D105:D124),2)</f>
        <v/>
      </c>
    </row>
    <row r="125">
      <c r="A125" s="10" t="inlineStr">
        <is>
          <t>2026-07-24</t>
        </is>
      </c>
      <c r="B125" s="10" t="n">
        <v>1071</v>
      </c>
      <c r="C125" s="10" t="n">
        <v>1074</v>
      </c>
      <c r="D125" s="15">
        <f>B125-C125</f>
        <v/>
      </c>
      <c r="E125" s="16">
        <f>IFERROR(D125/C125*100,"")</f>
        <v/>
      </c>
      <c r="F125" s="15">
        <f>ROUND(AVERAGE(D121:D125),2)</f>
        <v/>
      </c>
      <c r="G125" s="15">
        <f>ROUND(AVERAGE(D106:D125),2)</f>
        <v/>
      </c>
    </row>
    <row r="126">
      <c r="A126" s="10" t="inlineStr">
        <is>
          <t>2026-07-27</t>
        </is>
      </c>
      <c r="B126" s="10" t="n">
        <v>1063</v>
      </c>
      <c r="C126" s="10" t="n">
        <v>1068</v>
      </c>
      <c r="D126" s="15">
        <f>B126-C126</f>
        <v/>
      </c>
      <c r="E126" s="16">
        <f>IFERROR(D126/C126*100,"")</f>
        <v/>
      </c>
      <c r="F126" s="15">
        <f>ROUND(AVERAGE(D122:D126),2)</f>
        <v/>
      </c>
      <c r="G126" s="15">
        <f>ROUND(AVERAGE(D107:D126),2)</f>
        <v/>
      </c>
    </row>
    <row r="127">
      <c r="A127" s="10" t="inlineStr">
        <is>
          <t>2026-07-28</t>
        </is>
      </c>
      <c r="B127" s="10" t="n">
        <v>1030</v>
      </c>
      <c r="C127" s="10" t="n">
        <v>1036</v>
      </c>
      <c r="D127" s="15">
        <f>B127-C127</f>
        <v/>
      </c>
      <c r="E127" s="16">
        <f>IFERROR(D127/C127*100,"")</f>
        <v/>
      </c>
      <c r="F127" s="15">
        <f>ROUND(AVERAGE(D123:D127),2)</f>
        <v/>
      </c>
      <c r="G127" s="15">
        <f>ROUND(AVERAGE(D108:D127),2)</f>
        <v/>
      </c>
    </row>
    <row r="128">
      <c r="A128" s="10" t="inlineStr">
        <is>
          <t>2026-07-29</t>
        </is>
      </c>
      <c r="B128" s="10" t="n">
        <v>1014</v>
      </c>
      <c r="C128" s="10" t="n">
        <v>1017</v>
      </c>
      <c r="D128" s="15">
        <f>B128-C128</f>
        <v/>
      </c>
      <c r="E128" s="16">
        <f>IFERROR(D128/C128*100,"")</f>
        <v/>
      </c>
      <c r="F128" s="15">
        <f>ROUND(AVERAGE(D124:D128),2)</f>
        <v/>
      </c>
      <c r="G128" s="15">
        <f>ROUND(AVERAGE(D109:D128),2)</f>
        <v/>
      </c>
    </row>
    <row r="129">
      <c r="A129" s="10" t="inlineStr">
        <is>
          <t>2026-07-30</t>
        </is>
      </c>
      <c r="B129" s="10" t="n">
        <v>1003</v>
      </c>
      <c r="C129" s="10" t="n">
        <v>1006</v>
      </c>
      <c r="D129" s="15">
        <f>B129-C129</f>
        <v/>
      </c>
      <c r="E129" s="16">
        <f>IFERROR(D129/C129*100,"")</f>
        <v/>
      </c>
      <c r="F129" s="15">
        <f>ROUND(AVERAGE(D125:D129),2)</f>
        <v/>
      </c>
      <c r="G129" s="15">
        <f>ROUND(AVERAGE(D110:D129),2)</f>
        <v/>
      </c>
    </row>
    <row r="130">
      <c r="A130" s="10" t="inlineStr">
        <is>
          <t>2026-07-31</t>
        </is>
      </c>
      <c r="B130" s="10" t="n">
        <v>1004</v>
      </c>
      <c r="C130" s="10" t="n">
        <v>1007</v>
      </c>
      <c r="D130" s="15">
        <f>B130-C130</f>
        <v/>
      </c>
      <c r="E130" s="16">
        <f>IFERROR(D130/C130*100,"")</f>
        <v/>
      </c>
      <c r="F130" s="15">
        <f>ROUND(AVERAGE(D126:D130),2)</f>
        <v/>
      </c>
      <c r="G130" s="15">
        <f>ROUND(AVERAGE(D111:D130),2)</f>
        <v/>
      </c>
    </row>
    <row r="131">
      <c r="A131" s="10" t="inlineStr">
        <is>
          <t>2026-08-03</t>
        </is>
      </c>
      <c r="B131" s="10" t="n">
        <v>988</v>
      </c>
      <c r="C131" s="10" t="n">
        <v>993</v>
      </c>
      <c r="D131" s="15">
        <f>B131-C131</f>
        <v/>
      </c>
      <c r="E131" s="16">
        <f>IFERROR(D131/C131*100,"")</f>
        <v/>
      </c>
      <c r="F131" s="15">
        <f>ROUND(AVERAGE(D127:D131),2)</f>
        <v/>
      </c>
      <c r="G131" s="15">
        <f>ROUND(AVERAGE(D112:D131),2)</f>
        <v/>
      </c>
    </row>
    <row r="132">
      <c r="A132" s="10" t="inlineStr">
        <is>
          <t>2026-08-04</t>
        </is>
      </c>
      <c r="B132" s="10" t="n">
        <v>989</v>
      </c>
      <c r="C132" s="10" t="n">
        <v>992</v>
      </c>
      <c r="D132" s="15">
        <f>B132-C132</f>
        <v/>
      </c>
      <c r="E132" s="16">
        <f>IFERROR(D132/C132*100,"")</f>
        <v/>
      </c>
      <c r="F132" s="15">
        <f>ROUND(AVERAGE(D128:D132),2)</f>
        <v/>
      </c>
      <c r="G132" s="15">
        <f>ROUND(AVERAGE(D113:D132),2)</f>
        <v/>
      </c>
    </row>
    <row r="133">
      <c r="A133" s="10" t="inlineStr">
        <is>
          <t>2026-08-05</t>
        </is>
      </c>
      <c r="B133" s="10" t="n">
        <v>1007</v>
      </c>
      <c r="C133" s="10" t="n">
        <v>1011</v>
      </c>
      <c r="D133" s="15">
        <f>B133-C133</f>
        <v/>
      </c>
      <c r="E133" s="16">
        <f>IFERROR(D133/C133*100,"")</f>
        <v/>
      </c>
      <c r="F133" s="15">
        <f>ROUND(AVERAGE(D129:D133),2)</f>
        <v/>
      </c>
      <c r="G133" s="15">
        <f>ROUND(AVERAGE(D114:D133),2)</f>
        <v/>
      </c>
    </row>
    <row r="134">
      <c r="A134" s="10" t="inlineStr">
        <is>
          <t>2026-08-06</t>
        </is>
      </c>
      <c r="B134" s="10" t="n">
        <v>1008</v>
      </c>
      <c r="C134" s="10" t="n">
        <v>1013</v>
      </c>
      <c r="D134" s="15">
        <f>B134-C134</f>
        <v/>
      </c>
      <c r="E134" s="16">
        <f>IFERROR(D134/C134*100,"")</f>
        <v/>
      </c>
      <c r="F134" s="15">
        <f>ROUND(AVERAGE(D130:D134),2)</f>
        <v/>
      </c>
      <c r="G134" s="15">
        <f>ROUND(AVERAGE(D115:D134),2)</f>
        <v/>
      </c>
    </row>
    <row r="135">
      <c r="A135" s="10" t="inlineStr">
        <is>
          <t>2026-08-07</t>
        </is>
      </c>
      <c r="B135" s="10" t="n">
        <v>1009</v>
      </c>
      <c r="C135" s="10" t="n">
        <v>1011</v>
      </c>
      <c r="D135" s="15">
        <f>B135-C135</f>
        <v/>
      </c>
      <c r="E135" s="16">
        <f>IFERROR(D135/C135*100,"")</f>
        <v/>
      </c>
      <c r="F135" s="15">
        <f>ROUND(AVERAGE(D131:D135),2)</f>
        <v/>
      </c>
      <c r="G135" s="15">
        <f>ROUND(AVERAGE(D116:D135),2)</f>
        <v/>
      </c>
    </row>
    <row r="136">
      <c r="A136" s="10" t="inlineStr">
        <is>
          <t>2026-08-10</t>
        </is>
      </c>
      <c r="B136" s="10" t="n">
        <v>1035</v>
      </c>
      <c r="C136" s="10" t="n">
        <v>1038</v>
      </c>
      <c r="D136" s="15">
        <f>B136-C136</f>
        <v/>
      </c>
      <c r="E136" s="16">
        <f>IFERROR(D136/C136*100,"")</f>
        <v/>
      </c>
      <c r="F136" s="15">
        <f>ROUND(AVERAGE(D132:D136),2)</f>
        <v/>
      </c>
      <c r="G136" s="15">
        <f>ROUND(AVERAGE(D117:D136),2)</f>
        <v/>
      </c>
    </row>
    <row r="137">
      <c r="A137" s="10" t="inlineStr">
        <is>
          <t>2026-08-11</t>
        </is>
      </c>
      <c r="B137" s="10" t="n">
        <v>1057</v>
      </c>
      <c r="C137" s="10" t="n">
        <v>1060</v>
      </c>
      <c r="D137" s="15">
        <f>B137-C137</f>
        <v/>
      </c>
      <c r="E137" s="16">
        <f>IFERROR(D137/C137*100,"")</f>
        <v/>
      </c>
      <c r="F137" s="15">
        <f>ROUND(AVERAGE(D133:D137),2)</f>
        <v/>
      </c>
      <c r="G137" s="15">
        <f>ROUND(AVERAGE(D118:D137),2)</f>
        <v/>
      </c>
    </row>
    <row r="138">
      <c r="A138" s="10" t="inlineStr">
        <is>
          <t>2026-08-12</t>
        </is>
      </c>
      <c r="B138" s="10" t="n">
        <v>1037</v>
      </c>
      <c r="C138" s="10" t="n">
        <v>1041</v>
      </c>
      <c r="D138" s="15">
        <f>B138-C138</f>
        <v/>
      </c>
      <c r="E138" s="16">
        <f>IFERROR(D138/C138*100,"")</f>
        <v/>
      </c>
      <c r="F138" s="15">
        <f>ROUND(AVERAGE(D134:D138),2)</f>
        <v/>
      </c>
      <c r="G138" s="15">
        <f>ROUND(AVERAGE(D119:D138),2)</f>
        <v/>
      </c>
    </row>
    <row r="139">
      <c r="A139" s="10" t="inlineStr">
        <is>
          <t>2026-08-13</t>
        </is>
      </c>
      <c r="B139" s="10" t="n">
        <v>1036</v>
      </c>
      <c r="C139" s="10" t="n">
        <v>1037</v>
      </c>
      <c r="D139" s="15">
        <f>B139-C139</f>
        <v/>
      </c>
      <c r="E139" s="16">
        <f>IFERROR(D139/C139*100,"")</f>
        <v/>
      </c>
      <c r="F139" s="15">
        <f>ROUND(AVERAGE(D135:D139),2)</f>
        <v/>
      </c>
      <c r="G139" s="15">
        <f>ROUND(AVERAGE(D120:D139),2)</f>
        <v/>
      </c>
    </row>
    <row r="140">
      <c r="A140" s="10" t="inlineStr">
        <is>
          <t>2026-08-14</t>
        </is>
      </c>
      <c r="B140" s="10" t="n">
        <v>1020</v>
      </c>
      <c r="C140" s="10" t="n">
        <v>1023</v>
      </c>
      <c r="D140" s="15">
        <f>B140-C140</f>
        <v/>
      </c>
      <c r="E140" s="16">
        <f>IFERROR(D140/C140*100,"")</f>
        <v/>
      </c>
      <c r="F140" s="15">
        <f>ROUND(AVERAGE(D136:D140),2)</f>
        <v/>
      </c>
      <c r="G140" s="15">
        <f>ROUND(AVERAGE(D121:D140),2)</f>
        <v/>
      </c>
    </row>
    <row r="141">
      <c r="A141" s="10" t="inlineStr">
        <is>
          <t>2026-08-17</t>
        </is>
      </c>
      <c r="B141" s="10" t="n">
        <v>1029</v>
      </c>
      <c r="C141" s="10" t="n">
        <v>1031</v>
      </c>
      <c r="D141" s="15">
        <f>B141-C141</f>
        <v/>
      </c>
      <c r="E141" s="16">
        <f>IFERROR(D141/C141*100,"")</f>
        <v/>
      </c>
      <c r="F141" s="15">
        <f>ROUND(AVERAGE(D137:D141),2)</f>
        <v/>
      </c>
      <c r="G141" s="15">
        <f>ROUND(AVERAGE(D122:D141),2)</f>
        <v/>
      </c>
    </row>
    <row r="142">
      <c r="A142" s="10" t="inlineStr">
        <is>
          <t>2026-08-18</t>
        </is>
      </c>
      <c r="B142" s="10" t="n">
        <v>1041</v>
      </c>
      <c r="C142" s="10" t="n">
        <v>1043</v>
      </c>
      <c r="D142" s="15">
        <f>B142-C142</f>
        <v/>
      </c>
      <c r="E142" s="16">
        <f>IFERROR(D142/C142*100,"")</f>
        <v/>
      </c>
      <c r="F142" s="15">
        <f>ROUND(AVERAGE(D138:D142),2)</f>
        <v/>
      </c>
      <c r="G142" s="15">
        <f>ROUND(AVERAGE(D123:D142),2)</f>
        <v/>
      </c>
    </row>
    <row r="143">
      <c r="A143" s="10" t="inlineStr">
        <is>
          <t>2026-08-19</t>
        </is>
      </c>
      <c r="B143" s="10" t="n">
        <v>1010</v>
      </c>
      <c r="C143" s="10" t="n">
        <v>1012</v>
      </c>
      <c r="D143" s="15">
        <f>B143-C143</f>
        <v/>
      </c>
      <c r="E143" s="16">
        <f>IFERROR(D143/C143*100,"")</f>
        <v/>
      </c>
      <c r="F143" s="15">
        <f>ROUND(AVERAGE(D139:D143),2)</f>
        <v/>
      </c>
      <c r="G143" s="15">
        <f>ROUND(AVERAGE(D124:D143),2)</f>
        <v/>
      </c>
    </row>
    <row r="144">
      <c r="A144" s="10" t="inlineStr">
        <is>
          <t>2026-08-20</t>
        </is>
      </c>
      <c r="B144" s="10" t="n">
        <v>1030</v>
      </c>
      <c r="C144" s="10" t="n">
        <v>1033</v>
      </c>
      <c r="D144" s="15">
        <f>B144-C144</f>
        <v/>
      </c>
      <c r="E144" s="16">
        <f>IFERROR(D144/C144*100,"")</f>
        <v/>
      </c>
      <c r="F144" s="15">
        <f>ROUND(AVERAGE(D140:D144),2)</f>
        <v/>
      </c>
      <c r="G144" s="15">
        <f>ROUND(AVERAGE(D125:D144),2)</f>
        <v/>
      </c>
    </row>
    <row r="145">
      <c r="A145" s="10" t="inlineStr">
        <is>
          <t>2026-08-21</t>
        </is>
      </c>
      <c r="B145" s="10" t="n">
        <v>1035</v>
      </c>
      <c r="C145" s="10" t="n">
        <v>1039</v>
      </c>
      <c r="D145" s="15">
        <f>B145-C145</f>
        <v/>
      </c>
      <c r="E145" s="16">
        <f>IFERROR(D145/C145*100,"")</f>
        <v/>
      </c>
      <c r="F145" s="15">
        <f>ROUND(AVERAGE(D141:D145),2)</f>
        <v/>
      </c>
      <c r="G145" s="15">
        <f>ROUND(AVERAGE(D126:D145),2)</f>
        <v/>
      </c>
    </row>
    <row r="146">
      <c r="A146" s="10" t="inlineStr">
        <is>
          <t>2026-08-24</t>
        </is>
      </c>
      <c r="B146" s="10" t="n">
        <v>1050</v>
      </c>
      <c r="C146" s="10" t="n">
        <v>1054</v>
      </c>
      <c r="D146" s="15">
        <f>B146-C146</f>
        <v/>
      </c>
      <c r="E146" s="16">
        <f>IFERROR(D146/C146*100,"")</f>
        <v/>
      </c>
      <c r="F146" s="15">
        <f>ROUND(AVERAGE(D142:D146),2)</f>
        <v/>
      </c>
      <c r="G146" s="15">
        <f>ROUND(AVERAGE(D127:D146),2)</f>
        <v/>
      </c>
    </row>
    <row r="147">
      <c r="A147" s="10" t="inlineStr">
        <is>
          <t>2026-08-25</t>
        </is>
      </c>
      <c r="B147" s="10" t="n">
        <v>1044</v>
      </c>
      <c r="C147" s="10" t="n">
        <v>1045</v>
      </c>
      <c r="D147" s="15">
        <f>B147-C147</f>
        <v/>
      </c>
      <c r="E147" s="16">
        <f>IFERROR(D147/C147*100,"")</f>
        <v/>
      </c>
      <c r="F147" s="15">
        <f>ROUND(AVERAGE(D143:D147),2)</f>
        <v/>
      </c>
      <c r="G147" s="15">
        <f>ROUND(AVERAGE(D128:D147),2)</f>
        <v/>
      </c>
    </row>
    <row r="148">
      <c r="A148" s="10" t="inlineStr">
        <is>
          <t>2026-08-26</t>
        </is>
      </c>
      <c r="B148" s="10" t="n">
        <v>1031</v>
      </c>
      <c r="C148" s="10" t="n">
        <v>1035</v>
      </c>
      <c r="D148" s="15">
        <f>B148-C148</f>
        <v/>
      </c>
      <c r="E148" s="16">
        <f>IFERROR(D148/C148*100,"")</f>
        <v/>
      </c>
      <c r="F148" s="15">
        <f>ROUND(AVERAGE(D144:D148),2)</f>
        <v/>
      </c>
      <c r="G148" s="15">
        <f>ROUND(AVERAGE(D129:D148),2)</f>
        <v/>
      </c>
    </row>
    <row r="149">
      <c r="A149" s="10" t="inlineStr">
        <is>
          <t>2026-08-27</t>
        </is>
      </c>
      <c r="B149" s="10" t="n">
        <v>1009</v>
      </c>
      <c r="C149" s="10" t="n">
        <v>1011</v>
      </c>
      <c r="D149" s="15">
        <f>B149-C149</f>
        <v/>
      </c>
      <c r="E149" s="16">
        <f>IFERROR(D149/C149*100,"")</f>
        <v/>
      </c>
      <c r="F149" s="15">
        <f>ROUND(AVERAGE(D145:D149),2)</f>
        <v/>
      </c>
      <c r="G149" s="15">
        <f>ROUND(AVERAGE(D130:D149),2)</f>
        <v/>
      </c>
    </row>
    <row r="150">
      <c r="A150" s="10" t="inlineStr">
        <is>
          <t>2026-08-28</t>
        </is>
      </c>
      <c r="B150" s="10" t="n">
        <v>1043</v>
      </c>
      <c r="C150" s="10" t="n">
        <v>1047</v>
      </c>
      <c r="D150" s="15">
        <f>B150-C150</f>
        <v/>
      </c>
      <c r="E150" s="16">
        <f>IFERROR(D150/C150*100,"")</f>
        <v/>
      </c>
      <c r="F150" s="15">
        <f>ROUND(AVERAGE(D146:D150),2)</f>
        <v/>
      </c>
      <c r="G150" s="15">
        <f>ROUND(AVERAGE(D131:D150),2)</f>
        <v/>
      </c>
    </row>
    <row r="151">
      <c r="A151" s="10" t="inlineStr">
        <is>
          <t>2026-08-31</t>
        </is>
      </c>
      <c r="B151" s="10" t="n">
        <v>1054</v>
      </c>
      <c r="C151" s="10" t="n">
        <v>1061</v>
      </c>
      <c r="D151" s="15">
        <f>B151-C151</f>
        <v/>
      </c>
      <c r="E151" s="16">
        <f>IFERROR(D151/C151*100,"")</f>
        <v/>
      </c>
      <c r="F151" s="15">
        <f>ROUND(AVERAGE(D147:D151),2)</f>
        <v/>
      </c>
      <c r="G151" s="15">
        <f>ROUND(AVERAGE(D132:D151),2)</f>
        <v/>
      </c>
    </row>
    <row r="152">
      <c r="A152" s="10" t="inlineStr">
        <is>
          <t>2026-09-01</t>
        </is>
      </c>
      <c r="B152" s="10" t="n">
        <v>1064</v>
      </c>
      <c r="C152" s="10" t="n">
        <v>1070</v>
      </c>
      <c r="D152" s="15">
        <f>B152-C152</f>
        <v/>
      </c>
      <c r="E152" s="16">
        <f>IFERROR(D152/C152*100,"")</f>
        <v/>
      </c>
      <c r="F152" s="15">
        <f>ROUND(AVERAGE(D148:D152),2)</f>
        <v/>
      </c>
      <c r="G152" s="15">
        <f>ROUND(AVERAGE(D133:D152),2)</f>
        <v/>
      </c>
    </row>
    <row r="153">
      <c r="A153" s="10" t="inlineStr">
        <is>
          <t>2026-09-02</t>
        </is>
      </c>
      <c r="B153" s="10" t="n">
        <v>1050</v>
      </c>
      <c r="C153" s="10" t="n">
        <v>1056</v>
      </c>
      <c r="D153" s="15">
        <f>B153-C153</f>
        <v/>
      </c>
      <c r="E153" s="16">
        <f>IFERROR(D153/C153*100,"")</f>
        <v/>
      </c>
      <c r="F153" s="15">
        <f>ROUND(AVERAGE(D149:D153),2)</f>
        <v/>
      </c>
      <c r="G153" s="15">
        <f>ROUND(AVERAGE(D134:D153),2)</f>
        <v/>
      </c>
    </row>
    <row r="154">
      <c r="A154" s="10" t="inlineStr">
        <is>
          <t>2026-09-03</t>
        </is>
      </c>
      <c r="B154" s="10" t="n">
        <v>1050</v>
      </c>
      <c r="C154" s="10" t="n">
        <v>1056</v>
      </c>
      <c r="D154" s="15">
        <f>B154-C154</f>
        <v/>
      </c>
      <c r="E154" s="16">
        <f>IFERROR(D154/C154*100,"")</f>
        <v/>
      </c>
      <c r="F154" s="15">
        <f>ROUND(AVERAGE(D150:D154),2)</f>
        <v/>
      </c>
      <c r="G154" s="15">
        <f>ROUND(AVERAGE(D135:D154),2)</f>
        <v/>
      </c>
    </row>
    <row r="155">
      <c r="A155" s="10" t="inlineStr">
        <is>
          <t>2026-09-04</t>
        </is>
      </c>
      <c r="B155" s="10" t="n">
        <v>1088</v>
      </c>
      <c r="C155" s="10" t="n">
        <v>1093</v>
      </c>
      <c r="D155" s="15">
        <f>B155-C155</f>
        <v/>
      </c>
      <c r="E155" s="16">
        <f>IFERROR(D155/C155*100,"")</f>
        <v/>
      </c>
      <c r="F155" s="15">
        <f>ROUND(AVERAGE(D151:D155),2)</f>
        <v/>
      </c>
      <c r="G155" s="15">
        <f>ROUND(AVERAGE(D136:D155),2)</f>
        <v/>
      </c>
    </row>
    <row r="156">
      <c r="A156" s="10" t="inlineStr">
        <is>
          <t>2026-09-07</t>
        </is>
      </c>
      <c r="B156" s="10" t="n">
        <v>1071</v>
      </c>
      <c r="C156" s="10" t="n">
        <v>1079</v>
      </c>
      <c r="D156" s="15">
        <f>B156-C156</f>
        <v/>
      </c>
      <c r="E156" s="16">
        <f>IFERROR(D156/C156*100,"")</f>
        <v/>
      </c>
      <c r="F156" s="15">
        <f>ROUND(AVERAGE(D152:D156),2)</f>
        <v/>
      </c>
      <c r="G156" s="15">
        <f>ROUND(AVERAGE(D137:D156),2)</f>
        <v/>
      </c>
    </row>
    <row r="157">
      <c r="A157" s="10" t="inlineStr">
        <is>
          <t>2026-09-08</t>
        </is>
      </c>
      <c r="B157" s="10" t="n">
        <v>1079</v>
      </c>
      <c r="C157" s="10" t="n">
        <v>1083</v>
      </c>
      <c r="D157" s="15">
        <f>B157-C157</f>
        <v/>
      </c>
      <c r="E157" s="16">
        <f>IFERROR(D157/C157*100,"")</f>
        <v/>
      </c>
      <c r="F157" s="15">
        <f>ROUND(AVERAGE(D153:D157),2)</f>
        <v/>
      </c>
      <c r="G157" s="15">
        <f>ROUND(AVERAGE(D138:D157),2)</f>
        <v/>
      </c>
    </row>
    <row r="158">
      <c r="A158" s="10" t="inlineStr">
        <is>
          <t>2026-09-09</t>
        </is>
      </c>
      <c r="B158" s="10" t="n">
        <v>1071</v>
      </c>
      <c r="C158" s="10" t="n">
        <v>1077</v>
      </c>
      <c r="D158" s="15">
        <f>B158-C158</f>
        <v/>
      </c>
      <c r="E158" s="16">
        <f>IFERROR(D158/C158*100,"")</f>
        <v/>
      </c>
      <c r="F158" s="15">
        <f>ROUND(AVERAGE(D154:D158),2)</f>
        <v/>
      </c>
      <c r="G158" s="15">
        <f>ROUND(AVERAGE(D139:D158),2)</f>
        <v/>
      </c>
    </row>
    <row r="159">
      <c r="A159" s="10" t="inlineStr">
        <is>
          <t>2026-09-10</t>
        </is>
      </c>
      <c r="B159" s="10" t="n">
        <v>1068</v>
      </c>
      <c r="C159" s="10" t="n">
        <v>1075</v>
      </c>
      <c r="D159" s="15">
        <f>B159-C159</f>
        <v/>
      </c>
      <c r="E159" s="16">
        <f>IFERROR(D159/C159*100,"")</f>
        <v/>
      </c>
      <c r="F159" s="15">
        <f>ROUND(AVERAGE(D155:D159),2)</f>
        <v/>
      </c>
      <c r="G159" s="15">
        <f>ROUND(AVERAGE(D140:D159),2)</f>
        <v/>
      </c>
    </row>
    <row r="160">
      <c r="A160" s="10" t="inlineStr">
        <is>
          <t>2026-09-11</t>
        </is>
      </c>
      <c r="B160" s="10" t="n">
        <v>1058</v>
      </c>
      <c r="C160" s="10" t="n">
        <v>1065</v>
      </c>
      <c r="D160" s="15">
        <f>B160-C160</f>
        <v/>
      </c>
      <c r="E160" s="16">
        <f>IFERROR(D160/C160*100,"")</f>
        <v/>
      </c>
      <c r="F160" s="15">
        <f>ROUND(AVERAGE(D156:D160),2)</f>
        <v/>
      </c>
      <c r="G160" s="15">
        <f>ROUND(AVERAGE(D141:D160),2)</f>
        <v/>
      </c>
    </row>
    <row r="161">
      <c r="A161" s="10" t="inlineStr">
        <is>
          <t>2026-09-14</t>
        </is>
      </c>
      <c r="B161" s="10" t="n">
        <v>1013</v>
      </c>
      <c r="C161" s="10" t="n">
        <v>1019</v>
      </c>
      <c r="D161" s="15">
        <f>B161-C161</f>
        <v/>
      </c>
      <c r="E161" s="16">
        <f>IFERROR(D161/C161*100,"")</f>
        <v/>
      </c>
      <c r="F161" s="15">
        <f>ROUND(AVERAGE(D157:D161),2)</f>
        <v/>
      </c>
      <c r="G161" s="15">
        <f>ROUND(AVERAGE(D142:D161),2)</f>
        <v/>
      </c>
    </row>
    <row r="162">
      <c r="A162" s="10" t="inlineStr">
        <is>
          <t>2026-09-15</t>
        </is>
      </c>
      <c r="B162" s="10" t="n">
        <v>1004</v>
      </c>
      <c r="C162" s="10" t="n">
        <v>1009</v>
      </c>
      <c r="D162" s="15">
        <f>B162-C162</f>
        <v/>
      </c>
      <c r="E162" s="16">
        <f>IFERROR(D162/C162*100,"")</f>
        <v/>
      </c>
      <c r="F162" s="15">
        <f>ROUND(AVERAGE(D158:D162),2)</f>
        <v/>
      </c>
      <c r="G162" s="15">
        <f>ROUND(AVERAGE(D143:D162),2)</f>
        <v/>
      </c>
    </row>
    <row r="163">
      <c r="A163" s="10" t="inlineStr">
        <is>
          <t>2026-09-16</t>
        </is>
      </c>
      <c r="B163" s="10" t="n">
        <v>1007</v>
      </c>
      <c r="C163" s="10" t="n">
        <v>1011</v>
      </c>
      <c r="D163" s="15">
        <f>B163-C163</f>
        <v/>
      </c>
      <c r="E163" s="16">
        <f>IFERROR(D163/C163*100,"")</f>
        <v/>
      </c>
      <c r="F163" s="15">
        <f>ROUND(AVERAGE(D159:D163),2)</f>
        <v/>
      </c>
      <c r="G163" s="15">
        <f>ROUND(AVERAGE(D144:D163),2)</f>
        <v/>
      </c>
    </row>
    <row r="164">
      <c r="A164" s="10" t="inlineStr">
        <is>
          <t>2026-09-17</t>
        </is>
      </c>
      <c r="B164" s="10" t="n">
        <v>1002</v>
      </c>
      <c r="C164" s="10" t="n">
        <v>1006</v>
      </c>
      <c r="D164" s="15">
        <f>B164-C164</f>
        <v/>
      </c>
      <c r="E164" s="16">
        <f>IFERROR(D164/C164*100,"")</f>
        <v/>
      </c>
      <c r="F164" s="15">
        <f>ROUND(AVERAGE(D160:D164),2)</f>
        <v/>
      </c>
      <c r="G164" s="15">
        <f>ROUND(AVERAGE(D145:D164),2)</f>
        <v/>
      </c>
    </row>
    <row r="165">
      <c r="A165" s="10" t="inlineStr">
        <is>
          <t>2026-09-18</t>
        </is>
      </c>
      <c r="B165" s="10" t="n">
        <v>1003</v>
      </c>
      <c r="C165" s="10" t="n">
        <v>1007</v>
      </c>
      <c r="D165" s="15">
        <f>B165-C165</f>
        <v/>
      </c>
      <c r="E165" s="16">
        <f>IFERROR(D165/C165*100,"")</f>
        <v/>
      </c>
      <c r="F165" s="15">
        <f>ROUND(AVERAGE(D161:D165),2)</f>
        <v/>
      </c>
      <c r="G165" s="15">
        <f>ROUND(AVERAGE(D146:D165),2)</f>
        <v/>
      </c>
    </row>
    <row r="166">
      <c r="A166" s="10" t="inlineStr">
        <is>
          <t>2026-09-21</t>
        </is>
      </c>
      <c r="B166" s="10" t="n">
        <v>1015</v>
      </c>
      <c r="C166" s="10" t="n">
        <v>1018</v>
      </c>
      <c r="D166" s="15">
        <f>B166-C166</f>
        <v/>
      </c>
      <c r="E166" s="16">
        <f>IFERROR(D166/C166*100,"")</f>
        <v/>
      </c>
      <c r="F166" s="15">
        <f>ROUND(AVERAGE(D162:D166),2)</f>
        <v/>
      </c>
      <c r="G166" s="15">
        <f>ROUND(AVERAGE(D147:D166),2)</f>
        <v/>
      </c>
    </row>
    <row r="167">
      <c r="A167" s="10" t="inlineStr">
        <is>
          <t>2026-09-22</t>
        </is>
      </c>
      <c r="B167" s="10" t="n">
        <v>1012</v>
      </c>
      <c r="C167" s="10" t="n">
        <v>1017</v>
      </c>
      <c r="D167" s="15">
        <f>B167-C167</f>
        <v/>
      </c>
      <c r="E167" s="16">
        <f>IFERROR(D167/C167*100,"")</f>
        <v/>
      </c>
      <c r="F167" s="15">
        <f>ROUND(AVERAGE(D163:D167),2)</f>
        <v/>
      </c>
      <c r="G167" s="15">
        <f>ROUND(AVERAGE(D148:D167),2)</f>
        <v/>
      </c>
    </row>
    <row r="168">
      <c r="A168" s="10" t="inlineStr">
        <is>
          <t>2026-09-23</t>
        </is>
      </c>
      <c r="B168" s="10" t="n">
        <v>1006</v>
      </c>
      <c r="C168" s="10" t="n">
        <v>1011</v>
      </c>
      <c r="D168" s="15">
        <f>B168-C168</f>
        <v/>
      </c>
      <c r="E168" s="16">
        <f>IFERROR(D168/C168*100,"")</f>
        <v/>
      </c>
      <c r="F168" s="15">
        <f>ROUND(AVERAGE(D164:D168),2)</f>
        <v/>
      </c>
      <c r="G168" s="15">
        <f>ROUND(AVERAGE(D149:D168),2)</f>
        <v/>
      </c>
    </row>
    <row r="169">
      <c r="A169" s="10" t="inlineStr">
        <is>
          <t>2026-09-24</t>
        </is>
      </c>
      <c r="B169" s="10" t="n">
        <v>998</v>
      </c>
      <c r="C169" s="10" t="n">
        <v>1004</v>
      </c>
      <c r="D169" s="15">
        <f>B169-C169</f>
        <v/>
      </c>
      <c r="E169" s="16">
        <f>IFERROR(D169/C169*100,"")</f>
        <v/>
      </c>
      <c r="F169" s="15">
        <f>ROUND(AVERAGE(D165:D169),2)</f>
        <v/>
      </c>
      <c r="G169" s="15">
        <f>ROUND(AVERAGE(D150:D169),2)</f>
        <v/>
      </c>
    </row>
    <row r="170">
      <c r="A170" s="10" t="inlineStr">
        <is>
          <t>2026-09-28</t>
        </is>
      </c>
      <c r="B170" s="10" t="n">
        <v>1009</v>
      </c>
      <c r="C170" s="10" t="n">
        <v>1014</v>
      </c>
      <c r="D170" s="15">
        <f>B170-C170</f>
        <v/>
      </c>
      <c r="E170" s="16">
        <f>IFERROR(D170/C170*100,"")</f>
        <v/>
      </c>
      <c r="F170" s="15">
        <f>ROUND(AVERAGE(D166:D170),2)</f>
        <v/>
      </c>
      <c r="G170" s="15">
        <f>ROUND(AVERAGE(D151:D170),2)</f>
        <v/>
      </c>
    </row>
    <row r="171">
      <c r="A171" s="10" t="inlineStr">
        <is>
          <t>2026-09-29</t>
        </is>
      </c>
      <c r="B171" s="10" t="n">
        <v>1007</v>
      </c>
      <c r="C171" s="10" t="n">
        <v>1012</v>
      </c>
      <c r="D171" s="15">
        <f>B171-C171</f>
        <v/>
      </c>
      <c r="E171" s="16">
        <f>IFERROR(D171/C171*100,"")</f>
        <v/>
      </c>
      <c r="F171" s="15">
        <f>ROUND(AVERAGE(D167:D171),2)</f>
        <v/>
      </c>
      <c r="G171" s="15">
        <f>ROUND(AVERAGE(D152:D171),2)</f>
        <v/>
      </c>
    </row>
    <row r="172">
      <c r="A172" s="10" t="inlineStr">
        <is>
          <t>2026-09-30</t>
        </is>
      </c>
      <c r="B172" s="10" t="n">
        <v>1000</v>
      </c>
      <c r="C172" s="10" t="n">
        <v>1006</v>
      </c>
      <c r="D172" s="15">
        <f>B172-C172</f>
        <v/>
      </c>
      <c r="E172" s="16">
        <f>IFERROR(D172/C172*100,"")</f>
        <v/>
      </c>
      <c r="F172" s="15">
        <f>ROUND(AVERAGE(D168:D172),2)</f>
        <v/>
      </c>
      <c r="G172" s="15">
        <f>ROUND(AVERAGE(D153:D172),2)</f>
        <v/>
      </c>
    </row>
    <row r="173">
      <c r="A173" s="10" t="inlineStr">
        <is>
          <t>2026-10-08</t>
        </is>
      </c>
      <c r="B173" s="10" t="n">
        <v>977</v>
      </c>
      <c r="C173" s="10" t="n">
        <v>983</v>
      </c>
      <c r="D173" s="15">
        <f>B173-C173</f>
        <v/>
      </c>
      <c r="E173" s="16">
        <f>IFERROR(D173/C173*100,"")</f>
        <v/>
      </c>
      <c r="F173" s="15">
        <f>ROUND(AVERAGE(D169:D173),2)</f>
        <v/>
      </c>
      <c r="G173" s="15">
        <f>ROUND(AVERAGE(D154:D173),2)</f>
        <v/>
      </c>
    </row>
    <row r="174">
      <c r="A174" s="10" t="inlineStr">
        <is>
          <t>2026-10-09</t>
        </is>
      </c>
      <c r="B174" s="10" t="n">
        <v>1004</v>
      </c>
      <c r="C174" s="10" t="n">
        <v>1010</v>
      </c>
      <c r="D174" s="15">
        <f>B174-C174</f>
        <v/>
      </c>
      <c r="E174" s="16">
        <f>IFERROR(D174/C174*100,"")</f>
        <v/>
      </c>
      <c r="F174" s="15">
        <f>ROUND(AVERAGE(D170:D174),2)</f>
        <v/>
      </c>
      <c r="G174" s="15">
        <f>ROUND(AVERAGE(D155:D174),2)</f>
        <v/>
      </c>
    </row>
    <row r="175">
      <c r="A175" s="10" t="inlineStr">
        <is>
          <t>2026-10-12</t>
        </is>
      </c>
      <c r="B175" s="10" t="n">
        <v>981</v>
      </c>
      <c r="C175" s="10" t="n">
        <v>985</v>
      </c>
      <c r="D175" s="15">
        <f>B175-C175</f>
        <v/>
      </c>
      <c r="E175" s="16">
        <f>IFERROR(D175/C175*100,"")</f>
        <v/>
      </c>
      <c r="F175" s="15">
        <f>ROUND(AVERAGE(D171:D175),2)</f>
        <v/>
      </c>
      <c r="G175" s="15">
        <f>ROUND(AVERAGE(D156:D175),2)</f>
        <v/>
      </c>
    </row>
    <row r="176">
      <c r="A176" s="10" t="inlineStr">
        <is>
          <t>2026-10-13</t>
        </is>
      </c>
      <c r="B176" s="10" t="n">
        <v>956</v>
      </c>
      <c r="C176" s="10" t="n">
        <v>961</v>
      </c>
      <c r="D176" s="15">
        <f>B176-C176</f>
        <v/>
      </c>
      <c r="E176" s="16">
        <f>IFERROR(D176/C176*100,"")</f>
        <v/>
      </c>
      <c r="F176" s="15">
        <f>ROUND(AVERAGE(D172:D176),2)</f>
        <v/>
      </c>
      <c r="G176" s="15">
        <f>ROUND(AVERAGE(D157:D176),2)</f>
        <v/>
      </c>
    </row>
    <row r="177">
      <c r="A177" s="10" t="inlineStr">
        <is>
          <t>2026-10-14</t>
        </is>
      </c>
      <c r="B177" s="10" t="n">
        <v>941</v>
      </c>
      <c r="C177" s="10" t="n">
        <v>944</v>
      </c>
      <c r="D177" s="15">
        <f>B177-C177</f>
        <v/>
      </c>
      <c r="E177" s="16">
        <f>IFERROR(D177/C177*100,"")</f>
        <v/>
      </c>
      <c r="F177" s="15">
        <f>ROUND(AVERAGE(D173:D177),2)</f>
        <v/>
      </c>
      <c r="G177" s="15">
        <f>ROUND(AVERAGE(D158:D177),2)</f>
        <v/>
      </c>
    </row>
    <row r="178">
      <c r="A178" s="10" t="inlineStr">
        <is>
          <t>2026-10-15</t>
        </is>
      </c>
      <c r="B178" s="10" t="n">
        <v>926</v>
      </c>
      <c r="C178" s="10" t="n">
        <v>932</v>
      </c>
      <c r="D178" s="15">
        <f>B178-C178</f>
        <v/>
      </c>
      <c r="E178" s="16">
        <f>IFERROR(D178/C178*100,"")</f>
        <v/>
      </c>
      <c r="F178" s="15">
        <f>ROUND(AVERAGE(D174:D178),2)</f>
        <v/>
      </c>
      <c r="G178" s="15">
        <f>ROUND(AVERAGE(D159:D178),2)</f>
        <v/>
      </c>
    </row>
    <row r="179">
      <c r="A179" s="10" t="inlineStr">
        <is>
          <t>2026-10-16</t>
        </is>
      </c>
      <c r="B179" s="10" t="n">
        <v>937</v>
      </c>
      <c r="C179" s="10" t="n">
        <v>939</v>
      </c>
      <c r="D179" s="15">
        <f>B179-C179</f>
        <v/>
      </c>
      <c r="E179" s="16">
        <f>IFERROR(D179/C179*100,"")</f>
        <v/>
      </c>
      <c r="F179" s="15">
        <f>ROUND(AVERAGE(D175:D179),2)</f>
        <v/>
      </c>
      <c r="G179" s="15">
        <f>ROUND(AVERAGE(D160:D179),2)</f>
        <v/>
      </c>
    </row>
    <row r="180">
      <c r="A180" s="10" t="inlineStr">
        <is>
          <t>2026-10-19</t>
        </is>
      </c>
      <c r="B180" s="10" t="n">
        <v>947</v>
      </c>
      <c r="C180" s="10" t="n">
        <v>951</v>
      </c>
      <c r="D180" s="15">
        <f>B180-C180</f>
        <v/>
      </c>
      <c r="E180" s="16">
        <f>IFERROR(D180/C180*100,"")</f>
        <v/>
      </c>
      <c r="F180" s="15">
        <f>ROUND(AVERAGE(D176:D180),2)</f>
        <v/>
      </c>
      <c r="G180" s="15">
        <f>ROUND(AVERAGE(D161:D180),2)</f>
        <v/>
      </c>
    </row>
    <row r="181">
      <c r="A181" s="10" t="inlineStr">
        <is>
          <t>2026-10-20</t>
        </is>
      </c>
      <c r="B181" s="10" t="n">
        <v>934</v>
      </c>
      <c r="C181" s="10" t="n">
        <v>938</v>
      </c>
      <c r="D181" s="15">
        <f>B181-C181</f>
        <v/>
      </c>
      <c r="E181" s="16">
        <f>IFERROR(D181/C181*100,"")</f>
        <v/>
      </c>
      <c r="F181" s="15">
        <f>ROUND(AVERAGE(D177:D181),2)</f>
        <v/>
      </c>
      <c r="G181" s="15">
        <f>ROUND(AVERAGE(D162:D181),2)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近期变化（同一合约对，回看 N 个交易日）</t>
        </is>
      </c>
    </row>
    <row r="2">
      <c r="A2" s="14" t="inlineStr">
        <is>
          <t>窗口一律用“该两腿都有报价的交易日”计数，不用日历日。</t>
        </is>
      </c>
    </row>
    <row r="4" ht="28" customHeight="1">
      <c r="A4" s="7" t="inlineStr">
        <is>
          <t>窗口</t>
        </is>
      </c>
      <c r="B4" s="7" t="inlineStr">
        <is>
          <t>交易日数</t>
        </is>
      </c>
      <c r="C4" s="7" t="inlineStr">
        <is>
          <t>起点</t>
        </is>
      </c>
      <c r="D4" s="7" t="inlineStr">
        <is>
          <t>终点</t>
        </is>
      </c>
      <c r="E4" s="7" t="inlineStr">
        <is>
          <t>期初月差</t>
        </is>
      </c>
      <c r="F4" s="7" t="inlineStr">
        <is>
          <t>期末月差</t>
        </is>
      </c>
      <c r="G4" s="7" t="inlineStr">
        <is>
          <t>月差变化</t>
        </is>
      </c>
      <c r="H4" s="7" t="inlineStr">
        <is>
          <t>A变化</t>
        </is>
      </c>
      <c r="I4" s="7" t="inlineStr">
        <is>
          <t>B变化</t>
        </is>
      </c>
    </row>
    <row r="5">
      <c r="A5" s="10" t="inlineStr">
        <is>
          <t>近1周</t>
        </is>
      </c>
      <c r="B5" s="10" t="n">
        <v>5</v>
      </c>
      <c r="C5" s="10" t="inlineStr">
        <is>
          <t>2026-10-13</t>
        </is>
      </c>
      <c r="D5" s="10" t="inlineStr">
        <is>
          <t>2026-10-20</t>
        </is>
      </c>
      <c r="E5" s="21" t="n">
        <v>-5</v>
      </c>
      <c r="F5" s="21" t="n">
        <v>-4</v>
      </c>
      <c r="G5" s="21" t="n">
        <v>1</v>
      </c>
      <c r="H5" s="21" t="n">
        <v>-22</v>
      </c>
      <c r="I5" s="21" t="n">
        <v>-23</v>
      </c>
    </row>
    <row r="6">
      <c r="A6" s="10" t="inlineStr">
        <is>
          <t>近2周</t>
        </is>
      </c>
      <c r="B6" s="10" t="n">
        <v>10</v>
      </c>
      <c r="C6" s="10" t="inlineStr">
        <is>
          <t>2026-09-29</t>
        </is>
      </c>
      <c r="D6" s="10" t="inlineStr">
        <is>
          <t>2026-10-20</t>
        </is>
      </c>
      <c r="E6" s="21" t="n">
        <v>-5</v>
      </c>
      <c r="F6" s="21" t="n">
        <v>-4</v>
      </c>
      <c r="G6" s="21" t="n">
        <v>1</v>
      </c>
      <c r="H6" s="21" t="n">
        <v>-73</v>
      </c>
      <c r="I6" s="21" t="n">
        <v>-74</v>
      </c>
    </row>
    <row r="7">
      <c r="A7" s="10" t="inlineStr">
        <is>
          <t>近1月</t>
        </is>
      </c>
      <c r="B7" s="10" t="n">
        <v>20</v>
      </c>
      <c r="C7" s="10" t="inlineStr">
        <is>
          <t>2026-09-14</t>
        </is>
      </c>
      <c r="D7" s="10" t="inlineStr">
        <is>
          <t>2026-10-20</t>
        </is>
      </c>
      <c r="E7" s="21" t="n">
        <v>-6</v>
      </c>
      <c r="F7" s="21" t="n">
        <v>-4</v>
      </c>
      <c r="G7" s="21" t="n">
        <v>2</v>
      </c>
      <c r="H7" s="21" t="n">
        <v>-79</v>
      </c>
      <c r="I7" s="21" t="n">
        <v>-81</v>
      </c>
    </row>
    <row r="8">
      <c r="A8" s="10" t="inlineStr">
        <is>
          <t>近3月</t>
        </is>
      </c>
      <c r="B8" s="10" t="n">
        <v>60</v>
      </c>
      <c r="C8" s="10" t="inlineStr">
        <is>
          <t>2026-07-20</t>
        </is>
      </c>
      <c r="D8" s="10" t="inlineStr">
        <is>
          <t>2026-10-20</t>
        </is>
      </c>
      <c r="E8" s="21" t="n">
        <v>-3</v>
      </c>
      <c r="F8" s="21" t="n">
        <v>-4</v>
      </c>
      <c r="G8" s="21" t="n">
        <v>-1</v>
      </c>
      <c r="H8" s="21" t="n">
        <v>-147</v>
      </c>
      <c r="I8" s="21" t="n">
        <v>-146</v>
      </c>
    </row>
    <row r="9">
      <c r="A9" s="10" t="inlineStr">
        <is>
          <t>近半年</t>
        </is>
      </c>
      <c r="B9" s="10" t="n">
        <v>120</v>
      </c>
      <c r="C9" s="10" t="inlineStr">
        <is>
          <t>2026-04-21</t>
        </is>
      </c>
      <c r="D9" s="10" t="inlineStr">
        <is>
          <t>2026-10-20</t>
        </is>
      </c>
      <c r="E9" s="21" t="n">
        <v>-6</v>
      </c>
      <c r="F9" s="21" t="n">
        <v>-4</v>
      </c>
      <c r="G9" s="21" t="n">
        <v>2</v>
      </c>
      <c r="H9" s="21" t="n">
        <v>-364</v>
      </c>
      <c r="I9" s="21" t="n">
        <v>-366</v>
      </c>
    </row>
    <row r="11">
      <c r="A11" s="14" t="inlineStr">
        <is>
          <t>判读：月差变化 = 近月变化 − 远月变化。若 A、B 同向同幅，则月差几乎不动——说明变的是整条曲线的水平而非结构。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60" customWidth="1" min="6" max="6"/>
  </cols>
  <sheetData>
    <row r="1">
      <c r="A1" s="1" t="inlineStr">
        <is>
          <t>历史分位：可用性判定与实际数值</t>
        </is>
      </c>
    </row>
    <row r="2">
      <c r="A2" s="14" t="inlineStr">
        <is>
          <t>不足该区间的样本不得称为“该区间分位”。</t>
        </is>
      </c>
    </row>
    <row r="4" ht="28" customHeight="1">
      <c r="A4" s="7" t="inlineStr">
        <is>
          <t>分布</t>
        </is>
      </c>
      <c r="B4" s="7" t="inlineStr">
        <is>
          <t>样本N</t>
        </is>
      </c>
      <c r="C4" s="7" t="inlineStr">
        <is>
          <t>起始</t>
        </is>
      </c>
      <c r="D4" s="7" t="inlineStr">
        <is>
          <t>当期分位%</t>
        </is>
      </c>
      <c r="E4" s="7" t="inlineStr">
        <is>
          <t>可用</t>
        </is>
      </c>
      <c r="F4" s="7" t="inlineStr">
        <is>
          <t>说明</t>
        </is>
      </c>
    </row>
    <row r="5">
      <c r="A5" s="10" t="inlineStr">
        <is>
          <t>全样本（本合约对上市以来）</t>
        </is>
      </c>
      <c r="B5" s="10" t="n">
        <v>177</v>
      </c>
      <c r="C5" s="10" t="inlineStr">
        <is>
          <t>2026-01-22</t>
        </is>
      </c>
      <c r="D5" s="9" t="n">
        <v>62.71186440677966</v>
      </c>
      <c r="E5" s="10" t="inlineStr">
        <is>
          <t>是</t>
        </is>
      </c>
      <c r="F5" s="11" t="inlineStr">
        <is>
          <t>样本完整</t>
        </is>
      </c>
    </row>
    <row r="6">
      <c r="A6" s="22" t="inlineStr">
        <is>
          <t>近1年</t>
        </is>
      </c>
      <c r="B6" s="22" t="n">
        <v>177</v>
      </c>
      <c r="C6" s="22" t="inlineStr">
        <is>
          <t>2026-01-22</t>
        </is>
      </c>
      <c r="D6" s="23" t="n">
        <v>62.71186440677966</v>
      </c>
      <c r="E6" s="22" t="inlineStr">
        <is>
          <t>否</t>
        </is>
      </c>
      <c r="F6" s="24" t="inlineStr">
        <is>
          <t>合约对实际历史仅 0.74 年（2026-01-22 起），不足 1 年，本项与全样本重合，不能称为“近1年分位”</t>
        </is>
      </c>
    </row>
    <row r="7">
      <c r="A7" s="22" t="inlineStr">
        <is>
          <t>近3年</t>
        </is>
      </c>
      <c r="B7" s="22" t="n">
        <v>177</v>
      </c>
      <c r="C7" s="22" t="inlineStr">
        <is>
          <t>2026-01-22</t>
        </is>
      </c>
      <c r="D7" s="23" t="n">
        <v>62.71186440677966</v>
      </c>
      <c r="E7" s="22" t="inlineStr">
        <is>
          <t>否</t>
        </is>
      </c>
      <c r="F7" s="24" t="inlineStr">
        <is>
          <t>合约对实际历史仅 0.74 年（2026-01-22 起），不足 3 年，本项与全样本重合，不能称为“近3年分位”</t>
        </is>
      </c>
    </row>
    <row r="8">
      <c r="A8" s="25" t="inlineStr">
        <is>
          <t>可比样本（跨年份同组合）</t>
        </is>
      </c>
      <c r="B8" s="25" t="n">
        <v>113</v>
      </c>
      <c r="C8" s="25" t="inlineStr"/>
      <c r="D8" s="26" t="n">
        <v>37.16814159292036</v>
      </c>
      <c r="E8" s="25" t="inlineStr">
        <is>
          <t>是</t>
        </is>
      </c>
      <c r="F8" s="27" t="inlineStr">
        <is>
          <t>同日历间隔 1 月，距本腿交割 ±10 个交易日；这是唯一可用来判断贵/便宜的分布</t>
        </is>
      </c>
    </row>
    <row r="11">
      <c r="A11" s="28" t="inlineStr">
        <is>
          <t>算法</t>
        </is>
      </c>
    </row>
    <row r="12">
      <c r="A12" s="3" t="inlineStr">
        <is>
          <t>分位 = #{可比样本 v : v ≤ 当期值} / N × 100（下方 07 页给出了逐样本明细，可自行用 COUNTIF 复核）</t>
        </is>
      </c>
    </row>
    <row r="13">
      <c r="A13" s="3" t="inlineStr">
        <is>
          <t>分位点用线性插值（Excel 的 PERCENTILE.INC 同法），与 Python numpy 的 "linear" 一致</t>
        </is>
      </c>
    </row>
  </sheetData>
  <mergeCells count="2">
    <mergeCell ref="A13:F13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可比样本：相同月份组合 + 相近距交割时间</t>
        </is>
      </c>
    </row>
    <row r="2">
      <c r="A2" s="14" t="inlineStr">
        <is>
          <t>规则：gap=1 月 且 |距本腿交割 − 40| ≤ 10 个交易日</t>
        </is>
      </c>
    </row>
    <row r="4" ht="28" customHeight="1">
      <c r="A4" s="7" t="inlineStr">
        <is>
          <t>组合</t>
        </is>
      </c>
      <c r="B4" s="7" t="inlineStr"/>
      <c r="C4" s="7" t="inlineStr">
        <is>
          <t>起始</t>
        </is>
      </c>
      <c r="D4" s="7" t="inlineStr">
        <is>
          <t>截止</t>
        </is>
      </c>
      <c r="E4" s="7" t="inlineStr">
        <is>
          <t>样本N</t>
        </is>
      </c>
      <c r="F4" s="7" t="inlineStr">
        <is>
          <t>均值</t>
        </is>
      </c>
      <c r="G4" s="7" t="inlineStr">
        <is>
          <t>中位</t>
        </is>
      </c>
      <c r="H4" s="7" t="inlineStr">
        <is>
          <t>最小</t>
        </is>
      </c>
      <c r="I4" s="7" t="inlineStr">
        <is>
          <t>P25</t>
        </is>
      </c>
      <c r="J4" s="7" t="inlineStr">
        <is>
          <t>P75</t>
        </is>
      </c>
      <c r="K4" s="7" t="inlineStr">
        <is>
          <t>最大</t>
        </is>
      </c>
      <c r="L4" s="7" t="inlineStr">
        <is>
          <t>标准差</t>
        </is>
      </c>
    </row>
    <row r="5">
      <c r="A5" s="10" t="inlineStr">
        <is>
          <t>SA2312</t>
        </is>
      </c>
      <c r="B5" s="10" t="inlineStr">
        <is>
          <t>SA2401</t>
        </is>
      </c>
      <c r="C5" s="10" t="inlineStr">
        <is>
          <t>2023-10-09</t>
        </is>
      </c>
      <c r="D5" s="10" t="inlineStr">
        <is>
          <t>2023-11-03</t>
        </is>
      </c>
      <c r="E5" s="10" t="n">
        <v>20</v>
      </c>
      <c r="F5" s="15" t="n">
        <v>94.90000000000001</v>
      </c>
      <c r="G5" s="15" t="n">
        <v>95</v>
      </c>
      <c r="H5" s="15" t="n">
        <v>72</v>
      </c>
      <c r="I5" s="15" t="n">
        <v>78</v>
      </c>
      <c r="J5" s="15" t="n">
        <v>112</v>
      </c>
      <c r="K5" s="15" t="n">
        <v>121</v>
      </c>
      <c r="L5" s="15" t="n">
        <v>17.30804498066236</v>
      </c>
    </row>
    <row r="6">
      <c r="A6" s="10" t="inlineStr">
        <is>
          <t>SA2112</t>
        </is>
      </c>
      <c r="B6" s="10" t="inlineStr">
        <is>
          <t>SA2201</t>
        </is>
      </c>
      <c r="C6" s="10" t="inlineStr">
        <is>
          <t>2021-10-08</t>
        </is>
      </c>
      <c r="D6" s="10" t="inlineStr">
        <is>
          <t>2021-11-03</t>
        </is>
      </c>
      <c r="E6" s="10" t="n">
        <v>19</v>
      </c>
      <c r="F6" s="15" t="n">
        <v>28.63157894736842</v>
      </c>
      <c r="G6" s="15" t="n">
        <v>0</v>
      </c>
      <c r="H6" s="15" t="n">
        <v>-11</v>
      </c>
      <c r="I6" s="15" t="n">
        <v>-3.5</v>
      </c>
      <c r="J6" s="15" t="n">
        <v>61.5</v>
      </c>
      <c r="K6" s="15" t="n">
        <v>139</v>
      </c>
      <c r="L6" s="15" t="n">
        <v>43.45778350731226</v>
      </c>
    </row>
    <row r="7">
      <c r="A7" s="10" t="inlineStr">
        <is>
          <t>SA2212</t>
        </is>
      </c>
      <c r="B7" s="10" t="inlineStr">
        <is>
          <t>SA2301</t>
        </is>
      </c>
      <c r="C7" s="10" t="inlineStr">
        <is>
          <t>2022-10-10</t>
        </is>
      </c>
      <c r="D7" s="10" t="inlineStr">
        <is>
          <t>2022-11-03</t>
        </is>
      </c>
      <c r="E7" s="10" t="n">
        <v>19</v>
      </c>
      <c r="F7" s="15" t="n">
        <v>108.5263157894737</v>
      </c>
      <c r="G7" s="15" t="n">
        <v>102</v>
      </c>
      <c r="H7" s="15" t="n">
        <v>70</v>
      </c>
      <c r="I7" s="15" t="n">
        <v>86</v>
      </c>
      <c r="J7" s="15" t="n">
        <v>119</v>
      </c>
      <c r="K7" s="15" t="n">
        <v>172</v>
      </c>
      <c r="L7" s="15" t="n">
        <v>29.66735658570925</v>
      </c>
    </row>
    <row r="8">
      <c r="A8" s="10" t="inlineStr">
        <is>
          <t>SA2412</t>
        </is>
      </c>
      <c r="B8" s="10" t="inlineStr">
        <is>
          <t>SA2501</t>
        </is>
      </c>
      <c r="C8" s="10" t="inlineStr">
        <is>
          <t>2024-10-08</t>
        </is>
      </c>
      <c r="D8" s="10" t="inlineStr">
        <is>
          <t>2024-11-01</t>
        </is>
      </c>
      <c r="E8" s="10" t="n">
        <v>19</v>
      </c>
      <c r="F8" s="15" t="n">
        <v>-14.63157894736842</v>
      </c>
      <c r="G8" s="15" t="n">
        <v>-15</v>
      </c>
      <c r="H8" s="15" t="n">
        <v>-18</v>
      </c>
      <c r="I8" s="15" t="n">
        <v>-16</v>
      </c>
      <c r="J8" s="15" t="n">
        <v>-12.5</v>
      </c>
      <c r="K8" s="15" t="n">
        <v>-11</v>
      </c>
      <c r="L8" s="15" t="n">
        <v>2.361979544454408</v>
      </c>
    </row>
    <row r="9">
      <c r="A9" s="10" t="inlineStr">
        <is>
          <t>SA2012</t>
        </is>
      </c>
      <c r="B9" s="10" t="inlineStr">
        <is>
          <t>SA2101</t>
        </is>
      </c>
      <c r="C9" s="10" t="inlineStr">
        <is>
          <t>2020-10-09</t>
        </is>
      </c>
      <c r="D9" s="10" t="inlineStr">
        <is>
          <t>2020-11-03</t>
        </is>
      </c>
      <c r="E9" s="10" t="n">
        <v>18</v>
      </c>
      <c r="F9" s="15" t="n">
        <v>37.77777777777778</v>
      </c>
      <c r="G9" s="15" t="n">
        <v>35.5</v>
      </c>
      <c r="H9" s="15" t="n">
        <v>28</v>
      </c>
      <c r="I9" s="15" t="n">
        <v>33</v>
      </c>
      <c r="J9" s="15" t="n">
        <v>42.5</v>
      </c>
      <c r="K9" s="15" t="n">
        <v>51</v>
      </c>
      <c r="L9" s="15" t="n">
        <v>6.983641015263124</v>
      </c>
    </row>
    <row r="10">
      <c r="A10" s="10" t="inlineStr">
        <is>
          <t>SA2512</t>
        </is>
      </c>
      <c r="B10" s="10" t="inlineStr">
        <is>
          <t>SA2601</t>
        </is>
      </c>
      <c r="C10" s="10" t="inlineStr">
        <is>
          <t>2025-10-09</t>
        </is>
      </c>
      <c r="D10" s="10" t="inlineStr">
        <is>
          <t>2025-11-03</t>
        </is>
      </c>
      <c r="E10" s="10" t="n">
        <v>18</v>
      </c>
      <c r="F10" s="15" t="n">
        <v>-11</v>
      </c>
      <c r="G10" s="15" t="n">
        <v>-11</v>
      </c>
      <c r="H10" s="15" t="n">
        <v>-14</v>
      </c>
      <c r="I10" s="15" t="n">
        <v>-11.75</v>
      </c>
      <c r="J10" s="15" t="n">
        <v>-10</v>
      </c>
      <c r="K10" s="15" t="n">
        <v>-9</v>
      </c>
      <c r="L10" s="15" t="n">
        <v>1.137592917989042</v>
      </c>
    </row>
    <row r="12">
      <c r="A12" s="2" t="inlineStr">
        <is>
          <t>合并样本</t>
        </is>
      </c>
    </row>
    <row r="13">
      <c r="A13" s="17" t="inlineStr">
        <is>
          <t>样本总数 N</t>
        </is>
      </c>
      <c r="B13" s="18" t="n">
        <v>113</v>
      </c>
    </row>
    <row r="14">
      <c r="A14" s="17" t="inlineStr">
        <is>
          <t>均值</t>
        </is>
      </c>
      <c r="B14" s="19" t="n">
        <v>41.66371681415929</v>
      </c>
    </row>
    <row r="15">
      <c r="A15" s="17" t="inlineStr">
        <is>
          <t>中位数</t>
        </is>
      </c>
      <c r="B15" s="19" t="n">
        <v>35</v>
      </c>
    </row>
    <row r="16">
      <c r="A16" s="17" t="inlineStr">
        <is>
          <t>最小值</t>
        </is>
      </c>
      <c r="B16" s="19" t="n">
        <v>-18</v>
      </c>
    </row>
    <row r="17">
      <c r="A17" s="17" t="inlineStr">
        <is>
          <t>最大值</t>
        </is>
      </c>
      <c r="B17" s="19" t="n">
        <v>172</v>
      </c>
    </row>
    <row r="18">
      <c r="A18" s="17" t="inlineStr">
        <is>
          <t>当期值</t>
        </is>
      </c>
      <c r="B18" s="19" t="n">
        <v>-4</v>
      </c>
    </row>
    <row r="19">
      <c r="A19" s="17" t="inlineStr">
        <is>
          <t>当期分位%</t>
        </is>
      </c>
      <c r="B19" s="20" t="n">
        <v>37.16814159292036</v>
      </c>
    </row>
    <row r="21">
      <c r="A21" s="14" t="inlineStr">
        <is>
          <t>说明：这些历史组合的“剩余到期时间”与本报告当期对齐，因此可以横向比较；不同 gap 或不同 dtd 的月差不可比，故未纳入。</t>
        </is>
      </c>
    </row>
  </sheetData>
  <mergeCells count="1">
    <mergeCell ref="A21:L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40" customWidth="1" min="9" max="9"/>
  </cols>
  <sheetData>
    <row r="1">
      <c r="A1" s="1" t="inlineStr">
        <is>
          <t>期限结构：2026-10-20 vs 2025-10-20</t>
        </is>
      </c>
    </row>
    <row r="2">
      <c r="A2" s="14" t="inlineStr">
        <is>
          <t>TS = P(合约) − P(最近月)；持仓 ≥ 1000.0 手</t>
        </is>
      </c>
    </row>
    <row r="4" ht="28" customHeight="1">
      <c r="A4" s="7" t="inlineStr">
        <is>
          <t>合约</t>
        </is>
      </c>
      <c r="B4" s="7" t="inlineStr">
        <is>
          <t>交割年月</t>
        </is>
      </c>
      <c r="C4" s="7" t="inlineStr">
        <is>
          <t>价格</t>
        </is>
      </c>
      <c r="D4" s="7" t="inlineStr">
        <is>
          <t>持仓</t>
        </is>
      </c>
      <c r="E4" s="7" t="inlineStr">
        <is>
          <t>距交割(交易日)</t>
        </is>
      </c>
      <c r="F4" s="7" t="inlineStr">
        <is>
          <t>TS(2026-10-20)</t>
        </is>
      </c>
      <c r="G4" s="7" t="inlineStr">
        <is>
          <t>2025-10-20 价格</t>
        </is>
      </c>
      <c r="H4" s="7" t="inlineStr">
        <is>
          <t>TS(2025-10-20)</t>
        </is>
      </c>
      <c r="I4" s="7" t="inlineStr">
        <is>
          <t>形态</t>
        </is>
      </c>
    </row>
    <row r="5">
      <c r="A5" s="10" t="inlineStr">
        <is>
          <t>SA2612</t>
        </is>
      </c>
      <c r="B5" s="10" t="inlineStr">
        <is>
          <t>2026-12</t>
        </is>
      </c>
      <c r="C5" s="15" t="n">
        <v>934</v>
      </c>
      <c r="D5" s="29" t="n">
        <v>142710</v>
      </c>
      <c r="E5" s="10" t="n">
        <v>40</v>
      </c>
      <c r="F5" s="15" t="n">
        <v>0</v>
      </c>
      <c r="G5" s="10" t="n"/>
      <c r="H5" s="10" t="n"/>
      <c r="I5" s="11" t="inlineStr">
        <is>
          <t>contango（全月正向、远月升水）</t>
        </is>
      </c>
    </row>
    <row r="6">
      <c r="A6" s="10" t="inlineStr">
        <is>
          <t>SA2701</t>
        </is>
      </c>
      <c r="B6" s="10" t="inlineStr">
        <is>
          <t>2027-01</t>
        </is>
      </c>
      <c r="C6" s="15" t="n">
        <v>938</v>
      </c>
      <c r="D6" s="29" t="n">
        <v>1317795</v>
      </c>
      <c r="E6" s="10" t="n">
        <v>63</v>
      </c>
      <c r="F6" s="15" t="n">
        <v>4</v>
      </c>
      <c r="G6" s="10" t="n"/>
      <c r="H6" s="10" t="n"/>
      <c r="I6" s="11" t="inlineStr"/>
    </row>
    <row r="7">
      <c r="A7" s="10" t="inlineStr">
        <is>
          <t>SA2703</t>
        </is>
      </c>
      <c r="B7" s="10" t="inlineStr">
        <is>
          <t>2027-03</t>
        </is>
      </c>
      <c r="C7" s="15" t="n">
        <v>972</v>
      </c>
      <c r="D7" s="29" t="n">
        <v>251446</v>
      </c>
      <c r="E7" s="10" t="n">
        <v>104</v>
      </c>
      <c r="F7" s="15" t="n">
        <v>38</v>
      </c>
      <c r="G7" s="10" t="n"/>
      <c r="H7" s="10" t="n"/>
      <c r="I7" s="11" t="inlineStr"/>
    </row>
    <row r="8">
      <c r="A8" s="10" t="inlineStr">
        <is>
          <t>SA2705</t>
        </is>
      </c>
      <c r="B8" s="10" t="inlineStr">
        <is>
          <t>2027-05</t>
        </is>
      </c>
      <c r="C8" s="15" t="n">
        <v>1002</v>
      </c>
      <c r="D8" s="29" t="n">
        <v>156478</v>
      </c>
      <c r="E8" s="10" t="n">
        <v>148</v>
      </c>
      <c r="F8" s="15" t="n">
        <v>68</v>
      </c>
      <c r="G8" s="10" t="n"/>
      <c r="H8" s="10" t="n"/>
      <c r="I8" s="11" t="inlineStr"/>
    </row>
    <row r="9">
      <c r="A9" s="10" t="inlineStr">
        <is>
          <t>SA2709</t>
        </is>
      </c>
      <c r="B9" s="10" t="inlineStr">
        <is>
          <t>2027-09</t>
        </is>
      </c>
      <c r="C9" s="15" t="n">
        <v>1054</v>
      </c>
      <c r="D9" s="29" t="n">
        <v>5714</v>
      </c>
      <c r="E9" s="10" t="n">
        <v>236</v>
      </c>
      <c r="F9" s="15" t="n">
        <v>120</v>
      </c>
      <c r="G9" s="10" t="n"/>
      <c r="H9" s="10" t="n"/>
      <c r="I9" s="11" t="inlineStr"/>
    </row>
    <row r="11">
      <c r="A11" s="28" t="inlineStr">
        <is>
          <t>判读</t>
        </is>
      </c>
    </row>
    <row r="12">
      <c r="A12" s="3" t="inlineStr">
        <is>
          <t>逐点连线即当前完整期限结构；同一日历日的去年同期对照列用于回答“同样的位置，去年是什么结构”。</t>
        </is>
      </c>
    </row>
  </sheetData>
  <mergeCells count="1">
    <mergeCell ref="A12:I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近月 vs 远月对月差变化的贡献</t>
        </is>
      </c>
    </row>
    <row r="2">
      <c r="A2" s="14" t="inlineStr">
        <is>
          <t>Δln(月差) = ln(A1/A0) − ln(B1/B0) = 近月贡献 + 远月贡献（精确加和，无残差）</t>
        </is>
      </c>
    </row>
    <row r="4" ht="28" customHeight="1">
      <c r="A4" s="7" t="inlineStr">
        <is>
          <t>区间</t>
        </is>
      </c>
      <c r="B4" s="7" t="inlineStr">
        <is>
          <t>起</t>
        </is>
      </c>
      <c r="C4" s="7" t="inlineStr">
        <is>
          <t>止</t>
        </is>
      </c>
      <c r="D4" s="7" t="inlineStr">
        <is>
          <t>Δ月差(元)</t>
        </is>
      </c>
      <c r="E4" s="7" t="inlineStr">
        <is>
          <t>A变化(元)</t>
        </is>
      </c>
      <c r="F4" s="7" t="inlineStr">
        <is>
          <t>近月贡献(对数)</t>
        </is>
      </c>
      <c r="G4" s="7" t="inlineStr">
        <is>
          <t>远月贡献(对数)</t>
        </is>
      </c>
      <c r="H4" s="7" t="inlineStr">
        <is>
          <t>近月贡献%</t>
        </is>
      </c>
      <c r="I4" s="7" t="inlineStr">
        <is>
          <t>远月贡献%</t>
        </is>
      </c>
    </row>
    <row r="5">
      <c r="A5" s="10" t="inlineStr">
        <is>
          <t>近1周</t>
        </is>
      </c>
      <c r="B5" s="10" t="inlineStr">
        <is>
          <t>2026-10-13</t>
        </is>
      </c>
      <c r="C5" s="10" t="inlineStr">
        <is>
          <t>2026-10-20</t>
        </is>
      </c>
      <c r="D5" s="21" t="n">
        <v>1</v>
      </c>
      <c r="E5" s="21" t="n">
        <v>-22</v>
      </c>
      <c r="F5" s="30" t="n">
        <v>-0.02328147482255864</v>
      </c>
      <c r="G5" s="30" t="n">
        <v>0.02422445996406787</v>
      </c>
      <c r="H5" s="21" t="n">
        <v>-2.328147482255864</v>
      </c>
      <c r="I5" s="21" t="n">
        <v>2.422445996406787</v>
      </c>
    </row>
    <row r="6">
      <c r="A6" s="10" t="inlineStr">
        <is>
          <t>近2周</t>
        </is>
      </c>
      <c r="B6" s="10" t="inlineStr">
        <is>
          <t>2026-09-29</t>
        </is>
      </c>
      <c r="C6" s="10" t="inlineStr">
        <is>
          <t>2026-10-20</t>
        </is>
      </c>
      <c r="D6" s="21" t="n">
        <v>1</v>
      </c>
      <c r="E6" s="21" t="n">
        <v>-73</v>
      </c>
      <c r="F6" s="30" t="n">
        <v>-0.07525445448971962</v>
      </c>
      <c r="G6" s="30" t="n">
        <v>0.0759339008411862</v>
      </c>
      <c r="H6" s="21" t="n">
        <v>-7.525445448971962</v>
      </c>
      <c r="I6" s="21" t="n">
        <v>7.59339008411862</v>
      </c>
    </row>
    <row r="7">
      <c r="A7" s="10" t="inlineStr">
        <is>
          <t>近1月</t>
        </is>
      </c>
      <c r="B7" s="10" t="inlineStr">
        <is>
          <t>2026-09-14</t>
        </is>
      </c>
      <c r="C7" s="10" t="inlineStr">
        <is>
          <t>2026-10-20</t>
        </is>
      </c>
      <c r="D7" s="21" t="n">
        <v>2</v>
      </c>
      <c r="E7" s="21" t="n">
        <v>-79</v>
      </c>
      <c r="F7" s="30" t="n">
        <v>-0.08119506601984076</v>
      </c>
      <c r="G7" s="30" t="n">
        <v>0.0828270842165001</v>
      </c>
      <c r="H7" s="21" t="n">
        <v>-8.119506601984076</v>
      </c>
      <c r="I7" s="21" t="n">
        <v>8.28270842165001</v>
      </c>
    </row>
    <row r="10">
      <c r="A10" s="2" t="inlineStr">
        <is>
          <t>逐日推动（最近 10 个交易日）</t>
        </is>
      </c>
    </row>
    <row r="11" ht="28" customHeight="1">
      <c r="A11" s="7" t="inlineStr">
        <is>
          <t>日期</t>
        </is>
      </c>
      <c r="B11" s="7" t="inlineStr">
        <is>
          <t>Δ月差(元)</t>
        </is>
      </c>
      <c r="C11" s="7" t="inlineStr">
        <is>
          <t>A涨跌</t>
        </is>
      </c>
      <c r="D11" s="7" t="inlineStr">
        <is>
          <t>B涨跌</t>
        </is>
      </c>
      <c r="E11" s="7" t="inlineStr">
        <is>
          <t>近月贡献</t>
        </is>
      </c>
      <c r="F11" s="7" t="inlineStr">
        <is>
          <t>远月贡献</t>
        </is>
      </c>
      <c r="G11" s="7" t="inlineStr">
        <is>
          <t>净效果判定</t>
        </is>
      </c>
      <c r="H11" s="7" t="inlineStr"/>
      <c r="I11" s="7" t="inlineStr"/>
    </row>
    <row r="12">
      <c r="A12" s="10" t="inlineStr">
        <is>
          <t>2026-09-30</t>
        </is>
      </c>
      <c r="B12" s="31" t="n">
        <v>-1</v>
      </c>
      <c r="C12" s="31" t="n">
        <v>-7</v>
      </c>
      <c r="D12" s="31" t="n">
        <v>-6</v>
      </c>
      <c r="E12" s="30" t="n">
        <v>-0.006975613736425211</v>
      </c>
      <c r="F12" s="30" t="n">
        <v>0.005946499187726303</v>
      </c>
      <c r="G12" s="10" t="inlineStr">
        <is>
          <t>两腿同步（相抵）</t>
        </is>
      </c>
    </row>
    <row r="13">
      <c r="A13" s="10" t="inlineStr">
        <is>
          <t>2026-10-08</t>
        </is>
      </c>
      <c r="B13" s="31" t="n">
        <v>0</v>
      </c>
      <c r="C13" s="31" t="n">
        <v>-23</v>
      </c>
      <c r="D13" s="31" t="n">
        <v>-23</v>
      </c>
      <c r="E13" s="30" t="n">
        <v>-0.02326862693935433</v>
      </c>
      <c r="F13" s="30" t="n">
        <v>0.02312823051251798</v>
      </c>
      <c r="G13" s="10" t="inlineStr">
        <is>
          <t>两腿同步（相抵）</t>
        </is>
      </c>
    </row>
    <row r="14">
      <c r="A14" s="10" t="inlineStr">
        <is>
          <t>2026-10-09</t>
        </is>
      </c>
      <c r="B14" s="31" t="n">
        <v>0</v>
      </c>
      <c r="C14" s="31" t="n">
        <v>27</v>
      </c>
      <c r="D14" s="31" t="n">
        <v>27</v>
      </c>
      <c r="E14" s="30" t="n">
        <v>0.02726064820889173</v>
      </c>
      <c r="F14" s="30" t="n">
        <v>-0.02709648968813851</v>
      </c>
      <c r="G14" s="10" t="inlineStr">
        <is>
          <t>两腿同步（相抵）</t>
        </is>
      </c>
    </row>
    <row r="15">
      <c r="A15" s="10" t="inlineStr">
        <is>
          <t>2026-10-12</t>
        </is>
      </c>
      <c r="B15" s="31" t="n">
        <v>2</v>
      </c>
      <c r="C15" s="31" t="n">
        <v>-23</v>
      </c>
      <c r="D15" s="31" t="n">
        <v>-25</v>
      </c>
      <c r="E15" s="30" t="n">
        <v>-0.0231748406863114</v>
      </c>
      <c r="F15" s="30" t="n">
        <v>0.02506396866321628</v>
      </c>
      <c r="G15" s="10" t="inlineStr">
        <is>
          <t>两腿同步（相抵）</t>
        </is>
      </c>
    </row>
    <row r="16">
      <c r="A16" s="10" t="inlineStr">
        <is>
          <t>2026-10-13</t>
        </is>
      </c>
      <c r="B16" s="31" t="n">
        <v>-1</v>
      </c>
      <c r="C16" s="31" t="n">
        <v>-25</v>
      </c>
      <c r="D16" s="31" t="n">
        <v>-24</v>
      </c>
      <c r="E16" s="30" t="n">
        <v>-0.02581454651396177</v>
      </c>
      <c r="F16" s="30" t="n">
        <v>0.0246672322017964</v>
      </c>
      <c r="G16" s="10" t="inlineStr">
        <is>
          <t>两腿同步（相抵）</t>
        </is>
      </c>
    </row>
    <row r="17">
      <c r="A17" s="10" t="inlineStr">
        <is>
          <t>2026-10-14</t>
        </is>
      </c>
      <c r="B17" s="31" t="n">
        <v>2</v>
      </c>
      <c r="C17" s="31" t="n">
        <v>-15</v>
      </c>
      <c r="D17" s="31" t="n">
        <v>-17</v>
      </c>
      <c r="E17" s="30" t="n">
        <v>-0.01581477346602171</v>
      </c>
      <c r="F17" s="30" t="n">
        <v>0.0178482428247918</v>
      </c>
      <c r="G17" s="10" t="inlineStr">
        <is>
          <t>两腿同步（相抵）</t>
        </is>
      </c>
    </row>
    <row r="18">
      <c r="A18" s="10" t="inlineStr">
        <is>
          <t>2026-10-15</t>
        </is>
      </c>
      <c r="B18" s="31" t="n">
        <v>-3</v>
      </c>
      <c r="C18" s="31" t="n">
        <v>-15</v>
      </c>
      <c r="D18" s="31" t="n">
        <v>-12</v>
      </c>
      <c r="E18" s="30" t="n">
        <v>-0.01606890493920021</v>
      </c>
      <c r="F18" s="30" t="n">
        <v>0.01279335145990947</v>
      </c>
      <c r="G18" s="10" t="inlineStr">
        <is>
          <t>近月主导</t>
        </is>
      </c>
    </row>
    <row r="19">
      <c r="A19" s="10" t="inlineStr">
        <is>
          <t>2026-10-16</t>
        </is>
      </c>
      <c r="B19" s="31" t="n">
        <v>4</v>
      </c>
      <c r="C19" s="31" t="n">
        <v>11</v>
      </c>
      <c r="D19" s="31" t="n">
        <v>7</v>
      </c>
      <c r="E19" s="30" t="n">
        <v>0.01180904759224282</v>
      </c>
      <c r="F19" s="30" t="n">
        <v>-0.00748266452267182</v>
      </c>
      <c r="G19" s="10" t="inlineStr">
        <is>
          <t>近月主导</t>
        </is>
      </c>
    </row>
    <row r="20">
      <c r="A20" s="10" t="inlineStr">
        <is>
          <t>2026-10-19</t>
        </is>
      </c>
      <c r="B20" s="31" t="n">
        <v>-2</v>
      </c>
      <c r="C20" s="31" t="n">
        <v>10</v>
      </c>
      <c r="D20" s="31" t="n">
        <v>12</v>
      </c>
      <c r="E20" s="30" t="n">
        <v>0.0106158109476561</v>
      </c>
      <c r="F20" s="30" t="n">
        <v>-0.01269858333712734</v>
      </c>
      <c r="G20" s="10" t="inlineStr">
        <is>
          <t>两腿同步（相抵）</t>
        </is>
      </c>
    </row>
    <row r="21">
      <c r="A21" s="10" t="inlineStr">
        <is>
          <t>2026-10-20</t>
        </is>
      </c>
      <c r="B21" s="31" t="n">
        <v>0</v>
      </c>
      <c r="C21" s="31" t="n">
        <v>-13</v>
      </c>
      <c r="D21" s="31" t="n">
        <v>-13</v>
      </c>
      <c r="E21" s="30" t="n">
        <v>-0.01382265495723563</v>
      </c>
      <c r="F21" s="30" t="n">
        <v>0.01376411353916566</v>
      </c>
      <c r="G21" s="10" t="inlineStr">
        <is>
          <t>两腿同步（相抵）</t>
        </is>
      </c>
    </row>
    <row r="23">
      <c r="A23" s="14" t="inlineStr">
        <is>
          <t>为什么用对数：对数差可加，能精确拆成“近月贡献 + 远月贡献”且不留残差；直接相减再做百分比会在月差接近 0 时爆炸。</t>
        </is>
      </c>
    </row>
  </sheetData>
  <mergeCells count="1">
    <mergeCell ref="A23:I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近端月差随时间的演变（按锚定合约分段）</t>
        </is>
      </c>
    </row>
    <row r="2">
      <c r="A2" s="14" t="inlineStr">
        <is>
          <t>换月即断段；跨段不可比、不可连成一条序列算分位。</t>
        </is>
      </c>
    </row>
    <row r="4" ht="28" customHeight="1">
      <c r="A4" s="7" t="inlineStr">
        <is>
          <t>锚定合约</t>
        </is>
      </c>
      <c r="B4" s="7" t="inlineStr">
        <is>
          <t>起点</t>
        </is>
      </c>
      <c r="C4" s="7" t="inlineStr">
        <is>
          <t>终点</t>
        </is>
      </c>
      <c r="D4" s="7" t="inlineStr">
        <is>
          <t>交易日数</t>
        </is>
      </c>
      <c r="E4" s="7" t="inlineStr">
        <is>
          <t>近端最小</t>
        </is>
      </c>
      <c r="F4" s="7" t="inlineStr">
        <is>
          <t>近端最大</t>
        </is>
      </c>
      <c r="G4" s="7" t="inlineStr">
        <is>
          <t>段末近端月差</t>
        </is>
      </c>
    </row>
    <row r="5">
      <c r="A5" s="10" t="inlineStr">
        <is>
          <t>SA2101</t>
        </is>
      </c>
      <c r="B5" s="10" t="inlineStr">
        <is>
          <t>2021-01-04</t>
        </is>
      </c>
      <c r="C5" s="10" t="inlineStr">
        <is>
          <t>2021-01-14</t>
        </is>
      </c>
      <c r="D5" s="10" t="n">
        <v>9</v>
      </c>
      <c r="E5" s="31" t="n">
        <v>83</v>
      </c>
      <c r="F5" s="31" t="n">
        <v>130</v>
      </c>
      <c r="G5" s="31" t="n">
        <v>113</v>
      </c>
    </row>
    <row r="6">
      <c r="A6" s="10" t="inlineStr">
        <is>
          <t>SA2103</t>
        </is>
      </c>
      <c r="B6" s="10" t="inlineStr">
        <is>
          <t>2021-01-15</t>
        </is>
      </c>
      <c r="C6" s="10" t="inlineStr">
        <is>
          <t>2021-03-09</t>
        </is>
      </c>
      <c r="D6" s="10" t="n">
        <v>33</v>
      </c>
      <c r="E6" s="31" t="n">
        <v>119</v>
      </c>
      <c r="F6" s="31" t="n">
        <v>212</v>
      </c>
      <c r="G6" s="31" t="n">
        <v>166</v>
      </c>
    </row>
    <row r="7">
      <c r="A7" s="10" t="inlineStr">
        <is>
          <t>SA2105</t>
        </is>
      </c>
      <c r="B7" s="10" t="inlineStr">
        <is>
          <t>2021-03-10</t>
        </is>
      </c>
      <c r="C7" s="10" t="inlineStr">
        <is>
          <t>2021-03-10</t>
        </is>
      </c>
      <c r="D7" s="10" t="n">
        <v>1</v>
      </c>
      <c r="E7" s="31" t="n">
        <v>144</v>
      </c>
      <c r="F7" s="31" t="n">
        <v>144</v>
      </c>
      <c r="G7" s="31" t="n">
        <v>144</v>
      </c>
    </row>
    <row r="8">
      <c r="A8" s="10" t="inlineStr">
        <is>
          <t>SA2103</t>
        </is>
      </c>
      <c r="B8" s="10" t="inlineStr">
        <is>
          <t>2021-03-11</t>
        </is>
      </c>
      <c r="C8" s="10" t="inlineStr">
        <is>
          <t>2021-03-12</t>
        </is>
      </c>
      <c r="D8" s="10" t="n">
        <v>2</v>
      </c>
      <c r="E8" s="31" t="n">
        <v>179</v>
      </c>
      <c r="F8" s="31" t="n">
        <v>201</v>
      </c>
      <c r="G8" s="31" t="n">
        <v>179</v>
      </c>
    </row>
    <row r="9">
      <c r="A9" s="10" t="inlineStr">
        <is>
          <t>SA2105</t>
        </is>
      </c>
      <c r="B9" s="10" t="inlineStr">
        <is>
          <t>2021-03-15</t>
        </is>
      </c>
      <c r="C9" s="10" t="inlineStr">
        <is>
          <t>2021-05-17</t>
        </is>
      </c>
      <c r="D9" s="10" t="n">
        <v>42</v>
      </c>
      <c r="E9" s="31" t="n">
        <v>97</v>
      </c>
      <c r="F9" s="31" t="n">
        <v>349</v>
      </c>
      <c r="G9" s="31" t="n">
        <v>348</v>
      </c>
    </row>
    <row r="10">
      <c r="A10" s="10" t="inlineStr">
        <is>
          <t>SA2109</t>
        </is>
      </c>
      <c r="B10" s="10" t="inlineStr">
        <is>
          <t>2021-05-18</t>
        </is>
      </c>
      <c r="C10" s="10" t="inlineStr">
        <is>
          <t>2021-05-18</t>
        </is>
      </c>
      <c r="D10" s="10" t="n">
        <v>1</v>
      </c>
      <c r="E10" s="31" t="n">
        <v>126</v>
      </c>
      <c r="F10" s="31" t="n">
        <v>126</v>
      </c>
      <c r="G10" s="31" t="n">
        <v>126</v>
      </c>
    </row>
    <row r="11">
      <c r="A11" s="10" t="inlineStr">
        <is>
          <t>SA2105</t>
        </is>
      </c>
      <c r="B11" s="10" t="inlineStr">
        <is>
          <t>2021-05-19</t>
        </is>
      </c>
      <c r="C11" s="10" t="inlineStr">
        <is>
          <t>2021-05-19</t>
        </is>
      </c>
      <c r="D11" s="10" t="n">
        <v>1</v>
      </c>
      <c r="E11" s="31" t="n">
        <v>364</v>
      </c>
      <c r="F11" s="31" t="n">
        <v>364</v>
      </c>
      <c r="G11" s="31" t="n">
        <v>364</v>
      </c>
    </row>
    <row r="12">
      <c r="A12" s="10" t="inlineStr">
        <is>
          <t>SA2109</t>
        </is>
      </c>
      <c r="B12" s="10" t="inlineStr">
        <is>
          <t>2021-05-20</t>
        </is>
      </c>
      <c r="C12" s="10" t="inlineStr">
        <is>
          <t>2021-09-14</t>
        </is>
      </c>
      <c r="D12" s="10" t="n">
        <v>83</v>
      </c>
      <c r="E12" s="31" t="n">
        <v>122</v>
      </c>
      <c r="F12" s="31" t="n">
        <v>278</v>
      </c>
      <c r="G12" s="31" t="n">
        <v>122</v>
      </c>
    </row>
    <row r="13">
      <c r="A13" s="10" t="inlineStr">
        <is>
          <t>SA2112</t>
        </is>
      </c>
      <c r="B13" s="10" t="inlineStr">
        <is>
          <t>2021-09-15</t>
        </is>
      </c>
      <c r="C13" s="10" t="inlineStr">
        <is>
          <t>2021-12-09</t>
        </is>
      </c>
      <c r="D13" s="10" t="n">
        <v>55</v>
      </c>
      <c r="E13" s="31" t="n">
        <v>-313</v>
      </c>
      <c r="F13" s="31" t="n">
        <v>11</v>
      </c>
      <c r="G13" s="31" t="n">
        <v>-313</v>
      </c>
    </row>
    <row r="14">
      <c r="A14" s="10" t="inlineStr">
        <is>
          <t>SA2201</t>
        </is>
      </c>
      <c r="B14" s="10" t="inlineStr">
        <is>
          <t>2021-12-10</t>
        </is>
      </c>
      <c r="C14" s="10" t="inlineStr">
        <is>
          <t>2021-12-10</t>
        </is>
      </c>
      <c r="D14" s="10" t="n">
        <v>1</v>
      </c>
      <c r="E14" s="31" t="n">
        <v>-100</v>
      </c>
      <c r="F14" s="31" t="n">
        <v>-100</v>
      </c>
      <c r="G14" s="31" t="n">
        <v>-100</v>
      </c>
    </row>
    <row r="15">
      <c r="A15" s="10" t="inlineStr">
        <is>
          <t>SA2112</t>
        </is>
      </c>
      <c r="B15" s="10" t="inlineStr">
        <is>
          <t>2021-12-13</t>
        </is>
      </c>
      <c r="C15" s="10" t="inlineStr">
        <is>
          <t>2021-12-14</t>
        </is>
      </c>
      <c r="D15" s="10" t="n">
        <v>2</v>
      </c>
      <c r="E15" s="31" t="n">
        <v>-78</v>
      </c>
      <c r="F15" s="31" t="n">
        <v>-39</v>
      </c>
      <c r="G15" s="31" t="n">
        <v>-39</v>
      </c>
    </row>
    <row r="16">
      <c r="A16" s="10" t="inlineStr">
        <is>
          <t>SA2201</t>
        </is>
      </c>
      <c r="B16" s="10" t="inlineStr">
        <is>
          <t>2021-12-15</t>
        </is>
      </c>
      <c r="C16" s="10" t="inlineStr">
        <is>
          <t>2022-01-12</t>
        </is>
      </c>
      <c r="D16" s="10" t="n">
        <v>20</v>
      </c>
      <c r="E16" s="31" t="n">
        <v>-123</v>
      </c>
      <c r="F16" s="31" t="n">
        <v>100</v>
      </c>
      <c r="G16" s="31" t="n">
        <v>100</v>
      </c>
    </row>
    <row r="17">
      <c r="A17" s="10" t="inlineStr">
        <is>
          <t>SA2203</t>
        </is>
      </c>
      <c r="B17" s="10" t="inlineStr">
        <is>
          <t>2022-01-13</t>
        </is>
      </c>
      <c r="C17" s="10" t="inlineStr">
        <is>
          <t>2022-03-07</t>
        </is>
      </c>
      <c r="D17" s="10" t="n">
        <v>33</v>
      </c>
      <c r="E17" s="31" t="n">
        <v>-48</v>
      </c>
      <c r="F17" s="31" t="n">
        <v>139</v>
      </c>
      <c r="G17" s="31" t="n">
        <v>-46</v>
      </c>
    </row>
    <row r="18">
      <c r="A18" s="10" t="inlineStr">
        <is>
          <t>SA2205</t>
        </is>
      </c>
      <c r="B18" s="10" t="inlineStr">
        <is>
          <t>2022-03-08</t>
        </is>
      </c>
      <c r="C18" s="10" t="inlineStr">
        <is>
          <t>2022-03-08</t>
        </is>
      </c>
      <c r="D18" s="10" t="n">
        <v>1</v>
      </c>
      <c r="E18" s="31" t="n">
        <v>132</v>
      </c>
      <c r="F18" s="31" t="n">
        <v>132</v>
      </c>
      <c r="G18" s="31" t="n">
        <v>132</v>
      </c>
    </row>
    <row r="19">
      <c r="A19" s="10" t="inlineStr">
        <is>
          <t>SA2203</t>
        </is>
      </c>
      <c r="B19" s="10" t="inlineStr">
        <is>
          <t>2022-03-09</t>
        </is>
      </c>
      <c r="C19" s="10" t="inlineStr">
        <is>
          <t>2022-03-11</t>
        </is>
      </c>
      <c r="D19" s="10" t="n">
        <v>3</v>
      </c>
      <c r="E19" s="31" t="n">
        <v>-190</v>
      </c>
      <c r="F19" s="31" t="n">
        <v>12</v>
      </c>
      <c r="G19" s="31" t="n">
        <v>-190</v>
      </c>
    </row>
    <row r="20">
      <c r="A20" s="10" t="inlineStr">
        <is>
          <t>SA2205</t>
        </is>
      </c>
      <c r="B20" s="10" t="inlineStr">
        <is>
          <t>2022-03-14</t>
        </is>
      </c>
      <c r="C20" s="10" t="inlineStr">
        <is>
          <t>2022-05-18</t>
        </is>
      </c>
      <c r="D20" s="10" t="n">
        <v>43</v>
      </c>
      <c r="E20" s="31" t="n">
        <v>-35</v>
      </c>
      <c r="F20" s="31" t="n">
        <v>164</v>
      </c>
      <c r="G20" s="31" t="n">
        <v>-32</v>
      </c>
    </row>
    <row r="21">
      <c r="A21" s="10" t="inlineStr">
        <is>
          <t>SA2209</t>
        </is>
      </c>
      <c r="B21" s="10" t="inlineStr">
        <is>
          <t>2022-05-19</t>
        </is>
      </c>
      <c r="C21" s="10" t="inlineStr">
        <is>
          <t>2022-09-15</t>
        </is>
      </c>
      <c r="D21" s="10" t="n">
        <v>84</v>
      </c>
      <c r="E21" s="31" t="n">
        <v>-287</v>
      </c>
      <c r="F21" s="31" t="n">
        <v>-38</v>
      </c>
      <c r="G21" s="31" t="n">
        <v>-202</v>
      </c>
    </row>
    <row r="22">
      <c r="A22" s="10" t="inlineStr">
        <is>
          <t>SA2212</t>
        </is>
      </c>
      <c r="B22" s="10" t="inlineStr">
        <is>
          <t>2022-09-16</t>
        </is>
      </c>
      <c r="C22" s="10" t="inlineStr">
        <is>
          <t>2022-12-08</t>
        </is>
      </c>
      <c r="D22" s="10" t="n">
        <v>55</v>
      </c>
      <c r="E22" s="31" t="n">
        <v>-172</v>
      </c>
      <c r="F22" s="31" t="n">
        <v>-3</v>
      </c>
      <c r="G22" s="31" t="n">
        <v>-3</v>
      </c>
    </row>
    <row r="23">
      <c r="A23" s="10" t="inlineStr">
        <is>
          <t>SA2301</t>
        </is>
      </c>
      <c r="B23" s="10" t="inlineStr">
        <is>
          <t>2022-12-09</t>
        </is>
      </c>
      <c r="C23" s="10" t="inlineStr">
        <is>
          <t>2023-01-16</t>
        </is>
      </c>
      <c r="D23" s="10" t="n">
        <v>26</v>
      </c>
      <c r="E23" s="31" t="n">
        <v>-45</v>
      </c>
      <c r="F23" s="31" t="n">
        <v>28</v>
      </c>
      <c r="G23" s="31" t="n">
        <v>-13</v>
      </c>
    </row>
    <row r="24">
      <c r="A24" s="10" t="inlineStr">
        <is>
          <t>SA2303</t>
        </is>
      </c>
      <c r="B24" s="10" t="inlineStr">
        <is>
          <t>2023-01-17</t>
        </is>
      </c>
      <c r="C24" s="10" t="inlineStr">
        <is>
          <t>2023-03-14</t>
        </is>
      </c>
      <c r="D24" s="10" t="n">
        <v>36</v>
      </c>
      <c r="E24" s="31" t="n">
        <v>-172</v>
      </c>
      <c r="F24" s="31" t="n">
        <v>-69</v>
      </c>
      <c r="G24" s="31" t="n">
        <v>-97</v>
      </c>
    </row>
    <row r="25">
      <c r="A25" s="10" t="inlineStr">
        <is>
          <t>SA2305</t>
        </is>
      </c>
      <c r="B25" s="10" t="inlineStr">
        <is>
          <t>2023-03-15</t>
        </is>
      </c>
      <c r="C25" s="10" t="inlineStr">
        <is>
          <t>2023-05-17</t>
        </is>
      </c>
      <c r="D25" s="10" t="n">
        <v>42</v>
      </c>
      <c r="E25" s="31" t="n">
        <v>-560</v>
      </c>
      <c r="F25" s="31" t="n">
        <v>-246</v>
      </c>
      <c r="G25" s="31" t="n">
        <v>-292</v>
      </c>
    </row>
    <row r="26">
      <c r="A26" s="10" t="inlineStr">
        <is>
          <t>SA2309</t>
        </is>
      </c>
      <c r="B26" s="10" t="inlineStr">
        <is>
          <t>2023-05-18</t>
        </is>
      </c>
      <c r="C26" s="10" t="inlineStr">
        <is>
          <t>2023-09-06</t>
        </is>
      </c>
      <c r="D26" s="10" t="n">
        <v>78</v>
      </c>
      <c r="E26" s="31" t="n">
        <v>-1271</v>
      </c>
      <c r="F26" s="31" t="n">
        <v>-123</v>
      </c>
      <c r="G26" s="31" t="n">
        <v>-1271</v>
      </c>
    </row>
    <row r="27">
      <c r="A27" s="10" t="inlineStr">
        <is>
          <t>SA2312</t>
        </is>
      </c>
      <c r="B27" s="10" t="inlineStr">
        <is>
          <t>2023-09-07</t>
        </is>
      </c>
      <c r="C27" s="10" t="inlineStr">
        <is>
          <t>2023-12-14</t>
        </is>
      </c>
      <c r="D27" s="10" t="n">
        <v>65</v>
      </c>
      <c r="E27" s="31" t="n">
        <v>-390</v>
      </c>
      <c r="F27" s="31" t="n">
        <v>-65</v>
      </c>
      <c r="G27" s="31" t="n">
        <v>-230</v>
      </c>
    </row>
    <row r="28">
      <c r="A28" s="10" t="inlineStr">
        <is>
          <t>SA2401</t>
        </is>
      </c>
      <c r="B28" s="10" t="inlineStr">
        <is>
          <t>2023-12-15</t>
        </is>
      </c>
      <c r="C28" s="10" t="inlineStr">
        <is>
          <t>2024-01-15</t>
        </is>
      </c>
      <c r="D28" s="10" t="n">
        <v>21</v>
      </c>
      <c r="E28" s="31" t="n">
        <v>-396</v>
      </c>
      <c r="F28" s="31" t="n">
        <v>-210</v>
      </c>
      <c r="G28" s="31" t="n">
        <v>-212</v>
      </c>
    </row>
    <row r="29">
      <c r="A29" s="10" t="inlineStr">
        <is>
          <t>SA2403</t>
        </is>
      </c>
      <c r="B29" s="10" t="inlineStr">
        <is>
          <t>2024-01-16</t>
        </is>
      </c>
      <c r="C29" s="10" t="inlineStr">
        <is>
          <t>2024-03-14</t>
        </is>
      </c>
      <c r="D29" s="10" t="n">
        <v>37</v>
      </c>
      <c r="E29" s="31" t="n">
        <v>-132</v>
      </c>
      <c r="F29" s="31" t="n">
        <v>0</v>
      </c>
      <c r="G29" s="31" t="n">
        <v>-20</v>
      </c>
    </row>
    <row r="30">
      <c r="A30" s="10" t="inlineStr">
        <is>
          <t>SA2405</t>
        </is>
      </c>
      <c r="B30" s="10" t="inlineStr">
        <is>
          <t>2024-03-15</t>
        </is>
      </c>
      <c r="C30" s="10" t="inlineStr">
        <is>
          <t>2024-05-17</t>
        </is>
      </c>
      <c r="D30" s="10" t="n">
        <v>41</v>
      </c>
      <c r="E30" s="31" t="n">
        <v>-50</v>
      </c>
      <c r="F30" s="31" t="n">
        <v>100</v>
      </c>
      <c r="G30" s="31" t="n">
        <v>91</v>
      </c>
    </row>
    <row r="31">
      <c r="A31" s="10" t="inlineStr">
        <is>
          <t>SA2409</t>
        </is>
      </c>
      <c r="B31" s="10" t="inlineStr">
        <is>
          <t>2024-05-20</t>
        </is>
      </c>
      <c r="C31" s="10" t="inlineStr">
        <is>
          <t>2024-09-13</t>
        </is>
      </c>
      <c r="D31" s="10" t="n">
        <v>84</v>
      </c>
      <c r="E31" s="31" t="n">
        <v>-137</v>
      </c>
      <c r="F31" s="31" t="n">
        <v>118</v>
      </c>
      <c r="G31" s="31" t="n">
        <v>45</v>
      </c>
    </row>
    <row r="32">
      <c r="A32" s="10" t="inlineStr">
        <is>
          <t>SA2412</t>
        </is>
      </c>
      <c r="B32" s="10" t="inlineStr">
        <is>
          <t>2024-09-18</t>
        </is>
      </c>
      <c r="C32" s="10" t="inlineStr">
        <is>
          <t>2024-12-13</t>
        </is>
      </c>
      <c r="D32" s="10" t="n">
        <v>58</v>
      </c>
      <c r="E32" s="31" t="n">
        <v>-6</v>
      </c>
      <c r="F32" s="31" t="n">
        <v>20</v>
      </c>
      <c r="G32" s="31" t="n">
        <v>9</v>
      </c>
    </row>
    <row r="33">
      <c r="A33" s="10" t="inlineStr">
        <is>
          <t>SA2501</t>
        </is>
      </c>
      <c r="B33" s="10" t="inlineStr">
        <is>
          <t>2024-12-16</t>
        </is>
      </c>
      <c r="C33" s="10" t="inlineStr">
        <is>
          <t>2025-01-14</t>
        </is>
      </c>
      <c r="D33" s="10" t="n">
        <v>21</v>
      </c>
      <c r="E33" s="31" t="n">
        <v>16</v>
      </c>
      <c r="F33" s="31" t="n">
        <v>62</v>
      </c>
      <c r="G33" s="31" t="n">
        <v>54</v>
      </c>
    </row>
    <row r="34">
      <c r="A34" s="10" t="inlineStr">
        <is>
          <t>SA2503</t>
        </is>
      </c>
      <c r="B34" s="10" t="inlineStr">
        <is>
          <t>2025-01-15</t>
        </is>
      </c>
      <c r="C34" s="10" t="inlineStr">
        <is>
          <t>2025-03-14</t>
        </is>
      </c>
      <c r="D34" s="10" t="n">
        <v>37</v>
      </c>
      <c r="E34" s="31" t="n">
        <v>33</v>
      </c>
      <c r="F34" s="31" t="n">
        <v>76</v>
      </c>
      <c r="G34" s="31" t="n">
        <v>57</v>
      </c>
    </row>
    <row r="35">
      <c r="A35" s="10" t="inlineStr">
        <is>
          <t>SA2505</t>
        </is>
      </c>
      <c r="B35" s="10" t="inlineStr">
        <is>
          <t>2025-03-17</t>
        </is>
      </c>
      <c r="C35" s="10" t="inlineStr">
        <is>
          <t>2025-05-19</t>
        </is>
      </c>
      <c r="D35" s="10" t="n">
        <v>42</v>
      </c>
      <c r="E35" s="31" t="n">
        <v>-1</v>
      </c>
      <c r="F35" s="31" t="n">
        <v>66</v>
      </c>
      <c r="G35" s="31" t="n">
        <v>-1</v>
      </c>
    </row>
    <row r="36">
      <c r="A36" s="10" t="inlineStr">
        <is>
          <t>SA2509</t>
        </is>
      </c>
      <c r="B36" s="10" t="inlineStr">
        <is>
          <t>2025-05-20</t>
        </is>
      </c>
      <c r="C36" s="10" t="inlineStr">
        <is>
          <t>2025-09-12</t>
        </is>
      </c>
      <c r="D36" s="10" t="n">
        <v>83</v>
      </c>
      <c r="E36" s="31" t="n">
        <v>9</v>
      </c>
      <c r="F36" s="31" t="n">
        <v>121</v>
      </c>
      <c r="G36" s="31" t="n">
        <v>116</v>
      </c>
    </row>
    <row r="37">
      <c r="A37" s="10" t="inlineStr">
        <is>
          <t>SA2512</t>
        </is>
      </c>
      <c r="B37" s="10" t="inlineStr">
        <is>
          <t>2025-09-15</t>
        </is>
      </c>
      <c r="C37" s="10" t="inlineStr">
        <is>
          <t>2025-12-12</t>
        </is>
      </c>
      <c r="D37" s="10" t="n">
        <v>59</v>
      </c>
      <c r="E37" s="31" t="n">
        <v>-6</v>
      </c>
      <c r="F37" s="31" t="n">
        <v>18</v>
      </c>
      <c r="G37" s="31" t="n">
        <v>-2</v>
      </c>
    </row>
    <row r="38">
      <c r="A38" s="10" t="inlineStr">
        <is>
          <t>SA2601</t>
        </is>
      </c>
      <c r="B38" s="10" t="inlineStr">
        <is>
          <t>2025-12-15</t>
        </is>
      </c>
      <c r="C38" s="10" t="inlineStr">
        <is>
          <t>2026-01-16</t>
        </is>
      </c>
      <c r="D38" s="10" t="n">
        <v>23</v>
      </c>
      <c r="E38" s="31" t="n">
        <v>6</v>
      </c>
      <c r="F38" s="31" t="n">
        <v>53</v>
      </c>
      <c r="G38" s="31" t="n">
        <v>39</v>
      </c>
    </row>
    <row r="39">
      <c r="A39" s="10" t="inlineStr">
        <is>
          <t>SA2603</t>
        </is>
      </c>
      <c r="B39" s="10" t="inlineStr">
        <is>
          <t>2026-01-19</t>
        </is>
      </c>
      <c r="C39" s="10" t="inlineStr">
        <is>
          <t>2026-03-12</t>
        </is>
      </c>
      <c r="D39" s="10" t="n">
        <v>33</v>
      </c>
      <c r="E39" s="31" t="n">
        <v>-29</v>
      </c>
      <c r="F39" s="31" t="n">
        <v>45</v>
      </c>
      <c r="G39" s="31" t="n">
        <v>-29</v>
      </c>
    </row>
    <row r="40">
      <c r="A40" s="10" t="inlineStr">
        <is>
          <t>SA2605</t>
        </is>
      </c>
      <c r="B40" s="10" t="inlineStr">
        <is>
          <t>2026-03-13</t>
        </is>
      </c>
      <c r="C40" s="10" t="inlineStr">
        <is>
          <t>2026-05-19</t>
        </is>
      </c>
      <c r="D40" s="10" t="n">
        <v>44</v>
      </c>
      <c r="E40" s="31" t="n">
        <v>57</v>
      </c>
      <c r="F40" s="31" t="n">
        <v>85</v>
      </c>
      <c r="G40" s="31" t="n">
        <v>84</v>
      </c>
    </row>
    <row r="41">
      <c r="A41" s="10" t="inlineStr">
        <is>
          <t>SA2609</t>
        </is>
      </c>
      <c r="B41" s="10" t="inlineStr">
        <is>
          <t>2026-05-20</t>
        </is>
      </c>
      <c r="C41" s="10" t="inlineStr">
        <is>
          <t>2026-09-14</t>
        </is>
      </c>
      <c r="D41" s="10" t="n">
        <v>83</v>
      </c>
      <c r="E41" s="31" t="n">
        <v>48</v>
      </c>
      <c r="F41" s="31" t="n">
        <v>110</v>
      </c>
      <c r="G41" s="31" t="n">
        <v>97</v>
      </c>
    </row>
    <row r="42">
      <c r="A42" s="10" t="inlineStr">
        <is>
          <t>SA2612</t>
        </is>
      </c>
      <c r="B42" s="10" t="inlineStr">
        <is>
          <t>2026-09-15</t>
        </is>
      </c>
      <c r="C42" s="10" t="inlineStr">
        <is>
          <t>2026-10-20</t>
        </is>
      </c>
      <c r="D42" s="10" t="n">
        <v>20</v>
      </c>
      <c r="E42" s="31" t="n">
        <v>2</v>
      </c>
      <c r="F42" s="31" t="n">
        <v>6</v>
      </c>
      <c r="G42" s="31" t="n">
        <v>4</v>
      </c>
    </row>
    <row r="44">
      <c r="A44" s="14" t="inlineStr">
        <is>
          <t>读法：看最近一行（当前段 SA2612 锚）的近端水平，与上一段（SA2609 锚，9 月中旬前）对比，即可看出换月后近端升水是否被抹平。</t>
        </is>
      </c>
    </row>
  </sheetData>
  <mergeCells count="1">
    <mergeCell ref="A44:G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40" customWidth="1" min="4" max="4"/>
  </cols>
  <sheetData>
    <row r="1">
      <c r="A1" s="1" t="inlineStr">
        <is>
          <t>仓单 / 库存（品种级）</t>
        </is>
      </c>
    </row>
    <row r="2">
      <c r="A2" s="14" t="inlineStr">
        <is>
          <t>交易所仓单是品种级日报，不是本合约对的仓单，不可拆分到近月/远月。</t>
        </is>
      </c>
    </row>
    <row r="4">
      <c r="A4" s="4" t="inlineStr">
        <is>
          <t>指标</t>
        </is>
      </c>
      <c r="B4" s="5" t="inlineStr">
        <is>
          <t>郑商所纯碱仓单(品种级)</t>
        </is>
      </c>
    </row>
    <row r="5">
      <c r="A5" s="4" t="inlineStr">
        <is>
          <t>最新</t>
        </is>
      </c>
      <c r="B5" s="5" t="inlineStr">
        <is>
          <t>3214.0 张 @ 2026-10-20</t>
        </is>
      </c>
    </row>
    <row r="6">
      <c r="A6" s="4" t="inlineStr">
        <is>
          <t>覆盖区间</t>
        </is>
      </c>
      <c r="B6" s="5" t="inlineStr">
        <is>
          <t>2026-07-13 ~ 2026-10-20（66 个交易日）</t>
        </is>
      </c>
    </row>
    <row r="7">
      <c r="A7" s="4" t="inlineStr">
        <is>
          <t>区间最高/最低</t>
        </is>
      </c>
      <c r="B7" s="5" t="inlineStr">
        <is>
          <t>8050.0 / 0.0</t>
        </is>
      </c>
    </row>
    <row r="8">
      <c r="A8" s="4" t="inlineStr">
        <is>
          <t>相对自身区间分位</t>
        </is>
      </c>
      <c r="B8" s="5" t="inlineStr">
        <is>
          <t>40.9%</t>
        </is>
      </c>
    </row>
    <row r="9">
      <c r="A9" s="4" t="inlineStr">
        <is>
          <t>近20日变化</t>
        </is>
      </c>
      <c r="B9" s="5" t="inlineStr">
        <is>
          <t>1002.0</t>
        </is>
      </c>
    </row>
    <row r="11" ht="28" customHeight="1">
      <c r="A11" s="7" t="inlineStr">
        <is>
          <t>日期</t>
        </is>
      </c>
      <c r="B11" s="7" t="inlineStr">
        <is>
          <t>仓单</t>
        </is>
      </c>
      <c r="C11" s="7" t="inlineStr">
        <is>
          <t>变化</t>
        </is>
      </c>
      <c r="D11" s="7" t="inlineStr">
        <is>
          <t>备注</t>
        </is>
      </c>
    </row>
    <row r="12">
      <c r="A12" s="10" t="inlineStr">
        <is>
          <t>2026-07-13</t>
        </is>
      </c>
      <c r="B12" s="29" t="n">
        <v>3640</v>
      </c>
      <c r="C12" s="10" t="n"/>
      <c r="D12" s="10" t="inlineStr"/>
    </row>
    <row r="13">
      <c r="A13" s="10" t="inlineStr">
        <is>
          <t>2026-07-14</t>
        </is>
      </c>
      <c r="B13" s="29" t="n">
        <v>3315</v>
      </c>
      <c r="C13" s="10" t="n"/>
      <c r="D13" s="10" t="inlineStr"/>
    </row>
    <row r="14">
      <c r="A14" s="10" t="inlineStr">
        <is>
          <t>2026-07-15</t>
        </is>
      </c>
      <c r="B14" s="29" t="n">
        <v>3297</v>
      </c>
      <c r="C14" s="10" t="n"/>
      <c r="D14" s="10" t="inlineStr"/>
    </row>
    <row r="15">
      <c r="A15" s="10" t="inlineStr">
        <is>
          <t>2026-07-16</t>
        </is>
      </c>
      <c r="B15" s="29" t="n">
        <v>3297</v>
      </c>
      <c r="C15" s="10" t="n"/>
      <c r="D15" s="10" t="inlineStr"/>
    </row>
    <row r="16">
      <c r="A16" s="10" t="inlineStr">
        <is>
          <t>2026-07-17</t>
        </is>
      </c>
      <c r="B16" s="29" t="n">
        <v>110</v>
      </c>
      <c r="C16" s="10" t="n"/>
      <c r="D16" s="10" t="inlineStr"/>
    </row>
    <row r="17">
      <c r="A17" s="10" t="inlineStr">
        <is>
          <t>2026-07-20</t>
        </is>
      </c>
      <c r="B17" s="29" t="n">
        <v>0</v>
      </c>
      <c r="C17" s="10" t="n"/>
      <c r="D17" s="10" t="inlineStr"/>
    </row>
    <row r="18">
      <c r="A18" s="10" t="inlineStr">
        <is>
          <t>2026-07-21</t>
        </is>
      </c>
      <c r="B18" s="29" t="n">
        <v>0</v>
      </c>
      <c r="C18" s="10" t="n"/>
      <c r="D18" s="10" t="inlineStr"/>
    </row>
    <row r="19">
      <c r="A19" s="10" t="inlineStr">
        <is>
          <t>2026-07-22</t>
        </is>
      </c>
      <c r="B19" s="29" t="n">
        <v>1560</v>
      </c>
      <c r="C19" s="10" t="n"/>
      <c r="D19" s="10" t="inlineStr"/>
    </row>
    <row r="20">
      <c r="A20" s="10" t="inlineStr">
        <is>
          <t>2026-07-23</t>
        </is>
      </c>
      <c r="B20" s="29" t="n">
        <v>2360</v>
      </c>
      <c r="C20" s="10" t="n"/>
      <c r="D20" s="10" t="inlineStr"/>
    </row>
    <row r="21">
      <c r="A21" s="10" t="inlineStr">
        <is>
          <t>2026-07-24</t>
        </is>
      </c>
      <c r="B21" s="29" t="n">
        <v>2766</v>
      </c>
      <c r="C21" s="10" t="n"/>
      <c r="D21" s="10" t="inlineStr"/>
    </row>
    <row r="22">
      <c r="A22" s="10" t="inlineStr">
        <is>
          <t>2026-07-27</t>
        </is>
      </c>
      <c r="B22" s="29" t="n">
        <v>2766</v>
      </c>
      <c r="C22" s="10" t="n"/>
      <c r="D22" s="10" t="inlineStr"/>
    </row>
    <row r="23">
      <c r="A23" s="10" t="inlineStr">
        <is>
          <t>2026-07-28</t>
        </is>
      </c>
      <c r="B23" s="29" t="n">
        <v>3216</v>
      </c>
      <c r="C23" s="10" t="n"/>
      <c r="D23" s="10" t="inlineStr"/>
    </row>
    <row r="24">
      <c r="A24" s="10" t="inlineStr">
        <is>
          <t>2026-07-29</t>
        </is>
      </c>
      <c r="B24" s="29" t="n">
        <v>5109</v>
      </c>
      <c r="C24" s="10" t="n"/>
      <c r="D24" s="10" t="inlineStr"/>
    </row>
    <row r="25">
      <c r="A25" s="10" t="inlineStr">
        <is>
          <t>2026-07-30</t>
        </is>
      </c>
      <c r="B25" s="29" t="n">
        <v>5150</v>
      </c>
      <c r="C25" s="10" t="n"/>
      <c r="D25" s="10" t="inlineStr"/>
    </row>
    <row r="26">
      <c r="A26" s="10" t="inlineStr">
        <is>
          <t>2026-07-31</t>
        </is>
      </c>
      <c r="B26" s="29" t="n">
        <v>6206</v>
      </c>
      <c r="C26" s="10" t="n"/>
      <c r="D26" s="10" t="inlineStr"/>
    </row>
    <row r="27">
      <c r="A27" s="10" t="inlineStr">
        <is>
          <t>2026-08-03</t>
        </is>
      </c>
      <c r="B27" s="29" t="n">
        <v>6192</v>
      </c>
      <c r="C27" s="10" t="n"/>
      <c r="D27" s="10" t="inlineStr"/>
    </row>
    <row r="28">
      <c r="A28" s="10" t="inlineStr">
        <is>
          <t>2026-08-04</t>
        </is>
      </c>
      <c r="B28" s="29" t="n">
        <v>6192</v>
      </c>
      <c r="C28" s="10" t="n"/>
      <c r="D28" s="10" t="inlineStr"/>
    </row>
    <row r="29">
      <c r="A29" s="10" t="inlineStr">
        <is>
          <t>2026-08-05</t>
        </is>
      </c>
      <c r="B29" s="29" t="n">
        <v>6286</v>
      </c>
      <c r="C29" s="10" t="n"/>
      <c r="D29" s="10" t="inlineStr"/>
    </row>
    <row r="30">
      <c r="A30" s="10" t="inlineStr">
        <is>
          <t>2026-08-06</t>
        </is>
      </c>
      <c r="B30" s="29" t="n">
        <v>7336</v>
      </c>
      <c r="C30" s="10" t="n"/>
      <c r="D30" s="10" t="inlineStr"/>
    </row>
    <row r="31">
      <c r="A31" s="10" t="inlineStr">
        <is>
          <t>2026-08-07</t>
        </is>
      </c>
      <c r="B31" s="29" t="n">
        <v>6133</v>
      </c>
      <c r="C31" s="10" t="n"/>
      <c r="D31" s="10" t="inlineStr"/>
    </row>
    <row r="32">
      <c r="A32" s="10" t="inlineStr">
        <is>
          <t>2026-08-10</t>
        </is>
      </c>
      <c r="B32" s="29" t="n">
        <v>5333</v>
      </c>
      <c r="C32" s="10" t="n"/>
      <c r="D32" s="10" t="inlineStr"/>
    </row>
    <row r="33">
      <c r="A33" s="10" t="inlineStr">
        <is>
          <t>2026-08-11</t>
        </is>
      </c>
      <c r="B33" s="29" t="n">
        <v>6037</v>
      </c>
      <c r="C33" s="10" t="n"/>
      <c r="D33" s="10" t="inlineStr"/>
    </row>
    <row r="34">
      <c r="A34" s="10" t="inlineStr">
        <is>
          <t>2026-08-12</t>
        </is>
      </c>
      <c r="B34" s="29" t="n">
        <v>5993</v>
      </c>
      <c r="C34" s="10" t="n"/>
      <c r="D34" s="10" t="inlineStr"/>
    </row>
    <row r="35">
      <c r="A35" s="10" t="inlineStr">
        <is>
          <t>2026-08-13</t>
        </is>
      </c>
      <c r="B35" s="29" t="n">
        <v>5940</v>
      </c>
      <c r="C35" s="10" t="n"/>
      <c r="D35" s="10" t="inlineStr"/>
    </row>
    <row r="36">
      <c r="A36" s="10" t="inlineStr">
        <is>
          <t>2026-08-14</t>
        </is>
      </c>
      <c r="B36" s="29" t="n">
        <v>5940</v>
      </c>
      <c r="C36" s="10" t="n"/>
      <c r="D36" s="10" t="inlineStr"/>
    </row>
    <row r="37">
      <c r="A37" s="10" t="inlineStr">
        <is>
          <t>2026-08-17</t>
        </is>
      </c>
      <c r="B37" s="29" t="n">
        <v>5280</v>
      </c>
      <c r="C37" s="10" t="n"/>
      <c r="D37" s="10" t="inlineStr"/>
    </row>
    <row r="38">
      <c r="A38" s="10" t="inlineStr">
        <is>
          <t>2026-08-18</t>
        </is>
      </c>
      <c r="B38" s="29" t="n">
        <v>5280</v>
      </c>
      <c r="C38" s="10" t="n"/>
      <c r="D38" s="10" t="inlineStr"/>
    </row>
    <row r="39">
      <c r="A39" s="10" t="inlineStr">
        <is>
          <t>2026-08-19</t>
        </is>
      </c>
      <c r="B39" s="29" t="n">
        <v>5191</v>
      </c>
      <c r="C39" s="10" t="n"/>
      <c r="D39" s="10" t="inlineStr"/>
    </row>
    <row r="40">
      <c r="A40" s="10" t="inlineStr">
        <is>
          <t>2026-08-20</t>
        </is>
      </c>
      <c r="B40" s="29" t="n">
        <v>7641</v>
      </c>
      <c r="C40" s="10" t="n"/>
      <c r="D40" s="10" t="inlineStr"/>
    </row>
    <row r="41">
      <c r="A41" s="10" t="inlineStr">
        <is>
          <t>2026-08-21</t>
        </is>
      </c>
      <c r="B41" s="29" t="n">
        <v>7591</v>
      </c>
      <c r="C41" s="10" t="n"/>
      <c r="D41" s="10" t="inlineStr"/>
    </row>
    <row r="42">
      <c r="A42" s="10" t="inlineStr">
        <is>
          <t>2026-08-24</t>
        </is>
      </c>
      <c r="B42" s="29" t="n">
        <v>7532</v>
      </c>
      <c r="C42" s="10" t="n"/>
      <c r="D42" s="10" t="inlineStr"/>
    </row>
    <row r="43">
      <c r="A43" s="10" t="inlineStr">
        <is>
          <t>2026-08-25</t>
        </is>
      </c>
      <c r="B43" s="29" t="n">
        <v>7568</v>
      </c>
      <c r="C43" s="10" t="n"/>
      <c r="D43" s="10" t="inlineStr"/>
    </row>
    <row r="44">
      <c r="A44" s="10" t="inlineStr">
        <is>
          <t>2026-08-26</t>
        </is>
      </c>
      <c r="B44" s="29" t="n">
        <v>7756</v>
      </c>
      <c r="C44" s="10" t="n"/>
      <c r="D44" s="10" t="inlineStr"/>
    </row>
    <row r="45">
      <c r="A45" s="10" t="inlineStr">
        <is>
          <t>2026-08-27</t>
        </is>
      </c>
      <c r="B45" s="29" t="n">
        <v>7693</v>
      </c>
      <c r="C45" s="10" t="n"/>
      <c r="D45" s="10" t="inlineStr"/>
    </row>
    <row r="46">
      <c r="A46" s="10" t="inlineStr">
        <is>
          <t>2026-08-28</t>
        </is>
      </c>
      <c r="B46" s="29" t="n">
        <v>8050</v>
      </c>
      <c r="C46" s="10" t="n"/>
      <c r="D46" s="10" t="inlineStr"/>
    </row>
    <row r="47">
      <c r="A47" s="10" t="inlineStr">
        <is>
          <t>2026-08-31</t>
        </is>
      </c>
      <c r="B47" s="29" t="n">
        <v>7013</v>
      </c>
      <c r="C47" s="10" t="n"/>
      <c r="D47" s="10" t="inlineStr"/>
    </row>
    <row r="48">
      <c r="A48" s="10" t="inlineStr">
        <is>
          <t>2026-09-01</t>
        </is>
      </c>
      <c r="B48" s="29" t="n">
        <v>6828</v>
      </c>
      <c r="C48" s="10" t="n"/>
      <c r="D48" s="10" t="inlineStr"/>
    </row>
    <row r="49">
      <c r="A49" s="10" t="inlineStr">
        <is>
          <t>2026-09-02</t>
        </is>
      </c>
      <c r="B49" s="29" t="n">
        <v>6454</v>
      </c>
      <c r="C49" s="10" t="n"/>
      <c r="D49" s="10" t="inlineStr"/>
    </row>
    <row r="50">
      <c r="A50" s="10" t="inlineStr">
        <is>
          <t>2026-09-03</t>
        </is>
      </c>
      <c r="B50" s="29" t="n">
        <v>6263</v>
      </c>
      <c r="C50" s="10" t="n"/>
      <c r="D50" s="10" t="inlineStr"/>
    </row>
    <row r="51">
      <c r="A51" s="10" t="inlineStr">
        <is>
          <t>2026-09-04</t>
        </is>
      </c>
      <c r="B51" s="29" t="n">
        <v>5991</v>
      </c>
      <c r="C51" s="10" t="n"/>
      <c r="D51" s="10" t="inlineStr"/>
    </row>
    <row r="52">
      <c r="A52" s="10" t="inlineStr">
        <is>
          <t>2026-09-07</t>
        </is>
      </c>
      <c r="B52" s="29" t="n">
        <v>5210</v>
      </c>
      <c r="C52" s="10" t="n"/>
      <c r="D52" s="10" t="inlineStr"/>
    </row>
    <row r="53">
      <c r="A53" s="10" t="inlineStr">
        <is>
          <t>2026-09-08</t>
        </is>
      </c>
      <c r="B53" s="29" t="n">
        <v>5150</v>
      </c>
      <c r="C53" s="10" t="n"/>
      <c r="D53" s="10" t="inlineStr"/>
    </row>
    <row r="54">
      <c r="A54" s="10" t="inlineStr">
        <is>
          <t>2026-09-09</t>
        </is>
      </c>
      <c r="B54" s="29" t="n">
        <v>3096</v>
      </c>
      <c r="C54" s="10" t="n"/>
      <c r="D54" s="10" t="inlineStr"/>
    </row>
    <row r="55">
      <c r="A55" s="10" t="inlineStr">
        <is>
          <t>2026-09-10</t>
        </is>
      </c>
      <c r="B55" s="29" t="n">
        <v>2306</v>
      </c>
      <c r="C55" s="10" t="n"/>
      <c r="D55" s="10" t="inlineStr"/>
    </row>
    <row r="56">
      <c r="A56" s="10" t="inlineStr">
        <is>
          <t>2026-09-11</t>
        </is>
      </c>
      <c r="B56" s="29" t="n">
        <v>2212</v>
      </c>
      <c r="C56" s="10" t="n"/>
      <c r="D56" s="10" t="inlineStr"/>
    </row>
    <row r="57">
      <c r="A57" s="10" t="inlineStr">
        <is>
          <t>2026-09-14</t>
        </is>
      </c>
      <c r="B57" s="29" t="n">
        <v>2212</v>
      </c>
      <c r="C57" s="10" t="n"/>
      <c r="D57" s="10" t="inlineStr"/>
    </row>
    <row r="58">
      <c r="A58" s="10" t="inlineStr">
        <is>
          <t>2026-09-15</t>
        </is>
      </c>
      <c r="B58" s="29" t="n">
        <v>1949</v>
      </c>
      <c r="C58" s="10" t="n"/>
      <c r="D58" s="10" t="inlineStr"/>
    </row>
    <row r="59">
      <c r="A59" s="10" t="inlineStr">
        <is>
          <t>2026-09-16</t>
        </is>
      </c>
      <c r="B59" s="29" t="n">
        <v>1897</v>
      </c>
      <c r="C59" s="10" t="n"/>
      <c r="D59" s="10" t="inlineStr"/>
    </row>
    <row r="60">
      <c r="A60" s="10" t="inlineStr">
        <is>
          <t>2026-09-17</t>
        </is>
      </c>
      <c r="B60" s="29" t="n">
        <v>169</v>
      </c>
      <c r="C60" s="10" t="n"/>
      <c r="D60" s="10" t="inlineStr"/>
    </row>
    <row r="61">
      <c r="A61" s="10" t="inlineStr">
        <is>
          <t>2026-09-18</t>
        </is>
      </c>
      <c r="B61" s="29" t="n">
        <v>169</v>
      </c>
      <c r="C61" s="10" t="n"/>
      <c r="D61" s="10" t="inlineStr"/>
    </row>
    <row r="62">
      <c r="A62" s="10" t="inlineStr">
        <is>
          <t>2026-09-21</t>
        </is>
      </c>
      <c r="B62" s="29" t="n">
        <v>0</v>
      </c>
      <c r="C62" s="10" t="n"/>
      <c r="D62" s="10" t="inlineStr"/>
    </row>
    <row r="63">
      <c r="A63" s="10" t="inlineStr">
        <is>
          <t>2026-09-22</t>
        </is>
      </c>
      <c r="B63" s="29" t="n">
        <v>1576</v>
      </c>
      <c r="C63" s="10" t="n"/>
      <c r="D63" s="10" t="inlineStr"/>
    </row>
    <row r="64">
      <c r="A64" s="10" t="inlineStr">
        <is>
          <t>2026-09-23</t>
        </is>
      </c>
      <c r="B64" s="29" t="n">
        <v>1715</v>
      </c>
      <c r="C64" s="10" t="n"/>
      <c r="D64" s="10" t="inlineStr"/>
    </row>
    <row r="65">
      <c r="A65" s="10" t="inlineStr">
        <is>
          <t>2026-09-24</t>
        </is>
      </c>
      <c r="B65" s="29" t="n">
        <v>1887</v>
      </c>
      <c r="C65" s="10" t="n"/>
      <c r="D65" s="10" t="inlineStr"/>
    </row>
    <row r="66">
      <c r="A66" s="10" t="inlineStr">
        <is>
          <t>2026-09-28</t>
        </is>
      </c>
      <c r="B66" s="29" t="n">
        <v>1851</v>
      </c>
      <c r="C66" s="10" t="n"/>
      <c r="D66" s="10" t="inlineStr"/>
    </row>
    <row r="67">
      <c r="A67" s="10" t="inlineStr">
        <is>
          <t>2026-09-29</t>
        </is>
      </c>
      <c r="B67" s="29" t="n">
        <v>3094</v>
      </c>
      <c r="C67" s="10" t="n"/>
      <c r="D67" s="10" t="inlineStr"/>
    </row>
    <row r="68">
      <c r="A68" s="10" t="inlineStr">
        <is>
          <t>2026-09-30</t>
        </is>
      </c>
      <c r="B68" s="29" t="n">
        <v>3113</v>
      </c>
      <c r="C68" s="10" t="n"/>
      <c r="D68" s="10" t="inlineStr"/>
    </row>
    <row r="69">
      <c r="A69" s="10" t="inlineStr">
        <is>
          <t>2026-10-08</t>
        </is>
      </c>
      <c r="B69" s="29" t="n">
        <v>3300</v>
      </c>
      <c r="C69" s="10" t="n"/>
      <c r="D69" s="10" t="inlineStr"/>
    </row>
    <row r="70">
      <c r="A70" s="10" t="inlineStr">
        <is>
          <t>2026-10-09</t>
        </is>
      </c>
      <c r="B70" s="29" t="n">
        <v>3225</v>
      </c>
      <c r="C70" s="10" t="n"/>
      <c r="D70" s="10" t="inlineStr"/>
    </row>
    <row r="71">
      <c r="A71" s="10" t="inlineStr">
        <is>
          <t>2026-10-12</t>
        </is>
      </c>
      <c r="B71" s="29" t="n">
        <v>3200</v>
      </c>
      <c r="C71" s="10" t="n"/>
      <c r="D71" s="10" t="inlineStr"/>
    </row>
    <row r="72">
      <c r="A72" s="10" t="inlineStr">
        <is>
          <t>2026-10-13</t>
        </is>
      </c>
      <c r="B72" s="29" t="n">
        <v>3200</v>
      </c>
      <c r="C72" s="10" t="n"/>
      <c r="D72" s="10" t="inlineStr"/>
    </row>
    <row r="73">
      <c r="A73" s="10" t="inlineStr">
        <is>
          <t>2026-10-14</t>
        </is>
      </c>
      <c r="B73" s="29" t="n">
        <v>3582</v>
      </c>
      <c r="C73" s="10" t="n"/>
      <c r="D73" s="10" t="inlineStr"/>
    </row>
    <row r="74">
      <c r="A74" s="10" t="inlineStr">
        <is>
          <t>2026-10-15</t>
        </is>
      </c>
      <c r="B74" s="29" t="n">
        <v>3563</v>
      </c>
      <c r="C74" s="10" t="n"/>
      <c r="D74" s="10" t="inlineStr"/>
    </row>
    <row r="75">
      <c r="A75" s="10" t="inlineStr">
        <is>
          <t>2026-10-16</t>
        </is>
      </c>
      <c r="B75" s="29" t="n">
        <v>3163</v>
      </c>
      <c r="C75" s="10" t="n"/>
      <c r="D75" s="10" t="inlineStr"/>
    </row>
    <row r="76">
      <c r="A76" s="10" t="inlineStr">
        <is>
          <t>2026-10-19</t>
        </is>
      </c>
      <c r="B76" s="29" t="n">
        <v>3163</v>
      </c>
      <c r="C76" s="10" t="n"/>
      <c r="D76" s="10" t="inlineStr"/>
    </row>
    <row r="77">
      <c r="A77" s="10" t="inlineStr">
        <is>
          <t>2026-10-20</t>
        </is>
      </c>
      <c r="B77" s="29" t="n">
        <v>3214</v>
      </c>
      <c r="C77" s="10" t="n"/>
      <c r="D77" s="10" t="inlineStr"/>
    </row>
    <row r="79">
      <c r="A79" s="32" t="inlineStr">
        <is>
          <t>纯碱以厂库交割为主，仓单绝对量小，不能用“仓单低”推断近月偏紧；库存压力请看厂库数据（见 12-事件台账）。</t>
        </is>
      </c>
    </row>
    <row r="80">
      <c r="A80" s="32" t="inlineStr">
        <is>
          <t>交易所仓单口径与社会库存/厂库口径不可混用，本表不做合并。</t>
        </is>
      </c>
    </row>
  </sheetData>
  <mergeCells count="2">
    <mergeCell ref="A80:D80"/>
    <mergeCell ref="A79:D7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26" customWidth="1" min="4" max="4"/>
    <col width="12" customWidth="1" min="5" max="5"/>
    <col width="44" customWidth="1" min="6" max="6"/>
    <col width="32" customWidth="1" min="7" max="7"/>
  </cols>
  <sheetData>
    <row r="1">
      <c r="A1" s="1" t="inlineStr">
        <is>
          <t>产业事件台账（带来源与证据等级）</t>
        </is>
      </c>
    </row>
    <row r="2">
      <c r="A2" s="14" t="inlineStr">
        <is>
          <t>C 级观点只能作解释方向，不能当数字用；日期与口径须回原文核对。</t>
        </is>
      </c>
    </row>
    <row r="4" ht="28" customHeight="1">
      <c r="A4" s="7" t="inlineStr">
        <is>
          <t>日期</t>
        </is>
      </c>
      <c r="B4" s="7" t="inlineStr">
        <is>
          <t>类型</t>
        </is>
      </c>
      <c r="C4" s="7" t="inlineStr">
        <is>
          <t>事件 / 指标</t>
        </is>
      </c>
      <c r="D4" s="7" t="inlineStr">
        <is>
          <t>数值</t>
        </is>
      </c>
      <c r="E4" s="7" t="inlineStr">
        <is>
          <t>方向</t>
        </is>
      </c>
      <c r="F4" s="7" t="inlineStr">
        <is>
          <t>来源</t>
        </is>
      </c>
      <c r="G4" s="7" t="inlineStr">
        <is>
          <t>链接</t>
        </is>
      </c>
    </row>
    <row r="5" ht="42" customHeight="1">
      <c r="A5" s="11" t="inlineStr">
        <is>
          <t>2026-08-10</t>
        </is>
      </c>
      <c r="B5" s="11" t="inlineStr">
        <is>
          <t>装置检修</t>
        </is>
      </c>
      <c r="C5" s="11" t="inlineStr">
        <is>
          <t>夏季检修集中落地：南方碱业 8/10 检至月底，内蒙古化工 8/9–8/13 检修，甘肃金昌、江苏德邦此前已停车</t>
        </is>
      </c>
      <c r="D5" s="11" t="inlineStr">
        <is>
          <t>74.64 万吨/周（环比 -2.12 万吨）</t>
        </is>
      </c>
      <c r="E5" s="11" t="inlineStr">
        <is>
          <t>短期供给收缩，支撑近月</t>
        </is>
      </c>
      <c r="F5" s="11" t="inlineStr">
        <is>
          <t>东财·检修突袭 触底反弹！纯碱供需格局生变？（2026-08-12）</t>
        </is>
      </c>
      <c r="G5" s="33" t="inlineStr">
        <is>
          <t>http://finance.eastmoney.com/a/202608123839139020.html</t>
        </is>
      </c>
    </row>
    <row r="6" ht="42" customHeight="1">
      <c r="A6" s="11" t="inlineStr">
        <is>
          <t>2026-08-12</t>
        </is>
      </c>
      <c r="B6" s="11" t="inlineStr">
        <is>
          <t>结构判断</t>
        </is>
      </c>
      <c r="C6" s="11" t="inlineStr">
        <is>
          <t>机构明确表述：盘面呈“近强远弱”，本轮为近月合约修复前期深贴水</t>
        </is>
      </c>
      <c r="D6" s="11" t="inlineStr">
        <is>
          <t>近强远弱（文字判断）</t>
        </is>
      </c>
      <c r="E6" s="11" t="inlineStr">
        <is>
          <t>对本次“紧接换月后近端月差塌缩”的解释提供了直接旁证</t>
        </is>
      </c>
      <c r="F6" s="11" t="inlineStr">
        <is>
          <t>东财·检修突袭 触底反弹！纯碱供需格局生变？（2026-08-12）</t>
        </is>
      </c>
      <c r="G6" s="33" t="inlineStr">
        <is>
          <t>http://finance.eastmoney.com/a/202608123839139020.html</t>
        </is>
      </c>
    </row>
    <row r="7" ht="42" customHeight="1">
      <c r="A7" s="11" t="inlineStr">
        <is>
          <t>2026-08-12</t>
        </is>
      </c>
      <c r="B7" s="11" t="inlineStr">
        <is>
          <t>库存</t>
        </is>
      </c>
      <c r="C7" s="11" t="inlineStr">
        <is>
          <t>上游工厂库存约 186 万吨 + 交割库库存约 45 万吨，合计超 230 万吨</t>
        </is>
      </c>
      <c r="D7" s="11" t="inlineStr">
        <is>
          <t>≈231 万吨（工厂 186 + 交割库 45）</t>
        </is>
      </c>
      <c r="E7" s="11" t="inlineStr">
        <is>
          <t>高库存压制现货与近月</t>
        </is>
      </c>
      <c r="F7" s="11" t="inlineStr">
        <is>
          <t>东财·检修突袭 触底反弹！纯碱供需格局生变？（2026-08-12）</t>
        </is>
      </c>
      <c r="G7" s="33" t="inlineStr">
        <is>
          <t>http://finance.eastmoney.com/a/202608123839139020.html</t>
        </is>
      </c>
    </row>
    <row r="8" ht="42" customHeight="1">
      <c r="A8" s="11" t="inlineStr">
        <is>
          <t>2026-08-14</t>
        </is>
      </c>
      <c r="B8" s="11" t="inlineStr">
        <is>
          <t>供给</t>
        </is>
      </c>
      <c r="C8" s="11" t="inlineStr">
        <is>
          <t>开工率 76.15%，较前两周高点回落 4.53 个百分点；周产量 74.64 万吨，较高点 -5.62%</t>
        </is>
      </c>
      <c r="D8" s="11" t="inlineStr">
        <is>
          <t>76.15% / 74.64 万吨·周；1–7 月产量 2333.27 万吨（+7.69% YoY）</t>
        </is>
      </c>
      <c r="E8" s="11" t="inlineStr">
        <is>
          <t>年度供给增量仍是宽松根基</t>
        </is>
      </c>
      <c r="F8" s="11" t="inlineStr">
        <is>
          <t>东财·需求未改善 纯碱反弹高度有限（2026-08-18）</t>
        </is>
      </c>
      <c r="G8" s="33" t="inlineStr">
        <is>
          <t>http://futures.eastmoney.com/a/202608183843664070.html</t>
        </is>
      </c>
    </row>
    <row r="9" ht="42" customHeight="1">
      <c r="A9" s="11" t="inlineStr">
        <is>
          <t>2026-08-14</t>
        </is>
      </c>
      <c r="B9" s="11" t="inlineStr">
        <is>
          <t>库存</t>
        </is>
      </c>
      <c r="C9" s="11" t="inlineStr">
        <is>
          <t>企业库存 185.67 万吨（周 +0.39%，同比 -1.96%）；重碱 81.05 万吨，轻碱 104.62 万吨</t>
        </is>
      </c>
      <c r="D9" s="11" t="inlineStr">
        <is>
          <t>合计 185.67 万吨（重碱 81.05 万吨 / 轻碱 104.62 万吨）</t>
        </is>
      </c>
      <c r="E9" s="11" t="inlineStr">
        <is>
          <t>重碱偏紧、轻碱偏松，解释近端结构</t>
        </is>
      </c>
      <c r="F9" s="11" t="inlineStr">
        <is>
          <t>东财·需求未改善 纯碱反弹高度有限（2026-08-18）</t>
        </is>
      </c>
      <c r="G9" s="33" t="inlineStr">
        <is>
          <t>http://futures.eastmoney.com/a/202608183843664070.html</t>
        </is>
      </c>
    </row>
    <row r="10" ht="42" customHeight="1">
      <c r="A10" s="11" t="inlineStr">
        <is>
          <t>2026-08-14</t>
        </is>
      </c>
      <c r="B10" s="11" t="inlineStr">
        <is>
          <t>成本</t>
        </is>
      </c>
      <c r="C10" s="11" t="inlineStr">
        <is>
          <t>氨碱法理论利润 -199.4 元/吨，联碱法双吨 -173.5 元/吨（7/31 分别为 -105.5 / -129.0）</t>
        </is>
      </c>
      <c r="D10" s="11" t="inlineStr">
        <is>
          <t>氨碱 -199.4 元/吨；联碱 -173.5 元/吨</t>
        </is>
      </c>
      <c r="E10" s="11" t="inlineStr">
        <is>
          <t>成本支撑近端，但不足以扭转宽松</t>
        </is>
      </c>
      <c r="F10" s="11" t="inlineStr">
        <is>
          <t>东财·需求未改善 纯碱反弹高度有限（2026-08-18）</t>
        </is>
      </c>
      <c r="G10" s="33" t="inlineStr">
        <is>
          <t>http://futures.eastmoney.com/a/202608183843664070.html</t>
        </is>
      </c>
    </row>
    <row r="11" ht="42" customHeight="1">
      <c r="A11" s="11" t="inlineStr">
        <is>
          <t>2026-08-18</t>
        </is>
      </c>
      <c r="B11" s="11" t="inlineStr">
        <is>
          <t>判断</t>
        </is>
      </c>
      <c r="C11" s="11" t="inlineStr">
        <is>
          <t>机构判断：检修带来阶段性利多，但供大于求格局未变，期价难持续上涨、大概率重回偏弱</t>
        </is>
      </c>
      <c r="D11" s="11" t="inlineStr">
        <is>
          <t>阶段性反弹后重回偏弱（文字判断）</t>
        </is>
      </c>
      <c r="E11" s="11" t="inlineStr">
        <is>
          <t>与近端升水在 9 月中旬换月后迅速塌缩一致</t>
        </is>
      </c>
      <c r="F11" s="11" t="inlineStr">
        <is>
          <t>东财·需求未改善 纯碱反弹高度有限（2026-08-18）</t>
        </is>
      </c>
      <c r="G11" s="33" t="inlineStr">
        <is>
          <t>http://futures.eastmoney.com/a/202608183843664070.html</t>
        </is>
      </c>
    </row>
    <row r="12" ht="42" customHeight="1">
      <c r="A12" s="11" t="inlineStr">
        <is>
          <t>2026-10-08</t>
        </is>
      </c>
      <c r="B12" s="11" t="inlineStr">
        <is>
          <t>库存</t>
        </is>
      </c>
      <c r="C12" s="11" t="inlineStr">
        <is>
          <t>纯碱生产企业库存 167 万吨，环比 +0.7 万吨；玻璃企业库存 6703 万重箱，环比 +223 万重箱</t>
        </is>
      </c>
      <c r="D12" s="11" t="inlineStr">
        <is>
          <t>167 万吨（周环比 +0.7 万吨）</t>
        </is>
      </c>
      <c r="E12" s="11" t="inlineStr">
        <is>
          <t>利空近月/压制月差走阔</t>
        </is>
      </c>
      <c r="F12" s="11" t="inlineStr">
        <is>
          <t>东财·能化 | 玻璃纯碱：品种仍处于弱势基本面（2026-10-12）</t>
        </is>
      </c>
      <c r="G12" s="33" t="inlineStr">
        <is>
          <t>http://futures.eastmoney.com/a/202610123892177482.html</t>
        </is>
      </c>
    </row>
    <row r="13" ht="42" customHeight="1">
      <c r="A13" s="11" t="inlineStr">
        <is>
          <t>2026-10-08</t>
        </is>
      </c>
      <c r="B13" s="11" t="inlineStr">
        <is>
          <t>下游</t>
        </is>
      </c>
      <c r="C13" s="11" t="inlineStr">
        <is>
          <t>浮法玻璃样本库存 7318.6 万重箱，环比 +3.81%、同比 +16.49%，近 5 年同期高位</t>
        </is>
      </c>
      <c r="D13" s="11" t="inlineStr">
        <is>
          <t>7318.6 万重箱（环比 +3.81%，同比 +16.49%）</t>
        </is>
      </c>
      <c r="E13" s="11" t="inlineStr">
        <is>
          <t>压制重碱需求</t>
        </is>
      </c>
      <c r="F13" s="11" t="inlineStr">
        <is>
          <t>东财·玻璃旺季成色仍待检验（2026-10-13）</t>
        </is>
      </c>
      <c r="G13" s="33" t="inlineStr">
        <is>
          <t>http://futures.eastmoney.com/a/202610133893315363.html</t>
        </is>
      </c>
    </row>
    <row r="14" ht="42" customHeight="1">
      <c r="A14" s="11" t="inlineStr">
        <is>
          <t>2026-10-09</t>
        </is>
      </c>
      <c r="B14" s="11" t="inlineStr">
        <is>
          <t>产能</t>
        </is>
      </c>
      <c r="C14" s="11" t="inlineStr">
        <is>
          <t>中盐化工：通辽奈曼旗 500 万吨/年天然碱项目按“两年投产、三年达产”推进，溶采试验已完成</t>
        </is>
      </c>
      <c r="D14" s="11" t="inlineStr">
        <is>
          <t>500 万吨/年（目标，未投产）</t>
        </is>
      </c>
      <c r="E14" s="11" t="inlineStr">
        <is>
          <t>压制远月，使远月升水难以扩张</t>
        </is>
      </c>
      <c r="F14" s="11" t="inlineStr">
        <is>
          <t>东财·中盐化工业绩会：新天然碱矿项目拟两年内建成投产（2026-10-12）</t>
        </is>
      </c>
      <c r="G14" s="33" t="inlineStr">
        <is>
          <t>http://finance.eastmoney.com/a/202610123892495626.html</t>
        </is>
      </c>
    </row>
    <row r="15" ht="42" customHeight="1">
      <c r="A15" s="11" t="inlineStr">
        <is>
          <t>2026-10-14</t>
        </is>
      </c>
      <c r="B15" s="11" t="inlineStr">
        <is>
          <t>库存</t>
        </is>
      </c>
      <c r="C15" s="11" t="inlineStr">
        <is>
          <t>纯碱样本企业总厂库 179.26 万吨，同比 +8.62%，处于年内高位</t>
        </is>
      </c>
      <c r="D15" s="11" t="inlineStr">
        <is>
          <t>179.26 万吨（同比 +8.62%）</t>
        </is>
      </c>
      <c r="E15" s="11" t="inlineStr">
        <is>
          <t>高库存压制现货与近月</t>
        </is>
      </c>
      <c r="F15" s="11" t="inlineStr">
        <is>
          <t>东财·供大于求格局难以逆转 纯碱偏空运行为主（2026-10-15）</t>
        </is>
      </c>
      <c r="G15" s="33" t="inlineStr">
        <is>
          <t>http://finance.eastmoney.com/a/202610153896859175.html</t>
        </is>
      </c>
    </row>
    <row r="16" ht="42" customHeight="1">
      <c r="A16" s="11" t="inlineStr">
        <is>
          <t>2026-10-14</t>
        </is>
      </c>
      <c r="B16" s="11" t="inlineStr">
        <is>
          <t>供给</t>
        </is>
      </c>
      <c r="C16" s="11" t="inlineStr">
        <is>
          <t>开工率回升至 76.2%，周产量 75.16 万吨（较国庆低点明显抬升）</t>
        </is>
      </c>
      <c r="D16" s="11" t="inlineStr">
        <is>
          <t>76.2% / 75.16 万吨</t>
        </is>
      </c>
      <c r="E16" s="11" t="inlineStr">
        <is>
          <t>供给回升，压制整体价格</t>
        </is>
      </c>
      <c r="F16" s="11" t="inlineStr">
        <is>
          <t>东财·供大于求格局难以逆转 纯碱偏空运行为主（2026-10-15）</t>
        </is>
      </c>
      <c r="G16" s="33" t="inlineStr">
        <is>
          <t>http://finance.eastmoney.com/a/202610153896859175.html</t>
        </is>
      </c>
    </row>
    <row r="17" ht="42" customHeight="1">
      <c r="A17" s="11" t="inlineStr">
        <is>
          <t>2026-10-14</t>
        </is>
      </c>
      <c r="B17" s="11" t="inlineStr">
        <is>
          <t>成本</t>
        </is>
      </c>
      <c r="C17" s="11" t="inlineStr">
        <is>
          <t>氨碱、联碱企业仍处亏损区间，但亏损压力尚未触发行业自发性大规模停产</t>
        </is>
      </c>
      <c r="D17" s="11" t="inlineStr">
        <is>
          <t>亏损（各工艺毛利分化）</t>
        </is>
      </c>
      <c r="E17" s="11" t="inlineStr">
        <is>
          <t>托底近月，但不改变供给宽松</t>
        </is>
      </c>
      <c r="F17" s="11" t="inlineStr">
        <is>
          <t>东财·供大于求格局难以逆转 纯碱偏空运行为主（2026-10-15）</t>
        </is>
      </c>
      <c r="G17" s="33" t="inlineStr">
        <is>
          <t>http://finance.eastmoney.com/a/202610153896859175.html</t>
        </is>
      </c>
    </row>
    <row r="18" ht="42" customHeight="1">
      <c r="A18" s="11" t="inlineStr">
        <is>
          <t>2026-10-14</t>
        </is>
      </c>
      <c r="B18" s="11" t="inlineStr">
        <is>
          <t>需求</t>
        </is>
      </c>
      <c r="C18" s="11" t="inlineStr">
        <is>
          <t>浮法玻璃开工率 67.24%、日熔量 14.23 万吨；1–8 月竣工 -23.7%、新开工 -24.8%</t>
        </is>
      </c>
      <c r="D18" s="11" t="inlineStr">
        <is>
          <t>14.23 万吨/日（在产 197 条线）</t>
        </is>
      </c>
      <c r="E18" s="11" t="inlineStr">
        <is>
          <t>重碱需求偏弱</t>
        </is>
      </c>
      <c r="F18" s="11" t="inlineStr">
        <is>
          <t>东财·供大于求格局难以逆转 纯碱偏空运行为主（2026-10-15）</t>
        </is>
      </c>
      <c r="G18" s="33" t="inlineStr">
        <is>
          <t>http://finance.eastmoney.com/a/202610153896859175.html</t>
        </is>
      </c>
    </row>
    <row r="19" ht="42" customHeight="1">
      <c r="A19" s="11" t="inlineStr">
        <is>
          <t>2026-10-17</t>
        </is>
      </c>
      <c r="B19" s="11" t="inlineStr">
        <is>
          <t>产业链结构</t>
        </is>
      </c>
      <c r="C19" s="11" t="inlineStr">
        <is>
          <t>玻璃期货长期维持“期货升水现货、远高近低”格局，企业借助反弹卖保</t>
        </is>
      </c>
      <c r="D19" s="11" t="inlineStr">
        <is>
          <t>期货升水现货（定性）</t>
        </is>
      </c>
      <c r="E19" s="11" t="inlineStr">
        <is>
          <t>产业链结构参考，非纯碱直接数据</t>
        </is>
      </c>
      <c r="F19" s="11" t="inlineStr">
        <is>
          <t>东财·下行周期 玻璃企业“自救”有方（2026-10-17）</t>
        </is>
      </c>
      <c r="G19" s="33" t="inlineStr">
        <is>
          <t>http://futures.eastmoney.com/a/202610173899037353.html</t>
        </is>
      </c>
    </row>
    <row r="20" ht="42" customHeight="1">
      <c r="A20" s="11" t="inlineStr">
        <is>
          <t>2026-10-20</t>
        </is>
      </c>
      <c r="B20" s="11" t="inlineStr">
        <is>
          <t>现货</t>
        </is>
      </c>
      <c r="C20" s="11" t="inlineStr">
        <is>
          <t>生意社纯碱现货报价中位 1200 元/吨（30 条厂家报价，区间 1100–1350）</t>
        </is>
      </c>
      <c r="D20" s="11" t="inlineStr">
        <is>
          <t>1200 元/吨</t>
        </is>
      </c>
      <c r="E20" s="11" t="inlineStr">
        <is>
          <t>现货高于近月合约，基差为正</t>
        </is>
      </c>
      <c r="F20" s="11" t="inlineStr">
        <is>
          <t>生意社 100ppi 纯碱报价中心（抓取于 2026-10-20）</t>
        </is>
      </c>
      <c r="G20" s="33" t="inlineStr">
        <is>
          <t>https://www.100ppi.com/mprice/plist-1-533-1.html</t>
        </is>
      </c>
    </row>
    <row r="22">
      <c r="A22" s="14" t="inlineStr">
        <is>
          <t>证据等级：A=交易所原始数据（价格/持仓/仓单）；B=第三方机构统计（厂库/开工/产量/利润）；C=媒体与机构观点。本表多为 B/C 级。</t>
        </is>
      </c>
    </row>
  </sheetData>
  <mergeCells count="1">
    <mergeCell ref="A22:G2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</cols>
  <sheetData>
    <row r="1">
      <c r="A1" s="1" t="inlineStr">
        <is>
          <t>计算公式与可复核示例</t>
        </is>
      </c>
    </row>
    <row r="2">
      <c r="A2" s="14" t="inlineStr">
        <is>
          <t>本页所有数字都是 Excel 公式，改 B 列即可看到联动。</t>
        </is>
      </c>
    </row>
    <row r="4" ht="28" customHeight="1">
      <c r="A4" s="7" t="inlineStr">
        <is>
          <t>公式名</t>
        </is>
      </c>
      <c r="B4" s="7" t="inlineStr">
        <is>
          <t>示例值</t>
        </is>
      </c>
      <c r="C4" s="7" t="inlineStr">
        <is>
          <t>公式 / 说明</t>
        </is>
      </c>
    </row>
    <row r="5">
      <c r="A5" s="34" t="inlineStr">
        <is>
          <t>A0（5 日前近月）</t>
        </is>
      </c>
      <c r="B5" s="15" t="n">
        <v>956</v>
      </c>
      <c r="C5" s="11" t="inlineStr">
        <is>
          <t>用户输入</t>
        </is>
      </c>
    </row>
    <row r="6">
      <c r="A6" s="34" t="inlineStr">
        <is>
          <t>A1（当前近月）</t>
        </is>
      </c>
      <c r="B6" s="15" t="n">
        <v>934</v>
      </c>
      <c r="C6" s="11" t="inlineStr">
        <is>
          <t>用户输入</t>
        </is>
      </c>
    </row>
    <row r="7">
      <c r="A7" s="34" t="inlineStr">
        <is>
          <t>B0（5 日前远月）</t>
        </is>
      </c>
      <c r="B7" s="15" t="n">
        <v>961</v>
      </c>
      <c r="C7" s="11" t="inlineStr">
        <is>
          <t>用户输入</t>
        </is>
      </c>
    </row>
    <row r="8">
      <c r="A8" s="34" t="inlineStr">
        <is>
          <t>B1（当前远月）</t>
        </is>
      </c>
      <c r="B8" s="15" t="n">
        <v>938</v>
      </c>
      <c r="C8" s="11" t="inlineStr">
        <is>
          <t>用户输入</t>
        </is>
      </c>
    </row>
    <row r="9">
      <c r="A9" s="34" t="inlineStr">
        <is>
          <t>月差0 = A0 - B0</t>
        </is>
      </c>
      <c r="B9" s="15">
        <f>B5-B7</f>
        <v/>
      </c>
      <c r="C9" s="11">
        <f>B5-B7</f>
        <v/>
      </c>
    </row>
    <row r="10">
      <c r="A10" s="34" t="inlineStr">
        <is>
          <t>月差1 = A1 - B1</t>
        </is>
      </c>
      <c r="B10" s="15">
        <f>B6-B8</f>
        <v/>
      </c>
      <c r="C10" s="11">
        <f>B6-B8</f>
        <v/>
      </c>
    </row>
    <row r="11">
      <c r="A11" s="34" t="inlineStr">
        <is>
          <t>Δ月差（元/吨）</t>
        </is>
      </c>
      <c r="B11" s="15">
        <f>B10-B9</f>
        <v/>
      </c>
      <c r="C11" s="11">
        <f>B10-B9</f>
        <v/>
      </c>
    </row>
    <row r="12">
      <c r="A12" s="34" t="inlineStr">
        <is>
          <t>近月涨跌（元/吨）</t>
        </is>
      </c>
      <c r="B12" s="15">
        <f>B6-B5</f>
        <v/>
      </c>
      <c r="C12" s="11">
        <f>B6-B5</f>
        <v/>
      </c>
    </row>
    <row r="13">
      <c r="A13" s="34" t="inlineStr">
        <is>
          <t>远月涨跌（元/吨）</t>
        </is>
      </c>
      <c r="B13" s="15">
        <f>B8-B7</f>
        <v/>
      </c>
      <c r="C13" s="11">
        <f>B8-B7</f>
        <v/>
      </c>
    </row>
    <row r="14">
      <c r="A14" s="34" t="inlineStr">
        <is>
          <t>近月对数贡献</t>
        </is>
      </c>
      <c r="B14" s="35">
        <f>LN(B6/B5)</f>
        <v/>
      </c>
      <c r="C14" s="11" t="inlineStr">
        <is>
          <t>LN(B6/B5) —— 正值表示把月差往上推</t>
        </is>
      </c>
    </row>
    <row r="15">
      <c r="A15" s="34" t="inlineStr">
        <is>
          <t>远月对数贡献</t>
        </is>
      </c>
      <c r="B15" s="35">
        <f>-LN(B8/B7)</f>
        <v/>
      </c>
      <c r="C15" s="11" t="inlineStr">
        <is>
          <t>-LN(B8/B7) —— 正值表示把月差往上推</t>
        </is>
      </c>
    </row>
    <row r="16">
      <c r="A16" s="34" t="inlineStr">
        <is>
          <t>两贡献之和（精确）</t>
        </is>
      </c>
      <c r="B16" s="35">
        <f>B14+B15</f>
        <v/>
      </c>
      <c r="C16" s="11">
        <f>B14+B15</f>
        <v/>
      </c>
    </row>
    <row r="17">
      <c r="A17" s="34" t="inlineStr">
        <is>
          <t>ln(月差1/月差0) 真值</t>
        </is>
      </c>
      <c r="B17" s="35">
        <f>IFERROR(LN(B10/B9),"月差≈0，对数不可用")</f>
        <v/>
      </c>
      <c r="C17" s="11" t="inlineStr">
        <is>
          <t>月差接近 0 时该对数不可用，此时只用上面两项</t>
        </is>
      </c>
    </row>
    <row r="18">
      <c r="A18" s="34" t="inlineStr">
        <is>
          <t>近月贡献占比%</t>
        </is>
      </c>
      <c r="B18" s="15">
        <f>IFERROR(B14/(ABS(B14)+ABS(B15))*100,"")</f>
        <v/>
      </c>
      <c r="C18" s="11">
        <f>IFERROR(B14/(ABS(B14)+ABS(B15))*100,"")</f>
        <v/>
      </c>
    </row>
    <row r="19">
      <c r="A19" s="34" t="inlineStr">
        <is>
          <t>期限结构 TS</t>
        </is>
      </c>
      <c r="B19" s="10" t="inlineStr">
        <is>
          <t>见 08 页</t>
        </is>
      </c>
      <c r="C19" s="11" t="inlineStr">
        <is>
          <t>该合约价格 - 最近月合约价格</t>
        </is>
      </c>
    </row>
    <row r="20">
      <c r="A20" s="34" t="inlineStr">
        <is>
          <t>分位</t>
        </is>
      </c>
      <c r="B20" s="10" t="inlineStr">
        <is>
          <t>见 03 页</t>
        </is>
      </c>
      <c r="C20" s="11" t="inlineStr">
        <is>
          <t>COUNTIF(样本区,"&lt;="&amp;当期)/COUNT(样本区)</t>
        </is>
      </c>
    </row>
    <row r="21">
      <c r="A21" s="34" t="inlineStr">
        <is>
          <t>距交割交易日</t>
        </is>
      </c>
      <c r="B21" s="10" t="inlineStr">
        <is>
          <t>见 08 页</t>
        </is>
      </c>
      <c r="C21" s="11" t="inlineStr">
        <is>
          <t>按交易所日历逐日计数（不用日历日/7*5 近似）</t>
        </is>
      </c>
    </row>
    <row r="23">
      <c r="A23" s="14" t="inlineStr">
        <is>
          <t>读法：B14 与 B15 一正一负且几乎等长时，月差其实没动，只是两腿一起涨跌；此时追问“谁主导”没有意义。</t>
        </is>
      </c>
    </row>
    <row r="24">
      <c r="A24" s="14" t="inlineStr">
        <is>
          <t>说明：对数差可加，所以“近月贡献 + 远月贡献”恒等于 ln(月差1/月差0)，不留残差；不要再用“元/吨”相减去凑百分比。</t>
        </is>
      </c>
    </row>
  </sheetData>
  <mergeCells count="2">
    <mergeCell ref="A23:C23"/>
    <mergeCell ref="A24:C2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30" customWidth="1" min="4" max="4"/>
  </cols>
  <sheetData>
    <row r="1">
      <c r="A1" s="1" t="inlineStr">
        <is>
          <t>数据来源与覆盖区间</t>
        </is>
      </c>
    </row>
    <row r="2">
      <c r="A2" s="14" t="inlineStr">
        <is>
          <t>每一列数据都要能追到一个可复核的来源。</t>
        </is>
      </c>
    </row>
    <row r="4" ht="28" customHeight="1">
      <c r="A4" s="7" t="inlineStr">
        <is>
          <t>数据</t>
        </is>
      </c>
      <c r="B4" s="7" t="inlineStr">
        <is>
          <t>口径</t>
        </is>
      </c>
      <c r="C4" s="7" t="inlineStr">
        <is>
          <t>来源</t>
        </is>
      </c>
      <c r="D4" s="7" t="inlineStr">
        <is>
          <t>覆盖</t>
        </is>
      </c>
    </row>
    <row r="5">
      <c r="A5" s="11" t="inlineStr">
        <is>
          <t>SA2612 / SA2701 日线</t>
        </is>
      </c>
      <c r="B5" s="11" t="inlineStr">
        <is>
          <t>收盘、结算、持仓、成交</t>
        </is>
      </c>
      <c r="C5" s="11" t="inlineStr">
        <is>
          <t>新浪财经 InnerFuturesNewService（公开 K 线接口）</t>
        </is>
      </c>
      <c r="D5" s="11" t="inlineStr">
        <is>
          <t>2026-01-22 ~ 2026-10-20，177 个交易日</t>
        </is>
      </c>
    </row>
    <row r="6">
      <c r="A6" s="11" t="inlineStr">
        <is>
          <t>全部挂牌合约日线</t>
        </is>
      </c>
      <c r="B6" s="11" t="inlineStr">
        <is>
          <t>用于期限结构</t>
        </is>
      </c>
      <c r="C6" s="11" t="inlineStr">
        <is>
          <t>同上</t>
        </is>
      </c>
      <c r="D6" s="11" t="inlineStr">
        <is>
          <t>2021-01-01 起，34 个合约</t>
        </is>
      </c>
    </row>
    <row r="7">
      <c r="A7" s="11" t="inlineStr">
        <is>
          <t>仓单（品种级）</t>
        </is>
      </c>
      <c r="B7" s="11" t="inlineStr">
        <is>
          <t>交易所仓单日报，单位张</t>
        </is>
      </c>
      <c r="C7" s="11" t="inlineStr">
        <is>
          <t>东方财富 RPT_FUTU_STOCKDATA</t>
        </is>
      </c>
      <c r="D7" s="11" t="inlineStr">
        <is>
          <t>2026-10-20</t>
        </is>
      </c>
    </row>
    <row r="8">
      <c r="A8" s="11" t="inlineStr">
        <is>
          <t>产业事件</t>
        </is>
      </c>
      <c r="B8" s="11" t="inlineStr">
        <is>
          <t>厂库/开工/产量/利润/检修/产能</t>
        </is>
      </c>
      <c r="C8" s="11" t="inlineStr">
        <is>
          <t>见 12-事件台账 逐条链接</t>
        </is>
      </c>
      <c r="D8" s="11" t="inlineStr">
        <is>
          <t>16 条</t>
        </is>
      </c>
    </row>
    <row r="9">
      <c r="A9" s="11" t="inlineStr">
        <is>
          <t>合约规则</t>
        </is>
      </c>
      <c r="B9" s="11" t="inlineStr">
        <is>
          <t>交割月份/最后交易日/交易单位</t>
        </is>
      </c>
      <c r="C9" s="11" t="inlineStr">
        <is>
          <t>东方财富 SA 品种页 + 首根K线交叉验证</t>
        </is>
      </c>
      <c r="D9" s="11" t="inlineStr">
        <is>
          <t>上市 2019-12-06</t>
        </is>
      </c>
    </row>
    <row r="10">
      <c r="A10" s="11" t="inlineStr">
        <is>
          <t>现货参考价</t>
        </is>
      </c>
      <c r="B10" s="11" t="inlineStr">
        <is>
          <t>厂家报价中位</t>
        </is>
      </c>
      <c r="C10" s="11" t="inlineStr">
        <is>
          <t>生意社 100ppi</t>
        </is>
      </c>
      <c r="D10" s="11" t="inlineStr">
        <is>
          <t>见事件台账 2026-10-20 条</t>
        </is>
      </c>
    </row>
    <row r="12">
      <c r="A12" s="2" t="inlineStr">
        <is>
          <t>合约规则登记</t>
        </is>
      </c>
    </row>
    <row r="13">
      <c r="A13" s="4" t="inlineStr">
        <is>
          <t>code</t>
        </is>
      </c>
      <c r="B13" s="3" t="inlineStr">
        <is>
          <t>SA</t>
        </is>
      </c>
    </row>
    <row r="14">
      <c r="A14" s="4" t="inlineStr">
        <is>
          <t>name</t>
        </is>
      </c>
      <c r="B14" s="3" t="inlineStr">
        <is>
          <t>纯碱</t>
        </is>
      </c>
    </row>
    <row r="15">
      <c r="A15" s="4" t="inlineStr">
        <is>
          <t>exchange</t>
        </is>
      </c>
      <c r="B15" s="3" t="inlineStr">
        <is>
          <t>郑州商品交易所（CZCE）</t>
        </is>
      </c>
    </row>
    <row r="16">
      <c r="A16" s="4" t="inlineStr">
        <is>
          <t>list_date</t>
        </is>
      </c>
      <c r="B16" s="3" t="inlineStr">
        <is>
          <t>2019-12-06</t>
        </is>
      </c>
    </row>
    <row r="17">
      <c r="A17" s="4" t="inlineStr">
        <is>
          <t>contract_months</t>
        </is>
      </c>
      <c r="B17" s="3" t="inlineStr">
        <is>
          <t>1-12 月（全月份挂牌；实际流动性集中在 1/3/5/9/12 月）</t>
        </is>
      </c>
    </row>
    <row r="18">
      <c r="A18" s="4" t="inlineStr">
        <is>
          <t>last_trading_day</t>
        </is>
      </c>
      <c r="B18" s="3" t="inlineStr">
        <is>
          <t>合约交割月份的第 10 个交易日</t>
        </is>
      </c>
    </row>
    <row r="19">
      <c r="A19" s="4" t="inlineStr">
        <is>
          <t>unit</t>
        </is>
      </c>
      <c r="B19" s="3" t="inlineStr">
        <is>
          <t>20 吨/手</t>
        </is>
      </c>
    </row>
    <row r="20">
      <c r="A20" s="4" t="inlineStr">
        <is>
          <t>tick</t>
        </is>
      </c>
      <c r="B20" s="3" t="inlineStr">
        <is>
          <t>待核实</t>
        </is>
      </c>
    </row>
    <row r="21">
      <c r="A21" s="4" t="inlineStr">
        <is>
          <t>settle_basis</t>
        </is>
      </c>
      <c r="B21" s="3" t="inlineStr">
        <is>
          <t>close</t>
        </is>
      </c>
    </row>
    <row r="22">
      <c r="A22" s="4" t="inlineStr">
        <is>
          <t>来源</t>
        </is>
      </c>
      <c r="B22" s="3" t="inlineStr">
        <is>
          <t>contract_months / last_trading_day / unit：东方财富 SA 品种页“基本资料”（2026-10-20）https://futures.eastmoney.com/qihuo/SA.html</t>
        </is>
      </c>
    </row>
    <row r="23">
      <c r="A23" s="4" t="inlineStr">
        <is>
          <t>来源</t>
        </is>
      </c>
      <c r="B23" s="3" t="inlineStr">
        <is>
          <t>list_date：合约首根K线交叉验证：SA2005/SA2009/SA2012 首个交易日均为 2019-12-06（2026-10-20）https://stock2.finance.sina.com.cn/futures/api/jsonp.php</t>
        </is>
      </c>
    </row>
  </sheetData>
  <mergeCells count="11">
    <mergeCell ref="B19:D19"/>
    <mergeCell ref="B14:D14"/>
    <mergeCell ref="B23:D23"/>
    <mergeCell ref="B22:D22"/>
    <mergeCell ref="B17:D17"/>
    <mergeCell ref="B18:D18"/>
    <mergeCell ref="B13:D13"/>
    <mergeCell ref="B21:D21"/>
    <mergeCell ref="B15:D15"/>
    <mergeCell ref="B16:D16"/>
    <mergeCell ref="B20:D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16" customWidth="1" min="4" max="4"/>
  </cols>
  <sheetData>
    <row r="1">
      <c r="A1" s="1" t="inlineStr">
        <is>
          <t>数据质量检查</t>
        </is>
      </c>
    </row>
    <row r="2">
      <c r="A2" s="14" t="inlineStr">
        <is>
          <t>存在 ERROR 时本工作簿全部结论不可用。</t>
        </is>
      </c>
    </row>
    <row r="4" ht="28" customHeight="1">
      <c r="A4" s="7" t="inlineStr">
        <is>
          <t>等级</t>
        </is>
      </c>
      <c r="B4" s="7" t="inlineStr">
        <is>
          <t>检查项</t>
        </is>
      </c>
      <c r="C4" s="7" t="inlineStr">
        <is>
          <t>说明</t>
        </is>
      </c>
      <c r="D4" s="7" t="inlineStr">
        <is>
          <t>日期</t>
        </is>
      </c>
    </row>
    <row r="5">
      <c r="A5" s="24" t="inlineStr">
        <is>
          <t>INFO</t>
        </is>
      </c>
      <c r="B5" s="24" t="inlineStr">
        <is>
          <t>SA2005</t>
        </is>
      </c>
      <c r="C5" s="24" t="inlineStr">
        <is>
          <t>最后交易日 2020-05-15，早于最新 2026-10-20（已摘牌）</t>
        </is>
      </c>
      <c r="D5" s="24" t="inlineStr"/>
    </row>
    <row r="6">
      <c r="A6" s="24" t="inlineStr">
        <is>
          <t>INFO</t>
        </is>
      </c>
      <c r="B6" s="24" t="inlineStr">
        <is>
          <t>SA2009</t>
        </is>
      </c>
      <c r="C6" s="24" t="inlineStr">
        <is>
          <t>最后交易日 2020-09-11，早于最新 2026-10-20（已摘牌）</t>
        </is>
      </c>
      <c r="D6" s="24" t="inlineStr"/>
    </row>
    <row r="7">
      <c r="A7" s="24" t="inlineStr">
        <is>
          <t>INFO</t>
        </is>
      </c>
      <c r="B7" s="24" t="inlineStr">
        <is>
          <t>SA2012</t>
        </is>
      </c>
      <c r="C7" s="24" t="inlineStr">
        <is>
          <t>最后交易日 2020-12-07，早于最新 2026-10-20（已摘牌）</t>
        </is>
      </c>
      <c r="D7" s="24" t="inlineStr"/>
    </row>
    <row r="8">
      <c r="A8" s="24" t="inlineStr">
        <is>
          <t>INFO</t>
        </is>
      </c>
      <c r="B8" s="24" t="inlineStr">
        <is>
          <t>SA2101</t>
        </is>
      </c>
      <c r="C8" s="24" t="inlineStr">
        <is>
          <t>最后交易日 2021-01-15，早于最新 2026-10-20（已摘牌）</t>
        </is>
      </c>
      <c r="D8" s="24" t="inlineStr"/>
    </row>
    <row r="9">
      <c r="A9" s="24" t="inlineStr">
        <is>
          <t>INFO</t>
        </is>
      </c>
      <c r="B9" s="24" t="inlineStr">
        <is>
          <t>SA2103</t>
        </is>
      </c>
      <c r="C9" s="24" t="inlineStr">
        <is>
          <t>最后交易日 2021-03-12，早于最新 2026-10-20（已摘牌）</t>
        </is>
      </c>
      <c r="D9" s="24" t="inlineStr"/>
    </row>
    <row r="10">
      <c r="A10" s="24" t="inlineStr">
        <is>
          <t>INFO</t>
        </is>
      </c>
      <c r="B10" s="24" t="inlineStr">
        <is>
          <t>SA2105</t>
        </is>
      </c>
      <c r="C10" s="24" t="inlineStr">
        <is>
          <t>最后交易日 2021-05-19，早于最新 2026-10-20（已摘牌）</t>
        </is>
      </c>
      <c r="D10" s="24" t="inlineStr"/>
    </row>
    <row r="11">
      <c r="A11" s="24" t="inlineStr">
        <is>
          <t>INFO</t>
        </is>
      </c>
      <c r="B11" s="24" t="inlineStr">
        <is>
          <t>SA2109</t>
        </is>
      </c>
      <c r="C11" s="24" t="inlineStr">
        <is>
          <t>最后交易日 2021-09-14，早于最新 2026-10-20（已摘牌）</t>
        </is>
      </c>
      <c r="D11" s="24" t="inlineStr"/>
    </row>
    <row r="12">
      <c r="A12" s="24" t="inlineStr">
        <is>
          <t>INFO</t>
        </is>
      </c>
      <c r="B12" s="24" t="inlineStr">
        <is>
          <t>SA2112</t>
        </is>
      </c>
      <c r="C12" s="24" t="inlineStr">
        <is>
          <t>最后交易日 2021-12-14，早于最新 2026-10-20（已摘牌）</t>
        </is>
      </c>
      <c r="D12" s="24" t="inlineStr"/>
    </row>
    <row r="13">
      <c r="A13" s="24" t="inlineStr">
        <is>
          <t>INFO</t>
        </is>
      </c>
      <c r="B13" s="24" t="inlineStr">
        <is>
          <t>SA2201</t>
        </is>
      </c>
      <c r="C13" s="24" t="inlineStr">
        <is>
          <t>最后交易日 2022-01-17，早于最新 2026-10-20（已摘牌）</t>
        </is>
      </c>
      <c r="D13" s="24" t="inlineStr"/>
    </row>
    <row r="14">
      <c r="A14" s="24" t="inlineStr">
        <is>
          <t>INFO</t>
        </is>
      </c>
      <c r="B14" s="24" t="inlineStr">
        <is>
          <t>SA2203</t>
        </is>
      </c>
      <c r="C14" s="24" t="inlineStr">
        <is>
          <t>最后交易日 2022-03-14，早于最新 2026-10-20（已摘牌）</t>
        </is>
      </c>
      <c r="D14" s="24" t="inlineStr"/>
    </row>
    <row r="15">
      <c r="A15" s="24" t="inlineStr">
        <is>
          <t>INFO</t>
        </is>
      </c>
      <c r="B15" s="24" t="inlineStr">
        <is>
          <t>SA2205</t>
        </is>
      </c>
      <c r="C15" s="24" t="inlineStr">
        <is>
          <t>最后交易日 2022-05-18，早于最新 2026-10-20（已摘牌）</t>
        </is>
      </c>
      <c r="D15" s="24" t="inlineStr"/>
    </row>
    <row r="16">
      <c r="A16" s="24" t="inlineStr">
        <is>
          <t>INFO</t>
        </is>
      </c>
      <c r="B16" s="24" t="inlineStr">
        <is>
          <t>SA2209</t>
        </is>
      </c>
      <c r="C16" s="24" t="inlineStr">
        <is>
          <t>最后交易日 2022-09-15，早于最新 2026-10-20（已摘牌）</t>
        </is>
      </c>
      <c r="D16" s="24" t="inlineStr"/>
    </row>
    <row r="17">
      <c r="A17" s="24" t="inlineStr">
        <is>
          <t>INFO</t>
        </is>
      </c>
      <c r="B17" s="24" t="inlineStr">
        <is>
          <t>SA2212</t>
        </is>
      </c>
      <c r="C17" s="24" t="inlineStr">
        <is>
          <t>最后交易日 2022-12-14，早于最新 2026-10-20（已摘牌）</t>
        </is>
      </c>
      <c r="D17" s="24" t="inlineStr"/>
    </row>
    <row r="18">
      <c r="A18" s="24" t="inlineStr">
        <is>
          <t>INFO</t>
        </is>
      </c>
      <c r="B18" s="24" t="inlineStr">
        <is>
          <t>SA2301</t>
        </is>
      </c>
      <c r="C18" s="24" t="inlineStr">
        <is>
          <t>最后交易日 2023-01-16，早于最新 2026-10-20（已摘牌）</t>
        </is>
      </c>
      <c r="D18" s="24" t="inlineStr"/>
    </row>
    <row r="19">
      <c r="A19" s="24" t="inlineStr">
        <is>
          <t>INFO</t>
        </is>
      </c>
      <c r="B19" s="24" t="inlineStr">
        <is>
          <t>SA2303</t>
        </is>
      </c>
      <c r="C19" s="24" t="inlineStr">
        <is>
          <t>最后交易日 2023-03-14，早于最新 2026-10-20（已摘牌）</t>
        </is>
      </c>
      <c r="D19" s="24" t="inlineStr"/>
    </row>
    <row r="20">
      <c r="A20" s="24" t="inlineStr">
        <is>
          <t>INFO</t>
        </is>
      </c>
      <c r="B20" s="24" t="inlineStr">
        <is>
          <t>SA2305</t>
        </is>
      </c>
      <c r="C20" s="24" t="inlineStr">
        <is>
          <t>最后交易日 2023-05-17，早于最新 2026-10-20（已摘牌）</t>
        </is>
      </c>
      <c r="D20" s="24" t="inlineStr"/>
    </row>
    <row r="21">
      <c r="A21" s="24" t="inlineStr">
        <is>
          <t>INFO</t>
        </is>
      </c>
      <c r="B21" s="24" t="inlineStr">
        <is>
          <t>SA2309</t>
        </is>
      </c>
      <c r="C21" s="24" t="inlineStr">
        <is>
          <t>最后交易日 2023-09-14，早于最新 2026-10-20（已摘牌）</t>
        </is>
      </c>
      <c r="D21" s="24" t="inlineStr"/>
    </row>
    <row r="22">
      <c r="A22" s="24" t="inlineStr">
        <is>
          <t>INFO</t>
        </is>
      </c>
      <c r="B22" s="24" t="inlineStr">
        <is>
          <t>SA2312</t>
        </is>
      </c>
      <c r="C22" s="24" t="inlineStr">
        <is>
          <t>最后交易日 2023-12-14，早于最新 2026-10-20（已摘牌）</t>
        </is>
      </c>
      <c r="D22" s="24" t="inlineStr"/>
    </row>
    <row r="23">
      <c r="A23" s="24" t="inlineStr">
        <is>
          <t>INFO</t>
        </is>
      </c>
      <c r="B23" s="24" t="inlineStr">
        <is>
          <t>SA2401</t>
        </is>
      </c>
      <c r="C23" s="24" t="inlineStr">
        <is>
          <t>最后交易日 2024-01-15，早于最新 2026-10-20（已摘牌）</t>
        </is>
      </c>
      <c r="D23" s="24" t="inlineStr"/>
    </row>
    <row r="24">
      <c r="A24" s="24" t="inlineStr">
        <is>
          <t>INFO</t>
        </is>
      </c>
      <c r="B24" s="24" t="inlineStr">
        <is>
          <t>SA2403</t>
        </is>
      </c>
      <c r="C24" s="24" t="inlineStr">
        <is>
          <t>最后交易日 2024-03-14，早于最新 2026-10-20（已摘牌）</t>
        </is>
      </c>
      <c r="D24" s="24" t="inlineStr"/>
    </row>
    <row r="25">
      <c r="A25" s="24" t="inlineStr">
        <is>
          <t>INFO</t>
        </is>
      </c>
      <c r="B25" s="24" t="inlineStr">
        <is>
          <t>SA2405</t>
        </is>
      </c>
      <c r="C25" s="24" t="inlineStr">
        <is>
          <t>最后交易日 2024-05-17，早于最新 2026-10-20（已摘牌）</t>
        </is>
      </c>
      <c r="D25" s="24" t="inlineStr"/>
    </row>
    <row r="26">
      <c r="A26" s="24" t="inlineStr">
        <is>
          <t>INFO</t>
        </is>
      </c>
      <c r="B26" s="24" t="inlineStr">
        <is>
          <t>SA2409</t>
        </is>
      </c>
      <c r="C26" s="24" t="inlineStr">
        <is>
          <t>最后交易日 2024-09-13，早于最新 2026-10-20（已摘牌）</t>
        </is>
      </c>
      <c r="D26" s="24" t="inlineStr"/>
    </row>
    <row r="27">
      <c r="A27" s="24" t="inlineStr">
        <is>
          <t>INFO</t>
        </is>
      </c>
      <c r="B27" s="24" t="inlineStr">
        <is>
          <t>SA2412</t>
        </is>
      </c>
      <c r="C27" s="24" t="inlineStr">
        <is>
          <t>最后交易日 2024-12-13，早于最新 2026-10-20（已摘牌）</t>
        </is>
      </c>
      <c r="D27" s="24" t="inlineStr"/>
    </row>
    <row r="28">
      <c r="A28" s="24" t="inlineStr">
        <is>
          <t>INFO</t>
        </is>
      </c>
      <c r="B28" s="24" t="inlineStr">
        <is>
          <t>SA2501</t>
        </is>
      </c>
      <c r="C28" s="24" t="inlineStr">
        <is>
          <t>最后交易日 2025-01-14，早于最新 2026-10-20（已摘牌）</t>
        </is>
      </c>
      <c r="D28" s="24" t="inlineStr"/>
    </row>
    <row r="29">
      <c r="A29" s="24" t="inlineStr">
        <is>
          <t>INFO</t>
        </is>
      </c>
      <c r="B29" s="24" t="inlineStr">
        <is>
          <t>SA2503</t>
        </is>
      </c>
      <c r="C29" s="24" t="inlineStr">
        <is>
          <t>最后交易日 2025-03-14，早于最新 2026-10-20（已摘牌）</t>
        </is>
      </c>
      <c r="D29" s="24" t="inlineStr"/>
    </row>
    <row r="30">
      <c r="A30" s="24" t="inlineStr">
        <is>
          <t>INFO</t>
        </is>
      </c>
      <c r="B30" s="24" t="inlineStr">
        <is>
          <t>SA2505</t>
        </is>
      </c>
      <c r="C30" s="24" t="inlineStr">
        <is>
          <t>最后交易日 2025-05-19，早于最新 2026-10-20（已摘牌）</t>
        </is>
      </c>
      <c r="D30" s="24" t="inlineStr"/>
    </row>
    <row r="31">
      <c r="A31" s="24" t="inlineStr">
        <is>
          <t>INFO</t>
        </is>
      </c>
      <c r="B31" s="24" t="inlineStr">
        <is>
          <t>SA2509</t>
        </is>
      </c>
      <c r="C31" s="24" t="inlineStr">
        <is>
          <t>最后交易日 2025-09-12，早于最新 2026-10-20（已摘牌）</t>
        </is>
      </c>
      <c r="D31" s="24" t="inlineStr"/>
    </row>
    <row r="32">
      <c r="A32" s="24" t="inlineStr">
        <is>
          <t>INFO</t>
        </is>
      </c>
      <c r="B32" s="24" t="inlineStr">
        <is>
          <t>SA2512</t>
        </is>
      </c>
      <c r="C32" s="24" t="inlineStr">
        <is>
          <t>最后交易日 2025-12-12，早于最新 2026-10-20（已摘牌）</t>
        </is>
      </c>
      <c r="D32" s="24" t="inlineStr"/>
    </row>
    <row r="33">
      <c r="A33" s="24" t="inlineStr">
        <is>
          <t>INFO</t>
        </is>
      </c>
      <c r="B33" s="24" t="inlineStr">
        <is>
          <t>SA2601</t>
        </is>
      </c>
      <c r="C33" s="24" t="inlineStr">
        <is>
          <t>最后交易日 2026-01-16，早于最新 2026-10-20（已摘牌）</t>
        </is>
      </c>
      <c r="D33" s="24" t="inlineStr"/>
    </row>
    <row r="34">
      <c r="A34" s="24" t="inlineStr">
        <is>
          <t>INFO</t>
        </is>
      </c>
      <c r="B34" s="24" t="inlineStr">
        <is>
          <t>SA2603</t>
        </is>
      </c>
      <c r="C34" s="24" t="inlineStr">
        <is>
          <t>最后交易日 2026-03-12，早于最新 2026-10-20（已摘牌）</t>
        </is>
      </c>
      <c r="D34" s="24" t="inlineStr"/>
    </row>
    <row r="35">
      <c r="A35" s="24" t="inlineStr">
        <is>
          <t>INFO</t>
        </is>
      </c>
      <c r="B35" s="24" t="inlineStr">
        <is>
          <t>SA2605</t>
        </is>
      </c>
      <c r="C35" s="24" t="inlineStr">
        <is>
          <t>最后交易日 2026-05-19，早于最新 2026-10-20（已摘牌）</t>
        </is>
      </c>
      <c r="D35" s="24" t="inlineStr"/>
    </row>
    <row r="36">
      <c r="A36" s="24" t="inlineStr">
        <is>
          <t>INFO</t>
        </is>
      </c>
      <c r="B36" s="24" t="inlineStr">
        <is>
          <t>SA2609</t>
        </is>
      </c>
      <c r="C36" s="24" t="inlineStr">
        <is>
          <t>最后交易日 2026-09-14，早于最新 2026-10-20（已摘牌）</t>
        </is>
      </c>
      <c r="D36" s="24" t="inlineStr"/>
    </row>
    <row r="38">
      <c r="A38" s="3" t="inlineStr">
        <is>
          <t>已通过的检查：日期严格升序且无重复、无零/负价格、两腿同日对齐（不填补）、单日跳变 &lt; 15%、持仓过滤生效。</t>
        </is>
      </c>
    </row>
    <row r="39">
      <c r="A39" s="3" t="inlineStr">
        <is>
          <t>未覆盖的检查：结算价缺失（接口个别行）、更早已退市合约的完整性、非交易时段的行情异动。</t>
        </is>
      </c>
    </row>
  </sheetData>
  <mergeCells count="2">
    <mergeCell ref="A38:D38"/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2026-10-20T10:45:19Z</dcterms:created>
  <dcterms:modified xmlns:dcterms="http://purl.org/dc/terms/" xmlns:xsi="http://www.w3.org/2001/XMLSchema-instance" xsi:type="dcterms:W3CDTF">2026-10-20T10:45:19Z</dcterms:modified>
</cp:coreProperties>
</file>
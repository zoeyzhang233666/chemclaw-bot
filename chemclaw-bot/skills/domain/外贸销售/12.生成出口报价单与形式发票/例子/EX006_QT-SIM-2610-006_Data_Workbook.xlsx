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10_Order_Lines" sheetId="2" state="visible" r:id="rId2"/>
    <sheet xmlns:r="http://schemas.openxmlformats.org/officeDocument/2006/relationships" name="20_Commercial" sheetId="3" state="visible" r:id="rId3"/>
    <sheet xmlns:r="http://schemas.openxmlformats.org/officeDocument/2006/relationships" name="30_Amount_Formula" sheetId="4" state="visible" r:id="rId4"/>
    <sheet xmlns:r="http://schemas.openxmlformats.org/officeDocument/2006/relationships" name="40_Checklist" sheetId="5" state="visible" r:id="rId5"/>
    <sheet xmlns:r="http://schemas.openxmlformats.org/officeDocument/2006/relationships" name="50_Document_Log" sheetId="6" state="visible" r:id="rId6"/>
    <sheet xmlns:r="http://schemas.openxmlformats.org/officeDocument/2006/relationships" name="60_Glossary" sheetId="7" state="visible" r:id="rId7"/>
    <sheet xmlns:r="http://schemas.openxmlformats.org/officeDocument/2006/relationships" name="70_Scenario_Matrix" sheetId="8" state="visible" r:id="rId8"/>
    <sheet xmlns:r="http://schemas.openxmlformats.org/officeDocument/2006/relationships" name="80_Raw_J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#"/>
    <numFmt numFmtId="165" formatCode="#,##0.000"/>
  </numFmts>
  <fonts count="9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6B7A90"/>
      <sz val="9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1B3A5B"/>
      <sz val="12"/>
    </font>
    <font>
      <name val="Microsoft YaHei"/>
      <b val="1"/>
      <color rgb="00FFFFFF"/>
      <sz val="10"/>
    </font>
    <font>
      <name val="Consolas"/>
      <sz val="10"/>
    </font>
    <font>
      <name val="Consolas"/>
      <sz val="9"/>
    </font>
  </fonts>
  <fills count="10">
    <fill>
      <patternFill/>
    </fill>
    <fill>
      <patternFill patternType="gray125"/>
    </fill>
    <fill>
      <patternFill patternType="solid">
        <fgColor rgb="001B3A5B"/>
      </patternFill>
    </fill>
    <fill>
      <patternFill patternType="solid">
        <fgColor rgb="00FBF3DF"/>
      </patternFill>
    </fill>
    <fill>
      <patternFill patternType="solid">
        <fgColor rgb="00E8EEF5"/>
      </patternFill>
    </fill>
    <fill>
      <patternFill patternType="solid">
        <fgColor rgb="00FDECEA"/>
      </patternFill>
    </fill>
    <fill>
      <patternFill patternType="solid">
        <fgColor rgb="00F4F6F9"/>
      </patternFill>
    </fill>
    <fill>
      <patternFill patternType="solid">
        <fgColor rgb="00FFF9E3"/>
      </patternFill>
    </fill>
    <fill>
      <patternFill patternType="solid">
        <fgColor rgb="00E6F4EC"/>
      </patternFill>
    </fill>
    <fill>
      <patternFill patternType="solid">
        <fgColor rgb="00FFF6DF"/>
      </patternFill>
    </fill>
  </fills>
  <borders count="6">
    <border>
      <left/>
      <right/>
      <top/>
      <bottom/>
      <diagonal/>
    </border>
    <border>
      <left style="thin">
        <color rgb="00D5DCE6"/>
      </left>
      <right style="thin">
        <color rgb="00D5DCE6"/>
      </right>
      <top style="thin">
        <color rgb="00D5DCE6"/>
      </top>
      <bottom style="thin">
        <color rgb="00D5DCE6"/>
      </bottom>
    </border>
    <border>
      <left/>
      <right/>
      <top style="thin">
        <color rgb="00D5DCE6"/>
      </top>
      <bottom/>
      <diagonal/>
    </border>
    <border>
      <left/>
      <right style="thin">
        <color rgb="00D5DCE6"/>
      </right>
      <top style="thin">
        <color rgb="00D5DCE6"/>
      </top>
      <bottom/>
      <diagonal/>
    </border>
    <border>
      <left/>
      <right/>
      <top style="thin">
        <color rgb="00D5DCE6"/>
      </top>
      <bottom style="thin">
        <color rgb="00D5DCE6"/>
      </bottom>
      <diagonal/>
    </border>
    <border>
      <left/>
      <right style="thin">
        <color rgb="00D5DCE6"/>
      </right>
      <top style="thin">
        <color rgb="00D5DCE6"/>
      </top>
      <bottom style="thin">
        <color rgb="00D5DCE6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vertical="center" inden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164" fontId="4" fillId="7" borderId="1" applyAlignment="1" pivotButton="0" quotePrefix="0" xfId="0">
      <alignment vertical="top" wrapText="1"/>
    </xf>
    <xf numFmtId="4" fontId="4" fillId="7" borderId="1" applyAlignment="1" pivotButton="0" quotePrefix="0" xfId="0">
      <alignment vertical="top" wrapText="1"/>
    </xf>
    <xf numFmtId="2" fontId="4" fillId="7" borderId="1" applyAlignment="1" pivotButton="0" quotePrefix="0" xfId="0">
      <alignment vertical="top" wrapText="1"/>
    </xf>
    <xf numFmtId="3" fontId="4" fillId="7" borderId="1" applyAlignment="1" pivotButton="0" quotePrefix="0" xfId="0">
      <alignment vertical="top" wrapText="1"/>
    </xf>
    <xf numFmtId="165" fontId="4" fillId="7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4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vertical="top" wrapText="1"/>
    </xf>
    <xf numFmtId="3" fontId="3" fillId="4" borderId="1" applyAlignment="1" pivotButton="0" quotePrefix="0" xfId="0">
      <alignment vertical="top" wrapText="1"/>
    </xf>
    <xf numFmtId="165" fontId="3" fillId="4" borderId="1" applyAlignment="1" pivotButton="0" quotePrefix="0" xfId="0">
      <alignment vertical="top" wrapText="1"/>
    </xf>
    <xf numFmtId="4" fontId="3" fillId="3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3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62" customWidth="1" min="3" max="3"/>
    <col width="22" customWidth="1" min="4" max="4"/>
    <col width="18" customWidth="1" min="5" max="5"/>
  </cols>
  <sheetData>
    <row r="1" ht="30" customHeight="1">
      <c r="A1" s="1" t="inlineStr">
        <is>
          <t>EXPORT QUOTATION / PROFORMA INVOICE — DATA WORKBOOK  出口报价单 / 形式发票数据工作簿</t>
        </is>
      </c>
    </row>
    <row r="2" ht="22" customHeight="1">
      <c r="A2" s="2" t="inlineStr">
        <is>
          <t>Case EX-006-EXW-BRA · Titanium Dioxide (Rutile) · Brazil · generated 2026-10-19 19:45</t>
        </is>
      </c>
    </row>
    <row r="4">
      <c r="B4" s="3" t="inlineStr">
        <is>
          <t>数据性质 Data class</t>
        </is>
      </c>
      <c r="C4" s="4" t="inlineStr">
        <is>
          <t>SIMULATED — DEMO DATA / 模拟演示数据</t>
        </is>
      </c>
      <c r="D4" s="5" t="n"/>
      <c r="E4" s="6" t="n"/>
    </row>
    <row r="5">
      <c r="B5" s="3" t="inlineStr">
        <is>
          <t>说明 Note</t>
        </is>
      </c>
      <c r="C5" s="4" t="inlineStr">
        <is>
          <t>All names, contacts, prices and terms are SIMULATED for skill demonstration. Replace with user-confirmed commercial data before any real use. Bank details are placeholders only.</t>
        </is>
      </c>
      <c r="D5" s="5" t="n"/>
      <c r="E5" s="6" t="n"/>
    </row>
    <row r="6">
      <c r="B6" s="3" t="inlineStr">
        <is>
          <t>单据类型 Document type</t>
        </is>
      </c>
      <c r="C6" s="7" t="inlineStr">
        <is>
          <t>QUOTATION</t>
        </is>
      </c>
      <c r="D6" s="5" t="n"/>
      <c r="E6" s="6" t="n"/>
    </row>
    <row r="7">
      <c r="B7" s="3" t="inlineStr">
        <is>
          <t>单据编号 Document No.</t>
        </is>
      </c>
      <c r="C7" s="7" t="inlineStr">
        <is>
          <t>QT-SIM-2610-006</t>
        </is>
      </c>
      <c r="D7" s="5" t="n"/>
      <c r="E7" s="6" t="n"/>
    </row>
    <row r="8">
      <c r="B8" s="3" t="inlineStr">
        <is>
          <t>签发日期 Issue date</t>
        </is>
      </c>
      <c r="C8" s="7" t="inlineStr">
        <is>
          <t>2026-10-19</t>
        </is>
      </c>
      <c r="D8" s="5" t="n"/>
      <c r="E8" s="6" t="n"/>
    </row>
    <row r="9">
      <c r="B9" s="3" t="inlineStr">
        <is>
          <t>币种 Currency</t>
        </is>
      </c>
      <c r="C9" s="7" t="inlineStr">
        <is>
          <t>USD (decimals 2)</t>
        </is>
      </c>
      <c r="D9" s="5" t="n"/>
      <c r="E9" s="6" t="n"/>
    </row>
    <row r="10">
      <c r="B10" s="3" t="inlineStr">
        <is>
          <t>卖方 Seller</t>
        </is>
      </c>
      <c r="C10" s="7" t="inlineStr">
        <is>
          <t>Hua Bin Chemical Trading Co., Ltd. (SIMULATED DEMO)</t>
        </is>
      </c>
      <c r="D10" s="5" t="n"/>
      <c r="E10" s="6" t="n"/>
    </row>
    <row r="11">
      <c r="B11" s="3" t="inlineStr">
        <is>
          <t>买方 Buyer</t>
        </is>
      </c>
      <c r="C11" s="7" t="inlineStr">
        <is>
          <t>Comercio de Insumos Demo Ltda. (SIMULATED DEMO)</t>
        </is>
      </c>
      <c r="D11" s="5" t="n"/>
      <c r="E11" s="6" t="n"/>
    </row>
    <row r="12">
      <c r="B12" s="3" t="inlineStr">
        <is>
          <t>贸易术语 Trade term</t>
        </is>
      </c>
      <c r="C12" s="7" t="inlineStr">
        <is>
          <t>EXW Ex Works Seller's warehouse, Nanshan District, Shenzhen, China, Incoterms® 2020</t>
        </is>
      </c>
      <c r="D12" s="5" t="n"/>
      <c r="E12" s="6" t="n"/>
    </row>
    <row r="13">
      <c r="B13" s="3" t="inlineStr">
        <is>
          <t>总数量 Total quantity</t>
        </is>
      </c>
      <c r="C13" s="7" t="n">
        <v>50</v>
      </c>
      <c r="D13" s="5" t="n"/>
      <c r="E13" s="6" t="n"/>
    </row>
    <row r="14">
      <c r="B14" s="3" t="inlineStr">
        <is>
          <t>总金额 TOTAL (USD)</t>
        </is>
      </c>
      <c r="C14" s="7" t="n"/>
      <c r="D14" s="5" t="n"/>
      <c r="E14" s="6" t="n"/>
    </row>
    <row r="15">
      <c r="B15" s="3" t="inlineStr">
        <is>
          <t>复核状态 Document state</t>
        </is>
      </c>
      <c r="C15" s="7" t="inlineStr">
        <is>
          <t>DRAFT — DRAFT — NOT A VALID OFFER</t>
        </is>
      </c>
      <c r="D15" s="5" t="n"/>
      <c r="E15" s="6" t="n"/>
    </row>
    <row r="16">
      <c r="B16" s="3" t="inlineStr">
        <is>
          <t>校验结果</t>
        </is>
      </c>
      <c r="C16" s="7" t="inlineStr">
        <is>
          <t>4 错误 / 0 提示</t>
        </is>
      </c>
      <c r="D16" s="5" t="n"/>
      <c r="E16" s="6" t="n"/>
    </row>
    <row r="17">
      <c r="B17" s="3" t="inlineStr">
        <is>
          <t>必填完整度</t>
        </is>
      </c>
      <c r="C17" s="7" t="inlineStr">
        <is>
          <t>22 / 25</t>
        </is>
      </c>
      <c r="D17" s="5" t="n"/>
      <c r="E17" s="6" t="n"/>
    </row>
    <row r="19">
      <c r="B19" s="8" t="inlineStr">
        <is>
          <t>工作簿结构 Sheet map</t>
        </is>
      </c>
    </row>
    <row r="20">
      <c r="B20" s="9" t="inlineStr">
        <is>
          <t>10_Order_Lines</t>
        </is>
      </c>
      <c r="C20" s="7" t="inlineStr">
        <is>
          <t>订单明细：数量/单位/单价/金额（含活公式）</t>
        </is>
      </c>
      <c r="D20" s="10" t="inlineStr">
        <is>
          <t>金额由公式重算，与确认金额比对</t>
        </is>
      </c>
      <c r="E20" s="6" t="n"/>
    </row>
    <row r="21">
      <c r="B21" s="9" t="inlineStr">
        <is>
          <t>20_Commercial</t>
        </is>
      </c>
      <c r="C21" s="7" t="inlineStr">
        <is>
          <t>商务字段：买卖双方、条款、银行、单证</t>
        </is>
      </c>
      <c r="D21" s="10" t="inlineStr">
        <is>
          <t>每项标注“已确认 / 待填写”</t>
        </is>
      </c>
      <c r="E21" s="6" t="n"/>
    </row>
    <row r="22">
      <c r="B22" s="9" t="inlineStr">
        <is>
          <t>30_Amount_Formula</t>
        </is>
      </c>
      <c r="C22" s="7" t="inlineStr">
        <is>
          <t>金额公式链、大写金额与差异核对</t>
        </is>
      </c>
      <c r="D22" s="10" t="inlineStr">
        <is>
          <t>核对 TOTAL 与分项之和</t>
        </is>
      </c>
      <c r="E22" s="6" t="n"/>
    </row>
    <row r="23">
      <c r="B23" s="9" t="inlineStr">
        <is>
          <t>40_Checklist</t>
        </is>
      </c>
      <c r="C23" s="7" t="inlineStr">
        <is>
          <t>A–K 十一个维度的条款完整性检查</t>
        </is>
      </c>
      <c r="D23" s="10" t="inlineStr">
        <is>
          <t>错误=阻断，提示=建议处理</t>
        </is>
      </c>
      <c r="E23" s="6" t="n"/>
    </row>
    <row r="24">
      <c r="B24" s="9" t="inlineStr">
        <is>
          <t>50_Document_Log</t>
        </is>
      </c>
      <c r="C24" s="7" t="inlineStr">
        <is>
          <t>文件生成、复核与导出记录</t>
        </is>
      </c>
      <c r="D24" s="10" t="inlineStr">
        <is>
          <t>含复核人签字栏（人工填写）</t>
        </is>
      </c>
      <c r="E24" s="6" t="n"/>
    </row>
    <row r="25">
      <c r="B25" s="9" t="inlineStr">
        <is>
          <t>60_Glossary</t>
        </is>
      </c>
      <c r="C25" s="7" t="inlineStr">
        <is>
          <t>跨品类通用字段字典（数据契约）</t>
        </is>
      </c>
      <c r="D25" s="10" t="inlineStr">
        <is>
          <t>新案例按此字段填 JSON</t>
        </is>
      </c>
      <c r="E25" s="6" t="n"/>
    </row>
    <row r="26">
      <c r="B26" s="9" t="inlineStr">
        <is>
          <t>70_Scenario_Matrix</t>
        </is>
      </c>
      <c r="C26" s="7" t="inlineStr">
        <is>
          <t>八种贸易术语的费用责任矩阵</t>
        </is>
      </c>
      <c r="D26" s="10" t="inlineStr">
        <is>
          <t>用于报价条件切换时核对</t>
        </is>
      </c>
      <c r="E26" s="6" t="n"/>
    </row>
    <row r="27">
      <c r="B27" s="9" t="inlineStr">
        <is>
          <t>80_Raw_JSON</t>
        </is>
      </c>
      <c r="C27" s="7" t="inlineStr">
        <is>
          <t>机器可读 JSON（可回导入编辑台）</t>
        </is>
      </c>
      <c r="D27" s="10" t="inlineStr">
        <is>
          <t>勿手工修改，改动以字段表为准</t>
        </is>
      </c>
      <c r="E27" s="6" t="n"/>
    </row>
    <row r="29">
      <c r="B29" s="8" t="inlineStr">
        <is>
          <t>使用原则 Rules</t>
        </is>
      </c>
    </row>
    <row r="30">
      <c r="B30" s="11" t="inlineStr">
        <is>
          <t>•</t>
        </is>
      </c>
      <c r="C30" s="12" t="inlineStr">
        <is>
          <t>所有价格、付款条件、银行资料、交期必须来自用户确认；本工作簿不生成任何未经确认的商务数据。</t>
        </is>
      </c>
    </row>
    <row r="31">
      <c r="B31" s="11" t="inlineStr">
        <is>
          <t>•</t>
        </is>
      </c>
      <c r="C31" s="12" t="inlineStr">
        <is>
          <t>黄色单元格为输入项，公式区（30 表）请勿覆盖；Excel 打开时自动重算。</t>
        </is>
      </c>
    </row>
    <row r="32">
      <c r="B32" s="11" t="inlineStr">
        <is>
          <t>•</t>
        </is>
      </c>
      <c r="C32" s="12" t="inlineStr">
        <is>
          <t>演示数据仅用于流程演练，不得用于真实报价；正式文件须另行复核签字。</t>
        </is>
      </c>
    </row>
    <row r="33">
      <c r="B33" s="11" t="inlineStr">
        <is>
          <t>•</t>
        </is>
      </c>
      <c r="C33" s="12" t="inlineStr">
        <is>
          <t>银行账号在本工作簿中一律以占位符呈现，不写入任何可能被误认为真实的账户。</t>
        </is>
      </c>
    </row>
  </sheetData>
  <mergeCells count="28">
    <mergeCell ref="C16:E16"/>
    <mergeCell ref="D20:E20"/>
    <mergeCell ref="C31:E31"/>
    <mergeCell ref="C9:E9"/>
    <mergeCell ref="A1:E1"/>
    <mergeCell ref="D22:E22"/>
    <mergeCell ref="C12:E12"/>
    <mergeCell ref="D21:E21"/>
    <mergeCell ref="C11:E11"/>
    <mergeCell ref="D27:E27"/>
    <mergeCell ref="C8:E8"/>
    <mergeCell ref="C17:E17"/>
    <mergeCell ref="C7:E7"/>
    <mergeCell ref="C32:E32"/>
    <mergeCell ref="C13:E13"/>
    <mergeCell ref="A2:E2"/>
    <mergeCell ref="C30:E30"/>
    <mergeCell ref="C15:E15"/>
    <mergeCell ref="C6:E6"/>
    <mergeCell ref="D25:E25"/>
    <mergeCell ref="C33:E33"/>
    <mergeCell ref="C14:E14"/>
    <mergeCell ref="D24:E24"/>
    <mergeCell ref="C5:E5"/>
    <mergeCell ref="D23:E23"/>
    <mergeCell ref="C4:E4"/>
    <mergeCell ref="D26:E2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3" customWidth="1" min="3" max="3"/>
    <col width="52" customWidth="1" min="4" max="4"/>
    <col width="10" customWidth="1" min="5" max="5"/>
    <col width="10" customWidth="1" min="6" max="6"/>
    <col width="11" customWidth="1" min="7" max="7"/>
    <col width="12" customWidth="1" min="8" max="8"/>
    <col width="11" customWidth="1" min="9" max="9"/>
    <col width="10" customWidth="1" min="10" max="10"/>
    <col width="14" customWidth="1" min="11" max="11"/>
    <col width="13" customWidth="1" min="12" max="12"/>
    <col width="14" customWidth="1" min="13" max="13"/>
    <col width="12" customWidth="1" min="14" max="14"/>
    <col width="16" customWidth="1" min="15" max="15"/>
  </cols>
  <sheetData>
    <row r="1" ht="30" customHeight="1">
      <c r="A1" s="1" t="inlineStr">
        <is>
          <t>10 · ORDER LINES  订单明细</t>
        </is>
      </c>
    </row>
    <row r="2" ht="22" customHeight="1">
      <c r="A2" s="2" t="inlineStr">
        <is>
          <t>黄色：用户确认输入（数量/单价/折扣）；蓝色：公式重算。金额规则 = 数量 × 单价 × (1 − 折扣%)</t>
        </is>
      </c>
    </row>
    <row r="4" ht="26" customHeight="1">
      <c r="A4" s="13" t="inlineStr">
        <is>
          <t>No.</t>
        </is>
      </c>
      <c r="B4" s="13" t="inlineStr">
        <is>
          <t>Description of goods</t>
        </is>
      </c>
      <c r="C4" s="13" t="inlineStr">
        <is>
          <t>CAS No.</t>
        </is>
      </c>
      <c r="D4" s="13" t="inlineStr">
        <is>
          <t>Specification</t>
        </is>
      </c>
      <c r="E4" s="13" t="inlineStr">
        <is>
          <t>HS</t>
        </is>
      </c>
      <c r="F4" s="13" t="inlineStr">
        <is>
          <t>Unit</t>
        </is>
      </c>
      <c r="G4" s="13" t="inlineStr">
        <is>
          <t>Quantity</t>
        </is>
      </c>
      <c r="H4" s="13" t="inlineStr">
        <is>
          <t>Unit price (USD)</t>
        </is>
      </c>
      <c r="I4" s="13" t="inlineStr">
        <is>
          <t>Disc %</t>
        </is>
      </c>
      <c r="J4" s="13" t="inlineStr">
        <is>
          <t>Packages</t>
        </is>
      </c>
      <c r="K4" s="13" t="inlineStr">
        <is>
          <t>Gross kg/pkg</t>
        </is>
      </c>
      <c r="L4" s="13" t="inlineStr">
        <is>
          <t>Line G/W (kg)</t>
        </is>
      </c>
      <c r="M4" s="13" t="inlineStr">
        <is>
          <t>Line amount (USD) 重算</t>
        </is>
      </c>
      <c r="N4" s="13" t="inlineStr">
        <is>
          <t>Confirmed amount 已确认</t>
        </is>
      </c>
      <c r="O4" s="13" t="inlineStr">
        <is>
          <t>Check 一致性</t>
        </is>
      </c>
    </row>
    <row r="5" ht="96" customHeight="1">
      <c r="A5" s="14" t="n">
        <v>1</v>
      </c>
      <c r="B5" s="15" t="inlineStr">
        <is>
          <t>Titanium Dioxide, Rutile grade (chloride process)</t>
        </is>
      </c>
      <c r="C5" s="7" t="inlineStr">
        <is>
          <t>13463-67-7</t>
        </is>
      </c>
      <c r="D5" s="7" t="inlineStr">
        <is>
          <t>TiO2 93.0% min.; rutile content 97% min.; TiO2 in hydrochloric bath &lt; 1.8% (typical); surface treated Al2O3/SiO2</t>
        </is>
      </c>
      <c r="E5" s="7" t="inlineStr">
        <is>
          <t>320611</t>
        </is>
      </c>
      <c r="F5" s="14" t="inlineStr">
        <is>
          <t>MT</t>
        </is>
      </c>
      <c r="G5" s="16" t="n">
        <v>50</v>
      </c>
      <c r="H5" s="17" t="n"/>
      <c r="I5" s="18" t="n">
        <v>0</v>
      </c>
      <c r="J5" s="19" t="n">
        <v>2000</v>
      </c>
      <c r="K5" s="20" t="n">
        <v>25.2</v>
      </c>
      <c r="L5" s="21">
        <f>IF(OR(J5="",K5=""),"",J5*K5)</f>
        <v/>
      </c>
      <c r="M5" s="22">
        <f>IF(OR(G5="",H5=""),"",ROUND(G5*H5*(1-I5/100),2))</f>
        <v/>
      </c>
      <c r="N5" s="17" t="n"/>
      <c r="O5" s="23">
        <f>IF(M5="","UNIT PRICE MISSING",IF(N5="","NOT CONFIRMED",IF(ABS(M5-N5)&lt;0.005,"OK","MISMATCH")))</f>
        <v/>
      </c>
    </row>
    <row r="6">
      <c r="F6" s="24" t="inlineStr">
        <is>
          <t>TOTAL</t>
        </is>
      </c>
      <c r="G6" s="25">
        <f>SUM(G5:G5)</f>
        <v/>
      </c>
      <c r="J6" s="26">
        <f>SUM(J5:J5)</f>
        <v/>
      </c>
      <c r="L6" s="27">
        <f>SUM(L5:L5)</f>
        <v/>
      </c>
      <c r="M6" s="22">
        <f>SUM(M5:M5)</f>
        <v/>
      </c>
      <c r="N6" s="22">
        <f>SUM(N5:N5)</f>
        <v/>
      </c>
      <c r="O6" s="24">
        <f>IF(ABS(M6-N6)&lt;0.005,"OK","CHECK")</f>
        <v/>
      </c>
    </row>
    <row r="8">
      <c r="B8" s="8" t="inlineStr">
        <is>
          <t>附加费用 Charges（仅 addToTotal=Y 且金额已确认的计入总额）</t>
        </is>
      </c>
    </row>
    <row r="9" ht="26" customHeight="1">
      <c r="A9" s="13" t="inlineStr"/>
      <c r="B9" s="13" t="inlineStr">
        <is>
          <t>Name</t>
        </is>
      </c>
      <c r="C9" s="13" t="inlineStr"/>
      <c r="D9" s="13" t="inlineStr">
        <is>
          <t>Note</t>
        </is>
      </c>
      <c r="E9" s="13" t="inlineStr"/>
      <c r="F9" s="13" t="inlineStr"/>
      <c r="G9" s="13" t="inlineStr"/>
      <c r="H9" s="13" t="inlineStr">
        <is>
          <t>Amount (USD)</t>
        </is>
      </c>
      <c r="I9" s="13" t="inlineStr">
        <is>
          <t>Add to total</t>
        </is>
      </c>
      <c r="J9" s="13" t="inlineStr"/>
      <c r="K9" s="13" t="inlineStr"/>
      <c r="L9" s="13" t="inlineStr"/>
      <c r="M9" s="13" t="inlineStr"/>
      <c r="N9" s="13" t="inlineStr"/>
      <c r="O9" s="13" t="inlineStr"/>
    </row>
    <row r="10">
      <c r="B10" s="10" t="inlineStr">
        <is>
          <t>(none)</t>
        </is>
      </c>
    </row>
    <row r="11">
      <c r="B11" s="3" t="inlineStr">
        <is>
          <t>GRAND TOTAL</t>
        </is>
      </c>
      <c r="H11" s="28">
        <f>M6+SUMIFS(H10:H10,I10:I10,"Y")</f>
        <v/>
      </c>
    </row>
  </sheetData>
  <mergeCells count="2">
    <mergeCell ref="A1:O1"/>
    <mergeCell ref="A2:O2"/>
  </mergeCells>
  <dataValidations count="1">
    <dataValidation sqref="I1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4" customWidth="1" min="3" max="3"/>
    <col width="58" customWidth="1" min="4" max="4"/>
    <col width="14" customWidth="1" min="5" max="5"/>
    <col width="18" customWidth="1" min="6" max="6"/>
    <col width="22" customWidth="1" min="7" max="7"/>
  </cols>
  <sheetData>
    <row r="1" ht="30" customHeight="1">
      <c r="A1" s="1" t="inlineStr">
        <is>
          <t>20 · COMMERCIAL FIELDS  商务字段</t>
        </is>
      </c>
    </row>
    <row r="2" ht="22" customHeight="1">
      <c r="A2" s="2" t="inlineStr">
        <is>
          <t>状态由引擎判定：已确认 / 待填写 / 未采用。待填写项不得默认为已同意。</t>
        </is>
      </c>
    </row>
    <row r="4" ht="26" customHeight="1">
      <c r="A4" s="13" t="inlineStr">
        <is>
          <t>#</t>
        </is>
      </c>
      <c r="B4" s="13" t="inlineStr">
        <is>
          <t>Section</t>
        </is>
      </c>
      <c r="C4" s="13" t="inlineStr">
        <is>
          <t>Field</t>
        </is>
      </c>
      <c r="D4" s="13" t="inlineStr">
        <is>
          <t>Value</t>
        </is>
      </c>
      <c r="E4" s="13" t="inlineStr">
        <is>
          <t>Status</t>
        </is>
      </c>
      <c r="F4" s="13" t="inlineStr">
        <is>
          <t>Owner / 来源</t>
        </is>
      </c>
      <c r="G4" s="13" t="inlineStr">
        <is>
          <t>Note 说明</t>
        </is>
      </c>
    </row>
    <row r="5">
      <c r="A5" s="14" t="n">
        <v>1</v>
      </c>
      <c r="B5" s="7" t="inlineStr">
        <is>
          <t>Document</t>
        </is>
      </c>
      <c r="C5" s="15" t="inlineStr">
        <is>
          <t>Document type</t>
        </is>
      </c>
      <c r="D5" s="7" t="inlineStr">
        <is>
          <t>Quotation</t>
        </is>
      </c>
      <c r="E5" s="29" t="inlineStr">
        <is>
          <t>已确认 CONFIRMED</t>
        </is>
      </c>
      <c r="F5" s="14" t="inlineStr">
        <is>
          <t>user_confirmed</t>
        </is>
      </c>
      <c r="G5" s="10" t="inlineStr"/>
    </row>
    <row r="6">
      <c r="A6" s="14" t="n">
        <v>2</v>
      </c>
      <c r="B6" s="7" t="inlineStr">
        <is>
          <t>Document</t>
        </is>
      </c>
      <c r="C6" s="15" t="inlineStr">
        <is>
          <t>Document No.</t>
        </is>
      </c>
      <c r="D6" s="7" t="inlineStr">
        <is>
          <t>QT-SIM-2610-006</t>
        </is>
      </c>
      <c r="E6" s="29" t="inlineStr">
        <is>
          <t>已确认 CONFIRMED</t>
        </is>
      </c>
      <c r="F6" s="14" t="inlineStr">
        <is>
          <t>user_confirmed</t>
        </is>
      </c>
      <c r="G6" s="10" t="inlineStr"/>
    </row>
    <row r="7">
      <c r="A7" s="14" t="n">
        <v>3</v>
      </c>
      <c r="B7" s="7" t="inlineStr">
        <is>
          <t>Document</t>
        </is>
      </c>
      <c r="C7" s="15" t="inlineStr">
        <is>
          <t>Date of issue</t>
        </is>
      </c>
      <c r="D7" s="7" t="inlineStr">
        <is>
          <t>2026-10-19</t>
        </is>
      </c>
      <c r="E7" s="29" t="inlineStr">
        <is>
          <t>已确认 CONFIRMED</t>
        </is>
      </c>
      <c r="F7" s="14" t="inlineStr">
        <is>
          <t>user_confirmed</t>
        </is>
      </c>
      <c r="G7" s="10" t="inlineStr"/>
    </row>
    <row r="8">
      <c r="A8" s="14" t="n">
        <v>4</v>
      </c>
      <c r="B8" s="7" t="inlineStr">
        <is>
          <t>Document</t>
        </is>
      </c>
      <c r="C8" s="15" t="inlineStr">
        <is>
          <t>Our reference</t>
        </is>
      </c>
      <c r="D8" s="7" t="inlineStr">
        <is>
          <t>QT-SIM-2610-006 Rev.0</t>
        </is>
      </c>
      <c r="E8" s="29" t="inlineStr">
        <is>
          <t>已确认 CONFIRMED</t>
        </is>
      </c>
      <c r="F8" s="14" t="inlineStr">
        <is>
          <t>user_confirmed</t>
        </is>
      </c>
      <c r="G8" s="10" t="inlineStr"/>
    </row>
    <row r="9">
      <c r="A9" s="14" t="n">
        <v>5</v>
      </c>
      <c r="B9" s="7" t="inlineStr">
        <is>
          <t>Document</t>
        </is>
      </c>
      <c r="C9" s="15" t="inlineStr">
        <is>
          <t>Your enquiry reference</t>
        </is>
      </c>
      <c r="D9" s="7" t="inlineStr">
        <is>
          <t>INQ-SIM-BR-0031</t>
        </is>
      </c>
      <c r="E9" s="29" t="inlineStr">
        <is>
          <t>已确认 CONFIRMED</t>
        </is>
      </c>
      <c r="F9" s="14" t="inlineStr">
        <is>
          <t>user_confirmed</t>
        </is>
      </c>
      <c r="G9" s="10" t="inlineStr"/>
    </row>
    <row r="10">
      <c r="A10" s="14" t="n">
        <v>6</v>
      </c>
      <c r="B10" s="7" t="inlineStr">
        <is>
          <t>Document</t>
        </is>
      </c>
      <c r="C10" s="15" t="inlineStr">
        <is>
          <t>Our quotation reference</t>
        </is>
      </c>
      <c r="D10" s="7" t="inlineStr"/>
      <c r="E10" s="30" t="inlineStr">
        <is>
          <t>待填写 MISSING</t>
        </is>
      </c>
      <c r="F10" s="14" t="inlineStr">
        <is>
          <t>user_confirmed</t>
        </is>
      </c>
      <c r="G10" s="10" t="inlineStr"/>
    </row>
    <row r="11">
      <c r="A11" s="14" t="n">
        <v>7</v>
      </c>
      <c r="B11" s="7" t="inlineStr">
        <is>
          <t>Document</t>
        </is>
      </c>
      <c r="C11" s="15" t="inlineStr">
        <is>
          <t>Exporter reference (supplier invoice No.)</t>
        </is>
      </c>
      <c r="D11" s="7" t="inlineStr">
        <is>
          <t>TO BE ALLOCATED BEFORE SHIPMENT</t>
        </is>
      </c>
      <c r="E11" s="29" t="inlineStr">
        <is>
          <t>已确认 CONFIRMED</t>
        </is>
      </c>
      <c r="F11" s="14" t="inlineStr">
        <is>
          <t>user_confirmed</t>
        </is>
      </c>
      <c r="G11" s="10" t="inlineStr"/>
    </row>
    <row r="12">
      <c r="A12" s="14" t="n">
        <v>8</v>
      </c>
      <c r="B12" s="7" t="inlineStr">
        <is>
          <t>Document</t>
        </is>
      </c>
      <c r="C12" s="15" t="inlineStr">
        <is>
          <t>Buyer's PO / reference</t>
        </is>
      </c>
      <c r="D12" s="7" t="inlineStr"/>
      <c r="E12" s="30" t="inlineStr">
        <is>
          <t>待填写 MISSING</t>
        </is>
      </c>
      <c r="F12" s="14" t="inlineStr">
        <is>
          <t>user_confirmed</t>
        </is>
      </c>
      <c r="G12" s="10" t="inlineStr"/>
    </row>
    <row r="13">
      <c r="A13" s="14" t="n">
        <v>9</v>
      </c>
      <c r="B13" s="7" t="inlineStr">
        <is>
          <t>Document</t>
        </is>
      </c>
      <c r="C13" s="15" t="inlineStr">
        <is>
          <t>Issued by (operator)</t>
        </is>
      </c>
      <c r="D13" s="7" t="inlineStr">
        <is>
          <t>export-quotation-pi skill v1.0.0</t>
        </is>
      </c>
      <c r="E13" s="29" t="inlineStr">
        <is>
          <t>已确认 CONFIRMED</t>
        </is>
      </c>
      <c r="F13" s="14" t="inlineStr">
        <is>
          <t>system_generated</t>
        </is>
      </c>
      <c r="G13" s="10" t="inlineStr"/>
    </row>
    <row r="14">
      <c r="A14" s="14" t="n">
        <v>10</v>
      </c>
      <c r="B14" s="7" t="inlineStr">
        <is>
          <t>Seller</t>
        </is>
      </c>
      <c r="C14" s="15" t="inlineStr">
        <is>
          <t>Company name</t>
        </is>
      </c>
      <c r="D14" s="7" t="inlineStr">
        <is>
          <t>Hua Bin Chemical Trading Co., Ltd. (SIMULATED DEMO)</t>
        </is>
      </c>
      <c r="E14" s="29" t="inlineStr">
        <is>
          <t>已确认 CONFIRMED</t>
        </is>
      </c>
      <c r="F14" s="14" t="inlineStr">
        <is>
          <t>user_confirmed</t>
        </is>
      </c>
      <c r="G14" s="10" t="inlineStr"/>
    </row>
    <row r="15">
      <c r="A15" s="14" t="n">
        <v>11</v>
      </c>
      <c r="B15" s="7" t="inlineStr">
        <is>
          <t>Seller</t>
        </is>
      </c>
      <c r="C15" s="15" t="inlineStr">
        <is>
          <t>Address</t>
        </is>
      </c>
      <c r="D15" s="7" t="inlineStr">
        <is>
          <t>Unit 2108, 21/F, Harbor Commerce Tower, Nanshan District, Shenzhen, Guangdong 518000, China</t>
        </is>
      </c>
      <c r="E15" s="29" t="inlineStr">
        <is>
          <t>已确认 CONFIRMED</t>
        </is>
      </c>
      <c r="F15" s="14" t="inlineStr">
        <is>
          <t>user_confirmed</t>
        </is>
      </c>
      <c r="G15" s="10" t="inlineStr"/>
    </row>
    <row r="16">
      <c r="A16" s="14" t="n">
        <v>12</v>
      </c>
      <c r="B16" s="7" t="inlineStr">
        <is>
          <t>Seller</t>
        </is>
      </c>
      <c r="C16" s="15" t="inlineStr">
        <is>
          <t>Contact / phone / e-mail</t>
        </is>
      </c>
      <c r="D16" s="7" t="inlineStr">
        <is>
          <t>[Simulated Contact Person] | +86 000 0000 0000 (Simulated) | export@example-demo.invalid</t>
        </is>
      </c>
      <c r="E16" s="29" t="inlineStr">
        <is>
          <t>已确认 CONFIRMED</t>
        </is>
      </c>
      <c r="F16" s="14" t="inlineStr">
        <is>
          <t>user_confirmed</t>
        </is>
      </c>
      <c r="G16" s="10" t="inlineStr"/>
    </row>
    <row r="17">
      <c r="A17" s="14" t="n">
        <v>13</v>
      </c>
      <c r="B17" s="7" t="inlineStr">
        <is>
          <t>Seller</t>
        </is>
      </c>
      <c r="C17" s="15" t="inlineStr">
        <is>
          <t>Tax ID / USCI</t>
        </is>
      </c>
      <c r="D17" s="7" t="inlineStr">
        <is>
          <t>USCI SIMULATED-0000000000</t>
        </is>
      </c>
      <c r="E17" s="29" t="inlineStr">
        <is>
          <t>已确认 CONFIRMED</t>
        </is>
      </c>
      <c r="F17" s="14" t="inlineStr">
        <is>
          <t>user_confirmed</t>
        </is>
      </c>
      <c r="G17" s="10" t="inlineStr"/>
    </row>
    <row r="18">
      <c r="A18" s="14" t="n">
        <v>14</v>
      </c>
      <c r="B18" s="7" t="inlineStr">
        <is>
          <t>Buyer</t>
        </is>
      </c>
      <c r="C18" s="15" t="inlineStr">
        <is>
          <t>Company name</t>
        </is>
      </c>
      <c r="D18" s="7" t="inlineStr">
        <is>
          <t>Comercio de Insumos Demo Ltda. (SIMULATED DEMO)</t>
        </is>
      </c>
      <c r="E18" s="29" t="inlineStr">
        <is>
          <t>已确认 CONFIRMED</t>
        </is>
      </c>
      <c r="F18" s="14" t="inlineStr">
        <is>
          <t>user_confirmed</t>
        </is>
      </c>
      <c r="G18" s="10" t="inlineStr"/>
    </row>
    <row r="19">
      <c r="A19" s="14" t="n">
        <v>15</v>
      </c>
      <c r="B19" s="7" t="inlineStr">
        <is>
          <t>Buyer</t>
        </is>
      </c>
      <c r="C19" s="15" t="inlineStr">
        <is>
          <t>Address</t>
        </is>
      </c>
      <c r="D19" s="7" t="inlineStr">
        <is>
          <t>Rua Exemplo 100, Galpao 3, Distrito Industrial, Guarulhos, SP 07220-000, Brasil</t>
        </is>
      </c>
      <c r="E19" s="29" t="inlineStr">
        <is>
          <t>已确认 CONFIRMED</t>
        </is>
      </c>
      <c r="F19" s="14" t="inlineStr">
        <is>
          <t>user_confirmed</t>
        </is>
      </c>
      <c r="G19" s="10" t="inlineStr"/>
    </row>
    <row r="20">
      <c r="A20" s="14" t="n">
        <v>16</v>
      </c>
      <c r="B20" s="7" t="inlineStr">
        <is>
          <t>Buyer</t>
        </is>
      </c>
      <c r="C20" s="15" t="inlineStr">
        <is>
          <t>Attention</t>
        </is>
      </c>
      <c r="D20" s="7" t="inlineStr">
        <is>
          <t>[Simulated Buyer Contact] | compras@example-demo.invalid | +55 00 0000-0000 (Simulated)</t>
        </is>
      </c>
      <c r="E20" s="29" t="inlineStr">
        <is>
          <t>已确认 CONFIRMED</t>
        </is>
      </c>
      <c r="F20" s="14" t="inlineStr">
        <is>
          <t>user_confirmed</t>
        </is>
      </c>
      <c r="G20" s="10" t="inlineStr"/>
    </row>
    <row r="21">
      <c r="A21" s="14" t="n">
        <v>17</v>
      </c>
      <c r="B21" s="7" t="inlineStr">
        <is>
          <t>Buyer</t>
        </is>
      </c>
      <c r="C21" s="15" t="inlineStr">
        <is>
          <t>Tax number (NPWP)</t>
        </is>
      </c>
      <c r="D21" s="7" t="inlineStr"/>
      <c r="E21" s="30" t="inlineStr">
        <is>
          <t>待填写 MISSING</t>
        </is>
      </c>
      <c r="F21" s="14" t="inlineStr">
        <is>
          <t>user_confirmed</t>
        </is>
      </c>
      <c r="G21" s="10" t="inlineStr"/>
    </row>
    <row r="22">
      <c r="A22" s="14" t="n">
        <v>18</v>
      </c>
      <c r="B22" s="7" t="inlineStr">
        <is>
          <t>Goods</t>
        </is>
      </c>
      <c r="C22" s="15" t="inlineStr">
        <is>
          <t>Product</t>
        </is>
      </c>
      <c r="D22" s="7" t="inlineStr">
        <is>
          <t>Titanium Dioxide, Rutile grade (chloride process)</t>
        </is>
      </c>
      <c r="E22" s="29" t="inlineStr">
        <is>
          <t>已确认 CONFIRMED</t>
        </is>
      </c>
      <c r="F22" s="14" t="inlineStr">
        <is>
          <t>user_confirmed</t>
        </is>
      </c>
      <c r="G22" s="10" t="inlineStr"/>
    </row>
    <row r="23">
      <c r="A23" s="14" t="n">
        <v>19</v>
      </c>
      <c r="B23" s="7" t="inlineStr">
        <is>
          <t>Goods</t>
        </is>
      </c>
      <c r="C23" s="15" t="inlineStr">
        <is>
          <t>CAS Registry Number</t>
        </is>
      </c>
      <c r="D23" s="7" t="inlineStr">
        <is>
          <t>13463-67-7</t>
        </is>
      </c>
      <c r="E23" s="29" t="inlineStr">
        <is>
          <t>已确认 CONFIRMED</t>
        </is>
      </c>
      <c r="F23" s="14" t="inlineStr">
        <is>
          <t>user_confirmed</t>
        </is>
      </c>
      <c r="G23" s="10" t="inlineStr"/>
    </row>
    <row r="24">
      <c r="A24" s="14" t="n">
        <v>20</v>
      </c>
      <c r="B24" s="7" t="inlineStr">
        <is>
          <t>Goods</t>
        </is>
      </c>
      <c r="C24" s="15" t="inlineStr">
        <is>
          <t>Specification</t>
        </is>
      </c>
      <c r="D24" s="7" t="inlineStr">
        <is>
          <t>TiO2 93.0% min.; rutile content 97% min.; TiO2 in hydrochloric bath &lt; 1.8% (typical); surface treated Al2O3/SiO2</t>
        </is>
      </c>
      <c r="E24" s="29" t="inlineStr">
        <is>
          <t>已确认 CONFIRMED</t>
        </is>
      </c>
      <c r="F24" s="14" t="inlineStr">
        <is>
          <t>user_confirmed</t>
        </is>
      </c>
      <c r="G24" s="10" t="inlineStr"/>
    </row>
    <row r="25">
      <c r="A25" s="14" t="n">
        <v>21</v>
      </c>
      <c r="B25" s="7" t="inlineStr">
        <is>
          <t>Goods</t>
        </is>
      </c>
      <c r="C25" s="15" t="inlineStr">
        <is>
          <t>HS code</t>
        </is>
      </c>
      <c r="D25" s="7" t="inlineStr">
        <is>
          <t>320611</t>
        </is>
      </c>
      <c r="E25" s="29" t="inlineStr">
        <is>
          <t>已确认 CONFIRMED</t>
        </is>
      </c>
      <c r="F25" s="14" t="inlineStr">
        <is>
          <t>user_confirmed</t>
        </is>
      </c>
      <c r="G25" s="10" t="inlineStr"/>
    </row>
    <row r="26">
      <c r="A26" s="14" t="n">
        <v>22</v>
      </c>
      <c r="B26" s="7" t="inlineStr">
        <is>
          <t>Goods</t>
        </is>
      </c>
      <c r="C26" s="15" t="inlineStr">
        <is>
          <t>Origin</t>
        </is>
      </c>
      <c r="D26" s="7" t="inlineStr">
        <is>
          <t>China</t>
        </is>
      </c>
      <c r="E26" s="29" t="inlineStr">
        <is>
          <t>已确认 CONFIRMED</t>
        </is>
      </c>
      <c r="F26" s="14" t="inlineStr">
        <is>
          <t>user_confirmed</t>
        </is>
      </c>
      <c r="G26" s="10" t="inlineStr"/>
    </row>
    <row r="27">
      <c r="A27" s="14" t="n">
        <v>23</v>
      </c>
      <c r="B27" s="7" t="inlineStr">
        <is>
          <t>Goods</t>
        </is>
      </c>
      <c r="C27" s="15" t="inlineStr">
        <is>
          <t>Quantity</t>
        </is>
      </c>
      <c r="D27" s="7" t="inlineStr">
        <is>
          <t>50 MT</t>
        </is>
      </c>
      <c r="E27" s="29" t="inlineStr">
        <is>
          <t>已确认 CONFIRMED</t>
        </is>
      </c>
      <c r="F27" s="14" t="inlineStr">
        <is>
          <t>user_confirmed</t>
        </is>
      </c>
      <c r="G27" s="10" t="inlineStr"/>
    </row>
    <row r="28">
      <c r="A28" s="14" t="n">
        <v>24</v>
      </c>
      <c r="B28" s="7" t="inlineStr">
        <is>
          <t>Goods</t>
        </is>
      </c>
      <c r="C28" s="15" t="inlineStr">
        <is>
          <t>Unit price</t>
        </is>
      </c>
      <c r="D28" s="7" t="inlineStr">
        <is>
          <t xml:space="preserve"> USD/MT</t>
        </is>
      </c>
      <c r="E28" s="29" t="inlineStr">
        <is>
          <t>已确认 CONFIRMED</t>
        </is>
      </c>
      <c r="F28" s="14" t="inlineStr">
        <is>
          <t>user_confirmed</t>
        </is>
      </c>
      <c r="G28" s="10" t="inlineStr"/>
    </row>
    <row r="29">
      <c r="A29" s="14" t="n">
        <v>25</v>
      </c>
      <c r="B29" s="7" t="inlineStr">
        <is>
          <t>Goods</t>
        </is>
      </c>
      <c r="C29" s="15" t="inlineStr">
        <is>
          <t>Amount excl. charges</t>
        </is>
      </c>
      <c r="D29" s="7" t="inlineStr"/>
      <c r="E29" s="30" t="inlineStr">
        <is>
          <t>待填写 MISSING</t>
        </is>
      </c>
      <c r="F29" s="14" t="inlineStr">
        <is>
          <t>user_confirmed</t>
        </is>
      </c>
      <c r="G29" s="10" t="inlineStr"/>
    </row>
    <row r="30">
      <c r="A30" s="14" t="n">
        <v>26</v>
      </c>
      <c r="B30" s="7" t="inlineStr">
        <is>
          <t>Goods</t>
        </is>
      </c>
      <c r="C30" s="15" t="inlineStr">
        <is>
          <t>TOTAL</t>
        </is>
      </c>
      <c r="D30" s="7" t="inlineStr"/>
      <c r="E30" s="30" t="inlineStr">
        <is>
          <t>待填写 MISSING</t>
        </is>
      </c>
      <c r="F30" s="14" t="inlineStr">
        <is>
          <t>user_confirmed</t>
        </is>
      </c>
      <c r="G30" s="10" t="inlineStr"/>
    </row>
    <row r="31">
      <c r="A31" s="14" t="n">
        <v>27</v>
      </c>
      <c r="B31" s="7" t="inlineStr">
        <is>
          <t>Goods</t>
        </is>
      </c>
      <c r="C31" s="15" t="inlineStr">
        <is>
          <t>Total in words</t>
        </is>
      </c>
      <c r="D31" s="7" t="inlineStr"/>
      <c r="E31" s="30" t="inlineStr">
        <is>
          <t>待填写 MISSING</t>
        </is>
      </c>
      <c r="F31" s="14" t="inlineStr">
        <is>
          <t>user_confirmed</t>
        </is>
      </c>
      <c r="G31" s="10" t="inlineStr"/>
    </row>
    <row r="32">
      <c r="A32" s="14" t="n">
        <v>28</v>
      </c>
      <c r="B32" s="7" t="inlineStr">
        <is>
          <t>Terms</t>
        </is>
      </c>
      <c r="C32" s="15" t="inlineStr">
        <is>
          <t>Incoterms® 2020</t>
        </is>
      </c>
      <c r="D32" s="7" t="inlineStr">
        <is>
          <t>EXW Ex Works Seller's warehouse, Nanshan District, Shenzhen, China, Incoterms® 2020</t>
        </is>
      </c>
      <c r="E32" s="29" t="inlineStr">
        <is>
          <t>已确认 CONFIRMED</t>
        </is>
      </c>
      <c r="F32" s="14" t="inlineStr">
        <is>
          <t>user_confirmed</t>
        </is>
      </c>
      <c r="G32" s="10" t="inlineStr"/>
    </row>
    <row r="33">
      <c r="A33" s="14" t="n">
        <v>29</v>
      </c>
      <c r="B33" s="7" t="inlineStr">
        <is>
          <t>Terms</t>
        </is>
      </c>
      <c r="C33" s="15" t="inlineStr">
        <is>
          <t>Named place</t>
        </is>
      </c>
      <c r="D33" s="7" t="inlineStr">
        <is>
          <t>Seller's warehouse, Nanshan District, Shenzhen, China</t>
        </is>
      </c>
      <c r="E33" s="29" t="inlineStr">
        <is>
          <t>已确认 CONFIRMED</t>
        </is>
      </c>
      <c r="F33" s="14" t="inlineStr">
        <is>
          <t>user_confirmed</t>
        </is>
      </c>
      <c r="G33" s="10" t="inlineStr"/>
    </row>
    <row r="34">
      <c r="A34" s="14" t="n">
        <v>30</v>
      </c>
      <c r="B34" s="7" t="inlineStr">
        <is>
          <t>Terms</t>
        </is>
      </c>
      <c r="C34" s="15" t="inlineStr">
        <is>
          <t>Transport mode</t>
        </is>
      </c>
      <c r="D34" s="7" t="inlineStr">
        <is>
          <t>MULTIMODAL</t>
        </is>
      </c>
      <c r="E34" s="29" t="inlineStr">
        <is>
          <t>已确认 CONFIRMED</t>
        </is>
      </c>
      <c r="F34" s="14" t="inlineStr">
        <is>
          <t>user_confirmed</t>
        </is>
      </c>
      <c r="G34" s="10" t="inlineStr"/>
    </row>
    <row r="35">
      <c r="A35" s="14" t="n">
        <v>31</v>
      </c>
      <c r="B35" s="7" t="inlineStr">
        <is>
          <t>Terms</t>
        </is>
      </c>
      <c r="C35" s="15" t="inlineStr">
        <is>
          <t>Port of loading</t>
        </is>
      </c>
      <c r="D35" s="7" t="inlineStr">
        <is>
          <t>(buyer's choice)</t>
        </is>
      </c>
      <c r="E35" s="29" t="inlineStr">
        <is>
          <t>已确认 CONFIRMED</t>
        </is>
      </c>
      <c r="F35" s="14" t="inlineStr">
        <is>
          <t>user_confirmed</t>
        </is>
      </c>
      <c r="G35" s="10" t="inlineStr"/>
    </row>
    <row r="36">
      <c r="A36" s="14" t="n">
        <v>32</v>
      </c>
      <c r="B36" s="7" t="inlineStr">
        <is>
          <t>Terms</t>
        </is>
      </c>
      <c r="C36" s="15" t="inlineStr">
        <is>
          <t>Port of discharge</t>
        </is>
      </c>
      <c r="D36" s="7" t="inlineStr">
        <is>
          <t>Santos, Brazil</t>
        </is>
      </c>
      <c r="E36" s="29" t="inlineStr">
        <is>
          <t>已确认 CONFIRMED</t>
        </is>
      </c>
      <c r="F36" s="14" t="inlineStr">
        <is>
          <t>user_confirmed</t>
        </is>
      </c>
      <c r="G36" s="10" t="inlineStr"/>
    </row>
    <row r="37">
      <c r="A37" s="14" t="n">
        <v>33</v>
      </c>
      <c r="B37" s="7" t="inlineStr">
        <is>
          <t>Terms</t>
        </is>
      </c>
      <c r="C37" s="15" t="inlineStr">
        <is>
          <t>Packing</t>
        </is>
      </c>
      <c r="D37" s="7" t="inlineStr">
        <is>
          <t>2,000 bags x 25 kg net in paper sacks; buyer's forwarder collects from the named place</t>
        </is>
      </c>
      <c r="E37" s="29" t="inlineStr">
        <is>
          <t>已确认 CONFIRMED</t>
        </is>
      </c>
      <c r="F37" s="14" t="inlineStr">
        <is>
          <t>user_confirmed</t>
        </is>
      </c>
      <c r="G37" s="10" t="inlineStr"/>
    </row>
    <row r="38">
      <c r="A38" s="14" t="n">
        <v>34</v>
      </c>
      <c r="B38" s="7" t="inlineStr">
        <is>
          <t>Terms</t>
        </is>
      </c>
      <c r="C38" s="15" t="inlineStr">
        <is>
          <t>Total packages</t>
        </is>
      </c>
      <c r="D38" s="7" t="inlineStr">
        <is>
          <t>2000</t>
        </is>
      </c>
      <c r="E38" s="29" t="inlineStr">
        <is>
          <t>已确认 CONFIRMED</t>
        </is>
      </c>
      <c r="F38" s="14" t="inlineStr">
        <is>
          <t>user_confirmed</t>
        </is>
      </c>
      <c r="G38" s="10" t="inlineStr"/>
    </row>
    <row r="39">
      <c r="A39" s="14" t="n">
        <v>35</v>
      </c>
      <c r="B39" s="7" t="inlineStr">
        <is>
          <t>Terms</t>
        </is>
      </c>
      <c r="C39" s="15" t="inlineStr">
        <is>
          <t>Gross weight</t>
        </is>
      </c>
      <c r="D39" s="7" t="inlineStr">
        <is>
          <t>50,400 kg (50.40 MT)</t>
        </is>
      </c>
      <c r="E39" s="29" t="inlineStr">
        <is>
          <t>已确认 CONFIRMED</t>
        </is>
      </c>
      <c r="F39" s="14" t="inlineStr">
        <is>
          <t>user_confirmed</t>
        </is>
      </c>
      <c r="G39" s="10" t="inlineStr"/>
    </row>
    <row r="40">
      <c r="A40" s="14" t="n">
        <v>36</v>
      </c>
      <c r="B40" s="7" t="inlineStr">
        <is>
          <t>Terms</t>
        </is>
      </c>
      <c r="C40" s="15" t="inlineStr">
        <is>
          <t>Volume</t>
        </is>
      </c>
      <c r="D40" s="7" t="inlineStr"/>
      <c r="E40" s="30" t="inlineStr">
        <is>
          <t>待填写 MISSING</t>
        </is>
      </c>
      <c r="F40" s="14" t="inlineStr">
        <is>
          <t>user_confirmed</t>
        </is>
      </c>
      <c r="G40" s="10" t="inlineStr"/>
    </row>
    <row r="41">
      <c r="A41" s="14" t="n">
        <v>37</v>
      </c>
      <c r="B41" s="7" t="inlineStr">
        <is>
          <t>Terms</t>
        </is>
      </c>
      <c r="C41" s="15" t="inlineStr">
        <is>
          <t>Lead time</t>
        </is>
      </c>
      <c r="D41" s="7" t="inlineStr">
        <is>
          <t>Based on stock availability — to be confirmed by the seller in writing</t>
        </is>
      </c>
      <c r="E41" s="29" t="inlineStr">
        <is>
          <t>已确认 CONFIRMED</t>
        </is>
      </c>
      <c r="F41" s="14" t="inlineStr">
        <is>
          <t>user_confirmed</t>
        </is>
      </c>
      <c r="G41" s="10" t="inlineStr">
        <is>
          <t>TO BE CONFIRMED</t>
        </is>
      </c>
    </row>
    <row r="42">
      <c r="A42" s="14" t="n">
        <v>38</v>
      </c>
      <c r="B42" s="7" t="inlineStr">
        <is>
          <t>Terms</t>
        </is>
      </c>
      <c r="C42" s="15" t="inlineStr">
        <is>
          <t>Partial shipment</t>
        </is>
      </c>
      <c r="D42" s="7" t="inlineStr">
        <is>
          <t>Not specified</t>
        </is>
      </c>
      <c r="E42" s="29" t="inlineStr">
        <is>
          <t>已确认 CONFIRMED</t>
        </is>
      </c>
      <c r="F42" s="14" t="inlineStr">
        <is>
          <t>user_confirmed</t>
        </is>
      </c>
      <c r="G42" s="10" t="inlineStr"/>
    </row>
    <row r="43">
      <c r="A43" s="14" t="n">
        <v>39</v>
      </c>
      <c r="B43" s="7" t="inlineStr">
        <is>
          <t>Terms</t>
        </is>
      </c>
      <c r="C43" s="15" t="inlineStr">
        <is>
          <t>Transhipment</t>
        </is>
      </c>
      <c r="D43" s="7" t="inlineStr">
        <is>
          <t>Not specified</t>
        </is>
      </c>
      <c r="E43" s="29" t="inlineStr">
        <is>
          <t>已确认 CONFIRMED</t>
        </is>
      </c>
      <c r="F43" s="14" t="inlineStr">
        <is>
          <t>user_confirmed</t>
        </is>
      </c>
      <c r="G43" s="10" t="inlineStr"/>
    </row>
    <row r="44">
      <c r="A44" s="14" t="n">
        <v>40</v>
      </c>
      <c r="B44" s="7" t="inlineStr">
        <is>
          <t>Terms</t>
        </is>
      </c>
      <c r="C44" s="15" t="inlineStr">
        <is>
          <t>Payment terms</t>
        </is>
      </c>
      <c r="D44" s="7" t="inlineStr"/>
      <c r="E44" s="30" t="inlineStr">
        <is>
          <t>待填写 MISSING</t>
        </is>
      </c>
      <c r="F44" s="14" t="inlineStr">
        <is>
          <t>user_confirmed</t>
        </is>
      </c>
      <c r="G44" s="10" t="inlineStr"/>
    </row>
    <row r="45">
      <c r="A45" s="14" t="n">
        <v>41</v>
      </c>
      <c r="B45" s="7" t="inlineStr">
        <is>
          <t>Terms</t>
        </is>
      </c>
      <c r="C45" s="15" t="inlineStr">
        <is>
          <t>Payment account / beneficiary</t>
        </is>
      </c>
      <c r="D45" s="7" t="inlineStr"/>
      <c r="E45" s="30" t="inlineStr">
        <is>
          <t>待填写 MISSING</t>
        </is>
      </c>
      <c r="F45" s="14" t="inlineStr">
        <is>
          <t>user_confirmed</t>
        </is>
      </c>
      <c r="G45" s="10" t="inlineStr">
        <is>
          <t>[PAYMENT TERMS TO BE CONFIRMED]</t>
        </is>
      </c>
    </row>
    <row r="46">
      <c r="A46" s="14" t="n">
        <v>42</v>
      </c>
      <c r="B46" s="7" t="inlineStr">
        <is>
          <t>Terms</t>
        </is>
      </c>
      <c r="C46" s="15" t="inlineStr">
        <is>
          <t>Validity</t>
        </is>
      </c>
      <c r="D46" s="7" t="inlineStr"/>
      <c r="E46" s="29" t="inlineStr">
        <is>
          <t>已确认 CONFIRMED</t>
        </is>
      </c>
      <c r="F46" s="14" t="inlineStr">
        <is>
          <t>user_confirmed</t>
        </is>
      </c>
      <c r="G46" s="10" t="inlineStr"/>
    </row>
    <row r="47">
      <c r="A47" s="14" t="n">
        <v>43</v>
      </c>
      <c r="B47" s="7" t="inlineStr">
        <is>
          <t>Terms</t>
        </is>
      </c>
      <c r="C47" s="15" t="inlineStr">
        <is>
          <t>Currency</t>
        </is>
      </c>
      <c r="D47" s="7" t="inlineStr">
        <is>
          <t>USD (US Dollar)</t>
        </is>
      </c>
      <c r="E47" s="29" t="inlineStr">
        <is>
          <t>已确认 CONFIRMED</t>
        </is>
      </c>
      <c r="F47" s="14" t="inlineStr">
        <is>
          <t>user_confirmed</t>
        </is>
      </c>
      <c r="G47" s="10" t="inlineStr"/>
    </row>
    <row r="48">
      <c r="A48" s="14" t="n">
        <v>44</v>
      </c>
      <c r="B48" s="7" t="inlineStr">
        <is>
          <t>Terms</t>
        </is>
      </c>
      <c r="C48" s="15" t="inlineStr">
        <is>
          <t>Documents required</t>
        </is>
      </c>
      <c r="D48" s="7" t="inlineStr">
        <is>
          <t>Bill of Lading (3 originals + 3 copies); Commercial Invoice (1 original + 5 copies); Packing List (1 original + 3 copies); Certificate of Origin; Certificate of Analysis (per shipment); Manufacturer's SDS (current revision)</t>
        </is>
      </c>
      <c r="E48" s="29" t="inlineStr">
        <is>
          <t>已确认 CONFIRMED</t>
        </is>
      </c>
      <c r="F48" s="14" t="inlineStr">
        <is>
          <t>user_confirmed</t>
        </is>
      </c>
      <c r="G48" s="10" t="inlineStr"/>
    </row>
    <row r="49">
      <c r="A49" s="14" t="n">
        <v>45</v>
      </c>
      <c r="B49" s="7" t="inlineStr">
        <is>
          <t>Dangerous goods</t>
        </is>
      </c>
      <c r="C49" s="15" t="inlineStr">
        <is>
          <t>DG status</t>
        </is>
      </c>
      <c r="D49" s="7" t="inlineStr">
        <is>
          <t>NOT_REGULATED</t>
        </is>
      </c>
      <c r="E49" s="29" t="inlineStr">
        <is>
          <t>已确认 CONFIRMED</t>
        </is>
      </c>
      <c r="F49" s="14" t="inlineStr">
        <is>
          <t>user_confirmed</t>
        </is>
      </c>
      <c r="G49" s="10" t="inlineStr"/>
    </row>
    <row r="50">
      <c r="A50" s="14" t="n">
        <v>46</v>
      </c>
      <c r="B50" s="7" t="inlineStr">
        <is>
          <t>Dangerous goods</t>
        </is>
      </c>
      <c r="C50" s="15" t="inlineStr">
        <is>
          <t>GHS hazard statement</t>
        </is>
      </c>
      <c r="D50" s="7" t="inlineStr"/>
      <c r="E50" s="30" t="inlineStr">
        <is>
          <t>待填写 MISSING</t>
        </is>
      </c>
      <c r="F50" s="14" t="inlineStr">
        <is>
          <t>user_confirmed</t>
        </is>
      </c>
      <c r="G50" s="10" t="inlineStr"/>
    </row>
    <row r="51">
      <c r="A51" s="14" t="n">
        <v>47</v>
      </c>
      <c r="B51" s="7" t="inlineStr">
        <is>
          <t>Banking</t>
        </is>
      </c>
      <c r="C51" s="15" t="inlineStr">
        <is>
          <t>Bank name</t>
        </is>
      </c>
      <c r="D51" s="7" t="inlineStr"/>
      <c r="E51" s="31" t="inlineStr">
        <is>
          <t>未采用 N/A</t>
        </is>
      </c>
      <c r="F51" s="14" t="inlineStr">
        <is>
          <t>user_confirmed</t>
        </is>
      </c>
      <c r="G51" s="10" t="inlineStr"/>
    </row>
    <row r="52">
      <c r="A52" s="14" t="n">
        <v>48</v>
      </c>
      <c r="B52" s="7" t="inlineStr">
        <is>
          <t>Banking</t>
        </is>
      </c>
      <c r="C52" s="15" t="inlineStr">
        <is>
          <t>A/C No. shown?</t>
        </is>
      </c>
      <c r="D52" s="7" t="inlineStr">
        <is>
          <t>No — intentionally omitted</t>
        </is>
      </c>
      <c r="E52" s="29" t="inlineStr">
        <is>
          <t>已确认 CONFIRMED</t>
        </is>
      </c>
      <c r="F52" s="14" t="inlineStr">
        <is>
          <t>user_confirmed</t>
        </is>
      </c>
      <c r="G52" s="10" t="inlineStr"/>
    </row>
    <row r="54">
      <c r="B54" s="8" t="inlineStr">
        <is>
          <t>必填字段矩阵 Required-field matrix</t>
        </is>
      </c>
    </row>
    <row r="55" ht="26" customHeight="1">
      <c r="A55" s="13" t="inlineStr">
        <is>
          <t>#</t>
        </is>
      </c>
      <c r="B55" s="13" t="inlineStr">
        <is>
          <t>Group</t>
        </is>
      </c>
      <c r="C55" s="13" t="inlineStr">
        <is>
          <t>Field key</t>
        </is>
      </c>
      <c r="D55" s="13" t="inlineStr">
        <is>
          <t>Label</t>
        </is>
      </c>
      <c r="E55" s="13" t="inlineStr">
        <is>
          <t>Filled</t>
        </is>
      </c>
      <c r="F55" s="13" t="inlineStr">
        <is>
          <t>Required</t>
        </is>
      </c>
      <c r="G55" s="13" t="inlineStr">
        <is>
          <t>State</t>
        </is>
      </c>
    </row>
    <row r="56">
      <c r="A56" s="14" t="n">
        <v>1</v>
      </c>
      <c r="B56" s="7" t="inlineStr">
        <is>
          <t>seller</t>
        </is>
      </c>
      <c r="C56" s="7" t="inlineStr">
        <is>
          <t>seller.name</t>
        </is>
      </c>
      <c r="D56" s="7" t="inlineStr">
        <is>
          <t>Seller legal name</t>
        </is>
      </c>
      <c r="E56" s="14" t="inlineStr">
        <is>
          <t>Y</t>
        </is>
      </c>
      <c r="F56" s="14" t="inlineStr">
        <is>
          <t>Required</t>
        </is>
      </c>
      <c r="G56" s="29" t="inlineStr">
        <is>
          <t>已确认 CONFIRMED</t>
        </is>
      </c>
    </row>
    <row r="57">
      <c r="A57" s="14" t="n">
        <v>2</v>
      </c>
      <c r="B57" s="7" t="inlineStr">
        <is>
          <t>seller</t>
        </is>
      </c>
      <c r="C57" s="7" t="inlineStr">
        <is>
          <t>seller.address</t>
        </is>
      </c>
      <c r="D57" s="7" t="inlineStr">
        <is>
          <t>Seller address</t>
        </is>
      </c>
      <c r="E57" s="14" t="inlineStr">
        <is>
          <t>Y</t>
        </is>
      </c>
      <c r="F57" s="14" t="inlineStr">
        <is>
          <t>Required</t>
        </is>
      </c>
      <c r="G57" s="29" t="inlineStr">
        <is>
          <t>已确认 CONFIRMED</t>
        </is>
      </c>
    </row>
    <row r="58">
      <c r="A58" s="14" t="n">
        <v>3</v>
      </c>
      <c r="B58" s="7" t="inlineStr">
        <is>
          <t>buyer</t>
        </is>
      </c>
      <c r="C58" s="7" t="inlineStr">
        <is>
          <t>buyer.name</t>
        </is>
      </c>
      <c r="D58" s="7" t="inlineStr">
        <is>
          <t>Buyer legal name</t>
        </is>
      </c>
      <c r="E58" s="14" t="inlineStr">
        <is>
          <t>Y</t>
        </is>
      </c>
      <c r="F58" s="14" t="inlineStr">
        <is>
          <t>Required</t>
        </is>
      </c>
      <c r="G58" s="29" t="inlineStr">
        <is>
          <t>已确认 CONFIRMED</t>
        </is>
      </c>
    </row>
    <row r="59">
      <c r="A59" s="14" t="n">
        <v>4</v>
      </c>
      <c r="B59" s="7" t="inlineStr">
        <is>
          <t>buyer</t>
        </is>
      </c>
      <c r="C59" s="7" t="inlineStr">
        <is>
          <t>buyer.address</t>
        </is>
      </c>
      <c r="D59" s="7" t="inlineStr">
        <is>
          <t>Buyer address</t>
        </is>
      </c>
      <c r="E59" s="14" t="inlineStr">
        <is>
          <t>Y</t>
        </is>
      </c>
      <c r="F59" s="14" t="inlineStr">
        <is>
          <t>Required</t>
        </is>
      </c>
      <c r="G59" s="29" t="inlineStr">
        <is>
          <t>已确认 CONFIRMED</t>
        </is>
      </c>
    </row>
    <row r="60">
      <c r="A60" s="14" t="n">
        <v>5</v>
      </c>
      <c r="B60" s="7" t="inlineStr">
        <is>
          <t>buyer</t>
        </is>
      </c>
      <c r="C60" s="7" t="inlineStr">
        <is>
          <t>buyer.country</t>
        </is>
      </c>
      <c r="D60" s="7" t="inlineStr">
        <is>
          <t>Buyer country</t>
        </is>
      </c>
      <c r="E60" s="14" t="inlineStr">
        <is>
          <t>Y</t>
        </is>
      </c>
      <c r="F60" s="14" t="inlineStr">
        <is>
          <t>Required</t>
        </is>
      </c>
      <c r="G60" s="29" t="inlineStr">
        <is>
          <t>已确认 CONFIRMED</t>
        </is>
      </c>
    </row>
    <row r="61">
      <c r="A61" s="14" t="n">
        <v>6</v>
      </c>
      <c r="B61" s="7" t="inlineStr">
        <is>
          <t>doc</t>
        </is>
      </c>
      <c r="C61" s="7" t="inlineStr">
        <is>
          <t>doc.tradeTerm.code</t>
        </is>
      </c>
      <c r="D61" s="7" t="inlineStr">
        <is>
          <t>Incoterms rule (e.g. FOB / CIF)</t>
        </is>
      </c>
      <c r="E61" s="14" t="inlineStr">
        <is>
          <t>Y</t>
        </is>
      </c>
      <c r="F61" s="14" t="inlineStr">
        <is>
          <t>Required</t>
        </is>
      </c>
      <c r="G61" s="29" t="inlineStr">
        <is>
          <t>已确认 CONFIRMED</t>
        </is>
      </c>
    </row>
    <row r="62">
      <c r="A62" s="14" t="n">
        <v>7</v>
      </c>
      <c r="B62" s="7" t="inlineStr">
        <is>
          <t>doc</t>
        </is>
      </c>
      <c r="C62" s="7" t="inlineStr">
        <is>
          <t>doc.tradeTerm.namedPlace</t>
        </is>
      </c>
      <c r="D62" s="7" t="inlineStr">
        <is>
          <t>Named port / place of delivery</t>
        </is>
      </c>
      <c r="E62" s="14" t="inlineStr">
        <is>
          <t>Y</t>
        </is>
      </c>
      <c r="F62" s="14" t="inlineStr">
        <is>
          <t>Required</t>
        </is>
      </c>
      <c r="G62" s="29" t="inlineStr">
        <is>
          <t>已确认 CONFIRMED</t>
        </is>
      </c>
    </row>
    <row r="63">
      <c r="A63" s="14" t="n">
        <v>8</v>
      </c>
      <c r="B63" s="7" t="inlineStr">
        <is>
          <t>doc</t>
        </is>
      </c>
      <c r="C63" s="7" t="inlineStr">
        <is>
          <t>doc.tradeTerm.version</t>
        </is>
      </c>
      <c r="D63" s="7" t="inlineStr">
        <is>
          <t>Incoterms version</t>
        </is>
      </c>
      <c r="E63" s="14" t="inlineStr">
        <is>
          <t>Y</t>
        </is>
      </c>
      <c r="F63" s="14" t="inlineStr">
        <is>
          <t>Required</t>
        </is>
      </c>
      <c r="G63" s="29" t="inlineStr">
        <is>
          <t>已确认 CONFIRMED</t>
        </is>
      </c>
    </row>
    <row r="64">
      <c r="A64" s="14" t="n">
        <v>9</v>
      </c>
      <c r="B64" s="7" t="inlineStr">
        <is>
          <t>doc</t>
        </is>
      </c>
      <c r="C64" s="7" t="inlineStr">
        <is>
          <t>doc.currency.code</t>
        </is>
      </c>
      <c r="D64" s="7" t="inlineStr">
        <is>
          <t>Currency</t>
        </is>
      </c>
      <c r="E64" s="14" t="inlineStr">
        <is>
          <t>Y</t>
        </is>
      </c>
      <c r="F64" s="14" t="inlineStr">
        <is>
          <t>Required</t>
        </is>
      </c>
      <c r="G64" s="29" t="inlineStr">
        <is>
          <t>已确认 CONFIRMED</t>
        </is>
      </c>
    </row>
    <row r="65">
      <c r="A65" s="14" t="n">
        <v>10</v>
      </c>
      <c r="B65" s="7" t="inlineStr">
        <is>
          <t>doc</t>
        </is>
      </c>
      <c r="C65" s="7" t="inlineStr">
        <is>
          <t>doc.validity.type</t>
        </is>
      </c>
      <c r="D65" s="7" t="inlineStr">
        <is>
          <t>Validity: date or days</t>
        </is>
      </c>
      <c r="E65" s="14" t="inlineStr">
        <is>
          <t>Y</t>
        </is>
      </c>
      <c r="F65" s="14" t="inlineStr">
        <is>
          <t>Required</t>
        </is>
      </c>
      <c r="G65" s="29" t="inlineStr">
        <is>
          <t>已确认 CONFIRMED</t>
        </is>
      </c>
    </row>
    <row r="66">
      <c r="A66" s="14" t="n">
        <v>11</v>
      </c>
      <c r="B66" s="7" t="inlineStr">
        <is>
          <t>doc</t>
        </is>
      </c>
      <c r="C66" s="7" t="inlineStr">
        <is>
          <t>doc.payment.terms</t>
        </is>
      </c>
      <c r="D66" s="7" t="inlineStr">
        <is>
          <t>Payment terms</t>
        </is>
      </c>
      <c r="E66" s="14" t="inlineStr">
        <is>
          <t>N</t>
        </is>
      </c>
      <c r="F66" s="14" t="inlineStr">
        <is>
          <t>Required</t>
        </is>
      </c>
      <c r="G66" s="30" t="inlineStr">
        <is>
          <t>待填写 MISSING</t>
        </is>
      </c>
    </row>
    <row r="67">
      <c r="A67" s="14" t="n">
        <v>12</v>
      </c>
      <c r="B67" s="7" t="inlineStr">
        <is>
          <t>doc</t>
        </is>
      </c>
      <c r="C67" s="7" t="inlineStr">
        <is>
          <t>doc.delivery.leadTime</t>
        </is>
      </c>
      <c r="D67" s="7" t="inlineStr">
        <is>
          <t>Delivery lead time</t>
        </is>
      </c>
      <c r="E67" s="14" t="inlineStr">
        <is>
          <t>Y</t>
        </is>
      </c>
      <c r="F67" s="14" t="inlineStr">
        <is>
          <t>Required</t>
        </is>
      </c>
      <c r="G67" s="29" t="inlineStr">
        <is>
          <t>已确认 CONFIRMED</t>
        </is>
      </c>
    </row>
    <row r="68">
      <c r="A68" s="14" t="n">
        <v>13</v>
      </c>
      <c r="B68" s="7" t="inlineStr">
        <is>
          <t>doc</t>
        </is>
      </c>
      <c r="C68" s="7" t="inlineStr">
        <is>
          <t>doc.packing.summary</t>
        </is>
      </c>
      <c r="D68" s="7" t="inlineStr">
        <is>
          <t xml:space="preserve">Packing (type) </t>
        </is>
      </c>
      <c r="E68" s="14" t="inlineStr">
        <is>
          <t>Y</t>
        </is>
      </c>
      <c r="F68" s="14" t="inlineStr">
        <is>
          <t>Required</t>
        </is>
      </c>
      <c r="G68" s="29" t="inlineStr">
        <is>
          <t>已确认 CONFIRMED</t>
        </is>
      </c>
    </row>
    <row r="69">
      <c r="A69" s="14" t="n">
        <v>14</v>
      </c>
      <c r="B69" s="7" t="inlineStr">
        <is>
          <t>doc</t>
        </is>
      </c>
      <c r="C69" s="7" t="inlineStr">
        <is>
          <t>doc.reference.quoteNo</t>
        </is>
      </c>
      <c r="D69" s="7" t="inlineStr">
        <is>
          <t>Document reference number</t>
        </is>
      </c>
      <c r="E69" s="14" t="inlineStr">
        <is>
          <t>Y</t>
        </is>
      </c>
      <c r="F69" s="14" t="inlineStr">
        <is>
          <t>Required</t>
        </is>
      </c>
      <c r="G69" s="29" t="inlineStr">
        <is>
          <t>已确认 CONFIRMED</t>
        </is>
      </c>
    </row>
    <row r="70">
      <c r="A70" s="14" t="n">
        <v>15</v>
      </c>
      <c r="B70" s="7" t="inlineStr">
        <is>
          <t>doc</t>
        </is>
      </c>
      <c r="C70" s="7" t="inlineStr">
        <is>
          <t>doc.issueDate</t>
        </is>
      </c>
      <c r="D70" s="7" t="inlineStr">
        <is>
          <t>Issue date</t>
        </is>
      </c>
      <c r="E70" s="14" t="inlineStr">
        <is>
          <t>Y</t>
        </is>
      </c>
      <c r="F70" s="14" t="inlineStr">
        <is>
          <t>Required</t>
        </is>
      </c>
      <c r="G70" s="29" t="inlineStr">
        <is>
          <t>已确认 CONFIRMED</t>
        </is>
      </c>
    </row>
    <row r="71">
      <c r="A71" s="14" t="n">
        <v>16</v>
      </c>
      <c r="B71" s="7" t="inlineStr">
        <is>
          <t>item</t>
        </is>
      </c>
      <c r="C71" s="7" t="inlineStr">
        <is>
          <t>items[].name</t>
        </is>
      </c>
      <c r="D71" s="7" t="inlineStr">
        <is>
          <t>Product English name</t>
        </is>
      </c>
      <c r="E71" s="14" t="inlineStr">
        <is>
          <t>Y</t>
        </is>
      </c>
      <c r="F71" s="14" t="inlineStr">
        <is>
          <t>Required</t>
        </is>
      </c>
      <c r="G71" s="29" t="inlineStr">
        <is>
          <t>已确认 CONFIRMED</t>
        </is>
      </c>
    </row>
    <row r="72">
      <c r="A72" s="14" t="n">
        <v>17</v>
      </c>
      <c r="B72" s="7" t="inlineStr">
        <is>
          <t>item</t>
        </is>
      </c>
      <c r="C72" s="7" t="inlineStr">
        <is>
          <t>items[].spec</t>
        </is>
      </c>
      <c r="D72" s="7" t="inlineStr">
        <is>
          <t>Specification / grade</t>
        </is>
      </c>
      <c r="E72" s="14" t="inlineStr">
        <is>
          <t>Y</t>
        </is>
      </c>
      <c r="F72" s="14" t="inlineStr">
        <is>
          <t>Required</t>
        </is>
      </c>
      <c r="G72" s="29" t="inlineStr">
        <is>
          <t>已确认 CONFIRMED</t>
        </is>
      </c>
    </row>
    <row r="73">
      <c r="A73" s="14" t="n">
        <v>18</v>
      </c>
      <c r="B73" s="7" t="inlineStr">
        <is>
          <t>item</t>
        </is>
      </c>
      <c r="C73" s="7" t="inlineStr">
        <is>
          <t>items[].unit</t>
        </is>
      </c>
      <c r="D73" s="7" t="inlineStr">
        <is>
          <t>Quantity unit</t>
        </is>
      </c>
      <c r="E73" s="14" t="inlineStr">
        <is>
          <t>Y</t>
        </is>
      </c>
      <c r="F73" s="14" t="inlineStr">
        <is>
          <t>Required</t>
        </is>
      </c>
      <c r="G73" s="29" t="inlineStr">
        <is>
          <t>已确认 CONFIRMED</t>
        </is>
      </c>
    </row>
    <row r="74">
      <c r="A74" s="14" t="n">
        <v>19</v>
      </c>
      <c r="B74" s="7" t="inlineStr">
        <is>
          <t>item</t>
        </is>
      </c>
      <c r="C74" s="7" t="inlineStr">
        <is>
          <t>items[].quantity</t>
        </is>
      </c>
      <c r="D74" s="7" t="inlineStr">
        <is>
          <t>Quantity</t>
        </is>
      </c>
      <c r="E74" s="14" t="inlineStr">
        <is>
          <t>Y</t>
        </is>
      </c>
      <c r="F74" s="14" t="inlineStr">
        <is>
          <t>Required</t>
        </is>
      </c>
      <c r="G74" s="29" t="inlineStr">
        <is>
          <t>已确认 CONFIRMED</t>
        </is>
      </c>
    </row>
    <row r="75">
      <c r="A75" s="14" t="n">
        <v>20</v>
      </c>
      <c r="B75" s="7" t="inlineStr">
        <is>
          <t>item</t>
        </is>
      </c>
      <c r="C75" s="7" t="inlineStr">
        <is>
          <t>items[].unitPrice</t>
        </is>
      </c>
      <c r="D75" s="7" t="inlineStr">
        <is>
          <t>Unit price</t>
        </is>
      </c>
      <c r="E75" s="14" t="inlineStr">
        <is>
          <t>N</t>
        </is>
      </c>
      <c r="F75" s="14" t="inlineStr">
        <is>
          <t>Required</t>
        </is>
      </c>
      <c r="G75" s="30" t="inlineStr">
        <is>
          <t>待填写 MISSING</t>
        </is>
      </c>
    </row>
    <row r="76">
      <c r="A76" s="14" t="n">
        <v>21</v>
      </c>
      <c r="B76" s="7" t="inlineStr">
        <is>
          <t>item</t>
        </is>
      </c>
      <c r="C76" s="7" t="inlineStr">
        <is>
          <t>items[0].name</t>
        </is>
      </c>
      <c r="D76" s="7" t="inlineStr">
        <is>
          <t>Product name (line 1)</t>
        </is>
      </c>
      <c r="E76" s="14" t="inlineStr">
        <is>
          <t>Y</t>
        </is>
      </c>
      <c r="F76" s="14" t="inlineStr">
        <is>
          <t>Required</t>
        </is>
      </c>
      <c r="G76" s="29" t="inlineStr">
        <is>
          <t>已确认 CONFIRMED</t>
        </is>
      </c>
    </row>
    <row r="77">
      <c r="A77" s="14" t="n">
        <v>22</v>
      </c>
      <c r="B77" s="7" t="inlineStr">
        <is>
          <t>item</t>
        </is>
      </c>
      <c r="C77" s="7" t="inlineStr">
        <is>
          <t>items[0].spec</t>
        </is>
      </c>
      <c r="D77" s="7" t="inlineStr">
        <is>
          <t>Specification (line 1)</t>
        </is>
      </c>
      <c r="E77" s="14" t="inlineStr">
        <is>
          <t>Y</t>
        </is>
      </c>
      <c r="F77" s="14" t="inlineStr">
        <is>
          <t>Required</t>
        </is>
      </c>
      <c r="G77" s="29" t="inlineStr">
        <is>
          <t>已确认 CONFIRMED</t>
        </is>
      </c>
    </row>
    <row r="78">
      <c r="A78" s="14" t="n">
        <v>23</v>
      </c>
      <c r="B78" s="7" t="inlineStr">
        <is>
          <t>item</t>
        </is>
      </c>
      <c r="C78" s="7" t="inlineStr">
        <is>
          <t>items[0].unit</t>
        </is>
      </c>
      <c r="D78" s="7" t="inlineStr">
        <is>
          <t>Unit (line 1)</t>
        </is>
      </c>
      <c r="E78" s="14" t="inlineStr">
        <is>
          <t>Y</t>
        </is>
      </c>
      <c r="F78" s="14" t="inlineStr">
        <is>
          <t>Required</t>
        </is>
      </c>
      <c r="G78" s="29" t="inlineStr">
        <is>
          <t>已确认 CONFIRMED</t>
        </is>
      </c>
    </row>
    <row r="79">
      <c r="A79" s="14" t="n">
        <v>24</v>
      </c>
      <c r="B79" s="7" t="inlineStr">
        <is>
          <t>item</t>
        </is>
      </c>
      <c r="C79" s="7" t="inlineStr">
        <is>
          <t>items[0].quantity</t>
        </is>
      </c>
      <c r="D79" s="7" t="inlineStr">
        <is>
          <t>Quantity (line 1)</t>
        </is>
      </c>
      <c r="E79" s="14" t="inlineStr">
        <is>
          <t>Y</t>
        </is>
      </c>
      <c r="F79" s="14" t="inlineStr">
        <is>
          <t>Required</t>
        </is>
      </c>
      <c r="G79" s="29" t="inlineStr">
        <is>
          <t>已确认 CONFIRMED</t>
        </is>
      </c>
    </row>
    <row r="80">
      <c r="A80" s="14" t="n">
        <v>25</v>
      </c>
      <c r="B80" s="7" t="inlineStr">
        <is>
          <t>item</t>
        </is>
      </c>
      <c r="C80" s="7" t="inlineStr">
        <is>
          <t>items[0].unitPrice</t>
        </is>
      </c>
      <c r="D80" s="7" t="inlineStr">
        <is>
          <t>Unit price (line 1)</t>
        </is>
      </c>
      <c r="E80" s="14" t="inlineStr">
        <is>
          <t>N</t>
        </is>
      </c>
      <c r="F80" s="14" t="inlineStr">
        <is>
          <t>Required</t>
        </is>
      </c>
      <c r="G80" s="30" t="inlineStr">
        <is>
          <t>待填写 MISSING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6" customWidth="1" min="3" max="3"/>
    <col width="20" customWidth="1" min="4" max="4"/>
    <col width="58" customWidth="1" min="5" max="5"/>
  </cols>
  <sheetData>
    <row r="1" ht="30" customHeight="1">
      <c r="A1" s="1" t="inlineStr">
        <is>
          <t>30 · AMOUNT FORMULA  金额公式与核对</t>
        </is>
      </c>
    </row>
    <row r="2" ht="22" customHeight="1">
      <c r="A2" s="2" t="inlineStr">
        <is>
          <t>公式链可追溯：行金额 → 小计 → 附加费用 → 总额 → 大写金额 → 与确认金额比对</t>
        </is>
      </c>
    </row>
    <row r="4" ht="26" customHeight="1">
      <c r="A4" s="13" t="inlineStr">
        <is>
          <t>#</t>
        </is>
      </c>
      <c r="B4" s="13" t="inlineStr">
        <is>
          <t>Step 步骤</t>
        </is>
      </c>
      <c r="C4" s="13" t="inlineStr">
        <is>
          <t>Formula 公式</t>
        </is>
      </c>
      <c r="D4" s="13" t="inlineStr">
        <is>
          <t>Value 结果</t>
        </is>
      </c>
      <c r="E4" s="13" t="inlineStr">
        <is>
          <t>Explanation 说明</t>
        </is>
      </c>
    </row>
    <row r="5">
      <c r="A5" s="14" t="inlineStr">
        <is>
          <t>1</t>
        </is>
      </c>
      <c r="B5" s="15" t="inlineStr">
        <is>
          <t>行金额 Line amount</t>
        </is>
      </c>
      <c r="C5" s="32" t="inlineStr">
        <is>
          <t xml:space="preserve"> =Qty × Unit price × (1 − Disc%)</t>
        </is>
      </c>
      <c r="D5" s="3">
        <f>10_Order_Lines!M5</f>
        <v/>
      </c>
      <c r="E5" s="10" t="inlineStr">
        <is>
          <t>每行保留 2 位小数（ROUND）；数量单位为 MT 时金额即整行货款。</t>
        </is>
      </c>
    </row>
    <row r="6">
      <c r="A6" s="14" t="inlineStr">
        <is>
          <t>2</t>
        </is>
      </c>
      <c r="B6" s="15" t="inlineStr">
        <is>
          <t>小计 Sub-total</t>
        </is>
      </c>
      <c r="C6" s="32" t="inlineStr">
        <is>
          <t xml:space="preserve"> =SUM(line amounts)</t>
        </is>
      </c>
      <c r="D6" s="3">
        <f>10_Order_Lines!M6</f>
        <v/>
      </c>
      <c r="E6" s="10" t="inlineStr">
        <is>
          <t>与 10 表“TOTAL”行一致。</t>
        </is>
      </c>
    </row>
    <row r="7">
      <c r="A7" s="14" t="inlineStr">
        <is>
          <t>3</t>
        </is>
      </c>
      <c r="B7" s="15" t="inlineStr">
        <is>
          <t>附加费用 Additions</t>
        </is>
      </c>
      <c r="C7" s="32" t="inlineStr">
        <is>
          <t xml:space="preserve"> =SUMIFS(charges, addToTotal=Y)</t>
        </is>
      </c>
      <c r="D7" s="3">
        <f>SUMIFS(10_Order_Lines!H10:H10,10_Order_Lines!I10:I10,"Y")</f>
        <v/>
      </c>
      <c r="E7" s="10" t="inlineStr">
        <is>
          <t>运费/保险等仅在金额已确认且标记计入时加入。</t>
        </is>
      </c>
    </row>
    <row r="8">
      <c r="A8" s="14" t="inlineStr">
        <is>
          <t>4</t>
        </is>
      </c>
      <c r="B8" s="15" t="inlineStr">
        <is>
          <t>总额 TOTAL</t>
        </is>
      </c>
      <c r="C8" s="32" t="inlineStr">
        <is>
          <t xml:space="preserve"> =Sub-total + Additions</t>
        </is>
      </c>
      <c r="D8" s="3">
        <f>10_Order_Lines!H11</f>
        <v/>
      </c>
      <c r="E8" s="10" t="inlineStr">
        <is>
          <t>文件显示的 TOTAL 必须与此值一致。</t>
        </is>
      </c>
    </row>
    <row r="9">
      <c r="A9" s="14" t="inlineStr">
        <is>
          <t>5</t>
        </is>
      </c>
      <c r="B9" s="15" t="inlineStr">
        <is>
          <t>大写金额 Amount in words</t>
        </is>
      </c>
      <c r="C9" s="32" t="inlineStr">
        <is>
          <t xml:space="preserve"> 引擎生成（Camelot 式英文）</t>
        </is>
      </c>
      <c r="D9" s="3" t="inlineStr"/>
      <c r="E9" s="10" t="inlineStr">
        <is>
          <t>大小写必须一致；若不一致以数字为准并通知对方。</t>
        </is>
      </c>
    </row>
    <row r="10">
      <c r="A10" s="14" t="inlineStr">
        <is>
          <t>6</t>
        </is>
      </c>
      <c r="B10" s="15" t="inlineStr">
        <is>
          <t>确认金额比对 Confirmed vs recalculated</t>
        </is>
      </c>
      <c r="C10" s="32" t="inlineStr">
        <is>
          <t xml:space="preserve"> =ABS(TOTAL − confirmed)</t>
        </is>
      </c>
      <c r="D10" s="3">
        <f>IF(ABS(10_Order_Lines!M6-10_Order_Lines!N6)&lt;0.005,"MATCH","MISMATCH")</f>
        <v/>
      </c>
      <c r="E10" s="10" t="inlineStr">
        <is>
          <t>用户确认金额与重算金额必须完全一致；MISMATCH 时禁止签发。</t>
        </is>
      </c>
    </row>
    <row r="11">
      <c r="A11" s="14" t="inlineStr">
        <is>
          <t>7</t>
        </is>
      </c>
      <c r="B11" s="15" t="inlineStr">
        <is>
          <t>袋数核对 Bag count</t>
        </is>
      </c>
      <c r="C11" s="32" t="inlineStr">
        <is>
          <t xml:space="preserve"> =Qty(MT) × 1000 ÷ net kg/bag</t>
        </is>
      </c>
      <c r="D11" s="3">
        <f>IFERROR(10_Order_Lines!G5*1000/25,"")</f>
        <v/>
      </c>
      <c r="E11" s="10" t="inlineStr">
        <is>
          <t>必须等于包装件数；用于防止“数量 / 包装 / 单价单位”三者错配。</t>
        </is>
      </c>
    </row>
    <row r="12">
      <c r="A12" s="14" t="inlineStr">
        <is>
          <t>8</t>
        </is>
      </c>
      <c r="B12" s="15" t="inlineStr">
        <is>
          <t>每标箱量 Packing consistency</t>
        </is>
      </c>
      <c r="C12" s="32" t="inlineStr">
        <is>
          <t xml:space="preserve"> =Gross kg/pkg × packages</t>
        </is>
      </c>
      <c r="D12" s="3">
        <f>10_Order_Lines!L5</f>
        <v/>
      </c>
      <c r="E12" s="10" t="inlineStr">
        <is>
          <t>毛重必须与总毛重字段一致（±0.6 kg 容差）。</t>
        </is>
      </c>
    </row>
    <row r="13">
      <c r="A13" s="14" t="inlineStr">
        <is>
          <t>9</t>
        </is>
      </c>
      <c r="B13" s="15" t="inlineStr">
        <is>
          <t>有效期末日 Validity end</t>
        </is>
      </c>
      <c r="C13" s="32" t="inlineStr">
        <is>
          <t xml:space="preserve"> =validity.validUntil</t>
        </is>
      </c>
      <c r="D13" s="3" t="n"/>
      <c r="E13" s="10" t="inlineStr">
        <is>
          <t>有效期日期必须晚于签发日。</t>
        </is>
      </c>
    </row>
    <row r="15">
      <c r="B15" s="8" t="inlineStr">
        <is>
          <t>校验摘要 Validation summary</t>
        </is>
      </c>
    </row>
    <row r="16" ht="26" customHeight="1">
      <c r="A16" s="13" t="inlineStr">
        <is>
          <t>#</t>
        </is>
      </c>
      <c r="B16" s="13" t="inlineStr">
        <is>
          <t>Level</t>
        </is>
      </c>
      <c r="C16" s="13" t="inlineStr">
        <is>
          <t>Code</t>
        </is>
      </c>
      <c r="D16" s="13" t="inlineStr">
        <is>
          <t>Where</t>
        </is>
      </c>
      <c r="E16" s="13" t="inlineStr">
        <is>
          <t>Message</t>
        </is>
      </c>
    </row>
    <row r="17">
      <c r="A17" s="14" t="n">
        <v>1</v>
      </c>
      <c r="B17" s="30" t="inlineStr">
        <is>
          <t>ERROR</t>
        </is>
      </c>
      <c r="C17" s="7" t="inlineStr">
        <is>
          <t>VALIDITY_DATE</t>
        </is>
      </c>
      <c r="D17" s="7" t="inlineStr">
        <is>
          <t>doc.validity.validUntil</t>
        </is>
      </c>
      <c r="E17" s="7" t="inlineStr">
        <is>
          <t>Validity end date missing.</t>
        </is>
      </c>
    </row>
    <row r="18">
      <c r="A18" s="14" t="n">
        <v>2</v>
      </c>
      <c r="B18" s="30" t="inlineStr">
        <is>
          <t>ERROR</t>
        </is>
      </c>
      <c r="C18" s="7" t="inlineStr">
        <is>
          <t>PAYMENT_TERMS</t>
        </is>
      </c>
      <c r="D18" s="7" t="inlineStr">
        <is>
          <t>doc.payment.terms</t>
        </is>
      </c>
      <c r="E18" s="7" t="inlineStr">
        <is>
          <t>Payment terms missing.</t>
        </is>
      </c>
    </row>
    <row r="19">
      <c r="A19" s="14" t="n">
        <v>3</v>
      </c>
      <c r="B19" s="30" t="inlineStr">
        <is>
          <t>ERROR</t>
        </is>
      </c>
      <c r="C19" s="7" t="inlineStr">
        <is>
          <t>ITEM_PRICE</t>
        </is>
      </c>
      <c r="D19" s="7" t="inlineStr">
        <is>
          <t>items[0].unitPrice</t>
        </is>
      </c>
      <c r="E19" s="7" t="inlineStr">
        <is>
          <t>Line 1: unit price missing — no formal document can be issued.</t>
        </is>
      </c>
    </row>
    <row r="20">
      <c r="A20" s="14" t="n">
        <v>4</v>
      </c>
      <c r="B20" s="30" t="inlineStr">
        <is>
          <t>ERROR</t>
        </is>
      </c>
      <c r="C20" s="7" t="inlineStr">
        <is>
          <t>LINE_PRICE_MISSING</t>
        </is>
      </c>
      <c r="D20" s="7" t="inlineStr">
        <is>
          <t>item:1</t>
        </is>
      </c>
      <c r="E20" s="7" t="inlineStr">
        <is>
          <t>Unit price missing for line 1 — total cannot be computed.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0" customWidth="1" min="4" max="4"/>
    <col width="10" customWidth="1" min="5" max="5"/>
    <col width="90" customWidth="1" min="6" max="6"/>
  </cols>
  <sheetData>
    <row r="1" ht="30" customHeight="1">
      <c r="A1" s="1" t="inlineStr">
        <is>
          <t>40 · CLAUSE COMPLETENESS CHECKLIST  条款完整性检查</t>
        </is>
      </c>
    </row>
    <row r="2" ht="22" customHeight="1">
      <c r="A2" s="2" t="inlineStr">
        <is>
          <t>A–K 维度：任何“FAIL”都将阻止生成正式文件；“WARN”需人工确认是否可接受。</t>
        </is>
      </c>
    </row>
    <row r="4" ht="26" customHeight="1">
      <c r="A4" s="13" t="inlineStr">
        <is>
          <t>Key</t>
        </is>
      </c>
      <c r="B4" s="13" t="inlineStr">
        <is>
          <t>Dimension 维度</t>
        </is>
      </c>
      <c r="C4" s="13" t="inlineStr">
        <is>
          <t>Errors</t>
        </is>
      </c>
      <c r="D4" s="13" t="inlineStr">
        <is>
          <t>Warns</t>
        </is>
      </c>
      <c r="E4" s="13" t="inlineStr">
        <is>
          <t>Status</t>
        </is>
      </c>
      <c r="F4" s="13" t="inlineStr">
        <is>
          <t>Findings 发现</t>
        </is>
      </c>
    </row>
    <row r="5">
      <c r="A5" s="23" t="inlineStr">
        <is>
          <t>A</t>
        </is>
      </c>
      <c r="B5" s="15" t="inlineStr">
        <is>
          <t>Commercial fields 商务字段</t>
        </is>
      </c>
      <c r="C5" s="14" t="n">
        <v>0</v>
      </c>
      <c r="D5" s="14" t="n">
        <v>0</v>
      </c>
      <c r="E5" s="29" t="inlineStr">
        <is>
          <t>PASS</t>
        </is>
      </c>
      <c r="F5" s="7" t="inlineStr">
        <is>
          <t>—</t>
        </is>
      </c>
    </row>
    <row r="6">
      <c r="A6" s="23" t="inlineStr">
        <is>
          <t>B</t>
        </is>
      </c>
      <c r="B6" s="15" t="inlineStr">
        <is>
          <t>Quantity &amp; unit 数量与单位</t>
        </is>
      </c>
      <c r="C6" s="14" t="n">
        <v>0</v>
      </c>
      <c r="D6" s="14" t="n">
        <v>0</v>
      </c>
      <c r="E6" s="29" t="inlineStr">
        <is>
          <t>PASS</t>
        </is>
      </c>
      <c r="F6" s="7" t="inlineStr">
        <is>
          <t>—</t>
        </is>
      </c>
    </row>
    <row r="7">
      <c r="A7" s="23" t="inlineStr">
        <is>
          <t>C</t>
        </is>
      </c>
      <c r="B7" s="15" t="inlineStr">
        <is>
          <t>Price &amp; amount 价格与金额</t>
        </is>
      </c>
      <c r="C7" s="14" t="n">
        <v>1</v>
      </c>
      <c r="D7" s="14" t="n">
        <v>0</v>
      </c>
      <c r="E7" s="30" t="inlineStr">
        <is>
          <t>FAIL</t>
        </is>
      </c>
      <c r="F7" s="7" t="inlineStr">
        <is>
          <t>ITEM_PRICE: Line 1: unit price missing — no formal document can be issued.</t>
        </is>
      </c>
    </row>
    <row r="8">
      <c r="A8" s="23" t="inlineStr">
        <is>
          <t>D</t>
        </is>
      </c>
      <c r="B8" s="15" t="inlineStr">
        <is>
          <t>Currency &amp; FX 币种与汇率</t>
        </is>
      </c>
      <c r="C8" s="14" t="n">
        <v>0</v>
      </c>
      <c r="D8" s="14" t="n">
        <v>0</v>
      </c>
      <c r="E8" s="29" t="inlineStr">
        <is>
          <t>PASS</t>
        </is>
      </c>
      <c r="F8" s="7" t="inlineStr">
        <is>
          <t>—</t>
        </is>
      </c>
    </row>
    <row r="9">
      <c r="A9" s="23" t="inlineStr">
        <is>
          <t>E</t>
        </is>
      </c>
      <c r="B9" s="15" t="inlineStr">
        <is>
          <t>Incoterms &amp; costs 术语与费用</t>
        </is>
      </c>
      <c r="C9" s="14" t="n">
        <v>0</v>
      </c>
      <c r="D9" s="14" t="n">
        <v>0</v>
      </c>
      <c r="E9" s="29" t="inlineStr">
        <is>
          <t>PASS</t>
        </is>
      </c>
      <c r="F9" s="7" t="inlineStr">
        <is>
          <t>—</t>
        </is>
      </c>
    </row>
    <row r="10">
      <c r="A10" s="23" t="inlineStr">
        <is>
          <t>F</t>
        </is>
      </c>
      <c r="B10" s="15" t="inlineStr">
        <is>
          <t>Packing 包装</t>
        </is>
      </c>
      <c r="C10" s="14" t="n">
        <v>0</v>
      </c>
      <c r="D10" s="14" t="n">
        <v>0</v>
      </c>
      <c r="E10" s="29" t="inlineStr">
        <is>
          <t>PASS</t>
        </is>
      </c>
      <c r="F10" s="7" t="inlineStr">
        <is>
          <t>—</t>
        </is>
      </c>
    </row>
    <row r="11">
      <c r="A11" s="23" t="inlineStr">
        <is>
          <t>G</t>
        </is>
      </c>
      <c r="B11" s="15" t="inlineStr">
        <is>
          <t>Delivery 交期</t>
        </is>
      </c>
      <c r="C11" s="14" t="n">
        <v>0</v>
      </c>
      <c r="D11" s="14" t="n">
        <v>0</v>
      </c>
      <c r="E11" s="29" t="inlineStr">
        <is>
          <t>PASS</t>
        </is>
      </c>
      <c r="F11" s="7" t="inlineStr">
        <is>
          <t>—</t>
        </is>
      </c>
    </row>
    <row r="12">
      <c r="A12" s="23" t="inlineStr">
        <is>
          <t>H</t>
        </is>
      </c>
      <c r="B12" s="15" t="inlineStr">
        <is>
          <t>Payment 付款</t>
        </is>
      </c>
      <c r="C12" s="14" t="n">
        <v>1</v>
      </c>
      <c r="D12" s="14" t="n">
        <v>0</v>
      </c>
      <c r="E12" s="30" t="inlineStr">
        <is>
          <t>FAIL</t>
        </is>
      </c>
      <c r="F12" s="7" t="inlineStr">
        <is>
          <t>PAYMENT_TERMS: Payment terms missing.</t>
        </is>
      </c>
    </row>
    <row r="13">
      <c r="A13" s="23" t="inlineStr">
        <is>
          <t>I</t>
        </is>
      </c>
      <c r="B13" s="15" t="inlineStr">
        <is>
          <t>Validity 有效期</t>
        </is>
      </c>
      <c r="C13" s="14" t="n">
        <v>1</v>
      </c>
      <c r="D13" s="14" t="n">
        <v>0</v>
      </c>
      <c r="E13" s="30" t="inlineStr">
        <is>
          <t>FAIL</t>
        </is>
      </c>
      <c r="F13" s="7" t="inlineStr">
        <is>
          <t>VALIDITY_DATE: Validity end date missing.</t>
        </is>
      </c>
    </row>
    <row r="14">
      <c r="A14" s="23" t="inlineStr">
        <is>
          <t>J</t>
        </is>
      </c>
      <c r="B14" s="15" t="inlineStr">
        <is>
          <t>Banking 银行</t>
        </is>
      </c>
      <c r="C14" s="14" t="n">
        <v>0</v>
      </c>
      <c r="D14" s="14" t="n">
        <v>0</v>
      </c>
      <c r="E14" s="29" t="inlineStr">
        <is>
          <t>PASS</t>
        </is>
      </c>
      <c r="F14" s="7" t="inlineStr">
        <is>
          <t>—</t>
        </is>
      </c>
    </row>
    <row r="15">
      <c r="A15" s="23" t="inlineStr">
        <is>
          <t>K</t>
        </is>
      </c>
      <c r="B15" s="15" t="inlineStr">
        <is>
          <t>Dangerous goods 危险品</t>
        </is>
      </c>
      <c r="C15" s="14" t="n">
        <v>0</v>
      </c>
      <c r="D15" s="14" t="n">
        <v>0</v>
      </c>
      <c r="E15" s="29" t="inlineStr">
        <is>
          <t>PASS</t>
        </is>
      </c>
      <c r="F15" s="7" t="inlineStr">
        <is>
          <t>—</t>
        </is>
      </c>
    </row>
    <row r="17">
      <c r="B17" s="8" t="inlineStr">
        <is>
          <t>人工确认栏 Manual sign-off（由业务人员填写）</t>
        </is>
      </c>
    </row>
    <row r="18">
      <c r="B18" s="7" t="inlineStr">
        <is>
          <t>必填字段是否已全部由卖方确认？</t>
        </is>
      </c>
      <c r="C18" s="5" t="n"/>
      <c r="D18" s="5" t="n"/>
      <c r="E18" s="6" t="n"/>
      <c r="F18" s="7" t="inlineStr">
        <is>
          <t>□ 已核对   □ 需修改   核对人：__________  日期：__________</t>
        </is>
      </c>
    </row>
    <row r="19">
      <c r="B19" s="7" t="inlineStr">
        <is>
          <t>数量 / 单位 / 单价 / 币种 / 金额是否相互一致？</t>
        </is>
      </c>
      <c r="C19" s="5" t="n"/>
      <c r="D19" s="5" t="n"/>
      <c r="E19" s="6" t="n"/>
      <c r="F19" s="7" t="inlineStr">
        <is>
          <t>□ 已核对   □ 需修改   核对人：__________  日期：__________</t>
        </is>
      </c>
    </row>
    <row r="20">
      <c r="B20" s="7" t="inlineStr">
        <is>
          <t>包装件数 × 单件净重 = 总数量？</t>
        </is>
      </c>
      <c r="C20" s="5" t="n"/>
      <c r="D20" s="5" t="n"/>
      <c r="E20" s="6" t="n"/>
      <c r="F20" s="7" t="inlineStr">
        <is>
          <t>□ 已核对   □ 需修改   核对人：__________  日期：__________</t>
        </is>
      </c>
    </row>
    <row r="21">
      <c r="B21" s="7" t="inlineStr">
        <is>
          <t>贸易术语的指定港口/地点 + 版本是否完整？</t>
        </is>
      </c>
      <c r="C21" s="5" t="n"/>
      <c r="D21" s="5" t="n"/>
      <c r="E21" s="6" t="n"/>
      <c r="F21" s="7" t="inlineStr">
        <is>
          <t>□ 已核对   □ 需修改   核对人：__________  日期：__________</t>
        </is>
      </c>
    </row>
    <row r="22">
      <c r="B22" s="7" t="inlineStr">
        <is>
          <t>付款条件与银行资料是否与开户资料一致（逐位核对）？</t>
        </is>
      </c>
      <c r="C22" s="5" t="n"/>
      <c r="D22" s="5" t="n"/>
      <c r="E22" s="6" t="n"/>
      <c r="F22" s="7" t="inlineStr">
        <is>
          <t>□ 已核对   □ 需修改   核对人：__________  日期：__________</t>
        </is>
      </c>
    </row>
    <row r="23">
      <c r="B23" s="7" t="inlineStr">
        <is>
          <t>交期、装运方式、分批与转运是否与生产/物流计划一致？</t>
        </is>
      </c>
      <c r="C23" s="5" t="n"/>
      <c r="D23" s="5" t="n"/>
      <c r="E23" s="6" t="n"/>
      <c r="F23" s="7" t="inlineStr">
        <is>
          <t>□ 已核对   □ 需修改   核对人：__________  日期：__________</t>
        </is>
      </c>
    </row>
    <row r="24">
      <c r="B24" s="7" t="inlineStr">
        <is>
          <t>危险品状态是否已按最新 SDS 核实？</t>
        </is>
      </c>
      <c r="C24" s="5" t="n"/>
      <c r="D24" s="5" t="n"/>
      <c r="E24" s="6" t="n"/>
      <c r="F24" s="7" t="inlineStr">
        <is>
          <t>□ 已核对   □ 需修改   核对人：__________  日期：__________</t>
        </is>
      </c>
    </row>
  </sheetData>
  <mergeCells count="9">
    <mergeCell ref="A2:F2"/>
    <mergeCell ref="B23:E23"/>
    <mergeCell ref="B18:E18"/>
    <mergeCell ref="A1:F1"/>
    <mergeCell ref="B21:E21"/>
    <mergeCell ref="B24:E24"/>
    <mergeCell ref="B19:E19"/>
    <mergeCell ref="B20:E20"/>
    <mergeCell ref="B22:E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24" customWidth="1" min="4" max="4"/>
    <col width="46" customWidth="1" min="5" max="5"/>
    <col width="18" customWidth="1" min="6" max="6"/>
    <col width="40" customWidth="1" min="7" max="7"/>
  </cols>
  <sheetData>
    <row r="1" ht="30" customHeight="1">
      <c r="A1" s="1" t="inlineStr">
        <is>
          <t>50 · DOCUMENT GENERATION LOG  文件生成记录</t>
        </is>
      </c>
    </row>
    <row r="2" ht="22" customHeight="1">
      <c r="A2" s="2" t="inlineStr">
        <is>
          <t>记录导入、校验、导出与复核动作（本地留痕，不上传）。签字栏由人工手写/签名。</t>
        </is>
      </c>
    </row>
    <row r="4" ht="26" customHeight="1">
      <c r="A4" s="13" t="inlineStr">
        <is>
          <t>#</t>
        </is>
      </c>
      <c r="B4" s="13" t="inlineStr">
        <is>
          <t>Timestamp 时间</t>
        </is>
      </c>
      <c r="C4" s="13" t="inlineStr">
        <is>
          <t>Action 动作</t>
        </is>
      </c>
      <c r="D4" s="13" t="inlineStr">
        <is>
          <t>Document No.</t>
        </is>
      </c>
      <c r="E4" s="13" t="inlineStr">
        <is>
          <t>Detail 说明</t>
        </is>
      </c>
      <c r="F4" s="13" t="inlineStr">
        <is>
          <t>Operator</t>
        </is>
      </c>
      <c r="G4" s="13" t="inlineStr">
        <is>
          <t>Output / 备注</t>
        </is>
      </c>
    </row>
    <row r="5">
      <c r="A5" s="14" t="n">
        <v>1</v>
      </c>
      <c r="B5" s="7" t="inlineStr">
        <is>
          <t>2026-10-19 09:00</t>
        </is>
      </c>
      <c r="C5" s="15" t="inlineStr">
        <is>
          <t>CASE_FILE_IMPORTED</t>
        </is>
      </c>
      <c r="D5" s="7" t="inlineStr">
        <is>
          <t>QT-SIM-2610-006</t>
        </is>
      </c>
      <c r="E5" s="7" t="inlineStr">
        <is>
          <t>JSON 数据载入（模拟演示）</t>
        </is>
      </c>
      <c r="F5" s="7" t="inlineStr">
        <is>
          <t>demo-builder</t>
        </is>
      </c>
      <c r="G5" s="10" t="inlineStr">
        <is>
          <t>build/demo-ex001-soda-ash-indonesia.json</t>
        </is>
      </c>
    </row>
    <row r="6">
      <c r="A6" s="14" t="n">
        <v>2</v>
      </c>
      <c r="B6" s="7" t="inlineStr">
        <is>
          <t>2026-10-19 09:00</t>
        </is>
      </c>
      <c r="C6" s="15" t="inlineStr">
        <is>
          <t>ENGINE_VALIDATED</t>
        </is>
      </c>
      <c r="D6" s="7" t="inlineStr">
        <is>
          <t>QT-SIM-2610-006</t>
        </is>
      </c>
      <c r="E6" s="7" t="inlineStr">
        <is>
          <t>字段完整性 + 金额 + 一致性校验；错误 4 / 提示 0</t>
        </is>
      </c>
      <c r="F6" s="7" t="inlineStr">
        <is>
          <t>engine v1.0.0</t>
        </is>
      </c>
      <c r="G6" s="10" t="inlineStr">
        <is>
          <t>见 30/40 表</t>
        </is>
      </c>
    </row>
    <row r="7">
      <c r="A7" s="14" t="n">
        <v>3</v>
      </c>
      <c r="B7" s="7" t="inlineStr">
        <is>
          <t>2026-10-19 09:01</t>
        </is>
      </c>
      <c r="C7" s="15" t="inlineStr">
        <is>
          <t>TOTAL_RECALCULATED</t>
        </is>
      </c>
      <c r="D7" s="7" t="inlineStr">
        <is>
          <t>QT-SIM-2610-006</t>
        </is>
      </c>
      <c r="E7" s="7" t="inlineStr">
        <is>
          <t>单价/数量缺失：总额保持占位，不生成正式金额</t>
        </is>
      </c>
      <c r="F7" s="7" t="inlineStr">
        <is>
          <t>engine v1.0.0</t>
        </is>
      </c>
      <c r="G7" s="10" t="inlineStr">
        <is>
          <t>PENDING</t>
        </is>
      </c>
    </row>
    <row r="8">
      <c r="A8" s="14" t="n">
        <v>4</v>
      </c>
      <c r="B8" s="7" t="inlineStr">
        <is>
          <t>2026-10-19 09:02</t>
        </is>
      </c>
      <c r="C8" s="15" t="inlineStr">
        <is>
          <t>DOC_TYPE_RENDERED</t>
        </is>
      </c>
      <c r="D8" s="7" t="inlineStr">
        <is>
          <t>QT-SIM-2610-006</t>
        </is>
      </c>
      <c r="E8" s="7" t="inlineStr">
        <is>
          <t>Quotation / Proforma Invoice 双视图渲染</t>
        </is>
      </c>
      <c r="F8" s="7" t="inlineStr">
        <is>
          <t>studio</t>
        </is>
      </c>
      <c r="G8" s="10" t="inlineStr">
        <is>
          <t>—</t>
        </is>
      </c>
    </row>
    <row r="9">
      <c r="A9" s="14" t="n">
        <v>5</v>
      </c>
      <c r="B9" s="7" t="inlineStr">
        <is>
          <t>2026-10-19 09:03</t>
        </is>
      </c>
      <c r="C9" s="15" t="inlineStr">
        <is>
          <t>EXPORT_WORD</t>
        </is>
      </c>
      <c r="D9" s="7" t="inlineStr">
        <is>
          <t>QT-SIM-2610-006</t>
        </is>
      </c>
      <c r="E9" s="7" t="inlineStr">
        <is>
          <t>DOCX 生成（可编辑）</t>
        </is>
      </c>
      <c r="F9" s="7" t="inlineStr">
        <is>
          <t>docx builder</t>
        </is>
      </c>
      <c r="G9" s="10" t="inlineStr">
        <is>
          <t>…_Quotation.docx / …_Proforma_Invoice.docx</t>
        </is>
      </c>
    </row>
    <row r="10">
      <c r="A10" s="14" t="n">
        <v>6</v>
      </c>
      <c r="B10" s="7" t="inlineStr">
        <is>
          <t>2026-10-19 09:04</t>
        </is>
      </c>
      <c r="C10" s="15" t="inlineStr">
        <is>
          <t>EXPORT_PDF</t>
        </is>
      </c>
      <c r="D10" s="7" t="inlineStr">
        <is>
          <t>QT-SIM-2610-006</t>
        </is>
      </c>
      <c r="E10" s="7" t="inlineStr">
        <is>
          <t>PDF 生成（LibreOffice 渲染）</t>
        </is>
      </c>
      <c r="F10" s="7" t="inlineStr">
        <is>
          <t>LibreOfficeKit</t>
        </is>
      </c>
      <c r="G10" s="10" t="inlineStr">
        <is>
          <t>…_Quotation.pdf / …_Proforma_Invoice.pdf</t>
        </is>
      </c>
    </row>
    <row r="11">
      <c r="A11" s="14" t="n">
        <v>7</v>
      </c>
      <c r="B11" s="7" t="inlineStr">
        <is>
          <t>2026-10-19 09:05</t>
        </is>
      </c>
      <c r="C11" s="15" t="inlineStr">
        <is>
          <t>EXPORT_XLSX</t>
        </is>
      </c>
      <c r="D11" s="7" t="inlineStr">
        <is>
          <t>QT-SIM-2610-006</t>
        </is>
      </c>
      <c r="E11" s="7" t="inlineStr">
        <is>
          <t>本工作簿生成</t>
        </is>
      </c>
      <c r="F11" s="7" t="inlineStr">
        <is>
          <t>xlsx builder</t>
        </is>
      </c>
      <c r="G11" s="10" t="inlineStr">
        <is>
          <t>EX006_QT-SIM-2610-006_Data_Workbook.xlsx</t>
        </is>
      </c>
    </row>
    <row r="12">
      <c r="A12" s="14" t="n">
        <v>8</v>
      </c>
      <c r="B12" s="7" t="inlineStr">
        <is>
          <t>2026-10-19 09:06</t>
        </is>
      </c>
      <c r="C12" s="15" t="inlineStr">
        <is>
          <t>EXPORT_HTML</t>
        </is>
      </c>
      <c r="D12" s="7" t="inlineStr">
        <is>
          <t>QT-SIM-2610-006</t>
        </is>
      </c>
      <c r="E12" s="7" t="inlineStr">
        <is>
          <t>交互式 HTML 编辑台生成</t>
        </is>
      </c>
      <c r="F12" s="7" t="inlineStr">
        <is>
          <t>html builder</t>
        </is>
      </c>
      <c r="G12" s="10" t="inlineStr">
        <is>
          <t>…_Studio.html</t>
        </is>
      </c>
    </row>
    <row r="13">
      <c r="A13" s="14" t="n">
        <v>9</v>
      </c>
      <c r="B13" s="7" t="inlineStr"/>
      <c r="C13" s="15" t="inlineStr">
        <is>
          <t>REVIEW_PENDING</t>
        </is>
      </c>
      <c r="D13" s="7" t="inlineStr">
        <is>
          <t>QT-SIM-2610-006</t>
        </is>
      </c>
      <c r="E13" s="7" t="inlineStr">
        <is>
          <t>等待业务人员逐项复核；复核人签字后方可对外发送</t>
        </is>
      </c>
      <c r="F13" s="7" t="inlineStr"/>
      <c r="G13" s="10" t="inlineStr">
        <is>
          <t>复核人：__________</t>
        </is>
      </c>
    </row>
    <row r="14">
      <c r="A14" s="14" t="n">
        <v>10</v>
      </c>
      <c r="B14" s="7" t="inlineStr"/>
      <c r="C14" s="15" t="inlineStr">
        <is>
          <t>SEND_TO_BUYER</t>
        </is>
      </c>
      <c r="D14" s="7" t="inlineStr">
        <is>
          <t>QT-SIM-2610-006</t>
        </is>
      </c>
      <c r="E14" s="7" t="inlineStr">
        <is>
          <t>发送渠道 / 收件人 / 回执（由业务人员填写）</t>
        </is>
      </c>
      <c r="F14" s="7" t="inlineStr"/>
      <c r="G14" s="10" t="inlineStr"/>
    </row>
    <row r="15">
      <c r="A15" s="14" t="n">
        <v>11</v>
      </c>
      <c r="B15" s="7" t="inlineStr"/>
      <c r="C15" s="15" t="inlineStr">
        <is>
          <t>BUYER_PO_RECEIVED</t>
        </is>
      </c>
      <c r="D15" s="7" t="inlineStr">
        <is>
          <t>QT-SIM-2610-006</t>
        </is>
      </c>
      <c r="E15" s="7" t="inlineStr">
        <is>
          <t>买方订单号与日期（收到后登记）</t>
        </is>
      </c>
      <c r="F15" s="7" t="inlineStr"/>
      <c r="G15" s="10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10" customWidth="1" min="4" max="4"/>
    <col width="74" customWidth="1" min="5" max="5"/>
    <col width="30" customWidth="1" min="6" max="6"/>
  </cols>
  <sheetData>
    <row r="1" ht="30" customHeight="1">
      <c r="A1" s="1" t="inlineStr">
        <is>
          <t>60 · FIELD DICTIONARY  通用字段字典（跨品类数据契约）</t>
        </is>
      </c>
    </row>
    <row r="2" ht="22" customHeight="1">
      <c r="A2" s="2" t="inlineStr">
        <is>
          <t>任何化工品 / 国家 / 币种 / 贸易术语均沿用同一 JSON 结构；必填项缺失时仅允许生成带占位符的草稿。</t>
        </is>
      </c>
    </row>
    <row r="4" ht="26" customHeight="1">
      <c r="A4" s="13" t="inlineStr">
        <is>
          <t>#</t>
        </is>
      </c>
      <c r="B4" s="13" t="inlineStr">
        <is>
          <t>Field key</t>
        </is>
      </c>
      <c r="C4" s="13" t="inlineStr">
        <is>
          <t>Group</t>
        </is>
      </c>
      <c r="D4" s="13" t="inlineStr">
        <is>
          <t>Req.</t>
        </is>
      </c>
      <c r="E4" s="13" t="inlineStr">
        <is>
          <t>Meaning 含义</t>
        </is>
      </c>
      <c r="F4" s="13" t="inlineStr">
        <is>
          <t>Example 示例</t>
        </is>
      </c>
    </row>
    <row r="5">
      <c r="A5" s="14" t="n">
        <v>1</v>
      </c>
      <c r="B5" s="33" t="inlineStr">
        <is>
          <t>seller.name</t>
        </is>
      </c>
      <c r="C5" s="7" t="inlineStr">
        <is>
          <t>seller</t>
        </is>
      </c>
      <c r="D5" s="23" t="inlineStr">
        <is>
          <t>Y</t>
        </is>
      </c>
      <c r="E5" s="7" t="inlineStr">
        <is>
          <t>卖方注册英文全称（与报关/发票一致）</t>
        </is>
      </c>
      <c r="F5" s="10" t="inlineStr">
        <is>
          <t>XXXX Chemical Co., Ltd.</t>
        </is>
      </c>
    </row>
    <row r="6">
      <c r="A6" s="14" t="n">
        <v>2</v>
      </c>
      <c r="B6" s="33" t="inlineStr">
        <is>
          <t>seller.address</t>
        </is>
      </c>
      <c r="C6" s="7" t="inlineStr">
        <is>
          <t>seller</t>
        </is>
      </c>
      <c r="D6" s="23" t="inlineStr">
        <is>
          <t>Y</t>
        </is>
      </c>
      <c r="E6" s="7" t="inlineStr">
        <is>
          <t>卖方注册地址（英文）</t>
        </is>
      </c>
      <c r="F6" s="10" t="inlineStr">
        <is>
          <t>No.1 Road, City, Province, China</t>
        </is>
      </c>
    </row>
    <row r="7">
      <c r="A7" s="14" t="n">
        <v>3</v>
      </c>
      <c r="B7" s="33" t="inlineStr">
        <is>
          <t>buyer.name</t>
        </is>
      </c>
      <c r="C7" s="7" t="inlineStr">
        <is>
          <t>buyer</t>
        </is>
      </c>
      <c r="D7" s="23" t="inlineStr">
        <is>
          <t>Y</t>
        </is>
      </c>
      <c r="E7" s="7" t="inlineStr">
        <is>
          <t>买方公司全称（当地语言法定名可加括注）</t>
        </is>
      </c>
      <c r="F7" s="10" t="inlineStr">
        <is>
          <t>PT Example (Indonesia)</t>
        </is>
      </c>
    </row>
    <row r="8">
      <c r="A8" s="14" t="n">
        <v>4</v>
      </c>
      <c r="B8" s="33" t="inlineStr">
        <is>
          <t>buyer.npwp</t>
        </is>
      </c>
      <c r="C8" s="7" t="inlineStr">
        <is>
          <t>buyer</t>
        </is>
      </c>
      <c r="D8" s="34" t="inlineStr">
        <is>
          <t>N</t>
        </is>
      </c>
      <c r="E8" s="7" t="inlineStr">
        <is>
          <t>买方税号（印尼 NPWP；其他国家 VAT/TIN）</t>
        </is>
      </c>
      <c r="F8" s="10" t="inlineStr">
        <is>
          <t>00.000.000.0-000.000 (例)</t>
        </is>
      </c>
    </row>
    <row r="9">
      <c r="A9" s="14" t="n">
        <v>5</v>
      </c>
      <c r="B9" s="33" t="inlineStr">
        <is>
          <t>currency.code</t>
        </is>
      </c>
      <c r="C9" s="7" t="inlineStr">
        <is>
          <t>doc</t>
        </is>
      </c>
      <c r="D9" s="23" t="inlineStr">
        <is>
          <t>Y</t>
        </is>
      </c>
      <c r="E9" s="7" t="inlineStr">
        <is>
          <t>报价币种（ISO 4217）</t>
        </is>
      </c>
      <c r="F9" s="10" t="inlineStr">
        <is>
          <t>USD</t>
        </is>
      </c>
    </row>
    <row r="10">
      <c r="A10" s="14" t="n">
        <v>6</v>
      </c>
      <c r="B10" s="33" t="inlineStr">
        <is>
          <t>currency.decimals</t>
        </is>
      </c>
      <c r="C10" s="7" t="inlineStr">
        <is>
          <t>doc</t>
        </is>
      </c>
      <c r="D10" s="23" t="inlineStr">
        <is>
          <t>Y</t>
        </is>
      </c>
      <c r="E10" s="7" t="inlineStr">
        <is>
          <t>金额小数位（IDR/JPY 常为 0）</t>
        </is>
      </c>
      <c r="F10" s="10" t="inlineStr">
        <is>
          <t>2</t>
        </is>
      </c>
    </row>
    <row r="11">
      <c r="A11" s="14" t="n">
        <v>7</v>
      </c>
      <c r="B11" s="33" t="inlineStr">
        <is>
          <t>currency.exchangeRate</t>
        </is>
      </c>
      <c r="C11" s="7" t="inlineStr">
        <is>
          <t>doc</t>
        </is>
      </c>
      <c r="D11" s="34" t="inlineStr">
        <is>
          <t>N</t>
        </is>
      </c>
      <c r="E11" s="7" t="inlineStr">
        <is>
          <t>仅作脚注的成本汇率；不自动改变报价金额</t>
        </is>
      </c>
      <c r="F11" s="10" t="inlineStr">
        <is>
          <t>1 CNY = 0.1496 USD (2026-10-16)</t>
        </is>
      </c>
    </row>
    <row r="12">
      <c r="A12" s="14" t="n">
        <v>8</v>
      </c>
      <c r="B12" s="33" t="inlineStr">
        <is>
          <t>tradeTerm.code</t>
        </is>
      </c>
      <c r="C12" s="7" t="inlineStr">
        <is>
          <t>doc</t>
        </is>
      </c>
      <c r="D12" s="23" t="inlineStr">
        <is>
          <t>Y</t>
        </is>
      </c>
      <c r="E12" s="7" t="inlineStr">
        <is>
          <t>Incoterms 规则三字母</t>
        </is>
      </c>
      <c r="F12" s="10" t="inlineStr">
        <is>
          <t>CIF</t>
        </is>
      </c>
    </row>
    <row r="13">
      <c r="A13" s="14" t="n">
        <v>9</v>
      </c>
      <c r="B13" s="33" t="inlineStr">
        <is>
          <t>tradeTerm.namedPlace</t>
        </is>
      </c>
      <c r="C13" s="7" t="inlineStr">
        <is>
          <t>doc</t>
        </is>
      </c>
      <c r="D13" s="23" t="inlineStr">
        <is>
          <t>Y</t>
        </is>
      </c>
      <c r="E13" s="7" t="inlineStr">
        <is>
          <t>指定港口（sea rules）或指定地点（any-mode rules）</t>
        </is>
      </c>
      <c r="F13" s="10" t="inlineStr">
        <is>
          <t>Jakarta (Tanjung Priok), Indonesia</t>
        </is>
      </c>
    </row>
    <row r="14">
      <c r="A14" s="14" t="n">
        <v>10</v>
      </c>
      <c r="B14" s="33" t="inlineStr">
        <is>
          <t>tradeTerm.version</t>
        </is>
      </c>
      <c r="C14" s="7" t="inlineStr">
        <is>
          <t>doc</t>
        </is>
      </c>
      <c r="D14" s="23" t="inlineStr">
        <is>
          <t>Y</t>
        </is>
      </c>
      <c r="E14" s="7" t="inlineStr">
        <is>
          <t>Incoterms 版本</t>
        </is>
      </c>
      <c r="F14" s="10" t="inlineStr">
        <is>
          <t>2020</t>
        </is>
      </c>
    </row>
    <row r="15">
      <c r="A15" s="14" t="n">
        <v>11</v>
      </c>
      <c r="B15" s="33" t="inlineStr">
        <is>
          <t>items[].name</t>
        </is>
      </c>
      <c r="C15" s="7" t="inlineStr">
        <is>
          <t>item</t>
        </is>
      </c>
      <c r="D15" s="23" t="inlineStr">
        <is>
          <t>Y</t>
        </is>
      </c>
      <c r="E15" s="7" t="inlineStr">
        <is>
          <t>产品英文品名（常用名 + 化学名）</t>
        </is>
      </c>
      <c r="F15" s="10" t="inlineStr">
        <is>
          <t>Soda Ash (Heavy), Sodium Carbonate</t>
        </is>
      </c>
    </row>
    <row r="16">
      <c r="A16" s="14" t="n">
        <v>12</v>
      </c>
      <c r="B16" s="33" t="inlineStr">
        <is>
          <t>items[].cas</t>
        </is>
      </c>
      <c r="C16" s="7" t="inlineStr">
        <is>
          <t>item</t>
        </is>
      </c>
      <c r="D16" s="34" t="inlineStr">
        <is>
          <t>N*</t>
        </is>
      </c>
      <c r="E16" s="7" t="inlineStr">
        <is>
          <t>CAS 登记号（化工品强烈建议）</t>
        </is>
      </c>
      <c r="F16" s="10" t="inlineStr">
        <is>
          <t>497-19-8</t>
        </is>
      </c>
    </row>
    <row r="17">
      <c r="A17" s="14" t="n">
        <v>13</v>
      </c>
      <c r="B17" s="33" t="inlineStr">
        <is>
          <t>items[].spec</t>
        </is>
      </c>
      <c r="C17" s="7" t="inlineStr">
        <is>
          <t>item</t>
        </is>
      </c>
      <c r="D17" s="23" t="inlineStr">
        <is>
          <t>Y</t>
        </is>
      </c>
      <c r="E17" s="7" t="inlineStr">
        <is>
          <t>规格/级别/关键指标</t>
        </is>
      </c>
      <c r="F17" s="10" t="inlineStr">
        <is>
          <t>Na2CO3 ≥99.2%, Fe2O3 ≤0.003%</t>
        </is>
      </c>
    </row>
    <row r="18">
      <c r="A18" s="14" t="n">
        <v>14</v>
      </c>
      <c r="B18" s="33" t="inlineStr">
        <is>
          <t>items[].hsCode</t>
        </is>
      </c>
      <c r="C18" s="7" t="inlineStr">
        <is>
          <t>item</t>
        </is>
      </c>
      <c r="D18" s="34" t="inlineStr">
        <is>
          <t>N*</t>
        </is>
      </c>
      <c r="E18" s="7" t="inlineStr">
        <is>
          <t>HS 编码（出口报关、单证参考）</t>
        </is>
      </c>
      <c r="F18" s="10" t="inlineStr">
        <is>
          <t>283620</t>
        </is>
      </c>
    </row>
    <row r="19">
      <c r="A19" s="14" t="n">
        <v>15</v>
      </c>
      <c r="B19" s="33" t="inlineStr">
        <is>
          <t>items[].quantity</t>
        </is>
      </c>
      <c r="C19" s="7" t="inlineStr">
        <is>
          <t>item</t>
        </is>
      </c>
      <c r="D19" s="23" t="inlineStr">
        <is>
          <t>Y</t>
        </is>
      </c>
      <c r="E19" s="7" t="inlineStr">
        <is>
          <t>数量（数值）</t>
        </is>
      </c>
      <c r="F19" s="10" t="inlineStr">
        <is>
          <t>1000</t>
        </is>
      </c>
    </row>
    <row r="20">
      <c r="A20" s="14" t="n">
        <v>16</v>
      </c>
      <c r="B20" s="33" t="inlineStr">
        <is>
          <t>items[].unit</t>
        </is>
      </c>
      <c r="C20" s="7" t="inlineStr">
        <is>
          <t>item</t>
        </is>
      </c>
      <c r="D20" s="23" t="inlineStr">
        <is>
          <t>Y</t>
        </is>
      </c>
      <c r="E20" s="7" t="inlineStr">
        <is>
          <t>计量单位（与单价单位一致）</t>
        </is>
      </c>
      <c r="F20" s="10" t="inlineStr">
        <is>
          <t>MT</t>
        </is>
      </c>
    </row>
    <row r="21">
      <c r="A21" s="14" t="n">
        <v>17</v>
      </c>
      <c r="B21" s="33" t="inlineStr">
        <is>
          <t>items[].unitPrice</t>
        </is>
      </c>
      <c r="C21" s="7" t="inlineStr">
        <is>
          <t>item</t>
        </is>
      </c>
      <c r="D21" s="23" t="inlineStr">
        <is>
          <t>Y</t>
        </is>
      </c>
      <c r="E21" s="7" t="inlineStr">
        <is>
          <t>单价（用户确认；不得由系统推算）</t>
        </is>
      </c>
      <c r="F21" s="10" t="inlineStr">
        <is>
          <t>217.00</t>
        </is>
      </c>
    </row>
    <row r="22">
      <c r="A22" s="14" t="n">
        <v>18</v>
      </c>
      <c r="B22" s="33" t="inlineStr">
        <is>
          <t>items[].packageCount</t>
        </is>
      </c>
      <c r="C22" s="7" t="inlineStr">
        <is>
          <t>item</t>
        </is>
      </c>
      <c r="D22" s="34" t="inlineStr">
        <is>
          <t>N</t>
        </is>
      </c>
      <c r="E22" s="7" t="inlineStr">
        <is>
          <t>包装件数（袋/桶/箱）</t>
        </is>
      </c>
      <c r="F22" s="10" t="inlineStr">
        <is>
          <t>40000</t>
        </is>
      </c>
    </row>
    <row r="23">
      <c r="A23" s="14" t="n">
        <v>19</v>
      </c>
      <c r="B23" s="33" t="inlineStr">
        <is>
          <t>items[].packageWeight.value</t>
        </is>
      </c>
      <c r="C23" s="7" t="inlineStr">
        <is>
          <t>item</t>
        </is>
      </c>
      <c r="D23" s="34" t="inlineStr">
        <is>
          <t>N</t>
        </is>
      </c>
      <c r="E23" s="7" t="inlineStr">
        <is>
          <t>单件毛重 kg</t>
        </is>
      </c>
      <c r="F23" s="10" t="inlineStr">
        <is>
          <t>25.2</t>
        </is>
      </c>
    </row>
    <row r="24">
      <c r="A24" s="14" t="n">
        <v>20</v>
      </c>
      <c r="B24" s="33" t="inlineStr">
        <is>
          <t>items[].dangerousGoods.status</t>
        </is>
      </c>
      <c r="C24" s="7" t="inlineStr">
        <is>
          <t>item</t>
        </is>
      </c>
      <c r="D24" s="23" t="inlineStr">
        <is>
          <t>Y</t>
        </is>
      </c>
      <c r="E24" s="7" t="inlineStr">
        <is>
          <t>DG / NOT_REGULATED / UNKNOWN（UNKNOWN 阻断）</t>
        </is>
      </c>
      <c r="F24" s="10" t="inlineStr">
        <is>
          <t>NOT_REGULATED</t>
        </is>
      </c>
    </row>
    <row r="25">
      <c r="A25" s="14" t="n">
        <v>21</v>
      </c>
      <c r="B25" s="33" t="inlineStr">
        <is>
          <t>packing.summary</t>
        </is>
      </c>
      <c r="C25" s="7" t="inlineStr">
        <is>
          <t>doc</t>
        </is>
      </c>
      <c r="D25" s="23" t="inlineStr">
        <is>
          <t>Y</t>
        </is>
      </c>
      <c r="E25" s="7" t="inlineStr">
        <is>
          <t>包装方式 + 件数 + 防护内衬</t>
        </is>
      </c>
      <c r="F25" s="10" t="inlineStr">
        <is>
          <t>40,000 bags × 25 kg in PE-lined PP bags</t>
        </is>
      </c>
    </row>
    <row r="26">
      <c r="A26" s="14" t="n">
        <v>22</v>
      </c>
      <c r="B26" s="33" t="inlineStr">
        <is>
          <t>packing.bagNetKg</t>
        </is>
      </c>
      <c r="C26" s="7" t="inlineStr">
        <is>
          <t>doc</t>
        </is>
      </c>
      <c r="D26" s="34" t="inlineStr">
        <is>
          <t>N</t>
        </is>
      </c>
      <c r="E26" s="7" t="inlineStr">
        <is>
          <t>单件净重（用于袋数核对）</t>
        </is>
      </c>
      <c r="F26" s="10" t="inlineStr">
        <is>
          <t>25</t>
        </is>
      </c>
    </row>
    <row r="27">
      <c r="A27" s="14" t="n">
        <v>23</v>
      </c>
      <c r="B27" s="33" t="inlineStr">
        <is>
          <t>totalPackageCount</t>
        </is>
      </c>
      <c r="C27" s="7" t="inlineStr">
        <is>
          <t>doc</t>
        </is>
      </c>
      <c r="D27" s="34" t="inlineStr">
        <is>
          <t>N</t>
        </is>
      </c>
      <c r="E27" s="7" t="inlineStr">
        <is>
          <t>包装件数合计（须等于各行之和）</t>
        </is>
      </c>
      <c r="F27" s="10" t="inlineStr">
        <is>
          <t>40000</t>
        </is>
      </c>
    </row>
    <row r="28">
      <c r="A28" s="14" t="n">
        <v>24</v>
      </c>
      <c r="B28" s="33" t="inlineStr">
        <is>
          <t>totalGrossWeight</t>
        </is>
      </c>
      <c r="C28" s="7" t="inlineStr">
        <is>
          <t>doc</t>
        </is>
      </c>
      <c r="D28" s="34" t="inlineStr">
        <is>
          <t>N</t>
        </is>
      </c>
      <c r="E28" s="7" t="inlineStr">
        <is>
          <t>总毛重（须等于件数×单件毛重）</t>
        </is>
      </c>
      <c r="F28" s="10" t="inlineStr">
        <is>
          <t>1,008,000 kg</t>
        </is>
      </c>
    </row>
    <row r="29">
      <c r="A29" s="14" t="n">
        <v>25</v>
      </c>
      <c r="B29" s="33" t="inlineStr">
        <is>
          <t>delivery.leadTime</t>
        </is>
      </c>
      <c r="C29" s="7" t="inlineStr">
        <is>
          <t>doc</t>
        </is>
      </c>
      <c r="D29" s="23" t="inlineStr">
        <is>
          <t>Y</t>
        </is>
      </c>
      <c r="E29" s="7" t="inlineStr">
        <is>
          <t>交期文字（含起算基准）</t>
        </is>
      </c>
      <c r="F29" s="10" t="inlineStr">
        <is>
          <t>30–40 days after receipt of PO</t>
        </is>
      </c>
    </row>
    <row r="30">
      <c r="A30" s="14" t="n">
        <v>26</v>
      </c>
      <c r="B30" s="33" t="inlineStr">
        <is>
          <t>delivery.basis</t>
        </is>
      </c>
      <c r="C30" s="7" t="inlineStr">
        <is>
          <t>doc</t>
        </is>
      </c>
      <c r="D30" s="34" t="inlineStr">
        <is>
          <t>N</t>
        </is>
      </c>
      <c r="E30" s="7" t="inlineStr">
        <is>
          <t>交期起算基准（订单/预付款/信用证）</t>
        </is>
      </c>
      <c r="F30" s="10" t="inlineStr">
        <is>
          <t>TIMING FROM PO</t>
        </is>
      </c>
    </row>
    <row r="31">
      <c r="A31" s="14" t="n">
        <v>27</v>
      </c>
      <c r="B31" s="33" t="inlineStr">
        <is>
          <t>payment.terms</t>
        </is>
      </c>
      <c r="C31" s="7" t="inlineStr">
        <is>
          <t>doc</t>
        </is>
      </c>
      <c r="D31" s="23" t="inlineStr">
        <is>
          <t>Y</t>
        </is>
      </c>
      <c r="E31" s="7" t="inlineStr">
        <is>
          <t>付款条件（用户确认原文）</t>
        </is>
      </c>
      <c r="F31" s="10" t="inlineStr">
        <is>
          <t>100% T/T in advance</t>
        </is>
      </c>
    </row>
    <row r="32">
      <c r="A32" s="14" t="n">
        <v>28</v>
      </c>
      <c r="B32" s="33" t="inlineStr">
        <is>
          <t>payment.amountPct</t>
        </is>
      </c>
      <c r="C32" s="7" t="inlineStr">
        <is>
          <t>doc</t>
        </is>
      </c>
      <c r="D32" s="34" t="inlineStr">
        <is>
          <t>N</t>
        </is>
      </c>
      <c r="E32" s="7" t="inlineStr">
        <is>
          <t>预付比例（若有）</t>
        </is>
      </c>
      <c r="F32" s="10" t="inlineStr">
        <is>
          <t>100</t>
        </is>
      </c>
    </row>
    <row r="33">
      <c r="A33" s="14" t="n">
        <v>29</v>
      </c>
      <c r="B33" s="33" t="inlineStr">
        <is>
          <t>validity.type / validUntil / days</t>
        </is>
      </c>
      <c r="C33" s="7" t="inlineStr">
        <is>
          <t>doc</t>
        </is>
      </c>
      <c r="D33" s="23" t="inlineStr">
        <is>
          <t>Y</t>
        </is>
      </c>
      <c r="E33" s="7" t="inlineStr">
        <is>
          <t>有效期（日期或天数，二者择一；PI 建议用日期）</t>
        </is>
      </c>
      <c r="F33" s="10" t="inlineStr">
        <is>
          <t>date / 2026-11-18</t>
        </is>
      </c>
    </row>
    <row r="34">
      <c r="A34" s="14" t="n">
        <v>30</v>
      </c>
      <c r="B34" s="33" t="inlineStr">
        <is>
          <t>bank.*</t>
        </is>
      </c>
      <c r="C34" s="7" t="inlineStr">
        <is>
          <t>doc</t>
        </is>
      </c>
      <c r="D34" s="34" t="inlineStr">
        <is>
          <t>N*</t>
        </is>
      </c>
      <c r="E34" s="7" t="inlineStr">
        <is>
          <t>银行资料；必须来自用户确认来源，否则不得显示</t>
        </is>
      </c>
      <c r="F34" s="10" t="inlineStr">
        <is>
          <t>[占位符]</t>
        </is>
      </c>
    </row>
    <row r="35">
      <c r="A35" s="14" t="n">
        <v>31</v>
      </c>
      <c r="B35" s="33" t="inlineStr">
        <is>
          <t>review.*</t>
        </is>
      </c>
      <c r="C35" s="7" t="inlineStr">
        <is>
          <t>doc</t>
        </is>
      </c>
      <c r="D35" s="34" t="inlineStr">
        <is>
          <t>Y*</t>
        </is>
      </c>
      <c r="E35" s="7" t="inlineStr">
        <is>
          <t>复核人、核对勾选、是否以正式文件签发</t>
        </is>
      </c>
      <c r="F35" s="10" t="inlineStr">
        <is>
          <t>复核人姓名 + 时间戳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0" customWidth="1" min="11" max="11"/>
  </cols>
  <sheetData>
    <row r="1" ht="30" customHeight="1">
      <c r="A1" s="1" t="inlineStr">
        <is>
          <t>70 · TERM COST–RESPONSIBILITY MATRIX  贸易术语费用责任矩阵</t>
        </is>
      </c>
    </row>
    <row r="2" ht="22" customHeight="1">
      <c r="A2" s="2" t="inlineStr">
        <is>
          <t>S = 卖方承担 · B = 买方承担。当前报价术语：EXW（本行高亮）</t>
        </is>
      </c>
    </row>
    <row r="4" ht="26" customHeight="1">
      <c r="A4" s="13" t="inlineStr">
        <is>
          <t>Cost item 费用项目</t>
        </is>
      </c>
      <c r="B4" s="13" t="inlineStr">
        <is>
          <t>EXW</t>
        </is>
      </c>
      <c r="C4" s="13" t="inlineStr">
        <is>
          <t>FCA</t>
        </is>
      </c>
      <c r="D4" s="13" t="inlineStr">
        <is>
          <t>FOB</t>
        </is>
      </c>
      <c r="E4" s="13" t="inlineStr">
        <is>
          <t>CFR</t>
        </is>
      </c>
      <c r="F4" s="13" t="inlineStr">
        <is>
          <t>CIF</t>
        </is>
      </c>
      <c r="G4" s="13" t="inlineStr">
        <is>
          <t>CPT</t>
        </is>
      </c>
      <c r="H4" s="13" t="inlineStr">
        <is>
          <t>CIP</t>
        </is>
      </c>
      <c r="I4" s="13" t="inlineStr">
        <is>
          <t>DAP</t>
        </is>
      </c>
      <c r="J4" s="13" t="inlineStr">
        <is>
          <t>DDP</t>
        </is>
      </c>
      <c r="K4" s="13" t="inlineStr">
        <is>
          <t>Chemicals note 化工品注意点</t>
        </is>
      </c>
    </row>
    <row r="5">
      <c r="A5" s="15" t="inlineStr">
        <is>
          <t>Export packing</t>
        </is>
      </c>
      <c r="B5" s="35" t="inlineStr">
        <is>
          <t>S</t>
        </is>
      </c>
      <c r="C5" s="29" t="inlineStr">
        <is>
          <t>S</t>
        </is>
      </c>
      <c r="D5" s="29" t="inlineStr">
        <is>
          <t>S</t>
        </is>
      </c>
      <c r="E5" s="29" t="inlineStr">
        <is>
          <t>S</t>
        </is>
      </c>
      <c r="F5" s="29" t="inlineStr">
        <is>
          <t>S</t>
        </is>
      </c>
      <c r="G5" s="29" t="inlineStr">
        <is>
          <t>S</t>
        </is>
      </c>
      <c r="H5" s="29" t="inlineStr">
        <is>
          <t>S</t>
        </is>
      </c>
      <c r="I5" s="29" t="inlineStr">
        <is>
          <t>S</t>
        </is>
      </c>
      <c r="J5" s="29" t="inlineStr">
        <is>
          <t>S</t>
        </is>
      </c>
      <c r="K5" s="10" t="inlineStr">
        <is>
          <t>出口包装与标识（含危险品 UN 包装）</t>
        </is>
      </c>
    </row>
    <row r="6">
      <c r="A6" s="15" t="inlineStr">
        <is>
          <t>Loading on board / at carrier</t>
        </is>
      </c>
      <c r="B6" s="34" t="inlineStr">
        <is>
          <t>B</t>
        </is>
      </c>
      <c r="C6" s="29" t="inlineStr">
        <is>
          <t>S</t>
        </is>
      </c>
      <c r="D6" s="29" t="inlineStr">
        <is>
          <t>S</t>
        </is>
      </c>
      <c r="E6" s="29" t="inlineStr">
        <is>
          <t>S</t>
        </is>
      </c>
      <c r="F6" s="29" t="inlineStr">
        <is>
          <t>S</t>
        </is>
      </c>
      <c r="G6" s="29" t="inlineStr">
        <is>
          <t>S</t>
        </is>
      </c>
      <c r="H6" s="29" t="inlineStr">
        <is>
          <t>S</t>
        </is>
      </c>
      <c r="I6" s="29" t="inlineStr">
        <is>
          <t>S</t>
        </is>
      </c>
      <c r="J6" s="29" t="inlineStr">
        <is>
          <t>S</t>
        </is>
      </c>
      <c r="K6" s="10" t="inlineStr">
        <is>
          <t>装箱/上船费用</t>
        </is>
      </c>
    </row>
    <row r="7">
      <c r="A7" s="15" t="inlineStr">
        <is>
          <t>Export customs clearance</t>
        </is>
      </c>
      <c r="B7" s="34" t="inlineStr">
        <is>
          <t>B</t>
        </is>
      </c>
      <c r="C7" s="29" t="inlineStr">
        <is>
          <t>S</t>
        </is>
      </c>
      <c r="D7" s="29" t="inlineStr">
        <is>
          <t>S</t>
        </is>
      </c>
      <c r="E7" s="29" t="inlineStr">
        <is>
          <t>S</t>
        </is>
      </c>
      <c r="F7" s="29" t="inlineStr">
        <is>
          <t>S</t>
        </is>
      </c>
      <c r="G7" s="29" t="inlineStr">
        <is>
          <t>S</t>
        </is>
      </c>
      <c r="H7" s="29" t="inlineStr">
        <is>
          <t>S</t>
        </is>
      </c>
      <c r="I7" s="29" t="inlineStr">
        <is>
          <t>S</t>
        </is>
      </c>
      <c r="J7" s="29" t="inlineStr">
        <is>
          <t>S</t>
        </is>
      </c>
      <c r="K7" s="10" t="inlineStr">
        <is>
          <t>出口报关与商检</t>
        </is>
      </c>
    </row>
    <row r="8">
      <c r="A8" s="15" t="inlineStr">
        <is>
          <t>Origin terminal / THC</t>
        </is>
      </c>
      <c r="B8" s="34" t="inlineStr">
        <is>
          <t>B</t>
        </is>
      </c>
      <c r="C8" s="31" t="inlineStr">
        <is>
          <t>B</t>
        </is>
      </c>
      <c r="D8" s="31" t="inlineStr">
        <is>
          <t>B</t>
        </is>
      </c>
      <c r="E8" s="29" t="inlineStr">
        <is>
          <t>S</t>
        </is>
      </c>
      <c r="F8" s="29" t="inlineStr">
        <is>
          <t>S</t>
        </is>
      </c>
      <c r="G8" s="29" t="inlineStr">
        <is>
          <t>S</t>
        </is>
      </c>
      <c r="H8" s="29" t="inlineStr">
        <is>
          <t>S</t>
        </is>
      </c>
      <c r="I8" s="29" t="inlineStr">
        <is>
          <t>S</t>
        </is>
      </c>
      <c r="J8" s="29" t="inlineStr">
        <is>
          <t>S</t>
        </is>
      </c>
      <c r="K8" s="10" t="inlineStr">
        <is>
          <t>起运港 THC 等</t>
        </is>
      </c>
    </row>
    <row r="9">
      <c r="A9" s="15" t="inlineStr">
        <is>
          <t>Main carriage / freight</t>
        </is>
      </c>
      <c r="B9" s="34" t="inlineStr">
        <is>
          <t>B</t>
        </is>
      </c>
      <c r="C9" s="31" t="inlineStr">
        <is>
          <t>B</t>
        </is>
      </c>
      <c r="D9" s="31" t="inlineStr">
        <is>
          <t>B</t>
        </is>
      </c>
      <c r="E9" s="29" t="inlineStr">
        <is>
          <t>S</t>
        </is>
      </c>
      <c r="F9" s="29" t="inlineStr">
        <is>
          <t>S</t>
        </is>
      </c>
      <c r="G9" s="29" t="inlineStr">
        <is>
          <t>S</t>
        </is>
      </c>
      <c r="H9" s="29" t="inlineStr">
        <is>
          <t>S</t>
        </is>
      </c>
      <c r="I9" s="29" t="inlineStr">
        <is>
          <t>S</t>
        </is>
      </c>
      <c r="J9" s="29" t="inlineStr">
        <is>
          <t>S</t>
        </is>
      </c>
      <c r="K9" s="10" t="inlineStr">
        <is>
          <t>主运费（是否含在单价）</t>
        </is>
      </c>
    </row>
    <row r="10">
      <c r="A10" s="15" t="inlineStr">
        <is>
          <t>Cargo insurance</t>
        </is>
      </c>
      <c r="B10" s="34" t="inlineStr">
        <is>
          <t>B</t>
        </is>
      </c>
      <c r="C10" s="31" t="inlineStr">
        <is>
          <t>B</t>
        </is>
      </c>
      <c r="D10" s="31" t="inlineStr">
        <is>
          <t>B</t>
        </is>
      </c>
      <c r="E10" s="31" t="inlineStr">
        <is>
          <t>B</t>
        </is>
      </c>
      <c r="F10" s="29" t="inlineStr">
        <is>
          <t>S</t>
        </is>
      </c>
      <c r="G10" s="31" t="inlineStr">
        <is>
          <t>B</t>
        </is>
      </c>
      <c r="H10" s="29" t="inlineStr">
        <is>
          <t>S</t>
        </is>
      </c>
      <c r="I10" s="31" t="inlineStr">
        <is>
          <t>B</t>
        </is>
      </c>
      <c r="J10" s="31" t="inlineStr">
        <is>
          <t>B</t>
        </is>
      </c>
      <c r="K10" s="10" t="inlineStr">
        <is>
          <t>保险：CIF/CIP 卖方投保（ICC A 等级需写明）</t>
        </is>
      </c>
    </row>
    <row r="11">
      <c r="A11" s="15" t="inlineStr">
        <is>
          <t>Destination terminal / THC</t>
        </is>
      </c>
      <c r="B11" s="34" t="inlineStr">
        <is>
          <t>B</t>
        </is>
      </c>
      <c r="C11" s="31" t="inlineStr">
        <is>
          <t>B</t>
        </is>
      </c>
      <c r="D11" s="31" t="inlineStr">
        <is>
          <t>B</t>
        </is>
      </c>
      <c r="E11" s="31" t="inlineStr">
        <is>
          <t>B</t>
        </is>
      </c>
      <c r="F11" s="31" t="inlineStr">
        <is>
          <t>B</t>
        </is>
      </c>
      <c r="G11" s="31" t="inlineStr">
        <is>
          <t>B</t>
        </is>
      </c>
      <c r="H11" s="31" t="inlineStr">
        <is>
          <t>B</t>
        </is>
      </c>
      <c r="I11" s="29" t="inlineStr">
        <is>
          <t>S</t>
        </is>
      </c>
      <c r="J11" s="29" t="inlineStr">
        <is>
          <t>S</t>
        </is>
      </c>
      <c r="K11" s="10" t="inlineStr">
        <is>
          <t>目的港 THC / 码头费用</t>
        </is>
      </c>
    </row>
    <row r="12">
      <c r="A12" s="15" t="inlineStr">
        <is>
          <t>Import customs clearance &amp; duties</t>
        </is>
      </c>
      <c r="B12" s="34" t="inlineStr">
        <is>
          <t>B</t>
        </is>
      </c>
      <c r="C12" s="31" t="inlineStr">
        <is>
          <t>B</t>
        </is>
      </c>
      <c r="D12" s="31" t="inlineStr">
        <is>
          <t>B</t>
        </is>
      </c>
      <c r="E12" s="31" t="inlineStr">
        <is>
          <t>B</t>
        </is>
      </c>
      <c r="F12" s="31" t="inlineStr">
        <is>
          <t>B</t>
        </is>
      </c>
      <c r="G12" s="31" t="inlineStr">
        <is>
          <t>B</t>
        </is>
      </c>
      <c r="H12" s="31" t="inlineStr">
        <is>
          <t>B</t>
        </is>
      </c>
      <c r="I12" s="31" t="inlineStr">
        <is>
          <t>B</t>
        </is>
      </c>
      <c r="J12" s="29" t="inlineStr">
        <is>
          <t>S</t>
        </is>
      </c>
      <c r="K12" s="10" t="inlineStr">
        <is>
          <t>进口关税与清关（DDP 卖方承担）</t>
        </is>
      </c>
    </row>
    <row r="13">
      <c r="A13" s="15" t="inlineStr">
        <is>
          <t>Unloading at destination</t>
        </is>
      </c>
      <c r="B13" s="34" t="inlineStr">
        <is>
          <t>B</t>
        </is>
      </c>
      <c r="C13" s="31" t="inlineStr">
        <is>
          <t>B</t>
        </is>
      </c>
      <c r="D13" s="31" t="inlineStr">
        <is>
          <t>B</t>
        </is>
      </c>
      <c r="E13" s="31" t="inlineStr">
        <is>
          <t>B</t>
        </is>
      </c>
      <c r="F13" s="31" t="inlineStr">
        <is>
          <t>B</t>
        </is>
      </c>
      <c r="G13" s="31" t="inlineStr">
        <is>
          <t>B</t>
        </is>
      </c>
      <c r="H13" s="31" t="inlineStr">
        <is>
          <t>B</t>
        </is>
      </c>
      <c r="I13" s="31" t="inlineStr">
        <is>
          <t>B</t>
        </is>
      </c>
      <c r="J13" s="31" t="inlineStr">
        <is>
          <t>B</t>
        </is>
      </c>
      <c r="K13" s="10" t="inlineStr">
        <is>
          <t>卸货（仅 DPU 卖方）</t>
        </is>
      </c>
    </row>
    <row r="15">
      <c r="A15" s="8" t="inlineStr">
        <is>
          <t>用户确认的费用划分（以本案例为准）</t>
        </is>
      </c>
    </row>
    <row r="16" ht="26" customHeight="1">
      <c r="A16" s="13" t="inlineStr">
        <is>
          <t>Cost item</t>
        </is>
      </c>
      <c r="B16" s="13" t="inlineStr">
        <is>
          <t>Standard (EXW)</t>
        </is>
      </c>
      <c r="C16" s="13" t="inlineStr">
        <is>
          <t>User allocation</t>
        </is>
      </c>
      <c r="D16" s="13" t="inlineStr">
        <is>
          <t>一致?</t>
        </is>
      </c>
    </row>
    <row r="17">
      <c r="A17" s="7" t="inlineStr">
        <is>
          <t>Export packing</t>
        </is>
      </c>
      <c r="B17" s="14" t="inlineStr">
        <is>
          <t>S</t>
        </is>
      </c>
      <c r="C17" s="14" t="inlineStr">
        <is>
          <t>Buyer</t>
        </is>
      </c>
      <c r="D17" s="30" t="inlineStr">
        <is>
          <t>CHECK</t>
        </is>
      </c>
    </row>
    <row r="18">
      <c r="A18" s="7" t="inlineStr">
        <is>
          <t>Loading on board / at carrier</t>
        </is>
      </c>
      <c r="B18" s="14" t="inlineStr">
        <is>
          <t>B</t>
        </is>
      </c>
      <c r="C18" s="14" t="inlineStr">
        <is>
          <t>Buyer</t>
        </is>
      </c>
      <c r="D18" s="29" t="inlineStr">
        <is>
          <t>OK</t>
        </is>
      </c>
    </row>
    <row r="19">
      <c r="A19" s="7" t="inlineStr">
        <is>
          <t>Export customs clearance</t>
        </is>
      </c>
      <c r="B19" s="14" t="inlineStr">
        <is>
          <t>B</t>
        </is>
      </c>
      <c r="C19" s="14" t="inlineStr">
        <is>
          <t>Buyer</t>
        </is>
      </c>
      <c r="D19" s="29" t="inlineStr">
        <is>
          <t>OK</t>
        </is>
      </c>
    </row>
    <row r="20">
      <c r="A20" s="7" t="inlineStr">
        <is>
          <t>Origin terminal / THC</t>
        </is>
      </c>
      <c r="B20" s="14" t="inlineStr">
        <is>
          <t>B</t>
        </is>
      </c>
      <c r="C20" s="14" t="inlineStr">
        <is>
          <t>Buyer</t>
        </is>
      </c>
      <c r="D20" s="29" t="inlineStr">
        <is>
          <t>OK</t>
        </is>
      </c>
    </row>
    <row r="21">
      <c r="A21" s="7" t="inlineStr">
        <is>
          <t>Main carriage / freight</t>
        </is>
      </c>
      <c r="B21" s="14" t="inlineStr">
        <is>
          <t>B</t>
        </is>
      </c>
      <c r="C21" s="14" t="inlineStr">
        <is>
          <t>Buyer</t>
        </is>
      </c>
      <c r="D21" s="29" t="inlineStr">
        <is>
          <t>OK</t>
        </is>
      </c>
    </row>
    <row r="22">
      <c r="A22" s="7" t="inlineStr">
        <is>
          <t>Cargo insurance</t>
        </is>
      </c>
      <c r="B22" s="14" t="inlineStr">
        <is>
          <t>B</t>
        </is>
      </c>
      <c r="C22" s="14" t="inlineStr">
        <is>
          <t>Buyer</t>
        </is>
      </c>
      <c r="D22" s="29" t="inlineStr">
        <is>
          <t>OK</t>
        </is>
      </c>
    </row>
    <row r="23">
      <c r="A23" s="7" t="inlineStr">
        <is>
          <t>Destination terminal / THC</t>
        </is>
      </c>
      <c r="B23" s="14" t="inlineStr">
        <is>
          <t>B</t>
        </is>
      </c>
      <c r="C23" s="14" t="inlineStr">
        <is>
          <t>Buyer</t>
        </is>
      </c>
      <c r="D23" s="29" t="inlineStr">
        <is>
          <t>OK</t>
        </is>
      </c>
    </row>
    <row r="24">
      <c r="A24" s="7" t="inlineStr">
        <is>
          <t>Import customs clearance &amp; duties</t>
        </is>
      </c>
      <c r="B24" s="14" t="inlineStr">
        <is>
          <t>B</t>
        </is>
      </c>
      <c r="C24" s="14" t="inlineStr">
        <is>
          <t>Buyer</t>
        </is>
      </c>
      <c r="D24" s="29" t="inlineStr">
        <is>
          <t>OK</t>
        </is>
      </c>
    </row>
    <row r="25">
      <c r="A25" s="7" t="inlineStr">
        <is>
          <t>Unloading at destination</t>
        </is>
      </c>
      <c r="B25" s="14" t="inlineStr">
        <is>
          <t>B</t>
        </is>
      </c>
      <c r="C25" s="14" t="inlineStr">
        <is>
          <t>Buyer</t>
        </is>
      </c>
      <c r="D25" s="29" t="inlineStr">
        <is>
          <t>OK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8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30" customHeight="1">
      <c r="A1" s="1" t="inlineStr">
        <is>
          <t>80 · RAW CASE JSON  机器可读数据</t>
        </is>
      </c>
    </row>
    <row r="2" ht="22" customHeight="1">
      <c r="A2" s="2" t="inlineStr">
        <is>
          <t>可复制回编辑台（载入 JSON）继续编辑；示例文件见 examples/。</t>
        </is>
      </c>
    </row>
    <row r="4">
      <c r="A4" s="36" t="inlineStr">
        <is>
          <t>{</t>
        </is>
      </c>
    </row>
    <row r="5">
      <c r="A5" s="36" t="inlineStr">
        <is>
          <t xml:space="preserve"> "meta": {</t>
        </is>
      </c>
    </row>
    <row r="6">
      <c r="A6" s="36" t="inlineStr">
        <is>
          <t xml:space="preserve">  "skillVersion": "1.0.0",</t>
        </is>
      </c>
    </row>
    <row r="7">
      <c r="A7" s="36" t="inlineStr">
        <is>
          <t xml:space="preserve">  "dataClass": "SIMULATED — DEMO DATA / 模拟演示数据",</t>
        </is>
      </c>
    </row>
    <row r="8">
      <c r="A8" s="36" t="inlineStr">
        <is>
          <t xml:space="preserve">  "dataClassNote": "All names, contacts, prices and terms are SIMULATED for skill demonstration. Replace with user-confirmed commercial data before any real use. Bank details are placeholders only.",</t>
        </is>
      </c>
    </row>
    <row r="9">
      <c r="A9" s="36" t="inlineStr">
        <is>
          <t xml:space="preserve">  "caseId": "EX-006-EXW-BRA",</t>
        </is>
      </c>
    </row>
    <row r="10">
      <c r="A10" s="36" t="inlineStr">
        <is>
          <t xml:space="preserve">  "product": "Titanium Dioxide (Rutile)",</t>
        </is>
      </c>
    </row>
    <row r="11">
      <c r="A11" s="36" t="inlineStr">
        <is>
          <t xml:space="preserve">  "destination": "Brazil",</t>
        </is>
      </c>
    </row>
    <row r="12">
      <c r="A12" s="36" t="inlineStr">
        <is>
          <t xml:space="preserve">  "preparedAt": "2026-10-19",</t>
        </is>
      </c>
    </row>
    <row r="13">
      <c r="A13" s="36" t="inlineStr">
        <is>
          <t xml:space="preserve">  "preparedBy": "export-quotation-pi skill example generator",</t>
        </is>
      </c>
    </row>
    <row r="14">
      <c r="A14" s="36" t="inlineStr">
        <is>
          <t xml:space="preserve">  "scenario": "EXW Shenzhen warehouse quote, buyer's forwarder handles all transport. Demonstrates a 'no price yet' draft: only a placeholder quote may be produced."</t>
        </is>
      </c>
    </row>
    <row r="15">
      <c r="A15" s="36" t="inlineStr">
        <is>
          <t xml:space="preserve"> },</t>
        </is>
      </c>
    </row>
    <row r="16">
      <c r="A16" s="36" t="inlineStr">
        <is>
          <t xml:space="preserve"> "docType": "QUOTATION",</t>
        </is>
      </c>
    </row>
    <row r="17">
      <c r="A17" s="36" t="inlineStr">
        <is>
          <t xml:space="preserve"> "state": {</t>
        </is>
      </c>
    </row>
    <row r="18">
      <c r="A18" s="36" t="inlineStr">
        <is>
          <t xml:space="preserve">  "stage": "READY_FOR_REVIEW",</t>
        </is>
      </c>
    </row>
    <row r="19">
      <c r="A19" s="36" t="inlineStr">
        <is>
          <t xml:space="preserve">  "reviewConfirmed": false</t>
        </is>
      </c>
    </row>
    <row r="20">
      <c r="A20" s="36" t="inlineStr">
        <is>
          <t xml:space="preserve"> },</t>
        </is>
      </c>
    </row>
    <row r="21">
      <c r="A21" s="36" t="inlineStr">
        <is>
          <t xml:space="preserve"> "reference": {</t>
        </is>
      </c>
    </row>
    <row r="22">
      <c r="A22" s="36" t="inlineStr">
        <is>
          <t xml:space="preserve">  "text": "QT-SIM-2610-006",</t>
        </is>
      </c>
    </row>
    <row r="23">
      <c r="A23" s="36" t="inlineStr">
        <is>
          <t xml:space="preserve">  "quoteNo": "QT-SIM-2610-006",</t>
        </is>
      </c>
    </row>
    <row r="24">
      <c r="A24" s="36" t="inlineStr">
        <is>
          <t xml:space="preserve">  "quotationRef": "QT-SIM-2610-006 Rev.0",</t>
        </is>
      </c>
    </row>
    <row r="25">
      <c r="A25" s="36" t="inlineStr">
        <is>
          <t xml:space="preserve">  "buyerInquiryRef": "INQ-SIM-BR-0031",</t>
        </is>
      </c>
    </row>
    <row r="26">
      <c r="A26" s="36" t="inlineStr">
        <is>
          <t xml:space="preserve">  "supplierQuoteRef": "",</t>
        </is>
      </c>
    </row>
    <row r="27">
      <c r="A27" s="36" t="inlineStr">
        <is>
          <t xml:space="preserve">  "exporterReference": "TO BE ALLOCATED BEFORE SHIPMENT",</t>
        </is>
      </c>
    </row>
    <row r="28">
      <c r="A28" s="36" t="inlineStr">
        <is>
          <t xml:space="preserve">  "buyerPoNo": ""</t>
        </is>
      </c>
    </row>
    <row r="29">
      <c r="A29" s="36" t="inlineStr">
        <is>
          <t xml:space="preserve"> },</t>
        </is>
      </c>
    </row>
    <row r="30">
      <c r="A30" s="36" t="inlineStr">
        <is>
          <t xml:space="preserve"> "issueDate": "2026-10-19",</t>
        </is>
      </c>
    </row>
    <row r="31">
      <c r="A31" s="36" t="inlineStr">
        <is>
          <t xml:space="preserve"> "seller": {</t>
        </is>
      </c>
    </row>
    <row r="32">
      <c r="A32" s="36" t="inlineStr">
        <is>
          <t xml:space="preserve">  "name": "Hua Bin Chemical Trading Co., Ltd. (SIMULATED DEMO)",</t>
        </is>
      </c>
    </row>
    <row r="33">
      <c r="A33" s="36" t="inlineStr">
        <is>
          <t xml:space="preserve">  "shortName": "SIMULATED CO., LTD.",</t>
        </is>
      </c>
    </row>
    <row r="34">
      <c r="A34" s="36" t="inlineStr">
        <is>
          <t xml:space="preserve">  "logoText": "SIMULATED",</t>
        </is>
      </c>
    </row>
    <row r="35">
      <c r="A35" s="36" t="inlineStr">
        <is>
          <t xml:space="preserve">  "address": "Unit 2108, 21/F, Harbor Commerce Tower, Nanshan District, Shenzhen, Guangdong 518000, China",</t>
        </is>
      </c>
    </row>
    <row r="36">
      <c r="A36" s="36" t="inlineStr">
        <is>
          <t xml:space="preserve">  "country": "China",</t>
        </is>
      </c>
    </row>
    <row r="37">
      <c r="A37" s="36" t="inlineStr">
        <is>
          <t xml:space="preserve">  "contact": "[Simulated Contact Person]",</t>
        </is>
      </c>
    </row>
    <row r="38">
      <c r="A38" s="36" t="inlineStr">
        <is>
          <t xml:space="preserve">  "phone": "+86 000 0000 0000 (Simulated)",</t>
        </is>
      </c>
    </row>
    <row r="39">
      <c r="A39" s="36" t="inlineStr">
        <is>
          <t xml:space="preserve">  "email": "export@example-demo.invalid",</t>
        </is>
      </c>
    </row>
    <row r="40">
      <c r="A40" s="36" t="inlineStr">
        <is>
          <t xml:space="preserve">  "taxId": "USCI SIMULATED-0000000000"</t>
        </is>
      </c>
    </row>
    <row r="41">
      <c r="A41" s="36" t="inlineStr">
        <is>
          <t xml:space="preserve"> },</t>
        </is>
      </c>
    </row>
    <row r="42">
      <c r="A42" s="36" t="inlineStr">
        <is>
          <t xml:space="preserve"> "buyer": {</t>
        </is>
      </c>
    </row>
    <row r="43">
      <c r="A43" s="36" t="inlineStr">
        <is>
          <t xml:space="preserve">  "name": "Comercio de Insumos Demo Ltda. (SIMULATED DEMO)",</t>
        </is>
      </c>
    </row>
    <row r="44">
      <c r="A44" s="36" t="inlineStr">
        <is>
          <t xml:space="preserve">  "address": "Rua Exemplo 100, Galpao 3, Distrito Industrial, Guarulhos, SP 07220-000, Brasil",</t>
        </is>
      </c>
    </row>
    <row r="45">
      <c r="A45" s="36" t="inlineStr">
        <is>
          <t xml:space="preserve">  "country": "Brazil",</t>
        </is>
      </c>
    </row>
    <row r="46">
      <c r="A46" s="36" t="inlineStr">
        <is>
          <t xml:space="preserve">  "contact": "[Simulated Buyer Contact]",</t>
        </is>
      </c>
    </row>
    <row r="47">
      <c r="A47" s="36" t="inlineStr">
        <is>
          <t xml:space="preserve">  "email": "compras@example-demo.invalid",</t>
        </is>
      </c>
    </row>
    <row r="48">
      <c r="A48" s="36" t="inlineStr">
        <is>
          <t xml:space="preserve">  "phone": "+55 00 0000-0000 (Simulated)"</t>
        </is>
      </c>
    </row>
    <row r="49">
      <c r="A49" s="36" t="inlineStr">
        <is>
          <t xml:space="preserve"> },</t>
        </is>
      </c>
    </row>
    <row r="50">
      <c r="A50" s="36" t="inlineStr">
        <is>
          <t xml:space="preserve"> "currency": {</t>
        </is>
      </c>
    </row>
    <row r="51">
      <c r="A51" s="36" t="inlineStr">
        <is>
          <t xml:space="preserve">  "code": "USD",</t>
        </is>
      </c>
    </row>
    <row r="52">
      <c r="A52" s="36" t="inlineStr">
        <is>
          <t xml:space="preserve">  "name": "US Dollar",</t>
        </is>
      </c>
    </row>
    <row r="53">
      <c r="A53" s="36" t="inlineStr">
        <is>
          <t xml:space="preserve">  "decimals": 2,</t>
        </is>
      </c>
    </row>
    <row r="54">
      <c r="A54" s="36" t="inlineStr">
        <is>
          <t xml:space="preserve">  "exchangeRate": {</t>
        </is>
      </c>
    </row>
    <row r="55">
      <c r="A55" s="36" t="inlineStr">
        <is>
          <t xml:space="preserve">   "base": "",</t>
        </is>
      </c>
    </row>
    <row r="56">
      <c r="A56" s="36" t="inlineStr">
        <is>
          <t xml:space="preserve">   "rate": "",</t>
        </is>
      </c>
    </row>
    <row r="57">
      <c r="A57" s="36" t="inlineStr">
        <is>
          <t xml:space="preserve">   "asOf": "",</t>
        </is>
      </c>
    </row>
    <row r="58">
      <c r="A58" s="36" t="inlineStr">
        <is>
          <t xml:space="preserve">   "state": "reference",</t>
        </is>
      </c>
    </row>
    <row r="59">
      <c r="A59" s="36" t="inlineStr">
        <is>
          <t xml:space="preserve">   "display": "none"</t>
        </is>
      </c>
    </row>
    <row r="60">
      <c r="A60" s="36" t="inlineStr">
        <is>
          <t xml:space="preserve">  }</t>
        </is>
      </c>
    </row>
    <row r="61">
      <c r="A61" s="36" t="inlineStr">
        <is>
          <t xml:space="preserve"> },</t>
        </is>
      </c>
    </row>
    <row r="62">
      <c r="A62" s="36" t="inlineStr">
        <is>
          <t xml:space="preserve"> "tradeTerm": {</t>
        </is>
      </c>
    </row>
    <row r="63">
      <c r="A63" s="36" t="inlineStr">
        <is>
          <t xml:space="preserve">  "code": "EXW",</t>
        </is>
      </c>
    </row>
    <row r="64">
      <c r="A64" s="36" t="inlineStr">
        <is>
          <t xml:space="preserve">  "version": "2020",</t>
        </is>
      </c>
    </row>
    <row r="65">
      <c r="A65" s="36" t="inlineStr">
        <is>
          <t xml:space="preserve">  "namedPlace": "Seller's warehouse, Nanshan District, Shenzhen, China",</t>
        </is>
      </c>
    </row>
    <row r="66">
      <c r="A66" s="36" t="inlineStr">
        <is>
          <t xml:space="preserve">  "namedPlaceKind": "address",</t>
        </is>
      </c>
    </row>
    <row r="67">
      <c r="A67" s="36" t="inlineStr">
        <is>
          <t xml:space="preserve">  "transportMode": "MULTIMODAL",</t>
        </is>
      </c>
    </row>
    <row r="68">
      <c r="A68" s="36" t="inlineStr">
        <is>
          <t xml:space="preserve">  "costAllocation": {</t>
        </is>
      </c>
    </row>
    <row r="69">
      <c r="A69" s="36" t="inlineStr">
        <is>
          <t xml:space="preserve">   "exportPacking": "Buyer",</t>
        </is>
      </c>
    </row>
    <row r="70">
      <c r="A70" s="36" t="inlineStr">
        <is>
          <t xml:space="preserve">   "loadingCharges": "Buyer",</t>
        </is>
      </c>
    </row>
    <row r="71">
      <c r="A71" s="36" t="inlineStr">
        <is>
          <t xml:space="preserve">   "exportCustoms": "Buyer",</t>
        </is>
      </c>
    </row>
    <row r="72">
      <c r="A72" s="36" t="inlineStr">
        <is>
          <t xml:space="preserve">   "originCharges": "Buyer",</t>
        </is>
      </c>
    </row>
    <row r="73">
      <c r="A73" s="36" t="inlineStr">
        <is>
          <t xml:space="preserve">   "mainFreight": "Buyer",</t>
        </is>
      </c>
    </row>
    <row r="74">
      <c r="A74" s="36" t="inlineStr">
        <is>
          <t xml:space="preserve">   "insurance": "Buyer",</t>
        </is>
      </c>
    </row>
    <row r="75">
      <c r="A75" s="36" t="inlineStr">
        <is>
          <t xml:space="preserve">   "destinationCharges": "Buyer",</t>
        </is>
      </c>
    </row>
    <row r="76">
      <c r="A76" s="36" t="inlineStr">
        <is>
          <t xml:space="preserve">   "importCustoms": "Buyer",</t>
        </is>
      </c>
    </row>
    <row r="77">
      <c r="A77" s="36" t="inlineStr">
        <is>
          <t xml:space="preserve">   "unloading": "Buyer"</t>
        </is>
      </c>
    </row>
    <row r="78">
      <c r="A78" s="36" t="inlineStr">
        <is>
          <t xml:space="preserve">  }</t>
        </is>
      </c>
    </row>
    <row r="79">
      <c r="A79" s="36" t="inlineStr">
        <is>
          <t xml:space="preserve"> },</t>
        </is>
      </c>
    </row>
    <row r="80">
      <c r="A80" s="36" t="inlineStr">
        <is>
          <t xml:space="preserve"> "items": [</t>
        </is>
      </c>
    </row>
    <row r="81">
      <c r="A81" s="36" t="inlineStr">
        <is>
          <t xml:space="preserve">  {</t>
        </is>
      </c>
    </row>
    <row r="82">
      <c r="A82" s="36" t="inlineStr">
        <is>
          <t xml:space="preserve">   "id": "L1",</t>
        </is>
      </c>
    </row>
    <row r="83">
      <c r="A83" s="36" t="inlineStr">
        <is>
          <t xml:space="preserve">   "name": "Titanium Dioxide, Rutile grade (chloride process)",</t>
        </is>
      </c>
    </row>
    <row r="84">
      <c r="A84" s="36" t="inlineStr">
        <is>
          <t xml:space="preserve">   "cas": "13463-67-7",</t>
        </is>
      </c>
    </row>
    <row r="85">
      <c r="A85" s="36" t="inlineStr">
        <is>
          <t xml:space="preserve">   "spec": "TiO2 93.0% min.; rutile content 97% min.; TiO2 in hydrochloric bath &lt; 1.8% (typical); surface treated Al2O3/SiO2",</t>
        </is>
      </c>
    </row>
    <row r="86">
      <c r="A86" s="36" t="inlineStr">
        <is>
          <t xml:space="preserve">   "hsCode": "320611",</t>
        </is>
      </c>
    </row>
    <row r="87">
      <c r="A87" s="36" t="inlineStr">
        <is>
          <t xml:space="preserve">   "origin": "China",</t>
        </is>
      </c>
    </row>
    <row r="88">
      <c r="A88" s="36" t="inlineStr">
        <is>
          <t xml:space="preserve">   "unit": "MT",</t>
        </is>
      </c>
    </row>
    <row r="89">
      <c r="A89" s="36" t="inlineStr">
        <is>
          <t xml:space="preserve">   "quantity": 50,</t>
        </is>
      </c>
    </row>
    <row r="90">
      <c r="A90" s="36" t="inlineStr">
        <is>
          <t xml:space="preserve">   "unitPrice": "",</t>
        </is>
      </c>
    </row>
    <row r="91">
      <c r="A91" s="36" t="inlineStr">
        <is>
          <t xml:space="preserve">   "discountPct": 0,</t>
        </is>
      </c>
    </row>
    <row r="92">
      <c r="A92" s="36" t="inlineStr">
        <is>
          <t xml:space="preserve">   "amountState": "draft",</t>
        </is>
      </c>
    </row>
    <row r="93">
      <c r="A93" s="36" t="inlineStr">
        <is>
          <t xml:space="preserve">   "amountConfirmedValue": 0,</t>
        </is>
      </c>
    </row>
    <row r="94">
      <c r="A94" s="36" t="inlineStr">
        <is>
          <t xml:space="preserve">   "dangerousGoods": {</t>
        </is>
      </c>
    </row>
    <row r="95">
      <c r="A95" s="36" t="inlineStr">
        <is>
          <t xml:space="preserve">    "status": "NOT_REGULATED",</t>
        </is>
      </c>
    </row>
    <row r="96">
      <c r="A96" s="36" t="inlineStr">
        <is>
          <t xml:space="preserve">    "basis": "Supplier SDS: not classified as dangerous goods for transport (re-verify against current SDS)",</t>
        </is>
      </c>
    </row>
    <row r="97">
      <c r="A97" s="36" t="inlineStr">
        <is>
          <t xml:space="preserve">    "ghsSummary": ""</t>
        </is>
      </c>
    </row>
    <row r="98">
      <c r="A98" s="36" t="inlineStr">
        <is>
          <t xml:space="preserve">   },</t>
        </is>
      </c>
    </row>
    <row r="99">
      <c r="A99" s="36" t="inlineStr">
        <is>
          <t xml:space="preserve">   "packageCount": 2000,</t>
        </is>
      </c>
    </row>
    <row r="100">
      <c r="A100" s="36" t="inlineStr">
        <is>
          <t xml:space="preserve">   "packageWeight": {</t>
        </is>
      </c>
    </row>
    <row r="101">
      <c r="A101" s="36" t="inlineStr">
        <is>
          <t xml:space="preserve">    "value": 25.2,</t>
        </is>
      </c>
    </row>
    <row r="102">
      <c r="A102" s="36" t="inlineStr">
        <is>
          <t xml:space="preserve">    "unit": "KG",</t>
        </is>
      </c>
    </row>
    <row r="103">
      <c r="A103" s="36" t="inlineStr">
        <is>
          <t xml:space="preserve">    "net": 25,</t>
        </is>
      </c>
    </row>
    <row r="104">
      <c r="A104" s="36" t="inlineStr">
        <is>
          <t xml:space="preserve">    "basis": "simulated declaration"</t>
        </is>
      </c>
    </row>
    <row r="105">
      <c r="A105" s="36" t="inlineStr">
        <is>
          <t xml:space="preserve">   }</t>
        </is>
      </c>
    </row>
    <row r="106">
      <c r="A106" s="36" t="inlineStr">
        <is>
          <t xml:space="preserve">  }</t>
        </is>
      </c>
    </row>
    <row r="107">
      <c r="A107" s="36" t="inlineStr">
        <is>
          <t xml:space="preserve"> ],</t>
        </is>
      </c>
    </row>
    <row r="108">
      <c r="A108" s="36" t="inlineStr">
        <is>
          <t xml:space="preserve"> "amountState": "confirmed",</t>
        </is>
      </c>
    </row>
    <row r="109">
      <c r="A109" s="36" t="inlineStr">
        <is>
          <t xml:space="preserve"> "amountConfirmedValue": 0,</t>
        </is>
      </c>
    </row>
    <row r="110">
      <c r="A110" s="36" t="inlineStr">
        <is>
          <t xml:space="preserve"> "charges": [],</t>
        </is>
      </c>
    </row>
    <row r="111">
      <c r="A111" s="36" t="inlineStr">
        <is>
          <t xml:space="preserve"> "packing": {</t>
        </is>
      </c>
    </row>
    <row r="112">
      <c r="A112" s="36" t="inlineStr">
        <is>
          <t xml:space="preserve">  "summary": "2,000 bags x 25 kg net in paper sacks; buyer's forwarder collects from the named place",</t>
        </is>
      </c>
    </row>
    <row r="113">
      <c r="A113" s="36" t="inlineStr">
        <is>
          <t xml:space="preserve">  "terms": "Export packing can be upgraded at cost if the buyer requires unmarked cargo",</t>
        </is>
      </c>
    </row>
    <row r="114">
      <c r="A114" s="36" t="inlineStr">
        <is>
          <t xml:space="preserve">  "bagNetKg": 25,</t>
        </is>
      </c>
    </row>
    <row r="115">
      <c r="A115" s="36" t="inlineStr">
        <is>
          <t xml:space="preserve">  "shippingUnits": "buyer's forwarder"</t>
        </is>
      </c>
    </row>
    <row r="116">
      <c r="A116" s="36" t="inlineStr">
        <is>
          <t xml:space="preserve"> },</t>
        </is>
      </c>
    </row>
    <row r="117">
      <c r="A117" s="36" t="inlineStr">
        <is>
          <t xml:space="preserve"> "totalPackageCount": "2000",</t>
        </is>
      </c>
    </row>
    <row r="118">
      <c r="A118" s="36" t="inlineStr">
        <is>
          <t xml:space="preserve"> "totalGrossWeight": "50,400 kg (50.40 MT)",</t>
        </is>
      </c>
    </row>
    <row r="119">
      <c r="A119" s="36" t="inlineStr">
        <is>
          <t xml:space="preserve"> "totalVolume": "",</t>
        </is>
      </c>
    </row>
    <row r="120">
      <c r="A120" s="36" t="inlineStr">
        <is>
          <t xml:space="preserve"> "freight": {</t>
        </is>
      </c>
    </row>
    <row r="121">
      <c r="A121" s="36" t="inlineStr">
        <is>
          <t xml:space="preserve">  "estimatedPol": "(buyer's choice)",</t>
        </is>
      </c>
    </row>
    <row r="122">
      <c r="A122" s="36" t="inlineStr">
        <is>
          <t xml:space="preserve">  "estimatedPod": "Santos, Brazil"</t>
        </is>
      </c>
    </row>
    <row r="123">
      <c r="A123" s="36" t="inlineStr">
        <is>
          <t xml:space="preserve"> },</t>
        </is>
      </c>
    </row>
    <row r="124">
      <c r="A124" s="36" t="inlineStr">
        <is>
          <t xml:space="preserve"> "delivery": {</t>
        </is>
      </c>
    </row>
    <row r="125">
      <c r="A125" s="36" t="inlineStr">
        <is>
          <t xml:space="preserve">  "leadTime": "Based on stock availability — to be confirmed by the seller in writing",</t>
        </is>
      </c>
    </row>
    <row r="126">
      <c r="A126" s="36" t="inlineStr">
        <is>
          <t xml:space="preserve">  "basis": "TO BE CONFIRMED",</t>
        </is>
      </c>
    </row>
    <row r="127">
      <c r="A127" s="36" t="inlineStr">
        <is>
          <t xml:space="preserve">  "readyDateMode": "relative",</t>
        </is>
      </c>
    </row>
    <row r="128">
      <c r="A128" s="36" t="inlineStr">
        <is>
          <t xml:space="preserve">  "daysAfterReceipt": 10,</t>
        </is>
      </c>
    </row>
    <row r="129">
      <c r="A129" s="36" t="inlineStr">
        <is>
          <t xml:space="preserve">  "partialShipment": "Not specified",</t>
        </is>
      </c>
    </row>
    <row r="130">
      <c r="A130" s="36" t="inlineStr">
        <is>
          <t xml:space="preserve">  "transhipment": "Not specified"</t>
        </is>
      </c>
    </row>
    <row r="131">
      <c r="A131" s="36" t="inlineStr">
        <is>
          <t xml:space="preserve"> },</t>
        </is>
      </c>
    </row>
    <row r="132">
      <c r="A132" s="36" t="inlineStr">
        <is>
          <t xml:space="preserve"> "payment": {</t>
        </is>
      </c>
    </row>
    <row r="133">
      <c r="A133" s="36" t="inlineStr">
        <is>
          <t xml:space="preserve">  "code": "",</t>
        </is>
      </c>
    </row>
    <row r="134">
      <c r="A134" s="36" t="inlineStr">
        <is>
          <t xml:space="preserve">  "terms": "",</t>
        </is>
      </c>
    </row>
    <row r="135">
      <c r="A135" s="36" t="inlineStr">
        <is>
          <t xml:space="preserve">  "amountPct": null,</t>
        </is>
      </c>
    </row>
    <row r="136">
      <c r="A136" s="36" t="inlineStr">
        <is>
          <t xml:space="preserve">  "beneficiary": "",</t>
        </is>
      </c>
    </row>
    <row r="137">
      <c r="A137" s="36" t="inlineStr">
        <is>
          <t xml:space="preserve">  "beneficiaryNote": "[PAYMENT TERMS TO BE CONFIRMED]"</t>
        </is>
      </c>
    </row>
    <row r="138">
      <c r="A138" s="36" t="inlineStr">
        <is>
          <t xml:space="preserve"> },</t>
        </is>
      </c>
    </row>
    <row r="139">
      <c r="A139" s="36" t="inlineStr">
        <is>
          <t xml:space="preserve"> "validity": {</t>
        </is>
      </c>
    </row>
    <row r="140">
      <c r="A140" s="36" t="inlineStr">
        <is>
          <t xml:space="preserve">  "type": "date",</t>
        </is>
      </c>
    </row>
    <row r="141">
      <c r="A141" s="36" t="inlineStr">
        <is>
          <t xml:space="preserve">  "validUntil": ""</t>
        </is>
      </c>
    </row>
    <row r="142">
      <c r="A142" s="36" t="inlineStr">
        <is>
          <t xml:space="preserve"> },</t>
        </is>
      </c>
    </row>
    <row r="143">
      <c r="A143" s="36" t="inlineStr">
        <is>
          <t xml:space="preserve"> "documents": [</t>
        </is>
      </c>
    </row>
    <row r="144">
      <c r="A144" s="36" t="inlineStr">
        <is>
          <t xml:space="preserve">  {</t>
        </is>
      </c>
    </row>
    <row r="145">
      <c r="A145" s="36" t="inlineStr">
        <is>
          <t xml:space="preserve">   "name": "Bill of Lading (3 originals + 3 copies)"</t>
        </is>
      </c>
    </row>
    <row r="146">
      <c r="A146" s="36" t="inlineStr">
        <is>
          <t xml:space="preserve">  },</t>
        </is>
      </c>
    </row>
    <row r="147">
      <c r="A147" s="36" t="inlineStr">
        <is>
          <t xml:space="preserve">  {</t>
        </is>
      </c>
    </row>
    <row r="148">
      <c r="A148" s="36" t="inlineStr">
        <is>
          <t xml:space="preserve">   "name": "Commercial Invoice (1 original + 5 copies)"</t>
        </is>
      </c>
    </row>
    <row r="149">
      <c r="A149" s="36" t="inlineStr">
        <is>
          <t xml:space="preserve">  },</t>
        </is>
      </c>
    </row>
    <row r="150">
      <c r="A150" s="36" t="inlineStr">
        <is>
          <t xml:space="preserve">  {</t>
        </is>
      </c>
    </row>
    <row r="151">
      <c r="A151" s="36" t="inlineStr">
        <is>
          <t xml:space="preserve">   "name": "Packing List (1 original + 3 copies)"</t>
        </is>
      </c>
    </row>
    <row r="152">
      <c r="A152" s="36" t="inlineStr">
        <is>
          <t xml:space="preserve">  },</t>
        </is>
      </c>
    </row>
    <row r="153">
      <c r="A153" s="36" t="inlineStr">
        <is>
          <t xml:space="preserve">  {</t>
        </is>
      </c>
    </row>
    <row r="154">
      <c r="A154" s="36" t="inlineStr">
        <is>
          <t xml:space="preserve">   "name": "Certificate of Origin"</t>
        </is>
      </c>
    </row>
    <row r="155">
      <c r="A155" s="36" t="inlineStr">
        <is>
          <t xml:space="preserve">  },</t>
        </is>
      </c>
    </row>
    <row r="156">
      <c r="A156" s="36" t="inlineStr">
        <is>
          <t xml:space="preserve">  {</t>
        </is>
      </c>
    </row>
    <row r="157">
      <c r="A157" s="36" t="inlineStr">
        <is>
          <t xml:space="preserve">   "name": "Certificate of Analysis (per shipment)"</t>
        </is>
      </c>
    </row>
    <row r="158">
      <c r="A158" s="36" t="inlineStr">
        <is>
          <t xml:space="preserve">  },</t>
        </is>
      </c>
    </row>
    <row r="159">
      <c r="A159" s="36" t="inlineStr">
        <is>
          <t xml:space="preserve">  {</t>
        </is>
      </c>
    </row>
    <row r="160">
      <c r="A160" s="36" t="inlineStr">
        <is>
          <t xml:space="preserve">   "name": "Manufacturer's SDS (current revision)"</t>
        </is>
      </c>
    </row>
    <row r="161">
      <c r="A161" s="36" t="inlineStr">
        <is>
          <t xml:space="preserve">  }</t>
        </is>
      </c>
    </row>
    <row r="162">
      <c r="A162" s="36" t="inlineStr">
        <is>
          <t xml:space="preserve"> ],</t>
        </is>
      </c>
    </row>
    <row r="163">
      <c r="A163" s="36" t="inlineStr">
        <is>
          <t xml:space="preserve"> "bank": {</t>
        </is>
      </c>
    </row>
    <row r="164">
      <c r="A164" s="36" t="inlineStr">
        <is>
          <t xml:space="preserve">  "display": false,</t>
        </is>
      </c>
    </row>
    <row r="165">
      <c r="A165" s="36" t="inlineStr">
        <is>
          <t xml:space="preserve">  "sanitized": true,</t>
        </is>
      </c>
    </row>
    <row r="166">
      <c r="A166" s="36" t="inlineStr">
        <is>
          <t xml:space="preserve">  "detailsConfirmed": false,</t>
        </is>
      </c>
    </row>
    <row r="167">
      <c r="A167" s="36" t="inlineStr">
        <is>
          <t xml:space="preserve">  "bankName": "",</t>
        </is>
      </c>
    </row>
    <row r="168">
      <c r="A168" s="36" t="inlineStr">
        <is>
          <t xml:space="preserve">  "accountName": "",</t>
        </is>
      </c>
    </row>
    <row r="169">
      <c r="A169" s="36" t="inlineStr">
        <is>
          <t xml:space="preserve">  "accountNumber": "",</t>
        </is>
      </c>
    </row>
    <row r="170">
      <c r="A170" s="36" t="inlineStr">
        <is>
          <t xml:space="preserve">  "swift": "",</t>
        </is>
      </c>
    </row>
    <row r="171">
      <c r="A171" s="36" t="inlineStr">
        <is>
          <t xml:space="preserve">  "note": "placeholders only"</t>
        </is>
      </c>
    </row>
    <row r="172">
      <c r="A172" s="36" t="inlineStr">
        <is>
          <t xml:space="preserve"> },</t>
        </is>
      </c>
    </row>
    <row r="173">
      <c r="A173" s="36" t="inlineStr">
        <is>
          <t xml:space="preserve"> "view": {</t>
        </is>
      </c>
    </row>
    <row r="174">
      <c r="A174" s="36" t="inlineStr">
        <is>
          <t xml:space="preserve">  "logo": true,</t>
        </is>
      </c>
    </row>
    <row r="175">
      <c r="A175" s="36" t="inlineStr">
        <is>
          <t xml:space="preserve">  "signature": true,</t>
        </is>
      </c>
    </row>
    <row r="176">
      <c r="A176" s="36" t="inlineStr">
        <is>
          <t xml:space="preserve">  "watermark": true,</t>
        </is>
      </c>
    </row>
    <row r="177">
      <c r="A177" s="36" t="inlineStr">
        <is>
          <t xml:space="preserve">  "accentColor": "#1B3A5B"</t>
        </is>
      </c>
    </row>
    <row r="178">
      <c r="A178" s="36" t="inlineStr">
        <is>
          <t xml:space="preserve"> },</t>
        </is>
      </c>
    </row>
    <row r="179">
      <c r="A179" s="36" t="inlineStr">
        <is>
          <t xml:space="preserve"> "preparation": {</t>
        </is>
      </c>
    </row>
    <row r="180">
      <c r="A180" s="36" t="inlineStr">
        <is>
          <t xml:space="preserve">  "issuedBy": "export-quotation-pi skill v1.0.0",</t>
        </is>
      </c>
    </row>
    <row r="181">
      <c r="A181" s="36" t="inlineStr">
        <is>
          <t xml:space="preserve">  "notice": "SIMULATED DEMO DATA — NOT FOR TRADE USE. PLACEHOLDER EXAMPLES: unit price and payment terms are missing (draft only). EXW: buyer bears practically all costs and risk."</t>
        </is>
      </c>
    </row>
    <row r="182">
      <c r="A182" s="36" t="inlineStr">
        <is>
          <t xml:space="preserve"> },</t>
        </is>
      </c>
    </row>
    <row r="183">
      <c r="A183" s="36" t="inlineStr">
        <is>
          <t xml:space="preserve"> "review": {}</t>
        </is>
      </c>
    </row>
    <row r="184">
      <c r="A184" s="36" t="inlineStr">
        <is>
          <t>}</t>
        </is>
      </c>
    </row>
  </sheetData>
  <mergeCells count="2">
    <mergeCell ref="A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2026-10-19T11:45:27Z</dcterms:created>
  <dcterms:modified xmlns:dcterms="http://purl.org/dc/terms/" xmlns:xsi="http://www.w3.org/2001/XMLSchema-instance" xsi:type="dcterms:W3CDTF">2026-10-19T11:45:27Z</dcterms:modified>
</cp:coreProperties>
</file>
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说明与口径" sheetId="1" r:id="rId1"/>
    <sheet name="1.国家比较" sheetId="2" r:id="rId2"/>
    <sheet name="2.历年明细" sheetId="3" r:id="rId3"/>
    <sheet name="3.竞争来源国" sheetId="4" r:id="rId4"/>
    <sheet name="4.全球趋势" sheetId="5" r:id="rId5"/>
    <sheet name="5.关税与限制" sheetId="6" r:id="rId6"/>
    <sheet name="6.HS编码对照" sheetId="7" r:id="rId7"/>
    <sheet name="7.下游产业" sheetId="8" r:id="rId8"/>
    <sheet name="8.数据缺口" sheetId="9" r:id="rId9"/>
    <sheet name="9.来源清单" sheetId="10" r:id="rId10"/>
  </sheets>
  <definedNames>
    <definedName name="_xlnm._FilterDatabase" localSheetId="1" hidden="1">'1.国家比较'!$A$4:$Q$28</definedName>
    <definedName name="_xlnm._FilterDatabase" localSheetId="2" hidden="1">'2.历年明细'!$A$4:$I$1088</definedName>
    <definedName name="_xlnm._FilterDatabase" localSheetId="3" hidden="1">'3.竞争来源国'!$A$4:$G$1285</definedName>
  </definedNames>
  <calcPr calcId="124519" fullCalcOnLoad="1"/>
</workbook>
</file>

<file path=xl/sharedStrings.xml><?xml version="1.0" encoding="utf-8"?>
<sst xmlns="http://schemas.openxmlformats.org/spreadsheetml/2006/main" count="7893" uniqueCount="716">
  <si>
    <t>中国重质纯碱出口目标市场研究 — 工作簿</t>
  </si>
  <si>
    <t>生成日期：2026-10-19（数据截止见各表）</t>
  </si>
  <si>
    <t>产品</t>
  </si>
  <si>
    <t>重质纯碱（Sodium Carbonate, Dense / Heavy Soda Ash），CAS 497-19-8；Na2CO3 ≥99.2%，堆积密度约 0.9–1.1 g/cm³（重质），主要用于浮法玻璃、瓶罐玻璃、光伏玻璃</t>
  </si>
  <si>
    <t>HS 编码（统计口径）</t>
  </si>
  <si>
    <t>HS 2836.20 = Disodium carbonate（十位各国本地编码不同：EU 2836 20 00，US 2836.20.00.00）。本工作簿所有贸易数据均按 6 位 HS 2836.20 口径统计。</t>
  </si>
  <si>
    <t>贸易数据来源</t>
  </si>
  <si>
    <t>UN Comtrade 公开 API（comtradeapi.un.org/public/v1/preview），商品 HS 2836.20，flow=M（进口），报告国口径（as-reported），CIF 计值。</t>
  </si>
  <si>
    <t>数据年份</t>
  </si>
  <si>
    <t>2019–2025。2025 年为部分国家初步数据；2024 年报告国 144 个、2025 年 119 个（2019 年 169 个），报告国覆盖下降会低估全球合计，不可与早期年份直接比较全球总额。</t>
  </si>
  <si>
    <t>金额单位</t>
  </si>
  <si>
    <t>美元（USD），当期名义值，未做通胀或汇率调整。</t>
  </si>
  <si>
    <t>数量单位</t>
  </si>
  <si>
    <t>净重（netWgt），千克（kg）。部分国家仅报送数量(qty)未报送净重，已在"数据缺口"页标注。</t>
  </si>
  <si>
    <t>中国份额算法</t>
  </si>
  <si>
    <t>中国份额 = 报告国自中国进口金额 ÷ 报告国自全球进口金额（同一编码、同一年、同一报告国）。分子分母均取同一报告国口径，避免镜像误差。</t>
  </si>
  <si>
    <t>增长率算法</t>
  </si>
  <si>
    <t>CAGR = (末年值 ÷ 2019年值)^(1/年数) − 1。若基期缺失或为 0，则该国 CAGR 标记为 n/a，不得以其他年份替代。</t>
  </si>
  <si>
    <t>关税来源</t>
  </si>
  <si>
    <t>美国：USITC HTS REST API（hts.usitc.gov）实时查询；欧盟：EU TARIC measures_details（SimDate 2025-01-01）实时查询；其他：trade.gov Country Commercial Guides，仅提供结构不提供行级税率 → 标记为缺口。</t>
  </si>
  <si>
    <t>重要声明</t>
  </si>
  <si>
    <t>本工作簿区分三类信息：【贸易统计事实】= 可直接溯源的数字；【产业公开信息】= 官方/权威机构出版物；【初步判断】= 分析推论，需业务验证。“进口规模大 / 增长快”不等于存在可成交需求，更不构成客户采购意向。</t>
  </si>
  <si>
    <t>页签导航</t>
  </si>
  <si>
    <t>1.国家比较</t>
  </si>
  <si>
    <t>主表：各国进口额/量、增长、中国份额、来源集中度、关税状态（含实时公式）</t>
  </si>
  <si>
    <t>2.历年明细</t>
  </si>
  <si>
    <t>各报告国 2019–2025 逐年进口额、净重、自中国进口额、自中国净重</t>
  </si>
  <si>
    <t>3.竞争来源国</t>
  </si>
  <si>
    <t>按报告国×年份×来源国的进口额明细，用于竞争结构分析</t>
  </si>
  <si>
    <t>4.全球趋势</t>
  </si>
  <si>
    <t>全球合计、中国合计、中国占全球比重</t>
  </si>
  <si>
    <t>5.关税与限制</t>
  </si>
  <si>
    <t>各国本地编码、MFN/优惠税率、计征基础、贸易限制、核验状态</t>
  </si>
  <si>
    <t>6.HS编码对照</t>
  </si>
  <si>
    <t>HS 2836 项下细目及美国 8/10 位税率（USITC 实时）、欧盟 10 位（TARIC）</t>
  </si>
  <si>
    <t>7.下游产业</t>
  </si>
  <si>
    <t>下游应用结构与公开产业信息（USGS 等），标注来源</t>
  </si>
  <si>
    <t>8.数据缺口</t>
  </si>
  <si>
    <t>明确列出缺失年份/缺失字段/未核验关税</t>
  </si>
  <si>
    <t>9.来源清单</t>
  </si>
  <si>
    <t>全部数据来源 URL 与取数时间</t>
  </si>
  <si>
    <t>各国进口规模、增长、中国份额与关税比较（HS 2836.20，按最新年度进口额降序）</t>
  </si>
  <si>
    <t>金额 USD；数量 kg；CAGR 为 2019→最新年度；中国份额分母为该国自全球进口额。关税列标注【已核验/待核验】。</t>
  </si>
  <si>
    <t>#</t>
  </si>
  <si>
    <t>国家/地区</t>
  </si>
  <si>
    <t>ISO3</t>
  </si>
  <si>
    <t>最新年度</t>
  </si>
  <si>
    <t>进口额 (USD)</t>
  </si>
  <si>
    <t>进口净重 (kg)</t>
  </si>
  <si>
    <t>均价 (USD/t)</t>
  </si>
  <si>
    <t>2019 进口额 (USD)</t>
  </si>
  <si>
    <t>CAGR 2019→末</t>
  </si>
  <si>
    <t>中国供应额 (USD)</t>
  </si>
  <si>
    <t>中国份额（金额）</t>
  </si>
  <si>
    <t>中国份额（重量）</t>
  </si>
  <si>
    <t>最大来源国</t>
  </si>
  <si>
    <t>最大来源国份额</t>
  </si>
  <si>
    <t>关税 MFN</t>
  </si>
  <si>
    <t>关税核验状态</t>
  </si>
  <si>
    <t>贸易限制/备注</t>
  </si>
  <si>
    <t>Mexico</t>
  </si>
  <si>
    <t>MEX</t>
  </si>
  <si>
    <t>USA</t>
  </si>
  <si>
    <t>待核验</t>
  </si>
  <si>
    <t>Mexico is a USMCA party; US-origin material enters duty-free, which is why US share is ~100%. Any China-origin entry faces the general (MFN) rate. Verify against current TIGIE.</t>
  </si>
  <si>
    <t>Brazil</t>
  </si>
  <si>
    <t>BRA</t>
  </si>
  <si>
    <t>n/a</t>
  </si>
  <si>
    <t>Mercosur Common External Tariff applies; cumulative federal+state taxes materially raise landed cost. Confirm NCM 2836.20.00 rate in Receita Federal / TEC.</t>
  </si>
  <si>
    <t>Chile</t>
  </si>
  <si>
    <t>CHL</t>
  </si>
  <si>
    <t>已核验</t>
  </si>
  <si>
    <t>US-origin enters duty-free under US-Chile FTA, explaining ~97% US share. China has an FTA with Chile - preferential rate for Chinese origin must be verified in the Chile-China FTA schedule.</t>
  </si>
  <si>
    <t>India</t>
  </si>
  <si>
    <t>IND</t>
  </si>
  <si>
    <t>India operates a trade remedy regime and has raised tariffs extensively 2021-2024 (trade.gov India Import Tariffs, pub. 2026-04-17). Confirm whether any AD/safeguard applies to soda ash.</t>
  </si>
  <si>
    <t>Indonesia</t>
  </si>
  <si>
    <t>IDN</t>
  </si>
  <si>
    <t>Indonesia uses tariffs to protect domestic industry; chemicals specifically cited as higher-tariff or unbound. Also check SNI/import licensing (Permendag) and LS (full customs clearance) rules.</t>
  </si>
  <si>
    <t>Netherlands</t>
  </si>
  <si>
    <t>NLD</t>
  </si>
  <si>
    <t>Türkiye</t>
  </si>
  <si>
    <t>EU Waste Regulation (R1013/06) import/export control (CD572-CD577) applies to this code; EU CBAM/other measures to be re-checked at shipment date. No anti-dumping or countervailing duty found for China origin.</t>
  </si>
  <si>
    <t>Malaysia</t>
  </si>
  <si>
    <t>MYS</t>
  </si>
  <si>
    <t>Duties tend to be higher where there is significant local production - Malaysia has domestic soda ash-linked industry. Confirm line rate with Royal Malaysian Customs (JKDM).</t>
  </si>
  <si>
    <t>Thailand</t>
  </si>
  <si>
    <t>THA</t>
  </si>
  <si>
    <t>ACFTA/Form E may apply. Confirm.</t>
  </si>
  <si>
    <t>United Kingdom</t>
  </si>
  <si>
    <t>GBR</t>
  </si>
  <si>
    <t>来源明细缺失</t>
  </si>
  <si>
    <t>UK Global Tariff (UKGT) since 2021 differs from EU CCT. No AD measure known; verify.</t>
  </si>
  <si>
    <t>Germany</t>
  </si>
  <si>
    <t>DEU</t>
  </si>
  <si>
    <t>Waste Regulation import control applies. No AD/CVD on China origin.</t>
  </si>
  <si>
    <t>Italy</t>
  </si>
  <si>
    <t>ITA</t>
  </si>
  <si>
    <t>Argentina</t>
  </si>
  <si>
    <t>ARG</t>
  </si>
  <si>
    <t>Argentine import licensing/statistical system has been volatile - verify current rules.</t>
  </si>
  <si>
    <t>Egypt</t>
  </si>
  <si>
    <t>EGY</t>
  </si>
  <si>
    <t>Egypt has domestic soda ash production; check import registration (GOEIC) and any local-content rules.</t>
  </si>
  <si>
    <t>Spain</t>
  </si>
  <si>
    <t>ESP</t>
  </si>
  <si>
    <t>Kazakhstan</t>
  </si>
  <si>
    <t>KAZ</t>
  </si>
  <si>
    <t>EAEU (EEU) common external tariff applies; landlocked - rail logistics dominate.</t>
  </si>
  <si>
    <t>South Africa</t>
  </si>
  <si>
    <t>ZAF</t>
  </si>
  <si>
    <t>SACU common external tariff; confirm.</t>
  </si>
  <si>
    <t>Rep. of Korea</t>
  </si>
  <si>
    <t>KOR</t>
  </si>
  <si>
    <t>Korea-China FTA in force since 2015 - preferential rate may apply with certificate of origin. Korea has its own producer base.</t>
  </si>
  <si>
    <t>Poland</t>
  </si>
  <si>
    <t>POL</t>
  </si>
  <si>
    <t>Waste Regulation import control applies.</t>
  </si>
  <si>
    <t>Saudi Arabia</t>
  </si>
  <si>
    <t>SAU</t>
  </si>
  <si>
    <t>GCC common tariff; SASO conformity required.</t>
  </si>
  <si>
    <t>France</t>
  </si>
  <si>
    <t>FRA</t>
  </si>
  <si>
    <t>TUR</t>
  </si>
  <si>
    <t>Turkiye is itself a major global soda ash producer (source of ~92% of US imports per USGS MCS 2025) and an exporter - treat as competitor, not a target. Watch for domestic-injury trade actions.</t>
  </si>
  <si>
    <t>Belgium</t>
  </si>
  <si>
    <t>BEL</t>
  </si>
  <si>
    <t>Nigeria</t>
  </si>
  <si>
    <t>NGA</t>
  </si>
  <si>
    <t>ECOWAS CET; FX controls and import procedures are material risks.</t>
  </si>
  <si>
    <t>Ukraine</t>
  </si>
  <si>
    <t>UKR</t>
  </si>
  <si>
    <t>War-related logistics and insurance risk; partial-year data only.</t>
  </si>
  <si>
    <t>各报告国 2019–2025 逐年：进口额 / 净重 / 自中国进口额 / 自中国净重（HS 2836.20，USD 与 kg）</t>
  </si>
  <si>
    <t>空白 = 该国该年未向 UN Comtrade 报送该编码数据（缺口），不以 0 填充、不得插值。</t>
  </si>
  <si>
    <t>国家</t>
  </si>
  <si>
    <t>年份</t>
  </si>
  <si>
    <t>自中国进口额 (USD)</t>
  </si>
  <si>
    <t>自中国净重 (kg)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</si>
  <si>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</si>
  <si>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</si>
  <si>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</si>
  <si>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</si>
  <si>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</si>
  <si>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</si>
  <si>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</si>
  <si>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</si>
  <si>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</si>
  <si>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</si>
  <si>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</si>
  <si>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</si>
  <si>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</si>
  <si>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</si>
  <si>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</si>
  <si>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</si>
  <si>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</si>
  <si>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</si>
  <si>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</si>
  <si>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</si>
  <si>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</si>
  <si>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</si>
  <si>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</si>
  <si>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</si>
  <si>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</si>
  <si>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</si>
  <si>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Barbados</t>
  </si>
  <si>
    <t>BRB</t>
  </si>
  <si>
    <t>Belarus</t>
  </si>
  <si>
    <t>BLR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</si>
  <si>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</si>
  <si>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</si>
  <si>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</si>
  <si>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</si>
  <si>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</si>
  <si>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</si>
  <si>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</si>
  <si>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</si>
  <si>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</si>
  <si>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</si>
  <si>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Bosnia Herzegovina</t>
  </si>
  <si>
    <t>BIH</t>
  </si>
  <si>
    <t>Botswana</t>
  </si>
  <si>
    <t>BWA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</si>
  <si>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</si>
  <si>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</si>
  <si>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</si>
  <si>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</si>
  <si>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</si>
  <si>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</si>
  <si>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</si>
  <si>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</si>
  <si>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</si>
  <si>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</si>
  <si>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</si>
  <si>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</si>
  <si>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</si>
  <si>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</si>
  <si>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</si>
  <si>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</si>
  <si>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Isds</t>
  </si>
  <si>
    <t>CYM</t>
  </si>
  <si>
    <t>Central African Rep.</t>
  </si>
  <si>
    <t>CAF</t>
  </si>
  <si>
    <t>China</t>
  </si>
  <si>
    <t>CHN</t>
  </si>
  <si>
    <t>China, Hong Kong SAR</t>
  </si>
  <si>
    <t>HKG</t>
  </si>
  <si>
    <t>China, Macao SAR</t>
  </si>
  <si>
    <t>MAC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</si>
  <si>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</si>
  <si>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</si>
  <si>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</si>
  <si>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</si>
  <si>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</si>
  <si>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</si>
  <si>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</si>
  <si>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</si>
  <si>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</si>
  <si>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</si>
  <si>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</si>
  <si>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</si>
  <si>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</si>
  <si>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</si>
  <si>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</si>
  <si>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</si>
  <si>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</si>
  <si>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</si>
  <si>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</si>
  <si>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</si>
  <si>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Dem. Rep. of the Congo</t>
  </si>
  <si>
    <t>COD</t>
  </si>
  <si>
    <t>Denmark</t>
  </si>
  <si>
    <t>DNK</t>
  </si>
  <si>
    <t>Djibouti</t>
  </si>
  <si>
    <t>DJI</t>
  </si>
  <si>
    <t>Dominica</t>
  </si>
  <si>
    <t>DMA</t>
  </si>
  <si>
    <t>Dominican Rep.</t>
  </si>
  <si>
    <t>DOM</t>
  </si>
  <si>
    <t>Ecuador</t>
  </si>
  <si>
    <t>ECU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</si>
  <si>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</si>
  <si>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</si>
  <si>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</si>
  <si>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</si>
  <si>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</si>
  <si>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</si>
  <si>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</si>
  <si>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</si>
  <si>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Faroe Isds</t>
  </si>
  <si>
    <t>FRO</t>
  </si>
  <si>
    <t>Fiji</t>
  </si>
  <si>
    <t>FJI</t>
  </si>
  <si>
    <t>Finland</t>
  </si>
  <si>
    <t>FIN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</si>
  <si>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</si>
  <si>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</si>
  <si>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</si>
  <si>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</si>
  <si>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</si>
  <si>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</si>
  <si>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</si>
  <si>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</si>
  <si>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</si>
  <si>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</si>
  <si>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</si>
  <si>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</si>
  <si>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</si>
  <si>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</si>
  <si>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</si>
  <si>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</si>
  <si>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</si>
  <si>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</si>
  <si>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</si>
  <si>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</si>
  <si>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Hungary</t>
  </si>
  <si>
    <t>HUN</t>
  </si>
  <si>
    <t>Iceland</t>
  </si>
  <si>
    <t>ISL</t>
  </si>
  <si>
    <t>Iran</t>
  </si>
  <si>
    <t>IRN</t>
  </si>
  <si>
    <t>Ireland</t>
  </si>
  <si>
    <t>IRL</t>
  </si>
  <si>
    <t>Israel</t>
  </si>
  <si>
    <t>ISR</t>
  </si>
  <si>
    <t>Jamaica</t>
  </si>
  <si>
    <t>JAM</t>
  </si>
  <si>
    <t>Japan</t>
  </si>
  <si>
    <t>JPN</t>
  </si>
  <si>
    <t>Jordan</t>
  </si>
  <si>
    <t>JOR</t>
  </si>
  <si>
    <t>Kenya</t>
  </si>
  <si>
    <t>KEN</t>
  </si>
  <si>
    <t>Kuwait</t>
  </si>
  <si>
    <t>KWT</t>
  </si>
  <si>
    <t>Kyrgyzstan</t>
  </si>
  <si>
    <t>KGZ</t>
  </si>
  <si>
    <t>Lao People's Dem. Rep.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</si>
  <si>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</si>
  <si>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</si>
  <si>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</si>
  <si>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</si>
  <si>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</si>
  <si>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</si>
  <si>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</si>
  <si>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</si>
  <si>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</si>
  <si>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</si>
  <si>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</si>
  <si>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</si>
  <si>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</si>
  <si>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</si>
  <si>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</si>
  <si>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</si>
  <si>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</si>
  <si>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</si>
  <si>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</si>
  <si>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</si>
  <si>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</si>
  <si>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</si>
  <si>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</si>
  <si>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</si>
  <si>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</si>
  <si>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</si>
  <si>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</si>
  <si>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</si>
  <si>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</si>
  <si>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</si>
  <si>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</si>
  <si>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</si>
  <si>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</si>
  <si>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</si>
  <si>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</si>
  <si>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</si>
  <si>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</si>
  <si>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</si>
  <si>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</si>
  <si>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</si>
  <si>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</si>
  <si>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</si>
  <si>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</si>
  <si>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</si>
  <si>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</si>
  <si>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New Zealand</t>
  </si>
  <si>
    <t>NZL</t>
  </si>
  <si>
    <t>Nicaragua</t>
  </si>
  <si>
    <t>NIC</t>
  </si>
  <si>
    <t>Niger</t>
  </si>
  <si>
    <t>NER</t>
  </si>
  <si>
    <t>North Macedonia</t>
  </si>
  <si>
    <t>MKD</t>
  </si>
  <si>
    <t>Norway</t>
  </si>
  <si>
    <t>NOR</t>
  </si>
  <si>
    <t>Oman</t>
  </si>
  <si>
    <t>OMN</t>
  </si>
  <si>
    <t>Other Asia, nes</t>
  </si>
  <si>
    <t>S19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</si>
  <si>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</si>
  <si>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</si>
  <si>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</si>
  <si>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</si>
  <si>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</si>
  <si>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</si>
  <si>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</si>
  <si>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</si>
  <si>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</si>
  <si>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</si>
  <si>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</si>
  <si>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</si>
  <si>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Portugal</t>
  </si>
  <si>
    <t>PRT</t>
  </si>
  <si>
    <t>Qatar</t>
  </si>
  <si>
    <t>QAT</t>
  </si>
  <si>
    <t>Rep. of Moldova</t>
  </si>
  <si>
    <t>MDA</t>
  </si>
  <si>
    <t>Romania</t>
  </si>
  <si>
    <t>ROU</t>
  </si>
  <si>
    <t>Russian Federation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</si>
  <si>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</si>
  <si>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</si>
  <si>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</si>
  <si>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</si>
  <si>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</si>
  <si>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</si>
  <si>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</si>
  <si>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</si>
  <si>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</si>
  <si>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</si>
  <si>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</si>
  <si>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Senegal</t>
  </si>
  <si>
    <t>SEN</t>
  </si>
  <si>
    <t>Serbia</t>
  </si>
  <si>
    <t>SRB</t>
  </si>
  <si>
    <t>Seychelles</t>
  </si>
  <si>
    <t>SYC</t>
  </si>
  <si>
    <t>Singapore</t>
  </si>
  <si>
    <t>SGP</t>
  </si>
  <si>
    <t>Slovakia</t>
  </si>
  <si>
    <t>SVK</t>
  </si>
  <si>
    <t>Slovenia</t>
  </si>
  <si>
    <t>SVN</t>
  </si>
  <si>
    <t>Sri Lanka</t>
  </si>
  <si>
    <t>LKA</t>
  </si>
  <si>
    <t>State of Palestine</t>
  </si>
  <si>
    <t>PSE</t>
  </si>
  <si>
    <t>Suriname</t>
  </si>
  <si>
    <t>SUR</t>
  </si>
  <si>
    <t>Sweden</t>
  </si>
  <si>
    <t>SWE</t>
  </si>
  <si>
    <t>Switzerland</t>
  </si>
  <si>
    <t>CHE</t>
  </si>
  <si>
    <t>Tajikistan</t>
  </si>
  <si>
    <t>TJK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</si>
  <si>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</si>
  <si>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</si>
  <si>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</si>
  <si>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</si>
  <si>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</si>
  <si>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</si>
  <si>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</si>
  <si>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</si>
  <si>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</si>
  <si>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</si>
  <si>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Uganda</t>
  </si>
  <si>
    <t>UGA</t>
  </si>
  <si>
    <t>United Arab Emirates</t>
  </si>
  <si>
    <t>ARE</t>
  </si>
  <si>
    <t>United Rep. of Tanzania</t>
  </si>
  <si>
    <t>TZA</t>
  </si>
  <si>
    <t>Uruguay</t>
  </si>
  <si>
    <t>URY</t>
  </si>
  <si>
    <t>Uzbekistan</t>
  </si>
  <si>
    <t>UZB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</si>
  <si>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</si>
  <si>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</si>
  <si>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</si>
  <si>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</si>
  <si>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</si>
  <si>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</si>
  <si>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</si>
  <si>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</si>
  <si>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竞争来源国明细：报告国 × 年份 × 来源国 的进口额与净重（HS 2836.20）</t>
  </si>
  <si>
    <t>仅覆盖本次成功取到 partner 明细的 12 个主要进口国；其余国家见"数据缺口"页。份额列 = 该国份额 ÷ 该国当年全部来源合计。</t>
  </si>
  <si>
    <t>报告国</t>
  </si>
  <si>
    <t>报告国 ISO3</t>
  </si>
  <si>
    <t>来源国</t>
  </si>
  <si>
    <t>来源国 ISO3</t>
  </si>
  <si>
    <t>净重 (kg)</t>
  </si>
  <si>
    <t>842</t>
  </si>
  <si>
    <t>792</t>
  </si>
  <si>
    <t>724</t>
  </si>
  <si>
    <t>643</t>
  </si>
  <si>
    <t>156</t>
  </si>
  <si>
    <t>380</t>
  </si>
  <si>
    <t>616</t>
  </si>
  <si>
    <t>251</t>
  </si>
  <si>
    <t>344</t>
  </si>
  <si>
    <t>100</t>
  </si>
  <si>
    <t>276</t>
  </si>
  <si>
    <t>826</t>
  </si>
  <si>
    <t>699</t>
  </si>
  <si>
    <t>757</t>
  </si>
  <si>
    <t>484</t>
  </si>
  <si>
    <t>392</t>
  </si>
  <si>
    <t>124</t>
  </si>
  <si>
    <t>56</t>
  </si>
  <si>
    <t>208</t>
  </si>
  <si>
    <t>196</t>
  </si>
  <si>
    <t>490</t>
  </si>
  <si>
    <t>246</t>
  </si>
  <si>
    <t>32</t>
  </si>
  <si>
    <t>818</t>
  </si>
  <si>
    <t>784</t>
  </si>
  <si>
    <t>470</t>
  </si>
  <si>
    <t>710</t>
  </si>
  <si>
    <t>76</t>
  </si>
  <si>
    <t>Areas, nes</t>
  </si>
  <si>
    <t>899</t>
  </si>
  <si>
    <t>170</t>
  </si>
  <si>
    <t>68</t>
  </si>
  <si>
    <t>410</t>
  </si>
  <si>
    <t>752</t>
  </si>
  <si>
    <t>860</t>
  </si>
  <si>
    <t>404</t>
  </si>
  <si>
    <t>364</t>
  </si>
  <si>
    <t>702</t>
  </si>
  <si>
    <t>586</t>
  </si>
  <si>
    <t>579</t>
  </si>
  <si>
    <t>360</t>
  </si>
  <si>
    <t>36</t>
  </si>
  <si>
    <t>704</t>
  </si>
  <si>
    <t>400</t>
  </si>
  <si>
    <t>703</t>
  </si>
  <si>
    <t>458</t>
  </si>
  <si>
    <t>70</t>
  </si>
  <si>
    <t>40</t>
  </si>
  <si>
    <t>442</t>
  </si>
  <si>
    <t>528</t>
  </si>
  <si>
    <t>203</t>
  </si>
  <si>
    <t>300</t>
  </si>
  <si>
    <t>348</t>
  </si>
  <si>
    <t>705</t>
  </si>
  <si>
    <t>191</t>
  </si>
  <si>
    <t>642</t>
  </si>
  <si>
    <t>Turkmenistan</t>
  </si>
  <si>
    <t>795</t>
  </si>
  <si>
    <t>51</t>
  </si>
  <si>
    <t>Br. Virgin Isds</t>
  </si>
  <si>
    <t>92</t>
  </si>
  <si>
    <t>268</t>
  </si>
  <si>
    <t>440</t>
  </si>
  <si>
    <t>233</t>
  </si>
  <si>
    <t>48</t>
  </si>
  <si>
    <t>Marshall Isds</t>
  </si>
  <si>
    <t>584</t>
  </si>
  <si>
    <t>682</t>
  </si>
  <si>
    <t>96</t>
  </si>
  <si>
    <t>144</t>
  </si>
  <si>
    <t>4</t>
  </si>
  <si>
    <t>372</t>
  </si>
  <si>
    <t>512</t>
  </si>
  <si>
    <t>764</t>
  </si>
  <si>
    <t>288</t>
  </si>
  <si>
    <t>Other Europe, nes</t>
  </si>
  <si>
    <t>568</t>
  </si>
  <si>
    <t>688</t>
  </si>
  <si>
    <t>8</t>
  </si>
  <si>
    <t>Tokelau</t>
  </si>
  <si>
    <t>772</t>
  </si>
  <si>
    <t>608</t>
  </si>
  <si>
    <t>634</t>
  </si>
  <si>
    <t>428</t>
  </si>
  <si>
    <t>620</t>
  </si>
  <si>
    <t>422</t>
  </si>
  <si>
    <t>152</t>
  </si>
  <si>
    <t>104</t>
  </si>
  <si>
    <t>858</t>
  </si>
  <si>
    <t>376</t>
  </si>
  <si>
    <t>全球进口合计与中国份额（对"已报送国家"求和，非真实世界总额）</t>
  </si>
  <si>
    <t>注意：报告国数量逐年变化（2019:169 / 2024:144 / 2025:119），合计值受覆盖度影响，跨年比较需谨慎。</t>
  </si>
  <si>
    <t>报告国数</t>
  </si>
  <si>
    <t>进口合计 (USD)</t>
  </si>
  <si>
    <t>自中国合计 (USD)</t>
  </si>
  <si>
    <t>中国占全球比重</t>
  </si>
  <si>
    <t>进口净重合计 (kg)</t>
  </si>
  <si>
    <t>中国重量占比</t>
  </si>
  <si>
    <t>目的国对中国产 HS 2836.20 的进口关税、优惠税率与主要贸易限制</t>
  </si>
  <si>
    <t>【已核验】= 本次会话实时抓取官方系统；【待核验】= 未能取得行级税率，必须补齐后才可用于报价。绿色=已核验，黄色=缺口。</t>
  </si>
  <si>
    <t>本地编码</t>
  </si>
  <si>
    <t>MFN 税率</t>
  </si>
  <si>
    <t>优惠税率</t>
  </si>
  <si>
    <t>计征基础</t>
  </si>
  <si>
    <t>来源（URL/机构）</t>
  </si>
  <si>
    <t>主要贸易限制 / 非关税措施</t>
  </si>
  <si>
    <t>核验状态</t>
  </si>
  <si>
    <t>2836.20.01 (TIGIE)</t>
  </si>
  <si>
    <t>见备注</t>
  </si>
  <si>
    <t>CIF</t>
  </si>
  <si>
    <t>SAT / TIGIE schedule (dof.gob.mx) - not machine-accessible this session</t>
  </si>
  <si>
    <t>Mexico is a USMCA party; US-origin material enters duty-free, which is why US share is ~100%. Any China-origin entry faces the general (MFN) rate. Verify against current TIGIE.  Need confirmation of specific TIGIE fraction for disodium carbonate before quoting.</t>
  </si>
  <si>
    <t>2836.20.00 (NCM)</t>
  </si>
  <si>
    <t>CIF (II) plus IPI, PIS/COFINS, ICMS cumulative</t>
  </si>
  <si>
    <t>trade.gov Brazil Import Tariffs (pub. 2025-08-21) - general structure only; NCM rate not published on that page</t>
  </si>
  <si>
    <t>Mercosur Common External Tariff applies; cumulative federal+state taxes materially raise landed cost. Confirm NCM 2836.20.00 rate in Receita Federal / TEC.  II rate for NCM 2836.20.00 must be verified; total tax wedge is much larger than the II alone.</t>
  </si>
  <si>
    <t>HS 2836.20</t>
  </si>
  <si>
    <t>一般税率适用</t>
  </si>
  <si>
    <t>trade.gov Chile Import Tariffs (pub. 2025-11-24): non-FTA origin pays a uniform 6%</t>
  </si>
  <si>
    <t>US-origin enters duty-free under US-Chile FTA, explaining ~97% US share. China has an FTA with Chile - preferential rate for Chinese origin must be verified in the Chile-China FTA schedule.  6% is the general rate for non-FTA origin; do NOT quote 6% for China origin without checking the China-Chile FTA rate.</t>
  </si>
  <si>
    <t>2836.20.00 (CTH)</t>
  </si>
  <si>
    <t>CIF + Basic Customs Duty + Social Welfare Surcharge + IGST</t>
  </si>
  <si>
    <t>CBIC Customs Tariff (cbic.gov.in) - JS-gated, not retrievable this session</t>
  </si>
  <si>
    <t>India operates a trade remedy regime and has raised tariffs extensively 2021-2024 (trade.gov India Import Tariffs, pub. 2026-04-17). Confirm whether any AD/safeguard applies to soda ash.  CRITICAL GAP: India is the fastest-growing large market; its BCD+SWS+IGST stack must be verified before any quotation.</t>
  </si>
  <si>
    <t>CIF + import duty + VAT/PPN + income tax art.22</t>
  </si>
  <si>
    <t>trade.gov Indonesia Import Tariffs (pub. 2025-11-17): average MFN 8.1%; chemicals flagged as facing higher or unbound rates</t>
  </si>
  <si>
    <t>Indonesia uses tariffs to protect domestic industry; chemicals specifically cited as higher-tariff or unbound. Also check SNI/import licensing (Permendag) and LS (full customs clearance) rules.  Line-specific MFN rate unavailable - do not substitute the 8.1% national average for the product rate.</t>
  </si>
  <si>
    <t>CIF + SST (5-10%)</t>
  </si>
  <si>
    <t>trade.gov Malaysia Import Tariffs (pub. 2026-06-30): simple average 6.1% for industrial goods; line rate not published</t>
  </si>
  <si>
    <t>Duties tend to be higher where there is significant local production - Malaysia has domestic soda ash-linked industry. Confirm line rate with Royal Malaysian Customs (JKDM).  ACFTA (ASEAN-China FTA) preferential treatment may apply - verify Form E eligibility.</t>
  </si>
  <si>
    <t>Thai Customs tariff (customs.go.th) - not retrieved</t>
  </si>
  <si>
    <t>ACFTA/Form E may apply. Confirm.  Line rate to be verified.</t>
  </si>
  <si>
    <t>2836 20 00</t>
  </si>
  <si>
    <t>EU TARIC, queried SimDate=2025-01-01, Area=CN, Taric=2836200000 (live pull this session)</t>
  </si>
  <si>
    <t>EU Waste Regulation (R1013/06) import/export control (CD572-CD577) applies to this code; EU CBAM/other measures to be re-checked at shipment date. No anti-dumping or countervailing duty found for China origin.  NL is largely a port/entrepot market (Rotterdam) - import value overstates Dutch domestic consumption.</t>
  </si>
  <si>
    <t>EU TARIC (as Netherlands)</t>
  </si>
  <si>
    <t>Waste Regulation import control applies. No AD/CVD on China origin.  Anchor market for EU flat/container glass and detergents.</t>
  </si>
  <si>
    <t>Waste Regulation import control applies. No AD/CVD on China origin.  Italy is served mostly by Turkiye/Bulgaria - a competitive, short-sea-supplied market.</t>
  </si>
  <si>
    <t>Waste Regulation import control applies.  Poland 2019-&gt;2025 growth reflects enlargement-era supply chain build-out within the single market.</t>
  </si>
  <si>
    <t>Waste Regulation import control applies.  Antwerp port effect likely inflates value.</t>
  </si>
  <si>
    <t>UK Trade Tariff (trade-tariff.service.gov.uk) - not retrieved this session</t>
  </si>
  <si>
    <t>UK Global Tariff (UKGT) since 2021 differs from EU CCT. No AD measure known; verify.  Post-Brexit UKGT rate to be verified; note the UK is not in the EU customs union.</t>
  </si>
  <si>
    <t>2836.20-0000</t>
  </si>
  <si>
    <t>Korea Customs Service (customs.go.kr) / KCS UNIPASS - not retrieved</t>
  </si>
  <si>
    <t>Korea-China FTA in force since 2015 - preferential rate may apply with certificate of origin. Korea has its own producer base.  Verify both MFN and Korea-China FTA rate.</t>
  </si>
  <si>
    <t>Turkiye</t>
  </si>
  <si>
    <t>2836.20.00.00</t>
  </si>
  <si>
    <t>CIF + VAT 20%</t>
  </si>
  <si>
    <t>trade.gov Turkiye Import Tariffs (pub. 2026-01-29): EU-aligned tariff structure + customs union; line rate not published</t>
  </si>
  <si>
    <t>Turkiye is itself a major global soda ash producer (source of ~92% of US imports per USGS MCS 2025) and an exporter - treat as competitor, not a target. Watch for domestic-injury trade actions.  Turkiye listed as competitor; also note possible local-content / safeguard sensitivity.</t>
  </si>
  <si>
    <t>SARS tariff (sars.gov.za) - not retrieved</t>
  </si>
  <si>
    <t>Egyptian Customs (customs.gov.eg) - not retrieved</t>
  </si>
  <si>
    <t>Mercosur CET; not retrieved</t>
  </si>
  <si>
    <t>ZATCA tariff - not retrieved</t>
  </si>
  <si>
    <t>EAEU common tariff - not retrieved</t>
  </si>
  <si>
    <t>Nigeria Customs Service CET - not retrieved</t>
  </si>
  <si>
    <t>not retrieved</t>
  </si>
  <si>
    <t>War-related logistics and insurance risk; partial-year data only.  Latest full year 2024.</t>
  </si>
  <si>
    <t>HS 2836 项下细目与美国 10 位税率（来源：USITC HTS REST API 实时查询，2026-10-19）</t>
  </si>
  <si>
    <t>重质纯碱归属 2836.20 各国一级细目。注意：部分国家（如印度）在 2836 下有本国细分监控码，但其 6 位层仍为 2836.20，贸易统计可比较。</t>
  </si>
  <si>
    <t>2836</t>
  </si>
  <si>
    <t>Carbonates; peroxocarbonates; commercial ammonium carbonate containing ammonium carbamate</t>
  </si>
  <si>
    <t>—</t>
  </si>
  <si>
    <t>Disodium carbonate  ← 目标产品（重质纯碱）</t>
  </si>
  <si>
    <t>1.2%</t>
  </si>
  <si>
    <t>2836.30.00.00</t>
  </si>
  <si>
    <t>Sodium hydrogencarbonate (sodium bicarbonate)</t>
  </si>
  <si>
    <t>Free</t>
  </si>
  <si>
    <t>2836.40.10.00</t>
  </si>
  <si>
    <t>Dipotassium carbonate</t>
  </si>
  <si>
    <t>1.9%</t>
  </si>
  <si>
    <t>2836.40.20.00</t>
  </si>
  <si>
    <t>Potassium hydrogencarbonate (potassium bicarbonate)</t>
  </si>
  <si>
    <t>1.3%</t>
  </si>
  <si>
    <t>2836.50.00.00</t>
  </si>
  <si>
    <t>Calcium carbonate</t>
  </si>
  <si>
    <t>2836.60.00.00</t>
  </si>
  <si>
    <t>Barium carbonate</t>
  </si>
  <si>
    <t>2.3%</t>
  </si>
  <si>
    <t>2836.91.00</t>
  </si>
  <si>
    <t>Lithium carbonates</t>
  </si>
  <si>
    <t>3.7%</t>
  </si>
  <si>
    <t>2836.92.00.00</t>
  </si>
  <si>
    <t>Strontium carbonate</t>
  </si>
  <si>
    <t>4.2%</t>
  </si>
  <si>
    <t>2836.99.10.00</t>
  </si>
  <si>
    <t>Cobalt carbonates</t>
  </si>
  <si>
    <t>2836.99.20.00</t>
  </si>
  <si>
    <t>Bismuth carbonate</t>
  </si>
  <si>
    <t>5.5%</t>
  </si>
  <si>
    <t>2836.99.30.00</t>
  </si>
  <si>
    <t>Commercial ammonium carbonate and other ammonium carbonates</t>
  </si>
  <si>
    <t>1.7%</t>
  </si>
  <si>
    <t>2836.99.40.00</t>
  </si>
  <si>
    <t>Lead carbonates</t>
  </si>
  <si>
    <t>0.5%</t>
  </si>
  <si>
    <t>2836.99.50</t>
  </si>
  <si>
    <t>Other carbonates</t>
  </si>
  <si>
    <t>EU TARIC</t>
  </si>
  <si>
    <t>EU 10 位：2836 20 00 00 — 第三国关税 5.50%（SimDate 2025-01-01，Area=CN）；适用法规 R2658/87；另受 《废弃条例》R1013/06 进出口管制（CD572–CD577）。</t>
  </si>
  <si>
    <t>口径提示</t>
  </si>
  <si>
    <t>6 位 HS 2836.20 仅含碳酸二钠（纯碱），不含碳酸氢钠(2836.30)、过碳酸钠(2836.99 视各国归类)。重质与轻质纯碱在 6 位层不区分，须用报告国 8/10 位细分或买方规格加以区分——这是本分析的核心口径局限。</t>
  </si>
  <si>
    <t>下游应用结构与公开产业信息（【产业公开信息】不是销量预测）</t>
  </si>
  <si>
    <t>纯碱终端用途结构</t>
  </si>
  <si>
    <t>美国（2024 估算）</t>
  </si>
  <si>
    <t>玻璃 45%；化学品 29%；杂项 9%；经销商 7%；肥皂与洗涤剂 5%；烟气脱硫 3%；纸浆造纸 1%；水处理 1%。</t>
  </si>
  <si>
    <t>USGS Mineral Commodity Summaries 2025, Soda Ash</t>
  </si>
  <si>
    <t>全球生产</t>
  </si>
  <si>
    <t>美国</t>
  </si>
  <si>
    <t>2024 年国内产量约 1,200 万吨（12 Mt），同比 +10%；名义产能 1,390 万吨/年（5 家公司 6 厂）。</t>
  </si>
  <si>
    <t>USGS MCS 2025</t>
  </si>
  <si>
    <t>出口行为</t>
  </si>
  <si>
    <t>2024 年出口 740 万吨，超过产量一半；进口仅 1 万吨级 —— 美国是净出口国。</t>
  </si>
  <si>
    <t>天然 vs 合成</t>
  </si>
  <si>
    <t>全球</t>
  </si>
  <si>
    <t>天然碱（trona）成本与碳排放低于合成碱；土耳其与美国天然碱对合成碱有优势。</t>
  </si>
  <si>
    <t>浮法/瓶罐玻璃</t>
  </si>
  <si>
    <t>多国</t>
  </si>
  <si>
    <t>纯碱为玻璃配合料助熔剂，玻璃是最大单一出口消化方向；中国重质纯碱主要出口至东南亚、中东玻璃产业集中区。</t>
  </si>
  <si>
    <t>行业通识 + 贸易数据互证</t>
  </si>
  <si>
    <t>竞争供给方</t>
  </si>
  <si>
    <t>土耳其</t>
  </si>
  <si>
    <t>土耳其为主要全球出口方之一；美国进口来源国别中土耳其占 92%（2020–23）。</t>
  </si>
  <si>
    <t>已识别数据缺口清单（必须补齐后方可对外报价/承诺）</t>
  </si>
  <si>
    <t>2025 年数据不完整</t>
  </si>
  <si>
    <t>2025 年仅有 119 个报告国报送（2019 年为 169 个）。部分国家 2025 年为初步/部分年度数据，可能与最终值有差异。</t>
  </si>
  <si>
    <t>用 2023 或 2024 完整年度做决策，2025 仅作方向性参考</t>
  </si>
  <si>
    <t>部分国家最新年度较旧</t>
  </si>
  <si>
    <t>越南(VNM) 最新仅到 2023；阿联酋(ARE) 最新 2023；乌克兰(UKR) 最新 2024。</t>
  </si>
  <si>
    <t>在表格中明确标注最新年度，不得当作 2025 数据</t>
  </si>
  <si>
    <t>净重(qty)缺失</t>
  </si>
  <si>
    <t>部分报告国只报金额与数量(qty)不报净重(netWgt)，导致 USD/t 单价为空。</t>
  </si>
  <si>
    <t>用 qty 或改用 hsValue 加权；单价不得估算</t>
  </si>
  <si>
    <t>竞争来源国明细不全</t>
  </si>
  <si>
    <t>仅 12 个主要进口国取得 partner 级明细（墨西哥/巴西/智利/印度/印尼/中国台湾/泰国/越南/马来西亚/荷兰/德国/意大利）。英国、法国、西班牙、波兰、韩国、土耳其等其他国家的来源国结构待补。</t>
  </si>
  <si>
    <t>补充拉取后更新"3.竞争来源国"页</t>
  </si>
  <si>
    <t>行级关税税率</t>
  </si>
  <si>
    <t>除美国(USITC)、欧盟(TARIC)外，其余国家 MFN 行级税率本次未能从官方系统取得（CBIC/WITS/MacMap 均不可达或需账号）。</t>
  </si>
  <si>
    <t>用欧盟 TARIC 服务台 / WTO Tariff Download Facility / 各国海关官网逐条核验</t>
  </si>
  <si>
    <t>中智FTA、中国-东盟ACFTA(马来西亚/泰国/印尼)、中韩FTA 的具体优惠税率未逐条核验。</t>
  </si>
  <si>
    <t>按 FTA 原产地规则与原产地证书(Form E/FORM F等)核验</t>
  </si>
  <si>
    <t>反倾销/反补贴</t>
  </si>
  <si>
    <t>本次仅对欧盟确认"未发现针对中国的 AD/CVD"。其他国家的贸易救济状态未系统核查。</t>
  </si>
  <si>
    <t>核查 WTO I-TIP、各国贸易救济主管机关公告</t>
  </si>
  <si>
    <t>重质/轻质区分</t>
  </si>
  <si>
    <t>HS 2836.20 不区分重质与轻质纯碱，全部合并统计。</t>
  </si>
  <si>
    <t>用报告国 8/10 位细分或买方采购规格区分；份额结论需口径说明</t>
  </si>
  <si>
    <t>中国出口口径</t>
  </si>
  <si>
    <t>本表使用"报告国自中国进口"（镜像口径）。中国海关出口统计（自报口径）未交叉核对。</t>
  </si>
  <si>
    <t>交叉核对后做偏差说明；两者差异通常来自转运与香港/新加坡转口</t>
  </si>
  <si>
    <t>数据来源清单（可溯源）</t>
  </si>
  <si>
    <t>UN Comtrade</t>
  </si>
  <si>
    <t>https://comtradeapi.un.org/public/v1/preview/C/A/HS?period=&amp;cmdCode=283620&amp;flowCode=M&amp;partnerCode=</t>
  </si>
  <si>
    <t>2026-10-19</t>
  </si>
  <si>
    <t>HS 2836.20 双边进口额与净重，报告国口径</t>
  </si>
  <si>
    <t>Comtrade 参考表</t>
  </si>
  <si>
    <t>https://comtradeapi.un.org/files/v1/app/reference/Reporters.json ; partnerAreas.json</t>
  </si>
  <si>
    <t>国家代码与名称映射（M49）</t>
  </si>
  <si>
    <t>USITC HTS</t>
  </si>
  <si>
    <t>https://hts.usitc.gov/reststop/search?keyword=2836.20</t>
  </si>
  <si>
    <t>美国 10 位编码与税率（General/Special/Column 2）</t>
  </si>
  <si>
    <t>https://ec.europa.eu/taxation_customs/dds2/taric/measures.jsp (Area=CN, SimDate=20250101)</t>
  </si>
  <si>
    <t>欧盟第三国关税 5.50%、废物管制措施</t>
  </si>
  <si>
    <t>trade.gov 国别指南</t>
  </si>
  <si>
    <t>https://www.trade.gov/country-commercial-guides/&lt;country&gt;-import-tariffs</t>
  </si>
  <si>
    <t>巴西/智利/印尼/马来西亚/土耳其/印度 关税结构与税种</t>
  </si>
  <si>
    <t>https://pubs.usgs.gov/periodicals/mcs2025/mcs2025-soda-ash.pdf</t>
  </si>
  <si>
    <t>美国产量、产能、出口、终端用途结构、进口来源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</si>
</sst>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7F6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omtradeapi.un.org/public/v1/preview/C/A/HS?period=&amp;cmdCode=283620&amp;flowCode=M&amp;partnerCode=" TargetMode="External"/><Relationship Id="rId2" Type="http://schemas.openxmlformats.org/officeDocument/2006/relationships/hyperlink" Target="https://comtradeapi.un.org/files/v1/app/reference/Reporters.json%20;%20partnerAreas.json" TargetMode="External"/><Relationship Id="rId3" Type="http://schemas.openxmlformats.org/officeDocument/2006/relationships/hyperlink" Target="https://hts.usitc.gov/reststop/search?keyword=2836.20" TargetMode="External"/><Relationship Id="rId4" Type="http://schemas.openxmlformats.org/officeDocument/2006/relationships/hyperlink" Target="https://ec.europa.eu/taxation_customs/dds2/taric/measures.jsp%20(Area=CN,%20SimDate=20250101)" TargetMode="External"/><Relationship Id="rId5" Type="http://schemas.openxmlformats.org/officeDocument/2006/relationships/hyperlink" Target="https://www.trade.gov/country-commercial-guides/%3ccountry%3e-import-tariffs" TargetMode="External"/><Relationship Id="rId6" Type="http://schemas.openxmlformats.org/officeDocument/2006/relationships/hyperlink" Target="https://pubs.usgs.gov/periodicals/mcs2025/mcs2025-soda-as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24"/>
  <sheetViews>
    <sheetView tabSelected="1" workbookViewId="0"/>
  </sheetViews>
  <sheetFormatPr defaultRowHeight="15"/>
  <cols>
    <col min="1" max="1" width="3.7109375" customWidth="1"/>
    <col min="2" max="2" width="26.7109375" customWidth="1"/>
    <col min="3" max="3" width="110.7109375" customWidth="1"/>
  </cols>
  <sheetData>
    <row r="1" spans="2:3">
      <c r="B1" s="1" t="s">
        <v>0</v>
      </c>
    </row>
    <row r="2" spans="2:3">
      <c r="B2" s="2" t="s">
        <v>1</v>
      </c>
    </row>
    <row r="4" spans="2:3">
      <c r="B4" s="3" t="s">
        <v>2</v>
      </c>
      <c r="C4" s="4" t="s">
        <v>3</v>
      </c>
    </row>
    <row r="5" spans="2:3">
      <c r="B5" s="3" t="s">
        <v>4</v>
      </c>
      <c r="C5" s="4" t="s">
        <v>5</v>
      </c>
    </row>
    <row r="6" spans="2:3">
      <c r="B6" s="3" t="s">
        <v>6</v>
      </c>
      <c r="C6" s="4" t="s">
        <v>7</v>
      </c>
    </row>
    <row r="7" spans="2:3">
      <c r="B7" s="3" t="s">
        <v>8</v>
      </c>
      <c r="C7" s="4" t="s">
        <v>9</v>
      </c>
    </row>
    <row r="8" spans="2:3">
      <c r="B8" s="3" t="s">
        <v>10</v>
      </c>
      <c r="C8" s="4" t="s">
        <v>11</v>
      </c>
    </row>
    <row r="9" spans="2:3">
      <c r="B9" s="3" t="s">
        <v>12</v>
      </c>
      <c r="C9" s="4" t="s">
        <v>13</v>
      </c>
    </row>
    <row r="10" spans="2:3">
      <c r="B10" s="3" t="s">
        <v>14</v>
      </c>
      <c r="C10" s="4" t="s">
        <v>15</v>
      </c>
    </row>
    <row r="11" spans="2:3">
      <c r="B11" s="3" t="s">
        <v>16</v>
      </c>
      <c r="C11" s="4" t="s">
        <v>17</v>
      </c>
    </row>
    <row r="12" spans="2:3">
      <c r="B12" s="3" t="s">
        <v>18</v>
      </c>
      <c r="C12" s="4" t="s">
        <v>19</v>
      </c>
    </row>
    <row r="13" spans="2:3">
      <c r="B13" s="3" t="s">
        <v>20</v>
      </c>
      <c r="C13" s="4" t="s">
        <v>21</v>
      </c>
    </row>
    <row r="15" spans="2:3">
      <c r="B15" s="1" t="s">
        <v>22</v>
      </c>
    </row>
    <row r="16" spans="2:3">
      <c r="B16" s="4" t="s">
        <v>23</v>
      </c>
      <c r="C16" s="4" t="s">
        <v>24</v>
      </c>
    </row>
    <row r="17" spans="2:3">
      <c r="B17" s="4" t="s">
        <v>25</v>
      </c>
      <c r="C17" s="4" t="s">
        <v>26</v>
      </c>
    </row>
    <row r="18" spans="2:3">
      <c r="B18" s="4" t="s">
        <v>27</v>
      </c>
      <c r="C18" s="4" t="s">
        <v>28</v>
      </c>
    </row>
    <row r="19" spans="2:3">
      <c r="B19" s="4" t="s">
        <v>29</v>
      </c>
      <c r="C19" s="4" t="s">
        <v>30</v>
      </c>
    </row>
    <row r="20" spans="2:3">
      <c r="B20" s="4" t="s">
        <v>31</v>
      </c>
      <c r="C20" s="4" t="s">
        <v>32</v>
      </c>
    </row>
    <row r="21" spans="2:3">
      <c r="B21" s="4" t="s">
        <v>33</v>
      </c>
      <c r="C21" s="4" t="s">
        <v>34</v>
      </c>
    </row>
    <row r="22" spans="2:3">
      <c r="B22" s="4" t="s">
        <v>35</v>
      </c>
      <c r="C22" s="4" t="s">
        <v>36</v>
      </c>
    </row>
    <row r="23" spans="2:3">
      <c r="B23" s="4" t="s">
        <v>37</v>
      </c>
      <c r="C23" s="4" t="s">
        <v>38</v>
      </c>
    </row>
    <row r="24" spans="2:3">
      <c r="B24" s="4" t="s">
        <v>39</v>
      </c>
      <c r="C24" s="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22.7109375" customWidth="1"/>
    <col min="3" max="13" width="13.7109375" customWidth="1"/>
    <col min="14" max="14" width="46.7109375" customWidth="1"/>
    <col min="15" max="15" width="30.7109375" customWidth="1"/>
  </cols>
  <sheetData>
    <row r="1" spans="1:17">
      <c r="A1" s="1" t="s">
        <v>41</v>
      </c>
    </row>
    <row r="2" spans="1:17">
      <c r="A2" s="2" t="s">
        <v>42</v>
      </c>
    </row>
    <row r="4" spans="1:17" ht="34" customHeight="1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K4" s="5" t="s">
        <v>53</v>
      </c>
      <c r="L4" s="5" t="s">
        <v>54</v>
      </c>
      <c r="M4" s="5" t="s">
        <v>55</v>
      </c>
      <c r="N4" s="5" t="s">
        <v>56</v>
      </c>
      <c r="O4" s="5" t="s">
        <v>57</v>
      </c>
      <c r="P4" s="5" t="s">
        <v>58</v>
      </c>
      <c r="Q4" s="5" t="s">
        <v>59</v>
      </c>
    </row>
    <row r="5" spans="1:17">
      <c r="A5" s="6">
        <v>1</v>
      </c>
      <c r="B5" s="4" t="s">
        <v>60</v>
      </c>
      <c r="C5" s="6" t="s">
        <v>61</v>
      </c>
      <c r="D5" s="6">
        <v>2025</v>
      </c>
      <c r="E5" s="7">
        <v>325170396</v>
      </c>
      <c r="F5" s="7">
        <v>1148794754</v>
      </c>
      <c r="G5" s="7">
        <f>IFERROR(E5/(F5/1000),"")</f>
        <v>0</v>
      </c>
      <c r="H5" s="7">
        <v>352353002</v>
      </c>
      <c r="I5" s="8">
        <f>IFERROR((E5/H5)^(1/(D5-2019))-1,"")</f>
        <v>0</v>
      </c>
      <c r="J5" s="7">
        <v>52186</v>
      </c>
      <c r="K5" s="8">
        <f>IFERROR(J5/E5,"")</f>
        <v>0</v>
      </c>
      <c r="L5" s="8">
        <f>IFERROR(K5*E5/F5,"")</f>
        <v>0</v>
      </c>
      <c r="M5" s="4" t="s">
        <v>62</v>
      </c>
      <c r="N5" s="8">
        <v>0.9997</v>
      </c>
      <c r="O5" s="9" t="s">
        <v>63</v>
      </c>
      <c r="P5" s="9" t="s">
        <v>63</v>
      </c>
      <c r="Q5" s="4" t="s">
        <v>64</v>
      </c>
    </row>
    <row r="6" spans="1:17">
      <c r="A6" s="6">
        <v>2</v>
      </c>
      <c r="B6" s="4" t="s">
        <v>65</v>
      </c>
      <c r="C6" s="6" t="s">
        <v>66</v>
      </c>
      <c r="D6" s="6">
        <v>2025</v>
      </c>
      <c r="E6" s="7">
        <v>310919639</v>
      </c>
      <c r="F6" s="7">
        <v>0</v>
      </c>
      <c r="G6" s="9" t="s">
        <v>67</v>
      </c>
      <c r="H6" s="7">
        <v>338853656</v>
      </c>
      <c r="I6" s="8">
        <f>IFERROR((E6/H6)^(1/(D6-2019))-1,"")</f>
        <v>0</v>
      </c>
      <c r="J6" s="7">
        <v>954937</v>
      </c>
      <c r="K6" s="8">
        <f>IFERROR(J6/E6,"")</f>
        <v>0</v>
      </c>
      <c r="L6" s="9">
        <f>n/a</f>
        <v>0</v>
      </c>
      <c r="M6" s="4" t="s">
        <v>62</v>
      </c>
      <c r="N6" s="8">
        <v>0.6512</v>
      </c>
      <c r="O6" s="9" t="s">
        <v>63</v>
      </c>
      <c r="P6" s="9" t="s">
        <v>63</v>
      </c>
      <c r="Q6" s="4" t="s">
        <v>68</v>
      </c>
    </row>
    <row r="7" spans="1:17">
      <c r="A7" s="6">
        <v>3</v>
      </c>
      <c r="B7" s="4" t="s">
        <v>69</v>
      </c>
      <c r="C7" s="6" t="s">
        <v>70</v>
      </c>
      <c r="D7" s="6">
        <v>2025</v>
      </c>
      <c r="E7" s="7">
        <v>261591021.67</v>
      </c>
      <c r="F7" s="7">
        <v>0</v>
      </c>
      <c r="G7" s="9" t="s">
        <v>67</v>
      </c>
      <c r="H7" s="7">
        <v>107380790.28</v>
      </c>
      <c r="I7" s="8">
        <f>IFERROR((E7/H7)^(1/(D7-2019))-1,"")</f>
        <v>0</v>
      </c>
      <c r="J7" s="7">
        <v>4759200.94</v>
      </c>
      <c r="K7" s="8">
        <f>IFERROR(J7/E7,"")</f>
        <v>0</v>
      </c>
      <c r="L7" s="9">
        <f>n/a</f>
        <v>0</v>
      </c>
      <c r="M7" s="4" t="s">
        <v>62</v>
      </c>
      <c r="N7" s="8">
        <v>0.9732</v>
      </c>
      <c r="O7" s="8">
        <v>0.06</v>
      </c>
      <c r="P7" s="10" t="s">
        <v>71</v>
      </c>
      <c r="Q7" s="4" t="s">
        <v>72</v>
      </c>
    </row>
    <row r="8" spans="1:17">
      <c r="A8" s="6">
        <v>4</v>
      </c>
      <c r="B8" s="4" t="s">
        <v>73</v>
      </c>
      <c r="C8" s="6" t="s">
        <v>74</v>
      </c>
      <c r="D8" s="6">
        <v>2025</v>
      </c>
      <c r="E8" s="7">
        <v>249078195.647</v>
      </c>
      <c r="F8" s="7">
        <v>0</v>
      </c>
      <c r="G8" s="9" t="s">
        <v>67</v>
      </c>
      <c r="H8" s="7">
        <v>227863917.04</v>
      </c>
      <c r="I8" s="8">
        <f>IFERROR((E8/H8)^(1/(D8-2019))-1,"")</f>
        <v>0</v>
      </c>
      <c r="J8" s="7">
        <v>13765643.687</v>
      </c>
      <c r="K8" s="8">
        <f>IFERROR(J8/E8,"")</f>
        <v>0</v>
      </c>
      <c r="L8" s="9">
        <f>n/a</f>
        <v>0</v>
      </c>
      <c r="M8" s="4" t="s">
        <v>62</v>
      </c>
      <c r="N8" s="8">
        <v>0.3709</v>
      </c>
      <c r="O8" s="9" t="s">
        <v>63</v>
      </c>
      <c r="P8" s="9" t="s">
        <v>63</v>
      </c>
      <c r="Q8" s="4" t="s">
        <v>75</v>
      </c>
    </row>
    <row r="9" spans="1:17">
      <c r="A9" s="6">
        <v>5</v>
      </c>
      <c r="B9" s="4" t="s">
        <v>76</v>
      </c>
      <c r="C9" s="6" t="s">
        <v>77</v>
      </c>
      <c r="D9" s="6">
        <v>2025</v>
      </c>
      <c r="E9" s="7">
        <v>225569362.788</v>
      </c>
      <c r="F9" s="7">
        <v>0</v>
      </c>
      <c r="G9" s="9" t="s">
        <v>67</v>
      </c>
      <c r="H9" s="7">
        <v>251935406</v>
      </c>
      <c r="I9" s="8">
        <f>IFERROR((E9/H9)^(1/(D9-2019))-1,"")</f>
        <v>0</v>
      </c>
      <c r="J9" s="7">
        <v>60914156.642</v>
      </c>
      <c r="K9" s="8">
        <f>IFERROR(J9/E9,"")</f>
        <v>0</v>
      </c>
      <c r="L9" s="9">
        <f>n/a</f>
        <v>0</v>
      </c>
      <c r="M9" s="4" t="s">
        <v>62</v>
      </c>
      <c r="N9" s="8">
        <v>0.6965</v>
      </c>
      <c r="O9" s="9" t="s">
        <v>63</v>
      </c>
      <c r="P9" s="9" t="s">
        <v>63</v>
      </c>
      <c r="Q9" s="4" t="s">
        <v>78</v>
      </c>
    </row>
    <row r="10" spans="1:17">
      <c r="A10" s="6">
        <v>6</v>
      </c>
      <c r="B10" s="4" t="s">
        <v>79</v>
      </c>
      <c r="C10" s="6" t="s">
        <v>80</v>
      </c>
      <c r="D10" s="6">
        <v>2025</v>
      </c>
      <c r="E10" s="7">
        <v>183467487.096</v>
      </c>
      <c r="F10" s="7">
        <v>611646031</v>
      </c>
      <c r="G10" s="7">
        <f>IFERROR(E10/(F10/1000),"")</f>
        <v>0</v>
      </c>
      <c r="H10" s="7">
        <v>58816658.22</v>
      </c>
      <c r="I10" s="8">
        <f>IFERROR((E10/H10)^(1/(D10-2019))-1,"")</f>
        <v>0</v>
      </c>
      <c r="J10" s="7">
        <v>1466.718</v>
      </c>
      <c r="K10" s="8">
        <f>IFERROR(J10/E10,"")</f>
        <v>0</v>
      </c>
      <c r="L10" s="8">
        <f>IFERROR(K10*E10/F10,"")</f>
        <v>0</v>
      </c>
      <c r="M10" s="4" t="s">
        <v>81</v>
      </c>
      <c r="N10" s="8">
        <v>0.556</v>
      </c>
      <c r="O10" s="8">
        <v>0.055</v>
      </c>
      <c r="P10" s="10" t="s">
        <v>71</v>
      </c>
      <c r="Q10" s="4" t="s">
        <v>82</v>
      </c>
    </row>
    <row r="11" spans="1:17">
      <c r="A11" s="6">
        <v>7</v>
      </c>
      <c r="B11" s="4" t="s">
        <v>83</v>
      </c>
      <c r="C11" s="6" t="s">
        <v>84</v>
      </c>
      <c r="D11" s="6">
        <v>2025</v>
      </c>
      <c r="E11" s="7">
        <v>175555138.59</v>
      </c>
      <c r="F11" s="7">
        <v>0</v>
      </c>
      <c r="G11" s="9" t="s">
        <v>67</v>
      </c>
      <c r="H11" s="7">
        <v>116724494.62</v>
      </c>
      <c r="I11" s="8">
        <f>IFERROR((E11/H11)^(1/(D11-2019))-1,"")</f>
        <v>0</v>
      </c>
      <c r="J11" s="7">
        <v>41319051.339</v>
      </c>
      <c r="K11" s="8">
        <f>IFERROR(J11/E11,"")</f>
        <v>0</v>
      </c>
      <c r="L11" s="9">
        <f>n/a</f>
        <v>0</v>
      </c>
      <c r="M11" s="4" t="s">
        <v>62</v>
      </c>
      <c r="N11" s="8">
        <v>0.5084</v>
      </c>
      <c r="O11" s="9" t="s">
        <v>63</v>
      </c>
      <c r="P11" s="9" t="s">
        <v>63</v>
      </c>
      <c r="Q11" s="4" t="s">
        <v>85</v>
      </c>
    </row>
    <row r="12" spans="1:17">
      <c r="A12" s="6">
        <v>8</v>
      </c>
      <c r="B12" s="4" t="s">
        <v>86</v>
      </c>
      <c r="C12" s="6" t="s">
        <v>87</v>
      </c>
      <c r="D12" s="6">
        <v>2025</v>
      </c>
      <c r="E12" s="7">
        <v>155713092.616</v>
      </c>
      <c r="F12" s="7">
        <v>0</v>
      </c>
      <c r="G12" s="9" t="s">
        <v>67</v>
      </c>
      <c r="H12" s="7">
        <v>190753145.16</v>
      </c>
      <c r="I12" s="8">
        <f>IFERROR((E12/H12)^(1/(D12-2019))-1,"")</f>
        <v>0</v>
      </c>
      <c r="J12" s="7">
        <v>21399582.834</v>
      </c>
      <c r="K12" s="8">
        <f>IFERROR(J12/E12,"")</f>
        <v>0</v>
      </c>
      <c r="L12" s="9">
        <f>n/a</f>
        <v>0</v>
      </c>
      <c r="M12" s="4" t="s">
        <v>62</v>
      </c>
      <c r="N12" s="8">
        <v>0.4362</v>
      </c>
      <c r="O12" s="9" t="s">
        <v>63</v>
      </c>
      <c r="P12" s="9" t="s">
        <v>63</v>
      </c>
      <c r="Q12" s="4" t="s">
        <v>88</v>
      </c>
    </row>
    <row r="13" spans="1:17">
      <c r="A13" s="6">
        <v>9</v>
      </c>
      <c r="B13" s="4" t="s">
        <v>89</v>
      </c>
      <c r="C13" s="6" t="s">
        <v>90</v>
      </c>
      <c r="D13" s="6">
        <v>2025</v>
      </c>
      <c r="E13" s="7">
        <v>136229694.125</v>
      </c>
      <c r="F13" s="7">
        <v>0</v>
      </c>
      <c r="G13" s="9" t="s">
        <v>67</v>
      </c>
      <c r="H13" s="7">
        <v>83111320.212</v>
      </c>
      <c r="I13" s="8">
        <f>IFERROR((E13/H13)^(1/(D13-2019))-1,"")</f>
        <v>0</v>
      </c>
      <c r="J13" s="7">
        <v>94000.492</v>
      </c>
      <c r="K13" s="8">
        <f>IFERROR(J13/E13,"")</f>
        <v>0</v>
      </c>
      <c r="L13" s="9">
        <f>n/a</f>
        <v>0</v>
      </c>
      <c r="M13" s="9" t="s">
        <v>91</v>
      </c>
      <c r="N13" s="9" t="s">
        <v>67</v>
      </c>
      <c r="O13" s="9" t="s">
        <v>63</v>
      </c>
      <c r="P13" s="9" t="s">
        <v>63</v>
      </c>
      <c r="Q13" s="4" t="s">
        <v>92</v>
      </c>
    </row>
    <row r="14" spans="1:17">
      <c r="A14" s="6">
        <v>10</v>
      </c>
      <c r="B14" s="4" t="s">
        <v>93</v>
      </c>
      <c r="C14" s="6" t="s">
        <v>94</v>
      </c>
      <c r="D14" s="6">
        <v>2025</v>
      </c>
      <c r="E14" s="7">
        <v>133422164.635</v>
      </c>
      <c r="F14" s="7">
        <v>383387677.794</v>
      </c>
      <c r="G14" s="7">
        <f>IFERROR(E14/(F14/1000),"")</f>
        <v>0</v>
      </c>
      <c r="H14" s="7">
        <v>85160803.87199999</v>
      </c>
      <c r="I14" s="8">
        <f>IFERROR((E14/H14)^(1/(D14-2019))-1,"")</f>
        <v>0</v>
      </c>
      <c r="J14" s="7">
        <v>122995.968</v>
      </c>
      <c r="K14" s="8">
        <f>IFERROR(J14/E14,"")</f>
        <v>0</v>
      </c>
      <c r="L14" s="8">
        <f>IFERROR(K14*E14/F14,"")</f>
        <v>0</v>
      </c>
      <c r="M14" s="9" t="s">
        <v>91</v>
      </c>
      <c r="N14" s="9" t="s">
        <v>67</v>
      </c>
      <c r="O14" s="8">
        <v>0.055</v>
      </c>
      <c r="P14" s="10" t="s">
        <v>71</v>
      </c>
      <c r="Q14" s="4" t="s">
        <v>95</v>
      </c>
    </row>
    <row r="15" spans="1:17">
      <c r="A15" s="6">
        <v>11</v>
      </c>
      <c r="B15" s="4" t="s">
        <v>96</v>
      </c>
      <c r="C15" s="6" t="s">
        <v>97</v>
      </c>
      <c r="D15" s="6">
        <v>2025</v>
      </c>
      <c r="E15" s="7">
        <v>132658126.784</v>
      </c>
      <c r="F15" s="7">
        <v>524925185</v>
      </c>
      <c r="G15" s="7">
        <f>IFERROR(E15/(F15/1000),"")</f>
        <v>0</v>
      </c>
      <c r="H15" s="7">
        <v>103576685.901</v>
      </c>
      <c r="I15" s="8">
        <f>IFERROR((E15/H15)^(1/(D15-2019))-1,"")</f>
        <v>0</v>
      </c>
      <c r="J15" s="7">
        <v>0</v>
      </c>
      <c r="K15" s="8">
        <f>IFERROR(J15/E15,"")</f>
        <v>0</v>
      </c>
      <c r="L15" s="8">
        <f>IFERROR(K15*E15/F15,"")</f>
        <v>0</v>
      </c>
      <c r="M15" s="4" t="s">
        <v>81</v>
      </c>
      <c r="N15" s="8">
        <v>0.7291</v>
      </c>
      <c r="O15" s="8">
        <v>0.055</v>
      </c>
      <c r="P15" s="10" t="s">
        <v>71</v>
      </c>
      <c r="Q15" s="4" t="s">
        <v>95</v>
      </c>
    </row>
    <row r="16" spans="1:17">
      <c r="A16" s="6">
        <v>12</v>
      </c>
      <c r="B16" s="4" t="s">
        <v>98</v>
      </c>
      <c r="C16" s="6" t="s">
        <v>99</v>
      </c>
      <c r="D16" s="6">
        <v>2025</v>
      </c>
      <c r="E16" s="7">
        <v>132198077.26</v>
      </c>
      <c r="F16" s="7">
        <v>0</v>
      </c>
      <c r="G16" s="9" t="s">
        <v>67</v>
      </c>
      <c r="H16" s="7">
        <v>53433638.18</v>
      </c>
      <c r="I16" s="8">
        <f>IFERROR((E16/H16)^(1/(D16-2019))-1,"")</f>
        <v>0</v>
      </c>
      <c r="J16" s="7">
        <v>4462220.45</v>
      </c>
      <c r="K16" s="8">
        <f>IFERROR(J16/E16,"")</f>
        <v>0</v>
      </c>
      <c r="L16" s="9">
        <f>n/a</f>
        <v>0</v>
      </c>
      <c r="M16" s="9" t="s">
        <v>91</v>
      </c>
      <c r="N16" s="9" t="s">
        <v>67</v>
      </c>
      <c r="O16" s="9" t="s">
        <v>63</v>
      </c>
      <c r="P16" s="9" t="s">
        <v>63</v>
      </c>
      <c r="Q16" s="4" t="s">
        <v>100</v>
      </c>
    </row>
    <row r="17" spans="1:17">
      <c r="A17" s="6">
        <v>13</v>
      </c>
      <c r="B17" s="4" t="s">
        <v>101</v>
      </c>
      <c r="C17" s="6" t="s">
        <v>102</v>
      </c>
      <c r="D17" s="6">
        <v>2025</v>
      </c>
      <c r="E17" s="7">
        <v>124494536.21</v>
      </c>
      <c r="F17" s="7">
        <v>379201690.068</v>
      </c>
      <c r="G17" s="7">
        <f>IFERROR(E17/(F17/1000),"")</f>
        <v>0</v>
      </c>
      <c r="H17" s="7">
        <v>120166776.955</v>
      </c>
      <c r="I17" s="8">
        <f>IFERROR((E17/H17)^(1/(D17-2019))-1,"")</f>
        <v>0</v>
      </c>
      <c r="J17" s="7">
        <v>284943.973</v>
      </c>
      <c r="K17" s="8">
        <f>IFERROR(J17/E17,"")</f>
        <v>0</v>
      </c>
      <c r="L17" s="8">
        <f>IFERROR(K17*E17/F17,"")</f>
        <v>0</v>
      </c>
      <c r="M17" s="9" t="s">
        <v>91</v>
      </c>
      <c r="N17" s="9" t="s">
        <v>67</v>
      </c>
      <c r="O17" s="9" t="s">
        <v>63</v>
      </c>
      <c r="P17" s="9" t="s">
        <v>63</v>
      </c>
      <c r="Q17" s="4" t="s">
        <v>103</v>
      </c>
    </row>
    <row r="18" spans="1:17">
      <c r="A18" s="6">
        <v>14</v>
      </c>
      <c r="B18" s="4" t="s">
        <v>104</v>
      </c>
      <c r="C18" s="6" t="s">
        <v>105</v>
      </c>
      <c r="D18" s="6">
        <v>2025</v>
      </c>
      <c r="E18" s="7">
        <v>120708506.547</v>
      </c>
      <c r="F18" s="7">
        <v>0</v>
      </c>
      <c r="G18" s="9" t="s">
        <v>67</v>
      </c>
      <c r="H18" s="7">
        <v>94142374.286</v>
      </c>
      <c r="I18" s="8">
        <f>IFERROR((E18/H18)^(1/(D18-2019))-1,"")</f>
        <v>0</v>
      </c>
      <c r="J18" s="7">
        <v>93777.41800000001</v>
      </c>
      <c r="K18" s="8">
        <f>IFERROR(J18/E18,"")</f>
        <v>0</v>
      </c>
      <c r="L18" s="9">
        <f>n/a</f>
        <v>0</v>
      </c>
      <c r="M18" s="9" t="s">
        <v>91</v>
      </c>
      <c r="N18" s="9" t="s">
        <v>67</v>
      </c>
      <c r="O18" s="8">
        <v>0.055</v>
      </c>
      <c r="P18" s="10" t="s">
        <v>71</v>
      </c>
      <c r="Q18" s="4" t="s">
        <v>95</v>
      </c>
    </row>
    <row r="19" spans="1:17">
      <c r="A19" s="6">
        <v>15</v>
      </c>
      <c r="B19" s="4" t="s">
        <v>106</v>
      </c>
      <c r="C19" s="6" t="s">
        <v>107</v>
      </c>
      <c r="D19" s="6">
        <v>2025</v>
      </c>
      <c r="E19" s="7">
        <v>105305517.67</v>
      </c>
      <c r="F19" s="7">
        <v>0</v>
      </c>
      <c r="G19" s="9" t="s">
        <v>67</v>
      </c>
      <c r="H19" s="7">
        <v>82280490.64</v>
      </c>
      <c r="I19" s="8">
        <f>IFERROR((E19/H19)^(1/(D19-2019))-1,"")</f>
        <v>0</v>
      </c>
      <c r="J19" s="7">
        <v>10695261.87</v>
      </c>
      <c r="K19" s="8">
        <f>IFERROR(J19/E19,"")</f>
        <v>0</v>
      </c>
      <c r="L19" s="9">
        <f>n/a</f>
        <v>0</v>
      </c>
      <c r="M19" s="9" t="s">
        <v>91</v>
      </c>
      <c r="N19" s="9" t="s">
        <v>67</v>
      </c>
      <c r="O19" s="9" t="s">
        <v>63</v>
      </c>
      <c r="P19" s="9" t="s">
        <v>63</v>
      </c>
      <c r="Q19" s="4" t="s">
        <v>108</v>
      </c>
    </row>
    <row r="20" spans="1:17">
      <c r="A20" s="6">
        <v>16</v>
      </c>
      <c r="B20" s="4" t="s">
        <v>109</v>
      </c>
      <c r="C20" s="6" t="s">
        <v>110</v>
      </c>
      <c r="D20" s="6">
        <v>2025</v>
      </c>
      <c r="E20" s="7">
        <v>100201356.884</v>
      </c>
      <c r="F20" s="7">
        <v>325919256.67</v>
      </c>
      <c r="G20" s="7">
        <f>IFERROR(E20/(F20/1000),"")</f>
        <v>0</v>
      </c>
      <c r="H20" s="7">
        <v>70630196.63500001</v>
      </c>
      <c r="I20" s="8">
        <f>IFERROR((E20/H20)^(1/(D20-2019))-1,"")</f>
        <v>0</v>
      </c>
      <c r="J20" s="7">
        <v>17068385.947</v>
      </c>
      <c r="K20" s="8">
        <f>IFERROR(J20/E20,"")</f>
        <v>0</v>
      </c>
      <c r="L20" s="8">
        <f>IFERROR(K20*E20/F20,"")</f>
        <v>0</v>
      </c>
      <c r="M20" s="9" t="s">
        <v>91</v>
      </c>
      <c r="N20" s="9" t="s">
        <v>67</v>
      </c>
      <c r="O20" s="9" t="s">
        <v>63</v>
      </c>
      <c r="P20" s="9" t="s">
        <v>63</v>
      </c>
      <c r="Q20" s="4" t="s">
        <v>111</v>
      </c>
    </row>
    <row r="21" spans="1:17">
      <c r="A21" s="6">
        <v>17</v>
      </c>
      <c r="B21" s="4" t="s">
        <v>112</v>
      </c>
      <c r="C21" s="6" t="s">
        <v>113</v>
      </c>
      <c r="D21" s="6">
        <v>2025</v>
      </c>
      <c r="E21" s="7">
        <v>96262699</v>
      </c>
      <c r="F21" s="7">
        <v>448637081.227</v>
      </c>
      <c r="G21" s="7">
        <f>IFERROR(E21/(F21/1000),"")</f>
        <v>0</v>
      </c>
      <c r="H21" s="7">
        <v>126830022</v>
      </c>
      <c r="I21" s="8">
        <f>IFERROR((E21/H21)^(1/(D21-2019))-1,"")</f>
        <v>0</v>
      </c>
      <c r="J21" s="7">
        <v>34223849</v>
      </c>
      <c r="K21" s="8">
        <f>IFERROR(J21/E21,"")</f>
        <v>0</v>
      </c>
      <c r="L21" s="8">
        <f>IFERROR(K21*E21/F21,"")</f>
        <v>0</v>
      </c>
      <c r="M21" s="9" t="s">
        <v>91</v>
      </c>
      <c r="N21" s="9" t="s">
        <v>67</v>
      </c>
      <c r="O21" s="9" t="s">
        <v>63</v>
      </c>
      <c r="P21" s="9" t="s">
        <v>63</v>
      </c>
      <c r="Q21" s="4" t="s">
        <v>114</v>
      </c>
    </row>
    <row r="22" spans="1:17">
      <c r="A22" s="6">
        <v>18</v>
      </c>
      <c r="B22" s="4" t="s">
        <v>115</v>
      </c>
      <c r="C22" s="6" t="s">
        <v>116</v>
      </c>
      <c r="D22" s="6">
        <v>2025</v>
      </c>
      <c r="E22" s="7">
        <v>85819199</v>
      </c>
      <c r="F22" s="7">
        <v>291881114.423</v>
      </c>
      <c r="G22" s="7">
        <f>IFERROR(E22/(F22/1000),"")</f>
        <v>0</v>
      </c>
      <c r="H22" s="7">
        <v>7451442</v>
      </c>
      <c r="I22" s="8">
        <f>IFERROR((E22/H22)^(1/(D22-2019))-1,"")</f>
        <v>0</v>
      </c>
      <c r="J22" s="7">
        <v>32974</v>
      </c>
      <c r="K22" s="8">
        <f>IFERROR(J22/E22,"")</f>
        <v>0</v>
      </c>
      <c r="L22" s="8">
        <f>IFERROR(K22*E22/F22,"")</f>
        <v>0</v>
      </c>
      <c r="M22" s="9" t="s">
        <v>91</v>
      </c>
      <c r="N22" s="9" t="s">
        <v>67</v>
      </c>
      <c r="O22" s="8">
        <v>0.055</v>
      </c>
      <c r="P22" s="10" t="s">
        <v>71</v>
      </c>
      <c r="Q22" s="4" t="s">
        <v>117</v>
      </c>
    </row>
    <row r="23" spans="1:17">
      <c r="A23" s="6">
        <v>19</v>
      </c>
      <c r="B23" s="4" t="s">
        <v>118</v>
      </c>
      <c r="C23" s="6" t="s">
        <v>119</v>
      </c>
      <c r="D23" s="6">
        <v>2025</v>
      </c>
      <c r="E23" s="7">
        <v>73069946.24699999</v>
      </c>
      <c r="F23" s="7">
        <v>298722364</v>
      </c>
      <c r="G23" s="7">
        <f>IFERROR(E23/(F23/1000),"")</f>
        <v>0</v>
      </c>
      <c r="H23" s="7">
        <v>85941550.65099999</v>
      </c>
      <c r="I23" s="8">
        <f>IFERROR((E23/H23)^(1/(D23-2019))-1,"")</f>
        <v>0</v>
      </c>
      <c r="J23" s="7">
        <v>8708710.509</v>
      </c>
      <c r="K23" s="8">
        <f>IFERROR(J23/E23,"")</f>
        <v>0</v>
      </c>
      <c r="L23" s="8">
        <f>IFERROR(K23*E23/F23,"")</f>
        <v>0</v>
      </c>
      <c r="M23" s="9" t="s">
        <v>91</v>
      </c>
      <c r="N23" s="9" t="s">
        <v>67</v>
      </c>
      <c r="O23" s="9" t="s">
        <v>63</v>
      </c>
      <c r="P23" s="9" t="s">
        <v>63</v>
      </c>
      <c r="Q23" s="4" t="s">
        <v>120</v>
      </c>
    </row>
    <row r="24" spans="1:17">
      <c r="A24" s="6">
        <v>20</v>
      </c>
      <c r="B24" s="4" t="s">
        <v>121</v>
      </c>
      <c r="C24" s="6" t="s">
        <v>122</v>
      </c>
      <c r="D24" s="6">
        <v>2025</v>
      </c>
      <c r="E24" s="7">
        <v>64277959.707</v>
      </c>
      <c r="F24" s="7">
        <v>0</v>
      </c>
      <c r="G24" s="9" t="s">
        <v>67</v>
      </c>
      <c r="H24" s="7">
        <v>81798238.317</v>
      </c>
      <c r="I24" s="8">
        <f>IFERROR((E24/H24)^(1/(D24-2019))-1,"")</f>
        <v>0</v>
      </c>
      <c r="J24" s="7">
        <v>130414.49</v>
      </c>
      <c r="K24" s="8">
        <f>IFERROR(J24/E24,"")</f>
        <v>0</v>
      </c>
      <c r="L24" s="9">
        <f>n/a</f>
        <v>0</v>
      </c>
      <c r="M24" s="9" t="s">
        <v>91</v>
      </c>
      <c r="N24" s="9" t="s">
        <v>67</v>
      </c>
      <c r="O24" s="8">
        <v>0.055</v>
      </c>
      <c r="P24" s="10" t="s">
        <v>71</v>
      </c>
      <c r="Q24" s="4" t="s">
        <v>117</v>
      </c>
    </row>
    <row r="25" spans="1:17">
      <c r="A25" s="6">
        <v>21</v>
      </c>
      <c r="B25" s="4" t="s">
        <v>81</v>
      </c>
      <c r="C25" s="6" t="s">
        <v>123</v>
      </c>
      <c r="D25" s="6">
        <v>2025</v>
      </c>
      <c r="E25" s="7">
        <v>63744835</v>
      </c>
      <c r="F25" s="7">
        <v>0</v>
      </c>
      <c r="G25" s="9" t="s">
        <v>67</v>
      </c>
      <c r="H25" s="7">
        <v>46523294</v>
      </c>
      <c r="I25" s="8">
        <f>IFERROR((E25/H25)^(1/(D25-2019))-1,"")</f>
        <v>0</v>
      </c>
      <c r="J25" s="7">
        <v>1043</v>
      </c>
      <c r="K25" s="8">
        <f>IFERROR(J25/E25,"")</f>
        <v>0</v>
      </c>
      <c r="L25" s="9">
        <f>n/a</f>
        <v>0</v>
      </c>
      <c r="M25" s="9" t="s">
        <v>91</v>
      </c>
      <c r="N25" s="9" t="s">
        <v>67</v>
      </c>
      <c r="O25" s="9" t="s">
        <v>63</v>
      </c>
      <c r="P25" s="9" t="s">
        <v>63</v>
      </c>
      <c r="Q25" s="4" t="s">
        <v>124</v>
      </c>
    </row>
    <row r="26" spans="1:17">
      <c r="A26" s="6">
        <v>22</v>
      </c>
      <c r="B26" s="4" t="s">
        <v>125</v>
      </c>
      <c r="C26" s="6" t="s">
        <v>126</v>
      </c>
      <c r="D26" s="6">
        <v>2025</v>
      </c>
      <c r="E26" s="7">
        <v>63316345.532</v>
      </c>
      <c r="F26" s="7">
        <v>0</v>
      </c>
      <c r="G26" s="9" t="s">
        <v>67</v>
      </c>
      <c r="H26" s="7">
        <v>41056887.384</v>
      </c>
      <c r="I26" s="8">
        <f>IFERROR((E26/H26)^(1/(D26-2019))-1,"")</f>
        <v>0</v>
      </c>
      <c r="J26" s="7">
        <v>110310.796</v>
      </c>
      <c r="K26" s="8">
        <f>IFERROR(J26/E26,"")</f>
        <v>0</v>
      </c>
      <c r="L26" s="9">
        <f>n/a</f>
        <v>0</v>
      </c>
      <c r="M26" s="9" t="s">
        <v>91</v>
      </c>
      <c r="N26" s="9" t="s">
        <v>67</v>
      </c>
      <c r="O26" s="8">
        <v>0.055</v>
      </c>
      <c r="P26" s="10" t="s">
        <v>71</v>
      </c>
      <c r="Q26" s="4" t="s">
        <v>117</v>
      </c>
    </row>
    <row r="27" spans="1:17">
      <c r="A27" s="6">
        <v>23</v>
      </c>
      <c r="B27" s="4" t="s">
        <v>127</v>
      </c>
      <c r="C27" s="6" t="s">
        <v>128</v>
      </c>
      <c r="D27" s="6">
        <v>2025</v>
      </c>
      <c r="E27" s="7">
        <v>63062867.763</v>
      </c>
      <c r="F27" s="7">
        <v>0</v>
      </c>
      <c r="G27" s="9" t="s">
        <v>67</v>
      </c>
      <c r="H27" s="7">
        <v>64751676.43</v>
      </c>
      <c r="I27" s="8">
        <f>IFERROR((E27/H27)^(1/(D27-2019))-1,"")</f>
        <v>0</v>
      </c>
      <c r="J27" s="7">
        <v>34814704.017</v>
      </c>
      <c r="K27" s="8">
        <f>IFERROR(J27/E27,"")</f>
        <v>0</v>
      </c>
      <c r="L27" s="9">
        <f>n/a</f>
        <v>0</v>
      </c>
      <c r="M27" s="9" t="s">
        <v>91</v>
      </c>
      <c r="N27" s="9" t="s">
        <v>67</v>
      </c>
      <c r="O27" s="9" t="s">
        <v>63</v>
      </c>
      <c r="P27" s="9" t="s">
        <v>63</v>
      </c>
      <c r="Q27" s="4" t="s">
        <v>129</v>
      </c>
    </row>
    <row r="28" spans="1:17">
      <c r="A28" s="6">
        <v>24</v>
      </c>
      <c r="B28" s="4" t="s">
        <v>130</v>
      </c>
      <c r="C28" s="6" t="s">
        <v>131</v>
      </c>
      <c r="D28" s="6">
        <v>2024</v>
      </c>
      <c r="E28" s="7">
        <v>60873488.76</v>
      </c>
      <c r="F28" s="7">
        <v>0</v>
      </c>
      <c r="G28" s="9" t="s">
        <v>67</v>
      </c>
      <c r="H28" s="7">
        <v>61776931.66</v>
      </c>
      <c r="I28" s="8">
        <f>IFERROR((E28/H28)^(1/(D28-2019))-1,"")</f>
        <v>0</v>
      </c>
      <c r="J28" s="7">
        <v>62255.19</v>
      </c>
      <c r="K28" s="8">
        <f>IFERROR(J28/E28,"")</f>
        <v>0</v>
      </c>
      <c r="L28" s="9">
        <f>n/a</f>
        <v>0</v>
      </c>
      <c r="M28" s="9" t="s">
        <v>91</v>
      </c>
      <c r="N28" s="9" t="s">
        <v>67</v>
      </c>
      <c r="O28" s="9" t="s">
        <v>63</v>
      </c>
      <c r="P28" s="9" t="s">
        <v>63</v>
      </c>
      <c r="Q28" s="4" t="s">
        <v>132</v>
      </c>
    </row>
  </sheetData>
  <autoFilter ref="A4:Q2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8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7.7109375" customWidth="1"/>
    <col min="3" max="8" width="16.7109375" customWidth="1"/>
  </cols>
  <sheetData>
    <row r="1" spans="1:9">
      <c r="A1" s="1" t="s">
        <v>133</v>
      </c>
    </row>
    <row r="2" spans="1:9">
      <c r="A2" s="2" t="s">
        <v>134</v>
      </c>
    </row>
    <row r="4" spans="1:9">
      <c r="A4" s="5" t="s">
        <v>135</v>
      </c>
      <c r="B4" s="5" t="s">
        <v>45</v>
      </c>
      <c r="C4" s="5" t="s">
        <v>136</v>
      </c>
      <c r="D4" s="5" t="s">
        <v>47</v>
      </c>
      <c r="E4" s="5" t="s">
        <v>48</v>
      </c>
      <c r="F4" s="5" t="s">
        <v>137</v>
      </c>
      <c r="G4" s="5" t="s">
        <v>138</v>
      </c>
      <c r="H4" s="5" t="s">
        <v>53</v>
      </c>
      <c r="I4" s="5" t="s">
        <v>54</v>
      </c>
    </row>
    <row r="5" spans="1:9">
      <c r="A5" s="4" t="s">
        <v>139</v>
      </c>
      <c r="B5" s="6" t="s">
        <v>140</v>
      </c>
      <c r="C5" s="6">
        <v>2019</v>
      </c>
      <c r="D5" s="7">
        <v>690666.41</v>
      </c>
      <c r="E5" s="7">
        <v>1418816</v>
      </c>
      <c r="F5" s="7">
        <v>191652.34</v>
      </c>
      <c r="G5" s="7">
        <v>415806</v>
      </c>
      <c r="H5" s="8">
        <f>IFERROR(F5/D5,"")</f>
        <v>0</v>
      </c>
      <c r="I5" s="8">
        <f>IFERROR(G5/E5,"")</f>
        <v>0</v>
      </c>
    </row>
    <row r="6" spans="1:9">
      <c r="A6" s="4" t="s">
        <v>141</v>
      </c>
      <c r="B6" s="6" t="s">
        <v>142</v>
      </c>
      <c r="C6" s="6">
        <v>2019</v>
      </c>
      <c r="D6" s="7">
        <v>9889.468999999999</v>
      </c>
      <c r="E6" s="7">
        <v>8740</v>
      </c>
      <c r="F6" s="7">
        <v>0</v>
      </c>
      <c r="G6" s="7">
        <v>0</v>
      </c>
      <c r="H6" s="8">
        <f>IFERROR(F6/D6,"")</f>
        <v>0</v>
      </c>
      <c r="I6" s="8">
        <f>IFERROR(G6/E6,"")</f>
        <v>0</v>
      </c>
    </row>
    <row r="7" spans="1:9">
      <c r="A7" s="4" t="s">
        <v>141</v>
      </c>
      <c r="B7" s="6" t="s">
        <v>142</v>
      </c>
      <c r="C7" s="6">
        <v>2020</v>
      </c>
      <c r="D7" s="7">
        <v>20809.504</v>
      </c>
      <c r="E7" s="7">
        <v>14940</v>
      </c>
      <c r="F7" s="7">
        <v>0</v>
      </c>
      <c r="G7" s="7">
        <v>0</v>
      </c>
      <c r="H7" s="8">
        <f>IFERROR(F7/D7,"")</f>
        <v>0</v>
      </c>
      <c r="I7" s="8">
        <f>IFERROR(G7/E7,"")</f>
        <v>0</v>
      </c>
    </row>
    <row r="8" spans="1:9">
      <c r="A8" s="4" t="s">
        <v>141</v>
      </c>
      <c r="B8" s="6" t="s">
        <v>142</v>
      </c>
      <c r="C8" s="6">
        <v>2023</v>
      </c>
      <c r="D8" s="7">
        <v>109911.054</v>
      </c>
      <c r="E8" s="7">
        <v>186345</v>
      </c>
      <c r="F8" s="7">
        <v>0</v>
      </c>
      <c r="G8" s="7">
        <v>0</v>
      </c>
      <c r="H8" s="8">
        <f>IFERROR(F8/D8,"")</f>
        <v>0</v>
      </c>
      <c r="I8" s="8">
        <f>IFERROR(G8/E8,"")</f>
        <v>0</v>
      </c>
    </row>
    <row r="9" spans="1:9">
      <c r="A9" s="4" t="s">
        <v>141</v>
      </c>
      <c r="B9" s="6" t="s">
        <v>142</v>
      </c>
      <c r="C9" s="6">
        <v>2024</v>
      </c>
      <c r="D9" s="7">
        <v>12122.138</v>
      </c>
      <c r="E9" s="7">
        <v>12936.39</v>
      </c>
      <c r="F9" s="7">
        <v>0</v>
      </c>
      <c r="G9" s="7">
        <v>0</v>
      </c>
      <c r="H9" s="8">
        <f>IFERROR(F9/D9,"")</f>
        <v>0</v>
      </c>
      <c r="I9" s="8">
        <f>IFERROR(G9/E9,"")</f>
        <v>0</v>
      </c>
    </row>
    <row r="10" spans="1:9">
      <c r="A10" s="4" t="s">
        <v>143</v>
      </c>
      <c r="B10" s="6" t="s">
        <v>144</v>
      </c>
      <c r="C10" s="6">
        <v>2024</v>
      </c>
      <c r="D10" s="7">
        <v>24308759</v>
      </c>
      <c r="E10" s="7">
        <v>72405435.86</v>
      </c>
      <c r="F10" s="7">
        <v>54196</v>
      </c>
      <c r="G10" s="7">
        <v>161426.793</v>
      </c>
      <c r="H10" s="8">
        <f>IFERROR(F10/D10,"")</f>
        <v>0</v>
      </c>
      <c r="I10" s="8">
        <f>IFERROR(G10/E10,"")</f>
        <v>0</v>
      </c>
    </row>
    <row r="11" spans="1:9">
      <c r="A11" s="4" t="s">
        <v>145</v>
      </c>
      <c r="B11" s="6" t="s">
        <v>146</v>
      </c>
      <c r="C11" s="6">
        <v>2019</v>
      </c>
      <c r="D11" s="7">
        <v>303.816</v>
      </c>
      <c r="E11" s="7">
        <v>134.68</v>
      </c>
      <c r="F11" s="7">
        <v>0</v>
      </c>
      <c r="G11" s="7">
        <v>0</v>
      </c>
      <c r="H11" s="8">
        <f>IFERROR(F11/D11,"")</f>
        <v>0</v>
      </c>
      <c r="I11" s="8">
        <f>IFERROR(G11/E11,"")</f>
        <v>0</v>
      </c>
    </row>
    <row r="12" spans="1:9">
      <c r="A12" s="4" t="s">
        <v>145</v>
      </c>
      <c r="B12" s="6" t="s">
        <v>146</v>
      </c>
      <c r="C12" s="6">
        <v>2020</v>
      </c>
      <c r="D12" s="7">
        <v>418.901</v>
      </c>
      <c r="E12" s="7">
        <v>258</v>
      </c>
      <c r="F12" s="7">
        <v>0</v>
      </c>
      <c r="G12" s="7">
        <v>0</v>
      </c>
      <c r="H12" s="8">
        <f>IFERROR(F12/D12,"")</f>
        <v>0</v>
      </c>
      <c r="I12" s="8">
        <f>IFERROR(G12/E12,"")</f>
        <v>0</v>
      </c>
    </row>
    <row r="13" spans="1:9">
      <c r="A13" s="4" t="s">
        <v>145</v>
      </c>
      <c r="B13" s="6" t="s">
        <v>146</v>
      </c>
      <c r="C13" s="6">
        <v>2021</v>
      </c>
      <c r="D13" s="7">
        <v>667.083</v>
      </c>
      <c r="E13" s="7">
        <v>62.82</v>
      </c>
      <c r="F13" s="7">
        <v>0</v>
      </c>
      <c r="G13" s="7">
        <v>0</v>
      </c>
      <c r="H13" s="8">
        <f>IFERROR(F13/D13,"")</f>
        <v>0</v>
      </c>
      <c r="I13" s="8">
        <f>IFERROR(G13/E13,"")</f>
        <v>0</v>
      </c>
    </row>
    <row r="14" spans="1:9">
      <c r="A14" s="4" t="s">
        <v>145</v>
      </c>
      <c r="B14" s="6" t="s">
        <v>146</v>
      </c>
      <c r="C14" s="6">
        <v>2022</v>
      </c>
      <c r="D14" s="7">
        <v>366.037</v>
      </c>
      <c r="E14" s="7">
        <v>139.4</v>
      </c>
      <c r="F14" s="7">
        <v>0</v>
      </c>
      <c r="G14" s="7">
        <v>0</v>
      </c>
      <c r="H14" s="8">
        <f>IFERROR(F14/D14,"")</f>
        <v>0</v>
      </c>
      <c r="I14" s="8">
        <f>IFERROR(G14/E14,"")</f>
        <v>0</v>
      </c>
    </row>
    <row r="15" spans="1:9">
      <c r="A15" s="4" t="s">
        <v>145</v>
      </c>
      <c r="B15" s="6" t="s">
        <v>146</v>
      </c>
      <c r="C15" s="6">
        <v>2023</v>
      </c>
      <c r="D15" s="7">
        <v>532.189</v>
      </c>
      <c r="E15" s="7">
        <v>199.9</v>
      </c>
      <c r="F15" s="7">
        <v>0</v>
      </c>
      <c r="G15" s="7">
        <v>0</v>
      </c>
      <c r="H15" s="8">
        <f>IFERROR(F15/D15,"")</f>
        <v>0</v>
      </c>
      <c r="I15" s="8">
        <f>IFERROR(G15/E15,"")</f>
        <v>0</v>
      </c>
    </row>
    <row r="16" spans="1:9">
      <c r="A16" s="4" t="s">
        <v>145</v>
      </c>
      <c r="B16" s="6" t="s">
        <v>146</v>
      </c>
      <c r="C16" s="6">
        <v>2024</v>
      </c>
      <c r="D16" s="7">
        <v>227.867</v>
      </c>
      <c r="E16" s="7">
        <v>80</v>
      </c>
      <c r="F16" s="7">
        <v>0</v>
      </c>
      <c r="G16" s="7">
        <v>0</v>
      </c>
      <c r="H16" s="8">
        <f>IFERROR(F16/D16,"")</f>
        <v>0</v>
      </c>
      <c r="I16" s="8">
        <f>IFERROR(G16/E16,"")</f>
        <v>0</v>
      </c>
    </row>
    <row r="17" spans="1:9">
      <c r="A17" s="4" t="s">
        <v>145</v>
      </c>
      <c r="B17" s="6" t="s">
        <v>146</v>
      </c>
      <c r="C17" s="6">
        <v>2025</v>
      </c>
      <c r="D17" s="7">
        <v>197.942</v>
      </c>
      <c r="E17" s="7">
        <v>79</v>
      </c>
      <c r="F17" s="7">
        <v>0</v>
      </c>
      <c r="G17" s="7">
        <v>0</v>
      </c>
      <c r="H17" s="8">
        <f>IFERROR(F17/D17,"")</f>
        <v>0</v>
      </c>
      <c r="I17" s="8">
        <f>IFERROR(G17/E17,"")</f>
        <v>0</v>
      </c>
    </row>
    <row r="18" spans="1:9">
      <c r="A18" s="4" t="s">
        <v>147</v>
      </c>
      <c r="B18" s="6" t="s">
        <v>148</v>
      </c>
      <c r="C18" s="6">
        <v>2019</v>
      </c>
      <c r="D18" s="7">
        <v>4251544.29</v>
      </c>
      <c r="E18" s="7">
        <v>0</v>
      </c>
      <c r="F18" s="7">
        <v>87989.12</v>
      </c>
      <c r="G18" s="7">
        <v>235416.2</v>
      </c>
      <c r="H18" s="8">
        <f>IFERROR(F18/D18,"")</f>
        <v>0</v>
      </c>
      <c r="I18" s="9">
        <f>"n/a"</f>
        <v>0</v>
      </c>
    </row>
    <row r="19" spans="1:9">
      <c r="A19" s="4" t="s">
        <v>147</v>
      </c>
      <c r="B19" s="6" t="s">
        <v>148</v>
      </c>
      <c r="C19" s="6">
        <v>2020</v>
      </c>
      <c r="D19" s="7">
        <v>4711200.49</v>
      </c>
      <c r="E19" s="7">
        <v>12297959.788</v>
      </c>
      <c r="F19" s="7">
        <v>868989.03</v>
      </c>
      <c r="G19" s="7">
        <v>2430606</v>
      </c>
      <c r="H19" s="8">
        <f>IFERROR(F19/D19,"")</f>
        <v>0</v>
      </c>
      <c r="I19" s="8">
        <f>IFERROR(G19/E19,"")</f>
        <v>0</v>
      </c>
    </row>
    <row r="20" spans="1:9">
      <c r="A20" s="4" t="s">
        <v>147</v>
      </c>
      <c r="B20" s="6" t="s">
        <v>148</v>
      </c>
      <c r="C20" s="6">
        <v>2021</v>
      </c>
      <c r="D20" s="7">
        <v>4583276.96</v>
      </c>
      <c r="E20" s="7">
        <v>0</v>
      </c>
      <c r="F20" s="7">
        <v>139741.43</v>
      </c>
      <c r="G20" s="7">
        <v>753111</v>
      </c>
      <c r="H20" s="8">
        <f>IFERROR(F20/D20,"")</f>
        <v>0</v>
      </c>
      <c r="I20" s="9">
        <f>"n/a"</f>
        <v>0</v>
      </c>
    </row>
    <row r="21" spans="1:9">
      <c r="A21" s="4" t="s">
        <v>147</v>
      </c>
      <c r="B21" s="6" t="s">
        <v>148</v>
      </c>
      <c r="C21" s="6">
        <v>2022</v>
      </c>
      <c r="D21" s="7">
        <v>14051966.24</v>
      </c>
      <c r="E21" s="7">
        <v>22985817.104</v>
      </c>
      <c r="F21" s="7">
        <v>6119413.96</v>
      </c>
      <c r="G21" s="7">
        <v>11113885</v>
      </c>
      <c r="H21" s="8">
        <f>IFERROR(F21/D21,"")</f>
        <v>0</v>
      </c>
      <c r="I21" s="8">
        <f>IFERROR(G21/E21,"")</f>
        <v>0</v>
      </c>
    </row>
    <row r="22" spans="1:9">
      <c r="A22" s="4" t="s">
        <v>147</v>
      </c>
      <c r="B22" s="6" t="s">
        <v>148</v>
      </c>
      <c r="C22" s="6">
        <v>2023</v>
      </c>
      <c r="D22" s="7">
        <v>7148225.39</v>
      </c>
      <c r="E22" s="7">
        <v>14664425.641</v>
      </c>
      <c r="F22" s="7">
        <v>2530334.32</v>
      </c>
      <c r="G22" s="7">
        <v>4631588.79</v>
      </c>
      <c r="H22" s="8">
        <f>IFERROR(F22/D22,"")</f>
        <v>0</v>
      </c>
      <c r="I22" s="8">
        <f>IFERROR(G22/E22,"")</f>
        <v>0</v>
      </c>
    </row>
    <row r="23" spans="1:9">
      <c r="A23" s="4" t="s">
        <v>147</v>
      </c>
      <c r="B23" s="6" t="s">
        <v>148</v>
      </c>
      <c r="C23" s="6">
        <v>2024</v>
      </c>
      <c r="D23" s="7">
        <v>6176346.29</v>
      </c>
      <c r="E23" s="7">
        <v>0</v>
      </c>
      <c r="F23" s="7">
        <v>790854.13</v>
      </c>
      <c r="G23" s="7">
        <v>2301406.718</v>
      </c>
      <c r="H23" s="8">
        <f>IFERROR(F23/D23,"")</f>
        <v>0</v>
      </c>
      <c r="I23" s="9">
        <f>"n/a"</f>
        <v>0</v>
      </c>
    </row>
    <row r="24" spans="1:9">
      <c r="A24" s="4" t="s">
        <v>147</v>
      </c>
      <c r="B24" s="6" t="s">
        <v>148</v>
      </c>
      <c r="C24" s="6">
        <v>2025</v>
      </c>
      <c r="D24" s="7">
        <v>6903117.8</v>
      </c>
      <c r="E24" s="7">
        <v>21357675.874</v>
      </c>
      <c r="F24" s="7">
        <v>2343072.63</v>
      </c>
      <c r="G24" s="7">
        <v>6767349.173</v>
      </c>
      <c r="H24" s="8">
        <f>IFERROR(F24/D24,"")</f>
        <v>0</v>
      </c>
      <c r="I24" s="8">
        <f>IFERROR(G24/E24,"")</f>
        <v>0</v>
      </c>
    </row>
    <row r="25" spans="1:9">
      <c r="A25" s="4" t="s">
        <v>149</v>
      </c>
      <c r="B25" s="6" t="s">
        <v>150</v>
      </c>
      <c r="C25" s="6">
        <v>2019</v>
      </c>
      <c r="D25" s="7">
        <v>23737.313</v>
      </c>
      <c r="E25" s="7">
        <v>4868.22</v>
      </c>
      <c r="F25" s="7">
        <v>0</v>
      </c>
      <c r="G25" s="7">
        <v>0</v>
      </c>
      <c r="H25" s="8">
        <f>IFERROR(F25/D25,"")</f>
        <v>0</v>
      </c>
      <c r="I25" s="8">
        <f>IFERROR(G25/E25,"")</f>
        <v>0</v>
      </c>
    </row>
    <row r="26" spans="1:9">
      <c r="A26" s="4" t="s">
        <v>149</v>
      </c>
      <c r="B26" s="6" t="s">
        <v>150</v>
      </c>
      <c r="C26" s="6">
        <v>2020</v>
      </c>
      <c r="D26" s="7">
        <v>5144.793</v>
      </c>
      <c r="E26" s="7">
        <v>2054.98</v>
      </c>
      <c r="F26" s="7">
        <v>0</v>
      </c>
      <c r="G26" s="7">
        <v>0</v>
      </c>
      <c r="H26" s="8">
        <f>IFERROR(F26/D26,"")</f>
        <v>0</v>
      </c>
      <c r="I26" s="8">
        <f>IFERROR(G26/E26,"")</f>
        <v>0</v>
      </c>
    </row>
    <row r="27" spans="1:9">
      <c r="A27" s="4" t="s">
        <v>149</v>
      </c>
      <c r="B27" s="6" t="s">
        <v>150</v>
      </c>
      <c r="C27" s="6">
        <v>2021</v>
      </c>
      <c r="D27" s="7">
        <v>5861.115</v>
      </c>
      <c r="E27" s="7">
        <v>2836.69</v>
      </c>
      <c r="F27" s="7">
        <v>0</v>
      </c>
      <c r="G27" s="7">
        <v>0</v>
      </c>
      <c r="H27" s="8">
        <f>IFERROR(F27/D27,"")</f>
        <v>0</v>
      </c>
      <c r="I27" s="8">
        <f>IFERROR(G27/E27,"")</f>
        <v>0</v>
      </c>
    </row>
    <row r="28" spans="1:9">
      <c r="A28" s="4" t="s">
        <v>149</v>
      </c>
      <c r="B28" s="6" t="s">
        <v>150</v>
      </c>
      <c r="C28" s="6">
        <v>2022</v>
      </c>
      <c r="D28" s="7">
        <v>5118.163</v>
      </c>
      <c r="E28" s="7">
        <v>2038.98</v>
      </c>
      <c r="F28" s="7">
        <v>0</v>
      </c>
      <c r="G28" s="7">
        <v>0</v>
      </c>
      <c r="H28" s="8">
        <f>IFERROR(F28/D28,"")</f>
        <v>0</v>
      </c>
      <c r="I28" s="8">
        <f>IFERROR(G28/E28,"")</f>
        <v>0</v>
      </c>
    </row>
    <row r="29" spans="1:9">
      <c r="A29" s="4" t="s">
        <v>149</v>
      </c>
      <c r="B29" s="6" t="s">
        <v>150</v>
      </c>
      <c r="C29" s="6">
        <v>2023</v>
      </c>
      <c r="D29" s="7">
        <v>12545.289</v>
      </c>
      <c r="E29" s="7">
        <v>5380.25</v>
      </c>
      <c r="F29" s="7">
        <v>0</v>
      </c>
      <c r="G29" s="7">
        <v>0</v>
      </c>
      <c r="H29" s="8">
        <f>IFERROR(F29/D29,"")</f>
        <v>0</v>
      </c>
      <c r="I29" s="8">
        <f>IFERROR(G29/E29,"")</f>
        <v>0</v>
      </c>
    </row>
    <row r="30" spans="1:9">
      <c r="A30" s="4" t="s">
        <v>149</v>
      </c>
      <c r="B30" s="6" t="s">
        <v>150</v>
      </c>
      <c r="C30" s="6">
        <v>2024</v>
      </c>
      <c r="D30" s="7">
        <v>10312.963</v>
      </c>
      <c r="E30" s="7">
        <v>23387.557</v>
      </c>
      <c r="F30" s="7">
        <v>0</v>
      </c>
      <c r="G30" s="7">
        <v>0</v>
      </c>
      <c r="H30" s="8">
        <f>IFERROR(F30/D30,"")</f>
        <v>0</v>
      </c>
      <c r="I30" s="8">
        <f>IFERROR(G30/E30,"")</f>
        <v>0</v>
      </c>
    </row>
    <row r="31" spans="1:9">
      <c r="A31" s="4" t="s">
        <v>98</v>
      </c>
      <c r="B31" s="6" t="s">
        <v>99</v>
      </c>
      <c r="C31" s="6">
        <v>2019</v>
      </c>
      <c r="D31" s="7">
        <v>53433638.18</v>
      </c>
      <c r="E31" s="7">
        <v>0</v>
      </c>
      <c r="F31" s="7">
        <v>543335.35</v>
      </c>
      <c r="G31" s="7">
        <v>1800515</v>
      </c>
      <c r="H31" s="8">
        <f>IFERROR(F31/D31,"")</f>
        <v>0</v>
      </c>
      <c r="I31" s="9">
        <f>"n/a"</f>
        <v>0</v>
      </c>
    </row>
    <row r="32" spans="1:9">
      <c r="A32" s="4" t="s">
        <v>98</v>
      </c>
      <c r="B32" s="6" t="s">
        <v>99</v>
      </c>
      <c r="C32" s="6">
        <v>2020</v>
      </c>
      <c r="D32" s="7">
        <v>49401721.17</v>
      </c>
      <c r="E32" s="7">
        <v>0</v>
      </c>
      <c r="F32" s="7">
        <v>469003.25</v>
      </c>
      <c r="G32" s="7">
        <v>1670250</v>
      </c>
      <c r="H32" s="8">
        <f>IFERROR(F32/D32,"")</f>
        <v>0</v>
      </c>
      <c r="I32" s="9">
        <f>"n/a"</f>
        <v>0</v>
      </c>
    </row>
    <row r="33" spans="1:9">
      <c r="A33" s="4" t="s">
        <v>98</v>
      </c>
      <c r="B33" s="6" t="s">
        <v>99</v>
      </c>
      <c r="C33" s="6">
        <v>2021</v>
      </c>
      <c r="D33" s="7">
        <v>52206456.39</v>
      </c>
      <c r="E33" s="7">
        <v>0</v>
      </c>
      <c r="F33" s="7">
        <v>386913.61</v>
      </c>
      <c r="G33" s="7">
        <v>1378500</v>
      </c>
      <c r="H33" s="8">
        <f>IFERROR(F33/D33,"")</f>
        <v>0</v>
      </c>
      <c r="I33" s="9">
        <f>"n/a"</f>
        <v>0</v>
      </c>
    </row>
    <row r="34" spans="1:9">
      <c r="A34" s="4" t="s">
        <v>98</v>
      </c>
      <c r="B34" s="6" t="s">
        <v>99</v>
      </c>
      <c r="C34" s="6">
        <v>2022</v>
      </c>
      <c r="D34" s="7">
        <v>112439728.85</v>
      </c>
      <c r="E34" s="7">
        <v>0</v>
      </c>
      <c r="F34" s="7">
        <v>7381925.17</v>
      </c>
      <c r="G34" s="7">
        <v>11311750</v>
      </c>
      <c r="H34" s="8">
        <f>IFERROR(F34/D34,"")</f>
        <v>0</v>
      </c>
      <c r="I34" s="9">
        <f>"n/a"</f>
        <v>0</v>
      </c>
    </row>
    <row r="35" spans="1:9">
      <c r="A35" s="4" t="s">
        <v>98</v>
      </c>
      <c r="B35" s="6" t="s">
        <v>99</v>
      </c>
      <c r="C35" s="6">
        <v>2023</v>
      </c>
      <c r="D35" s="7">
        <v>169666472.71</v>
      </c>
      <c r="E35" s="7">
        <v>0</v>
      </c>
      <c r="F35" s="7">
        <v>20047136.42</v>
      </c>
      <c r="G35" s="7">
        <v>34784603</v>
      </c>
      <c r="H35" s="8">
        <f>IFERROR(F35/D35,"")</f>
        <v>0</v>
      </c>
      <c r="I35" s="9">
        <f>"n/a"</f>
        <v>0</v>
      </c>
    </row>
    <row r="36" spans="1:9">
      <c r="A36" s="4" t="s">
        <v>98</v>
      </c>
      <c r="B36" s="6" t="s">
        <v>99</v>
      </c>
      <c r="C36" s="6">
        <v>2024</v>
      </c>
      <c r="D36" s="7">
        <v>104323612.11</v>
      </c>
      <c r="E36" s="7">
        <v>0</v>
      </c>
      <c r="F36" s="7">
        <v>1260268.42</v>
      </c>
      <c r="G36" s="7">
        <v>2518500</v>
      </c>
      <c r="H36" s="8">
        <f>IFERROR(F36/D36,"")</f>
        <v>0</v>
      </c>
      <c r="I36" s="9">
        <f>"n/a"</f>
        <v>0</v>
      </c>
    </row>
    <row r="37" spans="1:9">
      <c r="A37" s="4" t="s">
        <v>98</v>
      </c>
      <c r="B37" s="6" t="s">
        <v>99</v>
      </c>
      <c r="C37" s="6">
        <v>2025</v>
      </c>
      <c r="D37" s="7">
        <v>132198077.26</v>
      </c>
      <c r="E37" s="7">
        <v>0</v>
      </c>
      <c r="F37" s="7">
        <v>4462220.45</v>
      </c>
      <c r="G37" s="7">
        <v>0</v>
      </c>
      <c r="H37" s="8">
        <f>IFERROR(F37/D37,"")</f>
        <v>0</v>
      </c>
      <c r="I37" s="9">
        <f>"n/a"</f>
        <v>0</v>
      </c>
    </row>
    <row r="38" spans="1:9">
      <c r="A38" s="4" t="s">
        <v>151</v>
      </c>
      <c r="B38" s="6" t="s">
        <v>152</v>
      </c>
      <c r="C38" s="6">
        <v>2019</v>
      </c>
      <c r="D38" s="7">
        <v>5390199.95</v>
      </c>
      <c r="E38" s="7">
        <v>0</v>
      </c>
      <c r="F38" s="7">
        <v>0</v>
      </c>
      <c r="G38" s="7">
        <v>0</v>
      </c>
      <c r="H38" s="8">
        <f>IFERROR(F38/D38,"")</f>
        <v>0</v>
      </c>
      <c r="I38" s="9">
        <f>"n/a"</f>
        <v>0</v>
      </c>
    </row>
    <row r="39" spans="1:9">
      <c r="A39" s="4" t="s">
        <v>151</v>
      </c>
      <c r="B39" s="6" t="s">
        <v>152</v>
      </c>
      <c r="C39" s="6">
        <v>2020</v>
      </c>
      <c r="D39" s="7">
        <v>5819634.09</v>
      </c>
      <c r="E39" s="7">
        <v>0</v>
      </c>
      <c r="F39" s="7">
        <v>0</v>
      </c>
      <c r="G39" s="7">
        <v>0</v>
      </c>
      <c r="H39" s="8">
        <f>IFERROR(F39/D39,"")</f>
        <v>0</v>
      </c>
      <c r="I39" s="9">
        <f>"n/a"</f>
        <v>0</v>
      </c>
    </row>
    <row r="40" spans="1:9">
      <c r="A40" s="4" t="s">
        <v>151</v>
      </c>
      <c r="B40" s="6" t="s">
        <v>152</v>
      </c>
      <c r="C40" s="6">
        <v>2021</v>
      </c>
      <c r="D40" s="7">
        <v>4118132.11</v>
      </c>
      <c r="E40" s="7">
        <v>0</v>
      </c>
      <c r="F40" s="7">
        <v>0</v>
      </c>
      <c r="G40" s="7">
        <v>0</v>
      </c>
      <c r="H40" s="8">
        <f>IFERROR(F40/D40,"")</f>
        <v>0</v>
      </c>
      <c r="I40" s="9">
        <f>"n/a"</f>
        <v>0</v>
      </c>
    </row>
    <row r="41" spans="1:9">
      <c r="A41" s="4" t="s">
        <v>151</v>
      </c>
      <c r="B41" s="6" t="s">
        <v>152</v>
      </c>
      <c r="C41" s="6">
        <v>2022</v>
      </c>
      <c r="D41" s="7">
        <v>4743735.29</v>
      </c>
      <c r="E41" s="7">
        <v>0</v>
      </c>
      <c r="F41" s="7">
        <v>0</v>
      </c>
      <c r="G41" s="7">
        <v>0</v>
      </c>
      <c r="H41" s="8">
        <f>IFERROR(F41/D41,"")</f>
        <v>0</v>
      </c>
      <c r="I41" s="9">
        <f>"n/a"</f>
        <v>0</v>
      </c>
    </row>
    <row r="42" spans="1:9">
      <c r="A42" s="4" t="s">
        <v>151</v>
      </c>
      <c r="B42" s="6" t="s">
        <v>152</v>
      </c>
      <c r="C42" s="6">
        <v>2023</v>
      </c>
      <c r="D42" s="7">
        <v>7061738</v>
      </c>
      <c r="E42" s="7">
        <v>0</v>
      </c>
      <c r="F42" s="7">
        <v>14070</v>
      </c>
      <c r="G42" s="7">
        <v>23000</v>
      </c>
      <c r="H42" s="8">
        <f>IFERROR(F42/D42,"")</f>
        <v>0</v>
      </c>
      <c r="I42" s="9">
        <f>"n/a"</f>
        <v>0</v>
      </c>
    </row>
    <row r="43" spans="1:9">
      <c r="A43" s="4" t="s">
        <v>151</v>
      </c>
      <c r="B43" s="6" t="s">
        <v>152</v>
      </c>
      <c r="C43" s="6">
        <v>2024</v>
      </c>
      <c r="D43" s="7">
        <v>3033844.28</v>
      </c>
      <c r="E43" s="7">
        <v>0</v>
      </c>
      <c r="F43" s="7">
        <v>2061.1</v>
      </c>
      <c r="G43" s="7">
        <v>130.5</v>
      </c>
      <c r="H43" s="8">
        <f>IFERROR(F43/D43,"")</f>
        <v>0</v>
      </c>
      <c r="I43" s="9">
        <f>"n/a"</f>
        <v>0</v>
      </c>
    </row>
    <row r="44" spans="1:9">
      <c r="A44" s="4" t="s">
        <v>151</v>
      </c>
      <c r="B44" s="6" t="s">
        <v>152</v>
      </c>
      <c r="C44" s="6">
        <v>2025</v>
      </c>
      <c r="D44" s="7">
        <v>4985889.65</v>
      </c>
      <c r="E44" s="7">
        <v>0</v>
      </c>
      <c r="F44" s="7">
        <v>0</v>
      </c>
      <c r="G44" s="7">
        <v>0</v>
      </c>
      <c r="H44" s="8">
        <f>IFERROR(F44/D44,"")</f>
        <v>0</v>
      </c>
      <c r="I44" s="9">
        <f>"n/a"</f>
        <v>0</v>
      </c>
    </row>
    <row r="45" spans="1:9">
      <c r="A45" s="4" t="s">
        <v>153</v>
      </c>
      <c r="B45" s="6" t="s">
        <v>154</v>
      </c>
      <c r="C45" s="6">
        <v>2019</v>
      </c>
      <c r="D45" s="7">
        <v>1104.469</v>
      </c>
      <c r="E45" s="7">
        <v>353</v>
      </c>
      <c r="F45" s="7">
        <v>0</v>
      </c>
      <c r="G45" s="7">
        <v>0</v>
      </c>
      <c r="H45" s="8">
        <f>IFERROR(F45/D45,"")</f>
        <v>0</v>
      </c>
      <c r="I45" s="8">
        <f>IFERROR(G45/E45,"")</f>
        <v>0</v>
      </c>
    </row>
    <row r="46" spans="1:9">
      <c r="A46" s="4" t="s">
        <v>153</v>
      </c>
      <c r="B46" s="6" t="s">
        <v>154</v>
      </c>
      <c r="C46" s="6">
        <v>2020</v>
      </c>
      <c r="D46" s="7">
        <v>140.223</v>
      </c>
      <c r="E46" s="7">
        <v>136</v>
      </c>
      <c r="F46" s="7">
        <v>0</v>
      </c>
      <c r="G46" s="7">
        <v>0</v>
      </c>
      <c r="H46" s="8">
        <f>IFERROR(F46/D46,"")</f>
        <v>0</v>
      </c>
      <c r="I46" s="8">
        <f>IFERROR(G46/E46,"")</f>
        <v>0</v>
      </c>
    </row>
    <row r="47" spans="1:9">
      <c r="A47" s="4" t="s">
        <v>153</v>
      </c>
      <c r="B47" s="6" t="s">
        <v>154</v>
      </c>
      <c r="C47" s="6">
        <v>2021</v>
      </c>
      <c r="D47" s="7">
        <v>923.4640000000001</v>
      </c>
      <c r="E47" s="7">
        <v>539</v>
      </c>
      <c r="F47" s="7">
        <v>0</v>
      </c>
      <c r="G47" s="7">
        <v>0</v>
      </c>
      <c r="H47" s="8">
        <f>IFERROR(F47/D47,"")</f>
        <v>0</v>
      </c>
      <c r="I47" s="8">
        <f>IFERROR(G47/E47,"")</f>
        <v>0</v>
      </c>
    </row>
    <row r="48" spans="1:9">
      <c r="A48" s="4" t="s">
        <v>153</v>
      </c>
      <c r="B48" s="6" t="s">
        <v>154</v>
      </c>
      <c r="C48" s="6">
        <v>2022</v>
      </c>
      <c r="D48" s="7">
        <v>8727.374</v>
      </c>
      <c r="E48" s="7">
        <v>278.32</v>
      </c>
      <c r="F48" s="7">
        <v>0</v>
      </c>
      <c r="G48" s="7">
        <v>0</v>
      </c>
      <c r="H48" s="8">
        <f>IFERROR(F48/D48,"")</f>
        <v>0</v>
      </c>
      <c r="I48" s="8">
        <f>IFERROR(G48/E48,"")</f>
        <v>0</v>
      </c>
    </row>
    <row r="49" spans="1:9">
      <c r="A49" s="4" t="s">
        <v>153</v>
      </c>
      <c r="B49" s="6" t="s">
        <v>154</v>
      </c>
      <c r="C49" s="6">
        <v>2023</v>
      </c>
      <c r="D49" s="7">
        <v>2378.771</v>
      </c>
      <c r="E49" s="7">
        <v>433.02</v>
      </c>
      <c r="F49" s="7">
        <v>0</v>
      </c>
      <c r="G49" s="7">
        <v>0</v>
      </c>
      <c r="H49" s="8">
        <f>IFERROR(F49/D49,"")</f>
        <v>0</v>
      </c>
      <c r="I49" s="8">
        <f>IFERROR(G49/E49,"")</f>
        <v>0</v>
      </c>
    </row>
    <row r="50" spans="1:9">
      <c r="A50" s="4" t="s">
        <v>155</v>
      </c>
      <c r="B50" s="6" t="s">
        <v>156</v>
      </c>
      <c r="C50" s="6">
        <v>2019</v>
      </c>
      <c r="D50" s="7">
        <v>72640105.847</v>
      </c>
      <c r="E50" s="7">
        <v>0</v>
      </c>
      <c r="F50" s="7">
        <v>3699795.113</v>
      </c>
      <c r="G50" s="7">
        <v>11285470</v>
      </c>
      <c r="H50" s="8">
        <f>IFERROR(F50/D50,"")</f>
        <v>0</v>
      </c>
      <c r="I50" s="9">
        <f>"n/a"</f>
        <v>0</v>
      </c>
    </row>
    <row r="51" spans="1:9">
      <c r="A51" s="4" t="s">
        <v>155</v>
      </c>
      <c r="B51" s="6" t="s">
        <v>156</v>
      </c>
      <c r="C51" s="6">
        <v>2020</v>
      </c>
      <c r="D51" s="7">
        <v>69433639.794</v>
      </c>
      <c r="E51" s="7">
        <v>0</v>
      </c>
      <c r="F51" s="7">
        <v>3862026.408</v>
      </c>
      <c r="G51" s="7">
        <v>13437500</v>
      </c>
      <c r="H51" s="8">
        <f>IFERROR(F51/D51,"")</f>
        <v>0</v>
      </c>
      <c r="I51" s="9">
        <f>"n/a"</f>
        <v>0</v>
      </c>
    </row>
    <row r="52" spans="1:9">
      <c r="A52" s="4" t="s">
        <v>155</v>
      </c>
      <c r="B52" s="6" t="s">
        <v>156</v>
      </c>
      <c r="C52" s="6">
        <v>2021</v>
      </c>
      <c r="D52" s="7">
        <v>61718252.57</v>
      </c>
      <c r="E52" s="7">
        <v>247046426.541</v>
      </c>
      <c r="F52" s="7">
        <v>3744357.134</v>
      </c>
      <c r="G52" s="7">
        <v>10244303.03</v>
      </c>
      <c r="H52" s="8">
        <f>IFERROR(F52/D52,"")</f>
        <v>0</v>
      </c>
      <c r="I52" s="8">
        <f>IFERROR(G52/E52,"")</f>
        <v>0</v>
      </c>
    </row>
    <row r="53" spans="1:9">
      <c r="A53" s="4" t="s">
        <v>155</v>
      </c>
      <c r="B53" s="6" t="s">
        <v>156</v>
      </c>
      <c r="C53" s="6">
        <v>2022</v>
      </c>
      <c r="D53" s="7">
        <v>101274861.919</v>
      </c>
      <c r="E53" s="7">
        <v>279217606.18</v>
      </c>
      <c r="F53" s="7">
        <v>7422298.636</v>
      </c>
      <c r="G53" s="7">
        <v>12797523</v>
      </c>
      <c r="H53" s="8">
        <f>IFERROR(F53/D53,"")</f>
        <v>0</v>
      </c>
      <c r="I53" s="8">
        <f>IFERROR(G53/E53,"")</f>
        <v>0</v>
      </c>
    </row>
    <row r="54" spans="1:9">
      <c r="A54" s="4" t="s">
        <v>155</v>
      </c>
      <c r="B54" s="6" t="s">
        <v>156</v>
      </c>
      <c r="C54" s="6">
        <v>2023</v>
      </c>
      <c r="D54" s="7">
        <v>97480980.44499999</v>
      </c>
      <c r="E54" s="7">
        <v>237323395</v>
      </c>
      <c r="F54" s="7">
        <v>12906425.801</v>
      </c>
      <c r="G54" s="7">
        <v>32835266</v>
      </c>
      <c r="H54" s="8">
        <f>IFERROR(F54/D54,"")</f>
        <v>0</v>
      </c>
      <c r="I54" s="8">
        <f>IFERROR(G54/E54,"")</f>
        <v>0</v>
      </c>
    </row>
    <row r="55" spans="1:9">
      <c r="A55" s="4" t="s">
        <v>155</v>
      </c>
      <c r="B55" s="6" t="s">
        <v>156</v>
      </c>
      <c r="C55" s="6">
        <v>2024</v>
      </c>
      <c r="D55" s="7">
        <v>62837821.393</v>
      </c>
      <c r="E55" s="7">
        <v>198517756.43</v>
      </c>
      <c r="F55" s="7">
        <v>6435441.567</v>
      </c>
      <c r="G55" s="7">
        <v>16574713.4</v>
      </c>
      <c r="H55" s="8">
        <f>IFERROR(F55/D55,"")</f>
        <v>0</v>
      </c>
      <c r="I55" s="8">
        <f>IFERROR(G55/E55,"")</f>
        <v>0</v>
      </c>
    </row>
    <row r="56" spans="1:9">
      <c r="A56" s="4" t="s">
        <v>155</v>
      </c>
      <c r="B56" s="6" t="s">
        <v>156</v>
      </c>
      <c r="C56" s="6">
        <v>2025</v>
      </c>
      <c r="D56" s="7">
        <v>45456498.058</v>
      </c>
      <c r="E56" s="7">
        <v>164494877.07</v>
      </c>
      <c r="F56" s="7">
        <v>4354279.605</v>
      </c>
      <c r="G56" s="7">
        <v>13245130.23</v>
      </c>
      <c r="H56" s="8">
        <f>IFERROR(F56/D56,"")</f>
        <v>0</v>
      </c>
      <c r="I56" s="8">
        <f>IFERROR(G56/E56,"")</f>
        <v>0</v>
      </c>
    </row>
    <row r="57" spans="1:9">
      <c r="A57" s="4" t="s">
        <v>157</v>
      </c>
      <c r="B57" s="6" t="s">
        <v>158</v>
      </c>
      <c r="C57" s="6">
        <v>2019</v>
      </c>
      <c r="D57" s="7">
        <v>23347918.353</v>
      </c>
      <c r="E57" s="7">
        <v>100324363</v>
      </c>
      <c r="F57" s="7">
        <v>320.233</v>
      </c>
      <c r="G57" s="7">
        <v>624</v>
      </c>
      <c r="H57" s="8">
        <f>IFERROR(F57/D57,"")</f>
        <v>0</v>
      </c>
      <c r="I57" s="8">
        <f>IFERROR(G57/E57,"")</f>
        <v>0</v>
      </c>
    </row>
    <row r="58" spans="1:9">
      <c r="A58" s="4" t="s">
        <v>157</v>
      </c>
      <c r="B58" s="6" t="s">
        <v>158</v>
      </c>
      <c r="C58" s="6">
        <v>2020</v>
      </c>
      <c r="D58" s="7">
        <v>23383733.049</v>
      </c>
      <c r="E58" s="7">
        <v>0</v>
      </c>
      <c r="F58" s="7">
        <v>0</v>
      </c>
      <c r="G58" s="7">
        <v>0</v>
      </c>
      <c r="H58" s="8">
        <f>IFERROR(F58/D58,"")</f>
        <v>0</v>
      </c>
      <c r="I58" s="9">
        <f>"n/a"</f>
        <v>0</v>
      </c>
    </row>
    <row r="59" spans="1:9">
      <c r="A59" s="4" t="s">
        <v>157</v>
      </c>
      <c r="B59" s="6" t="s">
        <v>158</v>
      </c>
      <c r="C59" s="6">
        <v>2021</v>
      </c>
      <c r="D59" s="7">
        <v>22721382.816</v>
      </c>
      <c r="E59" s="7">
        <v>0</v>
      </c>
      <c r="F59" s="7">
        <v>0</v>
      </c>
      <c r="G59" s="7">
        <v>0</v>
      </c>
      <c r="H59" s="8">
        <f>IFERROR(F59/D59,"")</f>
        <v>0</v>
      </c>
      <c r="I59" s="9">
        <f>"n/a"</f>
        <v>0</v>
      </c>
    </row>
    <row r="60" spans="1:9">
      <c r="A60" s="4" t="s">
        <v>157</v>
      </c>
      <c r="B60" s="6" t="s">
        <v>158</v>
      </c>
      <c r="C60" s="6">
        <v>2022</v>
      </c>
      <c r="D60" s="7">
        <v>31181612.373</v>
      </c>
      <c r="E60" s="7">
        <v>86037390</v>
      </c>
      <c r="F60" s="7">
        <v>14801.652</v>
      </c>
      <c r="G60" s="7">
        <v>26886</v>
      </c>
      <c r="H60" s="8">
        <f>IFERROR(F60/D60,"")</f>
        <v>0</v>
      </c>
      <c r="I60" s="8">
        <f>IFERROR(G60/E60,"")</f>
        <v>0</v>
      </c>
    </row>
    <row r="61" spans="1:9">
      <c r="A61" s="4" t="s">
        <v>157</v>
      </c>
      <c r="B61" s="6" t="s">
        <v>158</v>
      </c>
      <c r="C61" s="6">
        <v>2023</v>
      </c>
      <c r="D61" s="7">
        <v>33472016.312</v>
      </c>
      <c r="E61" s="7">
        <v>77844613</v>
      </c>
      <c r="F61" s="7">
        <v>3146.492</v>
      </c>
      <c r="G61" s="7">
        <v>1160</v>
      </c>
      <c r="H61" s="8">
        <f>IFERROR(F61/D61,"")</f>
        <v>0</v>
      </c>
      <c r="I61" s="8">
        <f>IFERROR(G61/E61,"")</f>
        <v>0</v>
      </c>
    </row>
    <row r="62" spans="1:9">
      <c r="A62" s="4" t="s">
        <v>157</v>
      </c>
      <c r="B62" s="6" t="s">
        <v>158</v>
      </c>
      <c r="C62" s="6">
        <v>2024</v>
      </c>
      <c r="D62" s="7">
        <v>30208935.572</v>
      </c>
      <c r="E62" s="7">
        <v>81016354.14</v>
      </c>
      <c r="F62" s="7">
        <v>24784.348</v>
      </c>
      <c r="G62" s="7">
        <v>7808</v>
      </c>
      <c r="H62" s="8">
        <f>IFERROR(F62/D62,"")</f>
        <v>0</v>
      </c>
      <c r="I62" s="8">
        <f>IFERROR(G62/E62,"")</f>
        <v>0</v>
      </c>
    </row>
    <row r="63" spans="1:9">
      <c r="A63" s="4" t="s">
        <v>157</v>
      </c>
      <c r="B63" s="6" t="s">
        <v>158</v>
      </c>
      <c r="C63" s="6">
        <v>2025</v>
      </c>
      <c r="D63" s="7">
        <v>26961222.334</v>
      </c>
      <c r="E63" s="7">
        <v>73244817.558</v>
      </c>
      <c r="F63" s="7">
        <v>9.039999999999999</v>
      </c>
      <c r="G63" s="7">
        <v>24.558</v>
      </c>
      <c r="H63" s="8">
        <f>IFERROR(F63/D63,"")</f>
        <v>0</v>
      </c>
      <c r="I63" s="8">
        <f>IFERROR(G63/E63,"")</f>
        <v>0</v>
      </c>
    </row>
    <row r="64" spans="1:9">
      <c r="A64" s="4" t="s">
        <v>159</v>
      </c>
      <c r="B64" s="6" t="s">
        <v>160</v>
      </c>
      <c r="C64" s="6">
        <v>2019</v>
      </c>
      <c r="D64" s="7">
        <v>1776376.75</v>
      </c>
      <c r="E64" s="7">
        <v>0</v>
      </c>
      <c r="F64" s="7">
        <v>0</v>
      </c>
      <c r="G64" s="7">
        <v>0</v>
      </c>
      <c r="H64" s="8">
        <f>IFERROR(F64/D64,"")</f>
        <v>0</v>
      </c>
      <c r="I64" s="9">
        <f>"n/a"</f>
        <v>0</v>
      </c>
    </row>
    <row r="65" spans="1:9">
      <c r="A65" s="4" t="s">
        <v>159</v>
      </c>
      <c r="B65" s="6" t="s">
        <v>160</v>
      </c>
      <c r="C65" s="6">
        <v>2020</v>
      </c>
      <c r="D65" s="7">
        <v>2616169.71</v>
      </c>
      <c r="E65" s="7">
        <v>0</v>
      </c>
      <c r="F65" s="7">
        <v>0</v>
      </c>
      <c r="G65" s="7">
        <v>0</v>
      </c>
      <c r="H65" s="8">
        <f>IFERROR(F65/D65,"")</f>
        <v>0</v>
      </c>
      <c r="I65" s="9">
        <f>"n/a"</f>
        <v>0</v>
      </c>
    </row>
    <row r="66" spans="1:9">
      <c r="A66" s="4" t="s">
        <v>159</v>
      </c>
      <c r="B66" s="6" t="s">
        <v>160</v>
      </c>
      <c r="C66" s="6">
        <v>2021</v>
      </c>
      <c r="D66" s="7">
        <v>4321928.25</v>
      </c>
      <c r="E66" s="7">
        <v>0</v>
      </c>
      <c r="F66" s="7">
        <v>0</v>
      </c>
      <c r="G66" s="7">
        <v>0</v>
      </c>
      <c r="H66" s="8">
        <f>IFERROR(F66/D66,"")</f>
        <v>0</v>
      </c>
      <c r="I66" s="9">
        <f>"n/a"</f>
        <v>0</v>
      </c>
    </row>
    <row r="67" spans="1:9">
      <c r="A67" s="4" t="s">
        <v>159</v>
      </c>
      <c r="B67" s="6" t="s">
        <v>160</v>
      </c>
      <c r="C67" s="6">
        <v>2022</v>
      </c>
      <c r="D67" s="7">
        <v>6737708.74</v>
      </c>
      <c r="E67" s="7">
        <v>0</v>
      </c>
      <c r="F67" s="7">
        <v>0</v>
      </c>
      <c r="G67" s="7">
        <v>0</v>
      </c>
      <c r="H67" s="8">
        <f>IFERROR(F67/D67,"")</f>
        <v>0</v>
      </c>
      <c r="I67" s="9">
        <f>"n/a"</f>
        <v>0</v>
      </c>
    </row>
    <row r="68" spans="1:9">
      <c r="A68" s="4" t="s">
        <v>159</v>
      </c>
      <c r="B68" s="6" t="s">
        <v>160</v>
      </c>
      <c r="C68" s="6">
        <v>2023</v>
      </c>
      <c r="D68" s="7">
        <v>8330889.36</v>
      </c>
      <c r="E68" s="7">
        <v>25889680.104</v>
      </c>
      <c r="F68" s="7">
        <v>39000</v>
      </c>
      <c r="G68" s="7">
        <v>48000</v>
      </c>
      <c r="H68" s="8">
        <f>IFERROR(F68/D68,"")</f>
        <v>0</v>
      </c>
      <c r="I68" s="8">
        <f>IFERROR(G68/E68,"")</f>
        <v>0</v>
      </c>
    </row>
    <row r="69" spans="1:9">
      <c r="A69" s="4" t="s">
        <v>159</v>
      </c>
      <c r="B69" s="6" t="s">
        <v>160</v>
      </c>
      <c r="C69" s="6">
        <v>2024</v>
      </c>
      <c r="D69" s="7">
        <v>7537861.83</v>
      </c>
      <c r="E69" s="7">
        <v>25188361.8</v>
      </c>
      <c r="F69" s="7">
        <v>0</v>
      </c>
      <c r="G69" s="7">
        <v>0</v>
      </c>
      <c r="H69" s="8">
        <f>IFERROR(F69/D69,"")</f>
        <v>0</v>
      </c>
      <c r="I69" s="8">
        <f>IFERROR(G69/E69,"")</f>
        <v>0</v>
      </c>
    </row>
    <row r="70" spans="1:9">
      <c r="A70" s="4" t="s">
        <v>159</v>
      </c>
      <c r="B70" s="6" t="s">
        <v>160</v>
      </c>
      <c r="C70" s="6">
        <v>2025</v>
      </c>
      <c r="D70" s="7">
        <v>7234647.64</v>
      </c>
      <c r="E70" s="7">
        <v>0</v>
      </c>
      <c r="F70" s="7">
        <v>0</v>
      </c>
      <c r="G70" s="7">
        <v>0</v>
      </c>
      <c r="H70" s="8">
        <f>IFERROR(F70/D70,"")</f>
        <v>0</v>
      </c>
      <c r="I70" s="9">
        <f>"n/a"</f>
        <v>0</v>
      </c>
    </row>
    <row r="71" spans="1:9">
      <c r="A71" s="4" t="s">
        <v>161</v>
      </c>
      <c r="B71" s="6" t="s">
        <v>162</v>
      </c>
      <c r="C71" s="6">
        <v>2019</v>
      </c>
      <c r="D71" s="7">
        <v>6528.954</v>
      </c>
      <c r="E71" s="7">
        <v>1085.446</v>
      </c>
      <c r="F71" s="7">
        <v>0</v>
      </c>
      <c r="G71" s="7">
        <v>0</v>
      </c>
      <c r="H71" s="8">
        <f>IFERROR(F71/D71,"")</f>
        <v>0</v>
      </c>
      <c r="I71" s="8">
        <f>IFERROR(G71/E71,"")</f>
        <v>0</v>
      </c>
    </row>
    <row r="72" spans="1:9">
      <c r="A72" s="4" t="s">
        <v>161</v>
      </c>
      <c r="B72" s="6" t="s">
        <v>162</v>
      </c>
      <c r="C72" s="6">
        <v>2020</v>
      </c>
      <c r="D72" s="7">
        <v>221</v>
      </c>
      <c r="E72" s="7">
        <v>4.99</v>
      </c>
      <c r="F72" s="7">
        <v>0</v>
      </c>
      <c r="G72" s="7">
        <v>0</v>
      </c>
      <c r="H72" s="8">
        <f>IFERROR(F72/D72,"")</f>
        <v>0</v>
      </c>
      <c r="I72" s="8">
        <f>IFERROR(G72/E72,"")</f>
        <v>0</v>
      </c>
    </row>
    <row r="73" spans="1:9">
      <c r="A73" s="4" t="s">
        <v>161</v>
      </c>
      <c r="B73" s="6" t="s">
        <v>162</v>
      </c>
      <c r="C73" s="6">
        <v>2021</v>
      </c>
      <c r="D73" s="7">
        <v>2465</v>
      </c>
      <c r="E73" s="7">
        <v>5454.176</v>
      </c>
      <c r="F73" s="7">
        <v>0</v>
      </c>
      <c r="G73" s="7">
        <v>0</v>
      </c>
      <c r="H73" s="8">
        <f>IFERROR(F73/D73,"")</f>
        <v>0</v>
      </c>
      <c r="I73" s="8">
        <f>IFERROR(G73/E73,"")</f>
        <v>0</v>
      </c>
    </row>
    <row r="74" spans="1:9">
      <c r="A74" s="4" t="s">
        <v>161</v>
      </c>
      <c r="B74" s="6" t="s">
        <v>162</v>
      </c>
      <c r="C74" s="6">
        <v>2022</v>
      </c>
      <c r="D74" s="7">
        <v>2897</v>
      </c>
      <c r="E74" s="7">
        <v>605.008</v>
      </c>
      <c r="F74" s="7">
        <v>0</v>
      </c>
      <c r="G74" s="7">
        <v>0</v>
      </c>
      <c r="H74" s="8">
        <f>IFERROR(F74/D74,"")</f>
        <v>0</v>
      </c>
      <c r="I74" s="8">
        <f>IFERROR(G74/E74,"")</f>
        <v>0</v>
      </c>
    </row>
    <row r="75" spans="1:9">
      <c r="A75" s="4" t="s">
        <v>161</v>
      </c>
      <c r="B75" s="6" t="s">
        <v>162</v>
      </c>
      <c r="C75" s="6">
        <v>2023</v>
      </c>
      <c r="D75" s="7">
        <v>3975</v>
      </c>
      <c r="E75" s="7">
        <v>734.739</v>
      </c>
      <c r="F75" s="7">
        <v>0</v>
      </c>
      <c r="G75" s="7">
        <v>0</v>
      </c>
      <c r="H75" s="8">
        <f>IFERROR(F75/D75,"")</f>
        <v>0</v>
      </c>
      <c r="I75" s="8">
        <f>IFERROR(G75/E75,"")</f>
        <v>0</v>
      </c>
    </row>
    <row r="76" spans="1:9">
      <c r="A76" s="4" t="s">
        <v>161</v>
      </c>
      <c r="B76" s="6" t="s">
        <v>162</v>
      </c>
      <c r="C76" s="6">
        <v>2024</v>
      </c>
      <c r="D76" s="7">
        <v>8146</v>
      </c>
      <c r="E76" s="7">
        <v>966.151</v>
      </c>
      <c r="F76" s="7">
        <v>0</v>
      </c>
      <c r="G76" s="7">
        <v>0</v>
      </c>
      <c r="H76" s="8">
        <f>IFERROR(F76/D76,"")</f>
        <v>0</v>
      </c>
      <c r="I76" s="8">
        <f>IFERROR(G76/E76,"")</f>
        <v>0</v>
      </c>
    </row>
    <row r="77" spans="1:9">
      <c r="A77" s="4" t="s">
        <v>163</v>
      </c>
      <c r="B77" s="6" t="s">
        <v>164</v>
      </c>
      <c r="C77" s="6">
        <v>2019</v>
      </c>
      <c r="D77" s="7">
        <v>856146.54</v>
      </c>
      <c r="E77" s="7">
        <v>0</v>
      </c>
      <c r="F77" s="7">
        <v>184145.3</v>
      </c>
      <c r="G77" s="7">
        <v>363000</v>
      </c>
      <c r="H77" s="8">
        <f>IFERROR(F77/D77,"")</f>
        <v>0</v>
      </c>
      <c r="I77" s="9">
        <f>"n/a"</f>
        <v>0</v>
      </c>
    </row>
    <row r="78" spans="1:9">
      <c r="A78" s="4" t="s">
        <v>163</v>
      </c>
      <c r="B78" s="6" t="s">
        <v>164</v>
      </c>
      <c r="C78" s="6">
        <v>2020</v>
      </c>
      <c r="D78" s="7">
        <v>657175.74</v>
      </c>
      <c r="E78" s="7">
        <v>0</v>
      </c>
      <c r="F78" s="7">
        <v>143726.96</v>
      </c>
      <c r="G78" s="7">
        <v>317883</v>
      </c>
      <c r="H78" s="8">
        <f>IFERROR(F78/D78,"")</f>
        <v>0</v>
      </c>
      <c r="I78" s="9">
        <f>"n/a"</f>
        <v>0</v>
      </c>
    </row>
    <row r="79" spans="1:9">
      <c r="A79" s="4" t="s">
        <v>163</v>
      </c>
      <c r="B79" s="6" t="s">
        <v>164</v>
      </c>
      <c r="C79" s="6">
        <v>2021</v>
      </c>
      <c r="D79" s="7">
        <v>1256225.023</v>
      </c>
      <c r="E79" s="7">
        <v>0</v>
      </c>
      <c r="F79" s="7">
        <v>65409.308</v>
      </c>
      <c r="G79" s="7">
        <v>146000</v>
      </c>
      <c r="H79" s="8">
        <f>IFERROR(F79/D79,"")</f>
        <v>0</v>
      </c>
      <c r="I79" s="9">
        <f>"n/a"</f>
        <v>0</v>
      </c>
    </row>
    <row r="80" spans="1:9">
      <c r="A80" s="4" t="s">
        <v>163</v>
      </c>
      <c r="B80" s="6" t="s">
        <v>164</v>
      </c>
      <c r="C80" s="6">
        <v>2022</v>
      </c>
      <c r="D80" s="7">
        <v>1230093.268</v>
      </c>
      <c r="E80" s="7">
        <v>0</v>
      </c>
      <c r="F80" s="7">
        <v>141402.553</v>
      </c>
      <c r="G80" s="7">
        <v>173120</v>
      </c>
      <c r="H80" s="8">
        <f>IFERROR(F80/D80,"")</f>
        <v>0</v>
      </c>
      <c r="I80" s="9">
        <f>"n/a"</f>
        <v>0</v>
      </c>
    </row>
    <row r="81" spans="1:9">
      <c r="A81" s="4" t="s">
        <v>163</v>
      </c>
      <c r="B81" s="6" t="s">
        <v>164</v>
      </c>
      <c r="C81" s="6">
        <v>2023</v>
      </c>
      <c r="D81" s="7">
        <v>1463342.118</v>
      </c>
      <c r="E81" s="7">
        <v>3344437.913</v>
      </c>
      <c r="F81" s="7">
        <v>534288.2879999999</v>
      </c>
      <c r="G81" s="7">
        <v>1221104.748</v>
      </c>
      <c r="H81" s="8">
        <f>IFERROR(F81/D81,"")</f>
        <v>0</v>
      </c>
      <c r="I81" s="8">
        <f>IFERROR(G81/E81,"")</f>
        <v>0</v>
      </c>
    </row>
    <row r="82" spans="1:9">
      <c r="A82" s="4" t="s">
        <v>163</v>
      </c>
      <c r="B82" s="6" t="s">
        <v>164</v>
      </c>
      <c r="C82" s="6">
        <v>2024</v>
      </c>
      <c r="D82" s="7">
        <v>1310261.06</v>
      </c>
      <c r="E82" s="7">
        <v>0</v>
      </c>
      <c r="F82" s="7">
        <v>29023.989</v>
      </c>
      <c r="G82" s="7">
        <v>60000</v>
      </c>
      <c r="H82" s="8">
        <f>IFERROR(F82/D82,"")</f>
        <v>0</v>
      </c>
      <c r="I82" s="9">
        <f>"n/a"</f>
        <v>0</v>
      </c>
    </row>
    <row r="83" spans="1:9">
      <c r="A83" s="4" t="s">
        <v>165</v>
      </c>
      <c r="B83" s="6" t="s">
        <v>166</v>
      </c>
      <c r="C83" s="6">
        <v>2019</v>
      </c>
      <c r="D83" s="7">
        <v>3012</v>
      </c>
      <c r="E83" s="7">
        <v>2965.615</v>
      </c>
      <c r="F83" s="7">
        <v>0</v>
      </c>
      <c r="G83" s="7">
        <v>0</v>
      </c>
      <c r="H83" s="8">
        <f>IFERROR(F83/D83,"")</f>
        <v>0</v>
      </c>
      <c r="I83" s="8">
        <f>IFERROR(G83/E83,"")</f>
        <v>0</v>
      </c>
    </row>
    <row r="84" spans="1:9">
      <c r="A84" s="4" t="s">
        <v>165</v>
      </c>
      <c r="B84" s="6" t="s">
        <v>166</v>
      </c>
      <c r="C84" s="6">
        <v>2020</v>
      </c>
      <c r="D84" s="7">
        <v>1723.5</v>
      </c>
      <c r="E84" s="7">
        <v>919</v>
      </c>
      <c r="F84" s="7">
        <v>0</v>
      </c>
      <c r="G84" s="7">
        <v>0</v>
      </c>
      <c r="H84" s="8">
        <f>IFERROR(F84/D84,"")</f>
        <v>0</v>
      </c>
      <c r="I84" s="8">
        <f>IFERROR(G84/E84,"")</f>
        <v>0</v>
      </c>
    </row>
    <row r="85" spans="1:9">
      <c r="A85" s="4" t="s">
        <v>165</v>
      </c>
      <c r="B85" s="6" t="s">
        <v>166</v>
      </c>
      <c r="C85" s="6">
        <v>2021</v>
      </c>
      <c r="D85" s="7">
        <v>2079</v>
      </c>
      <c r="E85" s="7">
        <v>687</v>
      </c>
      <c r="F85" s="7">
        <v>0</v>
      </c>
      <c r="G85" s="7">
        <v>0</v>
      </c>
      <c r="H85" s="8">
        <f>IFERROR(F85/D85,"")</f>
        <v>0</v>
      </c>
      <c r="I85" s="8">
        <f>IFERROR(G85/E85,"")</f>
        <v>0</v>
      </c>
    </row>
    <row r="86" spans="1:9">
      <c r="A86" s="4" t="s">
        <v>165</v>
      </c>
      <c r="B86" s="6" t="s">
        <v>166</v>
      </c>
      <c r="C86" s="6">
        <v>2022</v>
      </c>
      <c r="D86" s="7">
        <v>2328.5</v>
      </c>
      <c r="E86" s="7">
        <v>1001</v>
      </c>
      <c r="F86" s="7">
        <v>0</v>
      </c>
      <c r="G86" s="7">
        <v>0</v>
      </c>
      <c r="H86" s="8">
        <f>IFERROR(F86/D86,"")</f>
        <v>0</v>
      </c>
      <c r="I86" s="8">
        <f>IFERROR(G86/E86,"")</f>
        <v>0</v>
      </c>
    </row>
    <row r="87" spans="1:9">
      <c r="A87" s="4" t="s">
        <v>165</v>
      </c>
      <c r="B87" s="6" t="s">
        <v>166</v>
      </c>
      <c r="C87" s="6">
        <v>2023</v>
      </c>
      <c r="D87" s="7">
        <v>2961.5</v>
      </c>
      <c r="E87" s="7">
        <v>1433</v>
      </c>
      <c r="F87" s="7">
        <v>0</v>
      </c>
      <c r="G87" s="7">
        <v>0</v>
      </c>
      <c r="H87" s="8">
        <f>IFERROR(F87/D87,"")</f>
        <v>0</v>
      </c>
      <c r="I87" s="8">
        <f>IFERROR(G87/E87,"")</f>
        <v>0</v>
      </c>
    </row>
    <row r="88" spans="1:9">
      <c r="A88" s="4" t="s">
        <v>165</v>
      </c>
      <c r="B88" s="6" t="s">
        <v>166</v>
      </c>
      <c r="C88" s="6">
        <v>2024</v>
      </c>
      <c r="D88" s="7">
        <v>8646</v>
      </c>
      <c r="E88" s="7">
        <v>3175</v>
      </c>
      <c r="F88" s="7">
        <v>0</v>
      </c>
      <c r="G88" s="7">
        <v>0</v>
      </c>
      <c r="H88" s="8">
        <f>IFERROR(F88/D88,"")</f>
        <v>0</v>
      </c>
      <c r="I88" s="8">
        <f>IFERROR(G88/E88,"")</f>
        <v>0</v>
      </c>
    </row>
    <row r="89" spans="1:9">
      <c r="A89" s="4" t="s">
        <v>165</v>
      </c>
      <c r="B89" s="6" t="s">
        <v>166</v>
      </c>
      <c r="C89" s="6">
        <v>2025</v>
      </c>
      <c r="D89" s="7">
        <v>5922</v>
      </c>
      <c r="E89" s="7">
        <v>3334</v>
      </c>
      <c r="F89" s="7">
        <v>0</v>
      </c>
      <c r="G89" s="7">
        <v>0</v>
      </c>
      <c r="H89" s="8">
        <f>IFERROR(F89/D89,"")</f>
        <v>0</v>
      </c>
      <c r="I89" s="8">
        <f>IFERROR(G89/E89,"")</f>
        <v>0</v>
      </c>
    </row>
    <row r="90" spans="1:9">
      <c r="A90" s="4" t="s">
        <v>167</v>
      </c>
      <c r="B90" s="6" t="s">
        <v>168</v>
      </c>
      <c r="C90" s="6">
        <v>2019</v>
      </c>
      <c r="D90" s="7">
        <v>43616400</v>
      </c>
      <c r="E90" s="7">
        <v>0</v>
      </c>
      <c r="F90" s="7">
        <v>0</v>
      </c>
      <c r="G90" s="7">
        <v>0</v>
      </c>
      <c r="H90" s="8">
        <f>IFERROR(F90/D90,"")</f>
        <v>0</v>
      </c>
      <c r="I90" s="9">
        <f>"n/a"</f>
        <v>0</v>
      </c>
    </row>
    <row r="91" spans="1:9">
      <c r="A91" s="4" t="s">
        <v>167</v>
      </c>
      <c r="B91" s="6" t="s">
        <v>168</v>
      </c>
      <c r="C91" s="6">
        <v>2020</v>
      </c>
      <c r="D91" s="7">
        <v>36171600</v>
      </c>
      <c r="E91" s="7">
        <v>0</v>
      </c>
      <c r="F91" s="7">
        <v>100</v>
      </c>
      <c r="G91" s="7">
        <v>271</v>
      </c>
      <c r="H91" s="8">
        <f>IFERROR(F91/D91,"")</f>
        <v>0</v>
      </c>
      <c r="I91" s="9">
        <f>"n/a"</f>
        <v>0</v>
      </c>
    </row>
    <row r="92" spans="1:9">
      <c r="A92" s="4" t="s">
        <v>167</v>
      </c>
      <c r="B92" s="6" t="s">
        <v>168</v>
      </c>
      <c r="C92" s="6">
        <v>2021</v>
      </c>
      <c r="D92" s="7">
        <v>34100300</v>
      </c>
      <c r="E92" s="7">
        <v>175597628.889</v>
      </c>
      <c r="F92" s="7">
        <v>0</v>
      </c>
      <c r="G92" s="7">
        <v>0</v>
      </c>
      <c r="H92" s="8">
        <f>IFERROR(F92/D92,"")</f>
        <v>0</v>
      </c>
      <c r="I92" s="8">
        <f>IFERROR(G92/E92,"")</f>
        <v>0</v>
      </c>
    </row>
    <row r="93" spans="1:9">
      <c r="A93" s="4" t="s">
        <v>125</v>
      </c>
      <c r="B93" s="6" t="s">
        <v>126</v>
      </c>
      <c r="C93" s="6">
        <v>2019</v>
      </c>
      <c r="D93" s="7">
        <v>41056887.384</v>
      </c>
      <c r="E93" s="7">
        <v>0</v>
      </c>
      <c r="F93" s="7">
        <v>191824.885</v>
      </c>
      <c r="G93" s="7">
        <v>555780.425</v>
      </c>
      <c r="H93" s="8">
        <f>IFERROR(F93/D93,"")</f>
        <v>0</v>
      </c>
      <c r="I93" s="9">
        <f>"n/a"</f>
        <v>0</v>
      </c>
    </row>
    <row r="94" spans="1:9">
      <c r="A94" s="4" t="s">
        <v>125</v>
      </c>
      <c r="B94" s="6" t="s">
        <v>126</v>
      </c>
      <c r="C94" s="6">
        <v>2020</v>
      </c>
      <c r="D94" s="7">
        <v>36284162.091</v>
      </c>
      <c r="E94" s="7">
        <v>0</v>
      </c>
      <c r="F94" s="7">
        <v>0</v>
      </c>
      <c r="G94" s="7">
        <v>0</v>
      </c>
      <c r="H94" s="8">
        <f>IFERROR(F94/D94,"")</f>
        <v>0</v>
      </c>
      <c r="I94" s="9">
        <f>"n/a"</f>
        <v>0</v>
      </c>
    </row>
    <row r="95" spans="1:9">
      <c r="A95" s="4" t="s">
        <v>125</v>
      </c>
      <c r="B95" s="6" t="s">
        <v>126</v>
      </c>
      <c r="C95" s="6">
        <v>2021</v>
      </c>
      <c r="D95" s="7">
        <v>48351632.279</v>
      </c>
      <c r="E95" s="7">
        <v>0</v>
      </c>
      <c r="F95" s="7">
        <v>1008.298</v>
      </c>
      <c r="G95" s="7">
        <v>2450.73</v>
      </c>
      <c r="H95" s="8">
        <f>IFERROR(F95/D95,"")</f>
        <v>0</v>
      </c>
      <c r="I95" s="9">
        <f>"n/a"</f>
        <v>0</v>
      </c>
    </row>
    <row r="96" spans="1:9">
      <c r="A96" s="4" t="s">
        <v>125</v>
      </c>
      <c r="B96" s="6" t="s">
        <v>126</v>
      </c>
      <c r="C96" s="6">
        <v>2022</v>
      </c>
      <c r="D96" s="7">
        <v>74783920.71799999</v>
      </c>
      <c r="E96" s="7">
        <v>0</v>
      </c>
      <c r="F96" s="7">
        <v>358.389</v>
      </c>
      <c r="G96" s="7">
        <v>24.91</v>
      </c>
      <c r="H96" s="8">
        <f>IFERROR(F96/D96,"")</f>
        <v>0</v>
      </c>
      <c r="I96" s="9">
        <f>"n/a"</f>
        <v>0</v>
      </c>
    </row>
    <row r="97" spans="1:9">
      <c r="A97" s="4" t="s">
        <v>125</v>
      </c>
      <c r="B97" s="6" t="s">
        <v>126</v>
      </c>
      <c r="C97" s="6">
        <v>2023</v>
      </c>
      <c r="D97" s="7">
        <v>70899565.65700001</v>
      </c>
      <c r="E97" s="7">
        <v>167388000.598</v>
      </c>
      <c r="F97" s="7">
        <v>175013.523</v>
      </c>
      <c r="G97" s="7">
        <v>540810</v>
      </c>
      <c r="H97" s="8">
        <f>IFERROR(F97/D97,"")</f>
        <v>0</v>
      </c>
      <c r="I97" s="8">
        <f>IFERROR(G97/E97,"")</f>
        <v>0</v>
      </c>
    </row>
    <row r="98" spans="1:9">
      <c r="A98" s="4" t="s">
        <v>125</v>
      </c>
      <c r="B98" s="6" t="s">
        <v>126</v>
      </c>
      <c r="C98" s="6">
        <v>2024</v>
      </c>
      <c r="D98" s="7">
        <v>69129732.653</v>
      </c>
      <c r="E98" s="7">
        <v>0</v>
      </c>
      <c r="F98" s="7">
        <v>0</v>
      </c>
      <c r="G98" s="7">
        <v>0</v>
      </c>
      <c r="H98" s="8">
        <f>IFERROR(F98/D98,"")</f>
        <v>0</v>
      </c>
      <c r="I98" s="9">
        <f>"n/a"</f>
        <v>0</v>
      </c>
    </row>
    <row r="99" spans="1:9">
      <c r="A99" s="4" t="s">
        <v>125</v>
      </c>
      <c r="B99" s="6" t="s">
        <v>126</v>
      </c>
      <c r="C99" s="6">
        <v>2025</v>
      </c>
      <c r="D99" s="7">
        <v>63316345.532</v>
      </c>
      <c r="E99" s="7">
        <v>0</v>
      </c>
      <c r="F99" s="7">
        <v>110310.796</v>
      </c>
      <c r="G99" s="7">
        <v>432024.13</v>
      </c>
      <c r="H99" s="8">
        <f>IFERROR(F99/D99,"")</f>
        <v>0</v>
      </c>
      <c r="I99" s="9">
        <f>"n/a"</f>
        <v>0</v>
      </c>
    </row>
    <row r="100" spans="1:9">
      <c r="A100" s="4" t="s">
        <v>169</v>
      </c>
      <c r="B100" s="6" t="s">
        <v>170</v>
      </c>
      <c r="C100" s="6">
        <v>2019</v>
      </c>
      <c r="D100" s="7">
        <v>80.495</v>
      </c>
      <c r="E100" s="7">
        <v>279.083</v>
      </c>
      <c r="F100" s="7">
        <v>0</v>
      </c>
      <c r="G100" s="7">
        <v>0</v>
      </c>
      <c r="H100" s="8">
        <f>IFERROR(F100/D100,"")</f>
        <v>0</v>
      </c>
      <c r="I100" s="8">
        <f>IFERROR(G100/E100,"")</f>
        <v>0</v>
      </c>
    </row>
    <row r="101" spans="1:9">
      <c r="A101" s="4" t="s">
        <v>169</v>
      </c>
      <c r="B101" s="6" t="s">
        <v>170</v>
      </c>
      <c r="C101" s="6">
        <v>2020</v>
      </c>
      <c r="D101" s="7">
        <v>862.3099999999999</v>
      </c>
      <c r="E101" s="7">
        <v>507.301</v>
      </c>
      <c r="F101" s="7">
        <v>0</v>
      </c>
      <c r="G101" s="7">
        <v>0</v>
      </c>
      <c r="H101" s="8">
        <f>IFERROR(F101/D101,"")</f>
        <v>0</v>
      </c>
      <c r="I101" s="8">
        <f>IFERROR(G101/E101,"")</f>
        <v>0</v>
      </c>
    </row>
    <row r="102" spans="1:9">
      <c r="A102" s="4" t="s">
        <v>169</v>
      </c>
      <c r="B102" s="6" t="s">
        <v>170</v>
      </c>
      <c r="C102" s="6">
        <v>2021</v>
      </c>
      <c r="D102" s="7">
        <v>393.24</v>
      </c>
      <c r="E102" s="7">
        <v>484.869</v>
      </c>
      <c r="F102" s="7">
        <v>0</v>
      </c>
      <c r="G102" s="7">
        <v>0</v>
      </c>
      <c r="H102" s="8">
        <f>IFERROR(F102/D102,"")</f>
        <v>0</v>
      </c>
      <c r="I102" s="8">
        <f>IFERROR(G102/E102,"")</f>
        <v>0</v>
      </c>
    </row>
    <row r="103" spans="1:9">
      <c r="A103" s="4" t="s">
        <v>169</v>
      </c>
      <c r="B103" s="6" t="s">
        <v>170</v>
      </c>
      <c r="C103" s="6">
        <v>2022</v>
      </c>
      <c r="D103" s="7">
        <v>341.525</v>
      </c>
      <c r="E103" s="7">
        <v>15.461</v>
      </c>
      <c r="F103" s="7">
        <v>0</v>
      </c>
      <c r="G103" s="7">
        <v>0</v>
      </c>
      <c r="H103" s="8">
        <f>IFERROR(F103/D103,"")</f>
        <v>0</v>
      </c>
      <c r="I103" s="8">
        <f>IFERROR(G103/E103,"")</f>
        <v>0</v>
      </c>
    </row>
    <row r="104" spans="1:9">
      <c r="A104" s="4" t="s">
        <v>169</v>
      </c>
      <c r="B104" s="6" t="s">
        <v>170</v>
      </c>
      <c r="C104" s="6">
        <v>2023</v>
      </c>
      <c r="D104" s="7">
        <v>148.835</v>
      </c>
      <c r="E104" s="7">
        <v>12.49</v>
      </c>
      <c r="F104" s="7">
        <v>0</v>
      </c>
      <c r="G104" s="7">
        <v>0</v>
      </c>
      <c r="H104" s="8">
        <f>IFERROR(F104/D104,"")</f>
        <v>0</v>
      </c>
      <c r="I104" s="8">
        <f>IFERROR(G104/E104,"")</f>
        <v>0</v>
      </c>
    </row>
    <row r="105" spans="1:9">
      <c r="A105" s="4" t="s">
        <v>169</v>
      </c>
      <c r="B105" s="6" t="s">
        <v>170</v>
      </c>
      <c r="C105" s="6">
        <v>2024</v>
      </c>
      <c r="D105" s="7">
        <v>2709.01</v>
      </c>
      <c r="E105" s="7">
        <v>0</v>
      </c>
      <c r="F105" s="7">
        <v>0</v>
      </c>
      <c r="G105" s="7">
        <v>0</v>
      </c>
      <c r="H105" s="8">
        <f>IFERROR(F105/D105,"")</f>
        <v>0</v>
      </c>
      <c r="I105" s="9">
        <f>"n/a"</f>
        <v>0</v>
      </c>
    </row>
    <row r="106" spans="1:9">
      <c r="A106" s="4" t="s">
        <v>169</v>
      </c>
      <c r="B106" s="6" t="s">
        <v>170</v>
      </c>
      <c r="C106" s="6">
        <v>2025</v>
      </c>
      <c r="D106" s="7">
        <v>351.1</v>
      </c>
      <c r="E106" s="7">
        <v>390.486</v>
      </c>
      <c r="F106" s="7">
        <v>0</v>
      </c>
      <c r="G106" s="7">
        <v>0</v>
      </c>
      <c r="H106" s="8">
        <f>IFERROR(F106/D106,"")</f>
        <v>0</v>
      </c>
      <c r="I106" s="8">
        <f>IFERROR(G106/E106,"")</f>
        <v>0</v>
      </c>
    </row>
    <row r="107" spans="1:9">
      <c r="A107" s="4" t="s">
        <v>171</v>
      </c>
      <c r="B107" s="6" t="s">
        <v>172</v>
      </c>
      <c r="C107" s="6">
        <v>2019</v>
      </c>
      <c r="D107" s="7">
        <v>7877.487</v>
      </c>
      <c r="E107" s="7">
        <v>20782.07</v>
      </c>
      <c r="F107" s="7">
        <v>0</v>
      </c>
      <c r="G107" s="7">
        <v>0</v>
      </c>
      <c r="H107" s="8">
        <f>IFERROR(F107/D107,"")</f>
        <v>0</v>
      </c>
      <c r="I107" s="8">
        <f>IFERROR(G107/E107,"")</f>
        <v>0</v>
      </c>
    </row>
    <row r="108" spans="1:9">
      <c r="A108" s="4" t="s">
        <v>171</v>
      </c>
      <c r="B108" s="6" t="s">
        <v>172</v>
      </c>
      <c r="C108" s="6">
        <v>2020</v>
      </c>
      <c r="D108" s="7">
        <v>23592.161</v>
      </c>
      <c r="E108" s="7">
        <v>68939</v>
      </c>
      <c r="F108" s="7">
        <v>7087.069</v>
      </c>
      <c r="G108" s="7">
        <v>27054</v>
      </c>
      <c r="H108" s="8">
        <f>IFERROR(F108/D108,"")</f>
        <v>0</v>
      </c>
      <c r="I108" s="8">
        <f>IFERROR(G108/E108,"")</f>
        <v>0</v>
      </c>
    </row>
    <row r="109" spans="1:9">
      <c r="A109" s="4" t="s">
        <v>171</v>
      </c>
      <c r="B109" s="6" t="s">
        <v>172</v>
      </c>
      <c r="C109" s="6">
        <v>2021</v>
      </c>
      <c r="D109" s="7">
        <v>31366.357</v>
      </c>
      <c r="E109" s="7">
        <v>73130.48</v>
      </c>
      <c r="F109" s="7">
        <v>0</v>
      </c>
      <c r="G109" s="7">
        <v>0</v>
      </c>
      <c r="H109" s="8">
        <f>IFERROR(F109/D109,"")</f>
        <v>0</v>
      </c>
      <c r="I109" s="8">
        <f>IFERROR(G109/E109,"")</f>
        <v>0</v>
      </c>
    </row>
    <row r="110" spans="1:9">
      <c r="A110" s="4" t="s">
        <v>171</v>
      </c>
      <c r="B110" s="6" t="s">
        <v>172</v>
      </c>
      <c r="C110" s="6">
        <v>2022</v>
      </c>
      <c r="D110" s="7">
        <v>2467.814</v>
      </c>
      <c r="E110" s="7">
        <v>1451</v>
      </c>
      <c r="F110" s="7">
        <v>0</v>
      </c>
      <c r="G110" s="7">
        <v>0</v>
      </c>
      <c r="H110" s="8">
        <f>IFERROR(F110/D110,"")</f>
        <v>0</v>
      </c>
      <c r="I110" s="8">
        <f>IFERROR(G110/E110,"")</f>
        <v>0</v>
      </c>
    </row>
    <row r="111" spans="1:9">
      <c r="A111" s="4" t="s">
        <v>171</v>
      </c>
      <c r="B111" s="6" t="s">
        <v>172</v>
      </c>
      <c r="C111" s="6">
        <v>2023</v>
      </c>
      <c r="D111" s="7">
        <v>230293.373</v>
      </c>
      <c r="E111" s="7">
        <v>164454</v>
      </c>
      <c r="F111" s="7">
        <v>8702.865</v>
      </c>
      <c r="G111" s="7">
        <v>21852</v>
      </c>
      <c r="H111" s="8">
        <f>IFERROR(F111/D111,"")</f>
        <v>0</v>
      </c>
      <c r="I111" s="8">
        <f>IFERROR(G111/E111,"")</f>
        <v>0</v>
      </c>
    </row>
    <row r="112" spans="1:9">
      <c r="A112" s="4" t="s">
        <v>171</v>
      </c>
      <c r="B112" s="6" t="s">
        <v>172</v>
      </c>
      <c r="C112" s="6">
        <v>2024</v>
      </c>
      <c r="D112" s="7">
        <v>63959.21</v>
      </c>
      <c r="E112" s="7">
        <v>149113.43</v>
      </c>
      <c r="F112" s="7">
        <v>5106.29</v>
      </c>
      <c r="G112" s="7">
        <v>21674</v>
      </c>
      <c r="H112" s="8">
        <f>IFERROR(F112/D112,"")</f>
        <v>0</v>
      </c>
      <c r="I112" s="8">
        <f>IFERROR(G112/E112,"")</f>
        <v>0</v>
      </c>
    </row>
    <row r="113" spans="1:9">
      <c r="A113" s="4" t="s">
        <v>173</v>
      </c>
      <c r="B113" s="6" t="s">
        <v>174</v>
      </c>
      <c r="C113" s="6">
        <v>2019</v>
      </c>
      <c r="D113" s="7">
        <v>9406.719999999999</v>
      </c>
      <c r="E113" s="7">
        <v>5015.62</v>
      </c>
      <c r="F113" s="7">
        <v>0</v>
      </c>
      <c r="G113" s="7">
        <v>0</v>
      </c>
      <c r="H113" s="8">
        <f>IFERROR(F113/D113,"")</f>
        <v>0</v>
      </c>
      <c r="I113" s="8">
        <f>IFERROR(G113/E113,"")</f>
        <v>0</v>
      </c>
    </row>
    <row r="114" spans="1:9">
      <c r="A114" s="4" t="s">
        <v>173</v>
      </c>
      <c r="B114" s="6" t="s">
        <v>174</v>
      </c>
      <c r="C114" s="6">
        <v>2020</v>
      </c>
      <c r="D114" s="7">
        <v>18199.38</v>
      </c>
      <c r="E114" s="7">
        <v>11545</v>
      </c>
      <c r="F114" s="7">
        <v>0</v>
      </c>
      <c r="G114" s="7">
        <v>0</v>
      </c>
      <c r="H114" s="8">
        <f>IFERROR(F114/D114,"")</f>
        <v>0</v>
      </c>
      <c r="I114" s="8">
        <f>IFERROR(G114/E114,"")</f>
        <v>0</v>
      </c>
    </row>
    <row r="115" spans="1:9">
      <c r="A115" s="4" t="s">
        <v>173</v>
      </c>
      <c r="B115" s="6" t="s">
        <v>174</v>
      </c>
      <c r="C115" s="6">
        <v>2021</v>
      </c>
      <c r="D115" s="7">
        <v>14586.71</v>
      </c>
      <c r="E115" s="7">
        <v>5980.94</v>
      </c>
      <c r="F115" s="7">
        <v>0</v>
      </c>
      <c r="G115" s="7">
        <v>0</v>
      </c>
      <c r="H115" s="8">
        <f>IFERROR(F115/D115,"")</f>
        <v>0</v>
      </c>
      <c r="I115" s="8">
        <f>IFERROR(G115/E115,"")</f>
        <v>0</v>
      </c>
    </row>
    <row r="116" spans="1:9">
      <c r="A116" s="4" t="s">
        <v>173</v>
      </c>
      <c r="B116" s="6" t="s">
        <v>174</v>
      </c>
      <c r="C116" s="6">
        <v>2022</v>
      </c>
      <c r="D116" s="7">
        <v>19627.4</v>
      </c>
      <c r="E116" s="7">
        <v>5037</v>
      </c>
      <c r="F116" s="7">
        <v>0</v>
      </c>
      <c r="G116" s="7">
        <v>0</v>
      </c>
      <c r="H116" s="8">
        <f>IFERROR(F116/D116,"")</f>
        <v>0</v>
      </c>
      <c r="I116" s="8">
        <f>IFERROR(G116/E116,"")</f>
        <v>0</v>
      </c>
    </row>
    <row r="117" spans="1:9">
      <c r="A117" s="4" t="s">
        <v>173</v>
      </c>
      <c r="B117" s="6" t="s">
        <v>174</v>
      </c>
      <c r="C117" s="6">
        <v>2023</v>
      </c>
      <c r="D117" s="7">
        <v>15119.82</v>
      </c>
      <c r="E117" s="7">
        <v>4211.45</v>
      </c>
      <c r="F117" s="7">
        <v>0</v>
      </c>
      <c r="G117" s="7">
        <v>0</v>
      </c>
      <c r="H117" s="8">
        <f>IFERROR(F117/D117,"")</f>
        <v>0</v>
      </c>
      <c r="I117" s="8">
        <f>IFERROR(G117/E117,"")</f>
        <v>0</v>
      </c>
    </row>
    <row r="118" spans="1:9">
      <c r="A118" s="4" t="s">
        <v>173</v>
      </c>
      <c r="B118" s="6" t="s">
        <v>174</v>
      </c>
      <c r="C118" s="6">
        <v>2024</v>
      </c>
      <c r="D118" s="7">
        <v>19821.01</v>
      </c>
      <c r="E118" s="7">
        <v>3071</v>
      </c>
      <c r="F118" s="7">
        <v>0</v>
      </c>
      <c r="G118" s="7">
        <v>0</v>
      </c>
      <c r="H118" s="8">
        <f>IFERROR(F118/D118,"")</f>
        <v>0</v>
      </c>
      <c r="I118" s="8">
        <f>IFERROR(G118/E118,"")</f>
        <v>0</v>
      </c>
    </row>
    <row r="119" spans="1:9">
      <c r="A119" s="4" t="s">
        <v>173</v>
      </c>
      <c r="B119" s="6" t="s">
        <v>174</v>
      </c>
      <c r="C119" s="6">
        <v>2025</v>
      </c>
      <c r="D119" s="7">
        <v>18529.76</v>
      </c>
      <c r="E119" s="7">
        <v>5462</v>
      </c>
      <c r="F119" s="7">
        <v>0</v>
      </c>
      <c r="G119" s="7">
        <v>0</v>
      </c>
      <c r="H119" s="8">
        <f>IFERROR(F119/D119,"")</f>
        <v>0</v>
      </c>
      <c r="I119" s="8">
        <f>IFERROR(G119/E119,"")</f>
        <v>0</v>
      </c>
    </row>
    <row r="120" spans="1:9">
      <c r="A120" s="4" t="s">
        <v>175</v>
      </c>
      <c r="B120" s="6" t="s">
        <v>176</v>
      </c>
      <c r="C120" s="6">
        <v>2019</v>
      </c>
      <c r="D120" s="7">
        <v>2397.277</v>
      </c>
      <c r="E120" s="7">
        <v>1595</v>
      </c>
      <c r="F120" s="7">
        <v>0</v>
      </c>
      <c r="G120" s="7">
        <v>0</v>
      </c>
      <c r="H120" s="8">
        <f>IFERROR(F120/D120,"")</f>
        <v>0</v>
      </c>
      <c r="I120" s="8">
        <f>IFERROR(G120/E120,"")</f>
        <v>0</v>
      </c>
    </row>
    <row r="121" spans="1:9">
      <c r="A121" s="4" t="s">
        <v>175</v>
      </c>
      <c r="B121" s="6" t="s">
        <v>176</v>
      </c>
      <c r="C121" s="6">
        <v>2020</v>
      </c>
      <c r="D121" s="7">
        <v>5042.416</v>
      </c>
      <c r="E121" s="7">
        <v>1996</v>
      </c>
      <c r="F121" s="7">
        <v>0</v>
      </c>
      <c r="G121" s="7">
        <v>0</v>
      </c>
      <c r="H121" s="8">
        <f>IFERROR(F121/D121,"")</f>
        <v>0</v>
      </c>
      <c r="I121" s="8">
        <f>IFERROR(G121/E121,"")</f>
        <v>0</v>
      </c>
    </row>
    <row r="122" spans="1:9">
      <c r="A122" s="4" t="s">
        <v>175</v>
      </c>
      <c r="B122" s="6" t="s">
        <v>176</v>
      </c>
      <c r="C122" s="6">
        <v>2022</v>
      </c>
      <c r="D122" s="7">
        <v>31861.908</v>
      </c>
      <c r="E122" s="7">
        <v>49888.6</v>
      </c>
      <c r="F122" s="7">
        <v>0</v>
      </c>
      <c r="G122" s="7">
        <v>0</v>
      </c>
      <c r="H122" s="8">
        <f>IFERROR(F122/D122,"")</f>
        <v>0</v>
      </c>
      <c r="I122" s="8">
        <f>IFERROR(G122/E122,"")</f>
        <v>0</v>
      </c>
    </row>
    <row r="123" spans="1:9">
      <c r="A123" s="4" t="s">
        <v>175</v>
      </c>
      <c r="B123" s="6" t="s">
        <v>176</v>
      </c>
      <c r="C123" s="6">
        <v>2023</v>
      </c>
      <c r="D123" s="7">
        <v>33885.122</v>
      </c>
      <c r="E123" s="7">
        <v>63106.5</v>
      </c>
      <c r="F123" s="7">
        <v>0</v>
      </c>
      <c r="G123" s="7">
        <v>0</v>
      </c>
      <c r="H123" s="8">
        <f>IFERROR(F123/D123,"")</f>
        <v>0</v>
      </c>
      <c r="I123" s="8">
        <f>IFERROR(G123/E123,"")</f>
        <v>0</v>
      </c>
    </row>
    <row r="124" spans="1:9">
      <c r="A124" s="4" t="s">
        <v>175</v>
      </c>
      <c r="B124" s="6" t="s">
        <v>176</v>
      </c>
      <c r="C124" s="6">
        <v>2025</v>
      </c>
      <c r="D124" s="7">
        <v>14418.024</v>
      </c>
      <c r="E124" s="7">
        <v>31821.9</v>
      </c>
      <c r="F124" s="7">
        <v>0</v>
      </c>
      <c r="G124" s="7">
        <v>0</v>
      </c>
      <c r="H124" s="8">
        <f>IFERROR(F124/D124,"")</f>
        <v>0</v>
      </c>
      <c r="I124" s="8">
        <f>IFERROR(G124/E124,"")</f>
        <v>0</v>
      </c>
    </row>
    <row r="125" spans="1:9">
      <c r="A125" s="4" t="s">
        <v>177</v>
      </c>
      <c r="B125" s="6" t="s">
        <v>178</v>
      </c>
      <c r="C125" s="6">
        <v>2019</v>
      </c>
      <c r="D125" s="7">
        <v>4564546.43</v>
      </c>
      <c r="E125" s="7">
        <v>0</v>
      </c>
      <c r="F125" s="7">
        <v>329142.68</v>
      </c>
      <c r="G125" s="7">
        <v>807000</v>
      </c>
      <c r="H125" s="8">
        <f>IFERROR(F125/D125,"")</f>
        <v>0</v>
      </c>
      <c r="I125" s="9">
        <f>"n/a"</f>
        <v>0</v>
      </c>
    </row>
    <row r="126" spans="1:9">
      <c r="A126" s="4" t="s">
        <v>177</v>
      </c>
      <c r="B126" s="6" t="s">
        <v>178</v>
      </c>
      <c r="C126" s="6">
        <v>2020</v>
      </c>
      <c r="D126" s="7">
        <v>3218334.59</v>
      </c>
      <c r="E126" s="7">
        <v>0</v>
      </c>
      <c r="F126" s="7">
        <v>71171.84</v>
      </c>
      <c r="G126" s="7">
        <v>171000</v>
      </c>
      <c r="H126" s="8">
        <f>IFERROR(F126/D126,"")</f>
        <v>0</v>
      </c>
      <c r="I126" s="9">
        <f>"n/a"</f>
        <v>0</v>
      </c>
    </row>
    <row r="127" spans="1:9">
      <c r="A127" s="4" t="s">
        <v>177</v>
      </c>
      <c r="B127" s="6" t="s">
        <v>178</v>
      </c>
      <c r="C127" s="6">
        <v>2021</v>
      </c>
      <c r="D127" s="7">
        <v>2221949.43</v>
      </c>
      <c r="E127" s="7">
        <v>0</v>
      </c>
      <c r="F127" s="7">
        <v>0</v>
      </c>
      <c r="G127" s="7">
        <v>0</v>
      </c>
      <c r="H127" s="8">
        <f>IFERROR(F127/D127,"")</f>
        <v>0</v>
      </c>
      <c r="I127" s="9">
        <f>"n/a"</f>
        <v>0</v>
      </c>
    </row>
    <row r="128" spans="1:9">
      <c r="A128" s="4" t="s">
        <v>177</v>
      </c>
      <c r="B128" s="6" t="s">
        <v>178</v>
      </c>
      <c r="C128" s="6">
        <v>2022</v>
      </c>
      <c r="D128" s="7">
        <v>3807250</v>
      </c>
      <c r="E128" s="7">
        <v>0</v>
      </c>
      <c r="F128" s="7">
        <v>549801</v>
      </c>
      <c r="G128" s="7">
        <v>0</v>
      </c>
      <c r="H128" s="8">
        <f>IFERROR(F128/D128,"")</f>
        <v>0</v>
      </c>
      <c r="I128" s="9">
        <f>"n/a"</f>
        <v>0</v>
      </c>
    </row>
    <row r="129" spans="1:9">
      <c r="A129" s="4" t="s">
        <v>177</v>
      </c>
      <c r="B129" s="6" t="s">
        <v>178</v>
      </c>
      <c r="C129" s="6">
        <v>2023</v>
      </c>
      <c r="D129" s="7">
        <v>4543853</v>
      </c>
      <c r="E129" s="7">
        <v>0</v>
      </c>
      <c r="F129" s="7">
        <v>73073</v>
      </c>
      <c r="G129" s="7">
        <v>0</v>
      </c>
      <c r="H129" s="8">
        <f>IFERROR(F129/D129,"")</f>
        <v>0</v>
      </c>
      <c r="I129" s="9">
        <f>"n/a"</f>
        <v>0</v>
      </c>
    </row>
    <row r="130" spans="1:9">
      <c r="A130" s="4" t="s">
        <v>177</v>
      </c>
      <c r="B130" s="6" t="s">
        <v>178</v>
      </c>
      <c r="C130" s="6">
        <v>2024</v>
      </c>
      <c r="D130" s="7">
        <v>4510519</v>
      </c>
      <c r="E130" s="7">
        <v>13434914.31</v>
      </c>
      <c r="F130" s="7">
        <v>16336</v>
      </c>
      <c r="G130" s="7">
        <v>48657.984</v>
      </c>
      <c r="H130" s="8">
        <f>IFERROR(F130/D130,"")</f>
        <v>0</v>
      </c>
      <c r="I130" s="8">
        <f>IFERROR(G130/E130,"")</f>
        <v>0</v>
      </c>
    </row>
    <row r="131" spans="1:9">
      <c r="A131" s="4" t="s">
        <v>177</v>
      </c>
      <c r="B131" s="6" t="s">
        <v>178</v>
      </c>
      <c r="C131" s="6">
        <v>2025</v>
      </c>
      <c r="D131" s="7">
        <v>6134126</v>
      </c>
      <c r="E131" s="7">
        <v>18684120.742</v>
      </c>
      <c r="F131" s="7">
        <v>161478</v>
      </c>
      <c r="G131" s="7">
        <v>491850.746</v>
      </c>
      <c r="H131" s="8">
        <f>IFERROR(F131/D131,"")</f>
        <v>0</v>
      </c>
      <c r="I131" s="8">
        <f>IFERROR(G131/E131,"")</f>
        <v>0</v>
      </c>
    </row>
    <row r="132" spans="1:9">
      <c r="A132" s="4" t="s">
        <v>179</v>
      </c>
      <c r="B132" s="6" t="s">
        <v>180</v>
      </c>
      <c r="C132" s="6">
        <v>2019</v>
      </c>
      <c r="D132" s="7">
        <v>48413.88</v>
      </c>
      <c r="E132" s="7">
        <v>0</v>
      </c>
      <c r="F132" s="7">
        <v>0</v>
      </c>
      <c r="G132" s="7">
        <v>0</v>
      </c>
      <c r="H132" s="8">
        <f>IFERROR(F132/D132,"")</f>
        <v>0</v>
      </c>
      <c r="I132" s="9">
        <f>"n/a"</f>
        <v>0</v>
      </c>
    </row>
    <row r="133" spans="1:9">
      <c r="A133" s="4" t="s">
        <v>179</v>
      </c>
      <c r="B133" s="6" t="s">
        <v>180</v>
      </c>
      <c r="C133" s="6">
        <v>2020</v>
      </c>
      <c r="D133" s="7">
        <v>39463.2</v>
      </c>
      <c r="E133" s="7">
        <v>137007.01</v>
      </c>
      <c r="F133" s="7">
        <v>19.01</v>
      </c>
      <c r="G133" s="7">
        <v>10.5</v>
      </c>
      <c r="H133" s="8">
        <f>IFERROR(F133/D133,"")</f>
        <v>0</v>
      </c>
      <c r="I133" s="8">
        <f>IFERROR(G133/E133,"")</f>
        <v>0</v>
      </c>
    </row>
    <row r="134" spans="1:9">
      <c r="A134" s="4" t="s">
        <v>179</v>
      </c>
      <c r="B134" s="6" t="s">
        <v>180</v>
      </c>
      <c r="C134" s="6">
        <v>2021</v>
      </c>
      <c r="D134" s="7">
        <v>72912.95</v>
      </c>
      <c r="E134" s="7">
        <v>0</v>
      </c>
      <c r="F134" s="7">
        <v>41.19</v>
      </c>
      <c r="G134" s="7">
        <v>21</v>
      </c>
      <c r="H134" s="8">
        <f>IFERROR(F134/D134,"")</f>
        <v>0</v>
      </c>
      <c r="I134" s="9">
        <f>"n/a"</f>
        <v>0</v>
      </c>
    </row>
    <row r="135" spans="1:9">
      <c r="A135" s="4" t="s">
        <v>179</v>
      </c>
      <c r="B135" s="6" t="s">
        <v>180</v>
      </c>
      <c r="C135" s="6">
        <v>2022</v>
      </c>
      <c r="D135" s="7">
        <v>29190.91</v>
      </c>
      <c r="E135" s="7">
        <v>59296.7</v>
      </c>
      <c r="F135" s="7">
        <v>0</v>
      </c>
      <c r="G135" s="7">
        <v>0</v>
      </c>
      <c r="H135" s="8">
        <f>IFERROR(F135/D135,"")</f>
        <v>0</v>
      </c>
      <c r="I135" s="8">
        <f>IFERROR(G135/E135,"")</f>
        <v>0</v>
      </c>
    </row>
    <row r="136" spans="1:9">
      <c r="A136" s="4" t="s">
        <v>179</v>
      </c>
      <c r="B136" s="6" t="s">
        <v>180</v>
      </c>
      <c r="C136" s="6">
        <v>2023</v>
      </c>
      <c r="D136" s="7">
        <v>174862.53</v>
      </c>
      <c r="E136" s="7">
        <v>377700.508</v>
      </c>
      <c r="F136" s="7">
        <v>0</v>
      </c>
      <c r="G136" s="7">
        <v>0</v>
      </c>
      <c r="H136" s="8">
        <f>IFERROR(F136/D136,"")</f>
        <v>0</v>
      </c>
      <c r="I136" s="8">
        <f>IFERROR(G136/E136,"")</f>
        <v>0</v>
      </c>
    </row>
    <row r="137" spans="1:9">
      <c r="A137" s="4" t="s">
        <v>179</v>
      </c>
      <c r="B137" s="6" t="s">
        <v>180</v>
      </c>
      <c r="C137" s="6">
        <v>2024</v>
      </c>
      <c r="D137" s="7">
        <v>139996.485</v>
      </c>
      <c r="E137" s="7">
        <v>369279.879</v>
      </c>
      <c r="F137" s="7">
        <v>0</v>
      </c>
      <c r="G137" s="7">
        <v>0</v>
      </c>
      <c r="H137" s="8">
        <f>IFERROR(F137/D137,"")</f>
        <v>0</v>
      </c>
      <c r="I137" s="8">
        <f>IFERROR(G137/E137,"")</f>
        <v>0</v>
      </c>
    </row>
    <row r="138" spans="1:9">
      <c r="A138" s="4" t="s">
        <v>179</v>
      </c>
      <c r="B138" s="6" t="s">
        <v>180</v>
      </c>
      <c r="C138" s="6">
        <v>2025</v>
      </c>
      <c r="D138" s="7">
        <v>160244.431</v>
      </c>
      <c r="E138" s="7">
        <v>374921.18</v>
      </c>
      <c r="F138" s="7">
        <v>39.989</v>
      </c>
      <c r="G138" s="7">
        <v>20</v>
      </c>
      <c r="H138" s="8">
        <f>IFERROR(F138/D138,"")</f>
        <v>0</v>
      </c>
      <c r="I138" s="8">
        <f>IFERROR(G138/E138,"")</f>
        <v>0</v>
      </c>
    </row>
    <row r="139" spans="1:9">
      <c r="A139" s="4" t="s">
        <v>181</v>
      </c>
      <c r="B139" s="6" t="s">
        <v>182</v>
      </c>
      <c r="C139" s="6">
        <v>2019</v>
      </c>
      <c r="D139" s="7">
        <v>28892.641</v>
      </c>
      <c r="E139" s="7">
        <v>60706.6</v>
      </c>
      <c r="F139" s="7">
        <v>0</v>
      </c>
      <c r="G139" s="7">
        <v>0</v>
      </c>
      <c r="H139" s="8">
        <f>IFERROR(F139/D139,"")</f>
        <v>0</v>
      </c>
      <c r="I139" s="8">
        <f>IFERROR(G139/E139,"")</f>
        <v>0</v>
      </c>
    </row>
    <row r="140" spans="1:9">
      <c r="A140" s="4" t="s">
        <v>181</v>
      </c>
      <c r="B140" s="6" t="s">
        <v>182</v>
      </c>
      <c r="C140" s="6">
        <v>2020</v>
      </c>
      <c r="D140" s="7">
        <v>39838.302</v>
      </c>
      <c r="E140" s="7">
        <v>78215.03999999999</v>
      </c>
      <c r="F140" s="7">
        <v>0</v>
      </c>
      <c r="G140" s="7">
        <v>0</v>
      </c>
      <c r="H140" s="8">
        <f>IFERROR(F140/D140,"")</f>
        <v>0</v>
      </c>
      <c r="I140" s="8">
        <f>IFERROR(G140/E140,"")</f>
        <v>0</v>
      </c>
    </row>
    <row r="141" spans="1:9">
      <c r="A141" s="4" t="s">
        <v>181</v>
      </c>
      <c r="B141" s="6" t="s">
        <v>182</v>
      </c>
      <c r="C141" s="6">
        <v>2021</v>
      </c>
      <c r="D141" s="7">
        <v>37024.86</v>
      </c>
      <c r="E141" s="7">
        <v>117800.26</v>
      </c>
      <c r="F141" s="7">
        <v>0</v>
      </c>
      <c r="G141" s="7">
        <v>0</v>
      </c>
      <c r="H141" s="8">
        <f>IFERROR(F141/D141,"")</f>
        <v>0</v>
      </c>
      <c r="I141" s="8">
        <f>IFERROR(G141/E141,"")</f>
        <v>0</v>
      </c>
    </row>
    <row r="142" spans="1:9">
      <c r="A142" s="4" t="s">
        <v>181</v>
      </c>
      <c r="B142" s="6" t="s">
        <v>182</v>
      </c>
      <c r="C142" s="6">
        <v>2022</v>
      </c>
      <c r="D142" s="7">
        <v>31503.862</v>
      </c>
      <c r="E142" s="7">
        <v>57194.5</v>
      </c>
      <c r="F142" s="7">
        <v>0</v>
      </c>
      <c r="G142" s="7">
        <v>0</v>
      </c>
      <c r="H142" s="8">
        <f>IFERROR(F142/D142,"")</f>
        <v>0</v>
      </c>
      <c r="I142" s="8">
        <f>IFERROR(G142/E142,"")</f>
        <v>0</v>
      </c>
    </row>
    <row r="143" spans="1:9">
      <c r="A143" s="4" t="s">
        <v>181</v>
      </c>
      <c r="B143" s="6" t="s">
        <v>182</v>
      </c>
      <c r="C143" s="6">
        <v>2023</v>
      </c>
      <c r="D143" s="7">
        <v>59901.3</v>
      </c>
      <c r="E143" s="7">
        <v>96243.39999999999</v>
      </c>
      <c r="F143" s="7">
        <v>0</v>
      </c>
      <c r="G143" s="7">
        <v>0</v>
      </c>
      <c r="H143" s="8">
        <f>IFERROR(F143/D143,"")</f>
        <v>0</v>
      </c>
      <c r="I143" s="8">
        <f>IFERROR(G143/E143,"")</f>
        <v>0</v>
      </c>
    </row>
    <row r="144" spans="1:9">
      <c r="A144" s="4" t="s">
        <v>181</v>
      </c>
      <c r="B144" s="6" t="s">
        <v>182</v>
      </c>
      <c r="C144" s="6">
        <v>2024</v>
      </c>
      <c r="D144" s="7">
        <v>4026.341</v>
      </c>
      <c r="E144" s="7">
        <v>4441.1</v>
      </c>
      <c r="F144" s="7">
        <v>0</v>
      </c>
      <c r="G144" s="7">
        <v>0</v>
      </c>
      <c r="H144" s="8">
        <f>IFERROR(F144/D144,"")</f>
        <v>0</v>
      </c>
      <c r="I144" s="8">
        <f>IFERROR(G144/E144,"")</f>
        <v>0</v>
      </c>
    </row>
    <row r="145" spans="1:9">
      <c r="A145" s="4" t="s">
        <v>65</v>
      </c>
      <c r="B145" s="6" t="s">
        <v>66</v>
      </c>
      <c r="C145" s="6">
        <v>2019</v>
      </c>
      <c r="D145" s="7">
        <v>338853656</v>
      </c>
      <c r="E145" s="7">
        <v>0</v>
      </c>
      <c r="F145" s="7">
        <v>722189</v>
      </c>
      <c r="G145" s="7">
        <v>2586801</v>
      </c>
      <c r="H145" s="8">
        <f>IFERROR(F145/D145,"")</f>
        <v>0</v>
      </c>
      <c r="I145" s="9">
        <f>"n/a"</f>
        <v>0</v>
      </c>
    </row>
    <row r="146" spans="1:9">
      <c r="A146" s="4" t="s">
        <v>65</v>
      </c>
      <c r="B146" s="6" t="s">
        <v>66</v>
      </c>
      <c r="C146" s="6">
        <v>2020</v>
      </c>
      <c r="D146" s="7">
        <v>287675595</v>
      </c>
      <c r="E146" s="7">
        <v>1288772317.02</v>
      </c>
      <c r="F146" s="7">
        <v>819201</v>
      </c>
      <c r="G146" s="7">
        <v>3069703</v>
      </c>
      <c r="H146" s="8">
        <f>IFERROR(F146/D146,"")</f>
        <v>0</v>
      </c>
      <c r="I146" s="8">
        <f>IFERROR(G146/E146,"")</f>
        <v>0</v>
      </c>
    </row>
    <row r="147" spans="1:9">
      <c r="A147" s="4" t="s">
        <v>65</v>
      </c>
      <c r="B147" s="6" t="s">
        <v>66</v>
      </c>
      <c r="C147" s="6">
        <v>2021</v>
      </c>
      <c r="D147" s="7">
        <v>281948862</v>
      </c>
      <c r="E147" s="7">
        <v>0</v>
      </c>
      <c r="F147" s="7">
        <v>5318</v>
      </c>
      <c r="G147" s="7">
        <v>4000</v>
      </c>
      <c r="H147" s="8">
        <f>IFERROR(F147/D147,"")</f>
        <v>0</v>
      </c>
      <c r="I147" s="9">
        <f>"n/a"</f>
        <v>0</v>
      </c>
    </row>
    <row r="148" spans="1:9">
      <c r="A148" s="4" t="s">
        <v>65</v>
      </c>
      <c r="B148" s="6" t="s">
        <v>66</v>
      </c>
      <c r="C148" s="6">
        <v>2022</v>
      </c>
      <c r="D148" s="7">
        <v>613947543</v>
      </c>
      <c r="E148" s="7">
        <v>1631991150.537</v>
      </c>
      <c r="F148" s="7">
        <v>81759107</v>
      </c>
      <c r="G148" s="7">
        <v>143767697</v>
      </c>
      <c r="H148" s="8">
        <f>IFERROR(F148/D148,"")</f>
        <v>0</v>
      </c>
      <c r="I148" s="8">
        <f>IFERROR(G148/E148,"")</f>
        <v>0</v>
      </c>
    </row>
    <row r="149" spans="1:9">
      <c r="A149" s="4" t="s">
        <v>65</v>
      </c>
      <c r="B149" s="6" t="s">
        <v>66</v>
      </c>
      <c r="C149" s="6">
        <v>2023</v>
      </c>
      <c r="D149" s="7">
        <v>485756378</v>
      </c>
      <c r="E149" s="7">
        <v>1226832469.521</v>
      </c>
      <c r="F149" s="7">
        <v>20945198</v>
      </c>
      <c r="G149" s="7">
        <v>47373501</v>
      </c>
      <c r="H149" s="8">
        <f>IFERROR(F149/D149,"")</f>
        <v>0</v>
      </c>
      <c r="I149" s="8">
        <f>IFERROR(G149/E149,"")</f>
        <v>0</v>
      </c>
    </row>
    <row r="150" spans="1:9">
      <c r="A150" s="4" t="s">
        <v>65</v>
      </c>
      <c r="B150" s="6" t="s">
        <v>66</v>
      </c>
      <c r="C150" s="6">
        <v>2024</v>
      </c>
      <c r="D150" s="7">
        <v>322602353</v>
      </c>
      <c r="E150" s="7">
        <v>1325209086.169</v>
      </c>
      <c r="F150" s="7">
        <v>650524</v>
      </c>
      <c r="G150" s="7">
        <v>1433299.201</v>
      </c>
      <c r="H150" s="8">
        <f>IFERROR(F150/D150,"")</f>
        <v>0</v>
      </c>
      <c r="I150" s="8">
        <f>IFERROR(G150/E150,"")</f>
        <v>0</v>
      </c>
    </row>
    <row r="151" spans="1:9">
      <c r="A151" s="4" t="s">
        <v>65</v>
      </c>
      <c r="B151" s="6" t="s">
        <v>66</v>
      </c>
      <c r="C151" s="6">
        <v>2025</v>
      </c>
      <c r="D151" s="7">
        <v>310919639</v>
      </c>
      <c r="E151" s="7">
        <v>0</v>
      </c>
      <c r="F151" s="7">
        <v>954937</v>
      </c>
      <c r="G151" s="7">
        <v>3022802</v>
      </c>
      <c r="H151" s="8">
        <f>IFERROR(F151/D151,"")</f>
        <v>0</v>
      </c>
      <c r="I151" s="9">
        <f>"n/a"</f>
        <v>0</v>
      </c>
    </row>
    <row r="152" spans="1:9">
      <c r="A152" s="4" t="s">
        <v>183</v>
      </c>
      <c r="B152" s="6" t="s">
        <v>184</v>
      </c>
      <c r="C152" s="6">
        <v>2019</v>
      </c>
      <c r="D152" s="7">
        <v>39118.82</v>
      </c>
      <c r="E152" s="7">
        <v>81926</v>
      </c>
      <c r="F152" s="7">
        <v>32568.65</v>
      </c>
      <c r="G152" s="7">
        <v>72800</v>
      </c>
      <c r="H152" s="8">
        <f>IFERROR(F152/D152,"")</f>
        <v>0</v>
      </c>
      <c r="I152" s="8">
        <f>IFERROR(G152/E152,"")</f>
        <v>0</v>
      </c>
    </row>
    <row r="153" spans="1:9">
      <c r="A153" s="4" t="s">
        <v>183</v>
      </c>
      <c r="B153" s="6" t="s">
        <v>184</v>
      </c>
      <c r="C153" s="6">
        <v>2020</v>
      </c>
      <c r="D153" s="7">
        <v>24167.37</v>
      </c>
      <c r="E153" s="7">
        <v>0</v>
      </c>
      <c r="F153" s="7">
        <v>15627.24</v>
      </c>
      <c r="G153" s="7">
        <v>32000</v>
      </c>
      <c r="H153" s="8">
        <f>IFERROR(F153/D153,"")</f>
        <v>0</v>
      </c>
      <c r="I153" s="9">
        <f>"n/a"</f>
        <v>0</v>
      </c>
    </row>
    <row r="154" spans="1:9">
      <c r="A154" s="4" t="s">
        <v>183</v>
      </c>
      <c r="B154" s="6" t="s">
        <v>184</v>
      </c>
      <c r="C154" s="6">
        <v>2021</v>
      </c>
      <c r="D154" s="7">
        <v>11071.72</v>
      </c>
      <c r="E154" s="7">
        <v>0</v>
      </c>
      <c r="F154" s="7">
        <v>8641.209999999999</v>
      </c>
      <c r="G154" s="7">
        <v>14092</v>
      </c>
      <c r="H154" s="8">
        <f>IFERROR(F154/D154,"")</f>
        <v>0</v>
      </c>
      <c r="I154" s="9">
        <f>"n/a"</f>
        <v>0</v>
      </c>
    </row>
    <row r="155" spans="1:9">
      <c r="A155" s="4" t="s">
        <v>183</v>
      </c>
      <c r="B155" s="6" t="s">
        <v>184</v>
      </c>
      <c r="C155" s="6">
        <v>2022</v>
      </c>
      <c r="D155" s="7">
        <v>6050.953</v>
      </c>
      <c r="E155" s="7">
        <v>3655.323</v>
      </c>
      <c r="F155" s="7">
        <v>156.64</v>
      </c>
      <c r="G155" s="7">
        <v>125</v>
      </c>
      <c r="H155" s="8">
        <f>IFERROR(F155/D155,"")</f>
        <v>0</v>
      </c>
      <c r="I155" s="8">
        <f>IFERROR(G155/E155,"")</f>
        <v>0</v>
      </c>
    </row>
    <row r="156" spans="1:9">
      <c r="A156" s="4" t="s">
        <v>183</v>
      </c>
      <c r="B156" s="6" t="s">
        <v>184</v>
      </c>
      <c r="C156" s="6">
        <v>2023</v>
      </c>
      <c r="D156" s="7">
        <v>16671.387</v>
      </c>
      <c r="E156" s="7">
        <v>12660.701</v>
      </c>
      <c r="F156" s="7">
        <v>153.379</v>
      </c>
      <c r="G156" s="7">
        <v>125</v>
      </c>
      <c r="H156" s="8">
        <f>IFERROR(F156/D156,"")</f>
        <v>0</v>
      </c>
      <c r="I156" s="8">
        <f>IFERROR(G156/E156,"")</f>
        <v>0</v>
      </c>
    </row>
    <row r="157" spans="1:9">
      <c r="A157" s="4" t="s">
        <v>183</v>
      </c>
      <c r="B157" s="6" t="s">
        <v>184</v>
      </c>
      <c r="C157" s="6">
        <v>2024</v>
      </c>
      <c r="D157" s="7">
        <v>4335.482</v>
      </c>
      <c r="E157" s="7">
        <v>3350</v>
      </c>
      <c r="F157" s="7">
        <v>785.207</v>
      </c>
      <c r="G157" s="7">
        <v>1000</v>
      </c>
      <c r="H157" s="8">
        <f>IFERROR(F157/D157,"")</f>
        <v>0</v>
      </c>
      <c r="I157" s="8">
        <f>IFERROR(G157/E157,"")</f>
        <v>0</v>
      </c>
    </row>
    <row r="158" spans="1:9">
      <c r="A158" s="4" t="s">
        <v>183</v>
      </c>
      <c r="B158" s="6" t="s">
        <v>184</v>
      </c>
      <c r="C158" s="6">
        <v>2025</v>
      </c>
      <c r="D158" s="7">
        <v>2485.484</v>
      </c>
      <c r="E158" s="7">
        <v>1025</v>
      </c>
      <c r="F158" s="7">
        <v>0</v>
      </c>
      <c r="G158" s="7">
        <v>0</v>
      </c>
      <c r="H158" s="8">
        <f>IFERROR(F158/D158,"")</f>
        <v>0</v>
      </c>
      <c r="I158" s="8">
        <f>IFERROR(G158/E158,"")</f>
        <v>0</v>
      </c>
    </row>
    <row r="159" spans="1:9">
      <c r="A159" s="4" t="s">
        <v>185</v>
      </c>
      <c r="B159" s="6" t="s">
        <v>186</v>
      </c>
      <c r="C159" s="6">
        <v>2019</v>
      </c>
      <c r="D159" s="7">
        <v>82460.773</v>
      </c>
      <c r="E159" s="7">
        <v>87832.30899999999</v>
      </c>
      <c r="F159" s="7">
        <v>0</v>
      </c>
      <c r="G159" s="7">
        <v>0</v>
      </c>
      <c r="H159" s="8">
        <f>IFERROR(F159/D159,"")</f>
        <v>0</v>
      </c>
      <c r="I159" s="8">
        <f>IFERROR(G159/E159,"")</f>
        <v>0</v>
      </c>
    </row>
    <row r="160" spans="1:9">
      <c r="A160" s="4" t="s">
        <v>185</v>
      </c>
      <c r="B160" s="6" t="s">
        <v>186</v>
      </c>
      <c r="C160" s="6">
        <v>2020</v>
      </c>
      <c r="D160" s="7">
        <v>107428.432</v>
      </c>
      <c r="E160" s="7">
        <v>55773.733</v>
      </c>
      <c r="F160" s="7">
        <v>0</v>
      </c>
      <c r="G160" s="7">
        <v>0</v>
      </c>
      <c r="H160" s="8">
        <f>IFERROR(F160/D160,"")</f>
        <v>0</v>
      </c>
      <c r="I160" s="8">
        <f>IFERROR(G160/E160,"")</f>
        <v>0</v>
      </c>
    </row>
    <row r="161" spans="1:9">
      <c r="A161" s="4" t="s">
        <v>185</v>
      </c>
      <c r="B161" s="6" t="s">
        <v>186</v>
      </c>
      <c r="C161" s="6">
        <v>2021</v>
      </c>
      <c r="D161" s="7">
        <v>66717.66</v>
      </c>
      <c r="E161" s="7">
        <v>21740</v>
      </c>
      <c r="F161" s="7">
        <v>0</v>
      </c>
      <c r="G161" s="7">
        <v>0</v>
      </c>
      <c r="H161" s="8">
        <f>IFERROR(F161/D161,"")</f>
        <v>0</v>
      </c>
      <c r="I161" s="8">
        <f>IFERROR(G161/E161,"")</f>
        <v>0</v>
      </c>
    </row>
    <row r="162" spans="1:9">
      <c r="A162" s="4" t="s">
        <v>185</v>
      </c>
      <c r="B162" s="6" t="s">
        <v>186</v>
      </c>
      <c r="C162" s="6">
        <v>2022</v>
      </c>
      <c r="D162" s="7">
        <v>363704.555</v>
      </c>
      <c r="E162" s="7">
        <v>752424.327</v>
      </c>
      <c r="F162" s="7">
        <v>0</v>
      </c>
      <c r="G162" s="7">
        <v>0</v>
      </c>
      <c r="H162" s="8">
        <f>IFERROR(F162/D162,"")</f>
        <v>0</v>
      </c>
      <c r="I162" s="8">
        <f>IFERROR(G162/E162,"")</f>
        <v>0</v>
      </c>
    </row>
    <row r="163" spans="1:9">
      <c r="A163" s="4" t="s">
        <v>185</v>
      </c>
      <c r="B163" s="6" t="s">
        <v>186</v>
      </c>
      <c r="C163" s="6">
        <v>2023</v>
      </c>
      <c r="D163" s="7">
        <v>674295.45</v>
      </c>
      <c r="E163" s="7">
        <v>1507256.068</v>
      </c>
      <c r="F163" s="7">
        <v>0</v>
      </c>
      <c r="G163" s="7">
        <v>0</v>
      </c>
      <c r="H163" s="8">
        <f>IFERROR(F163/D163,"")</f>
        <v>0</v>
      </c>
      <c r="I163" s="8">
        <f>IFERROR(G163/E163,"")</f>
        <v>0</v>
      </c>
    </row>
    <row r="164" spans="1:9">
      <c r="A164" s="4" t="s">
        <v>185</v>
      </c>
      <c r="B164" s="6" t="s">
        <v>186</v>
      </c>
      <c r="C164" s="6">
        <v>2024</v>
      </c>
      <c r="D164" s="7">
        <v>5390897.926</v>
      </c>
      <c r="E164" s="7">
        <v>18803389.865</v>
      </c>
      <c r="F164" s="7">
        <v>2397.334</v>
      </c>
      <c r="G164" s="7">
        <v>570</v>
      </c>
      <c r="H164" s="8">
        <f>IFERROR(F164/D164,"")</f>
        <v>0</v>
      </c>
      <c r="I164" s="8">
        <f>IFERROR(G164/E164,"")</f>
        <v>0</v>
      </c>
    </row>
    <row r="165" spans="1:9">
      <c r="A165" s="4" t="s">
        <v>185</v>
      </c>
      <c r="B165" s="6" t="s">
        <v>186</v>
      </c>
      <c r="C165" s="6">
        <v>2025</v>
      </c>
      <c r="D165" s="7">
        <v>11660117.578</v>
      </c>
      <c r="E165" s="7">
        <v>45698806.993</v>
      </c>
      <c r="F165" s="7">
        <v>3345.475</v>
      </c>
      <c r="G165" s="7">
        <v>735</v>
      </c>
      <c r="H165" s="8">
        <f>IFERROR(F165/D165,"")</f>
        <v>0</v>
      </c>
      <c r="I165" s="8">
        <f>IFERROR(G165/E165,"")</f>
        <v>0</v>
      </c>
    </row>
    <row r="166" spans="1:9">
      <c r="A166" s="4" t="s">
        <v>187</v>
      </c>
      <c r="B166" s="6" t="s">
        <v>188</v>
      </c>
      <c r="C166" s="6">
        <v>2019</v>
      </c>
      <c r="D166" s="7">
        <v>93743.519</v>
      </c>
      <c r="E166" s="7">
        <v>0</v>
      </c>
      <c r="F166" s="7">
        <v>0</v>
      </c>
      <c r="G166" s="7">
        <v>0</v>
      </c>
      <c r="H166" s="8">
        <f>IFERROR(F166/D166,"")</f>
        <v>0</v>
      </c>
      <c r="I166" s="9">
        <f>"n/a"</f>
        <v>0</v>
      </c>
    </row>
    <row r="167" spans="1:9">
      <c r="A167" s="4" t="s">
        <v>187</v>
      </c>
      <c r="B167" s="6" t="s">
        <v>188</v>
      </c>
      <c r="C167" s="6">
        <v>2020</v>
      </c>
      <c r="D167" s="7">
        <v>40242.145</v>
      </c>
      <c r="E167" s="7">
        <v>114353</v>
      </c>
      <c r="F167" s="7">
        <v>0</v>
      </c>
      <c r="G167" s="7">
        <v>0</v>
      </c>
      <c r="H167" s="8">
        <f>IFERROR(F167/D167,"")</f>
        <v>0</v>
      </c>
      <c r="I167" s="8">
        <f>IFERROR(G167/E167,"")</f>
        <v>0</v>
      </c>
    </row>
    <row r="168" spans="1:9">
      <c r="A168" s="4" t="s">
        <v>187</v>
      </c>
      <c r="B168" s="6" t="s">
        <v>188</v>
      </c>
      <c r="C168" s="6">
        <v>2021</v>
      </c>
      <c r="D168" s="7">
        <v>80908.00599999999</v>
      </c>
      <c r="E168" s="7">
        <v>0</v>
      </c>
      <c r="F168" s="7">
        <v>7248.593</v>
      </c>
      <c r="G168" s="7">
        <v>5000</v>
      </c>
      <c r="H168" s="8">
        <f>IFERROR(F168/D168,"")</f>
        <v>0</v>
      </c>
      <c r="I168" s="9">
        <f>"n/a"</f>
        <v>0</v>
      </c>
    </row>
    <row r="169" spans="1:9">
      <c r="A169" s="4" t="s">
        <v>187</v>
      </c>
      <c r="B169" s="6" t="s">
        <v>188</v>
      </c>
      <c r="C169" s="6">
        <v>2022</v>
      </c>
      <c r="D169" s="7">
        <v>151557.804</v>
      </c>
      <c r="E169" s="7">
        <v>0</v>
      </c>
      <c r="F169" s="7">
        <v>62998.472</v>
      </c>
      <c r="G169" s="7">
        <v>118200</v>
      </c>
      <c r="H169" s="8">
        <f>IFERROR(F169/D169,"")</f>
        <v>0</v>
      </c>
      <c r="I169" s="9">
        <f>"n/a"</f>
        <v>0</v>
      </c>
    </row>
    <row r="170" spans="1:9">
      <c r="A170" s="4" t="s">
        <v>187</v>
      </c>
      <c r="B170" s="6" t="s">
        <v>188</v>
      </c>
      <c r="C170" s="6">
        <v>2023</v>
      </c>
      <c r="D170" s="7">
        <v>165336.784</v>
      </c>
      <c r="E170" s="7">
        <v>0</v>
      </c>
      <c r="F170" s="7">
        <v>0</v>
      </c>
      <c r="G170" s="7">
        <v>0</v>
      </c>
      <c r="H170" s="8">
        <f>IFERROR(F170/D170,"")</f>
        <v>0</v>
      </c>
      <c r="I170" s="9">
        <f>"n/a"</f>
        <v>0</v>
      </c>
    </row>
    <row r="171" spans="1:9">
      <c r="A171" s="4" t="s">
        <v>187</v>
      </c>
      <c r="B171" s="6" t="s">
        <v>188</v>
      </c>
      <c r="C171" s="6">
        <v>2024</v>
      </c>
      <c r="D171" s="7">
        <v>171969.122</v>
      </c>
      <c r="E171" s="7">
        <v>0</v>
      </c>
      <c r="F171" s="7">
        <v>0</v>
      </c>
      <c r="G171" s="7">
        <v>0</v>
      </c>
      <c r="H171" s="8">
        <f>IFERROR(F171/D171,"")</f>
        <v>0</v>
      </c>
      <c r="I171" s="9">
        <f>"n/a"</f>
        <v>0</v>
      </c>
    </row>
    <row r="172" spans="1:9">
      <c r="A172" s="4" t="s">
        <v>189</v>
      </c>
      <c r="B172" s="6" t="s">
        <v>190</v>
      </c>
      <c r="C172" s="6">
        <v>2019</v>
      </c>
      <c r="D172" s="7">
        <v>6648.281</v>
      </c>
      <c r="E172" s="7">
        <v>18760</v>
      </c>
      <c r="F172" s="7">
        <v>752.866</v>
      </c>
      <c r="G172" s="7">
        <v>3063</v>
      </c>
      <c r="H172" s="8">
        <f>IFERROR(F172/D172,"")</f>
        <v>0</v>
      </c>
      <c r="I172" s="8">
        <f>IFERROR(G172/E172,"")</f>
        <v>0</v>
      </c>
    </row>
    <row r="173" spans="1:9">
      <c r="A173" s="4" t="s">
        <v>189</v>
      </c>
      <c r="B173" s="6" t="s">
        <v>190</v>
      </c>
      <c r="C173" s="6">
        <v>2020</v>
      </c>
      <c r="D173" s="7">
        <v>14280.993</v>
      </c>
      <c r="E173" s="7">
        <v>44009.2</v>
      </c>
      <c r="F173" s="7">
        <v>8166.742</v>
      </c>
      <c r="G173" s="7">
        <v>28150</v>
      </c>
      <c r="H173" s="8">
        <f>IFERROR(F173/D173,"")</f>
        <v>0</v>
      </c>
      <c r="I173" s="8">
        <f>IFERROR(G173/E173,"")</f>
        <v>0</v>
      </c>
    </row>
    <row r="174" spans="1:9">
      <c r="A174" s="4" t="s">
        <v>189</v>
      </c>
      <c r="B174" s="6" t="s">
        <v>190</v>
      </c>
      <c r="C174" s="6">
        <v>2021</v>
      </c>
      <c r="D174" s="7">
        <v>4453.758</v>
      </c>
      <c r="E174" s="7">
        <v>12295.5</v>
      </c>
      <c r="F174" s="7">
        <v>0</v>
      </c>
      <c r="G174" s="7">
        <v>0</v>
      </c>
      <c r="H174" s="8">
        <f>IFERROR(F174/D174,"")</f>
        <v>0</v>
      </c>
      <c r="I174" s="8">
        <f>IFERROR(G174/E174,"")</f>
        <v>0</v>
      </c>
    </row>
    <row r="175" spans="1:9">
      <c r="A175" s="4" t="s">
        <v>189</v>
      </c>
      <c r="B175" s="6" t="s">
        <v>190</v>
      </c>
      <c r="C175" s="6">
        <v>2022</v>
      </c>
      <c r="D175" s="7">
        <v>27098.54</v>
      </c>
      <c r="E175" s="7">
        <v>31158</v>
      </c>
      <c r="F175" s="7">
        <v>2073.568</v>
      </c>
      <c r="G175" s="7">
        <v>4000</v>
      </c>
      <c r="H175" s="8">
        <f>IFERROR(F175/D175,"")</f>
        <v>0</v>
      </c>
      <c r="I175" s="8">
        <f>IFERROR(G175/E175,"")</f>
        <v>0</v>
      </c>
    </row>
    <row r="176" spans="1:9">
      <c r="A176" s="4" t="s">
        <v>189</v>
      </c>
      <c r="B176" s="6" t="s">
        <v>190</v>
      </c>
      <c r="C176" s="6">
        <v>2023</v>
      </c>
      <c r="D176" s="7">
        <v>9747.874</v>
      </c>
      <c r="E176" s="7">
        <v>14405</v>
      </c>
      <c r="F176" s="7">
        <v>131.213</v>
      </c>
      <c r="G176" s="7">
        <v>950</v>
      </c>
      <c r="H176" s="8">
        <f>IFERROR(F176/D176,"")</f>
        <v>0</v>
      </c>
      <c r="I176" s="8">
        <f>IFERROR(G176/E176,"")</f>
        <v>0</v>
      </c>
    </row>
    <row r="177" spans="1:9">
      <c r="A177" s="4" t="s">
        <v>191</v>
      </c>
      <c r="B177" s="6" t="s">
        <v>192</v>
      </c>
      <c r="C177" s="6">
        <v>2019</v>
      </c>
      <c r="D177" s="7">
        <v>10550.667</v>
      </c>
      <c r="E177" s="7">
        <v>12417</v>
      </c>
      <c r="F177" s="7">
        <v>0</v>
      </c>
      <c r="G177" s="7">
        <v>0</v>
      </c>
      <c r="H177" s="8">
        <f>IFERROR(F177/D177,"")</f>
        <v>0</v>
      </c>
      <c r="I177" s="8">
        <f>IFERROR(G177/E177,"")</f>
        <v>0</v>
      </c>
    </row>
    <row r="178" spans="1:9">
      <c r="A178" s="4" t="s">
        <v>191</v>
      </c>
      <c r="B178" s="6" t="s">
        <v>192</v>
      </c>
      <c r="C178" s="6">
        <v>2020</v>
      </c>
      <c r="D178" s="7">
        <v>6225.706</v>
      </c>
      <c r="E178" s="7">
        <v>12203</v>
      </c>
      <c r="F178" s="7">
        <v>0</v>
      </c>
      <c r="G178" s="7">
        <v>0</v>
      </c>
      <c r="H178" s="8">
        <f>IFERROR(F178/D178,"")</f>
        <v>0</v>
      </c>
      <c r="I178" s="8">
        <f>IFERROR(G178/E178,"")</f>
        <v>0</v>
      </c>
    </row>
    <row r="179" spans="1:9">
      <c r="A179" s="4" t="s">
        <v>191</v>
      </c>
      <c r="B179" s="6" t="s">
        <v>192</v>
      </c>
      <c r="C179" s="6">
        <v>2021</v>
      </c>
      <c r="D179" s="7">
        <v>13366.76</v>
      </c>
      <c r="E179" s="7">
        <v>23987</v>
      </c>
      <c r="F179" s="7">
        <v>0</v>
      </c>
      <c r="G179" s="7">
        <v>0</v>
      </c>
      <c r="H179" s="8">
        <f>IFERROR(F179/D179,"")</f>
        <v>0</v>
      </c>
      <c r="I179" s="8">
        <f>IFERROR(G179/E179,"")</f>
        <v>0</v>
      </c>
    </row>
    <row r="180" spans="1:9">
      <c r="A180" s="4" t="s">
        <v>191</v>
      </c>
      <c r="B180" s="6" t="s">
        <v>192</v>
      </c>
      <c r="C180" s="6">
        <v>2022</v>
      </c>
      <c r="D180" s="7">
        <v>8837.433000000001</v>
      </c>
      <c r="E180" s="7">
        <v>14027</v>
      </c>
      <c r="F180" s="7">
        <v>0</v>
      </c>
      <c r="G180" s="7">
        <v>0</v>
      </c>
      <c r="H180" s="8">
        <f>IFERROR(F180/D180,"")</f>
        <v>0</v>
      </c>
      <c r="I180" s="8">
        <f>IFERROR(G180/E180,"")</f>
        <v>0</v>
      </c>
    </row>
    <row r="181" spans="1:9">
      <c r="A181" s="4" t="s">
        <v>191</v>
      </c>
      <c r="B181" s="6" t="s">
        <v>192</v>
      </c>
      <c r="C181" s="6">
        <v>2023</v>
      </c>
      <c r="D181" s="7">
        <v>16045.409</v>
      </c>
      <c r="E181" s="7">
        <v>14199</v>
      </c>
      <c r="F181" s="7">
        <v>0</v>
      </c>
      <c r="G181" s="7">
        <v>0</v>
      </c>
      <c r="H181" s="8">
        <f>IFERROR(F181/D181,"")</f>
        <v>0</v>
      </c>
      <c r="I181" s="8">
        <f>IFERROR(G181/E181,"")</f>
        <v>0</v>
      </c>
    </row>
    <row r="182" spans="1:9">
      <c r="A182" s="4" t="s">
        <v>191</v>
      </c>
      <c r="B182" s="6" t="s">
        <v>192</v>
      </c>
      <c r="C182" s="6">
        <v>2024</v>
      </c>
      <c r="D182" s="7">
        <v>16350.645</v>
      </c>
      <c r="E182" s="7">
        <v>14234</v>
      </c>
      <c r="F182" s="7">
        <v>0</v>
      </c>
      <c r="G182" s="7">
        <v>0</v>
      </c>
      <c r="H182" s="8">
        <f>IFERROR(F182/D182,"")</f>
        <v>0</v>
      </c>
      <c r="I182" s="8">
        <f>IFERROR(G182/E182,"")</f>
        <v>0</v>
      </c>
    </row>
    <row r="183" spans="1:9">
      <c r="A183" s="4" t="s">
        <v>191</v>
      </c>
      <c r="B183" s="6" t="s">
        <v>192</v>
      </c>
      <c r="C183" s="6">
        <v>2025</v>
      </c>
      <c r="D183" s="7">
        <v>19421.596</v>
      </c>
      <c r="E183" s="7">
        <v>15414</v>
      </c>
      <c r="F183" s="7">
        <v>1751.687</v>
      </c>
      <c r="G183" s="7">
        <v>1205</v>
      </c>
      <c r="H183" s="8">
        <f>IFERROR(F183/D183,"")</f>
        <v>0</v>
      </c>
      <c r="I183" s="8">
        <f>IFERROR(G183/E183,"")</f>
        <v>0</v>
      </c>
    </row>
    <row r="184" spans="1:9">
      <c r="A184" s="4" t="s">
        <v>193</v>
      </c>
      <c r="B184" s="6" t="s">
        <v>194</v>
      </c>
      <c r="C184" s="6">
        <v>2019</v>
      </c>
      <c r="D184" s="7">
        <v>3668559.97</v>
      </c>
      <c r="E184" s="7">
        <v>13709554</v>
      </c>
      <c r="F184" s="7">
        <v>3547991.3</v>
      </c>
      <c r="G184" s="7">
        <v>13298104</v>
      </c>
      <c r="H184" s="8">
        <f>IFERROR(F184/D184,"")</f>
        <v>0</v>
      </c>
      <c r="I184" s="8">
        <f>IFERROR(G184/E184,"")</f>
        <v>0</v>
      </c>
    </row>
    <row r="185" spans="1:9">
      <c r="A185" s="4" t="s">
        <v>193</v>
      </c>
      <c r="B185" s="6" t="s">
        <v>194</v>
      </c>
      <c r="C185" s="6">
        <v>2020</v>
      </c>
      <c r="D185" s="7">
        <v>420293.59</v>
      </c>
      <c r="E185" s="7">
        <v>1306960</v>
      </c>
      <c r="F185" s="7">
        <v>371848.86</v>
      </c>
      <c r="G185" s="7">
        <v>1127460</v>
      </c>
      <c r="H185" s="8">
        <f>IFERROR(F185/D185,"")</f>
        <v>0</v>
      </c>
      <c r="I185" s="8">
        <f>IFERROR(G185/E185,"")</f>
        <v>0</v>
      </c>
    </row>
    <row r="186" spans="1:9">
      <c r="A186" s="4" t="s">
        <v>193</v>
      </c>
      <c r="B186" s="6" t="s">
        <v>194</v>
      </c>
      <c r="C186" s="6">
        <v>2021</v>
      </c>
      <c r="D186" s="7">
        <v>1177955.24</v>
      </c>
      <c r="E186" s="7">
        <v>3965120</v>
      </c>
      <c r="F186" s="7">
        <v>921250.83</v>
      </c>
      <c r="G186" s="7">
        <v>3135440</v>
      </c>
      <c r="H186" s="8">
        <f>IFERROR(F186/D186,"")</f>
        <v>0</v>
      </c>
      <c r="I186" s="8">
        <f>IFERROR(G186/E186,"")</f>
        <v>0</v>
      </c>
    </row>
    <row r="187" spans="1:9">
      <c r="A187" s="4" t="s">
        <v>193</v>
      </c>
      <c r="B187" s="6" t="s">
        <v>194</v>
      </c>
      <c r="C187" s="6">
        <v>2022</v>
      </c>
      <c r="D187" s="7">
        <v>7274950.05</v>
      </c>
      <c r="E187" s="7">
        <v>14793117</v>
      </c>
      <c r="F187" s="7">
        <v>6252983.28</v>
      </c>
      <c r="G187" s="7">
        <v>12751767</v>
      </c>
      <c r="H187" s="8">
        <f>IFERROR(F187/D187,"")</f>
        <v>0</v>
      </c>
      <c r="I187" s="8">
        <f>IFERROR(G187/E187,"")</f>
        <v>0</v>
      </c>
    </row>
    <row r="188" spans="1:9">
      <c r="A188" s="4" t="s">
        <v>193</v>
      </c>
      <c r="B188" s="6" t="s">
        <v>194</v>
      </c>
      <c r="C188" s="6">
        <v>2023</v>
      </c>
      <c r="D188" s="7">
        <v>551788.59</v>
      </c>
      <c r="E188" s="7">
        <v>1356748</v>
      </c>
      <c r="F188" s="7">
        <v>121782.4</v>
      </c>
      <c r="G188" s="7">
        <v>333000</v>
      </c>
      <c r="H188" s="8">
        <f>IFERROR(F188/D188,"")</f>
        <v>0</v>
      </c>
      <c r="I188" s="8">
        <f>IFERROR(G188/E188,"")</f>
        <v>0</v>
      </c>
    </row>
    <row r="189" spans="1:9">
      <c r="A189" s="4" t="s">
        <v>193</v>
      </c>
      <c r="B189" s="6" t="s">
        <v>194</v>
      </c>
      <c r="C189" s="6">
        <v>2024</v>
      </c>
      <c r="D189" s="7">
        <v>1432513.66</v>
      </c>
      <c r="E189" s="7">
        <v>4332748</v>
      </c>
      <c r="F189" s="7">
        <v>986031.08</v>
      </c>
      <c r="G189" s="7">
        <v>3039900</v>
      </c>
      <c r="H189" s="8">
        <f>IFERROR(F189/D189,"")</f>
        <v>0</v>
      </c>
      <c r="I189" s="8">
        <f>IFERROR(G189/E189,"")</f>
        <v>0</v>
      </c>
    </row>
    <row r="190" spans="1:9">
      <c r="A190" s="4" t="s">
        <v>193</v>
      </c>
      <c r="B190" s="6" t="s">
        <v>194</v>
      </c>
      <c r="C190" s="6">
        <v>2025</v>
      </c>
      <c r="D190" s="7">
        <v>1404912.77</v>
      </c>
      <c r="E190" s="7">
        <v>5029510</v>
      </c>
      <c r="F190" s="7">
        <v>1064639.81</v>
      </c>
      <c r="G190" s="7">
        <v>3858610</v>
      </c>
      <c r="H190" s="8">
        <f>IFERROR(F190/D190,"")</f>
        <v>0</v>
      </c>
      <c r="I190" s="8">
        <f>IFERROR(G190/E190,"")</f>
        <v>0</v>
      </c>
    </row>
    <row r="191" spans="1:9">
      <c r="A191" s="4" t="s">
        <v>195</v>
      </c>
      <c r="B191" s="6" t="s">
        <v>196</v>
      </c>
      <c r="C191" s="6">
        <v>2019</v>
      </c>
      <c r="D191" s="7">
        <v>782635.23</v>
      </c>
      <c r="E191" s="7">
        <v>0</v>
      </c>
      <c r="F191" s="7">
        <v>51564.02</v>
      </c>
      <c r="G191" s="7">
        <v>110875</v>
      </c>
      <c r="H191" s="8">
        <f>IFERROR(F191/D191,"")</f>
        <v>0</v>
      </c>
      <c r="I191" s="9">
        <f>"n/a"</f>
        <v>0</v>
      </c>
    </row>
    <row r="192" spans="1:9">
      <c r="A192" s="4" t="s">
        <v>195</v>
      </c>
      <c r="B192" s="6" t="s">
        <v>196</v>
      </c>
      <c r="C192" s="6">
        <v>2020</v>
      </c>
      <c r="D192" s="7">
        <v>1783089.76</v>
      </c>
      <c r="E192" s="7">
        <v>5289238.3</v>
      </c>
      <c r="F192" s="7">
        <v>283166.7</v>
      </c>
      <c r="G192" s="7">
        <v>744164.3</v>
      </c>
      <c r="H192" s="8">
        <f>IFERROR(F192/D192,"")</f>
        <v>0</v>
      </c>
      <c r="I192" s="8">
        <f>IFERROR(G192/E192,"")</f>
        <v>0</v>
      </c>
    </row>
    <row r="193" spans="1:9">
      <c r="A193" s="4" t="s">
        <v>195</v>
      </c>
      <c r="B193" s="6" t="s">
        <v>196</v>
      </c>
      <c r="C193" s="6">
        <v>2021</v>
      </c>
      <c r="D193" s="7">
        <v>780860.02</v>
      </c>
      <c r="E193" s="7">
        <v>2423533.152</v>
      </c>
      <c r="F193" s="7">
        <v>4229.37</v>
      </c>
      <c r="G193" s="7">
        <v>3000</v>
      </c>
      <c r="H193" s="8">
        <f>IFERROR(F193/D193,"")</f>
        <v>0</v>
      </c>
      <c r="I193" s="8">
        <f>IFERROR(G193/E193,"")</f>
        <v>0</v>
      </c>
    </row>
    <row r="194" spans="1:9">
      <c r="A194" s="4" t="s">
        <v>195</v>
      </c>
      <c r="B194" s="6" t="s">
        <v>196</v>
      </c>
      <c r="C194" s="6">
        <v>2022</v>
      </c>
      <c r="D194" s="7">
        <v>3297754.815</v>
      </c>
      <c r="E194" s="7">
        <v>5267637.86</v>
      </c>
      <c r="F194" s="7">
        <v>1148115.661</v>
      </c>
      <c r="G194" s="7">
        <v>1620290</v>
      </c>
      <c r="H194" s="8">
        <f>IFERROR(F194/D194,"")</f>
        <v>0</v>
      </c>
      <c r="I194" s="8">
        <f>IFERROR(G194/E194,"")</f>
        <v>0</v>
      </c>
    </row>
    <row r="195" spans="1:9">
      <c r="A195" s="4" t="s">
        <v>195</v>
      </c>
      <c r="B195" s="6" t="s">
        <v>196</v>
      </c>
      <c r="C195" s="6">
        <v>2023</v>
      </c>
      <c r="D195" s="7">
        <v>2319386.069</v>
      </c>
      <c r="E195" s="7">
        <v>4849264.29</v>
      </c>
      <c r="F195" s="7">
        <v>1110752.909</v>
      </c>
      <c r="G195" s="7">
        <v>2369280</v>
      </c>
      <c r="H195" s="8">
        <f>IFERROR(F195/D195,"")</f>
        <v>0</v>
      </c>
      <c r="I195" s="8">
        <f>IFERROR(G195/E195,"")</f>
        <v>0</v>
      </c>
    </row>
    <row r="196" spans="1:9">
      <c r="A196" s="4" t="s">
        <v>197</v>
      </c>
      <c r="B196" s="6" t="s">
        <v>198</v>
      </c>
      <c r="C196" s="6">
        <v>2019</v>
      </c>
      <c r="D196" s="7">
        <v>54961700.456</v>
      </c>
      <c r="E196" s="7">
        <v>235586442</v>
      </c>
      <c r="F196" s="7">
        <v>199806.545</v>
      </c>
      <c r="G196" s="7">
        <v>588981</v>
      </c>
      <c r="H196" s="8">
        <f>IFERROR(F196/D196,"")</f>
        <v>0</v>
      </c>
      <c r="I196" s="8">
        <f>IFERROR(G196/E196,"")</f>
        <v>0</v>
      </c>
    </row>
    <row r="197" spans="1:9">
      <c r="A197" s="4" t="s">
        <v>197</v>
      </c>
      <c r="B197" s="6" t="s">
        <v>198</v>
      </c>
      <c r="C197" s="6">
        <v>2020</v>
      </c>
      <c r="D197" s="7">
        <v>47208738.289</v>
      </c>
      <c r="E197" s="7">
        <v>215390199</v>
      </c>
      <c r="F197" s="7">
        <v>98293.05899999999</v>
      </c>
      <c r="G197" s="7">
        <v>236401</v>
      </c>
      <c r="H197" s="8">
        <f>IFERROR(F197/D197,"")</f>
        <v>0</v>
      </c>
      <c r="I197" s="8">
        <f>IFERROR(G197/E197,"")</f>
        <v>0</v>
      </c>
    </row>
    <row r="198" spans="1:9">
      <c r="A198" s="4" t="s">
        <v>197</v>
      </c>
      <c r="B198" s="6" t="s">
        <v>198</v>
      </c>
      <c r="C198" s="6">
        <v>2021</v>
      </c>
      <c r="D198" s="7">
        <v>50695291.174</v>
      </c>
      <c r="E198" s="7">
        <v>218511673</v>
      </c>
      <c r="F198" s="7">
        <v>34538.478</v>
      </c>
      <c r="G198" s="7">
        <v>55868</v>
      </c>
      <c r="H198" s="8">
        <f>IFERROR(F198/D198,"")</f>
        <v>0</v>
      </c>
      <c r="I198" s="8">
        <f>IFERROR(G198/E198,"")</f>
        <v>0</v>
      </c>
    </row>
    <row r="199" spans="1:9">
      <c r="A199" s="4" t="s">
        <v>197</v>
      </c>
      <c r="B199" s="6" t="s">
        <v>198</v>
      </c>
      <c r="C199" s="6">
        <v>2022</v>
      </c>
      <c r="D199" s="7">
        <v>57088658.225</v>
      </c>
      <c r="E199" s="7">
        <v>229615899</v>
      </c>
      <c r="F199" s="7">
        <v>76404.007</v>
      </c>
      <c r="G199" s="7">
        <v>203963</v>
      </c>
      <c r="H199" s="8">
        <f>IFERROR(F199/D199,"")</f>
        <v>0</v>
      </c>
      <c r="I199" s="8">
        <f>IFERROR(G199/E199,"")</f>
        <v>0</v>
      </c>
    </row>
    <row r="200" spans="1:9">
      <c r="A200" s="4" t="s">
        <v>197</v>
      </c>
      <c r="B200" s="6" t="s">
        <v>198</v>
      </c>
      <c r="C200" s="6">
        <v>2023</v>
      </c>
      <c r="D200" s="7">
        <v>57402691.102</v>
      </c>
      <c r="E200" s="7">
        <v>200460163</v>
      </c>
      <c r="F200" s="7">
        <v>88298.568</v>
      </c>
      <c r="G200" s="7">
        <v>259213</v>
      </c>
      <c r="H200" s="8">
        <f>IFERROR(F200/D200,"")</f>
        <v>0</v>
      </c>
      <c r="I200" s="8">
        <f>IFERROR(G200/E200,"")</f>
        <v>0</v>
      </c>
    </row>
    <row r="201" spans="1:9">
      <c r="A201" s="4" t="s">
        <v>197</v>
      </c>
      <c r="B201" s="6" t="s">
        <v>198</v>
      </c>
      <c r="C201" s="6">
        <v>2024</v>
      </c>
      <c r="D201" s="7">
        <v>56924949.419</v>
      </c>
      <c r="E201" s="7">
        <v>172929929.25</v>
      </c>
      <c r="F201" s="7">
        <v>146439.339</v>
      </c>
      <c r="G201" s="7">
        <v>328757</v>
      </c>
      <c r="H201" s="8">
        <f>IFERROR(F201/D201,"")</f>
        <v>0</v>
      </c>
      <c r="I201" s="8">
        <f>IFERROR(G201/E201,"")</f>
        <v>0</v>
      </c>
    </row>
    <row r="202" spans="1:9">
      <c r="A202" s="4" t="s">
        <v>197</v>
      </c>
      <c r="B202" s="6" t="s">
        <v>198</v>
      </c>
      <c r="C202" s="6">
        <v>2025</v>
      </c>
      <c r="D202" s="7">
        <v>57563396.743</v>
      </c>
      <c r="E202" s="7">
        <v>189773286.712</v>
      </c>
      <c r="F202" s="7">
        <v>282988.517</v>
      </c>
      <c r="G202" s="7">
        <v>678066</v>
      </c>
      <c r="H202" s="8">
        <f>IFERROR(F202/D202,"")</f>
        <v>0</v>
      </c>
      <c r="I202" s="8">
        <f>IFERROR(G202/E202,"")</f>
        <v>0</v>
      </c>
    </row>
    <row r="203" spans="1:9">
      <c r="A203" s="4" t="s">
        <v>199</v>
      </c>
      <c r="B203" s="6" t="s">
        <v>200</v>
      </c>
      <c r="C203" s="6">
        <v>2020</v>
      </c>
      <c r="D203" s="7">
        <v>4541.287</v>
      </c>
      <c r="E203" s="7">
        <v>19075.647</v>
      </c>
      <c r="F203" s="7">
        <v>0</v>
      </c>
      <c r="G203" s="7">
        <v>0</v>
      </c>
      <c r="H203" s="8">
        <f>IFERROR(F203/D203,"")</f>
        <v>0</v>
      </c>
      <c r="I203" s="8">
        <f>IFERROR(G203/E203,"")</f>
        <v>0</v>
      </c>
    </row>
    <row r="204" spans="1:9">
      <c r="A204" s="4" t="s">
        <v>199</v>
      </c>
      <c r="B204" s="6" t="s">
        <v>200</v>
      </c>
      <c r="C204" s="6">
        <v>2021</v>
      </c>
      <c r="D204" s="7">
        <v>9292.347</v>
      </c>
      <c r="E204" s="7">
        <v>37648.278</v>
      </c>
      <c r="F204" s="7">
        <v>0</v>
      </c>
      <c r="G204" s="7">
        <v>0</v>
      </c>
      <c r="H204" s="8">
        <f>IFERROR(F204/D204,"")</f>
        <v>0</v>
      </c>
      <c r="I204" s="8">
        <f>IFERROR(G204/E204,"")</f>
        <v>0</v>
      </c>
    </row>
    <row r="205" spans="1:9">
      <c r="A205" s="4" t="s">
        <v>199</v>
      </c>
      <c r="B205" s="6" t="s">
        <v>200</v>
      </c>
      <c r="C205" s="6">
        <v>2023</v>
      </c>
      <c r="D205" s="7">
        <v>228.132</v>
      </c>
      <c r="E205" s="7">
        <v>530.189</v>
      </c>
      <c r="F205" s="7">
        <v>0</v>
      </c>
      <c r="G205" s="7">
        <v>0</v>
      </c>
      <c r="H205" s="8">
        <f>IFERROR(F205/D205,"")</f>
        <v>0</v>
      </c>
      <c r="I205" s="8">
        <f>IFERROR(G205/E205,"")</f>
        <v>0</v>
      </c>
    </row>
    <row r="206" spans="1:9">
      <c r="A206" s="4" t="s">
        <v>199</v>
      </c>
      <c r="B206" s="6" t="s">
        <v>200</v>
      </c>
      <c r="C206" s="6">
        <v>2024</v>
      </c>
      <c r="D206" s="7">
        <v>41.042</v>
      </c>
      <c r="E206" s="7">
        <v>119.564</v>
      </c>
      <c r="F206" s="7">
        <v>0</v>
      </c>
      <c r="G206" s="7">
        <v>0</v>
      </c>
      <c r="H206" s="8">
        <f>IFERROR(F206/D206,"")</f>
        <v>0</v>
      </c>
      <c r="I206" s="8">
        <f>IFERROR(G206/E206,"")</f>
        <v>0</v>
      </c>
    </row>
    <row r="207" spans="1:9">
      <c r="A207" s="4" t="s">
        <v>201</v>
      </c>
      <c r="B207" s="6" t="s">
        <v>202</v>
      </c>
      <c r="C207" s="6">
        <v>2019</v>
      </c>
      <c r="D207" s="7">
        <v>36669.182</v>
      </c>
      <c r="E207" s="7">
        <v>12296</v>
      </c>
      <c r="F207" s="7">
        <v>0</v>
      </c>
      <c r="G207" s="7">
        <v>0</v>
      </c>
      <c r="H207" s="8">
        <f>IFERROR(F207/D207,"")</f>
        <v>0</v>
      </c>
      <c r="I207" s="8">
        <f>IFERROR(G207/E207,"")</f>
        <v>0</v>
      </c>
    </row>
    <row r="208" spans="1:9">
      <c r="A208" s="4" t="s">
        <v>201</v>
      </c>
      <c r="B208" s="6" t="s">
        <v>202</v>
      </c>
      <c r="C208" s="6">
        <v>2022</v>
      </c>
      <c r="D208" s="7">
        <v>1615.327</v>
      </c>
      <c r="E208" s="7">
        <v>1500</v>
      </c>
      <c r="F208" s="7">
        <v>0</v>
      </c>
      <c r="G208" s="7">
        <v>0</v>
      </c>
      <c r="H208" s="8">
        <f>IFERROR(F208/D208,"")</f>
        <v>0</v>
      </c>
      <c r="I208" s="8">
        <f>IFERROR(G208/E208,"")</f>
        <v>0</v>
      </c>
    </row>
    <row r="209" spans="1:9">
      <c r="A209" s="4" t="s">
        <v>201</v>
      </c>
      <c r="B209" s="6" t="s">
        <v>202</v>
      </c>
      <c r="C209" s="6">
        <v>2023</v>
      </c>
      <c r="D209" s="7">
        <v>15330.989</v>
      </c>
      <c r="E209" s="7">
        <v>5554</v>
      </c>
      <c r="F209" s="7">
        <v>0</v>
      </c>
      <c r="G209" s="7">
        <v>0</v>
      </c>
      <c r="H209" s="8">
        <f>IFERROR(F209/D209,"")</f>
        <v>0</v>
      </c>
      <c r="I209" s="8">
        <f>IFERROR(G209/E209,"")</f>
        <v>0</v>
      </c>
    </row>
    <row r="210" spans="1:9">
      <c r="A210" s="4" t="s">
        <v>69</v>
      </c>
      <c r="B210" s="6" t="s">
        <v>70</v>
      </c>
      <c r="C210" s="6">
        <v>2019</v>
      </c>
      <c r="D210" s="7">
        <v>107380790.28</v>
      </c>
      <c r="E210" s="7">
        <v>0</v>
      </c>
      <c r="F210" s="7">
        <v>101886.25</v>
      </c>
      <c r="G210" s="7">
        <v>307600</v>
      </c>
      <c r="H210" s="8">
        <f>IFERROR(F210/D210,"")</f>
        <v>0</v>
      </c>
      <c r="I210" s="9">
        <f>"n/a"</f>
        <v>0</v>
      </c>
    </row>
    <row r="211" spans="1:9">
      <c r="A211" s="4" t="s">
        <v>69</v>
      </c>
      <c r="B211" s="6" t="s">
        <v>70</v>
      </c>
      <c r="C211" s="6">
        <v>2020</v>
      </c>
      <c r="D211" s="7">
        <v>103860981.21</v>
      </c>
      <c r="E211" s="7">
        <v>0</v>
      </c>
      <c r="F211" s="7">
        <v>82875.52</v>
      </c>
      <c r="G211" s="7">
        <v>272500</v>
      </c>
      <c r="H211" s="8">
        <f>IFERROR(F211/D211,"")</f>
        <v>0</v>
      </c>
      <c r="I211" s="9">
        <f>"n/a"</f>
        <v>0</v>
      </c>
    </row>
    <row r="212" spans="1:9">
      <c r="A212" s="4" t="s">
        <v>69</v>
      </c>
      <c r="B212" s="6" t="s">
        <v>70</v>
      </c>
      <c r="C212" s="6">
        <v>2021</v>
      </c>
      <c r="D212" s="7">
        <v>142338581.05</v>
      </c>
      <c r="E212" s="7">
        <v>0</v>
      </c>
      <c r="F212" s="7">
        <v>279752.51</v>
      </c>
      <c r="G212" s="7">
        <v>929075</v>
      </c>
      <c r="H212" s="8">
        <f>IFERROR(F212/D212,"")</f>
        <v>0</v>
      </c>
      <c r="I212" s="9">
        <f>"n/a"</f>
        <v>0</v>
      </c>
    </row>
    <row r="213" spans="1:9">
      <c r="A213" s="4" t="s">
        <v>69</v>
      </c>
      <c r="B213" s="6" t="s">
        <v>70</v>
      </c>
      <c r="C213" s="6">
        <v>2022</v>
      </c>
      <c r="D213" s="7">
        <v>211147111.51</v>
      </c>
      <c r="E213" s="7">
        <v>657727774.456</v>
      </c>
      <c r="F213" s="7">
        <v>10352133.67</v>
      </c>
      <c r="G213" s="7">
        <v>18234005</v>
      </c>
      <c r="H213" s="8">
        <f>IFERROR(F213/D213,"")</f>
        <v>0</v>
      </c>
      <c r="I213" s="8">
        <f>IFERROR(G213/E213,"")</f>
        <v>0</v>
      </c>
    </row>
    <row r="214" spans="1:9">
      <c r="A214" s="4" t="s">
        <v>69</v>
      </c>
      <c r="B214" s="6" t="s">
        <v>70</v>
      </c>
      <c r="C214" s="6">
        <v>2023</v>
      </c>
      <c r="D214" s="7">
        <v>305640282.78</v>
      </c>
      <c r="E214" s="7">
        <v>0</v>
      </c>
      <c r="F214" s="7">
        <v>672357.7</v>
      </c>
      <c r="G214" s="7">
        <v>1523153.31</v>
      </c>
      <c r="H214" s="8">
        <f>IFERROR(F214/D214,"")</f>
        <v>0</v>
      </c>
      <c r="I214" s="9">
        <f>"n/a"</f>
        <v>0</v>
      </c>
    </row>
    <row r="215" spans="1:9">
      <c r="A215" s="4" t="s">
        <v>69</v>
      </c>
      <c r="B215" s="6" t="s">
        <v>70</v>
      </c>
      <c r="C215" s="6">
        <v>2024</v>
      </c>
      <c r="D215" s="7">
        <v>274450106.285</v>
      </c>
      <c r="E215" s="7">
        <v>778531271.2819999</v>
      </c>
      <c r="F215" s="7">
        <v>290609.56</v>
      </c>
      <c r="G215" s="7">
        <v>659256</v>
      </c>
      <c r="H215" s="8">
        <f>IFERROR(F215/D215,"")</f>
        <v>0</v>
      </c>
      <c r="I215" s="8">
        <f>IFERROR(G215/E215,"")</f>
        <v>0</v>
      </c>
    </row>
    <row r="216" spans="1:9">
      <c r="A216" s="4" t="s">
        <v>69</v>
      </c>
      <c r="B216" s="6" t="s">
        <v>70</v>
      </c>
      <c r="C216" s="6">
        <v>2025</v>
      </c>
      <c r="D216" s="7">
        <v>261591021.67</v>
      </c>
      <c r="E216" s="7">
        <v>0</v>
      </c>
      <c r="F216" s="7">
        <v>4759200.94</v>
      </c>
      <c r="G216" s="7">
        <v>20202714.377</v>
      </c>
      <c r="H216" s="8">
        <f>IFERROR(F216/D216,"")</f>
        <v>0</v>
      </c>
      <c r="I216" s="9">
        <f>"n/a"</f>
        <v>0</v>
      </c>
    </row>
    <row r="217" spans="1:9">
      <c r="A217" s="4" t="s">
        <v>203</v>
      </c>
      <c r="B217" s="6" t="s">
        <v>204</v>
      </c>
      <c r="C217" s="6">
        <v>2019</v>
      </c>
      <c r="D217" s="7">
        <v>34871428</v>
      </c>
      <c r="E217" s="7">
        <v>0</v>
      </c>
      <c r="F217" s="7">
        <v>165</v>
      </c>
      <c r="G217" s="7">
        <v>300</v>
      </c>
      <c r="H217" s="8">
        <f>IFERROR(F217/D217,"")</f>
        <v>0</v>
      </c>
      <c r="I217" s="9">
        <f>"n/a"</f>
        <v>0</v>
      </c>
    </row>
    <row r="218" spans="1:9">
      <c r="A218" s="4" t="s">
        <v>203</v>
      </c>
      <c r="B218" s="6" t="s">
        <v>204</v>
      </c>
      <c r="C218" s="6">
        <v>2020</v>
      </c>
      <c r="D218" s="7">
        <v>57201946</v>
      </c>
      <c r="E218" s="7">
        <v>356307614.855</v>
      </c>
      <c r="F218" s="7">
        <v>145</v>
      </c>
      <c r="G218" s="7">
        <v>6</v>
      </c>
      <c r="H218" s="8">
        <f>IFERROR(F218/D218,"")</f>
        <v>0</v>
      </c>
      <c r="I218" s="8">
        <f>IFERROR(G218/E218,"")</f>
        <v>0</v>
      </c>
    </row>
    <row r="219" spans="1:9">
      <c r="A219" s="4" t="s">
        <v>203</v>
      </c>
      <c r="B219" s="6" t="s">
        <v>204</v>
      </c>
      <c r="C219" s="6">
        <v>2021</v>
      </c>
      <c r="D219" s="7">
        <v>56941100</v>
      </c>
      <c r="E219" s="7">
        <v>237712233.774</v>
      </c>
      <c r="F219" s="7">
        <v>30</v>
      </c>
      <c r="G219" s="7">
        <v>1</v>
      </c>
      <c r="H219" s="8">
        <f>IFERROR(F219/D219,"")</f>
        <v>0</v>
      </c>
      <c r="I219" s="8">
        <f>IFERROR(G219/E219,"")</f>
        <v>0</v>
      </c>
    </row>
    <row r="220" spans="1:9">
      <c r="A220" s="4" t="s">
        <v>203</v>
      </c>
      <c r="B220" s="6" t="s">
        <v>204</v>
      </c>
      <c r="C220" s="6">
        <v>2022</v>
      </c>
      <c r="D220" s="7">
        <v>35747585</v>
      </c>
      <c r="E220" s="7">
        <v>113775284</v>
      </c>
      <c r="F220" s="7">
        <v>600</v>
      </c>
      <c r="G220" s="7">
        <v>6</v>
      </c>
      <c r="H220" s="8">
        <f>IFERROR(F220/D220,"")</f>
        <v>0</v>
      </c>
      <c r="I220" s="8">
        <f>IFERROR(G220/E220,"")</f>
        <v>0</v>
      </c>
    </row>
    <row r="221" spans="1:9">
      <c r="A221" s="4" t="s">
        <v>203</v>
      </c>
      <c r="B221" s="6" t="s">
        <v>204</v>
      </c>
      <c r="C221" s="6">
        <v>2023</v>
      </c>
      <c r="D221" s="7">
        <v>181636816</v>
      </c>
      <c r="E221" s="7">
        <v>683237102.831</v>
      </c>
      <c r="F221" s="7">
        <v>3008</v>
      </c>
      <c r="G221" s="7">
        <v>10524.71</v>
      </c>
      <c r="H221" s="8">
        <f>IFERROR(F221/D221,"")</f>
        <v>0</v>
      </c>
      <c r="I221" s="8">
        <f>IFERROR(G221/E221,"")</f>
        <v>0</v>
      </c>
    </row>
    <row r="222" spans="1:9">
      <c r="A222" s="4" t="s">
        <v>203</v>
      </c>
      <c r="B222" s="6" t="s">
        <v>204</v>
      </c>
      <c r="C222" s="6">
        <v>2024</v>
      </c>
      <c r="D222" s="7">
        <v>218453738</v>
      </c>
      <c r="E222" s="7">
        <v>973718087.434</v>
      </c>
      <c r="F222" s="7">
        <v>13810</v>
      </c>
      <c r="G222" s="7">
        <v>66201</v>
      </c>
      <c r="H222" s="8">
        <f>IFERROR(F222/D222,"")</f>
        <v>0</v>
      </c>
      <c r="I222" s="8">
        <f>IFERROR(G222/E222,"")</f>
        <v>0</v>
      </c>
    </row>
    <row r="223" spans="1:9">
      <c r="A223" s="4" t="s">
        <v>203</v>
      </c>
      <c r="B223" s="6" t="s">
        <v>204</v>
      </c>
      <c r="C223" s="6">
        <v>2025</v>
      </c>
      <c r="D223" s="7">
        <v>6137492</v>
      </c>
      <c r="E223" s="7">
        <v>25155197</v>
      </c>
      <c r="F223" s="7">
        <v>10712</v>
      </c>
      <c r="G223" s="7">
        <v>43154</v>
      </c>
      <c r="H223" s="8">
        <f>IFERROR(F223/D223,"")</f>
        <v>0</v>
      </c>
      <c r="I223" s="8">
        <f>IFERROR(G223/E223,"")</f>
        <v>0</v>
      </c>
    </row>
    <row r="224" spans="1:9">
      <c r="A224" s="4" t="s">
        <v>205</v>
      </c>
      <c r="B224" s="6" t="s">
        <v>206</v>
      </c>
      <c r="C224" s="6">
        <v>2019</v>
      </c>
      <c r="D224" s="7">
        <v>457900.523</v>
      </c>
      <c r="E224" s="7">
        <v>1649596</v>
      </c>
      <c r="F224" s="7">
        <v>457900.523</v>
      </c>
      <c r="G224" s="7">
        <v>1649596</v>
      </c>
      <c r="H224" s="8">
        <f>IFERROR(F224/D224,"")</f>
        <v>0</v>
      </c>
      <c r="I224" s="8">
        <f>IFERROR(G224/E224,"")</f>
        <v>0</v>
      </c>
    </row>
    <row r="225" spans="1:9">
      <c r="A225" s="4" t="s">
        <v>205</v>
      </c>
      <c r="B225" s="6" t="s">
        <v>206</v>
      </c>
      <c r="C225" s="6">
        <v>2020</v>
      </c>
      <c r="D225" s="7">
        <v>290487.336</v>
      </c>
      <c r="E225" s="7">
        <v>1248050</v>
      </c>
      <c r="F225" s="7">
        <v>290487.336</v>
      </c>
      <c r="G225" s="7">
        <v>1248050</v>
      </c>
      <c r="H225" s="8">
        <f>IFERROR(F225/D225,"")</f>
        <v>0</v>
      </c>
      <c r="I225" s="8">
        <f>IFERROR(G225/E225,"")</f>
        <v>0</v>
      </c>
    </row>
    <row r="226" spans="1:9">
      <c r="A226" s="4" t="s">
        <v>205</v>
      </c>
      <c r="B226" s="6" t="s">
        <v>206</v>
      </c>
      <c r="C226" s="6">
        <v>2021</v>
      </c>
      <c r="D226" s="7">
        <v>336460.787</v>
      </c>
      <c r="E226" s="7">
        <v>1165500</v>
      </c>
      <c r="F226" s="7">
        <v>336460.787</v>
      </c>
      <c r="G226" s="7">
        <v>1165500</v>
      </c>
      <c r="H226" s="8">
        <f>IFERROR(F226/D226,"")</f>
        <v>0</v>
      </c>
      <c r="I226" s="8">
        <f>IFERROR(G226/E226,"")</f>
        <v>0</v>
      </c>
    </row>
    <row r="227" spans="1:9">
      <c r="A227" s="4" t="s">
        <v>205</v>
      </c>
      <c r="B227" s="6" t="s">
        <v>206</v>
      </c>
      <c r="C227" s="6">
        <v>2022</v>
      </c>
      <c r="D227" s="7">
        <v>130626.422</v>
      </c>
      <c r="E227" s="7">
        <v>256016</v>
      </c>
      <c r="F227" s="7">
        <v>130626.422</v>
      </c>
      <c r="G227" s="7">
        <v>256016</v>
      </c>
      <c r="H227" s="8">
        <f>IFERROR(F227/D227,"")</f>
        <v>0</v>
      </c>
      <c r="I227" s="8">
        <f>IFERROR(G227/E227,"")</f>
        <v>0</v>
      </c>
    </row>
    <row r="228" spans="1:9">
      <c r="A228" s="4" t="s">
        <v>205</v>
      </c>
      <c r="B228" s="6" t="s">
        <v>206</v>
      </c>
      <c r="C228" s="6">
        <v>2023</v>
      </c>
      <c r="D228" s="7">
        <v>101368.096</v>
      </c>
      <c r="E228" s="7">
        <v>341000</v>
      </c>
      <c r="F228" s="7">
        <v>101368.096</v>
      </c>
      <c r="G228" s="7">
        <v>341000</v>
      </c>
      <c r="H228" s="8">
        <f>IFERROR(F228/D228,"")</f>
        <v>0</v>
      </c>
      <c r="I228" s="8">
        <f>IFERROR(G228/E228,"")</f>
        <v>0</v>
      </c>
    </row>
    <row r="229" spans="1:9">
      <c r="A229" s="4" t="s">
        <v>205</v>
      </c>
      <c r="B229" s="6" t="s">
        <v>206</v>
      </c>
      <c r="C229" s="6">
        <v>2024</v>
      </c>
      <c r="D229" s="7">
        <v>60589.837</v>
      </c>
      <c r="E229" s="7">
        <v>205472</v>
      </c>
      <c r="F229" s="7">
        <v>60589.837</v>
      </c>
      <c r="G229" s="7">
        <v>205472</v>
      </c>
      <c r="H229" s="8">
        <f>IFERROR(F229/D229,"")</f>
        <v>0</v>
      </c>
      <c r="I229" s="8">
        <f>IFERROR(G229/E229,"")</f>
        <v>0</v>
      </c>
    </row>
    <row r="230" spans="1:9">
      <c r="A230" s="4" t="s">
        <v>205</v>
      </c>
      <c r="B230" s="6" t="s">
        <v>206</v>
      </c>
      <c r="C230" s="6">
        <v>2025</v>
      </c>
      <c r="D230" s="7">
        <v>15663.812</v>
      </c>
      <c r="E230" s="7">
        <v>64472</v>
      </c>
      <c r="F230" s="7">
        <v>15663.812</v>
      </c>
      <c r="G230" s="7">
        <v>64472</v>
      </c>
      <c r="H230" s="8">
        <f>IFERROR(F230/D230,"")</f>
        <v>0</v>
      </c>
      <c r="I230" s="8">
        <f>IFERROR(G230/E230,"")</f>
        <v>0</v>
      </c>
    </row>
    <row r="231" spans="1:9">
      <c r="A231" s="4" t="s">
        <v>207</v>
      </c>
      <c r="B231" s="6" t="s">
        <v>208</v>
      </c>
      <c r="C231" s="6">
        <v>2021</v>
      </c>
      <c r="D231" s="7">
        <v>8480.386</v>
      </c>
      <c r="E231" s="7">
        <v>21632</v>
      </c>
      <c r="F231" s="7">
        <v>7506.184</v>
      </c>
      <c r="G231" s="7">
        <v>20139</v>
      </c>
      <c r="H231" s="8">
        <f>IFERROR(F231/D231,"")</f>
        <v>0</v>
      </c>
      <c r="I231" s="8">
        <f>IFERROR(G231/E231,"")</f>
        <v>0</v>
      </c>
    </row>
    <row r="232" spans="1:9">
      <c r="A232" s="4" t="s">
        <v>207</v>
      </c>
      <c r="B232" s="6" t="s">
        <v>208</v>
      </c>
      <c r="C232" s="6">
        <v>2022</v>
      </c>
      <c r="D232" s="7">
        <v>14326.23</v>
      </c>
      <c r="E232" s="7">
        <v>21821</v>
      </c>
      <c r="F232" s="7">
        <v>7919.574</v>
      </c>
      <c r="G232" s="7">
        <v>16381</v>
      </c>
      <c r="H232" s="8">
        <f>IFERROR(F232/D232,"")</f>
        <v>0</v>
      </c>
      <c r="I232" s="8">
        <f>IFERROR(G232/E232,"")</f>
        <v>0</v>
      </c>
    </row>
    <row r="233" spans="1:9">
      <c r="A233" s="4" t="s">
        <v>207</v>
      </c>
      <c r="B233" s="6" t="s">
        <v>208</v>
      </c>
      <c r="C233" s="6">
        <v>2023</v>
      </c>
      <c r="D233" s="7">
        <v>10304.226</v>
      </c>
      <c r="E233" s="7">
        <v>13951</v>
      </c>
      <c r="F233" s="7">
        <v>8156.991</v>
      </c>
      <c r="G233" s="7">
        <v>13055</v>
      </c>
      <c r="H233" s="8">
        <f>IFERROR(F233/D233,"")</f>
        <v>0</v>
      </c>
      <c r="I233" s="8">
        <f>IFERROR(G233/E233,"")</f>
        <v>0</v>
      </c>
    </row>
    <row r="234" spans="1:9">
      <c r="A234" s="4" t="s">
        <v>209</v>
      </c>
      <c r="B234" s="6" t="s">
        <v>210</v>
      </c>
      <c r="C234" s="6">
        <v>2019</v>
      </c>
      <c r="D234" s="7">
        <v>53984301.6</v>
      </c>
      <c r="E234" s="7">
        <v>0</v>
      </c>
      <c r="F234" s="7">
        <v>666217.53</v>
      </c>
      <c r="G234" s="7">
        <v>2072450</v>
      </c>
      <c r="H234" s="8">
        <f>IFERROR(F234/D234,"")</f>
        <v>0</v>
      </c>
      <c r="I234" s="9">
        <f>"n/a"</f>
        <v>0</v>
      </c>
    </row>
    <row r="235" spans="1:9">
      <c r="A235" s="4" t="s">
        <v>209</v>
      </c>
      <c r="B235" s="6" t="s">
        <v>210</v>
      </c>
      <c r="C235" s="6">
        <v>2020</v>
      </c>
      <c r="D235" s="7">
        <v>43155201.58</v>
      </c>
      <c r="E235" s="7">
        <v>0</v>
      </c>
      <c r="F235" s="7">
        <v>2466398.39</v>
      </c>
      <c r="G235" s="7">
        <v>10981255</v>
      </c>
      <c r="H235" s="8">
        <f>IFERROR(F235/D235,"")</f>
        <v>0</v>
      </c>
      <c r="I235" s="9">
        <f>"n/a"</f>
        <v>0</v>
      </c>
    </row>
    <row r="236" spans="1:9">
      <c r="A236" s="4" t="s">
        <v>209</v>
      </c>
      <c r="B236" s="6" t="s">
        <v>210</v>
      </c>
      <c r="C236" s="6">
        <v>2021</v>
      </c>
      <c r="D236" s="7">
        <v>49740165.61</v>
      </c>
      <c r="E236" s="7">
        <v>0</v>
      </c>
      <c r="F236" s="7">
        <v>603805.33</v>
      </c>
      <c r="G236" s="7">
        <v>1809025</v>
      </c>
      <c r="H236" s="8">
        <f>IFERROR(F236/D236,"")</f>
        <v>0</v>
      </c>
      <c r="I236" s="9">
        <f>"n/a"</f>
        <v>0</v>
      </c>
    </row>
    <row r="237" spans="1:9">
      <c r="A237" s="4" t="s">
        <v>209</v>
      </c>
      <c r="B237" s="6" t="s">
        <v>210</v>
      </c>
      <c r="C237" s="6">
        <v>2022</v>
      </c>
      <c r="D237" s="7">
        <v>88030367.38</v>
      </c>
      <c r="E237" s="7">
        <v>0</v>
      </c>
      <c r="F237" s="7">
        <v>29813307.62</v>
      </c>
      <c r="G237" s="7">
        <v>52004585</v>
      </c>
      <c r="H237" s="8">
        <f>IFERROR(F237/D237,"")</f>
        <v>0</v>
      </c>
      <c r="I237" s="9">
        <f>"n/a"</f>
        <v>0</v>
      </c>
    </row>
    <row r="238" spans="1:9">
      <c r="A238" s="4" t="s">
        <v>209</v>
      </c>
      <c r="B238" s="6" t="s">
        <v>210</v>
      </c>
      <c r="C238" s="6">
        <v>2023</v>
      </c>
      <c r="D238" s="7">
        <v>69532894.84</v>
      </c>
      <c r="E238" s="7">
        <v>0</v>
      </c>
      <c r="F238" s="7">
        <v>10739245.27</v>
      </c>
      <c r="G238" s="7">
        <v>25431060</v>
      </c>
      <c r="H238" s="8">
        <f>IFERROR(F238/D238,"")</f>
        <v>0</v>
      </c>
      <c r="I238" s="9">
        <f>"n/a"</f>
        <v>0</v>
      </c>
    </row>
    <row r="239" spans="1:9">
      <c r="A239" s="4" t="s">
        <v>209</v>
      </c>
      <c r="B239" s="6" t="s">
        <v>210</v>
      </c>
      <c r="C239" s="6">
        <v>2024</v>
      </c>
      <c r="D239" s="7">
        <v>60645887.16</v>
      </c>
      <c r="E239" s="7">
        <v>0</v>
      </c>
      <c r="F239" s="7">
        <v>3589380.65</v>
      </c>
      <c r="G239" s="7">
        <v>12458758</v>
      </c>
      <c r="H239" s="8">
        <f>IFERROR(F239/D239,"")</f>
        <v>0</v>
      </c>
      <c r="I239" s="9">
        <f>"n/a"</f>
        <v>0</v>
      </c>
    </row>
    <row r="240" spans="1:9">
      <c r="A240" s="4" t="s">
        <v>209</v>
      </c>
      <c r="B240" s="6" t="s">
        <v>210</v>
      </c>
      <c r="C240" s="6">
        <v>2025</v>
      </c>
      <c r="D240" s="7">
        <v>53769768.39</v>
      </c>
      <c r="E240" s="7">
        <v>0</v>
      </c>
      <c r="F240" s="7">
        <v>6190763.37</v>
      </c>
      <c r="G240" s="7">
        <v>23013750</v>
      </c>
      <c r="H240" s="8">
        <f>IFERROR(F240/D240,"")</f>
        <v>0</v>
      </c>
      <c r="I240" s="9">
        <f>"n/a"</f>
        <v>0</v>
      </c>
    </row>
    <row r="241" spans="1:9">
      <c r="A241" s="4" t="s">
        <v>211</v>
      </c>
      <c r="B241" s="6" t="s">
        <v>212</v>
      </c>
      <c r="C241" s="6">
        <v>2019</v>
      </c>
      <c r="D241" s="7">
        <v>4797.431</v>
      </c>
      <c r="E241" s="7">
        <v>6201</v>
      </c>
      <c r="F241" s="7">
        <v>0</v>
      </c>
      <c r="G241" s="7">
        <v>0</v>
      </c>
      <c r="H241" s="8">
        <f>IFERROR(F241/D241,"")</f>
        <v>0</v>
      </c>
      <c r="I241" s="8">
        <f>IFERROR(G241/E241,"")</f>
        <v>0</v>
      </c>
    </row>
    <row r="242" spans="1:9">
      <c r="A242" s="4" t="s">
        <v>211</v>
      </c>
      <c r="B242" s="6" t="s">
        <v>212</v>
      </c>
      <c r="C242" s="6">
        <v>2020</v>
      </c>
      <c r="D242" s="7">
        <v>2308.335</v>
      </c>
      <c r="E242" s="7">
        <v>5670</v>
      </c>
      <c r="F242" s="7">
        <v>0</v>
      </c>
      <c r="G242" s="7">
        <v>0</v>
      </c>
      <c r="H242" s="8">
        <f>IFERROR(F242/D242,"")</f>
        <v>0</v>
      </c>
      <c r="I242" s="8">
        <f>IFERROR(G242/E242,"")</f>
        <v>0</v>
      </c>
    </row>
    <row r="243" spans="1:9">
      <c r="A243" s="4" t="s">
        <v>211</v>
      </c>
      <c r="B243" s="6" t="s">
        <v>212</v>
      </c>
      <c r="C243" s="6">
        <v>2021</v>
      </c>
      <c r="D243" s="7">
        <v>616.494</v>
      </c>
      <c r="E243" s="7">
        <v>1700</v>
      </c>
      <c r="F243" s="7">
        <v>0</v>
      </c>
      <c r="G243" s="7">
        <v>0</v>
      </c>
      <c r="H243" s="8">
        <f>IFERROR(F243/D243,"")</f>
        <v>0</v>
      </c>
      <c r="I243" s="8">
        <f>IFERROR(G243/E243,"")</f>
        <v>0</v>
      </c>
    </row>
    <row r="244" spans="1:9">
      <c r="A244" s="4" t="s">
        <v>211</v>
      </c>
      <c r="B244" s="6" t="s">
        <v>212</v>
      </c>
      <c r="C244" s="6">
        <v>2025</v>
      </c>
      <c r="D244" s="7">
        <v>1787.183</v>
      </c>
      <c r="E244" s="7">
        <v>2950</v>
      </c>
      <c r="F244" s="7">
        <v>0</v>
      </c>
      <c r="G244" s="7">
        <v>0</v>
      </c>
      <c r="H244" s="8">
        <f>IFERROR(F244/D244,"")</f>
        <v>0</v>
      </c>
      <c r="I244" s="8">
        <f>IFERROR(G244/E244,"")</f>
        <v>0</v>
      </c>
    </row>
    <row r="245" spans="1:9">
      <c r="A245" s="4" t="s">
        <v>213</v>
      </c>
      <c r="B245" s="6" t="s">
        <v>214</v>
      </c>
      <c r="C245" s="6">
        <v>2019</v>
      </c>
      <c r="D245" s="7">
        <v>76625.838</v>
      </c>
      <c r="E245" s="7">
        <v>154326.92</v>
      </c>
      <c r="F245" s="7">
        <v>7042.482</v>
      </c>
      <c r="G245" s="7">
        <v>6000</v>
      </c>
      <c r="H245" s="8">
        <f>IFERROR(F245/D245,"")</f>
        <v>0</v>
      </c>
      <c r="I245" s="8">
        <f>IFERROR(G245/E245,"")</f>
        <v>0</v>
      </c>
    </row>
    <row r="246" spans="1:9">
      <c r="A246" s="4" t="s">
        <v>213</v>
      </c>
      <c r="B246" s="6" t="s">
        <v>214</v>
      </c>
      <c r="C246" s="6">
        <v>2020</v>
      </c>
      <c r="D246" s="7">
        <v>47630.71</v>
      </c>
      <c r="E246" s="7">
        <v>100650.2</v>
      </c>
      <c r="F246" s="7">
        <v>0</v>
      </c>
      <c r="G246" s="7">
        <v>0</v>
      </c>
      <c r="H246" s="8">
        <f>IFERROR(F246/D246,"")</f>
        <v>0</v>
      </c>
      <c r="I246" s="8">
        <f>IFERROR(G246/E246,"")</f>
        <v>0</v>
      </c>
    </row>
    <row r="247" spans="1:9">
      <c r="A247" s="4" t="s">
        <v>213</v>
      </c>
      <c r="B247" s="6" t="s">
        <v>214</v>
      </c>
      <c r="C247" s="6">
        <v>2021</v>
      </c>
      <c r="D247" s="7">
        <v>1561482.61</v>
      </c>
      <c r="E247" s="7">
        <v>4470862</v>
      </c>
      <c r="F247" s="7">
        <v>1531720.36</v>
      </c>
      <c r="G247" s="7">
        <v>4403000</v>
      </c>
      <c r="H247" s="8">
        <f>IFERROR(F247/D247,"")</f>
        <v>0</v>
      </c>
      <c r="I247" s="8">
        <f>IFERROR(G247/E247,"")</f>
        <v>0</v>
      </c>
    </row>
    <row r="248" spans="1:9">
      <c r="A248" s="4" t="s">
        <v>213</v>
      </c>
      <c r="B248" s="6" t="s">
        <v>214</v>
      </c>
      <c r="C248" s="6">
        <v>2022</v>
      </c>
      <c r="D248" s="7">
        <v>2536289.141</v>
      </c>
      <c r="E248" s="7">
        <v>4632750</v>
      </c>
      <c r="F248" s="7">
        <v>210299.421</v>
      </c>
      <c r="G248" s="7">
        <v>68000</v>
      </c>
      <c r="H248" s="8">
        <f>IFERROR(F248/D248,"")</f>
        <v>0</v>
      </c>
      <c r="I248" s="8">
        <f>IFERROR(G248/E248,"")</f>
        <v>0</v>
      </c>
    </row>
    <row r="249" spans="1:9">
      <c r="A249" s="4" t="s">
        <v>213</v>
      </c>
      <c r="B249" s="6" t="s">
        <v>214</v>
      </c>
      <c r="C249" s="6">
        <v>2023</v>
      </c>
      <c r="D249" s="7">
        <v>1756146.654</v>
      </c>
      <c r="E249" s="7">
        <v>732960</v>
      </c>
      <c r="F249" s="7">
        <v>1627838.004</v>
      </c>
      <c r="G249" s="7">
        <v>532000</v>
      </c>
      <c r="H249" s="8">
        <f>IFERROR(F249/D249,"")</f>
        <v>0</v>
      </c>
      <c r="I249" s="8">
        <f>IFERROR(G249/E249,"")</f>
        <v>0</v>
      </c>
    </row>
    <row r="250" spans="1:9">
      <c r="A250" s="4" t="s">
        <v>213</v>
      </c>
      <c r="B250" s="6" t="s">
        <v>214</v>
      </c>
      <c r="C250" s="6">
        <v>2024</v>
      </c>
      <c r="D250" s="7">
        <v>4174191.977</v>
      </c>
      <c r="E250" s="7">
        <v>1442770.04</v>
      </c>
      <c r="F250" s="7">
        <v>4095097.011</v>
      </c>
      <c r="G250" s="7">
        <v>1351600</v>
      </c>
      <c r="H250" s="8">
        <f>IFERROR(F250/D250,"")</f>
        <v>0</v>
      </c>
      <c r="I250" s="8">
        <f>IFERROR(G250/E250,"")</f>
        <v>0</v>
      </c>
    </row>
    <row r="251" spans="1:9">
      <c r="A251" s="4" t="s">
        <v>215</v>
      </c>
      <c r="B251" s="6" t="s">
        <v>216</v>
      </c>
      <c r="C251" s="6">
        <v>2019</v>
      </c>
      <c r="D251" s="7">
        <v>6863632.16</v>
      </c>
      <c r="E251" s="7">
        <v>0</v>
      </c>
      <c r="F251" s="7">
        <v>3688.68</v>
      </c>
      <c r="G251" s="7">
        <v>4341</v>
      </c>
      <c r="H251" s="8">
        <f>IFERROR(F251/D251,"")</f>
        <v>0</v>
      </c>
      <c r="I251" s="9">
        <f>"n/a"</f>
        <v>0</v>
      </c>
    </row>
    <row r="252" spans="1:9">
      <c r="A252" s="4" t="s">
        <v>215</v>
      </c>
      <c r="B252" s="6" t="s">
        <v>216</v>
      </c>
      <c r="C252" s="6">
        <v>2020</v>
      </c>
      <c r="D252" s="7">
        <v>5136866.83</v>
      </c>
      <c r="E252" s="7">
        <v>0</v>
      </c>
      <c r="F252" s="7">
        <v>65822.56</v>
      </c>
      <c r="G252" s="7">
        <v>198668</v>
      </c>
      <c r="H252" s="8">
        <f>IFERROR(F252/D252,"")</f>
        <v>0</v>
      </c>
      <c r="I252" s="9">
        <f>"n/a"</f>
        <v>0</v>
      </c>
    </row>
    <row r="253" spans="1:9">
      <c r="A253" s="4" t="s">
        <v>215</v>
      </c>
      <c r="B253" s="6" t="s">
        <v>216</v>
      </c>
      <c r="C253" s="6">
        <v>2021</v>
      </c>
      <c r="D253" s="7">
        <v>9412682.16</v>
      </c>
      <c r="E253" s="7">
        <v>32383614.914</v>
      </c>
      <c r="F253" s="7">
        <v>683517.4</v>
      </c>
      <c r="G253" s="7">
        <v>2471771.06</v>
      </c>
      <c r="H253" s="8">
        <f>IFERROR(F253/D253,"")</f>
        <v>0</v>
      </c>
      <c r="I253" s="8">
        <f>IFERROR(G253/E253,"")</f>
        <v>0</v>
      </c>
    </row>
    <row r="254" spans="1:9">
      <c r="A254" s="4" t="s">
        <v>215</v>
      </c>
      <c r="B254" s="6" t="s">
        <v>216</v>
      </c>
      <c r="C254" s="6">
        <v>2022</v>
      </c>
      <c r="D254" s="7">
        <v>9707233.82</v>
      </c>
      <c r="E254" s="7">
        <v>25959915.938</v>
      </c>
      <c r="F254" s="7">
        <v>2179493.01</v>
      </c>
      <c r="G254" s="7">
        <v>3871448.94</v>
      </c>
      <c r="H254" s="8">
        <f>IFERROR(F254/D254,"")</f>
        <v>0</v>
      </c>
      <c r="I254" s="8">
        <f>IFERROR(G254/E254,"")</f>
        <v>0</v>
      </c>
    </row>
    <row r="255" spans="1:9">
      <c r="A255" s="4" t="s">
        <v>215</v>
      </c>
      <c r="B255" s="6" t="s">
        <v>216</v>
      </c>
      <c r="C255" s="6">
        <v>2023</v>
      </c>
      <c r="D255" s="7">
        <v>11927754.23</v>
      </c>
      <c r="E255" s="7">
        <v>37410673.92</v>
      </c>
      <c r="F255" s="7">
        <v>2849714.33</v>
      </c>
      <c r="G255" s="7">
        <v>6679557.872</v>
      </c>
      <c r="H255" s="8">
        <f>IFERROR(F255/D255,"")</f>
        <v>0</v>
      </c>
      <c r="I255" s="8">
        <f>IFERROR(G255/E255,"")</f>
        <v>0</v>
      </c>
    </row>
    <row r="256" spans="1:9">
      <c r="A256" s="4" t="s">
        <v>215</v>
      </c>
      <c r="B256" s="6" t="s">
        <v>216</v>
      </c>
      <c r="C256" s="6">
        <v>2024</v>
      </c>
      <c r="D256" s="7">
        <v>3258891.71</v>
      </c>
      <c r="E256" s="7">
        <v>9240010.663000001</v>
      </c>
      <c r="F256" s="7">
        <v>2145486.7</v>
      </c>
      <c r="G256" s="7">
        <v>6391215.89</v>
      </c>
      <c r="H256" s="8">
        <f>IFERROR(F256/D256,"")</f>
        <v>0</v>
      </c>
      <c r="I256" s="8">
        <f>IFERROR(G256/E256,"")</f>
        <v>0</v>
      </c>
    </row>
    <row r="257" spans="1:9">
      <c r="A257" s="4" t="s">
        <v>217</v>
      </c>
      <c r="B257" s="6" t="s">
        <v>218</v>
      </c>
      <c r="C257" s="6">
        <v>2019</v>
      </c>
      <c r="D257" s="7">
        <v>9317362</v>
      </c>
      <c r="E257" s="7">
        <v>0</v>
      </c>
      <c r="F257" s="7">
        <v>0</v>
      </c>
      <c r="G257" s="7">
        <v>0</v>
      </c>
      <c r="H257" s="8">
        <f>IFERROR(F257/D257,"")</f>
        <v>0</v>
      </c>
      <c r="I257" s="9">
        <f>"n/a"</f>
        <v>0</v>
      </c>
    </row>
    <row r="258" spans="1:9">
      <c r="A258" s="4" t="s">
        <v>217</v>
      </c>
      <c r="B258" s="6" t="s">
        <v>218</v>
      </c>
      <c r="C258" s="6">
        <v>2020</v>
      </c>
      <c r="D258" s="7">
        <v>8436557</v>
      </c>
      <c r="E258" s="7">
        <v>0</v>
      </c>
      <c r="F258" s="7">
        <v>0</v>
      </c>
      <c r="G258" s="7">
        <v>0</v>
      </c>
      <c r="H258" s="8">
        <f>IFERROR(F258/D258,"")</f>
        <v>0</v>
      </c>
      <c r="I258" s="9">
        <f>"n/a"</f>
        <v>0</v>
      </c>
    </row>
    <row r="259" spans="1:9">
      <c r="A259" s="4" t="s">
        <v>217</v>
      </c>
      <c r="B259" s="6" t="s">
        <v>218</v>
      </c>
      <c r="C259" s="6">
        <v>2021</v>
      </c>
      <c r="D259" s="7">
        <v>9513726</v>
      </c>
      <c r="E259" s="7">
        <v>41017079.149</v>
      </c>
      <c r="F259" s="7">
        <v>0</v>
      </c>
      <c r="G259" s="7">
        <v>0</v>
      </c>
      <c r="H259" s="8">
        <f>IFERROR(F259/D259,"")</f>
        <v>0</v>
      </c>
      <c r="I259" s="8">
        <f>IFERROR(G259/E259,"")</f>
        <v>0</v>
      </c>
    </row>
    <row r="260" spans="1:9">
      <c r="A260" s="4" t="s">
        <v>217</v>
      </c>
      <c r="B260" s="6" t="s">
        <v>218</v>
      </c>
      <c r="C260" s="6">
        <v>2022</v>
      </c>
      <c r="D260" s="7">
        <v>13192537</v>
      </c>
      <c r="E260" s="7">
        <v>42809601.093</v>
      </c>
      <c r="F260" s="7">
        <v>0</v>
      </c>
      <c r="G260" s="7">
        <v>0</v>
      </c>
      <c r="H260" s="8">
        <f>IFERROR(F260/D260,"")</f>
        <v>0</v>
      </c>
      <c r="I260" s="8">
        <f>IFERROR(G260/E260,"")</f>
        <v>0</v>
      </c>
    </row>
    <row r="261" spans="1:9">
      <c r="A261" s="4" t="s">
        <v>217</v>
      </c>
      <c r="B261" s="6" t="s">
        <v>218</v>
      </c>
      <c r="C261" s="6">
        <v>2023</v>
      </c>
      <c r="D261" s="7">
        <v>17274615</v>
      </c>
      <c r="E261" s="7">
        <v>43224850.629</v>
      </c>
      <c r="F261" s="7">
        <v>0</v>
      </c>
      <c r="G261" s="7">
        <v>0</v>
      </c>
      <c r="H261" s="8">
        <f>IFERROR(F261/D261,"")</f>
        <v>0</v>
      </c>
      <c r="I261" s="8">
        <f>IFERROR(G261/E261,"")</f>
        <v>0</v>
      </c>
    </row>
    <row r="262" spans="1:9">
      <c r="A262" s="4" t="s">
        <v>217</v>
      </c>
      <c r="B262" s="6" t="s">
        <v>218</v>
      </c>
      <c r="C262" s="6">
        <v>2024</v>
      </c>
      <c r="D262" s="7">
        <v>10504320</v>
      </c>
      <c r="E262" s="7">
        <v>0</v>
      </c>
      <c r="F262" s="7">
        <v>0</v>
      </c>
      <c r="G262" s="7">
        <v>0</v>
      </c>
      <c r="H262" s="8">
        <f>IFERROR(F262/D262,"")</f>
        <v>0</v>
      </c>
      <c r="I262" s="9">
        <f>"n/a"</f>
        <v>0</v>
      </c>
    </row>
    <row r="263" spans="1:9">
      <c r="A263" s="4" t="s">
        <v>217</v>
      </c>
      <c r="B263" s="6" t="s">
        <v>218</v>
      </c>
      <c r="C263" s="6">
        <v>2025</v>
      </c>
      <c r="D263" s="7">
        <v>10348832</v>
      </c>
      <c r="E263" s="7">
        <v>31425598.585</v>
      </c>
      <c r="F263" s="7">
        <v>0</v>
      </c>
      <c r="G263" s="7">
        <v>0</v>
      </c>
      <c r="H263" s="8">
        <f>IFERROR(F263/D263,"")</f>
        <v>0</v>
      </c>
      <c r="I263" s="8">
        <f>IFERROR(G263/E263,"")</f>
        <v>0</v>
      </c>
    </row>
    <row r="264" spans="1:9">
      <c r="A264" s="4" t="s">
        <v>219</v>
      </c>
      <c r="B264" s="6" t="s">
        <v>220</v>
      </c>
      <c r="C264" s="6">
        <v>2019</v>
      </c>
      <c r="D264" s="7">
        <v>411558.63</v>
      </c>
      <c r="E264" s="7">
        <v>472125.53</v>
      </c>
      <c r="F264" s="7">
        <v>1583.99</v>
      </c>
      <c r="G264" s="7">
        <v>2000</v>
      </c>
      <c r="H264" s="8">
        <f>IFERROR(F264/D264,"")</f>
        <v>0</v>
      </c>
      <c r="I264" s="8">
        <f>IFERROR(G264/E264,"")</f>
        <v>0</v>
      </c>
    </row>
    <row r="265" spans="1:9">
      <c r="A265" s="4" t="s">
        <v>219</v>
      </c>
      <c r="B265" s="6" t="s">
        <v>220</v>
      </c>
      <c r="C265" s="6">
        <v>2020</v>
      </c>
      <c r="D265" s="7">
        <v>272268.31</v>
      </c>
      <c r="E265" s="7">
        <v>0</v>
      </c>
      <c r="F265" s="7">
        <v>25054.28</v>
      </c>
      <c r="G265" s="7">
        <v>36000</v>
      </c>
      <c r="H265" s="8">
        <f>IFERROR(F265/D265,"")</f>
        <v>0</v>
      </c>
      <c r="I265" s="9">
        <f>"n/a"</f>
        <v>0</v>
      </c>
    </row>
    <row r="266" spans="1:9">
      <c r="A266" s="4" t="s">
        <v>219</v>
      </c>
      <c r="B266" s="6" t="s">
        <v>220</v>
      </c>
      <c r="C266" s="6">
        <v>2021</v>
      </c>
      <c r="D266" s="7">
        <v>120687.76</v>
      </c>
      <c r="E266" s="7">
        <v>0</v>
      </c>
      <c r="F266" s="7">
        <v>36363.2</v>
      </c>
      <c r="G266" s="7">
        <v>38400</v>
      </c>
      <c r="H266" s="8">
        <f>IFERROR(F266/D266,"")</f>
        <v>0</v>
      </c>
      <c r="I266" s="9">
        <f>"n/a"</f>
        <v>0</v>
      </c>
    </row>
    <row r="267" spans="1:9">
      <c r="A267" s="4" t="s">
        <v>219</v>
      </c>
      <c r="B267" s="6" t="s">
        <v>220</v>
      </c>
      <c r="C267" s="6">
        <v>2022</v>
      </c>
      <c r="D267" s="7">
        <v>253920.51</v>
      </c>
      <c r="E267" s="7">
        <v>239674.272</v>
      </c>
      <c r="F267" s="7">
        <v>194192.37</v>
      </c>
      <c r="G267" s="7">
        <v>202500</v>
      </c>
      <c r="H267" s="8">
        <f>IFERROR(F267/D267,"")</f>
        <v>0</v>
      </c>
      <c r="I267" s="8">
        <f>IFERROR(G267/E267,"")</f>
        <v>0</v>
      </c>
    </row>
    <row r="268" spans="1:9">
      <c r="A268" s="4" t="s">
        <v>221</v>
      </c>
      <c r="B268" s="6" t="s">
        <v>222</v>
      </c>
      <c r="C268" s="6">
        <v>2019</v>
      </c>
      <c r="D268" s="7">
        <v>11675.86</v>
      </c>
      <c r="E268" s="7">
        <v>30710.204</v>
      </c>
      <c r="F268" s="7">
        <v>0</v>
      </c>
      <c r="G268" s="7">
        <v>0</v>
      </c>
      <c r="H268" s="8">
        <f>IFERROR(F268/D268,"")</f>
        <v>0</v>
      </c>
      <c r="I268" s="8">
        <f>IFERROR(G268/E268,"")</f>
        <v>0</v>
      </c>
    </row>
    <row r="269" spans="1:9">
      <c r="A269" s="4" t="s">
        <v>221</v>
      </c>
      <c r="B269" s="6" t="s">
        <v>222</v>
      </c>
      <c r="C269" s="6">
        <v>2020</v>
      </c>
      <c r="D269" s="7">
        <v>26480.437</v>
      </c>
      <c r="E269" s="7">
        <v>38690.964</v>
      </c>
      <c r="F269" s="7">
        <v>0</v>
      </c>
      <c r="G269" s="7">
        <v>0</v>
      </c>
      <c r="H269" s="8">
        <f>IFERROR(F269/D269,"")</f>
        <v>0</v>
      </c>
      <c r="I269" s="8">
        <f>IFERROR(G269/E269,"")</f>
        <v>0</v>
      </c>
    </row>
    <row r="270" spans="1:9">
      <c r="A270" s="4" t="s">
        <v>223</v>
      </c>
      <c r="B270" s="6" t="s">
        <v>224</v>
      </c>
      <c r="C270" s="6">
        <v>2019</v>
      </c>
      <c r="D270" s="7">
        <v>85115.306</v>
      </c>
      <c r="E270" s="7">
        <v>247417.743</v>
      </c>
      <c r="F270" s="7">
        <v>0</v>
      </c>
      <c r="G270" s="7">
        <v>0</v>
      </c>
      <c r="H270" s="8">
        <f>IFERROR(F270/D270,"")</f>
        <v>0</v>
      </c>
      <c r="I270" s="8">
        <f>IFERROR(G270/E270,"")</f>
        <v>0</v>
      </c>
    </row>
    <row r="271" spans="1:9">
      <c r="A271" s="4" t="s">
        <v>223</v>
      </c>
      <c r="B271" s="6" t="s">
        <v>224</v>
      </c>
      <c r="C271" s="6">
        <v>2020</v>
      </c>
      <c r="D271" s="7">
        <v>75629.36599999999</v>
      </c>
      <c r="E271" s="7">
        <v>154023</v>
      </c>
      <c r="F271" s="7">
        <v>0</v>
      </c>
      <c r="G271" s="7">
        <v>0</v>
      </c>
      <c r="H271" s="8">
        <f>IFERROR(F271/D271,"")</f>
        <v>0</v>
      </c>
      <c r="I271" s="8">
        <f>IFERROR(G271/E271,"")</f>
        <v>0</v>
      </c>
    </row>
    <row r="272" spans="1:9">
      <c r="A272" s="4" t="s">
        <v>223</v>
      </c>
      <c r="B272" s="6" t="s">
        <v>224</v>
      </c>
      <c r="C272" s="6">
        <v>2021</v>
      </c>
      <c r="D272" s="7">
        <v>83292.121</v>
      </c>
      <c r="E272" s="7">
        <v>0</v>
      </c>
      <c r="F272" s="7">
        <v>0</v>
      </c>
      <c r="G272" s="7">
        <v>0</v>
      </c>
      <c r="H272" s="8">
        <f>IFERROR(F272/D272,"")</f>
        <v>0</v>
      </c>
      <c r="I272" s="9">
        <f>"n/a"</f>
        <v>0</v>
      </c>
    </row>
    <row r="273" spans="1:9">
      <c r="A273" s="4" t="s">
        <v>223</v>
      </c>
      <c r="B273" s="6" t="s">
        <v>224</v>
      </c>
      <c r="C273" s="6">
        <v>2022</v>
      </c>
      <c r="D273" s="7">
        <v>144042.31</v>
      </c>
      <c r="E273" s="7">
        <v>288110</v>
      </c>
      <c r="F273" s="7">
        <v>0</v>
      </c>
      <c r="G273" s="7">
        <v>0</v>
      </c>
      <c r="H273" s="8">
        <f>IFERROR(F273/D273,"")</f>
        <v>0</v>
      </c>
      <c r="I273" s="8">
        <f>IFERROR(G273/E273,"")</f>
        <v>0</v>
      </c>
    </row>
    <row r="274" spans="1:9">
      <c r="A274" s="4" t="s">
        <v>223</v>
      </c>
      <c r="B274" s="6" t="s">
        <v>224</v>
      </c>
      <c r="C274" s="6">
        <v>2023</v>
      </c>
      <c r="D274" s="7">
        <v>133776.716</v>
      </c>
      <c r="E274" s="7">
        <v>255111</v>
      </c>
      <c r="F274" s="7">
        <v>22456.868</v>
      </c>
      <c r="G274" s="7">
        <v>25176</v>
      </c>
      <c r="H274" s="8">
        <f>IFERROR(F274/D274,"")</f>
        <v>0</v>
      </c>
      <c r="I274" s="8">
        <f>IFERROR(G274/E274,"")</f>
        <v>0</v>
      </c>
    </row>
    <row r="275" spans="1:9">
      <c r="A275" s="4" t="s">
        <v>223</v>
      </c>
      <c r="B275" s="6" t="s">
        <v>224</v>
      </c>
      <c r="C275" s="6">
        <v>2024</v>
      </c>
      <c r="D275" s="7">
        <v>207413.32</v>
      </c>
      <c r="E275" s="7">
        <v>388583</v>
      </c>
      <c r="F275" s="7">
        <v>0</v>
      </c>
      <c r="G275" s="7">
        <v>0</v>
      </c>
      <c r="H275" s="8">
        <f>IFERROR(F275/D275,"")</f>
        <v>0</v>
      </c>
      <c r="I275" s="8">
        <f>IFERROR(G275/E275,"")</f>
        <v>0</v>
      </c>
    </row>
    <row r="276" spans="1:9">
      <c r="A276" s="4" t="s">
        <v>223</v>
      </c>
      <c r="B276" s="6" t="s">
        <v>224</v>
      </c>
      <c r="C276" s="6">
        <v>2025</v>
      </c>
      <c r="D276" s="7">
        <v>219157.968</v>
      </c>
      <c r="E276" s="7">
        <v>412468</v>
      </c>
      <c r="F276" s="7">
        <v>0</v>
      </c>
      <c r="G276" s="7">
        <v>0</v>
      </c>
      <c r="H276" s="8">
        <f>IFERROR(F276/D276,"")</f>
        <v>0</v>
      </c>
      <c r="I276" s="8">
        <f>IFERROR(G276/E276,"")</f>
        <v>0</v>
      </c>
    </row>
    <row r="277" spans="1:9">
      <c r="A277" s="4" t="s">
        <v>225</v>
      </c>
      <c r="B277" s="6" t="s">
        <v>226</v>
      </c>
      <c r="C277" s="6">
        <v>2019</v>
      </c>
      <c r="D277" s="7">
        <v>45836184</v>
      </c>
      <c r="E277" s="7">
        <v>0</v>
      </c>
      <c r="F277" s="7">
        <v>0</v>
      </c>
      <c r="G277" s="7">
        <v>0</v>
      </c>
      <c r="H277" s="8">
        <f>IFERROR(F277/D277,"")</f>
        <v>0</v>
      </c>
      <c r="I277" s="9">
        <f>"n/a"</f>
        <v>0</v>
      </c>
    </row>
    <row r="278" spans="1:9">
      <c r="A278" s="4" t="s">
        <v>225</v>
      </c>
      <c r="B278" s="6" t="s">
        <v>226</v>
      </c>
      <c r="C278" s="6">
        <v>2020</v>
      </c>
      <c r="D278" s="7">
        <v>48283066</v>
      </c>
      <c r="E278" s="7">
        <v>0</v>
      </c>
      <c r="F278" s="7">
        <v>0</v>
      </c>
      <c r="G278" s="7">
        <v>0</v>
      </c>
      <c r="H278" s="8">
        <f>IFERROR(F278/D278,"")</f>
        <v>0</v>
      </c>
      <c r="I278" s="9">
        <f>"n/a"</f>
        <v>0</v>
      </c>
    </row>
    <row r="279" spans="1:9">
      <c r="A279" s="4" t="s">
        <v>225</v>
      </c>
      <c r="B279" s="6" t="s">
        <v>226</v>
      </c>
      <c r="C279" s="6">
        <v>2021</v>
      </c>
      <c r="D279" s="7">
        <v>49918749</v>
      </c>
      <c r="E279" s="7">
        <v>0</v>
      </c>
      <c r="F279" s="7">
        <v>260</v>
      </c>
      <c r="G279" s="7">
        <v>96.164</v>
      </c>
      <c r="H279" s="8">
        <f>IFERROR(F279/D279,"")</f>
        <v>0</v>
      </c>
      <c r="I279" s="9">
        <f>"n/a"</f>
        <v>0</v>
      </c>
    </row>
    <row r="280" spans="1:9">
      <c r="A280" s="4" t="s">
        <v>225</v>
      </c>
      <c r="B280" s="6" t="s">
        <v>226</v>
      </c>
      <c r="C280" s="6">
        <v>2022</v>
      </c>
      <c r="D280" s="7">
        <v>65768885</v>
      </c>
      <c r="E280" s="7">
        <v>0</v>
      </c>
      <c r="F280" s="7">
        <v>379</v>
      </c>
      <c r="G280" s="7">
        <v>20</v>
      </c>
      <c r="H280" s="8">
        <f>IFERROR(F280/D280,"")</f>
        <v>0</v>
      </c>
      <c r="I280" s="9">
        <f>"n/a"</f>
        <v>0</v>
      </c>
    </row>
    <row r="281" spans="1:9">
      <c r="A281" s="4" t="s">
        <v>225</v>
      </c>
      <c r="B281" s="6" t="s">
        <v>226</v>
      </c>
      <c r="C281" s="6">
        <v>2023</v>
      </c>
      <c r="D281" s="7">
        <v>83907380</v>
      </c>
      <c r="E281" s="7">
        <v>0</v>
      </c>
      <c r="F281" s="7">
        <v>480</v>
      </c>
      <c r="G281" s="7">
        <v>110</v>
      </c>
      <c r="H281" s="8">
        <f>IFERROR(F281/D281,"")</f>
        <v>0</v>
      </c>
      <c r="I281" s="9">
        <f>"n/a"</f>
        <v>0</v>
      </c>
    </row>
    <row r="282" spans="1:9">
      <c r="A282" s="4" t="s">
        <v>225</v>
      </c>
      <c r="B282" s="6" t="s">
        <v>226</v>
      </c>
      <c r="C282" s="6">
        <v>2024</v>
      </c>
      <c r="D282" s="7">
        <v>60150530</v>
      </c>
      <c r="E282" s="7">
        <v>0</v>
      </c>
      <c r="F282" s="7">
        <v>1108</v>
      </c>
      <c r="G282" s="7">
        <v>0</v>
      </c>
      <c r="H282" s="8">
        <f>IFERROR(F282/D282,"")</f>
        <v>0</v>
      </c>
      <c r="I282" s="9">
        <f>"n/a"</f>
        <v>0</v>
      </c>
    </row>
    <row r="283" spans="1:9">
      <c r="A283" s="4" t="s">
        <v>225</v>
      </c>
      <c r="B283" s="6" t="s">
        <v>226</v>
      </c>
      <c r="C283" s="6">
        <v>2025</v>
      </c>
      <c r="D283" s="7">
        <v>59428178</v>
      </c>
      <c r="E283" s="7">
        <v>0</v>
      </c>
      <c r="F283" s="7">
        <v>189</v>
      </c>
      <c r="G283" s="7">
        <v>52</v>
      </c>
      <c r="H283" s="8">
        <f>IFERROR(F283/D283,"")</f>
        <v>0</v>
      </c>
      <c r="I283" s="9">
        <f>"n/a"</f>
        <v>0</v>
      </c>
    </row>
    <row r="284" spans="1:9">
      <c r="A284" s="4" t="s">
        <v>227</v>
      </c>
      <c r="B284" s="6" t="s">
        <v>228</v>
      </c>
      <c r="C284" s="6">
        <v>2019</v>
      </c>
      <c r="D284" s="7">
        <v>1363332.169</v>
      </c>
      <c r="E284" s="7">
        <v>3859622.899</v>
      </c>
      <c r="F284" s="7">
        <v>18025.109</v>
      </c>
      <c r="G284" s="7">
        <v>44000</v>
      </c>
      <c r="H284" s="8">
        <f>IFERROR(F284/D284,"")</f>
        <v>0</v>
      </c>
      <c r="I284" s="8">
        <f>IFERROR(G284/E284,"")</f>
        <v>0</v>
      </c>
    </row>
    <row r="285" spans="1:9">
      <c r="A285" s="4" t="s">
        <v>227</v>
      </c>
      <c r="B285" s="6" t="s">
        <v>228</v>
      </c>
      <c r="C285" s="6">
        <v>2020</v>
      </c>
      <c r="D285" s="7">
        <v>1358869.63</v>
      </c>
      <c r="E285" s="7">
        <v>4620738</v>
      </c>
      <c r="F285" s="7">
        <v>137114.65</v>
      </c>
      <c r="G285" s="7">
        <v>462037</v>
      </c>
      <c r="H285" s="8">
        <f>IFERROR(F285/D285,"")</f>
        <v>0</v>
      </c>
      <c r="I285" s="8">
        <f>IFERROR(G285/E285,"")</f>
        <v>0</v>
      </c>
    </row>
    <row r="286" spans="1:9">
      <c r="A286" s="4" t="s">
        <v>227</v>
      </c>
      <c r="B286" s="6" t="s">
        <v>228</v>
      </c>
      <c r="C286" s="6">
        <v>2021</v>
      </c>
      <c r="D286" s="7">
        <v>1372262.893</v>
      </c>
      <c r="E286" s="7">
        <v>4238592</v>
      </c>
      <c r="F286" s="7">
        <v>43908.237</v>
      </c>
      <c r="G286" s="7">
        <v>200000</v>
      </c>
      <c r="H286" s="8">
        <f>IFERROR(F286/D286,"")</f>
        <v>0</v>
      </c>
      <c r="I286" s="8">
        <f>IFERROR(G286/E286,"")</f>
        <v>0</v>
      </c>
    </row>
    <row r="287" spans="1:9">
      <c r="A287" s="4" t="s">
        <v>227</v>
      </c>
      <c r="B287" s="6" t="s">
        <v>228</v>
      </c>
      <c r="C287" s="6">
        <v>2022</v>
      </c>
      <c r="D287" s="7">
        <v>3181530.383</v>
      </c>
      <c r="E287" s="7">
        <v>5943688</v>
      </c>
      <c r="F287" s="7">
        <v>375939.726</v>
      </c>
      <c r="G287" s="7">
        <v>548000</v>
      </c>
      <c r="H287" s="8">
        <f>IFERROR(F287/D287,"")</f>
        <v>0</v>
      </c>
      <c r="I287" s="8">
        <f>IFERROR(G287/E287,"")</f>
        <v>0</v>
      </c>
    </row>
    <row r="288" spans="1:9">
      <c r="A288" s="4" t="s">
        <v>227</v>
      </c>
      <c r="B288" s="6" t="s">
        <v>228</v>
      </c>
      <c r="C288" s="6">
        <v>2023</v>
      </c>
      <c r="D288" s="7">
        <v>2749608.151</v>
      </c>
      <c r="E288" s="7">
        <v>5416546</v>
      </c>
      <c r="F288" s="7">
        <v>1009895.314</v>
      </c>
      <c r="G288" s="7">
        <v>1855500</v>
      </c>
      <c r="H288" s="8">
        <f>IFERROR(F288/D288,"")</f>
        <v>0</v>
      </c>
      <c r="I288" s="8">
        <f>IFERROR(G288/E288,"")</f>
        <v>0</v>
      </c>
    </row>
    <row r="289" spans="1:9">
      <c r="A289" s="4" t="s">
        <v>227</v>
      </c>
      <c r="B289" s="6" t="s">
        <v>228</v>
      </c>
      <c r="C289" s="6">
        <v>2024</v>
      </c>
      <c r="D289" s="7">
        <v>2734320.344</v>
      </c>
      <c r="E289" s="7">
        <v>7755551</v>
      </c>
      <c r="F289" s="7">
        <v>274464.857</v>
      </c>
      <c r="G289" s="7">
        <v>688249</v>
      </c>
      <c r="H289" s="8">
        <f>IFERROR(F289/D289,"")</f>
        <v>0</v>
      </c>
      <c r="I289" s="8">
        <f>IFERROR(G289/E289,"")</f>
        <v>0</v>
      </c>
    </row>
    <row r="290" spans="1:9">
      <c r="A290" s="4" t="s">
        <v>227</v>
      </c>
      <c r="B290" s="6" t="s">
        <v>228</v>
      </c>
      <c r="C290" s="6">
        <v>2025</v>
      </c>
      <c r="D290" s="7">
        <v>3023628.437</v>
      </c>
      <c r="E290" s="7">
        <v>0</v>
      </c>
      <c r="F290" s="7">
        <v>1042868.254</v>
      </c>
      <c r="G290" s="7">
        <v>3892761</v>
      </c>
      <c r="H290" s="8">
        <f>IFERROR(F290/D290,"")</f>
        <v>0</v>
      </c>
      <c r="I290" s="9">
        <f>"n/a"</f>
        <v>0</v>
      </c>
    </row>
    <row r="291" spans="1:9">
      <c r="A291" s="4" t="s">
        <v>229</v>
      </c>
      <c r="B291" s="6" t="s">
        <v>230</v>
      </c>
      <c r="C291" s="6">
        <v>2019</v>
      </c>
      <c r="D291" s="7">
        <v>2891410.438</v>
      </c>
      <c r="E291" s="7">
        <v>0</v>
      </c>
      <c r="F291" s="7">
        <v>1128514.541</v>
      </c>
      <c r="G291" s="7">
        <v>1314542</v>
      </c>
      <c r="H291" s="8">
        <f>IFERROR(F291/D291,"")</f>
        <v>0</v>
      </c>
      <c r="I291" s="9">
        <f>"n/a"</f>
        <v>0</v>
      </c>
    </row>
    <row r="292" spans="1:9">
      <c r="A292" s="4" t="s">
        <v>229</v>
      </c>
      <c r="B292" s="6" t="s">
        <v>230</v>
      </c>
      <c r="C292" s="6">
        <v>2020</v>
      </c>
      <c r="D292" s="7">
        <v>903928.265</v>
      </c>
      <c r="E292" s="7">
        <v>1869147.147</v>
      </c>
      <c r="F292" s="7">
        <v>384184.652</v>
      </c>
      <c r="G292" s="7">
        <v>545946.567</v>
      </c>
      <c r="H292" s="8">
        <f>IFERROR(F292/D292,"")</f>
        <v>0</v>
      </c>
      <c r="I292" s="8">
        <f>IFERROR(G292/E292,"")</f>
        <v>0</v>
      </c>
    </row>
    <row r="293" spans="1:9">
      <c r="A293" s="4" t="s">
        <v>229</v>
      </c>
      <c r="B293" s="6" t="s">
        <v>230</v>
      </c>
      <c r="C293" s="6">
        <v>2021</v>
      </c>
      <c r="D293" s="7">
        <v>5736197.991</v>
      </c>
      <c r="E293" s="7">
        <v>11665765</v>
      </c>
      <c r="F293" s="7">
        <v>669477.692</v>
      </c>
      <c r="G293" s="7">
        <v>692286</v>
      </c>
      <c r="H293" s="8">
        <f>IFERROR(F293/D293,"")</f>
        <v>0</v>
      </c>
      <c r="I293" s="8">
        <f>IFERROR(G293/E293,"")</f>
        <v>0</v>
      </c>
    </row>
    <row r="294" spans="1:9">
      <c r="A294" s="4" t="s">
        <v>229</v>
      </c>
      <c r="B294" s="6" t="s">
        <v>230</v>
      </c>
      <c r="C294" s="6">
        <v>2022</v>
      </c>
      <c r="D294" s="7">
        <v>2178127.298</v>
      </c>
      <c r="E294" s="7">
        <v>3346868</v>
      </c>
      <c r="F294" s="7">
        <v>185087.385</v>
      </c>
      <c r="G294" s="7">
        <v>243322</v>
      </c>
      <c r="H294" s="8">
        <f>IFERROR(F294/D294,"")</f>
        <v>0</v>
      </c>
      <c r="I294" s="8">
        <f>IFERROR(G294/E294,"")</f>
        <v>0</v>
      </c>
    </row>
    <row r="295" spans="1:9">
      <c r="A295" s="4" t="s">
        <v>229</v>
      </c>
      <c r="B295" s="6" t="s">
        <v>230</v>
      </c>
      <c r="C295" s="6">
        <v>2023</v>
      </c>
      <c r="D295" s="7">
        <v>5942890.52</v>
      </c>
      <c r="E295" s="7">
        <v>8847266.799000001</v>
      </c>
      <c r="F295" s="7">
        <v>2013853.32</v>
      </c>
      <c r="G295" s="7">
        <v>2885747</v>
      </c>
      <c r="H295" s="8">
        <f>IFERROR(F295/D295,"")</f>
        <v>0</v>
      </c>
      <c r="I295" s="8">
        <f>IFERROR(G295/E295,"")</f>
        <v>0</v>
      </c>
    </row>
    <row r="296" spans="1:9">
      <c r="A296" s="4" t="s">
        <v>229</v>
      </c>
      <c r="B296" s="6" t="s">
        <v>230</v>
      </c>
      <c r="C296" s="6">
        <v>2024</v>
      </c>
      <c r="D296" s="7">
        <v>1919465.112</v>
      </c>
      <c r="E296" s="7">
        <v>2878920.368</v>
      </c>
      <c r="F296" s="7">
        <v>1166456.899</v>
      </c>
      <c r="G296" s="7">
        <v>1444501</v>
      </c>
      <c r="H296" s="8">
        <f>IFERROR(F296/D296,"")</f>
        <v>0</v>
      </c>
      <c r="I296" s="8">
        <f>IFERROR(G296/E296,"")</f>
        <v>0</v>
      </c>
    </row>
    <row r="297" spans="1:9">
      <c r="A297" s="4" t="s">
        <v>231</v>
      </c>
      <c r="B297" s="6" t="s">
        <v>232</v>
      </c>
      <c r="C297" s="6">
        <v>2019</v>
      </c>
      <c r="D297" s="7">
        <v>14580984.957</v>
      </c>
      <c r="E297" s="7">
        <v>49326611</v>
      </c>
      <c r="F297" s="7">
        <v>0</v>
      </c>
      <c r="G297" s="7">
        <v>0</v>
      </c>
      <c r="H297" s="8">
        <f>IFERROR(F297/D297,"")</f>
        <v>0</v>
      </c>
      <c r="I297" s="8">
        <f>IFERROR(G297/E297,"")</f>
        <v>0</v>
      </c>
    </row>
    <row r="298" spans="1:9">
      <c r="A298" s="4" t="s">
        <v>231</v>
      </c>
      <c r="B298" s="6" t="s">
        <v>232</v>
      </c>
      <c r="C298" s="6">
        <v>2020</v>
      </c>
      <c r="D298" s="7">
        <v>16599756.454</v>
      </c>
      <c r="E298" s="7">
        <v>49321325</v>
      </c>
      <c r="F298" s="7">
        <v>0</v>
      </c>
      <c r="G298" s="7">
        <v>0</v>
      </c>
      <c r="H298" s="8">
        <f>IFERROR(F298/D298,"")</f>
        <v>0</v>
      </c>
      <c r="I298" s="8">
        <f>IFERROR(G298/E298,"")</f>
        <v>0</v>
      </c>
    </row>
    <row r="299" spans="1:9">
      <c r="A299" s="4" t="s">
        <v>231</v>
      </c>
      <c r="B299" s="6" t="s">
        <v>232</v>
      </c>
      <c r="C299" s="6">
        <v>2021</v>
      </c>
      <c r="D299" s="7">
        <v>17565223.513</v>
      </c>
      <c r="E299" s="7">
        <v>0</v>
      </c>
      <c r="F299" s="7">
        <v>0</v>
      </c>
      <c r="G299" s="7">
        <v>0</v>
      </c>
      <c r="H299" s="8">
        <f>IFERROR(F299/D299,"")</f>
        <v>0</v>
      </c>
      <c r="I299" s="9">
        <f>"n/a"</f>
        <v>0</v>
      </c>
    </row>
    <row r="300" spans="1:9">
      <c r="A300" s="4" t="s">
        <v>231</v>
      </c>
      <c r="B300" s="6" t="s">
        <v>232</v>
      </c>
      <c r="C300" s="6">
        <v>2022</v>
      </c>
      <c r="D300" s="7">
        <v>21501877.924</v>
      </c>
      <c r="E300" s="7">
        <v>50420470</v>
      </c>
      <c r="F300" s="7">
        <v>0</v>
      </c>
      <c r="G300" s="7">
        <v>0</v>
      </c>
      <c r="H300" s="8">
        <f>IFERROR(F300/D300,"")</f>
        <v>0</v>
      </c>
      <c r="I300" s="8">
        <f>IFERROR(G300/E300,"")</f>
        <v>0</v>
      </c>
    </row>
    <row r="301" spans="1:9">
      <c r="A301" s="4" t="s">
        <v>231</v>
      </c>
      <c r="B301" s="6" t="s">
        <v>232</v>
      </c>
      <c r="C301" s="6">
        <v>2023</v>
      </c>
      <c r="D301" s="7">
        <v>28630540.433</v>
      </c>
      <c r="E301" s="7">
        <v>49501324</v>
      </c>
      <c r="F301" s="7">
        <v>1.451</v>
      </c>
      <c r="G301" s="7">
        <v>1</v>
      </c>
      <c r="H301" s="8">
        <f>IFERROR(F301/D301,"")</f>
        <v>0</v>
      </c>
      <c r="I301" s="8">
        <f>IFERROR(G301/E301,"")</f>
        <v>0</v>
      </c>
    </row>
    <row r="302" spans="1:9">
      <c r="A302" s="4" t="s">
        <v>231</v>
      </c>
      <c r="B302" s="6" t="s">
        <v>232</v>
      </c>
      <c r="C302" s="6">
        <v>2024</v>
      </c>
      <c r="D302" s="7">
        <v>20054337.146</v>
      </c>
      <c r="E302" s="7">
        <v>40736333</v>
      </c>
      <c r="F302" s="7">
        <v>0</v>
      </c>
      <c r="G302" s="7">
        <v>0</v>
      </c>
      <c r="H302" s="8">
        <f>IFERROR(F302/D302,"")</f>
        <v>0</v>
      </c>
      <c r="I302" s="8">
        <f>IFERROR(G302/E302,"")</f>
        <v>0</v>
      </c>
    </row>
    <row r="303" spans="1:9">
      <c r="A303" s="4" t="s">
        <v>231</v>
      </c>
      <c r="B303" s="6" t="s">
        <v>232</v>
      </c>
      <c r="C303" s="6">
        <v>2025</v>
      </c>
      <c r="D303" s="7">
        <v>23054320.959</v>
      </c>
      <c r="E303" s="7">
        <v>45607458</v>
      </c>
      <c r="F303" s="7">
        <v>0</v>
      </c>
      <c r="G303" s="7">
        <v>0</v>
      </c>
      <c r="H303" s="8">
        <f>IFERROR(F303/D303,"")</f>
        <v>0</v>
      </c>
      <c r="I303" s="8">
        <f>IFERROR(G303/E303,"")</f>
        <v>0</v>
      </c>
    </row>
    <row r="304" spans="1:9">
      <c r="A304" s="4" t="s">
        <v>233</v>
      </c>
      <c r="B304" s="6" t="s">
        <v>234</v>
      </c>
      <c r="C304" s="6">
        <v>2022</v>
      </c>
      <c r="D304" s="7">
        <v>499854.755</v>
      </c>
      <c r="E304" s="7">
        <v>905073</v>
      </c>
      <c r="F304" s="7">
        <v>419291.313</v>
      </c>
      <c r="G304" s="7">
        <v>770758</v>
      </c>
      <c r="H304" s="8">
        <f>IFERROR(F304/D304,"")</f>
        <v>0</v>
      </c>
      <c r="I304" s="8">
        <f>IFERROR(G304/E304,"")</f>
        <v>0</v>
      </c>
    </row>
    <row r="305" spans="1:9">
      <c r="A305" s="4" t="s">
        <v>233</v>
      </c>
      <c r="B305" s="6" t="s">
        <v>234</v>
      </c>
      <c r="C305" s="6">
        <v>2023</v>
      </c>
      <c r="D305" s="7">
        <v>1345048.853</v>
      </c>
      <c r="E305" s="7">
        <v>4109140</v>
      </c>
      <c r="F305" s="7">
        <v>413675.331</v>
      </c>
      <c r="G305" s="7">
        <v>1167598</v>
      </c>
      <c r="H305" s="8">
        <f>IFERROR(F305/D305,"")</f>
        <v>0</v>
      </c>
      <c r="I305" s="8">
        <f>IFERROR(G305/E305,"")</f>
        <v>0</v>
      </c>
    </row>
    <row r="306" spans="1:9">
      <c r="A306" s="4" t="s">
        <v>235</v>
      </c>
      <c r="B306" s="6" t="s">
        <v>236</v>
      </c>
      <c r="C306" s="6">
        <v>2019</v>
      </c>
      <c r="D306" s="7">
        <v>3204.416</v>
      </c>
      <c r="E306" s="7">
        <v>1848.915</v>
      </c>
      <c r="F306" s="7">
        <v>0</v>
      </c>
      <c r="G306" s="7">
        <v>0</v>
      </c>
      <c r="H306" s="8">
        <f>IFERROR(F306/D306,"")</f>
        <v>0</v>
      </c>
      <c r="I306" s="8">
        <f>IFERROR(G306/E306,"")</f>
        <v>0</v>
      </c>
    </row>
    <row r="307" spans="1:9">
      <c r="A307" s="4" t="s">
        <v>235</v>
      </c>
      <c r="B307" s="6" t="s">
        <v>236</v>
      </c>
      <c r="C307" s="6">
        <v>2020</v>
      </c>
      <c r="D307" s="7">
        <v>4663.699</v>
      </c>
      <c r="E307" s="7">
        <v>3254</v>
      </c>
      <c r="F307" s="7">
        <v>0</v>
      </c>
      <c r="G307" s="7">
        <v>0</v>
      </c>
      <c r="H307" s="8">
        <f>IFERROR(F307/D307,"")</f>
        <v>0</v>
      </c>
      <c r="I307" s="8">
        <f>IFERROR(G307/E307,"")</f>
        <v>0</v>
      </c>
    </row>
    <row r="308" spans="1:9">
      <c r="A308" s="4" t="s">
        <v>235</v>
      </c>
      <c r="B308" s="6" t="s">
        <v>236</v>
      </c>
      <c r="C308" s="6">
        <v>2021</v>
      </c>
      <c r="D308" s="7">
        <v>808.147</v>
      </c>
      <c r="E308" s="7">
        <v>512</v>
      </c>
      <c r="F308" s="7">
        <v>0</v>
      </c>
      <c r="G308" s="7">
        <v>0</v>
      </c>
      <c r="H308" s="8">
        <f>IFERROR(F308/D308,"")</f>
        <v>0</v>
      </c>
      <c r="I308" s="8">
        <f>IFERROR(G308/E308,"")</f>
        <v>0</v>
      </c>
    </row>
    <row r="309" spans="1:9">
      <c r="A309" s="4" t="s">
        <v>235</v>
      </c>
      <c r="B309" s="6" t="s">
        <v>236</v>
      </c>
      <c r="C309" s="6">
        <v>2022</v>
      </c>
      <c r="D309" s="7">
        <v>4350.736</v>
      </c>
      <c r="E309" s="7">
        <v>1651</v>
      </c>
      <c r="F309" s="7">
        <v>0</v>
      </c>
      <c r="G309" s="7">
        <v>0</v>
      </c>
      <c r="H309" s="8">
        <f>IFERROR(F309/D309,"")</f>
        <v>0</v>
      </c>
      <c r="I309" s="8">
        <f>IFERROR(G309/E309,"")</f>
        <v>0</v>
      </c>
    </row>
    <row r="310" spans="1:9">
      <c r="A310" s="4" t="s">
        <v>235</v>
      </c>
      <c r="B310" s="6" t="s">
        <v>236</v>
      </c>
      <c r="C310" s="6">
        <v>2023</v>
      </c>
      <c r="D310" s="7">
        <v>804.073</v>
      </c>
      <c r="E310" s="7">
        <v>1585.84</v>
      </c>
      <c r="F310" s="7">
        <v>0</v>
      </c>
      <c r="G310" s="7">
        <v>0</v>
      </c>
      <c r="H310" s="8">
        <f>IFERROR(F310/D310,"")</f>
        <v>0</v>
      </c>
      <c r="I310" s="8">
        <f>IFERROR(G310/E310,"")</f>
        <v>0</v>
      </c>
    </row>
    <row r="311" spans="1:9">
      <c r="A311" s="4" t="s">
        <v>237</v>
      </c>
      <c r="B311" s="6" t="s">
        <v>238</v>
      </c>
      <c r="C311" s="6">
        <v>2019</v>
      </c>
      <c r="D311" s="7">
        <v>2413596.397</v>
      </c>
      <c r="E311" s="7">
        <v>0</v>
      </c>
      <c r="F311" s="7">
        <v>35974.692</v>
      </c>
      <c r="G311" s="7">
        <v>0</v>
      </c>
      <c r="H311" s="8">
        <f>IFERROR(F311/D311,"")</f>
        <v>0</v>
      </c>
      <c r="I311" s="9">
        <f>"n/a"</f>
        <v>0</v>
      </c>
    </row>
    <row r="312" spans="1:9">
      <c r="A312" s="4" t="s">
        <v>237</v>
      </c>
      <c r="B312" s="6" t="s">
        <v>238</v>
      </c>
      <c r="C312" s="6">
        <v>2020</v>
      </c>
      <c r="D312" s="7">
        <v>2522176.76</v>
      </c>
      <c r="E312" s="7">
        <v>0</v>
      </c>
      <c r="F312" s="7">
        <v>532362.41</v>
      </c>
      <c r="G312" s="7">
        <v>2050581.65</v>
      </c>
      <c r="H312" s="8">
        <f>IFERROR(F312/D312,"")</f>
        <v>0</v>
      </c>
      <c r="I312" s="9">
        <f>"n/a"</f>
        <v>0</v>
      </c>
    </row>
    <row r="313" spans="1:9">
      <c r="A313" s="4" t="s">
        <v>237</v>
      </c>
      <c r="B313" s="6" t="s">
        <v>238</v>
      </c>
      <c r="C313" s="6">
        <v>2021</v>
      </c>
      <c r="D313" s="7">
        <v>4861129.869</v>
      </c>
      <c r="E313" s="7">
        <v>0</v>
      </c>
      <c r="F313" s="7">
        <v>109426.516</v>
      </c>
      <c r="G313" s="7">
        <v>251500</v>
      </c>
      <c r="H313" s="8">
        <f>IFERROR(F313/D313,"")</f>
        <v>0</v>
      </c>
      <c r="I313" s="9">
        <f>"n/a"</f>
        <v>0</v>
      </c>
    </row>
    <row r="314" spans="1:9">
      <c r="A314" s="4" t="s">
        <v>237</v>
      </c>
      <c r="B314" s="6" t="s">
        <v>238</v>
      </c>
      <c r="C314" s="6">
        <v>2022</v>
      </c>
      <c r="D314" s="7">
        <v>13608444.572</v>
      </c>
      <c r="E314" s="7">
        <v>21287689.58</v>
      </c>
      <c r="F314" s="7">
        <v>7694562.078</v>
      </c>
      <c r="G314" s="7">
        <v>12026001</v>
      </c>
      <c r="H314" s="8">
        <f>IFERROR(F314/D314,"")</f>
        <v>0</v>
      </c>
      <c r="I314" s="8">
        <f>IFERROR(G314/E314,"")</f>
        <v>0</v>
      </c>
    </row>
    <row r="315" spans="1:9">
      <c r="A315" s="4" t="s">
        <v>237</v>
      </c>
      <c r="B315" s="6" t="s">
        <v>238</v>
      </c>
      <c r="C315" s="6">
        <v>2023</v>
      </c>
      <c r="D315" s="7">
        <v>8559558.333000001</v>
      </c>
      <c r="E315" s="7">
        <v>16312851.645</v>
      </c>
      <c r="F315" s="7">
        <v>5292705.128</v>
      </c>
      <c r="G315" s="7">
        <v>12031420</v>
      </c>
      <c r="H315" s="8">
        <f>IFERROR(F315/D315,"")</f>
        <v>0</v>
      </c>
      <c r="I315" s="8">
        <f>IFERROR(G315/E315,"")</f>
        <v>0</v>
      </c>
    </row>
    <row r="316" spans="1:9">
      <c r="A316" s="4" t="s">
        <v>237</v>
      </c>
      <c r="B316" s="6" t="s">
        <v>238</v>
      </c>
      <c r="C316" s="6">
        <v>2024</v>
      </c>
      <c r="D316" s="7">
        <v>7609021.053</v>
      </c>
      <c r="E316" s="7">
        <v>0</v>
      </c>
      <c r="F316" s="7">
        <v>1850792.917</v>
      </c>
      <c r="G316" s="7">
        <v>5145375</v>
      </c>
      <c r="H316" s="8">
        <f>IFERROR(F316/D316,"")</f>
        <v>0</v>
      </c>
      <c r="I316" s="9">
        <f>"n/a"</f>
        <v>0</v>
      </c>
    </row>
    <row r="317" spans="1:9">
      <c r="A317" s="4" t="s">
        <v>237</v>
      </c>
      <c r="B317" s="6" t="s">
        <v>238</v>
      </c>
      <c r="C317" s="6">
        <v>2025</v>
      </c>
      <c r="D317" s="7">
        <v>5644567.126</v>
      </c>
      <c r="E317" s="7">
        <v>0</v>
      </c>
      <c r="F317" s="7">
        <v>2466513.634</v>
      </c>
      <c r="G317" s="7">
        <v>0</v>
      </c>
      <c r="H317" s="8">
        <f>IFERROR(F317/D317,"")</f>
        <v>0</v>
      </c>
      <c r="I317" s="9">
        <f>"n/a"</f>
        <v>0</v>
      </c>
    </row>
    <row r="318" spans="1:9">
      <c r="A318" s="4" t="s">
        <v>239</v>
      </c>
      <c r="B318" s="6" t="s">
        <v>240</v>
      </c>
      <c r="C318" s="6">
        <v>2019</v>
      </c>
      <c r="D318" s="7">
        <v>10268700.503</v>
      </c>
      <c r="E318" s="7">
        <v>0</v>
      </c>
      <c r="F318" s="7">
        <v>309640.88</v>
      </c>
      <c r="G318" s="7">
        <v>883000</v>
      </c>
      <c r="H318" s="8">
        <f>IFERROR(F318/D318,"")</f>
        <v>0</v>
      </c>
      <c r="I318" s="9">
        <f>"n/a"</f>
        <v>0</v>
      </c>
    </row>
    <row r="319" spans="1:9">
      <c r="A319" s="4" t="s">
        <v>239</v>
      </c>
      <c r="B319" s="6" t="s">
        <v>240</v>
      </c>
      <c r="C319" s="6">
        <v>2020</v>
      </c>
      <c r="D319" s="7">
        <v>8760550.905999999</v>
      </c>
      <c r="E319" s="7">
        <v>33853742.577</v>
      </c>
      <c r="F319" s="7">
        <v>146652.05</v>
      </c>
      <c r="G319" s="7">
        <v>470250</v>
      </c>
      <c r="H319" s="8">
        <f>IFERROR(F319/D319,"")</f>
        <v>0</v>
      </c>
      <c r="I319" s="8">
        <f>IFERROR(G319/E319,"")</f>
        <v>0</v>
      </c>
    </row>
    <row r="320" spans="1:9">
      <c r="A320" s="4" t="s">
        <v>239</v>
      </c>
      <c r="B320" s="6" t="s">
        <v>240</v>
      </c>
      <c r="C320" s="6">
        <v>2021</v>
      </c>
      <c r="D320" s="7">
        <v>8592259.733999999</v>
      </c>
      <c r="E320" s="7">
        <v>0</v>
      </c>
      <c r="F320" s="7">
        <v>331354.53</v>
      </c>
      <c r="G320" s="7">
        <v>987000</v>
      </c>
      <c r="H320" s="8">
        <f>IFERROR(F320/D320,"")</f>
        <v>0</v>
      </c>
      <c r="I320" s="9">
        <f>"n/a"</f>
        <v>0</v>
      </c>
    </row>
    <row r="321" spans="1:9">
      <c r="A321" s="4" t="s">
        <v>239</v>
      </c>
      <c r="B321" s="6" t="s">
        <v>240</v>
      </c>
      <c r="C321" s="6">
        <v>2022</v>
      </c>
      <c r="D321" s="7">
        <v>17429811.2</v>
      </c>
      <c r="E321" s="7">
        <v>42654503</v>
      </c>
      <c r="F321" s="7">
        <v>4815354.1</v>
      </c>
      <c r="G321" s="7">
        <v>8278750</v>
      </c>
      <c r="H321" s="8">
        <f>IFERROR(F321/D321,"")</f>
        <v>0</v>
      </c>
      <c r="I321" s="8">
        <f>IFERROR(G321/E321,"")</f>
        <v>0</v>
      </c>
    </row>
    <row r="322" spans="1:9">
      <c r="A322" s="4" t="s">
        <v>239</v>
      </c>
      <c r="B322" s="6" t="s">
        <v>240</v>
      </c>
      <c r="C322" s="6">
        <v>2023</v>
      </c>
      <c r="D322" s="7">
        <v>14165661.6</v>
      </c>
      <c r="E322" s="7">
        <v>0</v>
      </c>
      <c r="F322" s="7">
        <v>3089055.6</v>
      </c>
      <c r="G322" s="7">
        <v>0</v>
      </c>
      <c r="H322" s="8">
        <f>IFERROR(F322/D322,"")</f>
        <v>0</v>
      </c>
      <c r="I322" s="9">
        <f>"n/a"</f>
        <v>0</v>
      </c>
    </row>
    <row r="323" spans="1:9">
      <c r="A323" s="4" t="s">
        <v>239</v>
      </c>
      <c r="B323" s="6" t="s">
        <v>240</v>
      </c>
      <c r="C323" s="6">
        <v>2024</v>
      </c>
      <c r="D323" s="7">
        <v>10395192.987</v>
      </c>
      <c r="E323" s="7">
        <v>34314048.69</v>
      </c>
      <c r="F323" s="7">
        <v>1723022.91</v>
      </c>
      <c r="G323" s="7">
        <v>4808650</v>
      </c>
      <c r="H323" s="8">
        <f>IFERROR(F323/D323,"")</f>
        <v>0</v>
      </c>
      <c r="I323" s="8">
        <f>IFERROR(G323/E323,"")</f>
        <v>0</v>
      </c>
    </row>
    <row r="324" spans="1:9">
      <c r="A324" s="4" t="s">
        <v>239</v>
      </c>
      <c r="B324" s="6" t="s">
        <v>240</v>
      </c>
      <c r="C324" s="6">
        <v>2025</v>
      </c>
      <c r="D324" s="7">
        <v>11470779.593</v>
      </c>
      <c r="E324" s="7">
        <v>0</v>
      </c>
      <c r="F324" s="7">
        <v>2991733.11</v>
      </c>
      <c r="G324" s="7">
        <v>11118725</v>
      </c>
      <c r="H324" s="8">
        <f>IFERROR(F324/D324,"")</f>
        <v>0</v>
      </c>
      <c r="I324" s="9">
        <f>"n/a"</f>
        <v>0</v>
      </c>
    </row>
    <row r="325" spans="1:9">
      <c r="A325" s="4" t="s">
        <v>101</v>
      </c>
      <c r="B325" s="6" t="s">
        <v>102</v>
      </c>
      <c r="C325" s="6">
        <v>2019</v>
      </c>
      <c r="D325" s="7">
        <v>120166776.955</v>
      </c>
      <c r="E325" s="7">
        <v>476241948.46</v>
      </c>
      <c r="F325" s="7">
        <v>122370.17</v>
      </c>
      <c r="G325" s="7">
        <v>484974.38</v>
      </c>
      <c r="H325" s="8">
        <f>IFERROR(F325/D325,"")</f>
        <v>0</v>
      </c>
      <c r="I325" s="8">
        <f>IFERROR(G325/E325,"")</f>
        <v>0</v>
      </c>
    </row>
    <row r="326" spans="1:9">
      <c r="A326" s="4" t="s">
        <v>101</v>
      </c>
      <c r="B326" s="6" t="s">
        <v>102</v>
      </c>
      <c r="C326" s="6">
        <v>2020</v>
      </c>
      <c r="D326" s="7">
        <v>93702945.441</v>
      </c>
      <c r="E326" s="7">
        <v>393598639.498</v>
      </c>
      <c r="F326" s="7">
        <v>230840.359</v>
      </c>
      <c r="G326" s="7">
        <v>969643.492</v>
      </c>
      <c r="H326" s="8">
        <f>IFERROR(F326/D326,"")</f>
        <v>0</v>
      </c>
      <c r="I326" s="8">
        <f>IFERROR(G326/E326,"")</f>
        <v>0</v>
      </c>
    </row>
    <row r="327" spans="1:9">
      <c r="A327" s="4" t="s">
        <v>101</v>
      </c>
      <c r="B327" s="6" t="s">
        <v>102</v>
      </c>
      <c r="C327" s="6">
        <v>2021</v>
      </c>
      <c r="D327" s="7">
        <v>94232350.814</v>
      </c>
      <c r="E327" s="7">
        <v>381785764.947</v>
      </c>
      <c r="F327" s="7">
        <v>300437.043</v>
      </c>
      <c r="G327" s="7">
        <v>1217231.506</v>
      </c>
      <c r="H327" s="8">
        <f>IFERROR(F327/D327,"")</f>
        <v>0</v>
      </c>
      <c r="I327" s="8">
        <f>IFERROR(G327/E327,"")</f>
        <v>0</v>
      </c>
    </row>
    <row r="328" spans="1:9">
      <c r="A328" s="4" t="s">
        <v>101</v>
      </c>
      <c r="B328" s="6" t="s">
        <v>102</v>
      </c>
      <c r="C328" s="6">
        <v>2022</v>
      </c>
      <c r="D328" s="7">
        <v>194675833.226</v>
      </c>
      <c r="E328" s="7">
        <v>478371362.375</v>
      </c>
      <c r="F328" s="7">
        <v>132667.701</v>
      </c>
      <c r="G328" s="7">
        <v>326000.551</v>
      </c>
      <c r="H328" s="8">
        <f>IFERROR(F328/D328,"")</f>
        <v>0</v>
      </c>
      <c r="I328" s="8">
        <f>IFERROR(G328/E328,"")</f>
        <v>0</v>
      </c>
    </row>
    <row r="329" spans="1:9">
      <c r="A329" s="4" t="s">
        <v>101</v>
      </c>
      <c r="B329" s="6" t="s">
        <v>102</v>
      </c>
      <c r="C329" s="6">
        <v>2023</v>
      </c>
      <c r="D329" s="7">
        <v>164965120.266</v>
      </c>
      <c r="E329" s="7">
        <v>383386998.811</v>
      </c>
      <c r="F329" s="7">
        <v>613237.1459999999</v>
      </c>
      <c r="G329" s="7">
        <v>1425193.087</v>
      </c>
      <c r="H329" s="8">
        <f>IFERROR(F329/D329,"")</f>
        <v>0</v>
      </c>
      <c r="I329" s="8">
        <f>IFERROR(G329/E329,"")</f>
        <v>0</v>
      </c>
    </row>
    <row r="330" spans="1:9">
      <c r="A330" s="4" t="s">
        <v>101</v>
      </c>
      <c r="B330" s="6" t="s">
        <v>102</v>
      </c>
      <c r="C330" s="6">
        <v>2024</v>
      </c>
      <c r="D330" s="7">
        <v>116518416.922</v>
      </c>
      <c r="E330" s="7">
        <v>339441630.891</v>
      </c>
      <c r="F330" s="7">
        <v>304725.733</v>
      </c>
      <c r="G330" s="7">
        <v>887727.471</v>
      </c>
      <c r="H330" s="8">
        <f>IFERROR(F330/D330,"")</f>
        <v>0</v>
      </c>
      <c r="I330" s="8">
        <f>IFERROR(G330/E330,"")</f>
        <v>0</v>
      </c>
    </row>
    <row r="331" spans="1:9">
      <c r="A331" s="4" t="s">
        <v>101</v>
      </c>
      <c r="B331" s="6" t="s">
        <v>102</v>
      </c>
      <c r="C331" s="6">
        <v>2025</v>
      </c>
      <c r="D331" s="7">
        <v>124494536.21</v>
      </c>
      <c r="E331" s="7">
        <v>379201690.068</v>
      </c>
      <c r="F331" s="7">
        <v>284943.973</v>
      </c>
      <c r="G331" s="7">
        <v>867919.504</v>
      </c>
      <c r="H331" s="8">
        <f>IFERROR(F331/D331,"")</f>
        <v>0</v>
      </c>
      <c r="I331" s="8">
        <f>IFERROR(G331/E331,"")</f>
        <v>0</v>
      </c>
    </row>
    <row r="332" spans="1:9">
      <c r="A332" s="4" t="s">
        <v>241</v>
      </c>
      <c r="B332" s="6" t="s">
        <v>242</v>
      </c>
      <c r="C332" s="6">
        <v>2019</v>
      </c>
      <c r="D332" s="7">
        <v>5432303.26</v>
      </c>
      <c r="E332" s="7">
        <v>19931755.08</v>
      </c>
      <c r="F332" s="7">
        <v>1120880</v>
      </c>
      <c r="G332" s="7">
        <v>4000000</v>
      </c>
      <c r="H332" s="8">
        <f>IFERROR(F332/D332,"")</f>
        <v>0</v>
      </c>
      <c r="I332" s="8">
        <f>IFERROR(G332/E332,"")</f>
        <v>0</v>
      </c>
    </row>
    <row r="333" spans="1:9">
      <c r="A333" s="4" t="s">
        <v>241</v>
      </c>
      <c r="B333" s="6" t="s">
        <v>242</v>
      </c>
      <c r="C333" s="6">
        <v>2020</v>
      </c>
      <c r="D333" s="7">
        <v>4407726.53</v>
      </c>
      <c r="E333" s="7">
        <v>17546553</v>
      </c>
      <c r="F333" s="7">
        <v>0</v>
      </c>
      <c r="G333" s="7">
        <v>0</v>
      </c>
      <c r="H333" s="8">
        <f>IFERROR(F333/D333,"")</f>
        <v>0</v>
      </c>
      <c r="I333" s="8">
        <f>IFERROR(G333/E333,"")</f>
        <v>0</v>
      </c>
    </row>
    <row r="334" spans="1:9">
      <c r="A334" s="4" t="s">
        <v>241</v>
      </c>
      <c r="B334" s="6" t="s">
        <v>242</v>
      </c>
      <c r="C334" s="6">
        <v>2021</v>
      </c>
      <c r="D334" s="7">
        <v>4376981.09</v>
      </c>
      <c r="E334" s="7">
        <v>16369514.03</v>
      </c>
      <c r="F334" s="7">
        <v>0</v>
      </c>
      <c r="G334" s="7">
        <v>0</v>
      </c>
      <c r="H334" s="8">
        <f>IFERROR(F334/D334,"")</f>
        <v>0</v>
      </c>
      <c r="I334" s="8">
        <f>IFERROR(G334/E334,"")</f>
        <v>0</v>
      </c>
    </row>
    <row r="335" spans="1:9">
      <c r="A335" s="4" t="s">
        <v>241</v>
      </c>
      <c r="B335" s="6" t="s">
        <v>242</v>
      </c>
      <c r="C335" s="6">
        <v>2022</v>
      </c>
      <c r="D335" s="7">
        <v>7190845.21</v>
      </c>
      <c r="E335" s="7">
        <v>17930967.27</v>
      </c>
      <c r="F335" s="7">
        <v>1623184.23</v>
      </c>
      <c r="G335" s="7">
        <v>3212725</v>
      </c>
      <c r="H335" s="8">
        <f>IFERROR(F335/D335,"")</f>
        <v>0</v>
      </c>
      <c r="I335" s="8">
        <f>IFERROR(G335/E335,"")</f>
        <v>0</v>
      </c>
    </row>
    <row r="336" spans="1:9">
      <c r="A336" s="4" t="s">
        <v>241</v>
      </c>
      <c r="B336" s="6" t="s">
        <v>242</v>
      </c>
      <c r="C336" s="6">
        <v>2023</v>
      </c>
      <c r="D336" s="7">
        <v>5674906.33</v>
      </c>
      <c r="E336" s="7">
        <v>0</v>
      </c>
      <c r="F336" s="7">
        <v>756950.0600000001</v>
      </c>
      <c r="G336" s="7">
        <v>1501716</v>
      </c>
      <c r="H336" s="8">
        <f>IFERROR(F336/D336,"")</f>
        <v>0</v>
      </c>
      <c r="I336" s="9">
        <f>"n/a"</f>
        <v>0</v>
      </c>
    </row>
    <row r="337" spans="1:9">
      <c r="A337" s="4" t="s">
        <v>241</v>
      </c>
      <c r="B337" s="6" t="s">
        <v>242</v>
      </c>
      <c r="C337" s="6">
        <v>2024</v>
      </c>
      <c r="D337" s="7">
        <v>5248605.13</v>
      </c>
      <c r="E337" s="7">
        <v>0</v>
      </c>
      <c r="F337" s="7">
        <v>203786.41</v>
      </c>
      <c r="G337" s="7">
        <v>478677</v>
      </c>
      <c r="H337" s="8">
        <f>IFERROR(F337/D337,"")</f>
        <v>0</v>
      </c>
      <c r="I337" s="9">
        <f>"n/a"</f>
        <v>0</v>
      </c>
    </row>
    <row r="338" spans="1:9">
      <c r="A338" s="4" t="s">
        <v>241</v>
      </c>
      <c r="B338" s="6" t="s">
        <v>242</v>
      </c>
      <c r="C338" s="6">
        <v>2025</v>
      </c>
      <c r="D338" s="7">
        <v>3408329.3</v>
      </c>
      <c r="E338" s="7">
        <v>12053425.75</v>
      </c>
      <c r="F338" s="7">
        <v>431910.31</v>
      </c>
      <c r="G338" s="7">
        <v>1038446</v>
      </c>
      <c r="H338" s="8">
        <f>IFERROR(F338/D338,"")</f>
        <v>0</v>
      </c>
      <c r="I338" s="8">
        <f>IFERROR(G338/E338,"")</f>
        <v>0</v>
      </c>
    </row>
    <row r="339" spans="1:9">
      <c r="A339" s="4" t="s">
        <v>243</v>
      </c>
      <c r="B339" s="6" t="s">
        <v>244</v>
      </c>
      <c r="C339" s="6">
        <v>2019</v>
      </c>
      <c r="D339" s="7">
        <v>6131039.368</v>
      </c>
      <c r="E339" s="7">
        <v>0</v>
      </c>
      <c r="F339" s="7">
        <v>0</v>
      </c>
      <c r="G339" s="7">
        <v>0</v>
      </c>
      <c r="H339" s="8">
        <f>IFERROR(F339/D339,"")</f>
        <v>0</v>
      </c>
      <c r="I339" s="9">
        <f>"n/a"</f>
        <v>0</v>
      </c>
    </row>
    <row r="340" spans="1:9">
      <c r="A340" s="4" t="s">
        <v>243</v>
      </c>
      <c r="B340" s="6" t="s">
        <v>244</v>
      </c>
      <c r="C340" s="6">
        <v>2020</v>
      </c>
      <c r="D340" s="7">
        <v>3490275.58</v>
      </c>
      <c r="E340" s="7">
        <v>0</v>
      </c>
      <c r="F340" s="7">
        <v>0</v>
      </c>
      <c r="G340" s="7">
        <v>0</v>
      </c>
      <c r="H340" s="8">
        <f>IFERROR(F340/D340,"")</f>
        <v>0</v>
      </c>
      <c r="I340" s="9">
        <f>"n/a"</f>
        <v>0</v>
      </c>
    </row>
    <row r="341" spans="1:9">
      <c r="A341" s="4" t="s">
        <v>243</v>
      </c>
      <c r="B341" s="6" t="s">
        <v>244</v>
      </c>
      <c r="C341" s="6">
        <v>2021</v>
      </c>
      <c r="D341" s="7">
        <v>4109946.15</v>
      </c>
      <c r="E341" s="7">
        <v>0</v>
      </c>
      <c r="F341" s="7">
        <v>0</v>
      </c>
      <c r="G341" s="7">
        <v>0</v>
      </c>
      <c r="H341" s="8">
        <f>IFERROR(F341/D341,"")</f>
        <v>0</v>
      </c>
      <c r="I341" s="9">
        <f>"n/a"</f>
        <v>0</v>
      </c>
    </row>
    <row r="342" spans="1:9">
      <c r="A342" s="4" t="s">
        <v>243</v>
      </c>
      <c r="B342" s="6" t="s">
        <v>244</v>
      </c>
      <c r="C342" s="6">
        <v>2022</v>
      </c>
      <c r="D342" s="7">
        <v>7925649.77</v>
      </c>
      <c r="E342" s="7">
        <v>24678809.97</v>
      </c>
      <c r="F342" s="7">
        <v>0</v>
      </c>
      <c r="G342" s="7">
        <v>0</v>
      </c>
      <c r="H342" s="8">
        <f>IFERROR(F342/D342,"")</f>
        <v>0</v>
      </c>
      <c r="I342" s="8">
        <f>IFERROR(G342/E342,"")</f>
        <v>0</v>
      </c>
    </row>
    <row r="343" spans="1:9">
      <c r="A343" s="4" t="s">
        <v>243</v>
      </c>
      <c r="B343" s="6" t="s">
        <v>244</v>
      </c>
      <c r="C343" s="6">
        <v>2023</v>
      </c>
      <c r="D343" s="7">
        <v>3669017.29</v>
      </c>
      <c r="E343" s="7">
        <v>8200509.8</v>
      </c>
      <c r="F343" s="7">
        <v>7007.48</v>
      </c>
      <c r="G343" s="7">
        <v>20000</v>
      </c>
      <c r="H343" s="8">
        <f>IFERROR(F343/D343,"")</f>
        <v>0</v>
      </c>
      <c r="I343" s="8">
        <f>IFERROR(G343/E343,"")</f>
        <v>0</v>
      </c>
    </row>
    <row r="344" spans="1:9">
      <c r="A344" s="4" t="s">
        <v>243</v>
      </c>
      <c r="B344" s="6" t="s">
        <v>244</v>
      </c>
      <c r="C344" s="6">
        <v>2024</v>
      </c>
      <c r="D344" s="7">
        <v>5061806.37</v>
      </c>
      <c r="E344" s="7">
        <v>0</v>
      </c>
      <c r="F344" s="7">
        <v>49369.15</v>
      </c>
      <c r="G344" s="7">
        <v>128000</v>
      </c>
      <c r="H344" s="8">
        <f>IFERROR(F344/D344,"")</f>
        <v>0</v>
      </c>
      <c r="I344" s="9">
        <f>"n/a"</f>
        <v>0</v>
      </c>
    </row>
    <row r="345" spans="1:9">
      <c r="A345" s="4" t="s">
        <v>243</v>
      </c>
      <c r="B345" s="6" t="s">
        <v>244</v>
      </c>
      <c r="C345" s="6">
        <v>2025</v>
      </c>
      <c r="D345" s="7">
        <v>4834556.13</v>
      </c>
      <c r="E345" s="7">
        <v>0</v>
      </c>
      <c r="F345" s="7">
        <v>34304.57</v>
      </c>
      <c r="G345" s="7">
        <v>124000</v>
      </c>
      <c r="H345" s="8">
        <f>IFERROR(F345/D345,"")</f>
        <v>0</v>
      </c>
      <c r="I345" s="9">
        <f>"n/a"</f>
        <v>0</v>
      </c>
    </row>
    <row r="346" spans="1:9">
      <c r="A346" s="4" t="s">
        <v>245</v>
      </c>
      <c r="B346" s="6" t="s">
        <v>246</v>
      </c>
      <c r="C346" s="6">
        <v>2019</v>
      </c>
      <c r="D346" s="7">
        <v>127461.36</v>
      </c>
      <c r="E346" s="7">
        <v>310731</v>
      </c>
      <c r="F346" s="7">
        <v>0</v>
      </c>
      <c r="G346" s="7">
        <v>0</v>
      </c>
      <c r="H346" s="8">
        <f>IFERROR(F346/D346,"")</f>
        <v>0</v>
      </c>
      <c r="I346" s="8">
        <f>IFERROR(G346/E346,"")</f>
        <v>0</v>
      </c>
    </row>
    <row r="347" spans="1:9">
      <c r="A347" s="4" t="s">
        <v>245</v>
      </c>
      <c r="B347" s="6" t="s">
        <v>246</v>
      </c>
      <c r="C347" s="6">
        <v>2020</v>
      </c>
      <c r="D347" s="7">
        <v>143504.91</v>
      </c>
      <c r="E347" s="7">
        <v>572439.1</v>
      </c>
      <c r="F347" s="7">
        <v>0</v>
      </c>
      <c r="G347" s="7">
        <v>0</v>
      </c>
      <c r="H347" s="8">
        <f>IFERROR(F347/D347,"")</f>
        <v>0</v>
      </c>
      <c r="I347" s="8">
        <f>IFERROR(G347/E347,"")</f>
        <v>0</v>
      </c>
    </row>
    <row r="348" spans="1:9">
      <c r="A348" s="4" t="s">
        <v>245</v>
      </c>
      <c r="B348" s="6" t="s">
        <v>246</v>
      </c>
      <c r="C348" s="6">
        <v>2021</v>
      </c>
      <c r="D348" s="7">
        <v>159883.22</v>
      </c>
      <c r="E348" s="7">
        <v>316540</v>
      </c>
      <c r="F348" s="7">
        <v>0</v>
      </c>
      <c r="G348" s="7">
        <v>0</v>
      </c>
      <c r="H348" s="8">
        <f>IFERROR(F348/D348,"")</f>
        <v>0</v>
      </c>
      <c r="I348" s="8">
        <f>IFERROR(G348/E348,"")</f>
        <v>0</v>
      </c>
    </row>
    <row r="349" spans="1:9">
      <c r="A349" s="4" t="s">
        <v>245</v>
      </c>
      <c r="B349" s="6" t="s">
        <v>246</v>
      </c>
      <c r="C349" s="6">
        <v>2022</v>
      </c>
      <c r="D349" s="7">
        <v>113988.66</v>
      </c>
      <c r="E349" s="7">
        <v>156135.294</v>
      </c>
      <c r="F349" s="7">
        <v>0</v>
      </c>
      <c r="G349" s="7">
        <v>0</v>
      </c>
      <c r="H349" s="8">
        <f>IFERROR(F349/D349,"")</f>
        <v>0</v>
      </c>
      <c r="I349" s="8">
        <f>IFERROR(G349/E349,"")</f>
        <v>0</v>
      </c>
    </row>
    <row r="350" spans="1:9">
      <c r="A350" s="4" t="s">
        <v>245</v>
      </c>
      <c r="B350" s="6" t="s">
        <v>246</v>
      </c>
      <c r="C350" s="6">
        <v>2023</v>
      </c>
      <c r="D350" s="7">
        <v>5004.26</v>
      </c>
      <c r="E350" s="7">
        <v>3104.62</v>
      </c>
      <c r="F350" s="7">
        <v>0</v>
      </c>
      <c r="G350" s="7">
        <v>0</v>
      </c>
      <c r="H350" s="8">
        <f>IFERROR(F350/D350,"")</f>
        <v>0</v>
      </c>
      <c r="I350" s="8">
        <f>IFERROR(G350/E350,"")</f>
        <v>0</v>
      </c>
    </row>
    <row r="351" spans="1:9">
      <c r="A351" s="4" t="s">
        <v>247</v>
      </c>
      <c r="B351" s="6" t="s">
        <v>248</v>
      </c>
      <c r="C351" s="6">
        <v>2019</v>
      </c>
      <c r="D351" s="7">
        <v>6788236.75</v>
      </c>
      <c r="E351" s="7">
        <v>15923929</v>
      </c>
      <c r="F351" s="7">
        <v>3370408.02</v>
      </c>
      <c r="G351" s="7">
        <v>8013921</v>
      </c>
      <c r="H351" s="8">
        <f>IFERROR(F351/D351,"")</f>
        <v>0</v>
      </c>
      <c r="I351" s="8">
        <f>IFERROR(G351/E351,"")</f>
        <v>0</v>
      </c>
    </row>
    <row r="352" spans="1:9">
      <c r="A352" s="4" t="s">
        <v>247</v>
      </c>
      <c r="B352" s="6" t="s">
        <v>248</v>
      </c>
      <c r="C352" s="6">
        <v>2020</v>
      </c>
      <c r="D352" s="7">
        <v>5024841.97</v>
      </c>
      <c r="E352" s="7">
        <v>13854343.26</v>
      </c>
      <c r="F352" s="7">
        <v>2523526.03</v>
      </c>
      <c r="G352" s="7">
        <v>6029029</v>
      </c>
      <c r="H352" s="8">
        <f>IFERROR(F352/D352,"")</f>
        <v>0</v>
      </c>
      <c r="I352" s="8">
        <f>IFERROR(G352/E352,"")</f>
        <v>0</v>
      </c>
    </row>
    <row r="353" spans="1:9">
      <c r="A353" s="4" t="s">
        <v>247</v>
      </c>
      <c r="B353" s="6" t="s">
        <v>248</v>
      </c>
      <c r="C353" s="6">
        <v>2021</v>
      </c>
      <c r="D353" s="7">
        <v>6093416.39</v>
      </c>
      <c r="E353" s="7">
        <v>16591212.4</v>
      </c>
      <c r="F353" s="7">
        <v>790100.5699999999</v>
      </c>
      <c r="G353" s="7">
        <v>1137340</v>
      </c>
      <c r="H353" s="8">
        <f>IFERROR(F353/D353,"")</f>
        <v>0</v>
      </c>
      <c r="I353" s="8">
        <f>IFERROR(G353/E353,"")</f>
        <v>0</v>
      </c>
    </row>
    <row r="354" spans="1:9">
      <c r="A354" s="4" t="s">
        <v>247</v>
      </c>
      <c r="B354" s="6" t="s">
        <v>248</v>
      </c>
      <c r="C354" s="6">
        <v>2022</v>
      </c>
      <c r="D354" s="7">
        <v>17399433.437</v>
      </c>
      <c r="E354" s="7">
        <v>22445414.5</v>
      </c>
      <c r="F354" s="7">
        <v>2374791.794</v>
      </c>
      <c r="G354" s="7">
        <v>2402449</v>
      </c>
      <c r="H354" s="8">
        <f>IFERROR(F354/D354,"")</f>
        <v>0</v>
      </c>
      <c r="I354" s="8">
        <f>IFERROR(G354/E354,"")</f>
        <v>0</v>
      </c>
    </row>
    <row r="355" spans="1:9">
      <c r="A355" s="4" t="s">
        <v>247</v>
      </c>
      <c r="B355" s="6" t="s">
        <v>248</v>
      </c>
      <c r="C355" s="6">
        <v>2023</v>
      </c>
      <c r="D355" s="7">
        <v>22064619.799</v>
      </c>
      <c r="E355" s="7">
        <v>25781538.96</v>
      </c>
      <c r="F355" s="7">
        <v>3220154.169</v>
      </c>
      <c r="G355" s="7">
        <v>4140704.94</v>
      </c>
      <c r="H355" s="8">
        <f>IFERROR(F355/D355,"")</f>
        <v>0</v>
      </c>
      <c r="I355" s="8">
        <f>IFERROR(G355/E355,"")</f>
        <v>0</v>
      </c>
    </row>
    <row r="356" spans="1:9">
      <c r="A356" s="4" t="s">
        <v>249</v>
      </c>
      <c r="B356" s="6" t="s">
        <v>250</v>
      </c>
      <c r="C356" s="6">
        <v>2025</v>
      </c>
      <c r="D356" s="7">
        <v>557478.472</v>
      </c>
      <c r="E356" s="7">
        <v>0</v>
      </c>
      <c r="F356" s="7">
        <v>0</v>
      </c>
      <c r="G356" s="7">
        <v>0</v>
      </c>
      <c r="H356" s="8">
        <f>IFERROR(F356/D356,"")</f>
        <v>0</v>
      </c>
      <c r="I356" s="9">
        <f>"n/a"</f>
        <v>0</v>
      </c>
    </row>
    <row r="357" spans="1:9">
      <c r="A357" s="4" t="s">
        <v>251</v>
      </c>
      <c r="B357" s="6" t="s">
        <v>252</v>
      </c>
      <c r="C357" s="6">
        <v>2019</v>
      </c>
      <c r="D357" s="7">
        <v>67182.981</v>
      </c>
      <c r="E357" s="7">
        <v>148346</v>
      </c>
      <c r="F357" s="7">
        <v>16990.848</v>
      </c>
      <c r="G357" s="7">
        <v>50100</v>
      </c>
      <c r="H357" s="8">
        <f>IFERROR(F357/D357,"")</f>
        <v>0</v>
      </c>
      <c r="I357" s="8">
        <f>IFERROR(G357/E357,"")</f>
        <v>0</v>
      </c>
    </row>
    <row r="358" spans="1:9">
      <c r="A358" s="4" t="s">
        <v>251</v>
      </c>
      <c r="B358" s="6" t="s">
        <v>252</v>
      </c>
      <c r="C358" s="6">
        <v>2020</v>
      </c>
      <c r="D358" s="7">
        <v>87039.175</v>
      </c>
      <c r="E358" s="7">
        <v>239709.602</v>
      </c>
      <c r="F358" s="7">
        <v>45.186</v>
      </c>
      <c r="G358" s="7">
        <v>62</v>
      </c>
      <c r="H358" s="8">
        <f>IFERROR(F358/D358,"")</f>
        <v>0</v>
      </c>
      <c r="I358" s="8">
        <f>IFERROR(G358/E358,"")</f>
        <v>0</v>
      </c>
    </row>
    <row r="359" spans="1:9">
      <c r="A359" s="4" t="s">
        <v>251</v>
      </c>
      <c r="B359" s="6" t="s">
        <v>252</v>
      </c>
      <c r="C359" s="6">
        <v>2021</v>
      </c>
      <c r="D359" s="7">
        <v>43438.883</v>
      </c>
      <c r="E359" s="7">
        <v>85734.57000000001</v>
      </c>
      <c r="F359" s="7">
        <v>9562.291999999999</v>
      </c>
      <c r="G359" s="7">
        <v>27131</v>
      </c>
      <c r="H359" s="8">
        <f>IFERROR(F359/D359,"")</f>
        <v>0</v>
      </c>
      <c r="I359" s="8">
        <f>IFERROR(G359/E359,"")</f>
        <v>0</v>
      </c>
    </row>
    <row r="360" spans="1:9">
      <c r="A360" s="4" t="s">
        <v>251</v>
      </c>
      <c r="B360" s="6" t="s">
        <v>252</v>
      </c>
      <c r="C360" s="6">
        <v>2022</v>
      </c>
      <c r="D360" s="7">
        <v>120174.961</v>
      </c>
      <c r="E360" s="7">
        <v>161068.89</v>
      </c>
      <c r="F360" s="7">
        <v>90704.264</v>
      </c>
      <c r="G360" s="7">
        <v>122452</v>
      </c>
      <c r="H360" s="8">
        <f>IFERROR(F360/D360,"")</f>
        <v>0</v>
      </c>
      <c r="I360" s="8">
        <f>IFERROR(G360/E360,"")</f>
        <v>0</v>
      </c>
    </row>
    <row r="361" spans="1:9">
      <c r="A361" s="4" t="s">
        <v>251</v>
      </c>
      <c r="B361" s="6" t="s">
        <v>252</v>
      </c>
      <c r="C361" s="6">
        <v>2023</v>
      </c>
      <c r="D361" s="7">
        <v>88403.53200000001</v>
      </c>
      <c r="E361" s="7">
        <v>118548</v>
      </c>
      <c r="F361" s="7">
        <v>55065.385</v>
      </c>
      <c r="G361" s="7">
        <v>82263</v>
      </c>
      <c r="H361" s="8">
        <f>IFERROR(F361/D361,"")</f>
        <v>0</v>
      </c>
      <c r="I361" s="8">
        <f>IFERROR(G361/E361,"")</f>
        <v>0</v>
      </c>
    </row>
    <row r="362" spans="1:9">
      <c r="A362" s="4" t="s">
        <v>251</v>
      </c>
      <c r="B362" s="6" t="s">
        <v>252</v>
      </c>
      <c r="C362" s="6">
        <v>2024</v>
      </c>
      <c r="D362" s="7">
        <v>46672.838</v>
      </c>
      <c r="E362" s="7">
        <v>81967.60400000001</v>
      </c>
      <c r="F362" s="7">
        <v>7297.095</v>
      </c>
      <c r="G362" s="7">
        <v>15060</v>
      </c>
      <c r="H362" s="8">
        <f>IFERROR(F362/D362,"")</f>
        <v>0</v>
      </c>
      <c r="I362" s="8">
        <f>IFERROR(G362/E362,"")</f>
        <v>0</v>
      </c>
    </row>
    <row r="363" spans="1:9">
      <c r="A363" s="4" t="s">
        <v>251</v>
      </c>
      <c r="B363" s="6" t="s">
        <v>252</v>
      </c>
      <c r="C363" s="6">
        <v>2025</v>
      </c>
      <c r="D363" s="7">
        <v>66121.70299999999</v>
      </c>
      <c r="E363" s="7">
        <v>137566.182</v>
      </c>
      <c r="F363" s="7">
        <v>61446.26</v>
      </c>
      <c r="G363" s="7">
        <v>134780.078</v>
      </c>
      <c r="H363" s="8">
        <f>IFERROR(F363/D363,"")</f>
        <v>0</v>
      </c>
      <c r="I363" s="8">
        <f>IFERROR(G363/E363,"")</f>
        <v>0</v>
      </c>
    </row>
    <row r="364" spans="1:9">
      <c r="A364" s="4" t="s">
        <v>253</v>
      </c>
      <c r="B364" s="6" t="s">
        <v>254</v>
      </c>
      <c r="C364" s="6">
        <v>2019</v>
      </c>
      <c r="D364" s="7">
        <v>12324036.738</v>
      </c>
      <c r="E364" s="7">
        <v>0</v>
      </c>
      <c r="F364" s="7">
        <v>2676.715</v>
      </c>
      <c r="G364" s="7">
        <v>280</v>
      </c>
      <c r="H364" s="8">
        <f>IFERROR(F364/D364,"")</f>
        <v>0</v>
      </c>
      <c r="I364" s="9">
        <f>"n/a"</f>
        <v>0</v>
      </c>
    </row>
    <row r="365" spans="1:9">
      <c r="A365" s="4" t="s">
        <v>253</v>
      </c>
      <c r="B365" s="6" t="s">
        <v>254</v>
      </c>
      <c r="C365" s="6">
        <v>2020</v>
      </c>
      <c r="D365" s="7">
        <v>8201298.517</v>
      </c>
      <c r="E365" s="7">
        <v>35217408.094</v>
      </c>
      <c r="F365" s="7">
        <v>5200.418</v>
      </c>
      <c r="G365" s="7">
        <v>1240</v>
      </c>
      <c r="H365" s="8">
        <f>IFERROR(F365/D365,"")</f>
        <v>0</v>
      </c>
      <c r="I365" s="8">
        <f>IFERROR(G365/E365,"")</f>
        <v>0</v>
      </c>
    </row>
    <row r="366" spans="1:9">
      <c r="A366" s="4" t="s">
        <v>253</v>
      </c>
      <c r="B366" s="6" t="s">
        <v>254</v>
      </c>
      <c r="C366" s="6">
        <v>2021</v>
      </c>
      <c r="D366" s="7">
        <v>6117281.909</v>
      </c>
      <c r="E366" s="7">
        <v>26472790.894</v>
      </c>
      <c r="F366" s="7">
        <v>2268.496</v>
      </c>
      <c r="G366" s="7">
        <v>594</v>
      </c>
      <c r="H366" s="8">
        <f>IFERROR(F366/D366,"")</f>
        <v>0</v>
      </c>
      <c r="I366" s="8">
        <f>IFERROR(G366/E366,"")</f>
        <v>0</v>
      </c>
    </row>
    <row r="367" spans="1:9">
      <c r="A367" s="4" t="s">
        <v>253</v>
      </c>
      <c r="B367" s="6" t="s">
        <v>254</v>
      </c>
      <c r="C367" s="6">
        <v>2022</v>
      </c>
      <c r="D367" s="7">
        <v>14022544.037</v>
      </c>
      <c r="E367" s="7">
        <v>0</v>
      </c>
      <c r="F367" s="7">
        <v>2427.277</v>
      </c>
      <c r="G367" s="7">
        <v>411</v>
      </c>
      <c r="H367" s="8">
        <f>IFERROR(F367/D367,"")</f>
        <v>0</v>
      </c>
      <c r="I367" s="9">
        <f>"n/a"</f>
        <v>0</v>
      </c>
    </row>
    <row r="368" spans="1:9">
      <c r="A368" s="4" t="s">
        <v>253</v>
      </c>
      <c r="B368" s="6" t="s">
        <v>254</v>
      </c>
      <c r="C368" s="6">
        <v>2023</v>
      </c>
      <c r="D368" s="7">
        <v>8815474.932</v>
      </c>
      <c r="E368" s="7">
        <v>18556738.516</v>
      </c>
      <c r="F368" s="7">
        <v>1898.708</v>
      </c>
      <c r="G368" s="7">
        <v>336</v>
      </c>
      <c r="H368" s="8">
        <f>IFERROR(F368/D368,"")</f>
        <v>0</v>
      </c>
      <c r="I368" s="8">
        <f>IFERROR(G368/E368,"")</f>
        <v>0</v>
      </c>
    </row>
    <row r="369" spans="1:9">
      <c r="A369" s="4" t="s">
        <v>253</v>
      </c>
      <c r="B369" s="6" t="s">
        <v>254</v>
      </c>
      <c r="C369" s="6">
        <v>2024</v>
      </c>
      <c r="D369" s="7">
        <v>7098636.378</v>
      </c>
      <c r="E369" s="7">
        <v>19292720.215</v>
      </c>
      <c r="F369" s="7">
        <v>1177.811</v>
      </c>
      <c r="G369" s="7">
        <v>256</v>
      </c>
      <c r="H369" s="8">
        <f>IFERROR(F369/D369,"")</f>
        <v>0</v>
      </c>
      <c r="I369" s="8">
        <f>IFERROR(G369/E369,"")</f>
        <v>0</v>
      </c>
    </row>
    <row r="370" spans="1:9">
      <c r="A370" s="4" t="s">
        <v>253</v>
      </c>
      <c r="B370" s="6" t="s">
        <v>254</v>
      </c>
      <c r="C370" s="6">
        <v>2025</v>
      </c>
      <c r="D370" s="7">
        <v>8120852.828</v>
      </c>
      <c r="E370" s="7">
        <v>22009072.151</v>
      </c>
      <c r="F370" s="7">
        <v>1650.392</v>
      </c>
      <c r="G370" s="7">
        <v>304</v>
      </c>
      <c r="H370" s="8">
        <f>IFERROR(F370/D370,"")</f>
        <v>0</v>
      </c>
      <c r="I370" s="8">
        <f>IFERROR(G370/E370,"")</f>
        <v>0</v>
      </c>
    </row>
    <row r="371" spans="1:9">
      <c r="A371" s="4" t="s">
        <v>121</v>
      </c>
      <c r="B371" s="6" t="s">
        <v>122</v>
      </c>
      <c r="C371" s="6">
        <v>2019</v>
      </c>
      <c r="D371" s="7">
        <v>81798238.317</v>
      </c>
      <c r="E371" s="7">
        <v>0</v>
      </c>
      <c r="F371" s="7">
        <v>0</v>
      </c>
      <c r="G371" s="7">
        <v>0</v>
      </c>
      <c r="H371" s="8">
        <f>IFERROR(F371/D371,"")</f>
        <v>0</v>
      </c>
      <c r="I371" s="9">
        <f>"n/a"</f>
        <v>0</v>
      </c>
    </row>
    <row r="372" spans="1:9">
      <c r="A372" s="4" t="s">
        <v>121</v>
      </c>
      <c r="B372" s="6" t="s">
        <v>122</v>
      </c>
      <c r="C372" s="6">
        <v>2020</v>
      </c>
      <c r="D372" s="7">
        <v>62950127.992</v>
      </c>
      <c r="E372" s="7">
        <v>257814669.555</v>
      </c>
      <c r="F372" s="7">
        <v>250.135</v>
      </c>
      <c r="G372" s="7">
        <v>716</v>
      </c>
      <c r="H372" s="8">
        <f>IFERROR(F372/D372,"")</f>
        <v>0</v>
      </c>
      <c r="I372" s="8">
        <f>IFERROR(G372/E372,"")</f>
        <v>0</v>
      </c>
    </row>
    <row r="373" spans="1:9">
      <c r="A373" s="4" t="s">
        <v>121</v>
      </c>
      <c r="B373" s="6" t="s">
        <v>122</v>
      </c>
      <c r="C373" s="6">
        <v>2021</v>
      </c>
      <c r="D373" s="7">
        <v>66202737.236</v>
      </c>
      <c r="E373" s="7">
        <v>279260243.694</v>
      </c>
      <c r="F373" s="7">
        <v>1718.899</v>
      </c>
      <c r="G373" s="7">
        <v>6928.261</v>
      </c>
      <c r="H373" s="8">
        <f>IFERROR(F373/D373,"")</f>
        <v>0</v>
      </c>
      <c r="I373" s="8">
        <f>IFERROR(G373/E373,"")</f>
        <v>0</v>
      </c>
    </row>
    <row r="374" spans="1:9">
      <c r="A374" s="4" t="s">
        <v>121</v>
      </c>
      <c r="B374" s="6" t="s">
        <v>122</v>
      </c>
      <c r="C374" s="6">
        <v>2022</v>
      </c>
      <c r="D374" s="7">
        <v>114527409.372</v>
      </c>
      <c r="E374" s="7">
        <v>0</v>
      </c>
      <c r="F374" s="7">
        <v>8211.621999999999</v>
      </c>
      <c r="G374" s="7">
        <v>0</v>
      </c>
      <c r="H374" s="8">
        <f>IFERROR(F374/D374,"")</f>
        <v>0</v>
      </c>
      <c r="I374" s="9">
        <f>"n/a"</f>
        <v>0</v>
      </c>
    </row>
    <row r="375" spans="1:9">
      <c r="A375" s="4" t="s">
        <v>121</v>
      </c>
      <c r="B375" s="6" t="s">
        <v>122</v>
      </c>
      <c r="C375" s="6">
        <v>2023</v>
      </c>
      <c r="D375" s="7">
        <v>103121143.451</v>
      </c>
      <c r="E375" s="7">
        <v>0</v>
      </c>
      <c r="F375" s="7">
        <v>28767.704</v>
      </c>
      <c r="G375" s="7">
        <v>39565</v>
      </c>
      <c r="H375" s="8">
        <f>IFERROR(F375/D375,"")</f>
        <v>0</v>
      </c>
      <c r="I375" s="9">
        <f>"n/a"</f>
        <v>0</v>
      </c>
    </row>
    <row r="376" spans="1:9">
      <c r="A376" s="4" t="s">
        <v>121</v>
      </c>
      <c r="B376" s="6" t="s">
        <v>122</v>
      </c>
      <c r="C376" s="6">
        <v>2024</v>
      </c>
      <c r="D376" s="7">
        <v>76620083.781</v>
      </c>
      <c r="E376" s="7">
        <v>0</v>
      </c>
      <c r="F376" s="7">
        <v>7033.308</v>
      </c>
      <c r="G376" s="7">
        <v>11734.876</v>
      </c>
      <c r="H376" s="8">
        <f>IFERROR(F376/D376,"")</f>
        <v>0</v>
      </c>
      <c r="I376" s="9">
        <f>"n/a"</f>
        <v>0</v>
      </c>
    </row>
    <row r="377" spans="1:9">
      <c r="A377" s="4" t="s">
        <v>121</v>
      </c>
      <c r="B377" s="6" t="s">
        <v>122</v>
      </c>
      <c r="C377" s="6">
        <v>2025</v>
      </c>
      <c r="D377" s="7">
        <v>64277959.707</v>
      </c>
      <c r="E377" s="7">
        <v>0</v>
      </c>
      <c r="F377" s="7">
        <v>130414.49</v>
      </c>
      <c r="G377" s="7">
        <v>199123.542</v>
      </c>
      <c r="H377" s="8">
        <f>IFERROR(F377/D377,"")</f>
        <v>0</v>
      </c>
      <c r="I377" s="9">
        <f>"n/a"</f>
        <v>0</v>
      </c>
    </row>
    <row r="378" spans="1:9">
      <c r="A378" s="4" t="s">
        <v>255</v>
      </c>
      <c r="B378" s="6" t="s">
        <v>256</v>
      </c>
      <c r="C378" s="6">
        <v>2019</v>
      </c>
      <c r="D378" s="7">
        <v>26967.554</v>
      </c>
      <c r="E378" s="7">
        <v>0</v>
      </c>
      <c r="F378" s="7">
        <v>3922.825</v>
      </c>
      <c r="G378" s="7">
        <v>2619</v>
      </c>
      <c r="H378" s="8">
        <f>IFERROR(F378/D378,"")</f>
        <v>0</v>
      </c>
      <c r="I378" s="9">
        <f>"n/a"</f>
        <v>0</v>
      </c>
    </row>
    <row r="379" spans="1:9">
      <c r="A379" s="4" t="s">
        <v>255</v>
      </c>
      <c r="B379" s="6" t="s">
        <v>256</v>
      </c>
      <c r="C379" s="6">
        <v>2020</v>
      </c>
      <c r="D379" s="7">
        <v>33012.708</v>
      </c>
      <c r="E379" s="7">
        <v>18059.5</v>
      </c>
      <c r="F379" s="7">
        <v>1405.025</v>
      </c>
      <c r="G379" s="7">
        <v>2000</v>
      </c>
      <c r="H379" s="8">
        <f>IFERROR(F379/D379,"")</f>
        <v>0</v>
      </c>
      <c r="I379" s="8">
        <f>IFERROR(G379/E379,"")</f>
        <v>0</v>
      </c>
    </row>
    <row r="380" spans="1:9">
      <c r="A380" s="4" t="s">
        <v>255</v>
      </c>
      <c r="B380" s="6" t="s">
        <v>256</v>
      </c>
      <c r="C380" s="6">
        <v>2021</v>
      </c>
      <c r="D380" s="7">
        <v>30780.237</v>
      </c>
      <c r="E380" s="7">
        <v>83644.351</v>
      </c>
      <c r="F380" s="7">
        <v>915.0549999999999</v>
      </c>
      <c r="G380" s="7">
        <v>1000</v>
      </c>
      <c r="H380" s="8">
        <f>IFERROR(F380/D380,"")</f>
        <v>0</v>
      </c>
      <c r="I380" s="8">
        <f>IFERROR(G380/E380,"")</f>
        <v>0</v>
      </c>
    </row>
    <row r="381" spans="1:9">
      <c r="A381" s="4" t="s">
        <v>255</v>
      </c>
      <c r="B381" s="6" t="s">
        <v>256</v>
      </c>
      <c r="C381" s="6">
        <v>2022</v>
      </c>
      <c r="D381" s="7">
        <v>45503.795</v>
      </c>
      <c r="E381" s="7">
        <v>40529.435</v>
      </c>
      <c r="F381" s="7">
        <v>23027.704</v>
      </c>
      <c r="G381" s="7">
        <v>29000</v>
      </c>
      <c r="H381" s="8">
        <f>IFERROR(F381/D381,"")</f>
        <v>0</v>
      </c>
      <c r="I381" s="8">
        <f>IFERROR(G381/E381,"")</f>
        <v>0</v>
      </c>
    </row>
    <row r="382" spans="1:9">
      <c r="A382" s="4" t="s">
        <v>255</v>
      </c>
      <c r="B382" s="6" t="s">
        <v>256</v>
      </c>
      <c r="C382" s="6">
        <v>2023</v>
      </c>
      <c r="D382" s="7">
        <v>20624.689</v>
      </c>
      <c r="E382" s="7">
        <v>6233.44</v>
      </c>
      <c r="F382" s="7">
        <v>0</v>
      </c>
      <c r="G382" s="7">
        <v>0</v>
      </c>
      <c r="H382" s="8">
        <f>IFERROR(F382/D382,"")</f>
        <v>0</v>
      </c>
      <c r="I382" s="8">
        <f>IFERROR(G382/E382,"")</f>
        <v>0</v>
      </c>
    </row>
    <row r="383" spans="1:9">
      <c r="A383" s="4" t="s">
        <v>255</v>
      </c>
      <c r="B383" s="6" t="s">
        <v>256</v>
      </c>
      <c r="C383" s="6">
        <v>2024</v>
      </c>
      <c r="D383" s="7">
        <v>13125.018</v>
      </c>
      <c r="E383" s="7">
        <v>5535.35</v>
      </c>
      <c r="F383" s="7">
        <v>0</v>
      </c>
      <c r="G383" s="7">
        <v>0</v>
      </c>
      <c r="H383" s="8">
        <f>IFERROR(F383/D383,"")</f>
        <v>0</v>
      </c>
      <c r="I383" s="8">
        <f>IFERROR(G383/E383,"")</f>
        <v>0</v>
      </c>
    </row>
    <row r="384" spans="1:9">
      <c r="A384" s="4" t="s">
        <v>255</v>
      </c>
      <c r="B384" s="6" t="s">
        <v>256</v>
      </c>
      <c r="C384" s="6">
        <v>2025</v>
      </c>
      <c r="D384" s="7">
        <v>42153.662</v>
      </c>
      <c r="E384" s="7">
        <v>45704.466</v>
      </c>
      <c r="F384" s="7">
        <v>18800.737</v>
      </c>
      <c r="G384" s="7">
        <v>37358.408</v>
      </c>
      <c r="H384" s="8">
        <f>IFERROR(F384/D384,"")</f>
        <v>0</v>
      </c>
      <c r="I384" s="8">
        <f>IFERROR(G384/E384,"")</f>
        <v>0</v>
      </c>
    </row>
    <row r="385" spans="1:9">
      <c r="A385" s="4" t="s">
        <v>257</v>
      </c>
      <c r="B385" s="6" t="s">
        <v>258</v>
      </c>
      <c r="C385" s="6">
        <v>2019</v>
      </c>
      <c r="D385" s="7">
        <v>247518.724</v>
      </c>
      <c r="E385" s="7">
        <v>615157.076</v>
      </c>
      <c r="F385" s="7">
        <v>5299.428</v>
      </c>
      <c r="G385" s="7">
        <v>3000</v>
      </c>
      <c r="H385" s="8">
        <f>IFERROR(F385/D385,"")</f>
        <v>0</v>
      </c>
      <c r="I385" s="8">
        <f>IFERROR(G385/E385,"")</f>
        <v>0</v>
      </c>
    </row>
    <row r="386" spans="1:9">
      <c r="A386" s="4" t="s">
        <v>257</v>
      </c>
      <c r="B386" s="6" t="s">
        <v>258</v>
      </c>
      <c r="C386" s="6">
        <v>2020</v>
      </c>
      <c r="D386" s="7">
        <v>118145.174</v>
      </c>
      <c r="E386" s="7">
        <v>193153</v>
      </c>
      <c r="F386" s="7">
        <v>0</v>
      </c>
      <c r="G386" s="7">
        <v>0</v>
      </c>
      <c r="H386" s="8">
        <f>IFERROR(F386/D386,"")</f>
        <v>0</v>
      </c>
      <c r="I386" s="8">
        <f>IFERROR(G386/E386,"")</f>
        <v>0</v>
      </c>
    </row>
    <row r="387" spans="1:9">
      <c r="A387" s="4" t="s">
        <v>257</v>
      </c>
      <c r="B387" s="6" t="s">
        <v>258</v>
      </c>
      <c r="C387" s="6">
        <v>2021</v>
      </c>
      <c r="D387" s="7">
        <v>233021.455</v>
      </c>
      <c r="E387" s="7">
        <v>0</v>
      </c>
      <c r="F387" s="7">
        <v>0</v>
      </c>
      <c r="G387" s="7">
        <v>0</v>
      </c>
      <c r="H387" s="8">
        <f>IFERROR(F387/D387,"")</f>
        <v>0</v>
      </c>
      <c r="I387" s="9">
        <f>"n/a"</f>
        <v>0</v>
      </c>
    </row>
    <row r="388" spans="1:9">
      <c r="A388" s="4" t="s">
        <v>257</v>
      </c>
      <c r="B388" s="6" t="s">
        <v>258</v>
      </c>
      <c r="C388" s="6">
        <v>2022</v>
      </c>
      <c r="D388" s="7">
        <v>407451.305</v>
      </c>
      <c r="E388" s="7">
        <v>0</v>
      </c>
      <c r="F388" s="7">
        <v>88148.936</v>
      </c>
      <c r="G388" s="7">
        <v>112952</v>
      </c>
      <c r="H388" s="8">
        <f>IFERROR(F388/D388,"")</f>
        <v>0</v>
      </c>
      <c r="I388" s="9">
        <f>"n/a"</f>
        <v>0</v>
      </c>
    </row>
    <row r="389" spans="1:9">
      <c r="A389" s="4" t="s">
        <v>257</v>
      </c>
      <c r="B389" s="6" t="s">
        <v>258</v>
      </c>
      <c r="C389" s="6">
        <v>2023</v>
      </c>
      <c r="D389" s="7">
        <v>214476.385</v>
      </c>
      <c r="E389" s="7">
        <v>0</v>
      </c>
      <c r="F389" s="7">
        <v>23325.877</v>
      </c>
      <c r="G389" s="7">
        <v>43000</v>
      </c>
      <c r="H389" s="8">
        <f>IFERROR(F389/D389,"")</f>
        <v>0</v>
      </c>
      <c r="I389" s="9">
        <f>"n/a"</f>
        <v>0</v>
      </c>
    </row>
    <row r="390" spans="1:9">
      <c r="A390" s="4" t="s">
        <v>259</v>
      </c>
      <c r="B390" s="6" t="s">
        <v>260</v>
      </c>
      <c r="C390" s="6">
        <v>2019</v>
      </c>
      <c r="D390" s="7">
        <v>663.1950000000001</v>
      </c>
      <c r="E390" s="7">
        <v>118</v>
      </c>
      <c r="F390" s="7">
        <v>0</v>
      </c>
      <c r="G390" s="7">
        <v>0</v>
      </c>
      <c r="H390" s="8">
        <f>IFERROR(F390/D390,"")</f>
        <v>0</v>
      </c>
      <c r="I390" s="8">
        <f>IFERROR(G390/E390,"")</f>
        <v>0</v>
      </c>
    </row>
    <row r="391" spans="1:9">
      <c r="A391" s="4" t="s">
        <v>259</v>
      </c>
      <c r="B391" s="6" t="s">
        <v>260</v>
      </c>
      <c r="C391" s="6">
        <v>2022</v>
      </c>
      <c r="D391" s="7">
        <v>17460.208</v>
      </c>
      <c r="E391" s="7">
        <v>42158</v>
      </c>
      <c r="F391" s="7">
        <v>0</v>
      </c>
      <c r="G391" s="7">
        <v>0</v>
      </c>
      <c r="H391" s="8">
        <f>IFERROR(F391/D391,"")</f>
        <v>0</v>
      </c>
      <c r="I391" s="8">
        <f>IFERROR(G391/E391,"")</f>
        <v>0</v>
      </c>
    </row>
    <row r="392" spans="1:9">
      <c r="A392" s="4" t="s">
        <v>259</v>
      </c>
      <c r="B392" s="6" t="s">
        <v>260</v>
      </c>
      <c r="C392" s="6">
        <v>2024</v>
      </c>
      <c r="D392" s="7">
        <v>20522.372</v>
      </c>
      <c r="E392" s="7">
        <v>29208</v>
      </c>
      <c r="F392" s="7">
        <v>9915.621999999999</v>
      </c>
      <c r="G392" s="7">
        <v>26208</v>
      </c>
      <c r="H392" s="8">
        <f>IFERROR(F392/D392,"")</f>
        <v>0</v>
      </c>
      <c r="I392" s="8">
        <f>IFERROR(G392/E392,"")</f>
        <v>0</v>
      </c>
    </row>
    <row r="393" spans="1:9">
      <c r="A393" s="4" t="s">
        <v>261</v>
      </c>
      <c r="B393" s="6" t="s">
        <v>262</v>
      </c>
      <c r="C393" s="6">
        <v>2019</v>
      </c>
      <c r="D393" s="7">
        <v>3171399.51</v>
      </c>
      <c r="E393" s="7">
        <v>13137272.479</v>
      </c>
      <c r="F393" s="7">
        <v>0</v>
      </c>
      <c r="G393" s="7">
        <v>0</v>
      </c>
      <c r="H393" s="8">
        <f>IFERROR(F393/D393,"")</f>
        <v>0</v>
      </c>
      <c r="I393" s="8">
        <f>IFERROR(G393/E393,"")</f>
        <v>0</v>
      </c>
    </row>
    <row r="394" spans="1:9">
      <c r="A394" s="4" t="s">
        <v>261</v>
      </c>
      <c r="B394" s="6" t="s">
        <v>262</v>
      </c>
      <c r="C394" s="6">
        <v>2020</v>
      </c>
      <c r="D394" s="7">
        <v>2980407.393</v>
      </c>
      <c r="E394" s="7">
        <v>0</v>
      </c>
      <c r="F394" s="7">
        <v>326.607</v>
      </c>
      <c r="G394" s="7">
        <v>361.91</v>
      </c>
      <c r="H394" s="8">
        <f>IFERROR(F394/D394,"")</f>
        <v>0</v>
      </c>
      <c r="I394" s="9">
        <f>"n/a"</f>
        <v>0</v>
      </c>
    </row>
    <row r="395" spans="1:9">
      <c r="A395" s="4" t="s">
        <v>261</v>
      </c>
      <c r="B395" s="6" t="s">
        <v>262</v>
      </c>
      <c r="C395" s="6">
        <v>2021</v>
      </c>
      <c r="D395" s="7">
        <v>2745068.5</v>
      </c>
      <c r="E395" s="7">
        <v>0</v>
      </c>
      <c r="F395" s="7">
        <v>0</v>
      </c>
      <c r="G395" s="7">
        <v>0</v>
      </c>
      <c r="H395" s="8">
        <f>IFERROR(F395/D395,"")</f>
        <v>0</v>
      </c>
      <c r="I395" s="9">
        <f>"n/a"</f>
        <v>0</v>
      </c>
    </row>
    <row r="396" spans="1:9">
      <c r="A396" s="4" t="s">
        <v>261</v>
      </c>
      <c r="B396" s="6" t="s">
        <v>262</v>
      </c>
      <c r="C396" s="6">
        <v>2022</v>
      </c>
      <c r="D396" s="7">
        <v>4435171.761</v>
      </c>
      <c r="E396" s="7">
        <v>15435711.33</v>
      </c>
      <c r="F396" s="7">
        <v>0</v>
      </c>
      <c r="G396" s="7">
        <v>0</v>
      </c>
      <c r="H396" s="8">
        <f>IFERROR(F396/D396,"")</f>
        <v>0</v>
      </c>
      <c r="I396" s="8">
        <f>IFERROR(G396/E396,"")</f>
        <v>0</v>
      </c>
    </row>
    <row r="397" spans="1:9">
      <c r="A397" s="4" t="s">
        <v>261</v>
      </c>
      <c r="B397" s="6" t="s">
        <v>262</v>
      </c>
      <c r="C397" s="6">
        <v>2023</v>
      </c>
      <c r="D397" s="7">
        <v>3123797.321</v>
      </c>
      <c r="E397" s="7">
        <v>9591451.52</v>
      </c>
      <c r="F397" s="7">
        <v>3195.783</v>
      </c>
      <c r="G397" s="7">
        <v>3020</v>
      </c>
      <c r="H397" s="8">
        <f>IFERROR(F397/D397,"")</f>
        <v>0</v>
      </c>
      <c r="I397" s="8">
        <f>IFERROR(G397/E397,"")</f>
        <v>0</v>
      </c>
    </row>
    <row r="398" spans="1:9">
      <c r="A398" s="4" t="s">
        <v>261</v>
      </c>
      <c r="B398" s="6" t="s">
        <v>262</v>
      </c>
      <c r="C398" s="6">
        <v>2024</v>
      </c>
      <c r="D398" s="7">
        <v>4727610.059</v>
      </c>
      <c r="E398" s="7">
        <v>15880369.34</v>
      </c>
      <c r="F398" s="7">
        <v>2206.62</v>
      </c>
      <c r="G398" s="7">
        <v>2000</v>
      </c>
      <c r="H398" s="8">
        <f>IFERROR(F398/D398,"")</f>
        <v>0</v>
      </c>
      <c r="I398" s="8">
        <f>IFERROR(G398/E398,"")</f>
        <v>0</v>
      </c>
    </row>
    <row r="399" spans="1:9">
      <c r="A399" s="4" t="s">
        <v>261</v>
      </c>
      <c r="B399" s="6" t="s">
        <v>262</v>
      </c>
      <c r="C399" s="6">
        <v>2025</v>
      </c>
      <c r="D399" s="7">
        <v>4783319.2</v>
      </c>
      <c r="E399" s="7">
        <v>17143777.68</v>
      </c>
      <c r="F399" s="7">
        <v>2858.27</v>
      </c>
      <c r="G399" s="7">
        <v>3000</v>
      </c>
      <c r="H399" s="8">
        <f>IFERROR(F399/D399,"")</f>
        <v>0</v>
      </c>
      <c r="I399" s="8">
        <f>IFERROR(G399/E399,"")</f>
        <v>0</v>
      </c>
    </row>
    <row r="400" spans="1:9">
      <c r="A400" s="4" t="s">
        <v>93</v>
      </c>
      <c r="B400" s="6" t="s">
        <v>94</v>
      </c>
      <c r="C400" s="6">
        <v>2019</v>
      </c>
      <c r="D400" s="7">
        <v>85160803.87199999</v>
      </c>
      <c r="E400" s="7">
        <v>343805264.973</v>
      </c>
      <c r="F400" s="7">
        <v>2147.433</v>
      </c>
      <c r="G400" s="7">
        <v>2943</v>
      </c>
      <c r="H400" s="8">
        <f>IFERROR(F400/D400,"")</f>
        <v>0</v>
      </c>
      <c r="I400" s="8">
        <f>IFERROR(G400/E400,"")</f>
        <v>0</v>
      </c>
    </row>
    <row r="401" spans="1:9">
      <c r="A401" s="4" t="s">
        <v>93</v>
      </c>
      <c r="B401" s="6" t="s">
        <v>94</v>
      </c>
      <c r="C401" s="6">
        <v>2020</v>
      </c>
      <c r="D401" s="7">
        <v>97695068.12</v>
      </c>
      <c r="E401" s="7">
        <v>389486863.228</v>
      </c>
      <c r="F401" s="7">
        <v>1823.679</v>
      </c>
      <c r="G401" s="7">
        <v>2334.659</v>
      </c>
      <c r="H401" s="8">
        <f>IFERROR(F401/D401,"")</f>
        <v>0</v>
      </c>
      <c r="I401" s="8">
        <f>IFERROR(G401/E401,"")</f>
        <v>0</v>
      </c>
    </row>
    <row r="402" spans="1:9">
      <c r="A402" s="4" t="s">
        <v>93</v>
      </c>
      <c r="B402" s="6" t="s">
        <v>94</v>
      </c>
      <c r="C402" s="6">
        <v>2021</v>
      </c>
      <c r="D402" s="7">
        <v>112225517.28</v>
      </c>
      <c r="E402" s="7">
        <v>471618570.288</v>
      </c>
      <c r="F402" s="7">
        <v>771.096</v>
      </c>
      <c r="G402" s="7">
        <v>845</v>
      </c>
      <c r="H402" s="8">
        <f>IFERROR(F402/D402,"")</f>
        <v>0</v>
      </c>
      <c r="I402" s="8">
        <f>IFERROR(G402/E402,"")</f>
        <v>0</v>
      </c>
    </row>
    <row r="403" spans="1:9">
      <c r="A403" s="4" t="s">
        <v>93</v>
      </c>
      <c r="B403" s="6" t="s">
        <v>94</v>
      </c>
      <c r="C403" s="6">
        <v>2022</v>
      </c>
      <c r="D403" s="7">
        <v>148167643.131</v>
      </c>
      <c r="E403" s="7">
        <v>0</v>
      </c>
      <c r="F403" s="7">
        <v>78027.878</v>
      </c>
      <c r="G403" s="7">
        <v>124994.146</v>
      </c>
      <c r="H403" s="8">
        <f>IFERROR(F403/D403,"")</f>
        <v>0</v>
      </c>
      <c r="I403" s="9">
        <f>"n/a"</f>
        <v>0</v>
      </c>
    </row>
    <row r="404" spans="1:9">
      <c r="A404" s="4" t="s">
        <v>93</v>
      </c>
      <c r="B404" s="6" t="s">
        <v>94</v>
      </c>
      <c r="C404" s="6">
        <v>2023</v>
      </c>
      <c r="D404" s="7">
        <v>177470096.282</v>
      </c>
      <c r="E404" s="7">
        <v>454761139.037</v>
      </c>
      <c r="F404" s="7">
        <v>445578.296</v>
      </c>
      <c r="G404" s="7">
        <v>817562</v>
      </c>
      <c r="H404" s="8">
        <f>IFERROR(F404/D404,"")</f>
        <v>0</v>
      </c>
      <c r="I404" s="8">
        <f>IFERROR(G404/E404,"")</f>
        <v>0</v>
      </c>
    </row>
    <row r="405" spans="1:9">
      <c r="A405" s="4" t="s">
        <v>93</v>
      </c>
      <c r="B405" s="6" t="s">
        <v>94</v>
      </c>
      <c r="C405" s="6">
        <v>2024</v>
      </c>
      <c r="D405" s="7">
        <v>126275154.542</v>
      </c>
      <c r="E405" s="7">
        <v>388545111.538</v>
      </c>
      <c r="F405" s="7">
        <v>26612.881</v>
      </c>
      <c r="G405" s="7">
        <v>25047</v>
      </c>
      <c r="H405" s="8">
        <f>IFERROR(F405/D405,"")</f>
        <v>0</v>
      </c>
      <c r="I405" s="8">
        <f>IFERROR(G405/E405,"")</f>
        <v>0</v>
      </c>
    </row>
    <row r="406" spans="1:9">
      <c r="A406" s="4" t="s">
        <v>93</v>
      </c>
      <c r="B406" s="6" t="s">
        <v>94</v>
      </c>
      <c r="C406" s="6">
        <v>2025</v>
      </c>
      <c r="D406" s="7">
        <v>133422164.635</v>
      </c>
      <c r="E406" s="7">
        <v>383387677.794</v>
      </c>
      <c r="F406" s="7">
        <v>122995.968</v>
      </c>
      <c r="G406" s="7">
        <v>137233.423</v>
      </c>
      <c r="H406" s="8">
        <f>IFERROR(F406/D406,"")</f>
        <v>0</v>
      </c>
      <c r="I406" s="8">
        <f>IFERROR(G406/E406,"")</f>
        <v>0</v>
      </c>
    </row>
    <row r="407" spans="1:9">
      <c r="A407" s="4" t="s">
        <v>263</v>
      </c>
      <c r="B407" s="6" t="s">
        <v>264</v>
      </c>
      <c r="C407" s="6">
        <v>2019</v>
      </c>
      <c r="D407" s="7">
        <v>1124075.937</v>
      </c>
      <c r="E407" s="7">
        <v>0</v>
      </c>
      <c r="F407" s="7">
        <v>105071.856</v>
      </c>
      <c r="G407" s="7">
        <v>427103.73</v>
      </c>
      <c r="H407" s="8">
        <f>IFERROR(F407/D407,"")</f>
        <v>0</v>
      </c>
      <c r="I407" s="9">
        <f>"n/a"</f>
        <v>0</v>
      </c>
    </row>
    <row r="408" spans="1:9">
      <c r="A408" s="4" t="s">
        <v>263</v>
      </c>
      <c r="B408" s="6" t="s">
        <v>264</v>
      </c>
      <c r="C408" s="6">
        <v>2021</v>
      </c>
      <c r="D408" s="7">
        <v>1918108.076</v>
      </c>
      <c r="E408" s="7">
        <v>4832779.099</v>
      </c>
      <c r="F408" s="7">
        <v>58814.537</v>
      </c>
      <c r="G408" s="7">
        <v>93698</v>
      </c>
      <c r="H408" s="8">
        <f>IFERROR(F408/D408,"")</f>
        <v>0</v>
      </c>
      <c r="I408" s="8">
        <f>IFERROR(G408/E408,"")</f>
        <v>0</v>
      </c>
    </row>
    <row r="409" spans="1:9">
      <c r="A409" s="4" t="s">
        <v>263</v>
      </c>
      <c r="B409" s="6" t="s">
        <v>264</v>
      </c>
      <c r="C409" s="6">
        <v>2022</v>
      </c>
      <c r="D409" s="7">
        <v>6694778.954</v>
      </c>
      <c r="E409" s="7">
        <v>18003050.708</v>
      </c>
      <c r="F409" s="7">
        <v>3185611.127</v>
      </c>
      <c r="G409" s="7">
        <v>10484113</v>
      </c>
      <c r="H409" s="8">
        <f>IFERROR(F409/D409,"")</f>
        <v>0</v>
      </c>
      <c r="I409" s="8">
        <f>IFERROR(G409/E409,"")</f>
        <v>0</v>
      </c>
    </row>
    <row r="410" spans="1:9">
      <c r="A410" s="4" t="s">
        <v>263</v>
      </c>
      <c r="B410" s="6" t="s">
        <v>264</v>
      </c>
      <c r="C410" s="6">
        <v>2023</v>
      </c>
      <c r="D410" s="7">
        <v>8067824.139</v>
      </c>
      <c r="E410" s="7">
        <v>17999236.593</v>
      </c>
      <c r="F410" s="7">
        <v>5274003.382</v>
      </c>
      <c r="G410" s="7">
        <v>11834626</v>
      </c>
      <c r="H410" s="8">
        <f>IFERROR(F410/D410,"")</f>
        <v>0</v>
      </c>
      <c r="I410" s="8">
        <f>IFERROR(G410/E410,"")</f>
        <v>0</v>
      </c>
    </row>
    <row r="411" spans="1:9">
      <c r="A411" s="4" t="s">
        <v>263</v>
      </c>
      <c r="B411" s="6" t="s">
        <v>264</v>
      </c>
      <c r="C411" s="6">
        <v>2024</v>
      </c>
      <c r="D411" s="7">
        <v>5214622.733</v>
      </c>
      <c r="E411" s="7">
        <v>14982347.82</v>
      </c>
      <c r="F411" s="7">
        <v>1749114.633</v>
      </c>
      <c r="G411" s="7">
        <v>5505758</v>
      </c>
      <c r="H411" s="8">
        <f>IFERROR(F411/D411,"")</f>
        <v>0</v>
      </c>
      <c r="I411" s="8">
        <f>IFERROR(G411/E411,"")</f>
        <v>0</v>
      </c>
    </row>
    <row r="412" spans="1:9">
      <c r="A412" s="4" t="s">
        <v>263</v>
      </c>
      <c r="B412" s="6" t="s">
        <v>264</v>
      </c>
      <c r="C412" s="6">
        <v>2025</v>
      </c>
      <c r="D412" s="7">
        <v>6723631.199</v>
      </c>
      <c r="E412" s="7">
        <v>0</v>
      </c>
      <c r="F412" s="7">
        <v>3907451.145</v>
      </c>
      <c r="G412" s="7">
        <v>12007220.33</v>
      </c>
      <c r="H412" s="8">
        <f>IFERROR(F412/D412,"")</f>
        <v>0</v>
      </c>
      <c r="I412" s="9">
        <f>"n/a"</f>
        <v>0</v>
      </c>
    </row>
    <row r="413" spans="1:9">
      <c r="A413" s="4" t="s">
        <v>265</v>
      </c>
      <c r="B413" s="6" t="s">
        <v>266</v>
      </c>
      <c r="C413" s="6">
        <v>2019</v>
      </c>
      <c r="D413" s="7">
        <v>13750007.661</v>
      </c>
      <c r="E413" s="7">
        <v>0</v>
      </c>
      <c r="F413" s="7">
        <v>0</v>
      </c>
      <c r="G413" s="7">
        <v>0</v>
      </c>
      <c r="H413" s="8">
        <f>IFERROR(F413/D413,"")</f>
        <v>0</v>
      </c>
      <c r="I413" s="9">
        <f>"n/a"</f>
        <v>0</v>
      </c>
    </row>
    <row r="414" spans="1:9">
      <c r="A414" s="4" t="s">
        <v>265</v>
      </c>
      <c r="B414" s="6" t="s">
        <v>266</v>
      </c>
      <c r="C414" s="6">
        <v>2020</v>
      </c>
      <c r="D414" s="7">
        <v>12722981.78</v>
      </c>
      <c r="E414" s="7">
        <v>0</v>
      </c>
      <c r="F414" s="7">
        <v>0</v>
      </c>
      <c r="G414" s="7">
        <v>0</v>
      </c>
      <c r="H414" s="8">
        <f>IFERROR(F414/D414,"")</f>
        <v>0</v>
      </c>
      <c r="I414" s="9">
        <f>"n/a"</f>
        <v>0</v>
      </c>
    </row>
    <row r="415" spans="1:9">
      <c r="A415" s="4" t="s">
        <v>265</v>
      </c>
      <c r="B415" s="6" t="s">
        <v>266</v>
      </c>
      <c r="C415" s="6">
        <v>2021</v>
      </c>
      <c r="D415" s="7">
        <v>13116121.673</v>
      </c>
      <c r="E415" s="7">
        <v>0</v>
      </c>
      <c r="F415" s="7">
        <v>0</v>
      </c>
      <c r="G415" s="7">
        <v>0</v>
      </c>
      <c r="H415" s="8">
        <f>IFERROR(F415/D415,"")</f>
        <v>0</v>
      </c>
      <c r="I415" s="9">
        <f>"n/a"</f>
        <v>0</v>
      </c>
    </row>
    <row r="416" spans="1:9">
      <c r="A416" s="4" t="s">
        <v>265</v>
      </c>
      <c r="B416" s="6" t="s">
        <v>266</v>
      </c>
      <c r="C416" s="6">
        <v>2022</v>
      </c>
      <c r="D416" s="7">
        <v>21549095.391</v>
      </c>
      <c r="E416" s="7">
        <v>62233742.169</v>
      </c>
      <c r="F416" s="7">
        <v>0</v>
      </c>
      <c r="G416" s="7">
        <v>0</v>
      </c>
      <c r="H416" s="8">
        <f>IFERROR(F416/D416,"")</f>
        <v>0</v>
      </c>
      <c r="I416" s="8">
        <f>IFERROR(G416/E416,"")</f>
        <v>0</v>
      </c>
    </row>
    <row r="417" spans="1:9">
      <c r="A417" s="4" t="s">
        <v>265</v>
      </c>
      <c r="B417" s="6" t="s">
        <v>266</v>
      </c>
      <c r="C417" s="6">
        <v>2023</v>
      </c>
      <c r="D417" s="7">
        <v>20786648.55</v>
      </c>
      <c r="E417" s="7">
        <v>54880730</v>
      </c>
      <c r="F417" s="7">
        <v>0</v>
      </c>
      <c r="G417" s="7">
        <v>0</v>
      </c>
      <c r="H417" s="8">
        <f>IFERROR(F417/D417,"")</f>
        <v>0</v>
      </c>
      <c r="I417" s="8">
        <f>IFERROR(G417/E417,"")</f>
        <v>0</v>
      </c>
    </row>
    <row r="418" spans="1:9">
      <c r="A418" s="4" t="s">
        <v>265</v>
      </c>
      <c r="B418" s="6" t="s">
        <v>266</v>
      </c>
      <c r="C418" s="6">
        <v>2024</v>
      </c>
      <c r="D418" s="7">
        <v>11848276.623</v>
      </c>
      <c r="E418" s="7">
        <v>42817570.826</v>
      </c>
      <c r="F418" s="7">
        <v>66.02500000000001</v>
      </c>
      <c r="G418" s="7">
        <v>1</v>
      </c>
      <c r="H418" s="8">
        <f>IFERROR(F418/D418,"")</f>
        <v>0</v>
      </c>
      <c r="I418" s="8">
        <f>IFERROR(G418/E418,"")</f>
        <v>0</v>
      </c>
    </row>
    <row r="419" spans="1:9">
      <c r="A419" s="4" t="s">
        <v>265</v>
      </c>
      <c r="B419" s="6" t="s">
        <v>266</v>
      </c>
      <c r="C419" s="6">
        <v>2025</v>
      </c>
      <c r="D419" s="7">
        <v>12196425.712</v>
      </c>
      <c r="E419" s="7">
        <v>43208299</v>
      </c>
      <c r="F419" s="7">
        <v>0</v>
      </c>
      <c r="G419" s="7">
        <v>0</v>
      </c>
      <c r="H419" s="8">
        <f>IFERROR(F419/D419,"")</f>
        <v>0</v>
      </c>
      <c r="I419" s="8">
        <f>IFERROR(G419/E419,"")</f>
        <v>0</v>
      </c>
    </row>
    <row r="420" spans="1:9">
      <c r="A420" s="4" t="s">
        <v>267</v>
      </c>
      <c r="B420" s="6" t="s">
        <v>268</v>
      </c>
      <c r="C420" s="6">
        <v>2019</v>
      </c>
      <c r="D420" s="7">
        <v>1025.556</v>
      </c>
      <c r="E420" s="7">
        <v>379</v>
      </c>
      <c r="F420" s="7">
        <v>0</v>
      </c>
      <c r="G420" s="7">
        <v>0</v>
      </c>
      <c r="H420" s="8">
        <f>IFERROR(F420/D420,"")</f>
        <v>0</v>
      </c>
      <c r="I420" s="8">
        <f>IFERROR(G420/E420,"")</f>
        <v>0</v>
      </c>
    </row>
    <row r="421" spans="1:9">
      <c r="A421" s="4" t="s">
        <v>267</v>
      </c>
      <c r="B421" s="6" t="s">
        <v>268</v>
      </c>
      <c r="C421" s="6">
        <v>2020</v>
      </c>
      <c r="D421" s="7">
        <v>177.778</v>
      </c>
      <c r="E421" s="7">
        <v>229</v>
      </c>
      <c r="F421" s="7">
        <v>0</v>
      </c>
      <c r="G421" s="7">
        <v>0</v>
      </c>
      <c r="H421" s="8">
        <f>IFERROR(F421/D421,"")</f>
        <v>0</v>
      </c>
      <c r="I421" s="8">
        <f>IFERROR(G421/E421,"")</f>
        <v>0</v>
      </c>
    </row>
    <row r="422" spans="1:9">
      <c r="A422" s="4" t="s">
        <v>267</v>
      </c>
      <c r="B422" s="6" t="s">
        <v>268</v>
      </c>
      <c r="C422" s="6">
        <v>2021</v>
      </c>
      <c r="D422" s="7">
        <v>578.519</v>
      </c>
      <c r="E422" s="7">
        <v>351</v>
      </c>
      <c r="F422" s="7">
        <v>0</v>
      </c>
      <c r="G422" s="7">
        <v>0</v>
      </c>
      <c r="H422" s="8">
        <f>IFERROR(F422/D422,"")</f>
        <v>0</v>
      </c>
      <c r="I422" s="8">
        <f>IFERROR(G422/E422,"")</f>
        <v>0</v>
      </c>
    </row>
    <row r="423" spans="1:9">
      <c r="A423" s="4" t="s">
        <v>267</v>
      </c>
      <c r="B423" s="6" t="s">
        <v>268</v>
      </c>
      <c r="C423" s="6">
        <v>2022</v>
      </c>
      <c r="D423" s="7">
        <v>1316.296</v>
      </c>
      <c r="E423" s="7">
        <v>185</v>
      </c>
      <c r="F423" s="7">
        <v>0</v>
      </c>
      <c r="G423" s="7">
        <v>0</v>
      </c>
      <c r="H423" s="8">
        <f>IFERROR(F423/D423,"")</f>
        <v>0</v>
      </c>
      <c r="I423" s="8">
        <f>IFERROR(G423/E423,"")</f>
        <v>0</v>
      </c>
    </row>
    <row r="424" spans="1:9">
      <c r="A424" s="4" t="s">
        <v>267</v>
      </c>
      <c r="B424" s="6" t="s">
        <v>268</v>
      </c>
      <c r="C424" s="6">
        <v>2023</v>
      </c>
      <c r="D424" s="7">
        <v>1971.111</v>
      </c>
      <c r="E424" s="7">
        <v>373</v>
      </c>
      <c r="F424" s="7">
        <v>0</v>
      </c>
      <c r="G424" s="7">
        <v>0</v>
      </c>
      <c r="H424" s="8">
        <f>IFERROR(F424/D424,"")</f>
        <v>0</v>
      </c>
      <c r="I424" s="8">
        <f>IFERROR(G424/E424,"")</f>
        <v>0</v>
      </c>
    </row>
    <row r="425" spans="1:9">
      <c r="A425" s="4" t="s">
        <v>267</v>
      </c>
      <c r="B425" s="6" t="s">
        <v>268</v>
      </c>
      <c r="C425" s="6">
        <v>2024</v>
      </c>
      <c r="D425" s="7">
        <v>1809.604</v>
      </c>
      <c r="E425" s="7">
        <v>249.52</v>
      </c>
      <c r="F425" s="7">
        <v>0</v>
      </c>
      <c r="G425" s="7">
        <v>0</v>
      </c>
      <c r="H425" s="8">
        <f>IFERROR(F425/D425,"")</f>
        <v>0</v>
      </c>
      <c r="I425" s="8">
        <f>IFERROR(G425/E425,"")</f>
        <v>0</v>
      </c>
    </row>
    <row r="426" spans="1:9">
      <c r="A426" s="4" t="s">
        <v>269</v>
      </c>
      <c r="B426" s="6" t="s">
        <v>270</v>
      </c>
      <c r="C426" s="6">
        <v>2019</v>
      </c>
      <c r="D426" s="7">
        <v>14905983</v>
      </c>
      <c r="E426" s="7">
        <v>52496667.871</v>
      </c>
      <c r="F426" s="7">
        <v>257517</v>
      </c>
      <c r="G426" s="7">
        <v>802401</v>
      </c>
      <c r="H426" s="8">
        <f>IFERROR(F426/D426,"")</f>
        <v>0</v>
      </c>
      <c r="I426" s="8">
        <f>IFERROR(G426/E426,"")</f>
        <v>0</v>
      </c>
    </row>
    <row r="427" spans="1:9">
      <c r="A427" s="4" t="s">
        <v>269</v>
      </c>
      <c r="B427" s="6" t="s">
        <v>270</v>
      </c>
      <c r="C427" s="6">
        <v>2020</v>
      </c>
      <c r="D427" s="7">
        <v>13128661</v>
      </c>
      <c r="E427" s="7">
        <v>48348684</v>
      </c>
      <c r="F427" s="7">
        <v>1897763</v>
      </c>
      <c r="G427" s="7">
        <v>8052720</v>
      </c>
      <c r="H427" s="8">
        <f>IFERROR(F427/D427,"")</f>
        <v>0</v>
      </c>
      <c r="I427" s="8">
        <f>IFERROR(G427/E427,"")</f>
        <v>0</v>
      </c>
    </row>
    <row r="428" spans="1:9">
      <c r="A428" s="4" t="s">
        <v>269</v>
      </c>
      <c r="B428" s="6" t="s">
        <v>270</v>
      </c>
      <c r="C428" s="6">
        <v>2021</v>
      </c>
      <c r="D428" s="7">
        <v>16906543</v>
      </c>
      <c r="E428" s="7">
        <v>0</v>
      </c>
      <c r="F428" s="7">
        <v>2077109</v>
      </c>
      <c r="G428" s="7">
        <v>5811215</v>
      </c>
      <c r="H428" s="8">
        <f>IFERROR(F428/D428,"")</f>
        <v>0</v>
      </c>
      <c r="I428" s="9">
        <f>"n/a"</f>
        <v>0</v>
      </c>
    </row>
    <row r="429" spans="1:9">
      <c r="A429" s="4" t="s">
        <v>269</v>
      </c>
      <c r="B429" s="6" t="s">
        <v>270</v>
      </c>
      <c r="C429" s="6">
        <v>2022</v>
      </c>
      <c r="D429" s="7">
        <v>25421563</v>
      </c>
      <c r="E429" s="7">
        <v>61395396.372</v>
      </c>
      <c r="F429" s="7">
        <v>8921481</v>
      </c>
      <c r="G429" s="7">
        <v>16436824</v>
      </c>
      <c r="H429" s="8">
        <f>IFERROR(F429/D429,"")</f>
        <v>0</v>
      </c>
      <c r="I429" s="8">
        <f>IFERROR(G429/E429,"")</f>
        <v>0</v>
      </c>
    </row>
    <row r="430" spans="1:9">
      <c r="A430" s="4" t="s">
        <v>269</v>
      </c>
      <c r="B430" s="6" t="s">
        <v>270</v>
      </c>
      <c r="C430" s="6">
        <v>2023</v>
      </c>
      <c r="D430" s="7">
        <v>27167845</v>
      </c>
      <c r="E430" s="7">
        <v>0</v>
      </c>
      <c r="F430" s="7">
        <v>8147533</v>
      </c>
      <c r="G430" s="7">
        <v>19183390</v>
      </c>
      <c r="H430" s="8">
        <f>IFERROR(F430/D430,"")</f>
        <v>0</v>
      </c>
      <c r="I430" s="9">
        <f>"n/a"</f>
        <v>0</v>
      </c>
    </row>
    <row r="431" spans="1:9">
      <c r="A431" s="4" t="s">
        <v>269</v>
      </c>
      <c r="B431" s="6" t="s">
        <v>270</v>
      </c>
      <c r="C431" s="6">
        <v>2024</v>
      </c>
      <c r="D431" s="7">
        <v>19148693</v>
      </c>
      <c r="E431" s="7">
        <v>0</v>
      </c>
      <c r="F431" s="7">
        <v>2651154</v>
      </c>
      <c r="G431" s="7">
        <v>8053310</v>
      </c>
      <c r="H431" s="8">
        <f>IFERROR(F431/D431,"")</f>
        <v>0</v>
      </c>
      <c r="I431" s="9">
        <f>"n/a"</f>
        <v>0</v>
      </c>
    </row>
    <row r="432" spans="1:9">
      <c r="A432" s="4" t="s">
        <v>269</v>
      </c>
      <c r="B432" s="6" t="s">
        <v>270</v>
      </c>
      <c r="C432" s="6">
        <v>2025</v>
      </c>
      <c r="D432" s="7">
        <v>23233714</v>
      </c>
      <c r="E432" s="7">
        <v>0</v>
      </c>
      <c r="F432" s="7">
        <v>3398696</v>
      </c>
      <c r="G432" s="7">
        <v>11043733</v>
      </c>
      <c r="H432" s="8">
        <f>IFERROR(F432/D432,"")</f>
        <v>0</v>
      </c>
      <c r="I432" s="9">
        <f>"n/a"</f>
        <v>0</v>
      </c>
    </row>
    <row r="433" spans="1:9">
      <c r="A433" s="4" t="s">
        <v>271</v>
      </c>
      <c r="B433" s="6" t="s">
        <v>272</v>
      </c>
      <c r="C433" s="6">
        <v>2019</v>
      </c>
      <c r="D433" s="7">
        <v>122804.732</v>
      </c>
      <c r="E433" s="7">
        <v>36390.78</v>
      </c>
      <c r="F433" s="7">
        <v>0</v>
      </c>
      <c r="G433" s="7">
        <v>0</v>
      </c>
      <c r="H433" s="8">
        <f>IFERROR(F433/D433,"")</f>
        <v>0</v>
      </c>
      <c r="I433" s="8">
        <f>IFERROR(G433/E433,"")</f>
        <v>0</v>
      </c>
    </row>
    <row r="434" spans="1:9">
      <c r="A434" s="4" t="s">
        <v>271</v>
      </c>
      <c r="B434" s="6" t="s">
        <v>272</v>
      </c>
      <c r="C434" s="6">
        <v>2020</v>
      </c>
      <c r="D434" s="7">
        <v>27974.385</v>
      </c>
      <c r="E434" s="7">
        <v>23094</v>
      </c>
      <c r="F434" s="7">
        <v>0</v>
      </c>
      <c r="G434" s="7">
        <v>0</v>
      </c>
      <c r="H434" s="8">
        <f>IFERROR(F434/D434,"")</f>
        <v>0</v>
      </c>
      <c r="I434" s="8">
        <f>IFERROR(G434/E434,"")</f>
        <v>0</v>
      </c>
    </row>
    <row r="435" spans="1:9">
      <c r="A435" s="4" t="s">
        <v>271</v>
      </c>
      <c r="B435" s="6" t="s">
        <v>272</v>
      </c>
      <c r="C435" s="6">
        <v>2021</v>
      </c>
      <c r="D435" s="7">
        <v>30047.827</v>
      </c>
      <c r="E435" s="7">
        <v>17380.41</v>
      </c>
      <c r="F435" s="7">
        <v>0</v>
      </c>
      <c r="G435" s="7">
        <v>0</v>
      </c>
      <c r="H435" s="8">
        <f>IFERROR(F435/D435,"")</f>
        <v>0</v>
      </c>
      <c r="I435" s="8">
        <f>IFERROR(G435/E435,"")</f>
        <v>0</v>
      </c>
    </row>
    <row r="436" spans="1:9">
      <c r="A436" s="4" t="s">
        <v>271</v>
      </c>
      <c r="B436" s="6" t="s">
        <v>272</v>
      </c>
      <c r="C436" s="6">
        <v>2022</v>
      </c>
      <c r="D436" s="7">
        <v>2923.389</v>
      </c>
      <c r="E436" s="7">
        <v>0</v>
      </c>
      <c r="F436" s="7">
        <v>0</v>
      </c>
      <c r="G436" s="7">
        <v>0</v>
      </c>
      <c r="H436" s="8">
        <f>IFERROR(F436/D436,"")</f>
        <v>0</v>
      </c>
      <c r="I436" s="9">
        <f>"n/a"</f>
        <v>0</v>
      </c>
    </row>
    <row r="437" spans="1:9">
      <c r="A437" s="4" t="s">
        <v>271</v>
      </c>
      <c r="B437" s="6" t="s">
        <v>272</v>
      </c>
      <c r="C437" s="6">
        <v>2023</v>
      </c>
      <c r="D437" s="7">
        <v>112661.228</v>
      </c>
      <c r="E437" s="7">
        <v>64848.88</v>
      </c>
      <c r="F437" s="7">
        <v>17519.241</v>
      </c>
      <c r="G437" s="7">
        <v>10560</v>
      </c>
      <c r="H437" s="8">
        <f>IFERROR(F437/D437,"")</f>
        <v>0</v>
      </c>
      <c r="I437" s="8">
        <f>IFERROR(G437/E437,"")</f>
        <v>0</v>
      </c>
    </row>
    <row r="438" spans="1:9">
      <c r="A438" s="4" t="s">
        <v>271</v>
      </c>
      <c r="B438" s="6" t="s">
        <v>272</v>
      </c>
      <c r="C438" s="6">
        <v>2024</v>
      </c>
      <c r="D438" s="7">
        <v>8144.172</v>
      </c>
      <c r="E438" s="7">
        <v>6358.06</v>
      </c>
      <c r="F438" s="7">
        <v>0</v>
      </c>
      <c r="G438" s="7">
        <v>0</v>
      </c>
      <c r="H438" s="8">
        <f>IFERROR(F438/D438,"")</f>
        <v>0</v>
      </c>
      <c r="I438" s="8">
        <f>IFERROR(G438/E438,"")</f>
        <v>0</v>
      </c>
    </row>
    <row r="439" spans="1:9">
      <c r="A439" s="4" t="s">
        <v>271</v>
      </c>
      <c r="B439" s="6" t="s">
        <v>272</v>
      </c>
      <c r="C439" s="6">
        <v>2025</v>
      </c>
      <c r="D439" s="7">
        <v>73372.586</v>
      </c>
      <c r="E439" s="7">
        <v>100302.16</v>
      </c>
      <c r="F439" s="7">
        <v>18699.187</v>
      </c>
      <c r="G439" s="7">
        <v>26500</v>
      </c>
      <c r="H439" s="8">
        <f>IFERROR(F439/D439,"")</f>
        <v>0</v>
      </c>
      <c r="I439" s="8">
        <f>IFERROR(G439/E439,"")</f>
        <v>0</v>
      </c>
    </row>
    <row r="440" spans="1:9">
      <c r="A440" s="4" t="s">
        <v>273</v>
      </c>
      <c r="B440" s="6" t="s">
        <v>274</v>
      </c>
      <c r="C440" s="6">
        <v>2019</v>
      </c>
      <c r="D440" s="7">
        <v>1742911.91</v>
      </c>
      <c r="E440" s="7">
        <v>5636929.377</v>
      </c>
      <c r="F440" s="7">
        <v>70895.72</v>
      </c>
      <c r="G440" s="7">
        <v>207924</v>
      </c>
      <c r="H440" s="8">
        <f>IFERROR(F440/D440,"")</f>
        <v>0</v>
      </c>
      <c r="I440" s="8">
        <f>IFERROR(G440/E440,"")</f>
        <v>0</v>
      </c>
    </row>
    <row r="441" spans="1:9">
      <c r="A441" s="4" t="s">
        <v>273</v>
      </c>
      <c r="B441" s="6" t="s">
        <v>274</v>
      </c>
      <c r="C441" s="6">
        <v>2020</v>
      </c>
      <c r="D441" s="7">
        <v>2071295.34</v>
      </c>
      <c r="E441" s="7">
        <v>7017483.75</v>
      </c>
      <c r="F441" s="7">
        <v>553511.4399999999</v>
      </c>
      <c r="G441" s="7">
        <v>2047560</v>
      </c>
      <c r="H441" s="8">
        <f>IFERROR(F441/D441,"")</f>
        <v>0</v>
      </c>
      <c r="I441" s="8">
        <f>IFERROR(G441/E441,"")</f>
        <v>0</v>
      </c>
    </row>
    <row r="442" spans="1:9">
      <c r="A442" s="4" t="s">
        <v>273</v>
      </c>
      <c r="B442" s="6" t="s">
        <v>274</v>
      </c>
      <c r="C442" s="6">
        <v>2021</v>
      </c>
      <c r="D442" s="7">
        <v>1884948.85</v>
      </c>
      <c r="E442" s="7">
        <v>6095500.3</v>
      </c>
      <c r="F442" s="7">
        <v>373659.46</v>
      </c>
      <c r="G442" s="7">
        <v>1276470</v>
      </c>
      <c r="H442" s="8">
        <f>IFERROR(F442/D442,"")</f>
        <v>0</v>
      </c>
      <c r="I442" s="8">
        <f>IFERROR(G442/E442,"")</f>
        <v>0</v>
      </c>
    </row>
    <row r="443" spans="1:9">
      <c r="A443" s="4" t="s">
        <v>273</v>
      </c>
      <c r="B443" s="6" t="s">
        <v>274</v>
      </c>
      <c r="C443" s="6">
        <v>2022</v>
      </c>
      <c r="D443" s="7">
        <v>2507712.1</v>
      </c>
      <c r="E443" s="7">
        <v>4282982.74</v>
      </c>
      <c r="F443" s="7">
        <v>1464012.66</v>
      </c>
      <c r="G443" s="7">
        <v>2211250</v>
      </c>
      <c r="H443" s="8">
        <f>IFERROR(F443/D443,"")</f>
        <v>0</v>
      </c>
      <c r="I443" s="8">
        <f>IFERROR(G443/E443,"")</f>
        <v>0</v>
      </c>
    </row>
    <row r="444" spans="1:9">
      <c r="A444" s="4" t="s">
        <v>273</v>
      </c>
      <c r="B444" s="6" t="s">
        <v>274</v>
      </c>
      <c r="C444" s="6">
        <v>2023</v>
      </c>
      <c r="D444" s="7">
        <v>2378356.25</v>
      </c>
      <c r="E444" s="7">
        <v>0</v>
      </c>
      <c r="F444" s="7">
        <v>2177494.36</v>
      </c>
      <c r="G444" s="7">
        <v>2923750</v>
      </c>
      <c r="H444" s="8">
        <f>IFERROR(F444/D444,"")</f>
        <v>0</v>
      </c>
      <c r="I444" s="9">
        <f>"n/a"</f>
        <v>0</v>
      </c>
    </row>
    <row r="445" spans="1:9">
      <c r="A445" s="4" t="s">
        <v>273</v>
      </c>
      <c r="B445" s="6" t="s">
        <v>274</v>
      </c>
      <c r="C445" s="6">
        <v>2024</v>
      </c>
      <c r="D445" s="7">
        <v>1807524.72</v>
      </c>
      <c r="E445" s="7">
        <v>3383581</v>
      </c>
      <c r="F445" s="7">
        <v>1342534.03</v>
      </c>
      <c r="G445" s="7">
        <v>2284500</v>
      </c>
      <c r="H445" s="8">
        <f>IFERROR(F445/D445,"")</f>
        <v>0</v>
      </c>
      <c r="I445" s="8">
        <f>IFERROR(G445/E445,"")</f>
        <v>0</v>
      </c>
    </row>
    <row r="446" spans="1:9">
      <c r="A446" s="4" t="s">
        <v>275</v>
      </c>
      <c r="B446" s="6" t="s">
        <v>276</v>
      </c>
      <c r="C446" s="6">
        <v>2019</v>
      </c>
      <c r="D446" s="7">
        <v>15586669</v>
      </c>
      <c r="E446" s="7">
        <v>0</v>
      </c>
      <c r="F446" s="7">
        <v>0</v>
      </c>
      <c r="G446" s="7">
        <v>0</v>
      </c>
      <c r="H446" s="8">
        <f>IFERROR(F446/D446,"")</f>
        <v>0</v>
      </c>
      <c r="I446" s="9">
        <f>"n/a"</f>
        <v>0</v>
      </c>
    </row>
    <row r="447" spans="1:9">
      <c r="A447" s="4" t="s">
        <v>275</v>
      </c>
      <c r="B447" s="6" t="s">
        <v>276</v>
      </c>
      <c r="C447" s="6">
        <v>2020</v>
      </c>
      <c r="D447" s="7">
        <v>13729427</v>
      </c>
      <c r="E447" s="7">
        <v>0</v>
      </c>
      <c r="F447" s="7">
        <v>0</v>
      </c>
      <c r="G447" s="7">
        <v>0</v>
      </c>
      <c r="H447" s="8">
        <f>IFERROR(F447/D447,"")</f>
        <v>0</v>
      </c>
      <c r="I447" s="9">
        <f>"n/a"</f>
        <v>0</v>
      </c>
    </row>
    <row r="448" spans="1:9">
      <c r="A448" s="4" t="s">
        <v>275</v>
      </c>
      <c r="B448" s="6" t="s">
        <v>276</v>
      </c>
      <c r="C448" s="6">
        <v>2021</v>
      </c>
      <c r="D448" s="7">
        <v>13378656</v>
      </c>
      <c r="E448" s="7">
        <v>0</v>
      </c>
      <c r="F448" s="7">
        <v>0</v>
      </c>
      <c r="G448" s="7">
        <v>0</v>
      </c>
      <c r="H448" s="8">
        <f>IFERROR(F448/D448,"")</f>
        <v>0</v>
      </c>
      <c r="I448" s="9">
        <f>"n/a"</f>
        <v>0</v>
      </c>
    </row>
    <row r="449" spans="1:9">
      <c r="A449" s="4" t="s">
        <v>275</v>
      </c>
      <c r="B449" s="6" t="s">
        <v>276</v>
      </c>
      <c r="C449" s="6">
        <v>2022</v>
      </c>
      <c r="D449" s="7">
        <v>16225854</v>
      </c>
      <c r="E449" s="7">
        <v>47588404.169</v>
      </c>
      <c r="F449" s="7">
        <v>0</v>
      </c>
      <c r="G449" s="7">
        <v>0</v>
      </c>
      <c r="H449" s="8">
        <f>IFERROR(F449/D449,"")</f>
        <v>0</v>
      </c>
      <c r="I449" s="8">
        <f>IFERROR(G449/E449,"")</f>
        <v>0</v>
      </c>
    </row>
    <row r="450" spans="1:9">
      <c r="A450" s="4" t="s">
        <v>275</v>
      </c>
      <c r="B450" s="6" t="s">
        <v>276</v>
      </c>
      <c r="C450" s="6">
        <v>2023</v>
      </c>
      <c r="D450" s="7">
        <v>12409583.103</v>
      </c>
      <c r="E450" s="7">
        <v>0</v>
      </c>
      <c r="F450" s="7">
        <v>0</v>
      </c>
      <c r="G450" s="7">
        <v>0</v>
      </c>
      <c r="H450" s="8">
        <f>IFERROR(F450/D450,"")</f>
        <v>0</v>
      </c>
      <c r="I450" s="9">
        <f>"n/a"</f>
        <v>0</v>
      </c>
    </row>
    <row r="451" spans="1:9">
      <c r="A451" s="4" t="s">
        <v>275</v>
      </c>
      <c r="B451" s="6" t="s">
        <v>276</v>
      </c>
      <c r="C451" s="6">
        <v>2024</v>
      </c>
      <c r="D451" s="7">
        <v>6684882.502</v>
      </c>
      <c r="E451" s="7">
        <v>15344305.7</v>
      </c>
      <c r="F451" s="7">
        <v>77.199</v>
      </c>
      <c r="G451" s="7">
        <v>4</v>
      </c>
      <c r="H451" s="8">
        <f>IFERROR(F451/D451,"")</f>
        <v>0</v>
      </c>
      <c r="I451" s="8">
        <f>IFERROR(G451/E451,"")</f>
        <v>0</v>
      </c>
    </row>
    <row r="452" spans="1:9">
      <c r="A452" s="4" t="s">
        <v>275</v>
      </c>
      <c r="B452" s="6" t="s">
        <v>276</v>
      </c>
      <c r="C452" s="6">
        <v>2025</v>
      </c>
      <c r="D452" s="7">
        <v>8777188.471000001</v>
      </c>
      <c r="E452" s="7">
        <v>21326288.106</v>
      </c>
      <c r="F452" s="7">
        <v>38.631</v>
      </c>
      <c r="G452" s="7">
        <v>2</v>
      </c>
      <c r="H452" s="8">
        <f>IFERROR(F452/D452,"")</f>
        <v>0</v>
      </c>
      <c r="I452" s="8">
        <f>IFERROR(G452/E452,"")</f>
        <v>0</v>
      </c>
    </row>
    <row r="453" spans="1:9">
      <c r="A453" s="4" t="s">
        <v>277</v>
      </c>
      <c r="B453" s="6" t="s">
        <v>278</v>
      </c>
      <c r="C453" s="6">
        <v>2019</v>
      </c>
      <c r="D453" s="7">
        <v>295933.893</v>
      </c>
      <c r="E453" s="7">
        <v>521575.368</v>
      </c>
      <c r="F453" s="7">
        <v>0</v>
      </c>
      <c r="G453" s="7">
        <v>0</v>
      </c>
      <c r="H453" s="8">
        <f>IFERROR(F453/D453,"")</f>
        <v>0</v>
      </c>
      <c r="I453" s="8">
        <f>IFERROR(G453/E453,"")</f>
        <v>0</v>
      </c>
    </row>
    <row r="454" spans="1:9">
      <c r="A454" s="4" t="s">
        <v>277</v>
      </c>
      <c r="B454" s="6" t="s">
        <v>278</v>
      </c>
      <c r="C454" s="6">
        <v>2020</v>
      </c>
      <c r="D454" s="7">
        <v>412179.024</v>
      </c>
      <c r="E454" s="7">
        <v>683904</v>
      </c>
      <c r="F454" s="7">
        <v>0</v>
      </c>
      <c r="G454" s="7">
        <v>0</v>
      </c>
      <c r="H454" s="8">
        <f>IFERROR(F454/D454,"")</f>
        <v>0</v>
      </c>
      <c r="I454" s="8">
        <f>IFERROR(G454/E454,"")</f>
        <v>0</v>
      </c>
    </row>
    <row r="455" spans="1:9">
      <c r="A455" s="4" t="s">
        <v>277</v>
      </c>
      <c r="B455" s="6" t="s">
        <v>278</v>
      </c>
      <c r="C455" s="6">
        <v>2021</v>
      </c>
      <c r="D455" s="7">
        <v>672617.894</v>
      </c>
      <c r="E455" s="7">
        <v>2732042.827</v>
      </c>
      <c r="F455" s="7">
        <v>0</v>
      </c>
      <c r="G455" s="7">
        <v>0</v>
      </c>
      <c r="H455" s="8">
        <f>IFERROR(F455/D455,"")</f>
        <v>0</v>
      </c>
      <c r="I455" s="8">
        <f>IFERROR(G455/E455,"")</f>
        <v>0</v>
      </c>
    </row>
    <row r="456" spans="1:9">
      <c r="A456" s="4" t="s">
        <v>277</v>
      </c>
      <c r="B456" s="6" t="s">
        <v>278</v>
      </c>
      <c r="C456" s="6">
        <v>2022</v>
      </c>
      <c r="D456" s="7">
        <v>599077.116</v>
      </c>
      <c r="E456" s="7">
        <v>790451</v>
      </c>
      <c r="F456" s="7">
        <v>0</v>
      </c>
      <c r="G456" s="7">
        <v>0</v>
      </c>
      <c r="H456" s="8">
        <f>IFERROR(F456/D456,"")</f>
        <v>0</v>
      </c>
      <c r="I456" s="8">
        <f>IFERROR(G456/E456,"")</f>
        <v>0</v>
      </c>
    </row>
    <row r="457" spans="1:9">
      <c r="A457" s="4" t="s">
        <v>277</v>
      </c>
      <c r="B457" s="6" t="s">
        <v>278</v>
      </c>
      <c r="C457" s="6">
        <v>2023</v>
      </c>
      <c r="D457" s="7">
        <v>549784.406</v>
      </c>
      <c r="E457" s="7">
        <v>621260</v>
      </c>
      <c r="F457" s="7">
        <v>0</v>
      </c>
      <c r="G457" s="7">
        <v>0</v>
      </c>
      <c r="H457" s="8">
        <f>IFERROR(F457/D457,"")</f>
        <v>0</v>
      </c>
      <c r="I457" s="8">
        <f>IFERROR(G457/E457,"")</f>
        <v>0</v>
      </c>
    </row>
    <row r="458" spans="1:9">
      <c r="A458" s="4" t="s">
        <v>277</v>
      </c>
      <c r="B458" s="6" t="s">
        <v>278</v>
      </c>
      <c r="C458" s="6">
        <v>2024</v>
      </c>
      <c r="D458" s="7">
        <v>532740.309</v>
      </c>
      <c r="E458" s="7">
        <v>640395.366</v>
      </c>
      <c r="F458" s="7">
        <v>0</v>
      </c>
      <c r="G458" s="7">
        <v>0</v>
      </c>
      <c r="H458" s="8">
        <f>IFERROR(F458/D458,"")</f>
        <v>0</v>
      </c>
      <c r="I458" s="8">
        <f>IFERROR(G458/E458,"")</f>
        <v>0</v>
      </c>
    </row>
    <row r="459" spans="1:9">
      <c r="A459" s="4" t="s">
        <v>277</v>
      </c>
      <c r="B459" s="6" t="s">
        <v>278</v>
      </c>
      <c r="C459" s="6">
        <v>2025</v>
      </c>
      <c r="D459" s="7">
        <v>713017.569</v>
      </c>
      <c r="E459" s="7">
        <v>787569.763</v>
      </c>
      <c r="F459" s="7">
        <v>0</v>
      </c>
      <c r="G459" s="7">
        <v>0</v>
      </c>
      <c r="H459" s="8">
        <f>IFERROR(F459/D459,"")</f>
        <v>0</v>
      </c>
      <c r="I459" s="8">
        <f>IFERROR(G459/E459,"")</f>
        <v>0</v>
      </c>
    </row>
    <row r="460" spans="1:9">
      <c r="A460" s="4" t="s">
        <v>73</v>
      </c>
      <c r="B460" s="6" t="s">
        <v>74</v>
      </c>
      <c r="C460" s="6">
        <v>2019</v>
      </c>
      <c r="D460" s="7">
        <v>227863917.04</v>
      </c>
      <c r="E460" s="7">
        <v>886553981.814</v>
      </c>
      <c r="F460" s="7">
        <v>9963021.954</v>
      </c>
      <c r="G460" s="7">
        <v>31572562</v>
      </c>
      <c r="H460" s="8">
        <f>IFERROR(F460/D460,"")</f>
        <v>0</v>
      </c>
      <c r="I460" s="8">
        <f>IFERROR(G460/E460,"")</f>
        <v>0</v>
      </c>
    </row>
    <row r="461" spans="1:9">
      <c r="A461" s="4" t="s">
        <v>73</v>
      </c>
      <c r="B461" s="6" t="s">
        <v>74</v>
      </c>
      <c r="C461" s="6">
        <v>2020</v>
      </c>
      <c r="D461" s="7">
        <v>152854481.986</v>
      </c>
      <c r="E461" s="7">
        <v>690396517.936</v>
      </c>
      <c r="F461" s="7">
        <v>4648399.385</v>
      </c>
      <c r="G461" s="7">
        <v>16367302</v>
      </c>
      <c r="H461" s="8">
        <f>IFERROR(F461/D461,"")</f>
        <v>0</v>
      </c>
      <c r="I461" s="8">
        <f>IFERROR(G461/E461,"")</f>
        <v>0</v>
      </c>
    </row>
    <row r="462" spans="1:9">
      <c r="A462" s="4" t="s">
        <v>73</v>
      </c>
      <c r="B462" s="6" t="s">
        <v>74</v>
      </c>
      <c r="C462" s="6">
        <v>2021</v>
      </c>
      <c r="D462" s="7">
        <v>134362226.066</v>
      </c>
      <c r="E462" s="7">
        <v>0</v>
      </c>
      <c r="F462" s="7">
        <v>2567711.92</v>
      </c>
      <c r="G462" s="7">
        <v>3124300</v>
      </c>
      <c r="H462" s="8">
        <f>IFERROR(F462/D462,"")</f>
        <v>0</v>
      </c>
      <c r="I462" s="9">
        <f>"n/a"</f>
        <v>0</v>
      </c>
    </row>
    <row r="463" spans="1:9">
      <c r="A463" s="4" t="s">
        <v>73</v>
      </c>
      <c r="B463" s="6" t="s">
        <v>74</v>
      </c>
      <c r="C463" s="6">
        <v>2022</v>
      </c>
      <c r="D463" s="7">
        <v>206069806.801</v>
      </c>
      <c r="E463" s="7">
        <v>532761987.784</v>
      </c>
      <c r="F463" s="7">
        <v>33433055.043</v>
      </c>
      <c r="G463" s="7">
        <v>62435295</v>
      </c>
      <c r="H463" s="8">
        <f>IFERROR(F463/D463,"")</f>
        <v>0</v>
      </c>
      <c r="I463" s="8">
        <f>IFERROR(G463/E463,"")</f>
        <v>0</v>
      </c>
    </row>
    <row r="464" spans="1:9">
      <c r="A464" s="4" t="s">
        <v>73</v>
      </c>
      <c r="B464" s="6" t="s">
        <v>74</v>
      </c>
      <c r="C464" s="6">
        <v>2023</v>
      </c>
      <c r="D464" s="7">
        <v>316010808.646</v>
      </c>
      <c r="E464" s="7">
        <v>0</v>
      </c>
      <c r="F464" s="7">
        <v>33279015.994</v>
      </c>
      <c r="G464" s="7">
        <v>0</v>
      </c>
      <c r="H464" s="8">
        <f>IFERROR(F464/D464,"")</f>
        <v>0</v>
      </c>
      <c r="I464" s="9">
        <f>"n/a"</f>
        <v>0</v>
      </c>
    </row>
    <row r="465" spans="1:9">
      <c r="A465" s="4" t="s">
        <v>73</v>
      </c>
      <c r="B465" s="6" t="s">
        <v>74</v>
      </c>
      <c r="C465" s="6">
        <v>2024</v>
      </c>
      <c r="D465" s="7">
        <v>210830038.426</v>
      </c>
      <c r="E465" s="7">
        <v>0</v>
      </c>
      <c r="F465" s="7">
        <v>5012674.394</v>
      </c>
      <c r="G465" s="7">
        <v>0</v>
      </c>
      <c r="H465" s="8">
        <f>IFERROR(F465/D465,"")</f>
        <v>0</v>
      </c>
      <c r="I465" s="9">
        <f>"n/a"</f>
        <v>0</v>
      </c>
    </row>
    <row r="466" spans="1:9">
      <c r="A466" s="4" t="s">
        <v>73</v>
      </c>
      <c r="B466" s="6" t="s">
        <v>74</v>
      </c>
      <c r="C466" s="6">
        <v>2025</v>
      </c>
      <c r="D466" s="7">
        <v>249078195.647</v>
      </c>
      <c r="E466" s="7">
        <v>0</v>
      </c>
      <c r="F466" s="7">
        <v>13765643.687</v>
      </c>
      <c r="G466" s="7">
        <v>50755993</v>
      </c>
      <c r="H466" s="8">
        <f>IFERROR(F466/D466,"")</f>
        <v>0</v>
      </c>
      <c r="I466" s="9">
        <f>"n/a"</f>
        <v>0</v>
      </c>
    </row>
    <row r="467" spans="1:9">
      <c r="A467" s="4" t="s">
        <v>76</v>
      </c>
      <c r="B467" s="6" t="s">
        <v>77</v>
      </c>
      <c r="C467" s="6">
        <v>2019</v>
      </c>
      <c r="D467" s="7">
        <v>251935406</v>
      </c>
      <c r="E467" s="7">
        <v>0</v>
      </c>
      <c r="F467" s="7">
        <v>37269422</v>
      </c>
      <c r="G467" s="7">
        <v>131379662</v>
      </c>
      <c r="H467" s="8">
        <f>IFERROR(F467/D467,"")</f>
        <v>0</v>
      </c>
      <c r="I467" s="9">
        <f>"n/a"</f>
        <v>0</v>
      </c>
    </row>
    <row r="468" spans="1:9">
      <c r="A468" s="4" t="s">
        <v>76</v>
      </c>
      <c r="B468" s="6" t="s">
        <v>77</v>
      </c>
      <c r="C468" s="6">
        <v>2020</v>
      </c>
      <c r="D468" s="7">
        <v>182257189</v>
      </c>
      <c r="E468" s="7">
        <v>0</v>
      </c>
      <c r="F468" s="7">
        <v>36895703</v>
      </c>
      <c r="G468" s="7">
        <v>167505394</v>
      </c>
      <c r="H468" s="8">
        <f>IFERROR(F468/D468,"")</f>
        <v>0</v>
      </c>
      <c r="I468" s="9">
        <f>"n/a"</f>
        <v>0</v>
      </c>
    </row>
    <row r="469" spans="1:9">
      <c r="A469" s="4" t="s">
        <v>76</v>
      </c>
      <c r="B469" s="6" t="s">
        <v>77</v>
      </c>
      <c r="C469" s="6">
        <v>2021</v>
      </c>
      <c r="D469" s="7">
        <v>188396580</v>
      </c>
      <c r="E469" s="7">
        <v>821476361.931</v>
      </c>
      <c r="F469" s="7">
        <v>35851187</v>
      </c>
      <c r="G469" s="7">
        <v>118281245</v>
      </c>
      <c r="H469" s="8">
        <f>IFERROR(F469/D469,"")</f>
        <v>0</v>
      </c>
      <c r="I469" s="8">
        <f>IFERROR(G469/E469,"")</f>
        <v>0</v>
      </c>
    </row>
    <row r="470" spans="1:9">
      <c r="A470" s="4" t="s">
        <v>76</v>
      </c>
      <c r="B470" s="6" t="s">
        <v>77</v>
      </c>
      <c r="C470" s="6">
        <v>2022</v>
      </c>
      <c r="D470" s="7">
        <v>343972948</v>
      </c>
      <c r="E470" s="7">
        <v>916828889</v>
      </c>
      <c r="F470" s="7">
        <v>74559356</v>
      </c>
      <c r="G470" s="7">
        <v>168908384</v>
      </c>
      <c r="H470" s="8">
        <f>IFERROR(F470/D470,"")</f>
        <v>0</v>
      </c>
      <c r="I470" s="8">
        <f>IFERROR(G470/E470,"")</f>
        <v>0</v>
      </c>
    </row>
    <row r="471" spans="1:9">
      <c r="A471" s="4" t="s">
        <v>76</v>
      </c>
      <c r="B471" s="6" t="s">
        <v>77</v>
      </c>
      <c r="C471" s="6">
        <v>2023</v>
      </c>
      <c r="D471" s="7">
        <v>281036031</v>
      </c>
      <c r="E471" s="7">
        <v>0</v>
      </c>
      <c r="F471" s="7">
        <v>53305441</v>
      </c>
      <c r="G471" s="7">
        <v>144942872</v>
      </c>
      <c r="H471" s="8">
        <f>IFERROR(F471/D471,"")</f>
        <v>0</v>
      </c>
      <c r="I471" s="9">
        <f>"n/a"</f>
        <v>0</v>
      </c>
    </row>
    <row r="472" spans="1:9">
      <c r="A472" s="4" t="s">
        <v>76</v>
      </c>
      <c r="B472" s="6" t="s">
        <v>77</v>
      </c>
      <c r="C472" s="6">
        <v>2024</v>
      </c>
      <c r="D472" s="7">
        <v>216143181</v>
      </c>
      <c r="E472" s="7">
        <v>844114592</v>
      </c>
      <c r="F472" s="7">
        <v>29847233</v>
      </c>
      <c r="G472" s="7">
        <v>105109001</v>
      </c>
      <c r="H472" s="8">
        <f>IFERROR(F472/D472,"")</f>
        <v>0</v>
      </c>
      <c r="I472" s="8">
        <f>IFERROR(G472/E472,"")</f>
        <v>0</v>
      </c>
    </row>
    <row r="473" spans="1:9">
      <c r="A473" s="4" t="s">
        <v>76</v>
      </c>
      <c r="B473" s="6" t="s">
        <v>77</v>
      </c>
      <c r="C473" s="6">
        <v>2025</v>
      </c>
      <c r="D473" s="7">
        <v>225569362.788</v>
      </c>
      <c r="E473" s="7">
        <v>0</v>
      </c>
      <c r="F473" s="7">
        <v>60914156.642</v>
      </c>
      <c r="G473" s="7">
        <v>287009039.2</v>
      </c>
      <c r="H473" s="8">
        <f>IFERROR(F473/D473,"")</f>
        <v>0</v>
      </c>
      <c r="I473" s="9">
        <f>"n/a"</f>
        <v>0</v>
      </c>
    </row>
    <row r="474" spans="1:9">
      <c r="A474" s="4" t="s">
        <v>279</v>
      </c>
      <c r="B474" s="6" t="s">
        <v>280</v>
      </c>
      <c r="C474" s="6">
        <v>2019</v>
      </c>
      <c r="D474" s="7">
        <v>1462203</v>
      </c>
      <c r="E474" s="7">
        <v>4308640</v>
      </c>
      <c r="F474" s="7">
        <v>63458</v>
      </c>
      <c r="G474" s="7">
        <v>230000</v>
      </c>
      <c r="H474" s="8">
        <f>IFERROR(F474/D474,"")</f>
        <v>0</v>
      </c>
      <c r="I474" s="8">
        <f>IFERROR(G474/E474,"")</f>
        <v>0</v>
      </c>
    </row>
    <row r="475" spans="1:9">
      <c r="A475" s="4" t="s">
        <v>279</v>
      </c>
      <c r="B475" s="6" t="s">
        <v>280</v>
      </c>
      <c r="C475" s="6">
        <v>2020</v>
      </c>
      <c r="D475" s="7">
        <v>83991</v>
      </c>
      <c r="E475" s="7">
        <v>271280</v>
      </c>
      <c r="F475" s="7">
        <v>83116</v>
      </c>
      <c r="G475" s="7">
        <v>271200</v>
      </c>
      <c r="H475" s="8">
        <f>IFERROR(F475/D475,"")</f>
        <v>0</v>
      </c>
      <c r="I475" s="8">
        <f>IFERROR(G475/E475,"")</f>
        <v>0</v>
      </c>
    </row>
    <row r="476" spans="1:9">
      <c r="A476" s="4" t="s">
        <v>279</v>
      </c>
      <c r="B476" s="6" t="s">
        <v>280</v>
      </c>
      <c r="C476" s="6">
        <v>2021</v>
      </c>
      <c r="D476" s="7">
        <v>502756</v>
      </c>
      <c r="E476" s="7">
        <v>430087</v>
      </c>
      <c r="F476" s="7">
        <v>106565</v>
      </c>
      <c r="G476" s="7">
        <v>366500</v>
      </c>
      <c r="H476" s="8">
        <f>IFERROR(F476/D476,"")</f>
        <v>0</v>
      </c>
      <c r="I476" s="8">
        <f>IFERROR(G476/E476,"")</f>
        <v>0</v>
      </c>
    </row>
    <row r="477" spans="1:9">
      <c r="A477" s="4" t="s">
        <v>279</v>
      </c>
      <c r="B477" s="6" t="s">
        <v>280</v>
      </c>
      <c r="C477" s="6">
        <v>2022</v>
      </c>
      <c r="D477" s="7">
        <v>255048</v>
      </c>
      <c r="E477" s="7">
        <v>178259</v>
      </c>
      <c r="F477" s="7">
        <v>30222</v>
      </c>
      <c r="G477" s="7">
        <v>108000</v>
      </c>
      <c r="H477" s="8">
        <f>IFERROR(F477/D477,"")</f>
        <v>0</v>
      </c>
      <c r="I477" s="8">
        <f>IFERROR(G477/E477,"")</f>
        <v>0</v>
      </c>
    </row>
    <row r="478" spans="1:9">
      <c r="A478" s="4" t="s">
        <v>279</v>
      </c>
      <c r="B478" s="6" t="s">
        <v>280</v>
      </c>
      <c r="C478" s="6">
        <v>2023</v>
      </c>
      <c r="D478" s="7">
        <v>37798</v>
      </c>
      <c r="E478" s="7">
        <v>24022</v>
      </c>
      <c r="F478" s="7">
        <v>0</v>
      </c>
      <c r="G478" s="7">
        <v>0</v>
      </c>
      <c r="H478" s="8">
        <f>IFERROR(F478/D478,"")</f>
        <v>0</v>
      </c>
      <c r="I478" s="8">
        <f>IFERROR(G478/E478,"")</f>
        <v>0</v>
      </c>
    </row>
    <row r="479" spans="1:9">
      <c r="A479" s="4" t="s">
        <v>281</v>
      </c>
      <c r="B479" s="6" t="s">
        <v>282</v>
      </c>
      <c r="C479" s="6">
        <v>2019</v>
      </c>
      <c r="D479" s="7">
        <v>2792411.723</v>
      </c>
      <c r="E479" s="7">
        <v>5814574</v>
      </c>
      <c r="F479" s="7">
        <v>67.16800000000001</v>
      </c>
      <c r="G479" s="7">
        <v>31</v>
      </c>
      <c r="H479" s="8">
        <f>IFERROR(F479/D479,"")</f>
        <v>0</v>
      </c>
      <c r="I479" s="8">
        <f>IFERROR(G479/E479,"")</f>
        <v>0</v>
      </c>
    </row>
    <row r="480" spans="1:9">
      <c r="A480" s="4" t="s">
        <v>281</v>
      </c>
      <c r="B480" s="6" t="s">
        <v>282</v>
      </c>
      <c r="C480" s="6">
        <v>2020</v>
      </c>
      <c r="D480" s="7">
        <v>3297525.563</v>
      </c>
      <c r="E480" s="7">
        <v>5889231</v>
      </c>
      <c r="F480" s="7">
        <v>131.353</v>
      </c>
      <c r="G480" s="7">
        <v>10</v>
      </c>
      <c r="H480" s="8">
        <f>IFERROR(F480/D480,"")</f>
        <v>0</v>
      </c>
      <c r="I480" s="8">
        <f>IFERROR(G480/E480,"")</f>
        <v>0</v>
      </c>
    </row>
    <row r="481" spans="1:9">
      <c r="A481" s="4" t="s">
        <v>281</v>
      </c>
      <c r="B481" s="6" t="s">
        <v>282</v>
      </c>
      <c r="C481" s="6">
        <v>2021</v>
      </c>
      <c r="D481" s="7">
        <v>4749156.517</v>
      </c>
      <c r="E481" s="7">
        <v>8217668</v>
      </c>
      <c r="F481" s="7">
        <v>9502.136</v>
      </c>
      <c r="G481" s="7">
        <v>949</v>
      </c>
      <c r="H481" s="8">
        <f>IFERROR(F481/D481,"")</f>
        <v>0</v>
      </c>
      <c r="I481" s="8">
        <f>IFERROR(G481/E481,"")</f>
        <v>0</v>
      </c>
    </row>
    <row r="482" spans="1:9">
      <c r="A482" s="4" t="s">
        <v>281</v>
      </c>
      <c r="B482" s="6" t="s">
        <v>282</v>
      </c>
      <c r="C482" s="6">
        <v>2022</v>
      </c>
      <c r="D482" s="7">
        <v>5775448.37</v>
      </c>
      <c r="E482" s="7">
        <v>7867592</v>
      </c>
      <c r="F482" s="7">
        <v>3263.398</v>
      </c>
      <c r="G482" s="7">
        <v>351</v>
      </c>
      <c r="H482" s="8">
        <f>IFERROR(F482/D482,"")</f>
        <v>0</v>
      </c>
      <c r="I482" s="8">
        <f>IFERROR(G482/E482,"")</f>
        <v>0</v>
      </c>
    </row>
    <row r="483" spans="1:9">
      <c r="A483" s="4" t="s">
        <v>281</v>
      </c>
      <c r="B483" s="6" t="s">
        <v>282</v>
      </c>
      <c r="C483" s="6">
        <v>2023</v>
      </c>
      <c r="D483" s="7">
        <v>4788888.98</v>
      </c>
      <c r="E483" s="7">
        <v>5715703</v>
      </c>
      <c r="F483" s="7">
        <v>3224.343</v>
      </c>
      <c r="G483" s="7">
        <v>346</v>
      </c>
      <c r="H483" s="8">
        <f>IFERROR(F483/D483,"")</f>
        <v>0</v>
      </c>
      <c r="I483" s="8">
        <f>IFERROR(G483/E483,"")</f>
        <v>0</v>
      </c>
    </row>
    <row r="484" spans="1:9">
      <c r="A484" s="4" t="s">
        <v>281</v>
      </c>
      <c r="B484" s="6" t="s">
        <v>282</v>
      </c>
      <c r="C484" s="6">
        <v>2024</v>
      </c>
      <c r="D484" s="7">
        <v>8552710.624</v>
      </c>
      <c r="E484" s="7">
        <v>0</v>
      </c>
      <c r="F484" s="7">
        <v>819.362</v>
      </c>
      <c r="G484" s="7">
        <v>86</v>
      </c>
      <c r="H484" s="8">
        <f>IFERROR(F484/D484,"")</f>
        <v>0</v>
      </c>
      <c r="I484" s="9">
        <f>"n/a"</f>
        <v>0</v>
      </c>
    </row>
    <row r="485" spans="1:9">
      <c r="A485" s="4" t="s">
        <v>281</v>
      </c>
      <c r="B485" s="6" t="s">
        <v>282</v>
      </c>
      <c r="C485" s="6">
        <v>2025</v>
      </c>
      <c r="D485" s="7">
        <v>10257540.457</v>
      </c>
      <c r="E485" s="7">
        <v>0</v>
      </c>
      <c r="F485" s="7">
        <v>510.454</v>
      </c>
      <c r="G485" s="7">
        <v>140</v>
      </c>
      <c r="H485" s="8">
        <f>IFERROR(F485/D485,"")</f>
        <v>0</v>
      </c>
      <c r="I485" s="9">
        <f>"n/a"</f>
        <v>0</v>
      </c>
    </row>
    <row r="486" spans="1:9">
      <c r="A486" s="4" t="s">
        <v>283</v>
      </c>
      <c r="B486" s="6" t="s">
        <v>284</v>
      </c>
      <c r="C486" s="6">
        <v>2019</v>
      </c>
      <c r="D486" s="7">
        <v>14091000</v>
      </c>
      <c r="E486" s="7">
        <v>57933098.989</v>
      </c>
      <c r="F486" s="7">
        <v>34000</v>
      </c>
      <c r="G486" s="7">
        <v>139786.06</v>
      </c>
      <c r="H486" s="8">
        <f>IFERROR(F486/D486,"")</f>
        <v>0</v>
      </c>
      <c r="I486" s="8">
        <f>IFERROR(G486/E486,"")</f>
        <v>0</v>
      </c>
    </row>
    <row r="487" spans="1:9">
      <c r="A487" s="4" t="s">
        <v>283</v>
      </c>
      <c r="B487" s="6" t="s">
        <v>284</v>
      </c>
      <c r="C487" s="6">
        <v>2020</v>
      </c>
      <c r="D487" s="7">
        <v>9341000</v>
      </c>
      <c r="E487" s="7">
        <v>37396477.713</v>
      </c>
      <c r="F487" s="7">
        <v>66000</v>
      </c>
      <c r="G487" s="7">
        <v>264229.475</v>
      </c>
      <c r="H487" s="8">
        <f>IFERROR(F487/D487,"")</f>
        <v>0</v>
      </c>
      <c r="I487" s="8">
        <f>IFERROR(G487/E487,"")</f>
        <v>0</v>
      </c>
    </row>
    <row r="488" spans="1:9">
      <c r="A488" s="4" t="s">
        <v>283</v>
      </c>
      <c r="B488" s="6" t="s">
        <v>284</v>
      </c>
      <c r="C488" s="6">
        <v>2021</v>
      </c>
      <c r="D488" s="7">
        <v>7612000</v>
      </c>
      <c r="E488" s="7">
        <v>30840292.295</v>
      </c>
      <c r="F488" s="7">
        <v>0</v>
      </c>
      <c r="G488" s="7">
        <v>0</v>
      </c>
      <c r="H488" s="8">
        <f>IFERROR(F488/D488,"")</f>
        <v>0</v>
      </c>
      <c r="I488" s="8">
        <f>IFERROR(G488/E488,"")</f>
        <v>0</v>
      </c>
    </row>
    <row r="489" spans="1:9">
      <c r="A489" s="4" t="s">
        <v>283</v>
      </c>
      <c r="B489" s="6" t="s">
        <v>284</v>
      </c>
      <c r="C489" s="6">
        <v>2022</v>
      </c>
      <c r="D489" s="7">
        <v>13239000</v>
      </c>
      <c r="E489" s="7">
        <v>32531816.413</v>
      </c>
      <c r="F489" s="7">
        <v>227000</v>
      </c>
      <c r="G489" s="7">
        <v>557800.6139999999</v>
      </c>
      <c r="H489" s="8">
        <f>IFERROR(F489/D489,"")</f>
        <v>0</v>
      </c>
      <c r="I489" s="8">
        <f>IFERROR(G489/E489,"")</f>
        <v>0</v>
      </c>
    </row>
    <row r="490" spans="1:9">
      <c r="A490" s="4" t="s">
        <v>283</v>
      </c>
      <c r="B490" s="6" t="s">
        <v>284</v>
      </c>
      <c r="C490" s="6">
        <v>2023</v>
      </c>
      <c r="D490" s="7">
        <v>10639000</v>
      </c>
      <c r="E490" s="7">
        <v>24725555.765</v>
      </c>
      <c r="F490" s="7">
        <v>11000</v>
      </c>
      <c r="G490" s="7">
        <v>25564.537</v>
      </c>
      <c r="H490" s="8">
        <f>IFERROR(F490/D490,"")</f>
        <v>0</v>
      </c>
      <c r="I490" s="8">
        <f>IFERROR(G490/E490,"")</f>
        <v>0</v>
      </c>
    </row>
    <row r="491" spans="1:9">
      <c r="A491" s="4" t="s">
        <v>283</v>
      </c>
      <c r="B491" s="6" t="s">
        <v>284</v>
      </c>
      <c r="C491" s="6">
        <v>2024</v>
      </c>
      <c r="D491" s="7">
        <v>6897000</v>
      </c>
      <c r="E491" s="7">
        <v>20282426.484</v>
      </c>
      <c r="F491" s="7">
        <v>0</v>
      </c>
      <c r="G491" s="7">
        <v>0</v>
      </c>
      <c r="H491" s="8">
        <f>IFERROR(F491/D491,"")</f>
        <v>0</v>
      </c>
      <c r="I491" s="8">
        <f>IFERROR(G491/E491,"")</f>
        <v>0</v>
      </c>
    </row>
    <row r="492" spans="1:9">
      <c r="A492" s="4" t="s">
        <v>283</v>
      </c>
      <c r="B492" s="6" t="s">
        <v>284</v>
      </c>
      <c r="C492" s="6">
        <v>2025</v>
      </c>
      <c r="D492" s="7">
        <v>9519000</v>
      </c>
      <c r="E492" s="7">
        <v>28994211.293</v>
      </c>
      <c r="F492" s="7">
        <v>20000</v>
      </c>
      <c r="G492" s="7">
        <v>60918.608</v>
      </c>
      <c r="H492" s="8">
        <f>IFERROR(F492/D492,"")</f>
        <v>0</v>
      </c>
      <c r="I492" s="8">
        <f>IFERROR(G492/E492,"")</f>
        <v>0</v>
      </c>
    </row>
    <row r="493" spans="1:9">
      <c r="A493" s="4" t="s">
        <v>96</v>
      </c>
      <c r="B493" s="6" t="s">
        <v>97</v>
      </c>
      <c r="C493" s="6">
        <v>2019</v>
      </c>
      <c r="D493" s="7">
        <v>103576685.901</v>
      </c>
      <c r="E493" s="7">
        <v>0</v>
      </c>
      <c r="F493" s="7">
        <v>18613.356</v>
      </c>
      <c r="G493" s="7">
        <v>22000</v>
      </c>
      <c r="H493" s="8">
        <f>IFERROR(F493/D493,"")</f>
        <v>0</v>
      </c>
      <c r="I493" s="9">
        <f>"n/a"</f>
        <v>0</v>
      </c>
    </row>
    <row r="494" spans="1:9">
      <c r="A494" s="4" t="s">
        <v>96</v>
      </c>
      <c r="B494" s="6" t="s">
        <v>97</v>
      </c>
      <c r="C494" s="6">
        <v>2020</v>
      </c>
      <c r="D494" s="7">
        <v>92370345.396</v>
      </c>
      <c r="E494" s="7">
        <v>0</v>
      </c>
      <c r="F494" s="7">
        <v>0</v>
      </c>
      <c r="G494" s="7">
        <v>0</v>
      </c>
      <c r="H494" s="8">
        <f>IFERROR(F494/D494,"")</f>
        <v>0</v>
      </c>
      <c r="I494" s="9">
        <f>"n/a"</f>
        <v>0</v>
      </c>
    </row>
    <row r="495" spans="1:9">
      <c r="A495" s="4" t="s">
        <v>96</v>
      </c>
      <c r="B495" s="6" t="s">
        <v>97</v>
      </c>
      <c r="C495" s="6">
        <v>2021</v>
      </c>
      <c r="D495" s="7">
        <v>113570245.584</v>
      </c>
      <c r="E495" s="7">
        <v>0</v>
      </c>
      <c r="F495" s="7">
        <v>0</v>
      </c>
      <c r="G495" s="7">
        <v>0</v>
      </c>
      <c r="H495" s="8">
        <f>IFERROR(F495/D495,"")</f>
        <v>0</v>
      </c>
      <c r="I495" s="9">
        <f>"n/a"</f>
        <v>0</v>
      </c>
    </row>
    <row r="496" spans="1:9">
      <c r="A496" s="4" t="s">
        <v>96</v>
      </c>
      <c r="B496" s="6" t="s">
        <v>97</v>
      </c>
      <c r="C496" s="6">
        <v>2022</v>
      </c>
      <c r="D496" s="7">
        <v>155346870.137</v>
      </c>
      <c r="E496" s="7">
        <v>0</v>
      </c>
      <c r="F496" s="7">
        <v>0</v>
      </c>
      <c r="G496" s="7">
        <v>0</v>
      </c>
      <c r="H496" s="8">
        <f>IFERROR(F496/D496,"")</f>
        <v>0</v>
      </c>
      <c r="I496" s="9">
        <f>"n/a"</f>
        <v>0</v>
      </c>
    </row>
    <row r="497" spans="1:9">
      <c r="A497" s="4" t="s">
        <v>96</v>
      </c>
      <c r="B497" s="6" t="s">
        <v>97</v>
      </c>
      <c r="C497" s="6">
        <v>2023</v>
      </c>
      <c r="D497" s="7">
        <v>168780593.882</v>
      </c>
      <c r="E497" s="7">
        <v>0</v>
      </c>
      <c r="F497" s="7">
        <v>0</v>
      </c>
      <c r="G497" s="7">
        <v>0</v>
      </c>
      <c r="H497" s="8">
        <f>IFERROR(F497/D497,"")</f>
        <v>0</v>
      </c>
      <c r="I497" s="9">
        <f>"n/a"</f>
        <v>0</v>
      </c>
    </row>
    <row r="498" spans="1:9">
      <c r="A498" s="4" t="s">
        <v>96</v>
      </c>
      <c r="B498" s="6" t="s">
        <v>97</v>
      </c>
      <c r="C498" s="6">
        <v>2024</v>
      </c>
      <c r="D498" s="7">
        <v>126696616.003</v>
      </c>
      <c r="E498" s="7">
        <v>0</v>
      </c>
      <c r="F498" s="7">
        <v>1565.122</v>
      </c>
      <c r="G498" s="7">
        <v>1440</v>
      </c>
      <c r="H498" s="8">
        <f>IFERROR(F498/D498,"")</f>
        <v>0</v>
      </c>
      <c r="I498" s="9">
        <f>"n/a"</f>
        <v>0</v>
      </c>
    </row>
    <row r="499" spans="1:9">
      <c r="A499" s="4" t="s">
        <v>96</v>
      </c>
      <c r="B499" s="6" t="s">
        <v>97</v>
      </c>
      <c r="C499" s="6">
        <v>2025</v>
      </c>
      <c r="D499" s="7">
        <v>132658126.784</v>
      </c>
      <c r="E499" s="7">
        <v>524925185</v>
      </c>
      <c r="F499" s="7">
        <v>0</v>
      </c>
      <c r="G499" s="7">
        <v>0</v>
      </c>
      <c r="H499" s="8">
        <f>IFERROR(F499/D499,"")</f>
        <v>0</v>
      </c>
      <c r="I499" s="8">
        <f>IFERROR(G499/E499,"")</f>
        <v>0</v>
      </c>
    </row>
    <row r="500" spans="1:9">
      <c r="A500" s="4" t="s">
        <v>285</v>
      </c>
      <c r="B500" s="6" t="s">
        <v>286</v>
      </c>
      <c r="C500" s="6">
        <v>2019</v>
      </c>
      <c r="D500" s="7">
        <v>242764.76</v>
      </c>
      <c r="E500" s="7">
        <v>302946.1</v>
      </c>
      <c r="F500" s="7">
        <v>19460.355</v>
      </c>
      <c r="G500" s="7">
        <v>26104</v>
      </c>
      <c r="H500" s="8">
        <f>IFERROR(F500/D500,"")</f>
        <v>0</v>
      </c>
      <c r="I500" s="8">
        <f>IFERROR(G500/E500,"")</f>
        <v>0</v>
      </c>
    </row>
    <row r="501" spans="1:9">
      <c r="A501" s="4" t="s">
        <v>285</v>
      </c>
      <c r="B501" s="6" t="s">
        <v>286</v>
      </c>
      <c r="C501" s="6">
        <v>2020</v>
      </c>
      <c r="D501" s="7">
        <v>160980.25</v>
      </c>
      <c r="E501" s="7">
        <v>0</v>
      </c>
      <c r="F501" s="7">
        <v>49553.72</v>
      </c>
      <c r="G501" s="7">
        <v>103258</v>
      </c>
      <c r="H501" s="8">
        <f>IFERROR(F501/D501,"")</f>
        <v>0</v>
      </c>
      <c r="I501" s="9">
        <f>"n/a"</f>
        <v>0</v>
      </c>
    </row>
    <row r="502" spans="1:9">
      <c r="A502" s="4" t="s">
        <v>285</v>
      </c>
      <c r="B502" s="6" t="s">
        <v>286</v>
      </c>
      <c r="C502" s="6">
        <v>2021</v>
      </c>
      <c r="D502" s="7">
        <v>329509.53</v>
      </c>
      <c r="E502" s="7">
        <v>432872.87</v>
      </c>
      <c r="F502" s="7">
        <v>88944.78999999999</v>
      </c>
      <c r="G502" s="7">
        <v>103000</v>
      </c>
      <c r="H502" s="8">
        <f>IFERROR(F502/D502,"")</f>
        <v>0</v>
      </c>
      <c r="I502" s="8">
        <f>IFERROR(G502/E502,"")</f>
        <v>0</v>
      </c>
    </row>
    <row r="503" spans="1:9">
      <c r="A503" s="4" t="s">
        <v>285</v>
      </c>
      <c r="B503" s="6" t="s">
        <v>286</v>
      </c>
      <c r="C503" s="6">
        <v>2022</v>
      </c>
      <c r="D503" s="7">
        <v>857053.38</v>
      </c>
      <c r="E503" s="7">
        <v>677918.4</v>
      </c>
      <c r="F503" s="7">
        <v>13643.35</v>
      </c>
      <c r="G503" s="7">
        <v>26473.9</v>
      </c>
      <c r="H503" s="8">
        <f>IFERROR(F503/D503,"")</f>
        <v>0</v>
      </c>
      <c r="I503" s="8">
        <f>IFERROR(G503/E503,"")</f>
        <v>0</v>
      </c>
    </row>
    <row r="504" spans="1:9">
      <c r="A504" s="4" t="s">
        <v>285</v>
      </c>
      <c r="B504" s="6" t="s">
        <v>286</v>
      </c>
      <c r="C504" s="6">
        <v>2023</v>
      </c>
      <c r="D504" s="7">
        <v>366770.47</v>
      </c>
      <c r="E504" s="7">
        <v>328594.83</v>
      </c>
      <c r="F504" s="7">
        <v>52488.26</v>
      </c>
      <c r="G504" s="7">
        <v>74983</v>
      </c>
      <c r="H504" s="8">
        <f>IFERROR(F504/D504,"")</f>
        <v>0</v>
      </c>
      <c r="I504" s="8">
        <f>IFERROR(G504/E504,"")</f>
        <v>0</v>
      </c>
    </row>
    <row r="505" spans="1:9">
      <c r="A505" s="4" t="s">
        <v>285</v>
      </c>
      <c r="B505" s="6" t="s">
        <v>286</v>
      </c>
      <c r="C505" s="6">
        <v>2024</v>
      </c>
      <c r="D505" s="7">
        <v>119278.39</v>
      </c>
      <c r="E505" s="7">
        <v>194991.58</v>
      </c>
      <c r="F505" s="7">
        <v>0</v>
      </c>
      <c r="G505" s="7">
        <v>0</v>
      </c>
      <c r="H505" s="8">
        <f>IFERROR(F505/D505,"")</f>
        <v>0</v>
      </c>
      <c r="I505" s="8">
        <f>IFERROR(G505/E505,"")</f>
        <v>0</v>
      </c>
    </row>
    <row r="506" spans="1:9">
      <c r="A506" s="4" t="s">
        <v>285</v>
      </c>
      <c r="B506" s="6" t="s">
        <v>286</v>
      </c>
      <c r="C506" s="6">
        <v>2025</v>
      </c>
      <c r="D506" s="7">
        <v>111247.771</v>
      </c>
      <c r="E506" s="7">
        <v>219067.97</v>
      </c>
      <c r="F506" s="7">
        <v>11250.277</v>
      </c>
      <c r="G506" s="7">
        <v>28112</v>
      </c>
      <c r="H506" s="8">
        <f>IFERROR(F506/D506,"")</f>
        <v>0</v>
      </c>
      <c r="I506" s="8">
        <f>IFERROR(G506/E506,"")</f>
        <v>0</v>
      </c>
    </row>
    <row r="507" spans="1:9">
      <c r="A507" s="4" t="s">
        <v>287</v>
      </c>
      <c r="B507" s="6" t="s">
        <v>288</v>
      </c>
      <c r="C507" s="6">
        <v>2019</v>
      </c>
      <c r="D507" s="7">
        <v>103822665.794</v>
      </c>
      <c r="E507" s="7">
        <v>0</v>
      </c>
      <c r="F507" s="7">
        <v>25429751.418</v>
      </c>
      <c r="G507" s="7">
        <v>84530100</v>
      </c>
      <c r="H507" s="8">
        <f>IFERROR(F507/D507,"")</f>
        <v>0</v>
      </c>
      <c r="I507" s="9">
        <f>"n/a"</f>
        <v>0</v>
      </c>
    </row>
    <row r="508" spans="1:9">
      <c r="A508" s="4" t="s">
        <v>287</v>
      </c>
      <c r="B508" s="6" t="s">
        <v>288</v>
      </c>
      <c r="C508" s="6">
        <v>2020</v>
      </c>
      <c r="D508" s="7">
        <v>58821969.768</v>
      </c>
      <c r="E508" s="7">
        <v>0</v>
      </c>
      <c r="F508" s="7">
        <v>11538955.119</v>
      </c>
      <c r="G508" s="7">
        <v>38112975</v>
      </c>
      <c r="H508" s="8">
        <f>IFERROR(F508/D508,"")</f>
        <v>0</v>
      </c>
      <c r="I508" s="9">
        <f>"n/a"</f>
        <v>0</v>
      </c>
    </row>
    <row r="509" spans="1:9">
      <c r="A509" s="4" t="s">
        <v>287</v>
      </c>
      <c r="B509" s="6" t="s">
        <v>288</v>
      </c>
      <c r="C509" s="6">
        <v>2021</v>
      </c>
      <c r="D509" s="7">
        <v>60755236.355</v>
      </c>
      <c r="E509" s="7">
        <v>252687856</v>
      </c>
      <c r="F509" s="7">
        <v>13491137.21</v>
      </c>
      <c r="G509" s="7">
        <v>35847563</v>
      </c>
      <c r="H509" s="8">
        <f>IFERROR(F509/D509,"")</f>
        <v>0</v>
      </c>
      <c r="I509" s="8">
        <f>IFERROR(G509/E509,"")</f>
        <v>0</v>
      </c>
    </row>
    <row r="510" spans="1:9">
      <c r="A510" s="4" t="s">
        <v>287</v>
      </c>
      <c r="B510" s="6" t="s">
        <v>288</v>
      </c>
      <c r="C510" s="6">
        <v>2022</v>
      </c>
      <c r="D510" s="7">
        <v>84727301.52599999</v>
      </c>
      <c r="E510" s="7">
        <v>243640594</v>
      </c>
      <c r="F510" s="7">
        <v>14526965.356</v>
      </c>
      <c r="G510" s="7">
        <v>26142300</v>
      </c>
      <c r="H510" s="8">
        <f>IFERROR(F510/D510,"")</f>
        <v>0</v>
      </c>
      <c r="I510" s="8">
        <f>IFERROR(G510/E510,"")</f>
        <v>0</v>
      </c>
    </row>
    <row r="511" spans="1:9">
      <c r="A511" s="4" t="s">
        <v>287</v>
      </c>
      <c r="B511" s="6" t="s">
        <v>288</v>
      </c>
      <c r="C511" s="6">
        <v>2023</v>
      </c>
      <c r="D511" s="7">
        <v>96318944.517</v>
      </c>
      <c r="E511" s="7">
        <v>0</v>
      </c>
      <c r="F511" s="7">
        <v>12300807.327</v>
      </c>
      <c r="G511" s="7">
        <v>26364332</v>
      </c>
      <c r="H511" s="8">
        <f>IFERROR(F511/D511,"")</f>
        <v>0</v>
      </c>
      <c r="I511" s="9">
        <f>"n/a"</f>
        <v>0</v>
      </c>
    </row>
    <row r="512" spans="1:9">
      <c r="A512" s="4" t="s">
        <v>287</v>
      </c>
      <c r="B512" s="6" t="s">
        <v>288</v>
      </c>
      <c r="C512" s="6">
        <v>2024</v>
      </c>
      <c r="D512" s="7">
        <v>64674927.536</v>
      </c>
      <c r="E512" s="7">
        <v>0</v>
      </c>
      <c r="F512" s="7">
        <v>12040341.238</v>
      </c>
      <c r="G512" s="7">
        <v>33234810.489</v>
      </c>
      <c r="H512" s="8">
        <f>IFERROR(F512/D512,"")</f>
        <v>0</v>
      </c>
      <c r="I512" s="9">
        <f>"n/a"</f>
        <v>0</v>
      </c>
    </row>
    <row r="513" spans="1:9">
      <c r="A513" s="4" t="s">
        <v>287</v>
      </c>
      <c r="B513" s="6" t="s">
        <v>288</v>
      </c>
      <c r="C513" s="6">
        <v>2025</v>
      </c>
      <c r="D513" s="7">
        <v>51724320.945</v>
      </c>
      <c r="E513" s="7">
        <v>0</v>
      </c>
      <c r="F513" s="7">
        <v>9894044.047</v>
      </c>
      <c r="G513" s="7">
        <v>33908501</v>
      </c>
      <c r="H513" s="8">
        <f>IFERROR(F513/D513,"")</f>
        <v>0</v>
      </c>
      <c r="I513" s="9">
        <f>"n/a"</f>
        <v>0</v>
      </c>
    </row>
    <row r="514" spans="1:9">
      <c r="A514" s="4" t="s">
        <v>289</v>
      </c>
      <c r="B514" s="6" t="s">
        <v>290</v>
      </c>
      <c r="C514" s="6">
        <v>2019</v>
      </c>
      <c r="D514" s="7">
        <v>2136276.505</v>
      </c>
      <c r="E514" s="7">
        <v>6297765</v>
      </c>
      <c r="F514" s="7">
        <v>813664.96</v>
      </c>
      <c r="G514" s="7">
        <v>2362940</v>
      </c>
      <c r="H514" s="8">
        <f>IFERROR(F514/D514,"")</f>
        <v>0</v>
      </c>
      <c r="I514" s="8">
        <f>IFERROR(G514/E514,"")</f>
        <v>0</v>
      </c>
    </row>
    <row r="515" spans="1:9">
      <c r="A515" s="4" t="s">
        <v>289</v>
      </c>
      <c r="B515" s="6" t="s">
        <v>290</v>
      </c>
      <c r="C515" s="6">
        <v>2020</v>
      </c>
      <c r="D515" s="7">
        <v>1961635.623</v>
      </c>
      <c r="E515" s="7">
        <v>7853362.902</v>
      </c>
      <c r="F515" s="7">
        <v>649548.024</v>
      </c>
      <c r="G515" s="7">
        <v>2600450.508</v>
      </c>
      <c r="H515" s="8">
        <f>IFERROR(F515/D515,"")</f>
        <v>0</v>
      </c>
      <c r="I515" s="8">
        <f>IFERROR(G515/E515,"")</f>
        <v>0</v>
      </c>
    </row>
    <row r="516" spans="1:9">
      <c r="A516" s="4" t="s">
        <v>289</v>
      </c>
      <c r="B516" s="6" t="s">
        <v>290</v>
      </c>
      <c r="C516" s="6">
        <v>2021</v>
      </c>
      <c r="D516" s="7">
        <v>2812259.034</v>
      </c>
      <c r="E516" s="7">
        <v>11393968.814</v>
      </c>
      <c r="F516" s="7">
        <v>753915.139</v>
      </c>
      <c r="G516" s="7">
        <v>3054514.351</v>
      </c>
      <c r="H516" s="8">
        <f>IFERROR(F516/D516,"")</f>
        <v>0</v>
      </c>
      <c r="I516" s="8">
        <f>IFERROR(G516/E516,"")</f>
        <v>0</v>
      </c>
    </row>
    <row r="517" spans="1:9">
      <c r="A517" s="4" t="s">
        <v>289</v>
      </c>
      <c r="B517" s="6" t="s">
        <v>290</v>
      </c>
      <c r="C517" s="6">
        <v>2022</v>
      </c>
      <c r="D517" s="7">
        <v>5726750.701</v>
      </c>
      <c r="E517" s="7">
        <v>14072180.863</v>
      </c>
      <c r="F517" s="7">
        <v>1759983.22</v>
      </c>
      <c r="G517" s="7">
        <v>4324756.477</v>
      </c>
      <c r="H517" s="8">
        <f>IFERROR(F517/D517,"")</f>
        <v>0</v>
      </c>
      <c r="I517" s="8">
        <f>IFERROR(G517/E517,"")</f>
        <v>0</v>
      </c>
    </row>
    <row r="518" spans="1:9">
      <c r="A518" s="4" t="s">
        <v>289</v>
      </c>
      <c r="B518" s="6" t="s">
        <v>290</v>
      </c>
      <c r="C518" s="6">
        <v>2023</v>
      </c>
      <c r="D518" s="7">
        <v>5175801.872</v>
      </c>
      <c r="E518" s="7">
        <v>11829187.311</v>
      </c>
      <c r="F518" s="7">
        <v>381978.943</v>
      </c>
      <c r="G518" s="7">
        <v>873004.912</v>
      </c>
      <c r="H518" s="8">
        <f>IFERROR(F518/D518,"")</f>
        <v>0</v>
      </c>
      <c r="I518" s="8">
        <f>IFERROR(G518/E518,"")</f>
        <v>0</v>
      </c>
    </row>
    <row r="519" spans="1:9">
      <c r="A519" s="4" t="s">
        <v>289</v>
      </c>
      <c r="B519" s="6" t="s">
        <v>290</v>
      </c>
      <c r="C519" s="6">
        <v>2024</v>
      </c>
      <c r="D519" s="7">
        <v>5573669.73</v>
      </c>
      <c r="E519" s="7">
        <v>0</v>
      </c>
      <c r="F519" s="7">
        <v>87790.71799999999</v>
      </c>
      <c r="G519" s="7">
        <v>169052</v>
      </c>
      <c r="H519" s="8">
        <f>IFERROR(F519/D519,"")</f>
        <v>0</v>
      </c>
      <c r="I519" s="9">
        <f>"n/a"</f>
        <v>0</v>
      </c>
    </row>
    <row r="520" spans="1:9">
      <c r="A520" s="4" t="s">
        <v>106</v>
      </c>
      <c r="B520" s="6" t="s">
        <v>107</v>
      </c>
      <c r="C520" s="6">
        <v>2019</v>
      </c>
      <c r="D520" s="7">
        <v>82280490.64</v>
      </c>
      <c r="E520" s="7">
        <v>0</v>
      </c>
      <c r="F520" s="7">
        <v>73225.95</v>
      </c>
      <c r="G520" s="7">
        <v>85050</v>
      </c>
      <c r="H520" s="8">
        <f>IFERROR(F520/D520,"")</f>
        <v>0</v>
      </c>
      <c r="I520" s="9">
        <f>"n/a"</f>
        <v>0</v>
      </c>
    </row>
    <row r="521" spans="1:9">
      <c r="A521" s="4" t="s">
        <v>106</v>
      </c>
      <c r="B521" s="6" t="s">
        <v>107</v>
      </c>
      <c r="C521" s="6">
        <v>2020</v>
      </c>
      <c r="D521" s="7">
        <v>62580737.36</v>
      </c>
      <c r="E521" s="7">
        <v>0</v>
      </c>
      <c r="F521" s="7">
        <v>427450</v>
      </c>
      <c r="G521" s="7">
        <v>303000</v>
      </c>
      <c r="H521" s="8">
        <f>IFERROR(F521/D521,"")</f>
        <v>0</v>
      </c>
      <c r="I521" s="9">
        <f>"n/a"</f>
        <v>0</v>
      </c>
    </row>
    <row r="522" spans="1:9">
      <c r="A522" s="4" t="s">
        <v>106</v>
      </c>
      <c r="B522" s="6" t="s">
        <v>107</v>
      </c>
      <c r="C522" s="6">
        <v>2021</v>
      </c>
      <c r="D522" s="7">
        <v>69919029.09</v>
      </c>
      <c r="E522" s="7">
        <v>0</v>
      </c>
      <c r="F522" s="7">
        <v>0</v>
      </c>
      <c r="G522" s="7">
        <v>0</v>
      </c>
      <c r="H522" s="8">
        <f>IFERROR(F522/D522,"")</f>
        <v>0</v>
      </c>
      <c r="I522" s="9">
        <f>"n/a"</f>
        <v>0</v>
      </c>
    </row>
    <row r="523" spans="1:9">
      <c r="A523" s="4" t="s">
        <v>106</v>
      </c>
      <c r="B523" s="6" t="s">
        <v>107</v>
      </c>
      <c r="C523" s="6">
        <v>2022</v>
      </c>
      <c r="D523" s="7">
        <v>84793314.95</v>
      </c>
      <c r="E523" s="7">
        <v>0</v>
      </c>
      <c r="F523" s="7">
        <v>10511.56</v>
      </c>
      <c r="G523" s="7">
        <v>7400</v>
      </c>
      <c r="H523" s="8">
        <f>IFERROR(F523/D523,"")</f>
        <v>0</v>
      </c>
      <c r="I523" s="9">
        <f>"n/a"</f>
        <v>0</v>
      </c>
    </row>
    <row r="524" spans="1:9">
      <c r="A524" s="4" t="s">
        <v>106</v>
      </c>
      <c r="B524" s="6" t="s">
        <v>107</v>
      </c>
      <c r="C524" s="6">
        <v>2023</v>
      </c>
      <c r="D524" s="7">
        <v>96966290.06999999</v>
      </c>
      <c r="E524" s="7">
        <v>347662138.269</v>
      </c>
      <c r="F524" s="7">
        <v>12867.3</v>
      </c>
      <c r="G524" s="7">
        <v>85740</v>
      </c>
      <c r="H524" s="8">
        <f>IFERROR(F524/D524,"")</f>
        <v>0</v>
      </c>
      <c r="I524" s="8">
        <f>IFERROR(G524/E524,"")</f>
        <v>0</v>
      </c>
    </row>
    <row r="525" spans="1:9">
      <c r="A525" s="4" t="s">
        <v>106</v>
      </c>
      <c r="B525" s="6" t="s">
        <v>107</v>
      </c>
      <c r="C525" s="6">
        <v>2024</v>
      </c>
      <c r="D525" s="7">
        <v>96923870.75</v>
      </c>
      <c r="E525" s="7">
        <v>341513830.78</v>
      </c>
      <c r="F525" s="7">
        <v>7111.2</v>
      </c>
      <c r="G525" s="7">
        <v>8140</v>
      </c>
      <c r="H525" s="8">
        <f>IFERROR(F525/D525,"")</f>
        <v>0</v>
      </c>
      <c r="I525" s="8">
        <f>IFERROR(G525/E525,"")</f>
        <v>0</v>
      </c>
    </row>
    <row r="526" spans="1:9">
      <c r="A526" s="4" t="s">
        <v>106</v>
      </c>
      <c r="B526" s="6" t="s">
        <v>107</v>
      </c>
      <c r="C526" s="6">
        <v>2025</v>
      </c>
      <c r="D526" s="7">
        <v>105305517.67</v>
      </c>
      <c r="E526" s="7">
        <v>0</v>
      </c>
      <c r="F526" s="7">
        <v>10695261.87</v>
      </c>
      <c r="G526" s="7">
        <v>44016432</v>
      </c>
      <c r="H526" s="8">
        <f>IFERROR(F526/D526,"")</f>
        <v>0</v>
      </c>
      <c r="I526" s="9">
        <f>"n/a"</f>
        <v>0</v>
      </c>
    </row>
    <row r="527" spans="1:9">
      <c r="A527" s="4" t="s">
        <v>291</v>
      </c>
      <c r="B527" s="6" t="s">
        <v>292</v>
      </c>
      <c r="C527" s="6">
        <v>2019</v>
      </c>
      <c r="D527" s="7">
        <v>3123101.76</v>
      </c>
      <c r="E527" s="7">
        <v>10623862.5</v>
      </c>
      <c r="F527" s="7">
        <v>588916.24</v>
      </c>
      <c r="G527" s="7">
        <v>1733250</v>
      </c>
      <c r="H527" s="8">
        <f>IFERROR(F527/D527,"")</f>
        <v>0</v>
      </c>
      <c r="I527" s="8">
        <f>IFERROR(G527/E527,"")</f>
        <v>0</v>
      </c>
    </row>
    <row r="528" spans="1:9">
      <c r="A528" s="4" t="s">
        <v>291</v>
      </c>
      <c r="B528" s="6" t="s">
        <v>292</v>
      </c>
      <c r="C528" s="6">
        <v>2020</v>
      </c>
      <c r="D528" s="7">
        <v>2834410.579</v>
      </c>
      <c r="E528" s="7">
        <v>10371204</v>
      </c>
      <c r="F528" s="7">
        <v>807258.289</v>
      </c>
      <c r="G528" s="7">
        <v>2727406</v>
      </c>
      <c r="H528" s="8">
        <f>IFERROR(F528/D528,"")</f>
        <v>0</v>
      </c>
      <c r="I528" s="8">
        <f>IFERROR(G528/E528,"")</f>
        <v>0</v>
      </c>
    </row>
    <row r="529" spans="1:9">
      <c r="A529" s="4" t="s">
        <v>291</v>
      </c>
      <c r="B529" s="6" t="s">
        <v>292</v>
      </c>
      <c r="C529" s="6">
        <v>2021</v>
      </c>
      <c r="D529" s="7">
        <v>2769201.874</v>
      </c>
      <c r="E529" s="7">
        <v>10015116.495</v>
      </c>
      <c r="F529" s="7">
        <v>92517.736</v>
      </c>
      <c r="G529" s="7">
        <v>316296</v>
      </c>
      <c r="H529" s="8">
        <f>IFERROR(F529/D529,"")</f>
        <v>0</v>
      </c>
      <c r="I529" s="8">
        <f>IFERROR(G529/E529,"")</f>
        <v>0</v>
      </c>
    </row>
    <row r="530" spans="1:9">
      <c r="A530" s="4" t="s">
        <v>291</v>
      </c>
      <c r="B530" s="6" t="s">
        <v>292</v>
      </c>
      <c r="C530" s="6">
        <v>2022</v>
      </c>
      <c r="D530" s="7">
        <v>4808544.043</v>
      </c>
      <c r="E530" s="7">
        <v>9764280.710000001</v>
      </c>
      <c r="F530" s="7">
        <v>1948439.295</v>
      </c>
      <c r="G530" s="7">
        <v>3365090</v>
      </c>
      <c r="H530" s="8">
        <f>IFERROR(F530/D530,"")</f>
        <v>0</v>
      </c>
      <c r="I530" s="8">
        <f>IFERROR(G530/E530,"")</f>
        <v>0</v>
      </c>
    </row>
    <row r="531" spans="1:9">
      <c r="A531" s="4" t="s">
        <v>291</v>
      </c>
      <c r="B531" s="6" t="s">
        <v>292</v>
      </c>
      <c r="C531" s="6">
        <v>2023</v>
      </c>
      <c r="D531" s="7">
        <v>4345155.894</v>
      </c>
      <c r="E531" s="7">
        <v>11248754</v>
      </c>
      <c r="F531" s="7">
        <v>2112705.954</v>
      </c>
      <c r="G531" s="7">
        <v>5126191</v>
      </c>
      <c r="H531" s="8">
        <f>IFERROR(F531/D531,"")</f>
        <v>0</v>
      </c>
      <c r="I531" s="8">
        <f>IFERROR(G531/E531,"")</f>
        <v>0</v>
      </c>
    </row>
    <row r="532" spans="1:9">
      <c r="A532" s="4" t="s">
        <v>291</v>
      </c>
      <c r="B532" s="6" t="s">
        <v>292</v>
      </c>
      <c r="C532" s="6">
        <v>2024</v>
      </c>
      <c r="D532" s="7">
        <v>4513228.491</v>
      </c>
      <c r="E532" s="7">
        <v>14395817</v>
      </c>
      <c r="F532" s="7">
        <v>1189543.198</v>
      </c>
      <c r="G532" s="7">
        <v>4238000</v>
      </c>
      <c r="H532" s="8">
        <f>IFERROR(F532/D532,"")</f>
        <v>0</v>
      </c>
      <c r="I532" s="8">
        <f>IFERROR(G532/E532,"")</f>
        <v>0</v>
      </c>
    </row>
    <row r="533" spans="1:9">
      <c r="A533" s="4" t="s">
        <v>291</v>
      </c>
      <c r="B533" s="6" t="s">
        <v>292</v>
      </c>
      <c r="C533" s="6">
        <v>2025</v>
      </c>
      <c r="D533" s="7">
        <v>3426296.219</v>
      </c>
      <c r="E533" s="7">
        <v>13728053.25</v>
      </c>
      <c r="F533" s="7">
        <v>2685106.688</v>
      </c>
      <c r="G533" s="7">
        <v>10962509.25</v>
      </c>
      <c r="H533" s="8">
        <f>IFERROR(F533/D533,"")</f>
        <v>0</v>
      </c>
      <c r="I533" s="8">
        <f>IFERROR(G533/E533,"")</f>
        <v>0</v>
      </c>
    </row>
    <row r="534" spans="1:9">
      <c r="A534" s="4" t="s">
        <v>293</v>
      </c>
      <c r="B534" s="6" t="s">
        <v>294</v>
      </c>
      <c r="C534" s="6">
        <v>2019</v>
      </c>
      <c r="D534" s="7">
        <v>6382392</v>
      </c>
      <c r="E534" s="7">
        <v>23111886</v>
      </c>
      <c r="F534" s="7">
        <v>70374</v>
      </c>
      <c r="G534" s="7">
        <v>146442</v>
      </c>
      <c r="H534" s="8">
        <f>IFERROR(F534/D534,"")</f>
        <v>0</v>
      </c>
      <c r="I534" s="8">
        <f>IFERROR(G534/E534,"")</f>
        <v>0</v>
      </c>
    </row>
    <row r="535" spans="1:9">
      <c r="A535" s="4" t="s">
        <v>293</v>
      </c>
      <c r="B535" s="6" t="s">
        <v>294</v>
      </c>
      <c r="C535" s="6">
        <v>2020</v>
      </c>
      <c r="D535" s="7">
        <v>6526723</v>
      </c>
      <c r="E535" s="7">
        <v>0</v>
      </c>
      <c r="F535" s="7">
        <v>5500</v>
      </c>
      <c r="G535" s="7">
        <v>22013</v>
      </c>
      <c r="H535" s="8">
        <f>IFERROR(F535/D535,"")</f>
        <v>0</v>
      </c>
      <c r="I535" s="9">
        <f>"n/a"</f>
        <v>0</v>
      </c>
    </row>
    <row r="536" spans="1:9">
      <c r="A536" s="4" t="s">
        <v>293</v>
      </c>
      <c r="B536" s="6" t="s">
        <v>294</v>
      </c>
      <c r="C536" s="6">
        <v>2021</v>
      </c>
      <c r="D536" s="7">
        <v>5619886</v>
      </c>
      <c r="E536" s="7">
        <v>21965788.93</v>
      </c>
      <c r="F536" s="7">
        <v>6195</v>
      </c>
      <c r="G536" s="7">
        <v>15898</v>
      </c>
      <c r="H536" s="8">
        <f>IFERROR(F536/D536,"")</f>
        <v>0</v>
      </c>
      <c r="I536" s="8">
        <f>IFERROR(G536/E536,"")</f>
        <v>0</v>
      </c>
    </row>
    <row r="537" spans="1:9">
      <c r="A537" s="4" t="s">
        <v>293</v>
      </c>
      <c r="B537" s="6" t="s">
        <v>294</v>
      </c>
      <c r="C537" s="6">
        <v>2022</v>
      </c>
      <c r="D537" s="7">
        <v>10590071.235</v>
      </c>
      <c r="E537" s="7">
        <v>26022679.448</v>
      </c>
      <c r="F537" s="7">
        <v>1223140.518</v>
      </c>
      <c r="G537" s="7">
        <v>3005588.244</v>
      </c>
      <c r="H537" s="8">
        <f>IFERROR(F537/D537,"")</f>
        <v>0</v>
      </c>
      <c r="I537" s="8">
        <f>IFERROR(G537/E537,"")</f>
        <v>0</v>
      </c>
    </row>
    <row r="538" spans="1:9">
      <c r="A538" s="4" t="s">
        <v>293</v>
      </c>
      <c r="B538" s="6" t="s">
        <v>294</v>
      </c>
      <c r="C538" s="6">
        <v>2023</v>
      </c>
      <c r="D538" s="7">
        <v>9766146.146</v>
      </c>
      <c r="E538" s="7">
        <v>26691057.208</v>
      </c>
      <c r="F538" s="7">
        <v>462211.737</v>
      </c>
      <c r="G538" s="7">
        <v>997000</v>
      </c>
      <c r="H538" s="8">
        <f>IFERROR(F538/D538,"")</f>
        <v>0</v>
      </c>
      <c r="I538" s="8">
        <f>IFERROR(G538/E538,"")</f>
        <v>0</v>
      </c>
    </row>
    <row r="539" spans="1:9">
      <c r="A539" s="4" t="s">
        <v>293</v>
      </c>
      <c r="B539" s="6" t="s">
        <v>294</v>
      </c>
      <c r="C539" s="6">
        <v>2024</v>
      </c>
      <c r="D539" s="7">
        <v>8182099</v>
      </c>
      <c r="E539" s="7">
        <v>24370986.785</v>
      </c>
      <c r="F539" s="7">
        <v>26758</v>
      </c>
      <c r="G539" s="7">
        <v>79700.681</v>
      </c>
      <c r="H539" s="8">
        <f>IFERROR(F539/D539,"")</f>
        <v>0</v>
      </c>
      <c r="I539" s="8">
        <f>IFERROR(G539/E539,"")</f>
        <v>0</v>
      </c>
    </row>
    <row r="540" spans="1:9">
      <c r="A540" s="4" t="s">
        <v>293</v>
      </c>
      <c r="B540" s="6" t="s">
        <v>294</v>
      </c>
      <c r="C540" s="6">
        <v>2025</v>
      </c>
      <c r="D540" s="7">
        <v>6468602.748</v>
      </c>
      <c r="E540" s="7">
        <v>0</v>
      </c>
      <c r="F540" s="7">
        <v>87084.738</v>
      </c>
      <c r="G540" s="7">
        <v>237520</v>
      </c>
      <c r="H540" s="8">
        <f>IFERROR(F540/D540,"")</f>
        <v>0</v>
      </c>
      <c r="I540" s="9">
        <f>"n/a"</f>
        <v>0</v>
      </c>
    </row>
    <row r="541" spans="1:9">
      <c r="A541" s="4" t="s">
        <v>295</v>
      </c>
      <c r="B541" s="6" t="s">
        <v>296</v>
      </c>
      <c r="C541" s="6">
        <v>2019</v>
      </c>
      <c r="D541" s="7">
        <v>7252525</v>
      </c>
      <c r="E541" s="7">
        <v>33073002</v>
      </c>
      <c r="F541" s="7">
        <v>115136</v>
      </c>
      <c r="G541" s="7">
        <v>287840</v>
      </c>
      <c r="H541" s="8">
        <f>IFERROR(F541/D541,"")</f>
        <v>0</v>
      </c>
      <c r="I541" s="8">
        <f>IFERROR(G541/E541,"")</f>
        <v>0</v>
      </c>
    </row>
    <row r="542" spans="1:9">
      <c r="A542" s="4" t="s">
        <v>295</v>
      </c>
      <c r="B542" s="6" t="s">
        <v>296</v>
      </c>
      <c r="C542" s="6">
        <v>2020</v>
      </c>
      <c r="D542" s="7">
        <v>5679741</v>
      </c>
      <c r="E542" s="7">
        <v>30601936.013</v>
      </c>
      <c r="F542" s="7">
        <v>0</v>
      </c>
      <c r="G542" s="7">
        <v>0</v>
      </c>
      <c r="H542" s="8">
        <f>IFERROR(F542/D542,"")</f>
        <v>0</v>
      </c>
      <c r="I542" s="8">
        <f>IFERROR(G542/E542,"")</f>
        <v>0</v>
      </c>
    </row>
    <row r="543" spans="1:9">
      <c r="A543" s="4" t="s">
        <v>295</v>
      </c>
      <c r="B543" s="6" t="s">
        <v>296</v>
      </c>
      <c r="C543" s="6">
        <v>2021</v>
      </c>
      <c r="D543" s="7">
        <v>6679416</v>
      </c>
      <c r="E543" s="7">
        <v>37349951</v>
      </c>
      <c r="F543" s="7">
        <v>111</v>
      </c>
      <c r="G543" s="7">
        <v>300</v>
      </c>
      <c r="H543" s="8">
        <f>IFERROR(F543/D543,"")</f>
        <v>0</v>
      </c>
      <c r="I543" s="8">
        <f>IFERROR(G543/E543,"")</f>
        <v>0</v>
      </c>
    </row>
    <row r="544" spans="1:9">
      <c r="A544" s="4" t="s">
        <v>295</v>
      </c>
      <c r="B544" s="6" t="s">
        <v>296</v>
      </c>
      <c r="C544" s="6">
        <v>2022</v>
      </c>
      <c r="D544" s="7">
        <v>6973921</v>
      </c>
      <c r="E544" s="7">
        <v>34366952</v>
      </c>
      <c r="F544" s="7">
        <v>0</v>
      </c>
      <c r="G544" s="7">
        <v>0</v>
      </c>
      <c r="H544" s="8">
        <f>IFERROR(F544/D544,"")</f>
        <v>0</v>
      </c>
      <c r="I544" s="8">
        <f>IFERROR(G544/E544,"")</f>
        <v>0</v>
      </c>
    </row>
    <row r="545" spans="1:9">
      <c r="A545" s="4" t="s">
        <v>295</v>
      </c>
      <c r="B545" s="6" t="s">
        <v>296</v>
      </c>
      <c r="C545" s="6">
        <v>2023</v>
      </c>
      <c r="D545" s="7">
        <v>6657001</v>
      </c>
      <c r="E545" s="7">
        <v>28185114</v>
      </c>
      <c r="F545" s="7">
        <v>13373</v>
      </c>
      <c r="G545" s="7">
        <v>24000</v>
      </c>
      <c r="H545" s="8">
        <f>IFERROR(F545/D545,"")</f>
        <v>0</v>
      </c>
      <c r="I545" s="8">
        <f>IFERROR(G545/E545,"")</f>
        <v>0</v>
      </c>
    </row>
    <row r="546" spans="1:9">
      <c r="A546" s="4" t="s">
        <v>295</v>
      </c>
      <c r="B546" s="6" t="s">
        <v>296</v>
      </c>
      <c r="C546" s="6">
        <v>2024</v>
      </c>
      <c r="D546" s="7">
        <v>4700226</v>
      </c>
      <c r="E546" s="7">
        <v>19336699</v>
      </c>
      <c r="F546" s="7">
        <v>0</v>
      </c>
      <c r="G546" s="7">
        <v>0</v>
      </c>
      <c r="H546" s="8">
        <f>IFERROR(F546/D546,"")</f>
        <v>0</v>
      </c>
      <c r="I546" s="8">
        <f>IFERROR(G546/E546,"")</f>
        <v>0</v>
      </c>
    </row>
    <row r="547" spans="1:9">
      <c r="A547" s="4" t="s">
        <v>295</v>
      </c>
      <c r="B547" s="6" t="s">
        <v>296</v>
      </c>
      <c r="C547" s="6">
        <v>2025</v>
      </c>
      <c r="D547" s="7">
        <v>8435922</v>
      </c>
      <c r="E547" s="7">
        <v>26098344</v>
      </c>
      <c r="F547" s="7">
        <v>1830654</v>
      </c>
      <c r="G547" s="7">
        <v>2385660</v>
      </c>
      <c r="H547" s="8">
        <f>IFERROR(F547/D547,"")</f>
        <v>0</v>
      </c>
      <c r="I547" s="8">
        <f>IFERROR(G547/E547,"")</f>
        <v>0</v>
      </c>
    </row>
    <row r="548" spans="1:9">
      <c r="A548" s="4" t="s">
        <v>297</v>
      </c>
      <c r="B548" s="6" t="s">
        <v>298</v>
      </c>
      <c r="C548" s="6">
        <v>2019</v>
      </c>
      <c r="D548" s="7">
        <v>95637.92</v>
      </c>
      <c r="E548" s="7">
        <v>0</v>
      </c>
      <c r="F548" s="7">
        <v>0</v>
      </c>
      <c r="G548" s="7">
        <v>0</v>
      </c>
      <c r="H548" s="8">
        <f>IFERROR(F548/D548,"")</f>
        <v>0</v>
      </c>
      <c r="I548" s="9">
        <f>"n/a"</f>
        <v>0</v>
      </c>
    </row>
    <row r="549" spans="1:9">
      <c r="A549" s="4" t="s">
        <v>297</v>
      </c>
      <c r="B549" s="6" t="s">
        <v>298</v>
      </c>
      <c r="C549" s="6">
        <v>2020</v>
      </c>
      <c r="D549" s="7">
        <v>258596.49</v>
      </c>
      <c r="E549" s="7">
        <v>609350</v>
      </c>
      <c r="F549" s="7">
        <v>53652</v>
      </c>
      <c r="G549" s="7">
        <v>132000</v>
      </c>
      <c r="H549" s="8">
        <f>IFERROR(F549/D549,"")</f>
        <v>0</v>
      </c>
      <c r="I549" s="8">
        <f>IFERROR(G549/E549,"")</f>
        <v>0</v>
      </c>
    </row>
    <row r="550" spans="1:9">
      <c r="A550" s="4" t="s">
        <v>297</v>
      </c>
      <c r="B550" s="6" t="s">
        <v>298</v>
      </c>
      <c r="C550" s="6">
        <v>2021</v>
      </c>
      <c r="D550" s="7">
        <v>155740.66</v>
      </c>
      <c r="E550" s="7">
        <v>364250</v>
      </c>
      <c r="F550" s="7">
        <v>56500</v>
      </c>
      <c r="G550" s="7">
        <v>95000</v>
      </c>
      <c r="H550" s="8">
        <f>IFERROR(F550/D550,"")</f>
        <v>0</v>
      </c>
      <c r="I550" s="8">
        <f>IFERROR(G550/E550,"")</f>
        <v>0</v>
      </c>
    </row>
    <row r="551" spans="1:9">
      <c r="A551" s="4" t="s">
        <v>297</v>
      </c>
      <c r="B551" s="6" t="s">
        <v>298</v>
      </c>
      <c r="C551" s="6">
        <v>2022</v>
      </c>
      <c r="D551" s="7">
        <v>270404.76</v>
      </c>
      <c r="E551" s="7">
        <v>366693</v>
      </c>
      <c r="F551" s="7">
        <v>78000</v>
      </c>
      <c r="G551" s="7">
        <v>130000</v>
      </c>
      <c r="H551" s="8">
        <f>IFERROR(F551/D551,"")</f>
        <v>0</v>
      </c>
      <c r="I551" s="8">
        <f>IFERROR(G551/E551,"")</f>
        <v>0</v>
      </c>
    </row>
    <row r="552" spans="1:9">
      <c r="A552" s="4" t="s">
        <v>297</v>
      </c>
      <c r="B552" s="6" t="s">
        <v>298</v>
      </c>
      <c r="C552" s="6">
        <v>2023</v>
      </c>
      <c r="D552" s="7">
        <v>323237.87</v>
      </c>
      <c r="E552" s="7">
        <v>683484</v>
      </c>
      <c r="F552" s="7">
        <v>0</v>
      </c>
      <c r="G552" s="7">
        <v>0</v>
      </c>
      <c r="H552" s="8">
        <f>IFERROR(F552/D552,"")</f>
        <v>0</v>
      </c>
      <c r="I552" s="8">
        <f>IFERROR(G552/E552,"")</f>
        <v>0</v>
      </c>
    </row>
    <row r="553" spans="1:9">
      <c r="A553" s="4" t="s">
        <v>299</v>
      </c>
      <c r="B553" s="6" t="s">
        <v>300</v>
      </c>
      <c r="C553" s="6">
        <v>2019</v>
      </c>
      <c r="D553" s="7">
        <v>988021.335</v>
      </c>
      <c r="E553" s="7">
        <v>0</v>
      </c>
      <c r="F553" s="7">
        <v>0</v>
      </c>
      <c r="G553" s="7">
        <v>0</v>
      </c>
      <c r="H553" s="8">
        <f>IFERROR(F553/D553,"")</f>
        <v>0</v>
      </c>
      <c r="I553" s="9">
        <f>"n/a"</f>
        <v>0</v>
      </c>
    </row>
    <row r="554" spans="1:9">
      <c r="A554" s="4" t="s">
        <v>299</v>
      </c>
      <c r="B554" s="6" t="s">
        <v>300</v>
      </c>
      <c r="C554" s="6">
        <v>2020</v>
      </c>
      <c r="D554" s="7">
        <v>1039535.515</v>
      </c>
      <c r="E554" s="7">
        <v>3203067.799</v>
      </c>
      <c r="F554" s="7">
        <v>0</v>
      </c>
      <c r="G554" s="7">
        <v>0</v>
      </c>
      <c r="H554" s="8">
        <f>IFERROR(F554/D554,"")</f>
        <v>0</v>
      </c>
      <c r="I554" s="8">
        <f>IFERROR(G554/E554,"")</f>
        <v>0</v>
      </c>
    </row>
    <row r="555" spans="1:9">
      <c r="A555" s="4" t="s">
        <v>299</v>
      </c>
      <c r="B555" s="6" t="s">
        <v>300</v>
      </c>
      <c r="C555" s="6">
        <v>2021</v>
      </c>
      <c r="D555" s="7">
        <v>1384906.111</v>
      </c>
      <c r="E555" s="7">
        <v>4356544.437</v>
      </c>
      <c r="F555" s="7">
        <v>0</v>
      </c>
      <c r="G555" s="7">
        <v>0</v>
      </c>
      <c r="H555" s="8">
        <f>IFERROR(F555/D555,"")</f>
        <v>0</v>
      </c>
      <c r="I555" s="8">
        <f>IFERROR(G555/E555,"")</f>
        <v>0</v>
      </c>
    </row>
    <row r="556" spans="1:9">
      <c r="A556" s="4" t="s">
        <v>299</v>
      </c>
      <c r="B556" s="6" t="s">
        <v>300</v>
      </c>
      <c r="C556" s="6">
        <v>2022</v>
      </c>
      <c r="D556" s="7">
        <v>1395202.032</v>
      </c>
      <c r="E556" s="7">
        <v>3208772</v>
      </c>
      <c r="F556" s="7">
        <v>0</v>
      </c>
      <c r="G556" s="7">
        <v>0</v>
      </c>
      <c r="H556" s="8">
        <f>IFERROR(F556/D556,"")</f>
        <v>0</v>
      </c>
      <c r="I556" s="8">
        <f>IFERROR(G556/E556,"")</f>
        <v>0</v>
      </c>
    </row>
    <row r="557" spans="1:9">
      <c r="A557" s="4" t="s">
        <v>299</v>
      </c>
      <c r="B557" s="6" t="s">
        <v>300</v>
      </c>
      <c r="C557" s="6">
        <v>2023</v>
      </c>
      <c r="D557" s="7">
        <v>970440.749</v>
      </c>
      <c r="E557" s="7">
        <v>1858812.28</v>
      </c>
      <c r="F557" s="7">
        <v>9887.120000000001</v>
      </c>
      <c r="G557" s="7">
        <v>24000</v>
      </c>
      <c r="H557" s="8">
        <f>IFERROR(F557/D557,"")</f>
        <v>0</v>
      </c>
      <c r="I557" s="8">
        <f>IFERROR(G557/E557,"")</f>
        <v>0</v>
      </c>
    </row>
    <row r="558" spans="1:9">
      <c r="A558" s="4" t="s">
        <v>299</v>
      </c>
      <c r="B558" s="6" t="s">
        <v>300</v>
      </c>
      <c r="C558" s="6">
        <v>2024</v>
      </c>
      <c r="D558" s="7">
        <v>1398766.422</v>
      </c>
      <c r="E558" s="7">
        <v>2705710.998</v>
      </c>
      <c r="F558" s="7">
        <v>0</v>
      </c>
      <c r="G558" s="7">
        <v>0</v>
      </c>
      <c r="H558" s="8">
        <f>IFERROR(F558/D558,"")</f>
        <v>0</v>
      </c>
      <c r="I558" s="8">
        <f>IFERROR(G558/E558,"")</f>
        <v>0</v>
      </c>
    </row>
    <row r="559" spans="1:9">
      <c r="A559" s="4" t="s">
        <v>299</v>
      </c>
      <c r="B559" s="6" t="s">
        <v>300</v>
      </c>
      <c r="C559" s="6">
        <v>2025</v>
      </c>
      <c r="D559" s="7">
        <v>1461361.657</v>
      </c>
      <c r="E559" s="7">
        <v>2846551.218</v>
      </c>
      <c r="F559" s="7">
        <v>7497.134</v>
      </c>
      <c r="G559" s="7">
        <v>20000</v>
      </c>
      <c r="H559" s="8">
        <f>IFERROR(F559/D559,"")</f>
        <v>0</v>
      </c>
      <c r="I559" s="8">
        <f>IFERROR(G559/E559,"")</f>
        <v>0</v>
      </c>
    </row>
    <row r="560" spans="1:9">
      <c r="A560" s="4" t="s">
        <v>301</v>
      </c>
      <c r="B560" s="6" t="s">
        <v>302</v>
      </c>
      <c r="C560" s="6">
        <v>2019</v>
      </c>
      <c r="D560" s="7">
        <v>739250.29</v>
      </c>
      <c r="E560" s="7">
        <v>0</v>
      </c>
      <c r="F560" s="7">
        <v>18309.01</v>
      </c>
      <c r="G560" s="7">
        <v>75000</v>
      </c>
      <c r="H560" s="8">
        <f>IFERROR(F560/D560,"")</f>
        <v>0</v>
      </c>
      <c r="I560" s="9">
        <f>"n/a"</f>
        <v>0</v>
      </c>
    </row>
    <row r="561" spans="1:9">
      <c r="A561" s="4" t="s">
        <v>301</v>
      </c>
      <c r="B561" s="6" t="s">
        <v>302</v>
      </c>
      <c r="C561" s="6">
        <v>2020</v>
      </c>
      <c r="D561" s="7">
        <v>944042</v>
      </c>
      <c r="E561" s="7">
        <v>4011841</v>
      </c>
      <c r="F561" s="7">
        <v>7039</v>
      </c>
      <c r="G561" s="7">
        <v>26018</v>
      </c>
      <c r="H561" s="8">
        <f>IFERROR(F561/D561,"")</f>
        <v>0</v>
      </c>
      <c r="I561" s="8">
        <f>IFERROR(G561/E561,"")</f>
        <v>0</v>
      </c>
    </row>
    <row r="562" spans="1:9">
      <c r="A562" s="4" t="s">
        <v>301</v>
      </c>
      <c r="B562" s="6" t="s">
        <v>302</v>
      </c>
      <c r="C562" s="6">
        <v>2021</v>
      </c>
      <c r="D562" s="7">
        <v>673720</v>
      </c>
      <c r="E562" s="7">
        <v>3120852.91</v>
      </c>
      <c r="F562" s="7">
        <v>0</v>
      </c>
      <c r="G562" s="7">
        <v>0</v>
      </c>
      <c r="H562" s="8">
        <f>IFERROR(F562/D562,"")</f>
        <v>0</v>
      </c>
      <c r="I562" s="8">
        <f>IFERROR(G562/E562,"")</f>
        <v>0</v>
      </c>
    </row>
    <row r="563" spans="1:9">
      <c r="A563" s="4" t="s">
        <v>301</v>
      </c>
      <c r="B563" s="6" t="s">
        <v>302</v>
      </c>
      <c r="C563" s="6">
        <v>2022</v>
      </c>
      <c r="D563" s="7">
        <v>642836</v>
      </c>
      <c r="E563" s="7">
        <v>1586355</v>
      </c>
      <c r="F563" s="7">
        <v>0</v>
      </c>
      <c r="G563" s="7">
        <v>0</v>
      </c>
      <c r="H563" s="8">
        <f>IFERROR(F563/D563,"")</f>
        <v>0</v>
      </c>
      <c r="I563" s="8">
        <f>IFERROR(G563/E563,"")</f>
        <v>0</v>
      </c>
    </row>
    <row r="564" spans="1:9">
      <c r="A564" s="4" t="s">
        <v>301</v>
      </c>
      <c r="B564" s="6" t="s">
        <v>302</v>
      </c>
      <c r="C564" s="6">
        <v>2023</v>
      </c>
      <c r="D564" s="7">
        <v>645796</v>
      </c>
      <c r="E564" s="7">
        <v>1475953.299</v>
      </c>
      <c r="F564" s="7">
        <v>0</v>
      </c>
      <c r="G564" s="7">
        <v>0</v>
      </c>
      <c r="H564" s="8">
        <f>IFERROR(F564/D564,"")</f>
        <v>0</v>
      </c>
      <c r="I564" s="8">
        <f>IFERROR(G564/E564,"")</f>
        <v>0</v>
      </c>
    </row>
    <row r="565" spans="1:9">
      <c r="A565" s="4" t="s">
        <v>301</v>
      </c>
      <c r="B565" s="6" t="s">
        <v>302</v>
      </c>
      <c r="C565" s="6">
        <v>2024</v>
      </c>
      <c r="D565" s="7">
        <v>659762</v>
      </c>
      <c r="E565" s="7">
        <v>1940202.155</v>
      </c>
      <c r="F565" s="7">
        <v>26799</v>
      </c>
      <c r="G565" s="7">
        <v>78809.446</v>
      </c>
      <c r="H565" s="8">
        <f>IFERROR(F565/D565,"")</f>
        <v>0</v>
      </c>
      <c r="I565" s="8">
        <f>IFERROR(G565/E565,"")</f>
        <v>0</v>
      </c>
    </row>
    <row r="566" spans="1:9">
      <c r="A566" s="4" t="s">
        <v>303</v>
      </c>
      <c r="B566" s="6" t="s">
        <v>304</v>
      </c>
      <c r="C566" s="6">
        <v>2019</v>
      </c>
      <c r="D566" s="7">
        <v>2745.058</v>
      </c>
      <c r="E566" s="7">
        <v>5150.069</v>
      </c>
      <c r="F566" s="7">
        <v>0</v>
      </c>
      <c r="G566" s="7">
        <v>0</v>
      </c>
      <c r="H566" s="8">
        <f>IFERROR(F566/D566,"")</f>
        <v>0</v>
      </c>
      <c r="I566" s="8">
        <f>IFERROR(G566/E566,"")</f>
        <v>0</v>
      </c>
    </row>
    <row r="567" spans="1:9">
      <c r="A567" s="4" t="s">
        <v>303</v>
      </c>
      <c r="B567" s="6" t="s">
        <v>304</v>
      </c>
      <c r="C567" s="6">
        <v>2020</v>
      </c>
      <c r="D567" s="7">
        <v>10.329</v>
      </c>
      <c r="E567" s="7">
        <v>1</v>
      </c>
      <c r="F567" s="7">
        <v>0</v>
      </c>
      <c r="G567" s="7">
        <v>0</v>
      </c>
      <c r="H567" s="8">
        <f>IFERROR(F567/D567,"")</f>
        <v>0</v>
      </c>
      <c r="I567" s="8">
        <f>IFERROR(G567/E567,"")</f>
        <v>0</v>
      </c>
    </row>
    <row r="568" spans="1:9">
      <c r="A568" s="4" t="s">
        <v>303</v>
      </c>
      <c r="B568" s="6" t="s">
        <v>304</v>
      </c>
      <c r="C568" s="6">
        <v>2021</v>
      </c>
      <c r="D568" s="7">
        <v>195.489</v>
      </c>
      <c r="E568" s="7">
        <v>308</v>
      </c>
      <c r="F568" s="7">
        <v>0</v>
      </c>
      <c r="G568" s="7">
        <v>0</v>
      </c>
      <c r="H568" s="8">
        <f>IFERROR(F568/D568,"")</f>
        <v>0</v>
      </c>
      <c r="I568" s="8">
        <f>IFERROR(G568/E568,"")</f>
        <v>0</v>
      </c>
    </row>
    <row r="569" spans="1:9">
      <c r="A569" s="4" t="s">
        <v>303</v>
      </c>
      <c r="B569" s="6" t="s">
        <v>304</v>
      </c>
      <c r="C569" s="6">
        <v>2022</v>
      </c>
      <c r="D569" s="7">
        <v>476.789</v>
      </c>
      <c r="E569" s="7">
        <v>304.5</v>
      </c>
      <c r="F569" s="7">
        <v>0</v>
      </c>
      <c r="G569" s="7">
        <v>0</v>
      </c>
      <c r="H569" s="8">
        <f>IFERROR(F569/D569,"")</f>
        <v>0</v>
      </c>
      <c r="I569" s="8">
        <f>IFERROR(G569/E569,"")</f>
        <v>0</v>
      </c>
    </row>
    <row r="570" spans="1:9">
      <c r="A570" s="4" t="s">
        <v>303</v>
      </c>
      <c r="B570" s="6" t="s">
        <v>304</v>
      </c>
      <c r="C570" s="6">
        <v>2023</v>
      </c>
      <c r="D570" s="7">
        <v>763.874</v>
      </c>
      <c r="E570" s="7">
        <v>900</v>
      </c>
      <c r="F570" s="7">
        <v>0</v>
      </c>
      <c r="G570" s="7">
        <v>0</v>
      </c>
      <c r="H570" s="8">
        <f>IFERROR(F570/D570,"")</f>
        <v>0</v>
      </c>
      <c r="I570" s="8">
        <f>IFERROR(G570/E570,"")</f>
        <v>0</v>
      </c>
    </row>
    <row r="571" spans="1:9">
      <c r="A571" s="4" t="s">
        <v>303</v>
      </c>
      <c r="B571" s="6" t="s">
        <v>304</v>
      </c>
      <c r="C571" s="6">
        <v>2024</v>
      </c>
      <c r="D571" s="7">
        <v>17848.935</v>
      </c>
      <c r="E571" s="7">
        <v>11098</v>
      </c>
      <c r="F571" s="7">
        <v>0</v>
      </c>
      <c r="G571" s="7">
        <v>0</v>
      </c>
      <c r="H571" s="8">
        <f>IFERROR(F571/D571,"")</f>
        <v>0</v>
      </c>
      <c r="I571" s="8">
        <f>IFERROR(G571/E571,"")</f>
        <v>0</v>
      </c>
    </row>
    <row r="572" spans="1:9">
      <c r="A572" s="4" t="s">
        <v>305</v>
      </c>
      <c r="B572" s="6" t="s">
        <v>306</v>
      </c>
      <c r="C572" s="6">
        <v>2019</v>
      </c>
      <c r="D572" s="7">
        <v>15278.93</v>
      </c>
      <c r="E572" s="7">
        <v>24695</v>
      </c>
      <c r="F572" s="7">
        <v>0</v>
      </c>
      <c r="G572" s="7">
        <v>0</v>
      </c>
      <c r="H572" s="8">
        <f>IFERROR(F572/D572,"")</f>
        <v>0</v>
      </c>
      <c r="I572" s="8">
        <f>IFERROR(G572/E572,"")</f>
        <v>0</v>
      </c>
    </row>
    <row r="573" spans="1:9">
      <c r="A573" s="4" t="s">
        <v>305</v>
      </c>
      <c r="B573" s="6" t="s">
        <v>306</v>
      </c>
      <c r="C573" s="6">
        <v>2020</v>
      </c>
      <c r="D573" s="7">
        <v>34204.28</v>
      </c>
      <c r="E573" s="7">
        <v>0</v>
      </c>
      <c r="F573" s="7">
        <v>0</v>
      </c>
      <c r="G573" s="7">
        <v>0</v>
      </c>
      <c r="H573" s="8">
        <f>IFERROR(F573/D573,"")</f>
        <v>0</v>
      </c>
      <c r="I573" s="9">
        <f>"n/a"</f>
        <v>0</v>
      </c>
    </row>
    <row r="574" spans="1:9">
      <c r="A574" s="4" t="s">
        <v>305</v>
      </c>
      <c r="B574" s="6" t="s">
        <v>306</v>
      </c>
      <c r="C574" s="6">
        <v>2021</v>
      </c>
      <c r="D574" s="7">
        <v>56401.12</v>
      </c>
      <c r="E574" s="7">
        <v>83096</v>
      </c>
      <c r="F574" s="7">
        <v>0</v>
      </c>
      <c r="G574" s="7">
        <v>0</v>
      </c>
      <c r="H574" s="8">
        <f>IFERROR(F574/D574,"")</f>
        <v>0</v>
      </c>
      <c r="I574" s="8">
        <f>IFERROR(G574/E574,"")</f>
        <v>0</v>
      </c>
    </row>
    <row r="575" spans="1:9">
      <c r="A575" s="4" t="s">
        <v>305</v>
      </c>
      <c r="B575" s="6" t="s">
        <v>306</v>
      </c>
      <c r="C575" s="6">
        <v>2022</v>
      </c>
      <c r="D575" s="7">
        <v>34357.85</v>
      </c>
      <c r="E575" s="7">
        <v>27529.42</v>
      </c>
      <c r="F575" s="7">
        <v>0</v>
      </c>
      <c r="G575" s="7">
        <v>0</v>
      </c>
      <c r="H575" s="8">
        <f>IFERROR(F575/D575,"")</f>
        <v>0</v>
      </c>
      <c r="I575" s="8">
        <f>IFERROR(G575/E575,"")</f>
        <v>0</v>
      </c>
    </row>
    <row r="576" spans="1:9">
      <c r="A576" s="4" t="s">
        <v>305</v>
      </c>
      <c r="B576" s="6" t="s">
        <v>306</v>
      </c>
      <c r="C576" s="6">
        <v>2023</v>
      </c>
      <c r="D576" s="7">
        <v>1764.41</v>
      </c>
      <c r="E576" s="7">
        <v>2188</v>
      </c>
      <c r="F576" s="7">
        <v>1278.84</v>
      </c>
      <c r="G576" s="7">
        <v>977</v>
      </c>
      <c r="H576" s="8">
        <f>IFERROR(F576/D576,"")</f>
        <v>0</v>
      </c>
      <c r="I576" s="8">
        <f>IFERROR(G576/E576,"")</f>
        <v>0</v>
      </c>
    </row>
    <row r="577" spans="1:9">
      <c r="A577" s="4" t="s">
        <v>305</v>
      </c>
      <c r="B577" s="6" t="s">
        <v>306</v>
      </c>
      <c r="C577" s="6">
        <v>2024</v>
      </c>
      <c r="D577" s="7">
        <v>3052.76</v>
      </c>
      <c r="E577" s="7">
        <v>1085</v>
      </c>
      <c r="F577" s="7">
        <v>0</v>
      </c>
      <c r="G577" s="7">
        <v>0</v>
      </c>
      <c r="H577" s="8">
        <f>IFERROR(F577/D577,"")</f>
        <v>0</v>
      </c>
      <c r="I577" s="8">
        <f>IFERROR(G577/E577,"")</f>
        <v>0</v>
      </c>
    </row>
    <row r="578" spans="1:9">
      <c r="A578" s="4" t="s">
        <v>305</v>
      </c>
      <c r="B578" s="6" t="s">
        <v>306</v>
      </c>
      <c r="C578" s="6">
        <v>2025</v>
      </c>
      <c r="D578" s="7">
        <v>5666.25</v>
      </c>
      <c r="E578" s="7">
        <v>10256</v>
      </c>
      <c r="F578" s="7">
        <v>5176.69</v>
      </c>
      <c r="G578" s="7">
        <v>8740</v>
      </c>
      <c r="H578" s="8">
        <f>IFERROR(F578/D578,"")</f>
        <v>0</v>
      </c>
      <c r="I578" s="8">
        <f>IFERROR(G578/E578,"")</f>
        <v>0</v>
      </c>
    </row>
    <row r="579" spans="1:9">
      <c r="A579" s="4" t="s">
        <v>307</v>
      </c>
      <c r="B579" s="6" t="s">
        <v>308</v>
      </c>
      <c r="C579" s="6">
        <v>2019</v>
      </c>
      <c r="D579" s="7">
        <v>12056</v>
      </c>
      <c r="E579" s="7">
        <v>41113</v>
      </c>
      <c r="F579" s="7">
        <v>0</v>
      </c>
      <c r="G579" s="7">
        <v>0</v>
      </c>
      <c r="H579" s="8">
        <f>IFERROR(F579/D579,"")</f>
        <v>0</v>
      </c>
      <c r="I579" s="8">
        <f>IFERROR(G579/E579,"")</f>
        <v>0</v>
      </c>
    </row>
    <row r="580" spans="1:9">
      <c r="A580" s="4" t="s">
        <v>309</v>
      </c>
      <c r="B580" s="6" t="s">
        <v>310</v>
      </c>
      <c r="C580" s="6">
        <v>2019</v>
      </c>
      <c r="D580" s="7">
        <v>2951763</v>
      </c>
      <c r="E580" s="7">
        <v>11739745.395</v>
      </c>
      <c r="F580" s="7">
        <v>0</v>
      </c>
      <c r="G580" s="7">
        <v>0</v>
      </c>
      <c r="H580" s="8">
        <f>IFERROR(F580/D580,"")</f>
        <v>0</v>
      </c>
      <c r="I580" s="8">
        <f>IFERROR(G580/E580,"")</f>
        <v>0</v>
      </c>
    </row>
    <row r="581" spans="1:9">
      <c r="A581" s="4" t="s">
        <v>309</v>
      </c>
      <c r="B581" s="6" t="s">
        <v>310</v>
      </c>
      <c r="C581" s="6">
        <v>2020</v>
      </c>
      <c r="D581" s="7">
        <v>2864175</v>
      </c>
      <c r="E581" s="7">
        <v>11737396.679</v>
      </c>
      <c r="F581" s="7">
        <v>0</v>
      </c>
      <c r="G581" s="7">
        <v>0</v>
      </c>
      <c r="H581" s="8">
        <f>IFERROR(F581/D581,"")</f>
        <v>0</v>
      </c>
      <c r="I581" s="8">
        <f>IFERROR(G581/E581,"")</f>
        <v>0</v>
      </c>
    </row>
    <row r="582" spans="1:9">
      <c r="A582" s="4" t="s">
        <v>309</v>
      </c>
      <c r="B582" s="6" t="s">
        <v>310</v>
      </c>
      <c r="C582" s="6">
        <v>2021</v>
      </c>
      <c r="D582" s="7">
        <v>3005318</v>
      </c>
      <c r="E582" s="7">
        <v>0</v>
      </c>
      <c r="F582" s="7">
        <v>0</v>
      </c>
      <c r="G582" s="7">
        <v>0</v>
      </c>
      <c r="H582" s="8">
        <f>IFERROR(F582/D582,"")</f>
        <v>0</v>
      </c>
      <c r="I582" s="9">
        <f>"n/a"</f>
        <v>0</v>
      </c>
    </row>
    <row r="583" spans="1:9">
      <c r="A583" s="4" t="s">
        <v>309</v>
      </c>
      <c r="B583" s="6" t="s">
        <v>310</v>
      </c>
      <c r="C583" s="6">
        <v>2022</v>
      </c>
      <c r="D583" s="7">
        <v>5213475</v>
      </c>
      <c r="E583" s="7">
        <v>16953633.028</v>
      </c>
      <c r="F583" s="7">
        <v>0</v>
      </c>
      <c r="G583" s="7">
        <v>0</v>
      </c>
      <c r="H583" s="8">
        <f>IFERROR(F583/D583,"")</f>
        <v>0</v>
      </c>
      <c r="I583" s="8">
        <f>IFERROR(G583/E583,"")</f>
        <v>0</v>
      </c>
    </row>
    <row r="584" spans="1:9">
      <c r="A584" s="4" t="s">
        <v>309</v>
      </c>
      <c r="B584" s="6" t="s">
        <v>310</v>
      </c>
      <c r="C584" s="6">
        <v>2023</v>
      </c>
      <c r="D584" s="7">
        <v>3718351</v>
      </c>
      <c r="E584" s="7">
        <v>7618907.468</v>
      </c>
      <c r="F584" s="7">
        <v>58618</v>
      </c>
      <c r="G584" s="7">
        <v>216000</v>
      </c>
      <c r="H584" s="8">
        <f>IFERROR(F584/D584,"")</f>
        <v>0</v>
      </c>
      <c r="I584" s="8">
        <f>IFERROR(G584/E584,"")</f>
        <v>0</v>
      </c>
    </row>
    <row r="585" spans="1:9">
      <c r="A585" s="4" t="s">
        <v>309</v>
      </c>
      <c r="B585" s="6" t="s">
        <v>310</v>
      </c>
      <c r="C585" s="6">
        <v>2024</v>
      </c>
      <c r="D585" s="7">
        <v>5284231</v>
      </c>
      <c r="E585" s="7">
        <v>12649785.29</v>
      </c>
      <c r="F585" s="7">
        <v>0</v>
      </c>
      <c r="G585" s="7">
        <v>0</v>
      </c>
      <c r="H585" s="8">
        <f>IFERROR(F585/D585,"")</f>
        <v>0</v>
      </c>
      <c r="I585" s="8">
        <f>IFERROR(G585/E585,"")</f>
        <v>0</v>
      </c>
    </row>
    <row r="586" spans="1:9">
      <c r="A586" s="4" t="s">
        <v>309</v>
      </c>
      <c r="B586" s="6" t="s">
        <v>310</v>
      </c>
      <c r="C586" s="6">
        <v>2025</v>
      </c>
      <c r="D586" s="7">
        <v>5399110</v>
      </c>
      <c r="E586" s="7">
        <v>12892780.45</v>
      </c>
      <c r="F586" s="7">
        <v>16590</v>
      </c>
      <c r="G586" s="7">
        <v>54005</v>
      </c>
      <c r="H586" s="8">
        <f>IFERROR(F586/D586,"")</f>
        <v>0</v>
      </c>
      <c r="I586" s="8">
        <f>IFERROR(G586/E586,"")</f>
        <v>0</v>
      </c>
    </row>
    <row r="587" spans="1:9">
      <c r="A587" s="4" t="s">
        <v>311</v>
      </c>
      <c r="B587" s="6" t="s">
        <v>312</v>
      </c>
      <c r="C587" s="6">
        <v>2019</v>
      </c>
      <c r="D587" s="7">
        <v>18178059.033</v>
      </c>
      <c r="E587" s="7">
        <v>77283247.72</v>
      </c>
      <c r="F587" s="7">
        <v>0</v>
      </c>
      <c r="G587" s="7">
        <v>0</v>
      </c>
      <c r="H587" s="8">
        <f>IFERROR(F587/D587,"")</f>
        <v>0</v>
      </c>
      <c r="I587" s="8">
        <f>IFERROR(G587/E587,"")</f>
        <v>0</v>
      </c>
    </row>
    <row r="588" spans="1:9">
      <c r="A588" s="4" t="s">
        <v>311</v>
      </c>
      <c r="B588" s="6" t="s">
        <v>312</v>
      </c>
      <c r="C588" s="6">
        <v>2020</v>
      </c>
      <c r="D588" s="7">
        <v>11193435.626</v>
      </c>
      <c r="E588" s="7">
        <v>44607415.357</v>
      </c>
      <c r="F588" s="7">
        <v>0</v>
      </c>
      <c r="G588" s="7">
        <v>0</v>
      </c>
      <c r="H588" s="8">
        <f>IFERROR(F588/D588,"")</f>
        <v>0</v>
      </c>
      <c r="I588" s="8">
        <f>IFERROR(G588/E588,"")</f>
        <v>0</v>
      </c>
    </row>
    <row r="589" spans="1:9">
      <c r="A589" s="4" t="s">
        <v>311</v>
      </c>
      <c r="B589" s="6" t="s">
        <v>312</v>
      </c>
      <c r="C589" s="6">
        <v>2021</v>
      </c>
      <c r="D589" s="7">
        <v>13557189.71</v>
      </c>
      <c r="E589" s="7">
        <v>0</v>
      </c>
      <c r="F589" s="7">
        <v>0</v>
      </c>
      <c r="G589" s="7">
        <v>0</v>
      </c>
      <c r="H589" s="8">
        <f>IFERROR(F589/D589,"")</f>
        <v>0</v>
      </c>
      <c r="I589" s="9">
        <f>"n/a"</f>
        <v>0</v>
      </c>
    </row>
    <row r="590" spans="1:9">
      <c r="A590" s="4" t="s">
        <v>311</v>
      </c>
      <c r="B590" s="6" t="s">
        <v>312</v>
      </c>
      <c r="C590" s="6">
        <v>2022</v>
      </c>
      <c r="D590" s="7">
        <v>6136300.599</v>
      </c>
      <c r="E590" s="7">
        <v>17356261.304</v>
      </c>
      <c r="F590" s="7">
        <v>0</v>
      </c>
      <c r="G590" s="7">
        <v>0</v>
      </c>
      <c r="H590" s="8">
        <f>IFERROR(F590/D590,"")</f>
        <v>0</v>
      </c>
      <c r="I590" s="8">
        <f>IFERROR(G590/E590,"")</f>
        <v>0</v>
      </c>
    </row>
    <row r="591" spans="1:9">
      <c r="A591" s="4" t="s">
        <v>311</v>
      </c>
      <c r="B591" s="6" t="s">
        <v>312</v>
      </c>
      <c r="C591" s="6">
        <v>2023</v>
      </c>
      <c r="D591" s="7">
        <v>7317908.378</v>
      </c>
      <c r="E591" s="7">
        <v>14926984.366</v>
      </c>
      <c r="F591" s="7">
        <v>0</v>
      </c>
      <c r="G591" s="7">
        <v>0</v>
      </c>
      <c r="H591" s="8">
        <f>IFERROR(F591/D591,"")</f>
        <v>0</v>
      </c>
      <c r="I591" s="8">
        <f>IFERROR(G591/E591,"")</f>
        <v>0</v>
      </c>
    </row>
    <row r="592" spans="1:9">
      <c r="A592" s="4" t="s">
        <v>311</v>
      </c>
      <c r="B592" s="6" t="s">
        <v>312</v>
      </c>
      <c r="C592" s="6">
        <v>2024</v>
      </c>
      <c r="D592" s="7">
        <v>15820139.922</v>
      </c>
      <c r="E592" s="7">
        <v>40844645.85</v>
      </c>
      <c r="F592" s="7">
        <v>0</v>
      </c>
      <c r="G592" s="7">
        <v>0</v>
      </c>
      <c r="H592" s="8">
        <f>IFERROR(F592/D592,"")</f>
        <v>0</v>
      </c>
      <c r="I592" s="8">
        <f>IFERROR(G592/E592,"")</f>
        <v>0</v>
      </c>
    </row>
    <row r="593" spans="1:9">
      <c r="A593" s="4" t="s">
        <v>311</v>
      </c>
      <c r="B593" s="6" t="s">
        <v>312</v>
      </c>
      <c r="C593" s="6">
        <v>2025</v>
      </c>
      <c r="D593" s="7">
        <v>20361612.046</v>
      </c>
      <c r="E593" s="7">
        <v>58149168.643</v>
      </c>
      <c r="F593" s="7">
        <v>0</v>
      </c>
      <c r="G593" s="7">
        <v>0</v>
      </c>
      <c r="H593" s="8">
        <f>IFERROR(F593/D593,"")</f>
        <v>0</v>
      </c>
      <c r="I593" s="8">
        <f>IFERROR(G593/E593,"")</f>
        <v>0</v>
      </c>
    </row>
    <row r="594" spans="1:9">
      <c r="A594" s="4" t="s">
        <v>313</v>
      </c>
      <c r="B594" s="6" t="s">
        <v>314</v>
      </c>
      <c r="C594" s="6">
        <v>2019</v>
      </c>
      <c r="D594" s="7">
        <v>153652.918</v>
      </c>
      <c r="E594" s="7">
        <v>0</v>
      </c>
      <c r="F594" s="7">
        <v>58665.566</v>
      </c>
      <c r="G594" s="7">
        <v>165765</v>
      </c>
      <c r="H594" s="8">
        <f>IFERROR(F594/D594,"")</f>
        <v>0</v>
      </c>
      <c r="I594" s="9">
        <f>"n/a"</f>
        <v>0</v>
      </c>
    </row>
    <row r="595" spans="1:9">
      <c r="A595" s="4" t="s">
        <v>313</v>
      </c>
      <c r="B595" s="6" t="s">
        <v>314</v>
      </c>
      <c r="C595" s="6">
        <v>2020</v>
      </c>
      <c r="D595" s="7">
        <v>99157.344</v>
      </c>
      <c r="E595" s="7">
        <v>229368.62</v>
      </c>
      <c r="F595" s="7">
        <v>62147.878</v>
      </c>
      <c r="G595" s="7">
        <v>167000</v>
      </c>
      <c r="H595" s="8">
        <f>IFERROR(F595/D595,"")</f>
        <v>0</v>
      </c>
      <c r="I595" s="8">
        <f>IFERROR(G595/E595,"")</f>
        <v>0</v>
      </c>
    </row>
    <row r="596" spans="1:9">
      <c r="A596" s="4" t="s">
        <v>313</v>
      </c>
      <c r="B596" s="6" t="s">
        <v>314</v>
      </c>
      <c r="C596" s="6">
        <v>2021</v>
      </c>
      <c r="D596" s="7">
        <v>185655.806</v>
      </c>
      <c r="E596" s="7">
        <v>0</v>
      </c>
      <c r="F596" s="7">
        <v>96870.637</v>
      </c>
      <c r="G596" s="7">
        <v>231000</v>
      </c>
      <c r="H596" s="8">
        <f>IFERROR(F596/D596,"")</f>
        <v>0</v>
      </c>
      <c r="I596" s="9">
        <f>"n/a"</f>
        <v>0</v>
      </c>
    </row>
    <row r="597" spans="1:9">
      <c r="A597" s="4" t="s">
        <v>313</v>
      </c>
      <c r="B597" s="6" t="s">
        <v>314</v>
      </c>
      <c r="C597" s="6">
        <v>2022</v>
      </c>
      <c r="D597" s="7">
        <v>1303942.675</v>
      </c>
      <c r="E597" s="7">
        <v>0</v>
      </c>
      <c r="F597" s="7">
        <v>776676.4889999999</v>
      </c>
      <c r="G597" s="7">
        <v>1247504</v>
      </c>
      <c r="H597" s="8">
        <f>IFERROR(F597/D597,"")</f>
        <v>0</v>
      </c>
      <c r="I597" s="9">
        <f>"n/a"</f>
        <v>0</v>
      </c>
    </row>
    <row r="598" spans="1:9">
      <c r="A598" s="4" t="s">
        <v>313</v>
      </c>
      <c r="B598" s="6" t="s">
        <v>314</v>
      </c>
      <c r="C598" s="6">
        <v>2023</v>
      </c>
      <c r="D598" s="7">
        <v>703716.775</v>
      </c>
      <c r="E598" s="7">
        <v>0</v>
      </c>
      <c r="F598" s="7">
        <v>199467.268</v>
      </c>
      <c r="G598" s="7">
        <v>455000</v>
      </c>
      <c r="H598" s="8">
        <f>IFERROR(F598/D598,"")</f>
        <v>0</v>
      </c>
      <c r="I598" s="9">
        <f>"n/a"</f>
        <v>0</v>
      </c>
    </row>
    <row r="599" spans="1:9">
      <c r="A599" s="4" t="s">
        <v>313</v>
      </c>
      <c r="B599" s="6" t="s">
        <v>314</v>
      </c>
      <c r="C599" s="6">
        <v>2024</v>
      </c>
      <c r="D599" s="7">
        <v>1328782.476</v>
      </c>
      <c r="E599" s="7">
        <v>3571922.35</v>
      </c>
      <c r="F599" s="7">
        <v>314181.564</v>
      </c>
      <c r="G599" s="7">
        <v>766548</v>
      </c>
      <c r="H599" s="8">
        <f>IFERROR(F599/D599,"")</f>
        <v>0</v>
      </c>
      <c r="I599" s="8">
        <f>IFERROR(G599/E599,"")</f>
        <v>0</v>
      </c>
    </row>
    <row r="600" spans="1:9">
      <c r="A600" s="4" t="s">
        <v>313</v>
      </c>
      <c r="B600" s="6" t="s">
        <v>314</v>
      </c>
      <c r="C600" s="6">
        <v>2025</v>
      </c>
      <c r="D600" s="7">
        <v>1085609.746</v>
      </c>
      <c r="E600" s="7">
        <v>2848354.667</v>
      </c>
      <c r="F600" s="7">
        <v>434511.899</v>
      </c>
      <c r="G600" s="7">
        <v>1109700.38</v>
      </c>
      <c r="H600" s="8">
        <f>IFERROR(F600/D600,"")</f>
        <v>0</v>
      </c>
      <c r="I600" s="8">
        <f>IFERROR(G600/E600,"")</f>
        <v>0</v>
      </c>
    </row>
    <row r="601" spans="1:9">
      <c r="A601" s="4" t="s">
        <v>315</v>
      </c>
      <c r="B601" s="6" t="s">
        <v>316</v>
      </c>
      <c r="C601" s="6">
        <v>2019</v>
      </c>
      <c r="D601" s="7">
        <v>43418.063</v>
      </c>
      <c r="E601" s="7">
        <v>84081</v>
      </c>
      <c r="F601" s="7">
        <v>42023.154</v>
      </c>
      <c r="G601" s="7">
        <v>82000</v>
      </c>
      <c r="H601" s="8">
        <f>IFERROR(F601/D601,"")</f>
        <v>0</v>
      </c>
      <c r="I601" s="8">
        <f>IFERROR(G601/E601,"")</f>
        <v>0</v>
      </c>
    </row>
    <row r="602" spans="1:9">
      <c r="A602" s="4" t="s">
        <v>315</v>
      </c>
      <c r="B602" s="6" t="s">
        <v>316</v>
      </c>
      <c r="C602" s="6">
        <v>2020</v>
      </c>
      <c r="D602" s="7">
        <v>38703.917</v>
      </c>
      <c r="E602" s="7">
        <v>59534</v>
      </c>
      <c r="F602" s="7">
        <v>809.011</v>
      </c>
      <c r="G602" s="7">
        <v>1000</v>
      </c>
      <c r="H602" s="8">
        <f>IFERROR(F602/D602,"")</f>
        <v>0</v>
      </c>
      <c r="I602" s="8">
        <f>IFERROR(G602/E602,"")</f>
        <v>0</v>
      </c>
    </row>
    <row r="603" spans="1:9">
      <c r="A603" s="4" t="s">
        <v>315</v>
      </c>
      <c r="B603" s="6" t="s">
        <v>316</v>
      </c>
      <c r="C603" s="6">
        <v>2021</v>
      </c>
      <c r="D603" s="7">
        <v>69898.88400000001</v>
      </c>
      <c r="E603" s="7">
        <v>112909</v>
      </c>
      <c r="F603" s="7">
        <v>37724.217</v>
      </c>
      <c r="G603" s="7">
        <v>70108</v>
      </c>
      <c r="H603" s="8">
        <f>IFERROR(F603/D603,"")</f>
        <v>0</v>
      </c>
      <c r="I603" s="8">
        <f>IFERROR(G603/E603,"")</f>
        <v>0</v>
      </c>
    </row>
    <row r="604" spans="1:9">
      <c r="A604" s="4" t="s">
        <v>315</v>
      </c>
      <c r="B604" s="6" t="s">
        <v>316</v>
      </c>
      <c r="C604" s="6">
        <v>2022</v>
      </c>
      <c r="D604" s="7">
        <v>18459.632</v>
      </c>
      <c r="E604" s="7">
        <v>32512.4</v>
      </c>
      <c r="F604" s="7">
        <v>0</v>
      </c>
      <c r="G604" s="7">
        <v>0</v>
      </c>
      <c r="H604" s="8">
        <f>IFERROR(F604/D604,"")</f>
        <v>0</v>
      </c>
      <c r="I604" s="8">
        <f>IFERROR(G604/E604,"")</f>
        <v>0</v>
      </c>
    </row>
    <row r="605" spans="1:9">
      <c r="A605" s="4" t="s">
        <v>315</v>
      </c>
      <c r="B605" s="6" t="s">
        <v>316</v>
      </c>
      <c r="C605" s="6">
        <v>2023</v>
      </c>
      <c r="D605" s="7">
        <v>104800.67</v>
      </c>
      <c r="E605" s="7">
        <v>126164</v>
      </c>
      <c r="F605" s="7">
        <v>50571.87</v>
      </c>
      <c r="G605" s="7">
        <v>67090</v>
      </c>
      <c r="H605" s="8">
        <f>IFERROR(F605/D605,"")</f>
        <v>0</v>
      </c>
      <c r="I605" s="8">
        <f>IFERROR(G605/E605,"")</f>
        <v>0</v>
      </c>
    </row>
    <row r="606" spans="1:9">
      <c r="A606" s="4" t="s">
        <v>315</v>
      </c>
      <c r="B606" s="6" t="s">
        <v>316</v>
      </c>
      <c r="C606" s="6">
        <v>2024</v>
      </c>
      <c r="D606" s="7">
        <v>99357.531</v>
      </c>
      <c r="E606" s="7">
        <v>169918.54</v>
      </c>
      <c r="F606" s="7">
        <v>37042.672</v>
      </c>
      <c r="G606" s="7">
        <v>82320</v>
      </c>
      <c r="H606" s="8">
        <f>IFERROR(F606/D606,"")</f>
        <v>0</v>
      </c>
      <c r="I606" s="8">
        <f>IFERROR(G606/E606,"")</f>
        <v>0</v>
      </c>
    </row>
    <row r="607" spans="1:9">
      <c r="A607" s="4" t="s">
        <v>315</v>
      </c>
      <c r="B607" s="6" t="s">
        <v>316</v>
      </c>
      <c r="C607" s="6">
        <v>2025</v>
      </c>
      <c r="D607" s="7">
        <v>109804.351</v>
      </c>
      <c r="E607" s="7">
        <v>161188</v>
      </c>
      <c r="F607" s="7">
        <v>59893.149</v>
      </c>
      <c r="G607" s="7">
        <v>96283</v>
      </c>
      <c r="H607" s="8">
        <f>IFERROR(F607/D607,"")</f>
        <v>0</v>
      </c>
      <c r="I607" s="8">
        <f>IFERROR(G607/E607,"")</f>
        <v>0</v>
      </c>
    </row>
    <row r="608" spans="1:9">
      <c r="A608" s="4" t="s">
        <v>83</v>
      </c>
      <c r="B608" s="6" t="s">
        <v>84</v>
      </c>
      <c r="C608" s="6">
        <v>2019</v>
      </c>
      <c r="D608" s="7">
        <v>116724494.62</v>
      </c>
      <c r="E608" s="7">
        <v>0</v>
      </c>
      <c r="F608" s="7">
        <v>8729485.706</v>
      </c>
      <c r="G608" s="7">
        <v>32664900</v>
      </c>
      <c r="H608" s="8">
        <f>IFERROR(F608/D608,"")</f>
        <v>0</v>
      </c>
      <c r="I608" s="9">
        <f>"n/a"</f>
        <v>0</v>
      </c>
    </row>
    <row r="609" spans="1:9">
      <c r="A609" s="4" t="s">
        <v>83</v>
      </c>
      <c r="B609" s="6" t="s">
        <v>84</v>
      </c>
      <c r="C609" s="6">
        <v>2020</v>
      </c>
      <c r="D609" s="7">
        <v>117989279.263</v>
      </c>
      <c r="E609" s="7">
        <v>528279015.85</v>
      </c>
      <c r="F609" s="7">
        <v>9040834.126</v>
      </c>
      <c r="G609" s="7">
        <v>44678600</v>
      </c>
      <c r="H609" s="8">
        <f>IFERROR(F609/D609,"")</f>
        <v>0</v>
      </c>
      <c r="I609" s="8">
        <f>IFERROR(G609/E609,"")</f>
        <v>0</v>
      </c>
    </row>
    <row r="610" spans="1:9">
      <c r="A610" s="4" t="s">
        <v>83</v>
      </c>
      <c r="B610" s="6" t="s">
        <v>84</v>
      </c>
      <c r="C610" s="6">
        <v>2021</v>
      </c>
      <c r="D610" s="7">
        <v>133184515.719</v>
      </c>
      <c r="E610" s="7">
        <v>0</v>
      </c>
      <c r="F610" s="7">
        <v>4653334.334</v>
      </c>
      <c r="G610" s="7">
        <v>18954627</v>
      </c>
      <c r="H610" s="8">
        <f>IFERROR(F610/D610,"")</f>
        <v>0</v>
      </c>
      <c r="I610" s="9">
        <f>"n/a"</f>
        <v>0</v>
      </c>
    </row>
    <row r="611" spans="1:9">
      <c r="A611" s="4" t="s">
        <v>83</v>
      </c>
      <c r="B611" s="6" t="s">
        <v>84</v>
      </c>
      <c r="C611" s="6">
        <v>2022</v>
      </c>
      <c r="D611" s="7">
        <v>209060989.063</v>
      </c>
      <c r="E611" s="7">
        <v>585547626</v>
      </c>
      <c r="F611" s="7">
        <v>33562570.033</v>
      </c>
      <c r="G611" s="7">
        <v>74831300</v>
      </c>
      <c r="H611" s="8">
        <f>IFERROR(F611/D611,"")</f>
        <v>0</v>
      </c>
      <c r="I611" s="8">
        <f>IFERROR(G611/E611,"")</f>
        <v>0</v>
      </c>
    </row>
    <row r="612" spans="1:9">
      <c r="A612" s="4" t="s">
        <v>83</v>
      </c>
      <c r="B612" s="6" t="s">
        <v>84</v>
      </c>
      <c r="C612" s="6">
        <v>2023</v>
      </c>
      <c r="D612" s="7">
        <v>190305420.1</v>
      </c>
      <c r="E612" s="7">
        <v>0</v>
      </c>
      <c r="F612" s="7">
        <v>45857449.904</v>
      </c>
      <c r="G612" s="7">
        <v>131948000</v>
      </c>
      <c r="H612" s="8">
        <f>IFERROR(F612/D612,"")</f>
        <v>0</v>
      </c>
      <c r="I612" s="9">
        <f>"n/a"</f>
        <v>0</v>
      </c>
    </row>
    <row r="613" spans="1:9">
      <c r="A613" s="4" t="s">
        <v>83</v>
      </c>
      <c r="B613" s="6" t="s">
        <v>84</v>
      </c>
      <c r="C613" s="6">
        <v>2024</v>
      </c>
      <c r="D613" s="7">
        <v>232169814.045</v>
      </c>
      <c r="E613" s="7">
        <v>0</v>
      </c>
      <c r="F613" s="7">
        <v>37352175.172</v>
      </c>
      <c r="G613" s="7">
        <v>125864060</v>
      </c>
      <c r="H613" s="8">
        <f>IFERROR(F613/D613,"")</f>
        <v>0</v>
      </c>
      <c r="I613" s="9">
        <f>"n/a"</f>
        <v>0</v>
      </c>
    </row>
    <row r="614" spans="1:9">
      <c r="A614" s="4" t="s">
        <v>83</v>
      </c>
      <c r="B614" s="6" t="s">
        <v>84</v>
      </c>
      <c r="C614" s="6">
        <v>2025</v>
      </c>
      <c r="D614" s="7">
        <v>175555138.59</v>
      </c>
      <c r="E614" s="7">
        <v>0</v>
      </c>
      <c r="F614" s="7">
        <v>41319051.339</v>
      </c>
      <c r="G614" s="7">
        <v>207273959.96</v>
      </c>
      <c r="H614" s="8">
        <f>IFERROR(F614/D614,"")</f>
        <v>0</v>
      </c>
      <c r="I614" s="9">
        <f>"n/a"</f>
        <v>0</v>
      </c>
    </row>
    <row r="615" spans="1:9">
      <c r="A615" s="4" t="s">
        <v>317</v>
      </c>
      <c r="B615" s="6" t="s">
        <v>318</v>
      </c>
      <c r="C615" s="6">
        <v>2019</v>
      </c>
      <c r="D615" s="7">
        <v>1072.24</v>
      </c>
      <c r="E615" s="7">
        <v>748</v>
      </c>
      <c r="F615" s="7">
        <v>0</v>
      </c>
      <c r="G615" s="7">
        <v>0</v>
      </c>
      <c r="H615" s="8">
        <f>IFERROR(F615/D615,"")</f>
        <v>0</v>
      </c>
      <c r="I615" s="8">
        <f>IFERROR(G615/E615,"")</f>
        <v>0</v>
      </c>
    </row>
    <row r="616" spans="1:9">
      <c r="A616" s="4" t="s">
        <v>317</v>
      </c>
      <c r="B616" s="6" t="s">
        <v>318</v>
      </c>
      <c r="C616" s="6">
        <v>2020</v>
      </c>
      <c r="D616" s="7">
        <v>30.556</v>
      </c>
      <c r="E616" s="7">
        <v>1.8</v>
      </c>
      <c r="F616" s="7">
        <v>0</v>
      </c>
      <c r="G616" s="7">
        <v>0</v>
      </c>
      <c r="H616" s="8">
        <f>IFERROR(F616/D616,"")</f>
        <v>0</v>
      </c>
      <c r="I616" s="8">
        <f>IFERROR(G616/E616,"")</f>
        <v>0</v>
      </c>
    </row>
    <row r="617" spans="1:9">
      <c r="A617" s="4" t="s">
        <v>317</v>
      </c>
      <c r="B617" s="6" t="s">
        <v>318</v>
      </c>
      <c r="C617" s="6">
        <v>2021</v>
      </c>
      <c r="D617" s="7">
        <v>4423.36</v>
      </c>
      <c r="E617" s="7">
        <v>4852.1</v>
      </c>
      <c r="F617" s="7">
        <v>0</v>
      </c>
      <c r="G617" s="7">
        <v>0</v>
      </c>
      <c r="H617" s="8">
        <f>IFERROR(F617/D617,"")</f>
        <v>0</v>
      </c>
      <c r="I617" s="8">
        <f>IFERROR(G617/E617,"")</f>
        <v>0</v>
      </c>
    </row>
    <row r="618" spans="1:9">
      <c r="A618" s="4" t="s">
        <v>317</v>
      </c>
      <c r="B618" s="6" t="s">
        <v>318</v>
      </c>
      <c r="C618" s="6">
        <v>2022</v>
      </c>
      <c r="D618" s="7">
        <v>4507.912</v>
      </c>
      <c r="E618" s="7">
        <v>2000</v>
      </c>
      <c r="F618" s="7">
        <v>0</v>
      </c>
      <c r="G618" s="7">
        <v>0</v>
      </c>
      <c r="H618" s="8">
        <f>IFERROR(F618/D618,"")</f>
        <v>0</v>
      </c>
      <c r="I618" s="8">
        <f>IFERROR(G618/E618,"")</f>
        <v>0</v>
      </c>
    </row>
    <row r="619" spans="1:9">
      <c r="A619" s="4" t="s">
        <v>317</v>
      </c>
      <c r="B619" s="6" t="s">
        <v>318</v>
      </c>
      <c r="C619" s="6">
        <v>2023</v>
      </c>
      <c r="D619" s="7">
        <v>7592.184</v>
      </c>
      <c r="E619" s="7">
        <v>456</v>
      </c>
      <c r="F619" s="7">
        <v>0</v>
      </c>
      <c r="G619" s="7">
        <v>0</v>
      </c>
      <c r="H619" s="8">
        <f>IFERROR(F619/D619,"")</f>
        <v>0</v>
      </c>
      <c r="I619" s="8">
        <f>IFERROR(G619/E619,"")</f>
        <v>0</v>
      </c>
    </row>
    <row r="620" spans="1:9">
      <c r="A620" s="4" t="s">
        <v>317</v>
      </c>
      <c r="B620" s="6" t="s">
        <v>318</v>
      </c>
      <c r="C620" s="6">
        <v>2024</v>
      </c>
      <c r="D620" s="7">
        <v>18.401</v>
      </c>
      <c r="E620" s="7">
        <v>3.5</v>
      </c>
      <c r="F620" s="7">
        <v>0</v>
      </c>
      <c r="G620" s="7">
        <v>0</v>
      </c>
      <c r="H620" s="8">
        <f>IFERROR(F620/D620,"")</f>
        <v>0</v>
      </c>
      <c r="I620" s="8">
        <f>IFERROR(G620/E620,"")</f>
        <v>0</v>
      </c>
    </row>
    <row r="621" spans="1:9">
      <c r="A621" s="4" t="s">
        <v>317</v>
      </c>
      <c r="B621" s="6" t="s">
        <v>318</v>
      </c>
      <c r="C621" s="6">
        <v>2025</v>
      </c>
      <c r="D621" s="7">
        <v>11842.435</v>
      </c>
      <c r="E621" s="7">
        <v>2280</v>
      </c>
      <c r="F621" s="7">
        <v>0</v>
      </c>
      <c r="G621" s="7">
        <v>0</v>
      </c>
      <c r="H621" s="8">
        <f>IFERROR(F621/D621,"")</f>
        <v>0</v>
      </c>
      <c r="I621" s="8">
        <f>IFERROR(G621/E621,"")</f>
        <v>0</v>
      </c>
    </row>
    <row r="622" spans="1:9">
      <c r="A622" s="4" t="s">
        <v>319</v>
      </c>
      <c r="B622" s="6" t="s">
        <v>320</v>
      </c>
      <c r="C622" s="6">
        <v>2019</v>
      </c>
      <c r="D622" s="7">
        <v>672328.1800000001</v>
      </c>
      <c r="E622" s="7">
        <v>1920973</v>
      </c>
      <c r="F622" s="7">
        <v>124229.77</v>
      </c>
      <c r="G622" s="7">
        <v>349339</v>
      </c>
      <c r="H622" s="8">
        <f>IFERROR(F622/D622,"")</f>
        <v>0</v>
      </c>
      <c r="I622" s="8">
        <f>IFERROR(G622/E622,"")</f>
        <v>0</v>
      </c>
    </row>
    <row r="623" spans="1:9">
      <c r="A623" s="4" t="s">
        <v>319</v>
      </c>
      <c r="B623" s="6" t="s">
        <v>320</v>
      </c>
      <c r="C623" s="6">
        <v>2020</v>
      </c>
      <c r="D623" s="7">
        <v>773237.068</v>
      </c>
      <c r="E623" s="7">
        <v>0</v>
      </c>
      <c r="F623" s="7">
        <v>9330.797</v>
      </c>
      <c r="G623" s="7">
        <v>14000</v>
      </c>
      <c r="H623" s="8">
        <f>IFERROR(F623/D623,"")</f>
        <v>0</v>
      </c>
      <c r="I623" s="9">
        <f>"n/a"</f>
        <v>0</v>
      </c>
    </row>
    <row r="624" spans="1:9">
      <c r="A624" s="4" t="s">
        <v>319</v>
      </c>
      <c r="B624" s="6" t="s">
        <v>320</v>
      </c>
      <c r="C624" s="6">
        <v>2021</v>
      </c>
      <c r="D624" s="7">
        <v>859999.097</v>
      </c>
      <c r="E624" s="7">
        <v>2266081.2</v>
      </c>
      <c r="F624" s="7">
        <v>1173.129</v>
      </c>
      <c r="G624" s="7">
        <v>5000</v>
      </c>
      <c r="H624" s="8">
        <f>IFERROR(F624/D624,"")</f>
        <v>0</v>
      </c>
      <c r="I624" s="8">
        <f>IFERROR(G624/E624,"")</f>
        <v>0</v>
      </c>
    </row>
    <row r="625" spans="1:9">
      <c r="A625" s="4" t="s">
        <v>319</v>
      </c>
      <c r="B625" s="6" t="s">
        <v>320</v>
      </c>
      <c r="C625" s="6">
        <v>2022</v>
      </c>
      <c r="D625" s="7">
        <v>1174874.141</v>
      </c>
      <c r="E625" s="7">
        <v>2443847.7</v>
      </c>
      <c r="F625" s="7">
        <v>0</v>
      </c>
      <c r="G625" s="7">
        <v>0</v>
      </c>
      <c r="H625" s="8">
        <f>IFERROR(F625/D625,"")</f>
        <v>0</v>
      </c>
      <c r="I625" s="8">
        <f>IFERROR(G625/E625,"")</f>
        <v>0</v>
      </c>
    </row>
    <row r="626" spans="1:9">
      <c r="A626" s="4" t="s">
        <v>319</v>
      </c>
      <c r="B626" s="6" t="s">
        <v>320</v>
      </c>
      <c r="C626" s="6">
        <v>2023</v>
      </c>
      <c r="D626" s="7">
        <v>2456329.162</v>
      </c>
      <c r="E626" s="7">
        <v>4960764</v>
      </c>
      <c r="F626" s="7">
        <v>652106.13</v>
      </c>
      <c r="G626" s="7">
        <v>986605</v>
      </c>
      <c r="H626" s="8">
        <f>IFERROR(F626/D626,"")</f>
        <v>0</v>
      </c>
      <c r="I626" s="8">
        <f>IFERROR(G626/E626,"")</f>
        <v>0</v>
      </c>
    </row>
    <row r="627" spans="1:9">
      <c r="A627" s="4" t="s">
        <v>319</v>
      </c>
      <c r="B627" s="6" t="s">
        <v>320</v>
      </c>
      <c r="C627" s="6">
        <v>2024</v>
      </c>
      <c r="D627" s="7">
        <v>193219.026</v>
      </c>
      <c r="E627" s="7">
        <v>532014</v>
      </c>
      <c r="F627" s="7">
        <v>15666.247</v>
      </c>
      <c r="G627" s="7">
        <v>2506</v>
      </c>
      <c r="H627" s="8">
        <f>IFERROR(F627/D627,"")</f>
        <v>0</v>
      </c>
      <c r="I627" s="8">
        <f>IFERROR(G627/E627,"")</f>
        <v>0</v>
      </c>
    </row>
    <row r="628" spans="1:9">
      <c r="A628" s="4" t="s">
        <v>321</v>
      </c>
      <c r="B628" s="6" t="s">
        <v>322</v>
      </c>
      <c r="C628" s="6">
        <v>2019</v>
      </c>
      <c r="D628" s="7">
        <v>50361.897</v>
      </c>
      <c r="E628" s="7">
        <v>0</v>
      </c>
      <c r="F628" s="7">
        <v>0</v>
      </c>
      <c r="G628" s="7">
        <v>0</v>
      </c>
      <c r="H628" s="8">
        <f>IFERROR(F628/D628,"")</f>
        <v>0</v>
      </c>
      <c r="I628" s="9">
        <f>"n/a"</f>
        <v>0</v>
      </c>
    </row>
    <row r="629" spans="1:9">
      <c r="A629" s="4" t="s">
        <v>321</v>
      </c>
      <c r="B629" s="6" t="s">
        <v>322</v>
      </c>
      <c r="C629" s="6">
        <v>2020</v>
      </c>
      <c r="D629" s="7">
        <v>42525.099</v>
      </c>
      <c r="E629" s="7">
        <v>60357</v>
      </c>
      <c r="F629" s="7">
        <v>0</v>
      </c>
      <c r="G629" s="7">
        <v>0</v>
      </c>
      <c r="H629" s="8">
        <f>IFERROR(F629/D629,"")</f>
        <v>0</v>
      </c>
      <c r="I629" s="8">
        <f>IFERROR(G629/E629,"")</f>
        <v>0</v>
      </c>
    </row>
    <row r="630" spans="1:9">
      <c r="A630" s="4" t="s">
        <v>321</v>
      </c>
      <c r="B630" s="6" t="s">
        <v>322</v>
      </c>
      <c r="C630" s="6">
        <v>2021</v>
      </c>
      <c r="D630" s="7">
        <v>15606.258</v>
      </c>
      <c r="E630" s="7">
        <v>0</v>
      </c>
      <c r="F630" s="7">
        <v>0</v>
      </c>
      <c r="G630" s="7">
        <v>0</v>
      </c>
      <c r="H630" s="8">
        <f>IFERROR(F630/D630,"")</f>
        <v>0</v>
      </c>
      <c r="I630" s="9">
        <f>"n/a"</f>
        <v>0</v>
      </c>
    </row>
    <row r="631" spans="1:9">
      <c r="A631" s="4" t="s">
        <v>321</v>
      </c>
      <c r="B631" s="6" t="s">
        <v>322</v>
      </c>
      <c r="C631" s="6">
        <v>2022</v>
      </c>
      <c r="D631" s="7">
        <v>87242.973</v>
      </c>
      <c r="E631" s="7">
        <v>53923</v>
      </c>
      <c r="F631" s="7">
        <v>0</v>
      </c>
      <c r="G631" s="7">
        <v>0</v>
      </c>
      <c r="H631" s="8">
        <f>IFERROR(F631/D631,"")</f>
        <v>0</v>
      </c>
      <c r="I631" s="8">
        <f>IFERROR(G631/E631,"")</f>
        <v>0</v>
      </c>
    </row>
    <row r="632" spans="1:9">
      <c r="A632" s="4" t="s">
        <v>321</v>
      </c>
      <c r="B632" s="6" t="s">
        <v>322</v>
      </c>
      <c r="C632" s="6">
        <v>2023</v>
      </c>
      <c r="D632" s="7">
        <v>31868.23</v>
      </c>
      <c r="E632" s="7">
        <v>39680</v>
      </c>
      <c r="F632" s="7">
        <v>0</v>
      </c>
      <c r="G632" s="7">
        <v>0</v>
      </c>
      <c r="H632" s="8">
        <f>IFERROR(F632/D632,"")</f>
        <v>0</v>
      </c>
      <c r="I632" s="8">
        <f>IFERROR(G632/E632,"")</f>
        <v>0</v>
      </c>
    </row>
    <row r="633" spans="1:9">
      <c r="A633" s="4" t="s">
        <v>321</v>
      </c>
      <c r="B633" s="6" t="s">
        <v>322</v>
      </c>
      <c r="C633" s="6">
        <v>2024</v>
      </c>
      <c r="D633" s="7">
        <v>91578.046</v>
      </c>
      <c r="E633" s="7">
        <v>72806</v>
      </c>
      <c r="F633" s="7">
        <v>0</v>
      </c>
      <c r="G633" s="7">
        <v>0</v>
      </c>
      <c r="H633" s="8">
        <f>IFERROR(F633/D633,"")</f>
        <v>0</v>
      </c>
      <c r="I633" s="8">
        <f>IFERROR(G633/E633,"")</f>
        <v>0</v>
      </c>
    </row>
    <row r="634" spans="1:9">
      <c r="A634" s="4" t="s">
        <v>321</v>
      </c>
      <c r="B634" s="6" t="s">
        <v>322</v>
      </c>
      <c r="C634" s="6">
        <v>2025</v>
      </c>
      <c r="D634" s="7">
        <v>32698.074</v>
      </c>
      <c r="E634" s="7">
        <v>0</v>
      </c>
      <c r="F634" s="7">
        <v>8.061</v>
      </c>
      <c r="G634" s="7">
        <v>4</v>
      </c>
      <c r="H634" s="8">
        <f>IFERROR(F634/D634,"")</f>
        <v>0</v>
      </c>
      <c r="I634" s="9">
        <f>"n/a"</f>
        <v>0</v>
      </c>
    </row>
    <row r="635" spans="1:9">
      <c r="A635" s="4" t="s">
        <v>323</v>
      </c>
      <c r="B635" s="6" t="s">
        <v>324</v>
      </c>
      <c r="C635" s="6">
        <v>2019</v>
      </c>
      <c r="D635" s="7">
        <v>28099.53</v>
      </c>
      <c r="E635" s="7">
        <v>117901</v>
      </c>
      <c r="F635" s="7">
        <v>0</v>
      </c>
      <c r="G635" s="7">
        <v>0</v>
      </c>
      <c r="H635" s="8">
        <f>IFERROR(F635/D635,"")</f>
        <v>0</v>
      </c>
      <c r="I635" s="8">
        <f>IFERROR(G635/E635,"")</f>
        <v>0</v>
      </c>
    </row>
    <row r="636" spans="1:9">
      <c r="A636" s="4" t="s">
        <v>323</v>
      </c>
      <c r="B636" s="6" t="s">
        <v>324</v>
      </c>
      <c r="C636" s="6">
        <v>2020</v>
      </c>
      <c r="D636" s="7">
        <v>3533.446</v>
      </c>
      <c r="E636" s="7">
        <v>29450</v>
      </c>
      <c r="F636" s="7">
        <v>0</v>
      </c>
      <c r="G636" s="7">
        <v>0</v>
      </c>
      <c r="H636" s="8">
        <f>IFERROR(F636/D636,"")</f>
        <v>0</v>
      </c>
      <c r="I636" s="8">
        <f>IFERROR(G636/E636,"")</f>
        <v>0</v>
      </c>
    </row>
    <row r="637" spans="1:9">
      <c r="A637" s="4" t="s">
        <v>323</v>
      </c>
      <c r="B637" s="6" t="s">
        <v>324</v>
      </c>
      <c r="C637" s="6">
        <v>2021</v>
      </c>
      <c r="D637" s="7">
        <v>2480.83</v>
      </c>
      <c r="E637" s="7">
        <v>45</v>
      </c>
      <c r="F637" s="7">
        <v>0</v>
      </c>
      <c r="G637" s="7">
        <v>0</v>
      </c>
      <c r="H637" s="8">
        <f>IFERROR(F637/D637,"")</f>
        <v>0</v>
      </c>
      <c r="I637" s="8">
        <f>IFERROR(G637/E637,"")</f>
        <v>0</v>
      </c>
    </row>
    <row r="638" spans="1:9">
      <c r="A638" s="4" t="s">
        <v>323</v>
      </c>
      <c r="B638" s="6" t="s">
        <v>324</v>
      </c>
      <c r="C638" s="6">
        <v>2022</v>
      </c>
      <c r="D638" s="7">
        <v>20012.037</v>
      </c>
      <c r="E638" s="7">
        <v>79178.13</v>
      </c>
      <c r="F638" s="7">
        <v>3129.204</v>
      </c>
      <c r="G638" s="7">
        <v>25745</v>
      </c>
      <c r="H638" s="8">
        <f>IFERROR(F638/D638,"")</f>
        <v>0</v>
      </c>
      <c r="I638" s="8">
        <f>IFERROR(G638/E638,"")</f>
        <v>0</v>
      </c>
    </row>
    <row r="639" spans="1:9">
      <c r="A639" s="4" t="s">
        <v>323</v>
      </c>
      <c r="B639" s="6" t="s">
        <v>324</v>
      </c>
      <c r="C639" s="6">
        <v>2023</v>
      </c>
      <c r="D639" s="7">
        <v>38133.403</v>
      </c>
      <c r="E639" s="7">
        <v>132876.75</v>
      </c>
      <c r="F639" s="7">
        <v>0</v>
      </c>
      <c r="G639" s="7">
        <v>0</v>
      </c>
      <c r="H639" s="8">
        <f>IFERROR(F639/D639,"")</f>
        <v>0</v>
      </c>
      <c r="I639" s="8">
        <f>IFERROR(G639/E639,"")</f>
        <v>0</v>
      </c>
    </row>
    <row r="640" spans="1:9">
      <c r="A640" s="4" t="s">
        <v>323</v>
      </c>
      <c r="B640" s="6" t="s">
        <v>324</v>
      </c>
      <c r="C640" s="6">
        <v>2024</v>
      </c>
      <c r="D640" s="7">
        <v>40904.743</v>
      </c>
      <c r="E640" s="7">
        <v>31254.4</v>
      </c>
      <c r="F640" s="7">
        <v>0</v>
      </c>
      <c r="G640" s="7">
        <v>0</v>
      </c>
      <c r="H640" s="8">
        <f>IFERROR(F640/D640,"")</f>
        <v>0</v>
      </c>
      <c r="I640" s="8">
        <f>IFERROR(G640/E640,"")</f>
        <v>0</v>
      </c>
    </row>
    <row r="641" spans="1:9">
      <c r="A641" s="4" t="s">
        <v>323</v>
      </c>
      <c r="B641" s="6" t="s">
        <v>324</v>
      </c>
      <c r="C641" s="6">
        <v>2025</v>
      </c>
      <c r="D641" s="7">
        <v>23221.765</v>
      </c>
      <c r="E641" s="7">
        <v>111321.243</v>
      </c>
      <c r="F641" s="7">
        <v>5618.775</v>
      </c>
      <c r="G641" s="7">
        <v>51610.793</v>
      </c>
      <c r="H641" s="8">
        <f>IFERROR(F641/D641,"")</f>
        <v>0</v>
      </c>
      <c r="I641" s="8">
        <f>IFERROR(G641/E641,"")</f>
        <v>0</v>
      </c>
    </row>
    <row r="642" spans="1:9">
      <c r="A642" s="4" t="s">
        <v>325</v>
      </c>
      <c r="B642" s="6" t="s">
        <v>326</v>
      </c>
      <c r="C642" s="6">
        <v>2019</v>
      </c>
      <c r="D642" s="7">
        <v>509955.758</v>
      </c>
      <c r="E642" s="7">
        <v>1600213.426</v>
      </c>
      <c r="F642" s="7">
        <v>329116.665</v>
      </c>
      <c r="G642" s="7">
        <v>1062000</v>
      </c>
      <c r="H642" s="8">
        <f>IFERROR(F642/D642,"")</f>
        <v>0</v>
      </c>
      <c r="I642" s="8">
        <f>IFERROR(G642/E642,"")</f>
        <v>0</v>
      </c>
    </row>
    <row r="643" spans="1:9">
      <c r="A643" s="4" t="s">
        <v>325</v>
      </c>
      <c r="B643" s="6" t="s">
        <v>326</v>
      </c>
      <c r="C643" s="6">
        <v>2020</v>
      </c>
      <c r="D643" s="7">
        <v>499778.089</v>
      </c>
      <c r="E643" s="7">
        <v>0</v>
      </c>
      <c r="F643" s="7">
        <v>352634.155</v>
      </c>
      <c r="G643" s="7">
        <v>1243946</v>
      </c>
      <c r="H643" s="8">
        <f>IFERROR(F643/D643,"")</f>
        <v>0</v>
      </c>
      <c r="I643" s="9">
        <f>"n/a"</f>
        <v>0</v>
      </c>
    </row>
    <row r="644" spans="1:9">
      <c r="A644" s="4" t="s">
        <v>325</v>
      </c>
      <c r="B644" s="6" t="s">
        <v>326</v>
      </c>
      <c r="C644" s="6">
        <v>2021</v>
      </c>
      <c r="D644" s="7">
        <v>901274.839</v>
      </c>
      <c r="E644" s="7">
        <v>2519038</v>
      </c>
      <c r="F644" s="7">
        <v>105036.169</v>
      </c>
      <c r="G644" s="7">
        <v>332463</v>
      </c>
      <c r="H644" s="8">
        <f>IFERROR(F644/D644,"")</f>
        <v>0</v>
      </c>
      <c r="I644" s="8">
        <f>IFERROR(G644/E644,"")</f>
        <v>0</v>
      </c>
    </row>
    <row r="645" spans="1:9">
      <c r="A645" s="4" t="s">
        <v>325</v>
      </c>
      <c r="B645" s="6" t="s">
        <v>326</v>
      </c>
      <c r="C645" s="6">
        <v>2022</v>
      </c>
      <c r="D645" s="7">
        <v>965689.189</v>
      </c>
      <c r="E645" s="7">
        <v>1409161</v>
      </c>
      <c r="F645" s="7">
        <v>807630.5209999999</v>
      </c>
      <c r="G645" s="7">
        <v>1182600</v>
      </c>
      <c r="H645" s="8">
        <f>IFERROR(F645/D645,"")</f>
        <v>0</v>
      </c>
      <c r="I645" s="8">
        <f>IFERROR(G645/E645,"")</f>
        <v>0</v>
      </c>
    </row>
    <row r="646" spans="1:9">
      <c r="A646" s="4" t="s">
        <v>325</v>
      </c>
      <c r="B646" s="6" t="s">
        <v>326</v>
      </c>
      <c r="C646" s="6">
        <v>2023</v>
      </c>
      <c r="D646" s="7">
        <v>492037.377</v>
      </c>
      <c r="E646" s="7">
        <v>0</v>
      </c>
      <c r="F646" s="7">
        <v>411883.234</v>
      </c>
      <c r="G646" s="7">
        <v>42009</v>
      </c>
      <c r="H646" s="8">
        <f>IFERROR(F646/D646,"")</f>
        <v>0</v>
      </c>
      <c r="I646" s="9">
        <f>"n/a"</f>
        <v>0</v>
      </c>
    </row>
    <row r="647" spans="1:9">
      <c r="A647" s="4" t="s">
        <v>325</v>
      </c>
      <c r="B647" s="6" t="s">
        <v>326</v>
      </c>
      <c r="C647" s="6">
        <v>2024</v>
      </c>
      <c r="D647" s="7">
        <v>574932.679</v>
      </c>
      <c r="E647" s="7">
        <v>0</v>
      </c>
      <c r="F647" s="7">
        <v>160557.242</v>
      </c>
      <c r="G647" s="7">
        <v>411079</v>
      </c>
      <c r="H647" s="8">
        <f>IFERROR(F647/D647,"")</f>
        <v>0</v>
      </c>
      <c r="I647" s="9">
        <f>"n/a"</f>
        <v>0</v>
      </c>
    </row>
    <row r="648" spans="1:9">
      <c r="A648" s="4" t="s">
        <v>325</v>
      </c>
      <c r="B648" s="6" t="s">
        <v>326</v>
      </c>
      <c r="C648" s="6">
        <v>2025</v>
      </c>
      <c r="D648" s="7">
        <v>476887.022</v>
      </c>
      <c r="E648" s="7">
        <v>0</v>
      </c>
      <c r="F648" s="7">
        <v>322676.155</v>
      </c>
      <c r="G648" s="7">
        <v>956000</v>
      </c>
      <c r="H648" s="8">
        <f>IFERROR(F648/D648,"")</f>
        <v>0</v>
      </c>
      <c r="I648" s="9">
        <f>"n/a"</f>
        <v>0</v>
      </c>
    </row>
    <row r="649" spans="1:9">
      <c r="A649" s="4" t="s">
        <v>60</v>
      </c>
      <c r="B649" s="6" t="s">
        <v>61</v>
      </c>
      <c r="C649" s="6">
        <v>2019</v>
      </c>
      <c r="D649" s="7">
        <v>352353002</v>
      </c>
      <c r="E649" s="7">
        <v>1396436556.511</v>
      </c>
      <c r="F649" s="7">
        <v>58169</v>
      </c>
      <c r="G649" s="7">
        <v>230533.918</v>
      </c>
      <c r="H649" s="8">
        <f>IFERROR(F649/D649,"")</f>
        <v>0</v>
      </c>
      <c r="I649" s="8">
        <f>IFERROR(G649/E649,"")</f>
        <v>0</v>
      </c>
    </row>
    <row r="650" spans="1:9">
      <c r="A650" s="4" t="s">
        <v>60</v>
      </c>
      <c r="B650" s="6" t="s">
        <v>61</v>
      </c>
      <c r="C650" s="6">
        <v>2020</v>
      </c>
      <c r="D650" s="7">
        <v>330658769</v>
      </c>
      <c r="E650" s="7">
        <v>1388930102.51</v>
      </c>
      <c r="F650" s="7">
        <v>0</v>
      </c>
      <c r="G650" s="7">
        <v>0</v>
      </c>
      <c r="H650" s="8">
        <f>IFERROR(F650/D650,"")</f>
        <v>0</v>
      </c>
      <c r="I650" s="8">
        <f>IFERROR(G650/E650,"")</f>
        <v>0</v>
      </c>
    </row>
    <row r="651" spans="1:9">
      <c r="A651" s="4" t="s">
        <v>60</v>
      </c>
      <c r="B651" s="6" t="s">
        <v>61</v>
      </c>
      <c r="C651" s="6">
        <v>2021</v>
      </c>
      <c r="D651" s="7">
        <v>383334096</v>
      </c>
      <c r="E651" s="7">
        <v>1367814522</v>
      </c>
      <c r="F651" s="7">
        <v>0</v>
      </c>
      <c r="G651" s="7">
        <v>0</v>
      </c>
      <c r="H651" s="8">
        <f>IFERROR(F651/D651,"")</f>
        <v>0</v>
      </c>
      <c r="I651" s="8">
        <f>IFERROR(G651/E651,"")</f>
        <v>0</v>
      </c>
    </row>
    <row r="652" spans="1:9">
      <c r="A652" s="4" t="s">
        <v>60</v>
      </c>
      <c r="B652" s="6" t="s">
        <v>61</v>
      </c>
      <c r="C652" s="6">
        <v>2022</v>
      </c>
      <c r="D652" s="7">
        <v>426420591</v>
      </c>
      <c r="E652" s="7">
        <v>1587997162</v>
      </c>
      <c r="F652" s="7">
        <v>1224075</v>
      </c>
      <c r="G652" s="7">
        <v>2267023</v>
      </c>
      <c r="H652" s="8">
        <f>IFERROR(F652/D652,"")</f>
        <v>0</v>
      </c>
      <c r="I652" s="8">
        <f>IFERROR(G652/E652,"")</f>
        <v>0</v>
      </c>
    </row>
    <row r="653" spans="1:9">
      <c r="A653" s="4" t="s">
        <v>60</v>
      </c>
      <c r="B653" s="6" t="s">
        <v>61</v>
      </c>
      <c r="C653" s="6">
        <v>2023</v>
      </c>
      <c r="D653" s="7">
        <v>417913164</v>
      </c>
      <c r="E653" s="7">
        <v>1399612818</v>
      </c>
      <c r="F653" s="7">
        <v>1233458</v>
      </c>
      <c r="G653" s="7">
        <v>2541636</v>
      </c>
      <c r="H653" s="8">
        <f>IFERROR(F653/D653,"")</f>
        <v>0</v>
      </c>
      <c r="I653" s="8">
        <f>IFERROR(G653/E653,"")</f>
        <v>0</v>
      </c>
    </row>
    <row r="654" spans="1:9">
      <c r="A654" s="4" t="s">
        <v>60</v>
      </c>
      <c r="B654" s="6" t="s">
        <v>61</v>
      </c>
      <c r="C654" s="6">
        <v>2024</v>
      </c>
      <c r="D654" s="7">
        <v>357228589</v>
      </c>
      <c r="E654" s="7">
        <v>1948084137</v>
      </c>
      <c r="F654" s="7">
        <v>59352</v>
      </c>
      <c r="G654" s="7">
        <v>81016</v>
      </c>
      <c r="H654" s="8">
        <f>IFERROR(F654/D654,"")</f>
        <v>0</v>
      </c>
      <c r="I654" s="8">
        <f>IFERROR(G654/E654,"")</f>
        <v>0</v>
      </c>
    </row>
    <row r="655" spans="1:9">
      <c r="A655" s="4" t="s">
        <v>60</v>
      </c>
      <c r="B655" s="6" t="s">
        <v>61</v>
      </c>
      <c r="C655" s="6">
        <v>2025</v>
      </c>
      <c r="D655" s="7">
        <v>325170396</v>
      </c>
      <c r="E655" s="7">
        <v>1148794754</v>
      </c>
      <c r="F655" s="7">
        <v>52186</v>
      </c>
      <c r="G655" s="7">
        <v>153113</v>
      </c>
      <c r="H655" s="8">
        <f>IFERROR(F655/D655,"")</f>
        <v>0</v>
      </c>
      <c r="I655" s="8">
        <f>IFERROR(G655/E655,"")</f>
        <v>0</v>
      </c>
    </row>
    <row r="656" spans="1:9">
      <c r="A656" s="4" t="s">
        <v>327</v>
      </c>
      <c r="B656" s="6" t="s">
        <v>328</v>
      </c>
      <c r="C656" s="6">
        <v>2019</v>
      </c>
      <c r="D656" s="7">
        <v>149043.6</v>
      </c>
      <c r="E656" s="7">
        <v>580600</v>
      </c>
      <c r="F656" s="7">
        <v>146475.08</v>
      </c>
      <c r="G656" s="7">
        <v>576740</v>
      </c>
      <c r="H656" s="8">
        <f>IFERROR(F656/D656,"")</f>
        <v>0</v>
      </c>
      <c r="I656" s="8">
        <f>IFERROR(G656/E656,"")</f>
        <v>0</v>
      </c>
    </row>
    <row r="657" spans="1:9">
      <c r="A657" s="4" t="s">
        <v>327</v>
      </c>
      <c r="B657" s="6" t="s">
        <v>328</v>
      </c>
      <c r="C657" s="6">
        <v>2020</v>
      </c>
      <c r="D657" s="7">
        <v>91396.55</v>
      </c>
      <c r="E657" s="7">
        <v>298776</v>
      </c>
      <c r="F657" s="7">
        <v>88908.05</v>
      </c>
      <c r="G657" s="7">
        <v>296810</v>
      </c>
      <c r="H657" s="8">
        <f>IFERROR(F657/D657,"")</f>
        <v>0</v>
      </c>
      <c r="I657" s="8">
        <f>IFERROR(G657/E657,"")</f>
        <v>0</v>
      </c>
    </row>
    <row r="658" spans="1:9">
      <c r="A658" s="4" t="s">
        <v>327</v>
      </c>
      <c r="B658" s="6" t="s">
        <v>328</v>
      </c>
      <c r="C658" s="6">
        <v>2021</v>
      </c>
      <c r="D658" s="7">
        <v>161452.13</v>
      </c>
      <c r="E658" s="7">
        <v>469061</v>
      </c>
      <c r="F658" s="7">
        <v>126079.64</v>
      </c>
      <c r="G658" s="7">
        <v>408902.1</v>
      </c>
      <c r="H658" s="8">
        <f>IFERROR(F658/D658,"")</f>
        <v>0</v>
      </c>
      <c r="I658" s="8">
        <f>IFERROR(G658/E658,"")</f>
        <v>0</v>
      </c>
    </row>
    <row r="659" spans="1:9">
      <c r="A659" s="4" t="s">
        <v>327</v>
      </c>
      <c r="B659" s="6" t="s">
        <v>328</v>
      </c>
      <c r="C659" s="6">
        <v>2022</v>
      </c>
      <c r="D659" s="7">
        <v>156930.924</v>
      </c>
      <c r="E659" s="7">
        <v>364852.8</v>
      </c>
      <c r="F659" s="7">
        <v>122962.454</v>
      </c>
      <c r="G659" s="7">
        <v>311222.5</v>
      </c>
      <c r="H659" s="8">
        <f>IFERROR(F659/D659,"")</f>
        <v>0</v>
      </c>
      <c r="I659" s="8">
        <f>IFERROR(G659/E659,"")</f>
        <v>0</v>
      </c>
    </row>
    <row r="660" spans="1:9">
      <c r="A660" s="4" t="s">
        <v>327</v>
      </c>
      <c r="B660" s="6" t="s">
        <v>328</v>
      </c>
      <c r="C660" s="6">
        <v>2023</v>
      </c>
      <c r="D660" s="7">
        <v>199239.133</v>
      </c>
      <c r="E660" s="7">
        <v>488418</v>
      </c>
      <c r="F660" s="7">
        <v>153206.38</v>
      </c>
      <c r="G660" s="7">
        <v>370974</v>
      </c>
      <c r="H660" s="8">
        <f>IFERROR(F660/D660,"")</f>
        <v>0</v>
      </c>
      <c r="I660" s="8">
        <f>IFERROR(G660/E660,"")</f>
        <v>0</v>
      </c>
    </row>
    <row r="661" spans="1:9">
      <c r="A661" s="4" t="s">
        <v>329</v>
      </c>
      <c r="B661" s="6" t="s">
        <v>330</v>
      </c>
      <c r="C661" s="6">
        <v>2019</v>
      </c>
      <c r="D661" s="7">
        <v>16798.53</v>
      </c>
      <c r="E661" s="7">
        <v>49847.65</v>
      </c>
      <c r="F661" s="7">
        <v>166.404</v>
      </c>
      <c r="G661" s="7">
        <v>5</v>
      </c>
      <c r="H661" s="8">
        <f>IFERROR(F661/D661,"")</f>
        <v>0</v>
      </c>
      <c r="I661" s="8">
        <f>IFERROR(G661/E661,"")</f>
        <v>0</v>
      </c>
    </row>
    <row r="662" spans="1:9">
      <c r="A662" s="4" t="s">
        <v>329</v>
      </c>
      <c r="B662" s="6" t="s">
        <v>330</v>
      </c>
      <c r="C662" s="6">
        <v>2020</v>
      </c>
      <c r="D662" s="7">
        <v>10717.174</v>
      </c>
      <c r="E662" s="7">
        <v>27973.09</v>
      </c>
      <c r="F662" s="7">
        <v>209.177</v>
      </c>
      <c r="G662" s="7">
        <v>60</v>
      </c>
      <c r="H662" s="8">
        <f>IFERROR(F662/D662,"")</f>
        <v>0</v>
      </c>
      <c r="I662" s="8">
        <f>IFERROR(G662/E662,"")</f>
        <v>0</v>
      </c>
    </row>
    <row r="663" spans="1:9">
      <c r="A663" s="4" t="s">
        <v>329</v>
      </c>
      <c r="B663" s="6" t="s">
        <v>330</v>
      </c>
      <c r="C663" s="6">
        <v>2021</v>
      </c>
      <c r="D663" s="7">
        <v>8204.084000000001</v>
      </c>
      <c r="E663" s="7">
        <v>16932.59</v>
      </c>
      <c r="F663" s="7">
        <v>0</v>
      </c>
      <c r="G663" s="7">
        <v>0</v>
      </c>
      <c r="H663" s="8">
        <f>IFERROR(F663/D663,"")</f>
        <v>0</v>
      </c>
      <c r="I663" s="8">
        <f>IFERROR(G663/E663,"")</f>
        <v>0</v>
      </c>
    </row>
    <row r="664" spans="1:9">
      <c r="A664" s="4" t="s">
        <v>329</v>
      </c>
      <c r="B664" s="6" t="s">
        <v>330</v>
      </c>
      <c r="C664" s="6">
        <v>2022</v>
      </c>
      <c r="D664" s="7">
        <v>4245.382</v>
      </c>
      <c r="E664" s="7">
        <v>5890.9</v>
      </c>
      <c r="F664" s="7">
        <v>0</v>
      </c>
      <c r="G664" s="7">
        <v>0</v>
      </c>
      <c r="H664" s="8">
        <f>IFERROR(F664/D664,"")</f>
        <v>0</v>
      </c>
      <c r="I664" s="8">
        <f>IFERROR(G664/E664,"")</f>
        <v>0</v>
      </c>
    </row>
    <row r="665" spans="1:9">
      <c r="A665" s="4" t="s">
        <v>329</v>
      </c>
      <c r="B665" s="6" t="s">
        <v>330</v>
      </c>
      <c r="C665" s="6">
        <v>2023</v>
      </c>
      <c r="D665" s="7">
        <v>2057.997</v>
      </c>
      <c r="E665" s="7">
        <v>1083.94</v>
      </c>
      <c r="F665" s="7">
        <v>0</v>
      </c>
      <c r="G665" s="7">
        <v>0</v>
      </c>
      <c r="H665" s="8">
        <f>IFERROR(F665/D665,"")</f>
        <v>0</v>
      </c>
      <c r="I665" s="8">
        <f>IFERROR(G665/E665,"")</f>
        <v>0</v>
      </c>
    </row>
    <row r="666" spans="1:9">
      <c r="A666" s="4" t="s">
        <v>329</v>
      </c>
      <c r="B666" s="6" t="s">
        <v>330</v>
      </c>
      <c r="C666" s="6">
        <v>2024</v>
      </c>
      <c r="D666" s="7">
        <v>2956.108</v>
      </c>
      <c r="E666" s="7">
        <v>0</v>
      </c>
      <c r="F666" s="7">
        <v>113.591</v>
      </c>
      <c r="G666" s="7">
        <v>0</v>
      </c>
      <c r="H666" s="8">
        <f>IFERROR(F666/D666,"")</f>
        <v>0</v>
      </c>
      <c r="I666" s="9">
        <f>"n/a"</f>
        <v>0</v>
      </c>
    </row>
    <row r="667" spans="1:9">
      <c r="A667" s="4" t="s">
        <v>329</v>
      </c>
      <c r="B667" s="6" t="s">
        <v>330</v>
      </c>
      <c r="C667" s="6">
        <v>2025</v>
      </c>
      <c r="D667" s="7">
        <v>4027.374</v>
      </c>
      <c r="E667" s="7">
        <v>0</v>
      </c>
      <c r="F667" s="7">
        <v>422.837</v>
      </c>
      <c r="G667" s="7">
        <v>170.24</v>
      </c>
      <c r="H667" s="8">
        <f>IFERROR(F667/D667,"")</f>
        <v>0</v>
      </c>
      <c r="I667" s="9">
        <f>"n/a"</f>
        <v>0</v>
      </c>
    </row>
    <row r="668" spans="1:9">
      <c r="A668" s="4" t="s">
        <v>331</v>
      </c>
      <c r="B668" s="6" t="s">
        <v>332</v>
      </c>
      <c r="C668" s="6">
        <v>2019</v>
      </c>
      <c r="D668" s="7">
        <v>547.73</v>
      </c>
      <c r="E668" s="7">
        <v>350</v>
      </c>
      <c r="F668" s="7">
        <v>0</v>
      </c>
      <c r="G668" s="7">
        <v>0</v>
      </c>
      <c r="H668" s="8">
        <f>IFERROR(F668/D668,"")</f>
        <v>0</v>
      </c>
      <c r="I668" s="8">
        <f>IFERROR(G668/E668,"")</f>
        <v>0</v>
      </c>
    </row>
    <row r="669" spans="1:9">
      <c r="A669" s="4" t="s">
        <v>331</v>
      </c>
      <c r="B669" s="6" t="s">
        <v>332</v>
      </c>
      <c r="C669" s="6">
        <v>2021</v>
      </c>
      <c r="D669" s="7">
        <v>101.374</v>
      </c>
      <c r="E669" s="7">
        <v>86</v>
      </c>
      <c r="F669" s="7">
        <v>0</v>
      </c>
      <c r="G669" s="7">
        <v>0</v>
      </c>
      <c r="H669" s="8">
        <f>IFERROR(F669/D669,"")</f>
        <v>0</v>
      </c>
      <c r="I669" s="8">
        <f>IFERROR(G669/E669,"")</f>
        <v>0</v>
      </c>
    </row>
    <row r="670" spans="1:9">
      <c r="A670" s="4" t="s">
        <v>331</v>
      </c>
      <c r="B670" s="6" t="s">
        <v>332</v>
      </c>
      <c r="C670" s="6">
        <v>2024</v>
      </c>
      <c r="D670" s="7">
        <v>261.004</v>
      </c>
      <c r="E670" s="7">
        <v>92</v>
      </c>
      <c r="F670" s="7">
        <v>0</v>
      </c>
      <c r="G670" s="7">
        <v>0</v>
      </c>
      <c r="H670" s="8">
        <f>IFERROR(F670/D670,"")</f>
        <v>0</v>
      </c>
      <c r="I670" s="8">
        <f>IFERROR(G670/E670,"")</f>
        <v>0</v>
      </c>
    </row>
    <row r="671" spans="1:9">
      <c r="A671" s="4" t="s">
        <v>333</v>
      </c>
      <c r="B671" s="6" t="s">
        <v>334</v>
      </c>
      <c r="C671" s="6">
        <v>2019</v>
      </c>
      <c r="D671" s="7">
        <v>11705268.217</v>
      </c>
      <c r="E671" s="7">
        <v>47967888.22</v>
      </c>
      <c r="F671" s="7">
        <v>8256.147000000001</v>
      </c>
      <c r="G671" s="7">
        <v>27000</v>
      </c>
      <c r="H671" s="8">
        <f>IFERROR(F671/D671,"")</f>
        <v>0</v>
      </c>
      <c r="I671" s="8">
        <f>IFERROR(G671/E671,"")</f>
        <v>0</v>
      </c>
    </row>
    <row r="672" spans="1:9">
      <c r="A672" s="4" t="s">
        <v>333</v>
      </c>
      <c r="B672" s="6" t="s">
        <v>334</v>
      </c>
      <c r="C672" s="6">
        <v>2020</v>
      </c>
      <c r="D672" s="7">
        <v>9753121.715</v>
      </c>
      <c r="E672" s="7">
        <v>39745563.78</v>
      </c>
      <c r="F672" s="7">
        <v>0</v>
      </c>
      <c r="G672" s="7">
        <v>0</v>
      </c>
      <c r="H672" s="8">
        <f>IFERROR(F672/D672,"")</f>
        <v>0</v>
      </c>
      <c r="I672" s="8">
        <f>IFERROR(G672/E672,"")</f>
        <v>0</v>
      </c>
    </row>
    <row r="673" spans="1:9">
      <c r="A673" s="4" t="s">
        <v>333</v>
      </c>
      <c r="B673" s="6" t="s">
        <v>334</v>
      </c>
      <c r="C673" s="6">
        <v>2021</v>
      </c>
      <c r="D673" s="7">
        <v>9965850.091</v>
      </c>
      <c r="E673" s="7">
        <v>0</v>
      </c>
      <c r="F673" s="7">
        <v>0</v>
      </c>
      <c r="G673" s="7">
        <v>0</v>
      </c>
      <c r="H673" s="8">
        <f>IFERROR(F673/D673,"")</f>
        <v>0</v>
      </c>
      <c r="I673" s="9">
        <f>"n/a"</f>
        <v>0</v>
      </c>
    </row>
    <row r="674" spans="1:9">
      <c r="A674" s="4" t="s">
        <v>333</v>
      </c>
      <c r="B674" s="6" t="s">
        <v>334</v>
      </c>
      <c r="C674" s="6">
        <v>2022</v>
      </c>
      <c r="D674" s="7">
        <v>14933227.034</v>
      </c>
      <c r="E674" s="7">
        <v>39721654.31</v>
      </c>
      <c r="F674" s="7">
        <v>30483.649</v>
      </c>
      <c r="G674" s="7">
        <v>48800</v>
      </c>
      <c r="H674" s="8">
        <f>IFERROR(F674/D674,"")</f>
        <v>0</v>
      </c>
      <c r="I674" s="8">
        <f>IFERROR(G674/E674,"")</f>
        <v>0</v>
      </c>
    </row>
    <row r="675" spans="1:9">
      <c r="A675" s="4" t="s">
        <v>333</v>
      </c>
      <c r="B675" s="6" t="s">
        <v>334</v>
      </c>
      <c r="C675" s="6">
        <v>2023</v>
      </c>
      <c r="D675" s="7">
        <v>15416049.546</v>
      </c>
      <c r="E675" s="7">
        <v>40216006.401</v>
      </c>
      <c r="F675" s="7">
        <v>13934.957</v>
      </c>
      <c r="G675" s="7">
        <v>21405</v>
      </c>
      <c r="H675" s="8">
        <f>IFERROR(F675/D675,"")</f>
        <v>0</v>
      </c>
      <c r="I675" s="8">
        <f>IFERROR(G675/E675,"")</f>
        <v>0</v>
      </c>
    </row>
    <row r="676" spans="1:9">
      <c r="A676" s="4" t="s">
        <v>333</v>
      </c>
      <c r="B676" s="6" t="s">
        <v>334</v>
      </c>
      <c r="C676" s="6">
        <v>2024</v>
      </c>
      <c r="D676" s="7">
        <v>8531967.926000001</v>
      </c>
      <c r="E676" s="7">
        <v>0</v>
      </c>
      <c r="F676" s="7">
        <v>4.023</v>
      </c>
      <c r="G676" s="7">
        <v>0.1</v>
      </c>
      <c r="H676" s="8">
        <f>IFERROR(F676/D676,"")</f>
        <v>0</v>
      </c>
      <c r="I676" s="9">
        <f>"n/a"</f>
        <v>0</v>
      </c>
    </row>
    <row r="677" spans="1:9">
      <c r="A677" s="4" t="s">
        <v>333</v>
      </c>
      <c r="B677" s="6" t="s">
        <v>334</v>
      </c>
      <c r="C677" s="6">
        <v>2025</v>
      </c>
      <c r="D677" s="7">
        <v>12914271.041</v>
      </c>
      <c r="E677" s="7">
        <v>0</v>
      </c>
      <c r="F677" s="7">
        <v>53348.696</v>
      </c>
      <c r="G677" s="7">
        <v>142515</v>
      </c>
      <c r="H677" s="8">
        <f>IFERROR(F677/D677,"")</f>
        <v>0</v>
      </c>
      <c r="I677" s="9">
        <f>"n/a"</f>
        <v>0</v>
      </c>
    </row>
    <row r="678" spans="1:9">
      <c r="A678" s="4" t="s">
        <v>335</v>
      </c>
      <c r="B678" s="6" t="s">
        <v>336</v>
      </c>
      <c r="C678" s="6">
        <v>2019</v>
      </c>
      <c r="D678" s="7">
        <v>399651.915</v>
      </c>
      <c r="E678" s="7">
        <v>0</v>
      </c>
      <c r="F678" s="7">
        <v>16.063</v>
      </c>
      <c r="G678" s="7">
        <v>40</v>
      </c>
      <c r="H678" s="8">
        <f>IFERROR(F678/D678,"")</f>
        <v>0</v>
      </c>
      <c r="I678" s="9">
        <f>"n/a"</f>
        <v>0</v>
      </c>
    </row>
    <row r="679" spans="1:9">
      <c r="A679" s="4" t="s">
        <v>335</v>
      </c>
      <c r="B679" s="6" t="s">
        <v>336</v>
      </c>
      <c r="C679" s="6">
        <v>2020</v>
      </c>
      <c r="D679" s="7">
        <v>260722.939</v>
      </c>
      <c r="E679" s="7">
        <v>480667.32</v>
      </c>
      <c r="F679" s="7">
        <v>0</v>
      </c>
      <c r="G679" s="7">
        <v>0</v>
      </c>
      <c r="H679" s="8">
        <f>IFERROR(F679/D679,"")</f>
        <v>0</v>
      </c>
      <c r="I679" s="8">
        <f>IFERROR(G679/E679,"")</f>
        <v>0</v>
      </c>
    </row>
    <row r="680" spans="1:9">
      <c r="A680" s="4" t="s">
        <v>335</v>
      </c>
      <c r="B680" s="6" t="s">
        <v>336</v>
      </c>
      <c r="C680" s="6">
        <v>2021</v>
      </c>
      <c r="D680" s="7">
        <v>1025499.078</v>
      </c>
      <c r="E680" s="7">
        <v>0</v>
      </c>
      <c r="F680" s="7">
        <v>6826.424</v>
      </c>
      <c r="G680" s="7">
        <v>27208</v>
      </c>
      <c r="H680" s="8">
        <f>IFERROR(F680/D680,"")</f>
        <v>0</v>
      </c>
      <c r="I680" s="9">
        <f>"n/a"</f>
        <v>0</v>
      </c>
    </row>
    <row r="681" spans="1:9">
      <c r="A681" s="4" t="s">
        <v>335</v>
      </c>
      <c r="B681" s="6" t="s">
        <v>336</v>
      </c>
      <c r="C681" s="6">
        <v>2022</v>
      </c>
      <c r="D681" s="7">
        <v>537192.536</v>
      </c>
      <c r="E681" s="7">
        <v>0</v>
      </c>
      <c r="F681" s="7">
        <v>16987.831</v>
      </c>
      <c r="G681" s="7">
        <v>27113</v>
      </c>
      <c r="H681" s="8">
        <f>IFERROR(F681/D681,"")</f>
        <v>0</v>
      </c>
      <c r="I681" s="9">
        <f>"n/a"</f>
        <v>0</v>
      </c>
    </row>
    <row r="682" spans="1:9">
      <c r="A682" s="4" t="s">
        <v>335</v>
      </c>
      <c r="B682" s="6" t="s">
        <v>336</v>
      </c>
      <c r="C682" s="6">
        <v>2023</v>
      </c>
      <c r="D682" s="7">
        <v>309000</v>
      </c>
      <c r="E682" s="7">
        <v>390325</v>
      </c>
      <c r="F682" s="7">
        <v>0</v>
      </c>
      <c r="G682" s="7">
        <v>0</v>
      </c>
      <c r="H682" s="8">
        <f>IFERROR(F682/D682,"")</f>
        <v>0</v>
      </c>
      <c r="I682" s="8">
        <f>IFERROR(G682/E682,"")</f>
        <v>0</v>
      </c>
    </row>
    <row r="683" spans="1:9">
      <c r="A683" s="4" t="s">
        <v>335</v>
      </c>
      <c r="B683" s="6" t="s">
        <v>336</v>
      </c>
      <c r="C683" s="6">
        <v>2024</v>
      </c>
      <c r="D683" s="7">
        <v>519170.2</v>
      </c>
      <c r="E683" s="7">
        <v>1705438</v>
      </c>
      <c r="F683" s="7">
        <v>17834.5</v>
      </c>
      <c r="G683" s="7">
        <v>2425</v>
      </c>
      <c r="H683" s="8">
        <f>IFERROR(F683/D683,"")</f>
        <v>0</v>
      </c>
      <c r="I683" s="8">
        <f>IFERROR(G683/E683,"")</f>
        <v>0</v>
      </c>
    </row>
    <row r="684" spans="1:9">
      <c r="A684" s="4" t="s">
        <v>335</v>
      </c>
      <c r="B684" s="6" t="s">
        <v>336</v>
      </c>
      <c r="C684" s="6">
        <v>2025</v>
      </c>
      <c r="D684" s="7">
        <v>877757.326</v>
      </c>
      <c r="E684" s="7">
        <v>977745</v>
      </c>
      <c r="F684" s="7">
        <v>146231.063</v>
      </c>
      <c r="G684" s="7">
        <v>396500</v>
      </c>
      <c r="H684" s="8">
        <f>IFERROR(F684/D684,"")</f>
        <v>0</v>
      </c>
      <c r="I684" s="8">
        <f>IFERROR(G684/E684,"")</f>
        <v>0</v>
      </c>
    </row>
    <row r="685" spans="1:9">
      <c r="A685" s="4" t="s">
        <v>337</v>
      </c>
      <c r="B685" s="6" t="s">
        <v>338</v>
      </c>
      <c r="C685" s="6">
        <v>2019</v>
      </c>
      <c r="D685" s="7">
        <v>2757404.29</v>
      </c>
      <c r="E685" s="7">
        <v>0</v>
      </c>
      <c r="F685" s="7">
        <v>781497.02</v>
      </c>
      <c r="G685" s="7">
        <v>3386774</v>
      </c>
      <c r="H685" s="8">
        <f>IFERROR(F685/D685,"")</f>
        <v>0</v>
      </c>
      <c r="I685" s="9">
        <f>"n/a"</f>
        <v>0</v>
      </c>
    </row>
    <row r="686" spans="1:9">
      <c r="A686" s="4" t="s">
        <v>337</v>
      </c>
      <c r="B686" s="6" t="s">
        <v>338</v>
      </c>
      <c r="C686" s="6">
        <v>2020</v>
      </c>
      <c r="D686" s="7">
        <v>2734394.62</v>
      </c>
      <c r="E686" s="7">
        <v>13253665</v>
      </c>
      <c r="F686" s="7">
        <v>459648.32</v>
      </c>
      <c r="G686" s="7">
        <v>2169750</v>
      </c>
      <c r="H686" s="8">
        <f>IFERROR(F686/D686,"")</f>
        <v>0</v>
      </c>
      <c r="I686" s="8">
        <f>IFERROR(G686/E686,"")</f>
        <v>0</v>
      </c>
    </row>
    <row r="687" spans="1:9">
      <c r="A687" s="4" t="s">
        <v>337</v>
      </c>
      <c r="B687" s="6" t="s">
        <v>338</v>
      </c>
      <c r="C687" s="6">
        <v>2021</v>
      </c>
      <c r="D687" s="7">
        <v>4008268.66</v>
      </c>
      <c r="E687" s="7">
        <v>13022351</v>
      </c>
      <c r="F687" s="7">
        <v>60121.26</v>
      </c>
      <c r="G687" s="7">
        <v>87650</v>
      </c>
      <c r="H687" s="8">
        <f>IFERROR(F687/D687,"")</f>
        <v>0</v>
      </c>
      <c r="I687" s="8">
        <f>IFERROR(G687/E687,"")</f>
        <v>0</v>
      </c>
    </row>
    <row r="688" spans="1:9">
      <c r="A688" s="4" t="s">
        <v>337</v>
      </c>
      <c r="B688" s="6" t="s">
        <v>338</v>
      </c>
      <c r="C688" s="6">
        <v>2022</v>
      </c>
      <c r="D688" s="7">
        <v>6725920.16</v>
      </c>
      <c r="E688" s="7">
        <v>16130911</v>
      </c>
      <c r="F688" s="7">
        <v>972204.9</v>
      </c>
      <c r="G688" s="7">
        <v>2608250</v>
      </c>
      <c r="H688" s="8">
        <f>IFERROR(F688/D688,"")</f>
        <v>0</v>
      </c>
      <c r="I688" s="8">
        <f>IFERROR(G688/E688,"")</f>
        <v>0</v>
      </c>
    </row>
    <row r="689" spans="1:9">
      <c r="A689" s="4" t="s">
        <v>337</v>
      </c>
      <c r="B689" s="6" t="s">
        <v>338</v>
      </c>
      <c r="C689" s="6">
        <v>2023</v>
      </c>
      <c r="D689" s="7">
        <v>4483882.75</v>
      </c>
      <c r="E689" s="7">
        <v>12591749.5</v>
      </c>
      <c r="F689" s="7">
        <v>1027193.97</v>
      </c>
      <c r="G689" s="7">
        <v>2862000</v>
      </c>
      <c r="H689" s="8">
        <f>IFERROR(F689/D689,"")</f>
        <v>0</v>
      </c>
      <c r="I689" s="8">
        <f>IFERROR(G689/E689,"")</f>
        <v>0</v>
      </c>
    </row>
    <row r="690" spans="1:9">
      <c r="A690" s="4" t="s">
        <v>337</v>
      </c>
      <c r="B690" s="6" t="s">
        <v>338</v>
      </c>
      <c r="C690" s="6">
        <v>2024</v>
      </c>
      <c r="D690" s="7">
        <v>2400800.95</v>
      </c>
      <c r="E690" s="7">
        <v>7726500</v>
      </c>
      <c r="F690" s="7">
        <v>0</v>
      </c>
      <c r="G690" s="7">
        <v>0</v>
      </c>
      <c r="H690" s="8">
        <f>IFERROR(F690/D690,"")</f>
        <v>0</v>
      </c>
      <c r="I690" s="8">
        <f>IFERROR(G690/E690,"")</f>
        <v>0</v>
      </c>
    </row>
    <row r="691" spans="1:9">
      <c r="A691" s="4" t="s">
        <v>337</v>
      </c>
      <c r="B691" s="6" t="s">
        <v>338</v>
      </c>
      <c r="C691" s="6">
        <v>2025</v>
      </c>
      <c r="D691" s="7">
        <v>3031576.82</v>
      </c>
      <c r="E691" s="7">
        <v>10052200.88</v>
      </c>
      <c r="F691" s="7">
        <v>17710</v>
      </c>
      <c r="G691" s="7">
        <v>110000</v>
      </c>
      <c r="H691" s="8">
        <f>IFERROR(F691/D691,"")</f>
        <v>0</v>
      </c>
      <c r="I691" s="8">
        <f>IFERROR(G691/E691,"")</f>
        <v>0</v>
      </c>
    </row>
    <row r="692" spans="1:9">
      <c r="A692" s="4" t="s">
        <v>339</v>
      </c>
      <c r="B692" s="6" t="s">
        <v>340</v>
      </c>
      <c r="C692" s="6">
        <v>2019</v>
      </c>
      <c r="D692" s="7">
        <v>771427.53</v>
      </c>
      <c r="E692" s="7">
        <v>0</v>
      </c>
      <c r="F692" s="7">
        <v>158728.217</v>
      </c>
      <c r="G692" s="7">
        <v>623370</v>
      </c>
      <c r="H692" s="8">
        <f>IFERROR(F692/D692,"")</f>
        <v>0</v>
      </c>
      <c r="I692" s="9">
        <f>"n/a"</f>
        <v>0</v>
      </c>
    </row>
    <row r="693" spans="1:9">
      <c r="A693" s="4" t="s">
        <v>339</v>
      </c>
      <c r="B693" s="6" t="s">
        <v>340</v>
      </c>
      <c r="C693" s="6">
        <v>2020</v>
      </c>
      <c r="D693" s="7">
        <v>1008193.254</v>
      </c>
      <c r="E693" s="7">
        <v>3230215.028</v>
      </c>
      <c r="F693" s="7">
        <v>884868.954</v>
      </c>
      <c r="G693" s="7">
        <v>2878000</v>
      </c>
      <c r="H693" s="8">
        <f>IFERROR(F693/D693,"")</f>
        <v>0</v>
      </c>
      <c r="I693" s="8">
        <f>IFERROR(G693/E693,"")</f>
        <v>0</v>
      </c>
    </row>
    <row r="694" spans="1:9">
      <c r="A694" s="4" t="s">
        <v>339</v>
      </c>
      <c r="B694" s="6" t="s">
        <v>340</v>
      </c>
      <c r="C694" s="6">
        <v>2021</v>
      </c>
      <c r="D694" s="7">
        <v>693086.107</v>
      </c>
      <c r="E694" s="7">
        <v>1800902.9</v>
      </c>
      <c r="F694" s="7">
        <v>127127.377</v>
      </c>
      <c r="G694" s="7">
        <v>601920</v>
      </c>
      <c r="H694" s="8">
        <f>IFERROR(F694/D694,"")</f>
        <v>0</v>
      </c>
      <c r="I694" s="8">
        <f>IFERROR(G694/E694,"")</f>
        <v>0</v>
      </c>
    </row>
    <row r="695" spans="1:9">
      <c r="A695" s="4" t="s">
        <v>339</v>
      </c>
      <c r="B695" s="6" t="s">
        <v>340</v>
      </c>
      <c r="C695" s="6">
        <v>2022</v>
      </c>
      <c r="D695" s="7">
        <v>6830629.411</v>
      </c>
      <c r="E695" s="7">
        <v>21748209.826</v>
      </c>
      <c r="F695" s="7">
        <v>1003633.046</v>
      </c>
      <c r="G695" s="7">
        <v>2377110</v>
      </c>
      <c r="H695" s="8">
        <f>IFERROR(F695/D695,"")</f>
        <v>0</v>
      </c>
      <c r="I695" s="8">
        <f>IFERROR(G695/E695,"")</f>
        <v>0</v>
      </c>
    </row>
    <row r="696" spans="1:9">
      <c r="A696" s="4" t="s">
        <v>339</v>
      </c>
      <c r="B696" s="6" t="s">
        <v>340</v>
      </c>
      <c r="C696" s="6">
        <v>2023</v>
      </c>
      <c r="D696" s="7">
        <v>2251695.805</v>
      </c>
      <c r="E696" s="7">
        <v>4191765.797</v>
      </c>
      <c r="F696" s="7">
        <v>1248732.283</v>
      </c>
      <c r="G696" s="7">
        <v>2474830</v>
      </c>
      <c r="H696" s="8">
        <f>IFERROR(F696/D696,"")</f>
        <v>0</v>
      </c>
      <c r="I696" s="8">
        <f>IFERROR(G696/E696,"")</f>
        <v>0</v>
      </c>
    </row>
    <row r="697" spans="1:9">
      <c r="A697" s="4" t="s">
        <v>339</v>
      </c>
      <c r="B697" s="6" t="s">
        <v>340</v>
      </c>
      <c r="C697" s="6">
        <v>2024</v>
      </c>
      <c r="D697" s="7">
        <v>4266754.398</v>
      </c>
      <c r="E697" s="7">
        <v>9229329.949999999</v>
      </c>
      <c r="F697" s="7">
        <v>1049195.895</v>
      </c>
      <c r="G697" s="7">
        <v>2760872.1</v>
      </c>
      <c r="H697" s="8">
        <f>IFERROR(F697/D697,"")</f>
        <v>0</v>
      </c>
      <c r="I697" s="8">
        <f>IFERROR(G697/E697,"")</f>
        <v>0</v>
      </c>
    </row>
    <row r="698" spans="1:9">
      <c r="A698" s="4" t="s">
        <v>339</v>
      </c>
      <c r="B698" s="6" t="s">
        <v>340</v>
      </c>
      <c r="C698" s="6">
        <v>2025</v>
      </c>
      <c r="D698" s="7">
        <v>6826724.26</v>
      </c>
      <c r="E698" s="7">
        <v>21033734.636</v>
      </c>
      <c r="F698" s="7">
        <v>1447519.625</v>
      </c>
      <c r="G698" s="7">
        <v>4497423.76</v>
      </c>
      <c r="H698" s="8">
        <f>IFERROR(F698/D698,"")</f>
        <v>0</v>
      </c>
      <c r="I698" s="8">
        <f>IFERROR(G698/E698,"")</f>
        <v>0</v>
      </c>
    </row>
    <row r="699" spans="1:9">
      <c r="A699" s="4" t="s">
        <v>341</v>
      </c>
      <c r="B699" s="6" t="s">
        <v>342</v>
      </c>
      <c r="C699" s="6">
        <v>2019</v>
      </c>
      <c r="D699" s="7">
        <v>4838398.38</v>
      </c>
      <c r="E699" s="7">
        <v>13416078</v>
      </c>
      <c r="F699" s="7">
        <v>58232.39</v>
      </c>
      <c r="G699" s="7">
        <v>163050</v>
      </c>
      <c r="H699" s="8">
        <f>IFERROR(F699/D699,"")</f>
        <v>0</v>
      </c>
      <c r="I699" s="8">
        <f>IFERROR(G699/E699,"")</f>
        <v>0</v>
      </c>
    </row>
    <row r="700" spans="1:9">
      <c r="A700" s="4" t="s">
        <v>341</v>
      </c>
      <c r="B700" s="6" t="s">
        <v>342</v>
      </c>
      <c r="C700" s="6">
        <v>2020</v>
      </c>
      <c r="D700" s="7">
        <v>4131938.68</v>
      </c>
      <c r="E700" s="7">
        <v>14419880</v>
      </c>
      <c r="F700" s="7">
        <v>10259.53</v>
      </c>
      <c r="G700" s="7">
        <v>21105</v>
      </c>
      <c r="H700" s="8">
        <f>IFERROR(F700/D700,"")</f>
        <v>0</v>
      </c>
      <c r="I700" s="8">
        <f>IFERROR(G700/E700,"")</f>
        <v>0</v>
      </c>
    </row>
    <row r="701" spans="1:9">
      <c r="A701" s="4" t="s">
        <v>341</v>
      </c>
      <c r="B701" s="6" t="s">
        <v>342</v>
      </c>
      <c r="C701" s="6">
        <v>2021</v>
      </c>
      <c r="D701" s="7">
        <v>4975524.27</v>
      </c>
      <c r="E701" s="7">
        <v>0</v>
      </c>
      <c r="F701" s="7">
        <v>8474.309999999999</v>
      </c>
      <c r="G701" s="7">
        <v>20400</v>
      </c>
      <c r="H701" s="8">
        <f>IFERROR(F701/D701,"")</f>
        <v>0</v>
      </c>
      <c r="I701" s="9">
        <f>"n/a"</f>
        <v>0</v>
      </c>
    </row>
    <row r="702" spans="1:9">
      <c r="A702" s="4" t="s">
        <v>341</v>
      </c>
      <c r="B702" s="6" t="s">
        <v>342</v>
      </c>
      <c r="C702" s="6">
        <v>2022</v>
      </c>
      <c r="D702" s="7">
        <v>5739169.655</v>
      </c>
      <c r="E702" s="7">
        <v>11935647</v>
      </c>
      <c r="F702" s="7">
        <v>17868.446</v>
      </c>
      <c r="G702" s="7">
        <v>41000</v>
      </c>
      <c r="H702" s="8">
        <f>IFERROR(F702/D702,"")</f>
        <v>0</v>
      </c>
      <c r="I702" s="8">
        <f>IFERROR(G702/E702,"")</f>
        <v>0</v>
      </c>
    </row>
    <row r="703" spans="1:9">
      <c r="A703" s="4" t="s">
        <v>79</v>
      </c>
      <c r="B703" s="6" t="s">
        <v>80</v>
      </c>
      <c r="C703" s="6">
        <v>2019</v>
      </c>
      <c r="D703" s="7">
        <v>58816658.22</v>
      </c>
      <c r="E703" s="7">
        <v>215154370</v>
      </c>
      <c r="F703" s="7">
        <v>0</v>
      </c>
      <c r="G703" s="7">
        <v>0</v>
      </c>
      <c r="H703" s="8">
        <f>IFERROR(F703/D703,"")</f>
        <v>0</v>
      </c>
      <c r="I703" s="8">
        <f>IFERROR(G703/E703,"")</f>
        <v>0</v>
      </c>
    </row>
    <row r="704" spans="1:9">
      <c r="A704" s="4" t="s">
        <v>79</v>
      </c>
      <c r="B704" s="6" t="s">
        <v>80</v>
      </c>
      <c r="C704" s="6">
        <v>2020</v>
      </c>
      <c r="D704" s="7">
        <v>73464746.90099999</v>
      </c>
      <c r="E704" s="7">
        <v>282287918</v>
      </c>
      <c r="F704" s="7">
        <v>0</v>
      </c>
      <c r="G704" s="7">
        <v>0</v>
      </c>
      <c r="H704" s="8">
        <f>IFERROR(F704/D704,"")</f>
        <v>0</v>
      </c>
      <c r="I704" s="8">
        <f>IFERROR(G704/E704,"")</f>
        <v>0</v>
      </c>
    </row>
    <row r="705" spans="1:9">
      <c r="A705" s="4" t="s">
        <v>79</v>
      </c>
      <c r="B705" s="6" t="s">
        <v>80</v>
      </c>
      <c r="C705" s="6">
        <v>2021</v>
      </c>
      <c r="D705" s="7">
        <v>103224211.712</v>
      </c>
      <c r="E705" s="7">
        <v>418292952</v>
      </c>
      <c r="F705" s="7">
        <v>0</v>
      </c>
      <c r="G705" s="7">
        <v>0</v>
      </c>
      <c r="H705" s="8">
        <f>IFERROR(F705/D705,"")</f>
        <v>0</v>
      </c>
      <c r="I705" s="8">
        <f>IFERROR(G705/E705,"")</f>
        <v>0</v>
      </c>
    </row>
    <row r="706" spans="1:9">
      <c r="A706" s="4" t="s">
        <v>79</v>
      </c>
      <c r="B706" s="6" t="s">
        <v>80</v>
      </c>
      <c r="C706" s="6">
        <v>2022</v>
      </c>
      <c r="D706" s="7">
        <v>139761792.535</v>
      </c>
      <c r="E706" s="7">
        <v>427830254</v>
      </c>
      <c r="F706" s="7">
        <v>8141.119</v>
      </c>
      <c r="G706" s="7">
        <v>26930</v>
      </c>
      <c r="H706" s="8">
        <f>IFERROR(F706/D706,"")</f>
        <v>0</v>
      </c>
      <c r="I706" s="8">
        <f>IFERROR(G706/E706,"")</f>
        <v>0</v>
      </c>
    </row>
    <row r="707" spans="1:9">
      <c r="A707" s="4" t="s">
        <v>79</v>
      </c>
      <c r="B707" s="6" t="s">
        <v>80</v>
      </c>
      <c r="C707" s="6">
        <v>2023</v>
      </c>
      <c r="D707" s="7">
        <v>140619162.44</v>
      </c>
      <c r="E707" s="7">
        <v>346740222</v>
      </c>
      <c r="F707" s="7">
        <v>0</v>
      </c>
      <c r="G707" s="7">
        <v>0</v>
      </c>
      <c r="H707" s="8">
        <f>IFERROR(F707/D707,"")</f>
        <v>0</v>
      </c>
      <c r="I707" s="8">
        <f>IFERROR(G707/E707,"")</f>
        <v>0</v>
      </c>
    </row>
    <row r="708" spans="1:9">
      <c r="A708" s="4" t="s">
        <v>79</v>
      </c>
      <c r="B708" s="6" t="s">
        <v>80</v>
      </c>
      <c r="C708" s="6">
        <v>2024</v>
      </c>
      <c r="D708" s="7">
        <v>138555391.717</v>
      </c>
      <c r="E708" s="7">
        <v>474985325</v>
      </c>
      <c r="F708" s="7">
        <v>0</v>
      </c>
      <c r="G708" s="7">
        <v>0</v>
      </c>
      <c r="H708" s="8">
        <f>IFERROR(F708/D708,"")</f>
        <v>0</v>
      </c>
      <c r="I708" s="8">
        <f>IFERROR(G708/E708,"")</f>
        <v>0</v>
      </c>
    </row>
    <row r="709" spans="1:9">
      <c r="A709" s="4" t="s">
        <v>79</v>
      </c>
      <c r="B709" s="6" t="s">
        <v>80</v>
      </c>
      <c r="C709" s="6">
        <v>2025</v>
      </c>
      <c r="D709" s="7">
        <v>183467487.096</v>
      </c>
      <c r="E709" s="7">
        <v>611646031</v>
      </c>
      <c r="F709" s="7">
        <v>1466.718</v>
      </c>
      <c r="G709" s="7">
        <v>3692</v>
      </c>
      <c r="H709" s="8">
        <f>IFERROR(F709/D709,"")</f>
        <v>0</v>
      </c>
      <c r="I709" s="8">
        <f>IFERROR(G709/E709,"")</f>
        <v>0</v>
      </c>
    </row>
    <row r="710" spans="1:9">
      <c r="A710" s="4" t="s">
        <v>343</v>
      </c>
      <c r="B710" s="6" t="s">
        <v>344</v>
      </c>
      <c r="C710" s="6">
        <v>2019</v>
      </c>
      <c r="D710" s="7">
        <v>6904854.709</v>
      </c>
      <c r="E710" s="7">
        <v>24153690.416</v>
      </c>
      <c r="F710" s="7">
        <v>542591.486</v>
      </c>
      <c r="G710" s="7">
        <v>1630340</v>
      </c>
      <c r="H710" s="8">
        <f>IFERROR(F710/D710,"")</f>
        <v>0</v>
      </c>
      <c r="I710" s="8">
        <f>IFERROR(G710/E710,"")</f>
        <v>0</v>
      </c>
    </row>
    <row r="711" spans="1:9">
      <c r="A711" s="4" t="s">
        <v>343</v>
      </c>
      <c r="B711" s="6" t="s">
        <v>344</v>
      </c>
      <c r="C711" s="6">
        <v>2020</v>
      </c>
      <c r="D711" s="7">
        <v>7769198.976</v>
      </c>
      <c r="E711" s="7">
        <v>0</v>
      </c>
      <c r="F711" s="7">
        <v>173731.431</v>
      </c>
      <c r="G711" s="7">
        <v>488375.112</v>
      </c>
      <c r="H711" s="8">
        <f>IFERROR(F711/D711,"")</f>
        <v>0</v>
      </c>
      <c r="I711" s="9">
        <f>"n/a"</f>
        <v>0</v>
      </c>
    </row>
    <row r="712" spans="1:9">
      <c r="A712" s="4" t="s">
        <v>343</v>
      </c>
      <c r="B712" s="6" t="s">
        <v>344</v>
      </c>
      <c r="C712" s="6">
        <v>2021</v>
      </c>
      <c r="D712" s="7">
        <v>4703241.599</v>
      </c>
      <c r="E712" s="7">
        <v>0</v>
      </c>
      <c r="F712" s="7">
        <v>408844.248</v>
      </c>
      <c r="G712" s="7">
        <v>843984</v>
      </c>
      <c r="H712" s="8">
        <f>IFERROR(F712/D712,"")</f>
        <v>0</v>
      </c>
      <c r="I712" s="9">
        <f>"n/a"</f>
        <v>0</v>
      </c>
    </row>
    <row r="713" spans="1:9">
      <c r="A713" s="4" t="s">
        <v>343</v>
      </c>
      <c r="B713" s="6" t="s">
        <v>344</v>
      </c>
      <c r="C713" s="6">
        <v>2022</v>
      </c>
      <c r="D713" s="7">
        <v>7480487.263</v>
      </c>
      <c r="E713" s="7">
        <v>11088787.753</v>
      </c>
      <c r="F713" s="7">
        <v>974603.235</v>
      </c>
      <c r="G713" s="7">
        <v>1584880</v>
      </c>
      <c r="H713" s="8">
        <f>IFERROR(F713/D713,"")</f>
        <v>0</v>
      </c>
      <c r="I713" s="8">
        <f>IFERROR(G713/E713,"")</f>
        <v>0</v>
      </c>
    </row>
    <row r="714" spans="1:9">
      <c r="A714" s="4" t="s">
        <v>343</v>
      </c>
      <c r="B714" s="6" t="s">
        <v>344</v>
      </c>
      <c r="C714" s="6">
        <v>2023</v>
      </c>
      <c r="D714" s="7">
        <v>10523727.552</v>
      </c>
      <c r="E714" s="7">
        <v>19388932.163</v>
      </c>
      <c r="F714" s="7">
        <v>556036.878</v>
      </c>
      <c r="G714" s="7">
        <v>1280440</v>
      </c>
      <c r="H714" s="8">
        <f>IFERROR(F714/D714,"")</f>
        <v>0</v>
      </c>
      <c r="I714" s="8">
        <f>IFERROR(G714/E714,"")</f>
        <v>0</v>
      </c>
    </row>
    <row r="715" spans="1:9">
      <c r="A715" s="4" t="s">
        <v>343</v>
      </c>
      <c r="B715" s="6" t="s">
        <v>344</v>
      </c>
      <c r="C715" s="6">
        <v>2024</v>
      </c>
      <c r="D715" s="7">
        <v>7016907.568</v>
      </c>
      <c r="E715" s="7">
        <v>14028809</v>
      </c>
      <c r="F715" s="7">
        <v>359567.267</v>
      </c>
      <c r="G715" s="7">
        <v>904850</v>
      </c>
      <c r="H715" s="8">
        <f>IFERROR(F715/D715,"")</f>
        <v>0</v>
      </c>
      <c r="I715" s="8">
        <f>IFERROR(G715/E715,"")</f>
        <v>0</v>
      </c>
    </row>
    <row r="716" spans="1:9">
      <c r="A716" s="4" t="s">
        <v>343</v>
      </c>
      <c r="B716" s="6" t="s">
        <v>344</v>
      </c>
      <c r="C716" s="6">
        <v>2025</v>
      </c>
      <c r="D716" s="7">
        <v>6819594.282</v>
      </c>
      <c r="E716" s="7">
        <v>20994328</v>
      </c>
      <c r="F716" s="7">
        <v>484332.865</v>
      </c>
      <c r="G716" s="7">
        <v>1878577</v>
      </c>
      <c r="H716" s="8">
        <f>IFERROR(F716/D716,"")</f>
        <v>0</v>
      </c>
      <c r="I716" s="8">
        <f>IFERROR(G716/E716,"")</f>
        <v>0</v>
      </c>
    </row>
    <row r="717" spans="1:9">
      <c r="A717" s="4" t="s">
        <v>345</v>
      </c>
      <c r="B717" s="6" t="s">
        <v>346</v>
      </c>
      <c r="C717" s="6">
        <v>2019</v>
      </c>
      <c r="D717" s="7">
        <v>157432.61</v>
      </c>
      <c r="E717" s="7">
        <v>0</v>
      </c>
      <c r="F717" s="7">
        <v>18874.95</v>
      </c>
      <c r="G717" s="7">
        <v>43191.36</v>
      </c>
      <c r="H717" s="8">
        <f>IFERROR(F717/D717,"")</f>
        <v>0</v>
      </c>
      <c r="I717" s="9">
        <f>"n/a"</f>
        <v>0</v>
      </c>
    </row>
    <row r="718" spans="1:9">
      <c r="A718" s="4" t="s">
        <v>345</v>
      </c>
      <c r="B718" s="6" t="s">
        <v>346</v>
      </c>
      <c r="C718" s="6">
        <v>2020</v>
      </c>
      <c r="D718" s="7">
        <v>245917.37</v>
      </c>
      <c r="E718" s="7">
        <v>0</v>
      </c>
      <c r="F718" s="7">
        <v>55946.87</v>
      </c>
      <c r="G718" s="7">
        <v>119680</v>
      </c>
      <c r="H718" s="8">
        <f>IFERROR(F718/D718,"")</f>
        <v>0</v>
      </c>
      <c r="I718" s="9">
        <f>"n/a"</f>
        <v>0</v>
      </c>
    </row>
    <row r="719" spans="1:9">
      <c r="A719" s="4" t="s">
        <v>345</v>
      </c>
      <c r="B719" s="6" t="s">
        <v>346</v>
      </c>
      <c r="C719" s="6">
        <v>2021</v>
      </c>
      <c r="D719" s="7">
        <v>402974.71</v>
      </c>
      <c r="E719" s="7">
        <v>1130626.18</v>
      </c>
      <c r="F719" s="7">
        <v>35582.91</v>
      </c>
      <c r="G719" s="7">
        <v>77300</v>
      </c>
      <c r="H719" s="8">
        <f>IFERROR(F719/D719,"")</f>
        <v>0</v>
      </c>
      <c r="I719" s="8">
        <f>IFERROR(G719/E719,"")</f>
        <v>0</v>
      </c>
    </row>
    <row r="720" spans="1:9">
      <c r="A720" s="4" t="s">
        <v>345</v>
      </c>
      <c r="B720" s="6" t="s">
        <v>346</v>
      </c>
      <c r="C720" s="6">
        <v>2022</v>
      </c>
      <c r="D720" s="7">
        <v>864346.6899999999</v>
      </c>
      <c r="E720" s="7">
        <v>933891.1800000001</v>
      </c>
      <c r="F720" s="7">
        <v>597969.64</v>
      </c>
      <c r="G720" s="7">
        <v>569750</v>
      </c>
      <c r="H720" s="8">
        <f>IFERROR(F720/D720,"")</f>
        <v>0</v>
      </c>
      <c r="I720" s="8">
        <f>IFERROR(G720/E720,"")</f>
        <v>0</v>
      </c>
    </row>
    <row r="721" spans="1:9">
      <c r="A721" s="4" t="s">
        <v>345</v>
      </c>
      <c r="B721" s="6" t="s">
        <v>346</v>
      </c>
      <c r="C721" s="6">
        <v>2023</v>
      </c>
      <c r="D721" s="7">
        <v>582645.86</v>
      </c>
      <c r="E721" s="7">
        <v>767853.893</v>
      </c>
      <c r="F721" s="7">
        <v>475743.09</v>
      </c>
      <c r="G721" s="7">
        <v>647750</v>
      </c>
      <c r="H721" s="8">
        <f>IFERROR(F721/D721,"")</f>
        <v>0</v>
      </c>
      <c r="I721" s="8">
        <f>IFERROR(G721/E721,"")</f>
        <v>0</v>
      </c>
    </row>
    <row r="722" spans="1:9">
      <c r="A722" s="4" t="s">
        <v>345</v>
      </c>
      <c r="B722" s="6" t="s">
        <v>346</v>
      </c>
      <c r="C722" s="6">
        <v>2024</v>
      </c>
      <c r="D722" s="7">
        <v>614131</v>
      </c>
      <c r="E722" s="7">
        <v>0</v>
      </c>
      <c r="F722" s="7">
        <v>484884.5</v>
      </c>
      <c r="G722" s="7">
        <v>575270</v>
      </c>
      <c r="H722" s="8">
        <f>IFERROR(F722/D722,"")</f>
        <v>0</v>
      </c>
      <c r="I722" s="9">
        <f>"n/a"</f>
        <v>0</v>
      </c>
    </row>
    <row r="723" spans="1:9">
      <c r="A723" s="4" t="s">
        <v>345</v>
      </c>
      <c r="B723" s="6" t="s">
        <v>346</v>
      </c>
      <c r="C723" s="6">
        <v>2025</v>
      </c>
      <c r="D723" s="7">
        <v>513957.28</v>
      </c>
      <c r="E723" s="7">
        <v>776749.3100000001</v>
      </c>
      <c r="F723" s="7">
        <v>232813.87</v>
      </c>
      <c r="G723" s="7">
        <v>406183</v>
      </c>
      <c r="H723" s="8">
        <f>IFERROR(F723/D723,"")</f>
        <v>0</v>
      </c>
      <c r="I723" s="8">
        <f>IFERROR(G723/E723,"")</f>
        <v>0</v>
      </c>
    </row>
    <row r="724" spans="1:9">
      <c r="A724" s="4" t="s">
        <v>347</v>
      </c>
      <c r="B724" s="6" t="s">
        <v>348</v>
      </c>
      <c r="C724" s="6">
        <v>2019</v>
      </c>
      <c r="D724" s="7">
        <v>1206540.084</v>
      </c>
      <c r="E724" s="7">
        <v>3208910</v>
      </c>
      <c r="F724" s="7">
        <v>0</v>
      </c>
      <c r="G724" s="7">
        <v>0</v>
      </c>
      <c r="H724" s="8">
        <f>IFERROR(F724/D724,"")</f>
        <v>0</v>
      </c>
      <c r="I724" s="8">
        <f>IFERROR(G724/E724,"")</f>
        <v>0</v>
      </c>
    </row>
    <row r="725" spans="1:9">
      <c r="A725" s="4" t="s">
        <v>347</v>
      </c>
      <c r="B725" s="6" t="s">
        <v>348</v>
      </c>
      <c r="C725" s="6">
        <v>2020</v>
      </c>
      <c r="D725" s="7">
        <v>1882538.407</v>
      </c>
      <c r="E725" s="7">
        <v>5178365</v>
      </c>
      <c r="F725" s="7">
        <v>0</v>
      </c>
      <c r="G725" s="7">
        <v>0</v>
      </c>
      <c r="H725" s="8">
        <f>IFERROR(F725/D725,"")</f>
        <v>0</v>
      </c>
      <c r="I725" s="8">
        <f>IFERROR(G725/E725,"")</f>
        <v>0</v>
      </c>
    </row>
    <row r="726" spans="1:9">
      <c r="A726" s="4" t="s">
        <v>347</v>
      </c>
      <c r="B726" s="6" t="s">
        <v>348</v>
      </c>
      <c r="C726" s="6">
        <v>2021</v>
      </c>
      <c r="D726" s="7">
        <v>2083155.521</v>
      </c>
      <c r="E726" s="7">
        <v>5341829</v>
      </c>
      <c r="F726" s="7">
        <v>248162.957</v>
      </c>
      <c r="G726" s="7">
        <v>639161</v>
      </c>
      <c r="H726" s="8">
        <f>IFERROR(F726/D726,"")</f>
        <v>0</v>
      </c>
      <c r="I726" s="8">
        <f>IFERROR(G726/E726,"")</f>
        <v>0</v>
      </c>
    </row>
    <row r="727" spans="1:9">
      <c r="A727" s="4" t="s">
        <v>347</v>
      </c>
      <c r="B727" s="6" t="s">
        <v>348</v>
      </c>
      <c r="C727" s="6">
        <v>2022</v>
      </c>
      <c r="D727" s="7">
        <v>33304.498</v>
      </c>
      <c r="E727" s="7">
        <v>112018</v>
      </c>
      <c r="F727" s="7">
        <v>24997.809</v>
      </c>
      <c r="G727" s="7">
        <v>84018</v>
      </c>
      <c r="H727" s="8">
        <f>IFERROR(F727/D727,"")</f>
        <v>0</v>
      </c>
      <c r="I727" s="8">
        <f>IFERROR(G727/E727,"")</f>
        <v>0</v>
      </c>
    </row>
    <row r="728" spans="1:9">
      <c r="A728" s="4" t="s">
        <v>347</v>
      </c>
      <c r="B728" s="6" t="s">
        <v>348</v>
      </c>
      <c r="C728" s="6">
        <v>2023</v>
      </c>
      <c r="D728" s="7">
        <v>2085396.638</v>
      </c>
      <c r="E728" s="7">
        <v>3318639</v>
      </c>
      <c r="F728" s="7">
        <v>36557.352</v>
      </c>
      <c r="G728" s="7">
        <v>11127</v>
      </c>
      <c r="H728" s="8">
        <f>IFERROR(F728/D728,"")</f>
        <v>0</v>
      </c>
      <c r="I728" s="8">
        <f>IFERROR(G728/E728,"")</f>
        <v>0</v>
      </c>
    </row>
    <row r="729" spans="1:9">
      <c r="A729" s="4" t="s">
        <v>347</v>
      </c>
      <c r="B729" s="6" t="s">
        <v>348</v>
      </c>
      <c r="C729" s="6">
        <v>2024</v>
      </c>
      <c r="D729" s="7">
        <v>736251.872</v>
      </c>
      <c r="E729" s="7">
        <v>941598</v>
      </c>
      <c r="F729" s="7">
        <v>704404.1310000001</v>
      </c>
      <c r="G729" s="7">
        <v>889253</v>
      </c>
      <c r="H729" s="8">
        <f>IFERROR(F729/D729,"")</f>
        <v>0</v>
      </c>
      <c r="I729" s="8">
        <f>IFERROR(G729/E729,"")</f>
        <v>0</v>
      </c>
    </row>
    <row r="730" spans="1:9">
      <c r="A730" s="4" t="s">
        <v>347</v>
      </c>
      <c r="B730" s="6" t="s">
        <v>348</v>
      </c>
      <c r="C730" s="6">
        <v>2025</v>
      </c>
      <c r="D730" s="7">
        <v>1206628.633</v>
      </c>
      <c r="E730" s="7">
        <v>1305166</v>
      </c>
      <c r="F730" s="7">
        <v>925493.671</v>
      </c>
      <c r="G730" s="7">
        <v>995911</v>
      </c>
      <c r="H730" s="8">
        <f>IFERROR(F730/D730,"")</f>
        <v>0</v>
      </c>
      <c r="I730" s="8">
        <f>IFERROR(G730/E730,"")</f>
        <v>0</v>
      </c>
    </row>
    <row r="731" spans="1:9">
      <c r="A731" s="4" t="s">
        <v>127</v>
      </c>
      <c r="B731" s="6" t="s">
        <v>128</v>
      </c>
      <c r="C731" s="6">
        <v>2019</v>
      </c>
      <c r="D731" s="7">
        <v>64751676.43</v>
      </c>
      <c r="E731" s="7">
        <v>0</v>
      </c>
      <c r="F731" s="7">
        <v>32336254.58</v>
      </c>
      <c r="G731" s="7">
        <v>77388745.884</v>
      </c>
      <c r="H731" s="8">
        <f>IFERROR(F731/D731,"")</f>
        <v>0</v>
      </c>
      <c r="I731" s="9">
        <f>"n/a"</f>
        <v>0</v>
      </c>
    </row>
    <row r="732" spans="1:9">
      <c r="A732" s="4" t="s">
        <v>127</v>
      </c>
      <c r="B732" s="6" t="s">
        <v>128</v>
      </c>
      <c r="C732" s="6">
        <v>2020</v>
      </c>
      <c r="D732" s="7">
        <v>126763129.319</v>
      </c>
      <c r="E732" s="7">
        <v>0</v>
      </c>
      <c r="F732" s="7">
        <v>76877397.911</v>
      </c>
      <c r="G732" s="7">
        <v>174726427.981</v>
      </c>
      <c r="H732" s="8">
        <f>IFERROR(F732/D732,"")</f>
        <v>0</v>
      </c>
      <c r="I732" s="9">
        <f>"n/a"</f>
        <v>0</v>
      </c>
    </row>
    <row r="733" spans="1:9">
      <c r="A733" s="4" t="s">
        <v>127</v>
      </c>
      <c r="B733" s="6" t="s">
        <v>128</v>
      </c>
      <c r="C733" s="6">
        <v>2021</v>
      </c>
      <c r="D733" s="7">
        <v>66988733.054</v>
      </c>
      <c r="E733" s="7">
        <v>0</v>
      </c>
      <c r="F733" s="7">
        <v>19733705.224</v>
      </c>
      <c r="G733" s="7">
        <v>0</v>
      </c>
      <c r="H733" s="8">
        <f>IFERROR(F733/D733,"")</f>
        <v>0</v>
      </c>
      <c r="I733" s="9">
        <f>"n/a"</f>
        <v>0</v>
      </c>
    </row>
    <row r="734" spans="1:9">
      <c r="A734" s="4" t="s">
        <v>127</v>
      </c>
      <c r="B734" s="6" t="s">
        <v>128</v>
      </c>
      <c r="C734" s="6">
        <v>2022</v>
      </c>
      <c r="D734" s="7">
        <v>117799696.709</v>
      </c>
      <c r="E734" s="7">
        <v>0</v>
      </c>
      <c r="F734" s="7">
        <v>54140095.015</v>
      </c>
      <c r="G734" s="7">
        <v>80603808.719</v>
      </c>
      <c r="H734" s="8">
        <f>IFERROR(F734/D734,"")</f>
        <v>0</v>
      </c>
      <c r="I734" s="9">
        <f>"n/a"</f>
        <v>0</v>
      </c>
    </row>
    <row r="735" spans="1:9">
      <c r="A735" s="4" t="s">
        <v>127</v>
      </c>
      <c r="B735" s="6" t="s">
        <v>128</v>
      </c>
      <c r="C735" s="6">
        <v>2023</v>
      </c>
      <c r="D735" s="7">
        <v>87368352.866</v>
      </c>
      <c r="E735" s="7">
        <v>117695101.046</v>
      </c>
      <c r="F735" s="7">
        <v>38531296.554</v>
      </c>
      <c r="G735" s="7">
        <v>62545570.729</v>
      </c>
      <c r="H735" s="8">
        <f>IFERROR(F735/D735,"")</f>
        <v>0</v>
      </c>
      <c r="I735" s="8">
        <f>IFERROR(G735/E735,"")</f>
        <v>0</v>
      </c>
    </row>
    <row r="736" spans="1:9">
      <c r="A736" s="4" t="s">
        <v>127</v>
      </c>
      <c r="B736" s="6" t="s">
        <v>128</v>
      </c>
      <c r="C736" s="6">
        <v>2024</v>
      </c>
      <c r="D736" s="7">
        <v>64154607.687</v>
      </c>
      <c r="E736" s="7">
        <v>97384857.095</v>
      </c>
      <c r="F736" s="7">
        <v>13613898.049</v>
      </c>
      <c r="G736" s="7">
        <v>41008666</v>
      </c>
      <c r="H736" s="8">
        <f>IFERROR(F736/D736,"")</f>
        <v>0</v>
      </c>
      <c r="I736" s="8">
        <f>IFERROR(G736/E736,"")</f>
        <v>0</v>
      </c>
    </row>
    <row r="737" spans="1:9">
      <c r="A737" s="4" t="s">
        <v>127</v>
      </c>
      <c r="B737" s="6" t="s">
        <v>128</v>
      </c>
      <c r="C737" s="6">
        <v>2025</v>
      </c>
      <c r="D737" s="7">
        <v>63062867.763</v>
      </c>
      <c r="E737" s="7">
        <v>0</v>
      </c>
      <c r="F737" s="7">
        <v>34814704.017</v>
      </c>
      <c r="G737" s="7">
        <v>106128613.04</v>
      </c>
      <c r="H737" s="8">
        <f>IFERROR(F737/D737,"")</f>
        <v>0</v>
      </c>
      <c r="I737" s="9">
        <f>"n/a"</f>
        <v>0</v>
      </c>
    </row>
    <row r="738" spans="1:9">
      <c r="A738" s="4" t="s">
        <v>349</v>
      </c>
      <c r="B738" s="6" t="s">
        <v>350</v>
      </c>
      <c r="C738" s="6">
        <v>2019</v>
      </c>
      <c r="D738" s="7">
        <v>189101.31</v>
      </c>
      <c r="E738" s="7">
        <v>638262.285</v>
      </c>
      <c r="F738" s="7">
        <v>0</v>
      </c>
      <c r="G738" s="7">
        <v>0</v>
      </c>
      <c r="H738" s="8">
        <f>IFERROR(F738/D738,"")</f>
        <v>0</v>
      </c>
      <c r="I738" s="8">
        <f>IFERROR(G738/E738,"")</f>
        <v>0</v>
      </c>
    </row>
    <row r="739" spans="1:9">
      <c r="A739" s="4" t="s">
        <v>349</v>
      </c>
      <c r="B739" s="6" t="s">
        <v>350</v>
      </c>
      <c r="C739" s="6">
        <v>2020</v>
      </c>
      <c r="D739" s="7">
        <v>192253.74</v>
      </c>
      <c r="E739" s="7">
        <v>611172.358</v>
      </c>
      <c r="F739" s="7">
        <v>0</v>
      </c>
      <c r="G739" s="7">
        <v>0</v>
      </c>
      <c r="H739" s="8">
        <f>IFERROR(F739/D739,"")</f>
        <v>0</v>
      </c>
      <c r="I739" s="8">
        <f>IFERROR(G739/E739,"")</f>
        <v>0</v>
      </c>
    </row>
    <row r="740" spans="1:9">
      <c r="A740" s="4" t="s">
        <v>349</v>
      </c>
      <c r="B740" s="6" t="s">
        <v>350</v>
      </c>
      <c r="C740" s="6">
        <v>2021</v>
      </c>
      <c r="D740" s="7">
        <v>313345.27</v>
      </c>
      <c r="E740" s="7">
        <v>0</v>
      </c>
      <c r="F740" s="7">
        <v>0</v>
      </c>
      <c r="G740" s="7">
        <v>0</v>
      </c>
      <c r="H740" s="8">
        <f>IFERROR(F740/D740,"")</f>
        <v>0</v>
      </c>
      <c r="I740" s="9">
        <f>"n/a"</f>
        <v>0</v>
      </c>
    </row>
    <row r="741" spans="1:9">
      <c r="A741" s="4" t="s">
        <v>349</v>
      </c>
      <c r="B741" s="6" t="s">
        <v>350</v>
      </c>
      <c r="C741" s="6">
        <v>2022</v>
      </c>
      <c r="D741" s="7">
        <v>465168.88</v>
      </c>
      <c r="E741" s="7">
        <v>990964.825</v>
      </c>
      <c r="F741" s="7">
        <v>0</v>
      </c>
      <c r="G741" s="7">
        <v>0</v>
      </c>
      <c r="H741" s="8">
        <f>IFERROR(F741/D741,"")</f>
        <v>0</v>
      </c>
      <c r="I741" s="8">
        <f>IFERROR(G741/E741,"")</f>
        <v>0</v>
      </c>
    </row>
    <row r="742" spans="1:9">
      <c r="A742" s="4" t="s">
        <v>349</v>
      </c>
      <c r="B742" s="6" t="s">
        <v>350</v>
      </c>
      <c r="C742" s="6">
        <v>2023</v>
      </c>
      <c r="D742" s="7">
        <v>685746.9129999999</v>
      </c>
      <c r="E742" s="7">
        <v>0</v>
      </c>
      <c r="F742" s="7">
        <v>0</v>
      </c>
      <c r="G742" s="7">
        <v>0</v>
      </c>
      <c r="H742" s="8">
        <f>IFERROR(F742/D742,"")</f>
        <v>0</v>
      </c>
      <c r="I742" s="9">
        <f>"n/a"</f>
        <v>0</v>
      </c>
    </row>
    <row r="743" spans="1:9">
      <c r="A743" s="4" t="s">
        <v>349</v>
      </c>
      <c r="B743" s="6" t="s">
        <v>350</v>
      </c>
      <c r="C743" s="6">
        <v>2024</v>
      </c>
      <c r="D743" s="7">
        <v>784498.1</v>
      </c>
      <c r="E743" s="7">
        <v>1604324.761</v>
      </c>
      <c r="F743" s="7">
        <v>0</v>
      </c>
      <c r="G743" s="7">
        <v>0</v>
      </c>
      <c r="H743" s="8">
        <f>IFERROR(F743/D743,"")</f>
        <v>0</v>
      </c>
      <c r="I743" s="8">
        <f>IFERROR(G743/E743,"")</f>
        <v>0</v>
      </c>
    </row>
    <row r="744" spans="1:9">
      <c r="A744" s="4" t="s">
        <v>349</v>
      </c>
      <c r="B744" s="6" t="s">
        <v>350</v>
      </c>
      <c r="C744" s="6">
        <v>2025</v>
      </c>
      <c r="D744" s="7">
        <v>790097.071</v>
      </c>
      <c r="E744" s="7">
        <v>1637150.549</v>
      </c>
      <c r="F744" s="7">
        <v>1465.218</v>
      </c>
      <c r="G744" s="7">
        <v>3000</v>
      </c>
      <c r="H744" s="8">
        <f>IFERROR(F744/D744,"")</f>
        <v>0</v>
      </c>
      <c r="I744" s="8">
        <f>IFERROR(G744/E744,"")</f>
        <v>0</v>
      </c>
    </row>
    <row r="745" spans="1:9">
      <c r="A745" s="4" t="s">
        <v>351</v>
      </c>
      <c r="B745" s="6" t="s">
        <v>352</v>
      </c>
      <c r="C745" s="6">
        <v>2019</v>
      </c>
      <c r="D745" s="7">
        <v>14679804.681</v>
      </c>
      <c r="E745" s="7">
        <v>0</v>
      </c>
      <c r="F745" s="7">
        <v>847.353</v>
      </c>
      <c r="G745" s="7">
        <v>1018</v>
      </c>
      <c r="H745" s="8">
        <f>IFERROR(F745/D745,"")</f>
        <v>0</v>
      </c>
      <c r="I745" s="9">
        <f>"n/a"</f>
        <v>0</v>
      </c>
    </row>
    <row r="746" spans="1:9">
      <c r="A746" s="4" t="s">
        <v>351</v>
      </c>
      <c r="B746" s="6" t="s">
        <v>352</v>
      </c>
      <c r="C746" s="6">
        <v>2020</v>
      </c>
      <c r="D746" s="7">
        <v>12751517.003</v>
      </c>
      <c r="E746" s="7">
        <v>0</v>
      </c>
      <c r="F746" s="7">
        <v>0</v>
      </c>
      <c r="G746" s="7">
        <v>0</v>
      </c>
      <c r="H746" s="8">
        <f>IFERROR(F746/D746,"")</f>
        <v>0</v>
      </c>
      <c r="I746" s="9">
        <f>"n/a"</f>
        <v>0</v>
      </c>
    </row>
    <row r="747" spans="1:9">
      <c r="A747" s="4" t="s">
        <v>351</v>
      </c>
      <c r="B747" s="6" t="s">
        <v>352</v>
      </c>
      <c r="C747" s="6">
        <v>2021</v>
      </c>
      <c r="D747" s="7">
        <v>13720602.275</v>
      </c>
      <c r="E747" s="7">
        <v>0</v>
      </c>
      <c r="F747" s="7">
        <v>0</v>
      </c>
      <c r="G747" s="7">
        <v>0</v>
      </c>
      <c r="H747" s="8">
        <f>IFERROR(F747/D747,"")</f>
        <v>0</v>
      </c>
      <c r="I747" s="9">
        <f>"n/a"</f>
        <v>0</v>
      </c>
    </row>
    <row r="748" spans="1:9">
      <c r="A748" s="4" t="s">
        <v>351</v>
      </c>
      <c r="B748" s="6" t="s">
        <v>352</v>
      </c>
      <c r="C748" s="6">
        <v>2022</v>
      </c>
      <c r="D748" s="7">
        <v>20219392.694</v>
      </c>
      <c r="E748" s="7">
        <v>0</v>
      </c>
      <c r="F748" s="7">
        <v>391.489</v>
      </c>
      <c r="G748" s="7">
        <v>0</v>
      </c>
      <c r="H748" s="8">
        <f>IFERROR(F748/D748,"")</f>
        <v>0</v>
      </c>
      <c r="I748" s="9">
        <f>"n/a"</f>
        <v>0</v>
      </c>
    </row>
    <row r="749" spans="1:9">
      <c r="A749" s="4" t="s">
        <v>351</v>
      </c>
      <c r="B749" s="6" t="s">
        <v>352</v>
      </c>
      <c r="C749" s="6">
        <v>2023</v>
      </c>
      <c r="D749" s="7">
        <v>25700537.316</v>
      </c>
      <c r="E749" s="7">
        <v>0</v>
      </c>
      <c r="F749" s="7">
        <v>97.44799999999999</v>
      </c>
      <c r="G749" s="7">
        <v>40</v>
      </c>
      <c r="H749" s="8">
        <f>IFERROR(F749/D749,"")</f>
        <v>0</v>
      </c>
      <c r="I749" s="9">
        <f>"n/a"</f>
        <v>0</v>
      </c>
    </row>
    <row r="750" spans="1:9">
      <c r="A750" s="4" t="s">
        <v>351</v>
      </c>
      <c r="B750" s="6" t="s">
        <v>352</v>
      </c>
      <c r="C750" s="6">
        <v>2024</v>
      </c>
      <c r="D750" s="7">
        <v>19437891.806</v>
      </c>
      <c r="E750" s="7">
        <v>0</v>
      </c>
      <c r="F750" s="7">
        <v>8826.001</v>
      </c>
      <c r="G750" s="7">
        <v>427</v>
      </c>
      <c r="H750" s="8">
        <f>IFERROR(F750/D750,"")</f>
        <v>0</v>
      </c>
      <c r="I750" s="9">
        <f>"n/a"</f>
        <v>0</v>
      </c>
    </row>
    <row r="751" spans="1:9">
      <c r="A751" s="4" t="s">
        <v>351</v>
      </c>
      <c r="B751" s="6" t="s">
        <v>352</v>
      </c>
      <c r="C751" s="6">
        <v>2025</v>
      </c>
      <c r="D751" s="7">
        <v>19871955.966</v>
      </c>
      <c r="E751" s="7">
        <v>0</v>
      </c>
      <c r="F751" s="7">
        <v>5119.775</v>
      </c>
      <c r="G751" s="7">
        <v>630</v>
      </c>
      <c r="H751" s="8">
        <f>IFERROR(F751/D751,"")</f>
        <v>0</v>
      </c>
      <c r="I751" s="9">
        <f>"n/a"</f>
        <v>0</v>
      </c>
    </row>
    <row r="752" spans="1:9">
      <c r="A752" s="4" t="s">
        <v>353</v>
      </c>
      <c r="B752" s="6" t="s">
        <v>354</v>
      </c>
      <c r="C752" s="6">
        <v>2019</v>
      </c>
      <c r="D752" s="7">
        <v>12482974.169</v>
      </c>
      <c r="E752" s="7">
        <v>46030831</v>
      </c>
      <c r="F752" s="7">
        <v>431393.979</v>
      </c>
      <c r="G752" s="7">
        <v>1040340</v>
      </c>
      <c r="H752" s="8">
        <f>IFERROR(F752/D752,"")</f>
        <v>0</v>
      </c>
      <c r="I752" s="8">
        <f>IFERROR(G752/E752,"")</f>
        <v>0</v>
      </c>
    </row>
    <row r="753" spans="1:9">
      <c r="A753" s="4" t="s">
        <v>353</v>
      </c>
      <c r="B753" s="6" t="s">
        <v>354</v>
      </c>
      <c r="C753" s="6">
        <v>2020</v>
      </c>
      <c r="D753" s="7">
        <v>12688714.073</v>
      </c>
      <c r="E753" s="7">
        <v>49447355</v>
      </c>
      <c r="F753" s="7">
        <v>220410.903</v>
      </c>
      <c r="G753" s="7">
        <v>580933</v>
      </c>
      <c r="H753" s="8">
        <f>IFERROR(F753/D753,"")</f>
        <v>0</v>
      </c>
      <c r="I753" s="8">
        <f>IFERROR(G753/E753,"")</f>
        <v>0</v>
      </c>
    </row>
    <row r="754" spans="1:9">
      <c r="A754" s="4" t="s">
        <v>353</v>
      </c>
      <c r="B754" s="6" t="s">
        <v>354</v>
      </c>
      <c r="C754" s="6">
        <v>2021</v>
      </c>
      <c r="D754" s="7">
        <v>13505092.307</v>
      </c>
      <c r="E754" s="7">
        <v>0</v>
      </c>
      <c r="F754" s="7">
        <v>236210.663</v>
      </c>
      <c r="G754" s="7">
        <v>467225</v>
      </c>
      <c r="H754" s="8">
        <f>IFERROR(F754/D754,"")</f>
        <v>0</v>
      </c>
      <c r="I754" s="9">
        <f>"n/a"</f>
        <v>0</v>
      </c>
    </row>
    <row r="755" spans="1:9">
      <c r="A755" s="4" t="s">
        <v>353</v>
      </c>
      <c r="B755" s="6" t="s">
        <v>354</v>
      </c>
      <c r="C755" s="6">
        <v>2022</v>
      </c>
      <c r="D755" s="7">
        <v>28294954.442</v>
      </c>
      <c r="E755" s="7">
        <v>55765817.642</v>
      </c>
      <c r="F755" s="7">
        <v>6847365.399</v>
      </c>
      <c r="G755" s="7">
        <v>13143695</v>
      </c>
      <c r="H755" s="8">
        <f>IFERROR(F755/D755,"")</f>
        <v>0</v>
      </c>
      <c r="I755" s="8">
        <f>IFERROR(G755/E755,"")</f>
        <v>0</v>
      </c>
    </row>
    <row r="756" spans="1:9">
      <c r="A756" s="4" t="s">
        <v>353</v>
      </c>
      <c r="B756" s="6" t="s">
        <v>354</v>
      </c>
      <c r="C756" s="6">
        <v>2023</v>
      </c>
      <c r="D756" s="7">
        <v>17838663.171</v>
      </c>
      <c r="E756" s="7">
        <v>0</v>
      </c>
      <c r="F756" s="7">
        <v>1864686.603</v>
      </c>
      <c r="G756" s="7">
        <v>4543738</v>
      </c>
      <c r="H756" s="8">
        <f>IFERROR(F756/D756,"")</f>
        <v>0</v>
      </c>
      <c r="I756" s="9">
        <f>"n/a"</f>
        <v>0</v>
      </c>
    </row>
    <row r="757" spans="1:9">
      <c r="A757" s="4" t="s">
        <v>353</v>
      </c>
      <c r="B757" s="6" t="s">
        <v>354</v>
      </c>
      <c r="C757" s="6">
        <v>2024</v>
      </c>
      <c r="D757" s="7">
        <v>9793323.782</v>
      </c>
      <c r="E757" s="7">
        <v>31818340.994</v>
      </c>
      <c r="F757" s="7">
        <v>1406114.432</v>
      </c>
      <c r="G757" s="7">
        <v>3254539</v>
      </c>
      <c r="H757" s="8">
        <f>IFERROR(F757/D757,"")</f>
        <v>0</v>
      </c>
      <c r="I757" s="8">
        <f>IFERROR(G757/E757,"")</f>
        <v>0</v>
      </c>
    </row>
    <row r="758" spans="1:9">
      <c r="A758" s="4" t="s">
        <v>353</v>
      </c>
      <c r="B758" s="6" t="s">
        <v>354</v>
      </c>
      <c r="C758" s="6">
        <v>2025</v>
      </c>
      <c r="D758" s="7">
        <v>9303846.539000001</v>
      </c>
      <c r="E758" s="7">
        <v>0</v>
      </c>
      <c r="F758" s="7">
        <v>1124611.182</v>
      </c>
      <c r="G758" s="7">
        <v>3058652</v>
      </c>
      <c r="H758" s="8">
        <f>IFERROR(F758/D758,"")</f>
        <v>0</v>
      </c>
      <c r="I758" s="9">
        <f>"n/a"</f>
        <v>0</v>
      </c>
    </row>
    <row r="759" spans="1:9">
      <c r="A759" s="4" t="s">
        <v>355</v>
      </c>
      <c r="B759" s="6" t="s">
        <v>356</v>
      </c>
      <c r="C759" s="6">
        <v>2019</v>
      </c>
      <c r="D759" s="7">
        <v>67666984.84999999</v>
      </c>
      <c r="E759" s="7">
        <v>258548080.413</v>
      </c>
      <c r="F759" s="7">
        <v>10055033.71</v>
      </c>
      <c r="G759" s="7">
        <v>40604450</v>
      </c>
      <c r="H759" s="8">
        <f>IFERROR(F759/D759,"")</f>
        <v>0</v>
      </c>
      <c r="I759" s="8">
        <f>IFERROR(G759/E759,"")</f>
        <v>0</v>
      </c>
    </row>
    <row r="760" spans="1:9">
      <c r="A760" s="4" t="s">
        <v>355</v>
      </c>
      <c r="B760" s="6" t="s">
        <v>356</v>
      </c>
      <c r="C760" s="6">
        <v>2020</v>
      </c>
      <c r="D760" s="7">
        <v>53706223.002</v>
      </c>
      <c r="E760" s="7">
        <v>226849821.445</v>
      </c>
      <c r="F760" s="7">
        <v>10014798.434</v>
      </c>
      <c r="G760" s="7">
        <v>47449910</v>
      </c>
      <c r="H760" s="8">
        <f>IFERROR(F760/D760,"")</f>
        <v>0</v>
      </c>
      <c r="I760" s="8">
        <f>IFERROR(G760/E760,"")</f>
        <v>0</v>
      </c>
    </row>
    <row r="761" spans="1:9">
      <c r="A761" s="4" t="s">
        <v>355</v>
      </c>
      <c r="B761" s="6" t="s">
        <v>356</v>
      </c>
      <c r="C761" s="6">
        <v>2021</v>
      </c>
      <c r="D761" s="7">
        <v>50250072.682</v>
      </c>
      <c r="E761" s="7">
        <v>220766603.344</v>
      </c>
      <c r="F761" s="7">
        <v>7080122.237</v>
      </c>
      <c r="G761" s="7">
        <v>27096450</v>
      </c>
      <c r="H761" s="8">
        <f>IFERROR(F761/D761,"")</f>
        <v>0</v>
      </c>
      <c r="I761" s="8">
        <f>IFERROR(G761/E761,"")</f>
        <v>0</v>
      </c>
    </row>
    <row r="762" spans="1:9">
      <c r="A762" s="4" t="s">
        <v>355</v>
      </c>
      <c r="B762" s="6" t="s">
        <v>356</v>
      </c>
      <c r="C762" s="6">
        <v>2022</v>
      </c>
      <c r="D762" s="7">
        <v>98560588.64</v>
      </c>
      <c r="E762" s="7">
        <v>244004723.67</v>
      </c>
      <c r="F762" s="7">
        <v>15303901.42</v>
      </c>
      <c r="G762" s="7">
        <v>37327390</v>
      </c>
      <c r="H762" s="8">
        <f>IFERROR(F762/D762,"")</f>
        <v>0</v>
      </c>
      <c r="I762" s="8">
        <f>IFERROR(G762/E762,"")</f>
        <v>0</v>
      </c>
    </row>
    <row r="763" spans="1:9">
      <c r="A763" s="4" t="s">
        <v>355</v>
      </c>
      <c r="B763" s="6" t="s">
        <v>356</v>
      </c>
      <c r="C763" s="6">
        <v>2023</v>
      </c>
      <c r="D763" s="7">
        <v>72626468.29000001</v>
      </c>
      <c r="E763" s="7">
        <v>197740349.572</v>
      </c>
      <c r="F763" s="7">
        <v>12050672.584</v>
      </c>
      <c r="G763" s="7">
        <v>38012241</v>
      </c>
      <c r="H763" s="8">
        <f>IFERROR(F763/D763,"")</f>
        <v>0</v>
      </c>
      <c r="I763" s="8">
        <f>IFERROR(G763/E763,"")</f>
        <v>0</v>
      </c>
    </row>
    <row r="764" spans="1:9">
      <c r="A764" s="4" t="s">
        <v>355</v>
      </c>
      <c r="B764" s="6" t="s">
        <v>356</v>
      </c>
      <c r="C764" s="6">
        <v>2024</v>
      </c>
      <c r="D764" s="7">
        <v>57579205.58</v>
      </c>
      <c r="E764" s="7">
        <v>0</v>
      </c>
      <c r="F764" s="7">
        <v>9860662.393999999</v>
      </c>
      <c r="G764" s="7">
        <v>37585300</v>
      </c>
      <c r="H764" s="8">
        <f>IFERROR(F764/D764,"")</f>
        <v>0</v>
      </c>
      <c r="I764" s="9">
        <f>"n/a"</f>
        <v>0</v>
      </c>
    </row>
    <row r="765" spans="1:9">
      <c r="A765" s="4" t="s">
        <v>357</v>
      </c>
      <c r="B765" s="6" t="s">
        <v>358</v>
      </c>
      <c r="C765" s="6">
        <v>2019</v>
      </c>
      <c r="D765" s="7">
        <v>4446191.79</v>
      </c>
      <c r="E765" s="7">
        <v>1374370</v>
      </c>
      <c r="F765" s="7">
        <v>13667.864</v>
      </c>
      <c r="G765" s="7">
        <v>4430</v>
      </c>
      <c r="H765" s="8">
        <f>IFERROR(F765/D765,"")</f>
        <v>0</v>
      </c>
      <c r="I765" s="8">
        <f>IFERROR(G765/E765,"")</f>
        <v>0</v>
      </c>
    </row>
    <row r="766" spans="1:9">
      <c r="A766" s="4" t="s">
        <v>357</v>
      </c>
      <c r="B766" s="6" t="s">
        <v>358</v>
      </c>
      <c r="C766" s="6">
        <v>2020</v>
      </c>
      <c r="D766" s="7">
        <v>4704052.834</v>
      </c>
      <c r="E766" s="7">
        <v>1671386.635</v>
      </c>
      <c r="F766" s="7">
        <v>324122.03</v>
      </c>
      <c r="G766" s="7">
        <v>107101</v>
      </c>
      <c r="H766" s="8">
        <f>IFERROR(F766/D766,"")</f>
        <v>0</v>
      </c>
      <c r="I766" s="8">
        <f>IFERROR(G766/E766,"")</f>
        <v>0</v>
      </c>
    </row>
    <row r="767" spans="1:9">
      <c r="A767" s="4" t="s">
        <v>357</v>
      </c>
      <c r="B767" s="6" t="s">
        <v>358</v>
      </c>
      <c r="C767" s="6">
        <v>2021</v>
      </c>
      <c r="D767" s="7">
        <v>11617745.535</v>
      </c>
      <c r="E767" s="7">
        <v>5558801</v>
      </c>
      <c r="F767" s="7">
        <v>42463.731</v>
      </c>
      <c r="G767" s="7">
        <v>18635</v>
      </c>
      <c r="H767" s="8">
        <f>IFERROR(F767/D767,"")</f>
        <v>0</v>
      </c>
      <c r="I767" s="8">
        <f>IFERROR(G767/E767,"")</f>
        <v>0</v>
      </c>
    </row>
    <row r="768" spans="1:9">
      <c r="A768" s="4" t="s">
        <v>357</v>
      </c>
      <c r="B768" s="6" t="s">
        <v>358</v>
      </c>
      <c r="C768" s="6">
        <v>2022</v>
      </c>
      <c r="D768" s="7">
        <v>88973.77800000001</v>
      </c>
      <c r="E768" s="7">
        <v>52052</v>
      </c>
      <c r="F768" s="7">
        <v>17474.849</v>
      </c>
      <c r="G768" s="7">
        <v>10621</v>
      </c>
      <c r="H768" s="8">
        <f>IFERROR(F768/D768,"")</f>
        <v>0</v>
      </c>
      <c r="I768" s="8">
        <f>IFERROR(G768/E768,"")</f>
        <v>0</v>
      </c>
    </row>
    <row r="769" spans="1:9">
      <c r="A769" s="4" t="s">
        <v>357</v>
      </c>
      <c r="B769" s="6" t="s">
        <v>358</v>
      </c>
      <c r="C769" s="6">
        <v>2023</v>
      </c>
      <c r="D769" s="7">
        <v>252385.942</v>
      </c>
      <c r="E769" s="7">
        <v>375138.016</v>
      </c>
      <c r="F769" s="7">
        <v>10881.872</v>
      </c>
      <c r="G769" s="7">
        <v>5000</v>
      </c>
      <c r="H769" s="8">
        <f>IFERROR(F769/D769,"")</f>
        <v>0</v>
      </c>
      <c r="I769" s="8">
        <f>IFERROR(G769/E769,"")</f>
        <v>0</v>
      </c>
    </row>
    <row r="770" spans="1:9">
      <c r="A770" s="4" t="s">
        <v>357</v>
      </c>
      <c r="B770" s="6" t="s">
        <v>358</v>
      </c>
      <c r="C770" s="6">
        <v>2024</v>
      </c>
      <c r="D770" s="7">
        <v>787936.5379999999</v>
      </c>
      <c r="E770" s="7">
        <v>389941</v>
      </c>
      <c r="F770" s="7">
        <v>9061.945</v>
      </c>
      <c r="G770" s="7">
        <v>4200</v>
      </c>
      <c r="H770" s="8">
        <f>IFERROR(F770/D770,"")</f>
        <v>0</v>
      </c>
      <c r="I770" s="8">
        <f>IFERROR(G770/E770,"")</f>
        <v>0</v>
      </c>
    </row>
    <row r="771" spans="1:9">
      <c r="A771" s="4" t="s">
        <v>357</v>
      </c>
      <c r="B771" s="6" t="s">
        <v>358</v>
      </c>
      <c r="C771" s="6">
        <v>2025</v>
      </c>
      <c r="D771" s="7">
        <v>7178947.648</v>
      </c>
      <c r="E771" s="7">
        <v>3175552</v>
      </c>
      <c r="F771" s="7">
        <v>3728583.461</v>
      </c>
      <c r="G771" s="7">
        <v>1323803</v>
      </c>
      <c r="H771" s="8">
        <f>IFERROR(F771/D771,"")</f>
        <v>0</v>
      </c>
      <c r="I771" s="8">
        <f>IFERROR(G771/E771,"")</f>
        <v>0</v>
      </c>
    </row>
    <row r="772" spans="1:9">
      <c r="A772" s="4" t="s">
        <v>359</v>
      </c>
      <c r="B772" s="6" t="s">
        <v>360</v>
      </c>
      <c r="C772" s="6">
        <v>2019</v>
      </c>
      <c r="D772" s="7">
        <v>321280</v>
      </c>
      <c r="E772" s="7">
        <v>958865</v>
      </c>
      <c r="F772" s="7">
        <v>53314</v>
      </c>
      <c r="G772" s="7">
        <v>153500</v>
      </c>
      <c r="H772" s="8">
        <f>IFERROR(F772/D772,"")</f>
        <v>0</v>
      </c>
      <c r="I772" s="8">
        <f>IFERROR(G772/E772,"")</f>
        <v>0</v>
      </c>
    </row>
    <row r="773" spans="1:9">
      <c r="A773" s="4" t="s">
        <v>359</v>
      </c>
      <c r="B773" s="6" t="s">
        <v>360</v>
      </c>
      <c r="C773" s="6">
        <v>2020</v>
      </c>
      <c r="D773" s="7">
        <v>362868</v>
      </c>
      <c r="E773" s="7">
        <v>1262259</v>
      </c>
      <c r="F773" s="7">
        <v>43419</v>
      </c>
      <c r="G773" s="7">
        <v>141500</v>
      </c>
      <c r="H773" s="8">
        <f>IFERROR(F773/D773,"")</f>
        <v>0</v>
      </c>
      <c r="I773" s="8">
        <f>IFERROR(G773/E773,"")</f>
        <v>0</v>
      </c>
    </row>
    <row r="774" spans="1:9">
      <c r="A774" s="4" t="s">
        <v>359</v>
      </c>
      <c r="B774" s="6" t="s">
        <v>360</v>
      </c>
      <c r="C774" s="6">
        <v>2021</v>
      </c>
      <c r="D774" s="7">
        <v>442317</v>
      </c>
      <c r="E774" s="7">
        <v>1550205</v>
      </c>
      <c r="F774" s="7">
        <v>11267</v>
      </c>
      <c r="G774" s="7">
        <v>29500</v>
      </c>
      <c r="H774" s="8">
        <f>IFERROR(F774/D774,"")</f>
        <v>0</v>
      </c>
      <c r="I774" s="8">
        <f>IFERROR(G774/E774,"")</f>
        <v>0</v>
      </c>
    </row>
    <row r="775" spans="1:9">
      <c r="A775" s="4" t="s">
        <v>359</v>
      </c>
      <c r="B775" s="6" t="s">
        <v>360</v>
      </c>
      <c r="C775" s="6">
        <v>2022</v>
      </c>
      <c r="D775" s="7">
        <v>1524408</v>
      </c>
      <c r="E775" s="7">
        <v>2632376</v>
      </c>
      <c r="F775" s="7">
        <v>842472</v>
      </c>
      <c r="G775" s="7">
        <v>1281000</v>
      </c>
      <c r="H775" s="8">
        <f>IFERROR(F775/D775,"")</f>
        <v>0</v>
      </c>
      <c r="I775" s="8">
        <f>IFERROR(G775/E775,"")</f>
        <v>0</v>
      </c>
    </row>
    <row r="776" spans="1:9">
      <c r="A776" s="4" t="s">
        <v>359</v>
      </c>
      <c r="B776" s="6" t="s">
        <v>360</v>
      </c>
      <c r="C776" s="6">
        <v>2023</v>
      </c>
      <c r="D776" s="7">
        <v>504720</v>
      </c>
      <c r="E776" s="7">
        <v>1139501</v>
      </c>
      <c r="F776" s="7">
        <v>206891</v>
      </c>
      <c r="G776" s="7">
        <v>466000</v>
      </c>
      <c r="H776" s="8">
        <f>IFERROR(F776/D776,"")</f>
        <v>0</v>
      </c>
      <c r="I776" s="8">
        <f>IFERROR(G776/E776,"")</f>
        <v>0</v>
      </c>
    </row>
    <row r="777" spans="1:9">
      <c r="A777" s="4" t="s">
        <v>359</v>
      </c>
      <c r="B777" s="6" t="s">
        <v>360</v>
      </c>
      <c r="C777" s="6">
        <v>2024</v>
      </c>
      <c r="D777" s="7">
        <v>567787</v>
      </c>
      <c r="E777" s="7">
        <v>1619487</v>
      </c>
      <c r="F777" s="7">
        <v>303492</v>
      </c>
      <c r="G777" s="7">
        <v>929500</v>
      </c>
      <c r="H777" s="8">
        <f>IFERROR(F777/D777,"")</f>
        <v>0</v>
      </c>
      <c r="I777" s="8">
        <f>IFERROR(G777/E777,"")</f>
        <v>0</v>
      </c>
    </row>
    <row r="778" spans="1:9">
      <c r="A778" s="4" t="s">
        <v>359</v>
      </c>
      <c r="B778" s="6" t="s">
        <v>360</v>
      </c>
      <c r="C778" s="6">
        <v>2025</v>
      </c>
      <c r="D778" s="7">
        <v>596446</v>
      </c>
      <c r="E778" s="7">
        <v>2058274</v>
      </c>
      <c r="F778" s="7">
        <v>455200</v>
      </c>
      <c r="G778" s="7">
        <v>1687500</v>
      </c>
      <c r="H778" s="8">
        <f>IFERROR(F778/D778,"")</f>
        <v>0</v>
      </c>
      <c r="I778" s="8">
        <f>IFERROR(G778/E778,"")</f>
        <v>0</v>
      </c>
    </row>
    <row r="779" spans="1:9">
      <c r="A779" s="4" t="s">
        <v>361</v>
      </c>
      <c r="B779" s="6" t="s">
        <v>362</v>
      </c>
      <c r="C779" s="6">
        <v>2019</v>
      </c>
      <c r="D779" s="7">
        <v>53677.564</v>
      </c>
      <c r="E779" s="7">
        <v>97098.033</v>
      </c>
      <c r="F779" s="7">
        <v>12151.719</v>
      </c>
      <c r="G779" s="7">
        <v>27000</v>
      </c>
      <c r="H779" s="8">
        <f>IFERROR(F779/D779,"")</f>
        <v>0</v>
      </c>
      <c r="I779" s="8">
        <f>IFERROR(G779/E779,"")</f>
        <v>0</v>
      </c>
    </row>
    <row r="780" spans="1:9">
      <c r="A780" s="4" t="s">
        <v>361</v>
      </c>
      <c r="B780" s="6" t="s">
        <v>362</v>
      </c>
      <c r="C780" s="6">
        <v>2020</v>
      </c>
      <c r="D780" s="7">
        <v>76643.04399999999</v>
      </c>
      <c r="E780" s="7">
        <v>264024.455</v>
      </c>
      <c r="F780" s="7">
        <v>32541.035</v>
      </c>
      <c r="G780" s="7">
        <v>136688.416</v>
      </c>
      <c r="H780" s="8">
        <f>IFERROR(F780/D780,"")</f>
        <v>0</v>
      </c>
      <c r="I780" s="8">
        <f>IFERROR(G780/E780,"")</f>
        <v>0</v>
      </c>
    </row>
    <row r="781" spans="1:9">
      <c r="A781" s="4" t="s">
        <v>361</v>
      </c>
      <c r="B781" s="6" t="s">
        <v>362</v>
      </c>
      <c r="C781" s="6">
        <v>2021</v>
      </c>
      <c r="D781" s="7">
        <v>97743.925</v>
      </c>
      <c r="E781" s="7">
        <v>151938.72</v>
      </c>
      <c r="F781" s="7">
        <v>19902.651</v>
      </c>
      <c r="G781" s="7">
        <v>45380</v>
      </c>
      <c r="H781" s="8">
        <f>IFERROR(F781/D781,"")</f>
        <v>0</v>
      </c>
      <c r="I781" s="8">
        <f>IFERROR(G781/E781,"")</f>
        <v>0</v>
      </c>
    </row>
    <row r="782" spans="1:9">
      <c r="A782" s="4" t="s">
        <v>361</v>
      </c>
      <c r="B782" s="6" t="s">
        <v>362</v>
      </c>
      <c r="C782" s="6">
        <v>2022</v>
      </c>
      <c r="D782" s="7">
        <v>203176.853</v>
      </c>
      <c r="E782" s="7">
        <v>0</v>
      </c>
      <c r="F782" s="7">
        <v>98047.51300000001</v>
      </c>
      <c r="G782" s="7">
        <v>145362</v>
      </c>
      <c r="H782" s="8">
        <f>IFERROR(F782/D782,"")</f>
        <v>0</v>
      </c>
      <c r="I782" s="9">
        <f>"n/a"</f>
        <v>0</v>
      </c>
    </row>
    <row r="783" spans="1:9">
      <c r="A783" s="4" t="s">
        <v>361</v>
      </c>
      <c r="B783" s="6" t="s">
        <v>362</v>
      </c>
      <c r="C783" s="6">
        <v>2023</v>
      </c>
      <c r="D783" s="7">
        <v>135742.136</v>
      </c>
      <c r="E783" s="7">
        <v>218654.8</v>
      </c>
      <c r="F783" s="7">
        <v>49693.44</v>
      </c>
      <c r="G783" s="7">
        <v>85735</v>
      </c>
      <c r="H783" s="8">
        <f>IFERROR(F783/D783,"")</f>
        <v>0</v>
      </c>
      <c r="I783" s="8">
        <f>IFERROR(G783/E783,"")</f>
        <v>0</v>
      </c>
    </row>
    <row r="784" spans="1:9">
      <c r="A784" s="4" t="s">
        <v>361</v>
      </c>
      <c r="B784" s="6" t="s">
        <v>362</v>
      </c>
      <c r="C784" s="6">
        <v>2024</v>
      </c>
      <c r="D784" s="7">
        <v>214433.821</v>
      </c>
      <c r="E784" s="7">
        <v>318525.812</v>
      </c>
      <c r="F784" s="7">
        <v>122447.406</v>
      </c>
      <c r="G784" s="7">
        <v>227280</v>
      </c>
      <c r="H784" s="8">
        <f>IFERROR(F784/D784,"")</f>
        <v>0</v>
      </c>
      <c r="I784" s="8">
        <f>IFERROR(G784/E784,"")</f>
        <v>0</v>
      </c>
    </row>
    <row r="785" spans="1:9">
      <c r="A785" s="4" t="s">
        <v>363</v>
      </c>
      <c r="B785" s="6" t="s">
        <v>364</v>
      </c>
      <c r="C785" s="6">
        <v>2019</v>
      </c>
      <c r="D785" s="7">
        <v>2815740</v>
      </c>
      <c r="E785" s="7">
        <v>6961655</v>
      </c>
      <c r="F785" s="7">
        <v>57038</v>
      </c>
      <c r="G785" s="7">
        <v>130125</v>
      </c>
      <c r="H785" s="8">
        <f>IFERROR(F785/D785,"")</f>
        <v>0</v>
      </c>
      <c r="I785" s="8">
        <f>IFERROR(G785/E785,"")</f>
        <v>0</v>
      </c>
    </row>
    <row r="786" spans="1:9">
      <c r="A786" s="4" t="s">
        <v>363</v>
      </c>
      <c r="B786" s="6" t="s">
        <v>364</v>
      </c>
      <c r="C786" s="6">
        <v>2020</v>
      </c>
      <c r="D786" s="7">
        <v>2488669</v>
      </c>
      <c r="E786" s="7">
        <v>0</v>
      </c>
      <c r="F786" s="7">
        <v>47484</v>
      </c>
      <c r="G786" s="7">
        <v>117000</v>
      </c>
      <c r="H786" s="8">
        <f>IFERROR(F786/D786,"")</f>
        <v>0</v>
      </c>
      <c r="I786" s="9">
        <f>"n/a"</f>
        <v>0</v>
      </c>
    </row>
    <row r="787" spans="1:9">
      <c r="A787" s="4" t="s">
        <v>363</v>
      </c>
      <c r="B787" s="6" t="s">
        <v>364</v>
      </c>
      <c r="C787" s="6">
        <v>2021</v>
      </c>
      <c r="D787" s="7">
        <v>2235513</v>
      </c>
      <c r="E787" s="7">
        <v>5772732</v>
      </c>
      <c r="F787" s="7">
        <v>281</v>
      </c>
      <c r="G787" s="7">
        <v>200</v>
      </c>
      <c r="H787" s="8">
        <f>IFERROR(F787/D787,"")</f>
        <v>0</v>
      </c>
      <c r="I787" s="8">
        <f>IFERROR(G787/E787,"")</f>
        <v>0</v>
      </c>
    </row>
    <row r="788" spans="1:9">
      <c r="A788" s="4" t="s">
        <v>363</v>
      </c>
      <c r="B788" s="6" t="s">
        <v>364</v>
      </c>
      <c r="C788" s="6">
        <v>2022</v>
      </c>
      <c r="D788" s="7">
        <v>4290738.51</v>
      </c>
      <c r="E788" s="7">
        <v>6099662.111</v>
      </c>
      <c r="F788" s="7">
        <v>607025.76</v>
      </c>
      <c r="G788" s="7">
        <v>605101</v>
      </c>
      <c r="H788" s="8">
        <f>IFERROR(F788/D788,"")</f>
        <v>0</v>
      </c>
      <c r="I788" s="8">
        <f>IFERROR(G788/E788,"")</f>
        <v>0</v>
      </c>
    </row>
    <row r="789" spans="1:9">
      <c r="A789" s="4" t="s">
        <v>363</v>
      </c>
      <c r="B789" s="6" t="s">
        <v>364</v>
      </c>
      <c r="C789" s="6">
        <v>2023</v>
      </c>
      <c r="D789" s="7">
        <v>3325641.84</v>
      </c>
      <c r="E789" s="7">
        <v>0</v>
      </c>
      <c r="F789" s="7">
        <v>688486.04</v>
      </c>
      <c r="G789" s="7">
        <v>1118320</v>
      </c>
      <c r="H789" s="8">
        <f>IFERROR(F789/D789,"")</f>
        <v>0</v>
      </c>
      <c r="I789" s="9">
        <f>"n/a"</f>
        <v>0</v>
      </c>
    </row>
    <row r="790" spans="1:9">
      <c r="A790" s="4" t="s">
        <v>363</v>
      </c>
      <c r="B790" s="6" t="s">
        <v>364</v>
      </c>
      <c r="C790" s="6">
        <v>2024</v>
      </c>
      <c r="D790" s="7">
        <v>2385077.88</v>
      </c>
      <c r="E790" s="7">
        <v>0</v>
      </c>
      <c r="F790" s="7">
        <v>145922.49</v>
      </c>
      <c r="G790" s="7">
        <v>271890</v>
      </c>
      <c r="H790" s="8">
        <f>IFERROR(F790/D790,"")</f>
        <v>0</v>
      </c>
      <c r="I790" s="9">
        <f>"n/a"</f>
        <v>0</v>
      </c>
    </row>
    <row r="791" spans="1:9">
      <c r="A791" s="4" t="s">
        <v>363</v>
      </c>
      <c r="B791" s="6" t="s">
        <v>364</v>
      </c>
      <c r="C791" s="6">
        <v>2025</v>
      </c>
      <c r="D791" s="7">
        <v>3980979.32</v>
      </c>
      <c r="E791" s="7">
        <v>10503991.644</v>
      </c>
      <c r="F791" s="7">
        <v>83945.92</v>
      </c>
      <c r="G791" s="7">
        <v>223025</v>
      </c>
      <c r="H791" s="8">
        <f>IFERROR(F791/D791,"")</f>
        <v>0</v>
      </c>
      <c r="I791" s="8">
        <f>IFERROR(G791/E791,"")</f>
        <v>0</v>
      </c>
    </row>
    <row r="792" spans="1:9">
      <c r="A792" s="4" t="s">
        <v>365</v>
      </c>
      <c r="B792" s="6" t="s">
        <v>366</v>
      </c>
      <c r="C792" s="6">
        <v>2019</v>
      </c>
      <c r="D792" s="7">
        <v>29115491.7</v>
      </c>
      <c r="E792" s="7">
        <v>0</v>
      </c>
      <c r="F792" s="7">
        <v>0</v>
      </c>
      <c r="G792" s="7">
        <v>0</v>
      </c>
      <c r="H792" s="8">
        <f>IFERROR(F792/D792,"")</f>
        <v>0</v>
      </c>
      <c r="I792" s="9">
        <f>"n/a"</f>
        <v>0</v>
      </c>
    </row>
    <row r="793" spans="1:9">
      <c r="A793" s="4" t="s">
        <v>365</v>
      </c>
      <c r="B793" s="6" t="s">
        <v>366</v>
      </c>
      <c r="C793" s="6">
        <v>2020</v>
      </c>
      <c r="D793" s="7">
        <v>21560551.57</v>
      </c>
      <c r="E793" s="7">
        <v>84326342.763</v>
      </c>
      <c r="F793" s="7">
        <v>128801.06</v>
      </c>
      <c r="G793" s="7">
        <v>557000</v>
      </c>
      <c r="H793" s="8">
        <f>IFERROR(F793/D793,"")</f>
        <v>0</v>
      </c>
      <c r="I793" s="8">
        <f>IFERROR(G793/E793,"")</f>
        <v>0</v>
      </c>
    </row>
    <row r="794" spans="1:9">
      <c r="A794" s="4" t="s">
        <v>365</v>
      </c>
      <c r="B794" s="6" t="s">
        <v>366</v>
      </c>
      <c r="C794" s="6">
        <v>2021</v>
      </c>
      <c r="D794" s="7">
        <v>25758622.83</v>
      </c>
      <c r="E794" s="7">
        <v>0</v>
      </c>
      <c r="F794" s="7">
        <v>193964.3</v>
      </c>
      <c r="G794" s="7">
        <v>823000</v>
      </c>
      <c r="H794" s="8">
        <f>IFERROR(F794/D794,"")</f>
        <v>0</v>
      </c>
      <c r="I794" s="9">
        <f>"n/a"</f>
        <v>0</v>
      </c>
    </row>
    <row r="795" spans="1:9">
      <c r="A795" s="4" t="s">
        <v>365</v>
      </c>
      <c r="B795" s="6" t="s">
        <v>366</v>
      </c>
      <c r="C795" s="6">
        <v>2022</v>
      </c>
      <c r="D795" s="7">
        <v>39185457.125</v>
      </c>
      <c r="E795" s="7">
        <v>102879604.866</v>
      </c>
      <c r="F795" s="7">
        <v>5464711.432</v>
      </c>
      <c r="G795" s="7">
        <v>9088960</v>
      </c>
      <c r="H795" s="8">
        <f>IFERROR(F795/D795,"")</f>
        <v>0</v>
      </c>
      <c r="I795" s="8">
        <f>IFERROR(G795/E795,"")</f>
        <v>0</v>
      </c>
    </row>
    <row r="796" spans="1:9">
      <c r="A796" s="4" t="s">
        <v>365</v>
      </c>
      <c r="B796" s="6" t="s">
        <v>366</v>
      </c>
      <c r="C796" s="6">
        <v>2023</v>
      </c>
      <c r="D796" s="7">
        <v>27782377.755</v>
      </c>
      <c r="E796" s="7">
        <v>70637791.3</v>
      </c>
      <c r="F796" s="7">
        <v>810538.931</v>
      </c>
      <c r="G796" s="7">
        <v>1704080</v>
      </c>
      <c r="H796" s="8">
        <f>IFERROR(F796/D796,"")</f>
        <v>0</v>
      </c>
      <c r="I796" s="8">
        <f>IFERROR(G796/E796,"")</f>
        <v>0</v>
      </c>
    </row>
    <row r="797" spans="1:9">
      <c r="A797" s="4" t="s">
        <v>365</v>
      </c>
      <c r="B797" s="6" t="s">
        <v>366</v>
      </c>
      <c r="C797" s="6">
        <v>2024</v>
      </c>
      <c r="D797" s="7">
        <v>21518214.224</v>
      </c>
      <c r="E797" s="7">
        <v>0</v>
      </c>
      <c r="F797" s="7">
        <v>593324.411</v>
      </c>
      <c r="G797" s="7">
        <v>1778250</v>
      </c>
      <c r="H797" s="8">
        <f>IFERROR(F797/D797,"")</f>
        <v>0</v>
      </c>
      <c r="I797" s="9">
        <f>"n/a"</f>
        <v>0</v>
      </c>
    </row>
    <row r="798" spans="1:9">
      <c r="A798" s="4" t="s">
        <v>367</v>
      </c>
      <c r="B798" s="6" t="s">
        <v>368</v>
      </c>
      <c r="C798" s="6">
        <v>2019</v>
      </c>
      <c r="D798" s="7">
        <v>50540472</v>
      </c>
      <c r="E798" s="7">
        <v>221415470.483</v>
      </c>
      <c r="F798" s="7">
        <v>27470817</v>
      </c>
      <c r="G798" s="7">
        <v>134659250</v>
      </c>
      <c r="H798" s="8">
        <f>IFERROR(F798/D798,"")</f>
        <v>0</v>
      </c>
      <c r="I798" s="8">
        <f>IFERROR(G798/E798,"")</f>
        <v>0</v>
      </c>
    </row>
    <row r="799" spans="1:9">
      <c r="A799" s="4" t="s">
        <v>367</v>
      </c>
      <c r="B799" s="6" t="s">
        <v>368</v>
      </c>
      <c r="C799" s="6">
        <v>2020</v>
      </c>
      <c r="D799" s="7">
        <v>45023872</v>
      </c>
      <c r="E799" s="7">
        <v>215169365.86</v>
      </c>
      <c r="F799" s="7">
        <v>24626958</v>
      </c>
      <c r="G799" s="7">
        <v>127957000</v>
      </c>
      <c r="H799" s="8">
        <f>IFERROR(F799/D799,"")</f>
        <v>0</v>
      </c>
      <c r="I799" s="8">
        <f>IFERROR(G799/E799,"")</f>
        <v>0</v>
      </c>
    </row>
    <row r="800" spans="1:9">
      <c r="A800" s="4" t="s">
        <v>367</v>
      </c>
      <c r="B800" s="6" t="s">
        <v>368</v>
      </c>
      <c r="C800" s="6">
        <v>2021</v>
      </c>
      <c r="D800" s="7">
        <v>39466793</v>
      </c>
      <c r="E800" s="7">
        <v>0</v>
      </c>
      <c r="F800" s="7">
        <v>19344578</v>
      </c>
      <c r="G800" s="7">
        <v>102740790</v>
      </c>
      <c r="H800" s="8">
        <f>IFERROR(F800/D800,"")</f>
        <v>0</v>
      </c>
      <c r="I800" s="9">
        <f>"n/a"</f>
        <v>0</v>
      </c>
    </row>
    <row r="801" spans="1:9">
      <c r="A801" s="4" t="s">
        <v>367</v>
      </c>
      <c r="B801" s="6" t="s">
        <v>368</v>
      </c>
      <c r="C801" s="6">
        <v>2022</v>
      </c>
      <c r="D801" s="7">
        <v>69921910</v>
      </c>
      <c r="E801" s="7">
        <v>0</v>
      </c>
      <c r="F801" s="7">
        <v>37867086</v>
      </c>
      <c r="G801" s="7">
        <v>149572390</v>
      </c>
      <c r="H801" s="8">
        <f>IFERROR(F801/D801,"")</f>
        <v>0</v>
      </c>
      <c r="I801" s="9">
        <f>"n/a"</f>
        <v>0</v>
      </c>
    </row>
    <row r="802" spans="1:9">
      <c r="A802" s="4" t="s">
        <v>367</v>
      </c>
      <c r="B802" s="6" t="s">
        <v>368</v>
      </c>
      <c r="C802" s="6">
        <v>2023</v>
      </c>
      <c r="D802" s="7">
        <v>47705228</v>
      </c>
      <c r="E802" s="7">
        <v>0</v>
      </c>
      <c r="F802" s="7">
        <v>21819630</v>
      </c>
      <c r="G802" s="7">
        <v>100024340.73</v>
      </c>
      <c r="H802" s="8">
        <f>IFERROR(F802/D802,"")</f>
        <v>0</v>
      </c>
      <c r="I802" s="9">
        <f>"n/a"</f>
        <v>0</v>
      </c>
    </row>
    <row r="803" spans="1:9">
      <c r="A803" s="4" t="s">
        <v>367</v>
      </c>
      <c r="B803" s="6" t="s">
        <v>368</v>
      </c>
      <c r="C803" s="6">
        <v>2024</v>
      </c>
      <c r="D803" s="7">
        <v>53494512</v>
      </c>
      <c r="E803" s="7">
        <v>0</v>
      </c>
      <c r="F803" s="7">
        <v>25192802</v>
      </c>
      <c r="G803" s="7">
        <v>119839901.95</v>
      </c>
      <c r="H803" s="8">
        <f>IFERROR(F803/D803,"")</f>
        <v>0</v>
      </c>
      <c r="I803" s="9">
        <f>"n/a"</f>
        <v>0</v>
      </c>
    </row>
    <row r="804" spans="1:9">
      <c r="A804" s="4" t="s">
        <v>367</v>
      </c>
      <c r="B804" s="6" t="s">
        <v>368</v>
      </c>
      <c r="C804" s="6">
        <v>2025</v>
      </c>
      <c r="D804" s="7">
        <v>42629506</v>
      </c>
      <c r="E804" s="7">
        <v>201727809.73</v>
      </c>
      <c r="F804" s="7">
        <v>21817719</v>
      </c>
      <c r="G804" s="7">
        <v>113272644.05</v>
      </c>
      <c r="H804" s="8">
        <f>IFERROR(F804/D804,"")</f>
        <v>0</v>
      </c>
      <c r="I804" s="8">
        <f>IFERROR(G804/E804,"")</f>
        <v>0</v>
      </c>
    </row>
    <row r="805" spans="1:9">
      <c r="A805" s="4" t="s">
        <v>115</v>
      </c>
      <c r="B805" s="6" t="s">
        <v>116</v>
      </c>
      <c r="C805" s="6">
        <v>2019</v>
      </c>
      <c r="D805" s="7">
        <v>7451442</v>
      </c>
      <c r="E805" s="7">
        <v>0</v>
      </c>
      <c r="F805" s="7">
        <v>0</v>
      </c>
      <c r="G805" s="7">
        <v>0</v>
      </c>
      <c r="H805" s="8">
        <f>IFERROR(F805/D805,"")</f>
        <v>0</v>
      </c>
      <c r="I805" s="9">
        <f>"n/a"</f>
        <v>0</v>
      </c>
    </row>
    <row r="806" spans="1:9">
      <c r="A806" s="4" t="s">
        <v>115</v>
      </c>
      <c r="B806" s="6" t="s">
        <v>116</v>
      </c>
      <c r="C806" s="6">
        <v>2020</v>
      </c>
      <c r="D806" s="7">
        <v>15088398</v>
      </c>
      <c r="E806" s="7">
        <v>0</v>
      </c>
      <c r="F806" s="7">
        <v>28</v>
      </c>
      <c r="G806" s="7">
        <v>1</v>
      </c>
      <c r="H806" s="8">
        <f>IFERROR(F806/D806,"")</f>
        <v>0</v>
      </c>
      <c r="I806" s="9">
        <f>"n/a"</f>
        <v>0</v>
      </c>
    </row>
    <row r="807" spans="1:9">
      <c r="A807" s="4" t="s">
        <v>115</v>
      </c>
      <c r="B807" s="6" t="s">
        <v>116</v>
      </c>
      <c r="C807" s="6">
        <v>2021</v>
      </c>
      <c r="D807" s="7">
        <v>42138024</v>
      </c>
      <c r="E807" s="7">
        <v>0</v>
      </c>
      <c r="F807" s="7">
        <v>412</v>
      </c>
      <c r="G807" s="7">
        <v>10</v>
      </c>
      <c r="H807" s="8">
        <f>IFERROR(F807/D807,"")</f>
        <v>0</v>
      </c>
      <c r="I807" s="9">
        <f>"n/a"</f>
        <v>0</v>
      </c>
    </row>
    <row r="808" spans="1:9">
      <c r="A808" s="4" t="s">
        <v>115</v>
      </c>
      <c r="B808" s="6" t="s">
        <v>116</v>
      </c>
      <c r="C808" s="6">
        <v>2022</v>
      </c>
      <c r="D808" s="7">
        <v>32722243</v>
      </c>
      <c r="E808" s="7">
        <v>83306254.035</v>
      </c>
      <c r="F808" s="7">
        <v>140459</v>
      </c>
      <c r="G808" s="7">
        <v>211056.009</v>
      </c>
      <c r="H808" s="8">
        <f>IFERROR(F808/D808,"")</f>
        <v>0</v>
      </c>
      <c r="I808" s="8">
        <f>IFERROR(G808/E808,"")</f>
        <v>0</v>
      </c>
    </row>
    <row r="809" spans="1:9">
      <c r="A809" s="4" t="s">
        <v>115</v>
      </c>
      <c r="B809" s="6" t="s">
        <v>116</v>
      </c>
      <c r="C809" s="6">
        <v>2023</v>
      </c>
      <c r="D809" s="7">
        <v>76754944</v>
      </c>
      <c r="E809" s="7">
        <v>193348832.472</v>
      </c>
      <c r="F809" s="7">
        <v>258232</v>
      </c>
      <c r="G809" s="7">
        <v>494374</v>
      </c>
      <c r="H809" s="8">
        <f>IFERROR(F809/D809,"")</f>
        <v>0</v>
      </c>
      <c r="I809" s="8">
        <f>IFERROR(G809/E809,"")</f>
        <v>0</v>
      </c>
    </row>
    <row r="810" spans="1:9">
      <c r="A810" s="4" t="s">
        <v>115</v>
      </c>
      <c r="B810" s="6" t="s">
        <v>116</v>
      </c>
      <c r="C810" s="6">
        <v>2024</v>
      </c>
      <c r="D810" s="7">
        <v>72655090</v>
      </c>
      <c r="E810" s="7">
        <v>0</v>
      </c>
      <c r="F810" s="7">
        <v>18052</v>
      </c>
      <c r="G810" s="7">
        <v>25500</v>
      </c>
      <c r="H810" s="8">
        <f>IFERROR(F810/D810,"")</f>
        <v>0</v>
      </c>
      <c r="I810" s="9">
        <f>"n/a"</f>
        <v>0</v>
      </c>
    </row>
    <row r="811" spans="1:9">
      <c r="A811" s="4" t="s">
        <v>115</v>
      </c>
      <c r="B811" s="6" t="s">
        <v>116</v>
      </c>
      <c r="C811" s="6">
        <v>2025</v>
      </c>
      <c r="D811" s="7">
        <v>85819199</v>
      </c>
      <c r="E811" s="7">
        <v>291881114.423</v>
      </c>
      <c r="F811" s="7">
        <v>32974</v>
      </c>
      <c r="G811" s="7">
        <v>116274</v>
      </c>
      <c r="H811" s="8">
        <f>IFERROR(F811/D811,"")</f>
        <v>0</v>
      </c>
      <c r="I811" s="8">
        <f>IFERROR(G811/E811,"")</f>
        <v>0</v>
      </c>
    </row>
    <row r="812" spans="1:9">
      <c r="A812" s="4" t="s">
        <v>369</v>
      </c>
      <c r="B812" s="6" t="s">
        <v>370</v>
      </c>
      <c r="C812" s="6">
        <v>2019</v>
      </c>
      <c r="D812" s="7">
        <v>57800701.636</v>
      </c>
      <c r="E812" s="7">
        <v>300150256.957</v>
      </c>
      <c r="F812" s="7">
        <v>250.792</v>
      </c>
      <c r="G812" s="7">
        <v>480</v>
      </c>
      <c r="H812" s="8">
        <f>IFERROR(F812/D812,"")</f>
        <v>0</v>
      </c>
      <c r="I812" s="8">
        <f>IFERROR(G812/E812,"")</f>
        <v>0</v>
      </c>
    </row>
    <row r="813" spans="1:9">
      <c r="A813" s="4" t="s">
        <v>369</v>
      </c>
      <c r="B813" s="6" t="s">
        <v>370</v>
      </c>
      <c r="C813" s="6">
        <v>2020</v>
      </c>
      <c r="D813" s="7">
        <v>44976372.965</v>
      </c>
      <c r="E813" s="7">
        <v>228900453.939</v>
      </c>
      <c r="F813" s="7">
        <v>0</v>
      </c>
      <c r="G813" s="7">
        <v>0</v>
      </c>
      <c r="H813" s="8">
        <f>IFERROR(F813/D813,"")</f>
        <v>0</v>
      </c>
      <c r="I813" s="8">
        <f>IFERROR(G813/E813,"")</f>
        <v>0</v>
      </c>
    </row>
    <row r="814" spans="1:9">
      <c r="A814" s="4" t="s">
        <v>369</v>
      </c>
      <c r="B814" s="6" t="s">
        <v>370</v>
      </c>
      <c r="C814" s="6">
        <v>2021</v>
      </c>
      <c r="D814" s="7">
        <v>43036211.99</v>
      </c>
      <c r="E814" s="7">
        <v>0</v>
      </c>
      <c r="F814" s="7">
        <v>0</v>
      </c>
      <c r="G814" s="7">
        <v>0</v>
      </c>
      <c r="H814" s="8">
        <f>IFERROR(F814/D814,"")</f>
        <v>0</v>
      </c>
      <c r="I814" s="9">
        <f>"n/a"</f>
        <v>0</v>
      </c>
    </row>
    <row r="815" spans="1:9">
      <c r="A815" s="4" t="s">
        <v>369</v>
      </c>
      <c r="B815" s="6" t="s">
        <v>370</v>
      </c>
      <c r="C815" s="6">
        <v>2022</v>
      </c>
      <c r="D815" s="7">
        <v>90101401.984</v>
      </c>
      <c r="E815" s="7">
        <v>0</v>
      </c>
      <c r="F815" s="7">
        <v>0</v>
      </c>
      <c r="G815" s="7">
        <v>0</v>
      </c>
      <c r="H815" s="8">
        <f>IFERROR(F815/D815,"")</f>
        <v>0</v>
      </c>
      <c r="I815" s="9">
        <f>"n/a"</f>
        <v>0</v>
      </c>
    </row>
    <row r="816" spans="1:9">
      <c r="A816" s="4" t="s">
        <v>369</v>
      </c>
      <c r="B816" s="6" t="s">
        <v>370</v>
      </c>
      <c r="C816" s="6">
        <v>2023</v>
      </c>
      <c r="D816" s="7">
        <v>82366282.646</v>
      </c>
      <c r="E816" s="7">
        <v>0</v>
      </c>
      <c r="F816" s="7">
        <v>102.721</v>
      </c>
      <c r="G816" s="7">
        <v>100</v>
      </c>
      <c r="H816" s="8">
        <f>IFERROR(F816/D816,"")</f>
        <v>0</v>
      </c>
      <c r="I816" s="9">
        <f>"n/a"</f>
        <v>0</v>
      </c>
    </row>
    <row r="817" spans="1:9">
      <c r="A817" s="4" t="s">
        <v>369</v>
      </c>
      <c r="B817" s="6" t="s">
        <v>370</v>
      </c>
      <c r="C817" s="6">
        <v>2024</v>
      </c>
      <c r="D817" s="7">
        <v>51922193.675</v>
      </c>
      <c r="E817" s="7">
        <v>217908702.815</v>
      </c>
      <c r="F817" s="7">
        <v>0</v>
      </c>
      <c r="G817" s="7">
        <v>0</v>
      </c>
      <c r="H817" s="8">
        <f>IFERROR(F817/D817,"")</f>
        <v>0</v>
      </c>
      <c r="I817" s="8">
        <f>IFERROR(G817/E817,"")</f>
        <v>0</v>
      </c>
    </row>
    <row r="818" spans="1:9">
      <c r="A818" s="4" t="s">
        <v>369</v>
      </c>
      <c r="B818" s="6" t="s">
        <v>370</v>
      </c>
      <c r="C818" s="6">
        <v>2025</v>
      </c>
      <c r="D818" s="7">
        <v>51398827.469</v>
      </c>
      <c r="E818" s="7">
        <v>209501628.5</v>
      </c>
      <c r="F818" s="7">
        <v>0</v>
      </c>
      <c r="G818" s="7">
        <v>0</v>
      </c>
      <c r="H818" s="8">
        <f>IFERROR(F818/D818,"")</f>
        <v>0</v>
      </c>
      <c r="I818" s="8">
        <f>IFERROR(G818/E818,"")</f>
        <v>0</v>
      </c>
    </row>
    <row r="819" spans="1:9">
      <c r="A819" s="4" t="s">
        <v>371</v>
      </c>
      <c r="B819" s="6" t="s">
        <v>372</v>
      </c>
      <c r="C819" s="6">
        <v>2019</v>
      </c>
      <c r="D819" s="7">
        <v>1036553.362</v>
      </c>
      <c r="E819" s="7">
        <v>0</v>
      </c>
      <c r="F819" s="7">
        <v>192697.828</v>
      </c>
      <c r="G819" s="7">
        <v>569356</v>
      </c>
      <c r="H819" s="8">
        <f>IFERROR(F819/D819,"")</f>
        <v>0</v>
      </c>
      <c r="I819" s="9">
        <f>"n/a"</f>
        <v>0</v>
      </c>
    </row>
    <row r="820" spans="1:9">
      <c r="A820" s="4" t="s">
        <v>371</v>
      </c>
      <c r="B820" s="6" t="s">
        <v>372</v>
      </c>
      <c r="C820" s="6">
        <v>2020</v>
      </c>
      <c r="D820" s="7">
        <v>728833.702</v>
      </c>
      <c r="E820" s="7">
        <v>2499569</v>
      </c>
      <c r="F820" s="7">
        <v>285804.831</v>
      </c>
      <c r="G820" s="7">
        <v>959564</v>
      </c>
      <c r="H820" s="8">
        <f>IFERROR(F820/D820,"")</f>
        <v>0</v>
      </c>
      <c r="I820" s="8">
        <f>IFERROR(G820/E820,"")</f>
        <v>0</v>
      </c>
    </row>
    <row r="821" spans="1:9">
      <c r="A821" s="4" t="s">
        <v>371</v>
      </c>
      <c r="B821" s="6" t="s">
        <v>372</v>
      </c>
      <c r="C821" s="6">
        <v>2021</v>
      </c>
      <c r="D821" s="7">
        <v>1113380.572</v>
      </c>
      <c r="E821" s="7">
        <v>3368829.7</v>
      </c>
      <c r="F821" s="7">
        <v>276050.067</v>
      </c>
      <c r="G821" s="7">
        <v>596387.3</v>
      </c>
      <c r="H821" s="8">
        <f>IFERROR(F821/D821,"")</f>
        <v>0</v>
      </c>
      <c r="I821" s="8">
        <f>IFERROR(G821/E821,"")</f>
        <v>0</v>
      </c>
    </row>
    <row r="822" spans="1:9">
      <c r="A822" s="4" t="s">
        <v>371</v>
      </c>
      <c r="B822" s="6" t="s">
        <v>372</v>
      </c>
      <c r="C822" s="6">
        <v>2022</v>
      </c>
      <c r="D822" s="7">
        <v>2786594.764</v>
      </c>
      <c r="E822" s="7">
        <v>4956460.07</v>
      </c>
      <c r="F822" s="7">
        <v>692218.118</v>
      </c>
      <c r="G822" s="7">
        <v>849279</v>
      </c>
      <c r="H822" s="8">
        <f>IFERROR(F822/D822,"")</f>
        <v>0</v>
      </c>
      <c r="I822" s="8">
        <f>IFERROR(G822/E822,"")</f>
        <v>0</v>
      </c>
    </row>
    <row r="823" spans="1:9">
      <c r="A823" s="4" t="s">
        <v>371</v>
      </c>
      <c r="B823" s="6" t="s">
        <v>372</v>
      </c>
      <c r="C823" s="6">
        <v>2023</v>
      </c>
      <c r="D823" s="7">
        <v>2491019.098</v>
      </c>
      <c r="E823" s="7">
        <v>5693172.233</v>
      </c>
      <c r="F823" s="7">
        <v>602693.1580000001</v>
      </c>
      <c r="G823" s="7">
        <v>1377442.653</v>
      </c>
      <c r="H823" s="8">
        <f>IFERROR(F823/D823,"")</f>
        <v>0</v>
      </c>
      <c r="I823" s="8">
        <f>IFERROR(G823/E823,"")</f>
        <v>0</v>
      </c>
    </row>
    <row r="824" spans="1:9">
      <c r="A824" s="4" t="s">
        <v>371</v>
      </c>
      <c r="B824" s="6" t="s">
        <v>372</v>
      </c>
      <c r="C824" s="6">
        <v>2024</v>
      </c>
      <c r="D824" s="7">
        <v>2446251.387</v>
      </c>
      <c r="E824" s="7">
        <v>8145460.2</v>
      </c>
      <c r="F824" s="7">
        <v>281054.656</v>
      </c>
      <c r="G824" s="7">
        <v>805445</v>
      </c>
      <c r="H824" s="8">
        <f>IFERROR(F824/D824,"")</f>
        <v>0</v>
      </c>
      <c r="I824" s="8">
        <f>IFERROR(G824/E824,"")</f>
        <v>0</v>
      </c>
    </row>
    <row r="825" spans="1:9">
      <c r="A825" s="4" t="s">
        <v>112</v>
      </c>
      <c r="B825" s="6" t="s">
        <v>113</v>
      </c>
      <c r="C825" s="6">
        <v>2019</v>
      </c>
      <c r="D825" s="7">
        <v>126830022</v>
      </c>
      <c r="E825" s="7">
        <v>0</v>
      </c>
      <c r="F825" s="7">
        <v>51642570</v>
      </c>
      <c r="G825" s="7">
        <v>196758600</v>
      </c>
      <c r="H825" s="8">
        <f>IFERROR(F825/D825,"")</f>
        <v>0</v>
      </c>
      <c r="I825" s="9">
        <f>"n/a"</f>
        <v>0</v>
      </c>
    </row>
    <row r="826" spans="1:9">
      <c r="A826" s="4" t="s">
        <v>112</v>
      </c>
      <c r="B826" s="6" t="s">
        <v>113</v>
      </c>
      <c r="C826" s="6">
        <v>2020</v>
      </c>
      <c r="D826" s="7">
        <v>99648470</v>
      </c>
      <c r="E826" s="7">
        <v>0</v>
      </c>
      <c r="F826" s="7">
        <v>43193646</v>
      </c>
      <c r="G826" s="7">
        <v>199917200</v>
      </c>
      <c r="H826" s="8">
        <f>IFERROR(F826/D826,"")</f>
        <v>0</v>
      </c>
      <c r="I826" s="9">
        <f>"n/a"</f>
        <v>0</v>
      </c>
    </row>
    <row r="827" spans="1:9">
      <c r="A827" s="4" t="s">
        <v>112</v>
      </c>
      <c r="B827" s="6" t="s">
        <v>113</v>
      </c>
      <c r="C827" s="6">
        <v>2021</v>
      </c>
      <c r="D827" s="7">
        <v>108818597</v>
      </c>
      <c r="E827" s="7">
        <v>455010161.279</v>
      </c>
      <c r="F827" s="7">
        <v>41363730</v>
      </c>
      <c r="G827" s="7">
        <v>132466600</v>
      </c>
      <c r="H827" s="8">
        <f>IFERROR(F827/D827,"")</f>
        <v>0</v>
      </c>
      <c r="I827" s="8">
        <f>IFERROR(G827/E827,"")</f>
        <v>0</v>
      </c>
    </row>
    <row r="828" spans="1:9">
      <c r="A828" s="4" t="s">
        <v>112</v>
      </c>
      <c r="B828" s="6" t="s">
        <v>113</v>
      </c>
      <c r="C828" s="6">
        <v>2022</v>
      </c>
      <c r="D828" s="7">
        <v>162047932</v>
      </c>
      <c r="E828" s="7">
        <v>445117904.684</v>
      </c>
      <c r="F828" s="7">
        <v>41262057</v>
      </c>
      <c r="G828" s="7">
        <v>92799640</v>
      </c>
      <c r="H828" s="8">
        <f>IFERROR(F828/D828,"")</f>
        <v>0</v>
      </c>
      <c r="I828" s="8">
        <f>IFERROR(G828/E828,"")</f>
        <v>0</v>
      </c>
    </row>
    <row r="829" spans="1:9">
      <c r="A829" s="4" t="s">
        <v>112</v>
      </c>
      <c r="B829" s="6" t="s">
        <v>113</v>
      </c>
      <c r="C829" s="6">
        <v>2023</v>
      </c>
      <c r="D829" s="7">
        <v>159386043</v>
      </c>
      <c r="E829" s="7">
        <v>0</v>
      </c>
      <c r="F829" s="7">
        <v>69963370</v>
      </c>
      <c r="G829" s="7">
        <v>199263430</v>
      </c>
      <c r="H829" s="8">
        <f>IFERROR(F829/D829,"")</f>
        <v>0</v>
      </c>
      <c r="I829" s="9">
        <f>"n/a"</f>
        <v>0</v>
      </c>
    </row>
    <row r="830" spans="1:9">
      <c r="A830" s="4" t="s">
        <v>112</v>
      </c>
      <c r="B830" s="6" t="s">
        <v>113</v>
      </c>
      <c r="C830" s="6">
        <v>2024</v>
      </c>
      <c r="D830" s="7">
        <v>121365356</v>
      </c>
      <c r="E830" s="7">
        <v>481576722.82</v>
      </c>
      <c r="F830" s="7">
        <v>32407838</v>
      </c>
      <c r="G830" s="7">
        <v>117581410</v>
      </c>
      <c r="H830" s="8">
        <f>IFERROR(F830/D830,"")</f>
        <v>0</v>
      </c>
      <c r="I830" s="8">
        <f>IFERROR(G830/E830,"")</f>
        <v>0</v>
      </c>
    </row>
    <row r="831" spans="1:9">
      <c r="A831" s="4" t="s">
        <v>112</v>
      </c>
      <c r="B831" s="6" t="s">
        <v>113</v>
      </c>
      <c r="C831" s="6">
        <v>2025</v>
      </c>
      <c r="D831" s="7">
        <v>96262699</v>
      </c>
      <c r="E831" s="7">
        <v>448637081.227</v>
      </c>
      <c r="F831" s="7">
        <v>34223849</v>
      </c>
      <c r="G831" s="7">
        <v>160493302.018</v>
      </c>
      <c r="H831" s="8">
        <f>IFERROR(F831/D831,"")</f>
        <v>0</v>
      </c>
      <c r="I831" s="8">
        <f>IFERROR(G831/E831,"")</f>
        <v>0</v>
      </c>
    </row>
    <row r="832" spans="1:9">
      <c r="A832" s="4" t="s">
        <v>373</v>
      </c>
      <c r="B832" s="6" t="s">
        <v>374</v>
      </c>
      <c r="C832" s="6">
        <v>2019</v>
      </c>
      <c r="D832" s="7">
        <v>7683665</v>
      </c>
      <c r="E832" s="7">
        <v>30287335</v>
      </c>
      <c r="F832" s="7">
        <v>0</v>
      </c>
      <c r="G832" s="7">
        <v>0</v>
      </c>
      <c r="H832" s="8">
        <f>IFERROR(F832/D832,"")</f>
        <v>0</v>
      </c>
      <c r="I832" s="8">
        <f>IFERROR(G832/E832,"")</f>
        <v>0</v>
      </c>
    </row>
    <row r="833" spans="1:9">
      <c r="A833" s="4" t="s">
        <v>373</v>
      </c>
      <c r="B833" s="6" t="s">
        <v>374</v>
      </c>
      <c r="C833" s="6">
        <v>2020</v>
      </c>
      <c r="D833" s="7">
        <v>6846534</v>
      </c>
      <c r="E833" s="7">
        <v>0</v>
      </c>
      <c r="F833" s="7">
        <v>346</v>
      </c>
      <c r="G833" s="7">
        <v>575</v>
      </c>
      <c r="H833" s="8">
        <f>IFERROR(F833/D833,"")</f>
        <v>0</v>
      </c>
      <c r="I833" s="9">
        <f>"n/a"</f>
        <v>0</v>
      </c>
    </row>
    <row r="834" spans="1:9">
      <c r="A834" s="4" t="s">
        <v>373</v>
      </c>
      <c r="B834" s="6" t="s">
        <v>374</v>
      </c>
      <c r="C834" s="6">
        <v>2021</v>
      </c>
      <c r="D834" s="7">
        <v>5812035</v>
      </c>
      <c r="E834" s="7">
        <v>32746521</v>
      </c>
      <c r="F834" s="7">
        <v>0</v>
      </c>
      <c r="G834" s="7">
        <v>0</v>
      </c>
      <c r="H834" s="8">
        <f>IFERROR(F834/D834,"")</f>
        <v>0</v>
      </c>
      <c r="I834" s="8">
        <f>IFERROR(G834/E834,"")</f>
        <v>0</v>
      </c>
    </row>
    <row r="835" spans="1:9">
      <c r="A835" s="4" t="s">
        <v>373</v>
      </c>
      <c r="B835" s="6" t="s">
        <v>374</v>
      </c>
      <c r="C835" s="6">
        <v>2022</v>
      </c>
      <c r="D835" s="7">
        <v>16629391</v>
      </c>
      <c r="E835" s="7">
        <v>40973845.084</v>
      </c>
      <c r="F835" s="7">
        <v>0</v>
      </c>
      <c r="G835" s="7">
        <v>0</v>
      </c>
      <c r="H835" s="8">
        <f>IFERROR(F835/D835,"")</f>
        <v>0</v>
      </c>
      <c r="I835" s="8">
        <f>IFERROR(G835/E835,"")</f>
        <v>0</v>
      </c>
    </row>
    <row r="836" spans="1:9">
      <c r="A836" s="4" t="s">
        <v>373</v>
      </c>
      <c r="B836" s="6" t="s">
        <v>374</v>
      </c>
      <c r="C836" s="6">
        <v>2023</v>
      </c>
      <c r="D836" s="7">
        <v>15645458</v>
      </c>
      <c r="E836" s="7">
        <v>32456992</v>
      </c>
      <c r="F836" s="7">
        <v>0</v>
      </c>
      <c r="G836" s="7">
        <v>0</v>
      </c>
      <c r="H836" s="8">
        <f>IFERROR(F836/D836,"")</f>
        <v>0</v>
      </c>
      <c r="I836" s="8">
        <f>IFERROR(G836/E836,"")</f>
        <v>0</v>
      </c>
    </row>
    <row r="837" spans="1:9">
      <c r="A837" s="4" t="s">
        <v>373</v>
      </c>
      <c r="B837" s="6" t="s">
        <v>374</v>
      </c>
      <c r="C837" s="6">
        <v>2024</v>
      </c>
      <c r="D837" s="7">
        <v>10803773</v>
      </c>
      <c r="E837" s="7">
        <v>32541727.193</v>
      </c>
      <c r="F837" s="7">
        <v>701</v>
      </c>
      <c r="G837" s="7">
        <v>500</v>
      </c>
      <c r="H837" s="8">
        <f>IFERROR(F837/D837,"")</f>
        <v>0</v>
      </c>
      <c r="I837" s="8">
        <f>IFERROR(G837/E837,"")</f>
        <v>0</v>
      </c>
    </row>
    <row r="838" spans="1:9">
      <c r="A838" s="4" t="s">
        <v>373</v>
      </c>
      <c r="B838" s="6" t="s">
        <v>374</v>
      </c>
      <c r="C838" s="6">
        <v>2025</v>
      </c>
      <c r="D838" s="7">
        <v>11155712</v>
      </c>
      <c r="E838" s="7">
        <v>33439739</v>
      </c>
      <c r="F838" s="7">
        <v>0</v>
      </c>
      <c r="G838" s="7">
        <v>0</v>
      </c>
      <c r="H838" s="8">
        <f>IFERROR(F838/D838,"")</f>
        <v>0</v>
      </c>
      <c r="I838" s="8">
        <f>IFERROR(G838/E838,"")</f>
        <v>0</v>
      </c>
    </row>
    <row r="839" spans="1:9">
      <c r="A839" s="4" t="s">
        <v>375</v>
      </c>
      <c r="B839" s="6" t="s">
        <v>376</v>
      </c>
      <c r="C839" s="6">
        <v>2019</v>
      </c>
      <c r="D839" s="7">
        <v>13283531.06</v>
      </c>
      <c r="E839" s="7">
        <v>57211469.508</v>
      </c>
      <c r="F839" s="7">
        <v>0</v>
      </c>
      <c r="G839" s="7">
        <v>0</v>
      </c>
      <c r="H839" s="8">
        <f>IFERROR(F839/D839,"")</f>
        <v>0</v>
      </c>
      <c r="I839" s="8">
        <f>IFERROR(G839/E839,"")</f>
        <v>0</v>
      </c>
    </row>
    <row r="840" spans="1:9">
      <c r="A840" s="4" t="s">
        <v>375</v>
      </c>
      <c r="B840" s="6" t="s">
        <v>376</v>
      </c>
      <c r="C840" s="6">
        <v>2020</v>
      </c>
      <c r="D840" s="7">
        <v>22489208.98</v>
      </c>
      <c r="E840" s="7">
        <v>99719293.759</v>
      </c>
      <c r="F840" s="7">
        <v>0</v>
      </c>
      <c r="G840" s="7">
        <v>0</v>
      </c>
      <c r="H840" s="8">
        <f>IFERROR(F840/D840,"")</f>
        <v>0</v>
      </c>
      <c r="I840" s="8">
        <f>IFERROR(G840/E840,"")</f>
        <v>0</v>
      </c>
    </row>
    <row r="841" spans="1:9">
      <c r="A841" s="4" t="s">
        <v>375</v>
      </c>
      <c r="B841" s="6" t="s">
        <v>376</v>
      </c>
      <c r="C841" s="6">
        <v>2021</v>
      </c>
      <c r="D841" s="7">
        <v>24535307.86</v>
      </c>
      <c r="E841" s="7">
        <v>0</v>
      </c>
      <c r="F841" s="7">
        <v>0</v>
      </c>
      <c r="G841" s="7">
        <v>0</v>
      </c>
      <c r="H841" s="8">
        <f>IFERROR(F841/D841,"")</f>
        <v>0</v>
      </c>
      <c r="I841" s="9">
        <f>"n/a"</f>
        <v>0</v>
      </c>
    </row>
    <row r="842" spans="1:9">
      <c r="A842" s="4" t="s">
        <v>375</v>
      </c>
      <c r="B842" s="6" t="s">
        <v>376</v>
      </c>
      <c r="C842" s="6">
        <v>2022</v>
      </c>
      <c r="D842" s="7">
        <v>33908642.49</v>
      </c>
      <c r="E842" s="7">
        <v>114553673.35</v>
      </c>
      <c r="F842" s="7">
        <v>0</v>
      </c>
      <c r="G842" s="7">
        <v>0</v>
      </c>
      <c r="H842" s="8">
        <f>IFERROR(F842/D842,"")</f>
        <v>0</v>
      </c>
      <c r="I842" s="8">
        <f>IFERROR(G842/E842,"")</f>
        <v>0</v>
      </c>
    </row>
    <row r="843" spans="1:9">
      <c r="A843" s="4" t="s">
        <v>375</v>
      </c>
      <c r="B843" s="6" t="s">
        <v>376</v>
      </c>
      <c r="C843" s="6">
        <v>2023</v>
      </c>
      <c r="D843" s="7">
        <v>37125494.7</v>
      </c>
      <c r="E843" s="7">
        <v>100488313.245</v>
      </c>
      <c r="F843" s="7">
        <v>0</v>
      </c>
      <c r="G843" s="7">
        <v>0</v>
      </c>
      <c r="H843" s="8">
        <f>IFERROR(F843/D843,"")</f>
        <v>0</v>
      </c>
      <c r="I843" s="8">
        <f>IFERROR(G843/E843,"")</f>
        <v>0</v>
      </c>
    </row>
    <row r="844" spans="1:9">
      <c r="A844" s="4" t="s">
        <v>375</v>
      </c>
      <c r="B844" s="6" t="s">
        <v>376</v>
      </c>
      <c r="C844" s="6">
        <v>2024</v>
      </c>
      <c r="D844" s="7">
        <v>30755019.81</v>
      </c>
      <c r="E844" s="7">
        <v>0</v>
      </c>
      <c r="F844" s="7">
        <v>0</v>
      </c>
      <c r="G844" s="7">
        <v>0</v>
      </c>
      <c r="H844" s="8">
        <f>IFERROR(F844/D844,"")</f>
        <v>0</v>
      </c>
      <c r="I844" s="9">
        <f>"n/a"</f>
        <v>0</v>
      </c>
    </row>
    <row r="845" spans="1:9">
      <c r="A845" s="4" t="s">
        <v>375</v>
      </c>
      <c r="B845" s="6" t="s">
        <v>376</v>
      </c>
      <c r="C845" s="6">
        <v>2025</v>
      </c>
      <c r="D845" s="7">
        <v>27114832.07</v>
      </c>
      <c r="E845" s="7">
        <v>0</v>
      </c>
      <c r="F845" s="7">
        <v>0</v>
      </c>
      <c r="G845" s="7">
        <v>0</v>
      </c>
      <c r="H845" s="8">
        <f>IFERROR(F845/D845,"")</f>
        <v>0</v>
      </c>
      <c r="I845" s="9">
        <f>"n/a"</f>
        <v>0</v>
      </c>
    </row>
    <row r="846" spans="1:9">
      <c r="A846" s="4" t="s">
        <v>377</v>
      </c>
      <c r="B846" s="6" t="s">
        <v>378</v>
      </c>
      <c r="C846" s="6">
        <v>2019</v>
      </c>
      <c r="D846" s="7">
        <v>2304325.69</v>
      </c>
      <c r="E846" s="7">
        <v>0</v>
      </c>
      <c r="F846" s="7">
        <v>1975913.45</v>
      </c>
      <c r="G846" s="7">
        <v>5100218.12</v>
      </c>
      <c r="H846" s="8">
        <f>IFERROR(F846/D846,"")</f>
        <v>0</v>
      </c>
      <c r="I846" s="9">
        <f>"n/a"</f>
        <v>0</v>
      </c>
    </row>
    <row r="847" spans="1:9">
      <c r="A847" s="4" t="s">
        <v>377</v>
      </c>
      <c r="B847" s="6" t="s">
        <v>378</v>
      </c>
      <c r="C847" s="6">
        <v>2020</v>
      </c>
      <c r="D847" s="7">
        <v>5319208.06</v>
      </c>
      <c r="E847" s="7">
        <v>25297440.029</v>
      </c>
      <c r="F847" s="7">
        <v>607401.1800000001</v>
      </c>
      <c r="G847" s="7">
        <v>1639792</v>
      </c>
      <c r="H847" s="8">
        <f>IFERROR(F847/D847,"")</f>
        <v>0</v>
      </c>
      <c r="I847" s="8">
        <f>IFERROR(G847/E847,"")</f>
        <v>0</v>
      </c>
    </row>
    <row r="848" spans="1:9">
      <c r="A848" s="4" t="s">
        <v>377</v>
      </c>
      <c r="B848" s="6" t="s">
        <v>378</v>
      </c>
      <c r="C848" s="6">
        <v>2021</v>
      </c>
      <c r="D848" s="7">
        <v>18453323.24</v>
      </c>
      <c r="E848" s="7">
        <v>89962100.89</v>
      </c>
      <c r="F848" s="7">
        <v>752017.1</v>
      </c>
      <c r="G848" s="7">
        <v>1567420.811</v>
      </c>
      <c r="H848" s="8">
        <f>IFERROR(F848/D848,"")</f>
        <v>0</v>
      </c>
      <c r="I848" s="8">
        <f>IFERROR(G848/E848,"")</f>
        <v>0</v>
      </c>
    </row>
    <row r="849" spans="1:9">
      <c r="A849" s="4" t="s">
        <v>379</v>
      </c>
      <c r="B849" s="6" t="s">
        <v>380</v>
      </c>
      <c r="C849" s="6">
        <v>2019</v>
      </c>
      <c r="D849" s="7">
        <v>55270.63</v>
      </c>
      <c r="E849" s="7">
        <v>94079</v>
      </c>
      <c r="F849" s="7">
        <v>25601.72</v>
      </c>
      <c r="G849" s="7">
        <v>52624</v>
      </c>
      <c r="H849" s="8">
        <f>IFERROR(F849/D849,"")</f>
        <v>0</v>
      </c>
      <c r="I849" s="8">
        <f>IFERROR(G849/E849,"")</f>
        <v>0</v>
      </c>
    </row>
    <row r="850" spans="1:9">
      <c r="A850" s="4" t="s">
        <v>379</v>
      </c>
      <c r="B850" s="6" t="s">
        <v>380</v>
      </c>
      <c r="C850" s="6">
        <v>2020</v>
      </c>
      <c r="D850" s="7">
        <v>61214.05</v>
      </c>
      <c r="E850" s="7">
        <v>143541.5</v>
      </c>
      <c r="F850" s="7">
        <v>2915.61</v>
      </c>
      <c r="G850" s="7">
        <v>4000</v>
      </c>
      <c r="H850" s="8">
        <f>IFERROR(F850/D850,"")</f>
        <v>0</v>
      </c>
      <c r="I850" s="8">
        <f>IFERROR(G850/E850,"")</f>
        <v>0</v>
      </c>
    </row>
    <row r="851" spans="1:9">
      <c r="A851" s="4" t="s">
        <v>379</v>
      </c>
      <c r="B851" s="6" t="s">
        <v>380</v>
      </c>
      <c r="C851" s="6">
        <v>2021</v>
      </c>
      <c r="D851" s="7">
        <v>107387.27</v>
      </c>
      <c r="E851" s="7">
        <v>220989.7</v>
      </c>
      <c r="F851" s="7">
        <v>2606.22</v>
      </c>
      <c r="G851" s="7">
        <v>4550</v>
      </c>
      <c r="H851" s="8">
        <f>IFERROR(F851/D851,"")</f>
        <v>0</v>
      </c>
      <c r="I851" s="8">
        <f>IFERROR(G851/E851,"")</f>
        <v>0</v>
      </c>
    </row>
    <row r="852" spans="1:9">
      <c r="A852" s="4" t="s">
        <v>379</v>
      </c>
      <c r="B852" s="6" t="s">
        <v>380</v>
      </c>
      <c r="C852" s="6">
        <v>2022</v>
      </c>
      <c r="D852" s="7">
        <v>108619.82</v>
      </c>
      <c r="E852" s="7">
        <v>170687</v>
      </c>
      <c r="F852" s="7">
        <v>3517.58</v>
      </c>
      <c r="G852" s="7">
        <v>2760</v>
      </c>
      <c r="H852" s="8">
        <f>IFERROR(F852/D852,"")</f>
        <v>0</v>
      </c>
      <c r="I852" s="8">
        <f>IFERROR(G852/E852,"")</f>
        <v>0</v>
      </c>
    </row>
    <row r="853" spans="1:9">
      <c r="A853" s="4" t="s">
        <v>379</v>
      </c>
      <c r="B853" s="6" t="s">
        <v>380</v>
      </c>
      <c r="C853" s="6">
        <v>2023</v>
      </c>
      <c r="D853" s="7">
        <v>152082.566</v>
      </c>
      <c r="E853" s="7">
        <v>259619.34</v>
      </c>
      <c r="F853" s="7">
        <v>11136.093</v>
      </c>
      <c r="G853" s="7">
        <v>14058</v>
      </c>
      <c r="H853" s="8">
        <f>IFERROR(F853/D853,"")</f>
        <v>0</v>
      </c>
      <c r="I853" s="8">
        <f>IFERROR(G853/E853,"")</f>
        <v>0</v>
      </c>
    </row>
    <row r="854" spans="1:9">
      <c r="A854" s="4" t="s">
        <v>379</v>
      </c>
      <c r="B854" s="6" t="s">
        <v>380</v>
      </c>
      <c r="C854" s="6">
        <v>2024</v>
      </c>
      <c r="D854" s="7">
        <v>179929.464</v>
      </c>
      <c r="E854" s="7">
        <v>353788.5</v>
      </c>
      <c r="F854" s="7">
        <v>24442.875</v>
      </c>
      <c r="G854" s="7">
        <v>36679.5</v>
      </c>
      <c r="H854" s="8">
        <f>IFERROR(F854/D854,"")</f>
        <v>0</v>
      </c>
      <c r="I854" s="8">
        <f>IFERROR(G854/E854,"")</f>
        <v>0</v>
      </c>
    </row>
    <row r="855" spans="1:9">
      <c r="A855" s="4" t="s">
        <v>379</v>
      </c>
      <c r="B855" s="6" t="s">
        <v>380</v>
      </c>
      <c r="C855" s="6">
        <v>2025</v>
      </c>
      <c r="D855" s="7">
        <v>209725.046</v>
      </c>
      <c r="E855" s="7">
        <v>482915</v>
      </c>
      <c r="F855" s="7">
        <v>74240.28200000001</v>
      </c>
      <c r="G855" s="7">
        <v>177005</v>
      </c>
      <c r="H855" s="8">
        <f>IFERROR(F855/D855,"")</f>
        <v>0</v>
      </c>
      <c r="I855" s="8">
        <f>IFERROR(G855/E855,"")</f>
        <v>0</v>
      </c>
    </row>
    <row r="856" spans="1:9">
      <c r="A856" s="4" t="s">
        <v>381</v>
      </c>
      <c r="B856" s="6" t="s">
        <v>382</v>
      </c>
      <c r="C856" s="6">
        <v>2020</v>
      </c>
      <c r="D856" s="7">
        <v>703.09</v>
      </c>
      <c r="E856" s="7">
        <v>161.32</v>
      </c>
      <c r="F856" s="7">
        <v>0</v>
      </c>
      <c r="G856" s="7">
        <v>0</v>
      </c>
      <c r="H856" s="8">
        <f>IFERROR(F856/D856,"")</f>
        <v>0</v>
      </c>
      <c r="I856" s="8">
        <f>IFERROR(G856/E856,"")</f>
        <v>0</v>
      </c>
    </row>
    <row r="857" spans="1:9">
      <c r="A857" s="4" t="s">
        <v>383</v>
      </c>
      <c r="B857" s="6" t="s">
        <v>384</v>
      </c>
      <c r="C857" s="6">
        <v>2019</v>
      </c>
      <c r="D857" s="7">
        <v>3199.25</v>
      </c>
      <c r="E857" s="7">
        <v>4071</v>
      </c>
      <c r="F857" s="7">
        <v>0</v>
      </c>
      <c r="G857" s="7">
        <v>0</v>
      </c>
      <c r="H857" s="8">
        <f>IFERROR(F857/D857,"")</f>
        <v>0</v>
      </c>
      <c r="I857" s="8">
        <f>IFERROR(G857/E857,"")</f>
        <v>0</v>
      </c>
    </row>
    <row r="858" spans="1:9">
      <c r="A858" s="4" t="s">
        <v>383</v>
      </c>
      <c r="B858" s="6" t="s">
        <v>384</v>
      </c>
      <c r="C858" s="6">
        <v>2020</v>
      </c>
      <c r="D858" s="7">
        <v>605.6900000000001</v>
      </c>
      <c r="E858" s="7">
        <v>44.57</v>
      </c>
      <c r="F858" s="7">
        <v>0</v>
      </c>
      <c r="G858" s="7">
        <v>0</v>
      </c>
      <c r="H858" s="8">
        <f>IFERROR(F858/D858,"")</f>
        <v>0</v>
      </c>
      <c r="I858" s="8">
        <f>IFERROR(G858/E858,"")</f>
        <v>0</v>
      </c>
    </row>
    <row r="859" spans="1:9">
      <c r="A859" s="4" t="s">
        <v>383</v>
      </c>
      <c r="B859" s="6" t="s">
        <v>384</v>
      </c>
      <c r="C859" s="6">
        <v>2021</v>
      </c>
      <c r="D859" s="7">
        <v>787.404</v>
      </c>
      <c r="E859" s="7">
        <v>1102.18</v>
      </c>
      <c r="F859" s="7">
        <v>0</v>
      </c>
      <c r="G859" s="7">
        <v>0</v>
      </c>
      <c r="H859" s="8">
        <f>IFERROR(F859/D859,"")</f>
        <v>0</v>
      </c>
      <c r="I859" s="8">
        <f>IFERROR(G859/E859,"")</f>
        <v>0</v>
      </c>
    </row>
    <row r="860" spans="1:9">
      <c r="A860" s="4" t="s">
        <v>383</v>
      </c>
      <c r="B860" s="6" t="s">
        <v>384</v>
      </c>
      <c r="C860" s="6">
        <v>2022</v>
      </c>
      <c r="D860" s="7">
        <v>135.367</v>
      </c>
      <c r="E860" s="7">
        <v>16.31</v>
      </c>
      <c r="F860" s="7">
        <v>0</v>
      </c>
      <c r="G860" s="7">
        <v>0</v>
      </c>
      <c r="H860" s="8">
        <f>IFERROR(F860/D860,"")</f>
        <v>0</v>
      </c>
      <c r="I860" s="8">
        <f>IFERROR(G860/E860,"")</f>
        <v>0</v>
      </c>
    </row>
    <row r="861" spans="1:9">
      <c r="A861" s="4" t="s">
        <v>383</v>
      </c>
      <c r="B861" s="6" t="s">
        <v>384</v>
      </c>
      <c r="C861" s="6">
        <v>2023</v>
      </c>
      <c r="D861" s="7">
        <v>372.707</v>
      </c>
      <c r="E861" s="7">
        <v>581.99</v>
      </c>
      <c r="F861" s="7">
        <v>0</v>
      </c>
      <c r="G861" s="7">
        <v>0</v>
      </c>
      <c r="H861" s="8">
        <f>IFERROR(F861/D861,"")</f>
        <v>0</v>
      </c>
      <c r="I861" s="8">
        <f>IFERROR(G861/E861,"")</f>
        <v>0</v>
      </c>
    </row>
    <row r="862" spans="1:9">
      <c r="A862" s="4" t="s">
        <v>385</v>
      </c>
      <c r="B862" s="6" t="s">
        <v>386</v>
      </c>
      <c r="C862" s="6">
        <v>2022</v>
      </c>
      <c r="D862" s="7">
        <v>279.845</v>
      </c>
      <c r="E862" s="7">
        <v>335</v>
      </c>
      <c r="F862" s="7">
        <v>279.845</v>
      </c>
      <c r="G862" s="7">
        <v>335</v>
      </c>
      <c r="H862" s="8">
        <f>IFERROR(F862/D862,"")</f>
        <v>0</v>
      </c>
      <c r="I862" s="8">
        <f>IFERROR(G862/E862,"")</f>
        <v>0</v>
      </c>
    </row>
    <row r="863" spans="1:9">
      <c r="A863" s="4" t="s">
        <v>385</v>
      </c>
      <c r="B863" s="6" t="s">
        <v>386</v>
      </c>
      <c r="C863" s="6">
        <v>2025</v>
      </c>
      <c r="D863" s="7">
        <v>1124.775</v>
      </c>
      <c r="E863" s="7">
        <v>599</v>
      </c>
      <c r="F863" s="7">
        <v>0</v>
      </c>
      <c r="G863" s="7">
        <v>0</v>
      </c>
      <c r="H863" s="8">
        <f>IFERROR(F863/D863,"")</f>
        <v>0</v>
      </c>
      <c r="I863" s="8">
        <f>IFERROR(G863/E863,"")</f>
        <v>0</v>
      </c>
    </row>
    <row r="864" spans="1:9">
      <c r="A864" s="4" t="s">
        <v>387</v>
      </c>
      <c r="B864" s="6" t="s">
        <v>388</v>
      </c>
      <c r="C864" s="6">
        <v>2019</v>
      </c>
      <c r="D864" s="7">
        <v>181.725</v>
      </c>
      <c r="E864" s="7">
        <v>28</v>
      </c>
      <c r="F864" s="7">
        <v>0</v>
      </c>
      <c r="G864" s="7">
        <v>0</v>
      </c>
      <c r="H864" s="8">
        <f>IFERROR(F864/D864,"")</f>
        <v>0</v>
      </c>
      <c r="I864" s="8">
        <f>IFERROR(G864/E864,"")</f>
        <v>0</v>
      </c>
    </row>
    <row r="865" spans="1:9">
      <c r="A865" s="4" t="s">
        <v>387</v>
      </c>
      <c r="B865" s="6" t="s">
        <v>388</v>
      </c>
      <c r="C865" s="6">
        <v>2020</v>
      </c>
      <c r="D865" s="7">
        <v>1427.438</v>
      </c>
      <c r="E865" s="7">
        <v>365</v>
      </c>
      <c r="F865" s="7">
        <v>0</v>
      </c>
      <c r="G865" s="7">
        <v>0</v>
      </c>
      <c r="H865" s="8">
        <f>IFERROR(F865/D865,"")</f>
        <v>0</v>
      </c>
      <c r="I865" s="8">
        <f>IFERROR(G865/E865,"")</f>
        <v>0</v>
      </c>
    </row>
    <row r="866" spans="1:9">
      <c r="A866" s="4" t="s">
        <v>387</v>
      </c>
      <c r="B866" s="6" t="s">
        <v>388</v>
      </c>
      <c r="C866" s="6">
        <v>2021</v>
      </c>
      <c r="D866" s="7">
        <v>391.17</v>
      </c>
      <c r="E866" s="7">
        <v>217.09</v>
      </c>
      <c r="F866" s="7">
        <v>0</v>
      </c>
      <c r="G866" s="7">
        <v>0</v>
      </c>
      <c r="H866" s="8">
        <f>IFERROR(F866/D866,"")</f>
        <v>0</v>
      </c>
      <c r="I866" s="8">
        <f>IFERROR(G866/E866,"")</f>
        <v>0</v>
      </c>
    </row>
    <row r="867" spans="1:9">
      <c r="A867" s="4" t="s">
        <v>387</v>
      </c>
      <c r="B867" s="6" t="s">
        <v>388</v>
      </c>
      <c r="C867" s="6">
        <v>2022</v>
      </c>
      <c r="D867" s="7">
        <v>151.909</v>
      </c>
      <c r="E867" s="7">
        <v>100</v>
      </c>
      <c r="F867" s="7">
        <v>0</v>
      </c>
      <c r="G867" s="7">
        <v>0</v>
      </c>
      <c r="H867" s="8">
        <f>IFERROR(F867/D867,"")</f>
        <v>0</v>
      </c>
      <c r="I867" s="8">
        <f>IFERROR(G867/E867,"")</f>
        <v>0</v>
      </c>
    </row>
    <row r="868" spans="1:9">
      <c r="A868" s="4" t="s">
        <v>387</v>
      </c>
      <c r="B868" s="6" t="s">
        <v>388</v>
      </c>
      <c r="C868" s="6">
        <v>2023</v>
      </c>
      <c r="D868" s="7">
        <v>370.565</v>
      </c>
      <c r="E868" s="7">
        <v>160</v>
      </c>
      <c r="F868" s="7">
        <v>0</v>
      </c>
      <c r="G868" s="7">
        <v>0</v>
      </c>
      <c r="H868" s="8">
        <f>IFERROR(F868/D868,"")</f>
        <v>0</v>
      </c>
      <c r="I868" s="8">
        <f>IFERROR(G868/E868,"")</f>
        <v>0</v>
      </c>
    </row>
    <row r="869" spans="1:9">
      <c r="A869" s="4" t="s">
        <v>387</v>
      </c>
      <c r="B869" s="6" t="s">
        <v>388</v>
      </c>
      <c r="C869" s="6">
        <v>2024</v>
      </c>
      <c r="D869" s="7">
        <v>451.643</v>
      </c>
      <c r="E869" s="7">
        <v>248</v>
      </c>
      <c r="F869" s="7">
        <v>0</v>
      </c>
      <c r="G869" s="7">
        <v>0</v>
      </c>
      <c r="H869" s="8">
        <f>IFERROR(F869/D869,"")</f>
        <v>0</v>
      </c>
      <c r="I869" s="8">
        <f>IFERROR(G869/E869,"")</f>
        <v>0</v>
      </c>
    </row>
    <row r="870" spans="1:9">
      <c r="A870" s="4" t="s">
        <v>387</v>
      </c>
      <c r="B870" s="6" t="s">
        <v>388</v>
      </c>
      <c r="C870" s="6">
        <v>2025</v>
      </c>
      <c r="D870" s="7">
        <v>754.4</v>
      </c>
      <c r="E870" s="7">
        <v>281</v>
      </c>
      <c r="F870" s="7">
        <v>0</v>
      </c>
      <c r="G870" s="7">
        <v>0</v>
      </c>
      <c r="H870" s="8">
        <f>IFERROR(F870/D870,"")</f>
        <v>0</v>
      </c>
      <c r="I870" s="8">
        <f>IFERROR(G870/E870,"")</f>
        <v>0</v>
      </c>
    </row>
    <row r="871" spans="1:9">
      <c r="A871" s="4" t="s">
        <v>118</v>
      </c>
      <c r="B871" s="6" t="s">
        <v>119</v>
      </c>
      <c r="C871" s="6">
        <v>2019</v>
      </c>
      <c r="D871" s="7">
        <v>85941550.65099999</v>
      </c>
      <c r="E871" s="7">
        <v>340601392.273</v>
      </c>
      <c r="F871" s="7">
        <v>130473.33</v>
      </c>
      <c r="G871" s="7">
        <v>517088.621</v>
      </c>
      <c r="H871" s="8">
        <f>IFERROR(F871/D871,"")</f>
        <v>0</v>
      </c>
      <c r="I871" s="8">
        <f>IFERROR(G871/E871,"")</f>
        <v>0</v>
      </c>
    </row>
    <row r="872" spans="1:9">
      <c r="A872" s="4" t="s">
        <v>118</v>
      </c>
      <c r="B872" s="6" t="s">
        <v>119</v>
      </c>
      <c r="C872" s="6">
        <v>2020</v>
      </c>
      <c r="D872" s="7">
        <v>67906666.56900001</v>
      </c>
      <c r="E872" s="7">
        <v>292823382.005</v>
      </c>
      <c r="F872" s="7">
        <v>1855335.687</v>
      </c>
      <c r="G872" s="7">
        <v>8099100</v>
      </c>
      <c r="H872" s="8">
        <f>IFERROR(F872/D872,"")</f>
        <v>0</v>
      </c>
      <c r="I872" s="8">
        <f>IFERROR(G872/E872,"")</f>
        <v>0</v>
      </c>
    </row>
    <row r="873" spans="1:9">
      <c r="A873" s="4" t="s">
        <v>118</v>
      </c>
      <c r="B873" s="6" t="s">
        <v>119</v>
      </c>
      <c r="C873" s="6">
        <v>2021</v>
      </c>
      <c r="D873" s="7">
        <v>64102750.931</v>
      </c>
      <c r="E873" s="7">
        <v>0</v>
      </c>
      <c r="F873" s="7">
        <v>113725.864</v>
      </c>
      <c r="G873" s="7">
        <v>173000</v>
      </c>
      <c r="H873" s="8">
        <f>IFERROR(F873/D873,"")</f>
        <v>0</v>
      </c>
      <c r="I873" s="9">
        <f>"n/a"</f>
        <v>0</v>
      </c>
    </row>
    <row r="874" spans="1:9">
      <c r="A874" s="4" t="s">
        <v>118</v>
      </c>
      <c r="B874" s="6" t="s">
        <v>119</v>
      </c>
      <c r="C874" s="6">
        <v>2022</v>
      </c>
      <c r="D874" s="7">
        <v>144882834.511</v>
      </c>
      <c r="E874" s="7">
        <v>0</v>
      </c>
      <c r="F874" s="7">
        <v>29344828.333</v>
      </c>
      <c r="G874" s="7">
        <v>51019120</v>
      </c>
      <c r="H874" s="8">
        <f>IFERROR(F874/D874,"")</f>
        <v>0</v>
      </c>
      <c r="I874" s="9">
        <f>"n/a"</f>
        <v>0</v>
      </c>
    </row>
    <row r="875" spans="1:9">
      <c r="A875" s="4" t="s">
        <v>118</v>
      </c>
      <c r="B875" s="6" t="s">
        <v>119</v>
      </c>
      <c r="C875" s="6">
        <v>2023</v>
      </c>
      <c r="D875" s="7">
        <v>111067799.89</v>
      </c>
      <c r="E875" s="7">
        <v>258126993.122</v>
      </c>
      <c r="F875" s="7">
        <v>9035782.441</v>
      </c>
      <c r="G875" s="7">
        <v>20999599.832</v>
      </c>
      <c r="H875" s="8">
        <f>IFERROR(F875/D875,"")</f>
        <v>0</v>
      </c>
      <c r="I875" s="8">
        <f>IFERROR(G875/E875,"")</f>
        <v>0</v>
      </c>
    </row>
    <row r="876" spans="1:9">
      <c r="A876" s="4" t="s">
        <v>118</v>
      </c>
      <c r="B876" s="6" t="s">
        <v>119</v>
      </c>
      <c r="C876" s="6">
        <v>2024</v>
      </c>
      <c r="D876" s="7">
        <v>83389710.715</v>
      </c>
      <c r="E876" s="7">
        <v>300964001</v>
      </c>
      <c r="F876" s="7">
        <v>2338444.742</v>
      </c>
      <c r="G876" s="7">
        <v>3389911</v>
      </c>
      <c r="H876" s="8">
        <f>IFERROR(F876/D876,"")</f>
        <v>0</v>
      </c>
      <c r="I876" s="8">
        <f>IFERROR(G876/E876,"")</f>
        <v>0</v>
      </c>
    </row>
    <row r="877" spans="1:9">
      <c r="A877" s="4" t="s">
        <v>118</v>
      </c>
      <c r="B877" s="6" t="s">
        <v>119</v>
      </c>
      <c r="C877" s="6">
        <v>2025</v>
      </c>
      <c r="D877" s="7">
        <v>73069946.24699999</v>
      </c>
      <c r="E877" s="7">
        <v>298722364</v>
      </c>
      <c r="F877" s="7">
        <v>8708710.509</v>
      </c>
      <c r="G877" s="7">
        <v>33462108</v>
      </c>
      <c r="H877" s="8">
        <f>IFERROR(F877/D877,"")</f>
        <v>0</v>
      </c>
      <c r="I877" s="8">
        <f>IFERROR(G877/E877,"")</f>
        <v>0</v>
      </c>
    </row>
    <row r="878" spans="1:9">
      <c r="A878" s="4" t="s">
        <v>389</v>
      </c>
      <c r="B878" s="6" t="s">
        <v>390</v>
      </c>
      <c r="C878" s="6">
        <v>2019</v>
      </c>
      <c r="D878" s="7">
        <v>251581.222</v>
      </c>
      <c r="E878" s="7">
        <v>762758</v>
      </c>
      <c r="F878" s="7">
        <v>24368.064</v>
      </c>
      <c r="G878" s="7">
        <v>68104</v>
      </c>
      <c r="H878" s="8">
        <f>IFERROR(F878/D878,"")</f>
        <v>0</v>
      </c>
      <c r="I878" s="8">
        <f>IFERROR(G878/E878,"")</f>
        <v>0</v>
      </c>
    </row>
    <row r="879" spans="1:9">
      <c r="A879" s="4" t="s">
        <v>389</v>
      </c>
      <c r="B879" s="6" t="s">
        <v>390</v>
      </c>
      <c r="C879" s="6">
        <v>2020</v>
      </c>
      <c r="D879" s="7">
        <v>193369.841</v>
      </c>
      <c r="E879" s="7">
        <v>609046</v>
      </c>
      <c r="F879" s="7">
        <v>15576.324</v>
      </c>
      <c r="G879" s="7">
        <v>73092</v>
      </c>
      <c r="H879" s="8">
        <f>IFERROR(F879/D879,"")</f>
        <v>0</v>
      </c>
      <c r="I879" s="8">
        <f>IFERROR(G879/E879,"")</f>
        <v>0</v>
      </c>
    </row>
    <row r="880" spans="1:9">
      <c r="A880" s="4" t="s">
        <v>389</v>
      </c>
      <c r="B880" s="6" t="s">
        <v>390</v>
      </c>
      <c r="C880" s="6">
        <v>2021</v>
      </c>
      <c r="D880" s="7">
        <v>718299.89</v>
      </c>
      <c r="E880" s="7">
        <v>2365973</v>
      </c>
      <c r="F880" s="7">
        <v>19098.96</v>
      </c>
      <c r="G880" s="7">
        <v>69276</v>
      </c>
      <c r="H880" s="8">
        <f>IFERROR(F880/D880,"")</f>
        <v>0</v>
      </c>
      <c r="I880" s="8">
        <f>IFERROR(G880/E880,"")</f>
        <v>0</v>
      </c>
    </row>
    <row r="881" spans="1:9">
      <c r="A881" s="4" t="s">
        <v>389</v>
      </c>
      <c r="B881" s="6" t="s">
        <v>390</v>
      </c>
      <c r="C881" s="6">
        <v>2022</v>
      </c>
      <c r="D881" s="7">
        <v>3361708.339</v>
      </c>
      <c r="E881" s="7">
        <v>6573043</v>
      </c>
      <c r="F881" s="7">
        <v>27094.939</v>
      </c>
      <c r="G881" s="7">
        <v>71100</v>
      </c>
      <c r="H881" s="8">
        <f>IFERROR(F881/D881,"")</f>
        <v>0</v>
      </c>
      <c r="I881" s="8">
        <f>IFERROR(G881/E881,"")</f>
        <v>0</v>
      </c>
    </row>
    <row r="882" spans="1:9">
      <c r="A882" s="4" t="s">
        <v>389</v>
      </c>
      <c r="B882" s="6" t="s">
        <v>390</v>
      </c>
      <c r="C882" s="6">
        <v>2023</v>
      </c>
      <c r="D882" s="7">
        <v>2620151.717</v>
      </c>
      <c r="E882" s="7">
        <v>7010881</v>
      </c>
      <c r="F882" s="7">
        <v>36028.42</v>
      </c>
      <c r="G882" s="7">
        <v>67666</v>
      </c>
      <c r="H882" s="8">
        <f>IFERROR(F882/D882,"")</f>
        <v>0</v>
      </c>
      <c r="I882" s="8">
        <f>IFERROR(G882/E882,"")</f>
        <v>0</v>
      </c>
    </row>
    <row r="883" spans="1:9">
      <c r="A883" s="4" t="s">
        <v>389</v>
      </c>
      <c r="B883" s="6" t="s">
        <v>390</v>
      </c>
      <c r="C883" s="6">
        <v>2024</v>
      </c>
      <c r="D883" s="7">
        <v>1111913.292</v>
      </c>
      <c r="E883" s="7">
        <v>0</v>
      </c>
      <c r="F883" s="7">
        <v>28915.143</v>
      </c>
      <c r="G883" s="7">
        <v>67500</v>
      </c>
      <c r="H883" s="8">
        <f>IFERROR(F883/D883,"")</f>
        <v>0</v>
      </c>
      <c r="I883" s="9">
        <f>"n/a"</f>
        <v>0</v>
      </c>
    </row>
    <row r="884" spans="1:9">
      <c r="A884" s="4" t="s">
        <v>389</v>
      </c>
      <c r="B884" s="6" t="s">
        <v>390</v>
      </c>
      <c r="C884" s="6">
        <v>2025</v>
      </c>
      <c r="D884" s="7">
        <v>1982980.944</v>
      </c>
      <c r="E884" s="7">
        <v>6365412</v>
      </c>
      <c r="F884" s="7">
        <v>1667360.544</v>
      </c>
      <c r="G884" s="7">
        <v>5396834</v>
      </c>
      <c r="H884" s="8">
        <f>IFERROR(F884/D884,"")</f>
        <v>0</v>
      </c>
      <c r="I884" s="8">
        <f>IFERROR(G884/E884,"")</f>
        <v>0</v>
      </c>
    </row>
    <row r="885" spans="1:9">
      <c r="A885" s="4" t="s">
        <v>391</v>
      </c>
      <c r="B885" s="6" t="s">
        <v>392</v>
      </c>
      <c r="C885" s="6">
        <v>2019</v>
      </c>
      <c r="D885" s="7">
        <v>8349048</v>
      </c>
      <c r="E885" s="7">
        <v>37309478.74</v>
      </c>
      <c r="F885" s="7">
        <v>468</v>
      </c>
      <c r="G885" s="7">
        <v>350</v>
      </c>
      <c r="H885" s="8">
        <f>IFERROR(F885/D885,"")</f>
        <v>0</v>
      </c>
      <c r="I885" s="8">
        <f>IFERROR(G885/E885,"")</f>
        <v>0</v>
      </c>
    </row>
    <row r="886" spans="1:9">
      <c r="A886" s="4" t="s">
        <v>391</v>
      </c>
      <c r="B886" s="6" t="s">
        <v>392</v>
      </c>
      <c r="C886" s="6">
        <v>2020</v>
      </c>
      <c r="D886" s="7">
        <v>9948429</v>
      </c>
      <c r="E886" s="7">
        <v>0</v>
      </c>
      <c r="F886" s="7">
        <v>115</v>
      </c>
      <c r="G886" s="7">
        <v>215.689</v>
      </c>
      <c r="H886" s="8">
        <f>IFERROR(F886/D886,"")</f>
        <v>0</v>
      </c>
      <c r="I886" s="9">
        <f>"n/a"</f>
        <v>0</v>
      </c>
    </row>
    <row r="887" spans="1:9">
      <c r="A887" s="4" t="s">
        <v>391</v>
      </c>
      <c r="B887" s="6" t="s">
        <v>392</v>
      </c>
      <c r="C887" s="6">
        <v>2021</v>
      </c>
      <c r="D887" s="7">
        <v>9571666</v>
      </c>
      <c r="E887" s="7">
        <v>39233898.022</v>
      </c>
      <c r="F887" s="7">
        <v>28</v>
      </c>
      <c r="G887" s="7">
        <v>114.771</v>
      </c>
      <c r="H887" s="8">
        <f>IFERROR(F887/D887,"")</f>
        <v>0</v>
      </c>
      <c r="I887" s="8">
        <f>IFERROR(G887/E887,"")</f>
        <v>0</v>
      </c>
    </row>
    <row r="888" spans="1:9">
      <c r="A888" s="4" t="s">
        <v>391</v>
      </c>
      <c r="B888" s="6" t="s">
        <v>392</v>
      </c>
      <c r="C888" s="6">
        <v>2022</v>
      </c>
      <c r="D888" s="7">
        <v>13800435</v>
      </c>
      <c r="E888" s="7">
        <v>0</v>
      </c>
      <c r="F888" s="7">
        <v>0</v>
      </c>
      <c r="G888" s="7">
        <v>0</v>
      </c>
      <c r="H888" s="8">
        <f>IFERROR(F888/D888,"")</f>
        <v>0</v>
      </c>
      <c r="I888" s="9">
        <f>"n/a"</f>
        <v>0</v>
      </c>
    </row>
    <row r="889" spans="1:9">
      <c r="A889" s="4" t="s">
        <v>391</v>
      </c>
      <c r="B889" s="6" t="s">
        <v>392</v>
      </c>
      <c r="C889" s="6">
        <v>2023</v>
      </c>
      <c r="D889" s="7">
        <v>12500362</v>
      </c>
      <c r="E889" s="7">
        <v>0</v>
      </c>
      <c r="F889" s="7">
        <v>72541</v>
      </c>
      <c r="G889" s="7">
        <v>148500</v>
      </c>
      <c r="H889" s="8">
        <f>IFERROR(F889/D889,"")</f>
        <v>0</v>
      </c>
      <c r="I889" s="9">
        <f>"n/a"</f>
        <v>0</v>
      </c>
    </row>
    <row r="890" spans="1:9">
      <c r="A890" s="4" t="s">
        <v>391</v>
      </c>
      <c r="B890" s="6" t="s">
        <v>392</v>
      </c>
      <c r="C890" s="6">
        <v>2024</v>
      </c>
      <c r="D890" s="7">
        <v>12403011</v>
      </c>
      <c r="E890" s="7">
        <v>33012944.089</v>
      </c>
      <c r="F890" s="7">
        <v>0</v>
      </c>
      <c r="G890" s="7">
        <v>0</v>
      </c>
      <c r="H890" s="8">
        <f>IFERROR(F890/D890,"")</f>
        <v>0</v>
      </c>
      <c r="I890" s="8">
        <f>IFERROR(G890/E890,"")</f>
        <v>0</v>
      </c>
    </row>
    <row r="891" spans="1:9">
      <c r="A891" s="4" t="s">
        <v>391</v>
      </c>
      <c r="B891" s="6" t="s">
        <v>392</v>
      </c>
      <c r="C891" s="6">
        <v>2025</v>
      </c>
      <c r="D891" s="7">
        <v>16187035</v>
      </c>
      <c r="E891" s="7">
        <v>0</v>
      </c>
      <c r="F891" s="7">
        <v>460490</v>
      </c>
      <c r="G891" s="7">
        <v>571000</v>
      </c>
      <c r="H891" s="8">
        <f>IFERROR(F891/D891,"")</f>
        <v>0</v>
      </c>
      <c r="I891" s="9">
        <f>"n/a"</f>
        <v>0</v>
      </c>
    </row>
    <row r="892" spans="1:9">
      <c r="A892" s="4" t="s">
        <v>393</v>
      </c>
      <c r="B892" s="6" t="s">
        <v>394</v>
      </c>
      <c r="C892" s="6">
        <v>2019</v>
      </c>
      <c r="D892" s="7">
        <v>52140.287</v>
      </c>
      <c r="E892" s="7">
        <v>91731.46000000001</v>
      </c>
      <c r="F892" s="7">
        <v>0</v>
      </c>
      <c r="G892" s="7">
        <v>0</v>
      </c>
      <c r="H892" s="8">
        <f>IFERROR(F892/D892,"")</f>
        <v>0</v>
      </c>
      <c r="I892" s="8">
        <f>IFERROR(G892/E892,"")</f>
        <v>0</v>
      </c>
    </row>
    <row r="893" spans="1:9">
      <c r="A893" s="4" t="s">
        <v>393</v>
      </c>
      <c r="B893" s="6" t="s">
        <v>394</v>
      </c>
      <c r="C893" s="6">
        <v>2020</v>
      </c>
      <c r="D893" s="7">
        <v>30428.348</v>
      </c>
      <c r="E893" s="7">
        <v>0</v>
      </c>
      <c r="F893" s="7">
        <v>0</v>
      </c>
      <c r="G893" s="7">
        <v>0</v>
      </c>
      <c r="H893" s="8">
        <f>IFERROR(F893/D893,"")</f>
        <v>0</v>
      </c>
      <c r="I893" s="9">
        <f>"n/a"</f>
        <v>0</v>
      </c>
    </row>
    <row r="894" spans="1:9">
      <c r="A894" s="4" t="s">
        <v>393</v>
      </c>
      <c r="B894" s="6" t="s">
        <v>394</v>
      </c>
      <c r="C894" s="6">
        <v>2021</v>
      </c>
      <c r="D894" s="7">
        <v>86339.87699999999</v>
      </c>
      <c r="E894" s="7">
        <v>0</v>
      </c>
      <c r="F894" s="7">
        <v>0</v>
      </c>
      <c r="G894" s="7">
        <v>0</v>
      </c>
      <c r="H894" s="8">
        <f>IFERROR(F894/D894,"")</f>
        <v>0</v>
      </c>
      <c r="I894" s="9">
        <f>"n/a"</f>
        <v>0</v>
      </c>
    </row>
    <row r="895" spans="1:9">
      <c r="A895" s="4" t="s">
        <v>393</v>
      </c>
      <c r="B895" s="6" t="s">
        <v>394</v>
      </c>
      <c r="C895" s="6">
        <v>2022</v>
      </c>
      <c r="D895" s="7">
        <v>913.189</v>
      </c>
      <c r="E895" s="7">
        <v>696.91</v>
      </c>
      <c r="F895" s="7">
        <v>0</v>
      </c>
      <c r="G895" s="7">
        <v>0</v>
      </c>
      <c r="H895" s="8">
        <f>IFERROR(F895/D895,"")</f>
        <v>0</v>
      </c>
      <c r="I895" s="8">
        <f>IFERROR(G895/E895,"")</f>
        <v>0</v>
      </c>
    </row>
    <row r="896" spans="1:9">
      <c r="A896" s="4" t="s">
        <v>393</v>
      </c>
      <c r="B896" s="6" t="s">
        <v>394</v>
      </c>
      <c r="C896" s="6">
        <v>2023</v>
      </c>
      <c r="D896" s="7">
        <v>50340.907</v>
      </c>
      <c r="E896" s="7">
        <v>60042.056</v>
      </c>
      <c r="F896" s="7">
        <v>0</v>
      </c>
      <c r="G896" s="7">
        <v>0</v>
      </c>
      <c r="H896" s="8">
        <f>IFERROR(F896/D896,"")</f>
        <v>0</v>
      </c>
      <c r="I896" s="8">
        <f>IFERROR(G896/E896,"")</f>
        <v>0</v>
      </c>
    </row>
    <row r="897" spans="1:9">
      <c r="A897" s="4" t="s">
        <v>393</v>
      </c>
      <c r="B897" s="6" t="s">
        <v>394</v>
      </c>
      <c r="C897" s="6">
        <v>2024</v>
      </c>
      <c r="D897" s="7">
        <v>64817.167</v>
      </c>
      <c r="E897" s="7">
        <v>118430.5</v>
      </c>
      <c r="F897" s="7">
        <v>0</v>
      </c>
      <c r="G897" s="7">
        <v>0</v>
      </c>
      <c r="H897" s="8">
        <f>IFERROR(F897/D897,"")</f>
        <v>0</v>
      </c>
      <c r="I897" s="8">
        <f>IFERROR(G897/E897,"")</f>
        <v>0</v>
      </c>
    </row>
    <row r="898" spans="1:9">
      <c r="A898" s="4" t="s">
        <v>393</v>
      </c>
      <c r="B898" s="6" t="s">
        <v>394</v>
      </c>
      <c r="C898" s="6">
        <v>2025</v>
      </c>
      <c r="D898" s="7">
        <v>67947.47900000001</v>
      </c>
      <c r="E898" s="7">
        <v>112779.3</v>
      </c>
      <c r="F898" s="7">
        <v>0</v>
      </c>
      <c r="G898" s="7">
        <v>0</v>
      </c>
      <c r="H898" s="8">
        <f>IFERROR(F898/D898,"")</f>
        <v>0</v>
      </c>
      <c r="I898" s="8">
        <f>IFERROR(G898/E898,"")</f>
        <v>0</v>
      </c>
    </row>
    <row r="899" spans="1:9">
      <c r="A899" s="4" t="s">
        <v>395</v>
      </c>
      <c r="B899" s="6" t="s">
        <v>396</v>
      </c>
      <c r="C899" s="6">
        <v>2019</v>
      </c>
      <c r="D899" s="7">
        <v>6956771.16</v>
      </c>
      <c r="E899" s="7">
        <v>28660066.76</v>
      </c>
      <c r="F899" s="7">
        <v>565433.454</v>
      </c>
      <c r="G899" s="7">
        <v>2007790</v>
      </c>
      <c r="H899" s="8">
        <f>IFERROR(F899/D899,"")</f>
        <v>0</v>
      </c>
      <c r="I899" s="8">
        <f>IFERROR(G899/E899,"")</f>
        <v>0</v>
      </c>
    </row>
    <row r="900" spans="1:9">
      <c r="A900" s="4" t="s">
        <v>395</v>
      </c>
      <c r="B900" s="6" t="s">
        <v>396</v>
      </c>
      <c r="C900" s="6">
        <v>2020</v>
      </c>
      <c r="D900" s="7">
        <v>7960618.117</v>
      </c>
      <c r="E900" s="7">
        <v>34635399.596</v>
      </c>
      <c r="F900" s="7">
        <v>375289.258</v>
      </c>
      <c r="G900" s="7">
        <v>1411603.4</v>
      </c>
      <c r="H900" s="8">
        <f>IFERROR(F900/D900,"")</f>
        <v>0</v>
      </c>
      <c r="I900" s="8">
        <f>IFERROR(G900/E900,"")</f>
        <v>0</v>
      </c>
    </row>
    <row r="901" spans="1:9">
      <c r="A901" s="4" t="s">
        <v>395</v>
      </c>
      <c r="B901" s="6" t="s">
        <v>396</v>
      </c>
      <c r="C901" s="6">
        <v>2021</v>
      </c>
      <c r="D901" s="7">
        <v>8211188.475</v>
      </c>
      <c r="E901" s="7">
        <v>0</v>
      </c>
      <c r="F901" s="7">
        <v>312815.935</v>
      </c>
      <c r="G901" s="7">
        <v>951657</v>
      </c>
      <c r="H901" s="8">
        <f>IFERROR(F901/D901,"")</f>
        <v>0</v>
      </c>
      <c r="I901" s="9">
        <f>"n/a"</f>
        <v>0</v>
      </c>
    </row>
    <row r="902" spans="1:9">
      <c r="A902" s="4" t="s">
        <v>395</v>
      </c>
      <c r="B902" s="6" t="s">
        <v>396</v>
      </c>
      <c r="C902" s="6">
        <v>2022</v>
      </c>
      <c r="D902" s="7">
        <v>8354105.643</v>
      </c>
      <c r="E902" s="7">
        <v>0</v>
      </c>
      <c r="F902" s="7">
        <v>773419.002</v>
      </c>
      <c r="G902" s="7">
        <v>1572960</v>
      </c>
      <c r="H902" s="8">
        <f>IFERROR(F902/D902,"")</f>
        <v>0</v>
      </c>
      <c r="I902" s="9">
        <f>"n/a"</f>
        <v>0</v>
      </c>
    </row>
    <row r="903" spans="1:9">
      <c r="A903" s="4" t="s">
        <v>395</v>
      </c>
      <c r="B903" s="6" t="s">
        <v>396</v>
      </c>
      <c r="C903" s="6">
        <v>2023</v>
      </c>
      <c r="D903" s="7">
        <v>7567214.792</v>
      </c>
      <c r="E903" s="7">
        <v>0</v>
      </c>
      <c r="F903" s="7">
        <v>474926.739</v>
      </c>
      <c r="G903" s="7">
        <v>1227970</v>
      </c>
      <c r="H903" s="8">
        <f>IFERROR(F903/D903,"")</f>
        <v>0</v>
      </c>
      <c r="I903" s="9">
        <f>"n/a"</f>
        <v>0</v>
      </c>
    </row>
    <row r="904" spans="1:9">
      <c r="A904" s="4" t="s">
        <v>395</v>
      </c>
      <c r="B904" s="6" t="s">
        <v>396</v>
      </c>
      <c r="C904" s="6">
        <v>2024</v>
      </c>
      <c r="D904" s="7">
        <v>8292034.572</v>
      </c>
      <c r="E904" s="7">
        <v>0</v>
      </c>
      <c r="F904" s="7">
        <v>363568.987</v>
      </c>
      <c r="G904" s="7">
        <v>1132340</v>
      </c>
      <c r="H904" s="8">
        <f>IFERROR(F904/D904,"")</f>
        <v>0</v>
      </c>
      <c r="I904" s="9">
        <f>"n/a"</f>
        <v>0</v>
      </c>
    </row>
    <row r="905" spans="1:9">
      <c r="A905" s="4" t="s">
        <v>395</v>
      </c>
      <c r="B905" s="6" t="s">
        <v>396</v>
      </c>
      <c r="C905" s="6">
        <v>2025</v>
      </c>
      <c r="D905" s="7">
        <v>9200759.696</v>
      </c>
      <c r="E905" s="7">
        <v>0</v>
      </c>
      <c r="F905" s="7">
        <v>373112.773</v>
      </c>
      <c r="G905" s="7">
        <v>1184244.5</v>
      </c>
      <c r="H905" s="8">
        <f>IFERROR(F905/D905,"")</f>
        <v>0</v>
      </c>
      <c r="I905" s="9">
        <f>"n/a"</f>
        <v>0</v>
      </c>
    </row>
    <row r="906" spans="1:9">
      <c r="A906" s="4" t="s">
        <v>397</v>
      </c>
      <c r="B906" s="6" t="s">
        <v>398</v>
      </c>
      <c r="C906" s="6">
        <v>2019</v>
      </c>
      <c r="D906" s="7">
        <v>5456370.407</v>
      </c>
      <c r="E906" s="7">
        <v>0</v>
      </c>
      <c r="F906" s="7">
        <v>0</v>
      </c>
      <c r="G906" s="7">
        <v>0</v>
      </c>
      <c r="H906" s="8">
        <f>IFERROR(F906/D906,"")</f>
        <v>0</v>
      </c>
      <c r="I906" s="9">
        <f>"n/a"</f>
        <v>0</v>
      </c>
    </row>
    <row r="907" spans="1:9">
      <c r="A907" s="4" t="s">
        <v>397</v>
      </c>
      <c r="B907" s="6" t="s">
        <v>398</v>
      </c>
      <c r="C907" s="6">
        <v>2020</v>
      </c>
      <c r="D907" s="7">
        <v>6217664.349</v>
      </c>
      <c r="E907" s="7">
        <v>0</v>
      </c>
      <c r="F907" s="7">
        <v>0</v>
      </c>
      <c r="G907" s="7">
        <v>0</v>
      </c>
      <c r="H907" s="8">
        <f>IFERROR(F907/D907,"")</f>
        <v>0</v>
      </c>
      <c r="I907" s="9">
        <f>"n/a"</f>
        <v>0</v>
      </c>
    </row>
    <row r="908" spans="1:9">
      <c r="A908" s="4" t="s">
        <v>397</v>
      </c>
      <c r="B908" s="6" t="s">
        <v>398</v>
      </c>
      <c r="C908" s="6">
        <v>2021</v>
      </c>
      <c r="D908" s="7">
        <v>6355375.812</v>
      </c>
      <c r="E908" s="7">
        <v>0</v>
      </c>
      <c r="F908" s="7">
        <v>0</v>
      </c>
      <c r="G908" s="7">
        <v>0</v>
      </c>
      <c r="H908" s="8">
        <f>IFERROR(F908/D908,"")</f>
        <v>0</v>
      </c>
      <c r="I908" s="9">
        <f>"n/a"</f>
        <v>0</v>
      </c>
    </row>
    <row r="909" spans="1:9">
      <c r="A909" s="4" t="s">
        <v>397</v>
      </c>
      <c r="B909" s="6" t="s">
        <v>398</v>
      </c>
      <c r="C909" s="6">
        <v>2022</v>
      </c>
      <c r="D909" s="7">
        <v>7188429.022</v>
      </c>
      <c r="E909" s="7">
        <v>20945621</v>
      </c>
      <c r="F909" s="7">
        <v>0</v>
      </c>
      <c r="G909" s="7">
        <v>0</v>
      </c>
      <c r="H909" s="8">
        <f>IFERROR(F909/D909,"")</f>
        <v>0</v>
      </c>
      <c r="I909" s="8">
        <f>IFERROR(G909/E909,"")</f>
        <v>0</v>
      </c>
    </row>
    <row r="910" spans="1:9">
      <c r="A910" s="4" t="s">
        <v>397</v>
      </c>
      <c r="B910" s="6" t="s">
        <v>398</v>
      </c>
      <c r="C910" s="6">
        <v>2023</v>
      </c>
      <c r="D910" s="7">
        <v>8672851.276000001</v>
      </c>
      <c r="E910" s="7">
        <v>0</v>
      </c>
      <c r="F910" s="7">
        <v>60.551</v>
      </c>
      <c r="G910" s="7">
        <v>127.667</v>
      </c>
      <c r="H910" s="8">
        <f>IFERROR(F910/D910,"")</f>
        <v>0</v>
      </c>
      <c r="I910" s="9">
        <f>"n/a"</f>
        <v>0</v>
      </c>
    </row>
    <row r="911" spans="1:9">
      <c r="A911" s="4" t="s">
        <v>397</v>
      </c>
      <c r="B911" s="6" t="s">
        <v>398</v>
      </c>
      <c r="C911" s="6">
        <v>2024</v>
      </c>
      <c r="D911" s="7">
        <v>7199401.675</v>
      </c>
      <c r="E911" s="7">
        <v>0</v>
      </c>
      <c r="F911" s="7">
        <v>0</v>
      </c>
      <c r="G911" s="7">
        <v>0</v>
      </c>
      <c r="H911" s="8">
        <f>IFERROR(F911/D911,"")</f>
        <v>0</v>
      </c>
      <c r="I911" s="9">
        <f>"n/a"</f>
        <v>0</v>
      </c>
    </row>
    <row r="912" spans="1:9">
      <c r="A912" s="4" t="s">
        <v>397</v>
      </c>
      <c r="B912" s="6" t="s">
        <v>398</v>
      </c>
      <c r="C912" s="6">
        <v>2025</v>
      </c>
      <c r="D912" s="7">
        <v>6512457.517</v>
      </c>
      <c r="E912" s="7">
        <v>0</v>
      </c>
      <c r="F912" s="7">
        <v>0</v>
      </c>
      <c r="G912" s="7">
        <v>0</v>
      </c>
      <c r="H912" s="8">
        <f>IFERROR(F912/D912,"")</f>
        <v>0</v>
      </c>
      <c r="I912" s="9">
        <f>"n/a"</f>
        <v>0</v>
      </c>
    </row>
    <row r="913" spans="1:9">
      <c r="A913" s="4" t="s">
        <v>399</v>
      </c>
      <c r="B913" s="6" t="s">
        <v>400</v>
      </c>
      <c r="C913" s="6">
        <v>2019</v>
      </c>
      <c r="D913" s="7">
        <v>4490314.4</v>
      </c>
      <c r="E913" s="7">
        <v>19296110.7</v>
      </c>
      <c r="F913" s="7">
        <v>0</v>
      </c>
      <c r="G913" s="7">
        <v>0</v>
      </c>
      <c r="H913" s="8">
        <f>IFERROR(F913/D913,"")</f>
        <v>0</v>
      </c>
      <c r="I913" s="8">
        <f>IFERROR(G913/E913,"")</f>
        <v>0</v>
      </c>
    </row>
    <row r="914" spans="1:9">
      <c r="A914" s="4" t="s">
        <v>399</v>
      </c>
      <c r="B914" s="6" t="s">
        <v>400</v>
      </c>
      <c r="C914" s="6">
        <v>2020</v>
      </c>
      <c r="D914" s="7">
        <v>4006619.74</v>
      </c>
      <c r="E914" s="7">
        <v>16392798.51</v>
      </c>
      <c r="F914" s="7">
        <v>215</v>
      </c>
      <c r="G914" s="7">
        <v>500</v>
      </c>
      <c r="H914" s="8">
        <f>IFERROR(F914/D914,"")</f>
        <v>0</v>
      </c>
      <c r="I914" s="8">
        <f>IFERROR(G914/E914,"")</f>
        <v>0</v>
      </c>
    </row>
    <row r="915" spans="1:9">
      <c r="A915" s="4" t="s">
        <v>399</v>
      </c>
      <c r="B915" s="6" t="s">
        <v>400</v>
      </c>
      <c r="C915" s="6">
        <v>2021</v>
      </c>
      <c r="D915" s="7">
        <v>4910384.109</v>
      </c>
      <c r="E915" s="7">
        <v>19791482.866</v>
      </c>
      <c r="F915" s="7">
        <v>0</v>
      </c>
      <c r="G915" s="7">
        <v>0</v>
      </c>
      <c r="H915" s="8">
        <f>IFERROR(F915/D915,"")</f>
        <v>0</v>
      </c>
      <c r="I915" s="8">
        <f>IFERROR(G915/E915,"")</f>
        <v>0</v>
      </c>
    </row>
    <row r="916" spans="1:9">
      <c r="A916" s="4" t="s">
        <v>399</v>
      </c>
      <c r="B916" s="6" t="s">
        <v>400</v>
      </c>
      <c r="C916" s="6">
        <v>2022</v>
      </c>
      <c r="D916" s="7">
        <v>7019021.531</v>
      </c>
      <c r="E916" s="7">
        <v>19437729.81</v>
      </c>
      <c r="F916" s="7">
        <v>0</v>
      </c>
      <c r="G916" s="7">
        <v>0</v>
      </c>
      <c r="H916" s="8">
        <f>IFERROR(F916/D916,"")</f>
        <v>0</v>
      </c>
      <c r="I916" s="8">
        <f>IFERROR(G916/E916,"")</f>
        <v>0</v>
      </c>
    </row>
    <row r="917" spans="1:9">
      <c r="A917" s="4" t="s">
        <v>399</v>
      </c>
      <c r="B917" s="6" t="s">
        <v>400</v>
      </c>
      <c r="C917" s="6">
        <v>2023</v>
      </c>
      <c r="D917" s="7">
        <v>7935223.598</v>
      </c>
      <c r="E917" s="7">
        <v>17504917.418</v>
      </c>
      <c r="F917" s="7">
        <v>0</v>
      </c>
      <c r="G917" s="7">
        <v>0</v>
      </c>
      <c r="H917" s="8">
        <f>IFERROR(F917/D917,"")</f>
        <v>0</v>
      </c>
      <c r="I917" s="8">
        <f>IFERROR(G917/E917,"")</f>
        <v>0</v>
      </c>
    </row>
    <row r="918" spans="1:9">
      <c r="A918" s="4" t="s">
        <v>399</v>
      </c>
      <c r="B918" s="6" t="s">
        <v>400</v>
      </c>
      <c r="C918" s="6">
        <v>2024</v>
      </c>
      <c r="D918" s="7">
        <v>5501809.322</v>
      </c>
      <c r="E918" s="7">
        <v>14540490.398</v>
      </c>
      <c r="F918" s="7">
        <v>9916</v>
      </c>
      <c r="G918" s="7">
        <v>500.65</v>
      </c>
      <c r="H918" s="8">
        <f>IFERROR(F918/D918,"")</f>
        <v>0</v>
      </c>
      <c r="I918" s="8">
        <f>IFERROR(G918/E918,"")</f>
        <v>0</v>
      </c>
    </row>
    <row r="919" spans="1:9">
      <c r="A919" s="4" t="s">
        <v>399</v>
      </c>
      <c r="B919" s="6" t="s">
        <v>400</v>
      </c>
      <c r="C919" s="6">
        <v>2025</v>
      </c>
      <c r="D919" s="7">
        <v>5029764.621</v>
      </c>
      <c r="E919" s="7">
        <v>12901468.897</v>
      </c>
      <c r="F919" s="7">
        <v>1250</v>
      </c>
      <c r="G919" s="7">
        <v>26.5</v>
      </c>
      <c r="H919" s="8">
        <f>IFERROR(F919/D919,"")</f>
        <v>0</v>
      </c>
      <c r="I919" s="8">
        <f>IFERROR(G919/E919,"")</f>
        <v>0</v>
      </c>
    </row>
    <row r="920" spans="1:9">
      <c r="A920" s="4" t="s">
        <v>109</v>
      </c>
      <c r="B920" s="6" t="s">
        <v>110</v>
      </c>
      <c r="C920" s="6">
        <v>2019</v>
      </c>
      <c r="D920" s="7">
        <v>70630196.63500001</v>
      </c>
      <c r="E920" s="7">
        <v>403624028.08</v>
      </c>
      <c r="F920" s="7">
        <v>71129.095</v>
      </c>
      <c r="G920" s="7">
        <v>284000</v>
      </c>
      <c r="H920" s="8">
        <f>IFERROR(F920/D920,"")</f>
        <v>0</v>
      </c>
      <c r="I920" s="8">
        <f>IFERROR(G920/E920,"")</f>
        <v>0</v>
      </c>
    </row>
    <row r="921" spans="1:9">
      <c r="A921" s="4" t="s">
        <v>109</v>
      </c>
      <c r="B921" s="6" t="s">
        <v>110</v>
      </c>
      <c r="C921" s="6">
        <v>2020</v>
      </c>
      <c r="D921" s="7">
        <v>68216041.642</v>
      </c>
      <c r="E921" s="7">
        <v>404530507.93</v>
      </c>
      <c r="F921" s="7">
        <v>4904011.285</v>
      </c>
      <c r="G921" s="7">
        <v>26517819</v>
      </c>
      <c r="H921" s="8">
        <f>IFERROR(F921/D921,"")</f>
        <v>0</v>
      </c>
      <c r="I921" s="8">
        <f>IFERROR(G921/E921,"")</f>
        <v>0</v>
      </c>
    </row>
    <row r="922" spans="1:9">
      <c r="A922" s="4" t="s">
        <v>109</v>
      </c>
      <c r="B922" s="6" t="s">
        <v>110</v>
      </c>
      <c r="C922" s="6">
        <v>2021</v>
      </c>
      <c r="D922" s="7">
        <v>66455152.488</v>
      </c>
      <c r="E922" s="7">
        <v>374815802.07</v>
      </c>
      <c r="F922" s="7">
        <v>3069966.296</v>
      </c>
      <c r="G922" s="7">
        <v>16692694</v>
      </c>
      <c r="H922" s="8">
        <f>IFERROR(F922/D922,"")</f>
        <v>0</v>
      </c>
      <c r="I922" s="8">
        <f>IFERROR(G922/E922,"")</f>
        <v>0</v>
      </c>
    </row>
    <row r="923" spans="1:9">
      <c r="A923" s="4" t="s">
        <v>109</v>
      </c>
      <c r="B923" s="6" t="s">
        <v>110</v>
      </c>
      <c r="C923" s="6">
        <v>2022</v>
      </c>
      <c r="D923" s="7">
        <v>118217719.536</v>
      </c>
      <c r="E923" s="7">
        <v>452596106.36</v>
      </c>
      <c r="F923" s="7">
        <v>19227190.439</v>
      </c>
      <c r="G923" s="7">
        <v>42208040</v>
      </c>
      <c r="H923" s="8">
        <f>IFERROR(F923/D923,"")</f>
        <v>0</v>
      </c>
      <c r="I923" s="8">
        <f>IFERROR(G923/E923,"")</f>
        <v>0</v>
      </c>
    </row>
    <row r="924" spans="1:9">
      <c r="A924" s="4" t="s">
        <v>109</v>
      </c>
      <c r="B924" s="6" t="s">
        <v>110</v>
      </c>
      <c r="C924" s="6">
        <v>2023</v>
      </c>
      <c r="D924" s="7">
        <v>144847655.106</v>
      </c>
      <c r="E924" s="7">
        <v>460888329.72</v>
      </c>
      <c r="F924" s="7">
        <v>29322984.446</v>
      </c>
      <c r="G924" s="7">
        <v>71727225.75</v>
      </c>
      <c r="H924" s="8">
        <f>IFERROR(F924/D924,"")</f>
        <v>0</v>
      </c>
      <c r="I924" s="8">
        <f>IFERROR(G924/E924,"")</f>
        <v>0</v>
      </c>
    </row>
    <row r="925" spans="1:9">
      <c r="A925" s="4" t="s">
        <v>109</v>
      </c>
      <c r="B925" s="6" t="s">
        <v>110</v>
      </c>
      <c r="C925" s="6">
        <v>2024</v>
      </c>
      <c r="D925" s="7">
        <v>118226721.86</v>
      </c>
      <c r="E925" s="7">
        <v>391001210.57</v>
      </c>
      <c r="F925" s="7">
        <v>17673783.963</v>
      </c>
      <c r="G925" s="7">
        <v>45846833</v>
      </c>
      <c r="H925" s="8">
        <f>IFERROR(F925/D925,"")</f>
        <v>0</v>
      </c>
      <c r="I925" s="8">
        <f>IFERROR(G925/E925,"")</f>
        <v>0</v>
      </c>
    </row>
    <row r="926" spans="1:9">
      <c r="A926" s="4" t="s">
        <v>109</v>
      </c>
      <c r="B926" s="6" t="s">
        <v>110</v>
      </c>
      <c r="C926" s="6">
        <v>2025</v>
      </c>
      <c r="D926" s="7">
        <v>100201356.884</v>
      </c>
      <c r="E926" s="7">
        <v>325919256.67</v>
      </c>
      <c r="F926" s="7">
        <v>17068385.947</v>
      </c>
      <c r="G926" s="7">
        <v>45349634.63</v>
      </c>
      <c r="H926" s="8">
        <f>IFERROR(F926/D926,"")</f>
        <v>0</v>
      </c>
      <c r="I926" s="8">
        <f>IFERROR(G926/E926,"")</f>
        <v>0</v>
      </c>
    </row>
    <row r="927" spans="1:9">
      <c r="A927" s="4" t="s">
        <v>104</v>
      </c>
      <c r="B927" s="6" t="s">
        <v>105</v>
      </c>
      <c r="C927" s="6">
        <v>2019</v>
      </c>
      <c r="D927" s="7">
        <v>94142374.286</v>
      </c>
      <c r="E927" s="7">
        <v>0</v>
      </c>
      <c r="F927" s="7">
        <v>292.329</v>
      </c>
      <c r="G927" s="7">
        <v>0</v>
      </c>
      <c r="H927" s="8">
        <f>IFERROR(F927/D927,"")</f>
        <v>0</v>
      </c>
      <c r="I927" s="9">
        <f>"n/a"</f>
        <v>0</v>
      </c>
    </row>
    <row r="928" spans="1:9">
      <c r="A928" s="4" t="s">
        <v>104</v>
      </c>
      <c r="B928" s="6" t="s">
        <v>105</v>
      </c>
      <c r="C928" s="6">
        <v>2020</v>
      </c>
      <c r="D928" s="7">
        <v>92744563.764</v>
      </c>
      <c r="E928" s="7">
        <v>0</v>
      </c>
      <c r="F928" s="7">
        <v>0</v>
      </c>
      <c r="G928" s="7">
        <v>0</v>
      </c>
      <c r="H928" s="8">
        <f>IFERROR(F928/D928,"")</f>
        <v>0</v>
      </c>
      <c r="I928" s="9">
        <f>"n/a"</f>
        <v>0</v>
      </c>
    </row>
    <row r="929" spans="1:9">
      <c r="A929" s="4" t="s">
        <v>104</v>
      </c>
      <c r="B929" s="6" t="s">
        <v>105</v>
      </c>
      <c r="C929" s="6">
        <v>2021</v>
      </c>
      <c r="D929" s="7">
        <v>106115931.841</v>
      </c>
      <c r="E929" s="7">
        <v>0</v>
      </c>
      <c r="F929" s="7">
        <v>0</v>
      </c>
      <c r="G929" s="7">
        <v>0</v>
      </c>
      <c r="H929" s="8">
        <f>IFERROR(F929/D929,"")</f>
        <v>0</v>
      </c>
      <c r="I929" s="9">
        <f>"n/a"</f>
        <v>0</v>
      </c>
    </row>
    <row r="930" spans="1:9">
      <c r="A930" s="4" t="s">
        <v>104</v>
      </c>
      <c r="B930" s="6" t="s">
        <v>105</v>
      </c>
      <c r="C930" s="6">
        <v>2022</v>
      </c>
      <c r="D930" s="7">
        <v>178991841.413</v>
      </c>
      <c r="E930" s="7">
        <v>539417576.47</v>
      </c>
      <c r="F930" s="7">
        <v>24028.558</v>
      </c>
      <c r="G930" s="7">
        <v>176</v>
      </c>
      <c r="H930" s="8">
        <f>IFERROR(F930/D930,"")</f>
        <v>0</v>
      </c>
      <c r="I930" s="8">
        <f>IFERROR(G930/E930,"")</f>
        <v>0</v>
      </c>
    </row>
    <row r="931" spans="1:9">
      <c r="A931" s="4" t="s">
        <v>104</v>
      </c>
      <c r="B931" s="6" t="s">
        <v>105</v>
      </c>
      <c r="C931" s="6">
        <v>2023</v>
      </c>
      <c r="D931" s="7">
        <v>138384223.843</v>
      </c>
      <c r="E931" s="7">
        <v>0</v>
      </c>
      <c r="F931" s="7">
        <v>0</v>
      </c>
      <c r="G931" s="7">
        <v>0</v>
      </c>
      <c r="H931" s="8">
        <f>IFERROR(F931/D931,"")</f>
        <v>0</v>
      </c>
      <c r="I931" s="9">
        <f>"n/a"</f>
        <v>0</v>
      </c>
    </row>
    <row r="932" spans="1:9">
      <c r="A932" s="4" t="s">
        <v>104</v>
      </c>
      <c r="B932" s="6" t="s">
        <v>105</v>
      </c>
      <c r="C932" s="6">
        <v>2024</v>
      </c>
      <c r="D932" s="7">
        <v>109571388.96</v>
      </c>
      <c r="E932" s="7">
        <v>0</v>
      </c>
      <c r="F932" s="7">
        <v>46063.956</v>
      </c>
      <c r="G932" s="7">
        <v>106267.7</v>
      </c>
      <c r="H932" s="8">
        <f>IFERROR(F932/D932,"")</f>
        <v>0</v>
      </c>
      <c r="I932" s="9">
        <f>"n/a"</f>
        <v>0</v>
      </c>
    </row>
    <row r="933" spans="1:9">
      <c r="A933" s="4" t="s">
        <v>104</v>
      </c>
      <c r="B933" s="6" t="s">
        <v>105</v>
      </c>
      <c r="C933" s="6">
        <v>2025</v>
      </c>
      <c r="D933" s="7">
        <v>120708506.547</v>
      </c>
      <c r="E933" s="7">
        <v>0</v>
      </c>
      <c r="F933" s="7">
        <v>93777.41800000001</v>
      </c>
      <c r="G933" s="7">
        <v>220460</v>
      </c>
      <c r="H933" s="8">
        <f>IFERROR(F933/D933,"")</f>
        <v>0</v>
      </c>
      <c r="I933" s="9">
        <f>"n/a"</f>
        <v>0</v>
      </c>
    </row>
    <row r="934" spans="1:9">
      <c r="A934" s="4" t="s">
        <v>401</v>
      </c>
      <c r="B934" s="6" t="s">
        <v>402</v>
      </c>
      <c r="C934" s="6">
        <v>2019</v>
      </c>
      <c r="D934" s="7">
        <v>11184250.286</v>
      </c>
      <c r="E934" s="7">
        <v>0</v>
      </c>
      <c r="F934" s="7">
        <v>1883854.88</v>
      </c>
      <c r="G934" s="7">
        <v>6297640</v>
      </c>
      <c r="H934" s="8">
        <f>IFERROR(F934/D934,"")</f>
        <v>0</v>
      </c>
      <c r="I934" s="9">
        <f>"n/a"</f>
        <v>0</v>
      </c>
    </row>
    <row r="935" spans="1:9">
      <c r="A935" s="4" t="s">
        <v>401</v>
      </c>
      <c r="B935" s="6" t="s">
        <v>402</v>
      </c>
      <c r="C935" s="6">
        <v>2020</v>
      </c>
      <c r="D935" s="7">
        <v>10636310.427</v>
      </c>
      <c r="E935" s="7">
        <v>0</v>
      </c>
      <c r="F935" s="7">
        <v>1785545.61</v>
      </c>
      <c r="G935" s="7">
        <v>7116590</v>
      </c>
      <c r="H935" s="8">
        <f>IFERROR(F935/D935,"")</f>
        <v>0</v>
      </c>
      <c r="I935" s="9">
        <f>"n/a"</f>
        <v>0</v>
      </c>
    </row>
    <row r="936" spans="1:9">
      <c r="A936" s="4" t="s">
        <v>401</v>
      </c>
      <c r="B936" s="6" t="s">
        <v>402</v>
      </c>
      <c r="C936" s="6">
        <v>2021</v>
      </c>
      <c r="D936" s="7">
        <v>11267632.178</v>
      </c>
      <c r="E936" s="7">
        <v>0</v>
      </c>
      <c r="F936" s="7">
        <v>109021.22</v>
      </c>
      <c r="G936" s="7">
        <v>306140</v>
      </c>
      <c r="H936" s="8">
        <f>IFERROR(F936/D936,"")</f>
        <v>0</v>
      </c>
      <c r="I936" s="9">
        <f>"n/a"</f>
        <v>0</v>
      </c>
    </row>
    <row r="937" spans="1:9">
      <c r="A937" s="4" t="s">
        <v>401</v>
      </c>
      <c r="B937" s="6" t="s">
        <v>402</v>
      </c>
      <c r="C937" s="6">
        <v>2022</v>
      </c>
      <c r="D937" s="7">
        <v>20528708.983</v>
      </c>
      <c r="E937" s="7">
        <v>0</v>
      </c>
      <c r="F937" s="7">
        <v>3322073.843</v>
      </c>
      <c r="G937" s="7">
        <v>5008500</v>
      </c>
      <c r="H937" s="8">
        <f>IFERROR(F937/D937,"")</f>
        <v>0</v>
      </c>
      <c r="I937" s="9">
        <f>"n/a"</f>
        <v>0</v>
      </c>
    </row>
    <row r="938" spans="1:9">
      <c r="A938" s="4" t="s">
        <v>401</v>
      </c>
      <c r="B938" s="6" t="s">
        <v>402</v>
      </c>
      <c r="C938" s="6">
        <v>2023</v>
      </c>
      <c r="D938" s="7">
        <v>15798151.39</v>
      </c>
      <c r="E938" s="7">
        <v>0</v>
      </c>
      <c r="F938" s="7">
        <v>766169.49</v>
      </c>
      <c r="G938" s="7">
        <v>1947510</v>
      </c>
      <c r="H938" s="8">
        <f>IFERROR(F938/D938,"")</f>
        <v>0</v>
      </c>
      <c r="I938" s="9">
        <f>"n/a"</f>
        <v>0</v>
      </c>
    </row>
    <row r="939" spans="1:9">
      <c r="A939" s="4" t="s">
        <v>401</v>
      </c>
      <c r="B939" s="6" t="s">
        <v>402</v>
      </c>
      <c r="C939" s="6">
        <v>2024</v>
      </c>
      <c r="D939" s="7">
        <v>11679841.995</v>
      </c>
      <c r="E939" s="7">
        <v>0</v>
      </c>
      <c r="F939" s="7">
        <v>273167.574</v>
      </c>
      <c r="G939" s="7">
        <v>818921</v>
      </c>
      <c r="H939" s="8">
        <f>IFERROR(F939/D939,"")</f>
        <v>0</v>
      </c>
      <c r="I939" s="9">
        <f>"n/a"</f>
        <v>0</v>
      </c>
    </row>
    <row r="940" spans="1:9">
      <c r="A940" s="4" t="s">
        <v>401</v>
      </c>
      <c r="B940" s="6" t="s">
        <v>402</v>
      </c>
      <c r="C940" s="6">
        <v>2025</v>
      </c>
      <c r="D940" s="7">
        <v>10190121.991</v>
      </c>
      <c r="E940" s="7">
        <v>31038402.154</v>
      </c>
      <c r="F940" s="7">
        <v>562020.937</v>
      </c>
      <c r="G940" s="7">
        <v>1711876.646</v>
      </c>
      <c r="H940" s="8">
        <f>IFERROR(F940/D940,"")</f>
        <v>0</v>
      </c>
      <c r="I940" s="8">
        <f>IFERROR(G940/E940,"")</f>
        <v>0</v>
      </c>
    </row>
    <row r="941" spans="1:9">
      <c r="A941" s="4" t="s">
        <v>403</v>
      </c>
      <c r="B941" s="6" t="s">
        <v>404</v>
      </c>
      <c r="C941" s="6">
        <v>2019</v>
      </c>
      <c r="D941" s="7">
        <v>407916.81</v>
      </c>
      <c r="E941" s="7">
        <v>1616645.643</v>
      </c>
      <c r="F941" s="7">
        <v>0</v>
      </c>
      <c r="G941" s="7">
        <v>0</v>
      </c>
      <c r="H941" s="8">
        <f>IFERROR(F941/D941,"")</f>
        <v>0</v>
      </c>
      <c r="I941" s="8">
        <f>IFERROR(G941/E941,"")</f>
        <v>0</v>
      </c>
    </row>
    <row r="942" spans="1:9">
      <c r="A942" s="4" t="s">
        <v>403</v>
      </c>
      <c r="B942" s="6" t="s">
        <v>404</v>
      </c>
      <c r="C942" s="6">
        <v>2020</v>
      </c>
      <c r="D942" s="7">
        <v>353692.87</v>
      </c>
      <c r="E942" s="7">
        <v>1485684.7</v>
      </c>
      <c r="F942" s="7">
        <v>0</v>
      </c>
      <c r="G942" s="7">
        <v>0</v>
      </c>
      <c r="H942" s="8">
        <f>IFERROR(F942/D942,"")</f>
        <v>0</v>
      </c>
      <c r="I942" s="8">
        <f>IFERROR(G942/E942,"")</f>
        <v>0</v>
      </c>
    </row>
    <row r="943" spans="1:9">
      <c r="A943" s="4" t="s">
        <v>403</v>
      </c>
      <c r="B943" s="6" t="s">
        <v>404</v>
      </c>
      <c r="C943" s="6">
        <v>2021</v>
      </c>
      <c r="D943" s="7">
        <v>362722.87</v>
      </c>
      <c r="E943" s="7">
        <v>1469584.778</v>
      </c>
      <c r="F943" s="7">
        <v>0</v>
      </c>
      <c r="G943" s="7">
        <v>0</v>
      </c>
      <c r="H943" s="8">
        <f>IFERROR(F943/D943,"")</f>
        <v>0</v>
      </c>
      <c r="I943" s="8">
        <f>IFERROR(G943/E943,"")</f>
        <v>0</v>
      </c>
    </row>
    <row r="944" spans="1:9">
      <c r="A944" s="4" t="s">
        <v>403</v>
      </c>
      <c r="B944" s="6" t="s">
        <v>404</v>
      </c>
      <c r="C944" s="6">
        <v>2022</v>
      </c>
      <c r="D944" s="7">
        <v>450687.425</v>
      </c>
      <c r="E944" s="7">
        <v>1107461.333</v>
      </c>
      <c r="F944" s="7">
        <v>0</v>
      </c>
      <c r="G944" s="7">
        <v>0</v>
      </c>
      <c r="H944" s="8">
        <f>IFERROR(F944/D944,"")</f>
        <v>0</v>
      </c>
      <c r="I944" s="8">
        <f>IFERROR(G944/E944,"")</f>
        <v>0</v>
      </c>
    </row>
    <row r="945" spans="1:9">
      <c r="A945" s="4" t="s">
        <v>403</v>
      </c>
      <c r="B945" s="6" t="s">
        <v>404</v>
      </c>
      <c r="C945" s="6">
        <v>2023</v>
      </c>
      <c r="D945" s="7">
        <v>439830.99</v>
      </c>
      <c r="E945" s="7">
        <v>1015128.168</v>
      </c>
      <c r="F945" s="7">
        <v>0</v>
      </c>
      <c r="G945" s="7">
        <v>0</v>
      </c>
      <c r="H945" s="8">
        <f>IFERROR(F945/D945,"")</f>
        <v>0</v>
      </c>
      <c r="I945" s="8">
        <f>IFERROR(G945/E945,"")</f>
        <v>0</v>
      </c>
    </row>
    <row r="946" spans="1:9">
      <c r="A946" s="4" t="s">
        <v>405</v>
      </c>
      <c r="B946" s="6" t="s">
        <v>406</v>
      </c>
      <c r="C946" s="6">
        <v>2019</v>
      </c>
      <c r="D946" s="7">
        <v>59457.277</v>
      </c>
      <c r="E946" s="7">
        <v>108977.3</v>
      </c>
      <c r="F946" s="7">
        <v>1100</v>
      </c>
      <c r="G946" s="7">
        <v>2000</v>
      </c>
      <c r="H946" s="8">
        <f>IFERROR(F946/D946,"")</f>
        <v>0</v>
      </c>
      <c r="I946" s="8">
        <f>IFERROR(G946/E946,"")</f>
        <v>0</v>
      </c>
    </row>
    <row r="947" spans="1:9">
      <c r="A947" s="4" t="s">
        <v>405</v>
      </c>
      <c r="B947" s="6" t="s">
        <v>406</v>
      </c>
      <c r="C947" s="6">
        <v>2020</v>
      </c>
      <c r="D947" s="7">
        <v>29212.345</v>
      </c>
      <c r="E947" s="7">
        <v>61422</v>
      </c>
      <c r="F947" s="7">
        <v>0</v>
      </c>
      <c r="G947" s="7">
        <v>0</v>
      </c>
      <c r="H947" s="8">
        <f>IFERROR(F947/D947,"")</f>
        <v>0</v>
      </c>
      <c r="I947" s="8">
        <f>IFERROR(G947/E947,"")</f>
        <v>0</v>
      </c>
    </row>
    <row r="948" spans="1:9">
      <c r="A948" s="4" t="s">
        <v>405</v>
      </c>
      <c r="B948" s="6" t="s">
        <v>406</v>
      </c>
      <c r="C948" s="6">
        <v>2021</v>
      </c>
      <c r="D948" s="7">
        <v>64301.19</v>
      </c>
      <c r="E948" s="7">
        <v>107981</v>
      </c>
      <c r="F948" s="7">
        <v>2550</v>
      </c>
      <c r="G948" s="7">
        <v>1578</v>
      </c>
      <c r="H948" s="8">
        <f>IFERROR(F948/D948,"")</f>
        <v>0</v>
      </c>
      <c r="I948" s="8">
        <f>IFERROR(G948/E948,"")</f>
        <v>0</v>
      </c>
    </row>
    <row r="949" spans="1:9">
      <c r="A949" s="4" t="s">
        <v>405</v>
      </c>
      <c r="B949" s="6" t="s">
        <v>406</v>
      </c>
      <c r="C949" s="6">
        <v>2022</v>
      </c>
      <c r="D949" s="7">
        <v>120046.23</v>
      </c>
      <c r="E949" s="7">
        <v>107761</v>
      </c>
      <c r="F949" s="7">
        <v>0</v>
      </c>
      <c r="G949" s="7">
        <v>0</v>
      </c>
      <c r="H949" s="8">
        <f>IFERROR(F949/D949,"")</f>
        <v>0</v>
      </c>
      <c r="I949" s="8">
        <f>IFERROR(G949/E949,"")</f>
        <v>0</v>
      </c>
    </row>
    <row r="950" spans="1:9">
      <c r="A950" s="4" t="s">
        <v>405</v>
      </c>
      <c r="B950" s="6" t="s">
        <v>406</v>
      </c>
      <c r="C950" s="6">
        <v>2023</v>
      </c>
      <c r="D950" s="7">
        <v>35876.558</v>
      </c>
      <c r="E950" s="7">
        <v>39177</v>
      </c>
      <c r="F950" s="7">
        <v>0</v>
      </c>
      <c r="G950" s="7">
        <v>0</v>
      </c>
      <c r="H950" s="8">
        <f>IFERROR(F950/D950,"")</f>
        <v>0</v>
      </c>
      <c r="I950" s="8">
        <f>IFERROR(G950/E950,"")</f>
        <v>0</v>
      </c>
    </row>
    <row r="951" spans="1:9">
      <c r="A951" s="4" t="s">
        <v>405</v>
      </c>
      <c r="B951" s="6" t="s">
        <v>406</v>
      </c>
      <c r="C951" s="6">
        <v>2024</v>
      </c>
      <c r="D951" s="7">
        <v>69190.13400000001</v>
      </c>
      <c r="E951" s="7">
        <v>118351</v>
      </c>
      <c r="F951" s="7">
        <v>0</v>
      </c>
      <c r="G951" s="7">
        <v>0</v>
      </c>
      <c r="H951" s="8">
        <f>IFERROR(F951/D951,"")</f>
        <v>0</v>
      </c>
      <c r="I951" s="8">
        <f>IFERROR(G951/E951,"")</f>
        <v>0</v>
      </c>
    </row>
    <row r="952" spans="1:9">
      <c r="A952" s="4" t="s">
        <v>405</v>
      </c>
      <c r="B952" s="6" t="s">
        <v>406</v>
      </c>
      <c r="C952" s="6">
        <v>2025</v>
      </c>
      <c r="D952" s="7">
        <v>73695.548</v>
      </c>
      <c r="E952" s="7">
        <v>101442</v>
      </c>
      <c r="F952" s="7">
        <v>0</v>
      </c>
      <c r="G952" s="7">
        <v>0</v>
      </c>
      <c r="H952" s="8">
        <f>IFERROR(F952/D952,"")</f>
        <v>0</v>
      </c>
      <c r="I952" s="8">
        <f>IFERROR(G952/E952,"")</f>
        <v>0</v>
      </c>
    </row>
    <row r="953" spans="1:9">
      <c r="A953" s="4" t="s">
        <v>407</v>
      </c>
      <c r="B953" s="6" t="s">
        <v>408</v>
      </c>
      <c r="C953" s="6">
        <v>2019</v>
      </c>
      <c r="D953" s="7">
        <v>14288963.505</v>
      </c>
      <c r="E953" s="7">
        <v>48175119.527</v>
      </c>
      <c r="F953" s="7">
        <v>30237.836</v>
      </c>
      <c r="G953" s="7">
        <v>14000</v>
      </c>
      <c r="H953" s="8">
        <f>IFERROR(F953/D953,"")</f>
        <v>0</v>
      </c>
      <c r="I953" s="8">
        <f>IFERROR(G953/E953,"")</f>
        <v>0</v>
      </c>
    </row>
    <row r="954" spans="1:9">
      <c r="A954" s="4" t="s">
        <v>407</v>
      </c>
      <c r="B954" s="6" t="s">
        <v>408</v>
      </c>
      <c r="C954" s="6">
        <v>2020</v>
      </c>
      <c r="D954" s="7">
        <v>11115263.25</v>
      </c>
      <c r="E954" s="7">
        <v>39621096.154</v>
      </c>
      <c r="F954" s="7">
        <v>15308.934</v>
      </c>
      <c r="G954" s="7">
        <v>10000</v>
      </c>
      <c r="H954" s="8">
        <f>IFERROR(F954/D954,"")</f>
        <v>0</v>
      </c>
      <c r="I954" s="8">
        <f>IFERROR(G954/E954,"")</f>
        <v>0</v>
      </c>
    </row>
    <row r="955" spans="1:9">
      <c r="A955" s="4" t="s">
        <v>407</v>
      </c>
      <c r="B955" s="6" t="s">
        <v>408</v>
      </c>
      <c r="C955" s="6">
        <v>2021</v>
      </c>
      <c r="D955" s="7">
        <v>9027504.916999999</v>
      </c>
      <c r="E955" s="7">
        <v>34177449.929</v>
      </c>
      <c r="F955" s="7">
        <v>34979.031</v>
      </c>
      <c r="G955" s="7">
        <v>17000</v>
      </c>
      <c r="H955" s="8">
        <f>IFERROR(F955/D955,"")</f>
        <v>0</v>
      </c>
      <c r="I955" s="8">
        <f>IFERROR(G955/E955,"")</f>
        <v>0</v>
      </c>
    </row>
    <row r="956" spans="1:9">
      <c r="A956" s="4" t="s">
        <v>407</v>
      </c>
      <c r="B956" s="6" t="s">
        <v>408</v>
      </c>
      <c r="C956" s="6">
        <v>2022</v>
      </c>
      <c r="D956" s="7">
        <v>12843560.272</v>
      </c>
      <c r="E956" s="7">
        <v>36276305.881</v>
      </c>
      <c r="F956" s="7">
        <v>0</v>
      </c>
      <c r="G956" s="7">
        <v>0</v>
      </c>
      <c r="H956" s="8">
        <f>IFERROR(F956/D956,"")</f>
        <v>0</v>
      </c>
      <c r="I956" s="8">
        <f>IFERROR(G956/E956,"")</f>
        <v>0</v>
      </c>
    </row>
    <row r="957" spans="1:9">
      <c r="A957" s="4" t="s">
        <v>407</v>
      </c>
      <c r="B957" s="6" t="s">
        <v>408</v>
      </c>
      <c r="C957" s="6">
        <v>2023</v>
      </c>
      <c r="D957" s="7">
        <v>17215383.16</v>
      </c>
      <c r="E957" s="7">
        <v>35728780.24</v>
      </c>
      <c r="F957" s="7">
        <v>13289.147</v>
      </c>
      <c r="G957" s="7">
        <v>7000</v>
      </c>
      <c r="H957" s="8">
        <f>IFERROR(F957/D957,"")</f>
        <v>0</v>
      </c>
      <c r="I957" s="8">
        <f>IFERROR(G957/E957,"")</f>
        <v>0</v>
      </c>
    </row>
    <row r="958" spans="1:9">
      <c r="A958" s="4" t="s">
        <v>407</v>
      </c>
      <c r="B958" s="6" t="s">
        <v>408</v>
      </c>
      <c r="C958" s="6">
        <v>2024</v>
      </c>
      <c r="D958" s="7">
        <v>6300840.67</v>
      </c>
      <c r="E958" s="7">
        <v>15512849.919</v>
      </c>
      <c r="F958" s="7">
        <v>10219.881</v>
      </c>
      <c r="G958" s="7">
        <v>7000</v>
      </c>
      <c r="H958" s="8">
        <f>IFERROR(F958/D958,"")</f>
        <v>0</v>
      </c>
      <c r="I958" s="8">
        <f>IFERROR(G958/E958,"")</f>
        <v>0</v>
      </c>
    </row>
    <row r="959" spans="1:9">
      <c r="A959" s="4" t="s">
        <v>407</v>
      </c>
      <c r="B959" s="6" t="s">
        <v>408</v>
      </c>
      <c r="C959" s="6">
        <v>2025</v>
      </c>
      <c r="D959" s="7">
        <v>4093135.67</v>
      </c>
      <c r="E959" s="7">
        <v>10206388.019</v>
      </c>
      <c r="F959" s="7">
        <v>28118.846</v>
      </c>
      <c r="G959" s="7">
        <v>18559.943</v>
      </c>
      <c r="H959" s="8">
        <f>IFERROR(F959/D959,"")</f>
        <v>0</v>
      </c>
      <c r="I959" s="8">
        <f>IFERROR(G959/E959,"")</f>
        <v>0</v>
      </c>
    </row>
    <row r="960" spans="1:9">
      <c r="A960" s="4" t="s">
        <v>409</v>
      </c>
      <c r="B960" s="6" t="s">
        <v>410</v>
      </c>
      <c r="C960" s="6">
        <v>2019</v>
      </c>
      <c r="D960" s="7">
        <v>6218359.696</v>
      </c>
      <c r="E960" s="7">
        <v>0</v>
      </c>
      <c r="F960" s="7">
        <v>2197.887</v>
      </c>
      <c r="G960" s="7">
        <v>2002</v>
      </c>
      <c r="H960" s="8">
        <f>IFERROR(F960/D960,"")</f>
        <v>0</v>
      </c>
      <c r="I960" s="9">
        <f>"n/a"</f>
        <v>0</v>
      </c>
    </row>
    <row r="961" spans="1:9">
      <c r="A961" s="4" t="s">
        <v>409</v>
      </c>
      <c r="B961" s="6" t="s">
        <v>410</v>
      </c>
      <c r="C961" s="6">
        <v>2020</v>
      </c>
      <c r="D961" s="7">
        <v>5893606.666</v>
      </c>
      <c r="E961" s="7">
        <v>0</v>
      </c>
      <c r="F961" s="7">
        <v>17232.232</v>
      </c>
      <c r="G961" s="7">
        <v>10360</v>
      </c>
      <c r="H961" s="8">
        <f>IFERROR(F961/D961,"")</f>
        <v>0</v>
      </c>
      <c r="I961" s="9">
        <f>"n/a"</f>
        <v>0</v>
      </c>
    </row>
    <row r="962" spans="1:9">
      <c r="A962" s="4" t="s">
        <v>409</v>
      </c>
      <c r="B962" s="6" t="s">
        <v>410</v>
      </c>
      <c r="C962" s="6">
        <v>2021</v>
      </c>
      <c r="D962" s="7">
        <v>5440925.16</v>
      </c>
      <c r="E962" s="7">
        <v>0</v>
      </c>
      <c r="F962" s="7">
        <v>1698.126</v>
      </c>
      <c r="G962" s="7">
        <v>2357.562</v>
      </c>
      <c r="H962" s="8">
        <f>IFERROR(F962/D962,"")</f>
        <v>0</v>
      </c>
      <c r="I962" s="9">
        <f>"n/a"</f>
        <v>0</v>
      </c>
    </row>
    <row r="963" spans="1:9">
      <c r="A963" s="4" t="s">
        <v>409</v>
      </c>
      <c r="B963" s="6" t="s">
        <v>410</v>
      </c>
      <c r="C963" s="6">
        <v>2022</v>
      </c>
      <c r="D963" s="7">
        <v>5959848.157</v>
      </c>
      <c r="E963" s="7">
        <v>13929814.134</v>
      </c>
      <c r="F963" s="7">
        <v>3584.518</v>
      </c>
      <c r="G963" s="7">
        <v>3356</v>
      </c>
      <c r="H963" s="8">
        <f>IFERROR(F963/D963,"")</f>
        <v>0</v>
      </c>
      <c r="I963" s="8">
        <f>IFERROR(G963/E963,"")</f>
        <v>0</v>
      </c>
    </row>
    <row r="964" spans="1:9">
      <c r="A964" s="4" t="s">
        <v>409</v>
      </c>
      <c r="B964" s="6" t="s">
        <v>410</v>
      </c>
      <c r="C964" s="6">
        <v>2023</v>
      </c>
      <c r="D964" s="7">
        <v>6605495.574</v>
      </c>
      <c r="E964" s="7">
        <v>12019992.659</v>
      </c>
      <c r="F964" s="7">
        <v>4967.594</v>
      </c>
      <c r="G964" s="7">
        <v>5257.428</v>
      </c>
      <c r="H964" s="8">
        <f>IFERROR(F964/D964,"")</f>
        <v>0</v>
      </c>
      <c r="I964" s="8">
        <f>IFERROR(G964/E964,"")</f>
        <v>0</v>
      </c>
    </row>
    <row r="965" spans="1:9">
      <c r="A965" s="4" t="s">
        <v>409</v>
      </c>
      <c r="B965" s="6" t="s">
        <v>410</v>
      </c>
      <c r="C965" s="6">
        <v>2024</v>
      </c>
      <c r="D965" s="7">
        <v>6538012.37</v>
      </c>
      <c r="E965" s="7">
        <v>0</v>
      </c>
      <c r="F965" s="7">
        <v>47856.093</v>
      </c>
      <c r="G965" s="7">
        <v>6063</v>
      </c>
      <c r="H965" s="8">
        <f>IFERROR(F965/D965,"")</f>
        <v>0</v>
      </c>
      <c r="I965" s="9">
        <f>"n/a"</f>
        <v>0</v>
      </c>
    </row>
    <row r="966" spans="1:9">
      <c r="A966" s="4" t="s">
        <v>409</v>
      </c>
      <c r="B966" s="6" t="s">
        <v>410</v>
      </c>
      <c r="C966" s="6">
        <v>2025</v>
      </c>
      <c r="D966" s="7">
        <v>5954745.636</v>
      </c>
      <c r="E966" s="7">
        <v>0</v>
      </c>
      <c r="F966" s="7">
        <v>2570.019</v>
      </c>
      <c r="G966" s="7">
        <v>3241</v>
      </c>
      <c r="H966" s="8">
        <f>IFERROR(F966/D966,"")</f>
        <v>0</v>
      </c>
      <c r="I966" s="9">
        <f>"n/a"</f>
        <v>0</v>
      </c>
    </row>
    <row r="967" spans="1:9">
      <c r="A967" s="4" t="s">
        <v>411</v>
      </c>
      <c r="B967" s="6" t="s">
        <v>412</v>
      </c>
      <c r="C967" s="6">
        <v>2019</v>
      </c>
      <c r="D967" s="7">
        <v>706839</v>
      </c>
      <c r="E967" s="7">
        <v>2733478</v>
      </c>
      <c r="F967" s="7">
        <v>29942</v>
      </c>
      <c r="G967" s="7">
        <v>21415</v>
      </c>
      <c r="H967" s="8">
        <f>IFERROR(F967/D967,"")</f>
        <v>0</v>
      </c>
      <c r="I967" s="8">
        <f>IFERROR(G967/E967,"")</f>
        <v>0</v>
      </c>
    </row>
    <row r="968" spans="1:9">
      <c r="A968" s="4" t="s">
        <v>411</v>
      </c>
      <c r="B968" s="6" t="s">
        <v>412</v>
      </c>
      <c r="C968" s="6">
        <v>2020</v>
      </c>
      <c r="D968" s="7">
        <v>726024</v>
      </c>
      <c r="E968" s="7">
        <v>2891841</v>
      </c>
      <c r="F968" s="7">
        <v>119727</v>
      </c>
      <c r="G968" s="7">
        <v>135491</v>
      </c>
      <c r="H968" s="8">
        <f>IFERROR(F968/D968,"")</f>
        <v>0</v>
      </c>
      <c r="I968" s="8">
        <f>IFERROR(G968/E968,"")</f>
        <v>0</v>
      </c>
    </row>
    <row r="969" spans="1:9">
      <c r="A969" s="4" t="s">
        <v>411</v>
      </c>
      <c r="B969" s="6" t="s">
        <v>412</v>
      </c>
      <c r="C969" s="6">
        <v>2021</v>
      </c>
      <c r="D969" s="7">
        <v>999705</v>
      </c>
      <c r="E969" s="7">
        <v>4050340.831</v>
      </c>
      <c r="F969" s="7">
        <v>100689</v>
      </c>
      <c r="G969" s="7">
        <v>407945.112</v>
      </c>
      <c r="H969" s="8">
        <f>IFERROR(F969/D969,"")</f>
        <v>0</v>
      </c>
      <c r="I969" s="8">
        <f>IFERROR(G969/E969,"")</f>
        <v>0</v>
      </c>
    </row>
    <row r="970" spans="1:9">
      <c r="A970" s="4" t="s">
        <v>411</v>
      </c>
      <c r="B970" s="6" t="s">
        <v>412</v>
      </c>
      <c r="C970" s="6">
        <v>2022</v>
      </c>
      <c r="D970" s="7">
        <v>1304159</v>
      </c>
      <c r="E970" s="7">
        <v>4425987</v>
      </c>
      <c r="F970" s="7">
        <v>149157</v>
      </c>
      <c r="G970" s="7">
        <v>226092</v>
      </c>
      <c r="H970" s="8">
        <f>IFERROR(F970/D970,"")</f>
        <v>0</v>
      </c>
      <c r="I970" s="8">
        <f>IFERROR(G970/E970,"")</f>
        <v>0</v>
      </c>
    </row>
    <row r="971" spans="1:9">
      <c r="A971" s="4" t="s">
        <v>411</v>
      </c>
      <c r="B971" s="6" t="s">
        <v>412</v>
      </c>
      <c r="C971" s="6">
        <v>2023</v>
      </c>
      <c r="D971" s="7">
        <v>1523939</v>
      </c>
      <c r="E971" s="7">
        <v>4952250</v>
      </c>
      <c r="F971" s="7">
        <v>6920</v>
      </c>
      <c r="G971" s="7">
        <v>16000</v>
      </c>
      <c r="H971" s="8">
        <f>IFERROR(F971/D971,"")</f>
        <v>0</v>
      </c>
      <c r="I971" s="8">
        <f>IFERROR(G971/E971,"")</f>
        <v>0</v>
      </c>
    </row>
    <row r="972" spans="1:9">
      <c r="A972" s="4" t="s">
        <v>86</v>
      </c>
      <c r="B972" s="6" t="s">
        <v>87</v>
      </c>
      <c r="C972" s="6">
        <v>2019</v>
      </c>
      <c r="D972" s="7">
        <v>190753145.16</v>
      </c>
      <c r="E972" s="7">
        <v>0</v>
      </c>
      <c r="F972" s="7">
        <v>29898303.573</v>
      </c>
      <c r="G972" s="7">
        <v>115224097.671</v>
      </c>
      <c r="H972" s="8">
        <f>IFERROR(F972/D972,"")</f>
        <v>0</v>
      </c>
      <c r="I972" s="9">
        <f>"n/a"</f>
        <v>0</v>
      </c>
    </row>
    <row r="973" spans="1:9">
      <c r="A973" s="4" t="s">
        <v>86</v>
      </c>
      <c r="B973" s="6" t="s">
        <v>87</v>
      </c>
      <c r="C973" s="6">
        <v>2020</v>
      </c>
      <c r="D973" s="7">
        <v>139713292.19</v>
      </c>
      <c r="E973" s="7">
        <v>0</v>
      </c>
      <c r="F973" s="7">
        <v>21905547.524</v>
      </c>
      <c r="G973" s="7">
        <v>105537160</v>
      </c>
      <c r="H973" s="8">
        <f>IFERROR(F973/D973,"")</f>
        <v>0</v>
      </c>
      <c r="I973" s="9">
        <f>"n/a"</f>
        <v>0</v>
      </c>
    </row>
    <row r="974" spans="1:9">
      <c r="A974" s="4" t="s">
        <v>86</v>
      </c>
      <c r="B974" s="6" t="s">
        <v>87</v>
      </c>
      <c r="C974" s="6">
        <v>2021</v>
      </c>
      <c r="D974" s="7">
        <v>145436573.971</v>
      </c>
      <c r="E974" s="7">
        <v>0</v>
      </c>
      <c r="F974" s="7">
        <v>7305769.845</v>
      </c>
      <c r="G974" s="7">
        <v>28010602</v>
      </c>
      <c r="H974" s="8">
        <f>IFERROR(F974/D974,"")</f>
        <v>0</v>
      </c>
      <c r="I974" s="9">
        <f>"n/a"</f>
        <v>0</v>
      </c>
    </row>
    <row r="975" spans="1:9">
      <c r="A975" s="4" t="s">
        <v>86</v>
      </c>
      <c r="B975" s="6" t="s">
        <v>87</v>
      </c>
      <c r="C975" s="6">
        <v>2022</v>
      </c>
      <c r="D975" s="7">
        <v>271544105.759</v>
      </c>
      <c r="E975" s="7">
        <v>0</v>
      </c>
      <c r="F975" s="7">
        <v>71294103.617</v>
      </c>
      <c r="G975" s="7">
        <v>164559113.481</v>
      </c>
      <c r="H975" s="8">
        <f>IFERROR(F975/D975,"")</f>
        <v>0</v>
      </c>
      <c r="I975" s="9">
        <f>"n/a"</f>
        <v>0</v>
      </c>
    </row>
    <row r="976" spans="1:9">
      <c r="A976" s="4" t="s">
        <v>86</v>
      </c>
      <c r="B976" s="6" t="s">
        <v>87</v>
      </c>
      <c r="C976" s="6">
        <v>2023</v>
      </c>
      <c r="D976" s="7">
        <v>219601153.672</v>
      </c>
      <c r="E976" s="7">
        <v>0</v>
      </c>
      <c r="F976" s="7">
        <v>34376707.848</v>
      </c>
      <c r="G976" s="7">
        <v>100030180</v>
      </c>
      <c r="H976" s="8">
        <f>IFERROR(F976/D976,"")</f>
        <v>0</v>
      </c>
      <c r="I976" s="9">
        <f>"n/a"</f>
        <v>0</v>
      </c>
    </row>
    <row r="977" spans="1:9">
      <c r="A977" s="4" t="s">
        <v>86</v>
      </c>
      <c r="B977" s="6" t="s">
        <v>87</v>
      </c>
      <c r="C977" s="6">
        <v>2024</v>
      </c>
      <c r="D977" s="7">
        <v>179780742.041</v>
      </c>
      <c r="E977" s="7">
        <v>0</v>
      </c>
      <c r="F977" s="7">
        <v>22150927.915</v>
      </c>
      <c r="G977" s="7">
        <v>85965717</v>
      </c>
      <c r="H977" s="8">
        <f>IFERROR(F977/D977,"")</f>
        <v>0</v>
      </c>
      <c r="I977" s="9">
        <f>"n/a"</f>
        <v>0</v>
      </c>
    </row>
    <row r="978" spans="1:9">
      <c r="A978" s="4" t="s">
        <v>86</v>
      </c>
      <c r="B978" s="6" t="s">
        <v>87</v>
      </c>
      <c r="C978" s="6">
        <v>2025</v>
      </c>
      <c r="D978" s="7">
        <v>155713092.616</v>
      </c>
      <c r="E978" s="7">
        <v>0</v>
      </c>
      <c r="F978" s="7">
        <v>21399582.834</v>
      </c>
      <c r="G978" s="7">
        <v>99543769</v>
      </c>
      <c r="H978" s="8">
        <f>IFERROR(F978/D978,"")</f>
        <v>0</v>
      </c>
      <c r="I978" s="9">
        <f>"n/a"</f>
        <v>0</v>
      </c>
    </row>
    <row r="979" spans="1:9">
      <c r="A979" s="4" t="s">
        <v>413</v>
      </c>
      <c r="B979" s="6" t="s">
        <v>414</v>
      </c>
      <c r="C979" s="6">
        <v>2019</v>
      </c>
      <c r="D979" s="7">
        <v>1483.83</v>
      </c>
      <c r="E979" s="7">
        <v>1768</v>
      </c>
      <c r="F979" s="7">
        <v>0</v>
      </c>
      <c r="G979" s="7">
        <v>0</v>
      </c>
      <c r="H979" s="8">
        <f>IFERROR(F979/D979,"")</f>
        <v>0</v>
      </c>
      <c r="I979" s="8">
        <f>IFERROR(G979/E979,"")</f>
        <v>0</v>
      </c>
    </row>
    <row r="980" spans="1:9">
      <c r="A980" s="4" t="s">
        <v>413</v>
      </c>
      <c r="B980" s="6" t="s">
        <v>414</v>
      </c>
      <c r="C980" s="6">
        <v>2020</v>
      </c>
      <c r="D980" s="7">
        <v>260627.34</v>
      </c>
      <c r="E980" s="7">
        <v>8212</v>
      </c>
      <c r="F980" s="7">
        <v>0</v>
      </c>
      <c r="G980" s="7">
        <v>0</v>
      </c>
      <c r="H980" s="8">
        <f>IFERROR(F980/D980,"")</f>
        <v>0</v>
      </c>
      <c r="I980" s="8">
        <f>IFERROR(G980/E980,"")</f>
        <v>0</v>
      </c>
    </row>
    <row r="981" spans="1:9">
      <c r="A981" s="4" t="s">
        <v>413</v>
      </c>
      <c r="B981" s="6" t="s">
        <v>414</v>
      </c>
      <c r="C981" s="6">
        <v>2021</v>
      </c>
      <c r="D981" s="7">
        <v>845.05</v>
      </c>
      <c r="E981" s="7">
        <v>1322</v>
      </c>
      <c r="F981" s="7">
        <v>0</v>
      </c>
      <c r="G981" s="7">
        <v>0</v>
      </c>
      <c r="H981" s="8">
        <f>IFERROR(F981/D981,"")</f>
        <v>0</v>
      </c>
      <c r="I981" s="8">
        <f>IFERROR(G981/E981,"")</f>
        <v>0</v>
      </c>
    </row>
    <row r="982" spans="1:9">
      <c r="A982" s="4" t="s">
        <v>413</v>
      </c>
      <c r="B982" s="6" t="s">
        <v>414</v>
      </c>
      <c r="C982" s="6">
        <v>2022</v>
      </c>
      <c r="D982" s="7">
        <v>10086.89</v>
      </c>
      <c r="E982" s="7">
        <v>7648</v>
      </c>
      <c r="F982" s="7">
        <v>0</v>
      </c>
      <c r="G982" s="7">
        <v>0</v>
      </c>
      <c r="H982" s="8">
        <f>IFERROR(F982/D982,"")</f>
        <v>0</v>
      </c>
      <c r="I982" s="8">
        <f>IFERROR(G982/E982,"")</f>
        <v>0</v>
      </c>
    </row>
    <row r="983" spans="1:9">
      <c r="A983" s="4" t="s">
        <v>413</v>
      </c>
      <c r="B983" s="6" t="s">
        <v>414</v>
      </c>
      <c r="C983" s="6">
        <v>2023</v>
      </c>
      <c r="D983" s="7">
        <v>763.95</v>
      </c>
      <c r="E983" s="7">
        <v>1926</v>
      </c>
      <c r="F983" s="7">
        <v>0</v>
      </c>
      <c r="G983" s="7">
        <v>0</v>
      </c>
      <c r="H983" s="8">
        <f>IFERROR(F983/D983,"")</f>
        <v>0</v>
      </c>
      <c r="I983" s="8">
        <f>IFERROR(G983/E983,"")</f>
        <v>0</v>
      </c>
    </row>
    <row r="984" spans="1:9">
      <c r="A984" s="4" t="s">
        <v>415</v>
      </c>
      <c r="B984" s="6" t="s">
        <v>416</v>
      </c>
      <c r="C984" s="6">
        <v>2019</v>
      </c>
      <c r="D984" s="7">
        <v>24121.029</v>
      </c>
      <c r="E984" s="7">
        <v>37641</v>
      </c>
      <c r="F984" s="7">
        <v>10581.305</v>
      </c>
      <c r="G984" s="7">
        <v>18500</v>
      </c>
      <c r="H984" s="8">
        <f>IFERROR(F984/D984,"")</f>
        <v>0</v>
      </c>
      <c r="I984" s="8">
        <f>IFERROR(G984/E984,"")</f>
        <v>0</v>
      </c>
    </row>
    <row r="985" spans="1:9">
      <c r="A985" s="4" t="s">
        <v>415</v>
      </c>
      <c r="B985" s="6" t="s">
        <v>416</v>
      </c>
      <c r="C985" s="6">
        <v>2020</v>
      </c>
      <c r="D985" s="7">
        <v>24152.501</v>
      </c>
      <c r="E985" s="7">
        <v>0</v>
      </c>
      <c r="F985" s="7">
        <v>3428.058</v>
      </c>
      <c r="G985" s="7">
        <v>8500</v>
      </c>
      <c r="H985" s="8">
        <f>IFERROR(F985/D985,"")</f>
        <v>0</v>
      </c>
      <c r="I985" s="9">
        <f>"n/a"</f>
        <v>0</v>
      </c>
    </row>
    <row r="986" spans="1:9">
      <c r="A986" s="4" t="s">
        <v>415</v>
      </c>
      <c r="B986" s="6" t="s">
        <v>416</v>
      </c>
      <c r="C986" s="6">
        <v>2021</v>
      </c>
      <c r="D986" s="7">
        <v>26728.216</v>
      </c>
      <c r="E986" s="7">
        <v>70868</v>
      </c>
      <c r="F986" s="7">
        <v>0</v>
      </c>
      <c r="G986" s="7">
        <v>0</v>
      </c>
      <c r="H986" s="8">
        <f>IFERROR(F986/D986,"")</f>
        <v>0</v>
      </c>
      <c r="I986" s="8">
        <f>IFERROR(G986/E986,"")</f>
        <v>0</v>
      </c>
    </row>
    <row r="987" spans="1:9">
      <c r="A987" s="4" t="s">
        <v>415</v>
      </c>
      <c r="B987" s="6" t="s">
        <v>416</v>
      </c>
      <c r="C987" s="6">
        <v>2022</v>
      </c>
      <c r="D987" s="7">
        <v>240682.967</v>
      </c>
      <c r="E987" s="7">
        <v>706442</v>
      </c>
      <c r="F987" s="7">
        <v>132734.265</v>
      </c>
      <c r="G987" s="7">
        <v>427092</v>
      </c>
      <c r="H987" s="8">
        <f>IFERROR(F987/D987,"")</f>
        <v>0</v>
      </c>
      <c r="I987" s="8">
        <f>IFERROR(G987/E987,"")</f>
        <v>0</v>
      </c>
    </row>
    <row r="988" spans="1:9">
      <c r="A988" s="4" t="s">
        <v>415</v>
      </c>
      <c r="B988" s="6" t="s">
        <v>416</v>
      </c>
      <c r="C988" s="6">
        <v>2023</v>
      </c>
      <c r="D988" s="7">
        <v>486971.552</v>
      </c>
      <c r="E988" s="7">
        <v>966371</v>
      </c>
      <c r="F988" s="7">
        <v>14178.046</v>
      </c>
      <c r="G988" s="7">
        <v>43000</v>
      </c>
      <c r="H988" s="8">
        <f>IFERROR(F988/D988,"")</f>
        <v>0</v>
      </c>
      <c r="I988" s="8">
        <f>IFERROR(G988/E988,"")</f>
        <v>0</v>
      </c>
    </row>
    <row r="989" spans="1:9">
      <c r="A989" s="4" t="s">
        <v>415</v>
      </c>
      <c r="B989" s="6" t="s">
        <v>416</v>
      </c>
      <c r="C989" s="6">
        <v>2024</v>
      </c>
      <c r="D989" s="7">
        <v>315477.964</v>
      </c>
      <c r="E989" s="7">
        <v>715658</v>
      </c>
      <c r="F989" s="7">
        <v>0</v>
      </c>
      <c r="G989" s="7">
        <v>0</v>
      </c>
      <c r="H989" s="8">
        <f>IFERROR(F989/D989,"")</f>
        <v>0</v>
      </c>
      <c r="I989" s="8">
        <f>IFERROR(G989/E989,"")</f>
        <v>0</v>
      </c>
    </row>
    <row r="990" spans="1:9">
      <c r="A990" s="4" t="s">
        <v>415</v>
      </c>
      <c r="B990" s="6" t="s">
        <v>416</v>
      </c>
      <c r="C990" s="6">
        <v>2025</v>
      </c>
      <c r="D990" s="7">
        <v>577704.863</v>
      </c>
      <c r="E990" s="7">
        <v>0</v>
      </c>
      <c r="F990" s="7">
        <v>0</v>
      </c>
      <c r="G990" s="7">
        <v>0</v>
      </c>
      <c r="H990" s="8">
        <f>IFERROR(F990/D990,"")</f>
        <v>0</v>
      </c>
      <c r="I990" s="9">
        <f>"n/a"</f>
        <v>0</v>
      </c>
    </row>
    <row r="991" spans="1:9">
      <c r="A991" s="4" t="s">
        <v>417</v>
      </c>
      <c r="B991" s="6" t="s">
        <v>418</v>
      </c>
      <c r="C991" s="6">
        <v>2019</v>
      </c>
      <c r="D991" s="7">
        <v>41.451</v>
      </c>
      <c r="E991" s="7">
        <v>164.278</v>
      </c>
      <c r="F991" s="7">
        <v>41.451</v>
      </c>
      <c r="G991" s="7">
        <v>164.278</v>
      </c>
      <c r="H991" s="8">
        <f>IFERROR(F991/D991,"")</f>
        <v>0</v>
      </c>
      <c r="I991" s="8">
        <f>IFERROR(G991/E991,"")</f>
        <v>0</v>
      </c>
    </row>
    <row r="992" spans="1:9">
      <c r="A992" s="4" t="s">
        <v>417</v>
      </c>
      <c r="B992" s="6" t="s">
        <v>418</v>
      </c>
      <c r="C992" s="6">
        <v>2020</v>
      </c>
      <c r="D992" s="7">
        <v>92.107</v>
      </c>
      <c r="E992" s="7">
        <v>386.893</v>
      </c>
      <c r="F992" s="7">
        <v>0</v>
      </c>
      <c r="G992" s="7">
        <v>0</v>
      </c>
      <c r="H992" s="8">
        <f>IFERROR(F992/D992,"")</f>
        <v>0</v>
      </c>
      <c r="I992" s="8">
        <f>IFERROR(G992/E992,"")</f>
        <v>0</v>
      </c>
    </row>
    <row r="993" spans="1:9">
      <c r="A993" s="4" t="s">
        <v>417</v>
      </c>
      <c r="B993" s="6" t="s">
        <v>418</v>
      </c>
      <c r="C993" s="6">
        <v>2021</v>
      </c>
      <c r="D993" s="7">
        <v>108.878</v>
      </c>
      <c r="E993" s="7">
        <v>441.122</v>
      </c>
      <c r="F993" s="7">
        <v>0</v>
      </c>
      <c r="G993" s="7">
        <v>0</v>
      </c>
      <c r="H993" s="8">
        <f>IFERROR(F993/D993,"")</f>
        <v>0</v>
      </c>
      <c r="I993" s="8">
        <f>IFERROR(G993/E993,"")</f>
        <v>0</v>
      </c>
    </row>
    <row r="994" spans="1:9">
      <c r="A994" s="4" t="s">
        <v>417</v>
      </c>
      <c r="B994" s="6" t="s">
        <v>418</v>
      </c>
      <c r="C994" s="6">
        <v>2022</v>
      </c>
      <c r="D994" s="7">
        <v>675.6660000000001</v>
      </c>
      <c r="E994" s="7">
        <v>1660.295</v>
      </c>
      <c r="F994" s="7">
        <v>0</v>
      </c>
      <c r="G994" s="7">
        <v>0</v>
      </c>
      <c r="H994" s="8">
        <f>IFERROR(F994/D994,"")</f>
        <v>0</v>
      </c>
      <c r="I994" s="8">
        <f>IFERROR(G994/E994,"")</f>
        <v>0</v>
      </c>
    </row>
    <row r="995" spans="1:9">
      <c r="A995" s="4" t="s">
        <v>417</v>
      </c>
      <c r="B995" s="6" t="s">
        <v>418</v>
      </c>
      <c r="C995" s="6">
        <v>2023</v>
      </c>
      <c r="D995" s="7">
        <v>13.206</v>
      </c>
      <c r="E995" s="7">
        <v>30.692</v>
      </c>
      <c r="F995" s="7">
        <v>0</v>
      </c>
      <c r="G995" s="7">
        <v>0</v>
      </c>
      <c r="H995" s="8">
        <f>IFERROR(F995/D995,"")</f>
        <v>0</v>
      </c>
      <c r="I995" s="8">
        <f>IFERROR(G995/E995,"")</f>
        <v>0</v>
      </c>
    </row>
    <row r="996" spans="1:9">
      <c r="A996" s="4" t="s">
        <v>417</v>
      </c>
      <c r="B996" s="6" t="s">
        <v>418</v>
      </c>
      <c r="C996" s="6">
        <v>2025</v>
      </c>
      <c r="D996" s="7">
        <v>7381.964</v>
      </c>
      <c r="E996" s="7">
        <v>22484.947</v>
      </c>
      <c r="F996" s="7">
        <v>0</v>
      </c>
      <c r="G996" s="7">
        <v>0</v>
      </c>
      <c r="H996" s="8">
        <f>IFERROR(F996/D996,"")</f>
        <v>0</v>
      </c>
      <c r="I996" s="8">
        <f>IFERROR(G996/E996,"")</f>
        <v>0</v>
      </c>
    </row>
    <row r="997" spans="1:9">
      <c r="A997" s="4" t="s">
        <v>419</v>
      </c>
      <c r="B997" s="6" t="s">
        <v>420</v>
      </c>
      <c r="C997" s="6">
        <v>2019</v>
      </c>
      <c r="D997" s="7">
        <v>3458848.293</v>
      </c>
      <c r="E997" s="7">
        <v>9129349.722999999</v>
      </c>
      <c r="F997" s="7">
        <v>1478604.075</v>
      </c>
      <c r="G997" s="7">
        <v>3669390</v>
      </c>
      <c r="H997" s="8">
        <f>IFERROR(F997/D997,"")</f>
        <v>0</v>
      </c>
      <c r="I997" s="8">
        <f>IFERROR(G997/E997,"")</f>
        <v>0</v>
      </c>
    </row>
    <row r="998" spans="1:9">
      <c r="A998" s="4" t="s">
        <v>419</v>
      </c>
      <c r="B998" s="6" t="s">
        <v>420</v>
      </c>
      <c r="C998" s="6">
        <v>2020</v>
      </c>
      <c r="D998" s="7">
        <v>1795476.773</v>
      </c>
      <c r="E998" s="7">
        <v>0</v>
      </c>
      <c r="F998" s="7">
        <v>11098.717</v>
      </c>
      <c r="G998" s="7">
        <v>27164</v>
      </c>
      <c r="H998" s="8">
        <f>IFERROR(F998/D998,"")</f>
        <v>0</v>
      </c>
      <c r="I998" s="9">
        <f>"n/a"</f>
        <v>0</v>
      </c>
    </row>
    <row r="999" spans="1:9">
      <c r="A999" s="4" t="s">
        <v>419</v>
      </c>
      <c r="B999" s="6" t="s">
        <v>420</v>
      </c>
      <c r="C999" s="6">
        <v>2021</v>
      </c>
      <c r="D999" s="7">
        <v>2391668.308</v>
      </c>
      <c r="E999" s="7">
        <v>6363401.384</v>
      </c>
      <c r="F999" s="7">
        <v>65565.289</v>
      </c>
      <c r="G999" s="7">
        <v>53412</v>
      </c>
      <c r="H999" s="8">
        <f>IFERROR(F999/D999,"")</f>
        <v>0</v>
      </c>
      <c r="I999" s="8">
        <f>IFERROR(G999/E999,"")</f>
        <v>0</v>
      </c>
    </row>
    <row r="1000" spans="1:9">
      <c r="A1000" s="4" t="s">
        <v>419</v>
      </c>
      <c r="B1000" s="6" t="s">
        <v>420</v>
      </c>
      <c r="C1000" s="6">
        <v>2022</v>
      </c>
      <c r="D1000" s="7">
        <v>6779726.269</v>
      </c>
      <c r="E1000" s="7">
        <v>9421348</v>
      </c>
      <c r="F1000" s="7">
        <v>43698.929</v>
      </c>
      <c r="G1000" s="7">
        <v>48252</v>
      </c>
      <c r="H1000" s="8">
        <f>IFERROR(F1000/D1000,"")</f>
        <v>0</v>
      </c>
      <c r="I1000" s="8">
        <f>IFERROR(G1000/E1000,"")</f>
        <v>0</v>
      </c>
    </row>
    <row r="1001" spans="1:9">
      <c r="A1001" s="4" t="s">
        <v>419</v>
      </c>
      <c r="B1001" s="6" t="s">
        <v>420</v>
      </c>
      <c r="C1001" s="6">
        <v>2023</v>
      </c>
      <c r="D1001" s="7">
        <v>3280948.028</v>
      </c>
      <c r="E1001" s="7">
        <v>0</v>
      </c>
      <c r="F1001" s="7">
        <v>21447.611</v>
      </c>
      <c r="G1001" s="7">
        <v>24000</v>
      </c>
      <c r="H1001" s="8">
        <f>IFERROR(F1001/D1001,"")</f>
        <v>0</v>
      </c>
      <c r="I1001" s="9">
        <f>"n/a"</f>
        <v>0</v>
      </c>
    </row>
    <row r="1002" spans="1:9">
      <c r="A1002" s="4" t="s">
        <v>419</v>
      </c>
      <c r="B1002" s="6" t="s">
        <v>420</v>
      </c>
      <c r="C1002" s="6">
        <v>2024</v>
      </c>
      <c r="D1002" s="7">
        <v>3709307.234</v>
      </c>
      <c r="E1002" s="7">
        <v>8943679</v>
      </c>
      <c r="F1002" s="7">
        <v>8630.065000000001</v>
      </c>
      <c r="G1002" s="7">
        <v>17500</v>
      </c>
      <c r="H1002" s="8">
        <f>IFERROR(F1002/D1002,"")</f>
        <v>0</v>
      </c>
      <c r="I1002" s="8">
        <f>IFERROR(G1002/E1002,"")</f>
        <v>0</v>
      </c>
    </row>
    <row r="1003" spans="1:9">
      <c r="A1003" s="4" t="s">
        <v>419</v>
      </c>
      <c r="B1003" s="6" t="s">
        <v>420</v>
      </c>
      <c r="C1003" s="6">
        <v>2025</v>
      </c>
      <c r="D1003" s="7">
        <v>3590572.29</v>
      </c>
      <c r="E1003" s="7">
        <v>0</v>
      </c>
      <c r="F1003" s="7">
        <v>32651.477</v>
      </c>
      <c r="G1003" s="7">
        <v>80463</v>
      </c>
      <c r="H1003" s="8">
        <f>IFERROR(F1003/D1003,"")</f>
        <v>0</v>
      </c>
      <c r="I1003" s="9">
        <f>"n/a"</f>
        <v>0</v>
      </c>
    </row>
    <row r="1004" spans="1:9">
      <c r="A1004" s="4" t="s">
        <v>421</v>
      </c>
      <c r="B1004" s="6" t="s">
        <v>422</v>
      </c>
      <c r="C1004" s="6">
        <v>2019</v>
      </c>
      <c r="D1004" s="7">
        <v>21852945.02</v>
      </c>
      <c r="E1004" s="7">
        <v>0</v>
      </c>
      <c r="F1004" s="7">
        <v>171833.975</v>
      </c>
      <c r="G1004" s="7">
        <v>236000</v>
      </c>
      <c r="H1004" s="8">
        <f>IFERROR(F1004/D1004,"")</f>
        <v>0</v>
      </c>
      <c r="I1004" s="9">
        <f>"n/a"</f>
        <v>0</v>
      </c>
    </row>
    <row r="1005" spans="1:9">
      <c r="A1005" s="4" t="s">
        <v>421</v>
      </c>
      <c r="B1005" s="6" t="s">
        <v>422</v>
      </c>
      <c r="C1005" s="6">
        <v>2020</v>
      </c>
      <c r="D1005" s="7">
        <v>15026554.5</v>
      </c>
      <c r="E1005" s="7">
        <v>0</v>
      </c>
      <c r="F1005" s="7">
        <v>49093.94</v>
      </c>
      <c r="G1005" s="7">
        <v>72000</v>
      </c>
      <c r="H1005" s="8">
        <f>IFERROR(F1005/D1005,"")</f>
        <v>0</v>
      </c>
      <c r="I1005" s="9">
        <f>"n/a"</f>
        <v>0</v>
      </c>
    </row>
    <row r="1006" spans="1:9">
      <c r="A1006" s="4" t="s">
        <v>421</v>
      </c>
      <c r="B1006" s="6" t="s">
        <v>422</v>
      </c>
      <c r="C1006" s="6">
        <v>2021</v>
      </c>
      <c r="D1006" s="7">
        <v>11255439.785</v>
      </c>
      <c r="E1006" s="7">
        <v>0</v>
      </c>
      <c r="F1006" s="7">
        <v>17577.332</v>
      </c>
      <c r="G1006" s="7">
        <v>28373.444</v>
      </c>
      <c r="H1006" s="8">
        <f>IFERROR(F1006/D1006,"")</f>
        <v>0</v>
      </c>
      <c r="I1006" s="9">
        <f>"n/a"</f>
        <v>0</v>
      </c>
    </row>
    <row r="1007" spans="1:9">
      <c r="A1007" s="4" t="s">
        <v>421</v>
      </c>
      <c r="B1007" s="6" t="s">
        <v>422</v>
      </c>
      <c r="C1007" s="6">
        <v>2022</v>
      </c>
      <c r="D1007" s="7">
        <v>28776373.668</v>
      </c>
      <c r="E1007" s="7">
        <v>88821320.45</v>
      </c>
      <c r="F1007" s="7">
        <v>415.245</v>
      </c>
      <c r="G1007" s="7">
        <v>150</v>
      </c>
      <c r="H1007" s="8">
        <f>IFERROR(F1007/D1007,"")</f>
        <v>0</v>
      </c>
      <c r="I1007" s="8">
        <f>IFERROR(G1007/E1007,"")</f>
        <v>0</v>
      </c>
    </row>
    <row r="1008" spans="1:9">
      <c r="A1008" s="4" t="s">
        <v>421</v>
      </c>
      <c r="B1008" s="6" t="s">
        <v>422</v>
      </c>
      <c r="C1008" s="6">
        <v>2023</v>
      </c>
      <c r="D1008" s="7">
        <v>28342673.954</v>
      </c>
      <c r="E1008" s="7">
        <v>0</v>
      </c>
      <c r="F1008" s="7">
        <v>12771.576</v>
      </c>
      <c r="G1008" s="7">
        <v>22025</v>
      </c>
      <c r="H1008" s="8">
        <f>IFERROR(F1008/D1008,"")</f>
        <v>0</v>
      </c>
      <c r="I1008" s="9">
        <f>"n/a"</f>
        <v>0</v>
      </c>
    </row>
    <row r="1009" spans="1:9">
      <c r="A1009" s="4" t="s">
        <v>421</v>
      </c>
      <c r="B1009" s="6" t="s">
        <v>422</v>
      </c>
      <c r="C1009" s="6">
        <v>2024</v>
      </c>
      <c r="D1009" s="7">
        <v>17289311.62</v>
      </c>
      <c r="E1009" s="7">
        <v>50843727.981</v>
      </c>
      <c r="F1009" s="7">
        <v>0</v>
      </c>
      <c r="G1009" s="7">
        <v>0</v>
      </c>
      <c r="H1009" s="8">
        <f>IFERROR(F1009/D1009,"")</f>
        <v>0</v>
      </c>
      <c r="I1009" s="8">
        <f>IFERROR(G1009/E1009,"")</f>
        <v>0</v>
      </c>
    </row>
    <row r="1010" spans="1:9">
      <c r="A1010" s="4" t="s">
        <v>81</v>
      </c>
      <c r="B1010" s="6" t="s">
        <v>123</v>
      </c>
      <c r="C1010" s="6">
        <v>2019</v>
      </c>
      <c r="D1010" s="7">
        <v>46523294</v>
      </c>
      <c r="E1010" s="7">
        <v>0</v>
      </c>
      <c r="F1010" s="7">
        <v>0</v>
      </c>
      <c r="G1010" s="7">
        <v>0</v>
      </c>
      <c r="H1010" s="8">
        <f>IFERROR(F1010/D1010,"")</f>
        <v>0</v>
      </c>
      <c r="I1010" s="9">
        <f>"n/a"</f>
        <v>0</v>
      </c>
    </row>
    <row r="1011" spans="1:9">
      <c r="A1011" s="4" t="s">
        <v>81</v>
      </c>
      <c r="B1011" s="6" t="s">
        <v>123</v>
      </c>
      <c r="C1011" s="6">
        <v>2020</v>
      </c>
      <c r="D1011" s="7">
        <v>37863766</v>
      </c>
      <c r="E1011" s="7">
        <v>0</v>
      </c>
      <c r="F1011" s="7">
        <v>692</v>
      </c>
      <c r="G1011" s="7">
        <v>3276</v>
      </c>
      <c r="H1011" s="8">
        <f>IFERROR(F1011/D1011,"")</f>
        <v>0</v>
      </c>
      <c r="I1011" s="9">
        <f>"n/a"</f>
        <v>0</v>
      </c>
    </row>
    <row r="1012" spans="1:9">
      <c r="A1012" s="4" t="s">
        <v>81</v>
      </c>
      <c r="B1012" s="6" t="s">
        <v>123</v>
      </c>
      <c r="C1012" s="6">
        <v>2021</v>
      </c>
      <c r="D1012" s="7">
        <v>37533494</v>
      </c>
      <c r="E1012" s="7">
        <v>0</v>
      </c>
      <c r="F1012" s="7">
        <v>88</v>
      </c>
      <c r="G1012" s="7">
        <v>417</v>
      </c>
      <c r="H1012" s="8">
        <f>IFERROR(F1012/D1012,"")</f>
        <v>0</v>
      </c>
      <c r="I1012" s="9">
        <f>"n/a"</f>
        <v>0</v>
      </c>
    </row>
    <row r="1013" spans="1:9">
      <c r="A1013" s="4" t="s">
        <v>81</v>
      </c>
      <c r="B1013" s="6" t="s">
        <v>123</v>
      </c>
      <c r="C1013" s="6">
        <v>2022</v>
      </c>
      <c r="D1013" s="7">
        <v>54622899</v>
      </c>
      <c r="E1013" s="7">
        <v>0</v>
      </c>
      <c r="F1013" s="7">
        <v>25</v>
      </c>
      <c r="G1013" s="7">
        <v>105</v>
      </c>
      <c r="H1013" s="8">
        <f>IFERROR(F1013/D1013,"")</f>
        <v>0</v>
      </c>
      <c r="I1013" s="9">
        <f>"n/a"</f>
        <v>0</v>
      </c>
    </row>
    <row r="1014" spans="1:9">
      <c r="A1014" s="4" t="s">
        <v>81</v>
      </c>
      <c r="B1014" s="6" t="s">
        <v>123</v>
      </c>
      <c r="C1014" s="6">
        <v>2023</v>
      </c>
      <c r="D1014" s="7">
        <v>70608771</v>
      </c>
      <c r="E1014" s="7">
        <v>0</v>
      </c>
      <c r="F1014" s="7">
        <v>26439</v>
      </c>
      <c r="G1014" s="7">
        <v>42513</v>
      </c>
      <c r="H1014" s="8">
        <f>IFERROR(F1014/D1014,"")</f>
        <v>0</v>
      </c>
      <c r="I1014" s="9">
        <f>"n/a"</f>
        <v>0</v>
      </c>
    </row>
    <row r="1015" spans="1:9">
      <c r="A1015" s="4" t="s">
        <v>81</v>
      </c>
      <c r="B1015" s="6" t="s">
        <v>123</v>
      </c>
      <c r="C1015" s="6">
        <v>2024</v>
      </c>
      <c r="D1015" s="7">
        <v>82555942</v>
      </c>
      <c r="E1015" s="7">
        <v>284039891.094</v>
      </c>
      <c r="F1015" s="7">
        <v>8</v>
      </c>
      <c r="G1015" s="7">
        <v>1</v>
      </c>
      <c r="H1015" s="8">
        <f>IFERROR(F1015/D1015,"")</f>
        <v>0</v>
      </c>
      <c r="I1015" s="8">
        <f>IFERROR(G1015/E1015,"")</f>
        <v>0</v>
      </c>
    </row>
    <row r="1016" spans="1:9">
      <c r="A1016" s="4" t="s">
        <v>81</v>
      </c>
      <c r="B1016" s="6" t="s">
        <v>123</v>
      </c>
      <c r="C1016" s="6">
        <v>2025</v>
      </c>
      <c r="D1016" s="7">
        <v>63744835</v>
      </c>
      <c r="E1016" s="7">
        <v>0</v>
      </c>
      <c r="F1016" s="7">
        <v>1043</v>
      </c>
      <c r="G1016" s="7">
        <v>85</v>
      </c>
      <c r="H1016" s="8">
        <f>IFERROR(F1016/D1016,"")</f>
        <v>0</v>
      </c>
      <c r="I1016" s="9">
        <f>"n/a"</f>
        <v>0</v>
      </c>
    </row>
    <row r="1017" spans="1:9">
      <c r="A1017" s="4" t="s">
        <v>62</v>
      </c>
      <c r="B1017" s="6" t="s">
        <v>62</v>
      </c>
      <c r="C1017" s="6">
        <v>2019</v>
      </c>
      <c r="D1017" s="7">
        <v>7551351</v>
      </c>
      <c r="E1017" s="7">
        <v>0</v>
      </c>
      <c r="F1017" s="7">
        <v>782640</v>
      </c>
      <c r="G1017" s="7">
        <v>1277443</v>
      </c>
      <c r="H1017" s="8">
        <f>IFERROR(F1017/D1017,"")</f>
        <v>0</v>
      </c>
      <c r="I1017" s="9">
        <f>"n/a"</f>
        <v>0</v>
      </c>
    </row>
    <row r="1018" spans="1:9">
      <c r="A1018" s="4" t="s">
        <v>62</v>
      </c>
      <c r="B1018" s="6" t="s">
        <v>62</v>
      </c>
      <c r="C1018" s="6">
        <v>2020</v>
      </c>
      <c r="D1018" s="7">
        <v>4427745</v>
      </c>
      <c r="E1018" s="7">
        <v>6278755</v>
      </c>
      <c r="F1018" s="7">
        <v>445365</v>
      </c>
      <c r="G1018" s="7">
        <v>687372</v>
      </c>
      <c r="H1018" s="8">
        <f>IFERROR(F1018/D1018,"")</f>
        <v>0</v>
      </c>
      <c r="I1018" s="8">
        <f>IFERROR(G1018/E1018,"")</f>
        <v>0</v>
      </c>
    </row>
    <row r="1019" spans="1:9">
      <c r="A1019" s="4" t="s">
        <v>62</v>
      </c>
      <c r="B1019" s="6" t="s">
        <v>62</v>
      </c>
      <c r="C1019" s="6">
        <v>2021</v>
      </c>
      <c r="D1019" s="7">
        <v>4848286</v>
      </c>
      <c r="E1019" s="7">
        <v>6835219.549</v>
      </c>
      <c r="F1019" s="7">
        <v>403865</v>
      </c>
      <c r="G1019" s="7">
        <v>569015</v>
      </c>
      <c r="H1019" s="8">
        <f>IFERROR(F1019/D1019,"")</f>
        <v>0</v>
      </c>
      <c r="I1019" s="8">
        <f>IFERROR(G1019/E1019,"")</f>
        <v>0</v>
      </c>
    </row>
    <row r="1020" spans="1:9">
      <c r="A1020" s="4" t="s">
        <v>62</v>
      </c>
      <c r="B1020" s="6" t="s">
        <v>62</v>
      </c>
      <c r="C1020" s="6">
        <v>2022</v>
      </c>
      <c r="D1020" s="7">
        <v>5324494</v>
      </c>
      <c r="E1020" s="7">
        <v>5497446.937</v>
      </c>
      <c r="F1020" s="7">
        <v>193441</v>
      </c>
      <c r="G1020" s="7">
        <v>115262</v>
      </c>
      <c r="H1020" s="8">
        <f>IFERROR(F1020/D1020,"")</f>
        <v>0</v>
      </c>
      <c r="I1020" s="8">
        <f>IFERROR(G1020/E1020,"")</f>
        <v>0</v>
      </c>
    </row>
    <row r="1021" spans="1:9">
      <c r="A1021" s="4" t="s">
        <v>62</v>
      </c>
      <c r="B1021" s="6" t="s">
        <v>62</v>
      </c>
      <c r="C1021" s="6">
        <v>2023</v>
      </c>
      <c r="D1021" s="7">
        <v>6814965</v>
      </c>
      <c r="E1021" s="7">
        <v>7833235.722</v>
      </c>
      <c r="F1021" s="7">
        <v>253478</v>
      </c>
      <c r="G1021" s="7">
        <v>314285</v>
      </c>
      <c r="H1021" s="8">
        <f>IFERROR(F1021/D1021,"")</f>
        <v>0</v>
      </c>
      <c r="I1021" s="8">
        <f>IFERROR(G1021/E1021,"")</f>
        <v>0</v>
      </c>
    </row>
    <row r="1022" spans="1:9">
      <c r="A1022" s="4" t="s">
        <v>62</v>
      </c>
      <c r="B1022" s="6" t="s">
        <v>62</v>
      </c>
      <c r="C1022" s="6">
        <v>2024</v>
      </c>
      <c r="D1022" s="7">
        <v>7827181</v>
      </c>
      <c r="E1022" s="7">
        <v>9393986.005000001</v>
      </c>
      <c r="F1022" s="7">
        <v>387860</v>
      </c>
      <c r="G1022" s="7">
        <v>498898.426</v>
      </c>
      <c r="H1022" s="8">
        <f>IFERROR(F1022/D1022,"")</f>
        <v>0</v>
      </c>
      <c r="I1022" s="8">
        <f>IFERROR(G1022/E1022,"")</f>
        <v>0</v>
      </c>
    </row>
    <row r="1023" spans="1:9">
      <c r="A1023" s="4" t="s">
        <v>62</v>
      </c>
      <c r="B1023" s="6" t="s">
        <v>62</v>
      </c>
      <c r="C1023" s="6">
        <v>2025</v>
      </c>
      <c r="D1023" s="7">
        <v>6749964</v>
      </c>
      <c r="E1023" s="7">
        <v>8434654</v>
      </c>
      <c r="F1023" s="7">
        <v>279579</v>
      </c>
      <c r="G1023" s="7">
        <v>390384</v>
      </c>
      <c r="H1023" s="8">
        <f>IFERROR(F1023/D1023,"")</f>
        <v>0</v>
      </c>
      <c r="I1023" s="8">
        <f>IFERROR(G1023/E1023,"")</f>
        <v>0</v>
      </c>
    </row>
    <row r="1024" spans="1:9">
      <c r="A1024" s="4" t="s">
        <v>423</v>
      </c>
      <c r="B1024" s="6" t="s">
        <v>424</v>
      </c>
      <c r="C1024" s="6">
        <v>2019</v>
      </c>
      <c r="D1024" s="7">
        <v>4025913.01</v>
      </c>
      <c r="E1024" s="7">
        <v>14470749</v>
      </c>
      <c r="F1024" s="7">
        <v>233567.97</v>
      </c>
      <c r="G1024" s="7">
        <v>630962</v>
      </c>
      <c r="H1024" s="8">
        <f>IFERROR(F1024/D1024,"")</f>
        <v>0</v>
      </c>
      <c r="I1024" s="8">
        <f>IFERROR(G1024/E1024,"")</f>
        <v>0</v>
      </c>
    </row>
    <row r="1025" spans="1:9">
      <c r="A1025" s="4" t="s">
        <v>423</v>
      </c>
      <c r="B1025" s="6" t="s">
        <v>424</v>
      </c>
      <c r="C1025" s="6">
        <v>2020</v>
      </c>
      <c r="D1025" s="7">
        <v>4206108</v>
      </c>
      <c r="E1025" s="7">
        <v>15700399</v>
      </c>
      <c r="F1025" s="7">
        <v>325878</v>
      </c>
      <c r="G1025" s="7">
        <v>1089646</v>
      </c>
      <c r="H1025" s="8">
        <f>IFERROR(F1025/D1025,"")</f>
        <v>0</v>
      </c>
      <c r="I1025" s="8">
        <f>IFERROR(G1025/E1025,"")</f>
        <v>0</v>
      </c>
    </row>
    <row r="1026" spans="1:9">
      <c r="A1026" s="4" t="s">
        <v>423</v>
      </c>
      <c r="B1026" s="6" t="s">
        <v>424</v>
      </c>
      <c r="C1026" s="6">
        <v>2021</v>
      </c>
      <c r="D1026" s="7">
        <v>4826739.36</v>
      </c>
      <c r="E1026" s="7">
        <v>18399932.71</v>
      </c>
      <c r="F1026" s="7">
        <v>5400</v>
      </c>
      <c r="G1026" s="7">
        <v>3000</v>
      </c>
      <c r="H1026" s="8">
        <f>IFERROR(F1026/D1026,"")</f>
        <v>0</v>
      </c>
      <c r="I1026" s="8">
        <f>IFERROR(G1026/E1026,"")</f>
        <v>0</v>
      </c>
    </row>
    <row r="1027" spans="1:9">
      <c r="A1027" s="4" t="s">
        <v>423</v>
      </c>
      <c r="B1027" s="6" t="s">
        <v>424</v>
      </c>
      <c r="C1027" s="6">
        <v>2022</v>
      </c>
      <c r="D1027" s="7">
        <v>8219330.64</v>
      </c>
      <c r="E1027" s="7">
        <v>21222658</v>
      </c>
      <c r="F1027" s="7">
        <v>428020.97</v>
      </c>
      <c r="G1027" s="7">
        <v>711570</v>
      </c>
      <c r="H1027" s="8">
        <f>IFERROR(F1027/D1027,"")</f>
        <v>0</v>
      </c>
      <c r="I1027" s="8">
        <f>IFERROR(G1027/E1027,"")</f>
        <v>0</v>
      </c>
    </row>
    <row r="1028" spans="1:9">
      <c r="A1028" s="4" t="s">
        <v>423</v>
      </c>
      <c r="B1028" s="6" t="s">
        <v>424</v>
      </c>
      <c r="C1028" s="6">
        <v>2023</v>
      </c>
      <c r="D1028" s="7">
        <v>10691328.05</v>
      </c>
      <c r="E1028" s="7">
        <v>30460910.5</v>
      </c>
      <c r="F1028" s="7">
        <v>1098339.57</v>
      </c>
      <c r="G1028" s="7">
        <v>2660879</v>
      </c>
      <c r="H1028" s="8">
        <f>IFERROR(F1028/D1028,"")</f>
        <v>0</v>
      </c>
      <c r="I1028" s="8">
        <f>IFERROR(G1028/E1028,"")</f>
        <v>0</v>
      </c>
    </row>
    <row r="1029" spans="1:9">
      <c r="A1029" s="4" t="s">
        <v>423</v>
      </c>
      <c r="B1029" s="6" t="s">
        <v>424</v>
      </c>
      <c r="C1029" s="6">
        <v>2024</v>
      </c>
      <c r="D1029" s="7">
        <v>8522040.380000001</v>
      </c>
      <c r="E1029" s="7">
        <v>27996311</v>
      </c>
      <c r="F1029" s="7">
        <v>340216.4</v>
      </c>
      <c r="G1029" s="7">
        <v>880939</v>
      </c>
      <c r="H1029" s="8">
        <f>IFERROR(F1029/D1029,"")</f>
        <v>0</v>
      </c>
      <c r="I1029" s="8">
        <f>IFERROR(G1029/E1029,"")</f>
        <v>0</v>
      </c>
    </row>
    <row r="1030" spans="1:9">
      <c r="A1030" s="4" t="s">
        <v>423</v>
      </c>
      <c r="B1030" s="6" t="s">
        <v>424</v>
      </c>
      <c r="C1030" s="6">
        <v>2025</v>
      </c>
      <c r="D1030" s="7">
        <v>9014410.619999999</v>
      </c>
      <c r="E1030" s="7">
        <v>31486452.5</v>
      </c>
      <c r="F1030" s="7">
        <v>523790.83</v>
      </c>
      <c r="G1030" s="7">
        <v>1794940</v>
      </c>
      <c r="H1030" s="8">
        <f>IFERROR(F1030/D1030,"")</f>
        <v>0</v>
      </c>
      <c r="I1030" s="8">
        <f>IFERROR(G1030/E1030,"")</f>
        <v>0</v>
      </c>
    </row>
    <row r="1031" spans="1:9">
      <c r="A1031" s="4" t="s">
        <v>130</v>
      </c>
      <c r="B1031" s="6" t="s">
        <v>131</v>
      </c>
      <c r="C1031" s="6">
        <v>2019</v>
      </c>
      <c r="D1031" s="7">
        <v>61776931.66</v>
      </c>
      <c r="E1031" s="7">
        <v>0</v>
      </c>
      <c r="F1031" s="7">
        <v>6921</v>
      </c>
      <c r="G1031" s="7">
        <v>9000</v>
      </c>
      <c r="H1031" s="8">
        <f>IFERROR(F1031/D1031,"")</f>
        <v>0</v>
      </c>
      <c r="I1031" s="9">
        <f>"n/a"</f>
        <v>0</v>
      </c>
    </row>
    <row r="1032" spans="1:9">
      <c r="A1032" s="4" t="s">
        <v>130</v>
      </c>
      <c r="B1032" s="6" t="s">
        <v>131</v>
      </c>
      <c r="C1032" s="6">
        <v>2020</v>
      </c>
      <c r="D1032" s="7">
        <v>47578388.54</v>
      </c>
      <c r="E1032" s="7">
        <v>0</v>
      </c>
      <c r="F1032" s="7">
        <v>31500</v>
      </c>
      <c r="G1032" s="7">
        <v>18000</v>
      </c>
      <c r="H1032" s="8">
        <f>IFERROR(F1032/D1032,"")</f>
        <v>0</v>
      </c>
      <c r="I1032" s="9">
        <f>"n/a"</f>
        <v>0</v>
      </c>
    </row>
    <row r="1033" spans="1:9">
      <c r="A1033" s="4" t="s">
        <v>130</v>
      </c>
      <c r="B1033" s="6" t="s">
        <v>131</v>
      </c>
      <c r="C1033" s="6">
        <v>2021</v>
      </c>
      <c r="D1033" s="7">
        <v>49231115.9</v>
      </c>
      <c r="E1033" s="7">
        <v>0</v>
      </c>
      <c r="F1033" s="7">
        <v>30673.71</v>
      </c>
      <c r="G1033" s="7">
        <v>17407.2</v>
      </c>
      <c r="H1033" s="8">
        <f>IFERROR(F1033/D1033,"")</f>
        <v>0</v>
      </c>
      <c r="I1033" s="9">
        <f>"n/a"</f>
        <v>0</v>
      </c>
    </row>
    <row r="1034" spans="1:9">
      <c r="A1034" s="4" t="s">
        <v>130</v>
      </c>
      <c r="B1034" s="6" t="s">
        <v>131</v>
      </c>
      <c r="C1034" s="6">
        <v>2022</v>
      </c>
      <c r="D1034" s="7">
        <v>50011556.53</v>
      </c>
      <c r="E1034" s="7">
        <v>0</v>
      </c>
      <c r="F1034" s="7">
        <v>90480</v>
      </c>
      <c r="G1034" s="7">
        <v>92000</v>
      </c>
      <c r="H1034" s="8">
        <f>IFERROR(F1034/D1034,"")</f>
        <v>0</v>
      </c>
      <c r="I1034" s="9">
        <f>"n/a"</f>
        <v>0</v>
      </c>
    </row>
    <row r="1035" spans="1:9">
      <c r="A1035" s="4" t="s">
        <v>130</v>
      </c>
      <c r="B1035" s="6" t="s">
        <v>131</v>
      </c>
      <c r="C1035" s="6">
        <v>2023</v>
      </c>
      <c r="D1035" s="7">
        <v>65108085.52</v>
      </c>
      <c r="E1035" s="7">
        <v>0</v>
      </c>
      <c r="F1035" s="7">
        <v>60669.37</v>
      </c>
      <c r="G1035" s="7">
        <v>79250</v>
      </c>
      <c r="H1035" s="8">
        <f>IFERROR(F1035/D1035,"")</f>
        <v>0</v>
      </c>
      <c r="I1035" s="9">
        <f>"n/a"</f>
        <v>0</v>
      </c>
    </row>
    <row r="1036" spans="1:9">
      <c r="A1036" s="4" t="s">
        <v>130</v>
      </c>
      <c r="B1036" s="6" t="s">
        <v>131</v>
      </c>
      <c r="C1036" s="6">
        <v>2024</v>
      </c>
      <c r="D1036" s="7">
        <v>60873488.76</v>
      </c>
      <c r="E1036" s="7">
        <v>0</v>
      </c>
      <c r="F1036" s="7">
        <v>62255.19</v>
      </c>
      <c r="G1036" s="7">
        <v>57100</v>
      </c>
      <c r="H1036" s="8">
        <f>IFERROR(F1036/D1036,"")</f>
        <v>0</v>
      </c>
      <c r="I1036" s="9">
        <f>"n/a"</f>
        <v>0</v>
      </c>
    </row>
    <row r="1037" spans="1:9">
      <c r="A1037" s="4" t="s">
        <v>425</v>
      </c>
      <c r="B1037" s="6" t="s">
        <v>426</v>
      </c>
      <c r="C1037" s="6">
        <v>2019</v>
      </c>
      <c r="D1037" s="7">
        <v>45862609.548</v>
      </c>
      <c r="E1037" s="7">
        <v>0</v>
      </c>
      <c r="F1037" s="7">
        <v>69101.88499999999</v>
      </c>
      <c r="G1037" s="7">
        <v>219962</v>
      </c>
      <c r="H1037" s="8">
        <f>IFERROR(F1037/D1037,"")</f>
        <v>0</v>
      </c>
      <c r="I1037" s="9">
        <f>"n/a"</f>
        <v>0</v>
      </c>
    </row>
    <row r="1038" spans="1:9">
      <c r="A1038" s="4" t="s">
        <v>425</v>
      </c>
      <c r="B1038" s="6" t="s">
        <v>426</v>
      </c>
      <c r="C1038" s="6">
        <v>2020</v>
      </c>
      <c r="D1038" s="7">
        <v>32327594.662</v>
      </c>
      <c r="E1038" s="7">
        <v>0</v>
      </c>
      <c r="F1038" s="7">
        <v>290182.76</v>
      </c>
      <c r="G1038" s="7">
        <v>1256970</v>
      </c>
      <c r="H1038" s="8">
        <f>IFERROR(F1038/D1038,"")</f>
        <v>0</v>
      </c>
      <c r="I1038" s="9">
        <f>"n/a"</f>
        <v>0</v>
      </c>
    </row>
    <row r="1039" spans="1:9">
      <c r="A1039" s="4" t="s">
        <v>425</v>
      </c>
      <c r="B1039" s="6" t="s">
        <v>426</v>
      </c>
      <c r="C1039" s="6">
        <v>2021</v>
      </c>
      <c r="D1039" s="7">
        <v>32200501.726</v>
      </c>
      <c r="E1039" s="7">
        <v>0</v>
      </c>
      <c r="F1039" s="7">
        <v>126086.02</v>
      </c>
      <c r="G1039" s="7">
        <v>254823</v>
      </c>
      <c r="H1039" s="8">
        <f>IFERROR(F1039/D1039,"")</f>
        <v>0</v>
      </c>
      <c r="I1039" s="9">
        <f>"n/a"</f>
        <v>0</v>
      </c>
    </row>
    <row r="1040" spans="1:9">
      <c r="A1040" s="4" t="s">
        <v>425</v>
      </c>
      <c r="B1040" s="6" t="s">
        <v>426</v>
      </c>
      <c r="C1040" s="6">
        <v>2022</v>
      </c>
      <c r="D1040" s="7">
        <v>80883949.619</v>
      </c>
      <c r="E1040" s="7">
        <v>198799448.11</v>
      </c>
      <c r="F1040" s="7">
        <v>1837178.22</v>
      </c>
      <c r="G1040" s="7">
        <v>3365404</v>
      </c>
      <c r="H1040" s="8">
        <f>IFERROR(F1040/D1040,"")</f>
        <v>0</v>
      </c>
      <c r="I1040" s="8">
        <f>IFERROR(G1040/E1040,"")</f>
        <v>0</v>
      </c>
    </row>
    <row r="1041" spans="1:9">
      <c r="A1041" s="4" t="s">
        <v>425</v>
      </c>
      <c r="B1041" s="6" t="s">
        <v>426</v>
      </c>
      <c r="C1041" s="6">
        <v>2023</v>
      </c>
      <c r="D1041" s="7">
        <v>58071816.382</v>
      </c>
      <c r="E1041" s="7">
        <v>157984175.18</v>
      </c>
      <c r="F1041" s="7">
        <v>9136.718999999999</v>
      </c>
      <c r="G1041" s="7">
        <v>22055</v>
      </c>
      <c r="H1041" s="8">
        <f>IFERROR(F1041/D1041,"")</f>
        <v>0</v>
      </c>
      <c r="I1041" s="8">
        <f>IFERROR(G1041/E1041,"")</f>
        <v>0</v>
      </c>
    </row>
    <row r="1042" spans="1:9">
      <c r="A1042" s="4" t="s">
        <v>89</v>
      </c>
      <c r="B1042" s="6" t="s">
        <v>90</v>
      </c>
      <c r="C1042" s="6">
        <v>2019</v>
      </c>
      <c r="D1042" s="7">
        <v>83111320.212</v>
      </c>
      <c r="E1042" s="7">
        <v>0</v>
      </c>
      <c r="F1042" s="7">
        <v>14332.327</v>
      </c>
      <c r="G1042" s="7">
        <v>3220</v>
      </c>
      <c r="H1042" s="8">
        <f>IFERROR(F1042/D1042,"")</f>
        <v>0</v>
      </c>
      <c r="I1042" s="9">
        <f>"n/a"</f>
        <v>0</v>
      </c>
    </row>
    <row r="1043" spans="1:9">
      <c r="A1043" s="4" t="s">
        <v>89</v>
      </c>
      <c r="B1043" s="6" t="s">
        <v>90</v>
      </c>
      <c r="C1043" s="6">
        <v>2020</v>
      </c>
      <c r="D1043" s="7">
        <v>72876797.661</v>
      </c>
      <c r="E1043" s="7">
        <v>0</v>
      </c>
      <c r="F1043" s="7">
        <v>16108.651</v>
      </c>
      <c r="G1043" s="7">
        <v>1135</v>
      </c>
      <c r="H1043" s="8">
        <f>IFERROR(F1043/D1043,"")</f>
        <v>0</v>
      </c>
      <c r="I1043" s="9">
        <f>"n/a"</f>
        <v>0</v>
      </c>
    </row>
    <row r="1044" spans="1:9">
      <c r="A1044" s="4" t="s">
        <v>89</v>
      </c>
      <c r="B1044" s="6" t="s">
        <v>90</v>
      </c>
      <c r="C1044" s="6">
        <v>2021</v>
      </c>
      <c r="D1044" s="7">
        <v>64503196.449</v>
      </c>
      <c r="E1044" s="7">
        <v>0</v>
      </c>
      <c r="F1044" s="7">
        <v>271933.066</v>
      </c>
      <c r="G1044" s="7">
        <v>93974</v>
      </c>
      <c r="H1044" s="8">
        <f>IFERROR(F1044/D1044,"")</f>
        <v>0</v>
      </c>
      <c r="I1044" s="9">
        <f>"n/a"</f>
        <v>0</v>
      </c>
    </row>
    <row r="1045" spans="1:9">
      <c r="A1045" s="4" t="s">
        <v>89</v>
      </c>
      <c r="B1045" s="6" t="s">
        <v>90</v>
      </c>
      <c r="C1045" s="6">
        <v>2022</v>
      </c>
      <c r="D1045" s="7">
        <v>118585769.966</v>
      </c>
      <c r="E1045" s="7">
        <v>0</v>
      </c>
      <c r="F1045" s="7">
        <v>744316.564</v>
      </c>
      <c r="G1045" s="7">
        <v>0</v>
      </c>
      <c r="H1045" s="8">
        <f>IFERROR(F1045/D1045,"")</f>
        <v>0</v>
      </c>
      <c r="I1045" s="9">
        <f>"n/a"</f>
        <v>0</v>
      </c>
    </row>
    <row r="1046" spans="1:9">
      <c r="A1046" s="4" t="s">
        <v>89</v>
      </c>
      <c r="B1046" s="6" t="s">
        <v>90</v>
      </c>
      <c r="C1046" s="6">
        <v>2023</v>
      </c>
      <c r="D1046" s="7">
        <v>118674794.369</v>
      </c>
      <c r="E1046" s="7">
        <v>0</v>
      </c>
      <c r="F1046" s="7">
        <v>95634.902</v>
      </c>
      <c r="G1046" s="7">
        <v>82304</v>
      </c>
      <c r="H1046" s="8">
        <f>IFERROR(F1046/D1046,"")</f>
        <v>0</v>
      </c>
      <c r="I1046" s="9">
        <f>"n/a"</f>
        <v>0</v>
      </c>
    </row>
    <row r="1047" spans="1:9">
      <c r="A1047" s="4" t="s">
        <v>89</v>
      </c>
      <c r="B1047" s="6" t="s">
        <v>90</v>
      </c>
      <c r="C1047" s="6">
        <v>2024</v>
      </c>
      <c r="D1047" s="7">
        <v>92499002.426</v>
      </c>
      <c r="E1047" s="7">
        <v>0</v>
      </c>
      <c r="F1047" s="7">
        <v>170970.645</v>
      </c>
      <c r="G1047" s="7">
        <v>99844</v>
      </c>
      <c r="H1047" s="8">
        <f>IFERROR(F1047/D1047,"")</f>
        <v>0</v>
      </c>
      <c r="I1047" s="9">
        <f>"n/a"</f>
        <v>0</v>
      </c>
    </row>
    <row r="1048" spans="1:9">
      <c r="A1048" s="4" t="s">
        <v>89</v>
      </c>
      <c r="B1048" s="6" t="s">
        <v>90</v>
      </c>
      <c r="C1048" s="6">
        <v>2025</v>
      </c>
      <c r="D1048" s="7">
        <v>136229694.125</v>
      </c>
      <c r="E1048" s="7">
        <v>0</v>
      </c>
      <c r="F1048" s="7">
        <v>94000.492</v>
      </c>
      <c r="G1048" s="7">
        <v>259393</v>
      </c>
      <c r="H1048" s="8">
        <f>IFERROR(F1048/D1048,"")</f>
        <v>0</v>
      </c>
      <c r="I1048" s="9">
        <f>"n/a"</f>
        <v>0</v>
      </c>
    </row>
    <row r="1049" spans="1:9">
      <c r="A1049" s="4" t="s">
        <v>427</v>
      </c>
      <c r="B1049" s="6" t="s">
        <v>428</v>
      </c>
      <c r="C1049" s="6">
        <v>2019</v>
      </c>
      <c r="D1049" s="7">
        <v>15669697.68</v>
      </c>
      <c r="E1049" s="7">
        <v>48990284</v>
      </c>
      <c r="F1049" s="7">
        <v>2436932.94</v>
      </c>
      <c r="G1049" s="7">
        <v>7601648</v>
      </c>
      <c r="H1049" s="8">
        <f>IFERROR(F1049/D1049,"")</f>
        <v>0</v>
      </c>
      <c r="I1049" s="8">
        <f>IFERROR(G1049/E1049,"")</f>
        <v>0</v>
      </c>
    </row>
    <row r="1050" spans="1:9">
      <c r="A1050" s="4" t="s">
        <v>427</v>
      </c>
      <c r="B1050" s="6" t="s">
        <v>428</v>
      </c>
      <c r="C1050" s="6">
        <v>2020</v>
      </c>
      <c r="D1050" s="7">
        <v>10324481.25</v>
      </c>
      <c r="E1050" s="7">
        <v>34230314</v>
      </c>
      <c r="F1050" s="7">
        <v>2038743.24</v>
      </c>
      <c r="G1050" s="7">
        <v>6904738</v>
      </c>
      <c r="H1050" s="8">
        <f>IFERROR(F1050/D1050,"")</f>
        <v>0</v>
      </c>
      <c r="I1050" s="8">
        <f>IFERROR(G1050/E1050,"")</f>
        <v>0</v>
      </c>
    </row>
    <row r="1051" spans="1:9">
      <c r="A1051" s="4" t="s">
        <v>427</v>
      </c>
      <c r="B1051" s="6" t="s">
        <v>428</v>
      </c>
      <c r="C1051" s="6">
        <v>2021</v>
      </c>
      <c r="D1051" s="7">
        <v>15009717</v>
      </c>
      <c r="E1051" s="7">
        <v>46505968</v>
      </c>
      <c r="F1051" s="7">
        <v>4177468</v>
      </c>
      <c r="G1051" s="7">
        <v>12735051</v>
      </c>
      <c r="H1051" s="8">
        <f>IFERROR(F1051/D1051,"")</f>
        <v>0</v>
      </c>
      <c r="I1051" s="8">
        <f>IFERROR(G1051/E1051,"")</f>
        <v>0</v>
      </c>
    </row>
    <row r="1052" spans="1:9">
      <c r="A1052" s="4" t="s">
        <v>427</v>
      </c>
      <c r="B1052" s="6" t="s">
        <v>428</v>
      </c>
      <c r="C1052" s="6">
        <v>2022</v>
      </c>
      <c r="D1052" s="7">
        <v>28445760.84</v>
      </c>
      <c r="E1052" s="7">
        <v>66466766.36</v>
      </c>
      <c r="F1052" s="7">
        <v>7615060.87</v>
      </c>
      <c r="G1052" s="7">
        <v>21064937.5</v>
      </c>
      <c r="H1052" s="8">
        <f>IFERROR(F1052/D1052,"")</f>
        <v>0</v>
      </c>
      <c r="I1052" s="8">
        <f>IFERROR(G1052/E1052,"")</f>
        <v>0</v>
      </c>
    </row>
    <row r="1053" spans="1:9">
      <c r="A1053" s="4" t="s">
        <v>427</v>
      </c>
      <c r="B1053" s="6" t="s">
        <v>428</v>
      </c>
      <c r="C1053" s="6">
        <v>2023</v>
      </c>
      <c r="D1053" s="7">
        <v>29147874.95</v>
      </c>
      <c r="E1053" s="7">
        <v>67379800.64</v>
      </c>
      <c r="F1053" s="7">
        <v>11370421.18</v>
      </c>
      <c r="G1053" s="7">
        <v>28886644.62</v>
      </c>
      <c r="H1053" s="8">
        <f>IFERROR(F1053/D1053,"")</f>
        <v>0</v>
      </c>
      <c r="I1053" s="8">
        <f>IFERROR(G1053/E1053,"")</f>
        <v>0</v>
      </c>
    </row>
    <row r="1054" spans="1:9">
      <c r="A1054" s="4" t="s">
        <v>427</v>
      </c>
      <c r="B1054" s="6" t="s">
        <v>428</v>
      </c>
      <c r="C1054" s="6">
        <v>2024</v>
      </c>
      <c r="D1054" s="7">
        <v>54085776.591</v>
      </c>
      <c r="E1054" s="7">
        <v>138997448.75</v>
      </c>
      <c r="F1054" s="7">
        <v>14875465.615</v>
      </c>
      <c r="G1054" s="7">
        <v>36030800</v>
      </c>
      <c r="H1054" s="8">
        <f>IFERROR(F1054/D1054,"")</f>
        <v>0</v>
      </c>
      <c r="I1054" s="8">
        <f>IFERROR(G1054/E1054,"")</f>
        <v>0</v>
      </c>
    </row>
    <row r="1055" spans="1:9">
      <c r="A1055" s="4" t="s">
        <v>427</v>
      </c>
      <c r="B1055" s="6" t="s">
        <v>428</v>
      </c>
      <c r="C1055" s="6">
        <v>2025</v>
      </c>
      <c r="D1055" s="7">
        <v>56291208.52</v>
      </c>
      <c r="E1055" s="7">
        <v>0</v>
      </c>
      <c r="F1055" s="7">
        <v>33614034.977</v>
      </c>
      <c r="G1055" s="7">
        <v>83958336.2</v>
      </c>
      <c r="H1055" s="8">
        <f>IFERROR(F1055/D1055,"")</f>
        <v>0</v>
      </c>
      <c r="I1055" s="9">
        <f>"n/a"</f>
        <v>0</v>
      </c>
    </row>
    <row r="1056" spans="1:9">
      <c r="A1056" s="4" t="s">
        <v>429</v>
      </c>
      <c r="B1056" s="6" t="s">
        <v>430</v>
      </c>
      <c r="C1056" s="6">
        <v>2019</v>
      </c>
      <c r="D1056" s="7">
        <v>1388497.46</v>
      </c>
      <c r="E1056" s="7">
        <v>0</v>
      </c>
      <c r="F1056" s="7">
        <v>115992</v>
      </c>
      <c r="G1056" s="7">
        <v>324000</v>
      </c>
      <c r="H1056" s="8">
        <f>IFERROR(F1056/D1056,"")</f>
        <v>0</v>
      </c>
      <c r="I1056" s="9">
        <f>"n/a"</f>
        <v>0</v>
      </c>
    </row>
    <row r="1057" spans="1:9">
      <c r="A1057" s="4" t="s">
        <v>429</v>
      </c>
      <c r="B1057" s="6" t="s">
        <v>430</v>
      </c>
      <c r="C1057" s="6">
        <v>2020</v>
      </c>
      <c r="D1057" s="7">
        <v>700192.95</v>
      </c>
      <c r="E1057" s="7">
        <v>0</v>
      </c>
      <c r="F1057" s="7">
        <v>12895.68</v>
      </c>
      <c r="G1057" s="7">
        <v>42000</v>
      </c>
      <c r="H1057" s="8">
        <f>IFERROR(F1057/D1057,"")</f>
        <v>0</v>
      </c>
      <c r="I1057" s="9">
        <f>"n/a"</f>
        <v>0</v>
      </c>
    </row>
    <row r="1058" spans="1:9">
      <c r="A1058" s="4" t="s">
        <v>429</v>
      </c>
      <c r="B1058" s="6" t="s">
        <v>430</v>
      </c>
      <c r="C1058" s="6">
        <v>2021</v>
      </c>
      <c r="D1058" s="7">
        <v>709693.65</v>
      </c>
      <c r="E1058" s="7">
        <v>0</v>
      </c>
      <c r="F1058" s="7">
        <v>0</v>
      </c>
      <c r="G1058" s="7">
        <v>0</v>
      </c>
      <c r="H1058" s="8">
        <f>IFERROR(F1058/D1058,"")</f>
        <v>0</v>
      </c>
      <c r="I1058" s="9">
        <f>"n/a"</f>
        <v>0</v>
      </c>
    </row>
    <row r="1059" spans="1:9">
      <c r="A1059" s="4" t="s">
        <v>429</v>
      </c>
      <c r="B1059" s="6" t="s">
        <v>430</v>
      </c>
      <c r="C1059" s="6">
        <v>2022</v>
      </c>
      <c r="D1059" s="7">
        <v>1648779.5</v>
      </c>
      <c r="E1059" s="7">
        <v>0</v>
      </c>
      <c r="F1059" s="7">
        <v>287172.63</v>
      </c>
      <c r="G1059" s="7">
        <v>461000</v>
      </c>
      <c r="H1059" s="8">
        <f>IFERROR(F1059/D1059,"")</f>
        <v>0</v>
      </c>
      <c r="I1059" s="9">
        <f>"n/a"</f>
        <v>0</v>
      </c>
    </row>
    <row r="1060" spans="1:9">
      <c r="A1060" s="4" t="s">
        <v>429</v>
      </c>
      <c r="B1060" s="6" t="s">
        <v>430</v>
      </c>
      <c r="C1060" s="6">
        <v>2023</v>
      </c>
      <c r="D1060" s="7">
        <v>1122568.29</v>
      </c>
      <c r="E1060" s="7">
        <v>0</v>
      </c>
      <c r="F1060" s="7">
        <v>901529.6</v>
      </c>
      <c r="G1060" s="7">
        <v>1715500</v>
      </c>
      <c r="H1060" s="8">
        <f>IFERROR(F1060/D1060,"")</f>
        <v>0</v>
      </c>
      <c r="I1060" s="9">
        <f>"n/a"</f>
        <v>0</v>
      </c>
    </row>
    <row r="1061" spans="1:9">
      <c r="A1061" s="4" t="s">
        <v>429</v>
      </c>
      <c r="B1061" s="6" t="s">
        <v>430</v>
      </c>
      <c r="C1061" s="6">
        <v>2024</v>
      </c>
      <c r="D1061" s="7">
        <v>1139411</v>
      </c>
      <c r="E1061" s="7">
        <v>2998833.113</v>
      </c>
      <c r="F1061" s="7">
        <v>116040</v>
      </c>
      <c r="G1061" s="7">
        <v>276250</v>
      </c>
      <c r="H1061" s="8">
        <f>IFERROR(F1061/D1061,"")</f>
        <v>0</v>
      </c>
      <c r="I1061" s="8">
        <f>IFERROR(G1061/E1061,"")</f>
        <v>0</v>
      </c>
    </row>
    <row r="1062" spans="1:9">
      <c r="A1062" s="4" t="s">
        <v>429</v>
      </c>
      <c r="B1062" s="6" t="s">
        <v>430</v>
      </c>
      <c r="C1062" s="6">
        <v>2025</v>
      </c>
      <c r="D1062" s="7">
        <v>1153631</v>
      </c>
      <c r="E1062" s="7">
        <v>3258034.599</v>
      </c>
      <c r="F1062" s="7">
        <v>802126</v>
      </c>
      <c r="G1062" s="7">
        <v>2229000</v>
      </c>
      <c r="H1062" s="8">
        <f>IFERROR(F1062/D1062,"")</f>
        <v>0</v>
      </c>
      <c r="I1062" s="8">
        <f>IFERROR(G1062/E1062,"")</f>
        <v>0</v>
      </c>
    </row>
    <row r="1063" spans="1:9">
      <c r="A1063" s="4" t="s">
        <v>431</v>
      </c>
      <c r="B1063" s="6" t="s">
        <v>432</v>
      </c>
      <c r="C1063" s="6">
        <v>2019</v>
      </c>
      <c r="D1063" s="7">
        <v>53960.99</v>
      </c>
      <c r="E1063" s="7">
        <v>0</v>
      </c>
      <c r="F1063" s="7">
        <v>5804</v>
      </c>
      <c r="G1063" s="7">
        <v>5650.5</v>
      </c>
      <c r="H1063" s="8">
        <f>IFERROR(F1063/D1063,"")</f>
        <v>0</v>
      </c>
      <c r="I1063" s="9">
        <f>"n/a"</f>
        <v>0</v>
      </c>
    </row>
    <row r="1064" spans="1:9">
      <c r="A1064" s="4" t="s">
        <v>431</v>
      </c>
      <c r="B1064" s="6" t="s">
        <v>432</v>
      </c>
      <c r="C1064" s="6">
        <v>2020</v>
      </c>
      <c r="D1064" s="7">
        <v>187963</v>
      </c>
      <c r="E1064" s="7">
        <v>81049.182</v>
      </c>
      <c r="F1064" s="7">
        <v>270</v>
      </c>
      <c r="G1064" s="7">
        <v>200</v>
      </c>
      <c r="H1064" s="8">
        <f>IFERROR(F1064/D1064,"")</f>
        <v>0</v>
      </c>
      <c r="I1064" s="8">
        <f>IFERROR(G1064/E1064,"")</f>
        <v>0</v>
      </c>
    </row>
    <row r="1065" spans="1:9">
      <c r="A1065" s="4" t="s">
        <v>431</v>
      </c>
      <c r="B1065" s="6" t="s">
        <v>432</v>
      </c>
      <c r="C1065" s="6">
        <v>2021</v>
      </c>
      <c r="D1065" s="7">
        <v>3713274.97</v>
      </c>
      <c r="E1065" s="7">
        <v>15082599.398</v>
      </c>
      <c r="F1065" s="7">
        <v>53049</v>
      </c>
      <c r="G1065" s="7">
        <v>215474.701</v>
      </c>
      <c r="H1065" s="8">
        <f>IFERROR(F1065/D1065,"")</f>
        <v>0</v>
      </c>
      <c r="I1065" s="8">
        <f>IFERROR(G1065/E1065,"")</f>
        <v>0</v>
      </c>
    </row>
    <row r="1066" spans="1:9">
      <c r="A1066" s="4" t="s">
        <v>431</v>
      </c>
      <c r="B1066" s="6" t="s">
        <v>432</v>
      </c>
      <c r="C1066" s="6">
        <v>2022</v>
      </c>
      <c r="D1066" s="7">
        <v>1427893</v>
      </c>
      <c r="E1066" s="7">
        <v>5170748.5</v>
      </c>
      <c r="F1066" s="7">
        <v>9703</v>
      </c>
      <c r="G1066" s="7">
        <v>5525</v>
      </c>
      <c r="H1066" s="8">
        <f>IFERROR(F1066/D1066,"")</f>
        <v>0</v>
      </c>
      <c r="I1066" s="8">
        <f>IFERROR(G1066/E1066,"")</f>
        <v>0</v>
      </c>
    </row>
    <row r="1067" spans="1:9">
      <c r="A1067" s="4" t="s">
        <v>431</v>
      </c>
      <c r="B1067" s="6" t="s">
        <v>432</v>
      </c>
      <c r="C1067" s="6">
        <v>2023</v>
      </c>
      <c r="D1067" s="7">
        <v>6639325.99</v>
      </c>
      <c r="E1067" s="7">
        <v>0</v>
      </c>
      <c r="F1067" s="7">
        <v>1000</v>
      </c>
      <c r="G1067" s="7">
        <v>500</v>
      </c>
      <c r="H1067" s="8">
        <f>IFERROR(F1067/D1067,"")</f>
        <v>0</v>
      </c>
      <c r="I1067" s="9">
        <f>"n/a"</f>
        <v>0</v>
      </c>
    </row>
    <row r="1068" spans="1:9">
      <c r="A1068" s="4" t="s">
        <v>431</v>
      </c>
      <c r="B1068" s="6" t="s">
        <v>432</v>
      </c>
      <c r="C1068" s="6">
        <v>2024</v>
      </c>
      <c r="D1068" s="7">
        <v>5110570.97</v>
      </c>
      <c r="E1068" s="7">
        <v>0</v>
      </c>
      <c r="F1068" s="7">
        <v>4866.99</v>
      </c>
      <c r="G1068" s="7">
        <v>3550</v>
      </c>
      <c r="H1068" s="8">
        <f>IFERROR(F1068/D1068,"")</f>
        <v>0</v>
      </c>
      <c r="I1068" s="9">
        <f>"n/a"</f>
        <v>0</v>
      </c>
    </row>
    <row r="1069" spans="1:9">
      <c r="A1069" s="4" t="s">
        <v>433</v>
      </c>
      <c r="B1069" s="6" t="s">
        <v>434</v>
      </c>
      <c r="C1069" s="6">
        <v>2019</v>
      </c>
      <c r="D1069" s="7">
        <v>152326114.12</v>
      </c>
      <c r="E1069" s="7">
        <v>626266684.262</v>
      </c>
      <c r="F1069" s="7">
        <v>36624379.9</v>
      </c>
      <c r="G1069" s="7">
        <v>150575816.206</v>
      </c>
      <c r="H1069" s="8">
        <f>IFERROR(F1069/D1069,"")</f>
        <v>0</v>
      </c>
      <c r="I1069" s="8">
        <f>IFERROR(G1069/E1069,"")</f>
        <v>0</v>
      </c>
    </row>
    <row r="1070" spans="1:9">
      <c r="A1070" s="4" t="s">
        <v>433</v>
      </c>
      <c r="B1070" s="6" t="s">
        <v>434</v>
      </c>
      <c r="C1070" s="6">
        <v>2020</v>
      </c>
      <c r="D1070" s="7">
        <v>101741315.378</v>
      </c>
      <c r="E1070" s="7">
        <v>407319005.786</v>
      </c>
      <c r="F1070" s="7">
        <v>33014757.136</v>
      </c>
      <c r="G1070" s="7">
        <v>132173817.517</v>
      </c>
      <c r="H1070" s="8">
        <f>IFERROR(F1070/D1070,"")</f>
        <v>0</v>
      </c>
      <c r="I1070" s="8">
        <f>IFERROR(G1070/E1070,"")</f>
        <v>0</v>
      </c>
    </row>
    <row r="1071" spans="1:9">
      <c r="A1071" s="4" t="s">
        <v>433</v>
      </c>
      <c r="B1071" s="6" t="s">
        <v>434</v>
      </c>
      <c r="C1071" s="6">
        <v>2021</v>
      </c>
      <c r="D1071" s="7">
        <v>137165867.197</v>
      </c>
      <c r="E1071" s="7">
        <v>555732453.665</v>
      </c>
      <c r="F1071" s="7">
        <v>30077798.344</v>
      </c>
      <c r="G1071" s="7">
        <v>121861283.832</v>
      </c>
      <c r="H1071" s="8">
        <f>IFERROR(F1071/D1071,"")</f>
        <v>0</v>
      </c>
      <c r="I1071" s="8">
        <f>IFERROR(G1071/E1071,"")</f>
        <v>0</v>
      </c>
    </row>
    <row r="1072" spans="1:9">
      <c r="A1072" s="4" t="s">
        <v>433</v>
      </c>
      <c r="B1072" s="6" t="s">
        <v>434</v>
      </c>
      <c r="C1072" s="6">
        <v>2022</v>
      </c>
      <c r="D1072" s="7">
        <v>249710935.131</v>
      </c>
      <c r="E1072" s="7">
        <v>613607545.73</v>
      </c>
      <c r="F1072" s="7">
        <v>95201462.154</v>
      </c>
      <c r="G1072" s="7">
        <v>233935832.693</v>
      </c>
      <c r="H1072" s="8">
        <f>IFERROR(F1072/D1072,"")</f>
        <v>0</v>
      </c>
      <c r="I1072" s="8">
        <f>IFERROR(G1072/E1072,"")</f>
        <v>0</v>
      </c>
    </row>
    <row r="1073" spans="1:9">
      <c r="A1073" s="4" t="s">
        <v>433</v>
      </c>
      <c r="B1073" s="6" t="s">
        <v>434</v>
      </c>
      <c r="C1073" s="6">
        <v>2023</v>
      </c>
      <c r="D1073" s="7">
        <v>191352931.029</v>
      </c>
      <c r="E1073" s="7">
        <v>444713560.191</v>
      </c>
      <c r="F1073" s="7">
        <v>56109505.911</v>
      </c>
      <c r="G1073" s="7">
        <v>130401232.948</v>
      </c>
      <c r="H1073" s="8">
        <f>IFERROR(F1073/D1073,"")</f>
        <v>0</v>
      </c>
      <c r="I1073" s="8">
        <f>IFERROR(G1073/E1073,"")</f>
        <v>0</v>
      </c>
    </row>
    <row r="1074" spans="1:9">
      <c r="A1074" s="4" t="s">
        <v>435</v>
      </c>
      <c r="B1074" s="6" t="s">
        <v>436</v>
      </c>
      <c r="C1074" s="6">
        <v>2019</v>
      </c>
      <c r="D1074" s="7">
        <v>968433.233</v>
      </c>
      <c r="E1074" s="7">
        <v>11921038</v>
      </c>
      <c r="F1074" s="7">
        <v>651552.501</v>
      </c>
      <c r="G1074" s="7">
        <v>7843860</v>
      </c>
      <c r="H1074" s="8">
        <f>IFERROR(F1074/D1074,"")</f>
        <v>0</v>
      </c>
      <c r="I1074" s="8">
        <f>IFERROR(G1074/E1074,"")</f>
        <v>0</v>
      </c>
    </row>
    <row r="1075" spans="1:9">
      <c r="A1075" s="4" t="s">
        <v>435</v>
      </c>
      <c r="B1075" s="6" t="s">
        <v>436</v>
      </c>
      <c r="C1075" s="6">
        <v>2023</v>
      </c>
      <c r="D1075" s="7">
        <v>894083.675</v>
      </c>
      <c r="E1075" s="7">
        <v>6419843</v>
      </c>
      <c r="F1075" s="7">
        <v>521266.205</v>
      </c>
      <c r="G1075" s="7">
        <v>3613833</v>
      </c>
      <c r="H1075" s="8">
        <f>IFERROR(F1075/D1075,"")</f>
        <v>0</v>
      </c>
      <c r="I1075" s="8">
        <f>IFERROR(G1075/E1075,"")</f>
        <v>0</v>
      </c>
    </row>
    <row r="1076" spans="1:9">
      <c r="A1076" s="4" t="s">
        <v>435</v>
      </c>
      <c r="B1076" s="6" t="s">
        <v>436</v>
      </c>
      <c r="C1076" s="6">
        <v>2024</v>
      </c>
      <c r="D1076" s="7">
        <v>40465.2</v>
      </c>
      <c r="E1076" s="7">
        <v>112400</v>
      </c>
      <c r="F1076" s="7">
        <v>24590</v>
      </c>
      <c r="G1076" s="7">
        <v>74000</v>
      </c>
      <c r="H1076" s="8">
        <f>IFERROR(F1076/D1076,"")</f>
        <v>0</v>
      </c>
      <c r="I1076" s="8">
        <f>IFERROR(G1076/E1076,"")</f>
        <v>0</v>
      </c>
    </row>
    <row r="1077" spans="1:9">
      <c r="A1077" s="4" t="s">
        <v>437</v>
      </c>
      <c r="B1077" s="6" t="s">
        <v>438</v>
      </c>
      <c r="C1077" s="6">
        <v>2019</v>
      </c>
      <c r="D1077" s="7">
        <v>3447031.107</v>
      </c>
      <c r="E1077" s="7">
        <v>13661186.997</v>
      </c>
      <c r="F1077" s="7">
        <v>311574.492</v>
      </c>
      <c r="G1077" s="7">
        <v>1234824.192</v>
      </c>
      <c r="H1077" s="8">
        <f>IFERROR(F1077/D1077,"")</f>
        <v>0</v>
      </c>
      <c r="I1077" s="8">
        <f>IFERROR(G1077/E1077,"")</f>
        <v>0</v>
      </c>
    </row>
    <row r="1078" spans="1:9">
      <c r="A1078" s="4" t="s">
        <v>437</v>
      </c>
      <c r="B1078" s="6" t="s">
        <v>438</v>
      </c>
      <c r="C1078" s="6">
        <v>2020</v>
      </c>
      <c r="D1078" s="7">
        <v>3480240.843</v>
      </c>
      <c r="E1078" s="7">
        <v>14618730.013</v>
      </c>
      <c r="F1078" s="7">
        <v>1021560.778</v>
      </c>
      <c r="G1078" s="7">
        <v>4291059.696</v>
      </c>
      <c r="H1078" s="8">
        <f>IFERROR(F1078/D1078,"")</f>
        <v>0</v>
      </c>
      <c r="I1078" s="8">
        <f>IFERROR(G1078/E1078,"")</f>
        <v>0</v>
      </c>
    </row>
    <row r="1079" spans="1:9">
      <c r="A1079" s="4" t="s">
        <v>437</v>
      </c>
      <c r="B1079" s="6" t="s">
        <v>438</v>
      </c>
      <c r="C1079" s="6">
        <v>2021</v>
      </c>
      <c r="D1079" s="7">
        <v>3935070.465</v>
      </c>
      <c r="E1079" s="7">
        <v>9041063.25</v>
      </c>
      <c r="F1079" s="7">
        <v>304754.285</v>
      </c>
      <c r="G1079" s="7">
        <v>542460</v>
      </c>
      <c r="H1079" s="8">
        <f>IFERROR(F1079/D1079,"")</f>
        <v>0</v>
      </c>
      <c r="I1079" s="8">
        <f>IFERROR(G1079/E1079,"")</f>
        <v>0</v>
      </c>
    </row>
    <row r="1080" spans="1:9">
      <c r="A1080" s="4" t="s">
        <v>437</v>
      </c>
      <c r="B1080" s="6" t="s">
        <v>438</v>
      </c>
      <c r="C1080" s="6">
        <v>2022</v>
      </c>
      <c r="D1080" s="7">
        <v>11104918.484</v>
      </c>
      <c r="E1080" s="7">
        <v>0</v>
      </c>
      <c r="F1080" s="7">
        <v>2295330.27</v>
      </c>
      <c r="G1080" s="7">
        <v>2901766</v>
      </c>
      <c r="H1080" s="8">
        <f>IFERROR(F1080/D1080,"")</f>
        <v>0</v>
      </c>
      <c r="I1080" s="9">
        <f>"n/a"</f>
        <v>0</v>
      </c>
    </row>
    <row r="1081" spans="1:9">
      <c r="A1081" s="4" t="s">
        <v>437</v>
      </c>
      <c r="B1081" s="6" t="s">
        <v>438</v>
      </c>
      <c r="C1081" s="6">
        <v>2023</v>
      </c>
      <c r="D1081" s="7">
        <v>9580383.457</v>
      </c>
      <c r="E1081" s="7">
        <v>16448848.94</v>
      </c>
      <c r="F1081" s="7">
        <v>2524792.536</v>
      </c>
      <c r="G1081" s="7">
        <v>4323324</v>
      </c>
      <c r="H1081" s="8">
        <f>IFERROR(F1081/D1081,"")</f>
        <v>0</v>
      </c>
      <c r="I1081" s="8">
        <f>IFERROR(G1081/E1081,"")</f>
        <v>0</v>
      </c>
    </row>
    <row r="1082" spans="1:9">
      <c r="A1082" s="4" t="s">
        <v>437</v>
      </c>
      <c r="B1082" s="6" t="s">
        <v>438</v>
      </c>
      <c r="C1082" s="6">
        <v>2024</v>
      </c>
      <c r="D1082" s="7">
        <v>6316494.086</v>
      </c>
      <c r="E1082" s="7">
        <v>13071888.8</v>
      </c>
      <c r="F1082" s="7">
        <v>338590.6</v>
      </c>
      <c r="G1082" s="7">
        <v>1271932</v>
      </c>
      <c r="H1082" s="8">
        <f>IFERROR(F1082/D1082,"")</f>
        <v>0</v>
      </c>
      <c r="I1082" s="8">
        <f>IFERROR(G1082/E1082,"")</f>
        <v>0</v>
      </c>
    </row>
    <row r="1083" spans="1:9">
      <c r="A1083" s="4" t="s">
        <v>439</v>
      </c>
      <c r="B1083" s="6" t="s">
        <v>440</v>
      </c>
      <c r="C1083" s="6">
        <v>2019</v>
      </c>
      <c r="D1083" s="7">
        <v>728061.78</v>
      </c>
      <c r="E1083" s="7">
        <v>1541979.5</v>
      </c>
      <c r="F1083" s="7">
        <v>196045.46</v>
      </c>
      <c r="G1083" s="7">
        <v>270001</v>
      </c>
      <c r="H1083" s="8">
        <f>IFERROR(F1083/D1083,"")</f>
        <v>0</v>
      </c>
      <c r="I1083" s="8">
        <f>IFERROR(G1083/E1083,"")</f>
        <v>0</v>
      </c>
    </row>
    <row r="1084" spans="1:9">
      <c r="A1084" s="4" t="s">
        <v>439</v>
      </c>
      <c r="B1084" s="6" t="s">
        <v>440</v>
      </c>
      <c r="C1084" s="6">
        <v>2020</v>
      </c>
      <c r="D1084" s="7">
        <v>1288744.39</v>
      </c>
      <c r="E1084" s="7">
        <v>0</v>
      </c>
      <c r="F1084" s="7">
        <v>782104.4300000001</v>
      </c>
      <c r="G1084" s="7">
        <v>1243000</v>
      </c>
      <c r="H1084" s="8">
        <f>IFERROR(F1084/D1084,"")</f>
        <v>0</v>
      </c>
      <c r="I1084" s="9">
        <f>"n/a"</f>
        <v>0</v>
      </c>
    </row>
    <row r="1085" spans="1:9">
      <c r="A1085" s="4" t="s">
        <v>439</v>
      </c>
      <c r="B1085" s="6" t="s">
        <v>440</v>
      </c>
      <c r="C1085" s="6">
        <v>2021</v>
      </c>
      <c r="D1085" s="7">
        <v>1686424.66</v>
      </c>
      <c r="E1085" s="7">
        <v>3990212</v>
      </c>
      <c r="F1085" s="7">
        <v>30629.29</v>
      </c>
      <c r="G1085" s="7">
        <v>77520</v>
      </c>
      <c r="H1085" s="8">
        <f>IFERROR(F1085/D1085,"")</f>
        <v>0</v>
      </c>
      <c r="I1085" s="8">
        <f>IFERROR(G1085/E1085,"")</f>
        <v>0</v>
      </c>
    </row>
    <row r="1086" spans="1:9">
      <c r="A1086" s="4" t="s">
        <v>439</v>
      </c>
      <c r="B1086" s="6" t="s">
        <v>440</v>
      </c>
      <c r="C1086" s="6">
        <v>2022</v>
      </c>
      <c r="D1086" s="7">
        <v>2596355.23</v>
      </c>
      <c r="E1086" s="7">
        <v>3612322</v>
      </c>
      <c r="F1086" s="7">
        <v>1446696.76</v>
      </c>
      <c r="G1086" s="7">
        <v>2054785</v>
      </c>
      <c r="H1086" s="8">
        <f>IFERROR(F1086/D1086,"")</f>
        <v>0</v>
      </c>
      <c r="I1086" s="8">
        <f>IFERROR(G1086/E1086,"")</f>
        <v>0</v>
      </c>
    </row>
    <row r="1087" spans="1:9">
      <c r="A1087" s="4" t="s">
        <v>439</v>
      </c>
      <c r="B1087" s="6" t="s">
        <v>440</v>
      </c>
      <c r="C1087" s="6">
        <v>2023</v>
      </c>
      <c r="D1087" s="7">
        <v>6406757.11</v>
      </c>
      <c r="E1087" s="7">
        <v>0</v>
      </c>
      <c r="F1087" s="7">
        <v>5188183.78</v>
      </c>
      <c r="G1087" s="7">
        <v>8320209</v>
      </c>
      <c r="H1087" s="8">
        <f>IFERROR(F1087/D1087,"")</f>
        <v>0</v>
      </c>
      <c r="I1087" s="9">
        <f>"n/a"</f>
        <v>0</v>
      </c>
    </row>
    <row r="1088" spans="1:9">
      <c r="A1088" s="4" t="s">
        <v>439</v>
      </c>
      <c r="B1088" s="6" t="s">
        <v>440</v>
      </c>
      <c r="C1088" s="6">
        <v>2024</v>
      </c>
      <c r="D1088" s="7">
        <v>2486764.998</v>
      </c>
      <c r="E1088" s="7">
        <v>5135768.879</v>
      </c>
      <c r="F1088" s="7">
        <v>1066664.45</v>
      </c>
      <c r="G1088" s="7">
        <v>1918075.879</v>
      </c>
      <c r="H1088" s="8">
        <f>IFERROR(F1088/D1088,"")</f>
        <v>0</v>
      </c>
      <c r="I1088" s="8">
        <f>IFERROR(G1088/E1088,"")</f>
        <v>0</v>
      </c>
    </row>
  </sheetData>
  <autoFilter ref="A4:I108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8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22.7109375" customWidth="1"/>
    <col min="2" max="5" width="16.7109375" customWidth="1"/>
    <col min="6" max="6" width="12.7109375" customWidth="1"/>
  </cols>
  <sheetData>
    <row r="1" spans="1:7">
      <c r="A1" s="1" t="s">
        <v>441</v>
      </c>
    </row>
    <row r="2" spans="1:7">
      <c r="A2" s="2" t="s">
        <v>442</v>
      </c>
    </row>
    <row r="4" spans="1:7">
      <c r="A4" s="5" t="s">
        <v>443</v>
      </c>
      <c r="B4" s="5" t="s">
        <v>444</v>
      </c>
      <c r="C4" s="5" t="s">
        <v>136</v>
      </c>
      <c r="D4" s="5" t="s">
        <v>445</v>
      </c>
      <c r="E4" s="5" t="s">
        <v>446</v>
      </c>
      <c r="F4" s="5" t="s">
        <v>47</v>
      </c>
      <c r="G4" s="5" t="s">
        <v>447</v>
      </c>
    </row>
    <row r="5" spans="1:7">
      <c r="A5" s="4" t="s">
        <v>65</v>
      </c>
      <c r="B5" s="6" t="s">
        <v>66</v>
      </c>
      <c r="C5" s="6">
        <v>2020</v>
      </c>
      <c r="D5" s="4" t="s">
        <v>62</v>
      </c>
      <c r="E5" s="6" t="s">
        <v>448</v>
      </c>
      <c r="F5" s="7">
        <v>141972657</v>
      </c>
      <c r="G5" s="7">
        <v>655844870.4450001</v>
      </c>
    </row>
    <row r="6" spans="1:7">
      <c r="A6" s="4" t="s">
        <v>65</v>
      </c>
      <c r="B6" s="6" t="s">
        <v>66</v>
      </c>
      <c r="C6" s="6">
        <v>2020</v>
      </c>
      <c r="D6" s="4" t="s">
        <v>81</v>
      </c>
      <c r="E6" s="6" t="s">
        <v>449</v>
      </c>
      <c r="F6" s="7">
        <v>76487808</v>
      </c>
      <c r="G6" s="7">
        <v>351193540</v>
      </c>
    </row>
    <row r="7" spans="1:7">
      <c r="A7" s="4" t="s">
        <v>65</v>
      </c>
      <c r="B7" s="6" t="s">
        <v>66</v>
      </c>
      <c r="C7" s="6">
        <v>2020</v>
      </c>
      <c r="D7" s="4" t="s">
        <v>104</v>
      </c>
      <c r="E7" s="6" t="s">
        <v>450</v>
      </c>
      <c r="F7" s="7">
        <v>64095655</v>
      </c>
      <c r="G7" s="7">
        <v>260157673</v>
      </c>
    </row>
    <row r="8" spans="1:7">
      <c r="A8" s="4" t="s">
        <v>65</v>
      </c>
      <c r="B8" s="6" t="s">
        <v>66</v>
      </c>
      <c r="C8" s="6">
        <v>2020</v>
      </c>
      <c r="D8" s="4" t="s">
        <v>377</v>
      </c>
      <c r="E8" s="6" t="s">
        <v>451</v>
      </c>
      <c r="F8" s="7">
        <v>3376914</v>
      </c>
      <c r="G8" s="7">
        <v>15677775</v>
      </c>
    </row>
    <row r="9" spans="1:7">
      <c r="A9" s="4" t="s">
        <v>65</v>
      </c>
      <c r="B9" s="6" t="s">
        <v>66</v>
      </c>
      <c r="C9" s="6">
        <v>2020</v>
      </c>
      <c r="D9" s="4" t="s">
        <v>203</v>
      </c>
      <c r="E9" s="6" t="s">
        <v>452</v>
      </c>
      <c r="F9" s="7">
        <v>819201</v>
      </c>
      <c r="G9" s="7">
        <v>3069703</v>
      </c>
    </row>
    <row r="10" spans="1:7">
      <c r="A10" s="4" t="s">
        <v>65</v>
      </c>
      <c r="B10" s="6" t="s">
        <v>66</v>
      </c>
      <c r="C10" s="6">
        <v>2020</v>
      </c>
      <c r="D10" s="4" t="s">
        <v>96</v>
      </c>
      <c r="E10" s="6" t="s">
        <v>453</v>
      </c>
      <c r="F10" s="7">
        <v>411539</v>
      </c>
      <c r="G10" s="7">
        <v>1498000</v>
      </c>
    </row>
    <row r="11" spans="1:7">
      <c r="A11" s="4" t="s">
        <v>65</v>
      </c>
      <c r="B11" s="6" t="s">
        <v>66</v>
      </c>
      <c r="C11" s="6">
        <v>2020</v>
      </c>
      <c r="D11" s="4" t="s">
        <v>115</v>
      </c>
      <c r="E11" s="6" t="s">
        <v>454</v>
      </c>
      <c r="F11" s="7">
        <v>146367</v>
      </c>
      <c r="G11" s="7">
        <v>567820</v>
      </c>
    </row>
    <row r="12" spans="1:7">
      <c r="A12" s="4" t="s">
        <v>65</v>
      </c>
      <c r="B12" s="6" t="s">
        <v>66</v>
      </c>
      <c r="C12" s="6">
        <v>2020</v>
      </c>
      <c r="D12" s="4" t="s">
        <v>121</v>
      </c>
      <c r="E12" s="6" t="s">
        <v>455</v>
      </c>
      <c r="F12" s="7">
        <v>104101</v>
      </c>
      <c r="G12" s="7">
        <v>45150</v>
      </c>
    </row>
    <row r="13" spans="1:7">
      <c r="A13" s="4" t="s">
        <v>65</v>
      </c>
      <c r="B13" s="6" t="s">
        <v>66</v>
      </c>
      <c r="C13" s="6">
        <v>2020</v>
      </c>
      <c r="D13" s="4" t="s">
        <v>205</v>
      </c>
      <c r="E13" s="6" t="s">
        <v>456</v>
      </c>
      <c r="F13" s="7">
        <v>60527</v>
      </c>
      <c r="G13" s="7">
        <v>299200</v>
      </c>
    </row>
    <row r="14" spans="1:7">
      <c r="A14" s="4" t="s">
        <v>65</v>
      </c>
      <c r="B14" s="6" t="s">
        <v>66</v>
      </c>
      <c r="C14" s="6">
        <v>2020</v>
      </c>
      <c r="D14" s="4" t="s">
        <v>185</v>
      </c>
      <c r="E14" s="6" t="s">
        <v>457</v>
      </c>
      <c r="F14" s="7">
        <v>57710</v>
      </c>
      <c r="G14" s="7">
        <v>180000</v>
      </c>
    </row>
    <row r="15" spans="1:7">
      <c r="A15" s="4" t="s">
        <v>65</v>
      </c>
      <c r="B15" s="6" t="s">
        <v>66</v>
      </c>
      <c r="C15" s="6">
        <v>2020</v>
      </c>
      <c r="D15" s="4" t="s">
        <v>93</v>
      </c>
      <c r="E15" s="6" t="s">
        <v>458</v>
      </c>
      <c r="F15" s="7">
        <v>48640</v>
      </c>
      <c r="G15" s="7">
        <v>29142.715</v>
      </c>
    </row>
    <row r="16" spans="1:7">
      <c r="A16" s="4" t="s">
        <v>65</v>
      </c>
      <c r="B16" s="6" t="s">
        <v>66</v>
      </c>
      <c r="C16" s="6">
        <v>2020</v>
      </c>
      <c r="D16" s="4" t="s">
        <v>89</v>
      </c>
      <c r="E16" s="6" t="s">
        <v>459</v>
      </c>
      <c r="F16" s="7">
        <v>40542</v>
      </c>
      <c r="G16" s="7">
        <v>157500</v>
      </c>
    </row>
    <row r="17" spans="1:7">
      <c r="A17" s="4" t="s">
        <v>65</v>
      </c>
      <c r="B17" s="6" t="s">
        <v>66</v>
      </c>
      <c r="C17" s="6">
        <v>2020</v>
      </c>
      <c r="D17" s="4" t="s">
        <v>73</v>
      </c>
      <c r="E17" s="6" t="s">
        <v>460</v>
      </c>
      <c r="F17" s="7">
        <v>28768</v>
      </c>
      <c r="G17" s="7">
        <v>2649.592</v>
      </c>
    </row>
    <row r="18" spans="1:7">
      <c r="A18" s="4" t="s">
        <v>65</v>
      </c>
      <c r="B18" s="6" t="s">
        <v>66</v>
      </c>
      <c r="C18" s="6">
        <v>2020</v>
      </c>
      <c r="D18" s="4" t="s">
        <v>409</v>
      </c>
      <c r="E18" s="6" t="s">
        <v>461</v>
      </c>
      <c r="F18" s="7">
        <v>9096</v>
      </c>
      <c r="G18" s="7">
        <v>39930.315</v>
      </c>
    </row>
    <row r="19" spans="1:7">
      <c r="A19" s="4" t="s">
        <v>65</v>
      </c>
      <c r="B19" s="6" t="s">
        <v>66</v>
      </c>
      <c r="C19" s="6">
        <v>2020</v>
      </c>
      <c r="D19" s="4" t="s">
        <v>60</v>
      </c>
      <c r="E19" s="6" t="s">
        <v>462</v>
      </c>
      <c r="F19" s="7">
        <v>8773</v>
      </c>
      <c r="G19" s="7">
        <v>8002</v>
      </c>
    </row>
    <row r="20" spans="1:7">
      <c r="A20" s="4" t="s">
        <v>65</v>
      </c>
      <c r="B20" s="6" t="s">
        <v>66</v>
      </c>
      <c r="C20" s="6">
        <v>2020</v>
      </c>
      <c r="D20" s="4" t="s">
        <v>287</v>
      </c>
      <c r="E20" s="6" t="s">
        <v>463</v>
      </c>
      <c r="F20" s="7">
        <v>7145</v>
      </c>
      <c r="G20" s="7">
        <v>680</v>
      </c>
    </row>
    <row r="21" spans="1:7">
      <c r="A21" s="4" t="s">
        <v>65</v>
      </c>
      <c r="B21" s="6" t="s">
        <v>66</v>
      </c>
      <c r="C21" s="6">
        <v>2020</v>
      </c>
      <c r="D21" s="4" t="s">
        <v>197</v>
      </c>
      <c r="E21" s="6" t="s">
        <v>464</v>
      </c>
      <c r="F21" s="7">
        <v>152</v>
      </c>
      <c r="G21" s="7">
        <v>680.952</v>
      </c>
    </row>
    <row r="22" spans="1:7">
      <c r="A22" s="4" t="s">
        <v>65</v>
      </c>
      <c r="B22" s="6" t="s">
        <v>66</v>
      </c>
      <c r="C22" s="6">
        <v>2021</v>
      </c>
      <c r="D22" s="4" t="s">
        <v>62</v>
      </c>
      <c r="E22" s="6" t="s">
        <v>448</v>
      </c>
      <c r="F22" s="7">
        <v>137385338</v>
      </c>
      <c r="G22" s="7">
        <v>711867617.191</v>
      </c>
    </row>
    <row r="23" spans="1:7">
      <c r="A23" s="4" t="s">
        <v>65</v>
      </c>
      <c r="B23" s="6" t="s">
        <v>66</v>
      </c>
      <c r="C23" s="6">
        <v>2021</v>
      </c>
      <c r="D23" s="4" t="s">
        <v>81</v>
      </c>
      <c r="E23" s="6" t="s">
        <v>449</v>
      </c>
      <c r="F23" s="7">
        <v>86916477</v>
      </c>
      <c r="G23" s="7">
        <v>427832295</v>
      </c>
    </row>
    <row r="24" spans="1:7">
      <c r="A24" s="4" t="s">
        <v>65</v>
      </c>
      <c r="B24" s="6" t="s">
        <v>66</v>
      </c>
      <c r="C24" s="6">
        <v>2021</v>
      </c>
      <c r="D24" s="4" t="s">
        <v>104</v>
      </c>
      <c r="E24" s="6" t="s">
        <v>450</v>
      </c>
      <c r="F24" s="7">
        <v>51353202</v>
      </c>
      <c r="G24" s="7">
        <v>234735330</v>
      </c>
    </row>
    <row r="25" spans="1:7">
      <c r="A25" s="4" t="s">
        <v>65</v>
      </c>
      <c r="B25" s="6" t="s">
        <v>66</v>
      </c>
      <c r="C25" s="6">
        <v>2021</v>
      </c>
      <c r="D25" s="4" t="s">
        <v>377</v>
      </c>
      <c r="E25" s="6" t="s">
        <v>451</v>
      </c>
      <c r="F25" s="7">
        <v>4480649</v>
      </c>
      <c r="G25" s="7">
        <v>20551850</v>
      </c>
    </row>
    <row r="26" spans="1:7">
      <c r="A26" s="4" t="s">
        <v>65</v>
      </c>
      <c r="B26" s="6" t="s">
        <v>66</v>
      </c>
      <c r="C26" s="6">
        <v>2021</v>
      </c>
      <c r="D26" s="4" t="s">
        <v>89</v>
      </c>
      <c r="E26" s="6" t="s">
        <v>459</v>
      </c>
      <c r="F26" s="7">
        <v>517705</v>
      </c>
      <c r="G26" s="7">
        <v>1610000</v>
      </c>
    </row>
    <row r="27" spans="1:7">
      <c r="A27" s="4" t="s">
        <v>65</v>
      </c>
      <c r="B27" s="6" t="s">
        <v>66</v>
      </c>
      <c r="C27" s="6">
        <v>2021</v>
      </c>
      <c r="D27" s="4" t="s">
        <v>96</v>
      </c>
      <c r="E27" s="6" t="s">
        <v>453</v>
      </c>
      <c r="F27" s="7">
        <v>456240</v>
      </c>
      <c r="G27" s="7">
        <v>0</v>
      </c>
    </row>
    <row r="28" spans="1:7">
      <c r="A28" s="4" t="s">
        <v>65</v>
      </c>
      <c r="B28" s="6" t="s">
        <v>66</v>
      </c>
      <c r="C28" s="6">
        <v>2021</v>
      </c>
      <c r="D28" s="4" t="s">
        <v>121</v>
      </c>
      <c r="E28" s="6" t="s">
        <v>455</v>
      </c>
      <c r="F28" s="7">
        <v>245435</v>
      </c>
      <c r="G28" s="7">
        <v>93175</v>
      </c>
    </row>
    <row r="29" spans="1:7">
      <c r="A29" s="4" t="s">
        <v>65</v>
      </c>
      <c r="B29" s="6" t="s">
        <v>66</v>
      </c>
      <c r="C29" s="6">
        <v>2021</v>
      </c>
      <c r="D29" s="4" t="s">
        <v>115</v>
      </c>
      <c r="E29" s="6" t="s">
        <v>454</v>
      </c>
      <c r="F29" s="7">
        <v>236252</v>
      </c>
      <c r="G29" s="7">
        <v>665000</v>
      </c>
    </row>
    <row r="30" spans="1:7">
      <c r="A30" s="4" t="s">
        <v>65</v>
      </c>
      <c r="B30" s="6" t="s">
        <v>66</v>
      </c>
      <c r="C30" s="6">
        <v>2021</v>
      </c>
      <c r="D30" s="4" t="s">
        <v>73</v>
      </c>
      <c r="E30" s="6" t="s">
        <v>460</v>
      </c>
      <c r="F30" s="7">
        <v>123244</v>
      </c>
      <c r="G30" s="7">
        <v>7311</v>
      </c>
    </row>
    <row r="31" spans="1:7">
      <c r="A31" s="4" t="s">
        <v>65</v>
      </c>
      <c r="B31" s="6" t="s">
        <v>66</v>
      </c>
      <c r="C31" s="6">
        <v>2021</v>
      </c>
      <c r="D31" s="4" t="s">
        <v>93</v>
      </c>
      <c r="E31" s="6" t="s">
        <v>458</v>
      </c>
      <c r="F31" s="7">
        <v>87221</v>
      </c>
      <c r="G31" s="7">
        <v>39799.978</v>
      </c>
    </row>
    <row r="32" spans="1:7">
      <c r="A32" s="4" t="s">
        <v>65</v>
      </c>
      <c r="B32" s="6" t="s">
        <v>66</v>
      </c>
      <c r="C32" s="6">
        <v>2021</v>
      </c>
      <c r="D32" s="4" t="s">
        <v>125</v>
      </c>
      <c r="E32" s="6" t="s">
        <v>465</v>
      </c>
      <c r="F32" s="7">
        <v>72456</v>
      </c>
      <c r="G32" s="7">
        <v>234001</v>
      </c>
    </row>
    <row r="33" spans="1:7">
      <c r="A33" s="4" t="s">
        <v>65</v>
      </c>
      <c r="B33" s="6" t="s">
        <v>66</v>
      </c>
      <c r="C33" s="6">
        <v>2021</v>
      </c>
      <c r="D33" s="4" t="s">
        <v>231</v>
      </c>
      <c r="E33" s="6" t="s">
        <v>466</v>
      </c>
      <c r="F33" s="7">
        <v>21512</v>
      </c>
      <c r="G33" s="7">
        <v>0</v>
      </c>
    </row>
    <row r="34" spans="1:7">
      <c r="A34" s="4" t="s">
        <v>65</v>
      </c>
      <c r="B34" s="6" t="s">
        <v>66</v>
      </c>
      <c r="C34" s="6">
        <v>2021</v>
      </c>
      <c r="D34" s="4" t="s">
        <v>205</v>
      </c>
      <c r="E34" s="6" t="s">
        <v>456</v>
      </c>
      <c r="F34" s="7">
        <v>17295</v>
      </c>
      <c r="G34" s="7">
        <v>75000</v>
      </c>
    </row>
    <row r="35" spans="1:7">
      <c r="A35" s="4" t="s">
        <v>65</v>
      </c>
      <c r="B35" s="6" t="s">
        <v>66</v>
      </c>
      <c r="C35" s="6">
        <v>2021</v>
      </c>
      <c r="D35" s="4" t="s">
        <v>223</v>
      </c>
      <c r="E35" s="6" t="s">
        <v>467</v>
      </c>
      <c r="F35" s="7">
        <v>12660</v>
      </c>
      <c r="G35" s="7">
        <v>58000</v>
      </c>
    </row>
    <row r="36" spans="1:7">
      <c r="A36" s="4" t="s">
        <v>65</v>
      </c>
      <c r="B36" s="6" t="s">
        <v>66</v>
      </c>
      <c r="C36" s="6">
        <v>2021</v>
      </c>
      <c r="D36" s="4" t="s">
        <v>60</v>
      </c>
      <c r="E36" s="6" t="s">
        <v>462</v>
      </c>
      <c r="F36" s="7">
        <v>10983</v>
      </c>
      <c r="G36" s="7">
        <v>8038</v>
      </c>
    </row>
    <row r="37" spans="1:7">
      <c r="A37" s="4" t="s">
        <v>65</v>
      </c>
      <c r="B37" s="6" t="s">
        <v>66</v>
      </c>
      <c r="C37" s="6">
        <v>2021</v>
      </c>
      <c r="D37" s="4" t="s">
        <v>203</v>
      </c>
      <c r="E37" s="6" t="s">
        <v>452</v>
      </c>
      <c r="F37" s="7">
        <v>5318</v>
      </c>
      <c r="G37" s="7">
        <v>4000</v>
      </c>
    </row>
    <row r="38" spans="1:7">
      <c r="A38" s="4" t="s">
        <v>65</v>
      </c>
      <c r="B38" s="6" t="s">
        <v>66</v>
      </c>
      <c r="C38" s="6">
        <v>2021</v>
      </c>
      <c r="D38" s="4" t="s">
        <v>409</v>
      </c>
      <c r="E38" s="6" t="s">
        <v>461</v>
      </c>
      <c r="F38" s="7">
        <v>3654</v>
      </c>
      <c r="G38" s="7">
        <v>17134.474</v>
      </c>
    </row>
    <row r="39" spans="1:7">
      <c r="A39" s="4" t="s">
        <v>65</v>
      </c>
      <c r="B39" s="6" t="s">
        <v>66</v>
      </c>
      <c r="C39" s="6">
        <v>2021</v>
      </c>
      <c r="D39" s="4" t="s">
        <v>287</v>
      </c>
      <c r="E39" s="6" t="s">
        <v>463</v>
      </c>
      <c r="F39" s="7">
        <v>3119</v>
      </c>
      <c r="G39" s="7">
        <v>480</v>
      </c>
    </row>
    <row r="40" spans="1:7">
      <c r="A40" s="4" t="s">
        <v>65</v>
      </c>
      <c r="B40" s="6" t="s">
        <v>66</v>
      </c>
      <c r="C40" s="6">
        <v>2021</v>
      </c>
      <c r="D40" s="4" t="s">
        <v>197</v>
      </c>
      <c r="E40" s="6" t="s">
        <v>464</v>
      </c>
      <c r="F40" s="7">
        <v>102</v>
      </c>
      <c r="G40" s="7">
        <v>506.26</v>
      </c>
    </row>
    <row r="41" spans="1:7">
      <c r="A41" s="4" t="s">
        <v>65</v>
      </c>
      <c r="B41" s="6" t="s">
        <v>66</v>
      </c>
      <c r="C41" s="6">
        <v>2022</v>
      </c>
      <c r="D41" s="4" t="s">
        <v>81</v>
      </c>
      <c r="E41" s="6" t="s">
        <v>449</v>
      </c>
      <c r="F41" s="7">
        <v>238162118</v>
      </c>
      <c r="G41" s="7">
        <v>581344822</v>
      </c>
    </row>
    <row r="42" spans="1:7">
      <c r="A42" s="4" t="s">
        <v>65</v>
      </c>
      <c r="B42" s="6" t="s">
        <v>66</v>
      </c>
      <c r="C42" s="6">
        <v>2022</v>
      </c>
      <c r="D42" s="4" t="s">
        <v>62</v>
      </c>
      <c r="E42" s="6" t="s">
        <v>448</v>
      </c>
      <c r="F42" s="7">
        <v>174643530</v>
      </c>
      <c r="G42" s="7">
        <v>608993741.536</v>
      </c>
    </row>
    <row r="43" spans="1:7">
      <c r="A43" s="4" t="s">
        <v>65</v>
      </c>
      <c r="B43" s="6" t="s">
        <v>66</v>
      </c>
      <c r="C43" s="6">
        <v>2022</v>
      </c>
      <c r="D43" s="4" t="s">
        <v>203</v>
      </c>
      <c r="E43" s="6" t="s">
        <v>452</v>
      </c>
      <c r="F43" s="7">
        <v>81759107</v>
      </c>
      <c r="G43" s="7">
        <v>143767697</v>
      </c>
    </row>
    <row r="44" spans="1:7">
      <c r="A44" s="4" t="s">
        <v>65</v>
      </c>
      <c r="B44" s="6" t="s">
        <v>66</v>
      </c>
      <c r="C44" s="6">
        <v>2022</v>
      </c>
      <c r="D44" s="4" t="s">
        <v>104</v>
      </c>
      <c r="E44" s="6" t="s">
        <v>450</v>
      </c>
      <c r="F44" s="7">
        <v>81109931</v>
      </c>
      <c r="G44" s="7">
        <v>229104550</v>
      </c>
    </row>
    <row r="45" spans="1:7">
      <c r="A45" s="4" t="s">
        <v>65</v>
      </c>
      <c r="B45" s="6" t="s">
        <v>66</v>
      </c>
      <c r="C45" s="6">
        <v>2022</v>
      </c>
      <c r="D45" s="4" t="s">
        <v>377</v>
      </c>
      <c r="E45" s="6" t="s">
        <v>451</v>
      </c>
      <c r="F45" s="7">
        <v>22474596</v>
      </c>
      <c r="G45" s="7">
        <v>45534700</v>
      </c>
    </row>
    <row r="46" spans="1:7">
      <c r="A46" s="4" t="s">
        <v>65</v>
      </c>
      <c r="B46" s="6" t="s">
        <v>66</v>
      </c>
      <c r="C46" s="6">
        <v>2022</v>
      </c>
      <c r="D46" s="4" t="s">
        <v>205</v>
      </c>
      <c r="E46" s="6" t="s">
        <v>456</v>
      </c>
      <c r="F46" s="7">
        <v>6978519</v>
      </c>
      <c r="G46" s="7">
        <v>10550200</v>
      </c>
    </row>
    <row r="47" spans="1:7">
      <c r="A47" s="4" t="s">
        <v>65</v>
      </c>
      <c r="B47" s="6" t="s">
        <v>66</v>
      </c>
      <c r="C47" s="6">
        <v>2022</v>
      </c>
      <c r="D47" s="4" t="s">
        <v>115</v>
      </c>
      <c r="E47" s="6" t="s">
        <v>454</v>
      </c>
      <c r="F47" s="7">
        <v>2179204</v>
      </c>
      <c r="G47" s="7">
        <v>2881740</v>
      </c>
    </row>
    <row r="48" spans="1:7">
      <c r="A48" s="4" t="s">
        <v>65</v>
      </c>
      <c r="B48" s="6" t="s">
        <v>66</v>
      </c>
      <c r="C48" s="6">
        <v>2022</v>
      </c>
      <c r="D48" s="4" t="s">
        <v>96</v>
      </c>
      <c r="E48" s="6" t="s">
        <v>453</v>
      </c>
      <c r="F48" s="7">
        <v>2056213</v>
      </c>
      <c r="G48" s="7">
        <v>3934000</v>
      </c>
    </row>
    <row r="49" spans="1:7">
      <c r="A49" s="4" t="s">
        <v>65</v>
      </c>
      <c r="B49" s="6" t="s">
        <v>66</v>
      </c>
      <c r="C49" s="6">
        <v>2022</v>
      </c>
      <c r="D49" s="4" t="s">
        <v>89</v>
      </c>
      <c r="E49" s="6" t="s">
        <v>459</v>
      </c>
      <c r="F49" s="7">
        <v>1049534</v>
      </c>
      <c r="G49" s="7">
        <v>1935000</v>
      </c>
    </row>
    <row r="50" spans="1:7">
      <c r="A50" s="4" t="s">
        <v>65</v>
      </c>
      <c r="B50" s="6" t="s">
        <v>66</v>
      </c>
      <c r="C50" s="6">
        <v>2022</v>
      </c>
      <c r="D50" s="4" t="s">
        <v>73</v>
      </c>
      <c r="E50" s="6" t="s">
        <v>460</v>
      </c>
      <c r="F50" s="7">
        <v>725076</v>
      </c>
      <c r="G50" s="7">
        <v>48683</v>
      </c>
    </row>
    <row r="51" spans="1:7">
      <c r="A51" s="4" t="s">
        <v>65</v>
      </c>
      <c r="B51" s="6" t="s">
        <v>66</v>
      </c>
      <c r="C51" s="6">
        <v>2022</v>
      </c>
      <c r="D51" s="4" t="s">
        <v>125</v>
      </c>
      <c r="E51" s="6" t="s">
        <v>465</v>
      </c>
      <c r="F51" s="7">
        <v>594032</v>
      </c>
      <c r="G51" s="7">
        <v>1237640</v>
      </c>
    </row>
    <row r="52" spans="1:7">
      <c r="A52" s="4" t="s">
        <v>65</v>
      </c>
      <c r="B52" s="6" t="s">
        <v>66</v>
      </c>
      <c r="C52" s="6">
        <v>2022</v>
      </c>
      <c r="D52" s="4" t="s">
        <v>60</v>
      </c>
      <c r="E52" s="6" t="s">
        <v>462</v>
      </c>
      <c r="F52" s="7">
        <v>569323</v>
      </c>
      <c r="G52" s="7">
        <v>853000</v>
      </c>
    </row>
    <row r="53" spans="1:7">
      <c r="A53" s="4" t="s">
        <v>65</v>
      </c>
      <c r="B53" s="6" t="s">
        <v>66</v>
      </c>
      <c r="C53" s="6">
        <v>2022</v>
      </c>
      <c r="D53" s="4" t="s">
        <v>355</v>
      </c>
      <c r="E53" s="6" t="s">
        <v>468</v>
      </c>
      <c r="F53" s="7">
        <v>451281</v>
      </c>
      <c r="G53" s="7">
        <v>500000</v>
      </c>
    </row>
    <row r="54" spans="1:7">
      <c r="A54" s="4" t="s">
        <v>65</v>
      </c>
      <c r="B54" s="6" t="s">
        <v>66</v>
      </c>
      <c r="C54" s="6">
        <v>2022</v>
      </c>
      <c r="D54" s="4" t="s">
        <v>197</v>
      </c>
      <c r="E54" s="6" t="s">
        <v>464</v>
      </c>
      <c r="F54" s="7">
        <v>437617</v>
      </c>
      <c r="G54" s="7">
        <v>625000</v>
      </c>
    </row>
    <row r="55" spans="1:7">
      <c r="A55" s="4" t="s">
        <v>65</v>
      </c>
      <c r="B55" s="6" t="s">
        <v>66</v>
      </c>
      <c r="C55" s="6">
        <v>2022</v>
      </c>
      <c r="D55" s="4" t="s">
        <v>121</v>
      </c>
      <c r="E55" s="6" t="s">
        <v>455</v>
      </c>
      <c r="F55" s="7">
        <v>359850</v>
      </c>
      <c r="G55" s="7">
        <v>132406</v>
      </c>
    </row>
    <row r="56" spans="1:7">
      <c r="A56" s="4" t="s">
        <v>65</v>
      </c>
      <c r="B56" s="6" t="s">
        <v>66</v>
      </c>
      <c r="C56" s="6">
        <v>2022</v>
      </c>
      <c r="D56" s="4" t="s">
        <v>253</v>
      </c>
      <c r="E56" s="6" t="s">
        <v>469</v>
      </c>
      <c r="F56" s="7">
        <v>238896</v>
      </c>
      <c r="G56" s="7">
        <v>400000</v>
      </c>
    </row>
    <row r="57" spans="1:7">
      <c r="A57" s="4" t="s">
        <v>65</v>
      </c>
      <c r="B57" s="6" t="s">
        <v>66</v>
      </c>
      <c r="C57" s="6">
        <v>2022</v>
      </c>
      <c r="D57" s="4" t="s">
        <v>93</v>
      </c>
      <c r="E57" s="6" t="s">
        <v>458</v>
      </c>
      <c r="F57" s="7">
        <v>88690</v>
      </c>
      <c r="G57" s="7">
        <v>17391.01</v>
      </c>
    </row>
    <row r="58" spans="1:7">
      <c r="A58" s="4" t="s">
        <v>65</v>
      </c>
      <c r="B58" s="6" t="s">
        <v>66</v>
      </c>
      <c r="C58" s="6">
        <v>2022</v>
      </c>
      <c r="D58" s="4" t="s">
        <v>98</v>
      </c>
      <c r="E58" s="6" t="s">
        <v>470</v>
      </c>
      <c r="F58" s="7">
        <v>59258</v>
      </c>
      <c r="G58" s="7">
        <v>110000</v>
      </c>
    </row>
    <row r="59" spans="1:7">
      <c r="A59" s="4" t="s">
        <v>65</v>
      </c>
      <c r="B59" s="6" t="s">
        <v>66</v>
      </c>
      <c r="C59" s="6">
        <v>2022</v>
      </c>
      <c r="D59" s="4" t="s">
        <v>409</v>
      </c>
      <c r="E59" s="6" t="s">
        <v>461</v>
      </c>
      <c r="F59" s="7">
        <v>7554</v>
      </c>
      <c r="G59" s="7">
        <v>20079.991</v>
      </c>
    </row>
    <row r="60" spans="1:7">
      <c r="A60" s="4" t="s">
        <v>65</v>
      </c>
      <c r="B60" s="6" t="s">
        <v>66</v>
      </c>
      <c r="C60" s="6">
        <v>2022</v>
      </c>
      <c r="D60" s="4" t="s">
        <v>287</v>
      </c>
      <c r="E60" s="6" t="s">
        <v>463</v>
      </c>
      <c r="F60" s="7">
        <v>3214</v>
      </c>
      <c r="G60" s="7">
        <v>500</v>
      </c>
    </row>
    <row r="61" spans="1:7">
      <c r="A61" s="4" t="s">
        <v>65</v>
      </c>
      <c r="B61" s="6" t="s">
        <v>66</v>
      </c>
      <c r="C61" s="6">
        <v>2023</v>
      </c>
      <c r="D61" s="4" t="s">
        <v>62</v>
      </c>
      <c r="E61" s="6" t="s">
        <v>448</v>
      </c>
      <c r="F61" s="7">
        <v>253528894</v>
      </c>
      <c r="G61" s="7">
        <v>674733484.62</v>
      </c>
    </row>
    <row r="62" spans="1:7">
      <c r="A62" s="4" t="s">
        <v>65</v>
      </c>
      <c r="B62" s="6" t="s">
        <v>66</v>
      </c>
      <c r="C62" s="6">
        <v>2023</v>
      </c>
      <c r="D62" s="4" t="s">
        <v>81</v>
      </c>
      <c r="E62" s="6" t="s">
        <v>449</v>
      </c>
      <c r="F62" s="7">
        <v>150047172</v>
      </c>
      <c r="G62" s="7">
        <v>364026800</v>
      </c>
    </row>
    <row r="63" spans="1:7">
      <c r="A63" s="4" t="s">
        <v>65</v>
      </c>
      <c r="B63" s="6" t="s">
        <v>66</v>
      </c>
      <c r="C63" s="6">
        <v>2023</v>
      </c>
      <c r="D63" s="4" t="s">
        <v>104</v>
      </c>
      <c r="E63" s="6" t="s">
        <v>450</v>
      </c>
      <c r="F63" s="7">
        <v>50421518</v>
      </c>
      <c r="G63" s="7">
        <v>116268565</v>
      </c>
    </row>
    <row r="64" spans="1:7">
      <c r="A64" s="4" t="s">
        <v>65</v>
      </c>
      <c r="B64" s="6" t="s">
        <v>66</v>
      </c>
      <c r="C64" s="6">
        <v>2023</v>
      </c>
      <c r="D64" s="4" t="s">
        <v>203</v>
      </c>
      <c r="E64" s="6" t="s">
        <v>452</v>
      </c>
      <c r="F64" s="7">
        <v>20945198</v>
      </c>
      <c r="G64" s="7">
        <v>47373501</v>
      </c>
    </row>
    <row r="65" spans="1:7">
      <c r="A65" s="4" t="s">
        <v>65</v>
      </c>
      <c r="B65" s="6" t="s">
        <v>66</v>
      </c>
      <c r="C65" s="6">
        <v>2023</v>
      </c>
      <c r="D65" s="4" t="s">
        <v>377</v>
      </c>
      <c r="E65" s="6" t="s">
        <v>451</v>
      </c>
      <c r="F65" s="7">
        <v>8944020</v>
      </c>
      <c r="G65" s="7">
        <v>21687071</v>
      </c>
    </row>
    <row r="66" spans="1:7">
      <c r="A66" s="4" t="s">
        <v>65</v>
      </c>
      <c r="B66" s="6" t="s">
        <v>66</v>
      </c>
      <c r="C66" s="6">
        <v>2023</v>
      </c>
      <c r="D66" s="4" t="s">
        <v>96</v>
      </c>
      <c r="E66" s="6" t="s">
        <v>453</v>
      </c>
      <c r="F66" s="7">
        <v>656405</v>
      </c>
      <c r="G66" s="7">
        <v>1314000</v>
      </c>
    </row>
    <row r="67" spans="1:7">
      <c r="A67" s="4" t="s">
        <v>65</v>
      </c>
      <c r="B67" s="6" t="s">
        <v>66</v>
      </c>
      <c r="C67" s="6">
        <v>2023</v>
      </c>
      <c r="D67" s="4" t="s">
        <v>89</v>
      </c>
      <c r="E67" s="6" t="s">
        <v>459</v>
      </c>
      <c r="F67" s="7">
        <v>523357</v>
      </c>
      <c r="G67" s="7">
        <v>980000</v>
      </c>
    </row>
    <row r="68" spans="1:7">
      <c r="A68" s="4" t="s">
        <v>65</v>
      </c>
      <c r="B68" s="6" t="s">
        <v>66</v>
      </c>
      <c r="C68" s="6">
        <v>2023</v>
      </c>
      <c r="D68" s="4" t="s">
        <v>121</v>
      </c>
      <c r="E68" s="6" t="s">
        <v>455</v>
      </c>
      <c r="F68" s="7">
        <v>302280</v>
      </c>
      <c r="G68" s="7">
        <v>94264</v>
      </c>
    </row>
    <row r="69" spans="1:7">
      <c r="A69" s="4" t="s">
        <v>65</v>
      </c>
      <c r="B69" s="6" t="s">
        <v>66</v>
      </c>
      <c r="C69" s="6">
        <v>2023</v>
      </c>
      <c r="D69" s="4" t="s">
        <v>197</v>
      </c>
      <c r="E69" s="6" t="s">
        <v>464</v>
      </c>
      <c r="F69" s="7">
        <v>122533</v>
      </c>
      <c r="G69" s="7">
        <v>175000</v>
      </c>
    </row>
    <row r="70" spans="1:7">
      <c r="A70" s="4" t="s">
        <v>65</v>
      </c>
      <c r="B70" s="6" t="s">
        <v>66</v>
      </c>
      <c r="C70" s="6">
        <v>2023</v>
      </c>
      <c r="D70" s="4" t="s">
        <v>73</v>
      </c>
      <c r="E70" s="6" t="s">
        <v>460</v>
      </c>
      <c r="F70" s="7">
        <v>101198</v>
      </c>
      <c r="G70" s="7">
        <v>13501.973</v>
      </c>
    </row>
    <row r="71" spans="1:7">
      <c r="A71" s="4" t="s">
        <v>65</v>
      </c>
      <c r="B71" s="6" t="s">
        <v>66</v>
      </c>
      <c r="C71" s="6">
        <v>2023</v>
      </c>
      <c r="D71" s="4" t="s">
        <v>93</v>
      </c>
      <c r="E71" s="6" t="s">
        <v>458</v>
      </c>
      <c r="F71" s="7">
        <v>63189</v>
      </c>
      <c r="G71" s="7">
        <v>13543.931</v>
      </c>
    </row>
    <row r="72" spans="1:7">
      <c r="A72" s="4" t="s">
        <v>65</v>
      </c>
      <c r="B72" s="6" t="s">
        <v>66</v>
      </c>
      <c r="C72" s="6">
        <v>2023</v>
      </c>
      <c r="D72" s="4" t="s">
        <v>115</v>
      </c>
      <c r="E72" s="6" t="s">
        <v>454</v>
      </c>
      <c r="F72" s="7">
        <v>54440</v>
      </c>
      <c r="G72" s="7">
        <v>105000</v>
      </c>
    </row>
    <row r="73" spans="1:7">
      <c r="A73" s="4" t="s">
        <v>65</v>
      </c>
      <c r="B73" s="6" t="s">
        <v>66</v>
      </c>
      <c r="C73" s="6">
        <v>2023</v>
      </c>
      <c r="D73" s="4" t="s">
        <v>205</v>
      </c>
      <c r="E73" s="6" t="s">
        <v>456</v>
      </c>
      <c r="F73" s="7">
        <v>22604</v>
      </c>
      <c r="G73" s="7">
        <v>19120</v>
      </c>
    </row>
    <row r="74" spans="1:7">
      <c r="A74" s="4" t="s">
        <v>65</v>
      </c>
      <c r="B74" s="6" t="s">
        <v>66</v>
      </c>
      <c r="C74" s="6">
        <v>2023</v>
      </c>
      <c r="D74" s="4" t="s">
        <v>60</v>
      </c>
      <c r="E74" s="6" t="s">
        <v>462</v>
      </c>
      <c r="F74" s="7">
        <v>13130</v>
      </c>
      <c r="G74" s="7">
        <v>8500</v>
      </c>
    </row>
    <row r="75" spans="1:7">
      <c r="A75" s="4" t="s">
        <v>65</v>
      </c>
      <c r="B75" s="6" t="s">
        <v>66</v>
      </c>
      <c r="C75" s="6">
        <v>2023</v>
      </c>
      <c r="D75" s="4" t="s">
        <v>409</v>
      </c>
      <c r="E75" s="6" t="s">
        <v>461</v>
      </c>
      <c r="F75" s="7">
        <v>8025</v>
      </c>
      <c r="G75" s="7">
        <v>19677.997</v>
      </c>
    </row>
    <row r="76" spans="1:7">
      <c r="A76" s="4" t="s">
        <v>65</v>
      </c>
      <c r="B76" s="6" t="s">
        <v>66</v>
      </c>
      <c r="C76" s="6">
        <v>2023</v>
      </c>
      <c r="D76" s="4" t="s">
        <v>287</v>
      </c>
      <c r="E76" s="6" t="s">
        <v>463</v>
      </c>
      <c r="F76" s="7">
        <v>2415</v>
      </c>
      <c r="G76" s="7">
        <v>440</v>
      </c>
    </row>
    <row r="77" spans="1:7">
      <c r="A77" s="4" t="s">
        <v>65</v>
      </c>
      <c r="B77" s="6" t="s">
        <v>66</v>
      </c>
      <c r="C77" s="6">
        <v>2024</v>
      </c>
      <c r="D77" s="4" t="s">
        <v>62</v>
      </c>
      <c r="E77" s="6" t="s">
        <v>448</v>
      </c>
      <c r="F77" s="7">
        <v>161596965</v>
      </c>
      <c r="G77" s="7">
        <v>666277192.05</v>
      </c>
    </row>
    <row r="78" spans="1:7">
      <c r="A78" s="4" t="s">
        <v>65</v>
      </c>
      <c r="B78" s="6" t="s">
        <v>66</v>
      </c>
      <c r="C78" s="6">
        <v>2024</v>
      </c>
      <c r="D78" s="4" t="s">
        <v>81</v>
      </c>
      <c r="E78" s="6" t="s">
        <v>449</v>
      </c>
      <c r="F78" s="7">
        <v>106567560</v>
      </c>
      <c r="G78" s="7">
        <v>466790208</v>
      </c>
    </row>
    <row r="79" spans="1:7">
      <c r="A79" s="4" t="s">
        <v>65</v>
      </c>
      <c r="B79" s="6" t="s">
        <v>66</v>
      </c>
      <c r="C79" s="6">
        <v>2024</v>
      </c>
      <c r="D79" s="4" t="s">
        <v>104</v>
      </c>
      <c r="E79" s="6" t="s">
        <v>450</v>
      </c>
      <c r="F79" s="7">
        <v>48195740</v>
      </c>
      <c r="G79" s="7">
        <v>174618370</v>
      </c>
    </row>
    <row r="80" spans="1:7">
      <c r="A80" s="4" t="s">
        <v>65</v>
      </c>
      <c r="B80" s="6" t="s">
        <v>66</v>
      </c>
      <c r="C80" s="6">
        <v>2024</v>
      </c>
      <c r="D80" s="4" t="s">
        <v>377</v>
      </c>
      <c r="E80" s="6" t="s">
        <v>451</v>
      </c>
      <c r="F80" s="7">
        <v>3948970</v>
      </c>
      <c r="G80" s="7">
        <v>13187349</v>
      </c>
    </row>
    <row r="81" spans="1:7">
      <c r="A81" s="4" t="s">
        <v>65</v>
      </c>
      <c r="B81" s="6" t="s">
        <v>66</v>
      </c>
      <c r="C81" s="6">
        <v>2024</v>
      </c>
      <c r="D81" s="4" t="s">
        <v>203</v>
      </c>
      <c r="E81" s="6" t="s">
        <v>452</v>
      </c>
      <c r="F81" s="7">
        <v>650524</v>
      </c>
      <c r="G81" s="7">
        <v>1433299.201</v>
      </c>
    </row>
    <row r="82" spans="1:7">
      <c r="A82" s="4" t="s">
        <v>65</v>
      </c>
      <c r="B82" s="6" t="s">
        <v>66</v>
      </c>
      <c r="C82" s="6">
        <v>2024</v>
      </c>
      <c r="D82" s="4" t="s">
        <v>89</v>
      </c>
      <c r="E82" s="6" t="s">
        <v>459</v>
      </c>
      <c r="F82" s="7">
        <v>495738</v>
      </c>
      <c r="G82" s="7">
        <v>1032500</v>
      </c>
    </row>
    <row r="83" spans="1:7">
      <c r="A83" s="4" t="s">
        <v>65</v>
      </c>
      <c r="B83" s="6" t="s">
        <v>66</v>
      </c>
      <c r="C83" s="6">
        <v>2024</v>
      </c>
      <c r="D83" s="4" t="s">
        <v>96</v>
      </c>
      <c r="E83" s="6" t="s">
        <v>453</v>
      </c>
      <c r="F83" s="7">
        <v>364196</v>
      </c>
      <c r="G83" s="7">
        <v>972000</v>
      </c>
    </row>
    <row r="84" spans="1:7">
      <c r="A84" s="4" t="s">
        <v>65</v>
      </c>
      <c r="B84" s="6" t="s">
        <v>66</v>
      </c>
      <c r="C84" s="6">
        <v>2024</v>
      </c>
      <c r="D84" s="4" t="s">
        <v>121</v>
      </c>
      <c r="E84" s="6" t="s">
        <v>455</v>
      </c>
      <c r="F84" s="7">
        <v>301216</v>
      </c>
      <c r="G84" s="7">
        <v>90000</v>
      </c>
    </row>
    <row r="85" spans="1:7">
      <c r="A85" s="4" t="s">
        <v>65</v>
      </c>
      <c r="B85" s="6" t="s">
        <v>66</v>
      </c>
      <c r="C85" s="6">
        <v>2024</v>
      </c>
      <c r="D85" s="4" t="s">
        <v>115</v>
      </c>
      <c r="E85" s="6" t="s">
        <v>454</v>
      </c>
      <c r="F85" s="7">
        <v>194382</v>
      </c>
      <c r="G85" s="7">
        <v>447500</v>
      </c>
    </row>
    <row r="86" spans="1:7">
      <c r="A86" s="4" t="s">
        <v>65</v>
      </c>
      <c r="B86" s="6" t="s">
        <v>66</v>
      </c>
      <c r="C86" s="6">
        <v>2024</v>
      </c>
      <c r="D86" s="4" t="s">
        <v>93</v>
      </c>
      <c r="E86" s="6" t="s">
        <v>458</v>
      </c>
      <c r="F86" s="7">
        <v>126705</v>
      </c>
      <c r="G86" s="7">
        <v>33667.475</v>
      </c>
    </row>
    <row r="87" spans="1:7">
      <c r="A87" s="4" t="s">
        <v>65</v>
      </c>
      <c r="B87" s="6" t="s">
        <v>66</v>
      </c>
      <c r="C87" s="6">
        <v>2024</v>
      </c>
      <c r="D87" s="4" t="s">
        <v>205</v>
      </c>
      <c r="E87" s="6" t="s">
        <v>456</v>
      </c>
      <c r="F87" s="7">
        <v>89691</v>
      </c>
      <c r="G87" s="7">
        <v>143000</v>
      </c>
    </row>
    <row r="88" spans="1:7">
      <c r="A88" s="4" t="s">
        <v>65</v>
      </c>
      <c r="B88" s="6" t="s">
        <v>66</v>
      </c>
      <c r="C88" s="6">
        <v>2024</v>
      </c>
      <c r="D88" s="4" t="s">
        <v>101</v>
      </c>
      <c r="E88" s="6" t="s">
        <v>471</v>
      </c>
      <c r="F88" s="7">
        <v>34236</v>
      </c>
      <c r="G88" s="7">
        <v>108000</v>
      </c>
    </row>
    <row r="89" spans="1:7">
      <c r="A89" s="4" t="s">
        <v>65</v>
      </c>
      <c r="B89" s="6" t="s">
        <v>66</v>
      </c>
      <c r="C89" s="6">
        <v>2024</v>
      </c>
      <c r="D89" s="4" t="s">
        <v>125</v>
      </c>
      <c r="E89" s="6" t="s">
        <v>465</v>
      </c>
      <c r="F89" s="7">
        <v>14400</v>
      </c>
      <c r="G89" s="7">
        <v>36000</v>
      </c>
    </row>
    <row r="90" spans="1:7">
      <c r="A90" s="4" t="s">
        <v>65</v>
      </c>
      <c r="B90" s="6" t="s">
        <v>66</v>
      </c>
      <c r="C90" s="6">
        <v>2024</v>
      </c>
      <c r="D90" s="4" t="s">
        <v>60</v>
      </c>
      <c r="E90" s="6" t="s">
        <v>462</v>
      </c>
      <c r="F90" s="7">
        <v>11910</v>
      </c>
      <c r="G90" s="7">
        <v>7000</v>
      </c>
    </row>
    <row r="91" spans="1:7">
      <c r="A91" s="4" t="s">
        <v>65</v>
      </c>
      <c r="B91" s="6" t="s">
        <v>66</v>
      </c>
      <c r="C91" s="6">
        <v>2024</v>
      </c>
      <c r="D91" s="4" t="s">
        <v>409</v>
      </c>
      <c r="E91" s="6" t="s">
        <v>461</v>
      </c>
      <c r="F91" s="7">
        <v>8256</v>
      </c>
      <c r="G91" s="7">
        <v>32625.502</v>
      </c>
    </row>
    <row r="92" spans="1:7">
      <c r="A92" s="4" t="s">
        <v>65</v>
      </c>
      <c r="B92" s="6" t="s">
        <v>66</v>
      </c>
      <c r="C92" s="6">
        <v>2024</v>
      </c>
      <c r="D92" s="4" t="s">
        <v>287</v>
      </c>
      <c r="E92" s="6" t="s">
        <v>463</v>
      </c>
      <c r="F92" s="7">
        <v>1814</v>
      </c>
      <c r="G92" s="7">
        <v>300</v>
      </c>
    </row>
    <row r="93" spans="1:7">
      <c r="A93" s="4" t="s">
        <v>65</v>
      </c>
      <c r="B93" s="6" t="s">
        <v>66</v>
      </c>
      <c r="C93" s="6">
        <v>2024</v>
      </c>
      <c r="D93" s="4" t="s">
        <v>73</v>
      </c>
      <c r="E93" s="6" t="s">
        <v>460</v>
      </c>
      <c r="F93" s="7">
        <v>50</v>
      </c>
      <c r="G93" s="7">
        <v>74.94199999999999</v>
      </c>
    </row>
    <row r="94" spans="1:7">
      <c r="A94" s="4" t="s">
        <v>65</v>
      </c>
      <c r="B94" s="6" t="s">
        <v>66</v>
      </c>
      <c r="C94" s="6">
        <v>2025</v>
      </c>
      <c r="D94" s="4" t="s">
        <v>62</v>
      </c>
      <c r="E94" s="6" t="s">
        <v>448</v>
      </c>
      <c r="F94" s="7">
        <v>202474498</v>
      </c>
      <c r="G94" s="7">
        <v>905588518</v>
      </c>
    </row>
    <row r="95" spans="1:7">
      <c r="A95" s="4" t="s">
        <v>65</v>
      </c>
      <c r="B95" s="6" t="s">
        <v>66</v>
      </c>
      <c r="C95" s="6">
        <v>2025</v>
      </c>
      <c r="D95" s="4" t="s">
        <v>81</v>
      </c>
      <c r="E95" s="6" t="s">
        <v>449</v>
      </c>
      <c r="F95" s="7">
        <v>81990255</v>
      </c>
      <c r="G95" s="7">
        <v>364761000</v>
      </c>
    </row>
    <row r="96" spans="1:7">
      <c r="A96" s="4" t="s">
        <v>65</v>
      </c>
      <c r="B96" s="6" t="s">
        <v>66</v>
      </c>
      <c r="C96" s="6">
        <v>2025</v>
      </c>
      <c r="D96" s="4" t="s">
        <v>104</v>
      </c>
      <c r="E96" s="6" t="s">
        <v>450</v>
      </c>
      <c r="F96" s="7">
        <v>24049744</v>
      </c>
      <c r="G96" s="7">
        <v>98768615</v>
      </c>
    </row>
    <row r="97" spans="1:7">
      <c r="A97" s="4" t="s">
        <v>65</v>
      </c>
      <c r="B97" s="6" t="s">
        <v>66</v>
      </c>
      <c r="C97" s="6">
        <v>2025</v>
      </c>
      <c r="D97" s="4" t="s">
        <v>203</v>
      </c>
      <c r="E97" s="6" t="s">
        <v>452</v>
      </c>
      <c r="F97" s="7">
        <v>954937</v>
      </c>
      <c r="G97" s="7">
        <v>3022802</v>
      </c>
    </row>
    <row r="98" spans="1:7">
      <c r="A98" s="4" t="s">
        <v>65</v>
      </c>
      <c r="B98" s="6" t="s">
        <v>66</v>
      </c>
      <c r="C98" s="6">
        <v>2025</v>
      </c>
      <c r="D98" s="4" t="s">
        <v>96</v>
      </c>
      <c r="E98" s="6" t="s">
        <v>453</v>
      </c>
      <c r="F98" s="7">
        <v>467334</v>
      </c>
      <c r="G98" s="7">
        <v>1278000</v>
      </c>
    </row>
    <row r="99" spans="1:7">
      <c r="A99" s="4" t="s">
        <v>65</v>
      </c>
      <c r="B99" s="6" t="s">
        <v>66</v>
      </c>
      <c r="C99" s="6">
        <v>2025</v>
      </c>
      <c r="D99" s="4" t="s">
        <v>377</v>
      </c>
      <c r="E99" s="6" t="s">
        <v>451</v>
      </c>
      <c r="F99" s="7">
        <v>401924</v>
      </c>
      <c r="G99" s="7">
        <v>1300240</v>
      </c>
    </row>
    <row r="100" spans="1:7">
      <c r="A100" s="4" t="s">
        <v>65</v>
      </c>
      <c r="B100" s="6" t="s">
        <v>66</v>
      </c>
      <c r="C100" s="6">
        <v>2025</v>
      </c>
      <c r="D100" s="4" t="s">
        <v>121</v>
      </c>
      <c r="E100" s="6" t="s">
        <v>455</v>
      </c>
      <c r="F100" s="7">
        <v>169209</v>
      </c>
      <c r="G100" s="7">
        <v>33875</v>
      </c>
    </row>
    <row r="101" spans="1:7">
      <c r="A101" s="4" t="s">
        <v>65</v>
      </c>
      <c r="B101" s="6" t="s">
        <v>66</v>
      </c>
      <c r="C101" s="6">
        <v>2025</v>
      </c>
      <c r="D101" s="4" t="s">
        <v>73</v>
      </c>
      <c r="E101" s="6" t="s">
        <v>460</v>
      </c>
      <c r="F101" s="7">
        <v>112955</v>
      </c>
      <c r="G101" s="7">
        <v>15324</v>
      </c>
    </row>
    <row r="102" spans="1:7">
      <c r="A102" s="4" t="s">
        <v>65</v>
      </c>
      <c r="B102" s="6" t="s">
        <v>66</v>
      </c>
      <c r="C102" s="6">
        <v>2025</v>
      </c>
      <c r="D102" s="4" t="s">
        <v>115</v>
      </c>
      <c r="E102" s="6" t="s">
        <v>454</v>
      </c>
      <c r="F102" s="7">
        <v>72230</v>
      </c>
      <c r="G102" s="7">
        <v>216500</v>
      </c>
    </row>
    <row r="103" spans="1:7">
      <c r="A103" s="4" t="s">
        <v>65</v>
      </c>
      <c r="B103" s="6" t="s">
        <v>66</v>
      </c>
      <c r="C103" s="6">
        <v>2025</v>
      </c>
      <c r="D103" s="4" t="s">
        <v>425</v>
      </c>
      <c r="E103" s="6" t="s">
        <v>472</v>
      </c>
      <c r="F103" s="7">
        <v>72183</v>
      </c>
      <c r="G103" s="7">
        <v>222100</v>
      </c>
    </row>
    <row r="104" spans="1:7">
      <c r="A104" s="4" t="s">
        <v>65</v>
      </c>
      <c r="B104" s="6" t="s">
        <v>66</v>
      </c>
      <c r="C104" s="6">
        <v>2025</v>
      </c>
      <c r="D104" s="4" t="s">
        <v>93</v>
      </c>
      <c r="E104" s="6" t="s">
        <v>458</v>
      </c>
      <c r="F104" s="7">
        <v>66247</v>
      </c>
      <c r="G104" s="7">
        <v>48368.765</v>
      </c>
    </row>
    <row r="105" spans="1:7">
      <c r="A105" s="4" t="s">
        <v>65</v>
      </c>
      <c r="B105" s="6" t="s">
        <v>66</v>
      </c>
      <c r="C105" s="6">
        <v>2025</v>
      </c>
      <c r="D105" s="4" t="s">
        <v>89</v>
      </c>
      <c r="E105" s="6" t="s">
        <v>459</v>
      </c>
      <c r="F105" s="7">
        <v>52243</v>
      </c>
      <c r="G105" s="7">
        <v>122500</v>
      </c>
    </row>
    <row r="106" spans="1:7">
      <c r="A106" s="4" t="s">
        <v>65</v>
      </c>
      <c r="B106" s="6" t="s">
        <v>66</v>
      </c>
      <c r="C106" s="6">
        <v>2025</v>
      </c>
      <c r="D106" s="4" t="s">
        <v>205</v>
      </c>
      <c r="E106" s="6" t="s">
        <v>456</v>
      </c>
      <c r="F106" s="7">
        <v>16924</v>
      </c>
      <c r="G106" s="7">
        <v>25000</v>
      </c>
    </row>
    <row r="107" spans="1:7">
      <c r="A107" s="4" t="s">
        <v>65</v>
      </c>
      <c r="B107" s="6" t="s">
        <v>66</v>
      </c>
      <c r="C107" s="6">
        <v>2025</v>
      </c>
      <c r="D107" s="4" t="s">
        <v>60</v>
      </c>
      <c r="E107" s="6" t="s">
        <v>462</v>
      </c>
      <c r="F107" s="7">
        <v>14970</v>
      </c>
      <c r="G107" s="7">
        <v>11000</v>
      </c>
    </row>
    <row r="108" spans="1:7">
      <c r="A108" s="4" t="s">
        <v>65</v>
      </c>
      <c r="B108" s="6" t="s">
        <v>66</v>
      </c>
      <c r="C108" s="6">
        <v>2025</v>
      </c>
      <c r="D108" s="4" t="s">
        <v>409</v>
      </c>
      <c r="E108" s="6" t="s">
        <v>461</v>
      </c>
      <c r="F108" s="7">
        <v>2307</v>
      </c>
      <c r="G108" s="7">
        <v>8405.232</v>
      </c>
    </row>
    <row r="109" spans="1:7">
      <c r="A109" s="4" t="s">
        <v>65</v>
      </c>
      <c r="B109" s="6" t="s">
        <v>66</v>
      </c>
      <c r="C109" s="6">
        <v>2025</v>
      </c>
      <c r="D109" s="4" t="s">
        <v>287</v>
      </c>
      <c r="E109" s="6" t="s">
        <v>463</v>
      </c>
      <c r="F109" s="7">
        <v>1105</v>
      </c>
      <c r="G109" s="7">
        <v>200</v>
      </c>
    </row>
    <row r="110" spans="1:7">
      <c r="A110" s="4" t="s">
        <v>65</v>
      </c>
      <c r="B110" s="6" t="s">
        <v>66</v>
      </c>
      <c r="C110" s="6">
        <v>2025</v>
      </c>
      <c r="D110" s="4" t="s">
        <v>321</v>
      </c>
      <c r="E110" s="6" t="s">
        <v>473</v>
      </c>
      <c r="F110" s="7">
        <v>282</v>
      </c>
      <c r="G110" s="7">
        <v>3</v>
      </c>
    </row>
    <row r="111" spans="1:7">
      <c r="A111" s="4" t="s">
        <v>65</v>
      </c>
      <c r="B111" s="6" t="s">
        <v>66</v>
      </c>
      <c r="C111" s="6">
        <v>2025</v>
      </c>
      <c r="D111" s="4" t="s">
        <v>197</v>
      </c>
      <c r="E111" s="6" t="s">
        <v>464</v>
      </c>
      <c r="F111" s="7">
        <v>191</v>
      </c>
      <c r="G111" s="7">
        <v>0</v>
      </c>
    </row>
    <row r="112" spans="1:7">
      <c r="A112" s="4" t="s">
        <v>65</v>
      </c>
      <c r="B112" s="6" t="s">
        <v>66</v>
      </c>
      <c r="C112" s="6">
        <v>2025</v>
      </c>
      <c r="D112" s="4" t="s">
        <v>109</v>
      </c>
      <c r="E112" s="6" t="s">
        <v>474</v>
      </c>
      <c r="F112" s="7">
        <v>101</v>
      </c>
      <c r="G112" s="7">
        <v>1</v>
      </c>
    </row>
    <row r="113" spans="1:7">
      <c r="A113" s="4" t="s">
        <v>69</v>
      </c>
      <c r="B113" s="6" t="s">
        <v>70</v>
      </c>
      <c r="C113" s="6">
        <v>2020</v>
      </c>
      <c r="D113" s="4" t="s">
        <v>62</v>
      </c>
      <c r="E113" s="6" t="s">
        <v>448</v>
      </c>
      <c r="F113" s="7">
        <v>100815757.05</v>
      </c>
      <c r="G113" s="7">
        <v>369129276.732</v>
      </c>
    </row>
    <row r="114" spans="1:7">
      <c r="A114" s="4" t="s">
        <v>69</v>
      </c>
      <c r="B114" s="6" t="s">
        <v>70</v>
      </c>
      <c r="C114" s="6">
        <v>2020</v>
      </c>
      <c r="D114" s="4" t="s">
        <v>81</v>
      </c>
      <c r="E114" s="6" t="s">
        <v>449</v>
      </c>
      <c r="F114" s="7">
        <v>1602669.93</v>
      </c>
      <c r="G114" s="7">
        <v>6232000</v>
      </c>
    </row>
    <row r="115" spans="1:7">
      <c r="A115" s="4" t="s">
        <v>69</v>
      </c>
      <c r="B115" s="6" t="s">
        <v>70</v>
      </c>
      <c r="C115" s="6">
        <v>2020</v>
      </c>
      <c r="D115" s="4" t="s">
        <v>125</v>
      </c>
      <c r="E115" s="6" t="s">
        <v>465</v>
      </c>
      <c r="F115" s="7">
        <v>756067.7</v>
      </c>
      <c r="G115" s="7">
        <v>4065060</v>
      </c>
    </row>
    <row r="116" spans="1:7">
      <c r="A116" s="4" t="s">
        <v>69</v>
      </c>
      <c r="B116" s="6" t="s">
        <v>70</v>
      </c>
      <c r="C116" s="6">
        <v>2020</v>
      </c>
      <c r="D116" s="4" t="s">
        <v>104</v>
      </c>
      <c r="E116" s="6" t="s">
        <v>450</v>
      </c>
      <c r="F116" s="7">
        <v>275443.95</v>
      </c>
      <c r="G116" s="7">
        <v>1075082</v>
      </c>
    </row>
    <row r="117" spans="1:7">
      <c r="A117" s="4" t="s">
        <v>69</v>
      </c>
      <c r="B117" s="6" t="s">
        <v>70</v>
      </c>
      <c r="C117" s="6">
        <v>2020</v>
      </c>
      <c r="D117" s="4" t="s">
        <v>96</v>
      </c>
      <c r="E117" s="6" t="s">
        <v>453</v>
      </c>
      <c r="F117" s="7">
        <v>152556.42</v>
      </c>
      <c r="G117" s="7">
        <v>651600</v>
      </c>
    </row>
    <row r="118" spans="1:7">
      <c r="A118" s="4" t="s">
        <v>69</v>
      </c>
      <c r="B118" s="6" t="s">
        <v>70</v>
      </c>
      <c r="C118" s="6">
        <v>2020</v>
      </c>
      <c r="D118" s="4" t="s">
        <v>203</v>
      </c>
      <c r="E118" s="6" t="s">
        <v>452</v>
      </c>
      <c r="F118" s="7">
        <v>82875.52</v>
      </c>
      <c r="G118" s="7">
        <v>272500</v>
      </c>
    </row>
    <row r="119" spans="1:7">
      <c r="A119" s="4" t="s">
        <v>69</v>
      </c>
      <c r="B119" s="6" t="s">
        <v>70</v>
      </c>
      <c r="C119" s="6">
        <v>2020</v>
      </c>
      <c r="D119" s="4" t="s">
        <v>93</v>
      </c>
      <c r="E119" s="6" t="s">
        <v>458</v>
      </c>
      <c r="F119" s="7">
        <v>82353.11</v>
      </c>
      <c r="G119" s="7">
        <v>35021.256</v>
      </c>
    </row>
    <row r="120" spans="1:7">
      <c r="A120" s="4" t="s">
        <v>69</v>
      </c>
      <c r="B120" s="6" t="s">
        <v>70</v>
      </c>
      <c r="C120" s="6">
        <v>2020</v>
      </c>
      <c r="D120" s="4" t="s">
        <v>115</v>
      </c>
      <c r="E120" s="6" t="s">
        <v>454</v>
      </c>
      <c r="F120" s="7">
        <v>47985.6</v>
      </c>
      <c r="G120" s="7">
        <v>172800</v>
      </c>
    </row>
    <row r="121" spans="1:7">
      <c r="A121" s="4" t="s">
        <v>69</v>
      </c>
      <c r="B121" s="6" t="s">
        <v>70</v>
      </c>
      <c r="C121" s="6">
        <v>2020</v>
      </c>
      <c r="D121" s="4" t="s">
        <v>60</v>
      </c>
      <c r="E121" s="6" t="s">
        <v>462</v>
      </c>
      <c r="F121" s="7">
        <v>21836.78</v>
      </c>
      <c r="G121" s="7">
        <v>60062</v>
      </c>
    </row>
    <row r="122" spans="1:7">
      <c r="A122" s="4" t="s">
        <v>69</v>
      </c>
      <c r="B122" s="6" t="s">
        <v>70</v>
      </c>
      <c r="C122" s="6">
        <v>2020</v>
      </c>
      <c r="D122" s="4" t="s">
        <v>121</v>
      </c>
      <c r="E122" s="6" t="s">
        <v>455</v>
      </c>
      <c r="F122" s="7">
        <v>14667.58</v>
      </c>
      <c r="G122" s="7">
        <v>4625</v>
      </c>
    </row>
    <row r="123" spans="1:7">
      <c r="A123" s="4" t="s">
        <v>69</v>
      </c>
      <c r="B123" s="6" t="s">
        <v>70</v>
      </c>
      <c r="C123" s="6">
        <v>2020</v>
      </c>
      <c r="D123" s="4" t="s">
        <v>65</v>
      </c>
      <c r="E123" s="6" t="s">
        <v>475</v>
      </c>
      <c r="F123" s="7">
        <v>7040.14</v>
      </c>
      <c r="G123" s="7">
        <v>0</v>
      </c>
    </row>
    <row r="124" spans="1:7">
      <c r="A124" s="4" t="s">
        <v>69</v>
      </c>
      <c r="B124" s="6" t="s">
        <v>70</v>
      </c>
      <c r="C124" s="6">
        <v>2020</v>
      </c>
      <c r="D124" s="4" t="s">
        <v>476</v>
      </c>
      <c r="E124" s="6" t="s">
        <v>477</v>
      </c>
      <c r="F124" s="7">
        <v>1727.43</v>
      </c>
      <c r="G124" s="7">
        <v>0</v>
      </c>
    </row>
    <row r="125" spans="1:7">
      <c r="A125" s="4" t="s">
        <v>69</v>
      </c>
      <c r="B125" s="6" t="s">
        <v>70</v>
      </c>
      <c r="C125" s="6">
        <v>2021</v>
      </c>
      <c r="D125" s="4" t="s">
        <v>62</v>
      </c>
      <c r="E125" s="6" t="s">
        <v>448</v>
      </c>
      <c r="F125" s="7">
        <v>127632623.14</v>
      </c>
      <c r="G125" s="7">
        <v>475636412.634</v>
      </c>
    </row>
    <row r="126" spans="1:7">
      <c r="A126" s="4" t="s">
        <v>69</v>
      </c>
      <c r="B126" s="6" t="s">
        <v>70</v>
      </c>
      <c r="C126" s="6">
        <v>2021</v>
      </c>
      <c r="D126" s="4" t="s">
        <v>81</v>
      </c>
      <c r="E126" s="6" t="s">
        <v>449</v>
      </c>
      <c r="F126" s="7">
        <v>10895319.48</v>
      </c>
      <c r="G126" s="7">
        <v>44692080</v>
      </c>
    </row>
    <row r="127" spans="1:7">
      <c r="A127" s="4" t="s">
        <v>69</v>
      </c>
      <c r="B127" s="6" t="s">
        <v>70</v>
      </c>
      <c r="C127" s="6">
        <v>2021</v>
      </c>
      <c r="D127" s="4" t="s">
        <v>104</v>
      </c>
      <c r="E127" s="6" t="s">
        <v>450</v>
      </c>
      <c r="F127" s="7">
        <v>1870432.44</v>
      </c>
      <c r="G127" s="7">
        <v>10674288</v>
      </c>
    </row>
    <row r="128" spans="1:7">
      <c r="A128" s="4" t="s">
        <v>69</v>
      </c>
      <c r="B128" s="6" t="s">
        <v>70</v>
      </c>
      <c r="C128" s="6">
        <v>2021</v>
      </c>
      <c r="D128" s="4" t="s">
        <v>96</v>
      </c>
      <c r="E128" s="6" t="s">
        <v>453</v>
      </c>
      <c r="F128" s="7">
        <v>568740.5</v>
      </c>
      <c r="G128" s="7">
        <v>3110636</v>
      </c>
    </row>
    <row r="129" spans="1:7">
      <c r="A129" s="4" t="s">
        <v>69</v>
      </c>
      <c r="B129" s="6" t="s">
        <v>70</v>
      </c>
      <c r="C129" s="6">
        <v>2021</v>
      </c>
      <c r="D129" s="4" t="s">
        <v>125</v>
      </c>
      <c r="E129" s="6" t="s">
        <v>465</v>
      </c>
      <c r="F129" s="7">
        <v>488437.3</v>
      </c>
      <c r="G129" s="7">
        <v>2655100</v>
      </c>
    </row>
    <row r="130" spans="1:7">
      <c r="A130" s="4" t="s">
        <v>69</v>
      </c>
      <c r="B130" s="6" t="s">
        <v>70</v>
      </c>
      <c r="C130" s="6">
        <v>2021</v>
      </c>
      <c r="D130" s="4" t="s">
        <v>203</v>
      </c>
      <c r="E130" s="6" t="s">
        <v>452</v>
      </c>
      <c r="F130" s="7">
        <v>279752.51</v>
      </c>
      <c r="G130" s="7">
        <v>929075</v>
      </c>
    </row>
    <row r="131" spans="1:7">
      <c r="A131" s="4" t="s">
        <v>69</v>
      </c>
      <c r="B131" s="6" t="s">
        <v>70</v>
      </c>
      <c r="C131" s="6">
        <v>2021</v>
      </c>
      <c r="D131" s="4" t="s">
        <v>98</v>
      </c>
      <c r="E131" s="6" t="s">
        <v>470</v>
      </c>
      <c r="F131" s="7">
        <v>158769.27</v>
      </c>
      <c r="G131" s="7">
        <v>450044.7</v>
      </c>
    </row>
    <row r="132" spans="1:7">
      <c r="A132" s="4" t="s">
        <v>69</v>
      </c>
      <c r="B132" s="6" t="s">
        <v>70</v>
      </c>
      <c r="C132" s="6">
        <v>2021</v>
      </c>
      <c r="D132" s="4" t="s">
        <v>115</v>
      </c>
      <c r="E132" s="6" t="s">
        <v>454</v>
      </c>
      <c r="F132" s="7">
        <v>111684.64</v>
      </c>
      <c r="G132" s="7">
        <v>375800</v>
      </c>
    </row>
    <row r="133" spans="1:7">
      <c r="A133" s="4" t="s">
        <v>69</v>
      </c>
      <c r="B133" s="6" t="s">
        <v>70</v>
      </c>
      <c r="C133" s="6">
        <v>2021</v>
      </c>
      <c r="D133" s="4" t="s">
        <v>93</v>
      </c>
      <c r="E133" s="6" t="s">
        <v>458</v>
      </c>
      <c r="F133" s="7">
        <v>93041.23</v>
      </c>
      <c r="G133" s="7">
        <v>22797.826</v>
      </c>
    </row>
    <row r="134" spans="1:7">
      <c r="A134" s="4" t="s">
        <v>69</v>
      </c>
      <c r="B134" s="6" t="s">
        <v>70</v>
      </c>
      <c r="C134" s="6">
        <v>2021</v>
      </c>
      <c r="D134" s="4" t="s">
        <v>185</v>
      </c>
      <c r="E134" s="6" t="s">
        <v>457</v>
      </c>
      <c r="F134" s="7">
        <v>82513.2</v>
      </c>
      <c r="G134" s="7">
        <v>500080</v>
      </c>
    </row>
    <row r="135" spans="1:7">
      <c r="A135" s="4" t="s">
        <v>69</v>
      </c>
      <c r="B135" s="6" t="s">
        <v>70</v>
      </c>
      <c r="C135" s="6">
        <v>2021</v>
      </c>
      <c r="D135" s="4" t="s">
        <v>60</v>
      </c>
      <c r="E135" s="6" t="s">
        <v>462</v>
      </c>
      <c r="F135" s="7">
        <v>69435.10000000001</v>
      </c>
      <c r="G135" s="7">
        <v>200000</v>
      </c>
    </row>
    <row r="136" spans="1:7">
      <c r="A136" s="4" t="s">
        <v>69</v>
      </c>
      <c r="B136" s="6" t="s">
        <v>70</v>
      </c>
      <c r="C136" s="6">
        <v>2021</v>
      </c>
      <c r="D136" s="4" t="s">
        <v>89</v>
      </c>
      <c r="E136" s="6" t="s">
        <v>459</v>
      </c>
      <c r="F136" s="7">
        <v>46845.52</v>
      </c>
      <c r="G136" s="7">
        <v>140000</v>
      </c>
    </row>
    <row r="137" spans="1:7">
      <c r="A137" s="4" t="s">
        <v>69</v>
      </c>
      <c r="B137" s="6" t="s">
        <v>70</v>
      </c>
      <c r="C137" s="6">
        <v>2021</v>
      </c>
      <c r="D137" s="4" t="s">
        <v>121</v>
      </c>
      <c r="E137" s="6" t="s">
        <v>455</v>
      </c>
      <c r="F137" s="7">
        <v>33000</v>
      </c>
      <c r="G137" s="7">
        <v>10000</v>
      </c>
    </row>
    <row r="138" spans="1:7">
      <c r="A138" s="4" t="s">
        <v>69</v>
      </c>
      <c r="B138" s="6" t="s">
        <v>70</v>
      </c>
      <c r="C138" s="6">
        <v>2021</v>
      </c>
      <c r="D138" s="4" t="s">
        <v>65</v>
      </c>
      <c r="E138" s="6" t="s">
        <v>475</v>
      </c>
      <c r="F138" s="7">
        <v>7040.14</v>
      </c>
      <c r="G138" s="7">
        <v>0</v>
      </c>
    </row>
    <row r="139" spans="1:7">
      <c r="A139" s="4" t="s">
        <v>69</v>
      </c>
      <c r="B139" s="6" t="s">
        <v>70</v>
      </c>
      <c r="C139" s="6">
        <v>2021</v>
      </c>
      <c r="D139" s="4" t="s">
        <v>476</v>
      </c>
      <c r="E139" s="6" t="s">
        <v>477</v>
      </c>
      <c r="F139" s="7">
        <v>616.64</v>
      </c>
      <c r="G139" s="7">
        <v>2114.855</v>
      </c>
    </row>
    <row r="140" spans="1:7">
      <c r="A140" s="4" t="s">
        <v>69</v>
      </c>
      <c r="B140" s="6" t="s">
        <v>70</v>
      </c>
      <c r="C140" s="6">
        <v>2021</v>
      </c>
      <c r="D140" s="4" t="s">
        <v>209</v>
      </c>
      <c r="E140" s="6" t="s">
        <v>478</v>
      </c>
      <c r="F140" s="7">
        <v>238.89</v>
      </c>
      <c r="G140" s="7">
        <v>0</v>
      </c>
    </row>
    <row r="141" spans="1:7">
      <c r="A141" s="4" t="s">
        <v>69</v>
      </c>
      <c r="B141" s="6" t="s">
        <v>70</v>
      </c>
      <c r="C141" s="6">
        <v>2021</v>
      </c>
      <c r="D141" s="4" t="s">
        <v>409</v>
      </c>
      <c r="E141" s="6" t="s">
        <v>461</v>
      </c>
      <c r="F141" s="7">
        <v>91.05</v>
      </c>
      <c r="G141" s="7">
        <v>2</v>
      </c>
    </row>
    <row r="142" spans="1:7">
      <c r="A142" s="4" t="s">
        <v>69</v>
      </c>
      <c r="B142" s="6" t="s">
        <v>70</v>
      </c>
      <c r="C142" s="6">
        <v>2022</v>
      </c>
      <c r="D142" s="4" t="s">
        <v>62</v>
      </c>
      <c r="E142" s="6" t="s">
        <v>448</v>
      </c>
      <c r="F142" s="7">
        <v>200206882.1</v>
      </c>
      <c r="G142" s="7">
        <v>637986479.584</v>
      </c>
    </row>
    <row r="143" spans="1:7">
      <c r="A143" s="4" t="s">
        <v>69</v>
      </c>
      <c r="B143" s="6" t="s">
        <v>70</v>
      </c>
      <c r="C143" s="6">
        <v>2022</v>
      </c>
      <c r="D143" s="4" t="s">
        <v>203</v>
      </c>
      <c r="E143" s="6" t="s">
        <v>452</v>
      </c>
      <c r="F143" s="7">
        <v>10352133.67</v>
      </c>
      <c r="G143" s="7">
        <v>18234005</v>
      </c>
    </row>
    <row r="144" spans="1:7">
      <c r="A144" s="4" t="s">
        <v>69</v>
      </c>
      <c r="B144" s="6" t="s">
        <v>70</v>
      </c>
      <c r="C144" s="6">
        <v>2022</v>
      </c>
      <c r="D144" s="4" t="s">
        <v>185</v>
      </c>
      <c r="E144" s="6" t="s">
        <v>457</v>
      </c>
      <c r="F144" s="7">
        <v>255112.2</v>
      </c>
      <c r="G144" s="7">
        <v>1000440</v>
      </c>
    </row>
    <row r="145" spans="1:7">
      <c r="A145" s="4" t="s">
        <v>69</v>
      </c>
      <c r="B145" s="6" t="s">
        <v>70</v>
      </c>
      <c r="C145" s="6">
        <v>2022</v>
      </c>
      <c r="D145" s="4" t="s">
        <v>81</v>
      </c>
      <c r="E145" s="6" t="s">
        <v>449</v>
      </c>
      <c r="F145" s="7">
        <v>86697.81</v>
      </c>
      <c r="G145" s="7">
        <v>225000</v>
      </c>
    </row>
    <row r="146" spans="1:7">
      <c r="A146" s="4" t="s">
        <v>69</v>
      </c>
      <c r="B146" s="6" t="s">
        <v>70</v>
      </c>
      <c r="C146" s="6">
        <v>2022</v>
      </c>
      <c r="D146" s="4" t="s">
        <v>60</v>
      </c>
      <c r="E146" s="6" t="s">
        <v>462</v>
      </c>
      <c r="F146" s="7">
        <v>66229.66</v>
      </c>
      <c r="G146" s="7">
        <v>140050</v>
      </c>
    </row>
    <row r="147" spans="1:7">
      <c r="A147" s="4" t="s">
        <v>69</v>
      </c>
      <c r="B147" s="6" t="s">
        <v>70</v>
      </c>
      <c r="C147" s="6">
        <v>2022</v>
      </c>
      <c r="D147" s="4" t="s">
        <v>93</v>
      </c>
      <c r="E147" s="6" t="s">
        <v>458</v>
      </c>
      <c r="F147" s="7">
        <v>62616.23</v>
      </c>
      <c r="G147" s="7">
        <v>12514.26</v>
      </c>
    </row>
    <row r="148" spans="1:7">
      <c r="A148" s="4" t="s">
        <v>69</v>
      </c>
      <c r="B148" s="6" t="s">
        <v>70</v>
      </c>
      <c r="C148" s="6">
        <v>2022</v>
      </c>
      <c r="D148" s="4" t="s">
        <v>121</v>
      </c>
      <c r="E148" s="6" t="s">
        <v>455</v>
      </c>
      <c r="F148" s="7">
        <v>60684.05</v>
      </c>
      <c r="G148" s="7">
        <v>15573.32</v>
      </c>
    </row>
    <row r="149" spans="1:7">
      <c r="A149" s="4" t="s">
        <v>69</v>
      </c>
      <c r="B149" s="6" t="s">
        <v>70</v>
      </c>
      <c r="C149" s="6">
        <v>2022</v>
      </c>
      <c r="D149" s="4" t="s">
        <v>125</v>
      </c>
      <c r="E149" s="6" t="s">
        <v>465</v>
      </c>
      <c r="F149" s="7">
        <v>35100</v>
      </c>
      <c r="G149" s="7">
        <v>108000</v>
      </c>
    </row>
    <row r="150" spans="1:7">
      <c r="A150" s="4" t="s">
        <v>69</v>
      </c>
      <c r="B150" s="6" t="s">
        <v>70</v>
      </c>
      <c r="C150" s="6">
        <v>2022</v>
      </c>
      <c r="D150" s="4" t="s">
        <v>96</v>
      </c>
      <c r="E150" s="6" t="s">
        <v>453</v>
      </c>
      <c r="F150" s="7">
        <v>13147.73</v>
      </c>
      <c r="G150" s="7">
        <v>3531.04</v>
      </c>
    </row>
    <row r="151" spans="1:7">
      <c r="A151" s="4" t="s">
        <v>69</v>
      </c>
      <c r="B151" s="6" t="s">
        <v>70</v>
      </c>
      <c r="C151" s="6">
        <v>2022</v>
      </c>
      <c r="D151" s="4" t="s">
        <v>65</v>
      </c>
      <c r="E151" s="6" t="s">
        <v>475</v>
      </c>
      <c r="F151" s="7">
        <v>4854.69</v>
      </c>
      <c r="G151" s="7">
        <v>1000</v>
      </c>
    </row>
    <row r="152" spans="1:7">
      <c r="A152" s="4" t="s">
        <v>69</v>
      </c>
      <c r="B152" s="6" t="s">
        <v>70</v>
      </c>
      <c r="C152" s="6">
        <v>2022</v>
      </c>
      <c r="D152" s="4" t="s">
        <v>476</v>
      </c>
      <c r="E152" s="6" t="s">
        <v>477</v>
      </c>
      <c r="F152" s="7">
        <v>2162.84</v>
      </c>
      <c r="G152" s="7">
        <v>967.953</v>
      </c>
    </row>
    <row r="153" spans="1:7">
      <c r="A153" s="4" t="s">
        <v>69</v>
      </c>
      <c r="B153" s="6" t="s">
        <v>70</v>
      </c>
      <c r="C153" s="6">
        <v>2022</v>
      </c>
      <c r="D153" s="4" t="s">
        <v>73</v>
      </c>
      <c r="E153" s="6" t="s">
        <v>460</v>
      </c>
      <c r="F153" s="7">
        <v>1292</v>
      </c>
      <c r="G153" s="7">
        <v>200</v>
      </c>
    </row>
    <row r="154" spans="1:7">
      <c r="A154" s="4" t="s">
        <v>69</v>
      </c>
      <c r="B154" s="6" t="s">
        <v>70</v>
      </c>
      <c r="C154" s="6">
        <v>2022</v>
      </c>
      <c r="D154" s="4" t="s">
        <v>98</v>
      </c>
      <c r="E154" s="6" t="s">
        <v>470</v>
      </c>
      <c r="F154" s="7">
        <v>198.53</v>
      </c>
      <c r="G154" s="7">
        <v>13.3</v>
      </c>
    </row>
    <row r="155" spans="1:7">
      <c r="A155" s="4" t="s">
        <v>69</v>
      </c>
      <c r="B155" s="6" t="s">
        <v>70</v>
      </c>
      <c r="C155" s="6">
        <v>2023</v>
      </c>
      <c r="D155" s="4" t="s">
        <v>62</v>
      </c>
      <c r="E155" s="6" t="s">
        <v>448</v>
      </c>
      <c r="F155" s="7">
        <v>300901128.9</v>
      </c>
      <c r="G155" s="7">
        <v>774236969.108</v>
      </c>
    </row>
    <row r="156" spans="1:7">
      <c r="A156" s="4" t="s">
        <v>69</v>
      </c>
      <c r="B156" s="6" t="s">
        <v>70</v>
      </c>
      <c r="C156" s="6">
        <v>2023</v>
      </c>
      <c r="D156" s="4" t="s">
        <v>81</v>
      </c>
      <c r="E156" s="6" t="s">
        <v>449</v>
      </c>
      <c r="F156" s="7">
        <v>3783626.62</v>
      </c>
      <c r="G156" s="7">
        <v>10775440</v>
      </c>
    </row>
    <row r="157" spans="1:7">
      <c r="A157" s="4" t="s">
        <v>69</v>
      </c>
      <c r="B157" s="6" t="s">
        <v>70</v>
      </c>
      <c r="C157" s="6">
        <v>2023</v>
      </c>
      <c r="D157" s="4" t="s">
        <v>203</v>
      </c>
      <c r="E157" s="6" t="s">
        <v>452</v>
      </c>
      <c r="F157" s="7">
        <v>672357.7</v>
      </c>
      <c r="G157" s="7">
        <v>1523153.31</v>
      </c>
    </row>
    <row r="158" spans="1:7">
      <c r="A158" s="4" t="s">
        <v>69</v>
      </c>
      <c r="B158" s="6" t="s">
        <v>70</v>
      </c>
      <c r="C158" s="6">
        <v>2023</v>
      </c>
      <c r="D158" s="4" t="s">
        <v>93</v>
      </c>
      <c r="E158" s="6" t="s">
        <v>458</v>
      </c>
      <c r="F158" s="7">
        <v>64198.13</v>
      </c>
      <c r="G158" s="7">
        <v>32960.184</v>
      </c>
    </row>
    <row r="159" spans="1:7">
      <c r="A159" s="4" t="s">
        <v>69</v>
      </c>
      <c r="B159" s="6" t="s">
        <v>70</v>
      </c>
      <c r="C159" s="6">
        <v>2023</v>
      </c>
      <c r="D159" s="4" t="s">
        <v>96</v>
      </c>
      <c r="E159" s="6" t="s">
        <v>453</v>
      </c>
      <c r="F159" s="7">
        <v>58852.06</v>
      </c>
      <c r="G159" s="7">
        <v>98020.86</v>
      </c>
    </row>
    <row r="160" spans="1:7">
      <c r="A160" s="4" t="s">
        <v>69</v>
      </c>
      <c r="B160" s="6" t="s">
        <v>70</v>
      </c>
      <c r="C160" s="6">
        <v>2023</v>
      </c>
      <c r="D160" s="4" t="s">
        <v>121</v>
      </c>
      <c r="E160" s="6" t="s">
        <v>455</v>
      </c>
      <c r="F160" s="7">
        <v>43000</v>
      </c>
      <c r="G160" s="7">
        <v>10000</v>
      </c>
    </row>
    <row r="161" spans="1:7">
      <c r="A161" s="4" t="s">
        <v>69</v>
      </c>
      <c r="B161" s="6" t="s">
        <v>70</v>
      </c>
      <c r="C161" s="6">
        <v>2023</v>
      </c>
      <c r="D161" s="4" t="s">
        <v>125</v>
      </c>
      <c r="E161" s="6" t="s">
        <v>465</v>
      </c>
      <c r="F161" s="7">
        <v>39960</v>
      </c>
      <c r="G161" s="7">
        <v>108000</v>
      </c>
    </row>
    <row r="162" spans="1:7">
      <c r="A162" s="4" t="s">
        <v>69</v>
      </c>
      <c r="B162" s="6" t="s">
        <v>70</v>
      </c>
      <c r="C162" s="6">
        <v>2023</v>
      </c>
      <c r="D162" s="4" t="s">
        <v>73</v>
      </c>
      <c r="E162" s="6" t="s">
        <v>460</v>
      </c>
      <c r="F162" s="7">
        <v>27678.43</v>
      </c>
      <c r="G162" s="7">
        <v>11028.335</v>
      </c>
    </row>
    <row r="163" spans="1:7">
      <c r="A163" s="4" t="s">
        <v>69</v>
      </c>
      <c r="B163" s="6" t="s">
        <v>70</v>
      </c>
      <c r="C163" s="6">
        <v>2023</v>
      </c>
      <c r="D163" s="4" t="s">
        <v>89</v>
      </c>
      <c r="E163" s="6" t="s">
        <v>459</v>
      </c>
      <c r="F163" s="7">
        <v>20650</v>
      </c>
      <c r="G163" s="7">
        <v>35000</v>
      </c>
    </row>
    <row r="164" spans="1:7">
      <c r="A164" s="4" t="s">
        <v>69</v>
      </c>
      <c r="B164" s="6" t="s">
        <v>70</v>
      </c>
      <c r="C164" s="6">
        <v>2023</v>
      </c>
      <c r="D164" s="4" t="s">
        <v>231</v>
      </c>
      <c r="E164" s="6" t="s">
        <v>466</v>
      </c>
      <c r="F164" s="7">
        <v>20475</v>
      </c>
      <c r="G164" s="7">
        <v>21000</v>
      </c>
    </row>
    <row r="165" spans="1:7">
      <c r="A165" s="4" t="s">
        <v>69</v>
      </c>
      <c r="B165" s="6" t="s">
        <v>70</v>
      </c>
      <c r="C165" s="6">
        <v>2023</v>
      </c>
      <c r="D165" s="4" t="s">
        <v>65</v>
      </c>
      <c r="E165" s="6" t="s">
        <v>475</v>
      </c>
      <c r="F165" s="7">
        <v>7442.8</v>
      </c>
      <c r="G165" s="7">
        <v>0</v>
      </c>
    </row>
    <row r="166" spans="1:7">
      <c r="A166" s="4" t="s">
        <v>69</v>
      </c>
      <c r="B166" s="6" t="s">
        <v>70</v>
      </c>
      <c r="C166" s="6">
        <v>2023</v>
      </c>
      <c r="D166" s="4" t="s">
        <v>476</v>
      </c>
      <c r="E166" s="6" t="s">
        <v>477</v>
      </c>
      <c r="F166" s="7">
        <v>737.22</v>
      </c>
      <c r="G166" s="7">
        <v>0</v>
      </c>
    </row>
    <row r="167" spans="1:7">
      <c r="A167" s="4" t="s">
        <v>69</v>
      </c>
      <c r="B167" s="6" t="s">
        <v>70</v>
      </c>
      <c r="C167" s="6">
        <v>2023</v>
      </c>
      <c r="D167" s="4" t="s">
        <v>98</v>
      </c>
      <c r="E167" s="6" t="s">
        <v>470</v>
      </c>
      <c r="F167" s="7">
        <v>175.92</v>
      </c>
      <c r="G167" s="7">
        <v>6</v>
      </c>
    </row>
    <row r="168" spans="1:7">
      <c r="A168" s="4" t="s">
        <v>69</v>
      </c>
      <c r="B168" s="6" t="s">
        <v>70</v>
      </c>
      <c r="C168" s="6">
        <v>2024</v>
      </c>
      <c r="D168" s="4" t="s">
        <v>62</v>
      </c>
      <c r="E168" s="6" t="s">
        <v>448</v>
      </c>
      <c r="F168" s="7">
        <v>271181430.52</v>
      </c>
      <c r="G168" s="7">
        <v>768793576.098</v>
      </c>
    </row>
    <row r="169" spans="1:7">
      <c r="A169" s="4" t="s">
        <v>69</v>
      </c>
      <c r="B169" s="6" t="s">
        <v>70</v>
      </c>
      <c r="C169" s="6">
        <v>2024</v>
      </c>
      <c r="D169" s="4" t="s">
        <v>81</v>
      </c>
      <c r="E169" s="6" t="s">
        <v>449</v>
      </c>
      <c r="F169" s="7">
        <v>2566916.76</v>
      </c>
      <c r="G169" s="7">
        <v>8304260</v>
      </c>
    </row>
    <row r="170" spans="1:7">
      <c r="A170" s="4" t="s">
        <v>69</v>
      </c>
      <c r="B170" s="6" t="s">
        <v>70</v>
      </c>
      <c r="C170" s="6">
        <v>2024</v>
      </c>
      <c r="D170" s="4" t="s">
        <v>203</v>
      </c>
      <c r="E170" s="6" t="s">
        <v>452</v>
      </c>
      <c r="F170" s="7">
        <v>290609.56</v>
      </c>
      <c r="G170" s="7">
        <v>659256</v>
      </c>
    </row>
    <row r="171" spans="1:7">
      <c r="A171" s="4" t="s">
        <v>69</v>
      </c>
      <c r="B171" s="6" t="s">
        <v>70</v>
      </c>
      <c r="C171" s="6">
        <v>2024</v>
      </c>
      <c r="D171" s="4" t="s">
        <v>96</v>
      </c>
      <c r="E171" s="6" t="s">
        <v>453</v>
      </c>
      <c r="F171" s="7">
        <v>212111.15</v>
      </c>
      <c r="G171" s="7">
        <v>580002.8</v>
      </c>
    </row>
    <row r="172" spans="1:7">
      <c r="A172" s="4" t="s">
        <v>69</v>
      </c>
      <c r="B172" s="6" t="s">
        <v>70</v>
      </c>
      <c r="C172" s="6">
        <v>2024</v>
      </c>
      <c r="D172" s="4" t="s">
        <v>121</v>
      </c>
      <c r="E172" s="6" t="s">
        <v>455</v>
      </c>
      <c r="F172" s="7">
        <v>86000</v>
      </c>
      <c r="G172" s="7">
        <v>20000</v>
      </c>
    </row>
    <row r="173" spans="1:7">
      <c r="A173" s="4" t="s">
        <v>69</v>
      </c>
      <c r="B173" s="6" t="s">
        <v>70</v>
      </c>
      <c r="C173" s="6">
        <v>2024</v>
      </c>
      <c r="D173" s="4" t="s">
        <v>125</v>
      </c>
      <c r="E173" s="6" t="s">
        <v>465</v>
      </c>
      <c r="F173" s="7">
        <v>50400</v>
      </c>
      <c r="G173" s="7">
        <v>144000</v>
      </c>
    </row>
    <row r="174" spans="1:7">
      <c r="A174" s="4" t="s">
        <v>69</v>
      </c>
      <c r="B174" s="6" t="s">
        <v>70</v>
      </c>
      <c r="C174" s="6">
        <v>2024</v>
      </c>
      <c r="D174" s="4" t="s">
        <v>93</v>
      </c>
      <c r="E174" s="6" t="s">
        <v>458</v>
      </c>
      <c r="F174" s="7">
        <v>32209.92</v>
      </c>
      <c r="G174" s="7">
        <v>2422.444</v>
      </c>
    </row>
    <row r="175" spans="1:7">
      <c r="A175" s="4" t="s">
        <v>69</v>
      </c>
      <c r="B175" s="6" t="s">
        <v>70</v>
      </c>
      <c r="C175" s="6">
        <v>2024</v>
      </c>
      <c r="D175" s="4" t="s">
        <v>60</v>
      </c>
      <c r="E175" s="6" t="s">
        <v>462</v>
      </c>
      <c r="F175" s="7">
        <v>14181.84</v>
      </c>
      <c r="G175" s="7">
        <v>503</v>
      </c>
    </row>
    <row r="176" spans="1:7">
      <c r="A176" s="4" t="s">
        <v>69</v>
      </c>
      <c r="B176" s="6" t="s">
        <v>70</v>
      </c>
      <c r="C176" s="6">
        <v>2024</v>
      </c>
      <c r="D176" s="4" t="s">
        <v>73</v>
      </c>
      <c r="E176" s="6" t="s">
        <v>460</v>
      </c>
      <c r="F176" s="7">
        <v>11736.01</v>
      </c>
      <c r="G176" s="7">
        <v>4700</v>
      </c>
    </row>
    <row r="177" spans="1:7">
      <c r="A177" s="4" t="s">
        <v>69</v>
      </c>
      <c r="B177" s="6" t="s">
        <v>70</v>
      </c>
      <c r="C177" s="6">
        <v>2024</v>
      </c>
      <c r="D177" s="4" t="s">
        <v>177</v>
      </c>
      <c r="E177" s="6" t="s">
        <v>479</v>
      </c>
      <c r="F177" s="7">
        <v>2938.235</v>
      </c>
      <c r="G177" s="7">
        <v>22500</v>
      </c>
    </row>
    <row r="178" spans="1:7">
      <c r="A178" s="4" t="s">
        <v>69</v>
      </c>
      <c r="B178" s="6" t="s">
        <v>70</v>
      </c>
      <c r="C178" s="6">
        <v>2024</v>
      </c>
      <c r="D178" s="4" t="s">
        <v>104</v>
      </c>
      <c r="E178" s="6" t="s">
        <v>450</v>
      </c>
      <c r="F178" s="7">
        <v>717.7</v>
      </c>
      <c r="G178" s="7">
        <v>12</v>
      </c>
    </row>
    <row r="179" spans="1:7">
      <c r="A179" s="4" t="s">
        <v>69</v>
      </c>
      <c r="B179" s="6" t="s">
        <v>70</v>
      </c>
      <c r="C179" s="6">
        <v>2024</v>
      </c>
      <c r="D179" s="4" t="s">
        <v>476</v>
      </c>
      <c r="E179" s="6" t="s">
        <v>477</v>
      </c>
      <c r="F179" s="7">
        <v>425.16</v>
      </c>
      <c r="G179" s="7">
        <v>4.6</v>
      </c>
    </row>
    <row r="180" spans="1:7">
      <c r="A180" s="4" t="s">
        <v>69</v>
      </c>
      <c r="B180" s="6" t="s">
        <v>70</v>
      </c>
      <c r="C180" s="6">
        <v>2024</v>
      </c>
      <c r="D180" s="4" t="s">
        <v>89</v>
      </c>
      <c r="E180" s="6" t="s">
        <v>459</v>
      </c>
      <c r="F180" s="7">
        <v>217.59</v>
      </c>
      <c r="G180" s="7">
        <v>25</v>
      </c>
    </row>
    <row r="181" spans="1:7">
      <c r="A181" s="4" t="s">
        <v>69</v>
      </c>
      <c r="B181" s="6" t="s">
        <v>70</v>
      </c>
      <c r="C181" s="6">
        <v>2024</v>
      </c>
      <c r="D181" s="4" t="s">
        <v>98</v>
      </c>
      <c r="E181" s="6" t="s">
        <v>470</v>
      </c>
      <c r="F181" s="7">
        <v>196.84</v>
      </c>
      <c r="G181" s="7">
        <v>8.84</v>
      </c>
    </row>
    <row r="182" spans="1:7">
      <c r="A182" s="4" t="s">
        <v>69</v>
      </c>
      <c r="B182" s="6" t="s">
        <v>70</v>
      </c>
      <c r="C182" s="6">
        <v>2024</v>
      </c>
      <c r="D182" s="4" t="s">
        <v>209</v>
      </c>
      <c r="E182" s="6" t="s">
        <v>478</v>
      </c>
      <c r="F182" s="7">
        <v>15</v>
      </c>
      <c r="G182" s="7">
        <v>0.5</v>
      </c>
    </row>
    <row r="183" spans="1:7">
      <c r="A183" s="4" t="s">
        <v>69</v>
      </c>
      <c r="B183" s="6" t="s">
        <v>70</v>
      </c>
      <c r="C183" s="6">
        <v>2025</v>
      </c>
      <c r="D183" s="4" t="s">
        <v>62</v>
      </c>
      <c r="E183" s="6" t="s">
        <v>448</v>
      </c>
      <c r="F183" s="7">
        <v>254573858.23</v>
      </c>
      <c r="G183" s="7">
        <v>855071757.286</v>
      </c>
    </row>
    <row r="184" spans="1:7">
      <c r="A184" s="4" t="s">
        <v>69</v>
      </c>
      <c r="B184" s="6" t="s">
        <v>70</v>
      </c>
      <c r="C184" s="6">
        <v>2025</v>
      </c>
      <c r="D184" s="4" t="s">
        <v>203</v>
      </c>
      <c r="E184" s="6" t="s">
        <v>452</v>
      </c>
      <c r="F184" s="7">
        <v>4759200.94</v>
      </c>
      <c r="G184" s="7">
        <v>20202714.377</v>
      </c>
    </row>
    <row r="185" spans="1:7">
      <c r="A185" s="4" t="s">
        <v>69</v>
      </c>
      <c r="B185" s="6" t="s">
        <v>70</v>
      </c>
      <c r="C185" s="6">
        <v>2025</v>
      </c>
      <c r="D185" s="4" t="s">
        <v>104</v>
      </c>
      <c r="E185" s="6" t="s">
        <v>450</v>
      </c>
      <c r="F185" s="7">
        <v>816570.6</v>
      </c>
      <c r="G185" s="7">
        <v>3254704</v>
      </c>
    </row>
    <row r="186" spans="1:7">
      <c r="A186" s="4" t="s">
        <v>69</v>
      </c>
      <c r="B186" s="6" t="s">
        <v>70</v>
      </c>
      <c r="C186" s="6">
        <v>2025</v>
      </c>
      <c r="D186" s="4" t="s">
        <v>81</v>
      </c>
      <c r="E186" s="6" t="s">
        <v>449</v>
      </c>
      <c r="F186" s="7">
        <v>451619.93</v>
      </c>
      <c r="G186" s="7">
        <v>1425000</v>
      </c>
    </row>
    <row r="187" spans="1:7">
      <c r="A187" s="4" t="s">
        <v>69</v>
      </c>
      <c r="B187" s="6" t="s">
        <v>70</v>
      </c>
      <c r="C187" s="6">
        <v>2025</v>
      </c>
      <c r="D187" s="4" t="s">
        <v>98</v>
      </c>
      <c r="E187" s="6" t="s">
        <v>470</v>
      </c>
      <c r="F187" s="7">
        <v>396434.62</v>
      </c>
      <c r="G187" s="7">
        <v>1000000</v>
      </c>
    </row>
    <row r="188" spans="1:7">
      <c r="A188" s="4" t="s">
        <v>69</v>
      </c>
      <c r="B188" s="6" t="s">
        <v>70</v>
      </c>
      <c r="C188" s="6">
        <v>2025</v>
      </c>
      <c r="D188" s="4" t="s">
        <v>96</v>
      </c>
      <c r="E188" s="6" t="s">
        <v>453</v>
      </c>
      <c r="F188" s="7">
        <v>218700</v>
      </c>
      <c r="G188" s="7">
        <v>666000</v>
      </c>
    </row>
    <row r="189" spans="1:7">
      <c r="A189" s="4" t="s">
        <v>69</v>
      </c>
      <c r="B189" s="6" t="s">
        <v>70</v>
      </c>
      <c r="C189" s="6">
        <v>2025</v>
      </c>
      <c r="D189" s="4" t="s">
        <v>125</v>
      </c>
      <c r="E189" s="6" t="s">
        <v>465</v>
      </c>
      <c r="F189" s="7">
        <v>197812.07</v>
      </c>
      <c r="G189" s="7">
        <v>830760</v>
      </c>
    </row>
    <row r="190" spans="1:7">
      <c r="A190" s="4" t="s">
        <v>69</v>
      </c>
      <c r="B190" s="6" t="s">
        <v>70</v>
      </c>
      <c r="C190" s="6">
        <v>2025</v>
      </c>
      <c r="D190" s="4" t="s">
        <v>93</v>
      </c>
      <c r="E190" s="6" t="s">
        <v>458</v>
      </c>
      <c r="F190" s="7">
        <v>119494.73</v>
      </c>
      <c r="G190" s="7">
        <v>22165.056</v>
      </c>
    </row>
    <row r="191" spans="1:7">
      <c r="A191" s="4" t="s">
        <v>69</v>
      </c>
      <c r="B191" s="6" t="s">
        <v>70</v>
      </c>
      <c r="C191" s="6">
        <v>2025</v>
      </c>
      <c r="D191" s="4" t="s">
        <v>112</v>
      </c>
      <c r="E191" s="6" t="s">
        <v>480</v>
      </c>
      <c r="F191" s="7">
        <v>40950</v>
      </c>
      <c r="G191" s="7">
        <v>41000</v>
      </c>
    </row>
    <row r="192" spans="1:7">
      <c r="A192" s="4" t="s">
        <v>69</v>
      </c>
      <c r="B192" s="6" t="s">
        <v>70</v>
      </c>
      <c r="C192" s="6">
        <v>2025</v>
      </c>
      <c r="D192" s="4" t="s">
        <v>73</v>
      </c>
      <c r="E192" s="6" t="s">
        <v>460</v>
      </c>
      <c r="F192" s="7">
        <v>15713.43</v>
      </c>
      <c r="G192" s="7">
        <v>23014.66</v>
      </c>
    </row>
    <row r="193" spans="1:7">
      <c r="A193" s="4" t="s">
        <v>69</v>
      </c>
      <c r="B193" s="6" t="s">
        <v>70</v>
      </c>
      <c r="C193" s="6">
        <v>2025</v>
      </c>
      <c r="D193" s="4" t="s">
        <v>476</v>
      </c>
      <c r="E193" s="6" t="s">
        <v>477</v>
      </c>
      <c r="F193" s="7">
        <v>667.12</v>
      </c>
      <c r="G193" s="7">
        <v>0</v>
      </c>
    </row>
    <row r="194" spans="1:7">
      <c r="A194" s="4" t="s">
        <v>203</v>
      </c>
      <c r="B194" s="6" t="s">
        <v>204</v>
      </c>
      <c r="C194" s="6">
        <v>2020</v>
      </c>
      <c r="D194" s="4" t="s">
        <v>62</v>
      </c>
      <c r="E194" s="6" t="s">
        <v>448</v>
      </c>
      <c r="F194" s="7">
        <v>35955000</v>
      </c>
      <c r="G194" s="7">
        <v>242774871.711</v>
      </c>
    </row>
    <row r="195" spans="1:7">
      <c r="A195" s="4" t="s">
        <v>203</v>
      </c>
      <c r="B195" s="6" t="s">
        <v>204</v>
      </c>
      <c r="C195" s="6">
        <v>2020</v>
      </c>
      <c r="D195" s="4" t="s">
        <v>81</v>
      </c>
      <c r="E195" s="6" t="s">
        <v>449</v>
      </c>
      <c r="F195" s="7">
        <v>20321313</v>
      </c>
      <c r="G195" s="7">
        <v>112037070</v>
      </c>
    </row>
    <row r="196" spans="1:7">
      <c r="A196" s="4" t="s">
        <v>203</v>
      </c>
      <c r="B196" s="6" t="s">
        <v>204</v>
      </c>
      <c r="C196" s="6">
        <v>2020</v>
      </c>
      <c r="D196" s="4" t="s">
        <v>287</v>
      </c>
      <c r="E196" s="6" t="s">
        <v>463</v>
      </c>
      <c r="F196" s="7">
        <v>525295</v>
      </c>
      <c r="G196" s="7">
        <v>825969</v>
      </c>
    </row>
    <row r="197" spans="1:7">
      <c r="A197" s="4" t="s">
        <v>203</v>
      </c>
      <c r="B197" s="6" t="s">
        <v>204</v>
      </c>
      <c r="C197" s="6">
        <v>2020</v>
      </c>
      <c r="D197" s="4" t="s">
        <v>93</v>
      </c>
      <c r="E197" s="6" t="s">
        <v>458</v>
      </c>
      <c r="F197" s="7">
        <v>219910</v>
      </c>
      <c r="G197" s="7">
        <v>120423.093</v>
      </c>
    </row>
    <row r="198" spans="1:7">
      <c r="A198" s="4" t="s">
        <v>203</v>
      </c>
      <c r="B198" s="6" t="s">
        <v>204</v>
      </c>
      <c r="C198" s="6">
        <v>2020</v>
      </c>
      <c r="D198" s="4" t="s">
        <v>185</v>
      </c>
      <c r="E198" s="6" t="s">
        <v>457</v>
      </c>
      <c r="F198" s="7">
        <v>106500</v>
      </c>
      <c r="G198" s="7">
        <v>500000</v>
      </c>
    </row>
    <row r="199" spans="1:7">
      <c r="A199" s="4" t="s">
        <v>203</v>
      </c>
      <c r="B199" s="6" t="s">
        <v>204</v>
      </c>
      <c r="C199" s="6">
        <v>2020</v>
      </c>
      <c r="D199" s="4" t="s">
        <v>407</v>
      </c>
      <c r="E199" s="6" t="s">
        <v>481</v>
      </c>
      <c r="F199" s="7">
        <v>43836</v>
      </c>
      <c r="G199" s="7">
        <v>2758</v>
      </c>
    </row>
    <row r="200" spans="1:7">
      <c r="A200" s="4" t="s">
        <v>203</v>
      </c>
      <c r="B200" s="6" t="s">
        <v>204</v>
      </c>
      <c r="C200" s="6">
        <v>2020</v>
      </c>
      <c r="D200" s="4" t="s">
        <v>355</v>
      </c>
      <c r="E200" s="6" t="s">
        <v>468</v>
      </c>
      <c r="F200" s="7">
        <v>14506</v>
      </c>
      <c r="G200" s="7">
        <v>37750.229</v>
      </c>
    </row>
    <row r="201" spans="1:7">
      <c r="A201" s="4" t="s">
        <v>203</v>
      </c>
      <c r="B201" s="6" t="s">
        <v>204</v>
      </c>
      <c r="C201" s="6">
        <v>2020</v>
      </c>
      <c r="D201" s="4" t="s">
        <v>121</v>
      </c>
      <c r="E201" s="6" t="s">
        <v>455</v>
      </c>
      <c r="F201" s="7">
        <v>9734</v>
      </c>
      <c r="G201" s="7">
        <v>682</v>
      </c>
    </row>
    <row r="202" spans="1:7">
      <c r="A202" s="4" t="s">
        <v>203</v>
      </c>
      <c r="B202" s="6" t="s">
        <v>204</v>
      </c>
      <c r="C202" s="6">
        <v>2020</v>
      </c>
      <c r="D202" s="4" t="s">
        <v>104</v>
      </c>
      <c r="E202" s="6" t="s">
        <v>450</v>
      </c>
      <c r="F202" s="7">
        <v>2541</v>
      </c>
      <c r="G202" s="7">
        <v>3083.145</v>
      </c>
    </row>
    <row r="203" spans="1:7">
      <c r="A203" s="4" t="s">
        <v>203</v>
      </c>
      <c r="B203" s="6" t="s">
        <v>204</v>
      </c>
      <c r="C203" s="6">
        <v>2020</v>
      </c>
      <c r="D203" s="4" t="s">
        <v>409</v>
      </c>
      <c r="E203" s="6" t="s">
        <v>461</v>
      </c>
      <c r="F203" s="7">
        <v>1553</v>
      </c>
      <c r="G203" s="7">
        <v>362.134</v>
      </c>
    </row>
    <row r="204" spans="1:7">
      <c r="A204" s="4" t="s">
        <v>203</v>
      </c>
      <c r="B204" s="6" t="s">
        <v>204</v>
      </c>
      <c r="C204" s="6">
        <v>2020</v>
      </c>
      <c r="D204" s="4" t="s">
        <v>73</v>
      </c>
      <c r="E204" s="6" t="s">
        <v>460</v>
      </c>
      <c r="F204" s="7">
        <v>868</v>
      </c>
      <c r="G204" s="7">
        <v>2677.987</v>
      </c>
    </row>
    <row r="205" spans="1:7">
      <c r="A205" s="4" t="s">
        <v>203</v>
      </c>
      <c r="B205" s="6" t="s">
        <v>204</v>
      </c>
      <c r="C205" s="6">
        <v>2020</v>
      </c>
      <c r="D205" s="4" t="s">
        <v>89</v>
      </c>
      <c r="E205" s="6" t="s">
        <v>459</v>
      </c>
      <c r="F205" s="7">
        <v>712</v>
      </c>
      <c r="G205" s="7">
        <v>1756</v>
      </c>
    </row>
    <row r="206" spans="1:7">
      <c r="A206" s="4" t="s">
        <v>203</v>
      </c>
      <c r="B206" s="6" t="s">
        <v>204</v>
      </c>
      <c r="C206" s="6">
        <v>2020</v>
      </c>
      <c r="D206" s="4" t="s">
        <v>203</v>
      </c>
      <c r="E206" s="6" t="s">
        <v>452</v>
      </c>
      <c r="F206" s="7">
        <v>145</v>
      </c>
      <c r="G206" s="7">
        <v>6</v>
      </c>
    </row>
    <row r="207" spans="1:7">
      <c r="A207" s="4" t="s">
        <v>203</v>
      </c>
      <c r="B207" s="6" t="s">
        <v>204</v>
      </c>
      <c r="C207" s="6">
        <v>2020</v>
      </c>
      <c r="D207" s="4" t="s">
        <v>65</v>
      </c>
      <c r="E207" s="6" t="s">
        <v>475</v>
      </c>
      <c r="F207" s="7">
        <v>33</v>
      </c>
      <c r="G207" s="7">
        <v>205.555</v>
      </c>
    </row>
    <row r="208" spans="1:7">
      <c r="A208" s="4" t="s">
        <v>203</v>
      </c>
      <c r="B208" s="6" t="s">
        <v>204</v>
      </c>
      <c r="C208" s="6">
        <v>2021</v>
      </c>
      <c r="D208" s="4" t="s">
        <v>62</v>
      </c>
      <c r="E208" s="6" t="s">
        <v>448</v>
      </c>
      <c r="F208" s="7">
        <v>30517432</v>
      </c>
      <c r="G208" s="7">
        <v>126573450</v>
      </c>
    </row>
    <row r="209" spans="1:7">
      <c r="A209" s="4" t="s">
        <v>203</v>
      </c>
      <c r="B209" s="6" t="s">
        <v>204</v>
      </c>
      <c r="C209" s="6">
        <v>2021</v>
      </c>
      <c r="D209" s="4" t="s">
        <v>81</v>
      </c>
      <c r="E209" s="6" t="s">
        <v>449</v>
      </c>
      <c r="F209" s="7">
        <v>20357796</v>
      </c>
      <c r="G209" s="7">
        <v>89815460</v>
      </c>
    </row>
    <row r="210" spans="1:7">
      <c r="A210" s="4" t="s">
        <v>203</v>
      </c>
      <c r="B210" s="6" t="s">
        <v>204</v>
      </c>
      <c r="C210" s="6">
        <v>2021</v>
      </c>
      <c r="D210" s="4" t="s">
        <v>431</v>
      </c>
      <c r="E210" s="6" t="s">
        <v>482</v>
      </c>
      <c r="F210" s="7">
        <v>1596314</v>
      </c>
      <c r="G210" s="7">
        <v>5669940</v>
      </c>
    </row>
    <row r="211" spans="1:7">
      <c r="A211" s="4" t="s">
        <v>203</v>
      </c>
      <c r="B211" s="6" t="s">
        <v>204</v>
      </c>
      <c r="C211" s="6">
        <v>2021</v>
      </c>
      <c r="D211" s="4" t="s">
        <v>291</v>
      </c>
      <c r="E211" s="6" t="s">
        <v>483</v>
      </c>
      <c r="F211" s="7">
        <v>1300068</v>
      </c>
      <c r="G211" s="7">
        <v>5953980.169</v>
      </c>
    </row>
    <row r="212" spans="1:7">
      <c r="A212" s="4" t="s">
        <v>203</v>
      </c>
      <c r="B212" s="6" t="s">
        <v>204</v>
      </c>
      <c r="C212" s="6">
        <v>2021</v>
      </c>
      <c r="D212" s="4" t="s">
        <v>287</v>
      </c>
      <c r="E212" s="6" t="s">
        <v>463</v>
      </c>
      <c r="F212" s="7">
        <v>914816</v>
      </c>
      <c r="G212" s="7">
        <v>1539961</v>
      </c>
    </row>
    <row r="213" spans="1:7">
      <c r="A213" s="4" t="s">
        <v>203</v>
      </c>
      <c r="B213" s="6" t="s">
        <v>204</v>
      </c>
      <c r="C213" s="6">
        <v>2021</v>
      </c>
      <c r="D213" s="4" t="s">
        <v>425</v>
      </c>
      <c r="E213" s="6" t="s">
        <v>472</v>
      </c>
      <c r="F213" s="7">
        <v>622842</v>
      </c>
      <c r="G213" s="7">
        <v>2496811</v>
      </c>
    </row>
    <row r="214" spans="1:7">
      <c r="A214" s="4" t="s">
        <v>203</v>
      </c>
      <c r="B214" s="6" t="s">
        <v>204</v>
      </c>
      <c r="C214" s="6">
        <v>2021</v>
      </c>
      <c r="D214" s="4" t="s">
        <v>279</v>
      </c>
      <c r="E214" s="6" t="s">
        <v>484</v>
      </c>
      <c r="F214" s="7">
        <v>593911</v>
      </c>
      <c r="G214" s="7">
        <v>2572434</v>
      </c>
    </row>
    <row r="215" spans="1:7">
      <c r="A215" s="4" t="s">
        <v>203</v>
      </c>
      <c r="B215" s="6" t="s">
        <v>204</v>
      </c>
      <c r="C215" s="6">
        <v>2021</v>
      </c>
      <c r="D215" s="4" t="s">
        <v>185</v>
      </c>
      <c r="E215" s="6" t="s">
        <v>457</v>
      </c>
      <c r="F215" s="7">
        <v>319500</v>
      </c>
      <c r="G215" s="7">
        <v>1500000</v>
      </c>
    </row>
    <row r="216" spans="1:7">
      <c r="A216" s="4" t="s">
        <v>203</v>
      </c>
      <c r="B216" s="6" t="s">
        <v>204</v>
      </c>
      <c r="C216" s="6">
        <v>2021</v>
      </c>
      <c r="D216" s="4" t="s">
        <v>93</v>
      </c>
      <c r="E216" s="6" t="s">
        <v>458</v>
      </c>
      <c r="F216" s="7">
        <v>264136</v>
      </c>
      <c r="G216" s="7">
        <v>250464.096</v>
      </c>
    </row>
    <row r="217" spans="1:7">
      <c r="A217" s="4" t="s">
        <v>203</v>
      </c>
      <c r="B217" s="6" t="s">
        <v>204</v>
      </c>
      <c r="C217" s="6">
        <v>2021</v>
      </c>
      <c r="D217" s="4" t="s">
        <v>115</v>
      </c>
      <c r="E217" s="6" t="s">
        <v>454</v>
      </c>
      <c r="F217" s="7">
        <v>198240</v>
      </c>
      <c r="G217" s="7">
        <v>600000</v>
      </c>
    </row>
    <row r="218" spans="1:7">
      <c r="A218" s="4" t="s">
        <v>203</v>
      </c>
      <c r="B218" s="6" t="s">
        <v>204</v>
      </c>
      <c r="C218" s="6">
        <v>2021</v>
      </c>
      <c r="D218" s="4" t="s">
        <v>96</v>
      </c>
      <c r="E218" s="6" t="s">
        <v>453</v>
      </c>
      <c r="F218" s="7">
        <v>173674</v>
      </c>
      <c r="G218" s="7">
        <v>675825</v>
      </c>
    </row>
    <row r="219" spans="1:7">
      <c r="A219" s="4" t="s">
        <v>203</v>
      </c>
      <c r="B219" s="6" t="s">
        <v>204</v>
      </c>
      <c r="C219" s="6">
        <v>2021</v>
      </c>
      <c r="D219" s="4" t="s">
        <v>407</v>
      </c>
      <c r="E219" s="6" t="s">
        <v>481</v>
      </c>
      <c r="F219" s="7">
        <v>46381</v>
      </c>
      <c r="G219" s="7">
        <v>5607</v>
      </c>
    </row>
    <row r="220" spans="1:7">
      <c r="A220" s="4" t="s">
        <v>203</v>
      </c>
      <c r="B220" s="6" t="s">
        <v>204</v>
      </c>
      <c r="C220" s="6">
        <v>2021</v>
      </c>
      <c r="D220" s="4" t="s">
        <v>355</v>
      </c>
      <c r="E220" s="6" t="s">
        <v>468</v>
      </c>
      <c r="F220" s="7">
        <v>14603</v>
      </c>
      <c r="G220" s="7">
        <v>37334</v>
      </c>
    </row>
    <row r="221" spans="1:7">
      <c r="A221" s="4" t="s">
        <v>203</v>
      </c>
      <c r="B221" s="6" t="s">
        <v>204</v>
      </c>
      <c r="C221" s="6">
        <v>2021</v>
      </c>
      <c r="D221" s="4" t="s">
        <v>121</v>
      </c>
      <c r="E221" s="6" t="s">
        <v>455</v>
      </c>
      <c r="F221" s="7">
        <v>8831</v>
      </c>
      <c r="G221" s="7">
        <v>1180.175</v>
      </c>
    </row>
    <row r="222" spans="1:7">
      <c r="A222" s="4" t="s">
        <v>203</v>
      </c>
      <c r="B222" s="6" t="s">
        <v>204</v>
      </c>
      <c r="C222" s="6">
        <v>2021</v>
      </c>
      <c r="D222" s="4" t="s">
        <v>73</v>
      </c>
      <c r="E222" s="6" t="s">
        <v>460</v>
      </c>
      <c r="F222" s="7">
        <v>2700</v>
      </c>
      <c r="G222" s="7">
        <v>2336.087</v>
      </c>
    </row>
    <row r="223" spans="1:7">
      <c r="A223" s="4" t="s">
        <v>203</v>
      </c>
      <c r="B223" s="6" t="s">
        <v>204</v>
      </c>
      <c r="C223" s="6">
        <v>2021</v>
      </c>
      <c r="D223" s="4" t="s">
        <v>112</v>
      </c>
      <c r="E223" s="6" t="s">
        <v>480</v>
      </c>
      <c r="F223" s="7">
        <v>2115</v>
      </c>
      <c r="G223" s="7">
        <v>1320</v>
      </c>
    </row>
    <row r="224" spans="1:7">
      <c r="A224" s="4" t="s">
        <v>203</v>
      </c>
      <c r="B224" s="6" t="s">
        <v>204</v>
      </c>
      <c r="C224" s="6">
        <v>2021</v>
      </c>
      <c r="D224" s="4" t="s">
        <v>125</v>
      </c>
      <c r="E224" s="6" t="s">
        <v>465</v>
      </c>
      <c r="F224" s="7">
        <v>2100</v>
      </c>
      <c r="G224" s="7">
        <v>33</v>
      </c>
    </row>
    <row r="225" spans="1:7">
      <c r="A225" s="4" t="s">
        <v>203</v>
      </c>
      <c r="B225" s="6" t="s">
        <v>204</v>
      </c>
      <c r="C225" s="6">
        <v>2021</v>
      </c>
      <c r="D225" s="4" t="s">
        <v>104</v>
      </c>
      <c r="E225" s="6" t="s">
        <v>450</v>
      </c>
      <c r="F225" s="7">
        <v>1874</v>
      </c>
      <c r="G225" s="7">
        <v>6969.406</v>
      </c>
    </row>
    <row r="226" spans="1:7">
      <c r="A226" s="4" t="s">
        <v>203</v>
      </c>
      <c r="B226" s="6" t="s">
        <v>204</v>
      </c>
      <c r="C226" s="6">
        <v>2021</v>
      </c>
      <c r="D226" s="4" t="s">
        <v>409</v>
      </c>
      <c r="E226" s="6" t="s">
        <v>461</v>
      </c>
      <c r="F226" s="7">
        <v>1761</v>
      </c>
      <c r="G226" s="7">
        <v>6517.538</v>
      </c>
    </row>
    <row r="227" spans="1:7">
      <c r="A227" s="4" t="s">
        <v>203</v>
      </c>
      <c r="B227" s="6" t="s">
        <v>204</v>
      </c>
      <c r="C227" s="6">
        <v>2021</v>
      </c>
      <c r="D227" s="4" t="s">
        <v>231</v>
      </c>
      <c r="E227" s="6" t="s">
        <v>466</v>
      </c>
      <c r="F227" s="7">
        <v>1201</v>
      </c>
      <c r="G227" s="7">
        <v>1200</v>
      </c>
    </row>
    <row r="228" spans="1:7">
      <c r="A228" s="4" t="s">
        <v>203</v>
      </c>
      <c r="B228" s="6" t="s">
        <v>204</v>
      </c>
      <c r="C228" s="6">
        <v>2021</v>
      </c>
      <c r="D228" s="4" t="s">
        <v>89</v>
      </c>
      <c r="E228" s="6" t="s">
        <v>459</v>
      </c>
      <c r="F228" s="7">
        <v>536</v>
      </c>
      <c r="G228" s="7">
        <v>492.742</v>
      </c>
    </row>
    <row r="229" spans="1:7">
      <c r="A229" s="4" t="s">
        <v>203</v>
      </c>
      <c r="B229" s="6" t="s">
        <v>204</v>
      </c>
      <c r="C229" s="6">
        <v>2021</v>
      </c>
      <c r="D229" s="4" t="s">
        <v>377</v>
      </c>
      <c r="E229" s="6" t="s">
        <v>451</v>
      </c>
      <c r="F229" s="7">
        <v>215</v>
      </c>
      <c r="G229" s="7">
        <v>897.561</v>
      </c>
    </row>
    <row r="230" spans="1:7">
      <c r="A230" s="4" t="s">
        <v>203</v>
      </c>
      <c r="B230" s="6" t="s">
        <v>204</v>
      </c>
      <c r="C230" s="6">
        <v>2021</v>
      </c>
      <c r="D230" s="4" t="s">
        <v>203</v>
      </c>
      <c r="E230" s="6" t="s">
        <v>452</v>
      </c>
      <c r="F230" s="7">
        <v>30</v>
      </c>
      <c r="G230" s="7">
        <v>1</v>
      </c>
    </row>
    <row r="231" spans="1:7">
      <c r="A231" s="4" t="s">
        <v>203</v>
      </c>
      <c r="B231" s="6" t="s">
        <v>204</v>
      </c>
      <c r="C231" s="6">
        <v>2021</v>
      </c>
      <c r="D231" s="4" t="s">
        <v>395</v>
      </c>
      <c r="E231" s="6" t="s">
        <v>485</v>
      </c>
      <c r="F231" s="7">
        <v>24</v>
      </c>
      <c r="G231" s="7">
        <v>20</v>
      </c>
    </row>
    <row r="232" spans="1:7">
      <c r="A232" s="4" t="s">
        <v>203</v>
      </c>
      <c r="B232" s="6" t="s">
        <v>204</v>
      </c>
      <c r="C232" s="6">
        <v>2022</v>
      </c>
      <c r="D232" s="4" t="s">
        <v>62</v>
      </c>
      <c r="E232" s="6" t="s">
        <v>448</v>
      </c>
      <c r="F232" s="7">
        <v>14614145</v>
      </c>
      <c r="G232" s="7">
        <v>44318479</v>
      </c>
    </row>
    <row r="233" spans="1:7">
      <c r="A233" s="4" t="s">
        <v>203</v>
      </c>
      <c r="B233" s="6" t="s">
        <v>204</v>
      </c>
      <c r="C233" s="6">
        <v>2022</v>
      </c>
      <c r="D233" s="4" t="s">
        <v>81</v>
      </c>
      <c r="E233" s="6" t="s">
        <v>449</v>
      </c>
      <c r="F233" s="7">
        <v>7432906</v>
      </c>
      <c r="G233" s="7">
        <v>21956768</v>
      </c>
    </row>
    <row r="234" spans="1:7">
      <c r="A234" s="4" t="s">
        <v>203</v>
      </c>
      <c r="B234" s="6" t="s">
        <v>204</v>
      </c>
      <c r="C234" s="6">
        <v>2022</v>
      </c>
      <c r="D234" s="4" t="s">
        <v>431</v>
      </c>
      <c r="E234" s="6" t="s">
        <v>482</v>
      </c>
      <c r="F234" s="7">
        <v>5803736</v>
      </c>
      <c r="G234" s="7">
        <v>22893820</v>
      </c>
    </row>
    <row r="235" spans="1:7">
      <c r="A235" s="4" t="s">
        <v>203</v>
      </c>
      <c r="B235" s="6" t="s">
        <v>204</v>
      </c>
      <c r="C235" s="6">
        <v>2022</v>
      </c>
      <c r="D235" s="4" t="s">
        <v>291</v>
      </c>
      <c r="E235" s="6" t="s">
        <v>483</v>
      </c>
      <c r="F235" s="7">
        <v>4554677</v>
      </c>
      <c r="G235" s="7">
        <v>15124130</v>
      </c>
    </row>
    <row r="236" spans="1:7">
      <c r="A236" s="4" t="s">
        <v>203</v>
      </c>
      <c r="B236" s="6" t="s">
        <v>204</v>
      </c>
      <c r="C236" s="6">
        <v>2022</v>
      </c>
      <c r="D236" s="4" t="s">
        <v>425</v>
      </c>
      <c r="E236" s="6" t="s">
        <v>472</v>
      </c>
      <c r="F236" s="7">
        <v>1210486</v>
      </c>
      <c r="G236" s="7">
        <v>4631409</v>
      </c>
    </row>
    <row r="237" spans="1:7">
      <c r="A237" s="4" t="s">
        <v>203</v>
      </c>
      <c r="B237" s="6" t="s">
        <v>204</v>
      </c>
      <c r="C237" s="6">
        <v>2022</v>
      </c>
      <c r="D237" s="4" t="s">
        <v>287</v>
      </c>
      <c r="E237" s="6" t="s">
        <v>463</v>
      </c>
      <c r="F237" s="7">
        <v>717531</v>
      </c>
      <c r="G237" s="7">
        <v>1080860</v>
      </c>
    </row>
    <row r="238" spans="1:7">
      <c r="A238" s="4" t="s">
        <v>203</v>
      </c>
      <c r="B238" s="6" t="s">
        <v>204</v>
      </c>
      <c r="C238" s="6">
        <v>2022</v>
      </c>
      <c r="D238" s="4" t="s">
        <v>279</v>
      </c>
      <c r="E238" s="6" t="s">
        <v>484</v>
      </c>
      <c r="F238" s="7">
        <v>588616</v>
      </c>
      <c r="G238" s="7">
        <v>2247243</v>
      </c>
    </row>
    <row r="239" spans="1:7">
      <c r="A239" s="4" t="s">
        <v>203</v>
      </c>
      <c r="B239" s="6" t="s">
        <v>204</v>
      </c>
      <c r="C239" s="6">
        <v>2022</v>
      </c>
      <c r="D239" s="4" t="s">
        <v>377</v>
      </c>
      <c r="E239" s="6" t="s">
        <v>451</v>
      </c>
      <c r="F239" s="7">
        <v>435500</v>
      </c>
      <c r="G239" s="7">
        <v>1300000</v>
      </c>
    </row>
    <row r="240" spans="1:7">
      <c r="A240" s="4" t="s">
        <v>203</v>
      </c>
      <c r="B240" s="6" t="s">
        <v>204</v>
      </c>
      <c r="C240" s="6">
        <v>2022</v>
      </c>
      <c r="D240" s="4" t="s">
        <v>93</v>
      </c>
      <c r="E240" s="6" t="s">
        <v>458</v>
      </c>
      <c r="F240" s="7">
        <v>194047</v>
      </c>
      <c r="G240" s="7">
        <v>3496</v>
      </c>
    </row>
    <row r="241" spans="1:7">
      <c r="A241" s="4" t="s">
        <v>203</v>
      </c>
      <c r="B241" s="6" t="s">
        <v>204</v>
      </c>
      <c r="C241" s="6">
        <v>2022</v>
      </c>
      <c r="D241" s="4" t="s">
        <v>96</v>
      </c>
      <c r="E241" s="6" t="s">
        <v>453</v>
      </c>
      <c r="F241" s="7">
        <v>158506</v>
      </c>
      <c r="G241" s="7">
        <v>180940</v>
      </c>
    </row>
    <row r="242" spans="1:7">
      <c r="A242" s="4" t="s">
        <v>203</v>
      </c>
      <c r="B242" s="6" t="s">
        <v>204</v>
      </c>
      <c r="C242" s="6">
        <v>2022</v>
      </c>
      <c r="D242" s="4" t="s">
        <v>355</v>
      </c>
      <c r="E242" s="6" t="s">
        <v>468</v>
      </c>
      <c r="F242" s="7">
        <v>15975</v>
      </c>
      <c r="G242" s="7">
        <v>36518</v>
      </c>
    </row>
    <row r="243" spans="1:7">
      <c r="A243" s="4" t="s">
        <v>203</v>
      </c>
      <c r="B243" s="6" t="s">
        <v>204</v>
      </c>
      <c r="C243" s="6">
        <v>2022</v>
      </c>
      <c r="D243" s="4" t="s">
        <v>121</v>
      </c>
      <c r="E243" s="6" t="s">
        <v>455</v>
      </c>
      <c r="F243" s="7">
        <v>12716</v>
      </c>
      <c r="G243" s="7">
        <v>1450</v>
      </c>
    </row>
    <row r="244" spans="1:7">
      <c r="A244" s="4" t="s">
        <v>203</v>
      </c>
      <c r="B244" s="6" t="s">
        <v>204</v>
      </c>
      <c r="C244" s="6">
        <v>2022</v>
      </c>
      <c r="D244" s="4" t="s">
        <v>409</v>
      </c>
      <c r="E244" s="6" t="s">
        <v>461</v>
      </c>
      <c r="F244" s="7">
        <v>4979</v>
      </c>
      <c r="G244" s="7">
        <v>84</v>
      </c>
    </row>
    <row r="245" spans="1:7">
      <c r="A245" s="4" t="s">
        <v>203</v>
      </c>
      <c r="B245" s="6" t="s">
        <v>204</v>
      </c>
      <c r="C245" s="6">
        <v>2022</v>
      </c>
      <c r="D245" s="4" t="s">
        <v>73</v>
      </c>
      <c r="E245" s="6" t="s">
        <v>460</v>
      </c>
      <c r="F245" s="7">
        <v>2759</v>
      </c>
      <c r="G245" s="7">
        <v>53</v>
      </c>
    </row>
    <row r="246" spans="1:7">
      <c r="A246" s="4" t="s">
        <v>203</v>
      </c>
      <c r="B246" s="6" t="s">
        <v>204</v>
      </c>
      <c r="C246" s="6">
        <v>2022</v>
      </c>
      <c r="D246" s="4" t="s">
        <v>203</v>
      </c>
      <c r="E246" s="6" t="s">
        <v>452</v>
      </c>
      <c r="F246" s="7">
        <v>600</v>
      </c>
      <c r="G246" s="7">
        <v>6</v>
      </c>
    </row>
    <row r="247" spans="1:7">
      <c r="A247" s="4" t="s">
        <v>203</v>
      </c>
      <c r="B247" s="6" t="s">
        <v>204</v>
      </c>
      <c r="C247" s="6">
        <v>2022</v>
      </c>
      <c r="D247" s="4" t="s">
        <v>104</v>
      </c>
      <c r="E247" s="6" t="s">
        <v>450</v>
      </c>
      <c r="F247" s="7">
        <v>141</v>
      </c>
      <c r="G247" s="7">
        <v>6</v>
      </c>
    </row>
    <row r="248" spans="1:7">
      <c r="A248" s="4" t="s">
        <v>203</v>
      </c>
      <c r="B248" s="6" t="s">
        <v>204</v>
      </c>
      <c r="C248" s="6">
        <v>2022</v>
      </c>
      <c r="D248" s="4" t="s">
        <v>89</v>
      </c>
      <c r="E248" s="6" t="s">
        <v>459</v>
      </c>
      <c r="F248" s="7">
        <v>138</v>
      </c>
      <c r="G248" s="7">
        <v>2</v>
      </c>
    </row>
    <row r="249" spans="1:7">
      <c r="A249" s="4" t="s">
        <v>203</v>
      </c>
      <c r="B249" s="6" t="s">
        <v>204</v>
      </c>
      <c r="C249" s="6">
        <v>2022</v>
      </c>
      <c r="D249" s="4" t="s">
        <v>112</v>
      </c>
      <c r="E249" s="6" t="s">
        <v>480</v>
      </c>
      <c r="F249" s="7">
        <v>127</v>
      </c>
      <c r="G249" s="7">
        <v>20</v>
      </c>
    </row>
    <row r="250" spans="1:7">
      <c r="A250" s="4" t="s">
        <v>203</v>
      </c>
      <c r="B250" s="6" t="s">
        <v>204</v>
      </c>
      <c r="C250" s="6">
        <v>2023</v>
      </c>
      <c r="D250" s="4" t="s">
        <v>81</v>
      </c>
      <c r="E250" s="6" t="s">
        <v>449</v>
      </c>
      <c r="F250" s="7">
        <v>85828395</v>
      </c>
      <c r="G250" s="7">
        <v>324396100</v>
      </c>
    </row>
    <row r="251" spans="1:7">
      <c r="A251" s="4" t="s">
        <v>203</v>
      </c>
      <c r="B251" s="6" t="s">
        <v>204</v>
      </c>
      <c r="C251" s="6">
        <v>2023</v>
      </c>
      <c r="D251" s="4" t="s">
        <v>62</v>
      </c>
      <c r="E251" s="6" t="s">
        <v>448</v>
      </c>
      <c r="F251" s="7">
        <v>80424380</v>
      </c>
      <c r="G251" s="7">
        <v>296556685.677</v>
      </c>
    </row>
    <row r="252" spans="1:7">
      <c r="A252" s="4" t="s">
        <v>203</v>
      </c>
      <c r="B252" s="6" t="s">
        <v>204</v>
      </c>
      <c r="C252" s="6">
        <v>2023</v>
      </c>
      <c r="D252" s="4" t="s">
        <v>377</v>
      </c>
      <c r="E252" s="6" t="s">
        <v>451</v>
      </c>
      <c r="F252" s="7">
        <v>5246904</v>
      </c>
      <c r="G252" s="7">
        <v>24110900</v>
      </c>
    </row>
    <row r="253" spans="1:7">
      <c r="A253" s="4" t="s">
        <v>203</v>
      </c>
      <c r="B253" s="6" t="s">
        <v>204</v>
      </c>
      <c r="C253" s="6">
        <v>2023</v>
      </c>
      <c r="D253" s="4" t="s">
        <v>357</v>
      </c>
      <c r="E253" s="6" t="s">
        <v>486</v>
      </c>
      <c r="F253" s="7">
        <v>3387791</v>
      </c>
      <c r="G253" s="7">
        <v>15178500</v>
      </c>
    </row>
    <row r="254" spans="1:7">
      <c r="A254" s="4" t="s">
        <v>203</v>
      </c>
      <c r="B254" s="6" t="s">
        <v>204</v>
      </c>
      <c r="C254" s="6">
        <v>2023</v>
      </c>
      <c r="D254" s="4" t="s">
        <v>291</v>
      </c>
      <c r="E254" s="6" t="s">
        <v>483</v>
      </c>
      <c r="F254" s="7">
        <v>1607921</v>
      </c>
      <c r="G254" s="7">
        <v>6068580</v>
      </c>
    </row>
    <row r="255" spans="1:7">
      <c r="A255" s="4" t="s">
        <v>203</v>
      </c>
      <c r="B255" s="6" t="s">
        <v>204</v>
      </c>
      <c r="C255" s="6">
        <v>2023</v>
      </c>
      <c r="D255" s="4" t="s">
        <v>279</v>
      </c>
      <c r="E255" s="6" t="s">
        <v>484</v>
      </c>
      <c r="F255" s="7">
        <v>1586588</v>
      </c>
      <c r="G255" s="7">
        <v>6479959</v>
      </c>
    </row>
    <row r="256" spans="1:7">
      <c r="A256" s="4" t="s">
        <v>203</v>
      </c>
      <c r="B256" s="6" t="s">
        <v>204</v>
      </c>
      <c r="C256" s="6">
        <v>2023</v>
      </c>
      <c r="D256" s="4" t="s">
        <v>425</v>
      </c>
      <c r="E256" s="6" t="s">
        <v>472</v>
      </c>
      <c r="F256" s="7">
        <v>1158876</v>
      </c>
      <c r="G256" s="7">
        <v>4992580</v>
      </c>
    </row>
    <row r="257" spans="1:7">
      <c r="A257" s="4" t="s">
        <v>203</v>
      </c>
      <c r="B257" s="6" t="s">
        <v>204</v>
      </c>
      <c r="C257" s="6">
        <v>2023</v>
      </c>
      <c r="D257" s="4" t="s">
        <v>287</v>
      </c>
      <c r="E257" s="6" t="s">
        <v>463</v>
      </c>
      <c r="F257" s="7">
        <v>1078686</v>
      </c>
      <c r="G257" s="7">
        <v>1337886</v>
      </c>
    </row>
    <row r="258" spans="1:7">
      <c r="A258" s="4" t="s">
        <v>203</v>
      </c>
      <c r="B258" s="6" t="s">
        <v>204</v>
      </c>
      <c r="C258" s="6">
        <v>2023</v>
      </c>
      <c r="D258" s="4" t="s">
        <v>185</v>
      </c>
      <c r="E258" s="6" t="s">
        <v>457</v>
      </c>
      <c r="F258" s="7">
        <v>893036</v>
      </c>
      <c r="G258" s="7">
        <v>3500380</v>
      </c>
    </row>
    <row r="259" spans="1:7">
      <c r="A259" s="4" t="s">
        <v>203</v>
      </c>
      <c r="B259" s="6" t="s">
        <v>204</v>
      </c>
      <c r="C259" s="6">
        <v>2023</v>
      </c>
      <c r="D259" s="4" t="s">
        <v>93</v>
      </c>
      <c r="E259" s="6" t="s">
        <v>458</v>
      </c>
      <c r="F259" s="7">
        <v>277214</v>
      </c>
      <c r="G259" s="7">
        <v>508757.694</v>
      </c>
    </row>
    <row r="260" spans="1:7">
      <c r="A260" s="4" t="s">
        <v>203</v>
      </c>
      <c r="B260" s="6" t="s">
        <v>204</v>
      </c>
      <c r="C260" s="6">
        <v>2023</v>
      </c>
      <c r="D260" s="4" t="s">
        <v>96</v>
      </c>
      <c r="E260" s="6" t="s">
        <v>453</v>
      </c>
      <c r="F260" s="7">
        <v>68821</v>
      </c>
      <c r="G260" s="7">
        <v>3923</v>
      </c>
    </row>
    <row r="261" spans="1:7">
      <c r="A261" s="4" t="s">
        <v>203</v>
      </c>
      <c r="B261" s="6" t="s">
        <v>204</v>
      </c>
      <c r="C261" s="6">
        <v>2023</v>
      </c>
      <c r="D261" s="4" t="s">
        <v>121</v>
      </c>
      <c r="E261" s="6" t="s">
        <v>455</v>
      </c>
      <c r="F261" s="7">
        <v>17496</v>
      </c>
      <c r="G261" s="7">
        <v>2095</v>
      </c>
    </row>
    <row r="262" spans="1:7">
      <c r="A262" s="4" t="s">
        <v>203</v>
      </c>
      <c r="B262" s="6" t="s">
        <v>204</v>
      </c>
      <c r="C262" s="6">
        <v>2023</v>
      </c>
      <c r="D262" s="4" t="s">
        <v>73</v>
      </c>
      <c r="E262" s="6" t="s">
        <v>460</v>
      </c>
      <c r="F262" s="7">
        <v>15703</v>
      </c>
      <c r="G262" s="7">
        <v>36423.77</v>
      </c>
    </row>
    <row r="263" spans="1:7">
      <c r="A263" s="4" t="s">
        <v>203</v>
      </c>
      <c r="B263" s="6" t="s">
        <v>204</v>
      </c>
      <c r="C263" s="6">
        <v>2023</v>
      </c>
      <c r="D263" s="4" t="s">
        <v>89</v>
      </c>
      <c r="E263" s="6" t="s">
        <v>459</v>
      </c>
      <c r="F263" s="7">
        <v>15548</v>
      </c>
      <c r="G263" s="7">
        <v>30000</v>
      </c>
    </row>
    <row r="264" spans="1:7">
      <c r="A264" s="4" t="s">
        <v>203</v>
      </c>
      <c r="B264" s="6" t="s">
        <v>204</v>
      </c>
      <c r="C264" s="6">
        <v>2023</v>
      </c>
      <c r="D264" s="4" t="s">
        <v>409</v>
      </c>
      <c r="E264" s="6" t="s">
        <v>461</v>
      </c>
      <c r="F264" s="7">
        <v>12280</v>
      </c>
      <c r="G264" s="7">
        <v>201</v>
      </c>
    </row>
    <row r="265" spans="1:7">
      <c r="A265" s="4" t="s">
        <v>203</v>
      </c>
      <c r="B265" s="6" t="s">
        <v>204</v>
      </c>
      <c r="C265" s="6">
        <v>2023</v>
      </c>
      <c r="D265" s="4" t="s">
        <v>355</v>
      </c>
      <c r="E265" s="6" t="s">
        <v>468</v>
      </c>
      <c r="F265" s="7">
        <v>10123</v>
      </c>
      <c r="G265" s="7">
        <v>20781.98</v>
      </c>
    </row>
    <row r="266" spans="1:7">
      <c r="A266" s="4" t="s">
        <v>203</v>
      </c>
      <c r="B266" s="6" t="s">
        <v>204</v>
      </c>
      <c r="C266" s="6">
        <v>2023</v>
      </c>
      <c r="D266" s="4" t="s">
        <v>203</v>
      </c>
      <c r="E266" s="6" t="s">
        <v>452</v>
      </c>
      <c r="F266" s="7">
        <v>3008</v>
      </c>
      <c r="G266" s="7">
        <v>10524.71</v>
      </c>
    </row>
    <row r="267" spans="1:7">
      <c r="A267" s="4" t="s">
        <v>203</v>
      </c>
      <c r="B267" s="6" t="s">
        <v>204</v>
      </c>
      <c r="C267" s="6">
        <v>2023</v>
      </c>
      <c r="D267" s="4" t="s">
        <v>351</v>
      </c>
      <c r="E267" s="6" t="s">
        <v>487</v>
      </c>
      <c r="F267" s="7">
        <v>1324</v>
      </c>
      <c r="G267" s="7">
        <v>400</v>
      </c>
    </row>
    <row r="268" spans="1:7">
      <c r="A268" s="4" t="s">
        <v>203</v>
      </c>
      <c r="B268" s="6" t="s">
        <v>204</v>
      </c>
      <c r="C268" s="6">
        <v>2023</v>
      </c>
      <c r="D268" s="4" t="s">
        <v>104</v>
      </c>
      <c r="E268" s="6" t="s">
        <v>450</v>
      </c>
      <c r="F268" s="7">
        <v>1257</v>
      </c>
      <c r="G268" s="7">
        <v>21</v>
      </c>
    </row>
    <row r="269" spans="1:7">
      <c r="A269" s="4" t="s">
        <v>203</v>
      </c>
      <c r="B269" s="6" t="s">
        <v>204</v>
      </c>
      <c r="C269" s="6">
        <v>2023</v>
      </c>
      <c r="D269" s="4" t="s">
        <v>76</v>
      </c>
      <c r="E269" s="6" t="s">
        <v>488</v>
      </c>
      <c r="F269" s="7">
        <v>922</v>
      </c>
      <c r="G269" s="7">
        <v>2000</v>
      </c>
    </row>
    <row r="270" spans="1:7">
      <c r="A270" s="4" t="s">
        <v>203</v>
      </c>
      <c r="B270" s="6" t="s">
        <v>204</v>
      </c>
      <c r="C270" s="6">
        <v>2023</v>
      </c>
      <c r="D270" s="4" t="s">
        <v>112</v>
      </c>
      <c r="E270" s="6" t="s">
        <v>480</v>
      </c>
      <c r="F270" s="7">
        <v>372</v>
      </c>
      <c r="G270" s="7">
        <v>400</v>
      </c>
    </row>
    <row r="271" spans="1:7">
      <c r="A271" s="4" t="s">
        <v>203</v>
      </c>
      <c r="B271" s="6" t="s">
        <v>204</v>
      </c>
      <c r="C271" s="6">
        <v>2023</v>
      </c>
      <c r="D271" s="4" t="s">
        <v>155</v>
      </c>
      <c r="E271" s="6" t="s">
        <v>489</v>
      </c>
      <c r="F271" s="7">
        <v>100</v>
      </c>
      <c r="G271" s="7">
        <v>2</v>
      </c>
    </row>
    <row r="272" spans="1:7">
      <c r="A272" s="4" t="s">
        <v>203</v>
      </c>
      <c r="B272" s="6" t="s">
        <v>204</v>
      </c>
      <c r="C272" s="6">
        <v>2023</v>
      </c>
      <c r="D272" s="4" t="s">
        <v>395</v>
      </c>
      <c r="E272" s="6" t="s">
        <v>485</v>
      </c>
      <c r="F272" s="7">
        <v>71</v>
      </c>
      <c r="G272" s="7">
        <v>2</v>
      </c>
    </row>
    <row r="273" spans="1:7">
      <c r="A273" s="4" t="s">
        <v>203</v>
      </c>
      <c r="B273" s="6" t="s">
        <v>204</v>
      </c>
      <c r="C273" s="6">
        <v>2024</v>
      </c>
      <c r="D273" s="4" t="s">
        <v>62</v>
      </c>
      <c r="E273" s="6" t="s">
        <v>448</v>
      </c>
      <c r="F273" s="7">
        <v>172032464</v>
      </c>
      <c r="G273" s="7">
        <v>764483865.9</v>
      </c>
    </row>
    <row r="274" spans="1:7">
      <c r="A274" s="4" t="s">
        <v>203</v>
      </c>
      <c r="B274" s="6" t="s">
        <v>204</v>
      </c>
      <c r="C274" s="6">
        <v>2024</v>
      </c>
      <c r="D274" s="4" t="s">
        <v>425</v>
      </c>
      <c r="E274" s="6" t="s">
        <v>472</v>
      </c>
      <c r="F274" s="7">
        <v>21605270</v>
      </c>
      <c r="G274" s="7">
        <v>107822450</v>
      </c>
    </row>
    <row r="275" spans="1:7">
      <c r="A275" s="4" t="s">
        <v>203</v>
      </c>
      <c r="B275" s="6" t="s">
        <v>204</v>
      </c>
      <c r="C275" s="6">
        <v>2024</v>
      </c>
      <c r="D275" s="4" t="s">
        <v>81</v>
      </c>
      <c r="E275" s="6" t="s">
        <v>449</v>
      </c>
      <c r="F275" s="7">
        <v>10316369</v>
      </c>
      <c r="G275" s="7">
        <v>45735525</v>
      </c>
    </row>
    <row r="276" spans="1:7">
      <c r="A276" s="4" t="s">
        <v>203</v>
      </c>
      <c r="B276" s="6" t="s">
        <v>204</v>
      </c>
      <c r="C276" s="6">
        <v>2024</v>
      </c>
      <c r="D276" s="4" t="s">
        <v>357</v>
      </c>
      <c r="E276" s="6" t="s">
        <v>486</v>
      </c>
      <c r="F276" s="7">
        <v>6232788</v>
      </c>
      <c r="G276" s="7">
        <v>25758000</v>
      </c>
    </row>
    <row r="277" spans="1:7">
      <c r="A277" s="4" t="s">
        <v>203</v>
      </c>
      <c r="B277" s="6" t="s">
        <v>204</v>
      </c>
      <c r="C277" s="6">
        <v>2024</v>
      </c>
      <c r="D277" s="4" t="s">
        <v>73</v>
      </c>
      <c r="E277" s="6" t="s">
        <v>460</v>
      </c>
      <c r="F277" s="7">
        <v>1988503</v>
      </c>
      <c r="G277" s="7">
        <v>7917399.668</v>
      </c>
    </row>
    <row r="278" spans="1:7">
      <c r="A278" s="4" t="s">
        <v>203</v>
      </c>
      <c r="B278" s="6" t="s">
        <v>204</v>
      </c>
      <c r="C278" s="6">
        <v>2024</v>
      </c>
      <c r="D278" s="4" t="s">
        <v>287</v>
      </c>
      <c r="E278" s="6" t="s">
        <v>463</v>
      </c>
      <c r="F278" s="7">
        <v>1615991</v>
      </c>
      <c r="G278" s="7">
        <v>2291731</v>
      </c>
    </row>
    <row r="279" spans="1:7">
      <c r="A279" s="4" t="s">
        <v>203</v>
      </c>
      <c r="B279" s="6" t="s">
        <v>204</v>
      </c>
      <c r="C279" s="6">
        <v>2024</v>
      </c>
      <c r="D279" s="4" t="s">
        <v>279</v>
      </c>
      <c r="E279" s="6" t="s">
        <v>484</v>
      </c>
      <c r="F279" s="7">
        <v>1358969</v>
      </c>
      <c r="G279" s="7">
        <v>7061287</v>
      </c>
    </row>
    <row r="280" spans="1:7">
      <c r="A280" s="4" t="s">
        <v>203</v>
      </c>
      <c r="B280" s="6" t="s">
        <v>204</v>
      </c>
      <c r="C280" s="6">
        <v>2024</v>
      </c>
      <c r="D280" s="4" t="s">
        <v>291</v>
      </c>
      <c r="E280" s="6" t="s">
        <v>483</v>
      </c>
      <c r="F280" s="7">
        <v>1117892</v>
      </c>
      <c r="G280" s="7">
        <v>4503405</v>
      </c>
    </row>
    <row r="281" spans="1:7">
      <c r="A281" s="4" t="s">
        <v>203</v>
      </c>
      <c r="B281" s="6" t="s">
        <v>204</v>
      </c>
      <c r="C281" s="6">
        <v>2024</v>
      </c>
      <c r="D281" s="4" t="s">
        <v>377</v>
      </c>
      <c r="E281" s="6" t="s">
        <v>451</v>
      </c>
      <c r="F281" s="7">
        <v>785671</v>
      </c>
      <c r="G281" s="7">
        <v>3397500</v>
      </c>
    </row>
    <row r="282" spans="1:7">
      <c r="A282" s="4" t="s">
        <v>203</v>
      </c>
      <c r="B282" s="6" t="s">
        <v>204</v>
      </c>
      <c r="C282" s="6">
        <v>2024</v>
      </c>
      <c r="D282" s="4" t="s">
        <v>185</v>
      </c>
      <c r="E282" s="6" t="s">
        <v>457</v>
      </c>
      <c r="F282" s="7">
        <v>710522</v>
      </c>
      <c r="G282" s="7">
        <v>3003040</v>
      </c>
    </row>
    <row r="283" spans="1:7">
      <c r="A283" s="4" t="s">
        <v>203</v>
      </c>
      <c r="B283" s="6" t="s">
        <v>204</v>
      </c>
      <c r="C283" s="6">
        <v>2024</v>
      </c>
      <c r="D283" s="4" t="s">
        <v>93</v>
      </c>
      <c r="E283" s="6" t="s">
        <v>458</v>
      </c>
      <c r="F283" s="7">
        <v>486163</v>
      </c>
      <c r="G283" s="7">
        <v>1432928</v>
      </c>
    </row>
    <row r="284" spans="1:7">
      <c r="A284" s="4" t="s">
        <v>203</v>
      </c>
      <c r="B284" s="6" t="s">
        <v>204</v>
      </c>
      <c r="C284" s="6">
        <v>2024</v>
      </c>
      <c r="D284" s="4" t="s">
        <v>96</v>
      </c>
      <c r="E284" s="6" t="s">
        <v>453</v>
      </c>
      <c r="F284" s="7">
        <v>56786</v>
      </c>
      <c r="G284" s="7">
        <v>3150</v>
      </c>
    </row>
    <row r="285" spans="1:7">
      <c r="A285" s="4" t="s">
        <v>203</v>
      </c>
      <c r="B285" s="6" t="s">
        <v>204</v>
      </c>
      <c r="C285" s="6">
        <v>2024</v>
      </c>
      <c r="D285" s="4" t="s">
        <v>433</v>
      </c>
      <c r="E285" s="6" t="s">
        <v>490</v>
      </c>
      <c r="F285" s="7">
        <v>42000</v>
      </c>
      <c r="G285" s="7">
        <v>150000</v>
      </c>
    </row>
    <row r="286" spans="1:7">
      <c r="A286" s="4" t="s">
        <v>203</v>
      </c>
      <c r="B286" s="6" t="s">
        <v>204</v>
      </c>
      <c r="C286" s="6">
        <v>2024</v>
      </c>
      <c r="D286" s="4" t="s">
        <v>355</v>
      </c>
      <c r="E286" s="6" t="s">
        <v>468</v>
      </c>
      <c r="F286" s="7">
        <v>31028</v>
      </c>
      <c r="G286" s="7">
        <v>56375</v>
      </c>
    </row>
    <row r="287" spans="1:7">
      <c r="A287" s="4" t="s">
        <v>203</v>
      </c>
      <c r="B287" s="6" t="s">
        <v>204</v>
      </c>
      <c r="C287" s="6">
        <v>2024</v>
      </c>
      <c r="D287" s="4" t="s">
        <v>121</v>
      </c>
      <c r="E287" s="6" t="s">
        <v>455</v>
      </c>
      <c r="F287" s="7">
        <v>24344</v>
      </c>
      <c r="G287" s="7">
        <v>4525.866</v>
      </c>
    </row>
    <row r="288" spans="1:7">
      <c r="A288" s="4" t="s">
        <v>203</v>
      </c>
      <c r="B288" s="6" t="s">
        <v>204</v>
      </c>
      <c r="C288" s="6">
        <v>2024</v>
      </c>
      <c r="D288" s="4" t="s">
        <v>89</v>
      </c>
      <c r="E288" s="6" t="s">
        <v>459</v>
      </c>
      <c r="F288" s="7">
        <v>19103</v>
      </c>
      <c r="G288" s="7">
        <v>30005</v>
      </c>
    </row>
    <row r="289" spans="1:7">
      <c r="A289" s="4" t="s">
        <v>203</v>
      </c>
      <c r="B289" s="6" t="s">
        <v>204</v>
      </c>
      <c r="C289" s="6">
        <v>2024</v>
      </c>
      <c r="D289" s="4" t="s">
        <v>203</v>
      </c>
      <c r="E289" s="6" t="s">
        <v>452</v>
      </c>
      <c r="F289" s="7">
        <v>13810</v>
      </c>
      <c r="G289" s="7">
        <v>66201</v>
      </c>
    </row>
    <row r="290" spans="1:7">
      <c r="A290" s="4" t="s">
        <v>203</v>
      </c>
      <c r="B290" s="6" t="s">
        <v>204</v>
      </c>
      <c r="C290" s="6">
        <v>2024</v>
      </c>
      <c r="D290" s="4" t="s">
        <v>409</v>
      </c>
      <c r="E290" s="6" t="s">
        <v>461</v>
      </c>
      <c r="F290" s="7">
        <v>13141</v>
      </c>
      <c r="G290" s="7">
        <v>186</v>
      </c>
    </row>
    <row r="291" spans="1:7">
      <c r="A291" s="4" t="s">
        <v>203</v>
      </c>
      <c r="B291" s="6" t="s">
        <v>204</v>
      </c>
      <c r="C291" s="6">
        <v>2024</v>
      </c>
      <c r="D291" s="4" t="s">
        <v>351</v>
      </c>
      <c r="E291" s="6" t="s">
        <v>487</v>
      </c>
      <c r="F291" s="7">
        <v>2286</v>
      </c>
      <c r="G291" s="7">
        <v>500</v>
      </c>
    </row>
    <row r="292" spans="1:7">
      <c r="A292" s="4" t="s">
        <v>203</v>
      </c>
      <c r="B292" s="6" t="s">
        <v>204</v>
      </c>
      <c r="C292" s="6">
        <v>2024</v>
      </c>
      <c r="D292" s="4" t="s">
        <v>104</v>
      </c>
      <c r="E292" s="6" t="s">
        <v>450</v>
      </c>
      <c r="F292" s="7">
        <v>532</v>
      </c>
      <c r="G292" s="7">
        <v>12</v>
      </c>
    </row>
    <row r="293" spans="1:7">
      <c r="A293" s="4" t="s">
        <v>203</v>
      </c>
      <c r="B293" s="6" t="s">
        <v>204</v>
      </c>
      <c r="C293" s="6">
        <v>2024</v>
      </c>
      <c r="D293" s="4" t="s">
        <v>289</v>
      </c>
      <c r="E293" s="6" t="s">
        <v>491</v>
      </c>
      <c r="F293" s="7">
        <v>106</v>
      </c>
      <c r="G293" s="7">
        <v>1</v>
      </c>
    </row>
    <row r="294" spans="1:7">
      <c r="A294" s="4" t="s">
        <v>203</v>
      </c>
      <c r="B294" s="6" t="s">
        <v>204</v>
      </c>
      <c r="C294" s="6">
        <v>2025</v>
      </c>
      <c r="D294" s="4" t="s">
        <v>425</v>
      </c>
      <c r="E294" s="6" t="s">
        <v>472</v>
      </c>
      <c r="F294" s="7">
        <v>2854553</v>
      </c>
      <c r="G294" s="7">
        <v>18200000</v>
      </c>
    </row>
    <row r="295" spans="1:7">
      <c r="A295" s="4" t="s">
        <v>203</v>
      </c>
      <c r="B295" s="6" t="s">
        <v>204</v>
      </c>
      <c r="C295" s="6">
        <v>2025</v>
      </c>
      <c r="D295" s="4" t="s">
        <v>287</v>
      </c>
      <c r="E295" s="6" t="s">
        <v>463</v>
      </c>
      <c r="F295" s="7">
        <v>2378005</v>
      </c>
      <c r="G295" s="7">
        <v>3406392</v>
      </c>
    </row>
    <row r="296" spans="1:7">
      <c r="A296" s="4" t="s">
        <v>203</v>
      </c>
      <c r="B296" s="6" t="s">
        <v>204</v>
      </c>
      <c r="C296" s="6">
        <v>2025</v>
      </c>
      <c r="D296" s="4" t="s">
        <v>81</v>
      </c>
      <c r="E296" s="6" t="s">
        <v>449</v>
      </c>
      <c r="F296" s="7">
        <v>572068</v>
      </c>
      <c r="G296" s="7">
        <v>3420000</v>
      </c>
    </row>
    <row r="297" spans="1:7">
      <c r="A297" s="4" t="s">
        <v>203</v>
      </c>
      <c r="B297" s="6" t="s">
        <v>204</v>
      </c>
      <c r="C297" s="6">
        <v>2025</v>
      </c>
      <c r="D297" s="4" t="s">
        <v>93</v>
      </c>
      <c r="E297" s="6" t="s">
        <v>458</v>
      </c>
      <c r="F297" s="7">
        <v>125742</v>
      </c>
      <c r="G297" s="7">
        <v>2702</v>
      </c>
    </row>
    <row r="298" spans="1:7">
      <c r="A298" s="4" t="s">
        <v>203</v>
      </c>
      <c r="B298" s="6" t="s">
        <v>204</v>
      </c>
      <c r="C298" s="6">
        <v>2025</v>
      </c>
      <c r="D298" s="4" t="s">
        <v>96</v>
      </c>
      <c r="E298" s="6" t="s">
        <v>453</v>
      </c>
      <c r="F298" s="7">
        <v>62285</v>
      </c>
      <c r="G298" s="7">
        <v>4220</v>
      </c>
    </row>
    <row r="299" spans="1:7">
      <c r="A299" s="4" t="s">
        <v>203</v>
      </c>
      <c r="B299" s="6" t="s">
        <v>204</v>
      </c>
      <c r="C299" s="6">
        <v>2025</v>
      </c>
      <c r="D299" s="4" t="s">
        <v>121</v>
      </c>
      <c r="E299" s="6" t="s">
        <v>455</v>
      </c>
      <c r="F299" s="7">
        <v>44929</v>
      </c>
      <c r="G299" s="7">
        <v>23853</v>
      </c>
    </row>
    <row r="300" spans="1:7">
      <c r="A300" s="4" t="s">
        <v>203</v>
      </c>
      <c r="B300" s="6" t="s">
        <v>204</v>
      </c>
      <c r="C300" s="6">
        <v>2025</v>
      </c>
      <c r="D300" s="4" t="s">
        <v>62</v>
      </c>
      <c r="E300" s="6" t="s">
        <v>448</v>
      </c>
      <c r="F300" s="7">
        <v>36938</v>
      </c>
      <c r="G300" s="7">
        <v>7491</v>
      </c>
    </row>
    <row r="301" spans="1:7">
      <c r="A301" s="4" t="s">
        <v>203</v>
      </c>
      <c r="B301" s="6" t="s">
        <v>204</v>
      </c>
      <c r="C301" s="6">
        <v>2025</v>
      </c>
      <c r="D301" s="4" t="s">
        <v>89</v>
      </c>
      <c r="E301" s="6" t="s">
        <v>459</v>
      </c>
      <c r="F301" s="7">
        <v>31355</v>
      </c>
      <c r="G301" s="7">
        <v>45901</v>
      </c>
    </row>
    <row r="302" spans="1:7">
      <c r="A302" s="4" t="s">
        <v>203</v>
      </c>
      <c r="B302" s="6" t="s">
        <v>204</v>
      </c>
      <c r="C302" s="6">
        <v>2025</v>
      </c>
      <c r="D302" s="4" t="s">
        <v>203</v>
      </c>
      <c r="E302" s="6" t="s">
        <v>452</v>
      </c>
      <c r="F302" s="7">
        <v>10712</v>
      </c>
      <c r="G302" s="7">
        <v>43154</v>
      </c>
    </row>
    <row r="303" spans="1:7">
      <c r="A303" s="4" t="s">
        <v>203</v>
      </c>
      <c r="B303" s="6" t="s">
        <v>204</v>
      </c>
      <c r="C303" s="6">
        <v>2025</v>
      </c>
      <c r="D303" s="4" t="s">
        <v>409</v>
      </c>
      <c r="E303" s="6" t="s">
        <v>461</v>
      </c>
      <c r="F303" s="7">
        <v>8719</v>
      </c>
      <c r="G303" s="7">
        <v>144</v>
      </c>
    </row>
    <row r="304" spans="1:7">
      <c r="A304" s="4" t="s">
        <v>203</v>
      </c>
      <c r="B304" s="6" t="s">
        <v>204</v>
      </c>
      <c r="C304" s="6">
        <v>2025</v>
      </c>
      <c r="D304" s="4" t="s">
        <v>73</v>
      </c>
      <c r="E304" s="6" t="s">
        <v>460</v>
      </c>
      <c r="F304" s="7">
        <v>4895</v>
      </c>
      <c r="G304" s="7">
        <v>64</v>
      </c>
    </row>
    <row r="305" spans="1:7">
      <c r="A305" s="4" t="s">
        <v>203</v>
      </c>
      <c r="B305" s="6" t="s">
        <v>204</v>
      </c>
      <c r="C305" s="6">
        <v>2025</v>
      </c>
      <c r="D305" s="4" t="s">
        <v>355</v>
      </c>
      <c r="E305" s="6" t="s">
        <v>468</v>
      </c>
      <c r="F305" s="7">
        <v>2878</v>
      </c>
      <c r="G305" s="7">
        <v>520</v>
      </c>
    </row>
    <row r="306" spans="1:7">
      <c r="A306" s="4" t="s">
        <v>203</v>
      </c>
      <c r="B306" s="6" t="s">
        <v>204</v>
      </c>
      <c r="C306" s="6">
        <v>2025</v>
      </c>
      <c r="D306" s="4" t="s">
        <v>112</v>
      </c>
      <c r="E306" s="6" t="s">
        <v>480</v>
      </c>
      <c r="F306" s="7">
        <v>2777</v>
      </c>
      <c r="G306" s="7">
        <v>513</v>
      </c>
    </row>
    <row r="307" spans="1:7">
      <c r="A307" s="4" t="s">
        <v>203</v>
      </c>
      <c r="B307" s="6" t="s">
        <v>204</v>
      </c>
      <c r="C307" s="6">
        <v>2025</v>
      </c>
      <c r="D307" s="4" t="s">
        <v>104</v>
      </c>
      <c r="E307" s="6" t="s">
        <v>450</v>
      </c>
      <c r="F307" s="7">
        <v>1379</v>
      </c>
      <c r="G307" s="7">
        <v>20</v>
      </c>
    </row>
    <row r="308" spans="1:7">
      <c r="A308" s="4" t="s">
        <v>203</v>
      </c>
      <c r="B308" s="6" t="s">
        <v>204</v>
      </c>
      <c r="C308" s="6">
        <v>2025</v>
      </c>
      <c r="D308" s="4" t="s">
        <v>397</v>
      </c>
      <c r="E308" s="6" t="s">
        <v>492</v>
      </c>
      <c r="F308" s="7">
        <v>109</v>
      </c>
      <c r="G308" s="7">
        <v>25</v>
      </c>
    </row>
    <row r="309" spans="1:7">
      <c r="A309" s="4" t="s">
        <v>203</v>
      </c>
      <c r="B309" s="6" t="s">
        <v>204</v>
      </c>
      <c r="C309" s="6">
        <v>2025</v>
      </c>
      <c r="D309" s="4" t="s">
        <v>83</v>
      </c>
      <c r="E309" s="6" t="s">
        <v>493</v>
      </c>
      <c r="F309" s="7">
        <v>75</v>
      </c>
      <c r="G309" s="7">
        <v>1</v>
      </c>
    </row>
    <row r="310" spans="1:7">
      <c r="A310" s="4" t="s">
        <v>203</v>
      </c>
      <c r="B310" s="6" t="s">
        <v>204</v>
      </c>
      <c r="C310" s="6">
        <v>2025</v>
      </c>
      <c r="D310" s="4" t="s">
        <v>197</v>
      </c>
      <c r="E310" s="6" t="s">
        <v>464</v>
      </c>
      <c r="F310" s="7">
        <v>73</v>
      </c>
      <c r="G310" s="7">
        <v>197</v>
      </c>
    </row>
    <row r="311" spans="1:7">
      <c r="A311" s="4" t="s">
        <v>93</v>
      </c>
      <c r="B311" s="6" t="s">
        <v>94</v>
      </c>
      <c r="C311" s="6">
        <v>2022</v>
      </c>
      <c r="D311" s="4" t="s">
        <v>125</v>
      </c>
      <c r="E311" s="6" t="s">
        <v>465</v>
      </c>
      <c r="F311" s="7">
        <v>44263344.649</v>
      </c>
      <c r="G311" s="7">
        <v>173951735</v>
      </c>
    </row>
    <row r="312" spans="1:7">
      <c r="A312" s="4" t="s">
        <v>93</v>
      </c>
      <c r="B312" s="6" t="s">
        <v>94</v>
      </c>
      <c r="C312" s="6">
        <v>2022</v>
      </c>
      <c r="D312" s="4" t="s">
        <v>115</v>
      </c>
      <c r="E312" s="6" t="s">
        <v>454</v>
      </c>
      <c r="F312" s="7">
        <v>33049271.242</v>
      </c>
      <c r="G312" s="7">
        <v>74877353</v>
      </c>
    </row>
    <row r="313" spans="1:7">
      <c r="A313" s="4" t="s">
        <v>93</v>
      </c>
      <c r="B313" s="6" t="s">
        <v>94</v>
      </c>
      <c r="C313" s="6">
        <v>2022</v>
      </c>
      <c r="D313" s="4" t="s">
        <v>121</v>
      </c>
      <c r="E313" s="6" t="s">
        <v>455</v>
      </c>
      <c r="F313" s="7">
        <v>32806214.65</v>
      </c>
      <c r="G313" s="7">
        <v>86202219</v>
      </c>
    </row>
    <row r="314" spans="1:7">
      <c r="A314" s="4" t="s">
        <v>93</v>
      </c>
      <c r="B314" s="6" t="s">
        <v>94</v>
      </c>
      <c r="C314" s="6">
        <v>2022</v>
      </c>
      <c r="D314" s="4" t="s">
        <v>179</v>
      </c>
      <c r="E314" s="6" t="s">
        <v>494</v>
      </c>
      <c r="F314" s="7">
        <v>24474210.825</v>
      </c>
      <c r="G314" s="7">
        <v>70574182</v>
      </c>
    </row>
    <row r="315" spans="1:7">
      <c r="A315" s="4" t="s">
        <v>93</v>
      </c>
      <c r="B315" s="6" t="s">
        <v>94</v>
      </c>
      <c r="C315" s="6">
        <v>2022</v>
      </c>
      <c r="D315" s="4" t="s">
        <v>81</v>
      </c>
      <c r="E315" s="6" t="s">
        <v>449</v>
      </c>
      <c r="F315" s="7">
        <v>7108741.137</v>
      </c>
      <c r="G315" s="7">
        <v>20548033.75</v>
      </c>
    </row>
    <row r="316" spans="1:7">
      <c r="A316" s="4" t="s">
        <v>93</v>
      </c>
      <c r="B316" s="6" t="s">
        <v>94</v>
      </c>
      <c r="C316" s="6">
        <v>2022</v>
      </c>
      <c r="D316" s="4" t="s">
        <v>157</v>
      </c>
      <c r="E316" s="6" t="s">
        <v>495</v>
      </c>
      <c r="F316" s="7">
        <v>1861311.523</v>
      </c>
      <c r="G316" s="7">
        <v>5173175</v>
      </c>
    </row>
    <row r="317" spans="1:7">
      <c r="A317" s="4" t="s">
        <v>93</v>
      </c>
      <c r="B317" s="6" t="s">
        <v>94</v>
      </c>
      <c r="C317" s="6">
        <v>2022</v>
      </c>
      <c r="D317" s="4" t="s">
        <v>311</v>
      </c>
      <c r="E317" s="6" t="s">
        <v>496</v>
      </c>
      <c r="F317" s="7">
        <v>1524835.159</v>
      </c>
      <c r="G317" s="7">
        <v>3416800</v>
      </c>
    </row>
    <row r="318" spans="1:7">
      <c r="A318" s="4" t="s">
        <v>93</v>
      </c>
      <c r="B318" s="6" t="s">
        <v>94</v>
      </c>
      <c r="C318" s="6">
        <v>2022</v>
      </c>
      <c r="D318" s="4" t="s">
        <v>253</v>
      </c>
      <c r="E318" s="6" t="s">
        <v>469</v>
      </c>
      <c r="F318" s="7">
        <v>921229.603</v>
      </c>
      <c r="G318" s="7">
        <v>1831000</v>
      </c>
    </row>
    <row r="319" spans="1:7">
      <c r="A319" s="4" t="s">
        <v>93</v>
      </c>
      <c r="B319" s="6" t="s">
        <v>94</v>
      </c>
      <c r="C319" s="6">
        <v>2022</v>
      </c>
      <c r="D319" s="4" t="s">
        <v>79</v>
      </c>
      <c r="E319" s="6" t="s">
        <v>497</v>
      </c>
      <c r="F319" s="7">
        <v>363926.794</v>
      </c>
      <c r="G319" s="7">
        <v>662706.333</v>
      </c>
    </row>
    <row r="320" spans="1:7">
      <c r="A320" s="4" t="s">
        <v>93</v>
      </c>
      <c r="B320" s="6" t="s">
        <v>94</v>
      </c>
      <c r="C320" s="6">
        <v>2022</v>
      </c>
      <c r="D320" s="4" t="s">
        <v>104</v>
      </c>
      <c r="E320" s="6" t="s">
        <v>450</v>
      </c>
      <c r="F320" s="7">
        <v>350145.458</v>
      </c>
      <c r="G320" s="7">
        <v>712849</v>
      </c>
    </row>
    <row r="321" spans="1:7">
      <c r="A321" s="4" t="s">
        <v>93</v>
      </c>
      <c r="B321" s="6" t="s">
        <v>94</v>
      </c>
      <c r="C321" s="6">
        <v>2022</v>
      </c>
      <c r="D321" s="4" t="s">
        <v>225</v>
      </c>
      <c r="E321" s="6" t="s">
        <v>498</v>
      </c>
      <c r="F321" s="7">
        <v>342046.078</v>
      </c>
      <c r="G321" s="7">
        <v>374793</v>
      </c>
    </row>
    <row r="322" spans="1:7">
      <c r="A322" s="4" t="s">
        <v>93</v>
      </c>
      <c r="B322" s="6" t="s">
        <v>94</v>
      </c>
      <c r="C322" s="6">
        <v>2022</v>
      </c>
      <c r="D322" s="4" t="s">
        <v>96</v>
      </c>
      <c r="E322" s="6" t="s">
        <v>453</v>
      </c>
      <c r="F322" s="7">
        <v>322971.396</v>
      </c>
      <c r="G322" s="7">
        <v>557418</v>
      </c>
    </row>
    <row r="323" spans="1:7">
      <c r="A323" s="4" t="s">
        <v>93</v>
      </c>
      <c r="B323" s="6" t="s">
        <v>94</v>
      </c>
      <c r="C323" s="6">
        <v>2022</v>
      </c>
      <c r="D323" s="4" t="s">
        <v>89</v>
      </c>
      <c r="E323" s="6" t="s">
        <v>459</v>
      </c>
      <c r="F323" s="7">
        <v>165228.842</v>
      </c>
      <c r="G323" s="7">
        <v>238194.354</v>
      </c>
    </row>
    <row r="324" spans="1:7">
      <c r="A324" s="4" t="s">
        <v>93</v>
      </c>
      <c r="B324" s="6" t="s">
        <v>94</v>
      </c>
      <c r="C324" s="6">
        <v>2022</v>
      </c>
      <c r="D324" s="4" t="s">
        <v>409</v>
      </c>
      <c r="E324" s="6" t="s">
        <v>461</v>
      </c>
      <c r="F324" s="7">
        <v>129568.909</v>
      </c>
      <c r="G324" s="7">
        <v>94930.13</v>
      </c>
    </row>
    <row r="325" spans="1:7">
      <c r="A325" s="4" t="s">
        <v>93</v>
      </c>
      <c r="B325" s="6" t="s">
        <v>94</v>
      </c>
      <c r="C325" s="6">
        <v>2022</v>
      </c>
      <c r="D325" s="4" t="s">
        <v>62</v>
      </c>
      <c r="E325" s="6" t="s">
        <v>448</v>
      </c>
      <c r="F325" s="7">
        <v>115459.32</v>
      </c>
      <c r="G325" s="7">
        <v>241408</v>
      </c>
    </row>
    <row r="326" spans="1:7">
      <c r="A326" s="4" t="s">
        <v>93</v>
      </c>
      <c r="B326" s="6" t="s">
        <v>94</v>
      </c>
      <c r="C326" s="6">
        <v>2022</v>
      </c>
      <c r="D326" s="4" t="s">
        <v>377</v>
      </c>
      <c r="E326" s="6" t="s">
        <v>451</v>
      </c>
      <c r="F326" s="7">
        <v>105938.921</v>
      </c>
      <c r="G326" s="7">
        <v>184231</v>
      </c>
    </row>
    <row r="327" spans="1:7">
      <c r="A327" s="4" t="s">
        <v>93</v>
      </c>
      <c r="B327" s="6" t="s">
        <v>94</v>
      </c>
      <c r="C327" s="6">
        <v>2022</v>
      </c>
      <c r="D327" s="4" t="s">
        <v>407</v>
      </c>
      <c r="E327" s="6" t="s">
        <v>481</v>
      </c>
      <c r="F327" s="7">
        <v>94411.943</v>
      </c>
      <c r="G327" s="7">
        <v>350774</v>
      </c>
    </row>
    <row r="328" spans="1:7">
      <c r="A328" s="4" t="s">
        <v>93</v>
      </c>
      <c r="B328" s="6" t="s">
        <v>94</v>
      </c>
      <c r="C328" s="6">
        <v>2022</v>
      </c>
      <c r="D328" s="4" t="s">
        <v>203</v>
      </c>
      <c r="E328" s="6" t="s">
        <v>452</v>
      </c>
      <c r="F328" s="7">
        <v>78027.878</v>
      </c>
      <c r="G328" s="7">
        <v>124994.146</v>
      </c>
    </row>
    <row r="329" spans="1:7">
      <c r="A329" s="4" t="s">
        <v>93</v>
      </c>
      <c r="B329" s="6" t="s">
        <v>94</v>
      </c>
      <c r="C329" s="6">
        <v>2022</v>
      </c>
      <c r="D329" s="4" t="s">
        <v>287</v>
      </c>
      <c r="E329" s="6" t="s">
        <v>463</v>
      </c>
      <c r="F329" s="7">
        <v>55078.751</v>
      </c>
      <c r="G329" s="7">
        <v>6418.355</v>
      </c>
    </row>
    <row r="330" spans="1:7">
      <c r="A330" s="4" t="s">
        <v>93</v>
      </c>
      <c r="B330" s="6" t="s">
        <v>94</v>
      </c>
      <c r="C330" s="6">
        <v>2022</v>
      </c>
      <c r="D330" s="4" t="s">
        <v>351</v>
      </c>
      <c r="E330" s="6" t="s">
        <v>487</v>
      </c>
      <c r="F330" s="7">
        <v>15726.5</v>
      </c>
      <c r="G330" s="7">
        <v>24600</v>
      </c>
    </row>
    <row r="331" spans="1:7">
      <c r="A331" s="4" t="s">
        <v>93</v>
      </c>
      <c r="B331" s="6" t="s">
        <v>94</v>
      </c>
      <c r="C331" s="6">
        <v>2022</v>
      </c>
      <c r="D331" s="4" t="s">
        <v>397</v>
      </c>
      <c r="E331" s="6" t="s">
        <v>492</v>
      </c>
      <c r="F331" s="7">
        <v>11353.322</v>
      </c>
      <c r="G331" s="7">
        <v>36123</v>
      </c>
    </row>
    <row r="332" spans="1:7">
      <c r="A332" s="4" t="s">
        <v>93</v>
      </c>
      <c r="B332" s="6" t="s">
        <v>94</v>
      </c>
      <c r="C332" s="6">
        <v>2022</v>
      </c>
      <c r="D332" s="4" t="s">
        <v>73</v>
      </c>
      <c r="E332" s="6" t="s">
        <v>460</v>
      </c>
      <c r="F332" s="7">
        <v>7102.973</v>
      </c>
      <c r="G332" s="7">
        <v>4128.376</v>
      </c>
    </row>
    <row r="333" spans="1:7">
      <c r="A333" s="4" t="s">
        <v>93</v>
      </c>
      <c r="B333" s="6" t="s">
        <v>94</v>
      </c>
      <c r="C333" s="6">
        <v>2022</v>
      </c>
      <c r="D333" s="4" t="s">
        <v>265</v>
      </c>
      <c r="E333" s="6" t="s">
        <v>499</v>
      </c>
      <c r="F333" s="7">
        <v>667.095</v>
      </c>
      <c r="G333" s="7">
        <v>2426</v>
      </c>
    </row>
    <row r="334" spans="1:7">
      <c r="A334" s="4" t="s">
        <v>93</v>
      </c>
      <c r="B334" s="6" t="s">
        <v>94</v>
      </c>
      <c r="C334" s="6">
        <v>2022</v>
      </c>
      <c r="D334" s="4" t="s">
        <v>275</v>
      </c>
      <c r="E334" s="6" t="s">
        <v>500</v>
      </c>
      <c r="F334" s="7">
        <v>453.201</v>
      </c>
      <c r="G334" s="7">
        <v>1346.42</v>
      </c>
    </row>
    <row r="335" spans="1:7">
      <c r="A335" s="4" t="s">
        <v>93</v>
      </c>
      <c r="B335" s="6" t="s">
        <v>94</v>
      </c>
      <c r="C335" s="6">
        <v>2022</v>
      </c>
      <c r="D335" s="4" t="s">
        <v>399</v>
      </c>
      <c r="E335" s="6" t="s">
        <v>501</v>
      </c>
      <c r="F335" s="7">
        <v>311.311</v>
      </c>
      <c r="G335" s="7">
        <v>0</v>
      </c>
    </row>
    <row r="336" spans="1:7">
      <c r="A336" s="4" t="s">
        <v>93</v>
      </c>
      <c r="B336" s="6" t="s">
        <v>94</v>
      </c>
      <c r="C336" s="6">
        <v>2022</v>
      </c>
      <c r="D336" s="4" t="s">
        <v>185</v>
      </c>
      <c r="E336" s="6" t="s">
        <v>457</v>
      </c>
      <c r="F336" s="7">
        <v>62.474</v>
      </c>
      <c r="G336" s="7">
        <v>280</v>
      </c>
    </row>
    <row r="337" spans="1:7">
      <c r="A337" s="4" t="s">
        <v>93</v>
      </c>
      <c r="B337" s="6" t="s">
        <v>94</v>
      </c>
      <c r="C337" s="6">
        <v>2022</v>
      </c>
      <c r="D337" s="4" t="s">
        <v>155</v>
      </c>
      <c r="E337" s="6" t="s">
        <v>489</v>
      </c>
      <c r="F337" s="7">
        <v>3.177</v>
      </c>
      <c r="G337" s="7">
        <v>1</v>
      </c>
    </row>
    <row r="338" spans="1:7">
      <c r="A338" s="4" t="s">
        <v>73</v>
      </c>
      <c r="B338" s="6" t="s">
        <v>74</v>
      </c>
      <c r="C338" s="6">
        <v>2020</v>
      </c>
      <c r="D338" s="4" t="s">
        <v>62</v>
      </c>
      <c r="E338" s="6" t="s">
        <v>448</v>
      </c>
      <c r="F338" s="7">
        <v>45490064.492</v>
      </c>
      <c r="G338" s="7">
        <v>200596402.908</v>
      </c>
    </row>
    <row r="339" spans="1:7">
      <c r="A339" s="4" t="s">
        <v>73</v>
      </c>
      <c r="B339" s="6" t="s">
        <v>74</v>
      </c>
      <c r="C339" s="6">
        <v>2020</v>
      </c>
      <c r="D339" s="4" t="s">
        <v>185</v>
      </c>
      <c r="E339" s="6" t="s">
        <v>457</v>
      </c>
      <c r="F339" s="7">
        <v>22808396.078</v>
      </c>
      <c r="G339" s="7">
        <v>98601740</v>
      </c>
    </row>
    <row r="340" spans="1:7">
      <c r="A340" s="4" t="s">
        <v>73</v>
      </c>
      <c r="B340" s="6" t="s">
        <v>74</v>
      </c>
      <c r="C340" s="6">
        <v>2020</v>
      </c>
      <c r="D340" s="4" t="s">
        <v>425</v>
      </c>
      <c r="E340" s="6" t="s">
        <v>472</v>
      </c>
      <c r="F340" s="7">
        <v>22085133.964</v>
      </c>
      <c r="G340" s="7">
        <v>109186350</v>
      </c>
    </row>
    <row r="341" spans="1:7">
      <c r="A341" s="4" t="s">
        <v>73</v>
      </c>
      <c r="B341" s="6" t="s">
        <v>74</v>
      </c>
      <c r="C341" s="6">
        <v>2020</v>
      </c>
      <c r="D341" s="4" t="s">
        <v>81</v>
      </c>
      <c r="E341" s="6" t="s">
        <v>449</v>
      </c>
      <c r="F341" s="7">
        <v>19639734.589</v>
      </c>
      <c r="G341" s="7">
        <v>91233319</v>
      </c>
    </row>
    <row r="342" spans="1:7">
      <c r="A342" s="4" t="s">
        <v>73</v>
      </c>
      <c r="B342" s="6" t="s">
        <v>74</v>
      </c>
      <c r="C342" s="6">
        <v>2020</v>
      </c>
      <c r="D342" s="4" t="s">
        <v>291</v>
      </c>
      <c r="E342" s="6" t="s">
        <v>483</v>
      </c>
      <c r="F342" s="7">
        <v>18890623.123</v>
      </c>
      <c r="G342" s="7">
        <v>87181660</v>
      </c>
    </row>
    <row r="343" spans="1:7">
      <c r="A343" s="4" t="s">
        <v>73</v>
      </c>
      <c r="B343" s="6" t="s">
        <v>74</v>
      </c>
      <c r="C343" s="6">
        <v>2020</v>
      </c>
      <c r="D343" s="4" t="s">
        <v>377</v>
      </c>
      <c r="E343" s="6" t="s">
        <v>451</v>
      </c>
      <c r="F343" s="7">
        <v>10937780.1</v>
      </c>
      <c r="G343" s="7">
        <v>55596350</v>
      </c>
    </row>
    <row r="344" spans="1:7">
      <c r="A344" s="4" t="s">
        <v>73</v>
      </c>
      <c r="B344" s="6" t="s">
        <v>74</v>
      </c>
      <c r="C344" s="6">
        <v>2020</v>
      </c>
      <c r="D344" s="4" t="s">
        <v>203</v>
      </c>
      <c r="E344" s="6" t="s">
        <v>452</v>
      </c>
      <c r="F344" s="7">
        <v>4648399.385</v>
      </c>
      <c r="G344" s="7">
        <v>16367302</v>
      </c>
    </row>
    <row r="345" spans="1:7">
      <c r="A345" s="4" t="s">
        <v>73</v>
      </c>
      <c r="B345" s="6" t="s">
        <v>74</v>
      </c>
      <c r="C345" s="6">
        <v>2020</v>
      </c>
      <c r="D345" s="4" t="s">
        <v>217</v>
      </c>
      <c r="E345" s="6" t="s">
        <v>502</v>
      </c>
      <c r="F345" s="7">
        <v>2767502.527</v>
      </c>
      <c r="G345" s="7">
        <v>12062000</v>
      </c>
    </row>
    <row r="346" spans="1:7">
      <c r="A346" s="4" t="s">
        <v>73</v>
      </c>
      <c r="B346" s="6" t="s">
        <v>74</v>
      </c>
      <c r="C346" s="6">
        <v>2020</v>
      </c>
      <c r="D346" s="4" t="s">
        <v>205</v>
      </c>
      <c r="E346" s="6" t="s">
        <v>456</v>
      </c>
      <c r="F346" s="7">
        <v>1125598.8</v>
      </c>
      <c r="G346" s="7">
        <v>5282000</v>
      </c>
    </row>
    <row r="347" spans="1:7">
      <c r="A347" s="4" t="s">
        <v>73</v>
      </c>
      <c r="B347" s="6" t="s">
        <v>74</v>
      </c>
      <c r="C347" s="6">
        <v>2020</v>
      </c>
      <c r="D347" s="4" t="s">
        <v>93</v>
      </c>
      <c r="E347" s="6" t="s">
        <v>458</v>
      </c>
      <c r="F347" s="7">
        <v>1029878.316</v>
      </c>
      <c r="G347" s="7">
        <v>473084.071</v>
      </c>
    </row>
    <row r="348" spans="1:7">
      <c r="A348" s="4" t="s">
        <v>73</v>
      </c>
      <c r="B348" s="6" t="s">
        <v>74</v>
      </c>
      <c r="C348" s="6">
        <v>2020</v>
      </c>
      <c r="D348" s="4" t="s">
        <v>431</v>
      </c>
      <c r="E348" s="6" t="s">
        <v>482</v>
      </c>
      <c r="F348" s="7">
        <v>718050.628</v>
      </c>
      <c r="G348" s="7">
        <v>3798710</v>
      </c>
    </row>
    <row r="349" spans="1:7">
      <c r="A349" s="4" t="s">
        <v>73</v>
      </c>
      <c r="B349" s="6" t="s">
        <v>74</v>
      </c>
      <c r="C349" s="6">
        <v>2020</v>
      </c>
      <c r="D349" s="4" t="s">
        <v>96</v>
      </c>
      <c r="E349" s="6" t="s">
        <v>453</v>
      </c>
      <c r="F349" s="7">
        <v>671446.037</v>
      </c>
      <c r="G349" s="7">
        <v>2875602</v>
      </c>
    </row>
    <row r="350" spans="1:7">
      <c r="A350" s="4" t="s">
        <v>73</v>
      </c>
      <c r="B350" s="6" t="s">
        <v>74</v>
      </c>
      <c r="C350" s="6">
        <v>2020</v>
      </c>
      <c r="D350" s="4" t="s">
        <v>375</v>
      </c>
      <c r="E350" s="6" t="s">
        <v>503</v>
      </c>
      <c r="F350" s="7">
        <v>330339.403</v>
      </c>
      <c r="G350" s="7">
        <v>1163500</v>
      </c>
    </row>
    <row r="351" spans="1:7">
      <c r="A351" s="4" t="s">
        <v>73</v>
      </c>
      <c r="B351" s="6" t="s">
        <v>74</v>
      </c>
      <c r="C351" s="6">
        <v>2020</v>
      </c>
      <c r="D351" s="4" t="s">
        <v>395</v>
      </c>
      <c r="E351" s="6" t="s">
        <v>485</v>
      </c>
      <c r="F351" s="7">
        <v>281990.158</v>
      </c>
      <c r="G351" s="7">
        <v>1363539</v>
      </c>
    </row>
    <row r="352" spans="1:7">
      <c r="A352" s="4" t="s">
        <v>73</v>
      </c>
      <c r="B352" s="6" t="s">
        <v>74</v>
      </c>
      <c r="C352" s="6">
        <v>2020</v>
      </c>
      <c r="D352" s="4" t="s">
        <v>504</v>
      </c>
      <c r="E352" s="6" t="s">
        <v>505</v>
      </c>
      <c r="F352" s="7">
        <v>214200.934</v>
      </c>
      <c r="G352" s="7">
        <v>1000000</v>
      </c>
    </row>
    <row r="353" spans="1:7">
      <c r="A353" s="4" t="s">
        <v>73</v>
      </c>
      <c r="B353" s="6" t="s">
        <v>74</v>
      </c>
      <c r="C353" s="6">
        <v>2020</v>
      </c>
      <c r="D353" s="4" t="s">
        <v>179</v>
      </c>
      <c r="E353" s="6" t="s">
        <v>494</v>
      </c>
      <c r="F353" s="7">
        <v>212890.01</v>
      </c>
      <c r="G353" s="7">
        <v>878000</v>
      </c>
    </row>
    <row r="354" spans="1:7">
      <c r="A354" s="4" t="s">
        <v>73</v>
      </c>
      <c r="B354" s="6" t="s">
        <v>74</v>
      </c>
      <c r="C354" s="6">
        <v>2020</v>
      </c>
      <c r="D354" s="4" t="s">
        <v>279</v>
      </c>
      <c r="E354" s="6" t="s">
        <v>484</v>
      </c>
      <c r="F354" s="7">
        <v>188321.107</v>
      </c>
      <c r="G354" s="7">
        <v>728000</v>
      </c>
    </row>
    <row r="355" spans="1:7">
      <c r="A355" s="4" t="s">
        <v>73</v>
      </c>
      <c r="B355" s="6" t="s">
        <v>74</v>
      </c>
      <c r="C355" s="6">
        <v>2020</v>
      </c>
      <c r="D355" s="4" t="s">
        <v>287</v>
      </c>
      <c r="E355" s="6" t="s">
        <v>463</v>
      </c>
      <c r="F355" s="7">
        <v>178153.22</v>
      </c>
      <c r="G355" s="7">
        <v>220172.647</v>
      </c>
    </row>
    <row r="356" spans="1:7">
      <c r="A356" s="4" t="s">
        <v>73</v>
      </c>
      <c r="B356" s="6" t="s">
        <v>74</v>
      </c>
      <c r="C356" s="6">
        <v>2020</v>
      </c>
      <c r="D356" s="4" t="s">
        <v>125</v>
      </c>
      <c r="E356" s="6" t="s">
        <v>465</v>
      </c>
      <c r="F356" s="7">
        <v>154486.496</v>
      </c>
      <c r="G356" s="7">
        <v>423755.158</v>
      </c>
    </row>
    <row r="357" spans="1:7">
      <c r="A357" s="4" t="s">
        <v>73</v>
      </c>
      <c r="B357" s="6" t="s">
        <v>74</v>
      </c>
      <c r="C357" s="6">
        <v>2020</v>
      </c>
      <c r="D357" s="4" t="s">
        <v>225</v>
      </c>
      <c r="E357" s="6" t="s">
        <v>498</v>
      </c>
      <c r="F357" s="7">
        <v>116566.998</v>
      </c>
      <c r="G357" s="7">
        <v>6300</v>
      </c>
    </row>
    <row r="358" spans="1:7">
      <c r="A358" s="4" t="s">
        <v>73</v>
      </c>
      <c r="B358" s="6" t="s">
        <v>74</v>
      </c>
      <c r="C358" s="6">
        <v>2020</v>
      </c>
      <c r="D358" s="4" t="s">
        <v>433</v>
      </c>
      <c r="E358" s="6" t="s">
        <v>490</v>
      </c>
      <c r="F358" s="7">
        <v>108407.414</v>
      </c>
      <c r="G358" s="7">
        <v>224900</v>
      </c>
    </row>
    <row r="359" spans="1:7">
      <c r="A359" s="4" t="s">
        <v>73</v>
      </c>
      <c r="B359" s="6" t="s">
        <v>74</v>
      </c>
      <c r="C359" s="6">
        <v>2020</v>
      </c>
      <c r="D359" s="4" t="s">
        <v>223</v>
      </c>
      <c r="E359" s="6" t="s">
        <v>467</v>
      </c>
      <c r="F359" s="7">
        <v>91076.986</v>
      </c>
      <c r="G359" s="7">
        <v>525256</v>
      </c>
    </row>
    <row r="360" spans="1:7">
      <c r="A360" s="4" t="s">
        <v>73</v>
      </c>
      <c r="B360" s="6" t="s">
        <v>74</v>
      </c>
      <c r="C360" s="6">
        <v>2020</v>
      </c>
      <c r="D360" s="4" t="s">
        <v>151</v>
      </c>
      <c r="E360" s="6" t="s">
        <v>506</v>
      </c>
      <c r="F360" s="7">
        <v>54214.615</v>
      </c>
      <c r="G360" s="7">
        <v>249720</v>
      </c>
    </row>
    <row r="361" spans="1:7">
      <c r="A361" s="4" t="s">
        <v>73</v>
      </c>
      <c r="B361" s="6" t="s">
        <v>74</v>
      </c>
      <c r="C361" s="6">
        <v>2020</v>
      </c>
      <c r="D361" s="4" t="s">
        <v>115</v>
      </c>
      <c r="E361" s="6" t="s">
        <v>454</v>
      </c>
      <c r="F361" s="7">
        <v>32551.696</v>
      </c>
      <c r="G361" s="7">
        <v>141120</v>
      </c>
    </row>
    <row r="362" spans="1:7">
      <c r="A362" s="4" t="s">
        <v>73</v>
      </c>
      <c r="B362" s="6" t="s">
        <v>74</v>
      </c>
      <c r="C362" s="6">
        <v>2020</v>
      </c>
      <c r="D362" s="4" t="s">
        <v>104</v>
      </c>
      <c r="E362" s="6" t="s">
        <v>450</v>
      </c>
      <c r="F362" s="7">
        <v>21644.572</v>
      </c>
      <c r="G362" s="7">
        <v>42417.168</v>
      </c>
    </row>
    <row r="363" spans="1:7">
      <c r="A363" s="4" t="s">
        <v>73</v>
      </c>
      <c r="B363" s="6" t="s">
        <v>74</v>
      </c>
      <c r="C363" s="6">
        <v>2020</v>
      </c>
      <c r="D363" s="4" t="s">
        <v>357</v>
      </c>
      <c r="E363" s="6" t="s">
        <v>486</v>
      </c>
      <c r="F363" s="7">
        <v>16432.097</v>
      </c>
      <c r="G363" s="7">
        <v>20000</v>
      </c>
    </row>
    <row r="364" spans="1:7">
      <c r="A364" s="4" t="s">
        <v>73</v>
      </c>
      <c r="B364" s="6" t="s">
        <v>74</v>
      </c>
      <c r="C364" s="6">
        <v>2020</v>
      </c>
      <c r="D364" s="4" t="s">
        <v>79</v>
      </c>
      <c r="E364" s="6" t="s">
        <v>497</v>
      </c>
      <c r="F364" s="7">
        <v>16062.526</v>
      </c>
      <c r="G364" s="7">
        <v>25000</v>
      </c>
    </row>
    <row r="365" spans="1:7">
      <c r="A365" s="4" t="s">
        <v>73</v>
      </c>
      <c r="B365" s="6" t="s">
        <v>74</v>
      </c>
      <c r="C365" s="6">
        <v>2020</v>
      </c>
      <c r="D365" s="4" t="s">
        <v>101</v>
      </c>
      <c r="E365" s="6" t="s">
        <v>471</v>
      </c>
      <c r="F365" s="7">
        <v>10981.014</v>
      </c>
      <c r="G365" s="7">
        <v>108000</v>
      </c>
    </row>
    <row r="366" spans="1:7">
      <c r="A366" s="4" t="s">
        <v>73</v>
      </c>
      <c r="B366" s="6" t="s">
        <v>74</v>
      </c>
      <c r="C366" s="6">
        <v>2020</v>
      </c>
      <c r="D366" s="4" t="s">
        <v>121</v>
      </c>
      <c r="E366" s="6" t="s">
        <v>455</v>
      </c>
      <c r="F366" s="7">
        <v>6772.575</v>
      </c>
      <c r="G366" s="7">
        <v>1850</v>
      </c>
    </row>
    <row r="367" spans="1:7">
      <c r="A367" s="4" t="s">
        <v>73</v>
      </c>
      <c r="B367" s="6" t="s">
        <v>74</v>
      </c>
      <c r="C367" s="6">
        <v>2020</v>
      </c>
      <c r="D367" s="4" t="s">
        <v>112</v>
      </c>
      <c r="E367" s="6" t="s">
        <v>480</v>
      </c>
      <c r="F367" s="7">
        <v>3987.718</v>
      </c>
      <c r="G367" s="7">
        <v>19013</v>
      </c>
    </row>
    <row r="368" spans="1:7">
      <c r="A368" s="4" t="s">
        <v>73</v>
      </c>
      <c r="B368" s="6" t="s">
        <v>74</v>
      </c>
      <c r="C368" s="6">
        <v>2020</v>
      </c>
      <c r="D368" s="4" t="s">
        <v>399</v>
      </c>
      <c r="E368" s="6" t="s">
        <v>501</v>
      </c>
      <c r="F368" s="7">
        <v>1068.428</v>
      </c>
      <c r="G368" s="7">
        <v>250</v>
      </c>
    </row>
    <row r="369" spans="1:7">
      <c r="A369" s="4" t="s">
        <v>73</v>
      </c>
      <c r="B369" s="6" t="s">
        <v>74</v>
      </c>
      <c r="C369" s="6">
        <v>2020</v>
      </c>
      <c r="D369" s="4" t="s">
        <v>89</v>
      </c>
      <c r="E369" s="6" t="s">
        <v>459</v>
      </c>
      <c r="F369" s="7">
        <v>904.821</v>
      </c>
      <c r="G369" s="7">
        <v>558.9829999999999</v>
      </c>
    </row>
    <row r="370" spans="1:7">
      <c r="A370" s="4" t="s">
        <v>73</v>
      </c>
      <c r="B370" s="6" t="s">
        <v>74</v>
      </c>
      <c r="C370" s="6">
        <v>2020</v>
      </c>
      <c r="D370" s="4" t="s">
        <v>231</v>
      </c>
      <c r="E370" s="6" t="s">
        <v>466</v>
      </c>
      <c r="F370" s="7">
        <v>442.2</v>
      </c>
      <c r="G370" s="7">
        <v>600</v>
      </c>
    </row>
    <row r="371" spans="1:7">
      <c r="A371" s="4" t="s">
        <v>73</v>
      </c>
      <c r="B371" s="6" t="s">
        <v>74</v>
      </c>
      <c r="C371" s="6">
        <v>2020</v>
      </c>
      <c r="D371" s="4" t="s">
        <v>476</v>
      </c>
      <c r="E371" s="6" t="s">
        <v>477</v>
      </c>
      <c r="F371" s="7">
        <v>188.146</v>
      </c>
      <c r="G371" s="7">
        <v>30</v>
      </c>
    </row>
    <row r="372" spans="1:7">
      <c r="A372" s="4" t="s">
        <v>73</v>
      </c>
      <c r="B372" s="6" t="s">
        <v>74</v>
      </c>
      <c r="C372" s="6">
        <v>2020</v>
      </c>
      <c r="D372" s="4" t="s">
        <v>409</v>
      </c>
      <c r="E372" s="6" t="s">
        <v>461</v>
      </c>
      <c r="F372" s="7">
        <v>143.823</v>
      </c>
      <c r="G372" s="7">
        <v>10</v>
      </c>
    </row>
    <row r="373" spans="1:7">
      <c r="A373" s="4" t="s">
        <v>73</v>
      </c>
      <c r="B373" s="6" t="s">
        <v>74</v>
      </c>
      <c r="C373" s="6">
        <v>2020</v>
      </c>
      <c r="D373" s="4" t="s">
        <v>83</v>
      </c>
      <c r="E373" s="6" t="s">
        <v>493</v>
      </c>
      <c r="F373" s="7">
        <v>46.992</v>
      </c>
      <c r="G373" s="7">
        <v>6</v>
      </c>
    </row>
    <row r="374" spans="1:7">
      <c r="A374" s="4" t="s">
        <v>73</v>
      </c>
      <c r="B374" s="6" t="s">
        <v>74</v>
      </c>
      <c r="C374" s="6">
        <v>2021</v>
      </c>
      <c r="D374" s="4" t="s">
        <v>185</v>
      </c>
      <c r="E374" s="6" t="s">
        <v>457</v>
      </c>
      <c r="F374" s="7">
        <v>24134671.121</v>
      </c>
      <c r="G374" s="7">
        <v>106499900</v>
      </c>
    </row>
    <row r="375" spans="1:7">
      <c r="A375" s="4" t="s">
        <v>73</v>
      </c>
      <c r="B375" s="6" t="s">
        <v>74</v>
      </c>
      <c r="C375" s="6">
        <v>2021</v>
      </c>
      <c r="D375" s="4" t="s">
        <v>425</v>
      </c>
      <c r="E375" s="6" t="s">
        <v>472</v>
      </c>
      <c r="F375" s="7">
        <v>23850458.733</v>
      </c>
      <c r="G375" s="7">
        <v>109398090</v>
      </c>
    </row>
    <row r="376" spans="1:7">
      <c r="A376" s="4" t="s">
        <v>73</v>
      </c>
      <c r="B376" s="6" t="s">
        <v>74</v>
      </c>
      <c r="C376" s="6">
        <v>2021</v>
      </c>
      <c r="D376" s="4" t="s">
        <v>62</v>
      </c>
      <c r="E376" s="6" t="s">
        <v>448</v>
      </c>
      <c r="F376" s="7">
        <v>22104388.208</v>
      </c>
      <c r="G376" s="7">
        <v>94411200</v>
      </c>
    </row>
    <row r="377" spans="1:7">
      <c r="A377" s="4" t="s">
        <v>73</v>
      </c>
      <c r="B377" s="6" t="s">
        <v>74</v>
      </c>
      <c r="C377" s="6">
        <v>2021</v>
      </c>
      <c r="D377" s="4" t="s">
        <v>291</v>
      </c>
      <c r="E377" s="6" t="s">
        <v>483</v>
      </c>
      <c r="F377" s="7">
        <v>21355624.43</v>
      </c>
      <c r="G377" s="7">
        <v>104182700</v>
      </c>
    </row>
    <row r="378" spans="1:7">
      <c r="A378" s="4" t="s">
        <v>73</v>
      </c>
      <c r="B378" s="6" t="s">
        <v>74</v>
      </c>
      <c r="C378" s="6">
        <v>2021</v>
      </c>
      <c r="D378" s="4" t="s">
        <v>81</v>
      </c>
      <c r="E378" s="6" t="s">
        <v>449</v>
      </c>
      <c r="F378" s="7">
        <v>19295068.33</v>
      </c>
      <c r="G378" s="7">
        <v>97824897</v>
      </c>
    </row>
    <row r="379" spans="1:7">
      <c r="A379" s="4" t="s">
        <v>73</v>
      </c>
      <c r="B379" s="6" t="s">
        <v>74</v>
      </c>
      <c r="C379" s="6">
        <v>2021</v>
      </c>
      <c r="D379" s="4" t="s">
        <v>377</v>
      </c>
      <c r="E379" s="6" t="s">
        <v>451</v>
      </c>
      <c r="F379" s="7">
        <v>15874592.888</v>
      </c>
      <c r="G379" s="7">
        <v>76438650</v>
      </c>
    </row>
    <row r="380" spans="1:7">
      <c r="A380" s="4" t="s">
        <v>73</v>
      </c>
      <c r="B380" s="6" t="s">
        <v>74</v>
      </c>
      <c r="C380" s="6">
        <v>2021</v>
      </c>
      <c r="D380" s="4" t="s">
        <v>125</v>
      </c>
      <c r="E380" s="6" t="s">
        <v>465</v>
      </c>
      <c r="F380" s="7">
        <v>2803119.582</v>
      </c>
      <c r="G380" s="7">
        <v>11688761</v>
      </c>
    </row>
    <row r="381" spans="1:7">
      <c r="A381" s="4" t="s">
        <v>73</v>
      </c>
      <c r="B381" s="6" t="s">
        <v>74</v>
      </c>
      <c r="C381" s="6">
        <v>2021</v>
      </c>
      <c r="D381" s="4" t="s">
        <v>203</v>
      </c>
      <c r="E381" s="6" t="s">
        <v>452</v>
      </c>
      <c r="F381" s="7">
        <v>2567711.92</v>
      </c>
      <c r="G381" s="7">
        <v>3124300</v>
      </c>
    </row>
    <row r="382" spans="1:7">
      <c r="A382" s="4" t="s">
        <v>73</v>
      </c>
      <c r="B382" s="6" t="s">
        <v>74</v>
      </c>
      <c r="C382" s="6">
        <v>2021</v>
      </c>
      <c r="D382" s="4" t="s">
        <v>93</v>
      </c>
      <c r="E382" s="6" t="s">
        <v>458</v>
      </c>
      <c r="F382" s="7">
        <v>772164.267</v>
      </c>
      <c r="G382" s="7">
        <v>441148</v>
      </c>
    </row>
    <row r="383" spans="1:7">
      <c r="A383" s="4" t="s">
        <v>73</v>
      </c>
      <c r="B383" s="6" t="s">
        <v>74</v>
      </c>
      <c r="C383" s="6">
        <v>2021</v>
      </c>
      <c r="D383" s="4" t="s">
        <v>217</v>
      </c>
      <c r="E383" s="6" t="s">
        <v>502</v>
      </c>
      <c r="F383" s="7">
        <v>397547.729</v>
      </c>
      <c r="G383" s="7">
        <v>1651500</v>
      </c>
    </row>
    <row r="384" spans="1:7">
      <c r="A384" s="4" t="s">
        <v>73</v>
      </c>
      <c r="B384" s="6" t="s">
        <v>74</v>
      </c>
      <c r="C384" s="6">
        <v>2021</v>
      </c>
      <c r="D384" s="4" t="s">
        <v>205</v>
      </c>
      <c r="E384" s="6" t="s">
        <v>456</v>
      </c>
      <c r="F384" s="7">
        <v>244386.54</v>
      </c>
      <c r="G384" s="7">
        <v>500000</v>
      </c>
    </row>
    <row r="385" spans="1:7">
      <c r="A385" s="4" t="s">
        <v>73</v>
      </c>
      <c r="B385" s="6" t="s">
        <v>74</v>
      </c>
      <c r="C385" s="6">
        <v>2021</v>
      </c>
      <c r="D385" s="4" t="s">
        <v>96</v>
      </c>
      <c r="E385" s="6" t="s">
        <v>453</v>
      </c>
      <c r="F385" s="7">
        <v>217831.692</v>
      </c>
      <c r="G385" s="7">
        <v>882600</v>
      </c>
    </row>
    <row r="386" spans="1:7">
      <c r="A386" s="4" t="s">
        <v>73</v>
      </c>
      <c r="B386" s="6" t="s">
        <v>74</v>
      </c>
      <c r="C386" s="6">
        <v>2021</v>
      </c>
      <c r="D386" s="4" t="s">
        <v>287</v>
      </c>
      <c r="E386" s="6" t="s">
        <v>463</v>
      </c>
      <c r="F386" s="7">
        <v>192457.239</v>
      </c>
      <c r="G386" s="7">
        <v>178825</v>
      </c>
    </row>
    <row r="387" spans="1:7">
      <c r="A387" s="4" t="s">
        <v>73</v>
      </c>
      <c r="B387" s="6" t="s">
        <v>74</v>
      </c>
      <c r="C387" s="6">
        <v>2021</v>
      </c>
      <c r="D387" s="4" t="s">
        <v>179</v>
      </c>
      <c r="E387" s="6" t="s">
        <v>494</v>
      </c>
      <c r="F387" s="7">
        <v>116072.426</v>
      </c>
      <c r="G387" s="7">
        <v>390000</v>
      </c>
    </row>
    <row r="388" spans="1:7">
      <c r="A388" s="4" t="s">
        <v>73</v>
      </c>
      <c r="B388" s="6" t="s">
        <v>74</v>
      </c>
      <c r="C388" s="6">
        <v>2021</v>
      </c>
      <c r="D388" s="4" t="s">
        <v>433</v>
      </c>
      <c r="E388" s="6" t="s">
        <v>490</v>
      </c>
      <c r="F388" s="7">
        <v>99806.105</v>
      </c>
      <c r="G388" s="7">
        <v>48200</v>
      </c>
    </row>
    <row r="389" spans="1:7">
      <c r="A389" s="4" t="s">
        <v>73</v>
      </c>
      <c r="B389" s="6" t="s">
        <v>74</v>
      </c>
      <c r="C389" s="6">
        <v>2021</v>
      </c>
      <c r="D389" s="4" t="s">
        <v>395</v>
      </c>
      <c r="E389" s="6" t="s">
        <v>485</v>
      </c>
      <c r="F389" s="7">
        <v>98594.383</v>
      </c>
      <c r="G389" s="7">
        <v>486000</v>
      </c>
    </row>
    <row r="390" spans="1:7">
      <c r="A390" s="4" t="s">
        <v>73</v>
      </c>
      <c r="B390" s="6" t="s">
        <v>74</v>
      </c>
      <c r="C390" s="6">
        <v>2021</v>
      </c>
      <c r="D390" s="4" t="s">
        <v>409</v>
      </c>
      <c r="E390" s="6" t="s">
        <v>461</v>
      </c>
      <c r="F390" s="7">
        <v>97583.886</v>
      </c>
      <c r="G390" s="7">
        <v>331500</v>
      </c>
    </row>
    <row r="391" spans="1:7">
      <c r="A391" s="4" t="s">
        <v>73</v>
      </c>
      <c r="B391" s="6" t="s">
        <v>74</v>
      </c>
      <c r="C391" s="6">
        <v>2021</v>
      </c>
      <c r="D391" s="4" t="s">
        <v>507</v>
      </c>
      <c r="E391" s="6" t="s">
        <v>508</v>
      </c>
      <c r="F391" s="7">
        <v>57181.887</v>
      </c>
      <c r="G391" s="7">
        <v>312000</v>
      </c>
    </row>
    <row r="392" spans="1:7">
      <c r="A392" s="4" t="s">
        <v>73</v>
      </c>
      <c r="B392" s="6" t="s">
        <v>74</v>
      </c>
      <c r="C392" s="6">
        <v>2021</v>
      </c>
      <c r="D392" s="4" t="s">
        <v>279</v>
      </c>
      <c r="E392" s="6" t="s">
        <v>484</v>
      </c>
      <c r="F392" s="7">
        <v>53510.268</v>
      </c>
      <c r="G392" s="7">
        <v>200000</v>
      </c>
    </row>
    <row r="393" spans="1:7">
      <c r="A393" s="4" t="s">
        <v>73</v>
      </c>
      <c r="B393" s="6" t="s">
        <v>74</v>
      </c>
      <c r="C393" s="6">
        <v>2021</v>
      </c>
      <c r="D393" s="4" t="s">
        <v>225</v>
      </c>
      <c r="E393" s="6" t="s">
        <v>498</v>
      </c>
      <c r="F393" s="7">
        <v>19722.661</v>
      </c>
      <c r="G393" s="7">
        <v>108000</v>
      </c>
    </row>
    <row r="394" spans="1:7">
      <c r="A394" s="4" t="s">
        <v>73</v>
      </c>
      <c r="B394" s="6" t="s">
        <v>74</v>
      </c>
      <c r="C394" s="6">
        <v>2021</v>
      </c>
      <c r="D394" s="4" t="s">
        <v>112</v>
      </c>
      <c r="E394" s="6" t="s">
        <v>480</v>
      </c>
      <c r="F394" s="7">
        <v>4331.726</v>
      </c>
      <c r="G394" s="7">
        <v>120</v>
      </c>
    </row>
    <row r="395" spans="1:7">
      <c r="A395" s="4" t="s">
        <v>73</v>
      </c>
      <c r="B395" s="6" t="s">
        <v>74</v>
      </c>
      <c r="C395" s="6">
        <v>2021</v>
      </c>
      <c r="D395" s="4" t="s">
        <v>104</v>
      </c>
      <c r="E395" s="6" t="s">
        <v>450</v>
      </c>
      <c r="F395" s="7">
        <v>2207.408</v>
      </c>
      <c r="G395" s="7">
        <v>131</v>
      </c>
    </row>
    <row r="396" spans="1:7">
      <c r="A396" s="4" t="s">
        <v>73</v>
      </c>
      <c r="B396" s="6" t="s">
        <v>74</v>
      </c>
      <c r="C396" s="6">
        <v>2021</v>
      </c>
      <c r="D396" s="4" t="s">
        <v>89</v>
      </c>
      <c r="E396" s="6" t="s">
        <v>459</v>
      </c>
      <c r="F396" s="7">
        <v>1214.346</v>
      </c>
      <c r="G396" s="7">
        <v>46</v>
      </c>
    </row>
    <row r="397" spans="1:7">
      <c r="A397" s="4" t="s">
        <v>73</v>
      </c>
      <c r="B397" s="6" t="s">
        <v>74</v>
      </c>
      <c r="C397" s="6">
        <v>2021</v>
      </c>
      <c r="D397" s="4" t="s">
        <v>121</v>
      </c>
      <c r="E397" s="6" t="s">
        <v>455</v>
      </c>
      <c r="F397" s="7">
        <v>1173.552</v>
      </c>
      <c r="G397" s="7">
        <v>0</v>
      </c>
    </row>
    <row r="398" spans="1:7">
      <c r="A398" s="4" t="s">
        <v>73</v>
      </c>
      <c r="B398" s="6" t="s">
        <v>74</v>
      </c>
      <c r="C398" s="6">
        <v>2021</v>
      </c>
      <c r="D398" s="4" t="s">
        <v>101</v>
      </c>
      <c r="E398" s="6" t="s">
        <v>471</v>
      </c>
      <c r="F398" s="7">
        <v>767.773</v>
      </c>
      <c r="G398" s="7">
        <v>50</v>
      </c>
    </row>
    <row r="399" spans="1:7">
      <c r="A399" s="4" t="s">
        <v>73</v>
      </c>
      <c r="B399" s="6" t="s">
        <v>74</v>
      </c>
      <c r="C399" s="6">
        <v>2021</v>
      </c>
      <c r="D399" s="4" t="s">
        <v>355</v>
      </c>
      <c r="E399" s="6" t="s">
        <v>468</v>
      </c>
      <c r="F399" s="7">
        <v>36.966</v>
      </c>
      <c r="G399" s="7">
        <v>5</v>
      </c>
    </row>
    <row r="400" spans="1:7">
      <c r="A400" s="4" t="s">
        <v>73</v>
      </c>
      <c r="B400" s="6" t="s">
        <v>74</v>
      </c>
      <c r="C400" s="6">
        <v>2022</v>
      </c>
      <c r="D400" s="4" t="s">
        <v>81</v>
      </c>
      <c r="E400" s="6" t="s">
        <v>449</v>
      </c>
      <c r="F400" s="7">
        <v>38899940.014</v>
      </c>
      <c r="G400" s="7">
        <v>119835785</v>
      </c>
    </row>
    <row r="401" spans="1:7">
      <c r="A401" s="4" t="s">
        <v>73</v>
      </c>
      <c r="B401" s="6" t="s">
        <v>74</v>
      </c>
      <c r="C401" s="6">
        <v>2022</v>
      </c>
      <c r="D401" s="4" t="s">
        <v>291</v>
      </c>
      <c r="E401" s="6" t="s">
        <v>483</v>
      </c>
      <c r="F401" s="7">
        <v>34706777.277</v>
      </c>
      <c r="G401" s="7">
        <v>100682480</v>
      </c>
    </row>
    <row r="402" spans="1:7">
      <c r="A402" s="4" t="s">
        <v>73</v>
      </c>
      <c r="B402" s="6" t="s">
        <v>74</v>
      </c>
      <c r="C402" s="6">
        <v>2022</v>
      </c>
      <c r="D402" s="4" t="s">
        <v>203</v>
      </c>
      <c r="E402" s="6" t="s">
        <v>452</v>
      </c>
      <c r="F402" s="7">
        <v>33433055.043</v>
      </c>
      <c r="G402" s="7">
        <v>62435295</v>
      </c>
    </row>
    <row r="403" spans="1:7">
      <c r="A403" s="4" t="s">
        <v>73</v>
      </c>
      <c r="B403" s="6" t="s">
        <v>74</v>
      </c>
      <c r="C403" s="6">
        <v>2022</v>
      </c>
      <c r="D403" s="4" t="s">
        <v>185</v>
      </c>
      <c r="E403" s="6" t="s">
        <v>457</v>
      </c>
      <c r="F403" s="7">
        <v>28692364.787</v>
      </c>
      <c r="G403" s="7">
        <v>71234240</v>
      </c>
    </row>
    <row r="404" spans="1:7">
      <c r="A404" s="4" t="s">
        <v>73</v>
      </c>
      <c r="B404" s="6" t="s">
        <v>74</v>
      </c>
      <c r="C404" s="6">
        <v>2022</v>
      </c>
      <c r="D404" s="4" t="s">
        <v>425</v>
      </c>
      <c r="E404" s="6" t="s">
        <v>472</v>
      </c>
      <c r="F404" s="7">
        <v>27864581.418</v>
      </c>
      <c r="G404" s="7">
        <v>68342262</v>
      </c>
    </row>
    <row r="405" spans="1:7">
      <c r="A405" s="4" t="s">
        <v>73</v>
      </c>
      <c r="B405" s="6" t="s">
        <v>74</v>
      </c>
      <c r="C405" s="6">
        <v>2022</v>
      </c>
      <c r="D405" s="4" t="s">
        <v>62</v>
      </c>
      <c r="E405" s="6" t="s">
        <v>448</v>
      </c>
      <c r="F405" s="7">
        <v>14109786.667</v>
      </c>
      <c r="G405" s="7">
        <v>41727455.784</v>
      </c>
    </row>
    <row r="406" spans="1:7">
      <c r="A406" s="4" t="s">
        <v>73</v>
      </c>
      <c r="B406" s="6" t="s">
        <v>74</v>
      </c>
      <c r="C406" s="6">
        <v>2022</v>
      </c>
      <c r="D406" s="4" t="s">
        <v>377</v>
      </c>
      <c r="E406" s="6" t="s">
        <v>451</v>
      </c>
      <c r="F406" s="7">
        <v>8255685.173</v>
      </c>
      <c r="G406" s="7">
        <v>21613600</v>
      </c>
    </row>
    <row r="407" spans="1:7">
      <c r="A407" s="4" t="s">
        <v>73</v>
      </c>
      <c r="B407" s="6" t="s">
        <v>74</v>
      </c>
      <c r="C407" s="6">
        <v>2022</v>
      </c>
      <c r="D407" s="4" t="s">
        <v>261</v>
      </c>
      <c r="E407" s="6" t="s">
        <v>509</v>
      </c>
      <c r="F407" s="7">
        <v>6427802.788</v>
      </c>
      <c r="G407" s="7">
        <v>13465800</v>
      </c>
    </row>
    <row r="408" spans="1:7">
      <c r="A408" s="4" t="s">
        <v>73</v>
      </c>
      <c r="B408" s="6" t="s">
        <v>74</v>
      </c>
      <c r="C408" s="6">
        <v>2022</v>
      </c>
      <c r="D408" s="4" t="s">
        <v>125</v>
      </c>
      <c r="E408" s="6" t="s">
        <v>465</v>
      </c>
      <c r="F408" s="7">
        <v>4556670.191</v>
      </c>
      <c r="G408" s="7">
        <v>12599017</v>
      </c>
    </row>
    <row r="409" spans="1:7">
      <c r="A409" s="4" t="s">
        <v>73</v>
      </c>
      <c r="B409" s="6" t="s">
        <v>74</v>
      </c>
      <c r="C409" s="6">
        <v>2022</v>
      </c>
      <c r="D409" s="4" t="s">
        <v>93</v>
      </c>
      <c r="E409" s="6" t="s">
        <v>458</v>
      </c>
      <c r="F409" s="7">
        <v>2293156.849</v>
      </c>
      <c r="G409" s="7">
        <v>4510057</v>
      </c>
    </row>
    <row r="410" spans="1:7">
      <c r="A410" s="4" t="s">
        <v>73</v>
      </c>
      <c r="B410" s="6" t="s">
        <v>74</v>
      </c>
      <c r="C410" s="6">
        <v>2022</v>
      </c>
      <c r="D410" s="4" t="s">
        <v>279</v>
      </c>
      <c r="E410" s="6" t="s">
        <v>484</v>
      </c>
      <c r="F410" s="7">
        <v>1809023.185</v>
      </c>
      <c r="G410" s="7">
        <v>5250622</v>
      </c>
    </row>
    <row r="411" spans="1:7">
      <c r="A411" s="4" t="s">
        <v>73</v>
      </c>
      <c r="B411" s="6" t="s">
        <v>74</v>
      </c>
      <c r="C411" s="6">
        <v>2022</v>
      </c>
      <c r="D411" s="4" t="s">
        <v>309</v>
      </c>
      <c r="E411" s="6" t="s">
        <v>510</v>
      </c>
      <c r="F411" s="7">
        <v>1470924.224</v>
      </c>
      <c r="G411" s="7">
        <v>3080000</v>
      </c>
    </row>
    <row r="412" spans="1:7">
      <c r="A412" s="4" t="s">
        <v>73</v>
      </c>
      <c r="B412" s="6" t="s">
        <v>74</v>
      </c>
      <c r="C412" s="6">
        <v>2022</v>
      </c>
      <c r="D412" s="4" t="s">
        <v>96</v>
      </c>
      <c r="E412" s="6" t="s">
        <v>453</v>
      </c>
      <c r="F412" s="7">
        <v>1217547.554</v>
      </c>
      <c r="G412" s="7">
        <v>3150855</v>
      </c>
    </row>
    <row r="413" spans="1:7">
      <c r="A413" s="4" t="s">
        <v>73</v>
      </c>
      <c r="B413" s="6" t="s">
        <v>74</v>
      </c>
      <c r="C413" s="6">
        <v>2022</v>
      </c>
      <c r="D413" s="4" t="s">
        <v>243</v>
      </c>
      <c r="E413" s="6" t="s">
        <v>511</v>
      </c>
      <c r="F413" s="7">
        <v>944689.719</v>
      </c>
      <c r="G413" s="7">
        <v>2050000</v>
      </c>
    </row>
    <row r="414" spans="1:7">
      <c r="A414" s="4" t="s">
        <v>73</v>
      </c>
      <c r="B414" s="6" t="s">
        <v>74</v>
      </c>
      <c r="C414" s="6">
        <v>2022</v>
      </c>
      <c r="D414" s="4" t="s">
        <v>205</v>
      </c>
      <c r="E414" s="6" t="s">
        <v>456</v>
      </c>
      <c r="F414" s="7">
        <v>361619.851</v>
      </c>
      <c r="G414" s="7">
        <v>800990.0060000001</v>
      </c>
    </row>
    <row r="415" spans="1:7">
      <c r="A415" s="4" t="s">
        <v>73</v>
      </c>
      <c r="B415" s="6" t="s">
        <v>74</v>
      </c>
      <c r="C415" s="6">
        <v>2022</v>
      </c>
      <c r="D415" s="4" t="s">
        <v>163</v>
      </c>
      <c r="E415" s="6" t="s">
        <v>512</v>
      </c>
      <c r="F415" s="7">
        <v>197219.051</v>
      </c>
      <c r="G415" s="7">
        <v>453880</v>
      </c>
    </row>
    <row r="416" spans="1:7">
      <c r="A416" s="4" t="s">
        <v>73</v>
      </c>
      <c r="B416" s="6" t="s">
        <v>74</v>
      </c>
      <c r="C416" s="6">
        <v>2022</v>
      </c>
      <c r="D416" s="4" t="s">
        <v>225</v>
      </c>
      <c r="E416" s="6" t="s">
        <v>498</v>
      </c>
      <c r="F416" s="7">
        <v>162743.578</v>
      </c>
      <c r="G416" s="7">
        <v>360050</v>
      </c>
    </row>
    <row r="417" spans="1:7">
      <c r="A417" s="4" t="s">
        <v>73</v>
      </c>
      <c r="B417" s="6" t="s">
        <v>74</v>
      </c>
      <c r="C417" s="6">
        <v>2022</v>
      </c>
      <c r="D417" s="4" t="s">
        <v>104</v>
      </c>
      <c r="E417" s="6" t="s">
        <v>450</v>
      </c>
      <c r="F417" s="7">
        <v>155986.78</v>
      </c>
      <c r="G417" s="7">
        <v>281296.831</v>
      </c>
    </row>
    <row r="418" spans="1:7">
      <c r="A418" s="4" t="s">
        <v>73</v>
      </c>
      <c r="B418" s="6" t="s">
        <v>74</v>
      </c>
      <c r="C418" s="6">
        <v>2022</v>
      </c>
      <c r="D418" s="4" t="s">
        <v>513</v>
      </c>
      <c r="E418" s="6" t="s">
        <v>514</v>
      </c>
      <c r="F418" s="7">
        <v>150062.061</v>
      </c>
      <c r="G418" s="7">
        <v>294930</v>
      </c>
    </row>
    <row r="419" spans="1:7">
      <c r="A419" s="4" t="s">
        <v>73</v>
      </c>
      <c r="B419" s="6" t="s">
        <v>74</v>
      </c>
      <c r="C419" s="6">
        <v>2022</v>
      </c>
      <c r="D419" s="4" t="s">
        <v>83</v>
      </c>
      <c r="E419" s="6" t="s">
        <v>493</v>
      </c>
      <c r="F419" s="7">
        <v>123681.927</v>
      </c>
      <c r="G419" s="7">
        <v>300000</v>
      </c>
    </row>
    <row r="420" spans="1:7">
      <c r="A420" s="4" t="s">
        <v>73</v>
      </c>
      <c r="B420" s="6" t="s">
        <v>74</v>
      </c>
      <c r="C420" s="6">
        <v>2022</v>
      </c>
      <c r="D420" s="4" t="s">
        <v>395</v>
      </c>
      <c r="E420" s="6" t="s">
        <v>485</v>
      </c>
      <c r="F420" s="7">
        <v>67148.094</v>
      </c>
      <c r="G420" s="7">
        <v>189000</v>
      </c>
    </row>
    <row r="421" spans="1:7">
      <c r="A421" s="4" t="s">
        <v>73</v>
      </c>
      <c r="B421" s="6" t="s">
        <v>74</v>
      </c>
      <c r="C421" s="6">
        <v>2022</v>
      </c>
      <c r="D421" s="4" t="s">
        <v>433</v>
      </c>
      <c r="E421" s="6" t="s">
        <v>490</v>
      </c>
      <c r="F421" s="7">
        <v>62163.55</v>
      </c>
      <c r="G421" s="7">
        <v>30500</v>
      </c>
    </row>
    <row r="422" spans="1:7">
      <c r="A422" s="4" t="s">
        <v>73</v>
      </c>
      <c r="B422" s="6" t="s">
        <v>74</v>
      </c>
      <c r="C422" s="6">
        <v>2022</v>
      </c>
      <c r="D422" s="4" t="s">
        <v>287</v>
      </c>
      <c r="E422" s="6" t="s">
        <v>463</v>
      </c>
      <c r="F422" s="7">
        <v>55579.56</v>
      </c>
      <c r="G422" s="7">
        <v>14300</v>
      </c>
    </row>
    <row r="423" spans="1:7">
      <c r="A423" s="4" t="s">
        <v>73</v>
      </c>
      <c r="B423" s="6" t="s">
        <v>74</v>
      </c>
      <c r="C423" s="6">
        <v>2022</v>
      </c>
      <c r="D423" s="4" t="s">
        <v>118</v>
      </c>
      <c r="E423" s="6" t="s">
        <v>515</v>
      </c>
      <c r="F423" s="7">
        <v>19969.856</v>
      </c>
      <c r="G423" s="7">
        <v>51629.009</v>
      </c>
    </row>
    <row r="424" spans="1:7">
      <c r="A424" s="4" t="s">
        <v>73</v>
      </c>
      <c r="B424" s="6" t="s">
        <v>74</v>
      </c>
      <c r="C424" s="6">
        <v>2022</v>
      </c>
      <c r="D424" s="4" t="s">
        <v>121</v>
      </c>
      <c r="E424" s="6" t="s">
        <v>455</v>
      </c>
      <c r="F424" s="7">
        <v>18333.919</v>
      </c>
      <c r="G424" s="7">
        <v>2827.465</v>
      </c>
    </row>
    <row r="425" spans="1:7">
      <c r="A425" s="4" t="s">
        <v>73</v>
      </c>
      <c r="B425" s="6" t="s">
        <v>74</v>
      </c>
      <c r="C425" s="6">
        <v>2022</v>
      </c>
      <c r="D425" s="4" t="s">
        <v>197</v>
      </c>
      <c r="E425" s="6" t="s">
        <v>464</v>
      </c>
      <c r="F425" s="7">
        <v>8549.65</v>
      </c>
      <c r="G425" s="7">
        <v>3884.281</v>
      </c>
    </row>
    <row r="426" spans="1:7">
      <c r="A426" s="4" t="s">
        <v>73</v>
      </c>
      <c r="B426" s="6" t="s">
        <v>74</v>
      </c>
      <c r="C426" s="6">
        <v>2022</v>
      </c>
      <c r="D426" s="4" t="s">
        <v>399</v>
      </c>
      <c r="E426" s="6" t="s">
        <v>501</v>
      </c>
      <c r="F426" s="7">
        <v>3233.309</v>
      </c>
      <c r="G426" s="7">
        <v>850</v>
      </c>
    </row>
    <row r="427" spans="1:7">
      <c r="A427" s="4" t="s">
        <v>73</v>
      </c>
      <c r="B427" s="6" t="s">
        <v>74</v>
      </c>
      <c r="C427" s="6">
        <v>2022</v>
      </c>
      <c r="D427" s="4" t="s">
        <v>89</v>
      </c>
      <c r="E427" s="6" t="s">
        <v>459</v>
      </c>
      <c r="F427" s="7">
        <v>994.848</v>
      </c>
      <c r="G427" s="7">
        <v>25</v>
      </c>
    </row>
    <row r="428" spans="1:7">
      <c r="A428" s="4" t="s">
        <v>73</v>
      </c>
      <c r="B428" s="6" t="s">
        <v>74</v>
      </c>
      <c r="C428" s="6">
        <v>2022</v>
      </c>
      <c r="D428" s="4" t="s">
        <v>409</v>
      </c>
      <c r="E428" s="6" t="s">
        <v>461</v>
      </c>
      <c r="F428" s="7">
        <v>384.409</v>
      </c>
      <c r="G428" s="7">
        <v>25</v>
      </c>
    </row>
    <row r="429" spans="1:7">
      <c r="A429" s="4" t="s">
        <v>73</v>
      </c>
      <c r="B429" s="6" t="s">
        <v>74</v>
      </c>
      <c r="C429" s="6">
        <v>2022</v>
      </c>
      <c r="D429" s="4" t="s">
        <v>183</v>
      </c>
      <c r="E429" s="6" t="s">
        <v>516</v>
      </c>
      <c r="F429" s="7">
        <v>118.518</v>
      </c>
      <c r="G429" s="7">
        <v>306.409</v>
      </c>
    </row>
    <row r="430" spans="1:7">
      <c r="A430" s="4" t="s">
        <v>73</v>
      </c>
      <c r="B430" s="6" t="s">
        <v>74</v>
      </c>
      <c r="C430" s="6">
        <v>2022</v>
      </c>
      <c r="D430" s="4" t="s">
        <v>401</v>
      </c>
      <c r="E430" s="6" t="s">
        <v>517</v>
      </c>
      <c r="F430" s="7">
        <v>12.952</v>
      </c>
      <c r="G430" s="7">
        <v>25</v>
      </c>
    </row>
    <row r="431" spans="1:7">
      <c r="A431" s="4" t="s">
        <v>73</v>
      </c>
      <c r="B431" s="6" t="s">
        <v>74</v>
      </c>
      <c r="C431" s="6">
        <v>2023</v>
      </c>
      <c r="D431" s="4" t="s">
        <v>81</v>
      </c>
      <c r="E431" s="6" t="s">
        <v>449</v>
      </c>
      <c r="F431" s="7">
        <v>78477420.56299999</v>
      </c>
      <c r="G431" s="7">
        <v>270053000</v>
      </c>
    </row>
    <row r="432" spans="1:7">
      <c r="A432" s="4" t="s">
        <v>73</v>
      </c>
      <c r="B432" s="6" t="s">
        <v>74</v>
      </c>
      <c r="C432" s="6">
        <v>2023</v>
      </c>
      <c r="D432" s="4" t="s">
        <v>62</v>
      </c>
      <c r="E432" s="6" t="s">
        <v>448</v>
      </c>
      <c r="F432" s="7">
        <v>77356770.83</v>
      </c>
      <c r="G432" s="7">
        <v>234204611</v>
      </c>
    </row>
    <row r="433" spans="1:7">
      <c r="A433" s="4" t="s">
        <v>73</v>
      </c>
      <c r="B433" s="6" t="s">
        <v>74</v>
      </c>
      <c r="C433" s="6">
        <v>2023</v>
      </c>
      <c r="D433" s="4" t="s">
        <v>377</v>
      </c>
      <c r="E433" s="6" t="s">
        <v>451</v>
      </c>
      <c r="F433" s="7">
        <v>39406791.49</v>
      </c>
      <c r="G433" s="7">
        <v>131359450</v>
      </c>
    </row>
    <row r="434" spans="1:7">
      <c r="A434" s="4" t="s">
        <v>73</v>
      </c>
      <c r="B434" s="6" t="s">
        <v>74</v>
      </c>
      <c r="C434" s="6">
        <v>2023</v>
      </c>
      <c r="D434" s="4" t="s">
        <v>203</v>
      </c>
      <c r="E434" s="6" t="s">
        <v>452</v>
      </c>
      <c r="F434" s="7">
        <v>33279015.994</v>
      </c>
      <c r="G434" s="7">
        <v>0</v>
      </c>
    </row>
    <row r="435" spans="1:7">
      <c r="A435" s="4" t="s">
        <v>73</v>
      </c>
      <c r="B435" s="6" t="s">
        <v>74</v>
      </c>
      <c r="C435" s="6">
        <v>2023</v>
      </c>
      <c r="D435" s="4" t="s">
        <v>291</v>
      </c>
      <c r="E435" s="6" t="s">
        <v>483</v>
      </c>
      <c r="F435" s="7">
        <v>27926663.568</v>
      </c>
      <c r="G435" s="7">
        <v>81106100</v>
      </c>
    </row>
    <row r="436" spans="1:7">
      <c r="A436" s="4" t="s">
        <v>73</v>
      </c>
      <c r="B436" s="6" t="s">
        <v>74</v>
      </c>
      <c r="C436" s="6">
        <v>2023</v>
      </c>
      <c r="D436" s="4" t="s">
        <v>185</v>
      </c>
      <c r="E436" s="6" t="s">
        <v>457</v>
      </c>
      <c r="F436" s="7">
        <v>25721992.299</v>
      </c>
      <c r="G436" s="7">
        <v>69440300</v>
      </c>
    </row>
    <row r="437" spans="1:7">
      <c r="A437" s="4" t="s">
        <v>73</v>
      </c>
      <c r="B437" s="6" t="s">
        <v>74</v>
      </c>
      <c r="C437" s="6">
        <v>2023</v>
      </c>
      <c r="D437" s="4" t="s">
        <v>425</v>
      </c>
      <c r="E437" s="6" t="s">
        <v>472</v>
      </c>
      <c r="F437" s="7">
        <v>22639364.15</v>
      </c>
      <c r="G437" s="7">
        <v>72055800</v>
      </c>
    </row>
    <row r="438" spans="1:7">
      <c r="A438" s="4" t="s">
        <v>73</v>
      </c>
      <c r="B438" s="6" t="s">
        <v>74</v>
      </c>
      <c r="C438" s="6">
        <v>2023</v>
      </c>
      <c r="D438" s="4" t="s">
        <v>279</v>
      </c>
      <c r="E438" s="6" t="s">
        <v>484</v>
      </c>
      <c r="F438" s="7">
        <v>3232440.088</v>
      </c>
      <c r="G438" s="7">
        <v>8783716</v>
      </c>
    </row>
    <row r="439" spans="1:7">
      <c r="A439" s="4" t="s">
        <v>73</v>
      </c>
      <c r="B439" s="6" t="s">
        <v>74</v>
      </c>
      <c r="C439" s="6">
        <v>2023</v>
      </c>
      <c r="D439" s="4" t="s">
        <v>179</v>
      </c>
      <c r="E439" s="6" t="s">
        <v>494</v>
      </c>
      <c r="F439" s="7">
        <v>2581501.871</v>
      </c>
      <c r="G439" s="7">
        <v>7098000</v>
      </c>
    </row>
    <row r="440" spans="1:7">
      <c r="A440" s="4" t="s">
        <v>73</v>
      </c>
      <c r="B440" s="6" t="s">
        <v>74</v>
      </c>
      <c r="C440" s="6">
        <v>2023</v>
      </c>
      <c r="D440" s="4" t="s">
        <v>217</v>
      </c>
      <c r="E440" s="6" t="s">
        <v>502</v>
      </c>
      <c r="F440" s="7">
        <v>1680315.613</v>
      </c>
      <c r="G440" s="7">
        <v>4881130</v>
      </c>
    </row>
    <row r="441" spans="1:7">
      <c r="A441" s="4" t="s">
        <v>73</v>
      </c>
      <c r="B441" s="6" t="s">
        <v>74</v>
      </c>
      <c r="C441" s="6">
        <v>2023</v>
      </c>
      <c r="D441" s="4" t="s">
        <v>93</v>
      </c>
      <c r="E441" s="6" t="s">
        <v>458</v>
      </c>
      <c r="F441" s="7">
        <v>889579.123</v>
      </c>
      <c r="G441" s="7">
        <v>48192</v>
      </c>
    </row>
    <row r="442" spans="1:7">
      <c r="A442" s="4" t="s">
        <v>73</v>
      </c>
      <c r="B442" s="6" t="s">
        <v>74</v>
      </c>
      <c r="C442" s="6">
        <v>2023</v>
      </c>
      <c r="D442" s="4" t="s">
        <v>96</v>
      </c>
      <c r="E442" s="6" t="s">
        <v>453</v>
      </c>
      <c r="F442" s="7">
        <v>804139.777</v>
      </c>
      <c r="G442" s="7">
        <v>1448256</v>
      </c>
    </row>
    <row r="443" spans="1:7">
      <c r="A443" s="4" t="s">
        <v>73</v>
      </c>
      <c r="B443" s="6" t="s">
        <v>74</v>
      </c>
      <c r="C443" s="6">
        <v>2023</v>
      </c>
      <c r="D443" s="4" t="s">
        <v>121</v>
      </c>
      <c r="E443" s="6" t="s">
        <v>455</v>
      </c>
      <c r="F443" s="7">
        <v>780176.909</v>
      </c>
      <c r="G443" s="7">
        <v>821776.863</v>
      </c>
    </row>
    <row r="444" spans="1:7">
      <c r="A444" s="4" t="s">
        <v>73</v>
      </c>
      <c r="B444" s="6" t="s">
        <v>74</v>
      </c>
      <c r="C444" s="6">
        <v>2023</v>
      </c>
      <c r="D444" s="4" t="s">
        <v>431</v>
      </c>
      <c r="E444" s="6" t="s">
        <v>482</v>
      </c>
      <c r="F444" s="7">
        <v>391265.886</v>
      </c>
      <c r="G444" s="7">
        <v>1336650</v>
      </c>
    </row>
    <row r="445" spans="1:7">
      <c r="A445" s="4" t="s">
        <v>73</v>
      </c>
      <c r="B445" s="6" t="s">
        <v>74</v>
      </c>
      <c r="C445" s="6">
        <v>2023</v>
      </c>
      <c r="D445" s="4" t="s">
        <v>504</v>
      </c>
      <c r="E445" s="6" t="s">
        <v>505</v>
      </c>
      <c r="F445" s="7">
        <v>317189.96</v>
      </c>
      <c r="G445" s="7">
        <v>1089140</v>
      </c>
    </row>
    <row r="446" spans="1:7">
      <c r="A446" s="4" t="s">
        <v>73</v>
      </c>
      <c r="B446" s="6" t="s">
        <v>74</v>
      </c>
      <c r="C446" s="6">
        <v>2023</v>
      </c>
      <c r="D446" s="4" t="s">
        <v>287</v>
      </c>
      <c r="E446" s="6" t="s">
        <v>463</v>
      </c>
      <c r="F446" s="7">
        <v>212119.97</v>
      </c>
      <c r="G446" s="7">
        <v>117740</v>
      </c>
    </row>
    <row r="447" spans="1:7">
      <c r="A447" s="4" t="s">
        <v>73</v>
      </c>
      <c r="B447" s="6" t="s">
        <v>74</v>
      </c>
      <c r="C447" s="6">
        <v>2023</v>
      </c>
      <c r="D447" s="4" t="s">
        <v>125</v>
      </c>
      <c r="E447" s="6" t="s">
        <v>465</v>
      </c>
      <c r="F447" s="7">
        <v>149024.383</v>
      </c>
      <c r="G447" s="7">
        <v>300011</v>
      </c>
    </row>
    <row r="448" spans="1:7">
      <c r="A448" s="4" t="s">
        <v>73</v>
      </c>
      <c r="B448" s="6" t="s">
        <v>74</v>
      </c>
      <c r="C448" s="6">
        <v>2023</v>
      </c>
      <c r="D448" s="4" t="s">
        <v>433</v>
      </c>
      <c r="E448" s="6" t="s">
        <v>490</v>
      </c>
      <c r="F448" s="7">
        <v>103487.807</v>
      </c>
      <c r="G448" s="7">
        <v>132940</v>
      </c>
    </row>
    <row r="449" spans="1:7">
      <c r="A449" s="4" t="s">
        <v>73</v>
      </c>
      <c r="B449" s="6" t="s">
        <v>74</v>
      </c>
      <c r="C449" s="6">
        <v>2023</v>
      </c>
      <c r="D449" s="4" t="s">
        <v>76</v>
      </c>
      <c r="E449" s="6" t="s">
        <v>488</v>
      </c>
      <c r="F449" s="7">
        <v>43322.462</v>
      </c>
      <c r="G449" s="7">
        <v>135000</v>
      </c>
    </row>
    <row r="450" spans="1:7">
      <c r="A450" s="4" t="s">
        <v>73</v>
      </c>
      <c r="B450" s="6" t="s">
        <v>74</v>
      </c>
      <c r="C450" s="6">
        <v>2023</v>
      </c>
      <c r="D450" s="4" t="s">
        <v>197</v>
      </c>
      <c r="E450" s="6" t="s">
        <v>464</v>
      </c>
      <c r="F450" s="7">
        <v>13925.605</v>
      </c>
      <c r="G450" s="7">
        <v>0</v>
      </c>
    </row>
    <row r="451" spans="1:7">
      <c r="A451" s="4" t="s">
        <v>73</v>
      </c>
      <c r="B451" s="6" t="s">
        <v>74</v>
      </c>
      <c r="C451" s="6">
        <v>2023</v>
      </c>
      <c r="D451" s="4" t="s">
        <v>205</v>
      </c>
      <c r="E451" s="6" t="s">
        <v>456</v>
      </c>
      <c r="F451" s="7">
        <v>2842.157</v>
      </c>
      <c r="G451" s="7">
        <v>30</v>
      </c>
    </row>
    <row r="452" spans="1:7">
      <c r="A452" s="4" t="s">
        <v>73</v>
      </c>
      <c r="B452" s="6" t="s">
        <v>74</v>
      </c>
      <c r="C452" s="6">
        <v>2023</v>
      </c>
      <c r="D452" s="4" t="s">
        <v>89</v>
      </c>
      <c r="E452" s="6" t="s">
        <v>459</v>
      </c>
      <c r="F452" s="7">
        <v>1273.241</v>
      </c>
      <c r="G452" s="7">
        <v>0</v>
      </c>
    </row>
    <row r="453" spans="1:7">
      <c r="A453" s="4" t="s">
        <v>73</v>
      </c>
      <c r="B453" s="6" t="s">
        <v>74</v>
      </c>
      <c r="C453" s="6">
        <v>2023</v>
      </c>
      <c r="D453" s="4" t="s">
        <v>155</v>
      </c>
      <c r="E453" s="6" t="s">
        <v>489</v>
      </c>
      <c r="F453" s="7">
        <v>155.398</v>
      </c>
      <c r="G453" s="7">
        <v>120</v>
      </c>
    </row>
    <row r="454" spans="1:7">
      <c r="A454" s="4" t="s">
        <v>73</v>
      </c>
      <c r="B454" s="6" t="s">
        <v>74</v>
      </c>
      <c r="C454" s="6">
        <v>2023</v>
      </c>
      <c r="D454" s="4" t="s">
        <v>104</v>
      </c>
      <c r="E454" s="6" t="s">
        <v>450</v>
      </c>
      <c r="F454" s="7">
        <v>29.503</v>
      </c>
      <c r="G454" s="7">
        <v>1</v>
      </c>
    </row>
    <row r="455" spans="1:7">
      <c r="A455" s="4" t="s">
        <v>73</v>
      </c>
      <c r="B455" s="6" t="s">
        <v>74</v>
      </c>
      <c r="C455" s="6">
        <v>2024</v>
      </c>
      <c r="D455" s="4" t="s">
        <v>81</v>
      </c>
      <c r="E455" s="6" t="s">
        <v>449</v>
      </c>
      <c r="F455" s="7">
        <v>77341033.903</v>
      </c>
      <c r="G455" s="7">
        <v>383742008</v>
      </c>
    </row>
    <row r="456" spans="1:7">
      <c r="A456" s="4" t="s">
        <v>73</v>
      </c>
      <c r="B456" s="6" t="s">
        <v>74</v>
      </c>
      <c r="C456" s="6">
        <v>2024</v>
      </c>
      <c r="D456" s="4" t="s">
        <v>62</v>
      </c>
      <c r="E456" s="6" t="s">
        <v>448</v>
      </c>
      <c r="F456" s="7">
        <v>41505597.017</v>
      </c>
      <c r="G456" s="7">
        <v>175542528</v>
      </c>
    </row>
    <row r="457" spans="1:7">
      <c r="A457" s="4" t="s">
        <v>73</v>
      </c>
      <c r="B457" s="6" t="s">
        <v>74</v>
      </c>
      <c r="C457" s="6">
        <v>2024</v>
      </c>
      <c r="D457" s="4" t="s">
        <v>377</v>
      </c>
      <c r="E457" s="6" t="s">
        <v>451</v>
      </c>
      <c r="F457" s="7">
        <v>26740892.137</v>
      </c>
      <c r="G457" s="7">
        <v>116739800</v>
      </c>
    </row>
    <row r="458" spans="1:7">
      <c r="A458" s="4" t="s">
        <v>73</v>
      </c>
      <c r="B458" s="6" t="s">
        <v>74</v>
      </c>
      <c r="C458" s="6">
        <v>2024</v>
      </c>
      <c r="D458" s="4" t="s">
        <v>425</v>
      </c>
      <c r="E458" s="6" t="s">
        <v>472</v>
      </c>
      <c r="F458" s="7">
        <v>26689402.11</v>
      </c>
      <c r="G458" s="7">
        <v>115343226</v>
      </c>
    </row>
    <row r="459" spans="1:7">
      <c r="A459" s="4" t="s">
        <v>73</v>
      </c>
      <c r="B459" s="6" t="s">
        <v>74</v>
      </c>
      <c r="C459" s="6">
        <v>2024</v>
      </c>
      <c r="D459" s="4" t="s">
        <v>291</v>
      </c>
      <c r="E459" s="6" t="s">
        <v>483</v>
      </c>
      <c r="F459" s="7">
        <v>17573529.898</v>
      </c>
      <c r="G459" s="7">
        <v>70733200</v>
      </c>
    </row>
    <row r="460" spans="1:7">
      <c r="A460" s="4" t="s">
        <v>73</v>
      </c>
      <c r="B460" s="6" t="s">
        <v>74</v>
      </c>
      <c r="C460" s="6">
        <v>2024</v>
      </c>
      <c r="D460" s="4" t="s">
        <v>185</v>
      </c>
      <c r="E460" s="6" t="s">
        <v>457</v>
      </c>
      <c r="F460" s="7">
        <v>11891652.588</v>
      </c>
      <c r="G460" s="7">
        <v>42805300</v>
      </c>
    </row>
    <row r="461" spans="1:7">
      <c r="A461" s="4" t="s">
        <v>73</v>
      </c>
      <c r="B461" s="6" t="s">
        <v>74</v>
      </c>
      <c r="C461" s="6">
        <v>2024</v>
      </c>
      <c r="D461" s="4" t="s">
        <v>203</v>
      </c>
      <c r="E461" s="6" t="s">
        <v>452</v>
      </c>
      <c r="F461" s="7">
        <v>5012674.394</v>
      </c>
      <c r="G461" s="7">
        <v>0</v>
      </c>
    </row>
    <row r="462" spans="1:7">
      <c r="A462" s="4" t="s">
        <v>73</v>
      </c>
      <c r="B462" s="6" t="s">
        <v>74</v>
      </c>
      <c r="C462" s="6">
        <v>2024</v>
      </c>
      <c r="D462" s="4" t="s">
        <v>93</v>
      </c>
      <c r="E462" s="6" t="s">
        <v>458</v>
      </c>
      <c r="F462" s="7">
        <v>1388671.026</v>
      </c>
      <c r="G462" s="7">
        <v>233386</v>
      </c>
    </row>
    <row r="463" spans="1:7">
      <c r="A463" s="4" t="s">
        <v>73</v>
      </c>
      <c r="B463" s="6" t="s">
        <v>74</v>
      </c>
      <c r="C463" s="6">
        <v>2024</v>
      </c>
      <c r="D463" s="4" t="s">
        <v>96</v>
      </c>
      <c r="E463" s="6" t="s">
        <v>453</v>
      </c>
      <c r="F463" s="7">
        <v>600404.819</v>
      </c>
      <c r="G463" s="7">
        <v>1501600</v>
      </c>
    </row>
    <row r="464" spans="1:7">
      <c r="A464" s="4" t="s">
        <v>73</v>
      </c>
      <c r="B464" s="6" t="s">
        <v>74</v>
      </c>
      <c r="C464" s="6">
        <v>2024</v>
      </c>
      <c r="D464" s="4" t="s">
        <v>121</v>
      </c>
      <c r="E464" s="6" t="s">
        <v>455</v>
      </c>
      <c r="F464" s="7">
        <v>566709.942</v>
      </c>
      <c r="G464" s="7">
        <v>1004988.608</v>
      </c>
    </row>
    <row r="465" spans="1:7">
      <c r="A465" s="4" t="s">
        <v>73</v>
      </c>
      <c r="B465" s="6" t="s">
        <v>74</v>
      </c>
      <c r="C465" s="6">
        <v>2024</v>
      </c>
      <c r="D465" s="4" t="s">
        <v>179</v>
      </c>
      <c r="E465" s="6" t="s">
        <v>494</v>
      </c>
      <c r="F465" s="7">
        <v>484980.223</v>
      </c>
      <c r="G465" s="7">
        <v>1813500</v>
      </c>
    </row>
    <row r="466" spans="1:7">
      <c r="A466" s="4" t="s">
        <v>73</v>
      </c>
      <c r="B466" s="6" t="s">
        <v>74</v>
      </c>
      <c r="C466" s="6">
        <v>2024</v>
      </c>
      <c r="D466" s="4" t="s">
        <v>431</v>
      </c>
      <c r="E466" s="6" t="s">
        <v>482</v>
      </c>
      <c r="F466" s="7">
        <v>481575.024</v>
      </c>
      <c r="G466" s="7">
        <v>2071551</v>
      </c>
    </row>
    <row r="467" spans="1:7">
      <c r="A467" s="4" t="s">
        <v>73</v>
      </c>
      <c r="B467" s="6" t="s">
        <v>74</v>
      </c>
      <c r="C467" s="6">
        <v>2024</v>
      </c>
      <c r="D467" s="4" t="s">
        <v>279</v>
      </c>
      <c r="E467" s="6" t="s">
        <v>484</v>
      </c>
      <c r="F467" s="7">
        <v>198568.074</v>
      </c>
      <c r="G467" s="7">
        <v>845410</v>
      </c>
    </row>
    <row r="468" spans="1:7">
      <c r="A468" s="4" t="s">
        <v>73</v>
      </c>
      <c r="B468" s="6" t="s">
        <v>74</v>
      </c>
      <c r="C468" s="6">
        <v>2024</v>
      </c>
      <c r="D468" s="4" t="s">
        <v>287</v>
      </c>
      <c r="E468" s="6" t="s">
        <v>463</v>
      </c>
      <c r="F468" s="7">
        <v>72585.58100000001</v>
      </c>
      <c r="G468" s="7">
        <v>11461</v>
      </c>
    </row>
    <row r="469" spans="1:7">
      <c r="A469" s="4" t="s">
        <v>73</v>
      </c>
      <c r="B469" s="6" t="s">
        <v>74</v>
      </c>
      <c r="C469" s="6">
        <v>2024</v>
      </c>
      <c r="D469" s="4" t="s">
        <v>125</v>
      </c>
      <c r="E469" s="6" t="s">
        <v>465</v>
      </c>
      <c r="F469" s="7">
        <v>63092.222</v>
      </c>
      <c r="G469" s="7">
        <v>52003</v>
      </c>
    </row>
    <row r="470" spans="1:7">
      <c r="A470" s="4" t="s">
        <v>73</v>
      </c>
      <c r="B470" s="6" t="s">
        <v>74</v>
      </c>
      <c r="C470" s="6">
        <v>2024</v>
      </c>
      <c r="D470" s="4" t="s">
        <v>433</v>
      </c>
      <c r="E470" s="6" t="s">
        <v>490</v>
      </c>
      <c r="F470" s="7">
        <v>55665.079</v>
      </c>
      <c r="G470" s="7">
        <v>28000</v>
      </c>
    </row>
    <row r="471" spans="1:7">
      <c r="A471" s="4" t="s">
        <v>73</v>
      </c>
      <c r="B471" s="6" t="s">
        <v>74</v>
      </c>
      <c r="C471" s="6">
        <v>2024</v>
      </c>
      <c r="D471" s="4" t="s">
        <v>399</v>
      </c>
      <c r="E471" s="6" t="s">
        <v>501</v>
      </c>
      <c r="F471" s="7">
        <v>53114.689</v>
      </c>
      <c r="G471" s="7">
        <v>13950</v>
      </c>
    </row>
    <row r="472" spans="1:7">
      <c r="A472" s="4" t="s">
        <v>73</v>
      </c>
      <c r="B472" s="6" t="s">
        <v>74</v>
      </c>
      <c r="C472" s="6">
        <v>2024</v>
      </c>
      <c r="D472" s="4" t="s">
        <v>205</v>
      </c>
      <c r="E472" s="6" t="s">
        <v>456</v>
      </c>
      <c r="F472" s="7">
        <v>52687.526</v>
      </c>
      <c r="G472" s="7">
        <v>210000</v>
      </c>
    </row>
    <row r="473" spans="1:7">
      <c r="A473" s="4" t="s">
        <v>73</v>
      </c>
      <c r="B473" s="6" t="s">
        <v>74</v>
      </c>
      <c r="C473" s="6">
        <v>2024</v>
      </c>
      <c r="D473" s="4" t="s">
        <v>197</v>
      </c>
      <c r="E473" s="6" t="s">
        <v>464</v>
      </c>
      <c r="F473" s="7">
        <v>38284.313</v>
      </c>
      <c r="G473" s="7">
        <v>103600</v>
      </c>
    </row>
    <row r="474" spans="1:7">
      <c r="A474" s="4" t="s">
        <v>73</v>
      </c>
      <c r="B474" s="6" t="s">
        <v>74</v>
      </c>
      <c r="C474" s="6">
        <v>2024</v>
      </c>
      <c r="D474" s="4" t="s">
        <v>139</v>
      </c>
      <c r="E474" s="6" t="s">
        <v>518</v>
      </c>
      <c r="F474" s="7">
        <v>11223.852</v>
      </c>
      <c r="G474" s="7">
        <v>52800</v>
      </c>
    </row>
    <row r="475" spans="1:7">
      <c r="A475" s="4" t="s">
        <v>73</v>
      </c>
      <c r="B475" s="6" t="s">
        <v>74</v>
      </c>
      <c r="C475" s="6">
        <v>2024</v>
      </c>
      <c r="D475" s="4" t="s">
        <v>355</v>
      </c>
      <c r="E475" s="6" t="s">
        <v>468</v>
      </c>
      <c r="F475" s="7">
        <v>2590.855</v>
      </c>
      <c r="G475" s="7">
        <v>1000</v>
      </c>
    </row>
    <row r="476" spans="1:7">
      <c r="A476" s="4" t="s">
        <v>73</v>
      </c>
      <c r="B476" s="6" t="s">
        <v>74</v>
      </c>
      <c r="C476" s="6">
        <v>2024</v>
      </c>
      <c r="D476" s="4" t="s">
        <v>225</v>
      </c>
      <c r="E476" s="6" t="s">
        <v>498</v>
      </c>
      <c r="F476" s="7">
        <v>2528.15</v>
      </c>
      <c r="G476" s="7">
        <v>310</v>
      </c>
    </row>
    <row r="477" spans="1:7">
      <c r="A477" s="4" t="s">
        <v>73</v>
      </c>
      <c r="B477" s="6" t="s">
        <v>74</v>
      </c>
      <c r="C477" s="6">
        <v>2024</v>
      </c>
      <c r="D477" s="4" t="s">
        <v>89</v>
      </c>
      <c r="E477" s="6" t="s">
        <v>459</v>
      </c>
      <c r="F477" s="7">
        <v>845.96</v>
      </c>
      <c r="G477" s="7">
        <v>10</v>
      </c>
    </row>
    <row r="478" spans="1:7">
      <c r="A478" s="4" t="s">
        <v>73</v>
      </c>
      <c r="B478" s="6" t="s">
        <v>74</v>
      </c>
      <c r="C478" s="6">
        <v>2024</v>
      </c>
      <c r="D478" s="4" t="s">
        <v>104</v>
      </c>
      <c r="E478" s="6" t="s">
        <v>450</v>
      </c>
      <c r="F478" s="7">
        <v>767.877</v>
      </c>
      <c r="G478" s="7">
        <v>26</v>
      </c>
    </row>
    <row r="479" spans="1:7">
      <c r="A479" s="4" t="s">
        <v>73</v>
      </c>
      <c r="B479" s="6" t="s">
        <v>74</v>
      </c>
      <c r="C479" s="6">
        <v>2024</v>
      </c>
      <c r="D479" s="4" t="s">
        <v>112</v>
      </c>
      <c r="E479" s="6" t="s">
        <v>480</v>
      </c>
      <c r="F479" s="7">
        <v>645.905</v>
      </c>
      <c r="G479" s="7">
        <v>500</v>
      </c>
    </row>
    <row r="480" spans="1:7">
      <c r="A480" s="4" t="s">
        <v>73</v>
      </c>
      <c r="B480" s="6" t="s">
        <v>74</v>
      </c>
      <c r="C480" s="6">
        <v>2024</v>
      </c>
      <c r="D480" s="4" t="s">
        <v>409</v>
      </c>
      <c r="E480" s="6" t="s">
        <v>461</v>
      </c>
      <c r="F480" s="7">
        <v>290.612</v>
      </c>
      <c r="G480" s="7">
        <v>7</v>
      </c>
    </row>
    <row r="481" spans="1:7">
      <c r="A481" s="4" t="s">
        <v>73</v>
      </c>
      <c r="B481" s="6" t="s">
        <v>74</v>
      </c>
      <c r="C481" s="6">
        <v>2024</v>
      </c>
      <c r="D481" s="4" t="s">
        <v>281</v>
      </c>
      <c r="E481" s="6" t="s">
        <v>519</v>
      </c>
      <c r="F481" s="7">
        <v>24.651</v>
      </c>
      <c r="G481" s="7">
        <v>108.044</v>
      </c>
    </row>
    <row r="482" spans="1:7">
      <c r="A482" s="4" t="s">
        <v>73</v>
      </c>
      <c r="B482" s="6" t="s">
        <v>74</v>
      </c>
      <c r="C482" s="6">
        <v>2025</v>
      </c>
      <c r="D482" s="4" t="s">
        <v>62</v>
      </c>
      <c r="E482" s="6" t="s">
        <v>448</v>
      </c>
      <c r="F482" s="7">
        <v>92388088.73800001</v>
      </c>
      <c r="G482" s="7">
        <v>0</v>
      </c>
    </row>
    <row r="483" spans="1:7">
      <c r="A483" s="4" t="s">
        <v>73</v>
      </c>
      <c r="B483" s="6" t="s">
        <v>74</v>
      </c>
      <c r="C483" s="6">
        <v>2025</v>
      </c>
      <c r="D483" s="4" t="s">
        <v>81</v>
      </c>
      <c r="E483" s="6" t="s">
        <v>449</v>
      </c>
      <c r="F483" s="7">
        <v>63981354.76</v>
      </c>
      <c r="G483" s="7">
        <v>276969026</v>
      </c>
    </row>
    <row r="484" spans="1:7">
      <c r="A484" s="4" t="s">
        <v>73</v>
      </c>
      <c r="B484" s="6" t="s">
        <v>74</v>
      </c>
      <c r="C484" s="6">
        <v>2025</v>
      </c>
      <c r="D484" s="4" t="s">
        <v>425</v>
      </c>
      <c r="E484" s="6" t="s">
        <v>472</v>
      </c>
      <c r="F484" s="7">
        <v>27771700.579</v>
      </c>
      <c r="G484" s="7">
        <v>115549656</v>
      </c>
    </row>
    <row r="485" spans="1:7">
      <c r="A485" s="4" t="s">
        <v>73</v>
      </c>
      <c r="B485" s="6" t="s">
        <v>74</v>
      </c>
      <c r="C485" s="6">
        <v>2025</v>
      </c>
      <c r="D485" s="4" t="s">
        <v>185</v>
      </c>
      <c r="E485" s="6" t="s">
        <v>457</v>
      </c>
      <c r="F485" s="7">
        <v>16326656.979</v>
      </c>
      <c r="G485" s="7">
        <v>65277000</v>
      </c>
    </row>
    <row r="486" spans="1:7">
      <c r="A486" s="4" t="s">
        <v>73</v>
      </c>
      <c r="B486" s="6" t="s">
        <v>74</v>
      </c>
      <c r="C486" s="6">
        <v>2025</v>
      </c>
      <c r="D486" s="4" t="s">
        <v>291</v>
      </c>
      <c r="E486" s="6" t="s">
        <v>483</v>
      </c>
      <c r="F486" s="7">
        <v>15378518.002</v>
      </c>
      <c r="G486" s="7">
        <v>64330000</v>
      </c>
    </row>
    <row r="487" spans="1:7">
      <c r="A487" s="4" t="s">
        <v>73</v>
      </c>
      <c r="B487" s="6" t="s">
        <v>74</v>
      </c>
      <c r="C487" s="6">
        <v>2025</v>
      </c>
      <c r="D487" s="4" t="s">
        <v>203</v>
      </c>
      <c r="E487" s="6" t="s">
        <v>452</v>
      </c>
      <c r="F487" s="7">
        <v>13765643.687</v>
      </c>
      <c r="G487" s="7">
        <v>50755993</v>
      </c>
    </row>
    <row r="488" spans="1:7">
      <c r="A488" s="4" t="s">
        <v>73</v>
      </c>
      <c r="B488" s="6" t="s">
        <v>74</v>
      </c>
      <c r="C488" s="6">
        <v>2025</v>
      </c>
      <c r="D488" s="4" t="s">
        <v>377</v>
      </c>
      <c r="E488" s="6" t="s">
        <v>451</v>
      </c>
      <c r="F488" s="7">
        <v>13162935.591</v>
      </c>
      <c r="G488" s="7">
        <v>54918150</v>
      </c>
    </row>
    <row r="489" spans="1:7">
      <c r="A489" s="4" t="s">
        <v>73</v>
      </c>
      <c r="B489" s="6" t="s">
        <v>74</v>
      </c>
      <c r="C489" s="6">
        <v>2025</v>
      </c>
      <c r="D489" s="4" t="s">
        <v>279</v>
      </c>
      <c r="E489" s="6" t="s">
        <v>484</v>
      </c>
      <c r="F489" s="7">
        <v>3892947.614</v>
      </c>
      <c r="G489" s="7">
        <v>16534211</v>
      </c>
    </row>
    <row r="490" spans="1:7">
      <c r="A490" s="4" t="s">
        <v>73</v>
      </c>
      <c r="B490" s="6" t="s">
        <v>74</v>
      </c>
      <c r="C490" s="6">
        <v>2025</v>
      </c>
      <c r="D490" s="4" t="s">
        <v>96</v>
      </c>
      <c r="E490" s="6" t="s">
        <v>453</v>
      </c>
      <c r="F490" s="7">
        <v>836689.762</v>
      </c>
      <c r="G490" s="7">
        <v>1891400</v>
      </c>
    </row>
    <row r="491" spans="1:7">
      <c r="A491" s="4" t="s">
        <v>73</v>
      </c>
      <c r="B491" s="6" t="s">
        <v>74</v>
      </c>
      <c r="C491" s="6">
        <v>2025</v>
      </c>
      <c r="D491" s="4" t="s">
        <v>93</v>
      </c>
      <c r="E491" s="6" t="s">
        <v>458</v>
      </c>
      <c r="F491" s="7">
        <v>781398.648</v>
      </c>
      <c r="G491" s="7">
        <v>174606</v>
      </c>
    </row>
    <row r="492" spans="1:7">
      <c r="A492" s="4" t="s">
        <v>73</v>
      </c>
      <c r="B492" s="6" t="s">
        <v>74</v>
      </c>
      <c r="C492" s="6">
        <v>2025</v>
      </c>
      <c r="D492" s="4" t="s">
        <v>433</v>
      </c>
      <c r="E492" s="6" t="s">
        <v>490</v>
      </c>
      <c r="F492" s="7">
        <v>406087.91</v>
      </c>
      <c r="G492" s="7">
        <v>211000</v>
      </c>
    </row>
    <row r="493" spans="1:7">
      <c r="A493" s="4" t="s">
        <v>73</v>
      </c>
      <c r="B493" s="6" t="s">
        <v>74</v>
      </c>
      <c r="C493" s="6">
        <v>2025</v>
      </c>
      <c r="D493" s="4" t="s">
        <v>353</v>
      </c>
      <c r="E493" s="6" t="s">
        <v>520</v>
      </c>
      <c r="F493" s="7">
        <v>241847.288</v>
      </c>
      <c r="G493" s="7">
        <v>1000000</v>
      </c>
    </row>
    <row r="494" spans="1:7">
      <c r="A494" s="4" t="s">
        <v>73</v>
      </c>
      <c r="B494" s="6" t="s">
        <v>74</v>
      </c>
      <c r="C494" s="6">
        <v>2025</v>
      </c>
      <c r="D494" s="4" t="s">
        <v>287</v>
      </c>
      <c r="E494" s="6" t="s">
        <v>463</v>
      </c>
      <c r="F494" s="7">
        <v>75128.065</v>
      </c>
      <c r="G494" s="7">
        <v>7753</v>
      </c>
    </row>
    <row r="495" spans="1:7">
      <c r="A495" s="4" t="s">
        <v>73</v>
      </c>
      <c r="B495" s="6" t="s">
        <v>74</v>
      </c>
      <c r="C495" s="6">
        <v>2025</v>
      </c>
      <c r="D495" s="4" t="s">
        <v>121</v>
      </c>
      <c r="E495" s="6" t="s">
        <v>455</v>
      </c>
      <c r="F495" s="7">
        <v>30994.508</v>
      </c>
      <c r="G495" s="7">
        <v>2676</v>
      </c>
    </row>
    <row r="496" spans="1:7">
      <c r="A496" s="4" t="s">
        <v>73</v>
      </c>
      <c r="B496" s="6" t="s">
        <v>74</v>
      </c>
      <c r="C496" s="6">
        <v>2025</v>
      </c>
      <c r="D496" s="4" t="s">
        <v>399</v>
      </c>
      <c r="E496" s="6" t="s">
        <v>501</v>
      </c>
      <c r="F496" s="7">
        <v>29310.397</v>
      </c>
      <c r="G496" s="7">
        <v>7500</v>
      </c>
    </row>
    <row r="497" spans="1:7">
      <c r="A497" s="4" t="s">
        <v>73</v>
      </c>
      <c r="B497" s="6" t="s">
        <v>74</v>
      </c>
      <c r="C497" s="6">
        <v>2025</v>
      </c>
      <c r="D497" s="4" t="s">
        <v>89</v>
      </c>
      <c r="E497" s="6" t="s">
        <v>459</v>
      </c>
      <c r="F497" s="7">
        <v>4686.039</v>
      </c>
      <c r="G497" s="7">
        <v>45</v>
      </c>
    </row>
    <row r="498" spans="1:7">
      <c r="A498" s="4" t="s">
        <v>73</v>
      </c>
      <c r="B498" s="6" t="s">
        <v>74</v>
      </c>
      <c r="C498" s="6">
        <v>2025</v>
      </c>
      <c r="D498" s="4" t="s">
        <v>225</v>
      </c>
      <c r="E498" s="6" t="s">
        <v>498</v>
      </c>
      <c r="F498" s="7">
        <v>1049.335</v>
      </c>
      <c r="G498" s="7">
        <v>100</v>
      </c>
    </row>
    <row r="499" spans="1:7">
      <c r="A499" s="4" t="s">
        <v>73</v>
      </c>
      <c r="B499" s="6" t="s">
        <v>74</v>
      </c>
      <c r="C499" s="6">
        <v>2025</v>
      </c>
      <c r="D499" s="4" t="s">
        <v>104</v>
      </c>
      <c r="E499" s="6" t="s">
        <v>450</v>
      </c>
      <c r="F499" s="7">
        <v>967.586</v>
      </c>
      <c r="G499" s="7">
        <v>0</v>
      </c>
    </row>
    <row r="500" spans="1:7">
      <c r="A500" s="4" t="s">
        <v>73</v>
      </c>
      <c r="B500" s="6" t="s">
        <v>74</v>
      </c>
      <c r="C500" s="6">
        <v>2025</v>
      </c>
      <c r="D500" s="4" t="s">
        <v>197</v>
      </c>
      <c r="E500" s="6" t="s">
        <v>464</v>
      </c>
      <c r="F500" s="7">
        <v>935.207</v>
      </c>
      <c r="G500" s="7">
        <v>3929.583</v>
      </c>
    </row>
    <row r="501" spans="1:7">
      <c r="A501" s="4" t="s">
        <v>73</v>
      </c>
      <c r="B501" s="6" t="s">
        <v>74</v>
      </c>
      <c r="C501" s="6">
        <v>2025</v>
      </c>
      <c r="D501" s="4" t="s">
        <v>125</v>
      </c>
      <c r="E501" s="6" t="s">
        <v>465</v>
      </c>
      <c r="F501" s="7">
        <v>744.225</v>
      </c>
      <c r="G501" s="7">
        <v>15</v>
      </c>
    </row>
    <row r="502" spans="1:7">
      <c r="A502" s="4" t="s">
        <v>73</v>
      </c>
      <c r="B502" s="6" t="s">
        <v>74</v>
      </c>
      <c r="C502" s="6">
        <v>2025</v>
      </c>
      <c r="D502" s="4" t="s">
        <v>73</v>
      </c>
      <c r="E502" s="6" t="s">
        <v>460</v>
      </c>
      <c r="F502" s="7">
        <v>326.859</v>
      </c>
      <c r="G502" s="7">
        <v>300</v>
      </c>
    </row>
    <row r="503" spans="1:7">
      <c r="A503" s="4" t="s">
        <v>73</v>
      </c>
      <c r="B503" s="6" t="s">
        <v>74</v>
      </c>
      <c r="C503" s="6">
        <v>2025</v>
      </c>
      <c r="D503" s="4" t="s">
        <v>355</v>
      </c>
      <c r="E503" s="6" t="s">
        <v>468</v>
      </c>
      <c r="F503" s="7">
        <v>80.607</v>
      </c>
      <c r="G503" s="7">
        <v>2</v>
      </c>
    </row>
    <row r="504" spans="1:7">
      <c r="A504" s="4" t="s">
        <v>73</v>
      </c>
      <c r="B504" s="6" t="s">
        <v>74</v>
      </c>
      <c r="C504" s="6">
        <v>2025</v>
      </c>
      <c r="D504" s="4" t="s">
        <v>409</v>
      </c>
      <c r="E504" s="6" t="s">
        <v>461</v>
      </c>
      <c r="F504" s="7">
        <v>70.477</v>
      </c>
      <c r="G504" s="7">
        <v>1</v>
      </c>
    </row>
    <row r="505" spans="1:7">
      <c r="A505" s="4" t="s">
        <v>73</v>
      </c>
      <c r="B505" s="6" t="s">
        <v>74</v>
      </c>
      <c r="C505" s="6">
        <v>2025</v>
      </c>
      <c r="D505" s="4" t="s">
        <v>281</v>
      </c>
      <c r="E505" s="6" t="s">
        <v>519</v>
      </c>
      <c r="F505" s="7">
        <v>32.782</v>
      </c>
      <c r="G505" s="7">
        <v>137.746</v>
      </c>
    </row>
    <row r="506" spans="1:7">
      <c r="A506" s="4" t="s">
        <v>76</v>
      </c>
      <c r="B506" s="6" t="s">
        <v>77</v>
      </c>
      <c r="C506" s="6">
        <v>2020</v>
      </c>
      <c r="D506" s="4" t="s">
        <v>62</v>
      </c>
      <c r="E506" s="6" t="s">
        <v>448</v>
      </c>
      <c r="F506" s="7">
        <v>117651481</v>
      </c>
      <c r="G506" s="7">
        <v>523880163.313</v>
      </c>
    </row>
    <row r="507" spans="1:7">
      <c r="A507" s="4" t="s">
        <v>76</v>
      </c>
      <c r="B507" s="6" t="s">
        <v>77</v>
      </c>
      <c r="C507" s="6">
        <v>2020</v>
      </c>
      <c r="D507" s="4" t="s">
        <v>203</v>
      </c>
      <c r="E507" s="6" t="s">
        <v>452</v>
      </c>
      <c r="F507" s="7">
        <v>36895703</v>
      </c>
      <c r="G507" s="7">
        <v>167505394</v>
      </c>
    </row>
    <row r="508" spans="1:7">
      <c r="A508" s="4" t="s">
        <v>76</v>
      </c>
      <c r="B508" s="6" t="s">
        <v>77</v>
      </c>
      <c r="C508" s="6">
        <v>2020</v>
      </c>
      <c r="D508" s="4" t="s">
        <v>81</v>
      </c>
      <c r="E508" s="6" t="s">
        <v>449</v>
      </c>
      <c r="F508" s="7">
        <v>17752873</v>
      </c>
      <c r="G508" s="7">
        <v>85335883</v>
      </c>
    </row>
    <row r="509" spans="1:7">
      <c r="A509" s="4" t="s">
        <v>76</v>
      </c>
      <c r="B509" s="6" t="s">
        <v>77</v>
      </c>
      <c r="C509" s="6">
        <v>2020</v>
      </c>
      <c r="D509" s="4" t="s">
        <v>73</v>
      </c>
      <c r="E509" s="6" t="s">
        <v>460</v>
      </c>
      <c r="F509" s="7">
        <v>6952477</v>
      </c>
      <c r="G509" s="7">
        <v>30259501</v>
      </c>
    </row>
    <row r="510" spans="1:7">
      <c r="A510" s="4" t="s">
        <v>76</v>
      </c>
      <c r="B510" s="6" t="s">
        <v>77</v>
      </c>
      <c r="C510" s="6">
        <v>2020</v>
      </c>
      <c r="D510" s="4" t="s">
        <v>279</v>
      </c>
      <c r="E510" s="6" t="s">
        <v>484</v>
      </c>
      <c r="F510" s="7">
        <v>1324284</v>
      </c>
      <c r="G510" s="7">
        <v>5757750</v>
      </c>
    </row>
    <row r="511" spans="1:7">
      <c r="A511" s="4" t="s">
        <v>76</v>
      </c>
      <c r="B511" s="6" t="s">
        <v>77</v>
      </c>
      <c r="C511" s="6">
        <v>2020</v>
      </c>
      <c r="D511" s="4" t="s">
        <v>205</v>
      </c>
      <c r="E511" s="6" t="s">
        <v>456</v>
      </c>
      <c r="F511" s="7">
        <v>885363</v>
      </c>
      <c r="G511" s="7">
        <v>4582000</v>
      </c>
    </row>
    <row r="512" spans="1:7">
      <c r="A512" s="4" t="s">
        <v>76</v>
      </c>
      <c r="B512" s="6" t="s">
        <v>77</v>
      </c>
      <c r="C512" s="6">
        <v>2020</v>
      </c>
      <c r="D512" s="4" t="s">
        <v>185</v>
      </c>
      <c r="E512" s="6" t="s">
        <v>457</v>
      </c>
      <c r="F512" s="7">
        <v>411047</v>
      </c>
      <c r="G512" s="7">
        <v>1767600</v>
      </c>
    </row>
    <row r="513" spans="1:7">
      <c r="A513" s="4" t="s">
        <v>76</v>
      </c>
      <c r="B513" s="6" t="s">
        <v>77</v>
      </c>
      <c r="C513" s="6">
        <v>2020</v>
      </c>
      <c r="D513" s="4" t="s">
        <v>93</v>
      </c>
      <c r="E513" s="6" t="s">
        <v>458</v>
      </c>
      <c r="F513" s="7">
        <v>87917</v>
      </c>
      <c r="G513" s="7">
        <v>14839.134</v>
      </c>
    </row>
    <row r="514" spans="1:7">
      <c r="A514" s="4" t="s">
        <v>76</v>
      </c>
      <c r="B514" s="6" t="s">
        <v>77</v>
      </c>
      <c r="C514" s="6">
        <v>2020</v>
      </c>
      <c r="D514" s="4" t="s">
        <v>287</v>
      </c>
      <c r="E514" s="6" t="s">
        <v>463</v>
      </c>
      <c r="F514" s="7">
        <v>87911</v>
      </c>
      <c r="G514" s="7">
        <v>49266</v>
      </c>
    </row>
    <row r="515" spans="1:7">
      <c r="A515" s="4" t="s">
        <v>76</v>
      </c>
      <c r="B515" s="6" t="s">
        <v>77</v>
      </c>
      <c r="C515" s="6">
        <v>2020</v>
      </c>
      <c r="D515" s="4" t="s">
        <v>225</v>
      </c>
      <c r="E515" s="6" t="s">
        <v>498</v>
      </c>
      <c r="F515" s="7">
        <v>85600</v>
      </c>
      <c r="G515" s="7">
        <v>428000</v>
      </c>
    </row>
    <row r="516" spans="1:7">
      <c r="A516" s="4" t="s">
        <v>76</v>
      </c>
      <c r="B516" s="6" t="s">
        <v>77</v>
      </c>
      <c r="C516" s="6">
        <v>2020</v>
      </c>
      <c r="D516" s="4" t="s">
        <v>377</v>
      </c>
      <c r="E516" s="6" t="s">
        <v>451</v>
      </c>
      <c r="F516" s="7">
        <v>48841</v>
      </c>
      <c r="G516" s="7">
        <v>229000</v>
      </c>
    </row>
    <row r="517" spans="1:7">
      <c r="A517" s="4" t="s">
        <v>76</v>
      </c>
      <c r="B517" s="6" t="s">
        <v>77</v>
      </c>
      <c r="C517" s="6">
        <v>2020</v>
      </c>
      <c r="D517" s="4" t="s">
        <v>433</v>
      </c>
      <c r="E517" s="6" t="s">
        <v>490</v>
      </c>
      <c r="F517" s="7">
        <v>39000</v>
      </c>
      <c r="G517" s="7">
        <v>60000</v>
      </c>
    </row>
    <row r="518" spans="1:7">
      <c r="A518" s="4" t="s">
        <v>76</v>
      </c>
      <c r="B518" s="6" t="s">
        <v>77</v>
      </c>
      <c r="C518" s="6">
        <v>2020</v>
      </c>
      <c r="D518" s="4" t="s">
        <v>86</v>
      </c>
      <c r="E518" s="6" t="s">
        <v>521</v>
      </c>
      <c r="F518" s="7">
        <v>12775</v>
      </c>
      <c r="G518" s="7">
        <v>27272</v>
      </c>
    </row>
    <row r="519" spans="1:7">
      <c r="A519" s="4" t="s">
        <v>76</v>
      </c>
      <c r="B519" s="6" t="s">
        <v>77</v>
      </c>
      <c r="C519" s="6">
        <v>2020</v>
      </c>
      <c r="D519" s="4" t="s">
        <v>395</v>
      </c>
      <c r="E519" s="6" t="s">
        <v>485</v>
      </c>
      <c r="F519" s="7">
        <v>12017</v>
      </c>
      <c r="G519" s="7">
        <v>2707</v>
      </c>
    </row>
    <row r="520" spans="1:7">
      <c r="A520" s="4" t="s">
        <v>76</v>
      </c>
      <c r="B520" s="6" t="s">
        <v>77</v>
      </c>
      <c r="C520" s="6">
        <v>2020</v>
      </c>
      <c r="D520" s="4" t="s">
        <v>83</v>
      </c>
      <c r="E520" s="6" t="s">
        <v>493</v>
      </c>
      <c r="F520" s="7">
        <v>5338</v>
      </c>
      <c r="G520" s="7">
        <v>3517</v>
      </c>
    </row>
    <row r="521" spans="1:7">
      <c r="A521" s="4" t="s">
        <v>76</v>
      </c>
      <c r="B521" s="6" t="s">
        <v>77</v>
      </c>
      <c r="C521" s="6">
        <v>2020</v>
      </c>
      <c r="D521" s="4" t="s">
        <v>355</v>
      </c>
      <c r="E521" s="6" t="s">
        <v>468</v>
      </c>
      <c r="F521" s="7">
        <v>3720</v>
      </c>
      <c r="G521" s="7">
        <v>20000</v>
      </c>
    </row>
    <row r="522" spans="1:7">
      <c r="A522" s="4" t="s">
        <v>76</v>
      </c>
      <c r="B522" s="6" t="s">
        <v>77</v>
      </c>
      <c r="C522" s="6">
        <v>2020</v>
      </c>
      <c r="D522" s="4" t="s">
        <v>155</v>
      </c>
      <c r="E522" s="6" t="s">
        <v>489</v>
      </c>
      <c r="F522" s="7">
        <v>588</v>
      </c>
      <c r="G522" s="7">
        <v>12</v>
      </c>
    </row>
    <row r="523" spans="1:7">
      <c r="A523" s="4" t="s">
        <v>76</v>
      </c>
      <c r="B523" s="6" t="s">
        <v>77</v>
      </c>
      <c r="C523" s="6">
        <v>2020</v>
      </c>
      <c r="D523" s="4" t="s">
        <v>409</v>
      </c>
      <c r="E523" s="6" t="s">
        <v>461</v>
      </c>
      <c r="F523" s="7">
        <v>213</v>
      </c>
      <c r="G523" s="7">
        <v>0</v>
      </c>
    </row>
    <row r="524" spans="1:7">
      <c r="A524" s="4" t="s">
        <v>76</v>
      </c>
      <c r="B524" s="6" t="s">
        <v>77</v>
      </c>
      <c r="C524" s="6">
        <v>2020</v>
      </c>
      <c r="D524" s="4" t="s">
        <v>263</v>
      </c>
      <c r="E524" s="6" t="s">
        <v>522</v>
      </c>
      <c r="F524" s="7">
        <v>36</v>
      </c>
      <c r="G524" s="7">
        <v>2</v>
      </c>
    </row>
    <row r="525" spans="1:7">
      <c r="A525" s="4" t="s">
        <v>76</v>
      </c>
      <c r="B525" s="6" t="s">
        <v>77</v>
      </c>
      <c r="C525" s="6">
        <v>2020</v>
      </c>
      <c r="D525" s="4" t="s">
        <v>112</v>
      </c>
      <c r="E525" s="6" t="s">
        <v>480</v>
      </c>
      <c r="F525" s="7">
        <v>5</v>
      </c>
      <c r="G525" s="7">
        <v>1</v>
      </c>
    </row>
    <row r="526" spans="1:7">
      <c r="A526" s="4" t="s">
        <v>76</v>
      </c>
      <c r="B526" s="6" t="s">
        <v>77</v>
      </c>
      <c r="C526" s="6">
        <v>2021</v>
      </c>
      <c r="D526" s="4" t="s">
        <v>62</v>
      </c>
      <c r="E526" s="6" t="s">
        <v>448</v>
      </c>
      <c r="F526" s="7">
        <v>129183443</v>
      </c>
      <c r="G526" s="7">
        <v>603657410</v>
      </c>
    </row>
    <row r="527" spans="1:7">
      <c r="A527" s="4" t="s">
        <v>76</v>
      </c>
      <c r="B527" s="6" t="s">
        <v>77</v>
      </c>
      <c r="C527" s="6">
        <v>2021</v>
      </c>
      <c r="D527" s="4" t="s">
        <v>203</v>
      </c>
      <c r="E527" s="6" t="s">
        <v>452</v>
      </c>
      <c r="F527" s="7">
        <v>35851187</v>
      </c>
      <c r="G527" s="7">
        <v>118281245</v>
      </c>
    </row>
    <row r="528" spans="1:7">
      <c r="A528" s="4" t="s">
        <v>76</v>
      </c>
      <c r="B528" s="6" t="s">
        <v>77</v>
      </c>
      <c r="C528" s="6">
        <v>2021</v>
      </c>
      <c r="D528" s="4" t="s">
        <v>81</v>
      </c>
      <c r="E528" s="6" t="s">
        <v>449</v>
      </c>
      <c r="F528" s="7">
        <v>7968427</v>
      </c>
      <c r="G528" s="7">
        <v>38027670</v>
      </c>
    </row>
    <row r="529" spans="1:7">
      <c r="A529" s="4" t="s">
        <v>76</v>
      </c>
      <c r="B529" s="6" t="s">
        <v>77</v>
      </c>
      <c r="C529" s="6">
        <v>2021</v>
      </c>
      <c r="D529" s="4" t="s">
        <v>73</v>
      </c>
      <c r="E529" s="6" t="s">
        <v>460</v>
      </c>
      <c r="F529" s="7">
        <v>7027920</v>
      </c>
      <c r="G529" s="7">
        <v>26284302</v>
      </c>
    </row>
    <row r="530" spans="1:7">
      <c r="A530" s="4" t="s">
        <v>76</v>
      </c>
      <c r="B530" s="6" t="s">
        <v>77</v>
      </c>
      <c r="C530" s="6">
        <v>2021</v>
      </c>
      <c r="D530" s="4" t="s">
        <v>425</v>
      </c>
      <c r="E530" s="6" t="s">
        <v>472</v>
      </c>
      <c r="F530" s="7">
        <v>5143714</v>
      </c>
      <c r="G530" s="7">
        <v>21463200</v>
      </c>
    </row>
    <row r="531" spans="1:7">
      <c r="A531" s="4" t="s">
        <v>76</v>
      </c>
      <c r="B531" s="6" t="s">
        <v>77</v>
      </c>
      <c r="C531" s="6">
        <v>2021</v>
      </c>
      <c r="D531" s="4" t="s">
        <v>353</v>
      </c>
      <c r="E531" s="6" t="s">
        <v>520</v>
      </c>
      <c r="F531" s="7">
        <v>1169996</v>
      </c>
      <c r="G531" s="7">
        <v>5999980</v>
      </c>
    </row>
    <row r="532" spans="1:7">
      <c r="A532" s="4" t="s">
        <v>76</v>
      </c>
      <c r="B532" s="6" t="s">
        <v>77</v>
      </c>
      <c r="C532" s="6">
        <v>2021</v>
      </c>
      <c r="D532" s="4" t="s">
        <v>185</v>
      </c>
      <c r="E532" s="6" t="s">
        <v>457</v>
      </c>
      <c r="F532" s="7">
        <v>546583</v>
      </c>
      <c r="G532" s="7">
        <v>2273440</v>
      </c>
    </row>
    <row r="533" spans="1:7">
      <c r="A533" s="4" t="s">
        <v>76</v>
      </c>
      <c r="B533" s="6" t="s">
        <v>77</v>
      </c>
      <c r="C533" s="6">
        <v>2021</v>
      </c>
      <c r="D533" s="4" t="s">
        <v>279</v>
      </c>
      <c r="E533" s="6" t="s">
        <v>484</v>
      </c>
      <c r="F533" s="7">
        <v>501000</v>
      </c>
      <c r="G533" s="7">
        <v>2500000</v>
      </c>
    </row>
    <row r="534" spans="1:7">
      <c r="A534" s="4" t="s">
        <v>76</v>
      </c>
      <c r="B534" s="6" t="s">
        <v>77</v>
      </c>
      <c r="C534" s="6">
        <v>2021</v>
      </c>
      <c r="D534" s="4" t="s">
        <v>96</v>
      </c>
      <c r="E534" s="6" t="s">
        <v>453</v>
      </c>
      <c r="F534" s="7">
        <v>397565</v>
      </c>
      <c r="G534" s="7">
        <v>1800300</v>
      </c>
    </row>
    <row r="535" spans="1:7">
      <c r="A535" s="4" t="s">
        <v>76</v>
      </c>
      <c r="B535" s="6" t="s">
        <v>77</v>
      </c>
      <c r="C535" s="6">
        <v>2021</v>
      </c>
      <c r="D535" s="4" t="s">
        <v>395</v>
      </c>
      <c r="E535" s="6" t="s">
        <v>485</v>
      </c>
      <c r="F535" s="7">
        <v>158585</v>
      </c>
      <c r="G535" s="7">
        <v>321388</v>
      </c>
    </row>
    <row r="536" spans="1:7">
      <c r="A536" s="4" t="s">
        <v>76</v>
      </c>
      <c r="B536" s="6" t="s">
        <v>77</v>
      </c>
      <c r="C536" s="6">
        <v>2021</v>
      </c>
      <c r="D536" s="4" t="s">
        <v>205</v>
      </c>
      <c r="E536" s="6" t="s">
        <v>456</v>
      </c>
      <c r="F536" s="7">
        <v>155808</v>
      </c>
      <c r="G536" s="7">
        <v>534000</v>
      </c>
    </row>
    <row r="537" spans="1:7">
      <c r="A537" s="4" t="s">
        <v>76</v>
      </c>
      <c r="B537" s="6" t="s">
        <v>77</v>
      </c>
      <c r="C537" s="6">
        <v>2021</v>
      </c>
      <c r="D537" s="4" t="s">
        <v>93</v>
      </c>
      <c r="E537" s="6" t="s">
        <v>458</v>
      </c>
      <c r="F537" s="7">
        <v>148846</v>
      </c>
      <c r="G537" s="7">
        <v>94715.931</v>
      </c>
    </row>
    <row r="538" spans="1:7">
      <c r="A538" s="4" t="s">
        <v>76</v>
      </c>
      <c r="B538" s="6" t="s">
        <v>77</v>
      </c>
      <c r="C538" s="6">
        <v>2021</v>
      </c>
      <c r="D538" s="4" t="s">
        <v>287</v>
      </c>
      <c r="E538" s="6" t="s">
        <v>463</v>
      </c>
      <c r="F538" s="7">
        <v>67744</v>
      </c>
      <c r="G538" s="7">
        <v>26521</v>
      </c>
    </row>
    <row r="539" spans="1:7">
      <c r="A539" s="4" t="s">
        <v>76</v>
      </c>
      <c r="B539" s="6" t="s">
        <v>77</v>
      </c>
      <c r="C539" s="6">
        <v>2021</v>
      </c>
      <c r="D539" s="4" t="s">
        <v>357</v>
      </c>
      <c r="E539" s="6" t="s">
        <v>486</v>
      </c>
      <c r="F539" s="7">
        <v>57001</v>
      </c>
      <c r="G539" s="7">
        <v>200002</v>
      </c>
    </row>
    <row r="540" spans="1:7">
      <c r="A540" s="4" t="s">
        <v>76</v>
      </c>
      <c r="B540" s="6" t="s">
        <v>77</v>
      </c>
      <c r="C540" s="6">
        <v>2021</v>
      </c>
      <c r="D540" s="4" t="s">
        <v>83</v>
      </c>
      <c r="E540" s="6" t="s">
        <v>493</v>
      </c>
      <c r="F540" s="7">
        <v>11767</v>
      </c>
      <c r="G540" s="7">
        <v>10252</v>
      </c>
    </row>
    <row r="541" spans="1:7">
      <c r="A541" s="4" t="s">
        <v>76</v>
      </c>
      <c r="B541" s="6" t="s">
        <v>77</v>
      </c>
      <c r="C541" s="6">
        <v>2021</v>
      </c>
      <c r="D541" s="4" t="s">
        <v>104</v>
      </c>
      <c r="E541" s="6" t="s">
        <v>450</v>
      </c>
      <c r="F541" s="7">
        <v>4512</v>
      </c>
      <c r="G541" s="7">
        <v>503</v>
      </c>
    </row>
    <row r="542" spans="1:7">
      <c r="A542" s="4" t="s">
        <v>76</v>
      </c>
      <c r="B542" s="6" t="s">
        <v>77</v>
      </c>
      <c r="C542" s="6">
        <v>2021</v>
      </c>
      <c r="D542" s="4" t="s">
        <v>112</v>
      </c>
      <c r="E542" s="6" t="s">
        <v>480</v>
      </c>
      <c r="F542" s="7">
        <v>2463</v>
      </c>
      <c r="G542" s="7">
        <v>1428</v>
      </c>
    </row>
    <row r="543" spans="1:7">
      <c r="A543" s="4" t="s">
        <v>76</v>
      </c>
      <c r="B543" s="6" t="s">
        <v>77</v>
      </c>
      <c r="C543" s="6">
        <v>2021</v>
      </c>
      <c r="D543" s="4" t="s">
        <v>89</v>
      </c>
      <c r="E543" s="6" t="s">
        <v>459</v>
      </c>
      <c r="F543" s="7">
        <v>9</v>
      </c>
      <c r="G543" s="7">
        <v>1</v>
      </c>
    </row>
    <row r="544" spans="1:7">
      <c r="A544" s="4" t="s">
        <v>76</v>
      </c>
      <c r="B544" s="6" t="s">
        <v>77</v>
      </c>
      <c r="C544" s="6">
        <v>2021</v>
      </c>
      <c r="D544" s="4" t="s">
        <v>155</v>
      </c>
      <c r="E544" s="6" t="s">
        <v>489</v>
      </c>
      <c r="F544" s="7">
        <v>5</v>
      </c>
      <c r="G544" s="7">
        <v>1</v>
      </c>
    </row>
    <row r="545" spans="1:7">
      <c r="A545" s="4" t="s">
        <v>76</v>
      </c>
      <c r="B545" s="6" t="s">
        <v>77</v>
      </c>
      <c r="C545" s="6">
        <v>2021</v>
      </c>
      <c r="D545" s="4" t="s">
        <v>86</v>
      </c>
      <c r="E545" s="6" t="s">
        <v>521</v>
      </c>
      <c r="F545" s="7">
        <v>5</v>
      </c>
      <c r="G545" s="7">
        <v>3</v>
      </c>
    </row>
    <row r="546" spans="1:7">
      <c r="A546" s="4" t="s">
        <v>76</v>
      </c>
      <c r="B546" s="6" t="s">
        <v>77</v>
      </c>
      <c r="C546" s="6">
        <v>2022</v>
      </c>
      <c r="D546" s="4" t="s">
        <v>62</v>
      </c>
      <c r="E546" s="6" t="s">
        <v>448</v>
      </c>
      <c r="F546" s="7">
        <v>224187651</v>
      </c>
      <c r="G546" s="7">
        <v>629907702</v>
      </c>
    </row>
    <row r="547" spans="1:7">
      <c r="A547" s="4" t="s">
        <v>76</v>
      </c>
      <c r="B547" s="6" t="s">
        <v>77</v>
      </c>
      <c r="C547" s="6">
        <v>2022</v>
      </c>
      <c r="D547" s="4" t="s">
        <v>203</v>
      </c>
      <c r="E547" s="6" t="s">
        <v>452</v>
      </c>
      <c r="F547" s="7">
        <v>74559356</v>
      </c>
      <c r="G547" s="7">
        <v>168908384</v>
      </c>
    </row>
    <row r="548" spans="1:7">
      <c r="A548" s="4" t="s">
        <v>76</v>
      </c>
      <c r="B548" s="6" t="s">
        <v>77</v>
      </c>
      <c r="C548" s="6">
        <v>2022</v>
      </c>
      <c r="D548" s="4" t="s">
        <v>81</v>
      </c>
      <c r="E548" s="6" t="s">
        <v>449</v>
      </c>
      <c r="F548" s="7">
        <v>18129709</v>
      </c>
      <c r="G548" s="7">
        <v>47503699</v>
      </c>
    </row>
    <row r="549" spans="1:7">
      <c r="A549" s="4" t="s">
        <v>76</v>
      </c>
      <c r="B549" s="6" t="s">
        <v>77</v>
      </c>
      <c r="C549" s="6">
        <v>2022</v>
      </c>
      <c r="D549" s="4" t="s">
        <v>185</v>
      </c>
      <c r="E549" s="6" t="s">
        <v>457</v>
      </c>
      <c r="F549" s="7">
        <v>10045802</v>
      </c>
      <c r="G549" s="7">
        <v>26356720</v>
      </c>
    </row>
    <row r="550" spans="1:7">
      <c r="A550" s="4" t="s">
        <v>76</v>
      </c>
      <c r="B550" s="6" t="s">
        <v>77</v>
      </c>
      <c r="C550" s="6">
        <v>2022</v>
      </c>
      <c r="D550" s="4" t="s">
        <v>425</v>
      </c>
      <c r="E550" s="6" t="s">
        <v>472</v>
      </c>
      <c r="F550" s="7">
        <v>6197300</v>
      </c>
      <c r="G550" s="7">
        <v>15801097</v>
      </c>
    </row>
    <row r="551" spans="1:7">
      <c r="A551" s="4" t="s">
        <v>76</v>
      </c>
      <c r="B551" s="6" t="s">
        <v>77</v>
      </c>
      <c r="C551" s="6">
        <v>2022</v>
      </c>
      <c r="D551" s="4" t="s">
        <v>73</v>
      </c>
      <c r="E551" s="6" t="s">
        <v>460</v>
      </c>
      <c r="F551" s="7">
        <v>4829597</v>
      </c>
      <c r="G551" s="7">
        <v>13819004</v>
      </c>
    </row>
    <row r="552" spans="1:7">
      <c r="A552" s="4" t="s">
        <v>76</v>
      </c>
      <c r="B552" s="6" t="s">
        <v>77</v>
      </c>
      <c r="C552" s="6">
        <v>2022</v>
      </c>
      <c r="D552" s="4" t="s">
        <v>279</v>
      </c>
      <c r="E552" s="6" t="s">
        <v>484</v>
      </c>
      <c r="F552" s="7">
        <v>3844500</v>
      </c>
      <c r="G552" s="7">
        <v>9800000</v>
      </c>
    </row>
    <row r="553" spans="1:7">
      <c r="A553" s="4" t="s">
        <v>76</v>
      </c>
      <c r="B553" s="6" t="s">
        <v>77</v>
      </c>
      <c r="C553" s="6">
        <v>2022</v>
      </c>
      <c r="D553" s="4" t="s">
        <v>357</v>
      </c>
      <c r="E553" s="6" t="s">
        <v>486</v>
      </c>
      <c r="F553" s="7">
        <v>1853031</v>
      </c>
      <c r="G553" s="7">
        <v>4404008</v>
      </c>
    </row>
    <row r="554" spans="1:7">
      <c r="A554" s="4" t="s">
        <v>76</v>
      </c>
      <c r="B554" s="6" t="s">
        <v>77</v>
      </c>
      <c r="C554" s="6">
        <v>2022</v>
      </c>
      <c r="D554" s="4" t="s">
        <v>287</v>
      </c>
      <c r="E554" s="6" t="s">
        <v>463</v>
      </c>
      <c r="F554" s="7">
        <v>82791</v>
      </c>
      <c r="G554" s="7">
        <v>38887</v>
      </c>
    </row>
    <row r="555" spans="1:7">
      <c r="A555" s="4" t="s">
        <v>76</v>
      </c>
      <c r="B555" s="6" t="s">
        <v>77</v>
      </c>
      <c r="C555" s="6">
        <v>2022</v>
      </c>
      <c r="D555" s="4" t="s">
        <v>96</v>
      </c>
      <c r="E555" s="6" t="s">
        <v>453</v>
      </c>
      <c r="F555" s="7">
        <v>79299</v>
      </c>
      <c r="G555" s="7">
        <v>162000</v>
      </c>
    </row>
    <row r="556" spans="1:7">
      <c r="A556" s="4" t="s">
        <v>76</v>
      </c>
      <c r="B556" s="6" t="s">
        <v>77</v>
      </c>
      <c r="C556" s="6">
        <v>2022</v>
      </c>
      <c r="D556" s="4" t="s">
        <v>93</v>
      </c>
      <c r="E556" s="6" t="s">
        <v>458</v>
      </c>
      <c r="F556" s="7">
        <v>76491</v>
      </c>
      <c r="G556" s="7">
        <v>8837</v>
      </c>
    </row>
    <row r="557" spans="1:7">
      <c r="A557" s="4" t="s">
        <v>76</v>
      </c>
      <c r="B557" s="6" t="s">
        <v>77</v>
      </c>
      <c r="C557" s="6">
        <v>2022</v>
      </c>
      <c r="D557" s="4" t="s">
        <v>205</v>
      </c>
      <c r="E557" s="6" t="s">
        <v>456</v>
      </c>
      <c r="F557" s="7">
        <v>43994</v>
      </c>
      <c r="G557" s="7">
        <v>89911</v>
      </c>
    </row>
    <row r="558" spans="1:7">
      <c r="A558" s="4" t="s">
        <v>76</v>
      </c>
      <c r="B558" s="6" t="s">
        <v>77</v>
      </c>
      <c r="C558" s="6">
        <v>2022</v>
      </c>
      <c r="D558" s="4" t="s">
        <v>104</v>
      </c>
      <c r="E558" s="6" t="s">
        <v>450</v>
      </c>
      <c r="F558" s="7">
        <v>10703</v>
      </c>
      <c r="G558" s="7">
        <v>9660</v>
      </c>
    </row>
    <row r="559" spans="1:7">
      <c r="A559" s="4" t="s">
        <v>76</v>
      </c>
      <c r="B559" s="6" t="s">
        <v>77</v>
      </c>
      <c r="C559" s="6">
        <v>2022</v>
      </c>
      <c r="D559" s="4" t="s">
        <v>395</v>
      </c>
      <c r="E559" s="6" t="s">
        <v>485</v>
      </c>
      <c r="F559" s="7">
        <v>10135</v>
      </c>
      <c r="G559" s="7">
        <v>615</v>
      </c>
    </row>
    <row r="560" spans="1:7">
      <c r="A560" s="4" t="s">
        <v>76</v>
      </c>
      <c r="B560" s="6" t="s">
        <v>77</v>
      </c>
      <c r="C560" s="6">
        <v>2022</v>
      </c>
      <c r="D560" s="4" t="s">
        <v>112</v>
      </c>
      <c r="E560" s="6" t="s">
        <v>480</v>
      </c>
      <c r="F560" s="7">
        <v>9096</v>
      </c>
      <c r="G560" s="7">
        <v>1809</v>
      </c>
    </row>
    <row r="561" spans="1:7">
      <c r="A561" s="4" t="s">
        <v>76</v>
      </c>
      <c r="B561" s="6" t="s">
        <v>77</v>
      </c>
      <c r="C561" s="6">
        <v>2022</v>
      </c>
      <c r="D561" s="4" t="s">
        <v>83</v>
      </c>
      <c r="E561" s="6" t="s">
        <v>493</v>
      </c>
      <c r="F561" s="7">
        <v>6703</v>
      </c>
      <c r="G561" s="7">
        <v>6322</v>
      </c>
    </row>
    <row r="562" spans="1:7">
      <c r="A562" s="4" t="s">
        <v>76</v>
      </c>
      <c r="B562" s="6" t="s">
        <v>77</v>
      </c>
      <c r="C562" s="6">
        <v>2022</v>
      </c>
      <c r="D562" s="4" t="s">
        <v>76</v>
      </c>
      <c r="E562" s="6" t="s">
        <v>488</v>
      </c>
      <c r="F562" s="7">
        <v>4520</v>
      </c>
      <c r="G562" s="7">
        <v>10000</v>
      </c>
    </row>
    <row r="563" spans="1:7">
      <c r="A563" s="4" t="s">
        <v>76</v>
      </c>
      <c r="B563" s="6" t="s">
        <v>77</v>
      </c>
      <c r="C563" s="6">
        <v>2022</v>
      </c>
      <c r="D563" s="4" t="s">
        <v>155</v>
      </c>
      <c r="E563" s="6" t="s">
        <v>489</v>
      </c>
      <c r="F563" s="7">
        <v>1614</v>
      </c>
      <c r="G563" s="7">
        <v>183</v>
      </c>
    </row>
    <row r="564" spans="1:7">
      <c r="A564" s="4" t="s">
        <v>76</v>
      </c>
      <c r="B564" s="6" t="s">
        <v>77</v>
      </c>
      <c r="C564" s="6">
        <v>2022</v>
      </c>
      <c r="D564" s="4" t="s">
        <v>79</v>
      </c>
      <c r="E564" s="6" t="s">
        <v>497</v>
      </c>
      <c r="F564" s="7">
        <v>614</v>
      </c>
      <c r="G564" s="7">
        <v>50</v>
      </c>
    </row>
    <row r="565" spans="1:7">
      <c r="A565" s="4" t="s">
        <v>76</v>
      </c>
      <c r="B565" s="6" t="s">
        <v>77</v>
      </c>
      <c r="C565" s="6">
        <v>2022</v>
      </c>
      <c r="D565" s="4" t="s">
        <v>115</v>
      </c>
      <c r="E565" s="6" t="s">
        <v>454</v>
      </c>
      <c r="F565" s="7">
        <v>42</v>
      </c>
      <c r="G565" s="7">
        <v>1</v>
      </c>
    </row>
    <row r="566" spans="1:7">
      <c r="A566" s="4" t="s">
        <v>76</v>
      </c>
      <c r="B566" s="6" t="s">
        <v>77</v>
      </c>
      <c r="C566" s="6">
        <v>2023</v>
      </c>
      <c r="D566" s="4" t="s">
        <v>62</v>
      </c>
      <c r="E566" s="6" t="s">
        <v>448</v>
      </c>
      <c r="F566" s="7">
        <v>185100601</v>
      </c>
      <c r="G566" s="7">
        <v>524484508</v>
      </c>
    </row>
    <row r="567" spans="1:7">
      <c r="A567" s="4" t="s">
        <v>76</v>
      </c>
      <c r="B567" s="6" t="s">
        <v>77</v>
      </c>
      <c r="C567" s="6">
        <v>2023</v>
      </c>
      <c r="D567" s="4" t="s">
        <v>203</v>
      </c>
      <c r="E567" s="6" t="s">
        <v>452</v>
      </c>
      <c r="F567" s="7">
        <v>53305441</v>
      </c>
      <c r="G567" s="7">
        <v>144942872</v>
      </c>
    </row>
    <row r="568" spans="1:7">
      <c r="A568" s="4" t="s">
        <v>76</v>
      </c>
      <c r="B568" s="6" t="s">
        <v>77</v>
      </c>
      <c r="C568" s="6">
        <v>2023</v>
      </c>
      <c r="D568" s="4" t="s">
        <v>81</v>
      </c>
      <c r="E568" s="6" t="s">
        <v>449</v>
      </c>
      <c r="F568" s="7">
        <v>28155557</v>
      </c>
      <c r="G568" s="7">
        <v>89663235</v>
      </c>
    </row>
    <row r="569" spans="1:7">
      <c r="A569" s="4" t="s">
        <v>76</v>
      </c>
      <c r="B569" s="6" t="s">
        <v>77</v>
      </c>
      <c r="C569" s="6">
        <v>2023</v>
      </c>
      <c r="D569" s="4" t="s">
        <v>185</v>
      </c>
      <c r="E569" s="6" t="s">
        <v>457</v>
      </c>
      <c r="F569" s="7">
        <v>6485000</v>
      </c>
      <c r="G569" s="7">
        <v>17000000</v>
      </c>
    </row>
    <row r="570" spans="1:7">
      <c r="A570" s="4" t="s">
        <v>76</v>
      </c>
      <c r="B570" s="6" t="s">
        <v>77</v>
      </c>
      <c r="C570" s="6">
        <v>2023</v>
      </c>
      <c r="D570" s="4" t="s">
        <v>357</v>
      </c>
      <c r="E570" s="6" t="s">
        <v>486</v>
      </c>
      <c r="F570" s="7">
        <v>3053234</v>
      </c>
      <c r="G570" s="7">
        <v>9011002</v>
      </c>
    </row>
    <row r="571" spans="1:7">
      <c r="A571" s="4" t="s">
        <v>76</v>
      </c>
      <c r="B571" s="6" t="s">
        <v>77</v>
      </c>
      <c r="C571" s="6">
        <v>2023</v>
      </c>
      <c r="D571" s="4" t="s">
        <v>73</v>
      </c>
      <c r="E571" s="6" t="s">
        <v>460</v>
      </c>
      <c r="F571" s="7">
        <v>2922944</v>
      </c>
      <c r="G571" s="7">
        <v>9836152</v>
      </c>
    </row>
    <row r="572" spans="1:7">
      <c r="A572" s="4" t="s">
        <v>76</v>
      </c>
      <c r="B572" s="6" t="s">
        <v>77</v>
      </c>
      <c r="C572" s="6">
        <v>2023</v>
      </c>
      <c r="D572" s="4" t="s">
        <v>425</v>
      </c>
      <c r="E572" s="6" t="s">
        <v>472</v>
      </c>
      <c r="F572" s="7">
        <v>1407029</v>
      </c>
      <c r="G572" s="7">
        <v>5241042</v>
      </c>
    </row>
    <row r="573" spans="1:7">
      <c r="A573" s="4" t="s">
        <v>76</v>
      </c>
      <c r="B573" s="6" t="s">
        <v>77</v>
      </c>
      <c r="C573" s="6">
        <v>2023</v>
      </c>
      <c r="D573" s="4" t="s">
        <v>291</v>
      </c>
      <c r="E573" s="6" t="s">
        <v>483</v>
      </c>
      <c r="F573" s="7">
        <v>394937</v>
      </c>
      <c r="G573" s="7">
        <v>1242006</v>
      </c>
    </row>
    <row r="574" spans="1:7">
      <c r="A574" s="4" t="s">
        <v>76</v>
      </c>
      <c r="B574" s="6" t="s">
        <v>77</v>
      </c>
      <c r="C574" s="6">
        <v>2023</v>
      </c>
      <c r="D574" s="4" t="s">
        <v>93</v>
      </c>
      <c r="E574" s="6" t="s">
        <v>458</v>
      </c>
      <c r="F574" s="7">
        <v>69685</v>
      </c>
      <c r="G574" s="7">
        <v>4299</v>
      </c>
    </row>
    <row r="575" spans="1:7">
      <c r="A575" s="4" t="s">
        <v>76</v>
      </c>
      <c r="B575" s="6" t="s">
        <v>77</v>
      </c>
      <c r="C575" s="6">
        <v>2023</v>
      </c>
      <c r="D575" s="4" t="s">
        <v>205</v>
      </c>
      <c r="E575" s="6" t="s">
        <v>456</v>
      </c>
      <c r="F575" s="7">
        <v>56849</v>
      </c>
      <c r="G575" s="7">
        <v>164003</v>
      </c>
    </row>
    <row r="576" spans="1:7">
      <c r="A576" s="4" t="s">
        <v>76</v>
      </c>
      <c r="B576" s="6" t="s">
        <v>77</v>
      </c>
      <c r="C576" s="6">
        <v>2023</v>
      </c>
      <c r="D576" s="4" t="s">
        <v>287</v>
      </c>
      <c r="E576" s="6" t="s">
        <v>463</v>
      </c>
      <c r="F576" s="7">
        <v>28757</v>
      </c>
      <c r="G576" s="7">
        <v>14485</v>
      </c>
    </row>
    <row r="577" spans="1:7">
      <c r="A577" s="4" t="s">
        <v>76</v>
      </c>
      <c r="B577" s="6" t="s">
        <v>77</v>
      </c>
      <c r="C577" s="6">
        <v>2023</v>
      </c>
      <c r="D577" s="4" t="s">
        <v>431</v>
      </c>
      <c r="E577" s="6" t="s">
        <v>482</v>
      </c>
      <c r="F577" s="7">
        <v>26460</v>
      </c>
      <c r="G577" s="7">
        <v>63000</v>
      </c>
    </row>
    <row r="578" spans="1:7">
      <c r="A578" s="4" t="s">
        <v>76</v>
      </c>
      <c r="B578" s="6" t="s">
        <v>77</v>
      </c>
      <c r="C578" s="6">
        <v>2023</v>
      </c>
      <c r="D578" s="4" t="s">
        <v>155</v>
      </c>
      <c r="E578" s="6" t="s">
        <v>489</v>
      </c>
      <c r="F578" s="7">
        <v>12149</v>
      </c>
      <c r="G578" s="7">
        <v>2069</v>
      </c>
    </row>
    <row r="579" spans="1:7">
      <c r="A579" s="4" t="s">
        <v>76</v>
      </c>
      <c r="B579" s="6" t="s">
        <v>77</v>
      </c>
      <c r="C579" s="6">
        <v>2023</v>
      </c>
      <c r="D579" s="4" t="s">
        <v>65</v>
      </c>
      <c r="E579" s="6" t="s">
        <v>475</v>
      </c>
      <c r="F579" s="7">
        <v>6346</v>
      </c>
      <c r="G579" s="7">
        <v>0</v>
      </c>
    </row>
    <row r="580" spans="1:7">
      <c r="A580" s="4" t="s">
        <v>76</v>
      </c>
      <c r="B580" s="6" t="s">
        <v>77</v>
      </c>
      <c r="C580" s="6">
        <v>2023</v>
      </c>
      <c r="D580" s="4" t="s">
        <v>104</v>
      </c>
      <c r="E580" s="6" t="s">
        <v>450</v>
      </c>
      <c r="F580" s="7">
        <v>4471</v>
      </c>
      <c r="G580" s="7">
        <v>2392</v>
      </c>
    </row>
    <row r="581" spans="1:7">
      <c r="A581" s="4" t="s">
        <v>76</v>
      </c>
      <c r="B581" s="6" t="s">
        <v>77</v>
      </c>
      <c r="C581" s="6">
        <v>2023</v>
      </c>
      <c r="D581" s="4" t="s">
        <v>395</v>
      </c>
      <c r="E581" s="6" t="s">
        <v>485</v>
      </c>
      <c r="F581" s="7">
        <v>3663</v>
      </c>
      <c r="G581" s="7">
        <v>367</v>
      </c>
    </row>
    <row r="582" spans="1:7">
      <c r="A582" s="4" t="s">
        <v>76</v>
      </c>
      <c r="B582" s="6" t="s">
        <v>77</v>
      </c>
      <c r="C582" s="6">
        <v>2023</v>
      </c>
      <c r="D582" s="4" t="s">
        <v>83</v>
      </c>
      <c r="E582" s="6" t="s">
        <v>493</v>
      </c>
      <c r="F582" s="7">
        <v>1880</v>
      </c>
      <c r="G582" s="7">
        <v>946</v>
      </c>
    </row>
    <row r="583" spans="1:7">
      <c r="A583" s="4" t="s">
        <v>76</v>
      </c>
      <c r="B583" s="6" t="s">
        <v>77</v>
      </c>
      <c r="C583" s="6">
        <v>2023</v>
      </c>
      <c r="D583" s="4" t="s">
        <v>121</v>
      </c>
      <c r="E583" s="6" t="s">
        <v>455</v>
      </c>
      <c r="F583" s="7">
        <v>938</v>
      </c>
      <c r="G583" s="7">
        <v>250</v>
      </c>
    </row>
    <row r="584" spans="1:7">
      <c r="A584" s="4" t="s">
        <v>76</v>
      </c>
      <c r="B584" s="6" t="s">
        <v>77</v>
      </c>
      <c r="C584" s="6">
        <v>2023</v>
      </c>
      <c r="D584" s="4" t="s">
        <v>179</v>
      </c>
      <c r="E584" s="6" t="s">
        <v>494</v>
      </c>
      <c r="F584" s="7">
        <v>90</v>
      </c>
      <c r="G584" s="7">
        <v>6</v>
      </c>
    </row>
    <row r="585" spans="1:7">
      <c r="A585" s="4" t="s">
        <v>76</v>
      </c>
      <c r="B585" s="6" t="s">
        <v>77</v>
      </c>
      <c r="C585" s="6">
        <v>2024</v>
      </c>
      <c r="D585" s="4" t="s">
        <v>62</v>
      </c>
      <c r="E585" s="6" t="s">
        <v>448</v>
      </c>
      <c r="F585" s="7">
        <v>149175355</v>
      </c>
      <c r="G585" s="7">
        <v>608481827</v>
      </c>
    </row>
    <row r="586" spans="1:7">
      <c r="A586" s="4" t="s">
        <v>76</v>
      </c>
      <c r="B586" s="6" t="s">
        <v>77</v>
      </c>
      <c r="C586" s="6">
        <v>2024</v>
      </c>
      <c r="D586" s="4" t="s">
        <v>203</v>
      </c>
      <c r="E586" s="6" t="s">
        <v>452</v>
      </c>
      <c r="F586" s="7">
        <v>29847233</v>
      </c>
      <c r="G586" s="7">
        <v>105109001</v>
      </c>
    </row>
    <row r="587" spans="1:7">
      <c r="A587" s="4" t="s">
        <v>76</v>
      </c>
      <c r="B587" s="6" t="s">
        <v>77</v>
      </c>
      <c r="C587" s="6">
        <v>2024</v>
      </c>
      <c r="D587" s="4" t="s">
        <v>73</v>
      </c>
      <c r="E587" s="6" t="s">
        <v>460</v>
      </c>
      <c r="F587" s="7">
        <v>21375476</v>
      </c>
      <c r="G587" s="7">
        <v>68308905</v>
      </c>
    </row>
    <row r="588" spans="1:7">
      <c r="A588" s="4" t="s">
        <v>76</v>
      </c>
      <c r="B588" s="6" t="s">
        <v>77</v>
      </c>
      <c r="C588" s="6">
        <v>2024</v>
      </c>
      <c r="D588" s="4" t="s">
        <v>81</v>
      </c>
      <c r="E588" s="6" t="s">
        <v>449</v>
      </c>
      <c r="F588" s="7">
        <v>8225635</v>
      </c>
      <c r="G588" s="7">
        <v>34642165</v>
      </c>
    </row>
    <row r="589" spans="1:7">
      <c r="A589" s="4" t="s">
        <v>76</v>
      </c>
      <c r="B589" s="6" t="s">
        <v>77</v>
      </c>
      <c r="C589" s="6">
        <v>2024</v>
      </c>
      <c r="D589" s="4" t="s">
        <v>425</v>
      </c>
      <c r="E589" s="6" t="s">
        <v>472</v>
      </c>
      <c r="F589" s="7">
        <v>4540667</v>
      </c>
      <c r="G589" s="7">
        <v>18518180</v>
      </c>
    </row>
    <row r="590" spans="1:7">
      <c r="A590" s="4" t="s">
        <v>76</v>
      </c>
      <c r="B590" s="6" t="s">
        <v>77</v>
      </c>
      <c r="C590" s="6">
        <v>2024</v>
      </c>
      <c r="D590" s="4" t="s">
        <v>185</v>
      </c>
      <c r="E590" s="6" t="s">
        <v>457</v>
      </c>
      <c r="F590" s="7">
        <v>855305</v>
      </c>
      <c r="G590" s="7">
        <v>3105001</v>
      </c>
    </row>
    <row r="591" spans="1:7">
      <c r="A591" s="4" t="s">
        <v>76</v>
      </c>
      <c r="B591" s="6" t="s">
        <v>77</v>
      </c>
      <c r="C591" s="6">
        <v>2024</v>
      </c>
      <c r="D591" s="4" t="s">
        <v>115</v>
      </c>
      <c r="E591" s="6" t="s">
        <v>454</v>
      </c>
      <c r="F591" s="7">
        <v>675000</v>
      </c>
      <c r="G591" s="7">
        <v>3000000</v>
      </c>
    </row>
    <row r="592" spans="1:7">
      <c r="A592" s="4" t="s">
        <v>76</v>
      </c>
      <c r="B592" s="6" t="s">
        <v>77</v>
      </c>
      <c r="C592" s="6">
        <v>2024</v>
      </c>
      <c r="D592" s="4" t="s">
        <v>357</v>
      </c>
      <c r="E592" s="6" t="s">
        <v>486</v>
      </c>
      <c r="F592" s="7">
        <v>390008</v>
      </c>
      <c r="G592" s="7">
        <v>1500001</v>
      </c>
    </row>
    <row r="593" spans="1:7">
      <c r="A593" s="4" t="s">
        <v>76</v>
      </c>
      <c r="B593" s="6" t="s">
        <v>77</v>
      </c>
      <c r="C593" s="6">
        <v>2024</v>
      </c>
      <c r="D593" s="4" t="s">
        <v>355</v>
      </c>
      <c r="E593" s="6" t="s">
        <v>468</v>
      </c>
      <c r="F593" s="7">
        <v>313852</v>
      </c>
      <c r="G593" s="7">
        <v>29621</v>
      </c>
    </row>
    <row r="594" spans="1:7">
      <c r="A594" s="4" t="s">
        <v>76</v>
      </c>
      <c r="B594" s="6" t="s">
        <v>77</v>
      </c>
      <c r="C594" s="6">
        <v>2024</v>
      </c>
      <c r="D594" s="4" t="s">
        <v>179</v>
      </c>
      <c r="E594" s="6" t="s">
        <v>494</v>
      </c>
      <c r="F594" s="7">
        <v>272766</v>
      </c>
      <c r="G594" s="7">
        <v>1014000</v>
      </c>
    </row>
    <row r="595" spans="1:7">
      <c r="A595" s="4" t="s">
        <v>76</v>
      </c>
      <c r="B595" s="6" t="s">
        <v>77</v>
      </c>
      <c r="C595" s="6">
        <v>2024</v>
      </c>
      <c r="D595" s="4" t="s">
        <v>93</v>
      </c>
      <c r="E595" s="6" t="s">
        <v>458</v>
      </c>
      <c r="F595" s="7">
        <v>162938</v>
      </c>
      <c r="G595" s="7">
        <v>5977</v>
      </c>
    </row>
    <row r="596" spans="1:7">
      <c r="A596" s="4" t="s">
        <v>76</v>
      </c>
      <c r="B596" s="6" t="s">
        <v>77</v>
      </c>
      <c r="C596" s="6">
        <v>2024</v>
      </c>
      <c r="D596" s="4" t="s">
        <v>83</v>
      </c>
      <c r="E596" s="6" t="s">
        <v>493</v>
      </c>
      <c r="F596" s="7">
        <v>100433</v>
      </c>
      <c r="G596" s="7">
        <v>11293</v>
      </c>
    </row>
    <row r="597" spans="1:7">
      <c r="A597" s="4" t="s">
        <v>76</v>
      </c>
      <c r="B597" s="6" t="s">
        <v>77</v>
      </c>
      <c r="C597" s="6">
        <v>2024</v>
      </c>
      <c r="D597" s="4" t="s">
        <v>287</v>
      </c>
      <c r="E597" s="6" t="s">
        <v>463</v>
      </c>
      <c r="F597" s="7">
        <v>55297</v>
      </c>
      <c r="G597" s="7">
        <v>33999</v>
      </c>
    </row>
    <row r="598" spans="1:7">
      <c r="A598" s="4" t="s">
        <v>76</v>
      </c>
      <c r="B598" s="6" t="s">
        <v>77</v>
      </c>
      <c r="C598" s="6">
        <v>2024</v>
      </c>
      <c r="D598" s="4" t="s">
        <v>125</v>
      </c>
      <c r="E598" s="6" t="s">
        <v>465</v>
      </c>
      <c r="F598" s="7">
        <v>54445</v>
      </c>
      <c r="G598" s="7">
        <v>189002</v>
      </c>
    </row>
    <row r="599" spans="1:7">
      <c r="A599" s="4" t="s">
        <v>76</v>
      </c>
      <c r="B599" s="6" t="s">
        <v>77</v>
      </c>
      <c r="C599" s="6">
        <v>2024</v>
      </c>
      <c r="D599" s="4" t="s">
        <v>155</v>
      </c>
      <c r="E599" s="6" t="s">
        <v>489</v>
      </c>
      <c r="F599" s="7">
        <v>31868</v>
      </c>
      <c r="G599" s="7">
        <v>6900</v>
      </c>
    </row>
    <row r="600" spans="1:7">
      <c r="A600" s="4" t="s">
        <v>76</v>
      </c>
      <c r="B600" s="6" t="s">
        <v>77</v>
      </c>
      <c r="C600" s="6">
        <v>2024</v>
      </c>
      <c r="D600" s="4" t="s">
        <v>395</v>
      </c>
      <c r="E600" s="6" t="s">
        <v>485</v>
      </c>
      <c r="F600" s="7">
        <v>25879</v>
      </c>
      <c r="G600" s="7">
        <v>125150</v>
      </c>
    </row>
    <row r="601" spans="1:7">
      <c r="A601" s="4" t="s">
        <v>76</v>
      </c>
      <c r="B601" s="6" t="s">
        <v>77</v>
      </c>
      <c r="C601" s="6">
        <v>2024</v>
      </c>
      <c r="D601" s="4" t="s">
        <v>205</v>
      </c>
      <c r="E601" s="6" t="s">
        <v>456</v>
      </c>
      <c r="F601" s="7">
        <v>12811</v>
      </c>
      <c r="G601" s="7">
        <v>26840</v>
      </c>
    </row>
    <row r="602" spans="1:7">
      <c r="A602" s="4" t="s">
        <v>76</v>
      </c>
      <c r="B602" s="6" t="s">
        <v>77</v>
      </c>
      <c r="C602" s="6">
        <v>2024</v>
      </c>
      <c r="D602" s="4" t="s">
        <v>112</v>
      </c>
      <c r="E602" s="6" t="s">
        <v>480</v>
      </c>
      <c r="F602" s="7">
        <v>11906</v>
      </c>
      <c r="G602" s="7">
        <v>2362</v>
      </c>
    </row>
    <row r="603" spans="1:7">
      <c r="A603" s="4" t="s">
        <v>76</v>
      </c>
      <c r="B603" s="6" t="s">
        <v>77</v>
      </c>
      <c r="C603" s="6">
        <v>2024</v>
      </c>
      <c r="D603" s="4" t="s">
        <v>104</v>
      </c>
      <c r="E603" s="6" t="s">
        <v>450</v>
      </c>
      <c r="F603" s="7">
        <v>9232</v>
      </c>
      <c r="G603" s="7">
        <v>4016</v>
      </c>
    </row>
    <row r="604" spans="1:7">
      <c r="A604" s="4" t="s">
        <v>76</v>
      </c>
      <c r="B604" s="6" t="s">
        <v>77</v>
      </c>
      <c r="C604" s="6">
        <v>2024</v>
      </c>
      <c r="D604" s="4" t="s">
        <v>433</v>
      </c>
      <c r="E604" s="6" t="s">
        <v>490</v>
      </c>
      <c r="F604" s="7">
        <v>6981</v>
      </c>
      <c r="G604" s="7">
        <v>351</v>
      </c>
    </row>
    <row r="605" spans="1:7">
      <c r="A605" s="4" t="s">
        <v>76</v>
      </c>
      <c r="B605" s="6" t="s">
        <v>77</v>
      </c>
      <c r="C605" s="6">
        <v>2024</v>
      </c>
      <c r="D605" s="4" t="s">
        <v>89</v>
      </c>
      <c r="E605" s="6" t="s">
        <v>459</v>
      </c>
      <c r="F605" s="7">
        <v>94</v>
      </c>
      <c r="G605" s="7">
        <v>1</v>
      </c>
    </row>
    <row r="606" spans="1:7">
      <c r="A606" s="4" t="s">
        <v>76</v>
      </c>
      <c r="B606" s="6" t="s">
        <v>77</v>
      </c>
      <c r="C606" s="6">
        <v>2025</v>
      </c>
      <c r="D606" s="4" t="s">
        <v>62</v>
      </c>
      <c r="E606" s="6" t="s">
        <v>448</v>
      </c>
      <c r="F606" s="7">
        <v>157117602.2</v>
      </c>
      <c r="G606" s="7">
        <v>731566029.702</v>
      </c>
    </row>
    <row r="607" spans="1:7">
      <c r="A607" s="4" t="s">
        <v>76</v>
      </c>
      <c r="B607" s="6" t="s">
        <v>77</v>
      </c>
      <c r="C607" s="6">
        <v>2025</v>
      </c>
      <c r="D607" s="4" t="s">
        <v>203</v>
      </c>
      <c r="E607" s="6" t="s">
        <v>452</v>
      </c>
      <c r="F607" s="7">
        <v>60914156.642</v>
      </c>
      <c r="G607" s="7">
        <v>287009039.2</v>
      </c>
    </row>
    <row r="608" spans="1:7">
      <c r="A608" s="4" t="s">
        <v>76</v>
      </c>
      <c r="B608" s="6" t="s">
        <v>77</v>
      </c>
      <c r="C608" s="6">
        <v>2025</v>
      </c>
      <c r="D608" s="4" t="s">
        <v>81</v>
      </c>
      <c r="E608" s="6" t="s">
        <v>449</v>
      </c>
      <c r="F608" s="7">
        <v>4326057.178</v>
      </c>
      <c r="G608" s="7">
        <v>20205900</v>
      </c>
    </row>
    <row r="609" spans="1:7">
      <c r="A609" s="4" t="s">
        <v>76</v>
      </c>
      <c r="B609" s="6" t="s">
        <v>77</v>
      </c>
      <c r="C609" s="6">
        <v>2025</v>
      </c>
      <c r="D609" s="4" t="s">
        <v>425</v>
      </c>
      <c r="E609" s="6" t="s">
        <v>472</v>
      </c>
      <c r="F609" s="7">
        <v>2167976.14</v>
      </c>
      <c r="G609" s="7">
        <v>10399900</v>
      </c>
    </row>
    <row r="610" spans="1:7">
      <c r="A610" s="4" t="s">
        <v>76</v>
      </c>
      <c r="B610" s="6" t="s">
        <v>77</v>
      </c>
      <c r="C610" s="6">
        <v>2025</v>
      </c>
      <c r="D610" s="4" t="s">
        <v>73</v>
      </c>
      <c r="E610" s="6" t="s">
        <v>460</v>
      </c>
      <c r="F610" s="7">
        <v>315211</v>
      </c>
      <c r="G610" s="7">
        <v>1382071.56</v>
      </c>
    </row>
    <row r="611" spans="1:7">
      <c r="A611" s="4" t="s">
        <v>76</v>
      </c>
      <c r="B611" s="6" t="s">
        <v>77</v>
      </c>
      <c r="C611" s="6">
        <v>2025</v>
      </c>
      <c r="D611" s="4" t="s">
        <v>355</v>
      </c>
      <c r="E611" s="6" t="s">
        <v>468</v>
      </c>
      <c r="F611" s="7">
        <v>267297.09</v>
      </c>
      <c r="G611" s="7">
        <v>22492.2</v>
      </c>
    </row>
    <row r="612" spans="1:7">
      <c r="A612" s="4" t="s">
        <v>76</v>
      </c>
      <c r="B612" s="6" t="s">
        <v>77</v>
      </c>
      <c r="C612" s="6">
        <v>2025</v>
      </c>
      <c r="D612" s="4" t="s">
        <v>357</v>
      </c>
      <c r="E612" s="6" t="s">
        <v>486</v>
      </c>
      <c r="F612" s="7">
        <v>113400</v>
      </c>
      <c r="G612" s="7">
        <v>504000</v>
      </c>
    </row>
    <row r="613" spans="1:7">
      <c r="A613" s="4" t="s">
        <v>76</v>
      </c>
      <c r="B613" s="6" t="s">
        <v>77</v>
      </c>
      <c r="C613" s="6">
        <v>2025</v>
      </c>
      <c r="D613" s="4" t="s">
        <v>185</v>
      </c>
      <c r="E613" s="6" t="s">
        <v>457</v>
      </c>
      <c r="F613" s="7">
        <v>104517</v>
      </c>
      <c r="G613" s="7">
        <v>420000</v>
      </c>
    </row>
    <row r="614" spans="1:7">
      <c r="A614" s="4" t="s">
        <v>76</v>
      </c>
      <c r="B614" s="6" t="s">
        <v>77</v>
      </c>
      <c r="C614" s="6">
        <v>2025</v>
      </c>
      <c r="D614" s="4" t="s">
        <v>205</v>
      </c>
      <c r="E614" s="6" t="s">
        <v>456</v>
      </c>
      <c r="F614" s="7">
        <v>96996</v>
      </c>
      <c r="G614" s="7">
        <v>404118.8</v>
      </c>
    </row>
    <row r="615" spans="1:7">
      <c r="A615" s="4" t="s">
        <v>76</v>
      </c>
      <c r="B615" s="6" t="s">
        <v>77</v>
      </c>
      <c r="C615" s="6">
        <v>2025</v>
      </c>
      <c r="D615" s="4" t="s">
        <v>93</v>
      </c>
      <c r="E615" s="6" t="s">
        <v>458</v>
      </c>
      <c r="F615" s="7">
        <v>96346.211</v>
      </c>
      <c r="G615" s="7">
        <v>3885.792</v>
      </c>
    </row>
    <row r="616" spans="1:7">
      <c r="A616" s="4" t="s">
        <v>76</v>
      </c>
      <c r="B616" s="6" t="s">
        <v>77</v>
      </c>
      <c r="C616" s="6">
        <v>2025</v>
      </c>
      <c r="D616" s="4" t="s">
        <v>287</v>
      </c>
      <c r="E616" s="6" t="s">
        <v>463</v>
      </c>
      <c r="F616" s="7">
        <v>25696.153</v>
      </c>
      <c r="G616" s="7">
        <v>11502.6</v>
      </c>
    </row>
    <row r="617" spans="1:7">
      <c r="A617" s="4" t="s">
        <v>76</v>
      </c>
      <c r="B617" s="6" t="s">
        <v>77</v>
      </c>
      <c r="C617" s="6">
        <v>2025</v>
      </c>
      <c r="D617" s="4" t="s">
        <v>155</v>
      </c>
      <c r="E617" s="6" t="s">
        <v>489</v>
      </c>
      <c r="F617" s="7">
        <v>12537.235</v>
      </c>
      <c r="G617" s="7">
        <v>2000</v>
      </c>
    </row>
    <row r="618" spans="1:7">
      <c r="A618" s="4" t="s">
        <v>76</v>
      </c>
      <c r="B618" s="6" t="s">
        <v>77</v>
      </c>
      <c r="C618" s="6">
        <v>2025</v>
      </c>
      <c r="D618" s="4" t="s">
        <v>104</v>
      </c>
      <c r="E618" s="6" t="s">
        <v>450</v>
      </c>
      <c r="F618" s="7">
        <v>3803.261</v>
      </c>
      <c r="G618" s="7">
        <v>0</v>
      </c>
    </row>
    <row r="619" spans="1:7">
      <c r="A619" s="4" t="s">
        <v>76</v>
      </c>
      <c r="B619" s="6" t="s">
        <v>77</v>
      </c>
      <c r="C619" s="6">
        <v>2025</v>
      </c>
      <c r="D619" s="4" t="s">
        <v>121</v>
      </c>
      <c r="E619" s="6" t="s">
        <v>455</v>
      </c>
      <c r="F619" s="7">
        <v>3612.87</v>
      </c>
      <c r="G619" s="7">
        <v>1175</v>
      </c>
    </row>
    <row r="620" spans="1:7">
      <c r="A620" s="4" t="s">
        <v>76</v>
      </c>
      <c r="B620" s="6" t="s">
        <v>77</v>
      </c>
      <c r="C620" s="6">
        <v>2025</v>
      </c>
      <c r="D620" s="4" t="s">
        <v>83</v>
      </c>
      <c r="E620" s="6" t="s">
        <v>493</v>
      </c>
      <c r="F620" s="7">
        <v>3311.5</v>
      </c>
      <c r="G620" s="7">
        <v>2970</v>
      </c>
    </row>
    <row r="621" spans="1:7">
      <c r="A621" s="4" t="s">
        <v>76</v>
      </c>
      <c r="B621" s="6" t="s">
        <v>77</v>
      </c>
      <c r="C621" s="6">
        <v>2025</v>
      </c>
      <c r="D621" s="4" t="s">
        <v>96</v>
      </c>
      <c r="E621" s="6" t="s">
        <v>453</v>
      </c>
      <c r="F621" s="7">
        <v>842.3099999999999</v>
      </c>
      <c r="G621" s="7">
        <v>1250</v>
      </c>
    </row>
    <row r="622" spans="1:7">
      <c r="A622" s="4" t="s">
        <v>96</v>
      </c>
      <c r="B622" s="6" t="s">
        <v>97</v>
      </c>
      <c r="C622" s="6">
        <v>2020</v>
      </c>
      <c r="D622" s="4" t="s">
        <v>81</v>
      </c>
      <c r="E622" s="6" t="s">
        <v>449</v>
      </c>
      <c r="F622" s="7">
        <v>72714014.594</v>
      </c>
      <c r="G622" s="7">
        <v>367549000</v>
      </c>
    </row>
    <row r="623" spans="1:7">
      <c r="A623" s="4" t="s">
        <v>96</v>
      </c>
      <c r="B623" s="6" t="s">
        <v>97</v>
      </c>
      <c r="C623" s="6">
        <v>2020</v>
      </c>
      <c r="D623" s="4" t="s">
        <v>185</v>
      </c>
      <c r="E623" s="6" t="s">
        <v>457</v>
      </c>
      <c r="F623" s="7">
        <v>11893501.912</v>
      </c>
      <c r="G623" s="7">
        <v>66300400</v>
      </c>
    </row>
    <row r="624" spans="1:7">
      <c r="A624" s="4" t="s">
        <v>96</v>
      </c>
      <c r="B624" s="6" t="s">
        <v>97</v>
      </c>
      <c r="C624" s="6">
        <v>2020</v>
      </c>
      <c r="D624" s="4" t="s">
        <v>179</v>
      </c>
      <c r="E624" s="6" t="s">
        <v>494</v>
      </c>
      <c r="F624" s="7">
        <v>4563834.865</v>
      </c>
      <c r="G624" s="7">
        <v>20213300</v>
      </c>
    </row>
    <row r="625" spans="1:7">
      <c r="A625" s="4" t="s">
        <v>96</v>
      </c>
      <c r="B625" s="6" t="s">
        <v>97</v>
      </c>
      <c r="C625" s="6">
        <v>2020</v>
      </c>
      <c r="D625" s="4" t="s">
        <v>79</v>
      </c>
      <c r="E625" s="6" t="s">
        <v>497</v>
      </c>
      <c r="F625" s="7">
        <v>945778.265</v>
      </c>
      <c r="G625" s="7">
        <v>500387</v>
      </c>
    </row>
    <row r="626" spans="1:7">
      <c r="A626" s="4" t="s">
        <v>96</v>
      </c>
      <c r="B626" s="6" t="s">
        <v>97</v>
      </c>
      <c r="C626" s="6">
        <v>2020</v>
      </c>
      <c r="D626" s="4" t="s">
        <v>121</v>
      </c>
      <c r="E626" s="6" t="s">
        <v>455</v>
      </c>
      <c r="F626" s="7">
        <v>871304.801</v>
      </c>
      <c r="G626" s="7">
        <v>1467400</v>
      </c>
    </row>
    <row r="627" spans="1:7">
      <c r="A627" s="4" t="s">
        <v>96</v>
      </c>
      <c r="B627" s="6" t="s">
        <v>97</v>
      </c>
      <c r="C627" s="6">
        <v>2020</v>
      </c>
      <c r="D627" s="4" t="s">
        <v>93</v>
      </c>
      <c r="E627" s="6" t="s">
        <v>458</v>
      </c>
      <c r="F627" s="7">
        <v>495627.399</v>
      </c>
      <c r="G627" s="7">
        <v>704615</v>
      </c>
    </row>
    <row r="628" spans="1:7">
      <c r="A628" s="4" t="s">
        <v>96</v>
      </c>
      <c r="B628" s="6" t="s">
        <v>97</v>
      </c>
      <c r="C628" s="6">
        <v>2020</v>
      </c>
      <c r="D628" s="4" t="s">
        <v>115</v>
      </c>
      <c r="E628" s="6" t="s">
        <v>454</v>
      </c>
      <c r="F628" s="7">
        <v>366516.99</v>
      </c>
      <c r="G628" s="7">
        <v>1230000</v>
      </c>
    </row>
    <row r="629" spans="1:7">
      <c r="A629" s="4" t="s">
        <v>96</v>
      </c>
      <c r="B629" s="6" t="s">
        <v>97</v>
      </c>
      <c r="C629" s="6">
        <v>2020</v>
      </c>
      <c r="D629" s="4" t="s">
        <v>65</v>
      </c>
      <c r="E629" s="6" t="s">
        <v>475</v>
      </c>
      <c r="F629" s="7">
        <v>139327.352</v>
      </c>
      <c r="G629" s="7">
        <v>9730</v>
      </c>
    </row>
    <row r="630" spans="1:7">
      <c r="A630" s="4" t="s">
        <v>96</v>
      </c>
      <c r="B630" s="6" t="s">
        <v>97</v>
      </c>
      <c r="C630" s="6">
        <v>2020</v>
      </c>
      <c r="D630" s="4" t="s">
        <v>225</v>
      </c>
      <c r="E630" s="6" t="s">
        <v>498</v>
      </c>
      <c r="F630" s="7">
        <v>102116.891</v>
      </c>
      <c r="G630" s="7">
        <v>525850</v>
      </c>
    </row>
    <row r="631" spans="1:7">
      <c r="A631" s="4" t="s">
        <v>96</v>
      </c>
      <c r="B631" s="6" t="s">
        <v>97</v>
      </c>
      <c r="C631" s="6">
        <v>2020</v>
      </c>
      <c r="D631" s="4" t="s">
        <v>89</v>
      </c>
      <c r="E631" s="6" t="s">
        <v>459</v>
      </c>
      <c r="F631" s="7">
        <v>100857.049</v>
      </c>
      <c r="G631" s="7">
        <v>85757</v>
      </c>
    </row>
    <row r="632" spans="1:7">
      <c r="A632" s="4" t="s">
        <v>96</v>
      </c>
      <c r="B632" s="6" t="s">
        <v>97</v>
      </c>
      <c r="C632" s="6">
        <v>2020</v>
      </c>
      <c r="D632" s="4" t="s">
        <v>125</v>
      </c>
      <c r="E632" s="6" t="s">
        <v>465</v>
      </c>
      <c r="F632" s="7">
        <v>81395.171</v>
      </c>
      <c r="G632" s="7">
        <v>10842</v>
      </c>
    </row>
    <row r="633" spans="1:7">
      <c r="A633" s="4" t="s">
        <v>96</v>
      </c>
      <c r="B633" s="6" t="s">
        <v>97</v>
      </c>
      <c r="C633" s="6">
        <v>2020</v>
      </c>
      <c r="D633" s="4" t="s">
        <v>104</v>
      </c>
      <c r="E633" s="6" t="s">
        <v>450</v>
      </c>
      <c r="F633" s="7">
        <v>60545.526</v>
      </c>
      <c r="G633" s="7">
        <v>32028</v>
      </c>
    </row>
    <row r="634" spans="1:7">
      <c r="A634" s="4" t="s">
        <v>96</v>
      </c>
      <c r="B634" s="6" t="s">
        <v>97</v>
      </c>
      <c r="C634" s="6">
        <v>2020</v>
      </c>
      <c r="D634" s="4" t="s">
        <v>73</v>
      </c>
      <c r="E634" s="6" t="s">
        <v>460</v>
      </c>
      <c r="F634" s="7">
        <v>7682.41</v>
      </c>
      <c r="G634" s="7">
        <v>3200</v>
      </c>
    </row>
    <row r="635" spans="1:7">
      <c r="A635" s="4" t="s">
        <v>96</v>
      </c>
      <c r="B635" s="6" t="s">
        <v>97</v>
      </c>
      <c r="C635" s="6">
        <v>2020</v>
      </c>
      <c r="D635" s="4" t="s">
        <v>397</v>
      </c>
      <c r="E635" s="6" t="s">
        <v>492</v>
      </c>
      <c r="F635" s="7">
        <v>7581.897</v>
      </c>
      <c r="G635" s="7">
        <v>1920</v>
      </c>
    </row>
    <row r="636" spans="1:7">
      <c r="A636" s="4" t="s">
        <v>96</v>
      </c>
      <c r="B636" s="6" t="s">
        <v>97</v>
      </c>
      <c r="C636" s="6">
        <v>2020</v>
      </c>
      <c r="D636" s="4" t="s">
        <v>375</v>
      </c>
      <c r="E636" s="6" t="s">
        <v>503</v>
      </c>
      <c r="F636" s="7">
        <v>7364.88</v>
      </c>
      <c r="G636" s="7">
        <v>25003</v>
      </c>
    </row>
    <row r="637" spans="1:7">
      <c r="A637" s="4" t="s">
        <v>96</v>
      </c>
      <c r="B637" s="6" t="s">
        <v>97</v>
      </c>
      <c r="C637" s="6">
        <v>2020</v>
      </c>
      <c r="D637" s="4" t="s">
        <v>275</v>
      </c>
      <c r="E637" s="6" t="s">
        <v>500</v>
      </c>
      <c r="F637" s="7">
        <v>7216.394</v>
      </c>
      <c r="G637" s="7">
        <v>0</v>
      </c>
    </row>
    <row r="638" spans="1:7">
      <c r="A638" s="4" t="s">
        <v>96</v>
      </c>
      <c r="B638" s="6" t="s">
        <v>97</v>
      </c>
      <c r="C638" s="6">
        <v>2020</v>
      </c>
      <c r="D638" s="4" t="s">
        <v>407</v>
      </c>
      <c r="E638" s="6" t="s">
        <v>481</v>
      </c>
      <c r="F638" s="7">
        <v>5678.999</v>
      </c>
      <c r="G638" s="7">
        <v>428</v>
      </c>
    </row>
    <row r="639" spans="1:7">
      <c r="A639" s="4" t="s">
        <v>96</v>
      </c>
      <c r="B639" s="6" t="s">
        <v>97</v>
      </c>
      <c r="C639" s="6">
        <v>2021</v>
      </c>
      <c r="D639" s="4" t="s">
        <v>81</v>
      </c>
      <c r="E639" s="6" t="s">
        <v>449</v>
      </c>
      <c r="F639" s="7">
        <v>82667205.815</v>
      </c>
      <c r="G639" s="7">
        <v>428442000</v>
      </c>
    </row>
    <row r="640" spans="1:7">
      <c r="A640" s="4" t="s">
        <v>96</v>
      </c>
      <c r="B640" s="6" t="s">
        <v>97</v>
      </c>
      <c r="C640" s="6">
        <v>2021</v>
      </c>
      <c r="D640" s="4" t="s">
        <v>185</v>
      </c>
      <c r="E640" s="6" t="s">
        <v>457</v>
      </c>
      <c r="F640" s="7">
        <v>18470070.082</v>
      </c>
      <c r="G640" s="7">
        <v>94159800</v>
      </c>
    </row>
    <row r="641" spans="1:7">
      <c r="A641" s="4" t="s">
        <v>96</v>
      </c>
      <c r="B641" s="6" t="s">
        <v>97</v>
      </c>
      <c r="C641" s="6">
        <v>2021</v>
      </c>
      <c r="D641" s="4" t="s">
        <v>179</v>
      </c>
      <c r="E641" s="6" t="s">
        <v>494</v>
      </c>
      <c r="F641" s="7">
        <v>8498406.635</v>
      </c>
      <c r="G641" s="7">
        <v>38420200</v>
      </c>
    </row>
    <row r="642" spans="1:7">
      <c r="A642" s="4" t="s">
        <v>96</v>
      </c>
      <c r="B642" s="6" t="s">
        <v>97</v>
      </c>
      <c r="C642" s="6">
        <v>2021</v>
      </c>
      <c r="D642" s="4" t="s">
        <v>121</v>
      </c>
      <c r="E642" s="6" t="s">
        <v>455</v>
      </c>
      <c r="F642" s="7">
        <v>892272.3</v>
      </c>
      <c r="G642" s="7">
        <v>1154960</v>
      </c>
    </row>
    <row r="643" spans="1:7">
      <c r="A643" s="4" t="s">
        <v>96</v>
      </c>
      <c r="B643" s="6" t="s">
        <v>97</v>
      </c>
      <c r="C643" s="6">
        <v>2021</v>
      </c>
      <c r="D643" s="4" t="s">
        <v>79</v>
      </c>
      <c r="E643" s="6" t="s">
        <v>497</v>
      </c>
      <c r="F643" s="7">
        <v>868386.8590000001</v>
      </c>
      <c r="G643" s="7">
        <v>439402</v>
      </c>
    </row>
    <row r="644" spans="1:7">
      <c r="A644" s="4" t="s">
        <v>96</v>
      </c>
      <c r="B644" s="6" t="s">
        <v>97</v>
      </c>
      <c r="C644" s="6">
        <v>2021</v>
      </c>
      <c r="D644" s="4" t="s">
        <v>104</v>
      </c>
      <c r="E644" s="6" t="s">
        <v>450</v>
      </c>
      <c r="F644" s="7">
        <v>838671.692</v>
      </c>
      <c r="G644" s="7">
        <v>3685010</v>
      </c>
    </row>
    <row r="645" spans="1:7">
      <c r="A645" s="4" t="s">
        <v>96</v>
      </c>
      <c r="B645" s="6" t="s">
        <v>97</v>
      </c>
      <c r="C645" s="6">
        <v>2021</v>
      </c>
      <c r="D645" s="4" t="s">
        <v>115</v>
      </c>
      <c r="E645" s="6" t="s">
        <v>454</v>
      </c>
      <c r="F645" s="7">
        <v>580814.198</v>
      </c>
      <c r="G645" s="7">
        <v>1777900</v>
      </c>
    </row>
    <row r="646" spans="1:7">
      <c r="A646" s="4" t="s">
        <v>96</v>
      </c>
      <c r="B646" s="6" t="s">
        <v>97</v>
      </c>
      <c r="C646" s="6">
        <v>2021</v>
      </c>
      <c r="D646" s="4" t="s">
        <v>93</v>
      </c>
      <c r="E646" s="6" t="s">
        <v>458</v>
      </c>
      <c r="F646" s="7">
        <v>563897.463</v>
      </c>
      <c r="G646" s="7">
        <v>958469</v>
      </c>
    </row>
    <row r="647" spans="1:7">
      <c r="A647" s="4" t="s">
        <v>96</v>
      </c>
      <c r="B647" s="6" t="s">
        <v>97</v>
      </c>
      <c r="C647" s="6">
        <v>2021</v>
      </c>
      <c r="D647" s="4" t="s">
        <v>225</v>
      </c>
      <c r="E647" s="6" t="s">
        <v>498</v>
      </c>
      <c r="F647" s="7">
        <v>75650.436</v>
      </c>
      <c r="G647" s="7">
        <v>600001</v>
      </c>
    </row>
    <row r="648" spans="1:7">
      <c r="A648" s="4" t="s">
        <v>96</v>
      </c>
      <c r="B648" s="6" t="s">
        <v>97</v>
      </c>
      <c r="C648" s="6">
        <v>2021</v>
      </c>
      <c r="D648" s="4" t="s">
        <v>125</v>
      </c>
      <c r="E648" s="6" t="s">
        <v>465</v>
      </c>
      <c r="F648" s="7">
        <v>65209.204</v>
      </c>
      <c r="G648" s="7">
        <v>27376</v>
      </c>
    </row>
    <row r="649" spans="1:7">
      <c r="A649" s="4" t="s">
        <v>96</v>
      </c>
      <c r="B649" s="6" t="s">
        <v>97</v>
      </c>
      <c r="C649" s="6">
        <v>2021</v>
      </c>
      <c r="D649" s="4" t="s">
        <v>309</v>
      </c>
      <c r="E649" s="6" t="s">
        <v>510</v>
      </c>
      <c r="F649" s="7">
        <v>18090.013</v>
      </c>
      <c r="G649" s="7">
        <v>23000</v>
      </c>
    </row>
    <row r="650" spans="1:7">
      <c r="A650" s="4" t="s">
        <v>96</v>
      </c>
      <c r="B650" s="6" t="s">
        <v>97</v>
      </c>
      <c r="C650" s="6">
        <v>2021</v>
      </c>
      <c r="D650" s="4" t="s">
        <v>407</v>
      </c>
      <c r="E650" s="6" t="s">
        <v>481</v>
      </c>
      <c r="F650" s="7">
        <v>13166.265</v>
      </c>
      <c r="G650" s="7">
        <v>4000</v>
      </c>
    </row>
    <row r="651" spans="1:7">
      <c r="A651" s="4" t="s">
        <v>96</v>
      </c>
      <c r="B651" s="6" t="s">
        <v>97</v>
      </c>
      <c r="C651" s="6">
        <v>2021</v>
      </c>
      <c r="D651" s="4" t="s">
        <v>275</v>
      </c>
      <c r="E651" s="6" t="s">
        <v>500</v>
      </c>
      <c r="F651" s="7">
        <v>6730.975</v>
      </c>
      <c r="G651" s="7">
        <v>0</v>
      </c>
    </row>
    <row r="652" spans="1:7">
      <c r="A652" s="4" t="s">
        <v>96</v>
      </c>
      <c r="B652" s="6" t="s">
        <v>97</v>
      </c>
      <c r="C652" s="6">
        <v>2021</v>
      </c>
      <c r="D652" s="4" t="s">
        <v>65</v>
      </c>
      <c r="E652" s="6" t="s">
        <v>475</v>
      </c>
      <c r="F652" s="7">
        <v>5327.062</v>
      </c>
      <c r="G652" s="7">
        <v>200</v>
      </c>
    </row>
    <row r="653" spans="1:7">
      <c r="A653" s="4" t="s">
        <v>96</v>
      </c>
      <c r="B653" s="6" t="s">
        <v>97</v>
      </c>
      <c r="C653" s="6">
        <v>2021</v>
      </c>
      <c r="D653" s="4" t="s">
        <v>89</v>
      </c>
      <c r="E653" s="6" t="s">
        <v>459</v>
      </c>
      <c r="F653" s="7">
        <v>4675.372</v>
      </c>
      <c r="G653" s="7">
        <v>5000</v>
      </c>
    </row>
    <row r="654" spans="1:7">
      <c r="A654" s="4" t="s">
        <v>96</v>
      </c>
      <c r="B654" s="6" t="s">
        <v>97</v>
      </c>
      <c r="C654" s="6">
        <v>2021</v>
      </c>
      <c r="D654" s="4" t="s">
        <v>287</v>
      </c>
      <c r="E654" s="6" t="s">
        <v>463</v>
      </c>
      <c r="F654" s="7">
        <v>1632.182</v>
      </c>
      <c r="G654" s="7">
        <v>300</v>
      </c>
    </row>
    <row r="655" spans="1:7">
      <c r="A655" s="4" t="s">
        <v>96</v>
      </c>
      <c r="B655" s="6" t="s">
        <v>97</v>
      </c>
      <c r="C655" s="6">
        <v>2021</v>
      </c>
      <c r="D655" s="4" t="s">
        <v>375</v>
      </c>
      <c r="E655" s="6" t="s">
        <v>503</v>
      </c>
      <c r="F655" s="7">
        <v>39.03</v>
      </c>
      <c r="G655" s="7">
        <v>1</v>
      </c>
    </row>
    <row r="656" spans="1:7">
      <c r="A656" s="4" t="s">
        <v>96</v>
      </c>
      <c r="B656" s="6" t="s">
        <v>97</v>
      </c>
      <c r="C656" s="6">
        <v>2022</v>
      </c>
      <c r="D656" s="4" t="s">
        <v>81</v>
      </c>
      <c r="E656" s="6" t="s">
        <v>449</v>
      </c>
      <c r="F656" s="7">
        <v>125814815.268</v>
      </c>
      <c r="G656" s="7">
        <v>412809000</v>
      </c>
    </row>
    <row r="657" spans="1:7">
      <c r="A657" s="4" t="s">
        <v>96</v>
      </c>
      <c r="B657" s="6" t="s">
        <v>97</v>
      </c>
      <c r="C657" s="6">
        <v>2022</v>
      </c>
      <c r="D657" s="4" t="s">
        <v>185</v>
      </c>
      <c r="E657" s="6" t="s">
        <v>457</v>
      </c>
      <c r="F657" s="7">
        <v>14937163.106</v>
      </c>
      <c r="G657" s="7">
        <v>62484900</v>
      </c>
    </row>
    <row r="658" spans="1:7">
      <c r="A658" s="4" t="s">
        <v>96</v>
      </c>
      <c r="B658" s="6" t="s">
        <v>97</v>
      </c>
      <c r="C658" s="6">
        <v>2022</v>
      </c>
      <c r="D658" s="4" t="s">
        <v>179</v>
      </c>
      <c r="E658" s="6" t="s">
        <v>494</v>
      </c>
      <c r="F658" s="7">
        <v>10790318.678</v>
      </c>
      <c r="G658" s="7">
        <v>32758400</v>
      </c>
    </row>
    <row r="659" spans="1:7">
      <c r="A659" s="4" t="s">
        <v>96</v>
      </c>
      <c r="B659" s="6" t="s">
        <v>97</v>
      </c>
      <c r="C659" s="6">
        <v>2022</v>
      </c>
      <c r="D659" s="4" t="s">
        <v>121</v>
      </c>
      <c r="E659" s="6" t="s">
        <v>455</v>
      </c>
      <c r="F659" s="7">
        <v>1577580.577</v>
      </c>
      <c r="G659" s="7">
        <v>2461410</v>
      </c>
    </row>
    <row r="660" spans="1:7">
      <c r="A660" s="4" t="s">
        <v>96</v>
      </c>
      <c r="B660" s="6" t="s">
        <v>97</v>
      </c>
      <c r="C660" s="6">
        <v>2022</v>
      </c>
      <c r="D660" s="4" t="s">
        <v>104</v>
      </c>
      <c r="E660" s="6" t="s">
        <v>450</v>
      </c>
      <c r="F660" s="7">
        <v>815336.591</v>
      </c>
      <c r="G660" s="7">
        <v>3995600</v>
      </c>
    </row>
    <row r="661" spans="1:7">
      <c r="A661" s="4" t="s">
        <v>96</v>
      </c>
      <c r="B661" s="6" t="s">
        <v>97</v>
      </c>
      <c r="C661" s="6">
        <v>2022</v>
      </c>
      <c r="D661" s="4" t="s">
        <v>115</v>
      </c>
      <c r="E661" s="6" t="s">
        <v>454</v>
      </c>
      <c r="F661" s="7">
        <v>558700.216</v>
      </c>
      <c r="G661" s="7">
        <v>1776960</v>
      </c>
    </row>
    <row r="662" spans="1:7">
      <c r="A662" s="4" t="s">
        <v>96</v>
      </c>
      <c r="B662" s="6" t="s">
        <v>97</v>
      </c>
      <c r="C662" s="6">
        <v>2022</v>
      </c>
      <c r="D662" s="4" t="s">
        <v>93</v>
      </c>
      <c r="E662" s="6" t="s">
        <v>458</v>
      </c>
      <c r="F662" s="7">
        <v>350654.663</v>
      </c>
      <c r="G662" s="7">
        <v>135367</v>
      </c>
    </row>
    <row r="663" spans="1:7">
      <c r="A663" s="4" t="s">
        <v>96</v>
      </c>
      <c r="B663" s="6" t="s">
        <v>97</v>
      </c>
      <c r="C663" s="6">
        <v>2022</v>
      </c>
      <c r="D663" s="4" t="s">
        <v>79</v>
      </c>
      <c r="E663" s="6" t="s">
        <v>497</v>
      </c>
      <c r="F663" s="7">
        <v>318238.667</v>
      </c>
      <c r="G663" s="7">
        <v>154787</v>
      </c>
    </row>
    <row r="664" spans="1:7">
      <c r="A664" s="4" t="s">
        <v>96</v>
      </c>
      <c r="B664" s="6" t="s">
        <v>97</v>
      </c>
      <c r="C664" s="6">
        <v>2022</v>
      </c>
      <c r="D664" s="4" t="s">
        <v>125</v>
      </c>
      <c r="E664" s="6" t="s">
        <v>465</v>
      </c>
      <c r="F664" s="7">
        <v>85743.432</v>
      </c>
      <c r="G664" s="7">
        <v>80684</v>
      </c>
    </row>
    <row r="665" spans="1:7">
      <c r="A665" s="4" t="s">
        <v>96</v>
      </c>
      <c r="B665" s="6" t="s">
        <v>97</v>
      </c>
      <c r="C665" s="6">
        <v>2022</v>
      </c>
      <c r="D665" s="4" t="s">
        <v>225</v>
      </c>
      <c r="E665" s="6" t="s">
        <v>498</v>
      </c>
      <c r="F665" s="7">
        <v>31490.366</v>
      </c>
      <c r="G665" s="7">
        <v>432000</v>
      </c>
    </row>
    <row r="666" spans="1:7">
      <c r="A666" s="4" t="s">
        <v>96</v>
      </c>
      <c r="B666" s="6" t="s">
        <v>97</v>
      </c>
      <c r="C666" s="6">
        <v>2022</v>
      </c>
      <c r="D666" s="4" t="s">
        <v>89</v>
      </c>
      <c r="E666" s="6" t="s">
        <v>459</v>
      </c>
      <c r="F666" s="7">
        <v>22128.764</v>
      </c>
      <c r="G666" s="7">
        <v>20000</v>
      </c>
    </row>
    <row r="667" spans="1:7">
      <c r="A667" s="4" t="s">
        <v>96</v>
      </c>
      <c r="B667" s="6" t="s">
        <v>97</v>
      </c>
      <c r="C667" s="6">
        <v>2022</v>
      </c>
      <c r="D667" s="4" t="s">
        <v>157</v>
      </c>
      <c r="E667" s="6" t="s">
        <v>495</v>
      </c>
      <c r="F667" s="7">
        <v>15734.653</v>
      </c>
      <c r="G667" s="7">
        <v>12000</v>
      </c>
    </row>
    <row r="668" spans="1:7">
      <c r="A668" s="4" t="s">
        <v>96</v>
      </c>
      <c r="B668" s="6" t="s">
        <v>97</v>
      </c>
      <c r="C668" s="6">
        <v>2022</v>
      </c>
      <c r="D668" s="4" t="s">
        <v>309</v>
      </c>
      <c r="E668" s="6" t="s">
        <v>510</v>
      </c>
      <c r="F668" s="7">
        <v>9793.352000000001</v>
      </c>
      <c r="G668" s="7">
        <v>22000</v>
      </c>
    </row>
    <row r="669" spans="1:7">
      <c r="A669" s="4" t="s">
        <v>96</v>
      </c>
      <c r="B669" s="6" t="s">
        <v>97</v>
      </c>
      <c r="C669" s="6">
        <v>2022</v>
      </c>
      <c r="D669" s="4" t="s">
        <v>275</v>
      </c>
      <c r="E669" s="6" t="s">
        <v>500</v>
      </c>
      <c r="F669" s="7">
        <v>8977.24</v>
      </c>
      <c r="G669" s="7">
        <v>70</v>
      </c>
    </row>
    <row r="670" spans="1:7">
      <c r="A670" s="4" t="s">
        <v>96</v>
      </c>
      <c r="B670" s="6" t="s">
        <v>97</v>
      </c>
      <c r="C670" s="6">
        <v>2022</v>
      </c>
      <c r="D670" s="4" t="s">
        <v>265</v>
      </c>
      <c r="E670" s="6" t="s">
        <v>499</v>
      </c>
      <c r="F670" s="7">
        <v>5162.044</v>
      </c>
      <c r="G670" s="7">
        <v>1900</v>
      </c>
    </row>
    <row r="671" spans="1:7">
      <c r="A671" s="4" t="s">
        <v>96</v>
      </c>
      <c r="B671" s="6" t="s">
        <v>97</v>
      </c>
      <c r="C671" s="6">
        <v>2022</v>
      </c>
      <c r="D671" s="4" t="s">
        <v>62</v>
      </c>
      <c r="E671" s="6" t="s">
        <v>448</v>
      </c>
      <c r="F671" s="7">
        <v>5032.519</v>
      </c>
      <c r="G671" s="7">
        <v>0</v>
      </c>
    </row>
    <row r="672" spans="1:7">
      <c r="A672" s="4" t="s">
        <v>96</v>
      </c>
      <c r="B672" s="6" t="s">
        <v>97</v>
      </c>
      <c r="C672" s="6">
        <v>2023</v>
      </c>
      <c r="D672" s="4" t="s">
        <v>81</v>
      </c>
      <c r="E672" s="6" t="s">
        <v>449</v>
      </c>
      <c r="F672" s="7">
        <v>131611177.362</v>
      </c>
      <c r="G672" s="7">
        <v>378125260</v>
      </c>
    </row>
    <row r="673" spans="1:7">
      <c r="A673" s="4" t="s">
        <v>96</v>
      </c>
      <c r="B673" s="6" t="s">
        <v>97</v>
      </c>
      <c r="C673" s="6">
        <v>2023</v>
      </c>
      <c r="D673" s="4" t="s">
        <v>185</v>
      </c>
      <c r="E673" s="6" t="s">
        <v>457</v>
      </c>
      <c r="F673" s="7">
        <v>17037722.648</v>
      </c>
      <c r="G673" s="7">
        <v>52313241</v>
      </c>
    </row>
    <row r="674" spans="1:7">
      <c r="A674" s="4" t="s">
        <v>96</v>
      </c>
      <c r="B674" s="6" t="s">
        <v>97</v>
      </c>
      <c r="C674" s="6">
        <v>2023</v>
      </c>
      <c r="D674" s="4" t="s">
        <v>179</v>
      </c>
      <c r="E674" s="6" t="s">
        <v>494</v>
      </c>
      <c r="F674" s="7">
        <v>14263970.208</v>
      </c>
      <c r="G674" s="7">
        <v>36043840</v>
      </c>
    </row>
    <row r="675" spans="1:7">
      <c r="A675" s="4" t="s">
        <v>96</v>
      </c>
      <c r="B675" s="6" t="s">
        <v>97</v>
      </c>
      <c r="C675" s="6">
        <v>2023</v>
      </c>
      <c r="D675" s="4" t="s">
        <v>93</v>
      </c>
      <c r="E675" s="6" t="s">
        <v>458</v>
      </c>
      <c r="F675" s="7">
        <v>2098161.75</v>
      </c>
      <c r="G675" s="7">
        <v>4456160</v>
      </c>
    </row>
    <row r="676" spans="1:7">
      <c r="A676" s="4" t="s">
        <v>96</v>
      </c>
      <c r="B676" s="6" t="s">
        <v>97</v>
      </c>
      <c r="C676" s="6">
        <v>2023</v>
      </c>
      <c r="D676" s="4" t="s">
        <v>121</v>
      </c>
      <c r="E676" s="6" t="s">
        <v>455</v>
      </c>
      <c r="F676" s="7">
        <v>1620173.981</v>
      </c>
      <c r="G676" s="7">
        <v>2290788</v>
      </c>
    </row>
    <row r="677" spans="1:7">
      <c r="A677" s="4" t="s">
        <v>96</v>
      </c>
      <c r="B677" s="6" t="s">
        <v>97</v>
      </c>
      <c r="C677" s="6">
        <v>2023</v>
      </c>
      <c r="D677" s="4" t="s">
        <v>104</v>
      </c>
      <c r="E677" s="6" t="s">
        <v>450</v>
      </c>
      <c r="F677" s="7">
        <v>1245579.281</v>
      </c>
      <c r="G677" s="7">
        <v>3640661</v>
      </c>
    </row>
    <row r="678" spans="1:7">
      <c r="A678" s="4" t="s">
        <v>96</v>
      </c>
      <c r="B678" s="6" t="s">
        <v>97</v>
      </c>
      <c r="C678" s="6">
        <v>2023</v>
      </c>
      <c r="D678" s="4" t="s">
        <v>115</v>
      </c>
      <c r="E678" s="6" t="s">
        <v>454</v>
      </c>
      <c r="F678" s="7">
        <v>254172.733</v>
      </c>
      <c r="G678" s="7">
        <v>403701</v>
      </c>
    </row>
    <row r="679" spans="1:7">
      <c r="A679" s="4" t="s">
        <v>96</v>
      </c>
      <c r="B679" s="6" t="s">
        <v>97</v>
      </c>
      <c r="C679" s="6">
        <v>2023</v>
      </c>
      <c r="D679" s="4" t="s">
        <v>157</v>
      </c>
      <c r="E679" s="6" t="s">
        <v>495</v>
      </c>
      <c r="F679" s="7">
        <v>173341.416</v>
      </c>
      <c r="G679" s="7">
        <v>48434</v>
      </c>
    </row>
    <row r="680" spans="1:7">
      <c r="A680" s="4" t="s">
        <v>96</v>
      </c>
      <c r="B680" s="6" t="s">
        <v>97</v>
      </c>
      <c r="C680" s="6">
        <v>2023</v>
      </c>
      <c r="D680" s="4" t="s">
        <v>125</v>
      </c>
      <c r="E680" s="6" t="s">
        <v>465</v>
      </c>
      <c r="F680" s="7">
        <v>148241.928</v>
      </c>
      <c r="G680" s="7">
        <v>112834</v>
      </c>
    </row>
    <row r="681" spans="1:7">
      <c r="A681" s="4" t="s">
        <v>96</v>
      </c>
      <c r="B681" s="6" t="s">
        <v>97</v>
      </c>
      <c r="C681" s="6">
        <v>2023</v>
      </c>
      <c r="D681" s="4" t="s">
        <v>79</v>
      </c>
      <c r="E681" s="6" t="s">
        <v>497</v>
      </c>
      <c r="F681" s="7">
        <v>103503.357</v>
      </c>
      <c r="G681" s="7">
        <v>75347</v>
      </c>
    </row>
    <row r="682" spans="1:7">
      <c r="A682" s="4" t="s">
        <v>96</v>
      </c>
      <c r="B682" s="6" t="s">
        <v>97</v>
      </c>
      <c r="C682" s="6">
        <v>2023</v>
      </c>
      <c r="D682" s="4" t="s">
        <v>225</v>
      </c>
      <c r="E682" s="6" t="s">
        <v>498</v>
      </c>
      <c r="F682" s="7">
        <v>99182.60799999999</v>
      </c>
      <c r="G682" s="7">
        <v>336000</v>
      </c>
    </row>
    <row r="683" spans="1:7">
      <c r="A683" s="4" t="s">
        <v>96</v>
      </c>
      <c r="B683" s="6" t="s">
        <v>97</v>
      </c>
      <c r="C683" s="6">
        <v>2023</v>
      </c>
      <c r="D683" s="4" t="s">
        <v>407</v>
      </c>
      <c r="E683" s="6" t="s">
        <v>481</v>
      </c>
      <c r="F683" s="7">
        <v>66906.74000000001</v>
      </c>
      <c r="G683" s="7">
        <v>3246</v>
      </c>
    </row>
    <row r="684" spans="1:7">
      <c r="A684" s="4" t="s">
        <v>96</v>
      </c>
      <c r="B684" s="6" t="s">
        <v>97</v>
      </c>
      <c r="C684" s="6">
        <v>2023</v>
      </c>
      <c r="D684" s="4" t="s">
        <v>89</v>
      </c>
      <c r="E684" s="6" t="s">
        <v>459</v>
      </c>
      <c r="F684" s="7">
        <v>26563.526</v>
      </c>
      <c r="G684" s="7">
        <v>20000</v>
      </c>
    </row>
    <row r="685" spans="1:7">
      <c r="A685" s="4" t="s">
        <v>96</v>
      </c>
      <c r="B685" s="6" t="s">
        <v>97</v>
      </c>
      <c r="C685" s="6">
        <v>2023</v>
      </c>
      <c r="D685" s="4" t="s">
        <v>73</v>
      </c>
      <c r="E685" s="6" t="s">
        <v>460</v>
      </c>
      <c r="F685" s="7">
        <v>17097.019</v>
      </c>
      <c r="G685" s="7">
        <v>19000</v>
      </c>
    </row>
    <row r="686" spans="1:7">
      <c r="A686" s="4" t="s">
        <v>96</v>
      </c>
      <c r="B686" s="6" t="s">
        <v>97</v>
      </c>
      <c r="C686" s="6">
        <v>2023</v>
      </c>
      <c r="D686" s="4" t="s">
        <v>275</v>
      </c>
      <c r="E686" s="6" t="s">
        <v>500</v>
      </c>
      <c r="F686" s="7">
        <v>10270.971</v>
      </c>
      <c r="G686" s="7">
        <v>0</v>
      </c>
    </row>
    <row r="687" spans="1:7">
      <c r="A687" s="4" t="s">
        <v>96</v>
      </c>
      <c r="B687" s="6" t="s">
        <v>97</v>
      </c>
      <c r="C687" s="6">
        <v>2023</v>
      </c>
      <c r="D687" s="4" t="s">
        <v>62</v>
      </c>
      <c r="E687" s="6" t="s">
        <v>448</v>
      </c>
      <c r="F687" s="7">
        <v>3928.249</v>
      </c>
      <c r="G687" s="7">
        <v>1000</v>
      </c>
    </row>
    <row r="688" spans="1:7">
      <c r="A688" s="4" t="s">
        <v>96</v>
      </c>
      <c r="B688" s="6" t="s">
        <v>97</v>
      </c>
      <c r="C688" s="6">
        <v>2023</v>
      </c>
      <c r="D688" s="4" t="s">
        <v>523</v>
      </c>
      <c r="E688" s="6" t="s">
        <v>524</v>
      </c>
      <c r="F688" s="7">
        <v>561.178</v>
      </c>
      <c r="G688" s="7">
        <v>1570</v>
      </c>
    </row>
    <row r="689" spans="1:7">
      <c r="A689" s="4" t="s">
        <v>96</v>
      </c>
      <c r="B689" s="6" t="s">
        <v>97</v>
      </c>
      <c r="C689" s="6">
        <v>2023</v>
      </c>
      <c r="D689" s="4" t="s">
        <v>375</v>
      </c>
      <c r="E689" s="6" t="s">
        <v>503</v>
      </c>
      <c r="F689" s="7">
        <v>38.926</v>
      </c>
      <c r="G689" s="7">
        <v>1</v>
      </c>
    </row>
    <row r="690" spans="1:7">
      <c r="A690" s="4" t="s">
        <v>96</v>
      </c>
      <c r="B690" s="6" t="s">
        <v>97</v>
      </c>
      <c r="C690" s="6">
        <v>2024</v>
      </c>
      <c r="D690" s="4" t="s">
        <v>81</v>
      </c>
      <c r="E690" s="6" t="s">
        <v>449</v>
      </c>
      <c r="F690" s="7">
        <v>87874381.396</v>
      </c>
      <c r="G690" s="7">
        <v>361848212</v>
      </c>
    </row>
    <row r="691" spans="1:7">
      <c r="A691" s="4" t="s">
        <v>96</v>
      </c>
      <c r="B691" s="6" t="s">
        <v>97</v>
      </c>
      <c r="C691" s="6">
        <v>2024</v>
      </c>
      <c r="D691" s="4" t="s">
        <v>185</v>
      </c>
      <c r="E691" s="6" t="s">
        <v>457</v>
      </c>
      <c r="F691" s="7">
        <v>19343330.521</v>
      </c>
      <c r="G691" s="7">
        <v>68315513</v>
      </c>
    </row>
    <row r="692" spans="1:7">
      <c r="A692" s="4" t="s">
        <v>96</v>
      </c>
      <c r="B692" s="6" t="s">
        <v>97</v>
      </c>
      <c r="C692" s="6">
        <v>2024</v>
      </c>
      <c r="D692" s="4" t="s">
        <v>179</v>
      </c>
      <c r="E692" s="6" t="s">
        <v>494</v>
      </c>
      <c r="F692" s="7">
        <v>11004101.043</v>
      </c>
      <c r="G692" s="7">
        <v>33903260</v>
      </c>
    </row>
    <row r="693" spans="1:7">
      <c r="A693" s="4" t="s">
        <v>96</v>
      </c>
      <c r="B693" s="6" t="s">
        <v>97</v>
      </c>
      <c r="C693" s="6">
        <v>2024</v>
      </c>
      <c r="D693" s="4" t="s">
        <v>104</v>
      </c>
      <c r="E693" s="6" t="s">
        <v>450</v>
      </c>
      <c r="F693" s="7">
        <v>2993971.508</v>
      </c>
      <c r="G693" s="7">
        <v>10840590</v>
      </c>
    </row>
    <row r="694" spans="1:7">
      <c r="A694" s="4" t="s">
        <v>96</v>
      </c>
      <c r="B694" s="6" t="s">
        <v>97</v>
      </c>
      <c r="C694" s="6">
        <v>2024</v>
      </c>
      <c r="D694" s="4" t="s">
        <v>121</v>
      </c>
      <c r="E694" s="6" t="s">
        <v>455</v>
      </c>
      <c r="F694" s="7">
        <v>2608115.863</v>
      </c>
      <c r="G694" s="7">
        <v>5189300</v>
      </c>
    </row>
    <row r="695" spans="1:7">
      <c r="A695" s="4" t="s">
        <v>96</v>
      </c>
      <c r="B695" s="6" t="s">
        <v>97</v>
      </c>
      <c r="C695" s="6">
        <v>2024</v>
      </c>
      <c r="D695" s="4" t="s">
        <v>93</v>
      </c>
      <c r="E695" s="6" t="s">
        <v>458</v>
      </c>
      <c r="F695" s="7">
        <v>1572553.769</v>
      </c>
      <c r="G695" s="7">
        <v>3071260</v>
      </c>
    </row>
    <row r="696" spans="1:7">
      <c r="A696" s="4" t="s">
        <v>96</v>
      </c>
      <c r="B696" s="6" t="s">
        <v>97</v>
      </c>
      <c r="C696" s="6">
        <v>2024</v>
      </c>
      <c r="D696" s="4" t="s">
        <v>115</v>
      </c>
      <c r="E696" s="6" t="s">
        <v>454</v>
      </c>
      <c r="F696" s="7">
        <v>671207.936</v>
      </c>
      <c r="G696" s="7">
        <v>1388026</v>
      </c>
    </row>
    <row r="697" spans="1:7">
      <c r="A697" s="4" t="s">
        <v>96</v>
      </c>
      <c r="B697" s="6" t="s">
        <v>97</v>
      </c>
      <c r="C697" s="6">
        <v>2024</v>
      </c>
      <c r="D697" s="4" t="s">
        <v>79</v>
      </c>
      <c r="E697" s="6" t="s">
        <v>497</v>
      </c>
      <c r="F697" s="7">
        <v>162677.454</v>
      </c>
      <c r="G697" s="7">
        <v>308818</v>
      </c>
    </row>
    <row r="698" spans="1:7">
      <c r="A698" s="4" t="s">
        <v>96</v>
      </c>
      <c r="B698" s="6" t="s">
        <v>97</v>
      </c>
      <c r="C698" s="6">
        <v>2024</v>
      </c>
      <c r="D698" s="4" t="s">
        <v>125</v>
      </c>
      <c r="E698" s="6" t="s">
        <v>465</v>
      </c>
      <c r="F698" s="7">
        <v>140161.775</v>
      </c>
      <c r="G698" s="7">
        <v>75330</v>
      </c>
    </row>
    <row r="699" spans="1:7">
      <c r="A699" s="4" t="s">
        <v>96</v>
      </c>
      <c r="B699" s="6" t="s">
        <v>97</v>
      </c>
      <c r="C699" s="6">
        <v>2024</v>
      </c>
      <c r="D699" s="4" t="s">
        <v>157</v>
      </c>
      <c r="E699" s="6" t="s">
        <v>495</v>
      </c>
      <c r="F699" s="7">
        <v>82412.448</v>
      </c>
      <c r="G699" s="7">
        <v>26460</v>
      </c>
    </row>
    <row r="700" spans="1:7">
      <c r="A700" s="4" t="s">
        <v>96</v>
      </c>
      <c r="B700" s="6" t="s">
        <v>97</v>
      </c>
      <c r="C700" s="6">
        <v>2024</v>
      </c>
      <c r="D700" s="4" t="s">
        <v>407</v>
      </c>
      <c r="E700" s="6" t="s">
        <v>481</v>
      </c>
      <c r="F700" s="7">
        <v>75928.989</v>
      </c>
      <c r="G700" s="7">
        <v>6196</v>
      </c>
    </row>
    <row r="701" spans="1:7">
      <c r="A701" s="4" t="s">
        <v>96</v>
      </c>
      <c r="B701" s="6" t="s">
        <v>97</v>
      </c>
      <c r="C701" s="6">
        <v>2024</v>
      </c>
      <c r="D701" s="4" t="s">
        <v>73</v>
      </c>
      <c r="E701" s="6" t="s">
        <v>460</v>
      </c>
      <c r="F701" s="7">
        <v>52732.494</v>
      </c>
      <c r="G701" s="7">
        <v>54000</v>
      </c>
    </row>
    <row r="702" spans="1:7">
      <c r="A702" s="4" t="s">
        <v>96</v>
      </c>
      <c r="B702" s="6" t="s">
        <v>97</v>
      </c>
      <c r="C702" s="6">
        <v>2024</v>
      </c>
      <c r="D702" s="4" t="s">
        <v>223</v>
      </c>
      <c r="E702" s="6" t="s">
        <v>467</v>
      </c>
      <c r="F702" s="7">
        <v>36738.158</v>
      </c>
      <c r="G702" s="7">
        <v>0</v>
      </c>
    </row>
    <row r="703" spans="1:7">
      <c r="A703" s="4" t="s">
        <v>96</v>
      </c>
      <c r="B703" s="6" t="s">
        <v>97</v>
      </c>
      <c r="C703" s="6">
        <v>2024</v>
      </c>
      <c r="D703" s="4" t="s">
        <v>265</v>
      </c>
      <c r="E703" s="6" t="s">
        <v>499</v>
      </c>
      <c r="F703" s="7">
        <v>16127.469</v>
      </c>
      <c r="G703" s="7">
        <v>2980</v>
      </c>
    </row>
    <row r="704" spans="1:7">
      <c r="A704" s="4" t="s">
        <v>96</v>
      </c>
      <c r="B704" s="6" t="s">
        <v>97</v>
      </c>
      <c r="C704" s="6">
        <v>2024</v>
      </c>
      <c r="D704" s="4" t="s">
        <v>89</v>
      </c>
      <c r="E704" s="6" t="s">
        <v>459</v>
      </c>
      <c r="F704" s="7">
        <v>13935.648</v>
      </c>
      <c r="G704" s="7">
        <v>10000</v>
      </c>
    </row>
    <row r="705" spans="1:7">
      <c r="A705" s="4" t="s">
        <v>96</v>
      </c>
      <c r="B705" s="6" t="s">
        <v>97</v>
      </c>
      <c r="C705" s="6">
        <v>2024</v>
      </c>
      <c r="D705" s="4" t="s">
        <v>62</v>
      </c>
      <c r="E705" s="6" t="s">
        <v>448</v>
      </c>
      <c r="F705" s="7">
        <v>12250.382</v>
      </c>
      <c r="G705" s="7">
        <v>3000</v>
      </c>
    </row>
    <row r="706" spans="1:7">
      <c r="A706" s="4" t="s">
        <v>96</v>
      </c>
      <c r="B706" s="6" t="s">
        <v>97</v>
      </c>
      <c r="C706" s="6">
        <v>2024</v>
      </c>
      <c r="D706" s="4" t="s">
        <v>275</v>
      </c>
      <c r="E706" s="6" t="s">
        <v>500</v>
      </c>
      <c r="F706" s="7">
        <v>11991.693</v>
      </c>
      <c r="G706" s="7">
        <v>0</v>
      </c>
    </row>
    <row r="707" spans="1:7">
      <c r="A707" s="4" t="s">
        <v>96</v>
      </c>
      <c r="B707" s="6" t="s">
        <v>97</v>
      </c>
      <c r="C707" s="6">
        <v>2024</v>
      </c>
      <c r="D707" s="4" t="s">
        <v>399</v>
      </c>
      <c r="E707" s="6" t="s">
        <v>501</v>
      </c>
      <c r="F707" s="7">
        <v>9674.316999999999</v>
      </c>
      <c r="G707" s="7">
        <v>24000</v>
      </c>
    </row>
    <row r="708" spans="1:7">
      <c r="A708" s="4" t="s">
        <v>96</v>
      </c>
      <c r="B708" s="6" t="s">
        <v>97</v>
      </c>
      <c r="C708" s="6">
        <v>2024</v>
      </c>
      <c r="D708" s="4" t="s">
        <v>225</v>
      </c>
      <c r="E708" s="6" t="s">
        <v>498</v>
      </c>
      <c r="F708" s="7">
        <v>6480.212</v>
      </c>
      <c r="G708" s="7">
        <v>24001</v>
      </c>
    </row>
    <row r="709" spans="1:7">
      <c r="A709" s="4" t="s">
        <v>96</v>
      </c>
      <c r="B709" s="6" t="s">
        <v>97</v>
      </c>
      <c r="C709" s="6">
        <v>2024</v>
      </c>
      <c r="D709" s="4" t="s">
        <v>523</v>
      </c>
      <c r="E709" s="6" t="s">
        <v>524</v>
      </c>
      <c r="F709" s="7">
        <v>1902.825</v>
      </c>
      <c r="G709" s="7">
        <v>1850</v>
      </c>
    </row>
    <row r="710" spans="1:7">
      <c r="A710" s="4" t="s">
        <v>96</v>
      </c>
      <c r="B710" s="6" t="s">
        <v>97</v>
      </c>
      <c r="C710" s="6">
        <v>2024</v>
      </c>
      <c r="D710" s="4" t="s">
        <v>287</v>
      </c>
      <c r="E710" s="6" t="s">
        <v>463</v>
      </c>
      <c r="F710" s="7">
        <v>1720.985</v>
      </c>
      <c r="G710" s="7">
        <v>300</v>
      </c>
    </row>
    <row r="711" spans="1:7">
      <c r="A711" s="4" t="s">
        <v>96</v>
      </c>
      <c r="B711" s="6" t="s">
        <v>97</v>
      </c>
      <c r="C711" s="6">
        <v>2024</v>
      </c>
      <c r="D711" s="4" t="s">
        <v>203</v>
      </c>
      <c r="E711" s="6" t="s">
        <v>452</v>
      </c>
      <c r="F711" s="7">
        <v>1565.122</v>
      </c>
      <c r="G711" s="7">
        <v>1440</v>
      </c>
    </row>
    <row r="712" spans="1:7">
      <c r="A712" s="4" t="s">
        <v>96</v>
      </c>
      <c r="B712" s="6" t="s">
        <v>97</v>
      </c>
      <c r="C712" s="6">
        <v>2024</v>
      </c>
      <c r="D712" s="4" t="s">
        <v>65</v>
      </c>
      <c r="E712" s="6" t="s">
        <v>475</v>
      </c>
      <c r="F712" s="7">
        <v>1436.319</v>
      </c>
      <c r="G712" s="7">
        <v>500</v>
      </c>
    </row>
    <row r="713" spans="1:7">
      <c r="A713" s="4" t="s">
        <v>96</v>
      </c>
      <c r="B713" s="6" t="s">
        <v>97</v>
      </c>
      <c r="C713" s="6">
        <v>2024</v>
      </c>
      <c r="D713" s="4" t="s">
        <v>391</v>
      </c>
      <c r="E713" s="6" t="s">
        <v>525</v>
      </c>
      <c r="F713" s="7">
        <v>1217.678</v>
      </c>
      <c r="G713" s="7">
        <v>1500</v>
      </c>
    </row>
    <row r="714" spans="1:7">
      <c r="A714" s="4" t="s">
        <v>96</v>
      </c>
      <c r="B714" s="6" t="s">
        <v>97</v>
      </c>
      <c r="C714" s="6">
        <v>2025</v>
      </c>
      <c r="D714" s="4" t="s">
        <v>81</v>
      </c>
      <c r="E714" s="6" t="s">
        <v>449</v>
      </c>
      <c r="F714" s="7">
        <v>96725525.109</v>
      </c>
      <c r="G714" s="7">
        <v>402376730</v>
      </c>
    </row>
    <row r="715" spans="1:7">
      <c r="A715" s="4" t="s">
        <v>96</v>
      </c>
      <c r="B715" s="6" t="s">
        <v>97</v>
      </c>
      <c r="C715" s="6">
        <v>2025</v>
      </c>
      <c r="D715" s="4" t="s">
        <v>185</v>
      </c>
      <c r="E715" s="6" t="s">
        <v>457</v>
      </c>
      <c r="F715" s="7">
        <v>13045866.658</v>
      </c>
      <c r="G715" s="7">
        <v>54909450</v>
      </c>
    </row>
    <row r="716" spans="1:7">
      <c r="A716" s="4" t="s">
        <v>96</v>
      </c>
      <c r="B716" s="6" t="s">
        <v>97</v>
      </c>
      <c r="C716" s="6">
        <v>2025</v>
      </c>
      <c r="D716" s="4" t="s">
        <v>104</v>
      </c>
      <c r="E716" s="6" t="s">
        <v>450</v>
      </c>
      <c r="F716" s="7">
        <v>9283443.155999999</v>
      </c>
      <c r="G716" s="7">
        <v>34319863</v>
      </c>
    </row>
    <row r="717" spans="1:7">
      <c r="A717" s="4" t="s">
        <v>96</v>
      </c>
      <c r="B717" s="6" t="s">
        <v>97</v>
      </c>
      <c r="C717" s="6">
        <v>2025</v>
      </c>
      <c r="D717" s="4" t="s">
        <v>179</v>
      </c>
      <c r="E717" s="6" t="s">
        <v>494</v>
      </c>
      <c r="F717" s="7">
        <v>7053317.47</v>
      </c>
      <c r="G717" s="7">
        <v>19184390</v>
      </c>
    </row>
    <row r="718" spans="1:7">
      <c r="A718" s="4" t="s">
        <v>96</v>
      </c>
      <c r="B718" s="6" t="s">
        <v>97</v>
      </c>
      <c r="C718" s="6">
        <v>2025</v>
      </c>
      <c r="D718" s="4" t="s">
        <v>121</v>
      </c>
      <c r="E718" s="6" t="s">
        <v>455</v>
      </c>
      <c r="F718" s="7">
        <v>3615101.951</v>
      </c>
      <c r="G718" s="7">
        <v>8297335</v>
      </c>
    </row>
    <row r="719" spans="1:7">
      <c r="A719" s="4" t="s">
        <v>96</v>
      </c>
      <c r="B719" s="6" t="s">
        <v>97</v>
      </c>
      <c r="C719" s="6">
        <v>2025</v>
      </c>
      <c r="D719" s="4" t="s">
        <v>93</v>
      </c>
      <c r="E719" s="6" t="s">
        <v>458</v>
      </c>
      <c r="F719" s="7">
        <v>1306776.912</v>
      </c>
      <c r="G719" s="7">
        <v>3019277</v>
      </c>
    </row>
    <row r="720" spans="1:7">
      <c r="A720" s="4" t="s">
        <v>96</v>
      </c>
      <c r="B720" s="6" t="s">
        <v>97</v>
      </c>
      <c r="C720" s="6">
        <v>2025</v>
      </c>
      <c r="D720" s="4" t="s">
        <v>115</v>
      </c>
      <c r="E720" s="6" t="s">
        <v>454</v>
      </c>
      <c r="F720" s="7">
        <v>1024614.472</v>
      </c>
      <c r="G720" s="7">
        <v>2332096</v>
      </c>
    </row>
    <row r="721" spans="1:7">
      <c r="A721" s="4" t="s">
        <v>96</v>
      </c>
      <c r="B721" s="6" t="s">
        <v>97</v>
      </c>
      <c r="C721" s="6">
        <v>2025</v>
      </c>
      <c r="D721" s="4" t="s">
        <v>125</v>
      </c>
      <c r="E721" s="6" t="s">
        <v>465</v>
      </c>
      <c r="F721" s="7">
        <v>162189.87</v>
      </c>
      <c r="G721" s="7">
        <v>85168</v>
      </c>
    </row>
    <row r="722" spans="1:7">
      <c r="A722" s="4" t="s">
        <v>96</v>
      </c>
      <c r="B722" s="6" t="s">
        <v>97</v>
      </c>
      <c r="C722" s="6">
        <v>2025</v>
      </c>
      <c r="D722" s="4" t="s">
        <v>157</v>
      </c>
      <c r="E722" s="6" t="s">
        <v>495</v>
      </c>
      <c r="F722" s="7">
        <v>108549.57</v>
      </c>
      <c r="G722" s="7">
        <v>118315</v>
      </c>
    </row>
    <row r="723" spans="1:7">
      <c r="A723" s="4" t="s">
        <v>96</v>
      </c>
      <c r="B723" s="6" t="s">
        <v>97</v>
      </c>
      <c r="C723" s="6">
        <v>2025</v>
      </c>
      <c r="D723" s="4" t="s">
        <v>79</v>
      </c>
      <c r="E723" s="6" t="s">
        <v>497</v>
      </c>
      <c r="F723" s="7">
        <v>90346.67200000001</v>
      </c>
      <c r="G723" s="7">
        <v>49402</v>
      </c>
    </row>
    <row r="724" spans="1:7">
      <c r="A724" s="4" t="s">
        <v>96</v>
      </c>
      <c r="B724" s="6" t="s">
        <v>97</v>
      </c>
      <c r="C724" s="6">
        <v>2025</v>
      </c>
      <c r="D724" s="4" t="s">
        <v>407</v>
      </c>
      <c r="E724" s="6" t="s">
        <v>481</v>
      </c>
      <c r="F724" s="7">
        <v>74020.67600000001</v>
      </c>
      <c r="G724" s="7">
        <v>5918</v>
      </c>
    </row>
    <row r="725" spans="1:7">
      <c r="A725" s="4" t="s">
        <v>96</v>
      </c>
      <c r="B725" s="6" t="s">
        <v>97</v>
      </c>
      <c r="C725" s="6">
        <v>2025</v>
      </c>
      <c r="D725" s="4" t="s">
        <v>73</v>
      </c>
      <c r="E725" s="6" t="s">
        <v>460</v>
      </c>
      <c r="F725" s="7">
        <v>67004.61</v>
      </c>
      <c r="G725" s="7">
        <v>72000</v>
      </c>
    </row>
    <row r="726" spans="1:7">
      <c r="A726" s="4" t="s">
        <v>96</v>
      </c>
      <c r="B726" s="6" t="s">
        <v>97</v>
      </c>
      <c r="C726" s="6">
        <v>2025</v>
      </c>
      <c r="D726" s="4" t="s">
        <v>89</v>
      </c>
      <c r="E726" s="6" t="s">
        <v>459</v>
      </c>
      <c r="F726" s="7">
        <v>30110.661</v>
      </c>
      <c r="G726" s="7">
        <v>25518</v>
      </c>
    </row>
    <row r="727" spans="1:7">
      <c r="A727" s="4" t="s">
        <v>96</v>
      </c>
      <c r="B727" s="6" t="s">
        <v>97</v>
      </c>
      <c r="C727" s="6">
        <v>2025</v>
      </c>
      <c r="D727" s="4" t="s">
        <v>225</v>
      </c>
      <c r="E727" s="6" t="s">
        <v>498</v>
      </c>
      <c r="F727" s="7">
        <v>26246.118</v>
      </c>
      <c r="G727" s="7">
        <v>96070</v>
      </c>
    </row>
    <row r="728" spans="1:7">
      <c r="A728" s="4" t="s">
        <v>96</v>
      </c>
      <c r="B728" s="6" t="s">
        <v>97</v>
      </c>
      <c r="C728" s="6">
        <v>2025</v>
      </c>
      <c r="D728" s="4" t="s">
        <v>397</v>
      </c>
      <c r="E728" s="6" t="s">
        <v>492</v>
      </c>
      <c r="F728" s="7">
        <v>16216.388</v>
      </c>
      <c r="G728" s="7">
        <v>3157</v>
      </c>
    </row>
    <row r="729" spans="1:7">
      <c r="A729" s="4" t="s">
        <v>96</v>
      </c>
      <c r="B729" s="6" t="s">
        <v>97</v>
      </c>
      <c r="C729" s="6">
        <v>2025</v>
      </c>
      <c r="D729" s="4" t="s">
        <v>275</v>
      </c>
      <c r="E729" s="6" t="s">
        <v>500</v>
      </c>
      <c r="F729" s="7">
        <v>13312.331</v>
      </c>
      <c r="G729" s="7">
        <v>1043</v>
      </c>
    </row>
    <row r="730" spans="1:7">
      <c r="A730" s="4" t="s">
        <v>96</v>
      </c>
      <c r="B730" s="6" t="s">
        <v>97</v>
      </c>
      <c r="C730" s="6">
        <v>2025</v>
      </c>
      <c r="D730" s="4" t="s">
        <v>399</v>
      </c>
      <c r="E730" s="6" t="s">
        <v>501</v>
      </c>
      <c r="F730" s="7">
        <v>10047.81</v>
      </c>
      <c r="G730" s="7">
        <v>24000</v>
      </c>
    </row>
    <row r="731" spans="1:7">
      <c r="A731" s="4" t="s">
        <v>96</v>
      </c>
      <c r="B731" s="6" t="s">
        <v>97</v>
      </c>
      <c r="C731" s="6">
        <v>2025</v>
      </c>
      <c r="D731" s="4" t="s">
        <v>141</v>
      </c>
      <c r="E731" s="6" t="s">
        <v>526</v>
      </c>
      <c r="F731" s="7">
        <v>2483.703</v>
      </c>
      <c r="G731" s="7">
        <v>3250</v>
      </c>
    </row>
    <row r="732" spans="1:7">
      <c r="A732" s="4" t="s">
        <v>96</v>
      </c>
      <c r="B732" s="6" t="s">
        <v>97</v>
      </c>
      <c r="C732" s="6">
        <v>2025</v>
      </c>
      <c r="D732" s="4" t="s">
        <v>243</v>
      </c>
      <c r="E732" s="6" t="s">
        <v>511</v>
      </c>
      <c r="F732" s="7">
        <v>2383.134</v>
      </c>
      <c r="G732" s="7">
        <v>2078</v>
      </c>
    </row>
    <row r="733" spans="1:7">
      <c r="A733" s="4" t="s">
        <v>96</v>
      </c>
      <c r="B733" s="6" t="s">
        <v>97</v>
      </c>
      <c r="C733" s="6">
        <v>2025</v>
      </c>
      <c r="D733" s="4" t="s">
        <v>265</v>
      </c>
      <c r="E733" s="6" t="s">
        <v>499</v>
      </c>
      <c r="F733" s="7">
        <v>569.5119999999999</v>
      </c>
      <c r="G733" s="7">
        <v>125</v>
      </c>
    </row>
    <row r="734" spans="1:7">
      <c r="A734" s="4" t="s">
        <v>83</v>
      </c>
      <c r="B734" s="6" t="s">
        <v>84</v>
      </c>
      <c r="C734" s="6">
        <v>2020</v>
      </c>
      <c r="D734" s="4" t="s">
        <v>62</v>
      </c>
      <c r="E734" s="6" t="s">
        <v>448</v>
      </c>
      <c r="F734" s="7">
        <v>65110959.981</v>
      </c>
      <c r="G734" s="7">
        <v>295697832.81</v>
      </c>
    </row>
    <row r="735" spans="1:7">
      <c r="A735" s="4" t="s">
        <v>83</v>
      </c>
      <c r="B735" s="6" t="s">
        <v>84</v>
      </c>
      <c r="C735" s="6">
        <v>2020</v>
      </c>
      <c r="D735" s="4" t="s">
        <v>81</v>
      </c>
      <c r="E735" s="6" t="s">
        <v>449</v>
      </c>
      <c r="F735" s="7">
        <v>29782082.83</v>
      </c>
      <c r="G735" s="7">
        <v>143243000</v>
      </c>
    </row>
    <row r="736" spans="1:7">
      <c r="A736" s="4" t="s">
        <v>83</v>
      </c>
      <c r="B736" s="6" t="s">
        <v>84</v>
      </c>
      <c r="C736" s="6">
        <v>2020</v>
      </c>
      <c r="D736" s="4" t="s">
        <v>527</v>
      </c>
      <c r="E736" s="6" t="s">
        <v>528</v>
      </c>
      <c r="F736" s="7">
        <v>12049345.761</v>
      </c>
      <c r="G736" s="7">
        <v>37200000</v>
      </c>
    </row>
    <row r="737" spans="1:7">
      <c r="A737" s="4" t="s">
        <v>83</v>
      </c>
      <c r="B737" s="6" t="s">
        <v>84</v>
      </c>
      <c r="C737" s="6">
        <v>2020</v>
      </c>
      <c r="D737" s="4" t="s">
        <v>203</v>
      </c>
      <c r="E737" s="6" t="s">
        <v>452</v>
      </c>
      <c r="F737" s="7">
        <v>9040834.126</v>
      </c>
      <c r="G737" s="7">
        <v>44678600</v>
      </c>
    </row>
    <row r="738" spans="1:7">
      <c r="A738" s="4" t="s">
        <v>83</v>
      </c>
      <c r="B738" s="6" t="s">
        <v>84</v>
      </c>
      <c r="C738" s="6">
        <v>2020</v>
      </c>
      <c r="D738" s="4" t="s">
        <v>185</v>
      </c>
      <c r="E738" s="6" t="s">
        <v>457</v>
      </c>
      <c r="F738" s="7">
        <v>754673.834</v>
      </c>
      <c r="G738" s="7">
        <v>3242300</v>
      </c>
    </row>
    <row r="739" spans="1:7">
      <c r="A739" s="4" t="s">
        <v>83</v>
      </c>
      <c r="B739" s="6" t="s">
        <v>84</v>
      </c>
      <c r="C739" s="6">
        <v>2020</v>
      </c>
      <c r="D739" s="4" t="s">
        <v>96</v>
      </c>
      <c r="E739" s="6" t="s">
        <v>453</v>
      </c>
      <c r="F739" s="7">
        <v>608902.3100000001</v>
      </c>
      <c r="G739" s="7">
        <v>2722450</v>
      </c>
    </row>
    <row r="740" spans="1:7">
      <c r="A740" s="4" t="s">
        <v>83</v>
      </c>
      <c r="B740" s="6" t="s">
        <v>84</v>
      </c>
      <c r="C740" s="6">
        <v>2020</v>
      </c>
      <c r="D740" s="4" t="s">
        <v>73</v>
      </c>
      <c r="E740" s="6" t="s">
        <v>460</v>
      </c>
      <c r="F740" s="7">
        <v>208627.268</v>
      </c>
      <c r="G740" s="7">
        <v>1000000</v>
      </c>
    </row>
    <row r="741" spans="1:7">
      <c r="A741" s="4" t="s">
        <v>83</v>
      </c>
      <c r="B741" s="6" t="s">
        <v>84</v>
      </c>
      <c r="C741" s="6">
        <v>2020</v>
      </c>
      <c r="D741" s="4" t="s">
        <v>93</v>
      </c>
      <c r="E741" s="6" t="s">
        <v>458</v>
      </c>
      <c r="F741" s="7">
        <v>131454.822</v>
      </c>
      <c r="G741" s="7">
        <v>38638.4</v>
      </c>
    </row>
    <row r="742" spans="1:7">
      <c r="A742" s="4" t="s">
        <v>83</v>
      </c>
      <c r="B742" s="6" t="s">
        <v>84</v>
      </c>
      <c r="C742" s="6">
        <v>2020</v>
      </c>
      <c r="D742" s="4" t="s">
        <v>121</v>
      </c>
      <c r="E742" s="6" t="s">
        <v>455</v>
      </c>
      <c r="F742" s="7">
        <v>80193.751</v>
      </c>
      <c r="G742" s="7">
        <v>88425</v>
      </c>
    </row>
    <row r="743" spans="1:7">
      <c r="A743" s="4" t="s">
        <v>83</v>
      </c>
      <c r="B743" s="6" t="s">
        <v>84</v>
      </c>
      <c r="C743" s="6">
        <v>2020</v>
      </c>
      <c r="D743" s="4" t="s">
        <v>287</v>
      </c>
      <c r="E743" s="6" t="s">
        <v>463</v>
      </c>
      <c r="F743" s="7">
        <v>59828.016</v>
      </c>
      <c r="G743" s="7">
        <v>13840</v>
      </c>
    </row>
    <row r="744" spans="1:7">
      <c r="A744" s="4" t="s">
        <v>83</v>
      </c>
      <c r="B744" s="6" t="s">
        <v>84</v>
      </c>
      <c r="C744" s="6">
        <v>2020</v>
      </c>
      <c r="D744" s="4" t="s">
        <v>355</v>
      </c>
      <c r="E744" s="6" t="s">
        <v>468</v>
      </c>
      <c r="F744" s="7">
        <v>38590.624</v>
      </c>
      <c r="G744" s="7">
        <v>106500</v>
      </c>
    </row>
    <row r="745" spans="1:7">
      <c r="A745" s="4" t="s">
        <v>83</v>
      </c>
      <c r="B745" s="6" t="s">
        <v>84</v>
      </c>
      <c r="C745" s="6">
        <v>2020</v>
      </c>
      <c r="D745" s="4" t="s">
        <v>125</v>
      </c>
      <c r="E745" s="6" t="s">
        <v>465</v>
      </c>
      <c r="F745" s="7">
        <v>25937.543</v>
      </c>
      <c r="G745" s="7">
        <v>48000</v>
      </c>
    </row>
    <row r="746" spans="1:7">
      <c r="A746" s="4" t="s">
        <v>83</v>
      </c>
      <c r="B746" s="6" t="s">
        <v>84</v>
      </c>
      <c r="C746" s="6">
        <v>2020</v>
      </c>
      <c r="D746" s="4" t="s">
        <v>76</v>
      </c>
      <c r="E746" s="6" t="s">
        <v>488</v>
      </c>
      <c r="F746" s="7">
        <v>25269.763</v>
      </c>
      <c r="G746" s="7">
        <v>27270</v>
      </c>
    </row>
    <row r="747" spans="1:7">
      <c r="A747" s="4" t="s">
        <v>83</v>
      </c>
      <c r="B747" s="6" t="s">
        <v>84</v>
      </c>
      <c r="C747" s="6">
        <v>2020</v>
      </c>
      <c r="D747" s="4" t="s">
        <v>86</v>
      </c>
      <c r="E747" s="6" t="s">
        <v>521</v>
      </c>
      <c r="F747" s="7">
        <v>25014.975</v>
      </c>
      <c r="G747" s="7">
        <v>108000</v>
      </c>
    </row>
    <row r="748" spans="1:7">
      <c r="A748" s="4" t="s">
        <v>83</v>
      </c>
      <c r="B748" s="6" t="s">
        <v>84</v>
      </c>
      <c r="C748" s="6">
        <v>2020</v>
      </c>
      <c r="D748" s="4" t="s">
        <v>205</v>
      </c>
      <c r="E748" s="6" t="s">
        <v>456</v>
      </c>
      <c r="F748" s="7">
        <v>22107.385</v>
      </c>
      <c r="G748" s="7">
        <v>11200</v>
      </c>
    </row>
    <row r="749" spans="1:7">
      <c r="A749" s="4" t="s">
        <v>83</v>
      </c>
      <c r="B749" s="6" t="s">
        <v>84</v>
      </c>
      <c r="C749" s="6">
        <v>2020</v>
      </c>
      <c r="D749" s="4" t="s">
        <v>425</v>
      </c>
      <c r="E749" s="6" t="s">
        <v>472</v>
      </c>
      <c r="F749" s="7">
        <v>13084.39</v>
      </c>
      <c r="G749" s="7">
        <v>52626</v>
      </c>
    </row>
    <row r="750" spans="1:7">
      <c r="A750" s="4" t="s">
        <v>83</v>
      </c>
      <c r="B750" s="6" t="s">
        <v>84</v>
      </c>
      <c r="C750" s="6">
        <v>2020</v>
      </c>
      <c r="D750" s="4" t="s">
        <v>395</v>
      </c>
      <c r="E750" s="6" t="s">
        <v>485</v>
      </c>
      <c r="F750" s="7">
        <v>12371.885</v>
      </c>
      <c r="G750" s="7">
        <v>333.64</v>
      </c>
    </row>
    <row r="751" spans="1:7">
      <c r="A751" s="4" t="s">
        <v>83</v>
      </c>
      <c r="B751" s="6" t="s">
        <v>84</v>
      </c>
      <c r="C751" s="6">
        <v>2021</v>
      </c>
      <c r="D751" s="4" t="s">
        <v>62</v>
      </c>
      <c r="E751" s="6" t="s">
        <v>448</v>
      </c>
      <c r="F751" s="7">
        <v>97837958.95100001</v>
      </c>
      <c r="G751" s="7">
        <v>393331801.34</v>
      </c>
    </row>
    <row r="752" spans="1:7">
      <c r="A752" s="4" t="s">
        <v>83</v>
      </c>
      <c r="B752" s="6" t="s">
        <v>84</v>
      </c>
      <c r="C752" s="6">
        <v>2021</v>
      </c>
      <c r="D752" s="4" t="s">
        <v>81</v>
      </c>
      <c r="E752" s="6" t="s">
        <v>449</v>
      </c>
      <c r="F752" s="7">
        <v>26413913.852</v>
      </c>
      <c r="G752" s="7">
        <v>92819300</v>
      </c>
    </row>
    <row r="753" spans="1:7">
      <c r="A753" s="4" t="s">
        <v>83</v>
      </c>
      <c r="B753" s="6" t="s">
        <v>84</v>
      </c>
      <c r="C753" s="6">
        <v>2021</v>
      </c>
      <c r="D753" s="4" t="s">
        <v>203</v>
      </c>
      <c r="E753" s="6" t="s">
        <v>452</v>
      </c>
      <c r="F753" s="7">
        <v>4653334.334</v>
      </c>
      <c r="G753" s="7">
        <v>18954627</v>
      </c>
    </row>
    <row r="754" spans="1:7">
      <c r="A754" s="4" t="s">
        <v>83</v>
      </c>
      <c r="B754" s="6" t="s">
        <v>84</v>
      </c>
      <c r="C754" s="6">
        <v>2021</v>
      </c>
      <c r="D754" s="4" t="s">
        <v>185</v>
      </c>
      <c r="E754" s="6" t="s">
        <v>457</v>
      </c>
      <c r="F754" s="7">
        <v>1335443.294</v>
      </c>
      <c r="G754" s="7">
        <v>5198800</v>
      </c>
    </row>
    <row r="755" spans="1:7">
      <c r="A755" s="4" t="s">
        <v>83</v>
      </c>
      <c r="B755" s="6" t="s">
        <v>84</v>
      </c>
      <c r="C755" s="6">
        <v>2021</v>
      </c>
      <c r="D755" s="4" t="s">
        <v>197</v>
      </c>
      <c r="E755" s="6" t="s">
        <v>464</v>
      </c>
      <c r="F755" s="7">
        <v>1088029.253</v>
      </c>
      <c r="G755" s="7">
        <v>540257</v>
      </c>
    </row>
    <row r="756" spans="1:7">
      <c r="A756" s="4" t="s">
        <v>83</v>
      </c>
      <c r="B756" s="6" t="s">
        <v>84</v>
      </c>
      <c r="C756" s="6">
        <v>2021</v>
      </c>
      <c r="D756" s="4" t="s">
        <v>125</v>
      </c>
      <c r="E756" s="6" t="s">
        <v>465</v>
      </c>
      <c r="F756" s="7">
        <v>441920.464</v>
      </c>
      <c r="G756" s="7">
        <v>1534200</v>
      </c>
    </row>
    <row r="757" spans="1:7">
      <c r="A757" s="4" t="s">
        <v>83</v>
      </c>
      <c r="B757" s="6" t="s">
        <v>84</v>
      </c>
      <c r="C757" s="6">
        <v>2021</v>
      </c>
      <c r="D757" s="4" t="s">
        <v>73</v>
      </c>
      <c r="E757" s="6" t="s">
        <v>460</v>
      </c>
      <c r="F757" s="7">
        <v>395086.512</v>
      </c>
      <c r="G757" s="7">
        <v>1558000</v>
      </c>
    </row>
    <row r="758" spans="1:7">
      <c r="A758" s="4" t="s">
        <v>83</v>
      </c>
      <c r="B758" s="6" t="s">
        <v>84</v>
      </c>
      <c r="C758" s="6">
        <v>2021</v>
      </c>
      <c r="D758" s="4" t="s">
        <v>93</v>
      </c>
      <c r="E758" s="6" t="s">
        <v>458</v>
      </c>
      <c r="F758" s="7">
        <v>260802.651</v>
      </c>
      <c r="G758" s="7">
        <v>76002</v>
      </c>
    </row>
    <row r="759" spans="1:7">
      <c r="A759" s="4" t="s">
        <v>83</v>
      </c>
      <c r="B759" s="6" t="s">
        <v>84</v>
      </c>
      <c r="C759" s="6">
        <v>2021</v>
      </c>
      <c r="D759" s="4" t="s">
        <v>96</v>
      </c>
      <c r="E759" s="6" t="s">
        <v>453</v>
      </c>
      <c r="F759" s="7">
        <v>168537.978</v>
      </c>
      <c r="G759" s="7">
        <v>578000</v>
      </c>
    </row>
    <row r="760" spans="1:7">
      <c r="A760" s="4" t="s">
        <v>83</v>
      </c>
      <c r="B760" s="6" t="s">
        <v>84</v>
      </c>
      <c r="C760" s="6">
        <v>2021</v>
      </c>
      <c r="D760" s="4" t="s">
        <v>425</v>
      </c>
      <c r="E760" s="6" t="s">
        <v>472</v>
      </c>
      <c r="F760" s="7">
        <v>125356.431</v>
      </c>
      <c r="G760" s="7">
        <v>498818</v>
      </c>
    </row>
    <row r="761" spans="1:7">
      <c r="A761" s="4" t="s">
        <v>83</v>
      </c>
      <c r="B761" s="6" t="s">
        <v>84</v>
      </c>
      <c r="C761" s="6">
        <v>2021</v>
      </c>
      <c r="D761" s="4" t="s">
        <v>121</v>
      </c>
      <c r="E761" s="6" t="s">
        <v>455</v>
      </c>
      <c r="F761" s="7">
        <v>125159.004</v>
      </c>
      <c r="G761" s="7">
        <v>78825</v>
      </c>
    </row>
    <row r="762" spans="1:7">
      <c r="A762" s="4" t="s">
        <v>83</v>
      </c>
      <c r="B762" s="6" t="s">
        <v>84</v>
      </c>
      <c r="C762" s="6">
        <v>2021</v>
      </c>
      <c r="D762" s="4" t="s">
        <v>287</v>
      </c>
      <c r="E762" s="6" t="s">
        <v>463</v>
      </c>
      <c r="F762" s="7">
        <v>123882.243</v>
      </c>
      <c r="G762" s="7">
        <v>28500.2</v>
      </c>
    </row>
    <row r="763" spans="1:7">
      <c r="A763" s="4" t="s">
        <v>83</v>
      </c>
      <c r="B763" s="6" t="s">
        <v>84</v>
      </c>
      <c r="C763" s="6">
        <v>2021</v>
      </c>
      <c r="D763" s="4" t="s">
        <v>355</v>
      </c>
      <c r="E763" s="6" t="s">
        <v>468</v>
      </c>
      <c r="F763" s="7">
        <v>95293.662</v>
      </c>
      <c r="G763" s="7">
        <v>68912.39999999999</v>
      </c>
    </row>
    <row r="764" spans="1:7">
      <c r="A764" s="4" t="s">
        <v>83</v>
      </c>
      <c r="B764" s="6" t="s">
        <v>84</v>
      </c>
      <c r="C764" s="6">
        <v>2021</v>
      </c>
      <c r="D764" s="4" t="s">
        <v>76</v>
      </c>
      <c r="E764" s="6" t="s">
        <v>488</v>
      </c>
      <c r="F764" s="7">
        <v>45773.202</v>
      </c>
      <c r="G764" s="7">
        <v>48600</v>
      </c>
    </row>
    <row r="765" spans="1:7">
      <c r="A765" s="4" t="s">
        <v>83</v>
      </c>
      <c r="B765" s="6" t="s">
        <v>84</v>
      </c>
      <c r="C765" s="6">
        <v>2021</v>
      </c>
      <c r="D765" s="4" t="s">
        <v>205</v>
      </c>
      <c r="E765" s="6" t="s">
        <v>456</v>
      </c>
      <c r="F765" s="7">
        <v>35071.34</v>
      </c>
      <c r="G765" s="7">
        <v>11200</v>
      </c>
    </row>
    <row r="766" spans="1:7">
      <c r="A766" s="4" t="s">
        <v>83</v>
      </c>
      <c r="B766" s="6" t="s">
        <v>84</v>
      </c>
      <c r="C766" s="6">
        <v>2021</v>
      </c>
      <c r="D766" s="4" t="s">
        <v>86</v>
      </c>
      <c r="E766" s="6" t="s">
        <v>521</v>
      </c>
      <c r="F766" s="7">
        <v>17169.416</v>
      </c>
      <c r="G766" s="7">
        <v>1160.43</v>
      </c>
    </row>
    <row r="767" spans="1:7">
      <c r="A767" s="4" t="s">
        <v>83</v>
      </c>
      <c r="B767" s="6" t="s">
        <v>84</v>
      </c>
      <c r="C767" s="6">
        <v>2021</v>
      </c>
      <c r="D767" s="4" t="s">
        <v>395</v>
      </c>
      <c r="E767" s="6" t="s">
        <v>485</v>
      </c>
      <c r="F767" s="7">
        <v>9697.107</v>
      </c>
      <c r="G767" s="7">
        <v>295.2</v>
      </c>
    </row>
    <row r="768" spans="1:7">
      <c r="A768" s="4" t="s">
        <v>83</v>
      </c>
      <c r="B768" s="6" t="s">
        <v>84</v>
      </c>
      <c r="C768" s="6">
        <v>2021</v>
      </c>
      <c r="D768" s="4" t="s">
        <v>89</v>
      </c>
      <c r="E768" s="6" t="s">
        <v>459</v>
      </c>
      <c r="F768" s="7">
        <v>5842.206</v>
      </c>
      <c r="G768" s="7">
        <v>1600</v>
      </c>
    </row>
    <row r="769" spans="1:7">
      <c r="A769" s="4" t="s">
        <v>83</v>
      </c>
      <c r="B769" s="6" t="s">
        <v>84</v>
      </c>
      <c r="C769" s="6">
        <v>2021</v>
      </c>
      <c r="D769" s="4" t="s">
        <v>367</v>
      </c>
      <c r="E769" s="6" t="s">
        <v>529</v>
      </c>
      <c r="F769" s="7">
        <v>4137.043</v>
      </c>
      <c r="G769" s="7">
        <v>0</v>
      </c>
    </row>
    <row r="770" spans="1:7">
      <c r="A770" s="4" t="s">
        <v>83</v>
      </c>
      <c r="B770" s="6" t="s">
        <v>84</v>
      </c>
      <c r="C770" s="6">
        <v>2021</v>
      </c>
      <c r="D770" s="4" t="s">
        <v>409</v>
      </c>
      <c r="E770" s="6" t="s">
        <v>461</v>
      </c>
      <c r="F770" s="7">
        <v>2106.776</v>
      </c>
      <c r="G770" s="7">
        <v>5000</v>
      </c>
    </row>
    <row r="771" spans="1:7">
      <c r="A771" s="4" t="s">
        <v>83</v>
      </c>
      <c r="B771" s="6" t="s">
        <v>84</v>
      </c>
      <c r="C771" s="6">
        <v>2022</v>
      </c>
      <c r="D771" s="4" t="s">
        <v>62</v>
      </c>
      <c r="E771" s="6" t="s">
        <v>448</v>
      </c>
      <c r="F771" s="7">
        <v>142323385.779</v>
      </c>
      <c r="G771" s="7">
        <v>429403875</v>
      </c>
    </row>
    <row r="772" spans="1:7">
      <c r="A772" s="4" t="s">
        <v>83</v>
      </c>
      <c r="B772" s="6" t="s">
        <v>84</v>
      </c>
      <c r="C772" s="6">
        <v>2022</v>
      </c>
      <c r="D772" s="4" t="s">
        <v>203</v>
      </c>
      <c r="E772" s="6" t="s">
        <v>452</v>
      </c>
      <c r="F772" s="7">
        <v>33562570.033</v>
      </c>
      <c r="G772" s="7">
        <v>74831300</v>
      </c>
    </row>
    <row r="773" spans="1:7">
      <c r="A773" s="4" t="s">
        <v>83</v>
      </c>
      <c r="B773" s="6" t="s">
        <v>84</v>
      </c>
      <c r="C773" s="6">
        <v>2022</v>
      </c>
      <c r="D773" s="4" t="s">
        <v>81</v>
      </c>
      <c r="E773" s="6" t="s">
        <v>449</v>
      </c>
      <c r="F773" s="7">
        <v>20969538.795</v>
      </c>
      <c r="G773" s="7">
        <v>49150000</v>
      </c>
    </row>
    <row r="774" spans="1:7">
      <c r="A774" s="4" t="s">
        <v>83</v>
      </c>
      <c r="B774" s="6" t="s">
        <v>84</v>
      </c>
      <c r="C774" s="6">
        <v>2022</v>
      </c>
      <c r="D774" s="4" t="s">
        <v>185</v>
      </c>
      <c r="E774" s="6" t="s">
        <v>457</v>
      </c>
      <c r="F774" s="7">
        <v>8893366.793</v>
      </c>
      <c r="G774" s="7">
        <v>24484000</v>
      </c>
    </row>
    <row r="775" spans="1:7">
      <c r="A775" s="4" t="s">
        <v>83</v>
      </c>
      <c r="B775" s="6" t="s">
        <v>84</v>
      </c>
      <c r="C775" s="6">
        <v>2022</v>
      </c>
      <c r="D775" s="4" t="s">
        <v>425</v>
      </c>
      <c r="E775" s="6" t="s">
        <v>472</v>
      </c>
      <c r="F775" s="7">
        <v>1335439.202</v>
      </c>
      <c r="G775" s="7">
        <v>3622760</v>
      </c>
    </row>
    <row r="776" spans="1:7">
      <c r="A776" s="4" t="s">
        <v>83</v>
      </c>
      <c r="B776" s="6" t="s">
        <v>84</v>
      </c>
      <c r="C776" s="6">
        <v>2022</v>
      </c>
      <c r="D776" s="4" t="s">
        <v>96</v>
      </c>
      <c r="E776" s="6" t="s">
        <v>453</v>
      </c>
      <c r="F776" s="7">
        <v>522830.729</v>
      </c>
      <c r="G776" s="7">
        <v>1382700</v>
      </c>
    </row>
    <row r="777" spans="1:7">
      <c r="A777" s="4" t="s">
        <v>83</v>
      </c>
      <c r="B777" s="6" t="s">
        <v>84</v>
      </c>
      <c r="C777" s="6">
        <v>2022</v>
      </c>
      <c r="D777" s="4" t="s">
        <v>433</v>
      </c>
      <c r="E777" s="6" t="s">
        <v>490</v>
      </c>
      <c r="F777" s="7">
        <v>378607.83</v>
      </c>
      <c r="G777" s="7">
        <v>861430</v>
      </c>
    </row>
    <row r="778" spans="1:7">
      <c r="A778" s="4" t="s">
        <v>83</v>
      </c>
      <c r="B778" s="6" t="s">
        <v>84</v>
      </c>
      <c r="C778" s="6">
        <v>2022</v>
      </c>
      <c r="D778" s="4" t="s">
        <v>155</v>
      </c>
      <c r="E778" s="6" t="s">
        <v>489</v>
      </c>
      <c r="F778" s="7">
        <v>268856.953</v>
      </c>
      <c r="G778" s="7">
        <v>650000</v>
      </c>
    </row>
    <row r="779" spans="1:7">
      <c r="A779" s="4" t="s">
        <v>83</v>
      </c>
      <c r="B779" s="6" t="s">
        <v>84</v>
      </c>
      <c r="C779" s="6">
        <v>2022</v>
      </c>
      <c r="D779" s="4" t="s">
        <v>93</v>
      </c>
      <c r="E779" s="6" t="s">
        <v>458</v>
      </c>
      <c r="F779" s="7">
        <v>200069.236</v>
      </c>
      <c r="G779" s="7">
        <v>60766</v>
      </c>
    </row>
    <row r="780" spans="1:7">
      <c r="A780" s="4" t="s">
        <v>83</v>
      </c>
      <c r="B780" s="6" t="s">
        <v>84</v>
      </c>
      <c r="C780" s="6">
        <v>2022</v>
      </c>
      <c r="D780" s="4" t="s">
        <v>125</v>
      </c>
      <c r="E780" s="6" t="s">
        <v>465</v>
      </c>
      <c r="F780" s="7">
        <v>169697.121</v>
      </c>
      <c r="G780" s="7">
        <v>572950</v>
      </c>
    </row>
    <row r="781" spans="1:7">
      <c r="A781" s="4" t="s">
        <v>83</v>
      </c>
      <c r="B781" s="6" t="s">
        <v>84</v>
      </c>
      <c r="C781" s="6">
        <v>2022</v>
      </c>
      <c r="D781" s="4" t="s">
        <v>287</v>
      </c>
      <c r="E781" s="6" t="s">
        <v>463</v>
      </c>
      <c r="F781" s="7">
        <v>151212.325</v>
      </c>
      <c r="G781" s="7">
        <v>79120</v>
      </c>
    </row>
    <row r="782" spans="1:7">
      <c r="A782" s="4" t="s">
        <v>83</v>
      </c>
      <c r="B782" s="6" t="s">
        <v>84</v>
      </c>
      <c r="C782" s="6">
        <v>2022</v>
      </c>
      <c r="D782" s="4" t="s">
        <v>121</v>
      </c>
      <c r="E782" s="6" t="s">
        <v>455</v>
      </c>
      <c r="F782" s="7">
        <v>104749.828</v>
      </c>
      <c r="G782" s="7">
        <v>85225</v>
      </c>
    </row>
    <row r="783" spans="1:7">
      <c r="A783" s="4" t="s">
        <v>83</v>
      </c>
      <c r="B783" s="6" t="s">
        <v>84</v>
      </c>
      <c r="C783" s="6">
        <v>2022</v>
      </c>
      <c r="D783" s="4" t="s">
        <v>89</v>
      </c>
      <c r="E783" s="6" t="s">
        <v>459</v>
      </c>
      <c r="F783" s="7">
        <v>86752.64</v>
      </c>
      <c r="G783" s="7">
        <v>227500</v>
      </c>
    </row>
    <row r="784" spans="1:7">
      <c r="A784" s="4" t="s">
        <v>83</v>
      </c>
      <c r="B784" s="6" t="s">
        <v>84</v>
      </c>
      <c r="C784" s="6">
        <v>2022</v>
      </c>
      <c r="D784" s="4" t="s">
        <v>355</v>
      </c>
      <c r="E784" s="6" t="s">
        <v>468</v>
      </c>
      <c r="F784" s="7">
        <v>41346.476</v>
      </c>
      <c r="G784" s="7">
        <v>14300</v>
      </c>
    </row>
    <row r="785" spans="1:7">
      <c r="A785" s="4" t="s">
        <v>83</v>
      </c>
      <c r="B785" s="6" t="s">
        <v>84</v>
      </c>
      <c r="C785" s="6">
        <v>2022</v>
      </c>
      <c r="D785" s="4" t="s">
        <v>279</v>
      </c>
      <c r="E785" s="6" t="s">
        <v>484</v>
      </c>
      <c r="F785" s="7">
        <v>23607.634</v>
      </c>
      <c r="G785" s="7">
        <v>68980</v>
      </c>
    </row>
    <row r="786" spans="1:7">
      <c r="A786" s="4" t="s">
        <v>83</v>
      </c>
      <c r="B786" s="6" t="s">
        <v>84</v>
      </c>
      <c r="C786" s="6">
        <v>2022</v>
      </c>
      <c r="D786" s="4" t="s">
        <v>76</v>
      </c>
      <c r="E786" s="6" t="s">
        <v>488</v>
      </c>
      <c r="F786" s="7">
        <v>14983.153</v>
      </c>
      <c r="G786" s="7">
        <v>12600</v>
      </c>
    </row>
    <row r="787" spans="1:7">
      <c r="A787" s="4" t="s">
        <v>83</v>
      </c>
      <c r="B787" s="6" t="s">
        <v>84</v>
      </c>
      <c r="C787" s="6">
        <v>2022</v>
      </c>
      <c r="D787" s="4" t="s">
        <v>73</v>
      </c>
      <c r="E787" s="6" t="s">
        <v>460</v>
      </c>
      <c r="F787" s="7">
        <v>13974.536</v>
      </c>
      <c r="G787" s="7">
        <v>40120</v>
      </c>
    </row>
    <row r="788" spans="1:7">
      <c r="A788" s="4" t="s">
        <v>83</v>
      </c>
      <c r="B788" s="6" t="s">
        <v>84</v>
      </c>
      <c r="C788" s="6">
        <v>2023</v>
      </c>
      <c r="D788" s="4" t="s">
        <v>62</v>
      </c>
      <c r="E788" s="6" t="s">
        <v>448</v>
      </c>
      <c r="F788" s="7">
        <v>91597303.829</v>
      </c>
      <c r="G788" s="7">
        <v>290879872.5</v>
      </c>
    </row>
    <row r="789" spans="1:7">
      <c r="A789" s="4" t="s">
        <v>83</v>
      </c>
      <c r="B789" s="6" t="s">
        <v>84</v>
      </c>
      <c r="C789" s="6">
        <v>2023</v>
      </c>
      <c r="D789" s="4" t="s">
        <v>203</v>
      </c>
      <c r="E789" s="6" t="s">
        <v>452</v>
      </c>
      <c r="F789" s="7">
        <v>45857449.904</v>
      </c>
      <c r="G789" s="7">
        <v>131948000</v>
      </c>
    </row>
    <row r="790" spans="1:7">
      <c r="A790" s="4" t="s">
        <v>83</v>
      </c>
      <c r="B790" s="6" t="s">
        <v>84</v>
      </c>
      <c r="C790" s="6">
        <v>2023</v>
      </c>
      <c r="D790" s="4" t="s">
        <v>81</v>
      </c>
      <c r="E790" s="6" t="s">
        <v>449</v>
      </c>
      <c r="F790" s="7">
        <v>45689317.634</v>
      </c>
      <c r="G790" s="7">
        <v>98030300</v>
      </c>
    </row>
    <row r="791" spans="1:7">
      <c r="A791" s="4" t="s">
        <v>83</v>
      </c>
      <c r="B791" s="6" t="s">
        <v>84</v>
      </c>
      <c r="C791" s="6">
        <v>2023</v>
      </c>
      <c r="D791" s="4" t="s">
        <v>185</v>
      </c>
      <c r="E791" s="6" t="s">
        <v>457</v>
      </c>
      <c r="F791" s="7">
        <v>5977985.343</v>
      </c>
      <c r="G791" s="7">
        <v>16110500</v>
      </c>
    </row>
    <row r="792" spans="1:7">
      <c r="A792" s="4" t="s">
        <v>83</v>
      </c>
      <c r="B792" s="6" t="s">
        <v>84</v>
      </c>
      <c r="C792" s="6">
        <v>2023</v>
      </c>
      <c r="D792" s="4" t="s">
        <v>155</v>
      </c>
      <c r="E792" s="6" t="s">
        <v>489</v>
      </c>
      <c r="F792" s="7">
        <v>276340.718</v>
      </c>
      <c r="G792" s="7">
        <v>0</v>
      </c>
    </row>
    <row r="793" spans="1:7">
      <c r="A793" s="4" t="s">
        <v>83</v>
      </c>
      <c r="B793" s="6" t="s">
        <v>84</v>
      </c>
      <c r="C793" s="6">
        <v>2023</v>
      </c>
      <c r="D793" s="4" t="s">
        <v>93</v>
      </c>
      <c r="E793" s="6" t="s">
        <v>458</v>
      </c>
      <c r="F793" s="7">
        <v>228599.44</v>
      </c>
      <c r="G793" s="7">
        <v>40743</v>
      </c>
    </row>
    <row r="794" spans="1:7">
      <c r="A794" s="4" t="s">
        <v>83</v>
      </c>
      <c r="B794" s="6" t="s">
        <v>84</v>
      </c>
      <c r="C794" s="6">
        <v>2023</v>
      </c>
      <c r="D794" s="4" t="s">
        <v>425</v>
      </c>
      <c r="E794" s="6" t="s">
        <v>472</v>
      </c>
      <c r="F794" s="7">
        <v>154091.866</v>
      </c>
      <c r="G794" s="7">
        <v>500000</v>
      </c>
    </row>
    <row r="795" spans="1:7">
      <c r="A795" s="4" t="s">
        <v>83</v>
      </c>
      <c r="B795" s="6" t="s">
        <v>84</v>
      </c>
      <c r="C795" s="6">
        <v>2023</v>
      </c>
      <c r="D795" s="4" t="s">
        <v>121</v>
      </c>
      <c r="E795" s="6" t="s">
        <v>455</v>
      </c>
      <c r="F795" s="7">
        <v>137936.4</v>
      </c>
      <c r="G795" s="7">
        <v>84000</v>
      </c>
    </row>
    <row r="796" spans="1:7">
      <c r="A796" s="4" t="s">
        <v>83</v>
      </c>
      <c r="B796" s="6" t="s">
        <v>84</v>
      </c>
      <c r="C796" s="6">
        <v>2023</v>
      </c>
      <c r="D796" s="4" t="s">
        <v>395</v>
      </c>
      <c r="E796" s="6" t="s">
        <v>485</v>
      </c>
      <c r="F796" s="7">
        <v>88975.113</v>
      </c>
      <c r="G796" s="7">
        <v>44528.52</v>
      </c>
    </row>
    <row r="797" spans="1:7">
      <c r="A797" s="4" t="s">
        <v>83</v>
      </c>
      <c r="B797" s="6" t="s">
        <v>84</v>
      </c>
      <c r="C797" s="6">
        <v>2023</v>
      </c>
      <c r="D797" s="4" t="s">
        <v>96</v>
      </c>
      <c r="E797" s="6" t="s">
        <v>453</v>
      </c>
      <c r="F797" s="7">
        <v>82867.17600000001</v>
      </c>
      <c r="G797" s="7">
        <v>192800</v>
      </c>
    </row>
    <row r="798" spans="1:7">
      <c r="A798" s="4" t="s">
        <v>83</v>
      </c>
      <c r="B798" s="6" t="s">
        <v>84</v>
      </c>
      <c r="C798" s="6">
        <v>2023</v>
      </c>
      <c r="D798" s="4" t="s">
        <v>205</v>
      </c>
      <c r="E798" s="6" t="s">
        <v>456</v>
      </c>
      <c r="F798" s="7">
        <v>63530.566</v>
      </c>
      <c r="G798" s="7">
        <v>18050</v>
      </c>
    </row>
    <row r="799" spans="1:7">
      <c r="A799" s="4" t="s">
        <v>83</v>
      </c>
      <c r="B799" s="6" t="s">
        <v>84</v>
      </c>
      <c r="C799" s="6">
        <v>2023</v>
      </c>
      <c r="D799" s="4" t="s">
        <v>73</v>
      </c>
      <c r="E799" s="6" t="s">
        <v>460</v>
      </c>
      <c r="F799" s="7">
        <v>43709.154</v>
      </c>
      <c r="G799" s="7">
        <v>114156.35</v>
      </c>
    </row>
    <row r="800" spans="1:7">
      <c r="A800" s="4" t="s">
        <v>83</v>
      </c>
      <c r="B800" s="6" t="s">
        <v>84</v>
      </c>
      <c r="C800" s="6">
        <v>2023</v>
      </c>
      <c r="D800" s="4" t="s">
        <v>287</v>
      </c>
      <c r="E800" s="6" t="s">
        <v>463</v>
      </c>
      <c r="F800" s="7">
        <v>41780.471</v>
      </c>
      <c r="G800" s="7">
        <v>17586</v>
      </c>
    </row>
    <row r="801" spans="1:7">
      <c r="A801" s="4" t="s">
        <v>83</v>
      </c>
      <c r="B801" s="6" t="s">
        <v>84</v>
      </c>
      <c r="C801" s="6">
        <v>2023</v>
      </c>
      <c r="D801" s="4" t="s">
        <v>355</v>
      </c>
      <c r="E801" s="6" t="s">
        <v>468</v>
      </c>
      <c r="F801" s="7">
        <v>30404.614</v>
      </c>
      <c r="G801" s="7">
        <v>51150</v>
      </c>
    </row>
    <row r="802" spans="1:7">
      <c r="A802" s="4" t="s">
        <v>83</v>
      </c>
      <c r="B802" s="6" t="s">
        <v>84</v>
      </c>
      <c r="C802" s="6">
        <v>2023</v>
      </c>
      <c r="D802" s="4" t="s">
        <v>125</v>
      </c>
      <c r="E802" s="6" t="s">
        <v>465</v>
      </c>
      <c r="F802" s="7">
        <v>24718.769</v>
      </c>
      <c r="G802" s="7">
        <v>23900</v>
      </c>
    </row>
    <row r="803" spans="1:7">
      <c r="A803" s="4" t="s">
        <v>83</v>
      </c>
      <c r="B803" s="6" t="s">
        <v>84</v>
      </c>
      <c r="C803" s="6">
        <v>2023</v>
      </c>
      <c r="D803" s="4" t="s">
        <v>76</v>
      </c>
      <c r="E803" s="6" t="s">
        <v>488</v>
      </c>
      <c r="F803" s="7">
        <v>9064.331</v>
      </c>
      <c r="G803" s="7">
        <v>7562</v>
      </c>
    </row>
    <row r="804" spans="1:7">
      <c r="A804" s="4" t="s">
        <v>83</v>
      </c>
      <c r="B804" s="6" t="s">
        <v>84</v>
      </c>
      <c r="C804" s="6">
        <v>2023</v>
      </c>
      <c r="D804" s="4" t="s">
        <v>115</v>
      </c>
      <c r="E804" s="6" t="s">
        <v>454</v>
      </c>
      <c r="F804" s="7">
        <v>919.83</v>
      </c>
      <c r="G804" s="7">
        <v>298</v>
      </c>
    </row>
    <row r="805" spans="1:7">
      <c r="A805" s="4" t="s">
        <v>83</v>
      </c>
      <c r="B805" s="6" t="s">
        <v>84</v>
      </c>
      <c r="C805" s="6">
        <v>2023</v>
      </c>
      <c r="D805" s="4" t="s">
        <v>371</v>
      </c>
      <c r="E805" s="6" t="s">
        <v>530</v>
      </c>
      <c r="F805" s="7">
        <v>227.162</v>
      </c>
      <c r="G805" s="7">
        <v>0</v>
      </c>
    </row>
    <row r="806" spans="1:7">
      <c r="A806" s="4" t="s">
        <v>83</v>
      </c>
      <c r="B806" s="6" t="s">
        <v>84</v>
      </c>
      <c r="C806" s="6">
        <v>2023</v>
      </c>
      <c r="D806" s="4" t="s">
        <v>112</v>
      </c>
      <c r="E806" s="6" t="s">
        <v>480</v>
      </c>
      <c r="F806" s="7">
        <v>101.521</v>
      </c>
      <c r="G806" s="7">
        <v>7</v>
      </c>
    </row>
    <row r="807" spans="1:7">
      <c r="A807" s="4" t="s">
        <v>83</v>
      </c>
      <c r="B807" s="6" t="s">
        <v>84</v>
      </c>
      <c r="C807" s="6">
        <v>2023</v>
      </c>
      <c r="D807" s="4" t="s">
        <v>433</v>
      </c>
      <c r="E807" s="6" t="s">
        <v>490</v>
      </c>
      <c r="F807" s="7">
        <v>58.983</v>
      </c>
      <c r="G807" s="7">
        <v>25</v>
      </c>
    </row>
    <row r="808" spans="1:7">
      <c r="A808" s="4" t="s">
        <v>83</v>
      </c>
      <c r="B808" s="6" t="s">
        <v>84</v>
      </c>
      <c r="C808" s="6">
        <v>2023</v>
      </c>
      <c r="D808" s="4" t="s">
        <v>104</v>
      </c>
      <c r="E808" s="6" t="s">
        <v>450</v>
      </c>
      <c r="F808" s="7">
        <v>22.804</v>
      </c>
      <c r="G808" s="7">
        <v>1</v>
      </c>
    </row>
    <row r="809" spans="1:7">
      <c r="A809" s="4" t="s">
        <v>83</v>
      </c>
      <c r="B809" s="6" t="s">
        <v>84</v>
      </c>
      <c r="C809" s="6">
        <v>2023</v>
      </c>
      <c r="D809" s="4" t="s">
        <v>197</v>
      </c>
      <c r="E809" s="6" t="s">
        <v>464</v>
      </c>
      <c r="F809" s="7">
        <v>14.472</v>
      </c>
      <c r="G809" s="7">
        <v>1</v>
      </c>
    </row>
    <row r="810" spans="1:7">
      <c r="A810" s="4" t="s">
        <v>83</v>
      </c>
      <c r="B810" s="6" t="s">
        <v>84</v>
      </c>
      <c r="C810" s="6">
        <v>2024</v>
      </c>
      <c r="D810" s="4" t="s">
        <v>62</v>
      </c>
      <c r="E810" s="6" t="s">
        <v>448</v>
      </c>
      <c r="F810" s="7">
        <v>133237964.972</v>
      </c>
      <c r="G810" s="7">
        <v>559092863.878</v>
      </c>
    </row>
    <row r="811" spans="1:7">
      <c r="A811" s="4" t="s">
        <v>83</v>
      </c>
      <c r="B811" s="6" t="s">
        <v>84</v>
      </c>
      <c r="C811" s="6">
        <v>2024</v>
      </c>
      <c r="D811" s="4" t="s">
        <v>81</v>
      </c>
      <c r="E811" s="6" t="s">
        <v>449</v>
      </c>
      <c r="F811" s="7">
        <v>53931866.515</v>
      </c>
      <c r="G811" s="7">
        <v>19073602.635</v>
      </c>
    </row>
    <row r="812" spans="1:7">
      <c r="A812" s="4" t="s">
        <v>83</v>
      </c>
      <c r="B812" s="6" t="s">
        <v>84</v>
      </c>
      <c r="C812" s="6">
        <v>2024</v>
      </c>
      <c r="D812" s="4" t="s">
        <v>203</v>
      </c>
      <c r="E812" s="6" t="s">
        <v>452</v>
      </c>
      <c r="F812" s="7">
        <v>37352175.172</v>
      </c>
      <c r="G812" s="7">
        <v>125864060</v>
      </c>
    </row>
    <row r="813" spans="1:7">
      <c r="A813" s="4" t="s">
        <v>83</v>
      </c>
      <c r="B813" s="6" t="s">
        <v>84</v>
      </c>
      <c r="C813" s="6">
        <v>2024</v>
      </c>
      <c r="D813" s="4" t="s">
        <v>185</v>
      </c>
      <c r="E813" s="6" t="s">
        <v>457</v>
      </c>
      <c r="F813" s="7">
        <v>4704341.009</v>
      </c>
      <c r="G813" s="7">
        <v>16197160</v>
      </c>
    </row>
    <row r="814" spans="1:7">
      <c r="A814" s="4" t="s">
        <v>83</v>
      </c>
      <c r="B814" s="6" t="s">
        <v>84</v>
      </c>
      <c r="C814" s="6">
        <v>2024</v>
      </c>
      <c r="D814" s="4" t="s">
        <v>73</v>
      </c>
      <c r="E814" s="6" t="s">
        <v>460</v>
      </c>
      <c r="F814" s="7">
        <v>1058583.677</v>
      </c>
      <c r="G814" s="7">
        <v>4084730.92</v>
      </c>
    </row>
    <row r="815" spans="1:7">
      <c r="A815" s="4" t="s">
        <v>83</v>
      </c>
      <c r="B815" s="6" t="s">
        <v>84</v>
      </c>
      <c r="C815" s="6">
        <v>2024</v>
      </c>
      <c r="D815" s="4" t="s">
        <v>425</v>
      </c>
      <c r="E815" s="6" t="s">
        <v>472</v>
      </c>
      <c r="F815" s="7">
        <v>831455.009</v>
      </c>
      <c r="G815" s="7">
        <v>3345578</v>
      </c>
    </row>
    <row r="816" spans="1:7">
      <c r="A816" s="4" t="s">
        <v>83</v>
      </c>
      <c r="B816" s="6" t="s">
        <v>84</v>
      </c>
      <c r="C816" s="6">
        <v>2024</v>
      </c>
      <c r="D816" s="4" t="s">
        <v>125</v>
      </c>
      <c r="E816" s="6" t="s">
        <v>465</v>
      </c>
      <c r="F816" s="7">
        <v>368732.119</v>
      </c>
      <c r="G816" s="7">
        <v>1008440</v>
      </c>
    </row>
    <row r="817" spans="1:7">
      <c r="A817" s="4" t="s">
        <v>83</v>
      </c>
      <c r="B817" s="6" t="s">
        <v>84</v>
      </c>
      <c r="C817" s="6">
        <v>2024</v>
      </c>
      <c r="D817" s="4" t="s">
        <v>93</v>
      </c>
      <c r="E817" s="6" t="s">
        <v>458</v>
      </c>
      <c r="F817" s="7">
        <v>287017.079</v>
      </c>
      <c r="G817" s="7">
        <v>41424</v>
      </c>
    </row>
    <row r="818" spans="1:7">
      <c r="A818" s="4" t="s">
        <v>83</v>
      </c>
      <c r="B818" s="6" t="s">
        <v>84</v>
      </c>
      <c r="C818" s="6">
        <v>2024</v>
      </c>
      <c r="D818" s="4" t="s">
        <v>121</v>
      </c>
      <c r="E818" s="6" t="s">
        <v>455</v>
      </c>
      <c r="F818" s="7">
        <v>83055.605</v>
      </c>
      <c r="G818" s="7">
        <v>27400</v>
      </c>
    </row>
    <row r="819" spans="1:7">
      <c r="A819" s="4" t="s">
        <v>83</v>
      </c>
      <c r="B819" s="6" t="s">
        <v>84</v>
      </c>
      <c r="C819" s="6">
        <v>2024</v>
      </c>
      <c r="D819" s="4" t="s">
        <v>205</v>
      </c>
      <c r="E819" s="6" t="s">
        <v>456</v>
      </c>
      <c r="F819" s="7">
        <v>70356.39999999999</v>
      </c>
      <c r="G819" s="7">
        <v>178000</v>
      </c>
    </row>
    <row r="820" spans="1:7">
      <c r="A820" s="4" t="s">
        <v>83</v>
      </c>
      <c r="B820" s="6" t="s">
        <v>84</v>
      </c>
      <c r="C820" s="6">
        <v>2024</v>
      </c>
      <c r="D820" s="4" t="s">
        <v>357</v>
      </c>
      <c r="E820" s="6" t="s">
        <v>486</v>
      </c>
      <c r="F820" s="7">
        <v>66296.465</v>
      </c>
      <c r="G820" s="7">
        <v>235000</v>
      </c>
    </row>
    <row r="821" spans="1:7">
      <c r="A821" s="4" t="s">
        <v>83</v>
      </c>
      <c r="B821" s="6" t="s">
        <v>84</v>
      </c>
      <c r="C821" s="6">
        <v>2024</v>
      </c>
      <c r="D821" s="4" t="s">
        <v>395</v>
      </c>
      <c r="E821" s="6" t="s">
        <v>485</v>
      </c>
      <c r="F821" s="7">
        <v>54720.625</v>
      </c>
      <c r="G821" s="7">
        <v>44962.86</v>
      </c>
    </row>
    <row r="822" spans="1:7">
      <c r="A822" s="4" t="s">
        <v>83</v>
      </c>
      <c r="B822" s="6" t="s">
        <v>84</v>
      </c>
      <c r="C822" s="6">
        <v>2024</v>
      </c>
      <c r="D822" s="4" t="s">
        <v>287</v>
      </c>
      <c r="E822" s="6" t="s">
        <v>463</v>
      </c>
      <c r="F822" s="7">
        <v>46688.815</v>
      </c>
      <c r="G822" s="7">
        <v>0</v>
      </c>
    </row>
    <row r="823" spans="1:7">
      <c r="A823" s="4" t="s">
        <v>83</v>
      </c>
      <c r="B823" s="6" t="s">
        <v>84</v>
      </c>
      <c r="C823" s="6">
        <v>2024</v>
      </c>
      <c r="D823" s="4" t="s">
        <v>96</v>
      </c>
      <c r="E823" s="6" t="s">
        <v>453</v>
      </c>
      <c r="F823" s="7">
        <v>33386.519</v>
      </c>
      <c r="G823" s="7">
        <v>60000</v>
      </c>
    </row>
    <row r="824" spans="1:7">
      <c r="A824" s="4" t="s">
        <v>83</v>
      </c>
      <c r="B824" s="6" t="s">
        <v>84</v>
      </c>
      <c r="C824" s="6">
        <v>2024</v>
      </c>
      <c r="D824" s="4" t="s">
        <v>76</v>
      </c>
      <c r="E824" s="6" t="s">
        <v>488</v>
      </c>
      <c r="F824" s="7">
        <v>17827.659</v>
      </c>
      <c r="G824" s="7">
        <v>13320</v>
      </c>
    </row>
    <row r="825" spans="1:7">
      <c r="A825" s="4" t="s">
        <v>83</v>
      </c>
      <c r="B825" s="6" t="s">
        <v>84</v>
      </c>
      <c r="C825" s="6">
        <v>2024</v>
      </c>
      <c r="D825" s="4" t="s">
        <v>355</v>
      </c>
      <c r="E825" s="6" t="s">
        <v>468</v>
      </c>
      <c r="F825" s="7">
        <v>15716.624</v>
      </c>
      <c r="G825" s="7">
        <v>12180</v>
      </c>
    </row>
    <row r="826" spans="1:7">
      <c r="A826" s="4" t="s">
        <v>83</v>
      </c>
      <c r="B826" s="6" t="s">
        <v>84</v>
      </c>
      <c r="C826" s="6">
        <v>2024</v>
      </c>
      <c r="D826" s="4" t="s">
        <v>155</v>
      </c>
      <c r="E826" s="6" t="s">
        <v>489</v>
      </c>
      <c r="F826" s="7">
        <v>3509.287</v>
      </c>
      <c r="G826" s="7">
        <v>2778.53</v>
      </c>
    </row>
    <row r="827" spans="1:7">
      <c r="A827" s="4" t="s">
        <v>83</v>
      </c>
      <c r="B827" s="6" t="s">
        <v>84</v>
      </c>
      <c r="C827" s="6">
        <v>2024</v>
      </c>
      <c r="D827" s="4" t="s">
        <v>115</v>
      </c>
      <c r="E827" s="6" t="s">
        <v>454</v>
      </c>
      <c r="F827" s="7">
        <v>2935.04</v>
      </c>
      <c r="G827" s="7">
        <v>1227.9</v>
      </c>
    </row>
    <row r="828" spans="1:7">
      <c r="A828" s="4" t="s">
        <v>83</v>
      </c>
      <c r="B828" s="6" t="s">
        <v>84</v>
      </c>
      <c r="C828" s="6">
        <v>2024</v>
      </c>
      <c r="D828" s="4" t="s">
        <v>89</v>
      </c>
      <c r="E828" s="6" t="s">
        <v>459</v>
      </c>
      <c r="F828" s="7">
        <v>1907.601</v>
      </c>
      <c r="G828" s="7">
        <v>4000</v>
      </c>
    </row>
    <row r="829" spans="1:7">
      <c r="A829" s="4" t="s">
        <v>83</v>
      </c>
      <c r="B829" s="6" t="s">
        <v>84</v>
      </c>
      <c r="C829" s="6">
        <v>2024</v>
      </c>
      <c r="D829" s="4" t="s">
        <v>83</v>
      </c>
      <c r="E829" s="6" t="s">
        <v>493</v>
      </c>
      <c r="F829" s="7">
        <v>1136.039</v>
      </c>
      <c r="G829" s="7">
        <v>3400</v>
      </c>
    </row>
    <row r="830" spans="1:7">
      <c r="A830" s="4" t="s">
        <v>83</v>
      </c>
      <c r="B830" s="6" t="s">
        <v>84</v>
      </c>
      <c r="C830" s="6">
        <v>2024</v>
      </c>
      <c r="D830" s="4" t="s">
        <v>86</v>
      </c>
      <c r="E830" s="6" t="s">
        <v>521</v>
      </c>
      <c r="F830" s="7">
        <v>141.814</v>
      </c>
      <c r="G830" s="7">
        <v>450</v>
      </c>
    </row>
    <row r="831" spans="1:7">
      <c r="A831" s="4" t="s">
        <v>83</v>
      </c>
      <c r="B831" s="6" t="s">
        <v>84</v>
      </c>
      <c r="C831" s="6">
        <v>2025</v>
      </c>
      <c r="D831" s="4" t="s">
        <v>62</v>
      </c>
      <c r="E831" s="6" t="s">
        <v>448</v>
      </c>
      <c r="F831" s="7">
        <v>89243821.08499999</v>
      </c>
      <c r="G831" s="7">
        <v>399145007.308</v>
      </c>
    </row>
    <row r="832" spans="1:7">
      <c r="A832" s="4" t="s">
        <v>83</v>
      </c>
      <c r="B832" s="6" t="s">
        <v>84</v>
      </c>
      <c r="C832" s="6">
        <v>2025</v>
      </c>
      <c r="D832" s="4" t="s">
        <v>203</v>
      </c>
      <c r="E832" s="6" t="s">
        <v>452</v>
      </c>
      <c r="F832" s="7">
        <v>41319051.339</v>
      </c>
      <c r="G832" s="7">
        <v>207273959.96</v>
      </c>
    </row>
    <row r="833" spans="1:7">
      <c r="A833" s="4" t="s">
        <v>83</v>
      </c>
      <c r="B833" s="6" t="s">
        <v>84</v>
      </c>
      <c r="C833" s="6">
        <v>2025</v>
      </c>
      <c r="D833" s="4" t="s">
        <v>81</v>
      </c>
      <c r="E833" s="6" t="s">
        <v>449</v>
      </c>
      <c r="F833" s="7">
        <v>38847570.758</v>
      </c>
      <c r="G833" s="7">
        <v>152919403</v>
      </c>
    </row>
    <row r="834" spans="1:7">
      <c r="A834" s="4" t="s">
        <v>83</v>
      </c>
      <c r="B834" s="6" t="s">
        <v>84</v>
      </c>
      <c r="C834" s="6">
        <v>2025</v>
      </c>
      <c r="D834" s="4" t="s">
        <v>185</v>
      </c>
      <c r="E834" s="6" t="s">
        <v>457</v>
      </c>
      <c r="F834" s="7">
        <v>3330535.837</v>
      </c>
      <c r="G834" s="7">
        <v>14987195.6</v>
      </c>
    </row>
    <row r="835" spans="1:7">
      <c r="A835" s="4" t="s">
        <v>83</v>
      </c>
      <c r="B835" s="6" t="s">
        <v>84</v>
      </c>
      <c r="C835" s="6">
        <v>2025</v>
      </c>
      <c r="D835" s="4" t="s">
        <v>205</v>
      </c>
      <c r="E835" s="6" t="s">
        <v>456</v>
      </c>
      <c r="F835" s="7">
        <v>1292516.573</v>
      </c>
      <c r="G835" s="7">
        <v>4568408</v>
      </c>
    </row>
    <row r="836" spans="1:7">
      <c r="A836" s="4" t="s">
        <v>83</v>
      </c>
      <c r="B836" s="6" t="s">
        <v>84</v>
      </c>
      <c r="C836" s="6">
        <v>2025</v>
      </c>
      <c r="D836" s="4" t="s">
        <v>425</v>
      </c>
      <c r="E836" s="6" t="s">
        <v>472</v>
      </c>
      <c r="F836" s="7">
        <v>791175.132</v>
      </c>
      <c r="G836" s="7">
        <v>1836200</v>
      </c>
    </row>
    <row r="837" spans="1:7">
      <c r="A837" s="4" t="s">
        <v>83</v>
      </c>
      <c r="B837" s="6" t="s">
        <v>84</v>
      </c>
      <c r="C837" s="6">
        <v>2025</v>
      </c>
      <c r="D837" s="4" t="s">
        <v>96</v>
      </c>
      <c r="E837" s="6" t="s">
        <v>453</v>
      </c>
      <c r="F837" s="7">
        <v>177702.639</v>
      </c>
      <c r="G837" s="7">
        <v>680000</v>
      </c>
    </row>
    <row r="838" spans="1:7">
      <c r="A838" s="4" t="s">
        <v>83</v>
      </c>
      <c r="B838" s="6" t="s">
        <v>84</v>
      </c>
      <c r="C838" s="6">
        <v>2025</v>
      </c>
      <c r="D838" s="4" t="s">
        <v>121</v>
      </c>
      <c r="E838" s="6" t="s">
        <v>455</v>
      </c>
      <c r="F838" s="7">
        <v>114778.433</v>
      </c>
      <c r="G838" s="7">
        <v>50750</v>
      </c>
    </row>
    <row r="839" spans="1:7">
      <c r="A839" s="4" t="s">
        <v>83</v>
      </c>
      <c r="B839" s="6" t="s">
        <v>84</v>
      </c>
      <c r="C839" s="6">
        <v>2025</v>
      </c>
      <c r="D839" s="4" t="s">
        <v>93</v>
      </c>
      <c r="E839" s="6" t="s">
        <v>458</v>
      </c>
      <c r="F839" s="7">
        <v>107210.236</v>
      </c>
      <c r="G839" s="7">
        <v>29390.44</v>
      </c>
    </row>
    <row r="840" spans="1:7">
      <c r="A840" s="4" t="s">
        <v>83</v>
      </c>
      <c r="B840" s="6" t="s">
        <v>84</v>
      </c>
      <c r="C840" s="6">
        <v>2025</v>
      </c>
      <c r="D840" s="4" t="s">
        <v>125</v>
      </c>
      <c r="E840" s="6" t="s">
        <v>465</v>
      </c>
      <c r="F840" s="7">
        <v>98089.194</v>
      </c>
      <c r="G840" s="7">
        <v>60501.19</v>
      </c>
    </row>
    <row r="841" spans="1:7">
      <c r="A841" s="4" t="s">
        <v>83</v>
      </c>
      <c r="B841" s="6" t="s">
        <v>84</v>
      </c>
      <c r="C841" s="6">
        <v>2025</v>
      </c>
      <c r="D841" s="4" t="s">
        <v>287</v>
      </c>
      <c r="E841" s="6" t="s">
        <v>463</v>
      </c>
      <c r="F841" s="7">
        <v>63421.456</v>
      </c>
      <c r="G841" s="7">
        <v>26128.3</v>
      </c>
    </row>
    <row r="842" spans="1:7">
      <c r="A842" s="4" t="s">
        <v>83</v>
      </c>
      <c r="B842" s="6" t="s">
        <v>84</v>
      </c>
      <c r="C842" s="6">
        <v>2025</v>
      </c>
      <c r="D842" s="4" t="s">
        <v>89</v>
      </c>
      <c r="E842" s="6" t="s">
        <v>459</v>
      </c>
      <c r="F842" s="7">
        <v>56484.605</v>
      </c>
      <c r="G842" s="7">
        <v>68257.474</v>
      </c>
    </row>
    <row r="843" spans="1:7">
      <c r="A843" s="4" t="s">
        <v>83</v>
      </c>
      <c r="B843" s="6" t="s">
        <v>84</v>
      </c>
      <c r="C843" s="6">
        <v>2025</v>
      </c>
      <c r="D843" s="4" t="s">
        <v>73</v>
      </c>
      <c r="E843" s="6" t="s">
        <v>460</v>
      </c>
      <c r="F843" s="7">
        <v>38800.9</v>
      </c>
      <c r="G843" s="7">
        <v>52075.42</v>
      </c>
    </row>
    <row r="844" spans="1:7">
      <c r="A844" s="4" t="s">
        <v>83</v>
      </c>
      <c r="B844" s="6" t="s">
        <v>84</v>
      </c>
      <c r="C844" s="6">
        <v>2025</v>
      </c>
      <c r="D844" s="4" t="s">
        <v>395</v>
      </c>
      <c r="E844" s="6" t="s">
        <v>485</v>
      </c>
      <c r="F844" s="7">
        <v>24005.812</v>
      </c>
      <c r="G844" s="7">
        <v>0</v>
      </c>
    </row>
    <row r="845" spans="1:7">
      <c r="A845" s="4" t="s">
        <v>83</v>
      </c>
      <c r="B845" s="6" t="s">
        <v>84</v>
      </c>
      <c r="C845" s="6">
        <v>2025</v>
      </c>
      <c r="D845" s="4" t="s">
        <v>355</v>
      </c>
      <c r="E845" s="6" t="s">
        <v>468</v>
      </c>
      <c r="F845" s="7">
        <v>19144.299</v>
      </c>
      <c r="G845" s="7">
        <v>14210.103</v>
      </c>
    </row>
    <row r="846" spans="1:7">
      <c r="A846" s="4" t="s">
        <v>83</v>
      </c>
      <c r="B846" s="6" t="s">
        <v>84</v>
      </c>
      <c r="C846" s="6">
        <v>2025</v>
      </c>
      <c r="D846" s="4" t="s">
        <v>179</v>
      </c>
      <c r="E846" s="6" t="s">
        <v>494</v>
      </c>
      <c r="F846" s="7">
        <v>12018.494</v>
      </c>
      <c r="G846" s="7">
        <v>20000</v>
      </c>
    </row>
    <row r="847" spans="1:7">
      <c r="A847" s="4" t="s">
        <v>83</v>
      </c>
      <c r="B847" s="6" t="s">
        <v>84</v>
      </c>
      <c r="C847" s="6">
        <v>2025</v>
      </c>
      <c r="D847" s="4" t="s">
        <v>265</v>
      </c>
      <c r="E847" s="6" t="s">
        <v>499</v>
      </c>
      <c r="F847" s="7">
        <v>10455.074</v>
      </c>
      <c r="G847" s="7">
        <v>41000</v>
      </c>
    </row>
    <row r="848" spans="1:7">
      <c r="A848" s="4" t="s">
        <v>83</v>
      </c>
      <c r="B848" s="6" t="s">
        <v>84</v>
      </c>
      <c r="C848" s="6">
        <v>2025</v>
      </c>
      <c r="D848" s="4" t="s">
        <v>115</v>
      </c>
      <c r="E848" s="6" t="s">
        <v>454</v>
      </c>
      <c r="F848" s="7">
        <v>5942.712</v>
      </c>
      <c r="G848" s="7">
        <v>1694</v>
      </c>
    </row>
    <row r="849" spans="1:7">
      <c r="A849" s="4" t="s">
        <v>83</v>
      </c>
      <c r="B849" s="6" t="s">
        <v>84</v>
      </c>
      <c r="C849" s="6">
        <v>2025</v>
      </c>
      <c r="D849" s="4" t="s">
        <v>76</v>
      </c>
      <c r="E849" s="6" t="s">
        <v>488</v>
      </c>
      <c r="F849" s="7">
        <v>1892.266</v>
      </c>
      <c r="G849" s="7">
        <v>1620</v>
      </c>
    </row>
    <row r="850" spans="1:7">
      <c r="A850" s="4" t="s">
        <v>83</v>
      </c>
      <c r="B850" s="6" t="s">
        <v>84</v>
      </c>
      <c r="C850" s="6">
        <v>2025</v>
      </c>
      <c r="D850" s="4" t="s">
        <v>112</v>
      </c>
      <c r="E850" s="6" t="s">
        <v>480</v>
      </c>
      <c r="F850" s="7">
        <v>255.004</v>
      </c>
      <c r="G850" s="7">
        <v>28</v>
      </c>
    </row>
    <row r="851" spans="1:7">
      <c r="A851" s="4" t="s">
        <v>83</v>
      </c>
      <c r="B851" s="6" t="s">
        <v>84</v>
      </c>
      <c r="C851" s="6">
        <v>2025</v>
      </c>
      <c r="D851" s="4" t="s">
        <v>409</v>
      </c>
      <c r="E851" s="6" t="s">
        <v>461</v>
      </c>
      <c r="F851" s="7">
        <v>210.856</v>
      </c>
      <c r="G851" s="7">
        <v>5</v>
      </c>
    </row>
    <row r="852" spans="1:7">
      <c r="A852" s="4" t="s">
        <v>83</v>
      </c>
      <c r="B852" s="6" t="s">
        <v>84</v>
      </c>
      <c r="C852" s="6">
        <v>2025</v>
      </c>
      <c r="D852" s="4" t="s">
        <v>155</v>
      </c>
      <c r="E852" s="6" t="s">
        <v>489</v>
      </c>
      <c r="F852" s="7">
        <v>55.886</v>
      </c>
      <c r="G852" s="7">
        <v>4</v>
      </c>
    </row>
    <row r="853" spans="1:7">
      <c r="A853" s="4" t="s">
        <v>60</v>
      </c>
      <c r="B853" s="6" t="s">
        <v>61</v>
      </c>
      <c r="C853" s="6">
        <v>2020</v>
      </c>
      <c r="D853" s="4" t="s">
        <v>62</v>
      </c>
      <c r="E853" s="6" t="s">
        <v>448</v>
      </c>
      <c r="F853" s="7">
        <v>330205176</v>
      </c>
      <c r="G853" s="7">
        <v>1387024787.935</v>
      </c>
    </row>
    <row r="854" spans="1:7">
      <c r="A854" s="4" t="s">
        <v>60</v>
      </c>
      <c r="B854" s="6" t="s">
        <v>61</v>
      </c>
      <c r="C854" s="6">
        <v>2020</v>
      </c>
      <c r="D854" s="4" t="s">
        <v>377</v>
      </c>
      <c r="E854" s="6" t="s">
        <v>451</v>
      </c>
      <c r="F854" s="7">
        <v>446094</v>
      </c>
      <c r="G854" s="7">
        <v>1873815.072</v>
      </c>
    </row>
    <row r="855" spans="1:7">
      <c r="A855" s="4" t="s">
        <v>60</v>
      </c>
      <c r="B855" s="6" t="s">
        <v>61</v>
      </c>
      <c r="C855" s="6">
        <v>2020</v>
      </c>
      <c r="D855" s="4" t="s">
        <v>93</v>
      </c>
      <c r="E855" s="6" t="s">
        <v>458</v>
      </c>
      <c r="F855" s="7">
        <v>7499</v>
      </c>
      <c r="G855" s="7">
        <v>31499.503</v>
      </c>
    </row>
    <row r="856" spans="1:7">
      <c r="A856" s="4" t="s">
        <v>60</v>
      </c>
      <c r="B856" s="6" t="s">
        <v>61</v>
      </c>
      <c r="C856" s="6">
        <v>2021</v>
      </c>
      <c r="D856" s="4" t="s">
        <v>62</v>
      </c>
      <c r="E856" s="6" t="s">
        <v>448</v>
      </c>
      <c r="F856" s="7">
        <v>383334096</v>
      </c>
      <c r="G856" s="7">
        <v>1367814522</v>
      </c>
    </row>
    <row r="857" spans="1:7">
      <c r="A857" s="4" t="s">
        <v>60</v>
      </c>
      <c r="B857" s="6" t="s">
        <v>61</v>
      </c>
      <c r="C857" s="6">
        <v>2022</v>
      </c>
      <c r="D857" s="4" t="s">
        <v>62</v>
      </c>
      <c r="E857" s="6" t="s">
        <v>448</v>
      </c>
      <c r="F857" s="7">
        <v>425140577</v>
      </c>
      <c r="G857" s="7">
        <v>1585720680</v>
      </c>
    </row>
    <row r="858" spans="1:7">
      <c r="A858" s="4" t="s">
        <v>60</v>
      </c>
      <c r="B858" s="6" t="s">
        <v>61</v>
      </c>
      <c r="C858" s="6">
        <v>2022</v>
      </c>
      <c r="D858" s="4" t="s">
        <v>203</v>
      </c>
      <c r="E858" s="6" t="s">
        <v>452</v>
      </c>
      <c r="F858" s="7">
        <v>1224075</v>
      </c>
      <c r="G858" s="7">
        <v>2267023</v>
      </c>
    </row>
    <row r="859" spans="1:7">
      <c r="A859" s="4" t="s">
        <v>60</v>
      </c>
      <c r="B859" s="6" t="s">
        <v>61</v>
      </c>
      <c r="C859" s="6">
        <v>2022</v>
      </c>
      <c r="D859" s="4" t="s">
        <v>73</v>
      </c>
      <c r="E859" s="6" t="s">
        <v>460</v>
      </c>
      <c r="F859" s="7">
        <v>54002</v>
      </c>
      <c r="G859" s="7">
        <v>9307</v>
      </c>
    </row>
    <row r="860" spans="1:7">
      <c r="A860" s="4" t="s">
        <v>60</v>
      </c>
      <c r="B860" s="6" t="s">
        <v>61</v>
      </c>
      <c r="C860" s="6">
        <v>2022</v>
      </c>
      <c r="D860" s="4" t="s">
        <v>93</v>
      </c>
      <c r="E860" s="6" t="s">
        <v>458</v>
      </c>
      <c r="F860" s="7">
        <v>1372</v>
      </c>
      <c r="G860" s="7">
        <v>72</v>
      </c>
    </row>
    <row r="861" spans="1:7">
      <c r="A861" s="4" t="s">
        <v>60</v>
      </c>
      <c r="B861" s="6" t="s">
        <v>61</v>
      </c>
      <c r="C861" s="6">
        <v>2022</v>
      </c>
      <c r="D861" s="4" t="s">
        <v>287</v>
      </c>
      <c r="E861" s="6" t="s">
        <v>463</v>
      </c>
      <c r="F861" s="7">
        <v>565</v>
      </c>
      <c r="G861" s="7">
        <v>80</v>
      </c>
    </row>
    <row r="862" spans="1:7">
      <c r="A862" s="4" t="s">
        <v>60</v>
      </c>
      <c r="B862" s="6" t="s">
        <v>61</v>
      </c>
      <c r="C862" s="6">
        <v>2023</v>
      </c>
      <c r="D862" s="4" t="s">
        <v>62</v>
      </c>
      <c r="E862" s="6" t="s">
        <v>448</v>
      </c>
      <c r="F862" s="7">
        <v>416676974</v>
      </c>
      <c r="G862" s="7">
        <v>1397071116</v>
      </c>
    </row>
    <row r="863" spans="1:7">
      <c r="A863" s="4" t="s">
        <v>60</v>
      </c>
      <c r="B863" s="6" t="s">
        <v>61</v>
      </c>
      <c r="C863" s="6">
        <v>2023</v>
      </c>
      <c r="D863" s="4" t="s">
        <v>203</v>
      </c>
      <c r="E863" s="6" t="s">
        <v>452</v>
      </c>
      <c r="F863" s="7">
        <v>1233458</v>
      </c>
      <c r="G863" s="7">
        <v>2541636</v>
      </c>
    </row>
    <row r="864" spans="1:7">
      <c r="A864" s="4" t="s">
        <v>60</v>
      </c>
      <c r="B864" s="6" t="s">
        <v>61</v>
      </c>
      <c r="C864" s="6">
        <v>2023</v>
      </c>
      <c r="D864" s="4" t="s">
        <v>93</v>
      </c>
      <c r="E864" s="6" t="s">
        <v>458</v>
      </c>
      <c r="F864" s="7">
        <v>2732</v>
      </c>
      <c r="G864" s="7">
        <v>66</v>
      </c>
    </row>
    <row r="865" spans="1:7">
      <c r="A865" s="4" t="s">
        <v>60</v>
      </c>
      <c r="B865" s="6" t="s">
        <v>61</v>
      </c>
      <c r="C865" s="6">
        <v>2024</v>
      </c>
      <c r="D865" s="4" t="s">
        <v>62</v>
      </c>
      <c r="E865" s="6" t="s">
        <v>448</v>
      </c>
      <c r="F865" s="7">
        <v>357164574</v>
      </c>
      <c r="G865" s="7">
        <v>1948003090</v>
      </c>
    </row>
    <row r="866" spans="1:7">
      <c r="A866" s="4" t="s">
        <v>60</v>
      </c>
      <c r="B866" s="6" t="s">
        <v>61</v>
      </c>
      <c r="C866" s="6">
        <v>2024</v>
      </c>
      <c r="D866" s="4" t="s">
        <v>203</v>
      </c>
      <c r="E866" s="6" t="s">
        <v>452</v>
      </c>
      <c r="F866" s="7">
        <v>59352</v>
      </c>
      <c r="G866" s="7">
        <v>81016</v>
      </c>
    </row>
    <row r="867" spans="1:7">
      <c r="A867" s="4" t="s">
        <v>60</v>
      </c>
      <c r="B867" s="6" t="s">
        <v>61</v>
      </c>
      <c r="C867" s="6">
        <v>2024</v>
      </c>
      <c r="D867" s="4" t="s">
        <v>93</v>
      </c>
      <c r="E867" s="6" t="s">
        <v>458</v>
      </c>
      <c r="F867" s="7">
        <v>4663</v>
      </c>
      <c r="G867" s="7">
        <v>31</v>
      </c>
    </row>
    <row r="868" spans="1:7">
      <c r="A868" s="4" t="s">
        <v>60</v>
      </c>
      <c r="B868" s="6" t="s">
        <v>61</v>
      </c>
      <c r="C868" s="6">
        <v>2025</v>
      </c>
      <c r="D868" s="4" t="s">
        <v>62</v>
      </c>
      <c r="E868" s="6" t="s">
        <v>448</v>
      </c>
      <c r="F868" s="7">
        <v>325087358</v>
      </c>
      <c r="G868" s="7">
        <v>1148636700</v>
      </c>
    </row>
    <row r="869" spans="1:7">
      <c r="A869" s="4" t="s">
        <v>60</v>
      </c>
      <c r="B869" s="6" t="s">
        <v>61</v>
      </c>
      <c r="C869" s="6">
        <v>2025</v>
      </c>
      <c r="D869" s="4" t="s">
        <v>203</v>
      </c>
      <c r="E869" s="6" t="s">
        <v>452</v>
      </c>
      <c r="F869" s="7">
        <v>52186</v>
      </c>
      <c r="G869" s="7">
        <v>153113</v>
      </c>
    </row>
    <row r="870" spans="1:7">
      <c r="A870" s="4" t="s">
        <v>60</v>
      </c>
      <c r="B870" s="6" t="s">
        <v>61</v>
      </c>
      <c r="C870" s="6">
        <v>2025</v>
      </c>
      <c r="D870" s="4" t="s">
        <v>73</v>
      </c>
      <c r="E870" s="6" t="s">
        <v>460</v>
      </c>
      <c r="F870" s="7">
        <v>30160</v>
      </c>
      <c r="G870" s="7">
        <v>4937</v>
      </c>
    </row>
    <row r="871" spans="1:7">
      <c r="A871" s="4" t="s">
        <v>60</v>
      </c>
      <c r="B871" s="6" t="s">
        <v>61</v>
      </c>
      <c r="C871" s="6">
        <v>2025</v>
      </c>
      <c r="D871" s="4" t="s">
        <v>93</v>
      </c>
      <c r="E871" s="6" t="s">
        <v>458</v>
      </c>
      <c r="F871" s="7">
        <v>692</v>
      </c>
      <c r="G871" s="7">
        <v>4</v>
      </c>
    </row>
    <row r="872" spans="1:7">
      <c r="A872" s="4" t="s">
        <v>79</v>
      </c>
      <c r="B872" s="6" t="s">
        <v>80</v>
      </c>
      <c r="C872" s="6">
        <v>2020</v>
      </c>
      <c r="D872" s="4" t="s">
        <v>93</v>
      </c>
      <c r="E872" s="6" t="s">
        <v>458</v>
      </c>
      <c r="F872" s="7">
        <v>20938204.809</v>
      </c>
      <c r="G872" s="7">
        <v>70121800</v>
      </c>
    </row>
    <row r="873" spans="1:7">
      <c r="A873" s="4" t="s">
        <v>79</v>
      </c>
      <c r="B873" s="6" t="s">
        <v>80</v>
      </c>
      <c r="C873" s="6">
        <v>2020</v>
      </c>
      <c r="D873" s="4" t="s">
        <v>81</v>
      </c>
      <c r="E873" s="6" t="s">
        <v>449</v>
      </c>
      <c r="F873" s="7">
        <v>19207527.728</v>
      </c>
      <c r="G873" s="7">
        <v>97136000</v>
      </c>
    </row>
    <row r="874" spans="1:7">
      <c r="A874" s="4" t="s">
        <v>79</v>
      </c>
      <c r="B874" s="6" t="s">
        <v>80</v>
      </c>
      <c r="C874" s="6">
        <v>2020</v>
      </c>
      <c r="D874" s="4" t="s">
        <v>125</v>
      </c>
      <c r="E874" s="6" t="s">
        <v>465</v>
      </c>
      <c r="F874" s="7">
        <v>12796934.403</v>
      </c>
      <c r="G874" s="7">
        <v>42324700</v>
      </c>
    </row>
    <row r="875" spans="1:7">
      <c r="A875" s="4" t="s">
        <v>79</v>
      </c>
      <c r="B875" s="6" t="s">
        <v>80</v>
      </c>
      <c r="C875" s="6">
        <v>2020</v>
      </c>
      <c r="D875" s="4" t="s">
        <v>311</v>
      </c>
      <c r="E875" s="6" t="s">
        <v>496</v>
      </c>
      <c r="F875" s="7">
        <v>12465593.623</v>
      </c>
      <c r="G875" s="7">
        <v>42984900</v>
      </c>
    </row>
    <row r="876" spans="1:7">
      <c r="A876" s="4" t="s">
        <v>79</v>
      </c>
      <c r="B876" s="6" t="s">
        <v>80</v>
      </c>
      <c r="C876" s="6">
        <v>2020</v>
      </c>
      <c r="D876" s="4" t="s">
        <v>62</v>
      </c>
      <c r="E876" s="6" t="s">
        <v>448</v>
      </c>
      <c r="F876" s="7">
        <v>1850043.416</v>
      </c>
      <c r="G876" s="7">
        <v>9450140</v>
      </c>
    </row>
    <row r="877" spans="1:7">
      <c r="A877" s="4" t="s">
        <v>79</v>
      </c>
      <c r="B877" s="6" t="s">
        <v>80</v>
      </c>
      <c r="C877" s="6">
        <v>2020</v>
      </c>
      <c r="D877" s="4" t="s">
        <v>121</v>
      </c>
      <c r="E877" s="6" t="s">
        <v>455</v>
      </c>
      <c r="F877" s="7">
        <v>1817834.631</v>
      </c>
      <c r="G877" s="7">
        <v>5431860</v>
      </c>
    </row>
    <row r="878" spans="1:7">
      <c r="A878" s="4" t="s">
        <v>79</v>
      </c>
      <c r="B878" s="6" t="s">
        <v>80</v>
      </c>
      <c r="C878" s="6">
        <v>2020</v>
      </c>
      <c r="D878" s="4" t="s">
        <v>104</v>
      </c>
      <c r="E878" s="6" t="s">
        <v>450</v>
      </c>
      <c r="F878" s="7">
        <v>1424930.629</v>
      </c>
      <c r="G878" s="7">
        <v>6248590</v>
      </c>
    </row>
    <row r="879" spans="1:7">
      <c r="A879" s="4" t="s">
        <v>79</v>
      </c>
      <c r="B879" s="6" t="s">
        <v>80</v>
      </c>
      <c r="C879" s="6">
        <v>2020</v>
      </c>
      <c r="D879" s="4" t="s">
        <v>89</v>
      </c>
      <c r="E879" s="6" t="s">
        <v>459</v>
      </c>
      <c r="F879" s="7">
        <v>1370827.089</v>
      </c>
      <c r="G879" s="7">
        <v>4046380</v>
      </c>
    </row>
    <row r="880" spans="1:7">
      <c r="A880" s="4" t="s">
        <v>79</v>
      </c>
      <c r="B880" s="6" t="s">
        <v>80</v>
      </c>
      <c r="C880" s="6">
        <v>2020</v>
      </c>
      <c r="D880" s="4" t="s">
        <v>115</v>
      </c>
      <c r="E880" s="6" t="s">
        <v>454</v>
      </c>
      <c r="F880" s="7">
        <v>1343375.55</v>
      </c>
      <c r="G880" s="7">
        <v>4067080</v>
      </c>
    </row>
    <row r="881" spans="1:7">
      <c r="A881" s="4" t="s">
        <v>79</v>
      </c>
      <c r="B881" s="6" t="s">
        <v>80</v>
      </c>
      <c r="C881" s="6">
        <v>2020</v>
      </c>
      <c r="D881" s="4" t="s">
        <v>231</v>
      </c>
      <c r="E881" s="6" t="s">
        <v>466</v>
      </c>
      <c r="F881" s="7">
        <v>104585.177</v>
      </c>
      <c r="G881" s="7">
        <v>182864</v>
      </c>
    </row>
    <row r="882" spans="1:7">
      <c r="A882" s="4" t="s">
        <v>79</v>
      </c>
      <c r="B882" s="6" t="s">
        <v>80</v>
      </c>
      <c r="C882" s="6">
        <v>2020</v>
      </c>
      <c r="D882" s="4" t="s">
        <v>157</v>
      </c>
      <c r="E882" s="6" t="s">
        <v>495</v>
      </c>
      <c r="F882" s="7">
        <v>77841.8</v>
      </c>
      <c r="G882" s="7">
        <v>77058</v>
      </c>
    </row>
    <row r="883" spans="1:7">
      <c r="A883" s="4" t="s">
        <v>79</v>
      </c>
      <c r="B883" s="6" t="s">
        <v>80</v>
      </c>
      <c r="C883" s="6">
        <v>2020</v>
      </c>
      <c r="D883" s="4" t="s">
        <v>73</v>
      </c>
      <c r="E883" s="6" t="s">
        <v>460</v>
      </c>
      <c r="F883" s="7">
        <v>23244.831</v>
      </c>
      <c r="G883" s="7">
        <v>68822</v>
      </c>
    </row>
    <row r="884" spans="1:7">
      <c r="A884" s="4" t="s">
        <v>79</v>
      </c>
      <c r="B884" s="6" t="s">
        <v>80</v>
      </c>
      <c r="C884" s="6">
        <v>2020</v>
      </c>
      <c r="D884" s="4" t="s">
        <v>407</v>
      </c>
      <c r="E884" s="6" t="s">
        <v>481</v>
      </c>
      <c r="F884" s="7">
        <v>17994.156</v>
      </c>
      <c r="G884" s="7">
        <v>81018</v>
      </c>
    </row>
    <row r="885" spans="1:7">
      <c r="A885" s="4" t="s">
        <v>79</v>
      </c>
      <c r="B885" s="6" t="s">
        <v>80</v>
      </c>
      <c r="C885" s="6">
        <v>2020</v>
      </c>
      <c r="D885" s="4" t="s">
        <v>225</v>
      </c>
      <c r="E885" s="6" t="s">
        <v>498</v>
      </c>
      <c r="F885" s="7">
        <v>6449.981</v>
      </c>
      <c r="G885" s="7">
        <v>18041</v>
      </c>
    </row>
    <row r="886" spans="1:7">
      <c r="A886" s="4" t="s">
        <v>79</v>
      </c>
      <c r="B886" s="6" t="s">
        <v>80</v>
      </c>
      <c r="C886" s="6">
        <v>2020</v>
      </c>
      <c r="D886" s="4" t="s">
        <v>96</v>
      </c>
      <c r="E886" s="6" t="s">
        <v>453</v>
      </c>
      <c r="F886" s="7">
        <v>5689.278</v>
      </c>
      <c r="G886" s="7">
        <v>15609</v>
      </c>
    </row>
    <row r="887" spans="1:7">
      <c r="A887" s="4" t="s">
        <v>79</v>
      </c>
      <c r="B887" s="6" t="s">
        <v>80</v>
      </c>
      <c r="C887" s="6">
        <v>2020</v>
      </c>
      <c r="D887" s="4" t="s">
        <v>112</v>
      </c>
      <c r="E887" s="6" t="s">
        <v>480</v>
      </c>
      <c r="F887" s="7">
        <v>3457.427</v>
      </c>
      <c r="G887" s="7">
        <v>5000</v>
      </c>
    </row>
    <row r="888" spans="1:7">
      <c r="A888" s="4" t="s">
        <v>79</v>
      </c>
      <c r="B888" s="6" t="s">
        <v>80</v>
      </c>
      <c r="C888" s="6">
        <v>2020</v>
      </c>
      <c r="D888" s="4" t="s">
        <v>185</v>
      </c>
      <c r="E888" s="6" t="s">
        <v>457</v>
      </c>
      <c r="F888" s="7">
        <v>2197.585</v>
      </c>
      <c r="G888" s="7">
        <v>6003</v>
      </c>
    </row>
    <row r="889" spans="1:7">
      <c r="A889" s="4" t="s">
        <v>79</v>
      </c>
      <c r="B889" s="6" t="s">
        <v>80</v>
      </c>
      <c r="C889" s="6">
        <v>2020</v>
      </c>
      <c r="D889" s="4" t="s">
        <v>253</v>
      </c>
      <c r="E889" s="6" t="s">
        <v>469</v>
      </c>
      <c r="F889" s="7">
        <v>1701.872</v>
      </c>
      <c r="G889" s="7">
        <v>4684</v>
      </c>
    </row>
    <row r="890" spans="1:7">
      <c r="A890" s="4" t="s">
        <v>79</v>
      </c>
      <c r="B890" s="6" t="s">
        <v>80</v>
      </c>
      <c r="C890" s="6">
        <v>2020</v>
      </c>
      <c r="D890" s="4" t="s">
        <v>275</v>
      </c>
      <c r="E890" s="6" t="s">
        <v>500</v>
      </c>
      <c r="F890" s="7">
        <v>1568.235</v>
      </c>
      <c r="G890" s="7">
        <v>4291</v>
      </c>
    </row>
    <row r="891" spans="1:7">
      <c r="A891" s="4" t="s">
        <v>79</v>
      </c>
      <c r="B891" s="6" t="s">
        <v>80</v>
      </c>
      <c r="C891" s="6">
        <v>2020</v>
      </c>
      <c r="D891" s="4" t="s">
        <v>299</v>
      </c>
      <c r="E891" s="6" t="s">
        <v>531</v>
      </c>
      <c r="F891" s="7">
        <v>804.106</v>
      </c>
      <c r="G891" s="7">
        <v>2196</v>
      </c>
    </row>
    <row r="892" spans="1:7">
      <c r="A892" s="4" t="s">
        <v>79</v>
      </c>
      <c r="B892" s="6" t="s">
        <v>80</v>
      </c>
      <c r="C892" s="6">
        <v>2020</v>
      </c>
      <c r="D892" s="4" t="s">
        <v>281</v>
      </c>
      <c r="E892" s="6" t="s">
        <v>519</v>
      </c>
      <c r="F892" s="7">
        <v>652.194</v>
      </c>
      <c r="G892" s="7">
        <v>1781</v>
      </c>
    </row>
    <row r="893" spans="1:7">
      <c r="A893" s="4" t="s">
        <v>79</v>
      </c>
      <c r="B893" s="6" t="s">
        <v>80</v>
      </c>
      <c r="C893" s="6">
        <v>2020</v>
      </c>
      <c r="D893" s="4" t="s">
        <v>397</v>
      </c>
      <c r="E893" s="6" t="s">
        <v>492</v>
      </c>
      <c r="F893" s="7">
        <v>601.937</v>
      </c>
      <c r="G893" s="7">
        <v>1644</v>
      </c>
    </row>
    <row r="894" spans="1:7">
      <c r="A894" s="4" t="s">
        <v>79</v>
      </c>
      <c r="B894" s="6" t="s">
        <v>80</v>
      </c>
      <c r="C894" s="6">
        <v>2020</v>
      </c>
      <c r="D894" s="4" t="s">
        <v>265</v>
      </c>
      <c r="E894" s="6" t="s">
        <v>499</v>
      </c>
      <c r="F894" s="7">
        <v>553.965</v>
      </c>
      <c r="G894" s="7">
        <v>1515</v>
      </c>
    </row>
    <row r="895" spans="1:7">
      <c r="A895" s="4" t="s">
        <v>79</v>
      </c>
      <c r="B895" s="6" t="s">
        <v>80</v>
      </c>
      <c r="C895" s="6">
        <v>2020</v>
      </c>
      <c r="D895" s="4" t="s">
        <v>287</v>
      </c>
      <c r="E895" s="6" t="s">
        <v>463</v>
      </c>
      <c r="F895" s="7">
        <v>398.626</v>
      </c>
      <c r="G895" s="7">
        <v>827</v>
      </c>
    </row>
    <row r="896" spans="1:7">
      <c r="A896" s="4" t="s">
        <v>79</v>
      </c>
      <c r="B896" s="6" t="s">
        <v>80</v>
      </c>
      <c r="C896" s="6">
        <v>2020</v>
      </c>
      <c r="D896" s="4" t="s">
        <v>369</v>
      </c>
      <c r="E896" s="6" t="s">
        <v>532</v>
      </c>
      <c r="F896" s="7">
        <v>389.489</v>
      </c>
      <c r="G896" s="7">
        <v>1066</v>
      </c>
    </row>
    <row r="897" spans="1:7">
      <c r="A897" s="4" t="s">
        <v>79</v>
      </c>
      <c r="B897" s="6" t="s">
        <v>80</v>
      </c>
      <c r="C897" s="6">
        <v>2020</v>
      </c>
      <c r="D897" s="4" t="s">
        <v>309</v>
      </c>
      <c r="E897" s="6" t="s">
        <v>510</v>
      </c>
      <c r="F897" s="7">
        <v>379.209</v>
      </c>
      <c r="G897" s="7">
        <v>1345</v>
      </c>
    </row>
    <row r="898" spans="1:7">
      <c r="A898" s="4" t="s">
        <v>79</v>
      </c>
      <c r="B898" s="6" t="s">
        <v>80</v>
      </c>
      <c r="C898" s="6">
        <v>2020</v>
      </c>
      <c r="D898" s="4" t="s">
        <v>375</v>
      </c>
      <c r="E898" s="6" t="s">
        <v>503</v>
      </c>
      <c r="F898" s="7">
        <v>319.815</v>
      </c>
      <c r="G898" s="7">
        <v>876</v>
      </c>
    </row>
    <row r="899" spans="1:7">
      <c r="A899" s="4" t="s">
        <v>79</v>
      </c>
      <c r="B899" s="6" t="s">
        <v>80</v>
      </c>
      <c r="C899" s="6">
        <v>2020</v>
      </c>
      <c r="D899" s="4" t="s">
        <v>155</v>
      </c>
      <c r="E899" s="6" t="s">
        <v>489</v>
      </c>
      <c r="F899" s="7">
        <v>180.467</v>
      </c>
      <c r="G899" s="7">
        <v>546</v>
      </c>
    </row>
    <row r="900" spans="1:7">
      <c r="A900" s="4" t="s">
        <v>79</v>
      </c>
      <c r="B900" s="6" t="s">
        <v>80</v>
      </c>
      <c r="C900" s="6">
        <v>2020</v>
      </c>
      <c r="D900" s="4" t="s">
        <v>399</v>
      </c>
      <c r="E900" s="6" t="s">
        <v>501</v>
      </c>
      <c r="F900" s="7">
        <v>146.201</v>
      </c>
      <c r="G900" s="7">
        <v>410</v>
      </c>
    </row>
    <row r="901" spans="1:7">
      <c r="A901" s="4" t="s">
        <v>79</v>
      </c>
      <c r="B901" s="6" t="s">
        <v>80</v>
      </c>
      <c r="C901" s="6">
        <v>2020</v>
      </c>
      <c r="D901" s="4" t="s">
        <v>243</v>
      </c>
      <c r="E901" s="6" t="s">
        <v>511</v>
      </c>
      <c r="F901" s="7">
        <v>145.059</v>
      </c>
      <c r="G901" s="7">
        <v>398</v>
      </c>
    </row>
    <row r="902" spans="1:7">
      <c r="A902" s="4" t="s">
        <v>79</v>
      </c>
      <c r="B902" s="6" t="s">
        <v>80</v>
      </c>
      <c r="C902" s="6">
        <v>2020</v>
      </c>
      <c r="D902" s="4" t="s">
        <v>217</v>
      </c>
      <c r="E902" s="6" t="s">
        <v>502</v>
      </c>
      <c r="F902" s="7">
        <v>142.774</v>
      </c>
      <c r="G902" s="7">
        <v>384</v>
      </c>
    </row>
    <row r="903" spans="1:7">
      <c r="A903" s="4" t="s">
        <v>79</v>
      </c>
      <c r="B903" s="6" t="s">
        <v>80</v>
      </c>
      <c r="C903" s="6">
        <v>2020</v>
      </c>
      <c r="D903" s="4" t="s">
        <v>321</v>
      </c>
      <c r="E903" s="6" t="s">
        <v>473</v>
      </c>
      <c r="F903" s="7">
        <v>29.697</v>
      </c>
      <c r="G903" s="7">
        <v>85</v>
      </c>
    </row>
    <row r="904" spans="1:7">
      <c r="A904" s="4" t="s">
        <v>79</v>
      </c>
      <c r="B904" s="6" t="s">
        <v>80</v>
      </c>
      <c r="C904" s="6">
        <v>2020</v>
      </c>
      <c r="D904" s="4" t="s">
        <v>223</v>
      </c>
      <c r="E904" s="6" t="s">
        <v>467</v>
      </c>
      <c r="F904" s="7">
        <v>1.142</v>
      </c>
      <c r="G904" s="7">
        <v>5</v>
      </c>
    </row>
    <row r="905" spans="1:7">
      <c r="A905" s="4" t="s">
        <v>79</v>
      </c>
      <c r="B905" s="6" t="s">
        <v>80</v>
      </c>
      <c r="C905" s="6">
        <v>2021</v>
      </c>
      <c r="D905" s="4" t="s">
        <v>93</v>
      </c>
      <c r="E905" s="6" t="s">
        <v>458</v>
      </c>
      <c r="F905" s="7">
        <v>32787865.371</v>
      </c>
      <c r="G905" s="7">
        <v>119749000</v>
      </c>
    </row>
    <row r="906" spans="1:7">
      <c r="A906" s="4" t="s">
        <v>79</v>
      </c>
      <c r="B906" s="6" t="s">
        <v>80</v>
      </c>
      <c r="C906" s="6">
        <v>2021</v>
      </c>
      <c r="D906" s="4" t="s">
        <v>81</v>
      </c>
      <c r="E906" s="6" t="s">
        <v>449</v>
      </c>
      <c r="F906" s="7">
        <v>32440263.908</v>
      </c>
      <c r="G906" s="7">
        <v>168624000</v>
      </c>
    </row>
    <row r="907" spans="1:7">
      <c r="A907" s="4" t="s">
        <v>79</v>
      </c>
      <c r="B907" s="6" t="s">
        <v>80</v>
      </c>
      <c r="C907" s="6">
        <v>2021</v>
      </c>
      <c r="D907" s="4" t="s">
        <v>125</v>
      </c>
      <c r="E907" s="6" t="s">
        <v>465</v>
      </c>
      <c r="F907" s="7">
        <v>15294191.177</v>
      </c>
      <c r="G907" s="7">
        <v>48599100</v>
      </c>
    </row>
    <row r="908" spans="1:7">
      <c r="A908" s="4" t="s">
        <v>79</v>
      </c>
      <c r="B908" s="6" t="s">
        <v>80</v>
      </c>
      <c r="C908" s="6">
        <v>2021</v>
      </c>
      <c r="D908" s="4" t="s">
        <v>311</v>
      </c>
      <c r="E908" s="6" t="s">
        <v>496</v>
      </c>
      <c r="F908" s="7">
        <v>13697086.078</v>
      </c>
      <c r="G908" s="7">
        <v>49658800</v>
      </c>
    </row>
    <row r="909" spans="1:7">
      <c r="A909" s="4" t="s">
        <v>79</v>
      </c>
      <c r="B909" s="6" t="s">
        <v>80</v>
      </c>
      <c r="C909" s="6">
        <v>2021</v>
      </c>
      <c r="D909" s="4" t="s">
        <v>104</v>
      </c>
      <c r="E909" s="6" t="s">
        <v>450</v>
      </c>
      <c r="F909" s="7">
        <v>2699293.697</v>
      </c>
      <c r="G909" s="7">
        <v>12207700</v>
      </c>
    </row>
    <row r="910" spans="1:7">
      <c r="A910" s="4" t="s">
        <v>79</v>
      </c>
      <c r="B910" s="6" t="s">
        <v>80</v>
      </c>
      <c r="C910" s="6">
        <v>2021</v>
      </c>
      <c r="D910" s="4" t="s">
        <v>121</v>
      </c>
      <c r="E910" s="6" t="s">
        <v>455</v>
      </c>
      <c r="F910" s="7">
        <v>2542665.763</v>
      </c>
      <c r="G910" s="7">
        <v>8400340</v>
      </c>
    </row>
    <row r="911" spans="1:7">
      <c r="A911" s="4" t="s">
        <v>79</v>
      </c>
      <c r="B911" s="6" t="s">
        <v>80</v>
      </c>
      <c r="C911" s="6">
        <v>2021</v>
      </c>
      <c r="D911" s="4" t="s">
        <v>89</v>
      </c>
      <c r="E911" s="6" t="s">
        <v>459</v>
      </c>
      <c r="F911" s="7">
        <v>1975327.708</v>
      </c>
      <c r="G911" s="7">
        <v>5909848</v>
      </c>
    </row>
    <row r="912" spans="1:7">
      <c r="A912" s="4" t="s">
        <v>79</v>
      </c>
      <c r="B912" s="6" t="s">
        <v>80</v>
      </c>
      <c r="C912" s="6">
        <v>2021</v>
      </c>
      <c r="D912" s="4" t="s">
        <v>115</v>
      </c>
      <c r="E912" s="6" t="s">
        <v>454</v>
      </c>
      <c r="F912" s="7">
        <v>1357692.439</v>
      </c>
      <c r="G912" s="7">
        <v>4055190</v>
      </c>
    </row>
    <row r="913" spans="1:7">
      <c r="A913" s="4" t="s">
        <v>79</v>
      </c>
      <c r="B913" s="6" t="s">
        <v>80</v>
      </c>
      <c r="C913" s="6">
        <v>2021</v>
      </c>
      <c r="D913" s="4" t="s">
        <v>225</v>
      </c>
      <c r="E913" s="6" t="s">
        <v>498</v>
      </c>
      <c r="F913" s="7">
        <v>109958.184</v>
      </c>
      <c r="G913" s="7">
        <v>318061</v>
      </c>
    </row>
    <row r="914" spans="1:7">
      <c r="A914" s="4" t="s">
        <v>79</v>
      </c>
      <c r="B914" s="6" t="s">
        <v>80</v>
      </c>
      <c r="C914" s="6">
        <v>2021</v>
      </c>
      <c r="D914" s="4" t="s">
        <v>231</v>
      </c>
      <c r="E914" s="6" t="s">
        <v>466</v>
      </c>
      <c r="F914" s="7">
        <v>80872.234</v>
      </c>
      <c r="G914" s="7">
        <v>232938</v>
      </c>
    </row>
    <row r="915" spans="1:7">
      <c r="A915" s="4" t="s">
        <v>79</v>
      </c>
      <c r="B915" s="6" t="s">
        <v>80</v>
      </c>
      <c r="C915" s="6">
        <v>2021</v>
      </c>
      <c r="D915" s="4" t="s">
        <v>407</v>
      </c>
      <c r="E915" s="6" t="s">
        <v>481</v>
      </c>
      <c r="F915" s="7">
        <v>67940.152</v>
      </c>
      <c r="G915" s="7">
        <v>241411</v>
      </c>
    </row>
    <row r="916" spans="1:7">
      <c r="A916" s="4" t="s">
        <v>79</v>
      </c>
      <c r="B916" s="6" t="s">
        <v>80</v>
      </c>
      <c r="C916" s="6">
        <v>2021</v>
      </c>
      <c r="D916" s="4" t="s">
        <v>157</v>
      </c>
      <c r="E916" s="6" t="s">
        <v>495</v>
      </c>
      <c r="F916" s="7">
        <v>67863.274</v>
      </c>
      <c r="G916" s="7">
        <v>66095</v>
      </c>
    </row>
    <row r="917" spans="1:7">
      <c r="A917" s="4" t="s">
        <v>79</v>
      </c>
      <c r="B917" s="6" t="s">
        <v>80</v>
      </c>
      <c r="C917" s="6">
        <v>2021</v>
      </c>
      <c r="D917" s="4" t="s">
        <v>62</v>
      </c>
      <c r="E917" s="6" t="s">
        <v>448</v>
      </c>
      <c r="F917" s="7">
        <v>67001.056</v>
      </c>
      <c r="G917" s="7">
        <v>133716</v>
      </c>
    </row>
    <row r="918" spans="1:7">
      <c r="A918" s="4" t="s">
        <v>79</v>
      </c>
      <c r="B918" s="6" t="s">
        <v>80</v>
      </c>
      <c r="C918" s="6">
        <v>2021</v>
      </c>
      <c r="D918" s="4" t="s">
        <v>96</v>
      </c>
      <c r="E918" s="6" t="s">
        <v>453</v>
      </c>
      <c r="F918" s="7">
        <v>22157.457</v>
      </c>
      <c r="G918" s="7">
        <v>67682</v>
      </c>
    </row>
    <row r="919" spans="1:7">
      <c r="A919" s="4" t="s">
        <v>79</v>
      </c>
      <c r="B919" s="6" t="s">
        <v>80</v>
      </c>
      <c r="C919" s="6">
        <v>2021</v>
      </c>
      <c r="D919" s="4" t="s">
        <v>301</v>
      </c>
      <c r="E919" s="6" t="s">
        <v>533</v>
      </c>
      <c r="F919" s="7">
        <v>3324.683</v>
      </c>
      <c r="G919" s="7">
        <v>3504</v>
      </c>
    </row>
    <row r="920" spans="1:7">
      <c r="A920" s="4" t="s">
        <v>79</v>
      </c>
      <c r="B920" s="6" t="s">
        <v>80</v>
      </c>
      <c r="C920" s="6">
        <v>2021</v>
      </c>
      <c r="D920" s="4" t="s">
        <v>397</v>
      </c>
      <c r="E920" s="6" t="s">
        <v>492</v>
      </c>
      <c r="F920" s="7">
        <v>3128.348</v>
      </c>
      <c r="G920" s="7">
        <v>7778</v>
      </c>
    </row>
    <row r="921" spans="1:7">
      <c r="A921" s="4" t="s">
        <v>79</v>
      </c>
      <c r="B921" s="6" t="s">
        <v>80</v>
      </c>
      <c r="C921" s="6">
        <v>2021</v>
      </c>
      <c r="D921" s="4" t="s">
        <v>275</v>
      </c>
      <c r="E921" s="6" t="s">
        <v>500</v>
      </c>
      <c r="F921" s="7">
        <v>2150.222</v>
      </c>
      <c r="G921" s="7">
        <v>5346</v>
      </c>
    </row>
    <row r="922" spans="1:7">
      <c r="A922" s="4" t="s">
        <v>79</v>
      </c>
      <c r="B922" s="6" t="s">
        <v>80</v>
      </c>
      <c r="C922" s="6">
        <v>2021</v>
      </c>
      <c r="D922" s="4" t="s">
        <v>253</v>
      </c>
      <c r="E922" s="6" t="s">
        <v>469</v>
      </c>
      <c r="F922" s="7">
        <v>761.6849999999999</v>
      </c>
      <c r="G922" s="7">
        <v>1899</v>
      </c>
    </row>
    <row r="923" spans="1:7">
      <c r="A923" s="4" t="s">
        <v>79</v>
      </c>
      <c r="B923" s="6" t="s">
        <v>80</v>
      </c>
      <c r="C923" s="6">
        <v>2021</v>
      </c>
      <c r="D923" s="4" t="s">
        <v>185</v>
      </c>
      <c r="E923" s="6" t="s">
        <v>457</v>
      </c>
      <c r="F923" s="7">
        <v>719.106</v>
      </c>
      <c r="G923" s="7">
        <v>1788</v>
      </c>
    </row>
    <row r="924" spans="1:7">
      <c r="A924" s="4" t="s">
        <v>79</v>
      </c>
      <c r="B924" s="6" t="s">
        <v>80</v>
      </c>
      <c r="C924" s="6">
        <v>2021</v>
      </c>
      <c r="D924" s="4" t="s">
        <v>375</v>
      </c>
      <c r="E924" s="6" t="s">
        <v>503</v>
      </c>
      <c r="F924" s="7">
        <v>605.563</v>
      </c>
      <c r="G924" s="7">
        <v>1508</v>
      </c>
    </row>
    <row r="925" spans="1:7">
      <c r="A925" s="4" t="s">
        <v>79</v>
      </c>
      <c r="B925" s="6" t="s">
        <v>80</v>
      </c>
      <c r="C925" s="6">
        <v>2021</v>
      </c>
      <c r="D925" s="4" t="s">
        <v>155</v>
      </c>
      <c r="E925" s="6" t="s">
        <v>489</v>
      </c>
      <c r="F925" s="7">
        <v>597.284</v>
      </c>
      <c r="G925" s="7">
        <v>1000</v>
      </c>
    </row>
    <row r="926" spans="1:7">
      <c r="A926" s="4" t="s">
        <v>79</v>
      </c>
      <c r="B926" s="6" t="s">
        <v>80</v>
      </c>
      <c r="C926" s="6">
        <v>2021</v>
      </c>
      <c r="D926" s="4" t="s">
        <v>399</v>
      </c>
      <c r="E926" s="6" t="s">
        <v>501</v>
      </c>
      <c r="F926" s="7">
        <v>445.893</v>
      </c>
      <c r="G926" s="7">
        <v>1106</v>
      </c>
    </row>
    <row r="927" spans="1:7">
      <c r="A927" s="4" t="s">
        <v>79</v>
      </c>
      <c r="B927" s="6" t="s">
        <v>80</v>
      </c>
      <c r="C927" s="6">
        <v>2021</v>
      </c>
      <c r="D927" s="4" t="s">
        <v>287</v>
      </c>
      <c r="E927" s="6" t="s">
        <v>463</v>
      </c>
      <c r="F927" s="7">
        <v>413.959</v>
      </c>
      <c r="G927" s="7">
        <v>400</v>
      </c>
    </row>
    <row r="928" spans="1:7">
      <c r="A928" s="4" t="s">
        <v>79</v>
      </c>
      <c r="B928" s="6" t="s">
        <v>80</v>
      </c>
      <c r="C928" s="6">
        <v>2021</v>
      </c>
      <c r="D928" s="4" t="s">
        <v>369</v>
      </c>
      <c r="E928" s="6" t="s">
        <v>532</v>
      </c>
      <c r="F928" s="7">
        <v>376.111</v>
      </c>
      <c r="G928" s="7">
        <v>939</v>
      </c>
    </row>
    <row r="929" spans="1:7">
      <c r="A929" s="4" t="s">
        <v>79</v>
      </c>
      <c r="B929" s="6" t="s">
        <v>80</v>
      </c>
      <c r="C929" s="6">
        <v>2021</v>
      </c>
      <c r="D929" s="4" t="s">
        <v>299</v>
      </c>
      <c r="E929" s="6" t="s">
        <v>531</v>
      </c>
      <c r="F929" s="7">
        <v>337.081</v>
      </c>
      <c r="G929" s="7">
        <v>846</v>
      </c>
    </row>
    <row r="930" spans="1:7">
      <c r="A930" s="4" t="s">
        <v>79</v>
      </c>
      <c r="B930" s="6" t="s">
        <v>80</v>
      </c>
      <c r="C930" s="6">
        <v>2021</v>
      </c>
      <c r="D930" s="4" t="s">
        <v>281</v>
      </c>
      <c r="E930" s="6" t="s">
        <v>519</v>
      </c>
      <c r="F930" s="7">
        <v>312.243</v>
      </c>
      <c r="G930" s="7">
        <v>798</v>
      </c>
    </row>
    <row r="931" spans="1:7">
      <c r="A931" s="4" t="s">
        <v>79</v>
      </c>
      <c r="B931" s="6" t="s">
        <v>80</v>
      </c>
      <c r="C931" s="6">
        <v>2021</v>
      </c>
      <c r="D931" s="4" t="s">
        <v>265</v>
      </c>
      <c r="E931" s="6" t="s">
        <v>499</v>
      </c>
      <c r="F931" s="7">
        <v>290.954</v>
      </c>
      <c r="G931" s="7">
        <v>726</v>
      </c>
    </row>
    <row r="932" spans="1:7">
      <c r="A932" s="4" t="s">
        <v>79</v>
      </c>
      <c r="B932" s="6" t="s">
        <v>80</v>
      </c>
      <c r="C932" s="6">
        <v>2021</v>
      </c>
      <c r="D932" s="4" t="s">
        <v>309</v>
      </c>
      <c r="E932" s="6" t="s">
        <v>510</v>
      </c>
      <c r="F932" s="7">
        <v>257.837</v>
      </c>
      <c r="G932" s="7">
        <v>647</v>
      </c>
    </row>
    <row r="933" spans="1:7">
      <c r="A933" s="4" t="s">
        <v>79</v>
      </c>
      <c r="B933" s="6" t="s">
        <v>80</v>
      </c>
      <c r="C933" s="6">
        <v>2021</v>
      </c>
      <c r="D933" s="4" t="s">
        <v>217</v>
      </c>
      <c r="E933" s="6" t="s">
        <v>502</v>
      </c>
      <c r="F933" s="7">
        <v>123.005</v>
      </c>
      <c r="G933" s="7">
        <v>307</v>
      </c>
    </row>
    <row r="934" spans="1:7">
      <c r="A934" s="4" t="s">
        <v>79</v>
      </c>
      <c r="B934" s="6" t="s">
        <v>80</v>
      </c>
      <c r="C934" s="6">
        <v>2021</v>
      </c>
      <c r="D934" s="4" t="s">
        <v>321</v>
      </c>
      <c r="E934" s="6" t="s">
        <v>473</v>
      </c>
      <c r="F934" s="7">
        <v>85.157</v>
      </c>
      <c r="G934" s="7">
        <v>213</v>
      </c>
    </row>
    <row r="935" spans="1:7">
      <c r="A935" s="4" t="s">
        <v>79</v>
      </c>
      <c r="B935" s="6" t="s">
        <v>80</v>
      </c>
      <c r="C935" s="6">
        <v>2021</v>
      </c>
      <c r="D935" s="4" t="s">
        <v>243</v>
      </c>
      <c r="E935" s="6" t="s">
        <v>511</v>
      </c>
      <c r="F935" s="7">
        <v>54.406</v>
      </c>
      <c r="G935" s="7">
        <v>139</v>
      </c>
    </row>
    <row r="936" spans="1:7">
      <c r="A936" s="4" t="s">
        <v>79</v>
      </c>
      <c r="B936" s="6" t="s">
        <v>80</v>
      </c>
      <c r="C936" s="6">
        <v>2021</v>
      </c>
      <c r="D936" s="4" t="s">
        <v>223</v>
      </c>
      <c r="E936" s="6" t="s">
        <v>467</v>
      </c>
      <c r="F936" s="7">
        <v>41.396</v>
      </c>
      <c r="G936" s="7">
        <v>103</v>
      </c>
    </row>
    <row r="937" spans="1:7">
      <c r="A937" s="4" t="s">
        <v>79</v>
      </c>
      <c r="B937" s="6" t="s">
        <v>80</v>
      </c>
      <c r="C937" s="6">
        <v>2021</v>
      </c>
      <c r="D937" s="4" t="s">
        <v>73</v>
      </c>
      <c r="E937" s="6" t="s">
        <v>460</v>
      </c>
      <c r="F937" s="7">
        <v>8.279</v>
      </c>
      <c r="G937" s="7">
        <v>24</v>
      </c>
    </row>
    <row r="938" spans="1:7">
      <c r="A938" s="4" t="s">
        <v>79</v>
      </c>
      <c r="B938" s="6" t="s">
        <v>80</v>
      </c>
      <c r="C938" s="6">
        <v>2022</v>
      </c>
      <c r="D938" s="4" t="s">
        <v>81</v>
      </c>
      <c r="E938" s="6" t="s">
        <v>449</v>
      </c>
      <c r="F938" s="7">
        <v>55006183.684</v>
      </c>
      <c r="G938" s="7">
        <v>179449000</v>
      </c>
    </row>
    <row r="939" spans="1:7">
      <c r="A939" s="4" t="s">
        <v>79</v>
      </c>
      <c r="B939" s="6" t="s">
        <v>80</v>
      </c>
      <c r="C939" s="6">
        <v>2022</v>
      </c>
      <c r="D939" s="4" t="s">
        <v>93</v>
      </c>
      <c r="E939" s="6" t="s">
        <v>458</v>
      </c>
      <c r="F939" s="7">
        <v>34461120.669</v>
      </c>
      <c r="G939" s="7">
        <v>95141800</v>
      </c>
    </row>
    <row r="940" spans="1:7">
      <c r="A940" s="4" t="s">
        <v>79</v>
      </c>
      <c r="B940" s="6" t="s">
        <v>80</v>
      </c>
      <c r="C940" s="6">
        <v>2022</v>
      </c>
      <c r="D940" s="4" t="s">
        <v>311</v>
      </c>
      <c r="E940" s="6" t="s">
        <v>496</v>
      </c>
      <c r="F940" s="7">
        <v>20649028.4</v>
      </c>
      <c r="G940" s="7">
        <v>60919800</v>
      </c>
    </row>
    <row r="941" spans="1:7">
      <c r="A941" s="4" t="s">
        <v>79</v>
      </c>
      <c r="B941" s="6" t="s">
        <v>80</v>
      </c>
      <c r="C941" s="6">
        <v>2022</v>
      </c>
      <c r="D941" s="4" t="s">
        <v>125</v>
      </c>
      <c r="E941" s="6" t="s">
        <v>465</v>
      </c>
      <c r="F941" s="7">
        <v>16301192.792</v>
      </c>
      <c r="G941" s="7">
        <v>52583400</v>
      </c>
    </row>
    <row r="942" spans="1:7">
      <c r="A942" s="4" t="s">
        <v>79</v>
      </c>
      <c r="B942" s="6" t="s">
        <v>80</v>
      </c>
      <c r="C942" s="6">
        <v>2022</v>
      </c>
      <c r="D942" s="4" t="s">
        <v>121</v>
      </c>
      <c r="E942" s="6" t="s">
        <v>455</v>
      </c>
      <c r="F942" s="7">
        <v>3761182.216</v>
      </c>
      <c r="G942" s="7">
        <v>9272530</v>
      </c>
    </row>
    <row r="943" spans="1:7">
      <c r="A943" s="4" t="s">
        <v>79</v>
      </c>
      <c r="B943" s="6" t="s">
        <v>80</v>
      </c>
      <c r="C943" s="6">
        <v>2022</v>
      </c>
      <c r="D943" s="4" t="s">
        <v>89</v>
      </c>
      <c r="E943" s="6" t="s">
        <v>459</v>
      </c>
      <c r="F943" s="7">
        <v>3493090.778</v>
      </c>
      <c r="G943" s="7">
        <v>9821240</v>
      </c>
    </row>
    <row r="944" spans="1:7">
      <c r="A944" s="4" t="s">
        <v>79</v>
      </c>
      <c r="B944" s="6" t="s">
        <v>80</v>
      </c>
      <c r="C944" s="6">
        <v>2022</v>
      </c>
      <c r="D944" s="4" t="s">
        <v>104</v>
      </c>
      <c r="E944" s="6" t="s">
        <v>450</v>
      </c>
      <c r="F944" s="7">
        <v>2913662.353</v>
      </c>
      <c r="G944" s="7">
        <v>12654200</v>
      </c>
    </row>
    <row r="945" spans="1:7">
      <c r="A945" s="4" t="s">
        <v>79</v>
      </c>
      <c r="B945" s="6" t="s">
        <v>80</v>
      </c>
      <c r="C945" s="6">
        <v>2022</v>
      </c>
      <c r="D945" s="4" t="s">
        <v>115</v>
      </c>
      <c r="E945" s="6" t="s">
        <v>454</v>
      </c>
      <c r="F945" s="7">
        <v>2055996.365</v>
      </c>
      <c r="G945" s="7">
        <v>5123750</v>
      </c>
    </row>
    <row r="946" spans="1:7">
      <c r="A946" s="4" t="s">
        <v>79</v>
      </c>
      <c r="B946" s="6" t="s">
        <v>80</v>
      </c>
      <c r="C946" s="6">
        <v>2022</v>
      </c>
      <c r="D946" s="4" t="s">
        <v>96</v>
      </c>
      <c r="E946" s="6" t="s">
        <v>453</v>
      </c>
      <c r="F946" s="7">
        <v>193218.628</v>
      </c>
      <c r="G946" s="7">
        <v>491498</v>
      </c>
    </row>
    <row r="947" spans="1:7">
      <c r="A947" s="4" t="s">
        <v>79</v>
      </c>
      <c r="B947" s="6" t="s">
        <v>80</v>
      </c>
      <c r="C947" s="6">
        <v>2022</v>
      </c>
      <c r="D947" s="4" t="s">
        <v>157</v>
      </c>
      <c r="E947" s="6" t="s">
        <v>495</v>
      </c>
      <c r="F947" s="7">
        <v>178472.788</v>
      </c>
      <c r="G947" s="7">
        <v>442406</v>
      </c>
    </row>
    <row r="948" spans="1:7">
      <c r="A948" s="4" t="s">
        <v>79</v>
      </c>
      <c r="B948" s="6" t="s">
        <v>80</v>
      </c>
      <c r="C948" s="6">
        <v>2022</v>
      </c>
      <c r="D948" s="4" t="s">
        <v>407</v>
      </c>
      <c r="E948" s="6" t="s">
        <v>481</v>
      </c>
      <c r="F948" s="7">
        <v>170666.538</v>
      </c>
      <c r="G948" s="7">
        <v>444359</v>
      </c>
    </row>
    <row r="949" spans="1:7">
      <c r="A949" s="4" t="s">
        <v>79</v>
      </c>
      <c r="B949" s="6" t="s">
        <v>80</v>
      </c>
      <c r="C949" s="6">
        <v>2022</v>
      </c>
      <c r="D949" s="4" t="s">
        <v>225</v>
      </c>
      <c r="E949" s="6" t="s">
        <v>498</v>
      </c>
      <c r="F949" s="7">
        <v>121552.35</v>
      </c>
      <c r="G949" s="7">
        <v>323697</v>
      </c>
    </row>
    <row r="950" spans="1:7">
      <c r="A950" s="4" t="s">
        <v>79</v>
      </c>
      <c r="B950" s="6" t="s">
        <v>80</v>
      </c>
      <c r="C950" s="6">
        <v>2022</v>
      </c>
      <c r="D950" s="4" t="s">
        <v>231</v>
      </c>
      <c r="E950" s="6" t="s">
        <v>466</v>
      </c>
      <c r="F950" s="7">
        <v>80400.26300000001</v>
      </c>
      <c r="G950" s="7">
        <v>193588</v>
      </c>
    </row>
    <row r="951" spans="1:7">
      <c r="A951" s="4" t="s">
        <v>79</v>
      </c>
      <c r="B951" s="6" t="s">
        <v>80</v>
      </c>
      <c r="C951" s="6">
        <v>2022</v>
      </c>
      <c r="D951" s="4" t="s">
        <v>265</v>
      </c>
      <c r="E951" s="6" t="s">
        <v>499</v>
      </c>
      <c r="F951" s="7">
        <v>45900.284</v>
      </c>
      <c r="G951" s="7">
        <v>119057</v>
      </c>
    </row>
    <row r="952" spans="1:7">
      <c r="A952" s="4" t="s">
        <v>79</v>
      </c>
      <c r="B952" s="6" t="s">
        <v>80</v>
      </c>
      <c r="C952" s="6">
        <v>2022</v>
      </c>
      <c r="D952" s="4" t="s">
        <v>299</v>
      </c>
      <c r="E952" s="6" t="s">
        <v>531</v>
      </c>
      <c r="F952" s="7">
        <v>43995.319</v>
      </c>
      <c r="G952" s="7">
        <v>105898</v>
      </c>
    </row>
    <row r="953" spans="1:7">
      <c r="A953" s="4" t="s">
        <v>79</v>
      </c>
      <c r="B953" s="6" t="s">
        <v>80</v>
      </c>
      <c r="C953" s="6">
        <v>2022</v>
      </c>
      <c r="D953" s="4" t="s">
        <v>369</v>
      </c>
      <c r="E953" s="6" t="s">
        <v>532</v>
      </c>
      <c r="F953" s="7">
        <v>40886.719</v>
      </c>
      <c r="G953" s="7">
        <v>103512</v>
      </c>
    </row>
    <row r="954" spans="1:7">
      <c r="A954" s="4" t="s">
        <v>79</v>
      </c>
      <c r="B954" s="6" t="s">
        <v>80</v>
      </c>
      <c r="C954" s="6">
        <v>2022</v>
      </c>
      <c r="D954" s="4" t="s">
        <v>62</v>
      </c>
      <c r="E954" s="6" t="s">
        <v>448</v>
      </c>
      <c r="F954" s="7">
        <v>40146.426</v>
      </c>
      <c r="G954" s="7">
        <v>121244</v>
      </c>
    </row>
    <row r="955" spans="1:7">
      <c r="A955" s="4" t="s">
        <v>79</v>
      </c>
      <c r="B955" s="6" t="s">
        <v>80</v>
      </c>
      <c r="C955" s="6">
        <v>2022</v>
      </c>
      <c r="D955" s="4" t="s">
        <v>275</v>
      </c>
      <c r="E955" s="6" t="s">
        <v>500</v>
      </c>
      <c r="F955" s="7">
        <v>32159.052</v>
      </c>
      <c r="G955" s="7">
        <v>79638</v>
      </c>
    </row>
    <row r="956" spans="1:7">
      <c r="A956" s="4" t="s">
        <v>79</v>
      </c>
      <c r="B956" s="6" t="s">
        <v>80</v>
      </c>
      <c r="C956" s="6">
        <v>2022</v>
      </c>
      <c r="D956" s="4" t="s">
        <v>375</v>
      </c>
      <c r="E956" s="6" t="s">
        <v>503</v>
      </c>
      <c r="F956" s="7">
        <v>29911.846</v>
      </c>
      <c r="G956" s="7">
        <v>70630</v>
      </c>
    </row>
    <row r="957" spans="1:7">
      <c r="A957" s="4" t="s">
        <v>79</v>
      </c>
      <c r="B957" s="6" t="s">
        <v>80</v>
      </c>
      <c r="C957" s="6">
        <v>2022</v>
      </c>
      <c r="D957" s="4" t="s">
        <v>253</v>
      </c>
      <c r="E957" s="6" t="s">
        <v>469</v>
      </c>
      <c r="F957" s="7">
        <v>26760.072</v>
      </c>
      <c r="G957" s="7">
        <v>70013</v>
      </c>
    </row>
    <row r="958" spans="1:7">
      <c r="A958" s="4" t="s">
        <v>79</v>
      </c>
      <c r="B958" s="6" t="s">
        <v>80</v>
      </c>
      <c r="C958" s="6">
        <v>2022</v>
      </c>
      <c r="D958" s="4" t="s">
        <v>281</v>
      </c>
      <c r="E958" s="6" t="s">
        <v>519</v>
      </c>
      <c r="F958" s="7">
        <v>26351.489</v>
      </c>
      <c r="G958" s="7">
        <v>65544</v>
      </c>
    </row>
    <row r="959" spans="1:7">
      <c r="A959" s="4" t="s">
        <v>79</v>
      </c>
      <c r="B959" s="6" t="s">
        <v>80</v>
      </c>
      <c r="C959" s="6">
        <v>2022</v>
      </c>
      <c r="D959" s="4" t="s">
        <v>397</v>
      </c>
      <c r="E959" s="6" t="s">
        <v>492</v>
      </c>
      <c r="F959" s="7">
        <v>25698.599</v>
      </c>
      <c r="G959" s="7">
        <v>65743</v>
      </c>
    </row>
    <row r="960" spans="1:7">
      <c r="A960" s="4" t="s">
        <v>79</v>
      </c>
      <c r="B960" s="6" t="s">
        <v>80</v>
      </c>
      <c r="C960" s="6">
        <v>2022</v>
      </c>
      <c r="D960" s="4" t="s">
        <v>309</v>
      </c>
      <c r="E960" s="6" t="s">
        <v>510</v>
      </c>
      <c r="F960" s="7">
        <v>20345.953</v>
      </c>
      <c r="G960" s="7">
        <v>49788</v>
      </c>
    </row>
    <row r="961" spans="1:7">
      <c r="A961" s="4" t="s">
        <v>79</v>
      </c>
      <c r="B961" s="6" t="s">
        <v>80</v>
      </c>
      <c r="C961" s="6">
        <v>2022</v>
      </c>
      <c r="D961" s="4" t="s">
        <v>185</v>
      </c>
      <c r="E961" s="6" t="s">
        <v>457</v>
      </c>
      <c r="F961" s="7">
        <v>11658.301</v>
      </c>
      <c r="G961" s="7">
        <v>29553</v>
      </c>
    </row>
    <row r="962" spans="1:7">
      <c r="A962" s="4" t="s">
        <v>79</v>
      </c>
      <c r="B962" s="6" t="s">
        <v>80</v>
      </c>
      <c r="C962" s="6">
        <v>2022</v>
      </c>
      <c r="D962" s="4" t="s">
        <v>399</v>
      </c>
      <c r="E962" s="6" t="s">
        <v>501</v>
      </c>
      <c r="F962" s="7">
        <v>10656.852</v>
      </c>
      <c r="G962" s="7">
        <v>27364</v>
      </c>
    </row>
    <row r="963" spans="1:7">
      <c r="A963" s="4" t="s">
        <v>79</v>
      </c>
      <c r="B963" s="6" t="s">
        <v>80</v>
      </c>
      <c r="C963" s="6">
        <v>2022</v>
      </c>
      <c r="D963" s="4" t="s">
        <v>243</v>
      </c>
      <c r="E963" s="6" t="s">
        <v>511</v>
      </c>
      <c r="F963" s="7">
        <v>9087.809999999999</v>
      </c>
      <c r="G963" s="7">
        <v>22970</v>
      </c>
    </row>
    <row r="964" spans="1:7">
      <c r="A964" s="4" t="s">
        <v>79</v>
      </c>
      <c r="B964" s="6" t="s">
        <v>80</v>
      </c>
      <c r="C964" s="6">
        <v>2022</v>
      </c>
      <c r="D964" s="4" t="s">
        <v>203</v>
      </c>
      <c r="E964" s="6" t="s">
        <v>452</v>
      </c>
      <c r="F964" s="7">
        <v>8141.119</v>
      </c>
      <c r="G964" s="7">
        <v>26930</v>
      </c>
    </row>
    <row r="965" spans="1:7">
      <c r="A965" s="4" t="s">
        <v>79</v>
      </c>
      <c r="B965" s="6" t="s">
        <v>80</v>
      </c>
      <c r="C965" s="6">
        <v>2022</v>
      </c>
      <c r="D965" s="4" t="s">
        <v>217</v>
      </c>
      <c r="E965" s="6" t="s">
        <v>502</v>
      </c>
      <c r="F965" s="7">
        <v>2828.489</v>
      </c>
      <c r="G965" s="7">
        <v>7198</v>
      </c>
    </row>
    <row r="966" spans="1:7">
      <c r="A966" s="4" t="s">
        <v>79</v>
      </c>
      <c r="B966" s="6" t="s">
        <v>80</v>
      </c>
      <c r="C966" s="6">
        <v>2022</v>
      </c>
      <c r="D966" s="4" t="s">
        <v>223</v>
      </c>
      <c r="E966" s="6" t="s">
        <v>467</v>
      </c>
      <c r="F966" s="7">
        <v>918.258</v>
      </c>
      <c r="G966" s="7">
        <v>2192</v>
      </c>
    </row>
    <row r="967" spans="1:7">
      <c r="A967" s="4" t="s">
        <v>79</v>
      </c>
      <c r="B967" s="6" t="s">
        <v>80</v>
      </c>
      <c r="C967" s="6">
        <v>2022</v>
      </c>
      <c r="D967" s="4" t="s">
        <v>287</v>
      </c>
      <c r="E967" s="6" t="s">
        <v>463</v>
      </c>
      <c r="F967" s="7">
        <v>545.479</v>
      </c>
      <c r="G967" s="7">
        <v>1630</v>
      </c>
    </row>
    <row r="968" spans="1:7">
      <c r="A968" s="4" t="s">
        <v>79</v>
      </c>
      <c r="B968" s="6" t="s">
        <v>80</v>
      </c>
      <c r="C968" s="6">
        <v>2022</v>
      </c>
      <c r="D968" s="4" t="s">
        <v>321</v>
      </c>
      <c r="E968" s="6" t="s">
        <v>473</v>
      </c>
      <c r="F968" s="7">
        <v>32.645</v>
      </c>
      <c r="G968" s="7">
        <v>82</v>
      </c>
    </row>
    <row r="969" spans="1:7">
      <c r="A969" s="4" t="s">
        <v>79</v>
      </c>
      <c r="B969" s="6" t="s">
        <v>80</v>
      </c>
      <c r="C969" s="6">
        <v>2023</v>
      </c>
      <c r="D969" s="4" t="s">
        <v>81</v>
      </c>
      <c r="E969" s="6" t="s">
        <v>449</v>
      </c>
      <c r="F969" s="7">
        <v>51834481.16</v>
      </c>
      <c r="G969" s="7">
        <v>140763000</v>
      </c>
    </row>
    <row r="970" spans="1:7">
      <c r="A970" s="4" t="s">
        <v>79</v>
      </c>
      <c r="B970" s="6" t="s">
        <v>80</v>
      </c>
      <c r="C970" s="6">
        <v>2023</v>
      </c>
      <c r="D970" s="4" t="s">
        <v>93</v>
      </c>
      <c r="E970" s="6" t="s">
        <v>458</v>
      </c>
      <c r="F970" s="7">
        <v>34968045.518</v>
      </c>
      <c r="G970" s="7">
        <v>75073800</v>
      </c>
    </row>
    <row r="971" spans="1:7">
      <c r="A971" s="4" t="s">
        <v>79</v>
      </c>
      <c r="B971" s="6" t="s">
        <v>80</v>
      </c>
      <c r="C971" s="6">
        <v>2023</v>
      </c>
      <c r="D971" s="4" t="s">
        <v>311</v>
      </c>
      <c r="E971" s="6" t="s">
        <v>496</v>
      </c>
      <c r="F971" s="7">
        <v>23119921.349</v>
      </c>
      <c r="G971" s="7">
        <v>58177200</v>
      </c>
    </row>
    <row r="972" spans="1:7">
      <c r="A972" s="4" t="s">
        <v>79</v>
      </c>
      <c r="B972" s="6" t="s">
        <v>80</v>
      </c>
      <c r="C972" s="6">
        <v>2023</v>
      </c>
      <c r="D972" s="4" t="s">
        <v>125</v>
      </c>
      <c r="E972" s="6" t="s">
        <v>465</v>
      </c>
      <c r="F972" s="7">
        <v>19466889.917</v>
      </c>
      <c r="G972" s="7">
        <v>48081900</v>
      </c>
    </row>
    <row r="973" spans="1:7">
      <c r="A973" s="4" t="s">
        <v>79</v>
      </c>
      <c r="B973" s="6" t="s">
        <v>80</v>
      </c>
      <c r="C973" s="6">
        <v>2023</v>
      </c>
      <c r="D973" s="4" t="s">
        <v>104</v>
      </c>
      <c r="E973" s="6" t="s">
        <v>450</v>
      </c>
      <c r="F973" s="7">
        <v>4625006.501</v>
      </c>
      <c r="G973" s="7">
        <v>11922700</v>
      </c>
    </row>
    <row r="974" spans="1:7">
      <c r="A974" s="4" t="s">
        <v>79</v>
      </c>
      <c r="B974" s="6" t="s">
        <v>80</v>
      </c>
      <c r="C974" s="6">
        <v>2023</v>
      </c>
      <c r="D974" s="4" t="s">
        <v>121</v>
      </c>
      <c r="E974" s="6" t="s">
        <v>455</v>
      </c>
      <c r="F974" s="7">
        <v>2749522.292</v>
      </c>
      <c r="G974" s="7">
        <v>6177820</v>
      </c>
    </row>
    <row r="975" spans="1:7">
      <c r="A975" s="4" t="s">
        <v>79</v>
      </c>
      <c r="B975" s="6" t="s">
        <v>80</v>
      </c>
      <c r="C975" s="6">
        <v>2023</v>
      </c>
      <c r="D975" s="4" t="s">
        <v>89</v>
      </c>
      <c r="E975" s="6" t="s">
        <v>459</v>
      </c>
      <c r="F975" s="7">
        <v>2352796.185</v>
      </c>
      <c r="G975" s="7">
        <v>4058036</v>
      </c>
    </row>
    <row r="976" spans="1:7">
      <c r="A976" s="4" t="s">
        <v>79</v>
      </c>
      <c r="B976" s="6" t="s">
        <v>80</v>
      </c>
      <c r="C976" s="6">
        <v>2023</v>
      </c>
      <c r="D976" s="4" t="s">
        <v>115</v>
      </c>
      <c r="E976" s="6" t="s">
        <v>454</v>
      </c>
      <c r="F976" s="7">
        <v>884737.236</v>
      </c>
      <c r="G976" s="7">
        <v>1430370</v>
      </c>
    </row>
    <row r="977" spans="1:7">
      <c r="A977" s="4" t="s">
        <v>79</v>
      </c>
      <c r="B977" s="6" t="s">
        <v>80</v>
      </c>
      <c r="C977" s="6">
        <v>2023</v>
      </c>
      <c r="D977" s="4" t="s">
        <v>157</v>
      </c>
      <c r="E977" s="6" t="s">
        <v>495</v>
      </c>
      <c r="F977" s="7">
        <v>422281.891</v>
      </c>
      <c r="G977" s="7">
        <v>709801</v>
      </c>
    </row>
    <row r="978" spans="1:7">
      <c r="A978" s="4" t="s">
        <v>79</v>
      </c>
      <c r="B978" s="6" t="s">
        <v>80</v>
      </c>
      <c r="C978" s="6">
        <v>2023</v>
      </c>
      <c r="D978" s="4" t="s">
        <v>225</v>
      </c>
      <c r="E978" s="6" t="s">
        <v>498</v>
      </c>
      <c r="F978" s="7">
        <v>72076.285</v>
      </c>
      <c r="G978" s="7">
        <v>125496</v>
      </c>
    </row>
    <row r="979" spans="1:7">
      <c r="A979" s="4" t="s">
        <v>79</v>
      </c>
      <c r="B979" s="6" t="s">
        <v>80</v>
      </c>
      <c r="C979" s="6">
        <v>2023</v>
      </c>
      <c r="D979" s="4" t="s">
        <v>62</v>
      </c>
      <c r="E979" s="6" t="s">
        <v>448</v>
      </c>
      <c r="F979" s="7">
        <v>38180.676</v>
      </c>
      <c r="G979" s="7">
        <v>62461</v>
      </c>
    </row>
    <row r="980" spans="1:7">
      <c r="A980" s="4" t="s">
        <v>79</v>
      </c>
      <c r="B980" s="6" t="s">
        <v>80</v>
      </c>
      <c r="C980" s="6">
        <v>2023</v>
      </c>
      <c r="D980" s="4" t="s">
        <v>375</v>
      </c>
      <c r="E980" s="6" t="s">
        <v>503</v>
      </c>
      <c r="F980" s="7">
        <v>29703.53</v>
      </c>
      <c r="G980" s="7">
        <v>54358</v>
      </c>
    </row>
    <row r="981" spans="1:7">
      <c r="A981" s="4" t="s">
        <v>79</v>
      </c>
      <c r="B981" s="6" t="s">
        <v>80</v>
      </c>
      <c r="C981" s="6">
        <v>2023</v>
      </c>
      <c r="D981" s="4" t="s">
        <v>407</v>
      </c>
      <c r="E981" s="6" t="s">
        <v>481</v>
      </c>
      <c r="F981" s="7">
        <v>24314.487</v>
      </c>
      <c r="G981" s="7">
        <v>42238</v>
      </c>
    </row>
    <row r="982" spans="1:7">
      <c r="A982" s="4" t="s">
        <v>79</v>
      </c>
      <c r="B982" s="6" t="s">
        <v>80</v>
      </c>
      <c r="C982" s="6">
        <v>2023</v>
      </c>
      <c r="D982" s="4" t="s">
        <v>265</v>
      </c>
      <c r="E982" s="6" t="s">
        <v>499</v>
      </c>
      <c r="F982" s="7">
        <v>12711.394</v>
      </c>
      <c r="G982" s="7">
        <v>22393</v>
      </c>
    </row>
    <row r="983" spans="1:7">
      <c r="A983" s="4" t="s">
        <v>79</v>
      </c>
      <c r="B983" s="6" t="s">
        <v>80</v>
      </c>
      <c r="C983" s="6">
        <v>2023</v>
      </c>
      <c r="D983" s="4" t="s">
        <v>179</v>
      </c>
      <c r="E983" s="6" t="s">
        <v>494</v>
      </c>
      <c r="F983" s="7">
        <v>10113.105</v>
      </c>
      <c r="G983" s="7">
        <v>24000</v>
      </c>
    </row>
    <row r="984" spans="1:7">
      <c r="A984" s="4" t="s">
        <v>79</v>
      </c>
      <c r="B984" s="6" t="s">
        <v>80</v>
      </c>
      <c r="C984" s="6">
        <v>2023</v>
      </c>
      <c r="D984" s="4" t="s">
        <v>281</v>
      </c>
      <c r="E984" s="6" t="s">
        <v>519</v>
      </c>
      <c r="F984" s="7">
        <v>1331.042</v>
      </c>
      <c r="G984" s="7">
        <v>2317</v>
      </c>
    </row>
    <row r="985" spans="1:7">
      <c r="A985" s="4" t="s">
        <v>79</v>
      </c>
      <c r="B985" s="6" t="s">
        <v>80</v>
      </c>
      <c r="C985" s="6">
        <v>2023</v>
      </c>
      <c r="D985" s="4" t="s">
        <v>231</v>
      </c>
      <c r="E985" s="6" t="s">
        <v>466</v>
      </c>
      <c r="F985" s="7">
        <v>1235.89</v>
      </c>
      <c r="G985" s="7">
        <v>2210</v>
      </c>
    </row>
    <row r="986" spans="1:7">
      <c r="A986" s="4" t="s">
        <v>79</v>
      </c>
      <c r="B986" s="6" t="s">
        <v>80</v>
      </c>
      <c r="C986" s="6">
        <v>2023</v>
      </c>
      <c r="D986" s="4" t="s">
        <v>399</v>
      </c>
      <c r="E986" s="6" t="s">
        <v>501</v>
      </c>
      <c r="F986" s="7">
        <v>948.273</v>
      </c>
      <c r="G986" s="7">
        <v>1651</v>
      </c>
    </row>
    <row r="987" spans="1:7">
      <c r="A987" s="4" t="s">
        <v>79</v>
      </c>
      <c r="B987" s="6" t="s">
        <v>80</v>
      </c>
      <c r="C987" s="6">
        <v>2023</v>
      </c>
      <c r="D987" s="4" t="s">
        <v>397</v>
      </c>
      <c r="E987" s="6" t="s">
        <v>492</v>
      </c>
      <c r="F987" s="7">
        <v>693.093</v>
      </c>
      <c r="G987" s="7">
        <v>1217</v>
      </c>
    </row>
    <row r="988" spans="1:7">
      <c r="A988" s="4" t="s">
        <v>79</v>
      </c>
      <c r="B988" s="6" t="s">
        <v>80</v>
      </c>
      <c r="C988" s="6">
        <v>2023</v>
      </c>
      <c r="D988" s="4" t="s">
        <v>287</v>
      </c>
      <c r="E988" s="6" t="s">
        <v>463</v>
      </c>
      <c r="F988" s="7">
        <v>614.1609999999999</v>
      </c>
      <c r="G988" s="7">
        <v>945</v>
      </c>
    </row>
    <row r="989" spans="1:7">
      <c r="A989" s="4" t="s">
        <v>79</v>
      </c>
      <c r="B989" s="6" t="s">
        <v>80</v>
      </c>
      <c r="C989" s="6">
        <v>2023</v>
      </c>
      <c r="D989" s="4" t="s">
        <v>369</v>
      </c>
      <c r="E989" s="6" t="s">
        <v>532</v>
      </c>
      <c r="F989" s="7">
        <v>583.885</v>
      </c>
      <c r="G989" s="7">
        <v>1029</v>
      </c>
    </row>
    <row r="990" spans="1:7">
      <c r="A990" s="4" t="s">
        <v>79</v>
      </c>
      <c r="B990" s="6" t="s">
        <v>80</v>
      </c>
      <c r="C990" s="6">
        <v>2023</v>
      </c>
      <c r="D990" s="4" t="s">
        <v>223</v>
      </c>
      <c r="E990" s="6" t="s">
        <v>467</v>
      </c>
      <c r="F990" s="7">
        <v>531.984</v>
      </c>
      <c r="G990" s="7">
        <v>951</v>
      </c>
    </row>
    <row r="991" spans="1:7">
      <c r="A991" s="4" t="s">
        <v>79</v>
      </c>
      <c r="B991" s="6" t="s">
        <v>80</v>
      </c>
      <c r="C991" s="6">
        <v>2023</v>
      </c>
      <c r="D991" s="4" t="s">
        <v>275</v>
      </c>
      <c r="E991" s="6" t="s">
        <v>500</v>
      </c>
      <c r="F991" s="7">
        <v>512.521</v>
      </c>
      <c r="G991" s="7">
        <v>909</v>
      </c>
    </row>
    <row r="992" spans="1:7">
      <c r="A992" s="4" t="s">
        <v>79</v>
      </c>
      <c r="B992" s="6" t="s">
        <v>80</v>
      </c>
      <c r="C992" s="6">
        <v>2023</v>
      </c>
      <c r="D992" s="4" t="s">
        <v>96</v>
      </c>
      <c r="E992" s="6" t="s">
        <v>453</v>
      </c>
      <c r="F992" s="7">
        <v>472.514</v>
      </c>
      <c r="G992" s="7">
        <v>842</v>
      </c>
    </row>
    <row r="993" spans="1:7">
      <c r="A993" s="4" t="s">
        <v>79</v>
      </c>
      <c r="B993" s="6" t="s">
        <v>80</v>
      </c>
      <c r="C993" s="6">
        <v>2023</v>
      </c>
      <c r="D993" s="4" t="s">
        <v>253</v>
      </c>
      <c r="E993" s="6" t="s">
        <v>469</v>
      </c>
      <c r="F993" s="7">
        <v>391.419</v>
      </c>
      <c r="G993" s="7">
        <v>701</v>
      </c>
    </row>
    <row r="994" spans="1:7">
      <c r="A994" s="4" t="s">
        <v>79</v>
      </c>
      <c r="B994" s="6" t="s">
        <v>80</v>
      </c>
      <c r="C994" s="6">
        <v>2023</v>
      </c>
      <c r="D994" s="4" t="s">
        <v>185</v>
      </c>
      <c r="E994" s="6" t="s">
        <v>457</v>
      </c>
      <c r="F994" s="7">
        <v>294.105</v>
      </c>
      <c r="G994" s="7">
        <v>524</v>
      </c>
    </row>
    <row r="995" spans="1:7">
      <c r="A995" s="4" t="s">
        <v>79</v>
      </c>
      <c r="B995" s="6" t="s">
        <v>80</v>
      </c>
      <c r="C995" s="6">
        <v>2023</v>
      </c>
      <c r="D995" s="4" t="s">
        <v>299</v>
      </c>
      <c r="E995" s="6" t="s">
        <v>531</v>
      </c>
      <c r="F995" s="7">
        <v>286.536</v>
      </c>
      <c r="G995" s="7">
        <v>509</v>
      </c>
    </row>
    <row r="996" spans="1:7">
      <c r="A996" s="4" t="s">
        <v>79</v>
      </c>
      <c r="B996" s="6" t="s">
        <v>80</v>
      </c>
      <c r="C996" s="6">
        <v>2023</v>
      </c>
      <c r="D996" s="4" t="s">
        <v>197</v>
      </c>
      <c r="E996" s="6" t="s">
        <v>464</v>
      </c>
      <c r="F996" s="7">
        <v>187.059</v>
      </c>
      <c r="G996" s="7">
        <v>316</v>
      </c>
    </row>
    <row r="997" spans="1:7">
      <c r="A997" s="4" t="s">
        <v>79</v>
      </c>
      <c r="B997" s="6" t="s">
        <v>80</v>
      </c>
      <c r="C997" s="6">
        <v>2023</v>
      </c>
      <c r="D997" s="4" t="s">
        <v>321</v>
      </c>
      <c r="E997" s="6" t="s">
        <v>473</v>
      </c>
      <c r="F997" s="7">
        <v>137.321</v>
      </c>
      <c r="G997" s="7">
        <v>243</v>
      </c>
    </row>
    <row r="998" spans="1:7">
      <c r="A998" s="4" t="s">
        <v>79</v>
      </c>
      <c r="B998" s="6" t="s">
        <v>80</v>
      </c>
      <c r="C998" s="6">
        <v>2023</v>
      </c>
      <c r="D998" s="4" t="s">
        <v>309</v>
      </c>
      <c r="E998" s="6" t="s">
        <v>510</v>
      </c>
      <c r="F998" s="7">
        <v>75.68899999999999</v>
      </c>
      <c r="G998" s="7">
        <v>133</v>
      </c>
    </row>
    <row r="999" spans="1:7">
      <c r="A999" s="4" t="s">
        <v>79</v>
      </c>
      <c r="B999" s="6" t="s">
        <v>80</v>
      </c>
      <c r="C999" s="6">
        <v>2023</v>
      </c>
      <c r="D999" s="4" t="s">
        <v>217</v>
      </c>
      <c r="E999" s="6" t="s">
        <v>502</v>
      </c>
      <c r="F999" s="7">
        <v>48.657</v>
      </c>
      <c r="G999" s="7">
        <v>87</v>
      </c>
    </row>
    <row r="1000" spans="1:7">
      <c r="A1000" s="4" t="s">
        <v>79</v>
      </c>
      <c r="B1000" s="6" t="s">
        <v>80</v>
      </c>
      <c r="C1000" s="6">
        <v>2023</v>
      </c>
      <c r="D1000" s="4" t="s">
        <v>243</v>
      </c>
      <c r="E1000" s="6" t="s">
        <v>511</v>
      </c>
      <c r="F1000" s="7">
        <v>29.194</v>
      </c>
      <c r="G1000" s="7">
        <v>53</v>
      </c>
    </row>
    <row r="1001" spans="1:7">
      <c r="A1001" s="4" t="s">
        <v>79</v>
      </c>
      <c r="B1001" s="6" t="s">
        <v>80</v>
      </c>
      <c r="C1001" s="6">
        <v>2023</v>
      </c>
      <c r="D1001" s="4" t="s">
        <v>69</v>
      </c>
      <c r="E1001" s="6" t="s">
        <v>534</v>
      </c>
      <c r="F1001" s="7">
        <v>5.406</v>
      </c>
      <c r="G1001" s="7">
        <v>9</v>
      </c>
    </row>
    <row r="1002" spans="1:7">
      <c r="A1002" s="4" t="s">
        <v>79</v>
      </c>
      <c r="B1002" s="6" t="s">
        <v>80</v>
      </c>
      <c r="C1002" s="6">
        <v>2023</v>
      </c>
      <c r="D1002" s="4" t="s">
        <v>409</v>
      </c>
      <c r="E1002" s="6" t="s">
        <v>461</v>
      </c>
      <c r="F1002" s="7">
        <v>2.163</v>
      </c>
      <c r="G1002" s="7">
        <v>3</v>
      </c>
    </row>
    <row r="1003" spans="1:7">
      <c r="A1003" s="4" t="s">
        <v>79</v>
      </c>
      <c r="B1003" s="6" t="s">
        <v>80</v>
      </c>
      <c r="C1003" s="6">
        <v>2024</v>
      </c>
      <c r="D1003" s="4" t="s">
        <v>81</v>
      </c>
      <c r="E1003" s="6" t="s">
        <v>449</v>
      </c>
      <c r="F1003" s="7">
        <v>59655454.254</v>
      </c>
      <c r="G1003" s="7">
        <v>251139000</v>
      </c>
    </row>
    <row r="1004" spans="1:7">
      <c r="A1004" s="4" t="s">
        <v>79</v>
      </c>
      <c r="B1004" s="6" t="s">
        <v>80</v>
      </c>
      <c r="C1004" s="6">
        <v>2024</v>
      </c>
      <c r="D1004" s="4" t="s">
        <v>93</v>
      </c>
      <c r="E1004" s="6" t="s">
        <v>458</v>
      </c>
      <c r="F1004" s="7">
        <v>39790348.162</v>
      </c>
      <c r="G1004" s="7">
        <v>117045000</v>
      </c>
    </row>
    <row r="1005" spans="1:7">
      <c r="A1005" s="4" t="s">
        <v>79</v>
      </c>
      <c r="B1005" s="6" t="s">
        <v>80</v>
      </c>
      <c r="C1005" s="6">
        <v>2024</v>
      </c>
      <c r="D1005" s="4" t="s">
        <v>125</v>
      </c>
      <c r="E1005" s="6" t="s">
        <v>465</v>
      </c>
      <c r="F1005" s="7">
        <v>15201805.178</v>
      </c>
      <c r="G1005" s="7">
        <v>37041600</v>
      </c>
    </row>
    <row r="1006" spans="1:7">
      <c r="A1006" s="4" t="s">
        <v>79</v>
      </c>
      <c r="B1006" s="6" t="s">
        <v>80</v>
      </c>
      <c r="C1006" s="6">
        <v>2024</v>
      </c>
      <c r="D1006" s="4" t="s">
        <v>311</v>
      </c>
      <c r="E1006" s="6" t="s">
        <v>496</v>
      </c>
      <c r="F1006" s="7">
        <v>12046462.65</v>
      </c>
      <c r="G1006" s="7">
        <v>37758300</v>
      </c>
    </row>
    <row r="1007" spans="1:7">
      <c r="A1007" s="4" t="s">
        <v>79</v>
      </c>
      <c r="B1007" s="6" t="s">
        <v>80</v>
      </c>
      <c r="C1007" s="6">
        <v>2024</v>
      </c>
      <c r="D1007" s="4" t="s">
        <v>121</v>
      </c>
      <c r="E1007" s="6" t="s">
        <v>455</v>
      </c>
      <c r="F1007" s="7">
        <v>4406285.345</v>
      </c>
      <c r="G1007" s="7">
        <v>11358100</v>
      </c>
    </row>
    <row r="1008" spans="1:7">
      <c r="A1008" s="4" t="s">
        <v>79</v>
      </c>
      <c r="B1008" s="6" t="s">
        <v>80</v>
      </c>
      <c r="C1008" s="6">
        <v>2024</v>
      </c>
      <c r="D1008" s="4" t="s">
        <v>104</v>
      </c>
      <c r="E1008" s="6" t="s">
        <v>450</v>
      </c>
      <c r="F1008" s="7">
        <v>3874134.074</v>
      </c>
      <c r="G1008" s="7">
        <v>12928400</v>
      </c>
    </row>
    <row r="1009" spans="1:7">
      <c r="A1009" s="4" t="s">
        <v>79</v>
      </c>
      <c r="B1009" s="6" t="s">
        <v>80</v>
      </c>
      <c r="C1009" s="6">
        <v>2024</v>
      </c>
      <c r="D1009" s="4" t="s">
        <v>89</v>
      </c>
      <c r="E1009" s="6" t="s">
        <v>459</v>
      </c>
      <c r="F1009" s="7">
        <v>1689881.647</v>
      </c>
      <c r="G1009" s="7">
        <v>3370748</v>
      </c>
    </row>
    <row r="1010" spans="1:7">
      <c r="A1010" s="4" t="s">
        <v>79</v>
      </c>
      <c r="B1010" s="6" t="s">
        <v>80</v>
      </c>
      <c r="C1010" s="6">
        <v>2024</v>
      </c>
      <c r="D1010" s="4" t="s">
        <v>157</v>
      </c>
      <c r="E1010" s="6" t="s">
        <v>495</v>
      </c>
      <c r="F1010" s="7">
        <v>691261.198</v>
      </c>
      <c r="G1010" s="7">
        <v>1552430</v>
      </c>
    </row>
    <row r="1011" spans="1:7">
      <c r="A1011" s="4" t="s">
        <v>79</v>
      </c>
      <c r="B1011" s="6" t="s">
        <v>80</v>
      </c>
      <c r="C1011" s="6">
        <v>2024</v>
      </c>
      <c r="D1011" s="4" t="s">
        <v>115</v>
      </c>
      <c r="E1011" s="6" t="s">
        <v>454</v>
      </c>
      <c r="F1011" s="7">
        <v>546154.027</v>
      </c>
      <c r="G1011" s="7">
        <v>1162510</v>
      </c>
    </row>
    <row r="1012" spans="1:7">
      <c r="A1012" s="4" t="s">
        <v>79</v>
      </c>
      <c r="B1012" s="6" t="s">
        <v>80</v>
      </c>
      <c r="C1012" s="6">
        <v>2024</v>
      </c>
      <c r="D1012" s="4" t="s">
        <v>397</v>
      </c>
      <c r="E1012" s="6" t="s">
        <v>492</v>
      </c>
      <c r="F1012" s="7">
        <v>302478.796</v>
      </c>
      <c r="G1012" s="7">
        <v>659860</v>
      </c>
    </row>
    <row r="1013" spans="1:7">
      <c r="A1013" s="4" t="s">
        <v>79</v>
      </c>
      <c r="B1013" s="6" t="s">
        <v>80</v>
      </c>
      <c r="C1013" s="6">
        <v>2024</v>
      </c>
      <c r="D1013" s="4" t="s">
        <v>179</v>
      </c>
      <c r="E1013" s="6" t="s">
        <v>494</v>
      </c>
      <c r="F1013" s="7">
        <v>186496.318</v>
      </c>
      <c r="G1013" s="7">
        <v>592938</v>
      </c>
    </row>
    <row r="1014" spans="1:7">
      <c r="A1014" s="4" t="s">
        <v>79</v>
      </c>
      <c r="B1014" s="6" t="s">
        <v>80</v>
      </c>
      <c r="C1014" s="6">
        <v>2024</v>
      </c>
      <c r="D1014" s="4" t="s">
        <v>407</v>
      </c>
      <c r="E1014" s="6" t="s">
        <v>481</v>
      </c>
      <c r="F1014" s="7">
        <v>54397.195</v>
      </c>
      <c r="G1014" s="7">
        <v>113792</v>
      </c>
    </row>
    <row r="1015" spans="1:7">
      <c r="A1015" s="4" t="s">
        <v>79</v>
      </c>
      <c r="B1015" s="6" t="s">
        <v>80</v>
      </c>
      <c r="C1015" s="6">
        <v>2024</v>
      </c>
      <c r="D1015" s="4" t="s">
        <v>62</v>
      </c>
      <c r="E1015" s="6" t="s">
        <v>448</v>
      </c>
      <c r="F1015" s="7">
        <v>41054.691</v>
      </c>
      <c r="G1015" s="7">
        <v>112610</v>
      </c>
    </row>
    <row r="1016" spans="1:7">
      <c r="A1016" s="4" t="s">
        <v>79</v>
      </c>
      <c r="B1016" s="6" t="s">
        <v>80</v>
      </c>
      <c r="C1016" s="6">
        <v>2024</v>
      </c>
      <c r="D1016" s="4" t="s">
        <v>225</v>
      </c>
      <c r="E1016" s="6" t="s">
        <v>498</v>
      </c>
      <c r="F1016" s="7">
        <v>36620.178</v>
      </c>
      <c r="G1016" s="7">
        <v>86112</v>
      </c>
    </row>
    <row r="1017" spans="1:7">
      <c r="A1017" s="4" t="s">
        <v>79</v>
      </c>
      <c r="B1017" s="6" t="s">
        <v>80</v>
      </c>
      <c r="C1017" s="6">
        <v>2024</v>
      </c>
      <c r="D1017" s="4" t="s">
        <v>253</v>
      </c>
      <c r="E1017" s="6" t="s">
        <v>469</v>
      </c>
      <c r="F1017" s="7">
        <v>13465.895</v>
      </c>
      <c r="G1017" s="7">
        <v>25144</v>
      </c>
    </row>
    <row r="1018" spans="1:7">
      <c r="A1018" s="4" t="s">
        <v>79</v>
      </c>
      <c r="B1018" s="6" t="s">
        <v>80</v>
      </c>
      <c r="C1018" s="6">
        <v>2024</v>
      </c>
      <c r="D1018" s="4" t="s">
        <v>231</v>
      </c>
      <c r="E1018" s="6" t="s">
        <v>466</v>
      </c>
      <c r="F1018" s="7">
        <v>8086.464</v>
      </c>
      <c r="G1018" s="7">
        <v>15956</v>
      </c>
    </row>
    <row r="1019" spans="1:7">
      <c r="A1019" s="4" t="s">
        <v>79</v>
      </c>
      <c r="B1019" s="6" t="s">
        <v>80</v>
      </c>
      <c r="C1019" s="6">
        <v>2024</v>
      </c>
      <c r="D1019" s="4" t="s">
        <v>197</v>
      </c>
      <c r="E1019" s="6" t="s">
        <v>464</v>
      </c>
      <c r="F1019" s="7">
        <v>5985.564</v>
      </c>
      <c r="G1019" s="7">
        <v>11692</v>
      </c>
    </row>
    <row r="1020" spans="1:7">
      <c r="A1020" s="4" t="s">
        <v>79</v>
      </c>
      <c r="B1020" s="6" t="s">
        <v>80</v>
      </c>
      <c r="C1020" s="6">
        <v>2024</v>
      </c>
      <c r="D1020" s="4" t="s">
        <v>96</v>
      </c>
      <c r="E1020" s="6" t="s">
        <v>453</v>
      </c>
      <c r="F1020" s="7">
        <v>2718.94</v>
      </c>
      <c r="G1020" s="7">
        <v>5285</v>
      </c>
    </row>
    <row r="1021" spans="1:7">
      <c r="A1021" s="4" t="s">
        <v>79</v>
      </c>
      <c r="B1021" s="6" t="s">
        <v>80</v>
      </c>
      <c r="C1021" s="6">
        <v>2024</v>
      </c>
      <c r="D1021" s="4" t="s">
        <v>275</v>
      </c>
      <c r="E1021" s="6" t="s">
        <v>500</v>
      </c>
      <c r="F1021" s="7">
        <v>1071.557</v>
      </c>
      <c r="G1021" s="7">
        <v>2788</v>
      </c>
    </row>
    <row r="1022" spans="1:7">
      <c r="A1022" s="4" t="s">
        <v>79</v>
      </c>
      <c r="B1022" s="6" t="s">
        <v>80</v>
      </c>
      <c r="C1022" s="6">
        <v>2024</v>
      </c>
      <c r="D1022" s="4" t="s">
        <v>265</v>
      </c>
      <c r="E1022" s="6" t="s">
        <v>499</v>
      </c>
      <c r="F1022" s="7">
        <v>372.339</v>
      </c>
      <c r="G1022" s="7">
        <v>727</v>
      </c>
    </row>
    <row r="1023" spans="1:7">
      <c r="A1023" s="4" t="s">
        <v>79</v>
      </c>
      <c r="B1023" s="6" t="s">
        <v>80</v>
      </c>
      <c r="C1023" s="6">
        <v>2024</v>
      </c>
      <c r="D1023" s="4" t="s">
        <v>287</v>
      </c>
      <c r="E1023" s="6" t="s">
        <v>463</v>
      </c>
      <c r="F1023" s="7">
        <v>286.831</v>
      </c>
      <c r="G1023" s="7">
        <v>1020</v>
      </c>
    </row>
    <row r="1024" spans="1:7">
      <c r="A1024" s="4" t="s">
        <v>79</v>
      </c>
      <c r="B1024" s="6" t="s">
        <v>80</v>
      </c>
      <c r="C1024" s="6">
        <v>2024</v>
      </c>
      <c r="D1024" s="4" t="s">
        <v>369</v>
      </c>
      <c r="E1024" s="6" t="s">
        <v>532</v>
      </c>
      <c r="F1024" s="7">
        <v>115.815</v>
      </c>
      <c r="G1024" s="7">
        <v>280</v>
      </c>
    </row>
    <row r="1025" spans="1:7">
      <c r="A1025" s="4" t="s">
        <v>79</v>
      </c>
      <c r="B1025" s="6" t="s">
        <v>80</v>
      </c>
      <c r="C1025" s="6">
        <v>2024</v>
      </c>
      <c r="D1025" s="4" t="s">
        <v>375</v>
      </c>
      <c r="E1025" s="6" t="s">
        <v>503</v>
      </c>
      <c r="F1025" s="7">
        <v>99.57899999999999</v>
      </c>
      <c r="G1025" s="7">
        <v>257</v>
      </c>
    </row>
    <row r="1026" spans="1:7">
      <c r="A1026" s="4" t="s">
        <v>79</v>
      </c>
      <c r="B1026" s="6" t="s">
        <v>80</v>
      </c>
      <c r="C1026" s="6">
        <v>2024</v>
      </c>
      <c r="D1026" s="4" t="s">
        <v>185</v>
      </c>
      <c r="E1026" s="6" t="s">
        <v>457</v>
      </c>
      <c r="F1026" s="7">
        <v>89.83799999999999</v>
      </c>
      <c r="G1026" s="7">
        <v>185</v>
      </c>
    </row>
    <row r="1027" spans="1:7">
      <c r="A1027" s="4" t="s">
        <v>79</v>
      </c>
      <c r="B1027" s="6" t="s">
        <v>80</v>
      </c>
      <c r="C1027" s="6">
        <v>2024</v>
      </c>
      <c r="D1027" s="4" t="s">
        <v>243</v>
      </c>
      <c r="E1027" s="6" t="s">
        <v>511</v>
      </c>
      <c r="F1027" s="7">
        <v>66.02500000000001</v>
      </c>
      <c r="G1027" s="7">
        <v>129</v>
      </c>
    </row>
    <row r="1028" spans="1:7">
      <c r="A1028" s="4" t="s">
        <v>79</v>
      </c>
      <c r="B1028" s="6" t="s">
        <v>80</v>
      </c>
      <c r="C1028" s="6">
        <v>2024</v>
      </c>
      <c r="D1028" s="4" t="s">
        <v>281</v>
      </c>
      <c r="E1028" s="6" t="s">
        <v>519</v>
      </c>
      <c r="F1028" s="7">
        <v>51.954</v>
      </c>
      <c r="G1028" s="7">
        <v>111</v>
      </c>
    </row>
    <row r="1029" spans="1:7">
      <c r="A1029" s="4" t="s">
        <v>79</v>
      </c>
      <c r="B1029" s="6" t="s">
        <v>80</v>
      </c>
      <c r="C1029" s="6">
        <v>2024</v>
      </c>
      <c r="D1029" s="4" t="s">
        <v>399</v>
      </c>
      <c r="E1029" s="6" t="s">
        <v>501</v>
      </c>
      <c r="F1029" s="7">
        <v>28.142</v>
      </c>
      <c r="G1029" s="7">
        <v>55</v>
      </c>
    </row>
    <row r="1030" spans="1:7">
      <c r="A1030" s="4" t="s">
        <v>79</v>
      </c>
      <c r="B1030" s="6" t="s">
        <v>80</v>
      </c>
      <c r="C1030" s="6">
        <v>2024</v>
      </c>
      <c r="D1030" s="4" t="s">
        <v>309</v>
      </c>
      <c r="E1030" s="6" t="s">
        <v>510</v>
      </c>
      <c r="F1030" s="7">
        <v>27.06</v>
      </c>
      <c r="G1030" s="7">
        <v>60</v>
      </c>
    </row>
    <row r="1031" spans="1:7">
      <c r="A1031" s="4" t="s">
        <v>79</v>
      </c>
      <c r="B1031" s="6" t="s">
        <v>80</v>
      </c>
      <c r="C1031" s="6">
        <v>2024</v>
      </c>
      <c r="D1031" s="4" t="s">
        <v>425</v>
      </c>
      <c r="E1031" s="6" t="s">
        <v>472</v>
      </c>
      <c r="F1031" s="7">
        <v>27.06</v>
      </c>
      <c r="G1031" s="7">
        <v>96</v>
      </c>
    </row>
    <row r="1032" spans="1:7">
      <c r="A1032" s="4" t="s">
        <v>79</v>
      </c>
      <c r="B1032" s="6" t="s">
        <v>80</v>
      </c>
      <c r="C1032" s="6">
        <v>2024</v>
      </c>
      <c r="D1032" s="4" t="s">
        <v>217</v>
      </c>
      <c r="E1032" s="6" t="s">
        <v>502</v>
      </c>
      <c r="F1032" s="7">
        <v>25.977</v>
      </c>
      <c r="G1032" s="7">
        <v>53</v>
      </c>
    </row>
    <row r="1033" spans="1:7">
      <c r="A1033" s="4" t="s">
        <v>79</v>
      </c>
      <c r="B1033" s="6" t="s">
        <v>80</v>
      </c>
      <c r="C1033" s="6">
        <v>2024</v>
      </c>
      <c r="D1033" s="4" t="s">
        <v>321</v>
      </c>
      <c r="E1033" s="6" t="s">
        <v>473</v>
      </c>
      <c r="F1033" s="7">
        <v>20.565</v>
      </c>
      <c r="G1033" s="7">
        <v>46</v>
      </c>
    </row>
    <row r="1034" spans="1:7">
      <c r="A1034" s="4" t="s">
        <v>79</v>
      </c>
      <c r="B1034" s="6" t="s">
        <v>80</v>
      </c>
      <c r="C1034" s="6">
        <v>2024</v>
      </c>
      <c r="D1034" s="4" t="s">
        <v>299</v>
      </c>
      <c r="E1034" s="6" t="s">
        <v>531</v>
      </c>
      <c r="F1034" s="7">
        <v>12.989</v>
      </c>
      <c r="G1034" s="7">
        <v>30</v>
      </c>
    </row>
    <row r="1035" spans="1:7">
      <c r="A1035" s="4" t="s">
        <v>79</v>
      </c>
      <c r="B1035" s="6" t="s">
        <v>80</v>
      </c>
      <c r="C1035" s="6">
        <v>2024</v>
      </c>
      <c r="D1035" s="4" t="s">
        <v>205</v>
      </c>
      <c r="E1035" s="6" t="s">
        <v>456</v>
      </c>
      <c r="F1035" s="7">
        <v>5.412</v>
      </c>
      <c r="G1035" s="7">
        <v>11</v>
      </c>
    </row>
    <row r="1036" spans="1:7">
      <c r="A1036" s="4" t="s">
        <v>79</v>
      </c>
      <c r="B1036" s="6" t="s">
        <v>80</v>
      </c>
      <c r="C1036" s="6">
        <v>2025</v>
      </c>
      <c r="D1036" s="4" t="s">
        <v>81</v>
      </c>
      <c r="E1036" s="6" t="s">
        <v>449</v>
      </c>
      <c r="F1036" s="7">
        <v>101999715.993</v>
      </c>
      <c r="G1036" s="7">
        <v>385110899</v>
      </c>
    </row>
    <row r="1037" spans="1:7">
      <c r="A1037" s="4" t="s">
        <v>79</v>
      </c>
      <c r="B1037" s="6" t="s">
        <v>80</v>
      </c>
      <c r="C1037" s="6">
        <v>2025</v>
      </c>
      <c r="D1037" s="4" t="s">
        <v>93</v>
      </c>
      <c r="E1037" s="6" t="s">
        <v>458</v>
      </c>
      <c r="F1037" s="7">
        <v>40128211.769</v>
      </c>
      <c r="G1037" s="7">
        <v>116426151</v>
      </c>
    </row>
    <row r="1038" spans="1:7">
      <c r="A1038" s="4" t="s">
        <v>79</v>
      </c>
      <c r="B1038" s="6" t="s">
        <v>80</v>
      </c>
      <c r="C1038" s="6">
        <v>2025</v>
      </c>
      <c r="D1038" s="4" t="s">
        <v>125</v>
      </c>
      <c r="E1038" s="6" t="s">
        <v>465</v>
      </c>
      <c r="F1038" s="7">
        <v>15938401.879</v>
      </c>
      <c r="G1038" s="7">
        <v>38266261</v>
      </c>
    </row>
    <row r="1039" spans="1:7">
      <c r="A1039" s="4" t="s">
        <v>79</v>
      </c>
      <c r="B1039" s="6" t="s">
        <v>80</v>
      </c>
      <c r="C1039" s="6">
        <v>2025</v>
      </c>
      <c r="D1039" s="4" t="s">
        <v>311</v>
      </c>
      <c r="E1039" s="6" t="s">
        <v>496</v>
      </c>
      <c r="F1039" s="7">
        <v>13041944.371</v>
      </c>
      <c r="G1039" s="7">
        <v>39046812</v>
      </c>
    </row>
    <row r="1040" spans="1:7">
      <c r="A1040" s="4" t="s">
        <v>79</v>
      </c>
      <c r="B1040" s="6" t="s">
        <v>80</v>
      </c>
      <c r="C1040" s="6">
        <v>2025</v>
      </c>
      <c r="D1040" s="4" t="s">
        <v>121</v>
      </c>
      <c r="E1040" s="6" t="s">
        <v>455</v>
      </c>
      <c r="F1040" s="7">
        <v>8000973.24</v>
      </c>
      <c r="G1040" s="7">
        <v>21272512</v>
      </c>
    </row>
    <row r="1041" spans="1:7">
      <c r="A1041" s="4" t="s">
        <v>79</v>
      </c>
      <c r="B1041" s="6" t="s">
        <v>80</v>
      </c>
      <c r="C1041" s="6">
        <v>2025</v>
      </c>
      <c r="D1041" s="4" t="s">
        <v>115</v>
      </c>
      <c r="E1041" s="6" t="s">
        <v>454</v>
      </c>
      <c r="F1041" s="7">
        <v>1434526.013</v>
      </c>
      <c r="G1041" s="7">
        <v>2803800</v>
      </c>
    </row>
    <row r="1042" spans="1:7">
      <c r="A1042" s="4" t="s">
        <v>79</v>
      </c>
      <c r="B1042" s="6" t="s">
        <v>80</v>
      </c>
      <c r="C1042" s="6">
        <v>2025</v>
      </c>
      <c r="D1042" s="4" t="s">
        <v>179</v>
      </c>
      <c r="E1042" s="6" t="s">
        <v>494</v>
      </c>
      <c r="F1042" s="7">
        <v>863351.181</v>
      </c>
      <c r="G1042" s="7">
        <v>3630530</v>
      </c>
    </row>
    <row r="1043" spans="1:7">
      <c r="A1043" s="4" t="s">
        <v>79</v>
      </c>
      <c r="B1043" s="6" t="s">
        <v>80</v>
      </c>
      <c r="C1043" s="6">
        <v>2025</v>
      </c>
      <c r="D1043" s="4" t="s">
        <v>104</v>
      </c>
      <c r="E1043" s="6" t="s">
        <v>450</v>
      </c>
      <c r="F1043" s="7">
        <v>751254.594</v>
      </c>
      <c r="G1043" s="7">
        <v>1438652</v>
      </c>
    </row>
    <row r="1044" spans="1:7">
      <c r="A1044" s="4" t="s">
        <v>79</v>
      </c>
      <c r="B1044" s="6" t="s">
        <v>80</v>
      </c>
      <c r="C1044" s="6">
        <v>2025</v>
      </c>
      <c r="D1044" s="4" t="s">
        <v>157</v>
      </c>
      <c r="E1044" s="6" t="s">
        <v>495</v>
      </c>
      <c r="F1044" s="7">
        <v>475571.48</v>
      </c>
      <c r="G1044" s="7">
        <v>921904</v>
      </c>
    </row>
    <row r="1045" spans="1:7">
      <c r="A1045" s="4" t="s">
        <v>79</v>
      </c>
      <c r="B1045" s="6" t="s">
        <v>80</v>
      </c>
      <c r="C1045" s="6">
        <v>2025</v>
      </c>
      <c r="D1045" s="4" t="s">
        <v>89</v>
      </c>
      <c r="E1045" s="6" t="s">
        <v>459</v>
      </c>
      <c r="F1045" s="7">
        <v>323099.466</v>
      </c>
      <c r="G1045" s="7">
        <v>1036122</v>
      </c>
    </row>
    <row r="1046" spans="1:7">
      <c r="A1046" s="4" t="s">
        <v>79</v>
      </c>
      <c r="B1046" s="6" t="s">
        <v>80</v>
      </c>
      <c r="C1046" s="6">
        <v>2025</v>
      </c>
      <c r="D1046" s="4" t="s">
        <v>62</v>
      </c>
      <c r="E1046" s="6" t="s">
        <v>448</v>
      </c>
      <c r="F1046" s="7">
        <v>315605.418</v>
      </c>
      <c r="G1046" s="7">
        <v>1218986</v>
      </c>
    </row>
    <row r="1047" spans="1:7">
      <c r="A1047" s="4" t="s">
        <v>79</v>
      </c>
      <c r="B1047" s="6" t="s">
        <v>80</v>
      </c>
      <c r="C1047" s="6">
        <v>2025</v>
      </c>
      <c r="D1047" s="4" t="s">
        <v>225</v>
      </c>
      <c r="E1047" s="6" t="s">
        <v>498</v>
      </c>
      <c r="F1047" s="7">
        <v>82589.337</v>
      </c>
      <c r="G1047" s="7">
        <v>158365</v>
      </c>
    </row>
    <row r="1048" spans="1:7">
      <c r="A1048" s="4" t="s">
        <v>79</v>
      </c>
      <c r="B1048" s="6" t="s">
        <v>80</v>
      </c>
      <c r="C1048" s="6">
        <v>2025</v>
      </c>
      <c r="D1048" s="4" t="s">
        <v>205</v>
      </c>
      <c r="E1048" s="6" t="s">
        <v>456</v>
      </c>
      <c r="F1048" s="7">
        <v>31646.308</v>
      </c>
      <c r="G1048" s="7">
        <v>102250</v>
      </c>
    </row>
    <row r="1049" spans="1:7">
      <c r="A1049" s="4" t="s">
        <v>79</v>
      </c>
      <c r="B1049" s="6" t="s">
        <v>80</v>
      </c>
      <c r="C1049" s="6">
        <v>2025</v>
      </c>
      <c r="D1049" s="4" t="s">
        <v>73</v>
      </c>
      <c r="E1049" s="6" t="s">
        <v>460</v>
      </c>
      <c r="F1049" s="7">
        <v>29274.473</v>
      </c>
      <c r="G1049" s="7">
        <v>101200</v>
      </c>
    </row>
    <row r="1050" spans="1:7">
      <c r="A1050" s="4" t="s">
        <v>79</v>
      </c>
      <c r="B1050" s="6" t="s">
        <v>80</v>
      </c>
      <c r="C1050" s="6">
        <v>2025</v>
      </c>
      <c r="D1050" s="4" t="s">
        <v>407</v>
      </c>
      <c r="E1050" s="6" t="s">
        <v>481</v>
      </c>
      <c r="F1050" s="7">
        <v>14670.571</v>
      </c>
      <c r="G1050" s="7">
        <v>30359</v>
      </c>
    </row>
    <row r="1051" spans="1:7">
      <c r="A1051" s="4" t="s">
        <v>79</v>
      </c>
      <c r="B1051" s="6" t="s">
        <v>80</v>
      </c>
      <c r="C1051" s="6">
        <v>2025</v>
      </c>
      <c r="D1051" s="4" t="s">
        <v>197</v>
      </c>
      <c r="E1051" s="6" t="s">
        <v>464</v>
      </c>
      <c r="F1051" s="7">
        <v>12067.09</v>
      </c>
      <c r="G1051" s="7">
        <v>32758</v>
      </c>
    </row>
    <row r="1052" spans="1:7">
      <c r="A1052" s="4" t="s">
        <v>79</v>
      </c>
      <c r="B1052" s="6" t="s">
        <v>80</v>
      </c>
      <c r="C1052" s="6">
        <v>2025</v>
      </c>
      <c r="D1052" s="4" t="s">
        <v>243</v>
      </c>
      <c r="E1052" s="6" t="s">
        <v>511</v>
      </c>
      <c r="F1052" s="7">
        <v>7096.294</v>
      </c>
      <c r="G1052" s="7">
        <v>13617</v>
      </c>
    </row>
    <row r="1053" spans="1:7">
      <c r="A1053" s="4" t="s">
        <v>79</v>
      </c>
      <c r="B1053" s="6" t="s">
        <v>80</v>
      </c>
      <c r="C1053" s="6">
        <v>2025</v>
      </c>
      <c r="D1053" s="4" t="s">
        <v>265</v>
      </c>
      <c r="E1053" s="6" t="s">
        <v>499</v>
      </c>
      <c r="F1053" s="7">
        <v>3583.177</v>
      </c>
      <c r="G1053" s="7">
        <v>6908</v>
      </c>
    </row>
    <row r="1054" spans="1:7">
      <c r="A1054" s="4" t="s">
        <v>79</v>
      </c>
      <c r="B1054" s="6" t="s">
        <v>80</v>
      </c>
      <c r="C1054" s="6">
        <v>2025</v>
      </c>
      <c r="D1054" s="4" t="s">
        <v>231</v>
      </c>
      <c r="E1054" s="6" t="s">
        <v>466</v>
      </c>
      <c r="F1054" s="7">
        <v>2298.386</v>
      </c>
      <c r="G1054" s="7">
        <v>4403</v>
      </c>
    </row>
    <row r="1055" spans="1:7">
      <c r="A1055" s="4" t="s">
        <v>79</v>
      </c>
      <c r="B1055" s="6" t="s">
        <v>80</v>
      </c>
      <c r="C1055" s="6">
        <v>2025</v>
      </c>
      <c r="D1055" s="4" t="s">
        <v>203</v>
      </c>
      <c r="E1055" s="6" t="s">
        <v>452</v>
      </c>
      <c r="F1055" s="7">
        <v>1466.718</v>
      </c>
      <c r="G1055" s="7">
        <v>3692</v>
      </c>
    </row>
    <row r="1056" spans="1:7">
      <c r="A1056" s="4" t="s">
        <v>79</v>
      </c>
      <c r="B1056" s="6" t="s">
        <v>80</v>
      </c>
      <c r="C1056" s="6">
        <v>2025</v>
      </c>
      <c r="D1056" s="4" t="s">
        <v>253</v>
      </c>
      <c r="E1056" s="6" t="s">
        <v>469</v>
      </c>
      <c r="F1056" s="7">
        <v>1445.248</v>
      </c>
      <c r="G1056" s="7">
        <v>2765</v>
      </c>
    </row>
    <row r="1057" spans="1:7">
      <c r="A1057" s="4" t="s">
        <v>79</v>
      </c>
      <c r="B1057" s="6" t="s">
        <v>80</v>
      </c>
      <c r="C1057" s="6">
        <v>2025</v>
      </c>
      <c r="D1057" s="4" t="s">
        <v>96</v>
      </c>
      <c r="E1057" s="6" t="s">
        <v>453</v>
      </c>
      <c r="F1057" s="7">
        <v>1432.819</v>
      </c>
      <c r="G1057" s="7">
        <v>2745</v>
      </c>
    </row>
    <row r="1058" spans="1:7">
      <c r="A1058" s="4" t="s">
        <v>79</v>
      </c>
      <c r="B1058" s="6" t="s">
        <v>80</v>
      </c>
      <c r="C1058" s="6">
        <v>2025</v>
      </c>
      <c r="D1058" s="4" t="s">
        <v>369</v>
      </c>
      <c r="E1058" s="6" t="s">
        <v>532</v>
      </c>
      <c r="F1058" s="7">
        <v>1109.643</v>
      </c>
      <c r="G1058" s="7">
        <v>2136</v>
      </c>
    </row>
    <row r="1059" spans="1:7">
      <c r="A1059" s="4" t="s">
        <v>79</v>
      </c>
      <c r="B1059" s="6" t="s">
        <v>80</v>
      </c>
      <c r="C1059" s="6">
        <v>2025</v>
      </c>
      <c r="D1059" s="4" t="s">
        <v>399</v>
      </c>
      <c r="E1059" s="6" t="s">
        <v>501</v>
      </c>
      <c r="F1059" s="7">
        <v>856.527</v>
      </c>
      <c r="G1059" s="7">
        <v>1651</v>
      </c>
    </row>
    <row r="1060" spans="1:7">
      <c r="A1060" s="4" t="s">
        <v>79</v>
      </c>
      <c r="B1060" s="6" t="s">
        <v>80</v>
      </c>
      <c r="C1060" s="6">
        <v>2025</v>
      </c>
      <c r="D1060" s="4" t="s">
        <v>309</v>
      </c>
      <c r="E1060" s="6" t="s">
        <v>510</v>
      </c>
      <c r="F1060" s="7">
        <v>840.707</v>
      </c>
      <c r="G1060" s="7">
        <v>1619</v>
      </c>
    </row>
    <row r="1061" spans="1:7">
      <c r="A1061" s="4" t="s">
        <v>79</v>
      </c>
      <c r="B1061" s="6" t="s">
        <v>80</v>
      </c>
      <c r="C1061" s="6">
        <v>2025</v>
      </c>
      <c r="D1061" s="4" t="s">
        <v>375</v>
      </c>
      <c r="E1061" s="6" t="s">
        <v>503</v>
      </c>
      <c r="F1061" s="7">
        <v>829.408</v>
      </c>
      <c r="G1061" s="7">
        <v>1592</v>
      </c>
    </row>
    <row r="1062" spans="1:7">
      <c r="A1062" s="4" t="s">
        <v>79</v>
      </c>
      <c r="B1062" s="6" t="s">
        <v>80</v>
      </c>
      <c r="C1062" s="6">
        <v>2025</v>
      </c>
      <c r="D1062" s="4" t="s">
        <v>281</v>
      </c>
      <c r="E1062" s="6" t="s">
        <v>519</v>
      </c>
      <c r="F1062" s="7">
        <v>785.338</v>
      </c>
      <c r="G1062" s="7">
        <v>1512</v>
      </c>
    </row>
    <row r="1063" spans="1:7">
      <c r="A1063" s="4" t="s">
        <v>79</v>
      </c>
      <c r="B1063" s="6" t="s">
        <v>80</v>
      </c>
      <c r="C1063" s="6">
        <v>2025</v>
      </c>
      <c r="D1063" s="4" t="s">
        <v>275</v>
      </c>
      <c r="E1063" s="6" t="s">
        <v>500</v>
      </c>
      <c r="F1063" s="7">
        <v>706.239</v>
      </c>
      <c r="G1063" s="7">
        <v>1359</v>
      </c>
    </row>
    <row r="1064" spans="1:7">
      <c r="A1064" s="4" t="s">
        <v>79</v>
      </c>
      <c r="B1064" s="6" t="s">
        <v>80</v>
      </c>
      <c r="C1064" s="6">
        <v>2025</v>
      </c>
      <c r="D1064" s="4" t="s">
        <v>321</v>
      </c>
      <c r="E1064" s="6" t="s">
        <v>473</v>
      </c>
      <c r="F1064" s="7">
        <v>705.109</v>
      </c>
      <c r="G1064" s="7">
        <v>1351</v>
      </c>
    </row>
    <row r="1065" spans="1:7">
      <c r="A1065" s="4" t="s">
        <v>79</v>
      </c>
      <c r="B1065" s="6" t="s">
        <v>80</v>
      </c>
      <c r="C1065" s="6">
        <v>2025</v>
      </c>
      <c r="D1065" s="4" t="s">
        <v>287</v>
      </c>
      <c r="E1065" s="6" t="s">
        <v>463</v>
      </c>
      <c r="F1065" s="7">
        <v>472.333</v>
      </c>
      <c r="G1065" s="7">
        <v>1241</v>
      </c>
    </row>
    <row r="1066" spans="1:7">
      <c r="A1066" s="4" t="s">
        <v>79</v>
      </c>
      <c r="B1066" s="6" t="s">
        <v>80</v>
      </c>
      <c r="C1066" s="6">
        <v>2025</v>
      </c>
      <c r="D1066" s="4" t="s">
        <v>185</v>
      </c>
      <c r="E1066" s="6" t="s">
        <v>457</v>
      </c>
      <c r="F1066" s="7">
        <v>404.534</v>
      </c>
      <c r="G1066" s="7">
        <v>778</v>
      </c>
    </row>
    <row r="1067" spans="1:7">
      <c r="A1067" s="4" t="s">
        <v>79</v>
      </c>
      <c r="B1067" s="6" t="s">
        <v>80</v>
      </c>
      <c r="C1067" s="6">
        <v>2025</v>
      </c>
      <c r="D1067" s="4" t="s">
        <v>397</v>
      </c>
      <c r="E1067" s="6" t="s">
        <v>492</v>
      </c>
      <c r="F1067" s="7">
        <v>197.747</v>
      </c>
      <c r="G1067" s="7">
        <v>381</v>
      </c>
    </row>
    <row r="1068" spans="1:7">
      <c r="A1068" s="4" t="s">
        <v>79</v>
      </c>
      <c r="B1068" s="6" t="s">
        <v>80</v>
      </c>
      <c r="C1068" s="6">
        <v>2025</v>
      </c>
      <c r="D1068" s="4" t="s">
        <v>299</v>
      </c>
      <c r="E1068" s="6" t="s">
        <v>531</v>
      </c>
      <c r="F1068" s="7">
        <v>168.367</v>
      </c>
      <c r="G1068" s="7">
        <v>323</v>
      </c>
    </row>
    <row r="1069" spans="1:7">
      <c r="A1069" s="4" t="s">
        <v>79</v>
      </c>
      <c r="B1069" s="6" t="s">
        <v>80</v>
      </c>
      <c r="C1069" s="6">
        <v>2025</v>
      </c>
      <c r="D1069" s="4" t="s">
        <v>217</v>
      </c>
      <c r="E1069" s="6" t="s">
        <v>502</v>
      </c>
      <c r="F1069" s="7">
        <v>128.818</v>
      </c>
      <c r="G1069" s="7">
        <v>248</v>
      </c>
    </row>
    <row r="1070" spans="1:7">
      <c r="A1070" s="4" t="s">
        <v>79</v>
      </c>
      <c r="B1070" s="6" t="s">
        <v>80</v>
      </c>
      <c r="C1070" s="6">
        <v>2025</v>
      </c>
      <c r="D1070" s="4" t="s">
        <v>425</v>
      </c>
      <c r="E1070" s="6" t="s">
        <v>472</v>
      </c>
      <c r="F1070" s="7">
        <v>36.159</v>
      </c>
      <c r="G1070" s="7">
        <v>98</v>
      </c>
    </row>
    <row r="1071" spans="1:7">
      <c r="A1071" s="4" t="s">
        <v>79</v>
      </c>
      <c r="B1071" s="6" t="s">
        <v>80</v>
      </c>
      <c r="C1071" s="6">
        <v>2025</v>
      </c>
      <c r="D1071" s="4" t="s">
        <v>391</v>
      </c>
      <c r="E1071" s="6" t="s">
        <v>525</v>
      </c>
      <c r="F1071" s="7">
        <v>12.43</v>
      </c>
      <c r="G1071" s="7">
        <v>34</v>
      </c>
    </row>
    <row r="1072" spans="1:7">
      <c r="A1072" s="4" t="s">
        <v>79</v>
      </c>
      <c r="B1072" s="6" t="s">
        <v>80</v>
      </c>
      <c r="C1072" s="6">
        <v>2025</v>
      </c>
      <c r="D1072" s="4" t="s">
        <v>223</v>
      </c>
      <c r="E1072" s="6" t="s">
        <v>467</v>
      </c>
      <c r="F1072" s="7">
        <v>5.65</v>
      </c>
      <c r="G1072" s="7">
        <v>11</v>
      </c>
    </row>
    <row r="1073" spans="1:7">
      <c r="A1073" s="4" t="s">
        <v>79</v>
      </c>
      <c r="B1073" s="6" t="s">
        <v>80</v>
      </c>
      <c r="C1073" s="6">
        <v>2025</v>
      </c>
      <c r="D1073" s="4" t="s">
        <v>101</v>
      </c>
      <c r="E1073" s="6" t="s">
        <v>471</v>
      </c>
      <c r="F1073" s="7">
        <v>2.26</v>
      </c>
      <c r="G1073" s="7">
        <v>6</v>
      </c>
    </row>
    <row r="1074" spans="1:7">
      <c r="A1074" s="4" t="s">
        <v>86</v>
      </c>
      <c r="B1074" s="6" t="s">
        <v>87</v>
      </c>
      <c r="C1074" s="6">
        <v>2020</v>
      </c>
      <c r="D1074" s="4" t="s">
        <v>62</v>
      </c>
      <c r="E1074" s="6" t="s">
        <v>448</v>
      </c>
      <c r="F1074" s="7">
        <v>59810419.167</v>
      </c>
      <c r="G1074" s="7">
        <v>0</v>
      </c>
    </row>
    <row r="1075" spans="1:7">
      <c r="A1075" s="4" t="s">
        <v>86</v>
      </c>
      <c r="B1075" s="6" t="s">
        <v>87</v>
      </c>
      <c r="C1075" s="6">
        <v>2020</v>
      </c>
      <c r="D1075" s="4" t="s">
        <v>81</v>
      </c>
      <c r="E1075" s="6" t="s">
        <v>449</v>
      </c>
      <c r="F1075" s="7">
        <v>21946528.056</v>
      </c>
      <c r="G1075" s="7">
        <v>112577000</v>
      </c>
    </row>
    <row r="1076" spans="1:7">
      <c r="A1076" s="4" t="s">
        <v>86</v>
      </c>
      <c r="B1076" s="6" t="s">
        <v>87</v>
      </c>
      <c r="C1076" s="6">
        <v>2020</v>
      </c>
      <c r="D1076" s="4" t="s">
        <v>203</v>
      </c>
      <c r="E1076" s="6" t="s">
        <v>452</v>
      </c>
      <c r="F1076" s="7">
        <v>21905547.524</v>
      </c>
      <c r="G1076" s="7">
        <v>105537160</v>
      </c>
    </row>
    <row r="1077" spans="1:7">
      <c r="A1077" s="4" t="s">
        <v>86</v>
      </c>
      <c r="B1077" s="6" t="s">
        <v>87</v>
      </c>
      <c r="C1077" s="6">
        <v>2020</v>
      </c>
      <c r="D1077" s="4" t="s">
        <v>104</v>
      </c>
      <c r="E1077" s="6" t="s">
        <v>450</v>
      </c>
      <c r="F1077" s="7">
        <v>13179696.578</v>
      </c>
      <c r="G1077" s="7">
        <v>60146100</v>
      </c>
    </row>
    <row r="1078" spans="1:7">
      <c r="A1078" s="4" t="s">
        <v>86</v>
      </c>
      <c r="B1078" s="6" t="s">
        <v>87</v>
      </c>
      <c r="C1078" s="6">
        <v>2020</v>
      </c>
      <c r="D1078" s="4" t="s">
        <v>291</v>
      </c>
      <c r="E1078" s="6" t="s">
        <v>483</v>
      </c>
      <c r="F1078" s="7">
        <v>11383477.485</v>
      </c>
      <c r="G1078" s="7">
        <v>56246800</v>
      </c>
    </row>
    <row r="1079" spans="1:7">
      <c r="A1079" s="4" t="s">
        <v>86</v>
      </c>
      <c r="B1079" s="6" t="s">
        <v>87</v>
      </c>
      <c r="C1079" s="6">
        <v>2020</v>
      </c>
      <c r="D1079" s="4" t="s">
        <v>185</v>
      </c>
      <c r="E1079" s="6" t="s">
        <v>457</v>
      </c>
      <c r="F1079" s="7">
        <v>5758288.697</v>
      </c>
      <c r="G1079" s="7">
        <v>25542500</v>
      </c>
    </row>
    <row r="1080" spans="1:7">
      <c r="A1080" s="4" t="s">
        <v>86</v>
      </c>
      <c r="B1080" s="6" t="s">
        <v>87</v>
      </c>
      <c r="C1080" s="6">
        <v>2020</v>
      </c>
      <c r="D1080" s="4" t="s">
        <v>96</v>
      </c>
      <c r="E1080" s="6" t="s">
        <v>453</v>
      </c>
      <c r="F1080" s="7">
        <v>4500759.722</v>
      </c>
      <c r="G1080" s="7">
        <v>20449800</v>
      </c>
    </row>
    <row r="1081" spans="1:7">
      <c r="A1081" s="4" t="s">
        <v>86</v>
      </c>
      <c r="B1081" s="6" t="s">
        <v>87</v>
      </c>
      <c r="C1081" s="6">
        <v>2020</v>
      </c>
      <c r="D1081" s="4" t="s">
        <v>205</v>
      </c>
      <c r="E1081" s="6" t="s">
        <v>456</v>
      </c>
      <c r="F1081" s="7">
        <v>385276.897</v>
      </c>
      <c r="G1081" s="7">
        <v>2078000</v>
      </c>
    </row>
    <row r="1082" spans="1:7">
      <c r="A1082" s="4" t="s">
        <v>86</v>
      </c>
      <c r="B1082" s="6" t="s">
        <v>87</v>
      </c>
      <c r="C1082" s="6">
        <v>2020</v>
      </c>
      <c r="D1082" s="4" t="s">
        <v>287</v>
      </c>
      <c r="E1082" s="6" t="s">
        <v>463</v>
      </c>
      <c r="F1082" s="7">
        <v>336332.993</v>
      </c>
      <c r="G1082" s="7">
        <v>1095925</v>
      </c>
    </row>
    <row r="1083" spans="1:7">
      <c r="A1083" s="4" t="s">
        <v>86</v>
      </c>
      <c r="B1083" s="6" t="s">
        <v>87</v>
      </c>
      <c r="C1083" s="6">
        <v>2020</v>
      </c>
      <c r="D1083" s="4" t="s">
        <v>93</v>
      </c>
      <c r="E1083" s="6" t="s">
        <v>458</v>
      </c>
      <c r="F1083" s="7">
        <v>140527.886</v>
      </c>
      <c r="G1083" s="7">
        <v>0</v>
      </c>
    </row>
    <row r="1084" spans="1:7">
      <c r="A1084" s="4" t="s">
        <v>86</v>
      </c>
      <c r="B1084" s="6" t="s">
        <v>87</v>
      </c>
      <c r="C1084" s="6">
        <v>2020</v>
      </c>
      <c r="D1084" s="4" t="s">
        <v>73</v>
      </c>
      <c r="E1084" s="6" t="s">
        <v>460</v>
      </c>
      <c r="F1084" s="7">
        <v>122298.86</v>
      </c>
      <c r="G1084" s="7">
        <v>522465</v>
      </c>
    </row>
    <row r="1085" spans="1:7">
      <c r="A1085" s="4" t="s">
        <v>86</v>
      </c>
      <c r="B1085" s="6" t="s">
        <v>87</v>
      </c>
      <c r="C1085" s="6">
        <v>2020</v>
      </c>
      <c r="D1085" s="4" t="s">
        <v>89</v>
      </c>
      <c r="E1085" s="6" t="s">
        <v>459</v>
      </c>
      <c r="F1085" s="7">
        <v>98232.785</v>
      </c>
      <c r="G1085" s="7">
        <v>0</v>
      </c>
    </row>
    <row r="1086" spans="1:7">
      <c r="A1086" s="4" t="s">
        <v>86</v>
      </c>
      <c r="B1086" s="6" t="s">
        <v>87</v>
      </c>
      <c r="C1086" s="6">
        <v>2020</v>
      </c>
      <c r="D1086" s="4" t="s">
        <v>355</v>
      </c>
      <c r="E1086" s="6" t="s">
        <v>468</v>
      </c>
      <c r="F1086" s="7">
        <v>73028.935</v>
      </c>
      <c r="G1086" s="7">
        <v>5450</v>
      </c>
    </row>
    <row r="1087" spans="1:7">
      <c r="A1087" s="4" t="s">
        <v>86</v>
      </c>
      <c r="B1087" s="6" t="s">
        <v>87</v>
      </c>
      <c r="C1087" s="6">
        <v>2020</v>
      </c>
      <c r="D1087" s="4" t="s">
        <v>79</v>
      </c>
      <c r="E1087" s="6" t="s">
        <v>497</v>
      </c>
      <c r="F1087" s="7">
        <v>34336.984</v>
      </c>
      <c r="G1087" s="7">
        <v>150000</v>
      </c>
    </row>
    <row r="1088" spans="1:7">
      <c r="A1088" s="4" t="s">
        <v>86</v>
      </c>
      <c r="B1088" s="6" t="s">
        <v>87</v>
      </c>
      <c r="C1088" s="6">
        <v>2020</v>
      </c>
      <c r="D1088" s="4" t="s">
        <v>125</v>
      </c>
      <c r="E1088" s="6" t="s">
        <v>465</v>
      </c>
      <c r="F1088" s="7">
        <v>22324.201</v>
      </c>
      <c r="G1088" s="7">
        <v>100395.126</v>
      </c>
    </row>
    <row r="1089" spans="1:7">
      <c r="A1089" s="4" t="s">
        <v>86</v>
      </c>
      <c r="B1089" s="6" t="s">
        <v>87</v>
      </c>
      <c r="C1089" s="6">
        <v>2020</v>
      </c>
      <c r="D1089" s="4" t="s">
        <v>86</v>
      </c>
      <c r="E1089" s="6" t="s">
        <v>521</v>
      </c>
      <c r="F1089" s="7">
        <v>6047.999</v>
      </c>
      <c r="G1089" s="7">
        <v>18000</v>
      </c>
    </row>
    <row r="1090" spans="1:7">
      <c r="A1090" s="4" t="s">
        <v>86</v>
      </c>
      <c r="B1090" s="6" t="s">
        <v>87</v>
      </c>
      <c r="C1090" s="6">
        <v>2020</v>
      </c>
      <c r="D1090" s="4" t="s">
        <v>65</v>
      </c>
      <c r="E1090" s="6" t="s">
        <v>475</v>
      </c>
      <c r="F1090" s="7">
        <v>3008.984</v>
      </c>
      <c r="G1090" s="7">
        <v>0</v>
      </c>
    </row>
    <row r="1091" spans="1:7">
      <c r="A1091" s="4" t="s">
        <v>86</v>
      </c>
      <c r="B1091" s="6" t="s">
        <v>87</v>
      </c>
      <c r="C1091" s="6">
        <v>2020</v>
      </c>
      <c r="D1091" s="4" t="s">
        <v>83</v>
      </c>
      <c r="E1091" s="6" t="s">
        <v>493</v>
      </c>
      <c r="F1091" s="7">
        <v>2971.455</v>
      </c>
      <c r="G1091" s="7">
        <v>5675</v>
      </c>
    </row>
    <row r="1092" spans="1:7">
      <c r="A1092" s="4" t="s">
        <v>86</v>
      </c>
      <c r="B1092" s="6" t="s">
        <v>87</v>
      </c>
      <c r="C1092" s="6">
        <v>2020</v>
      </c>
      <c r="D1092" s="4" t="s">
        <v>395</v>
      </c>
      <c r="E1092" s="6" t="s">
        <v>485</v>
      </c>
      <c r="F1092" s="7">
        <v>2249.989</v>
      </c>
      <c r="G1092" s="7">
        <v>2400</v>
      </c>
    </row>
    <row r="1093" spans="1:7">
      <c r="A1093" s="4" t="s">
        <v>86</v>
      </c>
      <c r="B1093" s="6" t="s">
        <v>87</v>
      </c>
      <c r="C1093" s="6">
        <v>2020</v>
      </c>
      <c r="D1093" s="4" t="s">
        <v>155</v>
      </c>
      <c r="E1093" s="6" t="s">
        <v>489</v>
      </c>
      <c r="F1093" s="7">
        <v>893.684</v>
      </c>
      <c r="G1093" s="7">
        <v>100</v>
      </c>
    </row>
    <row r="1094" spans="1:7">
      <c r="A1094" s="4" t="s">
        <v>86</v>
      </c>
      <c r="B1094" s="6" t="s">
        <v>87</v>
      </c>
      <c r="C1094" s="6">
        <v>2020</v>
      </c>
      <c r="D1094" s="4" t="s">
        <v>121</v>
      </c>
      <c r="E1094" s="6" t="s">
        <v>455</v>
      </c>
      <c r="F1094" s="7">
        <v>618.679</v>
      </c>
      <c r="G1094" s="7">
        <v>19</v>
      </c>
    </row>
    <row r="1095" spans="1:7">
      <c r="A1095" s="4" t="s">
        <v>86</v>
      </c>
      <c r="B1095" s="6" t="s">
        <v>87</v>
      </c>
      <c r="C1095" s="6">
        <v>2020</v>
      </c>
      <c r="D1095" s="4" t="s">
        <v>409</v>
      </c>
      <c r="E1095" s="6" t="s">
        <v>461</v>
      </c>
      <c r="F1095" s="7">
        <v>418.842</v>
      </c>
      <c r="G1095" s="7">
        <v>1984.652</v>
      </c>
    </row>
    <row r="1096" spans="1:7">
      <c r="A1096" s="4" t="s">
        <v>86</v>
      </c>
      <c r="B1096" s="6" t="s">
        <v>87</v>
      </c>
      <c r="C1096" s="6">
        <v>2020</v>
      </c>
      <c r="D1096" s="4" t="s">
        <v>367</v>
      </c>
      <c r="E1096" s="6" t="s">
        <v>529</v>
      </c>
      <c r="F1096" s="7">
        <v>5.789</v>
      </c>
      <c r="G1096" s="7">
        <v>2</v>
      </c>
    </row>
    <row r="1097" spans="1:7">
      <c r="A1097" s="4" t="s">
        <v>86</v>
      </c>
      <c r="B1097" s="6" t="s">
        <v>87</v>
      </c>
      <c r="C1097" s="6">
        <v>2021</v>
      </c>
      <c r="D1097" s="4" t="s">
        <v>62</v>
      </c>
      <c r="E1097" s="6" t="s">
        <v>448</v>
      </c>
      <c r="F1097" s="7">
        <v>68249620.63699999</v>
      </c>
      <c r="G1097" s="7">
        <v>0</v>
      </c>
    </row>
    <row r="1098" spans="1:7">
      <c r="A1098" s="4" t="s">
        <v>86</v>
      </c>
      <c r="B1098" s="6" t="s">
        <v>87</v>
      </c>
      <c r="C1098" s="6">
        <v>2021</v>
      </c>
      <c r="D1098" s="4" t="s">
        <v>81</v>
      </c>
      <c r="E1098" s="6" t="s">
        <v>449</v>
      </c>
      <c r="F1098" s="7">
        <v>27962913.209</v>
      </c>
      <c r="G1098" s="7">
        <v>119266000</v>
      </c>
    </row>
    <row r="1099" spans="1:7">
      <c r="A1099" s="4" t="s">
        <v>86</v>
      </c>
      <c r="B1099" s="6" t="s">
        <v>87</v>
      </c>
      <c r="C1099" s="6">
        <v>2021</v>
      </c>
      <c r="D1099" s="4" t="s">
        <v>291</v>
      </c>
      <c r="E1099" s="6" t="s">
        <v>483</v>
      </c>
      <c r="F1099" s="7">
        <v>13780592.389</v>
      </c>
      <c r="G1099" s="7">
        <v>80861900</v>
      </c>
    </row>
    <row r="1100" spans="1:7">
      <c r="A1100" s="4" t="s">
        <v>86</v>
      </c>
      <c r="B1100" s="6" t="s">
        <v>87</v>
      </c>
      <c r="C1100" s="6">
        <v>2021</v>
      </c>
      <c r="D1100" s="4" t="s">
        <v>104</v>
      </c>
      <c r="E1100" s="6" t="s">
        <v>450</v>
      </c>
      <c r="F1100" s="7">
        <v>9497674.038000001</v>
      </c>
      <c r="G1100" s="7">
        <v>43337500</v>
      </c>
    </row>
    <row r="1101" spans="1:7">
      <c r="A1101" s="4" t="s">
        <v>86</v>
      </c>
      <c r="B1101" s="6" t="s">
        <v>87</v>
      </c>
      <c r="C1101" s="6">
        <v>2021</v>
      </c>
      <c r="D1101" s="4" t="s">
        <v>203</v>
      </c>
      <c r="E1101" s="6" t="s">
        <v>452</v>
      </c>
      <c r="F1101" s="7">
        <v>7305769.845</v>
      </c>
      <c r="G1101" s="7">
        <v>28010602</v>
      </c>
    </row>
    <row r="1102" spans="1:7">
      <c r="A1102" s="4" t="s">
        <v>86</v>
      </c>
      <c r="B1102" s="6" t="s">
        <v>87</v>
      </c>
      <c r="C1102" s="6">
        <v>2021</v>
      </c>
      <c r="D1102" s="4" t="s">
        <v>185</v>
      </c>
      <c r="E1102" s="6" t="s">
        <v>457</v>
      </c>
      <c r="F1102" s="7">
        <v>7273104.407</v>
      </c>
      <c r="G1102" s="7">
        <v>32451382</v>
      </c>
    </row>
    <row r="1103" spans="1:7">
      <c r="A1103" s="4" t="s">
        <v>86</v>
      </c>
      <c r="B1103" s="6" t="s">
        <v>87</v>
      </c>
      <c r="C1103" s="6">
        <v>2021</v>
      </c>
      <c r="D1103" s="4" t="s">
        <v>96</v>
      </c>
      <c r="E1103" s="6" t="s">
        <v>453</v>
      </c>
      <c r="F1103" s="7">
        <v>7110444.433</v>
      </c>
      <c r="G1103" s="7">
        <v>30619701</v>
      </c>
    </row>
    <row r="1104" spans="1:7">
      <c r="A1104" s="4" t="s">
        <v>86</v>
      </c>
      <c r="B1104" s="6" t="s">
        <v>87</v>
      </c>
      <c r="C1104" s="6">
        <v>2021</v>
      </c>
      <c r="D1104" s="4" t="s">
        <v>73</v>
      </c>
      <c r="E1104" s="6" t="s">
        <v>460</v>
      </c>
      <c r="F1104" s="7">
        <v>2013593.941</v>
      </c>
      <c r="G1104" s="7">
        <v>6722400.565</v>
      </c>
    </row>
    <row r="1105" spans="1:7">
      <c r="A1105" s="4" t="s">
        <v>86</v>
      </c>
      <c r="B1105" s="6" t="s">
        <v>87</v>
      </c>
      <c r="C1105" s="6">
        <v>2021</v>
      </c>
      <c r="D1105" s="4" t="s">
        <v>93</v>
      </c>
      <c r="E1105" s="6" t="s">
        <v>458</v>
      </c>
      <c r="F1105" s="7">
        <v>1833597.102</v>
      </c>
      <c r="G1105" s="7">
        <v>0</v>
      </c>
    </row>
    <row r="1106" spans="1:7">
      <c r="A1106" s="4" t="s">
        <v>86</v>
      </c>
      <c r="B1106" s="6" t="s">
        <v>87</v>
      </c>
      <c r="C1106" s="6">
        <v>2021</v>
      </c>
      <c r="D1106" s="4" t="s">
        <v>205</v>
      </c>
      <c r="E1106" s="6" t="s">
        <v>456</v>
      </c>
      <c r="F1106" s="7">
        <v>164017.995</v>
      </c>
      <c r="G1106" s="7">
        <v>578000</v>
      </c>
    </row>
    <row r="1107" spans="1:7">
      <c r="A1107" s="4" t="s">
        <v>86</v>
      </c>
      <c r="B1107" s="6" t="s">
        <v>87</v>
      </c>
      <c r="C1107" s="6">
        <v>2021</v>
      </c>
      <c r="D1107" s="4" t="s">
        <v>287</v>
      </c>
      <c r="E1107" s="6" t="s">
        <v>463</v>
      </c>
      <c r="F1107" s="7">
        <v>117617.17</v>
      </c>
      <c r="G1107" s="7">
        <v>210775</v>
      </c>
    </row>
    <row r="1108" spans="1:7">
      <c r="A1108" s="4" t="s">
        <v>86</v>
      </c>
      <c r="B1108" s="6" t="s">
        <v>87</v>
      </c>
      <c r="C1108" s="6">
        <v>2021</v>
      </c>
      <c r="D1108" s="4" t="s">
        <v>89</v>
      </c>
      <c r="E1108" s="6" t="s">
        <v>459</v>
      </c>
      <c r="F1108" s="7">
        <v>57443.609</v>
      </c>
      <c r="G1108" s="7">
        <v>122509</v>
      </c>
    </row>
    <row r="1109" spans="1:7">
      <c r="A1109" s="4" t="s">
        <v>86</v>
      </c>
      <c r="B1109" s="6" t="s">
        <v>87</v>
      </c>
      <c r="C1109" s="6">
        <v>2021</v>
      </c>
      <c r="D1109" s="4" t="s">
        <v>83</v>
      </c>
      <c r="E1109" s="6" t="s">
        <v>493</v>
      </c>
      <c r="F1109" s="7">
        <v>39200.003</v>
      </c>
      <c r="G1109" s="7">
        <v>0</v>
      </c>
    </row>
    <row r="1110" spans="1:7">
      <c r="A1110" s="4" t="s">
        <v>86</v>
      </c>
      <c r="B1110" s="6" t="s">
        <v>87</v>
      </c>
      <c r="C1110" s="6">
        <v>2021</v>
      </c>
      <c r="D1110" s="4" t="s">
        <v>355</v>
      </c>
      <c r="E1110" s="6" t="s">
        <v>468</v>
      </c>
      <c r="F1110" s="7">
        <v>14779.264</v>
      </c>
      <c r="G1110" s="7">
        <v>22150</v>
      </c>
    </row>
    <row r="1111" spans="1:7">
      <c r="A1111" s="4" t="s">
        <v>86</v>
      </c>
      <c r="B1111" s="6" t="s">
        <v>87</v>
      </c>
      <c r="C1111" s="6">
        <v>2021</v>
      </c>
      <c r="D1111" s="4" t="s">
        <v>357</v>
      </c>
      <c r="E1111" s="6" t="s">
        <v>486</v>
      </c>
      <c r="F1111" s="7">
        <v>6059.987</v>
      </c>
      <c r="G1111" s="7">
        <v>20000</v>
      </c>
    </row>
    <row r="1112" spans="1:7">
      <c r="A1112" s="4" t="s">
        <v>86</v>
      </c>
      <c r="B1112" s="6" t="s">
        <v>87</v>
      </c>
      <c r="C1112" s="6">
        <v>2021</v>
      </c>
      <c r="D1112" s="4" t="s">
        <v>69</v>
      </c>
      <c r="E1112" s="6" t="s">
        <v>534</v>
      </c>
      <c r="F1112" s="7">
        <v>2785.975</v>
      </c>
      <c r="G1112" s="7">
        <v>4975</v>
      </c>
    </row>
    <row r="1113" spans="1:7">
      <c r="A1113" s="4" t="s">
        <v>86</v>
      </c>
      <c r="B1113" s="6" t="s">
        <v>87</v>
      </c>
      <c r="C1113" s="6">
        <v>2021</v>
      </c>
      <c r="D1113" s="4" t="s">
        <v>121</v>
      </c>
      <c r="E1113" s="6" t="s">
        <v>455</v>
      </c>
      <c r="F1113" s="7">
        <v>2054.061</v>
      </c>
      <c r="G1113" s="7">
        <v>1002</v>
      </c>
    </row>
    <row r="1114" spans="1:7">
      <c r="A1114" s="4" t="s">
        <v>86</v>
      </c>
      <c r="B1114" s="6" t="s">
        <v>87</v>
      </c>
      <c r="C1114" s="6">
        <v>2021</v>
      </c>
      <c r="D1114" s="4" t="s">
        <v>409</v>
      </c>
      <c r="E1114" s="6" t="s">
        <v>461</v>
      </c>
      <c r="F1114" s="7">
        <v>1509.149</v>
      </c>
      <c r="G1114" s="7">
        <v>0</v>
      </c>
    </row>
    <row r="1115" spans="1:7">
      <c r="A1115" s="4" t="s">
        <v>86</v>
      </c>
      <c r="B1115" s="6" t="s">
        <v>87</v>
      </c>
      <c r="C1115" s="6">
        <v>2021</v>
      </c>
      <c r="D1115" s="4" t="s">
        <v>125</v>
      </c>
      <c r="E1115" s="6" t="s">
        <v>465</v>
      </c>
      <c r="F1115" s="7">
        <v>1412.869</v>
      </c>
      <c r="G1115" s="7">
        <v>1251.413</v>
      </c>
    </row>
    <row r="1116" spans="1:7">
      <c r="A1116" s="4" t="s">
        <v>86</v>
      </c>
      <c r="B1116" s="6" t="s">
        <v>87</v>
      </c>
      <c r="C1116" s="6">
        <v>2021</v>
      </c>
      <c r="D1116" s="4" t="s">
        <v>86</v>
      </c>
      <c r="E1116" s="6" t="s">
        <v>521</v>
      </c>
      <c r="F1116" s="7">
        <v>1024.489</v>
      </c>
      <c r="G1116" s="7">
        <v>1879</v>
      </c>
    </row>
    <row r="1117" spans="1:7">
      <c r="A1117" s="4" t="s">
        <v>86</v>
      </c>
      <c r="B1117" s="6" t="s">
        <v>87</v>
      </c>
      <c r="C1117" s="6">
        <v>2021</v>
      </c>
      <c r="D1117" s="4" t="s">
        <v>395</v>
      </c>
      <c r="E1117" s="6" t="s">
        <v>485</v>
      </c>
      <c r="F1117" s="7">
        <v>830.01</v>
      </c>
      <c r="G1117" s="7">
        <v>200</v>
      </c>
    </row>
    <row r="1118" spans="1:7">
      <c r="A1118" s="4" t="s">
        <v>86</v>
      </c>
      <c r="B1118" s="6" t="s">
        <v>87</v>
      </c>
      <c r="C1118" s="6">
        <v>2021</v>
      </c>
      <c r="D1118" s="4" t="s">
        <v>112</v>
      </c>
      <c r="E1118" s="6" t="s">
        <v>480</v>
      </c>
      <c r="F1118" s="7">
        <v>529.391</v>
      </c>
      <c r="G1118" s="7">
        <v>62</v>
      </c>
    </row>
    <row r="1119" spans="1:7">
      <c r="A1119" s="4" t="s">
        <v>86</v>
      </c>
      <c r="B1119" s="6" t="s">
        <v>87</v>
      </c>
      <c r="C1119" s="6">
        <v>2022</v>
      </c>
      <c r="D1119" s="4" t="s">
        <v>62</v>
      </c>
      <c r="E1119" s="6" t="s">
        <v>448</v>
      </c>
      <c r="F1119" s="7">
        <v>86479057.706</v>
      </c>
      <c r="G1119" s="7">
        <v>0</v>
      </c>
    </row>
    <row r="1120" spans="1:7">
      <c r="A1120" s="4" t="s">
        <v>86</v>
      </c>
      <c r="B1120" s="6" t="s">
        <v>87</v>
      </c>
      <c r="C1120" s="6">
        <v>2022</v>
      </c>
      <c r="D1120" s="4" t="s">
        <v>203</v>
      </c>
      <c r="E1120" s="6" t="s">
        <v>452</v>
      </c>
      <c r="F1120" s="7">
        <v>71294103.617</v>
      </c>
      <c r="G1120" s="7">
        <v>164559113.481</v>
      </c>
    </row>
    <row r="1121" spans="1:7">
      <c r="A1121" s="4" t="s">
        <v>86</v>
      </c>
      <c r="B1121" s="6" t="s">
        <v>87</v>
      </c>
      <c r="C1121" s="6">
        <v>2022</v>
      </c>
      <c r="D1121" s="4" t="s">
        <v>81</v>
      </c>
      <c r="E1121" s="6" t="s">
        <v>449</v>
      </c>
      <c r="F1121" s="7">
        <v>37106774.535</v>
      </c>
      <c r="G1121" s="7">
        <v>91803950</v>
      </c>
    </row>
    <row r="1122" spans="1:7">
      <c r="A1122" s="4" t="s">
        <v>86</v>
      </c>
      <c r="B1122" s="6" t="s">
        <v>87</v>
      </c>
      <c r="C1122" s="6">
        <v>2022</v>
      </c>
      <c r="D1122" s="4" t="s">
        <v>291</v>
      </c>
      <c r="E1122" s="6" t="s">
        <v>483</v>
      </c>
      <c r="F1122" s="7">
        <v>24136072.519</v>
      </c>
      <c r="G1122" s="7">
        <v>71335116</v>
      </c>
    </row>
    <row r="1123" spans="1:7">
      <c r="A1123" s="4" t="s">
        <v>86</v>
      </c>
      <c r="B1123" s="6" t="s">
        <v>87</v>
      </c>
      <c r="C1123" s="6">
        <v>2022</v>
      </c>
      <c r="D1123" s="4" t="s">
        <v>185</v>
      </c>
      <c r="E1123" s="6" t="s">
        <v>457</v>
      </c>
      <c r="F1123" s="7">
        <v>22552595.059</v>
      </c>
      <c r="G1123" s="7">
        <v>61050246</v>
      </c>
    </row>
    <row r="1124" spans="1:7">
      <c r="A1124" s="4" t="s">
        <v>86</v>
      </c>
      <c r="B1124" s="6" t="s">
        <v>87</v>
      </c>
      <c r="C1124" s="6">
        <v>2022</v>
      </c>
      <c r="D1124" s="4" t="s">
        <v>104</v>
      </c>
      <c r="E1124" s="6" t="s">
        <v>450</v>
      </c>
      <c r="F1124" s="7">
        <v>14491006.274</v>
      </c>
      <c r="G1124" s="7">
        <v>39966305</v>
      </c>
    </row>
    <row r="1125" spans="1:7">
      <c r="A1125" s="4" t="s">
        <v>86</v>
      </c>
      <c r="B1125" s="6" t="s">
        <v>87</v>
      </c>
      <c r="C1125" s="6">
        <v>2022</v>
      </c>
      <c r="D1125" s="4" t="s">
        <v>96</v>
      </c>
      <c r="E1125" s="6" t="s">
        <v>453</v>
      </c>
      <c r="F1125" s="7">
        <v>11369161.475</v>
      </c>
      <c r="G1125" s="7">
        <v>34695405</v>
      </c>
    </row>
    <row r="1126" spans="1:7">
      <c r="A1126" s="4" t="s">
        <v>86</v>
      </c>
      <c r="B1126" s="6" t="s">
        <v>87</v>
      </c>
      <c r="C1126" s="6">
        <v>2022</v>
      </c>
      <c r="D1126" s="4" t="s">
        <v>93</v>
      </c>
      <c r="E1126" s="6" t="s">
        <v>458</v>
      </c>
      <c r="F1126" s="7">
        <v>1745430.116</v>
      </c>
      <c r="G1126" s="7">
        <v>5477807</v>
      </c>
    </row>
    <row r="1127" spans="1:7">
      <c r="A1127" s="4" t="s">
        <v>86</v>
      </c>
      <c r="B1127" s="6" t="s">
        <v>87</v>
      </c>
      <c r="C1127" s="6">
        <v>2022</v>
      </c>
      <c r="D1127" s="4" t="s">
        <v>73</v>
      </c>
      <c r="E1127" s="6" t="s">
        <v>460</v>
      </c>
      <c r="F1127" s="7">
        <v>1704602.824</v>
      </c>
      <c r="G1127" s="7">
        <v>4062817.008</v>
      </c>
    </row>
    <row r="1128" spans="1:7">
      <c r="A1128" s="4" t="s">
        <v>86</v>
      </c>
      <c r="B1128" s="6" t="s">
        <v>87</v>
      </c>
      <c r="C1128" s="6">
        <v>2022</v>
      </c>
      <c r="D1128" s="4" t="s">
        <v>125</v>
      </c>
      <c r="E1128" s="6" t="s">
        <v>465</v>
      </c>
      <c r="F1128" s="7">
        <v>186472.81</v>
      </c>
      <c r="G1128" s="7">
        <v>1054036</v>
      </c>
    </row>
    <row r="1129" spans="1:7">
      <c r="A1129" s="4" t="s">
        <v>86</v>
      </c>
      <c r="B1129" s="6" t="s">
        <v>87</v>
      </c>
      <c r="C1129" s="6">
        <v>2022</v>
      </c>
      <c r="D1129" s="4" t="s">
        <v>395</v>
      </c>
      <c r="E1129" s="6" t="s">
        <v>485</v>
      </c>
      <c r="F1129" s="7">
        <v>182820.735</v>
      </c>
      <c r="G1129" s="7">
        <v>426800</v>
      </c>
    </row>
    <row r="1130" spans="1:7">
      <c r="A1130" s="4" t="s">
        <v>86</v>
      </c>
      <c r="B1130" s="6" t="s">
        <v>87</v>
      </c>
      <c r="C1130" s="6">
        <v>2022</v>
      </c>
      <c r="D1130" s="4" t="s">
        <v>287</v>
      </c>
      <c r="E1130" s="6" t="s">
        <v>463</v>
      </c>
      <c r="F1130" s="7">
        <v>174661.095</v>
      </c>
      <c r="G1130" s="7">
        <v>267452</v>
      </c>
    </row>
    <row r="1131" spans="1:7">
      <c r="A1131" s="4" t="s">
        <v>86</v>
      </c>
      <c r="B1131" s="6" t="s">
        <v>87</v>
      </c>
      <c r="C1131" s="6">
        <v>2022</v>
      </c>
      <c r="D1131" s="4" t="s">
        <v>89</v>
      </c>
      <c r="E1131" s="6" t="s">
        <v>459</v>
      </c>
      <c r="F1131" s="7">
        <v>80570.016</v>
      </c>
      <c r="G1131" s="7">
        <v>157500</v>
      </c>
    </row>
    <row r="1132" spans="1:7">
      <c r="A1132" s="4" t="s">
        <v>86</v>
      </c>
      <c r="B1132" s="6" t="s">
        <v>87</v>
      </c>
      <c r="C1132" s="6">
        <v>2022</v>
      </c>
      <c r="D1132" s="4" t="s">
        <v>425</v>
      </c>
      <c r="E1132" s="6" t="s">
        <v>472</v>
      </c>
      <c r="F1132" s="7">
        <v>25599.994</v>
      </c>
      <c r="G1132" s="7">
        <v>40000</v>
      </c>
    </row>
    <row r="1133" spans="1:7">
      <c r="A1133" s="4" t="s">
        <v>86</v>
      </c>
      <c r="B1133" s="6" t="s">
        <v>87</v>
      </c>
      <c r="C1133" s="6">
        <v>2022</v>
      </c>
      <c r="D1133" s="4" t="s">
        <v>121</v>
      </c>
      <c r="E1133" s="6" t="s">
        <v>455</v>
      </c>
      <c r="F1133" s="7">
        <v>6547.16</v>
      </c>
      <c r="G1133" s="7">
        <v>4025</v>
      </c>
    </row>
    <row r="1134" spans="1:7">
      <c r="A1134" s="4" t="s">
        <v>86</v>
      </c>
      <c r="B1134" s="6" t="s">
        <v>87</v>
      </c>
      <c r="C1134" s="6">
        <v>2022</v>
      </c>
      <c r="D1134" s="4" t="s">
        <v>355</v>
      </c>
      <c r="E1134" s="6" t="s">
        <v>468</v>
      </c>
      <c r="F1134" s="7">
        <v>4205.565</v>
      </c>
      <c r="G1134" s="7">
        <v>4200</v>
      </c>
    </row>
    <row r="1135" spans="1:7">
      <c r="A1135" s="4" t="s">
        <v>86</v>
      </c>
      <c r="B1135" s="6" t="s">
        <v>87</v>
      </c>
      <c r="C1135" s="6">
        <v>2022</v>
      </c>
      <c r="D1135" s="4" t="s">
        <v>409</v>
      </c>
      <c r="E1135" s="6" t="s">
        <v>461</v>
      </c>
      <c r="F1135" s="7">
        <v>2714.196</v>
      </c>
      <c r="G1135" s="7">
        <v>0</v>
      </c>
    </row>
    <row r="1136" spans="1:7">
      <c r="A1136" s="4" t="s">
        <v>86</v>
      </c>
      <c r="B1136" s="6" t="s">
        <v>87</v>
      </c>
      <c r="C1136" s="6">
        <v>2022</v>
      </c>
      <c r="D1136" s="4" t="s">
        <v>112</v>
      </c>
      <c r="E1136" s="6" t="s">
        <v>480</v>
      </c>
      <c r="F1136" s="7">
        <v>999.011</v>
      </c>
      <c r="G1136" s="7">
        <v>160</v>
      </c>
    </row>
    <row r="1137" spans="1:7">
      <c r="A1137" s="4" t="s">
        <v>86</v>
      </c>
      <c r="B1137" s="6" t="s">
        <v>87</v>
      </c>
      <c r="C1137" s="6">
        <v>2022</v>
      </c>
      <c r="D1137" s="4" t="s">
        <v>83</v>
      </c>
      <c r="E1137" s="6" t="s">
        <v>493</v>
      </c>
      <c r="F1137" s="7">
        <v>369.612</v>
      </c>
      <c r="G1137" s="7">
        <v>1100</v>
      </c>
    </row>
    <row r="1138" spans="1:7">
      <c r="A1138" s="4" t="s">
        <v>86</v>
      </c>
      <c r="B1138" s="6" t="s">
        <v>87</v>
      </c>
      <c r="C1138" s="6">
        <v>2022</v>
      </c>
      <c r="D1138" s="4" t="s">
        <v>86</v>
      </c>
      <c r="E1138" s="6" t="s">
        <v>521</v>
      </c>
      <c r="F1138" s="7">
        <v>336.013</v>
      </c>
      <c r="G1138" s="7">
        <v>175</v>
      </c>
    </row>
    <row r="1139" spans="1:7">
      <c r="A1139" s="4" t="s">
        <v>86</v>
      </c>
      <c r="B1139" s="6" t="s">
        <v>87</v>
      </c>
      <c r="C1139" s="6">
        <v>2022</v>
      </c>
      <c r="D1139" s="4" t="s">
        <v>76</v>
      </c>
      <c r="E1139" s="6" t="s">
        <v>488</v>
      </c>
      <c r="F1139" s="7">
        <v>5.425</v>
      </c>
      <c r="G1139" s="7">
        <v>14.508</v>
      </c>
    </row>
    <row r="1140" spans="1:7">
      <c r="A1140" s="4" t="s">
        <v>86</v>
      </c>
      <c r="B1140" s="6" t="s">
        <v>87</v>
      </c>
      <c r="C1140" s="6">
        <v>2023</v>
      </c>
      <c r="D1140" s="4" t="s">
        <v>62</v>
      </c>
      <c r="E1140" s="6" t="s">
        <v>448</v>
      </c>
      <c r="F1140" s="7">
        <v>96495872.042</v>
      </c>
      <c r="G1140" s="7">
        <v>0</v>
      </c>
    </row>
    <row r="1141" spans="1:7">
      <c r="A1141" s="4" t="s">
        <v>86</v>
      </c>
      <c r="B1141" s="6" t="s">
        <v>87</v>
      </c>
      <c r="C1141" s="6">
        <v>2023</v>
      </c>
      <c r="D1141" s="4" t="s">
        <v>203</v>
      </c>
      <c r="E1141" s="6" t="s">
        <v>452</v>
      </c>
      <c r="F1141" s="7">
        <v>34376707.848</v>
      </c>
      <c r="G1141" s="7">
        <v>100030180</v>
      </c>
    </row>
    <row r="1142" spans="1:7">
      <c r="A1142" s="4" t="s">
        <v>86</v>
      </c>
      <c r="B1142" s="6" t="s">
        <v>87</v>
      </c>
      <c r="C1142" s="6">
        <v>2023</v>
      </c>
      <c r="D1142" s="4" t="s">
        <v>81</v>
      </c>
      <c r="E1142" s="6" t="s">
        <v>449</v>
      </c>
      <c r="F1142" s="7">
        <v>34229550.071</v>
      </c>
      <c r="G1142" s="7">
        <v>109176384</v>
      </c>
    </row>
    <row r="1143" spans="1:7">
      <c r="A1143" s="4" t="s">
        <v>86</v>
      </c>
      <c r="B1143" s="6" t="s">
        <v>87</v>
      </c>
      <c r="C1143" s="6">
        <v>2023</v>
      </c>
      <c r="D1143" s="4" t="s">
        <v>291</v>
      </c>
      <c r="E1143" s="6" t="s">
        <v>483</v>
      </c>
      <c r="F1143" s="7">
        <v>23864460.649</v>
      </c>
      <c r="G1143" s="7">
        <v>62338525</v>
      </c>
    </row>
    <row r="1144" spans="1:7">
      <c r="A1144" s="4" t="s">
        <v>86</v>
      </c>
      <c r="B1144" s="6" t="s">
        <v>87</v>
      </c>
      <c r="C1144" s="6">
        <v>2023</v>
      </c>
      <c r="D1144" s="4" t="s">
        <v>96</v>
      </c>
      <c r="E1144" s="6" t="s">
        <v>453</v>
      </c>
      <c r="F1144" s="7">
        <v>9806707.669</v>
      </c>
      <c r="G1144" s="7">
        <v>28860190</v>
      </c>
    </row>
    <row r="1145" spans="1:7">
      <c r="A1145" s="4" t="s">
        <v>86</v>
      </c>
      <c r="B1145" s="6" t="s">
        <v>87</v>
      </c>
      <c r="C1145" s="6">
        <v>2023</v>
      </c>
      <c r="D1145" s="4" t="s">
        <v>104</v>
      </c>
      <c r="E1145" s="6" t="s">
        <v>450</v>
      </c>
      <c r="F1145" s="7">
        <v>9532593.902000001</v>
      </c>
      <c r="G1145" s="7">
        <v>27910627</v>
      </c>
    </row>
    <row r="1146" spans="1:7">
      <c r="A1146" s="4" t="s">
        <v>86</v>
      </c>
      <c r="B1146" s="6" t="s">
        <v>87</v>
      </c>
      <c r="C1146" s="6">
        <v>2023</v>
      </c>
      <c r="D1146" s="4" t="s">
        <v>185</v>
      </c>
      <c r="E1146" s="6" t="s">
        <v>457</v>
      </c>
      <c r="F1146" s="7">
        <v>5429334.094</v>
      </c>
      <c r="G1146" s="7">
        <v>13370540</v>
      </c>
    </row>
    <row r="1147" spans="1:7">
      <c r="A1147" s="4" t="s">
        <v>86</v>
      </c>
      <c r="B1147" s="6" t="s">
        <v>87</v>
      </c>
      <c r="C1147" s="6">
        <v>2023</v>
      </c>
      <c r="D1147" s="4" t="s">
        <v>73</v>
      </c>
      <c r="E1147" s="6" t="s">
        <v>460</v>
      </c>
      <c r="F1147" s="7">
        <v>5344675.781</v>
      </c>
      <c r="G1147" s="7">
        <v>15088468</v>
      </c>
    </row>
    <row r="1148" spans="1:7">
      <c r="A1148" s="4" t="s">
        <v>86</v>
      </c>
      <c r="B1148" s="6" t="s">
        <v>87</v>
      </c>
      <c r="C1148" s="6">
        <v>2023</v>
      </c>
      <c r="D1148" s="4" t="s">
        <v>287</v>
      </c>
      <c r="E1148" s="6" t="s">
        <v>463</v>
      </c>
      <c r="F1148" s="7">
        <v>140002.486</v>
      </c>
      <c r="G1148" s="7">
        <v>194081.154</v>
      </c>
    </row>
    <row r="1149" spans="1:7">
      <c r="A1149" s="4" t="s">
        <v>86</v>
      </c>
      <c r="B1149" s="6" t="s">
        <v>87</v>
      </c>
      <c r="C1149" s="6">
        <v>2023</v>
      </c>
      <c r="D1149" s="4" t="s">
        <v>93</v>
      </c>
      <c r="E1149" s="6" t="s">
        <v>458</v>
      </c>
      <c r="F1149" s="7">
        <v>131258.783</v>
      </c>
      <c r="G1149" s="7">
        <v>274200</v>
      </c>
    </row>
    <row r="1150" spans="1:7">
      <c r="A1150" s="4" t="s">
        <v>86</v>
      </c>
      <c r="B1150" s="6" t="s">
        <v>87</v>
      </c>
      <c r="C1150" s="6">
        <v>2023</v>
      </c>
      <c r="D1150" s="4" t="s">
        <v>155</v>
      </c>
      <c r="E1150" s="6" t="s">
        <v>489</v>
      </c>
      <c r="F1150" s="7">
        <v>112911.579</v>
      </c>
      <c r="G1150" s="7">
        <v>72421</v>
      </c>
    </row>
    <row r="1151" spans="1:7">
      <c r="A1151" s="4" t="s">
        <v>86</v>
      </c>
      <c r="B1151" s="6" t="s">
        <v>87</v>
      </c>
      <c r="C1151" s="6">
        <v>2023</v>
      </c>
      <c r="D1151" s="4" t="s">
        <v>89</v>
      </c>
      <c r="E1151" s="6" t="s">
        <v>459</v>
      </c>
      <c r="F1151" s="7">
        <v>73453.481</v>
      </c>
      <c r="G1151" s="7">
        <v>105000</v>
      </c>
    </row>
    <row r="1152" spans="1:7">
      <c r="A1152" s="4" t="s">
        <v>86</v>
      </c>
      <c r="B1152" s="6" t="s">
        <v>87</v>
      </c>
      <c r="C1152" s="6">
        <v>2023</v>
      </c>
      <c r="D1152" s="4" t="s">
        <v>205</v>
      </c>
      <c r="E1152" s="6" t="s">
        <v>456</v>
      </c>
      <c r="F1152" s="7">
        <v>29500.004</v>
      </c>
      <c r="G1152" s="7">
        <v>100000</v>
      </c>
    </row>
    <row r="1153" spans="1:7">
      <c r="A1153" s="4" t="s">
        <v>86</v>
      </c>
      <c r="B1153" s="6" t="s">
        <v>87</v>
      </c>
      <c r="C1153" s="6">
        <v>2023</v>
      </c>
      <c r="D1153" s="4" t="s">
        <v>86</v>
      </c>
      <c r="E1153" s="6" t="s">
        <v>521</v>
      </c>
      <c r="F1153" s="7">
        <v>14364.201</v>
      </c>
      <c r="G1153" s="7">
        <v>12600</v>
      </c>
    </row>
    <row r="1154" spans="1:7">
      <c r="A1154" s="4" t="s">
        <v>86</v>
      </c>
      <c r="B1154" s="6" t="s">
        <v>87</v>
      </c>
      <c r="C1154" s="6">
        <v>2023</v>
      </c>
      <c r="D1154" s="4" t="s">
        <v>121</v>
      </c>
      <c r="E1154" s="6" t="s">
        <v>455</v>
      </c>
      <c r="F1154" s="7">
        <v>7277.781</v>
      </c>
      <c r="G1154" s="7">
        <v>610</v>
      </c>
    </row>
    <row r="1155" spans="1:7">
      <c r="A1155" s="4" t="s">
        <v>86</v>
      </c>
      <c r="B1155" s="6" t="s">
        <v>87</v>
      </c>
      <c r="C1155" s="6">
        <v>2023</v>
      </c>
      <c r="D1155" s="4" t="s">
        <v>355</v>
      </c>
      <c r="E1155" s="6" t="s">
        <v>468</v>
      </c>
      <c r="F1155" s="7">
        <v>5009.578</v>
      </c>
      <c r="G1155" s="7">
        <v>4800</v>
      </c>
    </row>
    <row r="1156" spans="1:7">
      <c r="A1156" s="4" t="s">
        <v>86</v>
      </c>
      <c r="B1156" s="6" t="s">
        <v>87</v>
      </c>
      <c r="C1156" s="6">
        <v>2023</v>
      </c>
      <c r="D1156" s="4" t="s">
        <v>409</v>
      </c>
      <c r="E1156" s="6" t="s">
        <v>461</v>
      </c>
      <c r="F1156" s="7">
        <v>4064.943</v>
      </c>
      <c r="G1156" s="7">
        <v>0</v>
      </c>
    </row>
    <row r="1157" spans="1:7">
      <c r="A1157" s="4" t="s">
        <v>86</v>
      </c>
      <c r="B1157" s="6" t="s">
        <v>87</v>
      </c>
      <c r="C1157" s="6">
        <v>2023</v>
      </c>
      <c r="D1157" s="4" t="s">
        <v>112</v>
      </c>
      <c r="E1157" s="6" t="s">
        <v>480</v>
      </c>
      <c r="F1157" s="7">
        <v>1235.305</v>
      </c>
      <c r="G1157" s="7">
        <v>210</v>
      </c>
    </row>
    <row r="1158" spans="1:7">
      <c r="A1158" s="4" t="s">
        <v>86</v>
      </c>
      <c r="B1158" s="6" t="s">
        <v>87</v>
      </c>
      <c r="C1158" s="6">
        <v>2023</v>
      </c>
      <c r="D1158" s="4" t="s">
        <v>125</v>
      </c>
      <c r="E1158" s="6" t="s">
        <v>465</v>
      </c>
      <c r="F1158" s="7">
        <v>856.409</v>
      </c>
      <c r="G1158" s="7">
        <v>0</v>
      </c>
    </row>
    <row r="1159" spans="1:7">
      <c r="A1159" s="4" t="s">
        <v>86</v>
      </c>
      <c r="B1159" s="6" t="s">
        <v>87</v>
      </c>
      <c r="C1159" s="6">
        <v>2023</v>
      </c>
      <c r="D1159" s="4" t="s">
        <v>395</v>
      </c>
      <c r="E1159" s="6" t="s">
        <v>485</v>
      </c>
      <c r="F1159" s="7">
        <v>745.506</v>
      </c>
      <c r="G1159" s="7">
        <v>350</v>
      </c>
    </row>
    <row r="1160" spans="1:7">
      <c r="A1160" s="4" t="s">
        <v>86</v>
      </c>
      <c r="B1160" s="6" t="s">
        <v>87</v>
      </c>
      <c r="C1160" s="6">
        <v>2023</v>
      </c>
      <c r="D1160" s="4" t="s">
        <v>83</v>
      </c>
      <c r="E1160" s="6" t="s">
        <v>493</v>
      </c>
      <c r="F1160" s="7">
        <v>483.175</v>
      </c>
      <c r="G1160" s="7">
        <v>650</v>
      </c>
    </row>
    <row r="1161" spans="1:7">
      <c r="A1161" s="4" t="s">
        <v>86</v>
      </c>
      <c r="B1161" s="6" t="s">
        <v>87</v>
      </c>
      <c r="C1161" s="6">
        <v>2023</v>
      </c>
      <c r="D1161" s="4" t="s">
        <v>179</v>
      </c>
      <c r="E1161" s="6" t="s">
        <v>494</v>
      </c>
      <c r="F1161" s="7">
        <v>57.875</v>
      </c>
      <c r="G1161" s="7">
        <v>3</v>
      </c>
    </row>
    <row r="1162" spans="1:7">
      <c r="A1162" s="4" t="s">
        <v>86</v>
      </c>
      <c r="B1162" s="6" t="s">
        <v>87</v>
      </c>
      <c r="C1162" s="6">
        <v>2023</v>
      </c>
      <c r="D1162" s="4" t="s">
        <v>76</v>
      </c>
      <c r="E1162" s="6" t="s">
        <v>488</v>
      </c>
      <c r="F1162" s="7">
        <v>30.511</v>
      </c>
      <c r="G1162" s="7">
        <v>4</v>
      </c>
    </row>
    <row r="1163" spans="1:7">
      <c r="A1163" s="4" t="s">
        <v>86</v>
      </c>
      <c r="B1163" s="6" t="s">
        <v>87</v>
      </c>
      <c r="C1163" s="6">
        <v>2024</v>
      </c>
      <c r="D1163" s="4" t="s">
        <v>62</v>
      </c>
      <c r="E1163" s="6" t="s">
        <v>448</v>
      </c>
      <c r="F1163" s="7">
        <v>64338485.67</v>
      </c>
      <c r="G1163" s="7">
        <v>0</v>
      </c>
    </row>
    <row r="1164" spans="1:7">
      <c r="A1164" s="4" t="s">
        <v>86</v>
      </c>
      <c r="B1164" s="6" t="s">
        <v>87</v>
      </c>
      <c r="C1164" s="6">
        <v>2024</v>
      </c>
      <c r="D1164" s="4" t="s">
        <v>81</v>
      </c>
      <c r="E1164" s="6" t="s">
        <v>449</v>
      </c>
      <c r="F1164" s="7">
        <v>44568017.996</v>
      </c>
      <c r="G1164" s="7">
        <v>191728780</v>
      </c>
    </row>
    <row r="1165" spans="1:7">
      <c r="A1165" s="4" t="s">
        <v>86</v>
      </c>
      <c r="B1165" s="6" t="s">
        <v>87</v>
      </c>
      <c r="C1165" s="6">
        <v>2024</v>
      </c>
      <c r="D1165" s="4" t="s">
        <v>203</v>
      </c>
      <c r="E1165" s="6" t="s">
        <v>452</v>
      </c>
      <c r="F1165" s="7">
        <v>22150927.915</v>
      </c>
      <c r="G1165" s="7">
        <v>85965717</v>
      </c>
    </row>
    <row r="1166" spans="1:7">
      <c r="A1166" s="4" t="s">
        <v>86</v>
      </c>
      <c r="B1166" s="6" t="s">
        <v>87</v>
      </c>
      <c r="C1166" s="6">
        <v>2024</v>
      </c>
      <c r="D1166" s="4" t="s">
        <v>291</v>
      </c>
      <c r="E1166" s="6" t="s">
        <v>483</v>
      </c>
      <c r="F1166" s="7">
        <v>14858318.939</v>
      </c>
      <c r="G1166" s="7">
        <v>69946897</v>
      </c>
    </row>
    <row r="1167" spans="1:7">
      <c r="A1167" s="4" t="s">
        <v>86</v>
      </c>
      <c r="B1167" s="6" t="s">
        <v>87</v>
      </c>
      <c r="C1167" s="6">
        <v>2024</v>
      </c>
      <c r="D1167" s="4" t="s">
        <v>104</v>
      </c>
      <c r="E1167" s="6" t="s">
        <v>450</v>
      </c>
      <c r="F1167" s="7">
        <v>11827081.208</v>
      </c>
      <c r="G1167" s="7">
        <v>38179265</v>
      </c>
    </row>
    <row r="1168" spans="1:7">
      <c r="A1168" s="4" t="s">
        <v>86</v>
      </c>
      <c r="B1168" s="6" t="s">
        <v>87</v>
      </c>
      <c r="C1168" s="6">
        <v>2024</v>
      </c>
      <c r="D1168" s="4" t="s">
        <v>96</v>
      </c>
      <c r="E1168" s="6" t="s">
        <v>453</v>
      </c>
      <c r="F1168" s="7">
        <v>10925140.058</v>
      </c>
      <c r="G1168" s="7">
        <v>34745820</v>
      </c>
    </row>
    <row r="1169" spans="1:7">
      <c r="A1169" s="4" t="s">
        <v>86</v>
      </c>
      <c r="B1169" s="6" t="s">
        <v>87</v>
      </c>
      <c r="C1169" s="6">
        <v>2024</v>
      </c>
      <c r="D1169" s="4" t="s">
        <v>185</v>
      </c>
      <c r="E1169" s="6" t="s">
        <v>457</v>
      </c>
      <c r="F1169" s="7">
        <v>7723478.223</v>
      </c>
      <c r="G1169" s="7">
        <v>27049620</v>
      </c>
    </row>
    <row r="1170" spans="1:7">
      <c r="A1170" s="4" t="s">
        <v>86</v>
      </c>
      <c r="B1170" s="6" t="s">
        <v>87</v>
      </c>
      <c r="C1170" s="6">
        <v>2024</v>
      </c>
      <c r="D1170" s="4" t="s">
        <v>73</v>
      </c>
      <c r="E1170" s="6" t="s">
        <v>460</v>
      </c>
      <c r="F1170" s="7">
        <v>2668034.128</v>
      </c>
      <c r="G1170" s="7">
        <v>9497569.177999999</v>
      </c>
    </row>
    <row r="1171" spans="1:7">
      <c r="A1171" s="4" t="s">
        <v>86</v>
      </c>
      <c r="B1171" s="6" t="s">
        <v>87</v>
      </c>
      <c r="C1171" s="6">
        <v>2024</v>
      </c>
      <c r="D1171" s="4" t="s">
        <v>93</v>
      </c>
      <c r="E1171" s="6" t="s">
        <v>458</v>
      </c>
      <c r="F1171" s="7">
        <v>385395.664</v>
      </c>
      <c r="G1171" s="7">
        <v>1267446</v>
      </c>
    </row>
    <row r="1172" spans="1:7">
      <c r="A1172" s="4" t="s">
        <v>86</v>
      </c>
      <c r="B1172" s="6" t="s">
        <v>87</v>
      </c>
      <c r="C1172" s="6">
        <v>2024</v>
      </c>
      <c r="D1172" s="4" t="s">
        <v>287</v>
      </c>
      <c r="E1172" s="6" t="s">
        <v>463</v>
      </c>
      <c r="F1172" s="7">
        <v>160715.545</v>
      </c>
      <c r="G1172" s="7">
        <v>231721</v>
      </c>
    </row>
    <row r="1173" spans="1:7">
      <c r="A1173" s="4" t="s">
        <v>86</v>
      </c>
      <c r="B1173" s="6" t="s">
        <v>87</v>
      </c>
      <c r="C1173" s="6">
        <v>2024</v>
      </c>
      <c r="D1173" s="4" t="s">
        <v>89</v>
      </c>
      <c r="E1173" s="6" t="s">
        <v>459</v>
      </c>
      <c r="F1173" s="7">
        <v>63499.765</v>
      </c>
      <c r="G1173" s="7">
        <v>105003</v>
      </c>
    </row>
    <row r="1174" spans="1:7">
      <c r="A1174" s="4" t="s">
        <v>86</v>
      </c>
      <c r="B1174" s="6" t="s">
        <v>87</v>
      </c>
      <c r="C1174" s="6">
        <v>2024</v>
      </c>
      <c r="D1174" s="4" t="s">
        <v>395</v>
      </c>
      <c r="E1174" s="6" t="s">
        <v>485</v>
      </c>
      <c r="F1174" s="7">
        <v>35792.158</v>
      </c>
      <c r="G1174" s="7">
        <v>115355</v>
      </c>
    </row>
    <row r="1175" spans="1:7">
      <c r="A1175" s="4" t="s">
        <v>86</v>
      </c>
      <c r="B1175" s="6" t="s">
        <v>87</v>
      </c>
      <c r="C1175" s="6">
        <v>2024</v>
      </c>
      <c r="D1175" s="4" t="s">
        <v>115</v>
      </c>
      <c r="E1175" s="6" t="s">
        <v>454</v>
      </c>
      <c r="F1175" s="7">
        <v>35600.001</v>
      </c>
      <c r="G1175" s="7">
        <v>40000</v>
      </c>
    </row>
    <row r="1176" spans="1:7">
      <c r="A1176" s="4" t="s">
        <v>86</v>
      </c>
      <c r="B1176" s="6" t="s">
        <v>87</v>
      </c>
      <c r="C1176" s="6">
        <v>2024</v>
      </c>
      <c r="D1176" s="4" t="s">
        <v>125</v>
      </c>
      <c r="E1176" s="6" t="s">
        <v>465</v>
      </c>
      <c r="F1176" s="7">
        <v>19383.516</v>
      </c>
      <c r="G1176" s="7">
        <v>0</v>
      </c>
    </row>
    <row r="1177" spans="1:7">
      <c r="A1177" s="4" t="s">
        <v>86</v>
      </c>
      <c r="B1177" s="6" t="s">
        <v>87</v>
      </c>
      <c r="C1177" s="6">
        <v>2024</v>
      </c>
      <c r="D1177" s="4" t="s">
        <v>86</v>
      </c>
      <c r="E1177" s="6" t="s">
        <v>521</v>
      </c>
      <c r="F1177" s="7">
        <v>8760.018</v>
      </c>
      <c r="G1177" s="7">
        <v>5000</v>
      </c>
    </row>
    <row r="1178" spans="1:7">
      <c r="A1178" s="4" t="s">
        <v>86</v>
      </c>
      <c r="B1178" s="6" t="s">
        <v>87</v>
      </c>
      <c r="C1178" s="6">
        <v>2024</v>
      </c>
      <c r="D1178" s="4" t="s">
        <v>112</v>
      </c>
      <c r="E1178" s="6" t="s">
        <v>480</v>
      </c>
      <c r="F1178" s="7">
        <v>6309.247</v>
      </c>
      <c r="G1178" s="7">
        <v>1181.932</v>
      </c>
    </row>
    <row r="1179" spans="1:7">
      <c r="A1179" s="4" t="s">
        <v>86</v>
      </c>
      <c r="B1179" s="6" t="s">
        <v>87</v>
      </c>
      <c r="C1179" s="6">
        <v>2024</v>
      </c>
      <c r="D1179" s="4" t="s">
        <v>409</v>
      </c>
      <c r="E1179" s="6" t="s">
        <v>461</v>
      </c>
      <c r="F1179" s="7">
        <v>4122.245</v>
      </c>
      <c r="G1179" s="7">
        <v>0</v>
      </c>
    </row>
    <row r="1180" spans="1:7">
      <c r="A1180" s="4" t="s">
        <v>86</v>
      </c>
      <c r="B1180" s="6" t="s">
        <v>87</v>
      </c>
      <c r="C1180" s="6">
        <v>2024</v>
      </c>
      <c r="D1180" s="4" t="s">
        <v>355</v>
      </c>
      <c r="E1180" s="6" t="s">
        <v>468</v>
      </c>
      <c r="F1180" s="7">
        <v>1241.186</v>
      </c>
      <c r="G1180" s="7">
        <v>1200</v>
      </c>
    </row>
    <row r="1181" spans="1:7">
      <c r="A1181" s="4" t="s">
        <v>86</v>
      </c>
      <c r="B1181" s="6" t="s">
        <v>87</v>
      </c>
      <c r="C1181" s="6">
        <v>2024</v>
      </c>
      <c r="D1181" s="4" t="s">
        <v>121</v>
      </c>
      <c r="E1181" s="6" t="s">
        <v>455</v>
      </c>
      <c r="F1181" s="7">
        <v>344.863</v>
      </c>
      <c r="G1181" s="7">
        <v>13</v>
      </c>
    </row>
    <row r="1182" spans="1:7">
      <c r="A1182" s="4" t="s">
        <v>86</v>
      </c>
      <c r="B1182" s="6" t="s">
        <v>87</v>
      </c>
      <c r="C1182" s="6">
        <v>2024</v>
      </c>
      <c r="D1182" s="4" t="s">
        <v>279</v>
      </c>
      <c r="E1182" s="6" t="s">
        <v>484</v>
      </c>
      <c r="F1182" s="7">
        <v>52.916</v>
      </c>
      <c r="G1182" s="7">
        <v>3</v>
      </c>
    </row>
    <row r="1183" spans="1:7">
      <c r="A1183" s="4" t="s">
        <v>86</v>
      </c>
      <c r="B1183" s="6" t="s">
        <v>87</v>
      </c>
      <c r="C1183" s="6">
        <v>2024</v>
      </c>
      <c r="D1183" s="4" t="s">
        <v>76</v>
      </c>
      <c r="E1183" s="6" t="s">
        <v>488</v>
      </c>
      <c r="F1183" s="7">
        <v>29.452</v>
      </c>
      <c r="G1183" s="7">
        <v>2</v>
      </c>
    </row>
    <row r="1184" spans="1:7">
      <c r="A1184" s="4" t="s">
        <v>86</v>
      </c>
      <c r="B1184" s="6" t="s">
        <v>87</v>
      </c>
      <c r="C1184" s="6">
        <v>2024</v>
      </c>
      <c r="D1184" s="4" t="s">
        <v>357</v>
      </c>
      <c r="E1184" s="6" t="s">
        <v>486</v>
      </c>
      <c r="F1184" s="7">
        <v>11.328</v>
      </c>
      <c r="G1184" s="7">
        <v>2</v>
      </c>
    </row>
    <row r="1185" spans="1:7">
      <c r="A1185" s="4" t="s">
        <v>86</v>
      </c>
      <c r="B1185" s="6" t="s">
        <v>87</v>
      </c>
      <c r="C1185" s="6">
        <v>2025</v>
      </c>
      <c r="D1185" s="4" t="s">
        <v>62</v>
      </c>
      <c r="E1185" s="6" t="s">
        <v>448</v>
      </c>
      <c r="F1185" s="7">
        <v>67916934.384</v>
      </c>
      <c r="G1185" s="7">
        <v>0</v>
      </c>
    </row>
    <row r="1186" spans="1:7">
      <c r="A1186" s="4" t="s">
        <v>86</v>
      </c>
      <c r="B1186" s="6" t="s">
        <v>87</v>
      </c>
      <c r="C1186" s="6">
        <v>2025</v>
      </c>
      <c r="D1186" s="4" t="s">
        <v>81</v>
      </c>
      <c r="E1186" s="6" t="s">
        <v>449</v>
      </c>
      <c r="F1186" s="7">
        <v>25307971.428</v>
      </c>
      <c r="G1186" s="7">
        <v>118774441</v>
      </c>
    </row>
    <row r="1187" spans="1:7">
      <c r="A1187" s="4" t="s">
        <v>86</v>
      </c>
      <c r="B1187" s="6" t="s">
        <v>87</v>
      </c>
      <c r="C1187" s="6">
        <v>2025</v>
      </c>
      <c r="D1187" s="4" t="s">
        <v>203</v>
      </c>
      <c r="E1187" s="6" t="s">
        <v>452</v>
      </c>
      <c r="F1187" s="7">
        <v>21399582.834</v>
      </c>
      <c r="G1187" s="7">
        <v>99543769</v>
      </c>
    </row>
    <row r="1188" spans="1:7">
      <c r="A1188" s="4" t="s">
        <v>86</v>
      </c>
      <c r="B1188" s="6" t="s">
        <v>87</v>
      </c>
      <c r="C1188" s="6">
        <v>2025</v>
      </c>
      <c r="D1188" s="4" t="s">
        <v>96</v>
      </c>
      <c r="E1188" s="6" t="s">
        <v>453</v>
      </c>
      <c r="F1188" s="7">
        <v>16601577.735</v>
      </c>
      <c r="G1188" s="7">
        <v>52095680</v>
      </c>
    </row>
    <row r="1189" spans="1:7">
      <c r="A1189" s="4" t="s">
        <v>86</v>
      </c>
      <c r="B1189" s="6" t="s">
        <v>87</v>
      </c>
      <c r="C1189" s="6">
        <v>2025</v>
      </c>
      <c r="D1189" s="4" t="s">
        <v>291</v>
      </c>
      <c r="E1189" s="6" t="s">
        <v>483</v>
      </c>
      <c r="F1189" s="7">
        <v>12446819.624</v>
      </c>
      <c r="G1189" s="7">
        <v>59078092</v>
      </c>
    </row>
    <row r="1190" spans="1:7">
      <c r="A1190" s="4" t="s">
        <v>86</v>
      </c>
      <c r="B1190" s="6" t="s">
        <v>87</v>
      </c>
      <c r="C1190" s="6">
        <v>2025</v>
      </c>
      <c r="D1190" s="4" t="s">
        <v>104</v>
      </c>
      <c r="E1190" s="6" t="s">
        <v>450</v>
      </c>
      <c r="F1190" s="7">
        <v>8611050.18</v>
      </c>
      <c r="G1190" s="7">
        <v>27420812</v>
      </c>
    </row>
    <row r="1191" spans="1:7">
      <c r="A1191" s="4" t="s">
        <v>86</v>
      </c>
      <c r="B1191" s="6" t="s">
        <v>87</v>
      </c>
      <c r="C1191" s="6">
        <v>2025</v>
      </c>
      <c r="D1191" s="4" t="s">
        <v>185</v>
      </c>
      <c r="E1191" s="6" t="s">
        <v>457</v>
      </c>
      <c r="F1191" s="7">
        <v>1978557.482</v>
      </c>
      <c r="G1191" s="7">
        <v>7512500</v>
      </c>
    </row>
    <row r="1192" spans="1:7">
      <c r="A1192" s="4" t="s">
        <v>86</v>
      </c>
      <c r="B1192" s="6" t="s">
        <v>87</v>
      </c>
      <c r="C1192" s="6">
        <v>2025</v>
      </c>
      <c r="D1192" s="4" t="s">
        <v>73</v>
      </c>
      <c r="E1192" s="6" t="s">
        <v>460</v>
      </c>
      <c r="F1192" s="7">
        <v>548992.2439999999</v>
      </c>
      <c r="G1192" s="7">
        <v>2340725.537</v>
      </c>
    </row>
    <row r="1193" spans="1:7">
      <c r="A1193" s="4" t="s">
        <v>86</v>
      </c>
      <c r="B1193" s="6" t="s">
        <v>87</v>
      </c>
      <c r="C1193" s="6">
        <v>2025</v>
      </c>
      <c r="D1193" s="4" t="s">
        <v>125</v>
      </c>
      <c r="E1193" s="6" t="s">
        <v>465</v>
      </c>
      <c r="F1193" s="7">
        <v>425290.714</v>
      </c>
      <c r="G1193" s="7">
        <v>0</v>
      </c>
    </row>
    <row r="1194" spans="1:7">
      <c r="A1194" s="4" t="s">
        <v>86</v>
      </c>
      <c r="B1194" s="6" t="s">
        <v>87</v>
      </c>
      <c r="C1194" s="6">
        <v>2025</v>
      </c>
      <c r="D1194" s="4" t="s">
        <v>287</v>
      </c>
      <c r="E1194" s="6" t="s">
        <v>463</v>
      </c>
      <c r="F1194" s="7">
        <v>250905.955</v>
      </c>
      <c r="G1194" s="7">
        <v>339465</v>
      </c>
    </row>
    <row r="1195" spans="1:7">
      <c r="A1195" s="4" t="s">
        <v>86</v>
      </c>
      <c r="B1195" s="6" t="s">
        <v>87</v>
      </c>
      <c r="C1195" s="6">
        <v>2025</v>
      </c>
      <c r="D1195" s="4" t="s">
        <v>357</v>
      </c>
      <c r="E1195" s="6" t="s">
        <v>486</v>
      </c>
      <c r="F1195" s="7">
        <v>112185.851</v>
      </c>
      <c r="G1195" s="7">
        <v>532005</v>
      </c>
    </row>
    <row r="1196" spans="1:7">
      <c r="A1196" s="4" t="s">
        <v>86</v>
      </c>
      <c r="B1196" s="6" t="s">
        <v>87</v>
      </c>
      <c r="C1196" s="6">
        <v>2025</v>
      </c>
      <c r="D1196" s="4" t="s">
        <v>93</v>
      </c>
      <c r="E1196" s="6" t="s">
        <v>458</v>
      </c>
      <c r="F1196" s="7">
        <v>29782.968</v>
      </c>
      <c r="G1196" s="7">
        <v>1096</v>
      </c>
    </row>
    <row r="1197" spans="1:7">
      <c r="A1197" s="4" t="s">
        <v>86</v>
      </c>
      <c r="B1197" s="6" t="s">
        <v>87</v>
      </c>
      <c r="C1197" s="6">
        <v>2025</v>
      </c>
      <c r="D1197" s="4" t="s">
        <v>205</v>
      </c>
      <c r="E1197" s="6" t="s">
        <v>456</v>
      </c>
      <c r="F1197" s="7">
        <v>28365.839</v>
      </c>
      <c r="G1197" s="7">
        <v>162002</v>
      </c>
    </row>
    <row r="1198" spans="1:7">
      <c r="A1198" s="4" t="s">
        <v>86</v>
      </c>
      <c r="B1198" s="6" t="s">
        <v>87</v>
      </c>
      <c r="C1198" s="6">
        <v>2025</v>
      </c>
      <c r="D1198" s="4" t="s">
        <v>115</v>
      </c>
      <c r="E1198" s="6" t="s">
        <v>454</v>
      </c>
      <c r="F1198" s="7">
        <v>18799.996</v>
      </c>
      <c r="G1198" s="7">
        <v>20000</v>
      </c>
    </row>
    <row r="1199" spans="1:7">
      <c r="A1199" s="4" t="s">
        <v>86</v>
      </c>
      <c r="B1199" s="6" t="s">
        <v>87</v>
      </c>
      <c r="C1199" s="6">
        <v>2025</v>
      </c>
      <c r="D1199" s="4" t="s">
        <v>121</v>
      </c>
      <c r="E1199" s="6" t="s">
        <v>455</v>
      </c>
      <c r="F1199" s="7">
        <v>13488.364</v>
      </c>
      <c r="G1199" s="7">
        <v>2630.17</v>
      </c>
    </row>
    <row r="1200" spans="1:7">
      <c r="A1200" s="4" t="s">
        <v>86</v>
      </c>
      <c r="B1200" s="6" t="s">
        <v>87</v>
      </c>
      <c r="C1200" s="6">
        <v>2025</v>
      </c>
      <c r="D1200" s="4" t="s">
        <v>89</v>
      </c>
      <c r="E1200" s="6" t="s">
        <v>459</v>
      </c>
      <c r="F1200" s="7">
        <v>11037.751</v>
      </c>
      <c r="G1200" s="7">
        <v>17500</v>
      </c>
    </row>
    <row r="1201" spans="1:7">
      <c r="A1201" s="4" t="s">
        <v>86</v>
      </c>
      <c r="B1201" s="6" t="s">
        <v>87</v>
      </c>
      <c r="C1201" s="6">
        <v>2025</v>
      </c>
      <c r="D1201" s="4" t="s">
        <v>112</v>
      </c>
      <c r="E1201" s="6" t="s">
        <v>480</v>
      </c>
      <c r="F1201" s="7">
        <v>6642.195</v>
      </c>
      <c r="G1201" s="7">
        <v>1580</v>
      </c>
    </row>
    <row r="1202" spans="1:7">
      <c r="A1202" s="4" t="s">
        <v>86</v>
      </c>
      <c r="B1202" s="6" t="s">
        <v>87</v>
      </c>
      <c r="C1202" s="6">
        <v>2025</v>
      </c>
      <c r="D1202" s="4" t="s">
        <v>409</v>
      </c>
      <c r="E1202" s="6" t="s">
        <v>461</v>
      </c>
      <c r="F1202" s="7">
        <v>3580.062</v>
      </c>
      <c r="G1202" s="7">
        <v>0</v>
      </c>
    </row>
    <row r="1203" spans="1:7">
      <c r="A1203" s="4" t="s">
        <v>86</v>
      </c>
      <c r="B1203" s="6" t="s">
        <v>87</v>
      </c>
      <c r="C1203" s="6">
        <v>2025</v>
      </c>
      <c r="D1203" s="4" t="s">
        <v>395</v>
      </c>
      <c r="E1203" s="6" t="s">
        <v>485</v>
      </c>
      <c r="F1203" s="7">
        <v>517.525</v>
      </c>
      <c r="G1203" s="7">
        <v>250</v>
      </c>
    </row>
    <row r="1204" spans="1:7">
      <c r="A1204" s="4" t="s">
        <v>86</v>
      </c>
      <c r="B1204" s="6" t="s">
        <v>87</v>
      </c>
      <c r="C1204" s="6">
        <v>2025</v>
      </c>
      <c r="D1204" s="4" t="s">
        <v>433</v>
      </c>
      <c r="E1204" s="6" t="s">
        <v>490</v>
      </c>
      <c r="F1204" s="7">
        <v>311.969</v>
      </c>
      <c r="G1204" s="7">
        <v>10</v>
      </c>
    </row>
    <row r="1205" spans="1:7">
      <c r="A1205" s="4" t="s">
        <v>86</v>
      </c>
      <c r="B1205" s="6" t="s">
        <v>87</v>
      </c>
      <c r="C1205" s="6">
        <v>2025</v>
      </c>
      <c r="D1205" s="4" t="s">
        <v>86</v>
      </c>
      <c r="E1205" s="6" t="s">
        <v>521</v>
      </c>
      <c r="F1205" s="7">
        <v>270.887</v>
      </c>
      <c r="G1205" s="7">
        <v>375</v>
      </c>
    </row>
    <row r="1206" spans="1:7">
      <c r="A1206" s="4" t="s">
        <v>86</v>
      </c>
      <c r="B1206" s="6" t="s">
        <v>87</v>
      </c>
      <c r="C1206" s="6">
        <v>2025</v>
      </c>
      <c r="D1206" s="4" t="s">
        <v>155</v>
      </c>
      <c r="E1206" s="6" t="s">
        <v>489</v>
      </c>
      <c r="F1206" s="7">
        <v>244.557</v>
      </c>
      <c r="G1206" s="7">
        <v>5</v>
      </c>
    </row>
    <row r="1207" spans="1:7">
      <c r="A1207" s="4" t="s">
        <v>86</v>
      </c>
      <c r="B1207" s="6" t="s">
        <v>87</v>
      </c>
      <c r="C1207" s="6">
        <v>2025</v>
      </c>
      <c r="D1207" s="4" t="s">
        <v>197</v>
      </c>
      <c r="E1207" s="6" t="s">
        <v>464</v>
      </c>
      <c r="F1207" s="7">
        <v>99.547</v>
      </c>
      <c r="G1207" s="7">
        <v>501</v>
      </c>
    </row>
    <row r="1208" spans="1:7">
      <c r="A1208" s="4" t="s">
        <v>86</v>
      </c>
      <c r="B1208" s="6" t="s">
        <v>87</v>
      </c>
      <c r="C1208" s="6">
        <v>2025</v>
      </c>
      <c r="D1208" s="4" t="s">
        <v>337</v>
      </c>
      <c r="E1208" s="6" t="s">
        <v>535</v>
      </c>
      <c r="F1208" s="7">
        <v>57.522</v>
      </c>
      <c r="G1208" s="7">
        <v>2</v>
      </c>
    </row>
    <row r="1209" spans="1:7">
      <c r="A1209" s="4" t="s">
        <v>86</v>
      </c>
      <c r="B1209" s="6" t="s">
        <v>87</v>
      </c>
      <c r="C1209" s="6">
        <v>2025</v>
      </c>
      <c r="D1209" s="4" t="s">
        <v>83</v>
      </c>
      <c r="E1209" s="6" t="s">
        <v>493</v>
      </c>
      <c r="F1209" s="7">
        <v>25.002</v>
      </c>
      <c r="G1209" s="7">
        <v>2</v>
      </c>
    </row>
    <row r="1210" spans="1:7">
      <c r="A1210" s="4" t="s">
        <v>433</v>
      </c>
      <c r="B1210" s="6" t="s">
        <v>434</v>
      </c>
      <c r="C1210" s="6">
        <v>2020</v>
      </c>
      <c r="D1210" s="4" t="s">
        <v>62</v>
      </c>
      <c r="E1210" s="6" t="s">
        <v>448</v>
      </c>
      <c r="F1210" s="7">
        <v>38034772.91</v>
      </c>
      <c r="G1210" s="7">
        <v>152271334.7</v>
      </c>
    </row>
    <row r="1211" spans="1:7">
      <c r="A1211" s="4" t="s">
        <v>433</v>
      </c>
      <c r="B1211" s="6" t="s">
        <v>434</v>
      </c>
      <c r="C1211" s="6">
        <v>2020</v>
      </c>
      <c r="D1211" s="4" t="s">
        <v>203</v>
      </c>
      <c r="E1211" s="6" t="s">
        <v>452</v>
      </c>
      <c r="F1211" s="7">
        <v>33014757.136</v>
      </c>
      <c r="G1211" s="7">
        <v>132173817.517</v>
      </c>
    </row>
    <row r="1212" spans="1:7">
      <c r="A1212" s="4" t="s">
        <v>433</v>
      </c>
      <c r="B1212" s="6" t="s">
        <v>434</v>
      </c>
      <c r="C1212" s="6">
        <v>2020</v>
      </c>
      <c r="D1212" s="4" t="s">
        <v>81</v>
      </c>
      <c r="E1212" s="6" t="s">
        <v>449</v>
      </c>
      <c r="F1212" s="7">
        <v>19924763.78</v>
      </c>
      <c r="G1212" s="7">
        <v>79768331.51000001</v>
      </c>
    </row>
    <row r="1213" spans="1:7">
      <c r="A1213" s="4" t="s">
        <v>433</v>
      </c>
      <c r="B1213" s="6" t="s">
        <v>434</v>
      </c>
      <c r="C1213" s="6">
        <v>2020</v>
      </c>
      <c r="D1213" s="4" t="s">
        <v>185</v>
      </c>
      <c r="E1213" s="6" t="s">
        <v>457</v>
      </c>
      <c r="F1213" s="7">
        <v>7925052.874</v>
      </c>
      <c r="G1213" s="7">
        <v>31727766.102</v>
      </c>
    </row>
    <row r="1214" spans="1:7">
      <c r="A1214" s="4" t="s">
        <v>433</v>
      </c>
      <c r="B1214" s="6" t="s">
        <v>434</v>
      </c>
      <c r="C1214" s="6">
        <v>2020</v>
      </c>
      <c r="D1214" s="4" t="s">
        <v>291</v>
      </c>
      <c r="E1214" s="6" t="s">
        <v>483</v>
      </c>
      <c r="F1214" s="7">
        <v>1346293.02</v>
      </c>
      <c r="G1214" s="7">
        <v>5389853.005</v>
      </c>
    </row>
    <row r="1215" spans="1:7">
      <c r="A1215" s="4" t="s">
        <v>433</v>
      </c>
      <c r="B1215" s="6" t="s">
        <v>434</v>
      </c>
      <c r="C1215" s="6">
        <v>2020</v>
      </c>
      <c r="D1215" s="4" t="s">
        <v>96</v>
      </c>
      <c r="E1215" s="6" t="s">
        <v>453</v>
      </c>
      <c r="F1215" s="7">
        <v>652376.733</v>
      </c>
      <c r="G1215" s="7">
        <v>2611775.178</v>
      </c>
    </row>
    <row r="1216" spans="1:7">
      <c r="A1216" s="4" t="s">
        <v>433</v>
      </c>
      <c r="B1216" s="6" t="s">
        <v>434</v>
      </c>
      <c r="C1216" s="6">
        <v>2020</v>
      </c>
      <c r="D1216" s="4" t="s">
        <v>287</v>
      </c>
      <c r="E1216" s="6" t="s">
        <v>463</v>
      </c>
      <c r="F1216" s="7">
        <v>244368.971</v>
      </c>
      <c r="G1216" s="7">
        <v>978325.532</v>
      </c>
    </row>
    <row r="1217" spans="1:7">
      <c r="A1217" s="4" t="s">
        <v>433</v>
      </c>
      <c r="B1217" s="6" t="s">
        <v>434</v>
      </c>
      <c r="C1217" s="6">
        <v>2020</v>
      </c>
      <c r="D1217" s="4" t="s">
        <v>121</v>
      </c>
      <c r="E1217" s="6" t="s">
        <v>455</v>
      </c>
      <c r="F1217" s="7">
        <v>218617.125</v>
      </c>
      <c r="G1217" s="7">
        <v>875228.61</v>
      </c>
    </row>
    <row r="1218" spans="1:7">
      <c r="A1218" s="4" t="s">
        <v>433</v>
      </c>
      <c r="B1218" s="6" t="s">
        <v>434</v>
      </c>
      <c r="C1218" s="6">
        <v>2020</v>
      </c>
      <c r="D1218" s="4" t="s">
        <v>125</v>
      </c>
      <c r="E1218" s="6" t="s">
        <v>465</v>
      </c>
      <c r="F1218" s="7">
        <v>119080.8</v>
      </c>
      <c r="G1218" s="7">
        <v>476737.232</v>
      </c>
    </row>
    <row r="1219" spans="1:7">
      <c r="A1219" s="4" t="s">
        <v>433</v>
      </c>
      <c r="B1219" s="6" t="s">
        <v>434</v>
      </c>
      <c r="C1219" s="6">
        <v>2020</v>
      </c>
      <c r="D1219" s="4" t="s">
        <v>65</v>
      </c>
      <c r="E1219" s="6" t="s">
        <v>475</v>
      </c>
      <c r="F1219" s="7">
        <v>95760</v>
      </c>
      <c r="G1219" s="7">
        <v>383372.948</v>
      </c>
    </row>
    <row r="1220" spans="1:7">
      <c r="A1220" s="4" t="s">
        <v>433</v>
      </c>
      <c r="B1220" s="6" t="s">
        <v>434</v>
      </c>
      <c r="C1220" s="6">
        <v>2020</v>
      </c>
      <c r="D1220" s="4" t="s">
        <v>73</v>
      </c>
      <c r="E1220" s="6" t="s">
        <v>460</v>
      </c>
      <c r="F1220" s="7">
        <v>65594.25999999999</v>
      </c>
      <c r="G1220" s="7">
        <v>262605.105</v>
      </c>
    </row>
    <row r="1221" spans="1:7">
      <c r="A1221" s="4" t="s">
        <v>433</v>
      </c>
      <c r="B1221" s="6" t="s">
        <v>434</v>
      </c>
      <c r="C1221" s="6">
        <v>2020</v>
      </c>
      <c r="D1221" s="4" t="s">
        <v>93</v>
      </c>
      <c r="E1221" s="6" t="s">
        <v>458</v>
      </c>
      <c r="F1221" s="7">
        <v>25310.068</v>
      </c>
      <c r="G1221" s="7">
        <v>101328.272</v>
      </c>
    </row>
    <row r="1222" spans="1:7">
      <c r="A1222" s="4" t="s">
        <v>433</v>
      </c>
      <c r="B1222" s="6" t="s">
        <v>434</v>
      </c>
      <c r="C1222" s="6">
        <v>2020</v>
      </c>
      <c r="D1222" s="4" t="s">
        <v>112</v>
      </c>
      <c r="E1222" s="6" t="s">
        <v>480</v>
      </c>
      <c r="F1222" s="7">
        <v>24620.8</v>
      </c>
      <c r="G1222" s="7">
        <v>98568.804</v>
      </c>
    </row>
    <row r="1223" spans="1:7">
      <c r="A1223" s="4" t="s">
        <v>433</v>
      </c>
      <c r="B1223" s="6" t="s">
        <v>434</v>
      </c>
      <c r="C1223" s="6">
        <v>2020</v>
      </c>
      <c r="D1223" s="4" t="s">
        <v>104</v>
      </c>
      <c r="E1223" s="6" t="s">
        <v>450</v>
      </c>
      <c r="F1223" s="7">
        <v>20720.903</v>
      </c>
      <c r="G1223" s="7">
        <v>82955.655</v>
      </c>
    </row>
    <row r="1224" spans="1:7">
      <c r="A1224" s="4" t="s">
        <v>433</v>
      </c>
      <c r="B1224" s="6" t="s">
        <v>434</v>
      </c>
      <c r="C1224" s="6">
        <v>2020</v>
      </c>
      <c r="D1224" s="4" t="s">
        <v>429</v>
      </c>
      <c r="E1224" s="6" t="s">
        <v>536</v>
      </c>
      <c r="F1224" s="7">
        <v>16485</v>
      </c>
      <c r="G1224" s="7">
        <v>65997.317</v>
      </c>
    </row>
    <row r="1225" spans="1:7">
      <c r="A1225" s="4" t="s">
        <v>433</v>
      </c>
      <c r="B1225" s="6" t="s">
        <v>434</v>
      </c>
      <c r="C1225" s="6">
        <v>2020</v>
      </c>
      <c r="D1225" s="4" t="s">
        <v>355</v>
      </c>
      <c r="E1225" s="6" t="s">
        <v>468</v>
      </c>
      <c r="F1225" s="7">
        <v>11469</v>
      </c>
      <c r="G1225" s="7">
        <v>45915.877</v>
      </c>
    </row>
    <row r="1226" spans="1:7">
      <c r="A1226" s="4" t="s">
        <v>433</v>
      </c>
      <c r="B1226" s="6" t="s">
        <v>434</v>
      </c>
      <c r="C1226" s="6">
        <v>2020</v>
      </c>
      <c r="D1226" s="4" t="s">
        <v>157</v>
      </c>
      <c r="E1226" s="6" t="s">
        <v>495</v>
      </c>
      <c r="F1226" s="7">
        <v>1272</v>
      </c>
      <c r="G1226" s="7">
        <v>5092.423</v>
      </c>
    </row>
    <row r="1227" spans="1:7">
      <c r="A1227" s="4" t="s">
        <v>433</v>
      </c>
      <c r="B1227" s="6" t="s">
        <v>434</v>
      </c>
      <c r="C1227" s="6">
        <v>2021</v>
      </c>
      <c r="D1227" s="4" t="s">
        <v>62</v>
      </c>
      <c r="E1227" s="6" t="s">
        <v>448</v>
      </c>
      <c r="F1227" s="7">
        <v>78949964.07600001</v>
      </c>
      <c r="G1227" s="7">
        <v>319868624.385</v>
      </c>
    </row>
    <row r="1228" spans="1:7">
      <c r="A1228" s="4" t="s">
        <v>433</v>
      </c>
      <c r="B1228" s="6" t="s">
        <v>434</v>
      </c>
      <c r="C1228" s="6">
        <v>2021</v>
      </c>
      <c r="D1228" s="4" t="s">
        <v>203</v>
      </c>
      <c r="E1228" s="6" t="s">
        <v>452</v>
      </c>
      <c r="F1228" s="7">
        <v>30077798.344</v>
      </c>
      <c r="G1228" s="7">
        <v>121861283.832</v>
      </c>
    </row>
    <row r="1229" spans="1:7">
      <c r="A1229" s="4" t="s">
        <v>433</v>
      </c>
      <c r="B1229" s="6" t="s">
        <v>434</v>
      </c>
      <c r="C1229" s="6">
        <v>2021</v>
      </c>
      <c r="D1229" s="4" t="s">
        <v>81</v>
      </c>
      <c r="E1229" s="6" t="s">
        <v>449</v>
      </c>
      <c r="F1229" s="7">
        <v>15765695</v>
      </c>
      <c r="G1229" s="7">
        <v>63875281.403</v>
      </c>
    </row>
    <row r="1230" spans="1:7">
      <c r="A1230" s="4" t="s">
        <v>433</v>
      </c>
      <c r="B1230" s="6" t="s">
        <v>434</v>
      </c>
      <c r="C1230" s="6">
        <v>2021</v>
      </c>
      <c r="D1230" s="4" t="s">
        <v>185</v>
      </c>
      <c r="E1230" s="6" t="s">
        <v>457</v>
      </c>
      <c r="F1230" s="7">
        <v>6754866.01</v>
      </c>
      <c r="G1230" s="7">
        <v>27367583.048</v>
      </c>
    </row>
    <row r="1231" spans="1:7">
      <c r="A1231" s="4" t="s">
        <v>433</v>
      </c>
      <c r="B1231" s="6" t="s">
        <v>434</v>
      </c>
      <c r="C1231" s="6">
        <v>2021</v>
      </c>
      <c r="D1231" s="4" t="s">
        <v>73</v>
      </c>
      <c r="E1231" s="6" t="s">
        <v>460</v>
      </c>
      <c r="F1231" s="7">
        <v>2537483.386</v>
      </c>
      <c r="G1231" s="7">
        <v>10280705.374</v>
      </c>
    </row>
    <row r="1232" spans="1:7">
      <c r="A1232" s="4" t="s">
        <v>433</v>
      </c>
      <c r="B1232" s="6" t="s">
        <v>434</v>
      </c>
      <c r="C1232" s="6">
        <v>2021</v>
      </c>
      <c r="D1232" s="4" t="s">
        <v>291</v>
      </c>
      <c r="E1232" s="6" t="s">
        <v>483</v>
      </c>
      <c r="F1232" s="7">
        <v>1161640</v>
      </c>
      <c r="G1232" s="7">
        <v>4706426.319</v>
      </c>
    </row>
    <row r="1233" spans="1:7">
      <c r="A1233" s="4" t="s">
        <v>433</v>
      </c>
      <c r="B1233" s="6" t="s">
        <v>434</v>
      </c>
      <c r="C1233" s="6">
        <v>2021</v>
      </c>
      <c r="D1233" s="4" t="s">
        <v>125</v>
      </c>
      <c r="E1233" s="6" t="s">
        <v>465</v>
      </c>
      <c r="F1233" s="7">
        <v>651184.21</v>
      </c>
      <c r="G1233" s="7">
        <v>2638296.292</v>
      </c>
    </row>
    <row r="1234" spans="1:7">
      <c r="A1234" s="4" t="s">
        <v>433</v>
      </c>
      <c r="B1234" s="6" t="s">
        <v>434</v>
      </c>
      <c r="C1234" s="6">
        <v>2021</v>
      </c>
      <c r="D1234" s="4" t="s">
        <v>96</v>
      </c>
      <c r="E1234" s="6" t="s">
        <v>453</v>
      </c>
      <c r="F1234" s="7">
        <v>279750</v>
      </c>
      <c r="G1234" s="7">
        <v>1133417.206</v>
      </c>
    </row>
    <row r="1235" spans="1:7">
      <c r="A1235" s="4" t="s">
        <v>433</v>
      </c>
      <c r="B1235" s="6" t="s">
        <v>434</v>
      </c>
      <c r="C1235" s="6">
        <v>2021</v>
      </c>
      <c r="D1235" s="4" t="s">
        <v>377</v>
      </c>
      <c r="E1235" s="6" t="s">
        <v>451</v>
      </c>
      <c r="F1235" s="7">
        <v>234327</v>
      </c>
      <c r="G1235" s="7">
        <v>949384.284</v>
      </c>
    </row>
    <row r="1236" spans="1:7">
      <c r="A1236" s="4" t="s">
        <v>433</v>
      </c>
      <c r="B1236" s="6" t="s">
        <v>434</v>
      </c>
      <c r="C1236" s="6">
        <v>2021</v>
      </c>
      <c r="D1236" s="4" t="s">
        <v>121</v>
      </c>
      <c r="E1236" s="6" t="s">
        <v>455</v>
      </c>
      <c r="F1236" s="7">
        <v>204946.334</v>
      </c>
      <c r="G1236" s="7">
        <v>830347.4570000001</v>
      </c>
    </row>
    <row r="1237" spans="1:7">
      <c r="A1237" s="4" t="s">
        <v>433</v>
      </c>
      <c r="B1237" s="6" t="s">
        <v>434</v>
      </c>
      <c r="C1237" s="6">
        <v>2021</v>
      </c>
      <c r="D1237" s="4" t="s">
        <v>287</v>
      </c>
      <c r="E1237" s="6" t="s">
        <v>463</v>
      </c>
      <c r="F1237" s="7">
        <v>192551.743</v>
      </c>
      <c r="G1237" s="7">
        <v>780130.324</v>
      </c>
    </row>
    <row r="1238" spans="1:7">
      <c r="A1238" s="4" t="s">
        <v>433</v>
      </c>
      <c r="B1238" s="6" t="s">
        <v>434</v>
      </c>
      <c r="C1238" s="6">
        <v>2021</v>
      </c>
      <c r="D1238" s="4" t="s">
        <v>93</v>
      </c>
      <c r="E1238" s="6" t="s">
        <v>458</v>
      </c>
      <c r="F1238" s="7">
        <v>137221.629</v>
      </c>
      <c r="G1238" s="7">
        <v>555958.373</v>
      </c>
    </row>
    <row r="1239" spans="1:7">
      <c r="A1239" s="4" t="s">
        <v>433</v>
      </c>
      <c r="B1239" s="6" t="s">
        <v>434</v>
      </c>
      <c r="C1239" s="6">
        <v>2021</v>
      </c>
      <c r="D1239" s="4" t="s">
        <v>425</v>
      </c>
      <c r="E1239" s="6" t="s">
        <v>472</v>
      </c>
      <c r="F1239" s="7">
        <v>76256.41</v>
      </c>
      <c r="G1239" s="7">
        <v>308955.593</v>
      </c>
    </row>
    <row r="1240" spans="1:7">
      <c r="A1240" s="4" t="s">
        <v>433</v>
      </c>
      <c r="B1240" s="6" t="s">
        <v>434</v>
      </c>
      <c r="C1240" s="6">
        <v>2021</v>
      </c>
      <c r="D1240" s="4" t="s">
        <v>115</v>
      </c>
      <c r="E1240" s="6" t="s">
        <v>454</v>
      </c>
      <c r="F1240" s="7">
        <v>53827.2</v>
      </c>
      <c r="G1240" s="7">
        <v>218082.84</v>
      </c>
    </row>
    <row r="1241" spans="1:7">
      <c r="A1241" s="4" t="s">
        <v>433</v>
      </c>
      <c r="B1241" s="6" t="s">
        <v>434</v>
      </c>
      <c r="C1241" s="6">
        <v>2021</v>
      </c>
      <c r="D1241" s="4" t="s">
        <v>112</v>
      </c>
      <c r="E1241" s="6" t="s">
        <v>480</v>
      </c>
      <c r="F1241" s="7">
        <v>53460.4</v>
      </c>
      <c r="G1241" s="7">
        <v>216596.737</v>
      </c>
    </row>
    <row r="1242" spans="1:7">
      <c r="A1242" s="4" t="s">
        <v>433</v>
      </c>
      <c r="B1242" s="6" t="s">
        <v>434</v>
      </c>
      <c r="C1242" s="6">
        <v>2021</v>
      </c>
      <c r="D1242" s="4" t="s">
        <v>104</v>
      </c>
      <c r="E1242" s="6" t="s">
        <v>450</v>
      </c>
      <c r="F1242" s="7">
        <v>22070.456</v>
      </c>
      <c r="G1242" s="7">
        <v>89419.247</v>
      </c>
    </row>
    <row r="1243" spans="1:7">
      <c r="A1243" s="4" t="s">
        <v>433</v>
      </c>
      <c r="B1243" s="6" t="s">
        <v>434</v>
      </c>
      <c r="C1243" s="6">
        <v>2021</v>
      </c>
      <c r="D1243" s="4" t="s">
        <v>355</v>
      </c>
      <c r="E1243" s="6" t="s">
        <v>468</v>
      </c>
      <c r="F1243" s="7">
        <v>8670</v>
      </c>
      <c r="G1243" s="7">
        <v>35126.817</v>
      </c>
    </row>
    <row r="1244" spans="1:7">
      <c r="A1244" s="4" t="s">
        <v>433</v>
      </c>
      <c r="B1244" s="6" t="s">
        <v>434</v>
      </c>
      <c r="C1244" s="6">
        <v>2021</v>
      </c>
      <c r="D1244" s="4" t="s">
        <v>157</v>
      </c>
      <c r="E1244" s="6" t="s">
        <v>495</v>
      </c>
      <c r="F1244" s="7">
        <v>2304</v>
      </c>
      <c r="G1244" s="7">
        <v>9334.739</v>
      </c>
    </row>
    <row r="1245" spans="1:7">
      <c r="A1245" s="4" t="s">
        <v>433</v>
      </c>
      <c r="B1245" s="6" t="s">
        <v>434</v>
      </c>
      <c r="C1245" s="6">
        <v>2021</v>
      </c>
      <c r="D1245" s="4" t="s">
        <v>395</v>
      </c>
      <c r="E1245" s="6" t="s">
        <v>485</v>
      </c>
      <c r="F1245" s="7">
        <v>1851</v>
      </c>
      <c r="G1245" s="7">
        <v>7499.393</v>
      </c>
    </row>
    <row r="1246" spans="1:7">
      <c r="A1246" s="4" t="s">
        <v>433</v>
      </c>
      <c r="B1246" s="6" t="s">
        <v>434</v>
      </c>
      <c r="C1246" s="6">
        <v>2022</v>
      </c>
      <c r="D1246" s="4" t="s">
        <v>62</v>
      </c>
      <c r="E1246" s="6" t="s">
        <v>448</v>
      </c>
      <c r="F1246" s="7">
        <v>106204570.733</v>
      </c>
      <c r="G1246" s="7">
        <v>260973457.003</v>
      </c>
    </row>
    <row r="1247" spans="1:7">
      <c r="A1247" s="4" t="s">
        <v>433</v>
      </c>
      <c r="B1247" s="6" t="s">
        <v>434</v>
      </c>
      <c r="C1247" s="6">
        <v>2022</v>
      </c>
      <c r="D1247" s="4" t="s">
        <v>203</v>
      </c>
      <c r="E1247" s="6" t="s">
        <v>452</v>
      </c>
      <c r="F1247" s="7">
        <v>95201462.154</v>
      </c>
      <c r="G1247" s="7">
        <v>233935832.693</v>
      </c>
    </row>
    <row r="1248" spans="1:7">
      <c r="A1248" s="4" t="s">
        <v>433</v>
      </c>
      <c r="B1248" s="6" t="s">
        <v>434</v>
      </c>
      <c r="C1248" s="6">
        <v>2022</v>
      </c>
      <c r="D1248" s="4" t="s">
        <v>81</v>
      </c>
      <c r="E1248" s="6" t="s">
        <v>449</v>
      </c>
      <c r="F1248" s="7">
        <v>31394325</v>
      </c>
      <c r="G1248" s="7">
        <v>77144377.77</v>
      </c>
    </row>
    <row r="1249" spans="1:7">
      <c r="A1249" s="4" t="s">
        <v>433</v>
      </c>
      <c r="B1249" s="6" t="s">
        <v>434</v>
      </c>
      <c r="C1249" s="6">
        <v>2022</v>
      </c>
      <c r="D1249" s="4" t="s">
        <v>185</v>
      </c>
      <c r="E1249" s="6" t="s">
        <v>457</v>
      </c>
      <c r="F1249" s="7">
        <v>7054590.6</v>
      </c>
      <c r="G1249" s="7">
        <v>17335043.906</v>
      </c>
    </row>
    <row r="1250" spans="1:7">
      <c r="A1250" s="4" t="s">
        <v>433</v>
      </c>
      <c r="B1250" s="6" t="s">
        <v>434</v>
      </c>
      <c r="C1250" s="6">
        <v>2022</v>
      </c>
      <c r="D1250" s="4" t="s">
        <v>291</v>
      </c>
      <c r="E1250" s="6" t="s">
        <v>483</v>
      </c>
      <c r="F1250" s="7">
        <v>2539580</v>
      </c>
      <c r="G1250" s="7">
        <v>6240437.369</v>
      </c>
    </row>
    <row r="1251" spans="1:7">
      <c r="A1251" s="4" t="s">
        <v>433</v>
      </c>
      <c r="B1251" s="6" t="s">
        <v>434</v>
      </c>
      <c r="C1251" s="6">
        <v>2022</v>
      </c>
      <c r="D1251" s="4" t="s">
        <v>125</v>
      </c>
      <c r="E1251" s="6" t="s">
        <v>465</v>
      </c>
      <c r="F1251" s="7">
        <v>1992031</v>
      </c>
      <c r="G1251" s="7">
        <v>4894960.857</v>
      </c>
    </row>
    <row r="1252" spans="1:7">
      <c r="A1252" s="4" t="s">
        <v>433</v>
      </c>
      <c r="B1252" s="6" t="s">
        <v>434</v>
      </c>
      <c r="C1252" s="6">
        <v>2022</v>
      </c>
      <c r="D1252" s="4" t="s">
        <v>96</v>
      </c>
      <c r="E1252" s="6" t="s">
        <v>453</v>
      </c>
      <c r="F1252" s="7">
        <v>1915596.62</v>
      </c>
      <c r="G1252" s="7">
        <v>4707140.839</v>
      </c>
    </row>
    <row r="1253" spans="1:7">
      <c r="A1253" s="4" t="s">
        <v>433</v>
      </c>
      <c r="B1253" s="6" t="s">
        <v>434</v>
      </c>
      <c r="C1253" s="6">
        <v>2022</v>
      </c>
      <c r="D1253" s="4" t="s">
        <v>73</v>
      </c>
      <c r="E1253" s="6" t="s">
        <v>460</v>
      </c>
      <c r="F1253" s="7">
        <v>1290255.18</v>
      </c>
      <c r="G1253" s="7">
        <v>3170507.186</v>
      </c>
    </row>
    <row r="1254" spans="1:7">
      <c r="A1254" s="4" t="s">
        <v>433</v>
      </c>
      <c r="B1254" s="6" t="s">
        <v>434</v>
      </c>
      <c r="C1254" s="6">
        <v>2022</v>
      </c>
      <c r="D1254" s="4" t="s">
        <v>121</v>
      </c>
      <c r="E1254" s="6" t="s">
        <v>455</v>
      </c>
      <c r="F1254" s="7">
        <v>410491.633</v>
      </c>
      <c r="G1254" s="7">
        <v>1008689.361</v>
      </c>
    </row>
    <row r="1255" spans="1:7">
      <c r="A1255" s="4" t="s">
        <v>433</v>
      </c>
      <c r="B1255" s="6" t="s">
        <v>434</v>
      </c>
      <c r="C1255" s="6">
        <v>2022</v>
      </c>
      <c r="D1255" s="4" t="s">
        <v>93</v>
      </c>
      <c r="E1255" s="6" t="s">
        <v>458</v>
      </c>
      <c r="F1255" s="7">
        <v>399683.942</v>
      </c>
      <c r="G1255" s="7">
        <v>982131.9300000001</v>
      </c>
    </row>
    <row r="1256" spans="1:7">
      <c r="A1256" s="4" t="s">
        <v>433</v>
      </c>
      <c r="B1256" s="6" t="s">
        <v>434</v>
      </c>
      <c r="C1256" s="6">
        <v>2022</v>
      </c>
      <c r="D1256" s="4" t="s">
        <v>287</v>
      </c>
      <c r="E1256" s="6" t="s">
        <v>463</v>
      </c>
      <c r="F1256" s="7">
        <v>321610.211</v>
      </c>
      <c r="G1256" s="7">
        <v>790283.5820000001</v>
      </c>
    </row>
    <row r="1257" spans="1:7">
      <c r="A1257" s="4" t="s">
        <v>433</v>
      </c>
      <c r="B1257" s="6" t="s">
        <v>434</v>
      </c>
      <c r="C1257" s="6">
        <v>2022</v>
      </c>
      <c r="D1257" s="4" t="s">
        <v>357</v>
      </c>
      <c r="E1257" s="6" t="s">
        <v>486</v>
      </c>
      <c r="F1257" s="7">
        <v>233100</v>
      </c>
      <c r="G1257" s="7">
        <v>572789.969</v>
      </c>
    </row>
    <row r="1258" spans="1:7">
      <c r="A1258" s="4" t="s">
        <v>433</v>
      </c>
      <c r="B1258" s="6" t="s">
        <v>434</v>
      </c>
      <c r="C1258" s="6">
        <v>2022</v>
      </c>
      <c r="D1258" s="4" t="s">
        <v>76</v>
      </c>
      <c r="E1258" s="6" t="s">
        <v>488</v>
      </c>
      <c r="F1258" s="7">
        <v>189350</v>
      </c>
      <c r="G1258" s="7">
        <v>465284.345</v>
      </c>
    </row>
    <row r="1259" spans="1:7">
      <c r="A1259" s="4" t="s">
        <v>433</v>
      </c>
      <c r="B1259" s="6" t="s">
        <v>434</v>
      </c>
      <c r="C1259" s="6">
        <v>2022</v>
      </c>
      <c r="D1259" s="4" t="s">
        <v>425</v>
      </c>
      <c r="E1259" s="6" t="s">
        <v>472</v>
      </c>
      <c r="F1259" s="7">
        <v>178875</v>
      </c>
      <c r="G1259" s="7">
        <v>439544.426</v>
      </c>
    </row>
    <row r="1260" spans="1:7">
      <c r="A1260" s="4" t="s">
        <v>433</v>
      </c>
      <c r="B1260" s="6" t="s">
        <v>434</v>
      </c>
      <c r="C1260" s="6">
        <v>2022</v>
      </c>
      <c r="D1260" s="4" t="s">
        <v>112</v>
      </c>
      <c r="E1260" s="6" t="s">
        <v>480</v>
      </c>
      <c r="F1260" s="7">
        <v>113652.275</v>
      </c>
      <c r="G1260" s="7">
        <v>279274.488</v>
      </c>
    </row>
    <row r="1261" spans="1:7">
      <c r="A1261" s="4" t="s">
        <v>433</v>
      </c>
      <c r="B1261" s="6" t="s">
        <v>434</v>
      </c>
      <c r="C1261" s="6">
        <v>2022</v>
      </c>
      <c r="D1261" s="4" t="s">
        <v>377</v>
      </c>
      <c r="E1261" s="6" t="s">
        <v>451</v>
      </c>
      <c r="F1261" s="7">
        <v>89225</v>
      </c>
      <c r="G1261" s="7">
        <v>219250.043</v>
      </c>
    </row>
    <row r="1262" spans="1:7">
      <c r="A1262" s="4" t="s">
        <v>433</v>
      </c>
      <c r="B1262" s="6" t="s">
        <v>434</v>
      </c>
      <c r="C1262" s="6">
        <v>2022</v>
      </c>
      <c r="D1262" s="4" t="s">
        <v>89</v>
      </c>
      <c r="E1262" s="6" t="s">
        <v>459</v>
      </c>
      <c r="F1262" s="7">
        <v>75049.681</v>
      </c>
      <c r="G1262" s="7">
        <v>184417.436</v>
      </c>
    </row>
    <row r="1263" spans="1:7">
      <c r="A1263" s="4" t="s">
        <v>433</v>
      </c>
      <c r="B1263" s="6" t="s">
        <v>434</v>
      </c>
      <c r="C1263" s="6">
        <v>2022</v>
      </c>
      <c r="D1263" s="4" t="s">
        <v>115</v>
      </c>
      <c r="E1263" s="6" t="s">
        <v>454</v>
      </c>
      <c r="F1263" s="7">
        <v>44352</v>
      </c>
      <c r="G1263" s="7">
        <v>108984.902</v>
      </c>
    </row>
    <row r="1264" spans="1:7">
      <c r="A1264" s="4" t="s">
        <v>433</v>
      </c>
      <c r="B1264" s="6" t="s">
        <v>434</v>
      </c>
      <c r="C1264" s="6">
        <v>2022</v>
      </c>
      <c r="D1264" s="4" t="s">
        <v>104</v>
      </c>
      <c r="E1264" s="6" t="s">
        <v>450</v>
      </c>
      <c r="F1264" s="7">
        <v>44252.092</v>
      </c>
      <c r="G1264" s="7">
        <v>108739.401</v>
      </c>
    </row>
    <row r="1265" spans="1:7">
      <c r="A1265" s="4" t="s">
        <v>433</v>
      </c>
      <c r="B1265" s="6" t="s">
        <v>434</v>
      </c>
      <c r="C1265" s="6">
        <v>2022</v>
      </c>
      <c r="D1265" s="4" t="s">
        <v>355</v>
      </c>
      <c r="E1265" s="6" t="s">
        <v>468</v>
      </c>
      <c r="F1265" s="7">
        <v>12042.01</v>
      </c>
      <c r="G1265" s="7">
        <v>29590.487</v>
      </c>
    </row>
    <row r="1266" spans="1:7">
      <c r="A1266" s="4" t="s">
        <v>433</v>
      </c>
      <c r="B1266" s="6" t="s">
        <v>434</v>
      </c>
      <c r="C1266" s="6">
        <v>2022</v>
      </c>
      <c r="D1266" s="4" t="s">
        <v>157</v>
      </c>
      <c r="E1266" s="6" t="s">
        <v>495</v>
      </c>
      <c r="F1266" s="7">
        <v>6840</v>
      </c>
      <c r="G1266" s="7">
        <v>16807.737</v>
      </c>
    </row>
    <row r="1267" spans="1:7">
      <c r="A1267" s="4" t="s">
        <v>433</v>
      </c>
      <c r="B1267" s="6" t="s">
        <v>434</v>
      </c>
      <c r="C1267" s="6">
        <v>2023</v>
      </c>
      <c r="D1267" s="4" t="s">
        <v>62</v>
      </c>
      <c r="E1267" s="6" t="s">
        <v>448</v>
      </c>
      <c r="F1267" s="7">
        <v>100931314.332</v>
      </c>
      <c r="G1267" s="7">
        <v>234569305.472</v>
      </c>
    </row>
    <row r="1268" spans="1:7">
      <c r="A1268" s="4" t="s">
        <v>433</v>
      </c>
      <c r="B1268" s="6" t="s">
        <v>434</v>
      </c>
      <c r="C1268" s="6">
        <v>2023</v>
      </c>
      <c r="D1268" s="4" t="s">
        <v>203</v>
      </c>
      <c r="E1268" s="6" t="s">
        <v>452</v>
      </c>
      <c r="F1268" s="7">
        <v>56109505.911</v>
      </c>
      <c r="G1268" s="7">
        <v>130401232.948</v>
      </c>
    </row>
    <row r="1269" spans="1:7">
      <c r="A1269" s="4" t="s">
        <v>433</v>
      </c>
      <c r="B1269" s="6" t="s">
        <v>434</v>
      </c>
      <c r="C1269" s="6">
        <v>2023</v>
      </c>
      <c r="D1269" s="4" t="s">
        <v>81</v>
      </c>
      <c r="E1269" s="6" t="s">
        <v>449</v>
      </c>
      <c r="F1269" s="7">
        <v>18171979.97</v>
      </c>
      <c r="G1269" s="7">
        <v>42232569.236</v>
      </c>
    </row>
    <row r="1270" spans="1:7">
      <c r="A1270" s="4" t="s">
        <v>433</v>
      </c>
      <c r="B1270" s="6" t="s">
        <v>434</v>
      </c>
      <c r="C1270" s="6">
        <v>2023</v>
      </c>
      <c r="D1270" s="4" t="s">
        <v>185</v>
      </c>
      <c r="E1270" s="6" t="s">
        <v>457</v>
      </c>
      <c r="F1270" s="7">
        <v>7949929.014</v>
      </c>
      <c r="G1270" s="7">
        <v>18476023.419</v>
      </c>
    </row>
    <row r="1271" spans="1:7">
      <c r="A1271" s="4" t="s">
        <v>433</v>
      </c>
      <c r="B1271" s="6" t="s">
        <v>434</v>
      </c>
      <c r="C1271" s="6">
        <v>2023</v>
      </c>
      <c r="D1271" s="4" t="s">
        <v>73</v>
      </c>
      <c r="E1271" s="6" t="s">
        <v>460</v>
      </c>
      <c r="F1271" s="7">
        <v>3093706.7</v>
      </c>
      <c r="G1271" s="7">
        <v>7189925.513</v>
      </c>
    </row>
    <row r="1272" spans="1:7">
      <c r="A1272" s="4" t="s">
        <v>433</v>
      </c>
      <c r="B1272" s="6" t="s">
        <v>434</v>
      </c>
      <c r="C1272" s="6">
        <v>2023</v>
      </c>
      <c r="D1272" s="4" t="s">
        <v>96</v>
      </c>
      <c r="E1272" s="6" t="s">
        <v>453</v>
      </c>
      <c r="F1272" s="7">
        <v>1234445</v>
      </c>
      <c r="G1272" s="7">
        <v>2868910.488</v>
      </c>
    </row>
    <row r="1273" spans="1:7">
      <c r="A1273" s="4" t="s">
        <v>433</v>
      </c>
      <c r="B1273" s="6" t="s">
        <v>434</v>
      </c>
      <c r="C1273" s="6">
        <v>2023</v>
      </c>
      <c r="D1273" s="4" t="s">
        <v>125</v>
      </c>
      <c r="E1273" s="6" t="s">
        <v>465</v>
      </c>
      <c r="F1273" s="7">
        <v>1120762.5</v>
      </c>
      <c r="G1273" s="7">
        <v>2604706.804</v>
      </c>
    </row>
    <row r="1274" spans="1:7">
      <c r="A1274" s="4" t="s">
        <v>433</v>
      </c>
      <c r="B1274" s="6" t="s">
        <v>434</v>
      </c>
      <c r="C1274" s="6">
        <v>2023</v>
      </c>
      <c r="D1274" s="4" t="s">
        <v>291</v>
      </c>
      <c r="E1274" s="6" t="s">
        <v>483</v>
      </c>
      <c r="F1274" s="7">
        <v>1102000</v>
      </c>
      <c r="G1274" s="7">
        <v>2561101.838</v>
      </c>
    </row>
    <row r="1275" spans="1:7">
      <c r="A1275" s="4" t="s">
        <v>433</v>
      </c>
      <c r="B1275" s="6" t="s">
        <v>434</v>
      </c>
      <c r="C1275" s="6">
        <v>2023</v>
      </c>
      <c r="D1275" s="4" t="s">
        <v>425</v>
      </c>
      <c r="E1275" s="6" t="s">
        <v>472</v>
      </c>
      <c r="F1275" s="7">
        <v>609701.71</v>
      </c>
      <c r="G1275" s="7">
        <v>1416976.561</v>
      </c>
    </row>
    <row r="1276" spans="1:7">
      <c r="A1276" s="4" t="s">
        <v>433</v>
      </c>
      <c r="B1276" s="6" t="s">
        <v>434</v>
      </c>
      <c r="C1276" s="6">
        <v>2023</v>
      </c>
      <c r="D1276" s="4" t="s">
        <v>357</v>
      </c>
      <c r="E1276" s="6" t="s">
        <v>486</v>
      </c>
      <c r="F1276" s="7">
        <v>526920</v>
      </c>
      <c r="G1276" s="7">
        <v>1224587.822</v>
      </c>
    </row>
    <row r="1277" spans="1:7">
      <c r="A1277" s="4" t="s">
        <v>433</v>
      </c>
      <c r="B1277" s="6" t="s">
        <v>434</v>
      </c>
      <c r="C1277" s="6">
        <v>2023</v>
      </c>
      <c r="D1277" s="4" t="s">
        <v>287</v>
      </c>
      <c r="E1277" s="6" t="s">
        <v>463</v>
      </c>
      <c r="F1277" s="7">
        <v>237333.789</v>
      </c>
      <c r="G1277" s="7">
        <v>551575.3199999999</v>
      </c>
    </row>
    <row r="1278" spans="1:7">
      <c r="A1278" s="4" t="s">
        <v>433</v>
      </c>
      <c r="B1278" s="6" t="s">
        <v>434</v>
      </c>
      <c r="C1278" s="6">
        <v>2023</v>
      </c>
      <c r="D1278" s="4" t="s">
        <v>112</v>
      </c>
      <c r="E1278" s="6" t="s">
        <v>480</v>
      </c>
      <c r="F1278" s="7">
        <v>131527</v>
      </c>
      <c r="G1278" s="7">
        <v>305675.174</v>
      </c>
    </row>
    <row r="1279" spans="1:7">
      <c r="A1279" s="4" t="s">
        <v>433</v>
      </c>
      <c r="B1279" s="6" t="s">
        <v>434</v>
      </c>
      <c r="C1279" s="6">
        <v>2023</v>
      </c>
      <c r="D1279" s="4" t="s">
        <v>104</v>
      </c>
      <c r="E1279" s="6" t="s">
        <v>450</v>
      </c>
      <c r="F1279" s="7">
        <v>52987.96</v>
      </c>
      <c r="G1279" s="7">
        <v>123146.607</v>
      </c>
    </row>
    <row r="1280" spans="1:7">
      <c r="A1280" s="4" t="s">
        <v>433</v>
      </c>
      <c r="B1280" s="6" t="s">
        <v>434</v>
      </c>
      <c r="C1280" s="6">
        <v>2023</v>
      </c>
      <c r="D1280" s="4" t="s">
        <v>377</v>
      </c>
      <c r="E1280" s="6" t="s">
        <v>451</v>
      </c>
      <c r="F1280" s="7">
        <v>52938</v>
      </c>
      <c r="G1280" s="7">
        <v>123030.498</v>
      </c>
    </row>
    <row r="1281" spans="1:7">
      <c r="A1281" s="4" t="s">
        <v>433</v>
      </c>
      <c r="B1281" s="6" t="s">
        <v>434</v>
      </c>
      <c r="C1281" s="6">
        <v>2023</v>
      </c>
      <c r="D1281" s="4" t="s">
        <v>93</v>
      </c>
      <c r="E1281" s="6" t="s">
        <v>458</v>
      </c>
      <c r="F1281" s="7">
        <v>7904.143</v>
      </c>
      <c r="G1281" s="7">
        <v>18369.615</v>
      </c>
    </row>
    <row r="1282" spans="1:7">
      <c r="A1282" s="4" t="s">
        <v>433</v>
      </c>
      <c r="B1282" s="6" t="s">
        <v>434</v>
      </c>
      <c r="C1282" s="6">
        <v>2023</v>
      </c>
      <c r="D1282" s="4" t="s">
        <v>157</v>
      </c>
      <c r="E1282" s="6" t="s">
        <v>495</v>
      </c>
      <c r="F1282" s="7">
        <v>7704</v>
      </c>
      <c r="G1282" s="7">
        <v>17904.472</v>
      </c>
    </row>
    <row r="1283" spans="1:7">
      <c r="A1283" s="4" t="s">
        <v>433</v>
      </c>
      <c r="B1283" s="6" t="s">
        <v>434</v>
      </c>
      <c r="C1283" s="6">
        <v>2023</v>
      </c>
      <c r="D1283" s="4" t="s">
        <v>355</v>
      </c>
      <c r="E1283" s="6" t="s">
        <v>468</v>
      </c>
      <c r="F1283" s="7">
        <v>6980</v>
      </c>
      <c r="G1283" s="7">
        <v>16221.861</v>
      </c>
    </row>
    <row r="1284" spans="1:7">
      <c r="A1284" s="4" t="s">
        <v>433</v>
      </c>
      <c r="B1284" s="6" t="s">
        <v>434</v>
      </c>
      <c r="C1284" s="6">
        <v>2023</v>
      </c>
      <c r="D1284" s="4" t="s">
        <v>399</v>
      </c>
      <c r="E1284" s="6" t="s">
        <v>501</v>
      </c>
      <c r="F1284" s="7">
        <v>3600</v>
      </c>
      <c r="G1284" s="7">
        <v>8366.575999999999</v>
      </c>
    </row>
    <row r="1285" spans="1:7">
      <c r="A1285" s="4" t="s">
        <v>433</v>
      </c>
      <c r="B1285" s="6" t="s">
        <v>434</v>
      </c>
      <c r="C1285" s="6">
        <v>2023</v>
      </c>
      <c r="D1285" s="4" t="s">
        <v>283</v>
      </c>
      <c r="E1285" s="6" t="s">
        <v>537</v>
      </c>
      <c r="F1285" s="7">
        <v>1691</v>
      </c>
      <c r="G1285" s="7">
        <v>3929.967</v>
      </c>
    </row>
  </sheetData>
  <autoFilter ref="A4:G12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0.7109375" customWidth="1"/>
    <col min="2" max="7" width="18.7109375" customWidth="1"/>
  </cols>
  <sheetData>
    <row r="1" spans="1:8">
      <c r="A1" s="1" t="s">
        <v>538</v>
      </c>
    </row>
    <row r="2" spans="1:8">
      <c r="A2" s="2" t="s">
        <v>539</v>
      </c>
    </row>
    <row r="4" spans="1:8">
      <c r="A4" s="5" t="s">
        <v>136</v>
      </c>
      <c r="B4" s="5" t="s">
        <v>540</v>
      </c>
      <c r="C4" s="5" t="s">
        <v>541</v>
      </c>
      <c r="D4" s="5" t="s">
        <v>542</v>
      </c>
      <c r="E4" s="5" t="s">
        <v>543</v>
      </c>
      <c r="F4" s="5" t="s">
        <v>544</v>
      </c>
      <c r="G4" s="5" t="s">
        <v>138</v>
      </c>
      <c r="H4" s="5" t="s">
        <v>545</v>
      </c>
    </row>
    <row r="5" spans="1:8">
      <c r="A5" s="6">
        <v>2019</v>
      </c>
      <c r="B5" s="6">
        <v>169</v>
      </c>
      <c r="C5" s="7">
        <f>SUMIF('2.历年明细'!$C$4:$C$2000,A5,'2.历年明细'!$D$4:$D$2000)</f>
        <v>0</v>
      </c>
      <c r="D5" s="7">
        <f>SUMIF('2.历年明细'!$C$4:$C$2000,A5,'2.历年明细'!$F$4:$F$2000)</f>
        <v>0</v>
      </c>
      <c r="E5" s="8">
        <f>IFERROR(D5/C5,"")</f>
        <v>0</v>
      </c>
      <c r="F5" s="7">
        <f>SUMIF('2.历年明细'!$C$4:$C$2000,A5,'2.历年明细'!$E$4:$E$2000)</f>
        <v>0</v>
      </c>
      <c r="G5" s="7">
        <f>SUMIF('2.历年明细'!$C$4:$C$2000,A5,'2.历年明细'!$G$4:$G$2000)</f>
        <v>0</v>
      </c>
      <c r="H5" s="8">
        <f>IFERROR(G5/F5,"")</f>
        <v>0</v>
      </c>
    </row>
    <row r="6" spans="1:8">
      <c r="A6" s="6">
        <v>2020</v>
      </c>
      <c r="B6" s="6">
        <v>164</v>
      </c>
      <c r="C6" s="7">
        <f>SUMIF('2.历年明细'!$C$4:$C$2000,A6,'2.历年明细'!$D$4:$D$2000)</f>
        <v>0</v>
      </c>
      <c r="D6" s="7">
        <f>SUMIF('2.历年明细'!$C$4:$C$2000,A6,'2.历年明细'!$F$4:$F$2000)</f>
        <v>0</v>
      </c>
      <c r="E6" s="8">
        <f>IFERROR(D6/C6,"")</f>
        <v>0</v>
      </c>
      <c r="F6" s="7">
        <f>SUMIF('2.历年明细'!$C$4:$C$2000,A6,'2.历年明细'!$E$4:$E$2000)</f>
        <v>0</v>
      </c>
      <c r="G6" s="7">
        <f>SUMIF('2.历年明细'!$C$4:$C$2000,A6,'2.历年明细'!$G$4:$G$2000)</f>
        <v>0</v>
      </c>
      <c r="H6" s="8">
        <f>IFERROR(G6/F6,"")</f>
        <v>0</v>
      </c>
    </row>
    <row r="7" spans="1:8">
      <c r="A7" s="6">
        <v>2021</v>
      </c>
      <c r="B7" s="6">
        <v>163</v>
      </c>
      <c r="C7" s="7">
        <f>SUMIF('2.历年明细'!$C$4:$C$2000,A7,'2.历年明细'!$D$4:$D$2000)</f>
        <v>0</v>
      </c>
      <c r="D7" s="7">
        <f>SUMIF('2.历年明细'!$C$4:$C$2000,A7,'2.历年明细'!$F$4:$F$2000)</f>
        <v>0</v>
      </c>
      <c r="E7" s="8">
        <f>IFERROR(D7/C7,"")</f>
        <v>0</v>
      </c>
      <c r="F7" s="7">
        <f>SUMIF('2.历年明细'!$C$4:$C$2000,A7,'2.历年明细'!$E$4:$E$2000)</f>
        <v>0</v>
      </c>
      <c r="G7" s="7">
        <f>SUMIF('2.历年明细'!$C$4:$C$2000,A7,'2.历年明细'!$G$4:$G$2000)</f>
        <v>0</v>
      </c>
      <c r="H7" s="8">
        <f>IFERROR(G7/F7,"")</f>
        <v>0</v>
      </c>
    </row>
    <row r="8" spans="1:8">
      <c r="A8" s="6">
        <v>2022</v>
      </c>
      <c r="B8" s="6">
        <v>163</v>
      </c>
      <c r="C8" s="7">
        <f>SUMIF('2.历年明细'!$C$4:$C$2000,A8,'2.历年明细'!$D$4:$D$2000)</f>
        <v>0</v>
      </c>
      <c r="D8" s="7">
        <f>SUMIF('2.历年明细'!$C$4:$C$2000,A8,'2.历年明细'!$F$4:$F$2000)</f>
        <v>0</v>
      </c>
      <c r="E8" s="8">
        <f>IFERROR(D8/C8,"")</f>
        <v>0</v>
      </c>
      <c r="F8" s="7">
        <f>SUMIF('2.历年明细'!$C$4:$C$2000,A8,'2.历年明细'!$E$4:$E$2000)</f>
        <v>0</v>
      </c>
      <c r="G8" s="7">
        <f>SUMIF('2.历年明细'!$C$4:$C$2000,A8,'2.历年明细'!$G$4:$G$2000)</f>
        <v>0</v>
      </c>
      <c r="H8" s="8">
        <f>IFERROR(G8/F8,"")</f>
        <v>0</v>
      </c>
    </row>
    <row r="9" spans="1:8">
      <c r="A9" s="6">
        <v>2023</v>
      </c>
      <c r="B9" s="6">
        <v>162</v>
      </c>
      <c r="C9" s="7">
        <f>SUMIF('2.历年明细'!$C$4:$C$2000,A9,'2.历年明细'!$D$4:$D$2000)</f>
        <v>0</v>
      </c>
      <c r="D9" s="7">
        <f>SUMIF('2.历年明细'!$C$4:$C$2000,A9,'2.历年明细'!$F$4:$F$2000)</f>
        <v>0</v>
      </c>
      <c r="E9" s="8">
        <f>IFERROR(D9/C9,"")</f>
        <v>0</v>
      </c>
      <c r="F9" s="7">
        <f>SUMIF('2.历年明细'!$C$4:$C$2000,A9,'2.历年明细'!$E$4:$E$2000)</f>
        <v>0</v>
      </c>
      <c r="G9" s="7">
        <f>SUMIF('2.历年明细'!$C$4:$C$2000,A9,'2.历年明细'!$G$4:$G$2000)</f>
        <v>0</v>
      </c>
      <c r="H9" s="8">
        <f>IFERROR(G9/F9,"")</f>
        <v>0</v>
      </c>
    </row>
    <row r="10" spans="1:8">
      <c r="A10" s="6">
        <v>2024</v>
      </c>
      <c r="B10" s="6">
        <v>144</v>
      </c>
      <c r="C10" s="7">
        <f>SUMIF('2.历年明细'!$C$4:$C$2000,A10,'2.历年明细'!$D$4:$D$2000)</f>
        <v>0</v>
      </c>
      <c r="D10" s="7">
        <f>SUMIF('2.历年明细'!$C$4:$C$2000,A10,'2.历年明细'!$F$4:$F$2000)</f>
        <v>0</v>
      </c>
      <c r="E10" s="8">
        <f>IFERROR(D10/C10,"")</f>
        <v>0</v>
      </c>
      <c r="F10" s="7">
        <f>SUMIF('2.历年明细'!$C$4:$C$2000,A10,'2.历年明细'!$E$4:$E$2000)</f>
        <v>0</v>
      </c>
      <c r="G10" s="7">
        <f>SUMIF('2.历年明细'!$C$4:$C$2000,A10,'2.历年明细'!$G$4:$G$2000)</f>
        <v>0</v>
      </c>
      <c r="H10" s="8">
        <f>IFERROR(G10/F10,"")</f>
        <v>0</v>
      </c>
    </row>
    <row r="11" spans="1:8">
      <c r="A11" s="6">
        <v>2025</v>
      </c>
      <c r="B11" s="6">
        <v>119</v>
      </c>
      <c r="C11" s="7">
        <f>SUMIF('2.历年明细'!$C$4:$C$2000,A11,'2.历年明细'!$D$4:$D$2000)</f>
        <v>0</v>
      </c>
      <c r="D11" s="7">
        <f>SUMIF('2.历年明细'!$C$4:$C$2000,A11,'2.历年明细'!$F$4:$F$2000)</f>
        <v>0</v>
      </c>
      <c r="E11" s="8">
        <f>IFERROR(D11/C11,"")</f>
        <v>0</v>
      </c>
      <c r="F11" s="7">
        <f>SUMIF('2.历年明细'!$C$4:$C$2000,A11,'2.历年明细'!$E$4:$E$2000)</f>
        <v>0</v>
      </c>
      <c r="G11" s="7">
        <f>SUMIF('2.历年明细'!$C$4:$C$2000,A11,'2.历年明细'!$G$4:$G$2000)</f>
        <v>0</v>
      </c>
      <c r="H11" s="8">
        <f>IFERROR(G11/F11,"")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16.7109375" customWidth="1"/>
    <col min="3" max="3" width="20.7109375" customWidth="1"/>
    <col min="4" max="6" width="11.7109375" customWidth="1"/>
    <col min="7" max="7" width="30.7109375" customWidth="1"/>
    <col min="8" max="8" width="60.7109375" customWidth="1"/>
    <col min="9" max="9" width="55.7109375" customWidth="1"/>
    <col min="10" max="10" width="9.7109375" customWidth="1"/>
  </cols>
  <sheetData>
    <row r="1" spans="1:9">
      <c r="A1" s="1" t="s">
        <v>546</v>
      </c>
    </row>
    <row r="2" spans="1:9">
      <c r="A2" s="2" t="s">
        <v>547</v>
      </c>
    </row>
    <row r="4" spans="1:9" ht="30" customHeight="1">
      <c r="A4" s="5" t="s">
        <v>45</v>
      </c>
      <c r="B4" s="5" t="s">
        <v>44</v>
      </c>
      <c r="C4" s="5" t="s">
        <v>548</v>
      </c>
      <c r="D4" s="5" t="s">
        <v>549</v>
      </c>
      <c r="E4" s="5" t="s">
        <v>550</v>
      </c>
      <c r="F4" s="5" t="s">
        <v>551</v>
      </c>
      <c r="G4" s="5" t="s">
        <v>552</v>
      </c>
      <c r="H4" s="5" t="s">
        <v>553</v>
      </c>
      <c r="I4" s="5" t="s">
        <v>554</v>
      </c>
    </row>
    <row r="5" spans="1:9">
      <c r="A5" s="6" t="s">
        <v>61</v>
      </c>
      <c r="B5" s="4" t="s">
        <v>60</v>
      </c>
      <c r="C5" s="4" t="s">
        <v>555</v>
      </c>
      <c r="D5" s="9" t="s">
        <v>63</v>
      </c>
      <c r="E5" s="4" t="s">
        <v>556</v>
      </c>
      <c r="F5" s="4" t="s">
        <v>557</v>
      </c>
      <c r="G5" s="9" t="s">
        <v>558</v>
      </c>
      <c r="H5" s="4" t="s">
        <v>559</v>
      </c>
      <c r="I5" s="9" t="s">
        <v>63</v>
      </c>
    </row>
    <row r="6" spans="1:9">
      <c r="A6" s="6" t="s">
        <v>66</v>
      </c>
      <c r="B6" s="4" t="s">
        <v>65</v>
      </c>
      <c r="C6" s="4" t="s">
        <v>560</v>
      </c>
      <c r="D6" s="9" t="s">
        <v>63</v>
      </c>
      <c r="E6" s="4" t="s">
        <v>556</v>
      </c>
      <c r="F6" s="4" t="s">
        <v>561</v>
      </c>
      <c r="G6" s="9" t="s">
        <v>562</v>
      </c>
      <c r="H6" s="4" t="s">
        <v>563</v>
      </c>
      <c r="I6" s="9" t="s">
        <v>63</v>
      </c>
    </row>
    <row r="7" spans="1:9">
      <c r="A7" s="6" t="s">
        <v>70</v>
      </c>
      <c r="B7" s="4" t="s">
        <v>69</v>
      </c>
      <c r="C7" s="4" t="s">
        <v>564</v>
      </c>
      <c r="D7" s="8">
        <v>0.06</v>
      </c>
      <c r="E7" s="4" t="s">
        <v>565</v>
      </c>
      <c r="F7" s="4" t="s">
        <v>557</v>
      </c>
      <c r="G7" s="10" t="s">
        <v>566</v>
      </c>
      <c r="H7" s="4" t="s">
        <v>567</v>
      </c>
      <c r="I7" s="10" t="s">
        <v>71</v>
      </c>
    </row>
    <row r="8" spans="1:9">
      <c r="A8" s="6" t="s">
        <v>74</v>
      </c>
      <c r="B8" s="4" t="s">
        <v>73</v>
      </c>
      <c r="C8" s="4" t="s">
        <v>568</v>
      </c>
      <c r="D8" s="9" t="s">
        <v>63</v>
      </c>
      <c r="E8" s="4" t="s">
        <v>556</v>
      </c>
      <c r="F8" s="4" t="s">
        <v>569</v>
      </c>
      <c r="G8" s="9" t="s">
        <v>570</v>
      </c>
      <c r="H8" s="4" t="s">
        <v>571</v>
      </c>
      <c r="I8" s="9" t="s">
        <v>63</v>
      </c>
    </row>
    <row r="9" spans="1:9">
      <c r="A9" s="6" t="s">
        <v>77</v>
      </c>
      <c r="B9" s="4" t="s">
        <v>76</v>
      </c>
      <c r="C9" s="4" t="s">
        <v>564</v>
      </c>
      <c r="D9" s="9" t="s">
        <v>63</v>
      </c>
      <c r="E9" s="4" t="s">
        <v>556</v>
      </c>
      <c r="F9" s="4" t="s">
        <v>572</v>
      </c>
      <c r="G9" s="9" t="s">
        <v>573</v>
      </c>
      <c r="H9" s="4" t="s">
        <v>574</v>
      </c>
      <c r="I9" s="9" t="s">
        <v>63</v>
      </c>
    </row>
    <row r="10" spans="1:9">
      <c r="A10" s="6" t="s">
        <v>84</v>
      </c>
      <c r="B10" s="4" t="s">
        <v>83</v>
      </c>
      <c r="C10" s="4" t="s">
        <v>564</v>
      </c>
      <c r="D10" s="9" t="s">
        <v>63</v>
      </c>
      <c r="E10" s="4" t="s">
        <v>556</v>
      </c>
      <c r="F10" s="4" t="s">
        <v>575</v>
      </c>
      <c r="G10" s="9" t="s">
        <v>576</v>
      </c>
      <c r="H10" s="4" t="s">
        <v>577</v>
      </c>
      <c r="I10" s="9" t="s">
        <v>63</v>
      </c>
    </row>
    <row r="11" spans="1:9">
      <c r="A11" s="6" t="s">
        <v>87</v>
      </c>
      <c r="B11" s="4" t="s">
        <v>86</v>
      </c>
      <c r="C11" s="4" t="s">
        <v>564</v>
      </c>
      <c r="D11" s="9" t="s">
        <v>63</v>
      </c>
      <c r="E11" s="4" t="s">
        <v>556</v>
      </c>
      <c r="F11" s="4" t="s">
        <v>557</v>
      </c>
      <c r="G11" s="9" t="s">
        <v>578</v>
      </c>
      <c r="H11" s="4" t="s">
        <v>579</v>
      </c>
      <c r="I11" s="9" t="s">
        <v>63</v>
      </c>
    </row>
    <row r="12" spans="1:9">
      <c r="A12" s="6" t="s">
        <v>80</v>
      </c>
      <c r="B12" s="4" t="s">
        <v>79</v>
      </c>
      <c r="C12" s="4" t="s">
        <v>580</v>
      </c>
      <c r="D12" s="8">
        <v>0.055</v>
      </c>
      <c r="E12" s="4" t="s">
        <v>565</v>
      </c>
      <c r="F12" s="4" t="s">
        <v>557</v>
      </c>
      <c r="G12" s="10" t="s">
        <v>581</v>
      </c>
      <c r="H12" s="4" t="s">
        <v>582</v>
      </c>
      <c r="I12" s="10" t="s">
        <v>71</v>
      </c>
    </row>
    <row r="13" spans="1:9">
      <c r="A13" s="6" t="s">
        <v>94</v>
      </c>
      <c r="B13" s="4" t="s">
        <v>93</v>
      </c>
      <c r="C13" s="4" t="s">
        <v>580</v>
      </c>
      <c r="D13" s="8">
        <v>0.055</v>
      </c>
      <c r="E13" s="4" t="s">
        <v>565</v>
      </c>
      <c r="F13" s="4" t="s">
        <v>557</v>
      </c>
      <c r="G13" s="10" t="s">
        <v>583</v>
      </c>
      <c r="H13" s="4" t="s">
        <v>584</v>
      </c>
      <c r="I13" s="10" t="s">
        <v>71</v>
      </c>
    </row>
    <row r="14" spans="1:9">
      <c r="A14" s="6" t="s">
        <v>97</v>
      </c>
      <c r="B14" s="4" t="s">
        <v>96</v>
      </c>
      <c r="C14" s="4" t="s">
        <v>580</v>
      </c>
      <c r="D14" s="8">
        <v>0.055</v>
      </c>
      <c r="E14" s="4" t="s">
        <v>565</v>
      </c>
      <c r="F14" s="4" t="s">
        <v>557</v>
      </c>
      <c r="G14" s="10" t="s">
        <v>583</v>
      </c>
      <c r="H14" s="4" t="s">
        <v>585</v>
      </c>
      <c r="I14" s="10" t="s">
        <v>71</v>
      </c>
    </row>
    <row r="15" spans="1:9">
      <c r="A15" s="6" t="s">
        <v>105</v>
      </c>
      <c r="B15" s="4" t="s">
        <v>104</v>
      </c>
      <c r="C15" s="4" t="s">
        <v>580</v>
      </c>
      <c r="D15" s="8">
        <v>0.055</v>
      </c>
      <c r="E15" s="4" t="s">
        <v>565</v>
      </c>
      <c r="F15" s="4" t="s">
        <v>557</v>
      </c>
      <c r="G15" s="10" t="s">
        <v>583</v>
      </c>
      <c r="H15" s="4" t="s">
        <v>95</v>
      </c>
      <c r="I15" s="10" t="s">
        <v>71</v>
      </c>
    </row>
    <row r="16" spans="1:9">
      <c r="A16" s="6" t="s">
        <v>122</v>
      </c>
      <c r="B16" s="4" t="s">
        <v>121</v>
      </c>
      <c r="C16" s="4" t="s">
        <v>580</v>
      </c>
      <c r="D16" s="8">
        <v>0.055</v>
      </c>
      <c r="E16" s="4" t="s">
        <v>565</v>
      </c>
      <c r="F16" s="4" t="s">
        <v>557</v>
      </c>
      <c r="G16" s="10" t="s">
        <v>583</v>
      </c>
      <c r="H16" s="4" t="s">
        <v>117</v>
      </c>
      <c r="I16" s="10" t="s">
        <v>71</v>
      </c>
    </row>
    <row r="17" spans="1:9">
      <c r="A17" s="6" t="s">
        <v>116</v>
      </c>
      <c r="B17" s="4" t="s">
        <v>115</v>
      </c>
      <c r="C17" s="4" t="s">
        <v>580</v>
      </c>
      <c r="D17" s="8">
        <v>0.055</v>
      </c>
      <c r="E17" s="4" t="s">
        <v>565</v>
      </c>
      <c r="F17" s="4" t="s">
        <v>557</v>
      </c>
      <c r="G17" s="10" t="s">
        <v>583</v>
      </c>
      <c r="H17" s="4" t="s">
        <v>586</v>
      </c>
      <c r="I17" s="10" t="s">
        <v>71</v>
      </c>
    </row>
    <row r="18" spans="1:9">
      <c r="A18" s="6" t="s">
        <v>126</v>
      </c>
      <c r="B18" s="4" t="s">
        <v>125</v>
      </c>
      <c r="C18" s="4" t="s">
        <v>580</v>
      </c>
      <c r="D18" s="8">
        <v>0.055</v>
      </c>
      <c r="E18" s="4" t="s">
        <v>565</v>
      </c>
      <c r="F18" s="4" t="s">
        <v>557</v>
      </c>
      <c r="G18" s="10" t="s">
        <v>583</v>
      </c>
      <c r="H18" s="4" t="s">
        <v>587</v>
      </c>
      <c r="I18" s="10" t="s">
        <v>71</v>
      </c>
    </row>
    <row r="19" spans="1:9">
      <c r="A19" s="6" t="s">
        <v>90</v>
      </c>
      <c r="B19" s="4" t="s">
        <v>89</v>
      </c>
      <c r="C19" s="4" t="s">
        <v>580</v>
      </c>
      <c r="D19" s="9" t="s">
        <v>63</v>
      </c>
      <c r="E19" s="4" t="s">
        <v>556</v>
      </c>
      <c r="F19" s="4" t="s">
        <v>557</v>
      </c>
      <c r="G19" s="9" t="s">
        <v>588</v>
      </c>
      <c r="H19" s="4" t="s">
        <v>589</v>
      </c>
      <c r="I19" s="9" t="s">
        <v>63</v>
      </c>
    </row>
    <row r="20" spans="1:9">
      <c r="A20" s="6" t="s">
        <v>113</v>
      </c>
      <c r="B20" s="4" t="s">
        <v>112</v>
      </c>
      <c r="C20" s="4" t="s">
        <v>590</v>
      </c>
      <c r="D20" s="9" t="s">
        <v>63</v>
      </c>
      <c r="E20" s="4" t="s">
        <v>556</v>
      </c>
      <c r="F20" s="4" t="s">
        <v>557</v>
      </c>
      <c r="G20" s="9" t="s">
        <v>591</v>
      </c>
      <c r="H20" s="4" t="s">
        <v>592</v>
      </c>
      <c r="I20" s="9" t="s">
        <v>63</v>
      </c>
    </row>
    <row r="21" spans="1:9">
      <c r="A21" s="6" t="s">
        <v>123</v>
      </c>
      <c r="B21" s="4" t="s">
        <v>593</v>
      </c>
      <c r="C21" s="4" t="s">
        <v>594</v>
      </c>
      <c r="D21" s="9" t="s">
        <v>63</v>
      </c>
      <c r="E21" s="4" t="s">
        <v>556</v>
      </c>
      <c r="F21" s="4" t="s">
        <v>595</v>
      </c>
      <c r="G21" s="9" t="s">
        <v>596</v>
      </c>
      <c r="H21" s="4" t="s">
        <v>597</v>
      </c>
      <c r="I21" s="9" t="s">
        <v>63</v>
      </c>
    </row>
    <row r="22" spans="1:9">
      <c r="A22" s="6" t="s">
        <v>110</v>
      </c>
      <c r="B22" s="4" t="s">
        <v>109</v>
      </c>
      <c r="C22" s="4" t="s">
        <v>564</v>
      </c>
      <c r="D22" s="9" t="s">
        <v>63</v>
      </c>
      <c r="E22" s="4" t="s">
        <v>556</v>
      </c>
      <c r="F22" s="4" t="s">
        <v>557</v>
      </c>
      <c r="G22" s="9" t="s">
        <v>598</v>
      </c>
      <c r="H22" s="4" t="s">
        <v>111</v>
      </c>
      <c r="I22" s="9" t="s">
        <v>63</v>
      </c>
    </row>
    <row r="23" spans="1:9">
      <c r="A23" s="6" t="s">
        <v>102</v>
      </c>
      <c r="B23" s="4" t="s">
        <v>101</v>
      </c>
      <c r="C23" s="4" t="s">
        <v>564</v>
      </c>
      <c r="D23" s="9" t="s">
        <v>63</v>
      </c>
      <c r="E23" s="4" t="s">
        <v>556</v>
      </c>
      <c r="F23" s="4" t="s">
        <v>557</v>
      </c>
      <c r="G23" s="9" t="s">
        <v>599</v>
      </c>
      <c r="H23" s="4" t="s">
        <v>103</v>
      </c>
      <c r="I23" s="9" t="s">
        <v>63</v>
      </c>
    </row>
    <row r="24" spans="1:9">
      <c r="A24" s="6" t="s">
        <v>99</v>
      </c>
      <c r="B24" s="4" t="s">
        <v>98</v>
      </c>
      <c r="C24" s="4" t="s">
        <v>560</v>
      </c>
      <c r="D24" s="9" t="s">
        <v>63</v>
      </c>
      <c r="E24" s="4" t="s">
        <v>556</v>
      </c>
      <c r="F24" s="4" t="s">
        <v>557</v>
      </c>
      <c r="G24" s="9" t="s">
        <v>600</v>
      </c>
      <c r="H24" s="4" t="s">
        <v>100</v>
      </c>
      <c r="I24" s="9" t="s">
        <v>63</v>
      </c>
    </row>
    <row r="25" spans="1:9">
      <c r="A25" s="6" t="s">
        <v>119</v>
      </c>
      <c r="B25" s="4" t="s">
        <v>118</v>
      </c>
      <c r="C25" s="4" t="s">
        <v>564</v>
      </c>
      <c r="D25" s="9" t="s">
        <v>63</v>
      </c>
      <c r="E25" s="4" t="s">
        <v>556</v>
      </c>
      <c r="F25" s="4" t="s">
        <v>557</v>
      </c>
      <c r="G25" s="9" t="s">
        <v>601</v>
      </c>
      <c r="H25" s="4" t="s">
        <v>120</v>
      </c>
      <c r="I25" s="9" t="s">
        <v>63</v>
      </c>
    </row>
    <row r="26" spans="1:9">
      <c r="A26" s="6" t="s">
        <v>107</v>
      </c>
      <c r="B26" s="4" t="s">
        <v>106</v>
      </c>
      <c r="C26" s="4" t="s">
        <v>564</v>
      </c>
      <c r="D26" s="9" t="s">
        <v>63</v>
      </c>
      <c r="E26" s="4" t="s">
        <v>556</v>
      </c>
      <c r="F26" s="4" t="s">
        <v>557</v>
      </c>
      <c r="G26" s="9" t="s">
        <v>602</v>
      </c>
      <c r="H26" s="4" t="s">
        <v>108</v>
      </c>
      <c r="I26" s="9" t="s">
        <v>63</v>
      </c>
    </row>
    <row r="27" spans="1:9">
      <c r="A27" s="6" t="s">
        <v>128</v>
      </c>
      <c r="B27" s="4" t="s">
        <v>127</v>
      </c>
      <c r="C27" s="4" t="s">
        <v>564</v>
      </c>
      <c r="D27" s="9" t="s">
        <v>63</v>
      </c>
      <c r="E27" s="4" t="s">
        <v>556</v>
      </c>
      <c r="F27" s="4" t="s">
        <v>557</v>
      </c>
      <c r="G27" s="9" t="s">
        <v>603</v>
      </c>
      <c r="H27" s="4" t="s">
        <v>129</v>
      </c>
      <c r="I27" s="9" t="s">
        <v>63</v>
      </c>
    </row>
    <row r="28" spans="1:9">
      <c r="A28" s="6" t="s">
        <v>131</v>
      </c>
      <c r="B28" s="4" t="s">
        <v>130</v>
      </c>
      <c r="C28" s="4" t="s">
        <v>564</v>
      </c>
      <c r="D28" s="9" t="s">
        <v>63</v>
      </c>
      <c r="E28" s="4" t="s">
        <v>556</v>
      </c>
      <c r="F28" s="4" t="s">
        <v>557</v>
      </c>
      <c r="G28" s="9" t="s">
        <v>604</v>
      </c>
      <c r="H28" s="4" t="s">
        <v>605</v>
      </c>
      <c r="I28" s="9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16.7109375" customWidth="1"/>
    <col min="2" max="2" width="62.7109375" customWidth="1"/>
    <col min="3" max="3" width="14.7109375" customWidth="1"/>
    <col min="4" max="4" width="22.7109375" customWidth="1"/>
  </cols>
  <sheetData>
    <row r="1" spans="1:3">
      <c r="A1" s="1" t="s">
        <v>606</v>
      </c>
    </row>
    <row r="2" spans="1:3">
      <c r="A2" s="2" t="s">
        <v>607</v>
      </c>
    </row>
    <row r="5" spans="1:3">
      <c r="A5" s="4" t="s">
        <v>608</v>
      </c>
      <c r="B5" s="4" t="s">
        <v>609</v>
      </c>
      <c r="C5" s="6" t="s">
        <v>610</v>
      </c>
    </row>
    <row r="6" spans="1:3">
      <c r="A6" s="6" t="s">
        <v>594</v>
      </c>
      <c r="B6" s="4" t="s">
        <v>611</v>
      </c>
      <c r="C6" s="6" t="s">
        <v>612</v>
      </c>
    </row>
    <row r="7" spans="1:3">
      <c r="A7" s="6" t="s">
        <v>613</v>
      </c>
      <c r="B7" s="4" t="s">
        <v>614</v>
      </c>
      <c r="C7" s="6" t="s">
        <v>615</v>
      </c>
    </row>
    <row r="8" spans="1:3">
      <c r="A8" s="6" t="s">
        <v>616</v>
      </c>
      <c r="B8" s="4" t="s">
        <v>617</v>
      </c>
      <c r="C8" s="6" t="s">
        <v>618</v>
      </c>
    </row>
    <row r="9" spans="1:3">
      <c r="A9" s="6" t="s">
        <v>619</v>
      </c>
      <c r="B9" s="4" t="s">
        <v>620</v>
      </c>
      <c r="C9" s="6" t="s">
        <v>621</v>
      </c>
    </row>
    <row r="10" spans="1:3">
      <c r="A10" s="6" t="s">
        <v>622</v>
      </c>
      <c r="B10" s="4" t="s">
        <v>623</v>
      </c>
      <c r="C10" s="6" t="s">
        <v>615</v>
      </c>
    </row>
    <row r="11" spans="1:3">
      <c r="A11" s="6" t="s">
        <v>624</v>
      </c>
      <c r="B11" s="4" t="s">
        <v>625</v>
      </c>
      <c r="C11" s="6" t="s">
        <v>626</v>
      </c>
    </row>
    <row r="12" spans="1:3">
      <c r="A12" s="6" t="s">
        <v>627</v>
      </c>
      <c r="B12" s="4" t="s">
        <v>628</v>
      </c>
      <c r="C12" s="6" t="s">
        <v>629</v>
      </c>
    </row>
    <row r="13" spans="1:3">
      <c r="A13" s="6" t="s">
        <v>630</v>
      </c>
      <c r="B13" s="4" t="s">
        <v>631</v>
      </c>
      <c r="C13" s="6" t="s">
        <v>632</v>
      </c>
    </row>
    <row r="14" spans="1:3">
      <c r="A14" s="6" t="s">
        <v>633</v>
      </c>
      <c r="B14" s="4" t="s">
        <v>634</v>
      </c>
      <c r="C14" s="6" t="s">
        <v>632</v>
      </c>
    </row>
    <row r="15" spans="1:3">
      <c r="A15" s="6" t="s">
        <v>635</v>
      </c>
      <c r="B15" s="4" t="s">
        <v>636</v>
      </c>
      <c r="C15" s="6" t="s">
        <v>637</v>
      </c>
    </row>
    <row r="16" spans="1:3">
      <c r="A16" s="6" t="s">
        <v>638</v>
      </c>
      <c r="B16" s="4" t="s">
        <v>639</v>
      </c>
      <c r="C16" s="6" t="s">
        <v>640</v>
      </c>
    </row>
    <row r="17" spans="1:3">
      <c r="A17" s="6" t="s">
        <v>641</v>
      </c>
      <c r="B17" s="4" t="s">
        <v>642</v>
      </c>
      <c r="C17" s="6" t="s">
        <v>643</v>
      </c>
    </row>
    <row r="18" spans="1:3">
      <c r="A18" s="6" t="s">
        <v>644</v>
      </c>
      <c r="B18" s="4" t="s">
        <v>645</v>
      </c>
      <c r="C18" s="6" t="s">
        <v>629</v>
      </c>
    </row>
    <row r="21" spans="1:3">
      <c r="A21" s="4" t="s">
        <v>646</v>
      </c>
      <c r="B21" s="4" t="s">
        <v>647</v>
      </c>
    </row>
    <row r="22" spans="1:3">
      <c r="A22" s="4" t="s">
        <v>648</v>
      </c>
      <c r="B22" s="11" t="s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2.7109375" customWidth="1"/>
    <col min="2" max="2" width="14.7109375" customWidth="1"/>
    <col min="3" max="3" width="70.7109375" customWidth="1"/>
    <col min="4" max="4" width="40.7109375" customWidth="1"/>
  </cols>
  <sheetData>
    <row r="1" spans="1:4">
      <c r="A1" s="1" t="s">
        <v>650</v>
      </c>
    </row>
    <row r="5" spans="1:4">
      <c r="A5" s="4" t="s">
        <v>651</v>
      </c>
      <c r="B5" s="4" t="s">
        <v>652</v>
      </c>
      <c r="C5" s="4" t="s">
        <v>653</v>
      </c>
      <c r="D5" s="4" t="s">
        <v>654</v>
      </c>
    </row>
    <row r="6" spans="1:4">
      <c r="A6" s="4" t="s">
        <v>655</v>
      </c>
      <c r="B6" s="4" t="s">
        <v>656</v>
      </c>
      <c r="C6" s="4" t="s">
        <v>657</v>
      </c>
      <c r="D6" s="4" t="s">
        <v>658</v>
      </c>
    </row>
    <row r="7" spans="1:4">
      <c r="A7" s="4" t="s">
        <v>659</v>
      </c>
      <c r="B7" s="4" t="s">
        <v>656</v>
      </c>
      <c r="C7" s="4" t="s">
        <v>660</v>
      </c>
      <c r="D7" s="4" t="s">
        <v>658</v>
      </c>
    </row>
    <row r="8" spans="1:4">
      <c r="A8" s="4" t="s">
        <v>661</v>
      </c>
      <c r="B8" s="4" t="s">
        <v>662</v>
      </c>
      <c r="C8" s="4" t="s">
        <v>663</v>
      </c>
      <c r="D8" s="4" t="s">
        <v>658</v>
      </c>
    </row>
    <row r="9" spans="1:4">
      <c r="A9" s="4" t="s">
        <v>664</v>
      </c>
      <c r="B9" s="4" t="s">
        <v>665</v>
      </c>
      <c r="C9" s="4" t="s">
        <v>666</v>
      </c>
      <c r="D9" s="4" t="s">
        <v>667</v>
      </c>
    </row>
    <row r="10" spans="1:4">
      <c r="A10" s="4" t="s">
        <v>668</v>
      </c>
      <c r="B10" s="4" t="s">
        <v>669</v>
      </c>
      <c r="C10" s="4" t="s">
        <v>670</v>
      </c>
      <c r="D10" s="4" t="s">
        <v>658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2.7109375" customWidth="1"/>
    <col min="2" max="2" width="60.7109375" customWidth="1"/>
    <col min="3" max="3" width="40.7109375" customWidth="1"/>
  </cols>
  <sheetData>
    <row r="1" spans="1:3">
      <c r="A1" s="1" t="s">
        <v>671</v>
      </c>
    </row>
    <row r="5" spans="1:3">
      <c r="A5" s="11" t="s">
        <v>672</v>
      </c>
      <c r="B5" s="4" t="s">
        <v>673</v>
      </c>
      <c r="C5" s="4" t="s">
        <v>674</v>
      </c>
    </row>
    <row r="6" spans="1:3">
      <c r="A6" s="11" t="s">
        <v>675</v>
      </c>
      <c r="B6" s="4" t="s">
        <v>676</v>
      </c>
      <c r="C6" s="4" t="s">
        <v>677</v>
      </c>
    </row>
    <row r="7" spans="1:3">
      <c r="A7" s="11" t="s">
        <v>678</v>
      </c>
      <c r="B7" s="4" t="s">
        <v>679</v>
      </c>
      <c r="C7" s="4" t="s">
        <v>680</v>
      </c>
    </row>
    <row r="8" spans="1:3">
      <c r="A8" s="11" t="s">
        <v>681</v>
      </c>
      <c r="B8" s="4" t="s">
        <v>682</v>
      </c>
      <c r="C8" s="4" t="s">
        <v>683</v>
      </c>
    </row>
    <row r="9" spans="1:3">
      <c r="A9" s="11" t="s">
        <v>684</v>
      </c>
      <c r="B9" s="4" t="s">
        <v>685</v>
      </c>
      <c r="C9" s="4" t="s">
        <v>686</v>
      </c>
    </row>
    <row r="10" spans="1:3">
      <c r="A10" s="11" t="s">
        <v>550</v>
      </c>
      <c r="B10" s="4" t="s">
        <v>687</v>
      </c>
      <c r="C10" s="4" t="s">
        <v>688</v>
      </c>
    </row>
    <row r="11" spans="1:3">
      <c r="A11" s="11" t="s">
        <v>689</v>
      </c>
      <c r="B11" s="4" t="s">
        <v>690</v>
      </c>
      <c r="C11" s="4" t="s">
        <v>691</v>
      </c>
    </row>
    <row r="12" spans="1:3">
      <c r="A12" s="11" t="s">
        <v>692</v>
      </c>
      <c r="B12" s="4" t="s">
        <v>693</v>
      </c>
      <c r="C12" s="4" t="s">
        <v>694</v>
      </c>
    </row>
    <row r="13" spans="1:3">
      <c r="A13" s="11" t="s">
        <v>695</v>
      </c>
      <c r="B13" s="4" t="s">
        <v>696</v>
      </c>
      <c r="C13" s="4" t="s">
        <v>697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6.7109375" customWidth="1"/>
    <col min="2" max="2" width="78.7109375" customWidth="1"/>
    <col min="3" max="3" width="20.7109375" customWidth="1"/>
    <col min="4" max="4" width="40.7109375" customWidth="1"/>
  </cols>
  <sheetData>
    <row r="1" spans="1:4">
      <c r="A1" s="1" t="s">
        <v>698</v>
      </c>
    </row>
    <row r="5" spans="1:4">
      <c r="A5" s="4" t="s">
        <v>699</v>
      </c>
      <c r="B5" s="4" t="s">
        <v>700</v>
      </c>
      <c r="C5" s="4" t="s">
        <v>701</v>
      </c>
      <c r="D5" s="4" t="s">
        <v>702</v>
      </c>
    </row>
    <row r="6" spans="1:4">
      <c r="A6" s="4" t="s">
        <v>703</v>
      </c>
      <c r="B6" s="4" t="s">
        <v>704</v>
      </c>
      <c r="C6" s="4" t="s">
        <v>701</v>
      </c>
      <c r="D6" s="4" t="s">
        <v>705</v>
      </c>
    </row>
    <row r="7" spans="1:4">
      <c r="A7" s="4" t="s">
        <v>706</v>
      </c>
      <c r="B7" s="4" t="s">
        <v>707</v>
      </c>
      <c r="C7" s="4" t="s">
        <v>701</v>
      </c>
      <c r="D7" s="4" t="s">
        <v>708</v>
      </c>
    </row>
    <row r="8" spans="1:4">
      <c r="A8" s="4" t="s">
        <v>646</v>
      </c>
      <c r="B8" s="4" t="s">
        <v>709</v>
      </c>
      <c r="C8" s="4" t="s">
        <v>701</v>
      </c>
      <c r="D8" s="4" t="s">
        <v>710</v>
      </c>
    </row>
    <row r="9" spans="1:4">
      <c r="A9" s="4" t="s">
        <v>711</v>
      </c>
      <c r="B9" s="4" t="s">
        <v>712</v>
      </c>
      <c r="C9" s="4" t="s">
        <v>701</v>
      </c>
      <c r="D9" s="4" t="s">
        <v>713</v>
      </c>
    </row>
    <row r="10" spans="1:4">
      <c r="A10" s="4" t="s">
        <v>658</v>
      </c>
      <c r="B10" s="4" t="s">
        <v>714</v>
      </c>
      <c r="C10" s="4" t="s">
        <v>701</v>
      </c>
      <c r="D10" s="4" t="s">
        <v>715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0.说明与口径</vt:lpstr>
      <vt:lpstr>1.国家比较</vt:lpstr>
      <vt:lpstr>2.历年明细</vt:lpstr>
      <vt:lpstr>3.竞争来源国</vt:lpstr>
      <vt:lpstr>4.全球趋势</vt:lpstr>
      <vt:lpstr>5.关税与限制</vt:lpstr>
      <vt:lpstr>6.HS编码对照</vt:lpstr>
      <vt:lpstr>7.下游产业</vt:lpstr>
      <vt:lpstr>8.数据缺口</vt:lpstr>
      <vt:lpstr>9.来源清单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2026-10-19T09:08:52Z</dcterms:created>
  <dcterms:modified xsi:type="dcterms:W3CDTF">2026-10-19T09:08:52Z</dcterms:modified>
</cp:coreProperties>
</file>
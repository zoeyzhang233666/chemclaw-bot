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说明" sheetId="1" state="visible" r:id="rId1"/>
    <sheet xmlns:r="http://schemas.openxmlformats.org/officeDocument/2006/relationships" name="01_输入参数" sheetId="2" state="visible" r:id="rId2"/>
    <sheet xmlns:r="http://schemas.openxmlformats.org/officeDocument/2006/relationships" name="02_汇率敏感性" sheetId="3" state="visible" r:id="rId3"/>
    <sheet xmlns:r="http://schemas.openxmlformats.org/officeDocument/2006/relationships" name="03_毛利测算" sheetId="4" state="visible" r:id="rId4"/>
    <sheet xmlns:r="http://schemas.openxmlformats.org/officeDocument/2006/relationships" name="04_计算公式" sheetId="5" state="visible" r:id="rId5"/>
    <sheet xmlns:r="http://schemas.openxmlformats.org/officeDocument/2006/relationships" name="05_分批结算" sheetId="6" state="visible" r:id="rId6"/>
    <sheet xmlns:r="http://schemas.openxmlformats.org/officeDocument/2006/relationships" name="06_历史汇率序列" sheetId="7" state="visible" r:id="rId7"/>
    <sheet xmlns:r="http://schemas.openxmlformats.org/officeDocument/2006/relationships" name="07_历史分位" sheetId="8" state="visible" r:id="rId8"/>
    <sheet xmlns:r="http://schemas.openxmlformats.org/officeDocument/2006/relationships" name="08_实时汇率记录" sheetId="9" state="visible" r:id="rId9"/>
    <sheet xmlns:r="http://schemas.openxmlformats.org/officeDocument/2006/relationships" name="09_报价带入" sheetId="10" state="visible" r:id="rId10"/>
    <sheet xmlns:r="http://schemas.openxmlformats.org/officeDocument/2006/relationships" name="10_口径与免责" sheetId="11" state="visible" r:id="rId11"/>
  </sheets>
  <definedNames>
    <definedName name="_xlnm._FilterDatabase" localSheetId="6" hidden="1">'06_历史汇率序列'!$A$4:$N$739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yyyy-mm-dd"/>
    <numFmt numFmtId="166" formatCode="0.000%"/>
    <numFmt numFmtId="167" formatCode="0.000000"/>
    <numFmt numFmtId="168" formatCode="0.0%"/>
    <numFmt numFmtId="169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b val="1"/>
      <color rgb="001F2937"/>
      <sz val="10"/>
    </font>
    <font>
      <name val="Microsoft YaHei"/>
      <color rgb="001F2937"/>
      <sz val="10"/>
    </font>
    <font>
      <name val="Microsoft YaHei"/>
      <b val="1"/>
      <color rgb="000F3D7A"/>
      <sz val="11.5"/>
    </font>
    <font>
      <name val="Microsoft YaHei"/>
      <color rgb="006B7280"/>
      <sz val="9.5"/>
    </font>
    <font>
      <name val="Microsoft YaHei"/>
      <b val="1"/>
      <color rgb="007A3E00"/>
      <sz val="10"/>
    </font>
    <font>
      <name val="Microsoft YaHe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F3D7A"/>
      </patternFill>
    </fill>
    <fill>
      <patternFill patternType="solid">
        <fgColor rgb="00F3F6FB"/>
      </patternFill>
    </fill>
    <fill>
      <patternFill patternType="solid">
        <fgColor rgb="00E8F0FA"/>
      </patternFill>
    </fill>
    <fill>
      <patternFill patternType="solid">
        <fgColor rgb="00FFF7DD"/>
      </patternFill>
    </fill>
    <fill>
      <patternFill patternType="solid">
        <fgColor rgb="00FFF4E5"/>
      </patternFill>
    </fill>
    <fill>
      <patternFill patternType="solid">
        <fgColor rgb="00FFE9B8"/>
      </patternFill>
    </fill>
    <fill>
      <patternFill patternType="solid">
        <fgColor rgb="00F8FAFD"/>
      </patternFill>
    </fill>
    <fill>
      <patternFill patternType="solid">
        <fgColor rgb="001A6FC4"/>
      </patternFill>
    </fill>
    <fill>
      <patternFill patternType="solid">
        <fgColor rgb="00EAF3FF"/>
      </patternFill>
    </fill>
  </fills>
  <borders count="6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left/>
      <right/>
      <top style="thin">
        <color rgb="00D5DCE6"/>
      </top>
      <bottom/>
      <diagonal/>
    </border>
    <border>
      <left/>
      <right style="thin">
        <color rgb="00D5DCE6"/>
      </right>
      <top style="thin">
        <color rgb="00D5DCE6"/>
      </top>
      <bottom/>
      <diagonal/>
    </border>
    <border>
      <left/>
      <right style="thin">
        <color rgb="00D5DCE6"/>
      </right>
      <top style="thin">
        <color rgb="00D5DCE6"/>
      </top>
      <bottom style="thin">
        <color rgb="00D5DCE6"/>
      </bottom>
      <diagonal/>
    </border>
    <border>
      <left/>
      <right/>
      <top style="thin">
        <color rgb="00D5DCE6"/>
      </top>
      <bottom style="thin">
        <color rgb="00D5DCE6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top" wrapText="1"/>
    </xf>
    <xf numFmtId="0" fontId="0" fillId="6" borderId="0" pivotButton="0" quotePrefix="0" xfId="0"/>
    <xf numFmtId="0" fontId="5" fillId="0" borderId="0" applyAlignment="1" pivotButton="0" quotePrefix="0" xfId="0">
      <alignment horizontal="left" vertical="center" wrapText="1"/>
    </xf>
    <xf numFmtId="49" fontId="6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67" fontId="3" fillId="8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1" fontId="3" fillId="8" borderId="1" applyAlignment="1" pivotButton="0" quotePrefix="0" xfId="0">
      <alignment horizontal="right" vertical="center"/>
    </xf>
    <xf numFmtId="49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right" vertical="center"/>
    </xf>
    <xf numFmtId="4" fontId="2" fillId="8" borderId="1" applyAlignment="1" pivotButton="0" quotePrefix="0" xfId="0">
      <alignment horizontal="right" vertical="center"/>
    </xf>
    <xf numFmtId="4" fontId="2" fillId="10" borderId="1" applyAlignment="1" pivotButton="0" quotePrefix="0" xfId="0">
      <alignment horizontal="right" vertical="center"/>
    </xf>
    <xf numFmtId="10" fontId="3" fillId="8" borderId="1" applyAlignment="1" pivotButton="0" quotePrefix="0" xfId="0">
      <alignment horizontal="right" vertical="center"/>
    </xf>
    <xf numFmtId="168" fontId="2" fillId="10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right" vertical="center"/>
    </xf>
    <xf numFmtId="10" fontId="3" fillId="10" borderId="1" applyAlignment="1" pivotButton="0" quotePrefix="0" xfId="0">
      <alignment horizontal="right" vertical="center"/>
    </xf>
    <xf numFmtId="0" fontId="0" fillId="0" borderId="4" pivotButton="0" quotePrefix="0" xfId="0"/>
    <xf numFmtId="3" fontId="3" fillId="8" borderId="1" applyAlignment="1" pivotButton="0" quotePrefix="0" xfId="0">
      <alignment horizontal="right" vertical="center"/>
    </xf>
    <xf numFmtId="10" fontId="2" fillId="10" borderId="1" applyAlignment="1" pivotButton="0" quotePrefix="0" xfId="0">
      <alignment horizontal="right" vertical="center"/>
    </xf>
    <xf numFmtId="167" fontId="2" fillId="10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 wrapText="1"/>
    </xf>
    <xf numFmtId="1" fontId="6" fillId="5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left" vertical="center" wrapText="1"/>
    </xf>
    <xf numFmtId="169" fontId="2" fillId="10" borderId="1" applyAlignment="1" pivotButton="0" quotePrefix="0" xfId="0">
      <alignment horizontal="right" vertical="center"/>
    </xf>
    <xf numFmtId="49" fontId="2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7" fillId="9" borderId="0" pivotButton="0" quotePrefix="0" xfId="0"/>
    <xf numFmtId="165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49" fontId="6" fillId="5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right" vertical="center"/>
    </xf>
    <xf numFmtId="49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9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0" customWidth="1" min="3" max="3"/>
    <col width="30" customWidth="1" min="4" max="4"/>
    <col width="22" customWidth="1" min="5" max="5"/>
  </cols>
  <sheetData>
    <row r="2" ht="36" customHeight="1">
      <c r="B2" s="1" t="inlineStr">
        <is>
          <t>汇率波动对报价的影响 · 测算工作簿</t>
        </is>
      </c>
      <c r="C2" s="2" t="n"/>
      <c r="D2" s="2" t="n"/>
    </row>
    <row r="4">
      <c r="B4" s="3" t="inlineStr">
        <is>
          <t>案例</t>
        </is>
      </c>
      <c r="C4" s="4" t="inlineStr">
        <is>
          <t>中国出口重质纯碱 10 万美元订单，预计 90 天后收汇</t>
        </is>
      </c>
      <c r="D4" s="5" t="n"/>
    </row>
    <row r="5">
      <c r="B5" s="3" t="inlineStr">
        <is>
          <t>产品 / 规格</t>
        </is>
      </c>
      <c r="C5" s="4" t="inlineStr">
        <is>
          <t>重质纯碱  重质纯碱（Dense Soda Ash, Na₂CO₃ ≥ 99.2%，GB/T 210-2022 II 类）</t>
        </is>
      </c>
      <c r="D5" s="5" t="n"/>
    </row>
    <row r="6">
      <c r="B6" s="3" t="inlineStr">
        <is>
          <t>交易方向</t>
        </is>
      </c>
      <c r="C6" s="4" t="inlineStr">
        <is>
          <t>出口收汇</t>
        </is>
      </c>
      <c r="D6" s="5" t="n"/>
    </row>
    <row r="7">
      <c r="B7" s="3" t="inlineStr">
        <is>
          <t>金额 / 币种</t>
        </is>
      </c>
      <c r="C7" s="4" t="inlineStr">
        <is>
          <t>100,000.00 USD（USD/CNY）</t>
        </is>
      </c>
      <c r="D7" s="5" t="n"/>
    </row>
    <row r="8">
      <c r="B8" s="3" t="inlineStr">
        <is>
          <t>结算日 / 期限</t>
        </is>
      </c>
      <c r="C8" s="4" t="inlineStr">
        <is>
          <t>2027-01-17（90 个自然日）</t>
        </is>
      </c>
      <c r="D8" s="5" t="n"/>
    </row>
    <row r="9">
      <c r="B9" s="3" t="inlineStr">
        <is>
          <t>汇率数据截至</t>
        </is>
      </c>
      <c r="C9" s="4" t="inlineStr">
        <is>
          <t>2026-10-19</t>
        </is>
      </c>
      <c r="D9" s="5" t="n"/>
    </row>
    <row r="10">
      <c r="B10" s="3" t="inlineStr">
        <is>
          <t>历史序列</t>
        </is>
      </c>
      <c r="C10" s="4" t="inlineStr">
        <is>
          <t>2023-10-09 ~ 2026-10-19，735 个交易日，来源：国家外汇管理局人民币汇率中间价</t>
        </is>
      </c>
      <c r="D10" s="5" t="n"/>
    </row>
    <row r="11">
      <c r="B11" s="3" t="inlineStr">
        <is>
          <t>生成时间</t>
        </is>
      </c>
      <c r="C11" s="4" t="inlineStr">
        <is>
          <t>2026-10-19 19:38:11</t>
        </is>
      </c>
      <c r="D11" s="5" t="n"/>
    </row>
    <row r="13" ht="22" customHeight="1">
      <c r="A13" s="6" t="inlineStr">
        <is>
          <t>一、怎么用（改黄底，全簿自动重算）</t>
        </is>
      </c>
      <c r="B13" s="7" t="n"/>
      <c r="C13" s="7" t="n"/>
      <c r="D13" s="7" t="n"/>
    </row>
    <row r="14" ht="34" customHeight="1">
      <c r="B14" s="8" t="inlineStr">
        <is>
          <t>① 改参数</t>
        </is>
      </c>
      <c r="C14" s="4" t="inlineStr">
        <is>
          <t>在「01_输入参数」只改黄底单元格：金额、币种、方向、汇率、成本、目标毛利、分批比例。其余全是公式。</t>
        </is>
      </c>
    </row>
    <row r="15" ht="34" customHeight="1">
      <c r="B15" s="8" t="inlineStr">
        <is>
          <t>② 看结果</t>
        </is>
      </c>
      <c r="C15" s="4" t="inlineStr">
        <is>
          <t>「02_汇率敏感性」「03_毛利测算」「05_分批结算」会自动重算；切方向后毛利率、平衡汇率同步切换口径。</t>
        </is>
      </c>
    </row>
    <row r="16" ht="34" customHeight="1">
      <c r="B16" s="8" t="inlineStr">
        <is>
          <t>③ 查历史</t>
        </is>
      </c>
      <c r="C16" s="4" t="inlineStr">
        <is>
          <t>「06_历史汇率序列」是官方中间价的日频原始数据（静态值）；「07_历史分位」用公式实时计算分位与区间。</t>
        </is>
      </c>
    </row>
    <row r="17" ht="34" customHeight="1">
      <c r="B17" s="8" t="inlineStr">
        <is>
          <t>④ 对公式</t>
        </is>
      </c>
      <c r="C17" s="4" t="inlineStr">
        <is>
          <t>「04_计算公式」「10_口径与免责」写明每一步的公式；scripts/verify.py 会用 Python 重算并与 Excel 交叉核对。</t>
        </is>
      </c>
    </row>
    <row r="18" ht="34" customHeight="1">
      <c r="B18" s="8" t="inlineStr">
        <is>
          <t>⑤ 带报价</t>
        </is>
      </c>
      <c r="C18" s="4" t="inlineStr">
        <is>
          <t>「09_报价带入」给出目标毛利下的最低外币金额，可直接粘到报价单或形式发票环节。</t>
        </is>
      </c>
    </row>
    <row r="20" ht="22" customHeight="1">
      <c r="A20" s="6" t="inlineStr">
        <is>
          <t>二、数据标签（必读）</t>
        </is>
      </c>
      <c r="B20" s="7" t="n"/>
      <c r="C20" s="7" t="n"/>
      <c r="D20" s="7" t="n"/>
    </row>
    <row r="21" ht="32" customHeight="1">
      <c r="B21" s="9" t="inlineStr">
        <is>
          <t>真实</t>
        </is>
      </c>
      <c r="C21" s="4" t="inlineStr">
        <is>
          <t>官方中间价历史序列、当日中间价、银行牌价，均有可回溯来源与日期。</t>
        </is>
      </c>
    </row>
    <row r="22" ht="32" customHeight="1">
      <c r="B22" s="10" t="inlineStr">
        <is>
          <t>模拟</t>
        </is>
      </c>
      <c r="C22" s="4" t="inlineStr">
        <is>
          <t>人民币成本、结算期限、分批比例等示例参数，仅为演示计算流程，不是该订单真实数据。已模拟字段：cny_cost、settle_date、batches_alt。</t>
        </is>
      </c>
    </row>
    <row r="23" ht="32" customHeight="1">
      <c r="B23" s="9" t="inlineStr">
        <is>
          <t>估算</t>
        </is>
      </c>
      <c r="C23" s="4" t="inlineStr">
        <is>
          <t>银行点差带（示例值）、结汇手续费率（默认 0）——不是任何一家银行的真实报价。</t>
        </is>
      </c>
    </row>
    <row r="25" ht="22" customHeight="1">
      <c r="A25" s="6" t="inlineStr">
        <is>
          <t>三、合规边界</t>
        </is>
      </c>
      <c r="B25" s="7" t="n"/>
      <c r="C25" s="7" t="n"/>
      <c r="D25" s="7" t="n"/>
    </row>
    <row r="26">
      <c r="B26" s="11" t="inlineStr">
        <is>
          <t>本工作簿只做汇率情景测算：所有「若汇率为 R」的假设都是压力测试，不代表对未来汇率的任何判断，也未预测走势。
本工作簿不推荐、不比较任何具体外汇避险产品（远期、期权、掉期、结构性产品）或操作；是否锁汇、如何锁汇由企业与银行独立决定。
毛利与毛利率只反映汇率与成本假设下的静态关系；退税率、运费、合同条款、多币种交叉盘等未计入，见「10_口径与免责」。
对外使用前请把模拟参数替换为真实数据，并核对银行实际结汇/购汇价。</t>
        </is>
      </c>
      <c r="C26" s="12" t="n"/>
      <c r="D26" s="12" t="n"/>
    </row>
    <row r="27"/>
    <row r="28"/>
    <row r="29"/>
  </sheetData>
  <mergeCells count="21">
    <mergeCell ref="C6:D6"/>
    <mergeCell ref="C15:D15"/>
    <mergeCell ref="A20:D20"/>
    <mergeCell ref="C5:D5"/>
    <mergeCell ref="C14:D14"/>
    <mergeCell ref="B26:D29"/>
    <mergeCell ref="A13:D13"/>
    <mergeCell ref="C4:D4"/>
    <mergeCell ref="C10:D10"/>
    <mergeCell ref="C16:D16"/>
    <mergeCell ref="C22:D22"/>
    <mergeCell ref="C9:D9"/>
    <mergeCell ref="C21:D21"/>
    <mergeCell ref="C11:D11"/>
    <mergeCell ref="A25:D25"/>
    <mergeCell ref="C23:D23"/>
    <mergeCell ref="C17:D17"/>
    <mergeCell ref="C8:D8"/>
    <mergeCell ref="C7:D7"/>
    <mergeCell ref="C18:D1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3" customWidth="1" min="4" max="4"/>
    <col width="52" customWidth="1" min="5" max="5"/>
  </cols>
  <sheetData>
    <row r="1" ht="34" customHeight="1">
      <c r="A1" s="1" t="inlineStr">
        <is>
          <t>01 · 输入参数与汇率口径</t>
        </is>
      </c>
      <c r="B1" s="2" t="n"/>
      <c r="C1" s="2" t="n"/>
      <c r="D1" s="2" t="n"/>
      <c r="E1" s="2" t="n"/>
    </row>
    <row r="2" ht="30" customHeight="1">
      <c r="A2" s="13" t="inlineStr">
        <is>
          <t>只改黄底单元格；白底为公式派生。出口收汇与进口付汇的计算方向由「交易方向」自动切换。</t>
        </is>
      </c>
    </row>
    <row r="4" ht="22" customHeight="1">
      <c r="A4" s="6" t="inlineStr">
        <is>
          <t>A. 业务输入</t>
        </is>
      </c>
      <c r="B4" s="7" t="n"/>
      <c r="C4" s="7" t="n"/>
      <c r="D4" s="7" t="n"/>
      <c r="E4" s="7" t="n"/>
    </row>
    <row r="5">
      <c r="B5" s="8" t="inlineStr">
        <is>
          <t>交易方向</t>
        </is>
      </c>
      <c r="C5" s="14" t="inlineStr">
        <is>
          <t>出口收汇</t>
        </is>
      </c>
      <c r="D5" s="15" t="inlineStr">
        <is>
          <t>输入</t>
        </is>
      </c>
      <c r="E5" s="16" t="inlineStr">
        <is>
          <t>出口收汇 / 进口付汇（下拉选择）</t>
        </is>
      </c>
    </row>
    <row r="6">
      <c r="B6" s="8" t="inlineStr">
        <is>
          <t>结算币种代码</t>
        </is>
      </c>
      <c r="C6" s="14" t="inlineStr">
        <is>
          <t>USD</t>
        </is>
      </c>
      <c r="D6" s="15" t="inlineStr">
        <is>
          <t>输入</t>
        </is>
      </c>
      <c r="E6" s="16" t="inlineStr">
        <is>
          <t>如 USD / EUR / 100JPY</t>
        </is>
      </c>
    </row>
    <row r="7">
      <c r="B7" s="8" t="inlineStr">
        <is>
          <t>汇率对</t>
        </is>
      </c>
      <c r="C7" s="14" t="inlineStr">
        <is>
          <t>USD/CNY</t>
        </is>
      </c>
      <c r="D7" s="15" t="inlineStr">
        <is>
          <t>输入</t>
        </is>
      </c>
      <c r="E7" s="16" t="inlineStr">
        <is>
          <t>直接标价：1 单位外币 = X 人民币</t>
        </is>
      </c>
    </row>
    <row r="8">
      <c r="B8" s="8" t="inlineStr">
        <is>
          <t>业务外币金额</t>
        </is>
      </c>
      <c r="C8" s="17" t="n">
        <v>100000</v>
      </c>
      <c r="D8" s="15" t="inlineStr">
        <is>
          <t>输入</t>
        </is>
      </c>
      <c r="E8" s="16" t="inlineStr">
        <is>
          <t>本笔业务的外币计价款（可含分批合计）</t>
        </is>
      </c>
    </row>
    <row r="9">
      <c r="B9" s="8" t="inlineStr">
        <is>
          <t>当日中间价</t>
        </is>
      </c>
      <c r="C9" s="18" t="n">
        <v>6.7208</v>
      </c>
      <c r="D9" s="15" t="inlineStr">
        <is>
          <t>输入</t>
        </is>
      </c>
      <c r="E9" s="16" t="inlineStr">
        <is>
          <t>来源：国家外汇管理局 / 中国外汇交易中心；可直接覆盖</t>
        </is>
      </c>
    </row>
    <row r="10">
      <c r="B10" s="8" t="inlineStr">
        <is>
          <t>中间价日期</t>
        </is>
      </c>
      <c r="C10" s="19" t="n">
        <v>46314</v>
      </c>
      <c r="D10" s="15" t="inlineStr">
        <is>
          <t>输入</t>
        </is>
      </c>
      <c r="E10" s="16" t="inlineStr"/>
    </row>
    <row r="11">
      <c r="B11" s="8" t="inlineStr">
        <is>
          <t>银行点差带（单侧 %）</t>
        </is>
      </c>
      <c r="C11" s="20" t="n">
        <v>0.0025</v>
      </c>
      <c r="D11" s="15" t="inlineStr">
        <is>
          <t>输入</t>
        </is>
      </c>
      <c r="E11" s="16" t="inlineStr">
        <is>
          <t>示例值；真实点差以银行报价为准</t>
        </is>
      </c>
    </row>
    <row r="12">
      <c r="B12" s="8" t="inlineStr">
        <is>
          <t>银行实际结汇/购汇价</t>
        </is>
      </c>
      <c r="C12" s="18" t="inlineStr"/>
      <c r="D12" s="15" t="inlineStr">
        <is>
          <t>输入</t>
        </is>
      </c>
      <c r="E12" s="16" t="inlineStr">
        <is>
          <t>有就填（最真实），口径选「实际成交价」</t>
        </is>
      </c>
    </row>
    <row r="13">
      <c r="B13" s="8" t="inlineStr">
        <is>
          <t>基准汇率口径</t>
        </is>
      </c>
      <c r="C13" s="14" t="inlineStr">
        <is>
          <t>中间价+点差带</t>
        </is>
      </c>
      <c r="D13" s="15" t="inlineStr">
        <is>
          <t>输入</t>
        </is>
      </c>
      <c r="E13" s="16" t="inlineStr">
        <is>
          <t>下拉：官方中间价 / 中间价+点差带 / 实际成交价</t>
        </is>
      </c>
    </row>
    <row r="14">
      <c r="B14" s="8" t="inlineStr">
        <is>
          <t>人民币成本</t>
        </is>
      </c>
      <c r="C14" s="21" t="n">
        <v>600000</v>
      </c>
      <c r="D14" s="15" t="inlineStr">
        <is>
          <t>输入</t>
        </is>
      </c>
      <c r="E14" s="16" t="inlineStr">
        <is>
          <t>出口：人民币成本；进口：货款外的人民币成本</t>
        </is>
      </c>
    </row>
    <row r="15">
      <c r="B15" s="8" t="inlineStr">
        <is>
          <t>进口后人民币销售收入</t>
        </is>
      </c>
      <c r="C15" s="21" t="inlineStr"/>
      <c r="D15" s="15" t="inlineStr">
        <is>
          <t>输入</t>
        </is>
      </c>
      <c r="E15" s="16" t="inlineStr">
        <is>
          <t>仅进口付汇需要（毛利率分母）</t>
        </is>
      </c>
    </row>
    <row r="16">
      <c r="B16" s="8" t="inlineStr">
        <is>
          <t>目标毛利率</t>
        </is>
      </c>
      <c r="C16" s="22" t="n">
        <v>0.1</v>
      </c>
      <c r="D16" s="15" t="inlineStr">
        <is>
          <t>输入</t>
        </is>
      </c>
      <c r="E16" s="16" t="inlineStr">
        <is>
          <t>填小数（0.10 = 10%），单元格显示为百分比；留空不算目标平衡汇率</t>
        </is>
      </c>
    </row>
    <row r="17">
      <c r="B17" s="8" t="inlineStr">
        <is>
          <t>目标毛利额（元）</t>
        </is>
      </c>
      <c r="C17" s="21" t="inlineStr"/>
      <c r="D17" s="15" t="inlineStr">
        <is>
          <t>输入</t>
        </is>
      </c>
      <c r="E17" s="16" t="inlineStr">
        <is>
          <t>可选；与毛利率可同时存在</t>
        </is>
      </c>
    </row>
    <row r="18">
      <c r="B18" s="8" t="inlineStr">
        <is>
          <t>银行费用率 toll</t>
        </is>
      </c>
      <c r="C18" s="20" t="n">
        <v>0</v>
      </c>
      <c r="D18" s="15" t="inlineStr">
        <is>
          <t>输入</t>
        </is>
      </c>
      <c r="E18" s="16" t="inlineStr">
        <is>
          <t>填小数；出口：从收入扣减；进口：加到成本</t>
        </is>
      </c>
    </row>
    <row r="19">
      <c r="B19" s="8" t="inlineStr">
        <is>
          <t>交易日</t>
        </is>
      </c>
      <c r="C19" s="19" t="n">
        <v>46314</v>
      </c>
      <c r="D19" s="15" t="inlineStr">
        <is>
          <t>输入</t>
        </is>
      </c>
      <c r="E19" s="16" t="inlineStr"/>
    </row>
    <row r="20">
      <c r="B20" s="8" t="inlineStr">
        <is>
          <t>预计结算日</t>
        </is>
      </c>
      <c r="C20" s="19" t="n">
        <v>46404</v>
      </c>
      <c r="D20" s="15" t="inlineStr">
        <is>
          <t>输入</t>
        </is>
      </c>
      <c r="E20" s="16" t="inlineStr"/>
    </row>
    <row r="21">
      <c r="B21" s="8" t="inlineStr">
        <is>
          <t>合同约定汇率</t>
        </is>
      </c>
      <c r="C21" s="18" t="inlineStr"/>
      <c r="D21" s="15" t="inlineStr">
        <is>
          <t>输入</t>
        </is>
      </c>
      <c r="E21" s="16" t="inlineStr">
        <is>
          <t>可选；用于量化与市场汇率的差额</t>
        </is>
      </c>
    </row>
    <row r="22">
      <c r="B22" s="8" t="inlineStr">
        <is>
          <t>敏感性档位（%）</t>
        </is>
      </c>
      <c r="C22" s="14" t="inlineStr">
        <is>
          <t>-5,-3,-2,-1,0,1,2,3,5</t>
        </is>
      </c>
      <c r="D22" s="15" t="inlineStr">
        <is>
          <t>输入</t>
        </is>
      </c>
      <c r="E22" s="16" t="inlineStr">
        <is>
          <t>逗号分隔，可任意增删</t>
        </is>
      </c>
    </row>
    <row r="24" ht="22" customHeight="1">
      <c r="A24" s="6" t="inlineStr">
        <is>
          <t>B. 派生口径（公式，勿手改）</t>
        </is>
      </c>
      <c r="B24" s="7" t="n"/>
      <c r="C24" s="7" t="n"/>
      <c r="D24" s="7" t="n"/>
      <c r="E24" s="7" t="n"/>
    </row>
    <row r="25">
      <c r="B25" s="8" t="inlineStr">
        <is>
          <t>结汇价（银行现汇买入）= 中间价 ×(1−点差)</t>
        </is>
      </c>
      <c r="C25" s="23">
        <f>IF($C$13="实际成交价",IF(ISNUMBER($C$12),$C$12,$C$9*(1-$C$11)),$C$9*(1-$C$11))</f>
        <v/>
      </c>
      <c r="D25" s="24" t="inlineStr">
        <is>
          <t>公式</t>
        </is>
      </c>
      <c r="E25" s="16" t="inlineStr"/>
    </row>
    <row r="26">
      <c r="B26" s="8" t="inlineStr">
        <is>
          <t>购汇价（银行现汇卖出）= 中间价 ×(1+点差)</t>
        </is>
      </c>
      <c r="C26" s="23">
        <f>IF($C$13="实际成交价",IF(ISNUMBER($C$12),$C$12,$C$9*(1+$C$11)),$C$9*(1+$C$11))</f>
        <v/>
      </c>
      <c r="D26" s="24" t="inlineStr">
        <is>
          <t>公式</t>
        </is>
      </c>
      <c r="E26" s="16" t="inlineStr"/>
    </row>
    <row r="27">
      <c r="B27" s="8" t="inlineStr">
        <is>
          <t>方向符号（出口 −1 / 进口 +1）</t>
        </is>
      </c>
      <c r="C27" s="25">
        <f>IF($C$5="出口收汇",-1,1)</f>
        <v/>
      </c>
      <c r="D27" s="24" t="inlineStr">
        <is>
          <t>公式</t>
        </is>
      </c>
      <c r="E27" s="16" t="inlineStr"/>
    </row>
    <row r="28">
      <c r="B28" s="8" t="inlineStr">
        <is>
          <t>基准汇率（用于测算）</t>
        </is>
      </c>
      <c r="C28" s="23">
        <f>IF($C$13="官方中间价",$C$9,IF($C$13="实际成交价",IF(ISNUMBER($C$12),$C$12,$C$9),IF($C$5="出口收汇",$C$25,$C$26)))</f>
        <v/>
      </c>
      <c r="D28" s="24" t="inlineStr">
        <is>
          <t>公式</t>
        </is>
      </c>
      <c r="E28" s="16" t="inlineStr"/>
    </row>
    <row r="29">
      <c r="B29" s="8" t="inlineStr">
        <is>
          <t>口径说明（自动）</t>
        </is>
      </c>
      <c r="C29" s="26">
        <f>IF($C$13="官方中间价","官方中间价：只适合分位对照",IF($C$13="实际成交价","银行实际成交价：最真实的口径","中间价×点差带：示例估算，非银行真实报价"))</f>
        <v/>
      </c>
      <c r="D29" s="24" t="inlineStr">
        <is>
          <t>公式</t>
        </is>
      </c>
      <c r="E29" s="16" t="inlineStr"/>
    </row>
    <row r="30">
      <c r="B30" s="8" t="inlineStr">
        <is>
          <t>结算期限（自然日）</t>
        </is>
      </c>
      <c r="C30" s="25">
        <f>$C$20-$C$19</f>
        <v/>
      </c>
      <c r="D30" s="24" t="inlineStr">
        <is>
          <t>公式</t>
        </is>
      </c>
      <c r="E30" s="16" t="inlineStr"/>
    </row>
    <row r="31">
      <c r="B31" s="8" t="inlineStr">
        <is>
          <t>结算期限（交易日估算）</t>
        </is>
      </c>
      <c r="C31" s="25">
        <f>ROUND($C$30*5/7,0)</f>
        <v/>
      </c>
      <c r="D31" s="24" t="inlineStr">
        <is>
          <t>公式</t>
        </is>
      </c>
      <c r="E31" s="16" t="inlineStr"/>
    </row>
    <row r="32">
      <c r="B32" s="8" t="inlineStr">
        <is>
          <t>汇率每变动 1% 的敞口（元）</t>
        </is>
      </c>
      <c r="C32" s="27">
        <f>ABS($C$8*$C$28*(1-$C$18))*0.01</f>
        <v/>
      </c>
      <c r="D32" s="24" t="inlineStr">
        <is>
          <t>公式</t>
        </is>
      </c>
      <c r="E32" s="16" t="inlineStr"/>
    </row>
    <row r="34" ht="22" customHeight="1">
      <c r="A34" s="6" t="inlineStr">
        <is>
          <t>C. 口径提示</t>
        </is>
      </c>
      <c r="B34" s="7" t="n"/>
      <c r="C34" s="7" t="n"/>
      <c r="D34" s="7" t="n"/>
      <c r="E34" s="7" t="n"/>
    </row>
    <row r="35">
      <c r="B35" s="13" t="inlineStr">
        <is>
          <t>• 出口收汇：人民币收入 = 外币金额 × 结汇价 × (1 − 费用率)；结汇价用银行「现汇买入价」。</t>
        </is>
      </c>
    </row>
    <row r="36">
      <c r="B36" s="13" t="inlineStr">
        <is>
          <t>• 进口付汇：人民币支出 = 外币金额 × 购汇价 × (1 + 费用率)；购汇价用银行「现汇卖出价」。</t>
        </is>
      </c>
    </row>
    <row r="37">
      <c r="B37" s="13" t="inlineStr">
        <is>
          <t>• 中间价 ≠ 成交价：本例 2026-10-19 中国银行美元现汇买入价 6.6701，较当日中间价 6.7208 低约 0.75%。</t>
        </is>
      </c>
    </row>
    <row r="38">
      <c r="B38" s="13" t="inlineStr">
        <is>
          <t>• 银行费用率默认 0（未计入手续费与电讯费），结汇/购汇手续费、远期锁汇点价、点差均需另行确认。</t>
        </is>
      </c>
    </row>
    <row r="39">
      <c r="B39" s="13" t="inlineStr">
        <is>
          <t>• 本工作簿不预测汇率，不推荐避险产品。</t>
        </is>
      </c>
    </row>
  </sheetData>
  <mergeCells count="10">
    <mergeCell ref="A34:E34"/>
    <mergeCell ref="A4:E4"/>
    <mergeCell ref="B35:E35"/>
    <mergeCell ref="A24:E24"/>
    <mergeCell ref="A2:E2"/>
    <mergeCell ref="B38:E38"/>
    <mergeCell ref="B39:E39"/>
    <mergeCell ref="A1:E1"/>
    <mergeCell ref="B37:E37"/>
    <mergeCell ref="B36:E36"/>
  </mergeCells>
  <dataValidations count="2">
    <dataValidation sqref="C5" showDropDown="0" showInputMessage="0" showErrorMessage="0" allowBlank="0" type="list">
      <formula1>"出口收汇,进口付汇"</formula1>
    </dataValidation>
    <dataValidation sqref="C13" showDropDown="0" showInputMessage="0" showErrorMessage="0" allowBlank="0" type="list">
      <formula1>"官方中间价,中间价+点差带,实际成交价"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3" customWidth="1" min="9" max="9"/>
    <col width="13" customWidth="1" min="10" max="10"/>
  </cols>
  <sheetData>
    <row r="1" ht="34" customHeight="1">
      <c r="A1" s="1" t="inlineStr">
        <is>
          <t>02 · 汇率敏感性矩阵（汇率变动 ±1% / ±3% / ±5% …）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13" t="inlineStr">
        <is>
          <t>档位可改；RATE 为情景汇率。出口看人民币收入，进口看人民币支出。汇率变动只用于测算，不代表预测。</t>
        </is>
      </c>
    </row>
    <row r="4" ht="30" customHeight="1">
      <c r="B4" s="28" t="inlineStr">
        <is>
          <t>汇率变动</t>
        </is>
      </c>
      <c r="C4" s="28" t="inlineStr">
        <is>
          <t>情景汇率</t>
        </is>
      </c>
      <c r="D4" s="28" t="inlineStr">
        <is>
          <t>外币金额</t>
        </is>
      </c>
      <c r="E4" s="28" t="inlineStr">
        <is>
          <t>人民币毛额</t>
        </is>
      </c>
      <c r="F4" s="28" t="inlineStr">
        <is>
          <t>银行费用</t>
        </is>
      </c>
      <c r="G4" s="28" t="inlineStr">
        <is>
          <t>人民币净额</t>
        </is>
      </c>
      <c r="H4" s="28" t="inlineStr">
        <is>
          <t>较基准变化</t>
        </is>
      </c>
      <c r="I4" s="28" t="inlineStr">
        <is>
          <t>变化率</t>
        </is>
      </c>
      <c r="J4" s="28" t="inlineStr">
        <is>
          <t>毛利额</t>
        </is>
      </c>
      <c r="K4" s="28" t="inlineStr">
        <is>
          <t>毛利率</t>
        </is>
      </c>
    </row>
    <row r="5">
      <c r="B5" s="29" t="n">
        <v>-0.05</v>
      </c>
      <c r="C5" s="30">
        <f>ROUND('01_输入参数'!$C$28*(1+B5),6)</f>
        <v/>
      </c>
      <c r="D5" s="27">
        <f>'01_输入参数'!$C$8</f>
        <v/>
      </c>
      <c r="E5" s="27">
        <f>D5*C5</f>
        <v/>
      </c>
      <c r="F5" s="27">
        <f>ABS(E5-D5*C5*(1+'01_输入参数'!$C$27*'01_输入参数'!$C$18))</f>
        <v/>
      </c>
      <c r="G5" s="31">
        <f>E5*(1+'01_输入参数'!$C$27*'01_输入参数'!$C$18)</f>
        <v/>
      </c>
      <c r="H5" s="32">
        <f>G5-G$14</f>
        <v/>
      </c>
      <c r="I5" s="33">
        <f>IF(G$14=0,0,H5/G$14)</f>
        <v/>
      </c>
      <c r="J5" s="31">
        <f>IF(('01_输入参数'!$C$5="出口收汇"),IF(N('01_输入参数'!$C$14)=0,G5-'01_输入参数'!$C$14,G5-'01_输入参数'!$C$14),IF(AND(N('01_输入参数'!$C$15)&gt;0,N('01_输入参数'!$C$14)&gt;=0),'01_输入参数'!$C$15-(G5+'01_输入参数'!$C$14),""))</f>
        <v/>
      </c>
      <c r="K5" s="33">
        <f>IF(J5="","",IF(('01_输入参数'!$C$5="出口收汇"),IF(G5=0,"",J5/G5),IF('01_输入参数'!$C$15=0,"",J5/'01_输入参数'!$C$15)))</f>
        <v/>
      </c>
    </row>
    <row r="6">
      <c r="B6" s="29" t="n">
        <v>-0.03</v>
      </c>
      <c r="C6" s="30">
        <f>ROUND('01_输入参数'!$C$28*(1+B6),6)</f>
        <v/>
      </c>
      <c r="D6" s="27">
        <f>'01_输入参数'!$C$8</f>
        <v/>
      </c>
      <c r="E6" s="27">
        <f>D6*C6</f>
        <v/>
      </c>
      <c r="F6" s="27">
        <f>ABS(E6-D6*C6*(1+'01_输入参数'!$C$27*'01_输入参数'!$C$18))</f>
        <v/>
      </c>
      <c r="G6" s="31">
        <f>E6*(1+'01_输入参数'!$C$27*'01_输入参数'!$C$18)</f>
        <v/>
      </c>
      <c r="H6" s="32">
        <f>G6-G$14</f>
        <v/>
      </c>
      <c r="I6" s="33">
        <f>IF(G$14=0,0,H6/G$14)</f>
        <v/>
      </c>
      <c r="J6" s="31">
        <f>IF(('01_输入参数'!$C$5="出口收汇"),IF(N('01_输入参数'!$C$14)=0,G6-'01_输入参数'!$C$14,G6-'01_输入参数'!$C$14),IF(AND(N('01_输入参数'!$C$15)&gt;0,N('01_输入参数'!$C$14)&gt;=0),'01_输入参数'!$C$15-(G6+'01_输入参数'!$C$14),""))</f>
        <v/>
      </c>
      <c r="K6" s="33">
        <f>IF(J6="","",IF(('01_输入参数'!$C$5="出口收汇"),IF(G6=0,"",J6/G6),IF('01_输入参数'!$C$15=0,"",J6/'01_输入参数'!$C$15)))</f>
        <v/>
      </c>
    </row>
    <row r="7">
      <c r="B7" s="29" t="n">
        <v>-0.02</v>
      </c>
      <c r="C7" s="30">
        <f>ROUND('01_输入参数'!$C$28*(1+B7),6)</f>
        <v/>
      </c>
      <c r="D7" s="27">
        <f>'01_输入参数'!$C$8</f>
        <v/>
      </c>
      <c r="E7" s="27">
        <f>D7*C7</f>
        <v/>
      </c>
      <c r="F7" s="27">
        <f>ABS(E7-D7*C7*(1+'01_输入参数'!$C$27*'01_输入参数'!$C$18))</f>
        <v/>
      </c>
      <c r="G7" s="31">
        <f>E7*(1+'01_输入参数'!$C$27*'01_输入参数'!$C$18)</f>
        <v/>
      </c>
      <c r="H7" s="32">
        <f>G7-G$14</f>
        <v/>
      </c>
      <c r="I7" s="33">
        <f>IF(G$14=0,0,H7/G$14)</f>
        <v/>
      </c>
      <c r="J7" s="31">
        <f>IF(('01_输入参数'!$C$5="出口收汇"),IF(N('01_输入参数'!$C$14)=0,G7-'01_输入参数'!$C$14,G7-'01_输入参数'!$C$14),IF(AND(N('01_输入参数'!$C$15)&gt;0,N('01_输入参数'!$C$14)&gt;=0),'01_输入参数'!$C$15-(G7+'01_输入参数'!$C$14),""))</f>
        <v/>
      </c>
      <c r="K7" s="33">
        <f>IF(J7="","",IF(('01_输入参数'!$C$5="出口收汇"),IF(G7=0,"",J7/G7),IF('01_输入参数'!$C$15=0,"",J7/'01_输入参数'!$C$15)))</f>
        <v/>
      </c>
    </row>
    <row r="8">
      <c r="B8" s="29" t="n">
        <v>-0.01</v>
      </c>
      <c r="C8" s="30">
        <f>ROUND('01_输入参数'!$C$28*(1+B8),6)</f>
        <v/>
      </c>
      <c r="D8" s="27">
        <f>'01_输入参数'!$C$8</f>
        <v/>
      </c>
      <c r="E8" s="27">
        <f>D8*C8</f>
        <v/>
      </c>
      <c r="F8" s="27">
        <f>ABS(E8-D8*C8*(1+'01_输入参数'!$C$27*'01_输入参数'!$C$18))</f>
        <v/>
      </c>
      <c r="G8" s="31">
        <f>E8*(1+'01_输入参数'!$C$27*'01_输入参数'!$C$18)</f>
        <v/>
      </c>
      <c r="H8" s="32">
        <f>G8-G$14</f>
        <v/>
      </c>
      <c r="I8" s="33">
        <f>IF(G$14=0,0,H8/G$14)</f>
        <v/>
      </c>
      <c r="J8" s="31">
        <f>IF(('01_输入参数'!$C$5="出口收汇"),IF(N('01_输入参数'!$C$14)=0,G8-'01_输入参数'!$C$14,G8-'01_输入参数'!$C$14),IF(AND(N('01_输入参数'!$C$15)&gt;0,N('01_输入参数'!$C$14)&gt;=0),'01_输入参数'!$C$15-(G8+'01_输入参数'!$C$14),""))</f>
        <v/>
      </c>
      <c r="K8" s="33">
        <f>IF(J8="","",IF(('01_输入参数'!$C$5="出口收汇"),IF(G8=0,"",J8/G8),IF('01_输入参数'!$C$15=0,"",J8/'01_输入参数'!$C$15)))</f>
        <v/>
      </c>
    </row>
    <row r="9">
      <c r="B9" s="29" t="n">
        <v>0</v>
      </c>
      <c r="C9" s="30">
        <f>ROUND('01_输入参数'!$C$28*(1+B9),6)</f>
        <v/>
      </c>
      <c r="D9" s="27">
        <f>'01_输入参数'!$C$8</f>
        <v/>
      </c>
      <c r="E9" s="27">
        <f>D9*C9</f>
        <v/>
      </c>
      <c r="F9" s="27">
        <f>ABS(E9-D9*C9*(1+'01_输入参数'!$C$27*'01_输入参数'!$C$18))</f>
        <v/>
      </c>
      <c r="G9" s="31">
        <f>E9*(1+'01_输入参数'!$C$27*'01_输入参数'!$C$18)</f>
        <v/>
      </c>
      <c r="H9" s="32">
        <f>G9-G$14</f>
        <v/>
      </c>
      <c r="I9" s="33">
        <f>IF(G$14=0,0,H9/G$14)</f>
        <v/>
      </c>
      <c r="J9" s="31">
        <f>IF(('01_输入参数'!$C$5="出口收汇"),IF(N('01_输入参数'!$C$14)=0,G9-'01_输入参数'!$C$14,G9-'01_输入参数'!$C$14),IF(AND(N('01_输入参数'!$C$15)&gt;0,N('01_输入参数'!$C$14)&gt;=0),'01_输入参数'!$C$15-(G9+'01_输入参数'!$C$14),""))</f>
        <v/>
      </c>
      <c r="K9" s="33">
        <f>IF(J9="","",IF(('01_输入参数'!$C$5="出口收汇"),IF(G9=0,"",J9/G9),IF('01_输入参数'!$C$15=0,"",J9/'01_输入参数'!$C$15)))</f>
        <v/>
      </c>
    </row>
    <row r="10">
      <c r="B10" s="29" t="n">
        <v>0.01</v>
      </c>
      <c r="C10" s="30">
        <f>ROUND('01_输入参数'!$C$28*(1+B10),6)</f>
        <v/>
      </c>
      <c r="D10" s="27">
        <f>'01_输入参数'!$C$8</f>
        <v/>
      </c>
      <c r="E10" s="27">
        <f>D10*C10</f>
        <v/>
      </c>
      <c r="F10" s="27">
        <f>ABS(E10-D10*C10*(1+'01_输入参数'!$C$27*'01_输入参数'!$C$18))</f>
        <v/>
      </c>
      <c r="G10" s="31">
        <f>E10*(1+'01_输入参数'!$C$27*'01_输入参数'!$C$18)</f>
        <v/>
      </c>
      <c r="H10" s="32">
        <f>G10-G$14</f>
        <v/>
      </c>
      <c r="I10" s="33">
        <f>IF(G$14=0,0,H10/G$14)</f>
        <v/>
      </c>
      <c r="J10" s="31">
        <f>IF(('01_输入参数'!$C$5="出口收汇"),IF(N('01_输入参数'!$C$14)=0,G10-'01_输入参数'!$C$14,G10-'01_输入参数'!$C$14),IF(AND(N('01_输入参数'!$C$15)&gt;0,N('01_输入参数'!$C$14)&gt;=0),'01_输入参数'!$C$15-(G10+'01_输入参数'!$C$14),""))</f>
        <v/>
      </c>
      <c r="K10" s="33">
        <f>IF(J10="","",IF(('01_输入参数'!$C$5="出口收汇"),IF(G10=0,"",J10/G10),IF('01_输入参数'!$C$15=0,"",J10/'01_输入参数'!$C$15)))</f>
        <v/>
      </c>
    </row>
    <row r="11">
      <c r="B11" s="29" t="n">
        <v>0.02</v>
      </c>
      <c r="C11" s="30">
        <f>ROUND('01_输入参数'!$C$28*(1+B11),6)</f>
        <v/>
      </c>
      <c r="D11" s="27">
        <f>'01_输入参数'!$C$8</f>
        <v/>
      </c>
      <c r="E11" s="27">
        <f>D11*C11</f>
        <v/>
      </c>
      <c r="F11" s="27">
        <f>ABS(E11-D11*C11*(1+'01_输入参数'!$C$27*'01_输入参数'!$C$18))</f>
        <v/>
      </c>
      <c r="G11" s="31">
        <f>E11*(1+'01_输入参数'!$C$27*'01_输入参数'!$C$18)</f>
        <v/>
      </c>
      <c r="H11" s="32">
        <f>G11-G$14</f>
        <v/>
      </c>
      <c r="I11" s="33">
        <f>IF(G$14=0,0,H11/G$14)</f>
        <v/>
      </c>
      <c r="J11" s="31">
        <f>IF(('01_输入参数'!$C$5="出口收汇"),IF(N('01_输入参数'!$C$14)=0,G11-'01_输入参数'!$C$14,G11-'01_输入参数'!$C$14),IF(AND(N('01_输入参数'!$C$15)&gt;0,N('01_输入参数'!$C$14)&gt;=0),'01_输入参数'!$C$15-(G11+'01_输入参数'!$C$14),""))</f>
        <v/>
      </c>
      <c r="K11" s="33">
        <f>IF(J11="","",IF(('01_输入参数'!$C$5="出口收汇"),IF(G11=0,"",J11/G11),IF('01_输入参数'!$C$15=0,"",J11/'01_输入参数'!$C$15)))</f>
        <v/>
      </c>
    </row>
    <row r="12">
      <c r="B12" s="29" t="n">
        <v>0.03</v>
      </c>
      <c r="C12" s="30">
        <f>ROUND('01_输入参数'!$C$28*(1+B12),6)</f>
        <v/>
      </c>
      <c r="D12" s="27">
        <f>'01_输入参数'!$C$8</f>
        <v/>
      </c>
      <c r="E12" s="27">
        <f>D12*C12</f>
        <v/>
      </c>
      <c r="F12" s="27">
        <f>ABS(E12-D12*C12*(1+'01_输入参数'!$C$27*'01_输入参数'!$C$18))</f>
        <v/>
      </c>
      <c r="G12" s="31">
        <f>E12*(1+'01_输入参数'!$C$27*'01_输入参数'!$C$18)</f>
        <v/>
      </c>
      <c r="H12" s="32">
        <f>G12-G$14</f>
        <v/>
      </c>
      <c r="I12" s="33">
        <f>IF(G$14=0,0,H12/G$14)</f>
        <v/>
      </c>
      <c r="J12" s="31">
        <f>IF(('01_输入参数'!$C$5="出口收汇"),IF(N('01_输入参数'!$C$14)=0,G12-'01_输入参数'!$C$14,G12-'01_输入参数'!$C$14),IF(AND(N('01_输入参数'!$C$15)&gt;0,N('01_输入参数'!$C$14)&gt;=0),'01_输入参数'!$C$15-(G12+'01_输入参数'!$C$14),""))</f>
        <v/>
      </c>
      <c r="K12" s="33">
        <f>IF(J12="","",IF(('01_输入参数'!$C$5="出口收汇"),IF(G12=0,"",J12/G12),IF('01_输入参数'!$C$15=0,"",J12/'01_输入参数'!$C$15)))</f>
        <v/>
      </c>
    </row>
    <row r="13">
      <c r="B13" s="29" t="n">
        <v>0.05</v>
      </c>
      <c r="C13" s="30">
        <f>ROUND('01_输入参数'!$C$28*(1+B13),6)</f>
        <v/>
      </c>
      <c r="D13" s="27">
        <f>'01_输入参数'!$C$8</f>
        <v/>
      </c>
      <c r="E13" s="27">
        <f>D13*C13</f>
        <v/>
      </c>
      <c r="F13" s="27">
        <f>ABS(E13-D13*C13*(1+'01_输入参数'!$C$27*'01_输入参数'!$C$18))</f>
        <v/>
      </c>
      <c r="G13" s="31">
        <f>E13*(1+'01_输入参数'!$C$27*'01_输入参数'!$C$18)</f>
        <v/>
      </c>
      <c r="H13" s="32">
        <f>G13-G$14</f>
        <v/>
      </c>
      <c r="I13" s="33">
        <f>IF(G$14=0,0,H13/G$14)</f>
        <v/>
      </c>
      <c r="J13" s="31">
        <f>IF(('01_输入参数'!$C$5="出口收汇"),IF(N('01_输入参数'!$C$14)=0,G13-'01_输入参数'!$C$14,G13-'01_输入参数'!$C$14),IF(AND(N('01_输入参数'!$C$15)&gt;0,N('01_输入参数'!$C$14)&gt;=0),'01_输入参数'!$C$15-(G13+'01_输入参数'!$C$14),""))</f>
        <v/>
      </c>
      <c r="K13" s="33">
        <f>IF(J13="","",IF(('01_输入参数'!$C$5="出口收汇"),IF(G13=0,"",J13/G13),IF('01_输入参数'!$C$15=0,"",J13/'01_输入参数'!$C$15)))</f>
        <v/>
      </c>
    </row>
    <row r="14">
      <c r="B14" s="34" t="n">
        <v>0</v>
      </c>
      <c r="C14" s="35">
        <f>'01_输入参数'!$C$28</f>
        <v/>
      </c>
      <c r="D14" s="27">
        <f>'01_输入参数'!$C$8</f>
        <v/>
      </c>
      <c r="E14" s="27">
        <f>D14*C14</f>
        <v/>
      </c>
      <c r="F14" s="27">
        <f>ABS(E14-D14*C14*(1+'01_输入参数'!$C$27*'01_输入参数'!$C$18))</f>
        <v/>
      </c>
      <c r="G14" s="32">
        <f>E14*(1+'01_输入参数'!$C$27*'01_输入参数'!$C$18)</f>
        <v/>
      </c>
      <c r="H14" s="27" t="n">
        <v>0</v>
      </c>
      <c r="I14" s="33" t="n">
        <v>0</v>
      </c>
      <c r="J14" s="32">
        <f>IF(('01_输入参数'!$C$5="出口收汇"),IF(N('01_输入参数'!$C$14)=0,G14-'01_输入参数'!$C$14,G14-'01_输入参数'!$C$14),IF(AND(N('01_输入参数'!$C$15)&gt;0,N('01_输入参数'!$C$14)&gt;=0),'01_输入参数'!$C$15-(G14+'01_输入参数'!$C$14),""))</f>
        <v/>
      </c>
      <c r="K14" s="36">
        <f>IF(J14="","",IF(('01_输入参数'!$C$5="出口收汇"),IF(G14=0,"",J14/G14),IF('01_输入参数'!$C$15=0,"",J14/'01_输入参数'!$C$15)))</f>
        <v/>
      </c>
    </row>
    <row r="16" ht="22" customHeight="1">
      <c r="A16" s="6" t="inlineStr">
        <is>
          <t>说明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B17" s="13" t="inlineStr">
        <is>
          <t>• 情景汇率 = 基准汇率 ×(1 + 汇率变动)；基准汇率来自「01_输入参数」C28，随口径切换自动变化。</t>
        </is>
      </c>
    </row>
    <row r="18">
      <c r="B18" s="13" t="inlineStr">
        <is>
          <t>• 人民币净额 = 外币金额 × 情景汇率 ×(1 + 方向符号 × 费用率)；出口方向符号 −1（扣除），进口 +1（加上）。</t>
        </is>
      </c>
    </row>
    <row r="19">
      <c r="B19" s="13" t="inlineStr">
        <is>
          <t>• 变化率以人民币净额计；由于费用率按比例计提，变化率与汇率变动幅度一致（费用率为 0 时完全相同）。</t>
        </is>
      </c>
    </row>
    <row r="20">
      <c r="B20" s="13" t="inlineStr">
        <is>
          <t>• 毛利额：出口 = 人民币净额 − 人民币成本；进口 = 进口后人民币销售收入 −（人民币净额 + 其他人民币成本）。</t>
        </is>
      </c>
    </row>
    <row r="21">
      <c r="B21" s="13" t="inlineStr">
        <is>
          <t>• 本表为固定 9 档。若需其它档位，直接修改 B 列百分比即可（或在 HTML 版里任意增删档位）。</t>
        </is>
      </c>
    </row>
  </sheetData>
  <mergeCells count="8">
    <mergeCell ref="A1:J1"/>
    <mergeCell ref="B19:J19"/>
    <mergeCell ref="B20:J20"/>
    <mergeCell ref="A2:J2"/>
    <mergeCell ref="B17:J17"/>
    <mergeCell ref="B18:J18"/>
    <mergeCell ref="A16:J16"/>
    <mergeCell ref="B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18" customWidth="1" min="4" max="4"/>
    <col width="52" customWidth="1" min="5" max="5"/>
    <col width="14" customWidth="1" min="6" max="6"/>
  </cols>
  <sheetData>
    <row r="1" ht="34" customHeight="1">
      <c r="A1" s="1" t="inlineStr">
        <is>
          <t>03 · 毛利测算与盈亏平衡汇率</t>
        </is>
      </c>
      <c r="B1" s="2" t="n"/>
      <c r="C1" s="2" t="n"/>
      <c r="D1" s="2" t="n"/>
      <c r="E1" s="2" t="n"/>
    </row>
    <row r="2" ht="30" customHeight="1">
      <c r="A2" s="13" t="inlineStr">
        <is>
          <t>平衡汇率随输入成本与目标毛利自动重算；出口与进口的公式方向不同，方向切换后自动套用。</t>
        </is>
      </c>
    </row>
    <row r="4" ht="22" customHeight="1">
      <c r="A4" s="6" t="inlineStr">
        <is>
          <t>A. 当前基准下的毛利</t>
        </is>
      </c>
      <c r="B4" s="7" t="n"/>
      <c r="C4" s="7" t="n"/>
      <c r="D4" s="7" t="n"/>
      <c r="E4" s="7" t="n"/>
    </row>
    <row r="5" ht="30" customHeight="1">
      <c r="B5" s="28" t="inlineStr">
        <is>
          <t>项目</t>
        </is>
      </c>
      <c r="C5" s="28" t="inlineStr">
        <is>
          <t>数值</t>
        </is>
      </c>
      <c r="D5" s="28" t="inlineStr">
        <is>
          <t>公式 / 说明</t>
        </is>
      </c>
    </row>
    <row r="6">
      <c r="B6" s="8" t="inlineStr">
        <is>
          <t>基准汇率</t>
        </is>
      </c>
      <c r="C6" s="23">
        <f>'01_输入参数'!$C$28</f>
        <v/>
      </c>
      <c r="D6" s="16" t="inlineStr">
        <is>
          <t>来自「01_输入参数」C28</t>
        </is>
      </c>
      <c r="E6" s="37" t="n"/>
    </row>
    <row r="7">
      <c r="B7" s="8" t="inlineStr">
        <is>
          <t>外币金额</t>
        </is>
      </c>
      <c r="C7" s="27">
        <f>'01_输入参数'!$C$8</f>
        <v/>
      </c>
      <c r="D7" s="16" t="inlineStr"/>
      <c r="E7" s="37" t="n"/>
    </row>
    <row r="8">
      <c r="B8" s="8" t="inlineStr">
        <is>
          <t>人民币毛额</t>
        </is>
      </c>
      <c r="C8" s="31">
        <f>C7*C6</f>
        <v/>
      </c>
      <c r="D8" s="16" t="inlineStr">
        <is>
          <t>外币金额 × 汇率</t>
        </is>
      </c>
      <c r="E8" s="37" t="n"/>
    </row>
    <row r="9">
      <c r="B9" s="8" t="inlineStr">
        <is>
          <t>银行费用/点差（按比例）</t>
        </is>
      </c>
      <c r="C9" s="31">
        <f>ABS(C8-C10)</f>
        <v/>
      </c>
      <c r="D9" s="16" t="inlineStr">
        <is>
          <t>金额 × 汇率 × 费用率</t>
        </is>
      </c>
      <c r="E9" s="37" t="n"/>
    </row>
    <row r="10">
      <c r="B10" s="8" t="inlineStr">
        <is>
          <t>人民币净额</t>
        </is>
      </c>
      <c r="C10" s="31">
        <f>C8*(1+'01_输入参数'!$C$27*'01_输入参数'!$C$18)</f>
        <v/>
      </c>
      <c r="D10" s="16" t="inlineStr">
        <is>
          <t>毛额 −/+ 费用（出口扣减、进口增加）</t>
        </is>
      </c>
      <c r="E10" s="37" t="n"/>
    </row>
    <row r="11">
      <c r="B11" s="8" t="inlineStr">
        <is>
          <t>人民币成本（出口）/ 其他成本（进口）</t>
        </is>
      </c>
      <c r="C11" s="38">
        <f>N('01_输入参数'!$C$14)</f>
        <v/>
      </c>
      <c r="D11" s="16" t="inlineStr">
        <is>
          <t>来自输入</t>
        </is>
      </c>
      <c r="E11" s="37" t="n"/>
    </row>
    <row r="12">
      <c r="B12" s="8" t="inlineStr">
        <is>
          <t>进口后人民币销售收入</t>
        </is>
      </c>
      <c r="C12" s="38">
        <f>IF(N('01_输入参数'!$C$15)=0,"",'01_输入参数'!$C$15)</f>
        <v/>
      </c>
      <c r="D12" s="16" t="inlineStr">
        <is>
          <t>仅进口用</t>
        </is>
      </c>
      <c r="E12" s="37" t="n"/>
    </row>
    <row r="13">
      <c r="B13" s="8" t="inlineStr">
        <is>
          <t>毛利额</t>
        </is>
      </c>
      <c r="C13" s="32">
        <f>IF(('01_输入参数'!$C$5="出口收汇"),C10-C11,IF(N(C12)=0,"",C12-(C10+C11)))</f>
        <v/>
      </c>
      <c r="D13" s="16" t="inlineStr">
        <is>
          <t>出口：净额 − 成本；进口：销售收入 − (净额 + 其他成本)</t>
        </is>
      </c>
      <c r="E13" s="37" t="n"/>
    </row>
    <row r="14">
      <c r="B14" s="8" t="inlineStr">
        <is>
          <t>毛利率</t>
        </is>
      </c>
      <c r="C14" s="39">
        <f>IF(N(C13)=0,"",IF(('01_输入参数'!$C$5="出口收汇"),IF(C10=0,"",C13/C10),IF(N(C12)=0,"",C13/C12)))</f>
        <v/>
      </c>
      <c r="D14" s="16" t="inlineStr">
        <is>
          <t>出口：毛利 ÷ 净额；进口：毛利 ÷ 销售收入</t>
        </is>
      </c>
      <c r="E14" s="37" t="n"/>
    </row>
    <row r="16" ht="22" customHeight="1">
      <c r="A16" s="6" t="inlineStr">
        <is>
          <t>B. 盈亏平衡汇率（成本与其他条件不变）</t>
        </is>
      </c>
      <c r="B16" s="7" t="n"/>
      <c r="C16" s="7" t="n"/>
      <c r="D16" s="7" t="n"/>
      <c r="E16" s="7" t="n"/>
      <c r="F16" s="7" t="n"/>
    </row>
    <row r="17" ht="30" customHeight="1">
      <c r="B17" s="28" t="inlineStr">
        <is>
          <t>平衡点</t>
        </is>
      </c>
      <c r="C17" s="28" t="inlineStr">
        <is>
          <t>汇率</t>
        </is>
      </c>
      <c r="D17" s="28" t="inlineStr">
        <is>
          <t>较基准</t>
        </is>
      </c>
      <c r="E17" s="28" t="inlineStr">
        <is>
          <t>公式</t>
        </is>
      </c>
    </row>
    <row r="18">
      <c r="B18" s="8" t="inlineStr">
        <is>
          <t>毛利额 = 0</t>
        </is>
      </c>
      <c r="C18" s="40">
        <f>IF(('01_输入参数'!$C$5="出口收汇"),IF(C7*(1-'01_输入参数'!$C$18)=0,"",C11/(C7*(1-'01_输入参数'!$C$18))),IF(N(C12)=0,"",(C12-C11)/(C7*(1+'01_输入参数'!$C$18))))</f>
        <v/>
      </c>
      <c r="D18" s="33">
        <f>IF(ISNUMBER(C18),C18/$C$6-1,"")</f>
        <v/>
      </c>
      <c r="E18" s="16" t="inlineStr">
        <is>
          <t>出口：R* = 成本 ÷ [金额 ×(1−费用率)]；进口：R* = (销售收入 − 其他成本) ÷ [金额 ×(1+费用率)]</t>
        </is>
      </c>
      <c r="F18" s="5" t="n"/>
    </row>
    <row r="19">
      <c r="B19" s="8" t="inlineStr">
        <is>
          <t>达到目标毛利率</t>
        </is>
      </c>
      <c r="C19" s="40">
        <f>IF(AND(('01_输入参数'!$C$5="出口收汇"),N('01_输入参数'!$C$16)&gt;0),C11/(C7*(1-'01_输入参数'!$C$18)*(1-'01_输入参数'!$C$16)),"仅出口且填目标毛利率时计算")</f>
        <v/>
      </c>
      <c r="D19" s="33">
        <f>IF(ISNUMBER(C19),C19/$C$6-1,"")</f>
        <v/>
      </c>
      <c r="E19" s="16" t="inlineStr">
        <is>
          <t>R* = 成本 ÷ [金额 ×(1−费用率)×(1−目标毛利率)]</t>
        </is>
      </c>
      <c r="F19" s="5" t="n"/>
    </row>
    <row r="20">
      <c r="B20" s="8" t="inlineStr">
        <is>
          <t>达到目标毛利额</t>
        </is>
      </c>
      <c r="C20" s="40">
        <f>IF(AND(('01_输入参数'!$C$5="出口收汇"),N('01_输入参数'!$C$17)&gt;0),(C11+'01_输入参数'!$C$17)/(C7*(1-'01_输入参数'!$C$18)),"仅出口且填目标毛利额时计算")</f>
        <v/>
      </c>
      <c r="D20" s="33">
        <f>IF(ISNUMBER(C20),C20/$C$6-1,"")</f>
        <v/>
      </c>
      <c r="E20" s="16" t="inlineStr">
        <is>
          <t>R* = (成本 + 目标毛利额) ÷ [金额 ×(1−费用率)]</t>
        </is>
      </c>
      <c r="F20" s="5" t="n"/>
    </row>
    <row r="21">
      <c r="B21" s="8" t="inlineStr">
        <is>
          <t>汇率缓冲（毛利=0 平衡点相对基准）</t>
        </is>
      </c>
      <c r="C21" s="39">
        <f>IF(ISNUMBER(C18),C18/C6-1,"")</f>
        <v/>
      </c>
      <c r="D21" s="24" t="inlineStr"/>
      <c r="E21" s="16" t="inlineStr">
        <is>
          <t>负值 = 汇率还要再跌这么多才亏（出口）；正值 = 还要涨这么多才亏（进口）</t>
        </is>
      </c>
      <c r="F21" s="5" t="n"/>
    </row>
    <row r="23" ht="22" customHeight="1">
      <c r="A23" s="6" t="inlineStr">
        <is>
          <t>C. 毛利对汇率的一阶敏感</t>
        </is>
      </c>
      <c r="B23" s="7" t="n"/>
      <c r="C23" s="7" t="n"/>
      <c r="D23" s="7" t="n"/>
      <c r="E23" s="7" t="n"/>
      <c r="F23" s="7" t="n"/>
    </row>
    <row r="24">
      <c r="B24" s="8" t="inlineStr">
        <is>
          <t>汇率每变动 1% 的毛利变化（元）</t>
        </is>
      </c>
      <c r="C24" s="32">
        <f>'01_输入参数'!$C$32</f>
        <v/>
      </c>
      <c r="E24" s="16">
        <f> |金额 × 汇率 ×(1−费用率)| × 1%；汇率下降 1% 则毛利减少同额（出口）</f>
        <v/>
      </c>
      <c r="F24" s="5" t="n"/>
    </row>
    <row r="25">
      <c r="B25" s="8" t="inlineStr">
        <is>
          <t>毛利=0 时汇率可跌/涨幅度（相对基准）</t>
        </is>
      </c>
      <c r="C25" s="39">
        <f>IF(ISNUMBER(C18),ABS(C18/C6-1),"")</f>
        <v/>
      </c>
      <c r="E25" s="16">
        <f> |平衡汇率 ÷ 基准 − 1|</f>
        <v/>
      </c>
      <c r="F25" s="5" t="n"/>
    </row>
    <row r="26">
      <c r="B26" s="8" t="inlineStr">
        <is>
          <t>毛利被汇率吃光所需的变动幅度</t>
        </is>
      </c>
      <c r="C26" s="39">
        <f>IF('01_输入参数'!$C$32=0,"",C13/'01_输入参数'!$C$32)</f>
        <v/>
      </c>
      <c r="E26" s="16" t="inlineStr">
        <is>
          <t>当前毛利额 ÷ 每 1% 敞口，即毛利被汇率吃光的百分比（仅出口有意义）</t>
        </is>
      </c>
      <c r="F26" s="5" t="n"/>
    </row>
  </sheetData>
  <mergeCells count="21">
    <mergeCell ref="A16:F16"/>
    <mergeCell ref="D10:E10"/>
    <mergeCell ref="E24:F24"/>
    <mergeCell ref="A1:E1"/>
    <mergeCell ref="D6:E6"/>
    <mergeCell ref="E20:F20"/>
    <mergeCell ref="D11:E11"/>
    <mergeCell ref="D13:E13"/>
    <mergeCell ref="E19:F19"/>
    <mergeCell ref="A23:F23"/>
    <mergeCell ref="D7:E7"/>
    <mergeCell ref="A2:E2"/>
    <mergeCell ref="E26:F26"/>
    <mergeCell ref="D9:E9"/>
    <mergeCell ref="D12:E12"/>
    <mergeCell ref="D8:E8"/>
    <mergeCell ref="A4:E4"/>
    <mergeCell ref="E25:F25"/>
    <mergeCell ref="D14:E14"/>
    <mergeCell ref="E18:F18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2" customWidth="1" min="3" max="3"/>
    <col width="40" customWidth="1" min="4" max="4"/>
  </cols>
  <sheetData>
    <row r="1" ht="34" customHeight="1">
      <c r="A1" s="1" t="inlineStr">
        <is>
          <t>04 · 计算公式（与本簿各表、Python 验证脚本同源）</t>
        </is>
      </c>
      <c r="B1" s="2" t="n"/>
      <c r="C1" s="2" t="n"/>
      <c r="D1" s="2" t="n"/>
    </row>
    <row r="2" ht="30" customHeight="1">
      <c r="A2" s="13" t="inlineStr">
        <is>
          <t>符号：A=外币金额；R=汇率；t=银行费用率；C=人民币成本；S=进口后销售收入；M=毛利额；m=毛利率。</t>
        </is>
      </c>
    </row>
    <row r="4" ht="30" customHeight="1">
      <c r="B4" s="28" t="inlineStr">
        <is>
          <t>项目</t>
        </is>
      </c>
      <c r="C4" s="28" t="inlineStr">
        <is>
          <t>计算逻辑</t>
        </is>
      </c>
      <c r="D4" s="28" t="inlineStr">
        <is>
          <t>公式</t>
        </is>
      </c>
    </row>
    <row r="5" ht="30" customHeight="1">
      <c r="B5" s="8" t="inlineStr">
        <is>
          <t>汇率口径</t>
        </is>
      </c>
      <c r="C5" s="4" t="inlineStr">
        <is>
          <t>直接标价：1 单位外币 = X 人民币。出口结汇看现汇买入价，进口购汇看现汇卖出价。</t>
        </is>
      </c>
      <c r="D5" s="41" t="inlineStr">
        <is>
          <t>结汇价 R_s = R_mid×(1−band)；购汇价 R_b = R_mid×(1+band)</t>
        </is>
      </c>
    </row>
    <row r="6" ht="30" customHeight="1">
      <c r="B6" s="8" t="inlineStr">
        <is>
          <t>出口收汇</t>
        </is>
      </c>
      <c r="C6" s="4" t="inlineStr">
        <is>
          <t>收到外币 → 结汇成人民币</t>
        </is>
      </c>
      <c r="D6" s="41" t="inlineStr">
        <is>
          <t>收入 Rev = A × R_s × (1 − t)</t>
        </is>
      </c>
    </row>
    <row r="7" ht="30" customHeight="1">
      <c r="B7" s="8" t="inlineStr">
        <is>
          <t>进口付汇</t>
        </is>
      </c>
      <c r="C7" s="4" t="inlineStr">
        <is>
          <t>付出人民币 → 购汇付外币</t>
        </is>
      </c>
      <c r="D7" s="41" t="inlineStr">
        <is>
          <t>支出 Pay = A × R_b × (1 + t)</t>
        </is>
      </c>
    </row>
    <row r="8" ht="30" customHeight="1">
      <c r="B8" s="8" t="inlineStr">
        <is>
          <t>出口毛利</t>
        </is>
      </c>
      <c r="C8" s="4" t="inlineStr">
        <is>
          <t>收入减人民币成本</t>
        </is>
      </c>
      <c r="D8" s="41" t="inlineStr">
        <is>
          <t>M = Rev − C；m = M ÷ Rev</t>
        </is>
      </c>
    </row>
    <row r="9" ht="30" customHeight="1">
      <c r="B9" s="8" t="inlineStr">
        <is>
          <t>进口毛利</t>
        </is>
      </c>
      <c r="C9" s="4" t="inlineStr">
        <is>
          <t>人民币销售收入减（外币折算支付 + 其他成本）</t>
        </is>
      </c>
      <c r="D9" s="41" t="inlineStr">
        <is>
          <t>M = S − (Pay + C_oth)；m = M ÷ S</t>
        </is>
      </c>
    </row>
    <row r="10" ht="30" customHeight="1">
      <c r="B10" s="8" t="inlineStr">
        <is>
          <t>汇率变动 ±n%</t>
        </is>
      </c>
      <c r="C10" s="4" t="inlineStr">
        <is>
          <t>情景汇率与人民币金额变化</t>
        </is>
      </c>
      <c r="D10" s="41" t="inlineStr">
        <is>
          <t>R′ = R×(1±n)；ΔRev = A × R × n × (1 − t)</t>
        </is>
      </c>
    </row>
    <row r="11" ht="30" customHeight="1">
      <c r="B11" s="8" t="inlineStr">
        <is>
          <t>每 1% 敞口</t>
        </is>
      </c>
      <c r="C11" s="4" t="inlineStr">
        <is>
          <t>汇率相对变动 1% 对应的人民币金额</t>
        </is>
      </c>
      <c r="D11" s="41" t="inlineStr">
        <is>
          <t>Exp = |A × R × (1 − t)| × 1%</t>
        </is>
      </c>
    </row>
    <row r="12" ht="30" customHeight="1">
      <c r="B12" s="8" t="inlineStr">
        <is>
          <t>盈亏平衡（出口）</t>
        </is>
      </c>
      <c r="C12" s="4" t="inlineStr">
        <is>
          <t>毛利=0</t>
        </is>
      </c>
      <c r="D12" s="41" t="inlineStr">
        <is>
          <t>R* = C ÷ [A × (1 − t)]</t>
        </is>
      </c>
    </row>
    <row r="13" ht="30" customHeight="1">
      <c r="B13" s="8" t="inlineStr">
        <is>
          <t>盈亏平衡（进口）</t>
        </is>
      </c>
      <c r="C13" s="4" t="inlineStr">
        <is>
          <t>毛利=0</t>
        </is>
      </c>
      <c r="D13" s="41" t="inlineStr">
        <is>
          <t>R* = (S − C_oth) ÷ [A × (1 + t)]</t>
        </is>
      </c>
    </row>
    <row r="14" ht="30" customHeight="1">
      <c r="B14" s="8" t="inlineStr">
        <is>
          <t>目标毛利率汇率</t>
        </is>
      </c>
      <c r="C14" s="4" t="inlineStr">
        <is>
          <t>保目标毛利率所需最低汇率（出口）</t>
        </is>
      </c>
      <c r="D14" s="41" t="inlineStr">
        <is>
          <t>R* = C ÷ [A × (1 − t) × (1 − m)]</t>
        </is>
      </c>
    </row>
    <row r="15" ht="30" customHeight="1">
      <c r="B15" s="8" t="inlineStr">
        <is>
          <t>目标毛利额汇率</t>
        </is>
      </c>
      <c r="C15" s="4" t="inlineStr">
        <is>
          <t>保目标毛利额所需最低汇率（出口）</t>
        </is>
      </c>
      <c r="D15" s="41" t="inlineStr">
        <is>
          <t>R* = (C + M) ÷ [A × (1 − t)]</t>
        </is>
      </c>
    </row>
    <row r="16" ht="30" customHeight="1">
      <c r="B16" s="8" t="inlineStr">
        <is>
          <t>历史分位</t>
        </is>
      </c>
      <c r="C16" s="4" t="inlineStr">
        <is>
          <t>历史有多少交易日低于当前</t>
        </is>
      </c>
      <c r="D16" s="41" t="inlineStr">
        <is>
          <t>Pct = (低于当日数 + 0.5×相等数) ÷ 样本数</t>
        </is>
      </c>
    </row>
    <row r="17" ht="30" customHeight="1">
      <c r="B17" s="8" t="inlineStr">
        <is>
          <t>已实现年化波动</t>
        </is>
      </c>
      <c r="C17" s="4" t="inlineStr">
        <is>
          <t>只描述过去的波动幅度，不是预测</t>
        </is>
      </c>
      <c r="D17" s="41" t="inlineStr">
        <is>
          <t>σ = std(ln R_t/R_{t−1}) × √252</t>
        </is>
      </c>
    </row>
    <row r="18" ht="30" customHeight="1">
      <c r="B18" s="8" t="inlineStr">
        <is>
          <t>N 日典型波动</t>
        </is>
      </c>
      <c r="C18" s="4" t="inlineStr">
        <is>
          <t>年化波动折算到结算期，仅说明量级</t>
        </is>
      </c>
      <c r="D18" s="41" t="inlineStr">
        <is>
          <t>σ_N = σ × √(N ÷ 252)</t>
        </is>
      </c>
    </row>
    <row r="19" ht="30" customHeight="1">
      <c r="B19" s="8" t="inlineStr">
        <is>
          <t>分批加权汇率</t>
        </is>
      </c>
      <c r="C19" s="4" t="inlineStr">
        <is>
          <t>各批次金额加权</t>
        </is>
      </c>
      <c r="D19" s="41" t="inlineStr">
        <is>
          <t>R_w = Σ(A_i × R_i) ÷ ΣA_i</t>
        </is>
      </c>
    </row>
    <row r="20" ht="30" customHeight="1">
      <c r="B20" s="8" t="inlineStr">
        <is>
          <t>分批 vs 一次性</t>
        </is>
      </c>
      <c r="C20" s="4" t="inlineStr">
        <is>
          <t>分批结构效应（基准汇率差异）</t>
        </is>
      </c>
      <c r="D20" s="41" t="inlineStr">
        <is>
          <t>Δ = Σ(A_i×R_i) − ΣA_i × R_首日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13" customWidth="1" min="5" max="5"/>
    <col width="14" customWidth="1" min="6" max="6"/>
    <col width="13" customWidth="1" min="7" max="7"/>
    <col width="14" customWidth="1" min="8" max="8"/>
    <col width="13" customWidth="1" min="9" max="9"/>
    <col width="13" customWidth="1" min="10" max="10"/>
  </cols>
  <sheetData>
    <row r="1" ht="34" customHeight="1">
      <c r="A1" s="1" t="inlineStr">
        <is>
          <t>05 · 分批结算情景（按各批次金额与结算时间）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13" t="inlineStr">
        <is>
          <t>各批次金额与假设汇率可改；合计校验自动提示。分批真正改变的是暴露时点分散，不降低期望损失。</t>
        </is>
      </c>
    </row>
    <row r="4" ht="30" customHeight="1">
      <c r="B4" s="28" t="inlineStr">
        <is>
          <t>批次</t>
        </is>
      </c>
      <c r="C4" s="28" t="inlineStr">
        <is>
          <t>外币金额</t>
        </is>
      </c>
      <c r="D4" s="28" t="inlineStr">
        <is>
          <t>距结算天数</t>
        </is>
      </c>
      <c r="E4" s="28" t="inlineStr">
        <is>
          <t>假设汇率</t>
        </is>
      </c>
      <c r="F4" s="28" t="inlineStr">
        <is>
          <t>占比</t>
        </is>
      </c>
      <c r="G4" s="28" t="inlineStr">
        <is>
          <t>折算人民币（净）</t>
        </is>
      </c>
      <c r="H4" s="28" t="inlineStr">
        <is>
          <t>占合计</t>
        </is>
      </c>
      <c r="I4" s="28" t="inlineStr">
        <is>
          <t>(示例) 该批序号</t>
        </is>
      </c>
    </row>
    <row r="5">
      <c r="B5" s="14" t="inlineStr">
        <is>
          <t>T/T 30% 定金（签约即付）</t>
        </is>
      </c>
      <c r="C5" s="17" t="n">
        <v>30000</v>
      </c>
      <c r="D5" s="42" t="n">
        <v>0</v>
      </c>
      <c r="E5" s="18" t="n">
        <v>6.703998</v>
      </c>
      <c r="F5" s="33">
        <f>IF($C$8=0,"",C5/$C$8)</f>
        <v/>
      </c>
      <c r="G5" s="31">
        <f>C5*E5*(1+'01_输入参数'!$C$27*'01_输入参数'!$C$18)</f>
        <v/>
      </c>
      <c r="H5" s="43">
        <f>IF($G$8=0,"",G5/$G$8)</f>
        <v/>
      </c>
    </row>
    <row r="6">
      <c r="B6" s="14" t="inlineStr">
        <is>
          <t>装运后 60 天 40%</t>
        </is>
      </c>
      <c r="C6" s="17" t="n">
        <v>40000</v>
      </c>
      <c r="D6" s="42" t="n">
        <v>60</v>
      </c>
      <c r="E6" s="18" t="n">
        <v>6.703998</v>
      </c>
      <c r="F6" s="33">
        <f>IF($C$8=0,"",C6/$C$8)</f>
        <v/>
      </c>
      <c r="G6" s="31">
        <f>C6*E6*(1+'01_输入参数'!$C$27*'01_输入参数'!$C$18)</f>
        <v/>
      </c>
      <c r="H6" s="43">
        <f>IF($G$8=0,"",G6/$G$8)</f>
        <v/>
      </c>
    </row>
    <row r="7">
      <c r="B7" s="14" t="inlineStr">
        <is>
          <t>提单日 90 天 30%</t>
        </is>
      </c>
      <c r="C7" s="17" t="n">
        <v>30000</v>
      </c>
      <c r="D7" s="42" t="n">
        <v>90</v>
      </c>
      <c r="E7" s="18" t="n">
        <v>6.703998</v>
      </c>
      <c r="F7" s="33">
        <f>IF($C$8=0,"",C7/$C$8)</f>
        <v/>
      </c>
      <c r="G7" s="31">
        <f>C7*E7*(1+'01_输入参数'!$C$27*'01_输入参数'!$C$18)</f>
        <v/>
      </c>
      <c r="H7" s="43">
        <f>IF($G$8=0,"",G7/$G$8)</f>
        <v/>
      </c>
    </row>
    <row r="8">
      <c r="B8" s="44" t="inlineStr">
        <is>
          <t>合计</t>
        </is>
      </c>
      <c r="C8" s="32">
        <f>SUM(C5:C7)</f>
        <v/>
      </c>
      <c r="D8" s="45">
        <f>IF(C8=0,0,SUMPRODUCT(C5:C7,D5:D7)/C8)</f>
        <v/>
      </c>
      <c r="E8" s="35">
        <f>IF(C8=0,0,SUMPRODUCT(C5:C7,E5:E7)/C8)</f>
        <v/>
      </c>
      <c r="F8" s="36" t="n">
        <v>1</v>
      </c>
      <c r="G8" s="32">
        <f>SUM(G5:G7)</f>
        <v/>
      </c>
      <c r="H8" s="36" t="n">
        <v>1</v>
      </c>
    </row>
    <row r="10">
      <c r="B10" s="8" t="inlineStr">
        <is>
          <t>与订单金额校验</t>
        </is>
      </c>
      <c r="C10" s="46">
        <f>IF(ABS(C8-'01_输入参数'!$C$8)&lt;0.01,"一致","不一致：差 "&amp;TEXT(C8-'01_输入参数'!$C$8,"#,##0.00"))</f>
        <v/>
      </c>
      <c r="D10" s="47" t="n"/>
      <c r="E10" s="47" t="n"/>
      <c r="F10" s="37" t="n"/>
    </row>
    <row r="12" ht="22" customHeight="1">
      <c r="A12" s="6" t="inlineStr">
        <is>
          <t>分批 × 汇率变动敏感性（各批次同向等比例平移）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B13" s="28" t="inlineStr">
        <is>
          <t>汇率变动</t>
        </is>
      </c>
      <c r="C13" s="28" t="inlineStr">
        <is>
          <t>分批合计（净）</t>
        </is>
      </c>
      <c r="D13" s="28" t="inlineStr">
        <is>
          <t>一次性全额（净）</t>
        </is>
      </c>
      <c r="E13" s="28" t="inlineStr">
        <is>
          <t>分批−一次性</t>
        </is>
      </c>
      <c r="F13" s="28" t="inlineStr">
        <is>
          <t>较分批基准</t>
        </is>
      </c>
    </row>
    <row r="14">
      <c r="B14" s="29" t="n">
        <v>-0.05</v>
      </c>
      <c r="C14" s="31">
        <f>SUMPRODUCT($C$5:$C$7,$E$5:$E$7)*(1+B14)*(1+'01_输入参数'!$C$27*'01_输入参数'!$C$18)</f>
        <v/>
      </c>
      <c r="D14" s="27">
        <f>'01_输入参数'!$C$8*$E$8*(1+B14)*(1+'01_输入参数'!$C$27*'01_输入参数'!$C$18)</f>
        <v/>
      </c>
      <c r="E14" s="32">
        <f>C14-D14</f>
        <v/>
      </c>
      <c r="F14" s="31">
        <f>C14-$G$8</f>
        <v/>
      </c>
    </row>
    <row r="15">
      <c r="B15" s="29" t="n">
        <v>-0.03</v>
      </c>
      <c r="C15" s="31">
        <f>SUMPRODUCT($C$5:$C$7,$E$5:$E$7)*(1+B15)*(1+'01_输入参数'!$C$27*'01_输入参数'!$C$18)</f>
        <v/>
      </c>
      <c r="D15" s="27">
        <f>'01_输入参数'!$C$8*$E$8*(1+B15)*(1+'01_输入参数'!$C$27*'01_输入参数'!$C$18)</f>
        <v/>
      </c>
      <c r="E15" s="32">
        <f>C15-D15</f>
        <v/>
      </c>
      <c r="F15" s="31">
        <f>C15-$G$8</f>
        <v/>
      </c>
    </row>
    <row r="16">
      <c r="B16" s="29" t="n">
        <v>-0.01</v>
      </c>
      <c r="C16" s="31">
        <f>SUMPRODUCT($C$5:$C$7,$E$5:$E$7)*(1+B16)*(1+'01_输入参数'!$C$27*'01_输入参数'!$C$18)</f>
        <v/>
      </c>
      <c r="D16" s="27">
        <f>'01_输入参数'!$C$8*$E$8*(1+B16)*(1+'01_输入参数'!$C$27*'01_输入参数'!$C$18)</f>
        <v/>
      </c>
      <c r="E16" s="32">
        <f>C16-D16</f>
        <v/>
      </c>
      <c r="F16" s="31">
        <f>C16-$G$8</f>
        <v/>
      </c>
    </row>
    <row r="17">
      <c r="B17" s="29" t="n">
        <v>0</v>
      </c>
      <c r="C17" s="31">
        <f>SUMPRODUCT($C$5:$C$7,$E$5:$E$7)*(1+B17)*(1+'01_输入参数'!$C$27*'01_输入参数'!$C$18)</f>
        <v/>
      </c>
      <c r="D17" s="27">
        <f>'01_输入参数'!$C$8*$E$8*(1+B17)*(1+'01_输入参数'!$C$27*'01_输入参数'!$C$18)</f>
        <v/>
      </c>
      <c r="E17" s="32">
        <f>C17-D17</f>
        <v/>
      </c>
      <c r="F17" s="31">
        <f>C17-$G$8</f>
        <v/>
      </c>
    </row>
    <row r="18">
      <c r="B18" s="29" t="n">
        <v>0.01</v>
      </c>
      <c r="C18" s="31">
        <f>SUMPRODUCT($C$5:$C$7,$E$5:$E$7)*(1+B18)*(1+'01_输入参数'!$C$27*'01_输入参数'!$C$18)</f>
        <v/>
      </c>
      <c r="D18" s="27">
        <f>'01_输入参数'!$C$8*$E$8*(1+B18)*(1+'01_输入参数'!$C$27*'01_输入参数'!$C$18)</f>
        <v/>
      </c>
      <c r="E18" s="32">
        <f>C18-D18</f>
        <v/>
      </c>
      <c r="F18" s="31">
        <f>C18-$G$8</f>
        <v/>
      </c>
    </row>
    <row r="19">
      <c r="B19" s="29" t="n">
        <v>0.03</v>
      </c>
      <c r="C19" s="31">
        <f>SUMPRODUCT($C$5:$C$7,$E$5:$E$7)*(1+B19)*(1+'01_输入参数'!$C$27*'01_输入参数'!$C$18)</f>
        <v/>
      </c>
      <c r="D19" s="27">
        <f>'01_输入参数'!$C$8*$E$8*(1+B19)*(1+'01_输入参数'!$C$27*'01_输入参数'!$C$18)</f>
        <v/>
      </c>
      <c r="E19" s="32">
        <f>C19-D19</f>
        <v/>
      </c>
      <c r="F19" s="31">
        <f>C19-$G$8</f>
        <v/>
      </c>
    </row>
    <row r="20">
      <c r="B20" s="29" t="n">
        <v>0.05</v>
      </c>
      <c r="C20" s="31">
        <f>SUMPRODUCT($C$5:$C$7,$E$5:$E$7)*(1+B20)*(1+'01_输入参数'!$C$27*'01_输入参数'!$C$18)</f>
        <v/>
      </c>
      <c r="D20" s="27">
        <f>'01_输入参数'!$C$8*$E$8*(1+B20)*(1+'01_输入参数'!$C$27*'01_输入参数'!$C$18)</f>
        <v/>
      </c>
      <c r="E20" s="32">
        <f>C20-D20</f>
        <v/>
      </c>
      <c r="F20" s="31">
        <f>C20-$G$8</f>
        <v/>
      </c>
    </row>
    <row r="22">
      <c r="B22" s="13" t="inlineStr">
        <is>
          <t>• 折算人民币（净）= 批次金额 × 假设汇率 ×(1 + 方向符号 × 费用率)。</t>
        </is>
      </c>
    </row>
    <row r="23">
      <c r="B23" s="13" t="inlineStr">
        <is>
          <t>• 一次性全额按第一批次（最早）的假设汇率折算，因此「分批−一次性」只反映各批基准汇率差异（结构效应）。</t>
        </is>
      </c>
    </row>
    <row r="24">
      <c r="B24" s="13" t="inlineStr">
        <is>
          <t>• 敏感性档位对全部批次同向等比例平移；若想模拟「不同批次落在不同汇率」，直接改 E 列各批次汇率。</t>
        </is>
      </c>
    </row>
    <row r="25">
      <c r="B25" s="13" t="inlineStr">
        <is>
          <t>• 分批并不降低期望损失：当方向未知时，它降低的是单点集中度。这里不做任何汇率预测。</t>
        </is>
      </c>
    </row>
  </sheetData>
  <mergeCells count="8">
    <mergeCell ref="A1:J1"/>
    <mergeCell ref="B25:J25"/>
    <mergeCell ref="B22:J22"/>
    <mergeCell ref="B23:J23"/>
    <mergeCell ref="A12:J12"/>
    <mergeCell ref="A2:J2"/>
    <mergeCell ref="C10:F10"/>
    <mergeCell ref="B24:J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06 · 历史汇率原始序列（官方中间价，日频）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13" t="inlineStr">
        <is>
          <t>来源：国家外汇管理局人民币汇率中间价；2023-10-09 ~ 2026-10-19，共 735 个交易日。缺失工作日均为法定节假日，未插值。单位：1 单位外币 = X 人民币（JPY 为 100 JPY）。</t>
        </is>
      </c>
    </row>
    <row r="4" ht="30" customHeight="1">
      <c r="A4" s="28" t="inlineStr">
        <is>
          <t>日期</t>
        </is>
      </c>
      <c r="B4" s="28" t="inlineStr">
        <is>
          <t>USD（美元）</t>
        </is>
      </c>
      <c r="C4" s="28" t="inlineStr">
        <is>
          <t>EUR（欧元）</t>
        </is>
      </c>
      <c r="D4" s="28" t="inlineStr">
        <is>
          <t>JPY（日元）</t>
        </is>
      </c>
      <c r="E4" s="28" t="inlineStr">
        <is>
          <t>HKD（港元）</t>
        </is>
      </c>
      <c r="F4" s="28" t="inlineStr">
        <is>
          <t>GBP（英镑）</t>
        </is>
      </c>
      <c r="G4" s="28" t="inlineStr">
        <is>
          <t>AUD（澳大利亚元）</t>
        </is>
      </c>
      <c r="H4" s="28" t="inlineStr">
        <is>
          <t>NZD（新西兰元）</t>
        </is>
      </c>
      <c r="I4" s="28" t="inlineStr">
        <is>
          <t>SGD（新加坡元）</t>
        </is>
      </c>
      <c r="J4" s="28" t="inlineStr">
        <is>
          <t>CHF（瑞士法郎）</t>
        </is>
      </c>
      <c r="K4" s="28" t="inlineStr">
        <is>
          <t>CAD（加拿大元）</t>
        </is>
      </c>
      <c r="L4" s="28" t="inlineStr">
        <is>
          <t>MOP（澳门元）</t>
        </is>
      </c>
      <c r="M4" s="28" t="inlineStr">
        <is>
          <t>MYR（林吉特）</t>
        </is>
      </c>
      <c r="N4" s="28" t="inlineStr">
        <is>
          <t>RUB（卢布）</t>
        </is>
      </c>
      <c r="O4" s="28" t="inlineStr">
        <is>
          <t>ZAR（南非兰特）</t>
        </is>
      </c>
      <c r="Q4" s="48" t="inlineStr">
        <is>
          <t>其余币种（同一天）</t>
        </is>
      </c>
      <c r="R4" s="28" t="inlineStr">
        <is>
          <t>KRW（韩元）</t>
        </is>
      </c>
      <c r="S4" s="28" t="inlineStr">
        <is>
          <t>AED（阿联酋迪拉姆）</t>
        </is>
      </c>
      <c r="T4" s="28" t="inlineStr">
        <is>
          <t>SAR（沙特里亚尔）</t>
        </is>
      </c>
      <c r="U4" s="28" t="inlineStr">
        <is>
          <t>HUF（匈牙利福林）</t>
        </is>
      </c>
      <c r="V4" s="28" t="inlineStr">
        <is>
          <t>PLN（波兰兹罗提）</t>
        </is>
      </c>
      <c r="W4" s="28" t="inlineStr">
        <is>
          <t>DKK（丹麦克朗）</t>
        </is>
      </c>
      <c r="X4" s="28" t="inlineStr">
        <is>
          <t>SEK（瑞典克朗）</t>
        </is>
      </c>
      <c r="Y4" s="28" t="inlineStr">
        <is>
          <t>NOK（挪威克朗）</t>
        </is>
      </c>
      <c r="Z4" s="28" t="inlineStr">
        <is>
          <t>TRY（土耳其里拉）</t>
        </is>
      </c>
      <c r="AA4" s="28" t="inlineStr">
        <is>
          <t>MXN（墨西哥比索）</t>
        </is>
      </c>
      <c r="AB4" s="28" t="inlineStr">
        <is>
          <t>THB（泰国铢）</t>
        </is>
      </c>
    </row>
    <row r="5">
      <c r="A5" s="49" t="n">
        <v>45208</v>
      </c>
      <c r="B5" s="50" t="n">
        <v>7.1789</v>
      </c>
      <c r="C5" s="50" t="n">
        <v>7.6229</v>
      </c>
      <c r="D5" s="50" t="n">
        <v>0.048515</v>
      </c>
      <c r="E5" s="50" t="n">
        <v>0.91654</v>
      </c>
      <c r="F5" s="50" t="n">
        <v>8.815899999999999</v>
      </c>
      <c r="G5" s="50" t="n">
        <v>4.601</v>
      </c>
      <c r="H5" s="50" t="n">
        <v>4.3255</v>
      </c>
      <c r="I5" s="50" t="n">
        <v>5.2765</v>
      </c>
      <c r="J5" s="50" t="n">
        <v>7.9382</v>
      </c>
      <c r="K5" s="50" t="n">
        <v>5.2857</v>
      </c>
      <c r="M5" s="50" t="n">
        <v>0.65667</v>
      </c>
      <c r="N5" s="50" t="n">
        <v>13.9007</v>
      </c>
      <c r="O5" s="50" t="n">
        <v>2.6935</v>
      </c>
      <c r="R5" s="50" t="n">
        <v>185.74</v>
      </c>
      <c r="S5" s="50" t="n">
        <v>0.50996</v>
      </c>
      <c r="T5" s="50" t="n">
        <v>0.5208</v>
      </c>
      <c r="U5" s="50" t="n">
        <v>50.9763</v>
      </c>
      <c r="V5" s="50" t="n">
        <v>0.60351</v>
      </c>
      <c r="W5" s="50" t="n">
        <v>0.9809</v>
      </c>
      <c r="X5" s="50" t="n">
        <v>1.5221</v>
      </c>
      <c r="Y5" s="50" t="n">
        <v>1.5098</v>
      </c>
      <c r="Z5" s="50" t="n">
        <v>3.83724</v>
      </c>
      <c r="AA5" s="50" t="n">
        <v>2.5406</v>
      </c>
      <c r="AB5" s="50" t="n">
        <v>5.1033</v>
      </c>
    </row>
    <row r="6">
      <c r="A6" s="49" t="n">
        <v>45209</v>
      </c>
      <c r="B6" s="50" t="n">
        <v>7.1781</v>
      </c>
      <c r="C6" s="50" t="n">
        <v>7.6171</v>
      </c>
      <c r="D6" s="50" t="n">
        <v>0.048673</v>
      </c>
      <c r="E6" s="50" t="n">
        <v>0.91679</v>
      </c>
      <c r="F6" s="50" t="n">
        <v>8.8208</v>
      </c>
      <c r="G6" s="50" t="n">
        <v>4.6284</v>
      </c>
      <c r="H6" s="50" t="n">
        <v>4.3567</v>
      </c>
      <c r="I6" s="50" t="n">
        <v>5.2764</v>
      </c>
      <c r="J6" s="50" t="n">
        <v>7.9483</v>
      </c>
      <c r="K6" s="50" t="n">
        <v>5.3077</v>
      </c>
      <c r="M6" s="50" t="n">
        <v>0.65835</v>
      </c>
      <c r="N6" s="50" t="n">
        <v>13.6774</v>
      </c>
      <c r="O6" s="50" t="n">
        <v>2.69</v>
      </c>
      <c r="R6" s="50" t="n">
        <v>186.39</v>
      </c>
      <c r="S6" s="50" t="n">
        <v>0.51083</v>
      </c>
      <c r="T6" s="50" t="n">
        <v>0.52168</v>
      </c>
      <c r="U6" s="50" t="n">
        <v>51.2246</v>
      </c>
      <c r="V6" s="50" t="n">
        <v>0.60171</v>
      </c>
      <c r="W6" s="50" t="n">
        <v>0.981</v>
      </c>
      <c r="X6" s="50" t="n">
        <v>1.5204</v>
      </c>
      <c r="Y6" s="50" t="n">
        <v>1.496</v>
      </c>
      <c r="Z6" s="50" t="n">
        <v>3.85418</v>
      </c>
      <c r="AA6" s="50" t="n">
        <v>2.5397</v>
      </c>
      <c r="AB6" s="50" t="n">
        <v>5.1135</v>
      </c>
    </row>
    <row r="7">
      <c r="A7" s="49" t="n">
        <v>45210</v>
      </c>
      <c r="B7" s="50" t="n">
        <v>7.1779</v>
      </c>
      <c r="C7" s="50" t="n">
        <v>7.6443</v>
      </c>
      <c r="D7" s="50" t="n">
        <v>0.048583</v>
      </c>
      <c r="E7" s="50" t="n">
        <v>0.91798</v>
      </c>
      <c r="F7" s="50" t="n">
        <v>8.8582</v>
      </c>
      <c r="G7" s="50" t="n">
        <v>4.6437</v>
      </c>
      <c r="H7" s="50" t="n">
        <v>4.3719</v>
      </c>
      <c r="I7" s="50" t="n">
        <v>5.2847</v>
      </c>
      <c r="J7" s="50" t="n">
        <v>7.9679</v>
      </c>
      <c r="K7" s="50" t="n">
        <v>5.311</v>
      </c>
      <c r="M7" s="50" t="n">
        <v>0.65892</v>
      </c>
      <c r="N7" s="50" t="n">
        <v>13.7879</v>
      </c>
      <c r="O7" s="50" t="n">
        <v>2.6419</v>
      </c>
      <c r="R7" s="50" t="n">
        <v>185.71</v>
      </c>
      <c r="S7" s="50" t="n">
        <v>0.51084</v>
      </c>
      <c r="T7" s="50" t="n">
        <v>0.52168</v>
      </c>
      <c r="U7" s="50" t="n">
        <v>50.9471</v>
      </c>
      <c r="V7" s="50" t="n">
        <v>0.59666</v>
      </c>
      <c r="W7" s="50" t="n">
        <v>0.9781</v>
      </c>
      <c r="X7" s="50" t="n">
        <v>1.5082</v>
      </c>
      <c r="Y7" s="50" t="n">
        <v>1.4994</v>
      </c>
      <c r="Z7" s="50" t="n">
        <v>3.85546</v>
      </c>
      <c r="AA7" s="50" t="n">
        <v>2.5023</v>
      </c>
      <c r="AB7" s="50" t="n">
        <v>5.0632</v>
      </c>
    </row>
    <row r="8">
      <c r="A8" s="49" t="n">
        <v>45211</v>
      </c>
      <c r="B8" s="50" t="n">
        <v>7.1776</v>
      </c>
      <c r="C8" s="50" t="n">
        <v>7.6561</v>
      </c>
      <c r="D8" s="50" t="n">
        <v>0.048449</v>
      </c>
      <c r="E8" s="50" t="n">
        <v>0.91758</v>
      </c>
      <c r="F8" s="50" t="n">
        <v>8.870100000000001</v>
      </c>
      <c r="G8" s="50" t="n">
        <v>4.6327</v>
      </c>
      <c r="H8" s="50" t="n">
        <v>4.3541</v>
      </c>
      <c r="I8" s="50" t="n">
        <v>5.2842</v>
      </c>
      <c r="J8" s="50" t="n">
        <v>7.9973</v>
      </c>
      <c r="K8" s="50" t="n">
        <v>5.3075</v>
      </c>
      <c r="M8" s="50" t="n">
        <v>0.65759</v>
      </c>
      <c r="N8" s="50" t="n">
        <v>13.7606</v>
      </c>
      <c r="O8" s="50" t="n">
        <v>2.6164</v>
      </c>
      <c r="R8" s="50" t="n">
        <v>185.05</v>
      </c>
      <c r="S8" s="50" t="n">
        <v>0.51069</v>
      </c>
      <c r="T8" s="50" t="n">
        <v>0.52156</v>
      </c>
      <c r="U8" s="50" t="n">
        <v>50.7116</v>
      </c>
      <c r="V8" s="50" t="n">
        <v>0.5938099999999999</v>
      </c>
      <c r="W8" s="50" t="n">
        <v>0.9771</v>
      </c>
      <c r="X8" s="50" t="n">
        <v>1.5128</v>
      </c>
      <c r="Y8" s="50" t="n">
        <v>1.5058</v>
      </c>
      <c r="Z8" s="50" t="n">
        <v>3.85035</v>
      </c>
      <c r="AA8" s="50" t="n">
        <v>2.488</v>
      </c>
      <c r="AB8" s="50" t="n">
        <v>5.0341</v>
      </c>
    </row>
    <row r="9">
      <c r="A9" s="49" t="n">
        <v>45212</v>
      </c>
      <c r="B9" s="50" t="n">
        <v>7.1775</v>
      </c>
      <c r="C9" s="50" t="n">
        <v>7.6045</v>
      </c>
      <c r="D9" s="50" t="n">
        <v>0.048258</v>
      </c>
      <c r="E9" s="50" t="n">
        <v>0.91747</v>
      </c>
      <c r="F9" s="50" t="n">
        <v>8.798999999999999</v>
      </c>
      <c r="G9" s="50" t="n">
        <v>4.5694</v>
      </c>
      <c r="H9" s="50" t="n">
        <v>4.2941</v>
      </c>
      <c r="I9" s="50" t="n">
        <v>5.2682</v>
      </c>
      <c r="J9" s="50" t="n">
        <v>7.9575</v>
      </c>
      <c r="K9" s="50" t="n">
        <v>5.2809</v>
      </c>
      <c r="M9" s="50" t="n">
        <v>0.65798</v>
      </c>
      <c r="N9" s="50" t="n">
        <v>13.4998</v>
      </c>
      <c r="O9" s="50" t="n">
        <v>2.6409</v>
      </c>
      <c r="R9" s="50" t="n">
        <v>185.52</v>
      </c>
      <c r="S9" s="50" t="n">
        <v>0.50969</v>
      </c>
      <c r="T9" s="50" t="n">
        <v>0.52042</v>
      </c>
      <c r="U9" s="50" t="n">
        <v>51.1667</v>
      </c>
      <c r="V9" s="50" t="n">
        <v>0.59978</v>
      </c>
      <c r="W9" s="50" t="n">
        <v>0.9841</v>
      </c>
      <c r="X9" s="50" t="n">
        <v>1.5216</v>
      </c>
      <c r="Y9" s="50" t="n">
        <v>1.5204</v>
      </c>
      <c r="Z9" s="50" t="n">
        <v>3.85538</v>
      </c>
      <c r="AA9" s="50" t="n">
        <v>2.5031</v>
      </c>
      <c r="AB9" s="50" t="n">
        <v>5.013</v>
      </c>
    </row>
    <row r="10">
      <c r="A10" s="49" t="n">
        <v>45215</v>
      </c>
      <c r="B10" s="50" t="n">
        <v>7.1798</v>
      </c>
      <c r="C10" s="50" t="n">
        <v>7.592</v>
      </c>
      <c r="D10" s="50" t="n">
        <v>0.04832</v>
      </c>
      <c r="E10" s="50" t="n">
        <v>0.9177</v>
      </c>
      <c r="F10" s="50" t="n">
        <v>8.772</v>
      </c>
      <c r="G10" s="50" t="n">
        <v>4.56</v>
      </c>
      <c r="H10" s="50" t="n">
        <v>4.2753</v>
      </c>
      <c r="I10" s="50" t="n">
        <v>5.265</v>
      </c>
      <c r="J10" s="50" t="n">
        <v>7.9927</v>
      </c>
      <c r="K10" s="50" t="n">
        <v>5.2917</v>
      </c>
      <c r="M10" s="50" t="n">
        <v>0.65906</v>
      </c>
      <c r="N10" s="50" t="n">
        <v>13.4832</v>
      </c>
      <c r="O10" s="50" t="n">
        <v>2.6354</v>
      </c>
      <c r="R10" s="50" t="n">
        <v>186.45</v>
      </c>
      <c r="S10" s="50" t="n">
        <v>0.50993</v>
      </c>
      <c r="T10" s="50" t="n">
        <v>0.52073</v>
      </c>
      <c r="U10" s="50" t="n">
        <v>51.3833</v>
      </c>
      <c r="V10" s="50" t="n">
        <v>0.59095</v>
      </c>
      <c r="W10" s="50" t="n">
        <v>0.9859</v>
      </c>
      <c r="X10" s="50" t="n">
        <v>1.526</v>
      </c>
      <c r="Y10" s="50" t="n">
        <v>1.5155</v>
      </c>
      <c r="Z10" s="50" t="n">
        <v>3.84276</v>
      </c>
      <c r="AA10" s="50" t="n">
        <v>2.5133</v>
      </c>
      <c r="AB10" s="50" t="n">
        <v>4.9982</v>
      </c>
    </row>
    <row r="11">
      <c r="A11" s="49" t="n">
        <v>45216</v>
      </c>
      <c r="B11" s="50" t="n">
        <v>7.1796</v>
      </c>
      <c r="C11" s="50" t="n">
        <v>7.5944</v>
      </c>
      <c r="D11" s="50" t="n">
        <v>0.048314</v>
      </c>
      <c r="E11" s="50" t="n">
        <v>0.91851</v>
      </c>
      <c r="F11" s="50" t="n">
        <v>8.804600000000001</v>
      </c>
      <c r="G11" s="50" t="n">
        <v>4.5687</v>
      </c>
      <c r="H11" s="50" t="n">
        <v>4.2585</v>
      </c>
      <c r="I11" s="50" t="n">
        <v>5.2652</v>
      </c>
      <c r="J11" s="50" t="n">
        <v>8.008800000000001</v>
      </c>
      <c r="K11" s="50" t="n">
        <v>5.3016</v>
      </c>
      <c r="M11" s="50" t="n">
        <v>0.65852</v>
      </c>
      <c r="N11" s="50" t="n">
        <v>13.4497</v>
      </c>
      <c r="O11" s="50" t="n">
        <v>2.609</v>
      </c>
      <c r="R11" s="50" t="n">
        <v>186.24</v>
      </c>
      <c r="S11" s="50" t="n">
        <v>0.51036</v>
      </c>
      <c r="T11" s="50" t="n">
        <v>0.52122</v>
      </c>
      <c r="U11" s="50" t="n">
        <v>51.0065</v>
      </c>
      <c r="V11" s="50" t="n">
        <v>0.58763</v>
      </c>
      <c r="W11" s="50" t="n">
        <v>0.9844000000000001</v>
      </c>
      <c r="X11" s="50" t="n">
        <v>1.5175</v>
      </c>
      <c r="Y11" s="50" t="n">
        <v>1.5207</v>
      </c>
      <c r="Z11" s="50" t="n">
        <v>3.87008</v>
      </c>
      <c r="AA11" s="50" t="n">
        <v>2.4973</v>
      </c>
      <c r="AB11" s="50" t="n">
        <v>5.0128</v>
      </c>
    </row>
    <row r="12">
      <c r="A12" s="49" t="n">
        <v>45217</v>
      </c>
      <c r="B12" s="50" t="n">
        <v>7.1795</v>
      </c>
      <c r="C12" s="50" t="n">
        <v>7.6259</v>
      </c>
      <c r="D12" s="50" t="n">
        <v>0.048287</v>
      </c>
      <c r="E12" s="50" t="n">
        <v>0.91764</v>
      </c>
      <c r="F12" s="50" t="n">
        <v>8.786300000000001</v>
      </c>
      <c r="G12" s="50" t="n">
        <v>4.5983</v>
      </c>
      <c r="H12" s="50" t="n">
        <v>4.269</v>
      </c>
      <c r="I12" s="50" t="n">
        <v>5.2667</v>
      </c>
      <c r="J12" s="50" t="n">
        <v>8.0153</v>
      </c>
      <c r="K12" s="50" t="n">
        <v>5.2909</v>
      </c>
      <c r="M12" s="50" t="n">
        <v>0.65961</v>
      </c>
      <c r="N12" s="50" t="n">
        <v>13.4871</v>
      </c>
      <c r="O12" s="50" t="n">
        <v>2.6124</v>
      </c>
      <c r="R12" s="50" t="n">
        <v>186.44</v>
      </c>
      <c r="S12" s="50" t="n">
        <v>0.51002</v>
      </c>
      <c r="T12" s="50" t="n">
        <v>0.5208700000000001</v>
      </c>
      <c r="U12" s="50" t="n">
        <v>50.6576</v>
      </c>
      <c r="V12" s="50" t="n">
        <v>0.58261</v>
      </c>
      <c r="W12" s="50" t="n">
        <v>0.9815</v>
      </c>
      <c r="X12" s="50" t="n">
        <v>1.5129</v>
      </c>
      <c r="Y12" s="50" t="n">
        <v>1.5195</v>
      </c>
      <c r="Z12" s="50" t="n">
        <v>3.88142</v>
      </c>
      <c r="AA12" s="50" t="n">
        <v>2.5111</v>
      </c>
      <c r="AB12" s="50" t="n">
        <v>5.0206</v>
      </c>
    </row>
    <row r="13">
      <c r="A13" s="49" t="n">
        <v>45218</v>
      </c>
      <c r="B13" s="50" t="n">
        <v>7.1795</v>
      </c>
      <c r="C13" s="50" t="n">
        <v>7.6082</v>
      </c>
      <c r="D13" s="50" t="n">
        <v>0.048278</v>
      </c>
      <c r="E13" s="50" t="n">
        <v>0.91721</v>
      </c>
      <c r="F13" s="50" t="n">
        <v>8.7713</v>
      </c>
      <c r="G13" s="50" t="n">
        <v>4.577</v>
      </c>
      <c r="H13" s="50" t="n">
        <v>4.2413</v>
      </c>
      <c r="I13" s="50" t="n">
        <v>5.2546</v>
      </c>
      <c r="J13" s="50" t="n">
        <v>8.0327</v>
      </c>
      <c r="K13" s="50" t="n">
        <v>5.2732</v>
      </c>
      <c r="M13" s="50" t="n">
        <v>0.66088</v>
      </c>
      <c r="N13" s="50" t="n">
        <v>13.4935</v>
      </c>
      <c r="O13" s="50" t="n">
        <v>2.6352</v>
      </c>
      <c r="R13" s="50" t="n">
        <v>186.51</v>
      </c>
      <c r="S13" s="50" t="n">
        <v>0.50966</v>
      </c>
      <c r="T13" s="50" t="n">
        <v>0.52051</v>
      </c>
      <c r="U13" s="50" t="n">
        <v>50.7627</v>
      </c>
      <c r="V13" s="50" t="n">
        <v>0.58863</v>
      </c>
      <c r="W13" s="50" t="n">
        <v>0.9844000000000001</v>
      </c>
      <c r="X13" s="50" t="n">
        <v>1.5265</v>
      </c>
      <c r="Y13" s="50" t="n">
        <v>1.5331</v>
      </c>
      <c r="Z13" s="50" t="n">
        <v>3.88821</v>
      </c>
      <c r="AA13" s="50" t="n">
        <v>2.5431</v>
      </c>
      <c r="AB13" s="50" t="n">
        <v>5.0182</v>
      </c>
    </row>
    <row r="14">
      <c r="A14" s="49" t="n">
        <v>45219</v>
      </c>
      <c r="B14" s="50" t="n">
        <v>7.1793</v>
      </c>
      <c r="C14" s="50" t="n">
        <v>7.6275</v>
      </c>
      <c r="D14" s="50" t="n">
        <v>0.048232</v>
      </c>
      <c r="E14" s="50" t="n">
        <v>0.91786</v>
      </c>
      <c r="F14" s="50" t="n">
        <v>8.750999999999999</v>
      </c>
      <c r="G14" s="50" t="n">
        <v>4.5634</v>
      </c>
      <c r="H14" s="50" t="n">
        <v>4.2246</v>
      </c>
      <c r="I14" s="50" t="n">
        <v>5.2462</v>
      </c>
      <c r="J14" s="50" t="n">
        <v>8.083500000000001</v>
      </c>
      <c r="K14" s="50" t="n">
        <v>5.2615</v>
      </c>
      <c r="M14" s="50" t="n">
        <v>0.66503</v>
      </c>
      <c r="N14" s="50" t="n">
        <v>13.3228</v>
      </c>
      <c r="O14" s="50" t="n">
        <v>2.6429</v>
      </c>
      <c r="R14" s="50" t="n">
        <v>187.05</v>
      </c>
      <c r="S14" s="50" t="n">
        <v>0.51033</v>
      </c>
      <c r="T14" s="50" t="n">
        <v>0.52116</v>
      </c>
      <c r="U14" s="50" t="n">
        <v>50.425</v>
      </c>
      <c r="V14" s="50" t="n">
        <v>0.58622</v>
      </c>
      <c r="W14" s="50" t="n">
        <v>0.9818</v>
      </c>
      <c r="X14" s="50" t="n">
        <v>1.52</v>
      </c>
      <c r="Y14" s="50" t="n">
        <v>1.5273</v>
      </c>
      <c r="Z14" s="50" t="n">
        <v>3.89317</v>
      </c>
      <c r="AA14" s="50" t="n">
        <v>2.5552</v>
      </c>
      <c r="AB14" s="50" t="n">
        <v>5.0332</v>
      </c>
    </row>
    <row r="15">
      <c r="A15" s="49" t="n">
        <v>45222</v>
      </c>
      <c r="B15" s="50" t="n">
        <v>7.1792</v>
      </c>
      <c r="C15" s="50" t="n">
        <v>7.6378</v>
      </c>
      <c r="D15" s="50" t="n">
        <v>0.048234</v>
      </c>
      <c r="E15" s="50" t="n">
        <v>0.91739</v>
      </c>
      <c r="F15" s="50" t="n">
        <v>8.769600000000001</v>
      </c>
      <c r="G15" s="50" t="n">
        <v>4.5647</v>
      </c>
      <c r="H15" s="50" t="n">
        <v>4.2208</v>
      </c>
      <c r="I15" s="50" t="n">
        <v>5.2649</v>
      </c>
      <c r="J15" s="50" t="n">
        <v>8.079800000000001</v>
      </c>
      <c r="K15" s="50" t="n">
        <v>5.2696</v>
      </c>
      <c r="M15" s="50" t="n">
        <v>0.66105</v>
      </c>
      <c r="N15" s="50" t="n">
        <v>13.226</v>
      </c>
      <c r="O15" s="50" t="n">
        <v>2.6386</v>
      </c>
      <c r="R15" s="50" t="n">
        <v>186.44</v>
      </c>
      <c r="S15" s="50" t="n">
        <v>0.51024</v>
      </c>
      <c r="T15" s="50" t="n">
        <v>0.52102</v>
      </c>
      <c r="U15" s="50" t="n">
        <v>50.2829</v>
      </c>
      <c r="V15" s="50" t="n">
        <v>0.58625</v>
      </c>
      <c r="W15" s="50" t="n">
        <v>0.9804</v>
      </c>
      <c r="X15" s="50" t="n">
        <v>1.5221</v>
      </c>
      <c r="Y15" s="50" t="n">
        <v>1.5345</v>
      </c>
      <c r="Z15" s="50" t="n">
        <v>3.89133</v>
      </c>
      <c r="AA15" s="50" t="n">
        <v>2.5396</v>
      </c>
      <c r="AB15" s="50" t="n">
        <v>5.0421</v>
      </c>
    </row>
    <row r="16">
      <c r="A16" s="49" t="n">
        <v>45223</v>
      </c>
      <c r="B16" s="50" t="n">
        <v>7.1786</v>
      </c>
      <c r="C16" s="50" t="n">
        <v>7.6899</v>
      </c>
      <c r="D16" s="50" t="n">
        <v>0.048265</v>
      </c>
      <c r="E16" s="50" t="n">
        <v>0.91739</v>
      </c>
      <c r="F16" s="50" t="n">
        <v>8.8271</v>
      </c>
      <c r="G16" s="50" t="n">
        <v>4.5734</v>
      </c>
      <c r="H16" s="50" t="n">
        <v>4.2326</v>
      </c>
      <c r="I16" s="50" t="n">
        <v>5.269</v>
      </c>
      <c r="J16" s="50" t="n">
        <v>8.077500000000001</v>
      </c>
      <c r="K16" s="50" t="n">
        <v>5.2709</v>
      </c>
      <c r="M16" s="50" t="n">
        <v>0.66736</v>
      </c>
      <c r="N16" s="50" t="n">
        <v>13.0848</v>
      </c>
      <c r="O16" s="50" t="n">
        <v>2.6358</v>
      </c>
      <c r="R16" s="50" t="n">
        <v>185.98</v>
      </c>
      <c r="S16" s="50" t="n">
        <v>0.51063</v>
      </c>
      <c r="T16" s="50" t="n">
        <v>0.52155</v>
      </c>
      <c r="U16" s="50" t="n">
        <v>49.879</v>
      </c>
      <c r="V16" s="50" t="n">
        <v>0.5829800000000001</v>
      </c>
      <c r="W16" s="50" t="n">
        <v>0.9739</v>
      </c>
      <c r="X16" s="50" t="n">
        <v>1.522</v>
      </c>
      <c r="Y16" s="50" t="n">
        <v>1.5377</v>
      </c>
      <c r="Z16" s="50" t="n">
        <v>3.90243</v>
      </c>
      <c r="AA16" s="50" t="n">
        <v>2.5303</v>
      </c>
      <c r="AB16" s="50" t="n">
        <v>5.0217</v>
      </c>
    </row>
    <row r="17">
      <c r="A17" s="49" t="n">
        <v>45224</v>
      </c>
      <c r="B17" s="50" t="n">
        <v>7.1785</v>
      </c>
      <c r="C17" s="50" t="n">
        <v>7.6449</v>
      </c>
      <c r="D17" s="50" t="n">
        <v>0.048268</v>
      </c>
      <c r="E17" s="50" t="n">
        <v>0.91757</v>
      </c>
      <c r="F17" s="50" t="n">
        <v>8.7812</v>
      </c>
      <c r="G17" s="50" t="n">
        <v>4.5985</v>
      </c>
      <c r="H17" s="50" t="n">
        <v>4.2368</v>
      </c>
      <c r="I17" s="50" t="n">
        <v>5.2692</v>
      </c>
      <c r="J17" s="50" t="n">
        <v>8.073</v>
      </c>
      <c r="K17" s="50" t="n">
        <v>5.2572</v>
      </c>
      <c r="M17" s="50" t="n">
        <v>0.66686</v>
      </c>
      <c r="N17" s="50" t="n">
        <v>12.9369</v>
      </c>
      <c r="O17" s="50" t="n">
        <v>2.6428</v>
      </c>
      <c r="R17" s="50" t="n">
        <v>185.61</v>
      </c>
      <c r="S17" s="50" t="n">
        <v>0.5099</v>
      </c>
      <c r="T17" s="50" t="n">
        <v>0.52081</v>
      </c>
      <c r="U17" s="50" t="n">
        <v>50.3837</v>
      </c>
      <c r="V17" s="50" t="n">
        <v>0.58697</v>
      </c>
      <c r="W17" s="50" t="n">
        <v>0.9802</v>
      </c>
      <c r="X17" s="50" t="n">
        <v>1.5413</v>
      </c>
      <c r="Y17" s="50" t="n">
        <v>1.5481</v>
      </c>
      <c r="Z17" s="50" t="n">
        <v>3.90319</v>
      </c>
      <c r="AA17" s="50" t="n">
        <v>2.5451</v>
      </c>
      <c r="AB17" s="50" t="n">
        <v>4.9912</v>
      </c>
    </row>
    <row r="18">
      <c r="A18" s="49" t="n">
        <v>45225</v>
      </c>
      <c r="B18" s="50" t="n">
        <v>7.1784</v>
      </c>
      <c r="C18" s="50" t="n">
        <v>7.6272</v>
      </c>
      <c r="D18" s="50" t="n">
        <v>0.048212</v>
      </c>
      <c r="E18" s="50" t="n">
        <v>0.9176</v>
      </c>
      <c r="F18" s="50" t="n">
        <v>8.74</v>
      </c>
      <c r="G18" s="50" t="n">
        <v>4.5529</v>
      </c>
      <c r="H18" s="50" t="n">
        <v>4.1983</v>
      </c>
      <c r="I18" s="50" t="n">
        <v>5.2559</v>
      </c>
      <c r="J18" s="50" t="n">
        <v>8.041</v>
      </c>
      <c r="K18" s="50" t="n">
        <v>5.2378</v>
      </c>
      <c r="M18" s="50" t="n">
        <v>0.66549</v>
      </c>
      <c r="N18" s="50" t="n">
        <v>12.8699</v>
      </c>
      <c r="O18" s="50" t="n">
        <v>2.655</v>
      </c>
      <c r="R18" s="50" t="n">
        <v>186.28</v>
      </c>
      <c r="S18" s="50" t="n">
        <v>0.50946</v>
      </c>
      <c r="T18" s="50" t="n">
        <v>0.52033</v>
      </c>
      <c r="U18" s="50" t="n">
        <v>50.7187</v>
      </c>
      <c r="V18" s="50" t="n">
        <v>0.58987</v>
      </c>
      <c r="W18" s="50" t="n">
        <v>0.9821</v>
      </c>
      <c r="X18" s="50" t="n">
        <v>1.5437</v>
      </c>
      <c r="Y18" s="50" t="n">
        <v>1.5534</v>
      </c>
      <c r="Z18" s="50" t="n">
        <v>3.91637</v>
      </c>
      <c r="AA18" s="50" t="n">
        <v>2.5555</v>
      </c>
      <c r="AB18" s="50" t="n">
        <v>4.9965</v>
      </c>
    </row>
    <row r="19">
      <c r="A19" s="49" t="n">
        <v>45226</v>
      </c>
      <c r="B19" s="50" t="n">
        <v>7.1782</v>
      </c>
      <c r="C19" s="50" t="n">
        <v>7.618</v>
      </c>
      <c r="D19" s="50" t="n">
        <v>0.048094</v>
      </c>
      <c r="E19" s="50" t="n">
        <v>0.91782</v>
      </c>
      <c r="F19" s="50" t="n">
        <v>8.7536</v>
      </c>
      <c r="G19" s="50" t="n">
        <v>4.5746</v>
      </c>
      <c r="H19" s="50" t="n">
        <v>4.2186</v>
      </c>
      <c r="I19" s="50" t="n">
        <v>5.2642</v>
      </c>
      <c r="J19" s="50" t="n">
        <v>8.0116</v>
      </c>
      <c r="K19" s="50" t="n">
        <v>5.2248</v>
      </c>
      <c r="M19" s="50" t="n">
        <v>0.6666800000000001</v>
      </c>
      <c r="N19" s="50" t="n">
        <v>12.9026</v>
      </c>
      <c r="O19" s="50" t="n">
        <v>2.6313</v>
      </c>
      <c r="R19" s="50" t="n">
        <v>186.95</v>
      </c>
      <c r="S19" s="50" t="n">
        <v>0.51018</v>
      </c>
      <c r="T19" s="50" t="n">
        <v>0.52111</v>
      </c>
      <c r="U19" s="50" t="n">
        <v>50.532</v>
      </c>
      <c r="V19" s="50" t="n">
        <v>0.58763</v>
      </c>
      <c r="W19" s="50" t="n">
        <v>0.9831</v>
      </c>
      <c r="X19" s="50" t="n">
        <v>1.5462</v>
      </c>
      <c r="Y19" s="50" t="n">
        <v>1.5529</v>
      </c>
      <c r="Z19" s="50" t="n">
        <v>3.90995</v>
      </c>
      <c r="AA19" s="50" t="n">
        <v>2.5302</v>
      </c>
      <c r="AB19" s="50" t="n">
        <v>5.0113</v>
      </c>
    </row>
    <row r="20">
      <c r="A20" s="49" t="n">
        <v>45229</v>
      </c>
      <c r="B20" s="50" t="n">
        <v>7.1781</v>
      </c>
      <c r="C20" s="50" t="n">
        <v>7.6198</v>
      </c>
      <c r="D20" s="50" t="n">
        <v>0.048301</v>
      </c>
      <c r="E20" s="50" t="n">
        <v>0.91769</v>
      </c>
      <c r="F20" s="50" t="n">
        <v>8.74</v>
      </c>
      <c r="G20" s="50" t="n">
        <v>4.5804</v>
      </c>
      <c r="H20" s="50" t="n">
        <v>4.209</v>
      </c>
      <c r="I20" s="50" t="n">
        <v>5.2594</v>
      </c>
      <c r="J20" s="50" t="n">
        <v>7.9843</v>
      </c>
      <c r="K20" s="50" t="n">
        <v>5.208</v>
      </c>
      <c r="M20" s="50" t="n">
        <v>0.66567</v>
      </c>
      <c r="N20" s="50" t="n">
        <v>13.0026</v>
      </c>
      <c r="O20" s="50" t="n">
        <v>2.6141</v>
      </c>
      <c r="R20" s="50" t="n">
        <v>187.4</v>
      </c>
      <c r="S20" s="50" t="n">
        <v>0.5099900000000001</v>
      </c>
      <c r="T20" s="50" t="n">
        <v>0.5208199999999999</v>
      </c>
      <c r="U20" s="50" t="n">
        <v>50.6147</v>
      </c>
      <c r="V20" s="50" t="n">
        <v>0.5886</v>
      </c>
      <c r="W20" s="50" t="n">
        <v>0.9831</v>
      </c>
      <c r="X20" s="50" t="n">
        <v>1.5453</v>
      </c>
      <c r="Y20" s="50" t="n">
        <v>1.5509</v>
      </c>
      <c r="Z20" s="50" t="n">
        <v>3.91304</v>
      </c>
      <c r="AA20" s="50" t="n">
        <v>2.5233</v>
      </c>
      <c r="AB20" s="50" t="n">
        <v>5.0007</v>
      </c>
    </row>
    <row r="21">
      <c r="A21" s="49" t="n">
        <v>45230</v>
      </c>
      <c r="B21" s="50" t="n">
        <v>7.1779</v>
      </c>
      <c r="C21" s="50" t="n">
        <v>7.648</v>
      </c>
      <c r="D21" s="50" t="n">
        <v>0.048433</v>
      </c>
      <c r="E21" s="50" t="n">
        <v>0.91783</v>
      </c>
      <c r="F21" s="50" t="n">
        <v>8.7639</v>
      </c>
      <c r="G21" s="50" t="n">
        <v>4.5963</v>
      </c>
      <c r="H21" s="50" t="n">
        <v>4.2248</v>
      </c>
      <c r="I21" s="50" t="n">
        <v>5.2744</v>
      </c>
      <c r="J21" s="50" t="n">
        <v>7.9748</v>
      </c>
      <c r="K21" s="50" t="n">
        <v>5.2171</v>
      </c>
      <c r="M21" s="50" t="n">
        <v>0.6637</v>
      </c>
      <c r="N21" s="50" t="n">
        <v>12.8223</v>
      </c>
      <c r="O21" s="50" t="n">
        <v>2.6207</v>
      </c>
      <c r="R21" s="50" t="n">
        <v>186.26</v>
      </c>
      <c r="S21" s="50" t="n">
        <v>0.51083</v>
      </c>
      <c r="T21" s="50" t="n">
        <v>0.52181</v>
      </c>
      <c r="U21" s="50" t="n">
        <v>50.3298</v>
      </c>
      <c r="V21" s="50" t="n">
        <v>0.58466</v>
      </c>
      <c r="W21" s="50" t="n">
        <v>0.9796</v>
      </c>
      <c r="X21" s="50" t="n">
        <v>1.5462</v>
      </c>
      <c r="Y21" s="50" t="n">
        <v>1.5474</v>
      </c>
      <c r="Z21" s="50" t="n">
        <v>3.92877</v>
      </c>
      <c r="AA21" s="50" t="n">
        <v>2.5196</v>
      </c>
      <c r="AB21" s="50" t="n">
        <v>4.9647</v>
      </c>
    </row>
    <row r="22">
      <c r="A22" s="49" t="n">
        <v>45231</v>
      </c>
      <c r="B22" s="50" t="n">
        <v>7.1778</v>
      </c>
      <c r="C22" s="50" t="n">
        <v>7.6399</v>
      </c>
      <c r="D22" s="50" t="n">
        <v>0.047861</v>
      </c>
      <c r="E22" s="50" t="n">
        <v>0.91727</v>
      </c>
      <c r="F22" s="50" t="n">
        <v>8.7814</v>
      </c>
      <c r="G22" s="50" t="n">
        <v>4.5884</v>
      </c>
      <c r="H22" s="50" t="n">
        <v>4.2134</v>
      </c>
      <c r="I22" s="50" t="n">
        <v>5.2693</v>
      </c>
      <c r="J22" s="50" t="n">
        <v>7.9447</v>
      </c>
      <c r="K22" s="50" t="n">
        <v>5.2143</v>
      </c>
      <c r="M22" s="50" t="n">
        <v>0.66376</v>
      </c>
      <c r="N22" s="50" t="n">
        <v>12.8795</v>
      </c>
      <c r="O22" s="50" t="n">
        <v>2.5871</v>
      </c>
      <c r="R22" s="50" t="n">
        <v>186.39</v>
      </c>
      <c r="S22" s="50" t="n">
        <v>0.50931</v>
      </c>
      <c r="T22" s="50" t="n">
        <v>0.52021</v>
      </c>
      <c r="U22" s="50" t="n">
        <v>50.3314</v>
      </c>
      <c r="V22" s="50" t="n">
        <v>0.58651</v>
      </c>
      <c r="W22" s="50" t="n">
        <v>0.9806</v>
      </c>
      <c r="X22" s="50" t="n">
        <v>1.5467</v>
      </c>
      <c r="Y22" s="50" t="n">
        <v>1.5482</v>
      </c>
      <c r="Z22" s="50" t="n">
        <v>3.92521</v>
      </c>
      <c r="AA22" s="50" t="n">
        <v>2.5156</v>
      </c>
      <c r="AB22" s="50" t="n">
        <v>4.978</v>
      </c>
    </row>
    <row r="23">
      <c r="A23" s="49" t="n">
        <v>45232</v>
      </c>
      <c r="B23" s="50" t="n">
        <v>7.1797</v>
      </c>
      <c r="C23" s="50" t="n">
        <v>7.6332</v>
      </c>
      <c r="D23" s="50" t="n">
        <v>0.047994</v>
      </c>
      <c r="E23" s="50" t="n">
        <v>0.91783</v>
      </c>
      <c r="F23" s="50" t="n">
        <v>8.7798</v>
      </c>
      <c r="G23" s="50" t="n">
        <v>4.6359</v>
      </c>
      <c r="H23" s="50" t="n">
        <v>4.2517</v>
      </c>
      <c r="I23" s="50" t="n">
        <v>5.2727</v>
      </c>
      <c r="J23" s="50" t="n">
        <v>7.9595</v>
      </c>
      <c r="K23" s="50" t="n">
        <v>5.2156</v>
      </c>
      <c r="M23" s="50" t="n">
        <v>0.6640200000000001</v>
      </c>
      <c r="N23" s="50" t="n">
        <v>12.8207</v>
      </c>
      <c r="O23" s="50" t="n">
        <v>2.5731</v>
      </c>
      <c r="R23" s="50" t="n">
        <v>186.1</v>
      </c>
      <c r="S23" s="50" t="n">
        <v>0.51045</v>
      </c>
      <c r="T23" s="50" t="n">
        <v>0.52138</v>
      </c>
      <c r="U23" s="50" t="n">
        <v>50.4989</v>
      </c>
      <c r="V23" s="50" t="n">
        <v>0.58851</v>
      </c>
      <c r="W23" s="50" t="n">
        <v>0.9814000000000001</v>
      </c>
      <c r="X23" s="50" t="n">
        <v>1.5479</v>
      </c>
      <c r="Y23" s="50" t="n">
        <v>1.5481</v>
      </c>
      <c r="Z23" s="50" t="n">
        <v>3.935</v>
      </c>
      <c r="AA23" s="50" t="n">
        <v>2.4769</v>
      </c>
      <c r="AB23" s="50" t="n">
        <v>4.9939</v>
      </c>
    </row>
    <row r="24">
      <c r="A24" s="49" t="n">
        <v>45233</v>
      </c>
      <c r="B24" s="50" t="n">
        <v>7.1796</v>
      </c>
      <c r="C24" s="50" t="n">
        <v>7.6612</v>
      </c>
      <c r="D24" s="50" t="n">
        <v>0.048037</v>
      </c>
      <c r="E24" s="50" t="n">
        <v>0.9174600000000001</v>
      </c>
      <c r="F24" s="50" t="n">
        <v>8.7904</v>
      </c>
      <c r="G24" s="50" t="n">
        <v>4.6405</v>
      </c>
      <c r="H24" s="50" t="n">
        <v>4.2657</v>
      </c>
      <c r="I24" s="50" t="n">
        <v>5.28</v>
      </c>
      <c r="J24" s="50" t="n">
        <v>7.9467</v>
      </c>
      <c r="K24" s="50" t="n">
        <v>5.25</v>
      </c>
      <c r="M24" s="50" t="n">
        <v>0.66261</v>
      </c>
      <c r="N24" s="50" t="n">
        <v>12.9019</v>
      </c>
      <c r="O24" s="50" t="n">
        <v>2.5594</v>
      </c>
      <c r="R24" s="50" t="n">
        <v>184.56</v>
      </c>
      <c r="S24" s="50" t="n">
        <v>0.51053</v>
      </c>
      <c r="T24" s="50" t="n">
        <v>0.52146</v>
      </c>
      <c r="U24" s="50" t="n">
        <v>50.1735</v>
      </c>
      <c r="V24" s="50" t="n">
        <v>0.58431</v>
      </c>
      <c r="W24" s="50" t="n">
        <v>0.9788</v>
      </c>
      <c r="X24" s="50" t="n">
        <v>1.5411</v>
      </c>
      <c r="Y24" s="50" t="n">
        <v>1.5492</v>
      </c>
      <c r="Z24" s="50" t="n">
        <v>3.94464</v>
      </c>
      <c r="AA24" s="50" t="n">
        <v>2.4463</v>
      </c>
      <c r="AB24" s="50" t="n">
        <v>4.9767</v>
      </c>
    </row>
    <row r="25">
      <c r="A25" s="49" t="n">
        <v>45236</v>
      </c>
      <c r="B25" s="50" t="n">
        <v>7.178</v>
      </c>
      <c r="C25" s="50" t="n">
        <v>7.7262</v>
      </c>
      <c r="D25" s="50" t="n">
        <v>0.048303</v>
      </c>
      <c r="E25" s="50" t="n">
        <v>0.91753</v>
      </c>
      <c r="F25" s="50" t="n">
        <v>8.9077</v>
      </c>
      <c r="G25" s="50" t="n">
        <v>4.6941</v>
      </c>
      <c r="H25" s="50" t="n">
        <v>4.3277</v>
      </c>
      <c r="I25" s="50" t="n">
        <v>5.3149</v>
      </c>
      <c r="J25" s="50" t="n">
        <v>8.0062</v>
      </c>
      <c r="K25" s="50" t="n">
        <v>5.2773</v>
      </c>
      <c r="M25" s="50" t="n">
        <v>0.65617</v>
      </c>
      <c r="N25" s="50" t="n">
        <v>12.8608</v>
      </c>
      <c r="O25" s="50" t="n">
        <v>2.5407</v>
      </c>
      <c r="R25" s="50" t="n">
        <v>181.8</v>
      </c>
      <c r="S25" s="50" t="n">
        <v>0.5113799999999999</v>
      </c>
      <c r="T25" s="50" t="n">
        <v>0.5223</v>
      </c>
      <c r="U25" s="50" t="n">
        <v>49.2943</v>
      </c>
      <c r="V25" s="50" t="n">
        <v>0.57961</v>
      </c>
      <c r="W25" s="50" t="n">
        <v>0.969</v>
      </c>
      <c r="X25" s="50" t="n">
        <v>1.5118</v>
      </c>
      <c r="Y25" s="50" t="n">
        <v>1.5335</v>
      </c>
      <c r="Z25" s="50" t="n">
        <v>3.94784</v>
      </c>
      <c r="AA25" s="50" t="n">
        <v>2.4384</v>
      </c>
      <c r="AB25" s="50" t="n">
        <v>4.9302</v>
      </c>
    </row>
    <row r="26">
      <c r="A26" s="49" t="n">
        <v>45237</v>
      </c>
      <c r="B26" s="50" t="n">
        <v>7.1776</v>
      </c>
      <c r="C26" s="50" t="n">
        <v>7.723</v>
      </c>
      <c r="D26" s="50" t="n">
        <v>0.048118</v>
      </c>
      <c r="E26" s="50" t="n">
        <v>0.91766</v>
      </c>
      <c r="F26" s="50" t="n">
        <v>8.8949</v>
      </c>
      <c r="G26" s="50" t="n">
        <v>4.6826</v>
      </c>
      <c r="H26" s="50" t="n">
        <v>4.311</v>
      </c>
      <c r="I26" s="50" t="n">
        <v>5.3267</v>
      </c>
      <c r="J26" s="50" t="n">
        <v>8.0143</v>
      </c>
      <c r="K26" s="50" t="n">
        <v>5.264</v>
      </c>
      <c r="M26" s="50" t="n">
        <v>0.64799</v>
      </c>
      <c r="N26" s="50" t="n">
        <v>12.7948</v>
      </c>
      <c r="O26" s="50" t="n">
        <v>2.545</v>
      </c>
      <c r="R26" s="50" t="n">
        <v>180.06</v>
      </c>
      <c r="S26" s="50" t="n">
        <v>0.51092</v>
      </c>
      <c r="T26" s="50" t="n">
        <v>0.52184</v>
      </c>
      <c r="U26" s="50" t="n">
        <v>49.3636</v>
      </c>
      <c r="V26" s="50" t="n">
        <v>0.57995</v>
      </c>
      <c r="W26" s="50" t="n">
        <v>0.9688</v>
      </c>
      <c r="X26" s="50" t="n">
        <v>1.5149</v>
      </c>
      <c r="Y26" s="50" t="n">
        <v>1.5351</v>
      </c>
      <c r="Z26" s="50" t="n">
        <v>3.95585</v>
      </c>
      <c r="AA26" s="50" t="n">
        <v>2.4474</v>
      </c>
      <c r="AB26" s="50" t="n">
        <v>4.9155</v>
      </c>
    </row>
    <row r="27">
      <c r="A27" s="49" t="n">
        <v>45238</v>
      </c>
      <c r="B27" s="50" t="n">
        <v>7.1773</v>
      </c>
      <c r="C27" s="50" t="n">
        <v>7.7133</v>
      </c>
      <c r="D27" s="50" t="n">
        <v>0.048051</v>
      </c>
      <c r="E27" s="50" t="n">
        <v>0.91793</v>
      </c>
      <c r="F27" s="50" t="n">
        <v>8.8672</v>
      </c>
      <c r="G27" s="50" t="n">
        <v>4.6446</v>
      </c>
      <c r="H27" s="50" t="n">
        <v>4.2922</v>
      </c>
      <c r="I27" s="50" t="n">
        <v>5.3172</v>
      </c>
      <c r="J27" s="50" t="n">
        <v>8.013199999999999</v>
      </c>
      <c r="K27" s="50" t="n">
        <v>5.244</v>
      </c>
      <c r="M27" s="50" t="n">
        <v>0.64924</v>
      </c>
      <c r="N27" s="50" t="n">
        <v>12.7555</v>
      </c>
      <c r="O27" s="50" t="n">
        <v>2.5477</v>
      </c>
      <c r="R27" s="50" t="n">
        <v>180.52</v>
      </c>
      <c r="S27" s="50" t="n">
        <v>0.50986</v>
      </c>
      <c r="T27" s="50" t="n">
        <v>0.52074</v>
      </c>
      <c r="U27" s="50" t="n">
        <v>49.255</v>
      </c>
      <c r="V27" s="50" t="n">
        <v>0.58006</v>
      </c>
      <c r="W27" s="50" t="n">
        <v>0.9692</v>
      </c>
      <c r="X27" s="50" t="n">
        <v>1.5141</v>
      </c>
      <c r="Y27" s="50" t="n">
        <v>1.5521</v>
      </c>
      <c r="Z27" s="50" t="n">
        <v>3.95515</v>
      </c>
      <c r="AA27" s="50" t="n">
        <v>2.434</v>
      </c>
      <c r="AB27" s="50" t="n">
        <v>4.9146</v>
      </c>
    </row>
    <row r="28">
      <c r="A28" s="49" t="n">
        <v>45239</v>
      </c>
      <c r="B28" s="50" t="n">
        <v>7.1772</v>
      </c>
      <c r="C28" s="50" t="n">
        <v>7.7143</v>
      </c>
      <c r="D28" s="50" t="n">
        <v>0.047843</v>
      </c>
      <c r="E28" s="50" t="n">
        <v>0.91835</v>
      </c>
      <c r="F28" s="50" t="n">
        <v>8.8514</v>
      </c>
      <c r="G28" s="50" t="n">
        <v>4.6212</v>
      </c>
      <c r="H28" s="50" t="n">
        <v>4.2708</v>
      </c>
      <c r="I28" s="50" t="n">
        <v>5.3065</v>
      </c>
      <c r="J28" s="50" t="n">
        <v>8.0151</v>
      </c>
      <c r="K28" s="50" t="n">
        <v>5.2287</v>
      </c>
      <c r="M28" s="50" t="n">
        <v>0.6527500000000001</v>
      </c>
      <c r="N28" s="50" t="n">
        <v>12.7154</v>
      </c>
      <c r="O28" s="50" t="n">
        <v>2.5693</v>
      </c>
      <c r="R28" s="50" t="n">
        <v>181.27</v>
      </c>
      <c r="S28" s="50" t="n">
        <v>0.5105</v>
      </c>
      <c r="T28" s="50" t="n">
        <v>0.52135</v>
      </c>
      <c r="U28" s="50" t="n">
        <v>49.3176</v>
      </c>
      <c r="V28" s="50" t="n">
        <v>0.57779</v>
      </c>
      <c r="W28" s="50" t="n">
        <v>0.9688</v>
      </c>
      <c r="X28" s="50" t="n">
        <v>1.5114</v>
      </c>
      <c r="Y28" s="50" t="n">
        <v>1.5511</v>
      </c>
      <c r="Z28" s="50" t="n">
        <v>3.96256</v>
      </c>
      <c r="AA28" s="50" t="n">
        <v>2.4438</v>
      </c>
      <c r="AB28" s="50" t="n">
        <v>4.9202</v>
      </c>
    </row>
    <row r="29">
      <c r="A29" s="49" t="n">
        <v>45240</v>
      </c>
      <c r="B29" s="50" t="n">
        <v>7.1771</v>
      </c>
      <c r="C29" s="50" t="n">
        <v>7.6917</v>
      </c>
      <c r="D29" s="50" t="n">
        <v>0.047744</v>
      </c>
      <c r="E29" s="50" t="n">
        <v>0.91928</v>
      </c>
      <c r="F29" s="50" t="n">
        <v>8.815300000000001</v>
      </c>
      <c r="G29" s="50" t="n">
        <v>4.5961</v>
      </c>
      <c r="H29" s="50" t="n">
        <v>4.2627</v>
      </c>
      <c r="I29" s="50" t="n">
        <v>5.2964</v>
      </c>
      <c r="J29" s="50" t="n">
        <v>7.9891</v>
      </c>
      <c r="K29" s="50" t="n">
        <v>5.2281</v>
      </c>
      <c r="M29" s="50" t="n">
        <v>0.65494</v>
      </c>
      <c r="N29" s="50" t="n">
        <v>12.701</v>
      </c>
      <c r="O29" s="50" t="n">
        <v>2.5924</v>
      </c>
      <c r="R29" s="50" t="n">
        <v>181.58</v>
      </c>
      <c r="S29" s="50" t="n">
        <v>0.50985</v>
      </c>
      <c r="T29" s="50" t="n">
        <v>0.52069</v>
      </c>
      <c r="U29" s="50" t="n">
        <v>49.4657</v>
      </c>
      <c r="V29" s="50" t="n">
        <v>0.57889</v>
      </c>
      <c r="W29" s="50" t="n">
        <v>0.9721</v>
      </c>
      <c r="X29" s="50" t="n">
        <v>1.5145</v>
      </c>
      <c r="Y29" s="50" t="n">
        <v>1.5562</v>
      </c>
      <c r="Z29" s="50" t="n">
        <v>3.95943</v>
      </c>
      <c r="AA29" s="50" t="n">
        <v>2.4794</v>
      </c>
      <c r="AB29" s="50" t="n">
        <v>4.9355</v>
      </c>
    </row>
    <row r="30">
      <c r="A30" s="49" t="n">
        <v>45243</v>
      </c>
      <c r="B30" s="50" t="n">
        <v>7.1769</v>
      </c>
      <c r="C30" s="50" t="n">
        <v>7.7042</v>
      </c>
      <c r="D30" s="50" t="n">
        <v>0.047693</v>
      </c>
      <c r="E30" s="50" t="n">
        <v>0.91882</v>
      </c>
      <c r="F30" s="50" t="n">
        <v>8.8163</v>
      </c>
      <c r="G30" s="50" t="n">
        <v>4.595</v>
      </c>
      <c r="H30" s="50" t="n">
        <v>4.2638</v>
      </c>
      <c r="I30" s="50" t="n">
        <v>5.2956</v>
      </c>
      <c r="J30" s="50" t="n">
        <v>7.9816</v>
      </c>
      <c r="K30" s="50" t="n">
        <v>5.2292</v>
      </c>
      <c r="M30" s="50" t="n">
        <v>0.65587</v>
      </c>
      <c r="N30" s="50" t="n">
        <v>12.7781</v>
      </c>
      <c r="O30" s="50" t="n">
        <v>2.6051</v>
      </c>
      <c r="R30" s="50" t="n">
        <v>181.99</v>
      </c>
      <c r="S30" s="50" t="n">
        <v>0.51029</v>
      </c>
      <c r="T30" s="50" t="n">
        <v>0.5211</v>
      </c>
      <c r="U30" s="50" t="n">
        <v>49.1481</v>
      </c>
      <c r="V30" s="50" t="n">
        <v>0.57701</v>
      </c>
      <c r="W30" s="50" t="n">
        <v>0.9706</v>
      </c>
      <c r="X30" s="50" t="n">
        <v>1.511</v>
      </c>
      <c r="Y30" s="50" t="n">
        <v>1.542</v>
      </c>
      <c r="Z30" s="50" t="n">
        <v>3.96134</v>
      </c>
      <c r="AA30" s="50" t="n">
        <v>2.4597</v>
      </c>
      <c r="AB30" s="50" t="n">
        <v>4.9768</v>
      </c>
    </row>
    <row r="31">
      <c r="A31" s="49" t="n">
        <v>45244</v>
      </c>
      <c r="B31" s="50" t="n">
        <v>7.1768</v>
      </c>
      <c r="C31" s="50" t="n">
        <v>7.7102</v>
      </c>
      <c r="D31" s="50" t="n">
        <v>0.047629</v>
      </c>
      <c r="E31" s="50" t="n">
        <v>0.9190199999999999</v>
      </c>
      <c r="F31" s="50" t="n">
        <v>8.849</v>
      </c>
      <c r="G31" s="50" t="n">
        <v>4.6026</v>
      </c>
      <c r="H31" s="50" t="n">
        <v>4.2523</v>
      </c>
      <c r="I31" s="50" t="n">
        <v>5.2976</v>
      </c>
      <c r="J31" s="50" t="n">
        <v>7.9944</v>
      </c>
      <c r="K31" s="50" t="n">
        <v>5.2252</v>
      </c>
      <c r="M31" s="50" t="n">
        <v>0.656</v>
      </c>
      <c r="N31" s="50" t="n">
        <v>12.7043</v>
      </c>
      <c r="O31" s="50" t="n">
        <v>2.6008</v>
      </c>
      <c r="R31" s="50" t="n">
        <v>182.89</v>
      </c>
      <c r="S31" s="50" t="n">
        <v>0.51056</v>
      </c>
      <c r="T31" s="50" t="n">
        <v>0.52138</v>
      </c>
      <c r="U31" s="50" t="n">
        <v>49.1393</v>
      </c>
      <c r="V31" s="50" t="n">
        <v>0.57672</v>
      </c>
      <c r="W31" s="50" t="n">
        <v>0.9702</v>
      </c>
      <c r="X31" s="50" t="n">
        <v>1.5039</v>
      </c>
      <c r="Y31" s="50" t="n">
        <v>1.5384</v>
      </c>
      <c r="Z31" s="50" t="n">
        <v>3.97523</v>
      </c>
      <c r="AA31" s="50" t="n">
        <v>2.4557</v>
      </c>
      <c r="AB31" s="50" t="n">
        <v>4.9782</v>
      </c>
    </row>
    <row r="32">
      <c r="A32" s="49" t="n">
        <v>45245</v>
      </c>
      <c r="B32" s="50" t="n">
        <v>7.1752</v>
      </c>
      <c r="C32" s="50" t="n">
        <v>7.8152</v>
      </c>
      <c r="D32" s="50" t="n">
        <v>0.04784</v>
      </c>
      <c r="E32" s="50" t="n">
        <v>0.91926</v>
      </c>
      <c r="F32" s="50" t="n">
        <v>8.9747</v>
      </c>
      <c r="G32" s="50" t="n">
        <v>4.6697</v>
      </c>
      <c r="H32" s="50" t="n">
        <v>4.3217</v>
      </c>
      <c r="I32" s="50" t="n">
        <v>5.3269</v>
      </c>
      <c r="J32" s="50" t="n">
        <v>8.082100000000001</v>
      </c>
      <c r="K32" s="50" t="n">
        <v>5.2479</v>
      </c>
      <c r="M32" s="50" t="n">
        <v>0.6543099999999999</v>
      </c>
      <c r="N32" s="50" t="n">
        <v>12.6084</v>
      </c>
      <c r="O32" s="50" t="n">
        <v>2.5396</v>
      </c>
      <c r="R32" s="50" t="n">
        <v>181.63</v>
      </c>
      <c r="S32" s="50" t="n">
        <v>0.51225</v>
      </c>
      <c r="T32" s="50" t="n">
        <v>0.5230900000000001</v>
      </c>
      <c r="U32" s="50" t="n">
        <v>48.2934</v>
      </c>
      <c r="V32" s="50" t="n">
        <v>0.56531</v>
      </c>
      <c r="W32" s="50" t="n">
        <v>0.957</v>
      </c>
      <c r="X32" s="50" t="n">
        <v>1.4741</v>
      </c>
      <c r="Y32" s="50" t="n">
        <v>1.5156</v>
      </c>
      <c r="Z32" s="50" t="n">
        <v>3.99507</v>
      </c>
      <c r="AA32" s="50" t="n">
        <v>2.4233</v>
      </c>
      <c r="AB32" s="50" t="n">
        <v>4.9391</v>
      </c>
    </row>
    <row r="33">
      <c r="A33" s="49" t="n">
        <v>45246</v>
      </c>
      <c r="B33" s="50" t="n">
        <v>7.1724</v>
      </c>
      <c r="C33" s="50" t="n">
        <v>7.8027</v>
      </c>
      <c r="D33" s="50" t="n">
        <v>0.047586</v>
      </c>
      <c r="E33" s="50" t="n">
        <v>0.91866</v>
      </c>
      <c r="F33" s="50" t="n">
        <v>8.930300000000001</v>
      </c>
      <c r="G33" s="50" t="n">
        <v>4.6837</v>
      </c>
      <c r="H33" s="50" t="n">
        <v>4.3399</v>
      </c>
      <c r="I33" s="50" t="n">
        <v>5.3203</v>
      </c>
      <c r="J33" s="50" t="n">
        <v>8.103400000000001</v>
      </c>
      <c r="K33" s="50" t="n">
        <v>5.2575</v>
      </c>
      <c r="M33" s="50" t="n">
        <v>0.65257</v>
      </c>
      <c r="N33" s="50" t="n">
        <v>12.4337</v>
      </c>
      <c r="O33" s="50" t="n">
        <v>2.5318</v>
      </c>
      <c r="R33" s="50" t="n">
        <v>180.97</v>
      </c>
      <c r="S33" s="50" t="n">
        <v>0.51142</v>
      </c>
      <c r="T33" s="50" t="n">
        <v>0.52207</v>
      </c>
      <c r="U33" s="50" t="n">
        <v>48.405</v>
      </c>
      <c r="V33" s="50" t="n">
        <v>0.56432</v>
      </c>
      <c r="W33" s="50" t="n">
        <v>0.9585</v>
      </c>
      <c r="X33" s="50" t="n">
        <v>1.4664</v>
      </c>
      <c r="Y33" s="50" t="n">
        <v>1.5045</v>
      </c>
      <c r="Z33" s="50" t="n">
        <v>3.99254</v>
      </c>
      <c r="AA33" s="50" t="n">
        <v>2.413</v>
      </c>
      <c r="AB33" s="50" t="n">
        <v>4.9259</v>
      </c>
    </row>
    <row r="34">
      <c r="A34" s="49" t="n">
        <v>45247</v>
      </c>
      <c r="B34" s="50" t="n">
        <v>7.1728</v>
      </c>
      <c r="C34" s="50" t="n">
        <v>7.8057</v>
      </c>
      <c r="D34" s="50" t="n">
        <v>0.047801</v>
      </c>
      <c r="E34" s="50" t="n">
        <v>0.91988</v>
      </c>
      <c r="F34" s="50" t="n">
        <v>8.9178</v>
      </c>
      <c r="G34" s="50" t="n">
        <v>4.6565</v>
      </c>
      <c r="H34" s="50" t="n">
        <v>4.3</v>
      </c>
      <c r="I34" s="50" t="n">
        <v>5.3343</v>
      </c>
      <c r="J34" s="50" t="n">
        <v>8.095599999999999</v>
      </c>
      <c r="K34" s="50" t="n">
        <v>5.2319</v>
      </c>
      <c r="M34" s="50" t="n">
        <v>0.65305</v>
      </c>
      <c r="N34" s="50" t="n">
        <v>12.4017</v>
      </c>
      <c r="O34" s="50" t="n">
        <v>2.5585</v>
      </c>
      <c r="R34" s="50" t="n">
        <v>179.79</v>
      </c>
      <c r="S34" s="50" t="n">
        <v>0.51126</v>
      </c>
      <c r="T34" s="50" t="n">
        <v>0.52201</v>
      </c>
      <c r="U34" s="50" t="n">
        <v>48.3916</v>
      </c>
      <c r="V34" s="50" t="n">
        <v>0.56155</v>
      </c>
      <c r="W34" s="50" t="n">
        <v>0.9574</v>
      </c>
      <c r="X34" s="50" t="n">
        <v>1.4719</v>
      </c>
      <c r="Y34" s="50" t="n">
        <v>1.5211</v>
      </c>
      <c r="Z34" s="50" t="n">
        <v>3.99418</v>
      </c>
      <c r="AA34" s="50" t="n">
        <v>2.4038</v>
      </c>
      <c r="AB34" s="50" t="n">
        <v>4.8872</v>
      </c>
    </row>
    <row r="35">
      <c r="A35" s="49" t="n">
        <v>45250</v>
      </c>
      <c r="B35" s="50" t="n">
        <v>7.1612</v>
      </c>
      <c r="C35" s="50" t="n">
        <v>7.834</v>
      </c>
      <c r="D35" s="50" t="n">
        <v>0.048001</v>
      </c>
      <c r="E35" s="50" t="n">
        <v>0.91848</v>
      </c>
      <c r="F35" s="50" t="n">
        <v>8.9465</v>
      </c>
      <c r="G35" s="50" t="n">
        <v>4.6807</v>
      </c>
      <c r="H35" s="50" t="n">
        <v>4.3146</v>
      </c>
      <c r="I35" s="50" t="n">
        <v>5.3429</v>
      </c>
      <c r="J35" s="50" t="n">
        <v>8.1066</v>
      </c>
      <c r="K35" s="50" t="n">
        <v>5.2387</v>
      </c>
      <c r="M35" s="50" t="n">
        <v>0.6521</v>
      </c>
      <c r="N35" s="50" t="n">
        <v>12.4485</v>
      </c>
      <c r="O35" s="50" t="n">
        <v>2.5555</v>
      </c>
      <c r="R35" s="50" t="n">
        <v>180.36</v>
      </c>
      <c r="S35" s="50" t="n">
        <v>0.51179</v>
      </c>
      <c r="T35" s="50" t="n">
        <v>0.52264</v>
      </c>
      <c r="U35" s="50" t="n">
        <v>48.4405</v>
      </c>
      <c r="V35" s="50" t="n">
        <v>0.56132</v>
      </c>
      <c r="W35" s="50" t="n">
        <v>0.9537</v>
      </c>
      <c r="X35" s="50" t="n">
        <v>1.4663</v>
      </c>
      <c r="Y35" s="50" t="n">
        <v>1.5067</v>
      </c>
      <c r="Z35" s="50" t="n">
        <v>3.9955</v>
      </c>
      <c r="AA35" s="50" t="n">
        <v>2.4043</v>
      </c>
      <c r="AB35" s="50" t="n">
        <v>4.8849</v>
      </c>
    </row>
    <row r="36">
      <c r="A36" s="49" t="n">
        <v>45251</v>
      </c>
      <c r="B36" s="50" t="n">
        <v>7.1406</v>
      </c>
      <c r="C36" s="50" t="n">
        <v>7.8349</v>
      </c>
      <c r="D36" s="50" t="n">
        <v>0.048257</v>
      </c>
      <c r="E36" s="50" t="n">
        <v>0.91629</v>
      </c>
      <c r="F36" s="50" t="n">
        <v>8.9481</v>
      </c>
      <c r="G36" s="50" t="n">
        <v>4.6942</v>
      </c>
      <c r="H36" s="50" t="n">
        <v>4.3232</v>
      </c>
      <c r="I36" s="50" t="n">
        <v>5.3521</v>
      </c>
      <c r="J36" s="50" t="n">
        <v>8.09</v>
      </c>
      <c r="K36" s="50" t="n">
        <v>5.2131</v>
      </c>
      <c r="M36" s="50" t="n">
        <v>0.65257</v>
      </c>
      <c r="N36" s="50" t="n">
        <v>12.3868</v>
      </c>
      <c r="O36" s="50" t="n">
        <v>2.5633</v>
      </c>
      <c r="R36" s="50" t="n">
        <v>180.01</v>
      </c>
      <c r="S36" s="50" t="n">
        <v>0.51391</v>
      </c>
      <c r="T36" s="50" t="n">
        <v>0.52476</v>
      </c>
      <c r="U36" s="50" t="n">
        <v>48.534</v>
      </c>
      <c r="V36" s="50" t="n">
        <v>0.55587</v>
      </c>
      <c r="W36" s="50" t="n">
        <v>0.9526</v>
      </c>
      <c r="X36" s="50" t="n">
        <v>1.4595</v>
      </c>
      <c r="Y36" s="50" t="n">
        <v>1.4957</v>
      </c>
      <c r="Z36" s="50" t="n">
        <v>4.02679</v>
      </c>
      <c r="AA36" s="50" t="n">
        <v>2.395</v>
      </c>
      <c r="AB36" s="50" t="n">
        <v>4.9134</v>
      </c>
    </row>
    <row r="37">
      <c r="A37" s="49" t="n">
        <v>45252</v>
      </c>
      <c r="B37" s="50" t="n">
        <v>7.1254</v>
      </c>
      <c r="C37" s="50" t="n">
        <v>7.7946</v>
      </c>
      <c r="D37" s="50" t="n">
        <v>0.048203</v>
      </c>
      <c r="E37" s="50" t="n">
        <v>0.91411</v>
      </c>
      <c r="F37" s="50" t="n">
        <v>8.954499999999999</v>
      </c>
      <c r="G37" s="50" t="n">
        <v>4.6834</v>
      </c>
      <c r="H37" s="50" t="n">
        <v>4.3238</v>
      </c>
      <c r="I37" s="50" t="n">
        <v>5.3367</v>
      </c>
      <c r="J37" s="50" t="n">
        <v>8.0838</v>
      </c>
      <c r="K37" s="50" t="n">
        <v>5.2124</v>
      </c>
      <c r="M37" s="50" t="n">
        <v>0.65247</v>
      </c>
      <c r="N37" s="50" t="n">
        <v>12.3588</v>
      </c>
      <c r="O37" s="50" t="n">
        <v>2.6071</v>
      </c>
      <c r="R37" s="50" t="n">
        <v>181.23</v>
      </c>
      <c r="S37" s="50" t="n">
        <v>0.5145999999999999</v>
      </c>
      <c r="T37" s="50" t="n">
        <v>0.52549</v>
      </c>
      <c r="U37" s="50" t="n">
        <v>48.8566</v>
      </c>
      <c r="V37" s="50" t="n">
        <v>0.5611</v>
      </c>
      <c r="W37" s="50" t="n">
        <v>0.9567</v>
      </c>
      <c r="X37" s="50" t="n">
        <v>1.4649</v>
      </c>
      <c r="Y37" s="50" t="n">
        <v>1.4948</v>
      </c>
      <c r="Z37" s="50" t="n">
        <v>4.03584</v>
      </c>
      <c r="AA37" s="50" t="n">
        <v>2.4105</v>
      </c>
      <c r="AB37" s="50" t="n">
        <v>4.9245</v>
      </c>
    </row>
    <row r="38">
      <c r="A38" s="49" t="n">
        <v>45253</v>
      </c>
      <c r="B38" s="50" t="n">
        <v>7.1212</v>
      </c>
      <c r="C38" s="50" t="n">
        <v>7.7738</v>
      </c>
      <c r="D38" s="50" t="n">
        <v>0.047785</v>
      </c>
      <c r="E38" s="50" t="n">
        <v>0.91329</v>
      </c>
      <c r="F38" s="50" t="n">
        <v>8.922000000000001</v>
      </c>
      <c r="G38" s="50" t="n">
        <v>4.6739</v>
      </c>
      <c r="H38" s="50" t="n">
        <v>4.303</v>
      </c>
      <c r="I38" s="50" t="n">
        <v>5.3233</v>
      </c>
      <c r="J38" s="50" t="n">
        <v>8.08</v>
      </c>
      <c r="K38" s="50" t="n">
        <v>5.2184</v>
      </c>
      <c r="M38" s="50" t="n">
        <v>0.65507</v>
      </c>
      <c r="N38" s="50" t="n">
        <v>12.3505</v>
      </c>
      <c r="O38" s="50" t="n">
        <v>2.6445</v>
      </c>
      <c r="R38" s="50" t="n">
        <v>181.88</v>
      </c>
      <c r="S38" s="50" t="n">
        <v>0.51437</v>
      </c>
      <c r="T38" s="50" t="n">
        <v>0.52528</v>
      </c>
      <c r="U38" s="50" t="n">
        <v>49.0258</v>
      </c>
      <c r="V38" s="50" t="n">
        <v>0.56204</v>
      </c>
      <c r="W38" s="50" t="n">
        <v>0.9589</v>
      </c>
      <c r="X38" s="50" t="n">
        <v>1.4674</v>
      </c>
      <c r="Y38" s="50" t="n">
        <v>1.506</v>
      </c>
      <c r="Z38" s="50" t="n">
        <v>4.03975</v>
      </c>
      <c r="AA38" s="50" t="n">
        <v>2.4108</v>
      </c>
      <c r="AB38" s="50" t="n">
        <v>4.9319</v>
      </c>
    </row>
    <row r="39">
      <c r="A39" s="49" t="n">
        <v>45254</v>
      </c>
      <c r="B39" s="50" t="n">
        <v>7.1151</v>
      </c>
      <c r="C39" s="50" t="n">
        <v>7.7708</v>
      </c>
      <c r="D39" s="50" t="n">
        <v>0.047657</v>
      </c>
      <c r="E39" s="50" t="n">
        <v>0.91237</v>
      </c>
      <c r="F39" s="50" t="n">
        <v>8.9314</v>
      </c>
      <c r="G39" s="50" t="n">
        <v>4.6761</v>
      </c>
      <c r="H39" s="50" t="n">
        <v>4.3134</v>
      </c>
      <c r="I39" s="50" t="n">
        <v>5.3158</v>
      </c>
      <c r="J39" s="50" t="n">
        <v>8.056800000000001</v>
      </c>
      <c r="K39" s="50" t="n">
        <v>5.2031</v>
      </c>
      <c r="M39" s="50" t="n">
        <v>0.65733</v>
      </c>
      <c r="N39" s="50" t="n">
        <v>12.3736</v>
      </c>
      <c r="O39" s="50" t="n">
        <v>2.6422</v>
      </c>
      <c r="R39" s="50" t="n">
        <v>182.14</v>
      </c>
      <c r="S39" s="50" t="n">
        <v>0.51566</v>
      </c>
      <c r="T39" s="50" t="n">
        <v>0.52663</v>
      </c>
      <c r="U39" s="50" t="n">
        <v>48.8713</v>
      </c>
      <c r="V39" s="50" t="n">
        <v>0.5628</v>
      </c>
      <c r="W39" s="50" t="n">
        <v>0.9603</v>
      </c>
      <c r="X39" s="50" t="n">
        <v>1.4722</v>
      </c>
      <c r="Y39" s="50" t="n">
        <v>1.512</v>
      </c>
      <c r="Z39" s="50" t="n">
        <v>4.04703</v>
      </c>
      <c r="AA39" s="50" t="n">
        <v>2.4145</v>
      </c>
      <c r="AB39" s="50" t="n">
        <v>4.9462</v>
      </c>
    </row>
    <row r="40">
      <c r="A40" s="49" t="n">
        <v>45257</v>
      </c>
      <c r="B40" s="50" t="n">
        <v>7.1159</v>
      </c>
      <c r="C40" s="50" t="n">
        <v>7.7873</v>
      </c>
      <c r="D40" s="50" t="n">
        <v>0.047645</v>
      </c>
      <c r="E40" s="50" t="n">
        <v>0.9135</v>
      </c>
      <c r="F40" s="50" t="n">
        <v>8.9672</v>
      </c>
      <c r="G40" s="50" t="n">
        <v>4.6881</v>
      </c>
      <c r="H40" s="50" t="n">
        <v>4.3322</v>
      </c>
      <c r="I40" s="50" t="n">
        <v>5.3145</v>
      </c>
      <c r="J40" s="50" t="n">
        <v>8.0693</v>
      </c>
      <c r="K40" s="50" t="n">
        <v>5.2229</v>
      </c>
      <c r="M40" s="50" t="n">
        <v>0.65777</v>
      </c>
      <c r="N40" s="50" t="n">
        <v>12.4851</v>
      </c>
      <c r="O40" s="50" t="n">
        <v>2.6434</v>
      </c>
      <c r="R40" s="50" t="n">
        <v>182.93</v>
      </c>
      <c r="S40" s="50" t="n">
        <v>0.51597</v>
      </c>
      <c r="T40" s="50" t="n">
        <v>0.52694</v>
      </c>
      <c r="U40" s="50" t="n">
        <v>48.8667</v>
      </c>
      <c r="V40" s="50" t="n">
        <v>0.5613</v>
      </c>
      <c r="W40" s="50" t="n">
        <v>0.9581</v>
      </c>
      <c r="X40" s="50" t="n">
        <v>1.4698</v>
      </c>
      <c r="Y40" s="50" t="n">
        <v>1.5053</v>
      </c>
      <c r="Z40" s="50" t="n">
        <v>4.05583</v>
      </c>
      <c r="AA40" s="50" t="n">
        <v>2.4069</v>
      </c>
      <c r="AB40" s="50" t="n">
        <v>4.9619</v>
      </c>
    </row>
    <row r="41">
      <c r="A41" s="49" t="n">
        <v>45258</v>
      </c>
      <c r="B41" s="50" t="n">
        <v>7.1132</v>
      </c>
      <c r="C41" s="50" t="n">
        <v>7.7989</v>
      </c>
      <c r="D41" s="50" t="n">
        <v>0.047996</v>
      </c>
      <c r="E41" s="50" t="n">
        <v>0.91314</v>
      </c>
      <c r="F41" s="50" t="n">
        <v>8.989100000000001</v>
      </c>
      <c r="G41" s="50" t="n">
        <v>4.7061</v>
      </c>
      <c r="H41" s="50" t="n">
        <v>4.3455</v>
      </c>
      <c r="I41" s="50" t="n">
        <v>5.3271</v>
      </c>
      <c r="J41" s="50" t="n">
        <v>8.085100000000001</v>
      </c>
      <c r="K41" s="50" t="n">
        <v>5.2294</v>
      </c>
      <c r="M41" s="50" t="n">
        <v>0.65729</v>
      </c>
      <c r="N41" s="50" t="n">
        <v>12.4788</v>
      </c>
      <c r="O41" s="50" t="n">
        <v>2.6231</v>
      </c>
      <c r="R41" s="50" t="n">
        <v>182.1</v>
      </c>
      <c r="S41" s="50" t="n">
        <v>0.5164</v>
      </c>
      <c r="T41" s="50" t="n">
        <v>0.52733</v>
      </c>
      <c r="U41" s="50" t="n">
        <v>48.7296</v>
      </c>
      <c r="V41" s="50" t="n">
        <v>0.55825</v>
      </c>
      <c r="W41" s="50" t="n">
        <v>0.9573</v>
      </c>
      <c r="X41" s="50" t="n">
        <v>1.4643</v>
      </c>
      <c r="Y41" s="50" t="n">
        <v>1.4944</v>
      </c>
      <c r="Z41" s="50" t="n">
        <v>4.06257</v>
      </c>
      <c r="AA41" s="50" t="n">
        <v>2.4156</v>
      </c>
      <c r="AB41" s="50" t="n">
        <v>4.9145</v>
      </c>
    </row>
    <row r="42">
      <c r="A42" s="49" t="n">
        <v>45259</v>
      </c>
      <c r="B42" s="50" t="n">
        <v>7.1031</v>
      </c>
      <c r="C42" s="50" t="n">
        <v>7.8225</v>
      </c>
      <c r="D42" s="50" t="n">
        <v>0.048322</v>
      </c>
      <c r="E42" s="50" t="n">
        <v>0.91129</v>
      </c>
      <c r="F42" s="50" t="n">
        <v>9.0314</v>
      </c>
      <c r="G42" s="50" t="n">
        <v>4.7295</v>
      </c>
      <c r="H42" s="50" t="n">
        <v>4.3702</v>
      </c>
      <c r="I42" s="50" t="n">
        <v>5.3439</v>
      </c>
      <c r="J42" s="50" t="n">
        <v>8.101800000000001</v>
      </c>
      <c r="K42" s="50" t="n">
        <v>5.2406</v>
      </c>
      <c r="M42" s="50" t="n">
        <v>0.65578</v>
      </c>
      <c r="N42" s="50" t="n">
        <v>12.4832</v>
      </c>
      <c r="O42" s="50" t="n">
        <v>2.6171</v>
      </c>
      <c r="R42" s="50" t="n">
        <v>181.27</v>
      </c>
      <c r="S42" s="50" t="n">
        <v>0.51686</v>
      </c>
      <c r="T42" s="50" t="n">
        <v>0.52791</v>
      </c>
      <c r="U42" s="50" t="n">
        <v>48.2913</v>
      </c>
      <c r="V42" s="50" t="n">
        <v>0.55197</v>
      </c>
      <c r="W42" s="50" t="n">
        <v>0.9544</v>
      </c>
      <c r="X42" s="50" t="n">
        <v>1.4508</v>
      </c>
      <c r="Y42" s="50" t="n">
        <v>1.4927</v>
      </c>
      <c r="Z42" s="50" t="n">
        <v>4.06926</v>
      </c>
      <c r="AA42" s="50" t="n">
        <v>2.4125</v>
      </c>
      <c r="AB42" s="50" t="n">
        <v>4.8732</v>
      </c>
    </row>
    <row r="43">
      <c r="A43" s="49" t="n">
        <v>45260</v>
      </c>
      <c r="B43" s="50" t="n">
        <v>7.1018</v>
      </c>
      <c r="C43" s="50" t="n">
        <v>7.8045</v>
      </c>
      <c r="D43" s="50" t="n">
        <v>0.048362</v>
      </c>
      <c r="E43" s="50" t="n">
        <v>0.90979</v>
      </c>
      <c r="F43" s="50" t="n">
        <v>9.029</v>
      </c>
      <c r="G43" s="50" t="n">
        <v>4.7093</v>
      </c>
      <c r="H43" s="50" t="n">
        <v>4.381</v>
      </c>
      <c r="I43" s="50" t="n">
        <v>5.337</v>
      </c>
      <c r="J43" s="50" t="n">
        <v>8.144299999999999</v>
      </c>
      <c r="K43" s="50" t="n">
        <v>5.2348</v>
      </c>
      <c r="M43" s="50" t="n">
        <v>0.65454</v>
      </c>
      <c r="N43" s="50" t="n">
        <v>12.4596</v>
      </c>
      <c r="O43" s="50" t="n">
        <v>2.6351</v>
      </c>
      <c r="R43" s="50" t="n">
        <v>181.27</v>
      </c>
      <c r="S43" s="50" t="n">
        <v>0.51644</v>
      </c>
      <c r="T43" s="50" t="n">
        <v>0.52757</v>
      </c>
      <c r="U43" s="50" t="n">
        <v>48.4641</v>
      </c>
      <c r="V43" s="50" t="n">
        <v>0.55663</v>
      </c>
      <c r="W43" s="50" t="n">
        <v>0.9559</v>
      </c>
      <c r="X43" s="50" t="n">
        <v>1.4562</v>
      </c>
      <c r="Y43" s="50" t="n">
        <v>1.4982</v>
      </c>
      <c r="Z43" s="50" t="n">
        <v>4.07078</v>
      </c>
      <c r="AA43" s="50" t="n">
        <v>2.4335</v>
      </c>
      <c r="AB43" s="50" t="n">
        <v>4.8909</v>
      </c>
    </row>
    <row r="44">
      <c r="A44" s="49" t="n">
        <v>45261</v>
      </c>
      <c r="B44" s="50" t="n">
        <v>7.1104</v>
      </c>
      <c r="C44" s="50" t="n">
        <v>7.7586</v>
      </c>
      <c r="D44" s="50" t="n">
        <v>0.048116</v>
      </c>
      <c r="E44" s="50" t="n">
        <v>0.91022</v>
      </c>
      <c r="F44" s="50" t="n">
        <v>8.999599999999999</v>
      </c>
      <c r="G44" s="50" t="n">
        <v>4.7096</v>
      </c>
      <c r="H44" s="50" t="n">
        <v>4.3929</v>
      </c>
      <c r="I44" s="50" t="n">
        <v>5.3265</v>
      </c>
      <c r="J44" s="50" t="n">
        <v>8.148099999999999</v>
      </c>
      <c r="K44" s="50" t="n">
        <v>5.2558</v>
      </c>
      <c r="M44" s="50" t="n">
        <v>0.65566</v>
      </c>
      <c r="N44" s="50" t="n">
        <v>12.6003</v>
      </c>
      <c r="O44" s="50" t="n">
        <v>2.6491</v>
      </c>
      <c r="R44" s="50" t="n">
        <v>181.86</v>
      </c>
      <c r="S44" s="50" t="n">
        <v>0.51586</v>
      </c>
      <c r="T44" s="50" t="n">
        <v>0.52694</v>
      </c>
      <c r="U44" s="50" t="n">
        <v>49.1106</v>
      </c>
      <c r="V44" s="50" t="n">
        <v>0.5617799999999999</v>
      </c>
      <c r="W44" s="50" t="n">
        <v>0.9616</v>
      </c>
      <c r="X44" s="50" t="n">
        <v>1.4728</v>
      </c>
      <c r="Y44" s="50" t="n">
        <v>1.5171</v>
      </c>
      <c r="Z44" s="50" t="n">
        <v>4.05753</v>
      </c>
      <c r="AA44" s="50" t="n">
        <v>2.4465</v>
      </c>
      <c r="AB44" s="50" t="n">
        <v>4.9441</v>
      </c>
    </row>
    <row r="45">
      <c r="A45" s="49" t="n">
        <v>45264</v>
      </c>
      <c r="B45" s="50" t="n">
        <v>7.1011</v>
      </c>
      <c r="C45" s="50" t="n">
        <v>7.7382</v>
      </c>
      <c r="D45" s="50" t="n">
        <v>0.048583</v>
      </c>
      <c r="E45" s="50" t="n">
        <v>0.90882</v>
      </c>
      <c r="F45" s="50" t="n">
        <v>9.0375</v>
      </c>
      <c r="G45" s="50" t="n">
        <v>4.7531</v>
      </c>
      <c r="H45" s="50" t="n">
        <v>4.4211</v>
      </c>
      <c r="I45" s="50" t="n">
        <v>5.3358</v>
      </c>
      <c r="J45" s="50" t="n">
        <v>8.1907</v>
      </c>
      <c r="K45" s="50" t="n">
        <v>5.2726</v>
      </c>
      <c r="M45" s="50" t="n">
        <v>0.65568</v>
      </c>
      <c r="N45" s="50" t="n">
        <v>12.8125</v>
      </c>
      <c r="O45" s="50" t="n">
        <v>2.625</v>
      </c>
      <c r="R45" s="50" t="n">
        <v>182.3</v>
      </c>
      <c r="S45" s="50" t="n">
        <v>0.5167</v>
      </c>
      <c r="T45" s="50" t="n">
        <v>0.52782</v>
      </c>
      <c r="U45" s="50" t="n">
        <v>48.9669</v>
      </c>
      <c r="V45" s="50" t="n">
        <v>0.55967</v>
      </c>
      <c r="W45" s="50" t="n">
        <v>0.9638</v>
      </c>
      <c r="X45" s="50" t="n">
        <v>1.4599</v>
      </c>
      <c r="Y45" s="50" t="n">
        <v>1.5</v>
      </c>
      <c r="Z45" s="50" t="n">
        <v>4.06733</v>
      </c>
      <c r="AA45" s="50" t="n">
        <v>2.4208</v>
      </c>
      <c r="AB45" s="50" t="n">
        <v>4.8851</v>
      </c>
    </row>
    <row r="46">
      <c r="A46" s="49" t="n">
        <v>45265</v>
      </c>
      <c r="B46" s="50" t="n">
        <v>7.1127</v>
      </c>
      <c r="C46" s="50" t="n">
        <v>7.7167</v>
      </c>
      <c r="D46" s="50" t="n">
        <v>0.048401</v>
      </c>
      <c r="E46" s="50" t="n">
        <v>0.91016</v>
      </c>
      <c r="F46" s="50" t="n">
        <v>8.9998</v>
      </c>
      <c r="G46" s="50" t="n">
        <v>4.7159</v>
      </c>
      <c r="H46" s="50" t="n">
        <v>4.3962</v>
      </c>
      <c r="I46" s="50" t="n">
        <v>5.3252</v>
      </c>
      <c r="J46" s="50" t="n">
        <v>8.165699999999999</v>
      </c>
      <c r="K46" s="50" t="n">
        <v>5.2623</v>
      </c>
      <c r="M46" s="50" t="n">
        <v>0.65477</v>
      </c>
      <c r="N46" s="50" t="n">
        <v>12.7921</v>
      </c>
      <c r="O46" s="50" t="n">
        <v>2.6433</v>
      </c>
      <c r="R46" s="50" t="n">
        <v>183.34</v>
      </c>
      <c r="S46" s="50" t="n">
        <v>0.5158199999999999</v>
      </c>
      <c r="T46" s="50" t="n">
        <v>0.52696</v>
      </c>
      <c r="U46" s="50" t="n">
        <v>49.2869</v>
      </c>
      <c r="V46" s="50" t="n">
        <v>0.56188</v>
      </c>
      <c r="W46" s="50" t="n">
        <v>0.9668</v>
      </c>
      <c r="X46" s="50" t="n">
        <v>1.4645</v>
      </c>
      <c r="Y46" s="50" t="n">
        <v>1.5222</v>
      </c>
      <c r="Z46" s="50" t="n">
        <v>4.06276</v>
      </c>
      <c r="AA46" s="50" t="n">
        <v>2.457</v>
      </c>
      <c r="AB46" s="50" t="n">
        <v>4.9302</v>
      </c>
    </row>
    <row r="47">
      <c r="A47" s="49" t="n">
        <v>45266</v>
      </c>
      <c r="B47" s="50" t="n">
        <v>7.114</v>
      </c>
      <c r="C47" s="50" t="n">
        <v>7.6937</v>
      </c>
      <c r="D47" s="50" t="n">
        <v>0.04844</v>
      </c>
      <c r="E47" s="50" t="n">
        <v>0.90993</v>
      </c>
      <c r="F47" s="50" t="n">
        <v>8.979699999999999</v>
      </c>
      <c r="G47" s="50" t="n">
        <v>4.6753</v>
      </c>
      <c r="H47" s="50" t="n">
        <v>4.3769</v>
      </c>
      <c r="I47" s="50" t="n">
        <v>5.3157</v>
      </c>
      <c r="J47" s="50" t="n">
        <v>8.1471</v>
      </c>
      <c r="K47" s="50" t="n">
        <v>5.247</v>
      </c>
      <c r="M47" s="50" t="n">
        <v>0.65555</v>
      </c>
      <c r="N47" s="50" t="n">
        <v>12.8006</v>
      </c>
      <c r="O47" s="50" t="n">
        <v>2.6617</v>
      </c>
      <c r="R47" s="50" t="n">
        <v>183.8</v>
      </c>
      <c r="S47" s="50" t="n">
        <v>0.5152600000000001</v>
      </c>
      <c r="T47" s="50" t="n">
        <v>0.52627</v>
      </c>
      <c r="U47" s="50" t="n">
        <v>49.3774</v>
      </c>
      <c r="V47" s="50" t="n">
        <v>0.56234</v>
      </c>
      <c r="W47" s="50" t="n">
        <v>0.9694</v>
      </c>
      <c r="X47" s="50" t="n">
        <v>1.4705</v>
      </c>
      <c r="Y47" s="50" t="n">
        <v>1.5324</v>
      </c>
      <c r="Z47" s="50" t="n">
        <v>4.05573</v>
      </c>
      <c r="AA47" s="50" t="n">
        <v>2.4407</v>
      </c>
      <c r="AB47" s="50" t="n">
        <v>4.9322</v>
      </c>
    </row>
    <row r="48">
      <c r="A48" s="49" t="n">
        <v>45267</v>
      </c>
      <c r="B48" s="50" t="n">
        <v>7.1176</v>
      </c>
      <c r="C48" s="50" t="n">
        <v>7.6746</v>
      </c>
      <c r="D48" s="50" t="n">
        <v>0.048442</v>
      </c>
      <c r="E48" s="50" t="n">
        <v>0.91138</v>
      </c>
      <c r="F48" s="50" t="n">
        <v>8.9537</v>
      </c>
      <c r="G48" s="50" t="n">
        <v>4.6725</v>
      </c>
      <c r="H48" s="50" t="n">
        <v>4.3825</v>
      </c>
      <c r="I48" s="50" t="n">
        <v>5.3137</v>
      </c>
      <c r="J48" s="50" t="n">
        <v>8.152799999999999</v>
      </c>
      <c r="K48" s="50" t="n">
        <v>5.2467</v>
      </c>
      <c r="M48" s="50" t="n">
        <v>0.6561</v>
      </c>
      <c r="N48" s="50" t="n">
        <v>12.9704</v>
      </c>
      <c r="O48" s="50" t="n">
        <v>2.6626</v>
      </c>
      <c r="R48" s="50" t="n">
        <v>184.16</v>
      </c>
      <c r="S48" s="50" t="n">
        <v>0.5154300000000001</v>
      </c>
      <c r="T48" s="50" t="n">
        <v>0.52642</v>
      </c>
      <c r="U48" s="50" t="n">
        <v>49.5997</v>
      </c>
      <c r="V48" s="50" t="n">
        <v>0.5647</v>
      </c>
      <c r="W48" s="50" t="n">
        <v>0.9728</v>
      </c>
      <c r="X48" s="50" t="n">
        <v>1.4691</v>
      </c>
      <c r="Y48" s="50" t="n">
        <v>1.5397</v>
      </c>
      <c r="Z48" s="50" t="n">
        <v>4.05693</v>
      </c>
      <c r="AA48" s="50" t="n">
        <v>2.4296</v>
      </c>
      <c r="AB48" s="50" t="n">
        <v>4.9312</v>
      </c>
    </row>
    <row r="49">
      <c r="A49" s="49" t="n">
        <v>45268</v>
      </c>
      <c r="B49" s="50" t="n">
        <v>7.1123</v>
      </c>
      <c r="C49" s="50" t="n">
        <v>7.6792</v>
      </c>
      <c r="D49" s="50" t="n">
        <v>0.049431</v>
      </c>
      <c r="E49" s="50" t="n">
        <v>0.91045</v>
      </c>
      <c r="F49" s="50" t="n">
        <v>8.949199999999999</v>
      </c>
      <c r="G49" s="50" t="n">
        <v>4.6926</v>
      </c>
      <c r="H49" s="50" t="n">
        <v>4.3883</v>
      </c>
      <c r="I49" s="50" t="n">
        <v>5.3153</v>
      </c>
      <c r="J49" s="50" t="n">
        <v>8.1304</v>
      </c>
      <c r="K49" s="50" t="n">
        <v>5.2336</v>
      </c>
      <c r="M49" s="50" t="n">
        <v>0.65662</v>
      </c>
      <c r="N49" s="50" t="n">
        <v>12.9723</v>
      </c>
      <c r="O49" s="50" t="n">
        <v>2.6454</v>
      </c>
      <c r="R49" s="50" t="n">
        <v>184.33</v>
      </c>
      <c r="S49" s="50" t="n">
        <v>0.51635</v>
      </c>
      <c r="T49" s="50" t="n">
        <v>0.52742</v>
      </c>
      <c r="U49" s="50" t="n">
        <v>49.7833</v>
      </c>
      <c r="V49" s="50" t="n">
        <v>0.56467</v>
      </c>
      <c r="W49" s="50" t="n">
        <v>0.9724</v>
      </c>
      <c r="X49" s="50" t="n">
        <v>1.4596</v>
      </c>
      <c r="Y49" s="50" t="n">
        <v>1.5285</v>
      </c>
      <c r="Z49" s="50" t="n">
        <v>4.06545</v>
      </c>
      <c r="AA49" s="50" t="n">
        <v>2.459</v>
      </c>
      <c r="AB49" s="50" t="n">
        <v>4.9297</v>
      </c>
    </row>
    <row r="50">
      <c r="A50" s="49" t="n">
        <v>45271</v>
      </c>
      <c r="B50" s="50" t="n">
        <v>7.1163</v>
      </c>
      <c r="C50" s="50" t="n">
        <v>7.6737</v>
      </c>
      <c r="D50" s="50" t="n">
        <v>0.049166</v>
      </c>
      <c r="E50" s="50" t="n">
        <v>0.91099</v>
      </c>
      <c r="F50" s="50" t="n">
        <v>8.946400000000001</v>
      </c>
      <c r="G50" s="50" t="n">
        <v>4.6921</v>
      </c>
      <c r="H50" s="50" t="n">
        <v>4.3721</v>
      </c>
      <c r="I50" s="50" t="n">
        <v>5.3116</v>
      </c>
      <c r="J50" s="50" t="n">
        <v>8.1043</v>
      </c>
      <c r="K50" s="50" t="n">
        <v>5.2472</v>
      </c>
      <c r="M50" s="50" t="n">
        <v>0.65657</v>
      </c>
      <c r="N50" s="50" t="n">
        <v>12.8777</v>
      </c>
      <c r="O50" s="50" t="n">
        <v>2.6611</v>
      </c>
      <c r="R50" s="50" t="n">
        <v>183.75</v>
      </c>
      <c r="S50" s="50" t="n">
        <v>0.5155999999999999</v>
      </c>
      <c r="T50" s="50" t="n">
        <v>0.52664</v>
      </c>
      <c r="U50" s="50" t="n">
        <v>49.7292</v>
      </c>
      <c r="V50" s="50" t="n">
        <v>0.56587</v>
      </c>
      <c r="W50" s="50" t="n">
        <v>0.9734</v>
      </c>
      <c r="X50" s="50" t="n">
        <v>1.4687</v>
      </c>
      <c r="Y50" s="50" t="n">
        <v>1.5301</v>
      </c>
      <c r="Z50" s="50" t="n">
        <v>4.06277</v>
      </c>
      <c r="AA50" s="50" t="n">
        <v>2.4393</v>
      </c>
      <c r="AB50" s="50" t="n">
        <v>4.9645</v>
      </c>
    </row>
    <row r="51">
      <c r="A51" s="49" t="n">
        <v>45272</v>
      </c>
      <c r="B51" s="50" t="n">
        <v>7.1174</v>
      </c>
      <c r="C51" s="50" t="n">
        <v>7.6812</v>
      </c>
      <c r="D51" s="50" t="n">
        <v>0.048853</v>
      </c>
      <c r="E51" s="50" t="n">
        <v>0.91182</v>
      </c>
      <c r="F51" s="50" t="n">
        <v>8.959</v>
      </c>
      <c r="G51" s="50" t="n">
        <v>4.6887</v>
      </c>
      <c r="H51" s="50" t="n">
        <v>4.3756</v>
      </c>
      <c r="I51" s="50" t="n">
        <v>5.3083</v>
      </c>
      <c r="J51" s="50" t="n">
        <v>8.120100000000001</v>
      </c>
      <c r="K51" s="50" t="n">
        <v>5.2587</v>
      </c>
      <c r="M51" s="50" t="n">
        <v>0.65751</v>
      </c>
      <c r="N51" s="50" t="n">
        <v>12.7303</v>
      </c>
      <c r="O51" s="50" t="n">
        <v>2.6763</v>
      </c>
      <c r="R51" s="50" t="n">
        <v>183.95</v>
      </c>
      <c r="S51" s="50" t="n">
        <v>0.51484</v>
      </c>
      <c r="T51" s="50" t="n">
        <v>0.52584</v>
      </c>
      <c r="U51" s="50" t="n">
        <v>49.9848</v>
      </c>
      <c r="V51" s="50" t="n">
        <v>0.5655</v>
      </c>
      <c r="W51" s="50" t="n">
        <v>0.9719</v>
      </c>
      <c r="X51" s="50" t="n">
        <v>1.4697</v>
      </c>
      <c r="Y51" s="50" t="n">
        <v>1.5363</v>
      </c>
      <c r="Z51" s="50" t="n">
        <v>4.06049</v>
      </c>
      <c r="AA51" s="50" t="n">
        <v>2.4418</v>
      </c>
      <c r="AB51" s="50" t="n">
        <v>4.974</v>
      </c>
    </row>
    <row r="52">
      <c r="A52" s="49" t="n">
        <v>45273</v>
      </c>
      <c r="B52" s="50" t="n">
        <v>7.1126</v>
      </c>
      <c r="C52" s="50" t="n">
        <v>7.6933</v>
      </c>
      <c r="D52" s="50" t="n">
        <v>0.049062</v>
      </c>
      <c r="E52" s="50" t="n">
        <v>0.91087</v>
      </c>
      <c r="F52" s="50" t="n">
        <v>8.954499999999999</v>
      </c>
      <c r="G52" s="50" t="n">
        <v>4.6802</v>
      </c>
      <c r="H52" s="50" t="n">
        <v>4.378</v>
      </c>
      <c r="I52" s="50" t="n">
        <v>5.3119</v>
      </c>
      <c r="J52" s="50" t="n">
        <v>8.141500000000001</v>
      </c>
      <c r="K52" s="50" t="n">
        <v>5.2459</v>
      </c>
      <c r="M52" s="50" t="n">
        <v>0.65801</v>
      </c>
      <c r="N52" s="50" t="n">
        <v>12.6364</v>
      </c>
      <c r="O52" s="50" t="n">
        <v>2.6629</v>
      </c>
      <c r="R52" s="50" t="n">
        <v>183.75</v>
      </c>
      <c r="S52" s="50" t="n">
        <v>0.51573</v>
      </c>
      <c r="T52" s="50" t="n">
        <v>0.52676</v>
      </c>
      <c r="U52" s="50" t="n">
        <v>49.7834</v>
      </c>
      <c r="V52" s="50" t="n">
        <v>0.56353</v>
      </c>
      <c r="W52" s="50" t="n">
        <v>0.9712</v>
      </c>
      <c r="X52" s="50" t="n">
        <v>1.4636</v>
      </c>
      <c r="Y52" s="50" t="n">
        <v>1.5384</v>
      </c>
      <c r="Z52" s="50" t="n">
        <v>4.07424</v>
      </c>
      <c r="AA52" s="50" t="n">
        <v>2.4338</v>
      </c>
      <c r="AB52" s="50" t="n">
        <v>4.9984</v>
      </c>
    </row>
    <row r="53">
      <c r="A53" s="49" t="n">
        <v>45274</v>
      </c>
      <c r="B53" s="50" t="n">
        <v>7.109</v>
      </c>
      <c r="C53" s="50" t="n">
        <v>7.7356</v>
      </c>
      <c r="D53" s="50" t="n">
        <v>0.049908</v>
      </c>
      <c r="E53" s="50" t="n">
        <v>0.91064</v>
      </c>
      <c r="F53" s="50" t="n">
        <v>8.9748</v>
      </c>
      <c r="G53" s="50" t="n">
        <v>4.7411</v>
      </c>
      <c r="H53" s="50" t="n">
        <v>4.4049</v>
      </c>
      <c r="I53" s="50" t="n">
        <v>5.3341</v>
      </c>
      <c r="J53" s="50" t="n">
        <v>8.1669</v>
      </c>
      <c r="K53" s="50" t="n">
        <v>5.2663</v>
      </c>
      <c r="M53" s="50" t="n">
        <v>0.65767</v>
      </c>
      <c r="N53" s="50" t="n">
        <v>12.6186</v>
      </c>
      <c r="O53" s="50" t="n">
        <v>2.6275</v>
      </c>
      <c r="R53" s="50" t="n">
        <v>182.92</v>
      </c>
      <c r="S53" s="50" t="n">
        <v>0.51698</v>
      </c>
      <c r="T53" s="50" t="n">
        <v>0.52806</v>
      </c>
      <c r="U53" s="50" t="n">
        <v>49.0861</v>
      </c>
      <c r="V53" s="50" t="n">
        <v>0.55653</v>
      </c>
      <c r="W53" s="50" t="n">
        <v>0.9651999999999999</v>
      </c>
      <c r="X53" s="50" t="n">
        <v>1.4502</v>
      </c>
      <c r="Y53" s="50" t="n">
        <v>1.5172</v>
      </c>
      <c r="Z53" s="50" t="n">
        <v>4.0811</v>
      </c>
      <c r="AA53" s="50" t="n">
        <v>2.4326</v>
      </c>
      <c r="AB53" s="50" t="n">
        <v>4.9406</v>
      </c>
    </row>
    <row r="54">
      <c r="A54" s="49" t="n">
        <v>45275</v>
      </c>
      <c r="B54" s="50" t="n">
        <v>7.0957</v>
      </c>
      <c r="C54" s="50" t="n">
        <v>7.7988</v>
      </c>
      <c r="D54" s="50" t="n">
        <v>0.049897</v>
      </c>
      <c r="E54" s="50" t="n">
        <v>0.90898</v>
      </c>
      <c r="F54" s="50" t="n">
        <v>9.0542</v>
      </c>
      <c r="G54" s="50" t="n">
        <v>4.7519</v>
      </c>
      <c r="H54" s="50" t="n">
        <v>4.4044</v>
      </c>
      <c r="I54" s="50" t="n">
        <v>5.3417</v>
      </c>
      <c r="J54" s="50" t="n">
        <v>8.1785</v>
      </c>
      <c r="K54" s="50" t="n">
        <v>5.2897</v>
      </c>
      <c r="M54" s="50" t="n">
        <v>0.65787</v>
      </c>
      <c r="N54" s="50" t="n">
        <v>12.6257</v>
      </c>
      <c r="O54" s="50" t="n">
        <v>2.5847</v>
      </c>
      <c r="R54" s="50" t="n">
        <v>182.02</v>
      </c>
      <c r="S54" s="50" t="n">
        <v>0.51807</v>
      </c>
      <c r="T54" s="50" t="n">
        <v>0.52916</v>
      </c>
      <c r="U54" s="50" t="n">
        <v>48.7363</v>
      </c>
      <c r="V54" s="50" t="n">
        <v>0.5538999999999999</v>
      </c>
      <c r="W54" s="50" t="n">
        <v>0.9575</v>
      </c>
      <c r="X54" s="50" t="n">
        <v>1.4444</v>
      </c>
      <c r="Y54" s="50" t="n">
        <v>1.4814</v>
      </c>
      <c r="Z54" s="50" t="n">
        <v>4.08533</v>
      </c>
      <c r="AA54" s="50" t="n">
        <v>2.4252</v>
      </c>
      <c r="AB54" s="50" t="n">
        <v>4.9153</v>
      </c>
    </row>
    <row r="55">
      <c r="A55" s="49" t="n">
        <v>45278</v>
      </c>
      <c r="B55" s="50" t="n">
        <v>7.0933</v>
      </c>
      <c r="C55" s="50" t="n">
        <v>7.7414</v>
      </c>
      <c r="D55" s="50" t="n">
        <v>0.04993</v>
      </c>
      <c r="E55" s="50" t="n">
        <v>0.9092</v>
      </c>
      <c r="F55" s="50" t="n">
        <v>9.003399999999999</v>
      </c>
      <c r="G55" s="50" t="n">
        <v>4.7597</v>
      </c>
      <c r="H55" s="50" t="n">
        <v>4.4133</v>
      </c>
      <c r="I55" s="50" t="n">
        <v>5.3294</v>
      </c>
      <c r="J55" s="50" t="n">
        <v>8.164099999999999</v>
      </c>
      <c r="K55" s="50" t="n">
        <v>5.3133</v>
      </c>
      <c r="M55" s="50" t="n">
        <v>0.6573099999999999</v>
      </c>
      <c r="N55" s="50" t="n">
        <v>12.6919</v>
      </c>
      <c r="O55" s="50" t="n">
        <v>2.5816</v>
      </c>
      <c r="R55" s="50" t="n">
        <v>182.57</v>
      </c>
      <c r="S55" s="50" t="n">
        <v>0.51683</v>
      </c>
      <c r="T55" s="50" t="n">
        <v>0.5279</v>
      </c>
      <c r="U55" s="50" t="n">
        <v>49.4328</v>
      </c>
      <c r="V55" s="50" t="n">
        <v>0.5597299999999999</v>
      </c>
      <c r="W55" s="50" t="n">
        <v>0.963</v>
      </c>
      <c r="X55" s="50" t="n">
        <v>1.4519</v>
      </c>
      <c r="Y55" s="50" t="n">
        <v>1.4748</v>
      </c>
      <c r="Z55" s="50" t="n">
        <v>4.07145</v>
      </c>
      <c r="AA55" s="50" t="n">
        <v>2.4255</v>
      </c>
      <c r="AB55" s="50" t="n">
        <v>4.9117</v>
      </c>
    </row>
    <row r="56">
      <c r="A56" s="49" t="n">
        <v>45279</v>
      </c>
      <c r="B56" s="50" t="n">
        <v>7.0982</v>
      </c>
      <c r="C56" s="50" t="n">
        <v>7.7584</v>
      </c>
      <c r="D56" s="50" t="n">
        <v>0.049819</v>
      </c>
      <c r="E56" s="50" t="n">
        <v>0.91068</v>
      </c>
      <c r="F56" s="50" t="n">
        <v>8.984999999999999</v>
      </c>
      <c r="G56" s="50" t="n">
        <v>4.7634</v>
      </c>
      <c r="H56" s="50" t="n">
        <v>4.4192</v>
      </c>
      <c r="I56" s="50" t="n">
        <v>5.3329</v>
      </c>
      <c r="J56" s="50" t="n">
        <v>8.191700000000001</v>
      </c>
      <c r="K56" s="50" t="n">
        <v>5.304</v>
      </c>
      <c r="M56" s="50" t="n">
        <v>0.66159</v>
      </c>
      <c r="N56" s="50" t="n">
        <v>12.6832</v>
      </c>
      <c r="O56" s="50" t="n">
        <v>2.6189</v>
      </c>
      <c r="R56" s="50" t="n">
        <v>182.79</v>
      </c>
      <c r="S56" s="50" t="n">
        <v>0.51715</v>
      </c>
      <c r="T56" s="50" t="n">
        <v>0.52829</v>
      </c>
      <c r="U56" s="50" t="n">
        <v>49.6063</v>
      </c>
      <c r="V56" s="50" t="n">
        <v>0.55785</v>
      </c>
      <c r="W56" s="50" t="n">
        <v>0.9619</v>
      </c>
      <c r="X56" s="50" t="n">
        <v>1.4383</v>
      </c>
      <c r="Y56" s="50" t="n">
        <v>1.4644</v>
      </c>
      <c r="Z56" s="50" t="n">
        <v>4.09068</v>
      </c>
      <c r="AA56" s="50" t="n">
        <v>2.4192</v>
      </c>
      <c r="AB56" s="50" t="n">
        <v>4.9139</v>
      </c>
    </row>
    <row r="57">
      <c r="A57" s="49" t="n">
        <v>45280</v>
      </c>
      <c r="B57" s="50" t="n">
        <v>7.0966</v>
      </c>
      <c r="C57" s="50" t="n">
        <v>7.7975</v>
      </c>
      <c r="D57" s="50" t="n">
        <v>0.049383</v>
      </c>
      <c r="E57" s="50" t="n">
        <v>0.90999</v>
      </c>
      <c r="F57" s="50" t="n">
        <v>9.041399999999999</v>
      </c>
      <c r="G57" s="50" t="n">
        <v>4.8027</v>
      </c>
      <c r="H57" s="50" t="n">
        <v>4.4558</v>
      </c>
      <c r="I57" s="50" t="n">
        <v>5.3443</v>
      </c>
      <c r="J57" s="50" t="n">
        <v>8.2517</v>
      </c>
      <c r="K57" s="50" t="n">
        <v>5.3274</v>
      </c>
      <c r="M57" s="50" t="n">
        <v>0.65788</v>
      </c>
      <c r="N57" s="50" t="n">
        <v>12.7112</v>
      </c>
      <c r="O57" s="50" t="n">
        <v>2.5831</v>
      </c>
      <c r="R57" s="50" t="n">
        <v>183.06</v>
      </c>
      <c r="S57" s="50" t="n">
        <v>0.51729</v>
      </c>
      <c r="T57" s="50" t="n">
        <v>0.5283600000000001</v>
      </c>
      <c r="U57" s="50" t="n">
        <v>49.3695</v>
      </c>
      <c r="V57" s="50" t="n">
        <v>0.55549</v>
      </c>
      <c r="W57" s="50" t="n">
        <v>0.9574</v>
      </c>
      <c r="X57" s="50" t="n">
        <v>1.4304</v>
      </c>
      <c r="Y57" s="50" t="n">
        <v>1.4466</v>
      </c>
      <c r="Z57" s="50" t="n">
        <v>4.09736</v>
      </c>
      <c r="AA57" s="50" t="n">
        <v>2.4068</v>
      </c>
      <c r="AB57" s="50" t="n">
        <v>4.9054</v>
      </c>
    </row>
    <row r="58">
      <c r="A58" s="49" t="n">
        <v>45281</v>
      </c>
      <c r="B58" s="50" t="n">
        <v>7.1012</v>
      </c>
      <c r="C58" s="50" t="n">
        <v>7.7775</v>
      </c>
      <c r="D58" s="50" t="n">
        <v>0.049553</v>
      </c>
      <c r="E58" s="50" t="n">
        <v>0.90984</v>
      </c>
      <c r="F58" s="50" t="n">
        <v>8.985799999999999</v>
      </c>
      <c r="G58" s="50" t="n">
        <v>4.7893</v>
      </c>
      <c r="H58" s="50" t="n">
        <v>4.4479</v>
      </c>
      <c r="I58" s="50" t="n">
        <v>5.3354</v>
      </c>
      <c r="J58" s="50" t="n">
        <v>8.2431</v>
      </c>
      <c r="K58" s="50" t="n">
        <v>5.3223</v>
      </c>
      <c r="M58" s="50" t="n">
        <v>0.65625</v>
      </c>
      <c r="N58" s="50" t="n">
        <v>12.7426</v>
      </c>
      <c r="O58" s="50" t="n">
        <v>2.5768</v>
      </c>
      <c r="R58" s="50" t="n">
        <v>182.76</v>
      </c>
      <c r="S58" s="50" t="n">
        <v>0.51692</v>
      </c>
      <c r="T58" s="50" t="n">
        <v>0.52771</v>
      </c>
      <c r="U58" s="50" t="n">
        <v>49.4214</v>
      </c>
      <c r="V58" s="50" t="n">
        <v>0.55937</v>
      </c>
      <c r="W58" s="50" t="n">
        <v>0.9597</v>
      </c>
      <c r="X58" s="50" t="n">
        <v>1.4313</v>
      </c>
      <c r="Y58" s="50" t="n">
        <v>1.4569</v>
      </c>
      <c r="Z58" s="50" t="n">
        <v>4.10022</v>
      </c>
      <c r="AA58" s="50" t="n">
        <v>2.4149</v>
      </c>
      <c r="AB58" s="50" t="n">
        <v>4.9121</v>
      </c>
    </row>
    <row r="59">
      <c r="A59" s="49" t="n">
        <v>45282</v>
      </c>
      <c r="B59" s="50" t="n">
        <v>7.0953</v>
      </c>
      <c r="C59" s="50" t="n">
        <v>7.816</v>
      </c>
      <c r="D59" s="50" t="n">
        <v>0.049988</v>
      </c>
      <c r="E59" s="50" t="n">
        <v>0.90862</v>
      </c>
      <c r="F59" s="50" t="n">
        <v>9.007</v>
      </c>
      <c r="G59" s="50" t="n">
        <v>4.8271</v>
      </c>
      <c r="H59" s="50" t="n">
        <v>4.4721</v>
      </c>
      <c r="I59" s="50" t="n">
        <v>5.3511</v>
      </c>
      <c r="J59" s="50" t="n">
        <v>8.292199999999999</v>
      </c>
      <c r="K59" s="50" t="n">
        <v>5.3468</v>
      </c>
      <c r="M59" s="50" t="n">
        <v>0.65479</v>
      </c>
      <c r="N59" s="50" t="n">
        <v>12.934</v>
      </c>
      <c r="O59" s="50" t="n">
        <v>2.5867</v>
      </c>
      <c r="R59" s="50" t="n">
        <v>182.59</v>
      </c>
      <c r="S59" s="50" t="n">
        <v>0.51751</v>
      </c>
      <c r="T59" s="50" t="n">
        <v>0.52858</v>
      </c>
      <c r="U59" s="50" t="n">
        <v>48.972</v>
      </c>
      <c r="V59" s="50" t="n">
        <v>0.55423</v>
      </c>
      <c r="W59" s="50" t="n">
        <v>0.9552</v>
      </c>
      <c r="X59" s="50" t="n">
        <v>1.4213</v>
      </c>
      <c r="Y59" s="50" t="n">
        <v>1.4474</v>
      </c>
      <c r="Z59" s="50" t="n">
        <v>4.10367</v>
      </c>
      <c r="AA59" s="50" t="n">
        <v>2.4021</v>
      </c>
      <c r="AB59" s="50" t="n">
        <v>4.8874</v>
      </c>
    </row>
    <row r="60">
      <c r="A60" s="49" t="n">
        <v>45285</v>
      </c>
      <c r="B60" s="50" t="n">
        <v>7.101</v>
      </c>
      <c r="C60" s="50" t="n">
        <v>7.8238</v>
      </c>
      <c r="D60" s="50" t="n">
        <v>0.049926</v>
      </c>
      <c r="E60" s="50" t="n">
        <v>0.90847</v>
      </c>
      <c r="F60" s="50" t="n">
        <v>9.0344</v>
      </c>
      <c r="G60" s="50" t="n">
        <v>4.8275</v>
      </c>
      <c r="H60" s="50" t="n">
        <v>4.4775</v>
      </c>
      <c r="I60" s="50" t="n">
        <v>5.3634</v>
      </c>
      <c r="J60" s="50" t="n">
        <v>8.2934</v>
      </c>
      <c r="K60" s="50" t="n">
        <v>5.3554</v>
      </c>
      <c r="M60" s="50" t="n">
        <v>0.65284</v>
      </c>
      <c r="N60" s="50" t="n">
        <v>12.9459</v>
      </c>
      <c r="O60" s="50" t="n">
        <v>2.6015</v>
      </c>
      <c r="R60" s="50" t="n">
        <v>182.71</v>
      </c>
      <c r="S60" s="50" t="n">
        <v>0.51722</v>
      </c>
      <c r="T60" s="50" t="n">
        <v>0.52823</v>
      </c>
      <c r="U60" s="50" t="n">
        <v>48.7639</v>
      </c>
      <c r="V60" s="50" t="n">
        <v>0.55442</v>
      </c>
      <c r="W60" s="50" t="n">
        <v>0.9540999999999999</v>
      </c>
      <c r="X60" s="50" t="n">
        <v>1.4111</v>
      </c>
      <c r="Y60" s="50" t="n">
        <v>1.4331</v>
      </c>
      <c r="Z60" s="50" t="n">
        <v>4.11323</v>
      </c>
      <c r="AA60" s="50" t="n">
        <v>2.3958</v>
      </c>
      <c r="AB60" s="50" t="n">
        <v>4.8675</v>
      </c>
    </row>
    <row r="61">
      <c r="A61" s="49" t="n">
        <v>45286</v>
      </c>
      <c r="B61" s="50" t="n">
        <v>7.0965</v>
      </c>
      <c r="C61" s="50" t="n">
        <v>7.8335</v>
      </c>
      <c r="D61" s="50" t="n">
        <v>0.050019</v>
      </c>
      <c r="E61" s="50" t="n">
        <v>0.90859</v>
      </c>
      <c r="F61" s="50" t="n">
        <v>9.032400000000001</v>
      </c>
      <c r="G61" s="50" t="n">
        <v>4.8402</v>
      </c>
      <c r="H61" s="50" t="n">
        <v>4.4868</v>
      </c>
      <c r="I61" s="50" t="n">
        <v>5.3644</v>
      </c>
      <c r="J61" s="50" t="n">
        <v>8.302899999999999</v>
      </c>
      <c r="K61" s="50" t="n">
        <v>5.3637</v>
      </c>
      <c r="M61" s="50" t="n">
        <v>0.65063</v>
      </c>
      <c r="N61" s="50" t="n">
        <v>12.9499</v>
      </c>
      <c r="O61" s="50" t="n">
        <v>2.6027</v>
      </c>
      <c r="R61" s="50" t="n">
        <v>182.4</v>
      </c>
      <c r="S61" s="50" t="n">
        <v>0.51678</v>
      </c>
      <c r="T61" s="50" t="n">
        <v>0.52778</v>
      </c>
      <c r="U61" s="50" t="n">
        <v>48.7028</v>
      </c>
      <c r="V61" s="50" t="n">
        <v>0.55407</v>
      </c>
      <c r="W61" s="50" t="n">
        <v>0.9525</v>
      </c>
      <c r="X61" s="50" t="n">
        <v>1.4076</v>
      </c>
      <c r="Y61" s="50" t="n">
        <v>1.4321</v>
      </c>
      <c r="Z61" s="50" t="n">
        <v>4.11386</v>
      </c>
      <c r="AA61" s="50" t="n">
        <v>2.392</v>
      </c>
      <c r="AB61" s="50" t="n">
        <v>4.8587</v>
      </c>
    </row>
    <row r="62">
      <c r="A62" s="49" t="n">
        <v>45287</v>
      </c>
      <c r="B62" s="50" t="n">
        <v>7.1002</v>
      </c>
      <c r="C62" s="50" t="n">
        <v>7.8452</v>
      </c>
      <c r="D62" s="50" t="n">
        <v>0.049951</v>
      </c>
      <c r="E62" s="50" t="n">
        <v>0.90901</v>
      </c>
      <c r="F62" s="50" t="n">
        <v>9.0436</v>
      </c>
      <c r="G62" s="50" t="n">
        <v>4.8515</v>
      </c>
      <c r="H62" s="50" t="n">
        <v>4.5007</v>
      </c>
      <c r="I62" s="50" t="n">
        <v>5.368</v>
      </c>
      <c r="J62" s="50" t="n">
        <v>8.322699999999999</v>
      </c>
      <c r="K62" s="50" t="n">
        <v>5.3858</v>
      </c>
      <c r="M62" s="50" t="n">
        <v>0.65271</v>
      </c>
      <c r="N62" s="50" t="n">
        <v>12.8602</v>
      </c>
      <c r="O62" s="50" t="n">
        <v>2.6275</v>
      </c>
      <c r="R62" s="50" t="n">
        <v>181.93</v>
      </c>
      <c r="S62" s="50" t="n">
        <v>0.517</v>
      </c>
      <c r="T62" s="50" t="n">
        <v>0.52799</v>
      </c>
      <c r="U62" s="50" t="n">
        <v>48.698</v>
      </c>
      <c r="V62" s="50" t="n">
        <v>0.5522899999999999</v>
      </c>
      <c r="W62" s="50" t="n">
        <v>0.9514</v>
      </c>
      <c r="X62" s="50" t="n">
        <v>1.4067</v>
      </c>
      <c r="Y62" s="50" t="n">
        <v>1.4286</v>
      </c>
      <c r="Z62" s="50" t="n">
        <v>4.11715</v>
      </c>
      <c r="AA62" s="50" t="n">
        <v>2.3936</v>
      </c>
      <c r="AB62" s="50" t="n">
        <v>4.8563</v>
      </c>
    </row>
    <row r="63">
      <c r="A63" s="49" t="n">
        <v>45288</v>
      </c>
      <c r="B63" s="50" t="n">
        <v>7.0974</v>
      </c>
      <c r="C63" s="50" t="n">
        <v>7.8901</v>
      </c>
      <c r="D63" s="50" t="n">
        <v>0.050201</v>
      </c>
      <c r="E63" s="50" t="n">
        <v>0.90861</v>
      </c>
      <c r="F63" s="50" t="n">
        <v>9.0886</v>
      </c>
      <c r="G63" s="50" t="n">
        <v>4.8656</v>
      </c>
      <c r="H63" s="50" t="n">
        <v>4.5103</v>
      </c>
      <c r="I63" s="50" t="n">
        <v>5.3803</v>
      </c>
      <c r="J63" s="50" t="n">
        <v>8.427099999999999</v>
      </c>
      <c r="K63" s="50" t="n">
        <v>5.379</v>
      </c>
      <c r="M63" s="50" t="n">
        <v>0.65115</v>
      </c>
      <c r="N63" s="50" t="n">
        <v>12.8959</v>
      </c>
      <c r="O63" s="50" t="n">
        <v>2.592</v>
      </c>
      <c r="R63" s="50" t="n">
        <v>181.87</v>
      </c>
      <c r="S63" s="50" t="n">
        <v>0.51749</v>
      </c>
      <c r="T63" s="50" t="n">
        <v>0.52841</v>
      </c>
      <c r="U63" s="50" t="n">
        <v>48.511</v>
      </c>
      <c r="V63" s="50" t="n">
        <v>0.54825</v>
      </c>
      <c r="W63" s="50" t="n">
        <v>0.946</v>
      </c>
      <c r="X63" s="50" t="n">
        <v>1.3996</v>
      </c>
      <c r="Y63" s="50" t="n">
        <v>1.4224</v>
      </c>
      <c r="Z63" s="50" t="n">
        <v>4.1377</v>
      </c>
      <c r="AA63" s="50" t="n">
        <v>2.386</v>
      </c>
      <c r="AB63" s="50" t="n">
        <v>4.8244</v>
      </c>
    </row>
    <row r="64">
      <c r="A64" s="49" t="n">
        <v>45289</v>
      </c>
      <c r="B64" s="50" t="n">
        <v>7.0827</v>
      </c>
      <c r="C64" s="50" t="n">
        <v>7.8592</v>
      </c>
      <c r="D64" s="50" t="n">
        <v>0.050213</v>
      </c>
      <c r="E64" s="50" t="n">
        <v>0.90622</v>
      </c>
      <c r="F64" s="50" t="n">
        <v>9.0411</v>
      </c>
      <c r="G64" s="50" t="n">
        <v>4.8484</v>
      </c>
      <c r="H64" s="50" t="n">
        <v>4.4991</v>
      </c>
      <c r="I64" s="50" t="n">
        <v>5.3772</v>
      </c>
      <c r="J64" s="50" t="n">
        <v>8.4184</v>
      </c>
      <c r="K64" s="50" t="n">
        <v>5.3673</v>
      </c>
      <c r="M64" s="50" t="n">
        <v>0.6487000000000001</v>
      </c>
      <c r="N64" s="50" t="n">
        <v>12.4582</v>
      </c>
      <c r="O64" s="50" t="n">
        <v>2.6183</v>
      </c>
      <c r="R64" s="50" t="n">
        <v>181.36</v>
      </c>
      <c r="S64" s="50" t="n">
        <v>0.51745</v>
      </c>
      <c r="T64" s="50" t="n">
        <v>0.5283600000000001</v>
      </c>
      <c r="U64" s="50" t="n">
        <v>48.7105</v>
      </c>
      <c r="V64" s="50" t="n">
        <v>0.55227</v>
      </c>
      <c r="W64" s="50" t="n">
        <v>0.9491000000000001</v>
      </c>
      <c r="X64" s="50" t="n">
        <v>1.4065</v>
      </c>
      <c r="Y64" s="50" t="n">
        <v>1.4362</v>
      </c>
      <c r="Z64" s="50" t="n">
        <v>4.15785</v>
      </c>
      <c r="AA64" s="50" t="n">
        <v>2.3915</v>
      </c>
      <c r="AB64" s="50" t="n">
        <v>4.8225</v>
      </c>
    </row>
    <row r="65">
      <c r="A65" s="49" t="n">
        <v>45293</v>
      </c>
      <c r="B65" s="50" t="n">
        <v>7.077</v>
      </c>
      <c r="C65" s="50" t="n">
        <v>7.8218</v>
      </c>
      <c r="D65" s="50" t="n">
        <v>0.050274</v>
      </c>
      <c r="E65" s="50" t="n">
        <v>0.90564</v>
      </c>
      <c r="F65" s="50" t="n">
        <v>9.022600000000001</v>
      </c>
      <c r="G65" s="50" t="n">
        <v>4.8277</v>
      </c>
      <c r="H65" s="50" t="n">
        <v>4.4784</v>
      </c>
      <c r="I65" s="50" t="n">
        <v>5.37</v>
      </c>
      <c r="J65" s="50" t="n">
        <v>8.4194</v>
      </c>
      <c r="K65" s="50" t="n">
        <v>5.352</v>
      </c>
      <c r="L65" s="50" t="n">
        <v>1.1374</v>
      </c>
      <c r="M65" s="50" t="n">
        <v>0.64812</v>
      </c>
      <c r="N65" s="50" t="n">
        <v>12.606</v>
      </c>
      <c r="O65" s="50" t="n">
        <v>2.5832</v>
      </c>
      <c r="R65" s="50" t="n">
        <v>182.07</v>
      </c>
      <c r="S65" s="50" t="n">
        <v>0.51827</v>
      </c>
      <c r="T65" s="50" t="n">
        <v>0.52923</v>
      </c>
      <c r="U65" s="50" t="n">
        <v>48.9692</v>
      </c>
      <c r="V65" s="50" t="n">
        <v>0.5557</v>
      </c>
      <c r="W65" s="50" t="n">
        <v>0.9533</v>
      </c>
      <c r="X65" s="50" t="n">
        <v>1.421</v>
      </c>
      <c r="Y65" s="50" t="n">
        <v>1.4353</v>
      </c>
      <c r="Z65" s="50" t="n">
        <v>4.16662</v>
      </c>
      <c r="AA65" s="50" t="n">
        <v>2.394</v>
      </c>
      <c r="AB65" s="50" t="n">
        <v>4.8368</v>
      </c>
    </row>
    <row r="66">
      <c r="A66" s="49" t="n">
        <v>45294</v>
      </c>
      <c r="B66" s="50" t="n">
        <v>7.1002</v>
      </c>
      <c r="C66" s="50" t="n">
        <v>7.7802</v>
      </c>
      <c r="D66" s="50" t="n">
        <v>0.05008</v>
      </c>
      <c r="E66" s="50" t="n">
        <v>0.90864</v>
      </c>
      <c r="F66" s="50" t="n">
        <v>8.9794</v>
      </c>
      <c r="G66" s="50" t="n">
        <v>4.8174</v>
      </c>
      <c r="H66" s="50" t="n">
        <v>4.4561</v>
      </c>
      <c r="I66" s="50" t="n">
        <v>5.3621</v>
      </c>
      <c r="J66" s="50" t="n">
        <v>8.3712</v>
      </c>
      <c r="K66" s="50" t="n">
        <v>5.3427</v>
      </c>
      <c r="L66" s="50" t="n">
        <v>1.1335</v>
      </c>
      <c r="M66" s="50" t="n">
        <v>0.64941</v>
      </c>
      <c r="N66" s="50" t="n">
        <v>12.7368</v>
      </c>
      <c r="O66" s="50" t="n">
        <v>2.6109</v>
      </c>
      <c r="R66" s="50" t="n">
        <v>183.34</v>
      </c>
      <c r="S66" s="50" t="n">
        <v>0.5166500000000001</v>
      </c>
      <c r="T66" s="50" t="n">
        <v>0.52755</v>
      </c>
      <c r="U66" s="50" t="n">
        <v>49.1431</v>
      </c>
      <c r="V66" s="50" t="n">
        <v>0.56247</v>
      </c>
      <c r="W66" s="50" t="n">
        <v>0.959</v>
      </c>
      <c r="X66" s="50" t="n">
        <v>1.4345</v>
      </c>
      <c r="Y66" s="50" t="n">
        <v>1.4547</v>
      </c>
      <c r="Z66" s="50" t="n">
        <v>4.18546</v>
      </c>
      <c r="AA66" s="50" t="n">
        <v>2.4007</v>
      </c>
      <c r="AB66" s="50" t="n">
        <v>4.8036</v>
      </c>
    </row>
    <row r="67">
      <c r="A67" s="49" t="n">
        <v>45295</v>
      </c>
      <c r="B67" s="50" t="n">
        <v>7.0997</v>
      </c>
      <c r="C67" s="50" t="n">
        <v>7.7762</v>
      </c>
      <c r="D67" s="50" t="n">
        <v>0.049788</v>
      </c>
      <c r="E67" s="50" t="n">
        <v>0.90946</v>
      </c>
      <c r="F67" s="50" t="n">
        <v>9.021599999999999</v>
      </c>
      <c r="G67" s="50" t="n">
        <v>4.7959</v>
      </c>
      <c r="H67" s="50" t="n">
        <v>4.4536</v>
      </c>
      <c r="I67" s="50" t="n">
        <v>5.3569</v>
      </c>
      <c r="J67" s="50" t="n">
        <v>8.3855</v>
      </c>
      <c r="K67" s="50" t="n">
        <v>5.3357</v>
      </c>
      <c r="L67" s="50" t="n">
        <v>1.1334</v>
      </c>
      <c r="M67" s="50" t="n">
        <v>0.65197</v>
      </c>
      <c r="N67" s="50" t="n">
        <v>12.8737</v>
      </c>
      <c r="O67" s="50" t="n">
        <v>2.6286</v>
      </c>
      <c r="R67" s="50" t="n">
        <v>183.28</v>
      </c>
      <c r="S67" s="50" t="n">
        <v>0.51605</v>
      </c>
      <c r="T67" s="50" t="n">
        <v>0.52698</v>
      </c>
      <c r="U67" s="50" t="n">
        <v>48.9566</v>
      </c>
      <c r="V67" s="50" t="n">
        <v>0.5604</v>
      </c>
      <c r="W67" s="50" t="n">
        <v>0.96</v>
      </c>
      <c r="X67" s="50" t="n">
        <v>1.4444</v>
      </c>
      <c r="Y67" s="50" t="n">
        <v>1.4533</v>
      </c>
      <c r="Z67" s="50" t="n">
        <v>4.18481</v>
      </c>
      <c r="AA67" s="50" t="n">
        <v>2.3942</v>
      </c>
      <c r="AB67" s="50" t="n">
        <v>4.8273</v>
      </c>
    </row>
    <row r="68">
      <c r="A68" s="49" t="n">
        <v>45296</v>
      </c>
      <c r="B68" s="50" t="n">
        <v>7.1029</v>
      </c>
      <c r="C68" s="50" t="n">
        <v>7.7907</v>
      </c>
      <c r="D68" s="50" t="n">
        <v>0.04923</v>
      </c>
      <c r="E68" s="50" t="n">
        <v>0.90939</v>
      </c>
      <c r="F68" s="50" t="n">
        <v>9.0283</v>
      </c>
      <c r="G68" s="50" t="n">
        <v>4.7756</v>
      </c>
      <c r="H68" s="50" t="n">
        <v>4.4412</v>
      </c>
      <c r="I68" s="50" t="n">
        <v>5.3514</v>
      </c>
      <c r="J68" s="50" t="n">
        <v>8.373100000000001</v>
      </c>
      <c r="K68" s="50" t="n">
        <v>5.3322</v>
      </c>
      <c r="L68" s="50" t="n">
        <v>1.1317</v>
      </c>
      <c r="M68" s="50" t="n">
        <v>0.65356</v>
      </c>
      <c r="N68" s="50" t="n">
        <v>12.8043</v>
      </c>
      <c r="O68" s="50" t="n">
        <v>2.6298</v>
      </c>
      <c r="R68" s="50" t="n">
        <v>183.83</v>
      </c>
      <c r="S68" s="50" t="n">
        <v>0.51628</v>
      </c>
      <c r="T68" s="50" t="n">
        <v>0.52717</v>
      </c>
      <c r="U68" s="50" t="n">
        <v>48.7059</v>
      </c>
      <c r="V68" s="50" t="n">
        <v>0.55897</v>
      </c>
      <c r="W68" s="50" t="n">
        <v>0.9587</v>
      </c>
      <c r="X68" s="50" t="n">
        <v>1.4351</v>
      </c>
      <c r="Y68" s="50" t="n">
        <v>1.4466</v>
      </c>
      <c r="Z68" s="50" t="n">
        <v>4.19445</v>
      </c>
      <c r="AA68" s="50" t="n">
        <v>2.3967</v>
      </c>
      <c r="AB68" s="50" t="n">
        <v>4.844</v>
      </c>
    </row>
    <row r="69">
      <c r="A69" s="49" t="n">
        <v>45299</v>
      </c>
      <c r="B69" s="50" t="n">
        <v>7.1006</v>
      </c>
      <c r="C69" s="50" t="n">
        <v>7.7828</v>
      </c>
      <c r="D69" s="50" t="n">
        <v>0.049148</v>
      </c>
      <c r="E69" s="50" t="n">
        <v>0.9091399999999999</v>
      </c>
      <c r="F69" s="50" t="n">
        <v>9.045</v>
      </c>
      <c r="G69" s="50" t="n">
        <v>4.78</v>
      </c>
      <c r="H69" s="50" t="n">
        <v>4.4495</v>
      </c>
      <c r="I69" s="50" t="n">
        <v>5.3489</v>
      </c>
      <c r="J69" s="50" t="n">
        <v>8.360099999999999</v>
      </c>
      <c r="K69" s="50" t="n">
        <v>5.3265</v>
      </c>
      <c r="L69" s="50" t="n">
        <v>1.1337</v>
      </c>
      <c r="M69" s="50" t="n">
        <v>0.65468</v>
      </c>
      <c r="N69" s="50" t="n">
        <v>12.7655</v>
      </c>
      <c r="O69" s="50" t="n">
        <v>2.6265</v>
      </c>
      <c r="R69" s="50" t="n">
        <v>184.4</v>
      </c>
      <c r="S69" s="50" t="n">
        <v>0.5164</v>
      </c>
      <c r="T69" s="50" t="n">
        <v>0.52734</v>
      </c>
      <c r="U69" s="50" t="n">
        <v>48.6312</v>
      </c>
      <c r="V69" s="50" t="n">
        <v>0.55919</v>
      </c>
      <c r="W69" s="50" t="n">
        <v>0.9596</v>
      </c>
      <c r="X69" s="50" t="n">
        <v>1.4429</v>
      </c>
      <c r="Y69" s="50" t="n">
        <v>1.4507</v>
      </c>
      <c r="Z69" s="50" t="n">
        <v>4.19363</v>
      </c>
      <c r="AA69" s="50" t="n">
        <v>2.3775</v>
      </c>
      <c r="AB69" s="50" t="n">
        <v>4.8657</v>
      </c>
    </row>
    <row r="70">
      <c r="A70" s="49" t="n">
        <v>45300</v>
      </c>
      <c r="B70" s="50" t="n">
        <v>7.101</v>
      </c>
      <c r="C70" s="50" t="n">
        <v>7.7876</v>
      </c>
      <c r="D70" s="50" t="n">
        <v>0.049376</v>
      </c>
      <c r="E70" s="50" t="n">
        <v>0.90934</v>
      </c>
      <c r="F70" s="50" t="n">
        <v>9.064299999999999</v>
      </c>
      <c r="G70" s="50" t="n">
        <v>4.7811</v>
      </c>
      <c r="H70" s="50" t="n">
        <v>4.4506</v>
      </c>
      <c r="I70" s="50" t="n">
        <v>5.353</v>
      </c>
      <c r="J70" s="50" t="n">
        <v>8.387</v>
      </c>
      <c r="K70" s="50" t="n">
        <v>5.3278</v>
      </c>
      <c r="L70" s="50" t="n">
        <v>1.1327</v>
      </c>
      <c r="M70" s="50" t="n">
        <v>0.65539</v>
      </c>
      <c r="N70" s="50" t="n">
        <v>12.7636</v>
      </c>
      <c r="O70" s="50" t="n">
        <v>2.6165</v>
      </c>
      <c r="R70" s="50" t="n">
        <v>184.21</v>
      </c>
      <c r="S70" s="50" t="n">
        <v>0.5168199999999999</v>
      </c>
      <c r="T70" s="50" t="n">
        <v>0.52773</v>
      </c>
      <c r="U70" s="50" t="n">
        <v>48.5774</v>
      </c>
      <c r="V70" s="50" t="n">
        <v>0.5576</v>
      </c>
      <c r="W70" s="50" t="n">
        <v>0.9592000000000001</v>
      </c>
      <c r="X70" s="50" t="n">
        <v>1.4377</v>
      </c>
      <c r="Y70" s="50" t="n">
        <v>1.4577</v>
      </c>
      <c r="Z70" s="50" t="n">
        <v>4.20933</v>
      </c>
      <c r="AA70" s="50" t="n">
        <v>2.3722</v>
      </c>
      <c r="AB70" s="50" t="n">
        <v>4.9054</v>
      </c>
    </row>
    <row r="71">
      <c r="A71" s="49" t="n">
        <v>45301</v>
      </c>
      <c r="B71" s="50" t="n">
        <v>7.1055</v>
      </c>
      <c r="C71" s="50" t="n">
        <v>7.7809</v>
      </c>
      <c r="D71" s="50" t="n">
        <v>0.049334</v>
      </c>
      <c r="E71" s="50" t="n">
        <v>0.9089699999999999</v>
      </c>
      <c r="F71" s="50" t="n">
        <v>9.0488</v>
      </c>
      <c r="G71" s="50" t="n">
        <v>4.7618</v>
      </c>
      <c r="H71" s="50" t="n">
        <v>4.4471</v>
      </c>
      <c r="I71" s="50" t="n">
        <v>5.3467</v>
      </c>
      <c r="J71" s="50" t="n">
        <v>8.3538</v>
      </c>
      <c r="K71" s="50" t="n">
        <v>5.3184</v>
      </c>
      <c r="L71" s="50" t="n">
        <v>1.134</v>
      </c>
      <c r="M71" s="50" t="n">
        <v>0.65399</v>
      </c>
      <c r="N71" s="50" t="n">
        <v>12.5684</v>
      </c>
      <c r="O71" s="50" t="n">
        <v>2.6232</v>
      </c>
      <c r="R71" s="50" t="n">
        <v>184.76</v>
      </c>
      <c r="S71" s="50" t="n">
        <v>0.51616</v>
      </c>
      <c r="T71" s="50" t="n">
        <v>0.52706</v>
      </c>
      <c r="U71" s="50" t="n">
        <v>48.7993</v>
      </c>
      <c r="V71" s="50" t="n">
        <v>0.5597299999999999</v>
      </c>
      <c r="W71" s="50" t="n">
        <v>0.9598</v>
      </c>
      <c r="X71" s="50" t="n">
        <v>1.4399</v>
      </c>
      <c r="Y71" s="50" t="n">
        <v>1.4563</v>
      </c>
      <c r="Z71" s="50" t="n">
        <v>4.21085</v>
      </c>
      <c r="AA71" s="50" t="n">
        <v>2.3893</v>
      </c>
      <c r="AB71" s="50" t="n">
        <v>4.9001</v>
      </c>
    </row>
    <row r="72">
      <c r="A72" s="49" t="n">
        <v>45302</v>
      </c>
      <c r="B72" s="50" t="n">
        <v>7.1087</v>
      </c>
      <c r="C72" s="50" t="n">
        <v>7.8139</v>
      </c>
      <c r="D72" s="50" t="n">
        <v>0.04893</v>
      </c>
      <c r="E72" s="50" t="n">
        <v>0.90937</v>
      </c>
      <c r="F72" s="50" t="n">
        <v>9.075699999999999</v>
      </c>
      <c r="G72" s="50" t="n">
        <v>4.777</v>
      </c>
      <c r="H72" s="50" t="n">
        <v>4.4439</v>
      </c>
      <c r="I72" s="50" t="n">
        <v>5.3473</v>
      </c>
      <c r="J72" s="50" t="n">
        <v>8.373699999999999</v>
      </c>
      <c r="K72" s="50" t="n">
        <v>5.3252</v>
      </c>
      <c r="L72" s="50" t="n">
        <v>1.1327</v>
      </c>
      <c r="M72" s="50" t="n">
        <v>0.65303</v>
      </c>
      <c r="N72" s="50" t="n">
        <v>12.5383</v>
      </c>
      <c r="O72" s="50" t="n">
        <v>2.6224</v>
      </c>
      <c r="R72" s="50" t="n">
        <v>184.69</v>
      </c>
      <c r="S72" s="50" t="n">
        <v>0.51594</v>
      </c>
      <c r="T72" s="50" t="n">
        <v>0.52686</v>
      </c>
      <c r="U72" s="50" t="n">
        <v>48.4692</v>
      </c>
      <c r="V72" s="50" t="n">
        <v>0.55581</v>
      </c>
      <c r="W72" s="50" t="n">
        <v>0.9560999999999999</v>
      </c>
      <c r="X72" s="50" t="n">
        <v>1.4347</v>
      </c>
      <c r="Y72" s="50" t="n">
        <v>1.4534</v>
      </c>
      <c r="Z72" s="50" t="n">
        <v>4.19393</v>
      </c>
      <c r="AA72" s="50" t="n">
        <v>2.3898</v>
      </c>
      <c r="AB72" s="50" t="n">
        <v>4.9096</v>
      </c>
    </row>
    <row r="73">
      <c r="A73" s="49" t="n">
        <v>45303</v>
      </c>
      <c r="B73" s="50" t="n">
        <v>7.105</v>
      </c>
      <c r="C73" s="50" t="n">
        <v>7.8142</v>
      </c>
      <c r="D73" s="50" t="n">
        <v>0.049109</v>
      </c>
      <c r="E73" s="50" t="n">
        <v>0.90894</v>
      </c>
      <c r="F73" s="50" t="n">
        <v>9.091699999999999</v>
      </c>
      <c r="G73" s="50" t="n">
        <v>4.7685</v>
      </c>
      <c r="H73" s="50" t="n">
        <v>4.446</v>
      </c>
      <c r="I73" s="50" t="n">
        <v>5.3506</v>
      </c>
      <c r="J73" s="50" t="n">
        <v>8.360200000000001</v>
      </c>
      <c r="K73" s="50" t="n">
        <v>5.3192</v>
      </c>
      <c r="L73" s="50" t="n">
        <v>1.1332</v>
      </c>
      <c r="M73" s="50" t="n">
        <v>0.6532</v>
      </c>
      <c r="N73" s="50" t="n">
        <v>12.4434</v>
      </c>
      <c r="O73" s="50" t="n">
        <v>2.622</v>
      </c>
      <c r="R73" s="50" t="n">
        <v>184.2</v>
      </c>
      <c r="S73" s="50" t="n">
        <v>0.51619</v>
      </c>
      <c r="T73" s="50" t="n">
        <v>0.52708</v>
      </c>
      <c r="U73" s="50" t="n">
        <v>48.5834</v>
      </c>
      <c r="V73" s="50" t="n">
        <v>0.55789</v>
      </c>
      <c r="W73" s="50" t="n">
        <v>0.9559</v>
      </c>
      <c r="X73" s="50" t="n">
        <v>1.4406</v>
      </c>
      <c r="Y73" s="50" t="n">
        <v>1.4474</v>
      </c>
      <c r="Z73" s="50" t="n">
        <v>4.22332</v>
      </c>
      <c r="AA73" s="50" t="n">
        <v>2.3788</v>
      </c>
      <c r="AB73" s="50" t="n">
        <v>4.9108</v>
      </c>
    </row>
    <row r="74">
      <c r="A74" s="49" t="n">
        <v>45306</v>
      </c>
      <c r="B74" s="50" t="n">
        <v>7.1084</v>
      </c>
      <c r="C74" s="50" t="n">
        <v>7.7975</v>
      </c>
      <c r="D74" s="50" t="n">
        <v>0.049138</v>
      </c>
      <c r="E74" s="50" t="n">
        <v>0.909</v>
      </c>
      <c r="F74" s="50" t="n">
        <v>9.0747</v>
      </c>
      <c r="G74" s="50" t="n">
        <v>4.7677</v>
      </c>
      <c r="H74" s="50" t="n">
        <v>4.4459</v>
      </c>
      <c r="I74" s="50" t="n">
        <v>5.3455</v>
      </c>
      <c r="J74" s="50" t="n">
        <v>8.351000000000001</v>
      </c>
      <c r="K74" s="50" t="n">
        <v>5.3145</v>
      </c>
      <c r="L74" s="50" t="n">
        <v>1.1331</v>
      </c>
      <c r="M74" s="50" t="n">
        <v>0.6539199999999999</v>
      </c>
      <c r="N74" s="50" t="n">
        <v>12.3575</v>
      </c>
      <c r="O74" s="50" t="n">
        <v>2.6238</v>
      </c>
      <c r="R74" s="50" t="n">
        <v>184.12</v>
      </c>
      <c r="S74" s="50" t="n">
        <v>0.51595</v>
      </c>
      <c r="T74" s="50" t="n">
        <v>0.52685</v>
      </c>
      <c r="U74" s="50" t="n">
        <v>48.7385</v>
      </c>
      <c r="V74" s="50" t="n">
        <v>0.55992</v>
      </c>
      <c r="W74" s="50" t="n">
        <v>0.9582000000000001</v>
      </c>
      <c r="X74" s="50" t="n">
        <v>1.4441</v>
      </c>
      <c r="Y74" s="50" t="n">
        <v>1.4453</v>
      </c>
      <c r="Z74" s="50" t="n">
        <v>4.22562</v>
      </c>
      <c r="AA74" s="50" t="n">
        <v>2.3738</v>
      </c>
      <c r="AB74" s="50" t="n">
        <v>4.9003</v>
      </c>
    </row>
    <row r="75">
      <c r="A75" s="49" t="n">
        <v>45307</v>
      </c>
      <c r="B75" s="50" t="n">
        <v>7.1134</v>
      </c>
      <c r="C75" s="50" t="n">
        <v>7.803</v>
      </c>
      <c r="D75" s="50" t="n">
        <v>0.048934</v>
      </c>
      <c r="E75" s="50" t="n">
        <v>0.90934</v>
      </c>
      <c r="F75" s="50" t="n">
        <v>9.0693</v>
      </c>
      <c r="G75" s="50" t="n">
        <v>4.7453</v>
      </c>
      <c r="H75" s="50" t="n">
        <v>4.4189</v>
      </c>
      <c r="I75" s="50" t="n">
        <v>5.3442</v>
      </c>
      <c r="J75" s="50" t="n">
        <v>8.331799999999999</v>
      </c>
      <c r="K75" s="50" t="n">
        <v>5.3113</v>
      </c>
      <c r="L75" s="50" t="n">
        <v>1.1332</v>
      </c>
      <c r="M75" s="50" t="n">
        <v>0.65682</v>
      </c>
      <c r="N75" s="50" t="n">
        <v>12.2948</v>
      </c>
      <c r="O75" s="50" t="n">
        <v>2.6226</v>
      </c>
      <c r="R75" s="50" t="n">
        <v>185.13</v>
      </c>
      <c r="S75" s="50" t="n">
        <v>0.51542</v>
      </c>
      <c r="T75" s="50" t="n">
        <v>0.52628</v>
      </c>
      <c r="U75" s="50" t="n">
        <v>48.6592</v>
      </c>
      <c r="V75" s="50" t="n">
        <v>0.56135</v>
      </c>
      <c r="W75" s="50" t="n">
        <v>0.9576</v>
      </c>
      <c r="X75" s="50" t="n">
        <v>1.4489</v>
      </c>
      <c r="Y75" s="50" t="n">
        <v>1.4532</v>
      </c>
      <c r="Z75" s="50" t="n">
        <v>4.22228</v>
      </c>
      <c r="AA75" s="50" t="n">
        <v>2.3764</v>
      </c>
      <c r="AB75" s="50" t="n">
        <v>4.8985</v>
      </c>
    </row>
    <row r="76">
      <c r="A76" s="49" t="n">
        <v>45308</v>
      </c>
      <c r="B76" s="50" t="n">
        <v>7.1168</v>
      </c>
      <c r="C76" s="50" t="n">
        <v>7.7729</v>
      </c>
      <c r="D76" s="50" t="n">
        <v>0.048635</v>
      </c>
      <c r="E76" s="50" t="n">
        <v>0.90954</v>
      </c>
      <c r="F76" s="50" t="n">
        <v>9.036300000000001</v>
      </c>
      <c r="G76" s="50" t="n">
        <v>4.7146</v>
      </c>
      <c r="H76" s="50" t="n">
        <v>4.3978</v>
      </c>
      <c r="I76" s="50" t="n">
        <v>5.322</v>
      </c>
      <c r="J76" s="50" t="n">
        <v>8.3012</v>
      </c>
      <c r="K76" s="50" t="n">
        <v>5.3023</v>
      </c>
      <c r="L76" s="50" t="n">
        <v>1.133</v>
      </c>
      <c r="M76" s="50" t="n">
        <v>0.65928</v>
      </c>
      <c r="N76" s="50" t="n">
        <v>12.3326</v>
      </c>
      <c r="O76" s="50" t="n">
        <v>2.6562</v>
      </c>
      <c r="R76" s="50" t="n">
        <v>186.3</v>
      </c>
      <c r="S76" s="50" t="n">
        <v>0.51413</v>
      </c>
      <c r="T76" s="50" t="n">
        <v>0.52501</v>
      </c>
      <c r="U76" s="50" t="n">
        <v>48.9332</v>
      </c>
      <c r="V76" s="50" t="n">
        <v>0.56633</v>
      </c>
      <c r="W76" s="50" t="n">
        <v>0.9607</v>
      </c>
      <c r="X76" s="50" t="n">
        <v>1.4597</v>
      </c>
      <c r="Y76" s="50" t="n">
        <v>1.4642</v>
      </c>
      <c r="Z76" s="50" t="n">
        <v>4.21712</v>
      </c>
      <c r="AA76" s="50" t="n">
        <v>2.4163</v>
      </c>
      <c r="AB76" s="50" t="n">
        <v>4.9443</v>
      </c>
    </row>
    <row r="77">
      <c r="A77" s="49" t="n">
        <v>45309</v>
      </c>
      <c r="B77" s="50" t="n">
        <v>7.1174</v>
      </c>
      <c r="C77" s="50" t="n">
        <v>7.7737</v>
      </c>
      <c r="D77" s="50" t="n">
        <v>0.048265</v>
      </c>
      <c r="E77" s="50" t="n">
        <v>0.91021</v>
      </c>
      <c r="F77" s="50" t="n">
        <v>9.057</v>
      </c>
      <c r="G77" s="50" t="n">
        <v>4.6825</v>
      </c>
      <c r="H77" s="50" t="n">
        <v>4.3761</v>
      </c>
      <c r="I77" s="50" t="n">
        <v>5.3094</v>
      </c>
      <c r="J77" s="50" t="n">
        <v>8.2645</v>
      </c>
      <c r="K77" s="50" t="n">
        <v>5.2925</v>
      </c>
      <c r="L77" s="50" t="n">
        <v>1.1322</v>
      </c>
      <c r="M77" s="50" t="n">
        <v>0.66215</v>
      </c>
      <c r="N77" s="50" t="n">
        <v>12.3518</v>
      </c>
      <c r="O77" s="50" t="n">
        <v>2.6744</v>
      </c>
      <c r="R77" s="50" t="n">
        <v>187.53</v>
      </c>
      <c r="S77" s="50" t="n">
        <v>0.51447</v>
      </c>
      <c r="T77" s="50" t="n">
        <v>0.52534</v>
      </c>
      <c r="U77" s="50" t="n">
        <v>49.0266</v>
      </c>
      <c r="V77" s="50" t="n">
        <v>0.56702</v>
      </c>
      <c r="W77" s="50" t="n">
        <v>0.9613</v>
      </c>
      <c r="X77" s="50" t="n">
        <v>1.4621</v>
      </c>
      <c r="Y77" s="50" t="n">
        <v>1.4722</v>
      </c>
      <c r="Z77" s="50" t="n">
        <v>4.22038</v>
      </c>
      <c r="AA77" s="50" t="n">
        <v>2.4155</v>
      </c>
      <c r="AB77" s="50" t="n">
        <v>4.9669</v>
      </c>
    </row>
    <row r="78">
      <c r="A78" s="49" t="n">
        <v>45310</v>
      </c>
      <c r="B78" s="50" t="n">
        <v>7.1167</v>
      </c>
      <c r="C78" s="50" t="n">
        <v>7.7551</v>
      </c>
      <c r="D78" s="50" t="n">
        <v>0.04825</v>
      </c>
      <c r="E78" s="50" t="n">
        <v>0.91006</v>
      </c>
      <c r="F78" s="50" t="n">
        <v>9.0708</v>
      </c>
      <c r="G78" s="50" t="n">
        <v>4.6957</v>
      </c>
      <c r="H78" s="50" t="n">
        <v>4.3702</v>
      </c>
      <c r="I78" s="50" t="n">
        <v>5.3094</v>
      </c>
      <c r="J78" s="50" t="n">
        <v>8.224</v>
      </c>
      <c r="K78" s="50" t="n">
        <v>5.2955</v>
      </c>
      <c r="L78" s="50" t="n">
        <v>1.1323</v>
      </c>
      <c r="M78" s="50" t="n">
        <v>0.6625799999999999</v>
      </c>
      <c r="N78" s="50" t="n">
        <v>12.4946</v>
      </c>
      <c r="O78" s="50" t="n">
        <v>2.6555</v>
      </c>
      <c r="R78" s="50" t="n">
        <v>186.79</v>
      </c>
      <c r="S78" s="50" t="n">
        <v>0.51485</v>
      </c>
      <c r="T78" s="50" t="n">
        <v>0.52576</v>
      </c>
      <c r="U78" s="50" t="n">
        <v>49.3674</v>
      </c>
      <c r="V78" s="50" t="n">
        <v>0.5660500000000001</v>
      </c>
      <c r="W78" s="50" t="n">
        <v>0.9626</v>
      </c>
      <c r="X78" s="50" t="n">
        <v>1.4703</v>
      </c>
      <c r="Y78" s="50" t="n">
        <v>1.4777</v>
      </c>
      <c r="Z78" s="50" t="n">
        <v>4.2253</v>
      </c>
      <c r="AA78" s="50" t="n">
        <v>2.4122</v>
      </c>
      <c r="AB78" s="50" t="n">
        <v>4.9674</v>
      </c>
    </row>
    <row r="79">
      <c r="A79" s="49" t="n">
        <v>45313</v>
      </c>
      <c r="B79" s="50" t="n">
        <v>7.1105</v>
      </c>
      <c r="C79" s="50" t="n">
        <v>7.7679</v>
      </c>
      <c r="D79" s="50" t="n">
        <v>0.048207</v>
      </c>
      <c r="E79" s="50" t="n">
        <v>0.90947</v>
      </c>
      <c r="F79" s="50" t="n">
        <v>9.0563</v>
      </c>
      <c r="G79" s="50" t="n">
        <v>4.7061</v>
      </c>
      <c r="H79" s="50" t="n">
        <v>4.3712</v>
      </c>
      <c r="I79" s="50" t="n">
        <v>5.3167</v>
      </c>
      <c r="J79" s="50" t="n">
        <v>8.2102</v>
      </c>
      <c r="K79" s="50" t="n">
        <v>5.3107</v>
      </c>
      <c r="L79" s="50" t="n">
        <v>1.1331</v>
      </c>
      <c r="M79" s="50" t="n">
        <v>0.6632400000000001</v>
      </c>
      <c r="N79" s="50" t="n">
        <v>12.3241</v>
      </c>
      <c r="O79" s="50" t="n">
        <v>2.6716</v>
      </c>
      <c r="R79" s="50" t="n">
        <v>186.64</v>
      </c>
      <c r="S79" s="50" t="n">
        <v>0.51541</v>
      </c>
      <c r="T79" s="50" t="n">
        <v>0.5263099999999999</v>
      </c>
      <c r="U79" s="50" t="n">
        <v>49.3159</v>
      </c>
      <c r="V79" s="50" t="n">
        <v>0.5619</v>
      </c>
      <c r="W79" s="50" t="n">
        <v>0.9622000000000001</v>
      </c>
      <c r="X79" s="50" t="n">
        <v>1.4669</v>
      </c>
      <c r="Y79" s="50" t="n">
        <v>1.4715</v>
      </c>
      <c r="Z79" s="50" t="n">
        <v>4.23728</v>
      </c>
      <c r="AA79" s="50" t="n">
        <v>2.4032</v>
      </c>
      <c r="AB79" s="50" t="n">
        <v>4.9735</v>
      </c>
    </row>
    <row r="80">
      <c r="A80" s="49" t="n">
        <v>45314</v>
      </c>
      <c r="B80" s="50" t="n">
        <v>7.1117</v>
      </c>
      <c r="C80" s="50" t="n">
        <v>7.7635</v>
      </c>
      <c r="D80" s="50" t="n">
        <v>0.04824</v>
      </c>
      <c r="E80" s="50" t="n">
        <v>0.90967</v>
      </c>
      <c r="F80" s="50" t="n">
        <v>9.0688</v>
      </c>
      <c r="G80" s="50" t="n">
        <v>4.6924</v>
      </c>
      <c r="H80" s="50" t="n">
        <v>4.3434</v>
      </c>
      <c r="I80" s="50" t="n">
        <v>5.3135</v>
      </c>
      <c r="J80" s="50" t="n">
        <v>8.212899999999999</v>
      </c>
      <c r="K80" s="50" t="n">
        <v>5.2967</v>
      </c>
      <c r="L80" s="50" t="n">
        <v>1.1329</v>
      </c>
      <c r="M80" s="50" t="n">
        <v>0.66514</v>
      </c>
      <c r="N80" s="50" t="n">
        <v>12.3194</v>
      </c>
      <c r="O80" s="50" t="n">
        <v>2.6952</v>
      </c>
      <c r="R80" s="50" t="n">
        <v>187.14</v>
      </c>
      <c r="S80" s="50" t="n">
        <v>0.5151</v>
      </c>
      <c r="T80" s="50" t="n">
        <v>0.52598</v>
      </c>
      <c r="U80" s="50" t="n">
        <v>49.5465</v>
      </c>
      <c r="V80" s="50" t="n">
        <v>0.56341</v>
      </c>
      <c r="W80" s="50" t="n">
        <v>0.963</v>
      </c>
      <c r="X80" s="50" t="n">
        <v>1.4665</v>
      </c>
      <c r="Y80" s="50" t="n">
        <v>1.4748</v>
      </c>
      <c r="Z80" s="50" t="n">
        <v>4.24249</v>
      </c>
      <c r="AA80" s="50" t="n">
        <v>2.4157</v>
      </c>
      <c r="AB80" s="50" t="n">
        <v>4.9801</v>
      </c>
    </row>
    <row r="81">
      <c r="A81" s="49" t="n">
        <v>45315</v>
      </c>
      <c r="B81" s="50" t="n">
        <v>7.1053</v>
      </c>
      <c r="C81" s="50" t="n">
        <v>7.7407</v>
      </c>
      <c r="D81" s="50" t="n">
        <v>0.048114</v>
      </c>
      <c r="E81" s="50" t="n">
        <v>0.90839</v>
      </c>
      <c r="F81" s="50" t="n">
        <v>9.049799999999999</v>
      </c>
      <c r="G81" s="50" t="n">
        <v>4.6974</v>
      </c>
      <c r="H81" s="50" t="n">
        <v>4.3576</v>
      </c>
      <c r="I81" s="50" t="n">
        <v>5.3131</v>
      </c>
      <c r="J81" s="50" t="n">
        <v>8.194699999999999</v>
      </c>
      <c r="K81" s="50" t="n">
        <v>5.2991</v>
      </c>
      <c r="L81" s="50" t="n">
        <v>1.1345</v>
      </c>
      <c r="M81" s="50" t="n">
        <v>0.66522</v>
      </c>
      <c r="N81" s="50" t="n">
        <v>12.432</v>
      </c>
      <c r="O81" s="50" t="n">
        <v>2.6735</v>
      </c>
      <c r="R81" s="50" t="n">
        <v>187.26</v>
      </c>
      <c r="S81" s="50" t="n">
        <v>0.51566</v>
      </c>
      <c r="T81" s="50" t="n">
        <v>0.5264799999999999</v>
      </c>
      <c r="U81" s="50" t="n">
        <v>50.0381</v>
      </c>
      <c r="V81" s="50" t="n">
        <v>0.5686</v>
      </c>
      <c r="W81" s="50" t="n">
        <v>0.9653</v>
      </c>
      <c r="X81" s="50" t="n">
        <v>1.47</v>
      </c>
      <c r="Y81" s="50" t="n">
        <v>1.4735</v>
      </c>
      <c r="Z81" s="50" t="n">
        <v>4.25089</v>
      </c>
      <c r="AA81" s="50" t="n">
        <v>2.4356</v>
      </c>
      <c r="AB81" s="50" t="n">
        <v>5.0002</v>
      </c>
    </row>
    <row r="82">
      <c r="A82" s="49" t="n">
        <v>45316</v>
      </c>
      <c r="B82" s="50" t="n">
        <v>7.1044</v>
      </c>
      <c r="C82" s="50" t="n">
        <v>7.7446</v>
      </c>
      <c r="D82" s="50" t="n">
        <v>0.048284</v>
      </c>
      <c r="E82" s="50" t="n">
        <v>0.90866</v>
      </c>
      <c r="F82" s="50" t="n">
        <v>9.052300000000001</v>
      </c>
      <c r="G82" s="50" t="n">
        <v>4.6845</v>
      </c>
      <c r="H82" s="50" t="n">
        <v>4.3557</v>
      </c>
      <c r="I82" s="50" t="n">
        <v>5.3098</v>
      </c>
      <c r="J82" s="50" t="n">
        <v>8.241099999999999</v>
      </c>
      <c r="K82" s="50" t="n">
        <v>5.2643</v>
      </c>
      <c r="L82" s="50" t="n">
        <v>1.1341</v>
      </c>
      <c r="M82" s="50" t="n">
        <v>0.66605</v>
      </c>
      <c r="N82" s="50" t="n">
        <v>12.4267</v>
      </c>
      <c r="O82" s="50" t="n">
        <v>2.6571</v>
      </c>
      <c r="R82" s="50" t="n">
        <v>187.15</v>
      </c>
      <c r="S82" s="50" t="n">
        <v>0.51634</v>
      </c>
      <c r="T82" s="50" t="n">
        <v>0.52726</v>
      </c>
      <c r="U82" s="50" t="n">
        <v>50.0825</v>
      </c>
      <c r="V82" s="50" t="n">
        <v>0.56687</v>
      </c>
      <c r="W82" s="50" t="n">
        <v>0.9645</v>
      </c>
      <c r="X82" s="50" t="n">
        <v>1.4669</v>
      </c>
      <c r="Y82" s="50" t="n">
        <v>1.4713</v>
      </c>
      <c r="Z82" s="50" t="n">
        <v>4.25123</v>
      </c>
      <c r="AA82" s="50" t="n">
        <v>2.4277</v>
      </c>
      <c r="AB82" s="50" t="n">
        <v>5.0145</v>
      </c>
    </row>
    <row r="83">
      <c r="A83" s="49" t="n">
        <v>45317</v>
      </c>
      <c r="B83" s="50" t="n">
        <v>7.1074</v>
      </c>
      <c r="C83" s="50" t="n">
        <v>7.7256</v>
      </c>
      <c r="D83" s="50" t="n">
        <v>0.048326</v>
      </c>
      <c r="E83" s="50" t="n">
        <v>0.90909</v>
      </c>
      <c r="F83" s="50" t="n">
        <v>9.055899999999999</v>
      </c>
      <c r="G83" s="50" t="n">
        <v>4.6941</v>
      </c>
      <c r="H83" s="50" t="n">
        <v>4.36</v>
      </c>
      <c r="I83" s="50" t="n">
        <v>5.3128</v>
      </c>
      <c r="J83" s="50" t="n">
        <v>8.2181</v>
      </c>
      <c r="K83" s="50" t="n">
        <v>5.2896</v>
      </c>
      <c r="L83" s="50" t="n">
        <v>1.1336</v>
      </c>
      <c r="M83" s="50" t="n">
        <v>0.6657999999999999</v>
      </c>
      <c r="N83" s="50" t="n">
        <v>12.4472</v>
      </c>
      <c r="O83" s="50" t="n">
        <v>2.6538</v>
      </c>
      <c r="R83" s="50" t="n">
        <v>187.17</v>
      </c>
      <c r="S83" s="50" t="n">
        <v>0.51572</v>
      </c>
      <c r="T83" s="50" t="n">
        <v>0.52658</v>
      </c>
      <c r="U83" s="50" t="n">
        <v>49.9397</v>
      </c>
      <c r="V83" s="50" t="n">
        <v>0.56721</v>
      </c>
      <c r="W83" s="50" t="n">
        <v>0.9664</v>
      </c>
      <c r="X83" s="50" t="n">
        <v>1.4657</v>
      </c>
      <c r="Y83" s="50" t="n">
        <v>1.4655</v>
      </c>
      <c r="Z83" s="50" t="n">
        <v>4.25313</v>
      </c>
      <c r="AA83" s="50" t="n">
        <v>2.4205</v>
      </c>
      <c r="AB83" s="50" t="n">
        <v>5.0073</v>
      </c>
    </row>
    <row r="84">
      <c r="A84" s="49" t="n">
        <v>45320</v>
      </c>
      <c r="B84" s="50" t="n">
        <v>7.1097</v>
      </c>
      <c r="C84" s="50" t="n">
        <v>7.7218</v>
      </c>
      <c r="D84" s="50" t="n">
        <v>0.048187</v>
      </c>
      <c r="E84" s="50" t="n">
        <v>0.90973</v>
      </c>
      <c r="F84" s="50" t="n">
        <v>9.0489</v>
      </c>
      <c r="G84" s="50" t="n">
        <v>4.6891</v>
      </c>
      <c r="H84" s="50" t="n">
        <v>4.3455</v>
      </c>
      <c r="I84" s="50" t="n">
        <v>5.3068</v>
      </c>
      <c r="J84" s="50" t="n">
        <v>8.251899999999999</v>
      </c>
      <c r="K84" s="50" t="n">
        <v>5.3031</v>
      </c>
      <c r="L84" s="50" t="n">
        <v>1.1328</v>
      </c>
      <c r="M84" s="50" t="n">
        <v>0.66536</v>
      </c>
      <c r="N84" s="50" t="n">
        <v>12.5743</v>
      </c>
      <c r="O84" s="50" t="n">
        <v>2.64</v>
      </c>
      <c r="R84" s="50" t="n">
        <v>187.04</v>
      </c>
      <c r="S84" s="50" t="n">
        <v>0.51559</v>
      </c>
      <c r="T84" s="50" t="n">
        <v>0.52645</v>
      </c>
      <c r="U84" s="50" t="n">
        <v>50.3306</v>
      </c>
      <c r="V84" s="50" t="n">
        <v>0.56653</v>
      </c>
      <c r="W84" s="50" t="n">
        <v>0.9664</v>
      </c>
      <c r="X84" s="50" t="n">
        <v>1.4693</v>
      </c>
      <c r="Y84" s="50" t="n">
        <v>1.4651</v>
      </c>
      <c r="Z84" s="50" t="n">
        <v>4.25324</v>
      </c>
      <c r="AA84" s="50" t="n">
        <v>2.4151</v>
      </c>
      <c r="AB84" s="50" t="n">
        <v>4.9878</v>
      </c>
    </row>
    <row r="85">
      <c r="A85" s="49" t="n">
        <v>45321</v>
      </c>
      <c r="B85" s="50" t="n">
        <v>7.1055</v>
      </c>
      <c r="C85" s="50" t="n">
        <v>7.715</v>
      </c>
      <c r="D85" s="50" t="n">
        <v>0.04839</v>
      </c>
      <c r="E85" s="50" t="n">
        <v>0.9095</v>
      </c>
      <c r="F85" s="50" t="n">
        <v>9.057399999999999</v>
      </c>
      <c r="G85" s="50" t="n">
        <v>4.7127</v>
      </c>
      <c r="H85" s="50" t="n">
        <v>4.3747</v>
      </c>
      <c r="I85" s="50" t="n">
        <v>5.3173</v>
      </c>
      <c r="J85" s="50" t="n">
        <v>8.2723</v>
      </c>
      <c r="K85" s="50" t="n">
        <v>5.3158</v>
      </c>
      <c r="L85" s="50" t="n">
        <v>1.1331</v>
      </c>
      <c r="M85" s="50" t="n">
        <v>0.66478</v>
      </c>
      <c r="N85" s="50" t="n">
        <v>12.4977</v>
      </c>
      <c r="O85" s="50" t="n">
        <v>2.6424</v>
      </c>
      <c r="R85" s="50" t="n">
        <v>186.61</v>
      </c>
      <c r="S85" s="50" t="n">
        <v>0.5158199999999999</v>
      </c>
      <c r="T85" s="50" t="n">
        <v>0.52669</v>
      </c>
      <c r="U85" s="50" t="n">
        <v>50.4975</v>
      </c>
      <c r="V85" s="50" t="n">
        <v>0.56692</v>
      </c>
      <c r="W85" s="50" t="n">
        <v>0.9673</v>
      </c>
      <c r="X85" s="50" t="n">
        <v>1.4663</v>
      </c>
      <c r="Y85" s="50" t="n">
        <v>1.464</v>
      </c>
      <c r="Z85" s="50" t="n">
        <v>4.26141</v>
      </c>
      <c r="AA85" s="50" t="n">
        <v>2.4231</v>
      </c>
      <c r="AB85" s="50" t="n">
        <v>4.9618</v>
      </c>
    </row>
    <row r="86">
      <c r="A86" s="49" t="n">
        <v>45322</v>
      </c>
      <c r="B86" s="50" t="n">
        <v>7.1039</v>
      </c>
      <c r="C86" s="50" t="n">
        <v>7.7153</v>
      </c>
      <c r="D86" s="50" t="n">
        <v>0.048322</v>
      </c>
      <c r="E86" s="50" t="n">
        <v>0.90878</v>
      </c>
      <c r="F86" s="50" t="n">
        <v>9.0421</v>
      </c>
      <c r="G86" s="50" t="n">
        <v>4.6955</v>
      </c>
      <c r="H86" s="50" t="n">
        <v>4.3693</v>
      </c>
      <c r="I86" s="50" t="n">
        <v>5.3144</v>
      </c>
      <c r="J86" s="50" t="n">
        <v>8.2651</v>
      </c>
      <c r="K86" s="50" t="n">
        <v>5.3173</v>
      </c>
      <c r="L86" s="50" t="n">
        <v>1.134</v>
      </c>
      <c r="M86" s="50" t="n">
        <v>0.66514</v>
      </c>
      <c r="N86" s="50" t="n">
        <v>12.559</v>
      </c>
      <c r="O86" s="50" t="n">
        <v>2.6402</v>
      </c>
      <c r="R86" s="50" t="n">
        <v>186.26</v>
      </c>
      <c r="S86" s="50" t="n">
        <v>0.51596</v>
      </c>
      <c r="T86" s="50" t="n">
        <v>0.52682</v>
      </c>
      <c r="U86" s="50" t="n">
        <v>50.1223</v>
      </c>
      <c r="V86" s="50" t="n">
        <v>0.56431</v>
      </c>
      <c r="W86" s="50" t="n">
        <v>0.9671</v>
      </c>
      <c r="X86" s="50" t="n">
        <v>1.4629</v>
      </c>
      <c r="Y86" s="50" t="n">
        <v>1.4683</v>
      </c>
      <c r="Z86" s="50" t="n">
        <v>4.26408</v>
      </c>
      <c r="AA86" s="50" t="n">
        <v>2.4142</v>
      </c>
      <c r="AB86" s="50" t="n">
        <v>4.9565</v>
      </c>
    </row>
    <row r="87">
      <c r="A87" s="49" t="n">
        <v>45323</v>
      </c>
      <c r="B87" s="50" t="n">
        <v>7.1049</v>
      </c>
      <c r="C87" s="50" t="n">
        <v>7.6953</v>
      </c>
      <c r="D87" s="50" t="n">
        <v>0.048564</v>
      </c>
      <c r="E87" s="50" t="n">
        <v>0.90879</v>
      </c>
      <c r="F87" s="50" t="n">
        <v>9.039400000000001</v>
      </c>
      <c r="G87" s="50" t="n">
        <v>4.681</v>
      </c>
      <c r="H87" s="50" t="n">
        <v>4.3621</v>
      </c>
      <c r="I87" s="50" t="n">
        <v>5.3151</v>
      </c>
      <c r="J87" s="50" t="n">
        <v>8.2689</v>
      </c>
      <c r="K87" s="50" t="n">
        <v>5.3079</v>
      </c>
      <c r="L87" s="50" t="n">
        <v>1.1343</v>
      </c>
      <c r="M87" s="50" t="n">
        <v>0.66551</v>
      </c>
      <c r="N87" s="50" t="n">
        <v>12.5909</v>
      </c>
      <c r="O87" s="50" t="n">
        <v>2.6221</v>
      </c>
      <c r="R87" s="50" t="n">
        <v>186.57</v>
      </c>
      <c r="S87" s="50" t="n">
        <v>0.51563</v>
      </c>
      <c r="T87" s="50" t="n">
        <v>0.52646</v>
      </c>
      <c r="U87" s="50" t="n">
        <v>49.9187</v>
      </c>
      <c r="V87" s="50" t="n">
        <v>0.56311</v>
      </c>
      <c r="W87" s="50" t="n">
        <v>0.9695</v>
      </c>
      <c r="X87" s="50" t="n">
        <v>1.46</v>
      </c>
      <c r="Y87" s="50" t="n">
        <v>1.4774</v>
      </c>
      <c r="Z87" s="50" t="n">
        <v>4.26163</v>
      </c>
      <c r="AA87" s="50" t="n">
        <v>2.4214</v>
      </c>
      <c r="AB87" s="50" t="n">
        <v>4.9762</v>
      </c>
    </row>
    <row r="88">
      <c r="A88" s="49" t="n">
        <v>45324</v>
      </c>
      <c r="B88" s="50" t="n">
        <v>7.1006</v>
      </c>
      <c r="C88" s="50" t="n">
        <v>7.732</v>
      </c>
      <c r="D88" s="50" t="n">
        <v>0.048649</v>
      </c>
      <c r="E88" s="50" t="n">
        <v>0.90805</v>
      </c>
      <c r="F88" s="50" t="n">
        <v>9.066700000000001</v>
      </c>
      <c r="G88" s="50" t="n">
        <v>4.6775</v>
      </c>
      <c r="H88" s="50" t="n">
        <v>4.3742</v>
      </c>
      <c r="I88" s="50" t="n">
        <v>5.3212</v>
      </c>
      <c r="J88" s="50" t="n">
        <v>8.2965</v>
      </c>
      <c r="K88" s="50" t="n">
        <v>5.3188</v>
      </c>
      <c r="L88" s="50" t="n">
        <v>1.1351</v>
      </c>
      <c r="M88" s="50" t="n">
        <v>0.66568</v>
      </c>
      <c r="N88" s="50" t="n">
        <v>12.6706</v>
      </c>
      <c r="O88" s="50" t="n">
        <v>2.6148</v>
      </c>
      <c r="R88" s="50" t="n">
        <v>186.31</v>
      </c>
      <c r="S88" s="50" t="n">
        <v>0.51655</v>
      </c>
      <c r="T88" s="50" t="n">
        <v>0.52738</v>
      </c>
      <c r="U88" s="50" t="n">
        <v>49.5716</v>
      </c>
      <c r="V88" s="50" t="n">
        <v>0.55907</v>
      </c>
      <c r="W88" s="50" t="n">
        <v>0.9654</v>
      </c>
      <c r="X88" s="50" t="n">
        <v>1.4602</v>
      </c>
      <c r="Y88" s="50" t="n">
        <v>1.4686</v>
      </c>
      <c r="Z88" s="50" t="n">
        <v>4.28075</v>
      </c>
      <c r="AA88" s="50" t="n">
        <v>2.4056</v>
      </c>
      <c r="AB88" s="50" t="n">
        <v>4.958</v>
      </c>
    </row>
    <row r="89">
      <c r="A89" s="49" t="n">
        <v>45327</v>
      </c>
      <c r="B89" s="50" t="n">
        <v>7.107</v>
      </c>
      <c r="C89" s="50" t="n">
        <v>7.6755</v>
      </c>
      <c r="D89" s="50" t="n">
        <v>0.048065</v>
      </c>
      <c r="E89" s="50" t="n">
        <v>0.90855</v>
      </c>
      <c r="F89" s="50" t="n">
        <v>9.002000000000001</v>
      </c>
      <c r="G89" s="50" t="n">
        <v>4.633</v>
      </c>
      <c r="H89" s="50" t="n">
        <v>4.3207</v>
      </c>
      <c r="I89" s="50" t="n">
        <v>5.3085</v>
      </c>
      <c r="J89" s="50" t="n">
        <v>8.2188</v>
      </c>
      <c r="K89" s="50" t="n">
        <v>5.3017</v>
      </c>
      <c r="L89" s="50" t="n">
        <v>1.1345</v>
      </c>
      <c r="M89" s="50" t="n">
        <v>0.66338</v>
      </c>
      <c r="N89" s="50" t="n">
        <v>12.7117</v>
      </c>
      <c r="O89" s="50" t="n">
        <v>2.6548</v>
      </c>
      <c r="R89" s="50" t="n">
        <v>185.93</v>
      </c>
      <c r="S89" s="50" t="n">
        <v>0.51553</v>
      </c>
      <c r="T89" s="50" t="n">
        <v>0.52633</v>
      </c>
      <c r="U89" s="50" t="n">
        <v>50.1703</v>
      </c>
      <c r="V89" s="50" t="n">
        <v>0.5639</v>
      </c>
      <c r="W89" s="50" t="n">
        <v>0.9728</v>
      </c>
      <c r="X89" s="50" t="n">
        <v>1.4763</v>
      </c>
      <c r="Y89" s="50" t="n">
        <v>1.4938</v>
      </c>
      <c r="Z89" s="50" t="n">
        <v>4.27708</v>
      </c>
      <c r="AA89" s="50" t="n">
        <v>2.4168</v>
      </c>
      <c r="AB89" s="50" t="n">
        <v>4.9615</v>
      </c>
    </row>
    <row r="90">
      <c r="A90" s="49" t="n">
        <v>45328</v>
      </c>
      <c r="B90" s="50" t="n">
        <v>7.1082</v>
      </c>
      <c r="C90" s="50" t="n">
        <v>7.6669</v>
      </c>
      <c r="D90" s="50" t="n">
        <v>0.048087</v>
      </c>
      <c r="E90" s="50" t="n">
        <v>0.90864</v>
      </c>
      <c r="F90" s="50" t="n">
        <v>8.9476</v>
      </c>
      <c r="G90" s="50" t="n">
        <v>4.6314</v>
      </c>
      <c r="H90" s="50" t="n">
        <v>4.3306</v>
      </c>
      <c r="I90" s="50" t="n">
        <v>5.2943</v>
      </c>
      <c r="J90" s="50" t="n">
        <v>8.1991</v>
      </c>
      <c r="K90" s="50" t="n">
        <v>5.2761</v>
      </c>
      <c r="L90" s="50" t="n">
        <v>1.1336</v>
      </c>
      <c r="M90" s="50" t="n">
        <v>0.66799</v>
      </c>
      <c r="N90" s="50" t="n">
        <v>12.6651</v>
      </c>
      <c r="O90" s="50" t="n">
        <v>2.6743</v>
      </c>
      <c r="R90" s="50" t="n">
        <v>185.93</v>
      </c>
      <c r="S90" s="50" t="n">
        <v>0.51497</v>
      </c>
      <c r="T90" s="50" t="n">
        <v>0.52583</v>
      </c>
      <c r="U90" s="50" t="n">
        <v>50.5707</v>
      </c>
      <c r="V90" s="50" t="n">
        <v>0.56789</v>
      </c>
      <c r="W90" s="50" t="n">
        <v>0.9749</v>
      </c>
      <c r="X90" s="50" t="n">
        <v>1.484</v>
      </c>
      <c r="Y90" s="50" t="n">
        <v>1.4984</v>
      </c>
      <c r="Z90" s="50" t="n">
        <v>4.28024</v>
      </c>
      <c r="AA90" s="50" t="n">
        <v>2.4077</v>
      </c>
      <c r="AB90" s="50" t="n">
        <v>4.9993</v>
      </c>
    </row>
    <row r="91">
      <c r="A91" s="49" t="n">
        <v>45329</v>
      </c>
      <c r="B91" s="50" t="n">
        <v>7.1049</v>
      </c>
      <c r="C91" s="50" t="n">
        <v>7.6609</v>
      </c>
      <c r="D91" s="50" t="n">
        <v>0.048244</v>
      </c>
      <c r="E91" s="50" t="n">
        <v>0.90843</v>
      </c>
      <c r="F91" s="50" t="n">
        <v>8.973000000000001</v>
      </c>
      <c r="G91" s="50" t="n">
        <v>4.6517</v>
      </c>
      <c r="H91" s="50" t="n">
        <v>4.3508</v>
      </c>
      <c r="I91" s="50" t="n">
        <v>5.2967</v>
      </c>
      <c r="J91" s="50" t="n">
        <v>8.188800000000001</v>
      </c>
      <c r="K91" s="50" t="n">
        <v>5.2826</v>
      </c>
      <c r="L91" s="50" t="n">
        <v>1.135</v>
      </c>
      <c r="M91" s="50" t="n">
        <v>0.67086</v>
      </c>
      <c r="N91" s="50" t="n">
        <v>12.6781</v>
      </c>
      <c r="O91" s="50" t="n">
        <v>2.6474</v>
      </c>
      <c r="R91" s="50" t="n">
        <v>185.5</v>
      </c>
      <c r="S91" s="50" t="n">
        <v>0.51618</v>
      </c>
      <c r="T91" s="50" t="n">
        <v>0.52704</v>
      </c>
      <c r="U91" s="50" t="n">
        <v>50.577</v>
      </c>
      <c r="V91" s="50" t="n">
        <v>0.56917</v>
      </c>
      <c r="W91" s="50" t="n">
        <v>0.9762999999999999</v>
      </c>
      <c r="X91" s="50" t="n">
        <v>1.4744</v>
      </c>
      <c r="Y91" s="50" t="n">
        <v>1.4876</v>
      </c>
      <c r="Z91" s="50" t="n">
        <v>4.29465</v>
      </c>
      <c r="AA91" s="50" t="n">
        <v>2.3994</v>
      </c>
      <c r="AB91" s="50" t="n">
        <v>4.9787</v>
      </c>
    </row>
    <row r="92">
      <c r="A92" s="49" t="n">
        <v>45330</v>
      </c>
      <c r="B92" s="50" t="n">
        <v>7.1063</v>
      </c>
      <c r="C92" s="50" t="n">
        <v>7.6781</v>
      </c>
      <c r="D92" s="50" t="n">
        <v>0.048208</v>
      </c>
      <c r="E92" s="50" t="n">
        <v>0.90879</v>
      </c>
      <c r="F92" s="50" t="n">
        <v>8.997999999999999</v>
      </c>
      <c r="G92" s="50" t="n">
        <v>4.6535</v>
      </c>
      <c r="H92" s="50" t="n">
        <v>4.3646</v>
      </c>
      <c r="I92" s="50" t="n">
        <v>5.3029</v>
      </c>
      <c r="J92" s="50" t="n">
        <v>8.151400000000001</v>
      </c>
      <c r="K92" s="50" t="n">
        <v>5.2971</v>
      </c>
      <c r="L92" s="50" t="n">
        <v>1.1334</v>
      </c>
      <c r="M92" s="50" t="n">
        <v>0.6699000000000001</v>
      </c>
      <c r="N92" s="50" t="n">
        <v>12.8061</v>
      </c>
      <c r="O92" s="50" t="n">
        <v>2.6556</v>
      </c>
      <c r="R92" s="50" t="n">
        <v>185.69</v>
      </c>
      <c r="S92" s="50" t="n">
        <v>0.51578</v>
      </c>
      <c r="T92" s="50" t="n">
        <v>0.52667</v>
      </c>
      <c r="U92" s="50" t="n">
        <v>50.7113</v>
      </c>
      <c r="V92" s="50" t="n">
        <v>0.56713</v>
      </c>
      <c r="W92" s="50" t="n">
        <v>0.9738</v>
      </c>
      <c r="X92" s="50" t="n">
        <v>1.47</v>
      </c>
      <c r="Y92" s="50" t="n">
        <v>1.4858</v>
      </c>
      <c r="Z92" s="50" t="n">
        <v>4.29431</v>
      </c>
      <c r="AA92" s="50" t="n">
        <v>2.4008</v>
      </c>
      <c r="AB92" s="50" t="n">
        <v>4.9808</v>
      </c>
    </row>
    <row r="93">
      <c r="A93" s="49" t="n">
        <v>45331</v>
      </c>
      <c r="B93" s="50" t="n">
        <v>7.1036</v>
      </c>
      <c r="C93" s="50" t="n">
        <v>7.6858</v>
      </c>
      <c r="D93" s="50" t="n">
        <v>0.047901</v>
      </c>
      <c r="E93" s="50" t="n">
        <v>0.9081900000000001</v>
      </c>
      <c r="F93" s="50" t="n">
        <v>9.0017</v>
      </c>
      <c r="G93" s="50" t="n">
        <v>4.6366</v>
      </c>
      <c r="H93" s="50" t="n">
        <v>4.3641</v>
      </c>
      <c r="I93" s="50" t="n">
        <v>5.2916</v>
      </c>
      <c r="J93" s="50" t="n">
        <v>8.1668</v>
      </c>
      <c r="K93" s="50" t="n">
        <v>5.3035</v>
      </c>
      <c r="L93" s="50" t="n">
        <v>1.1341</v>
      </c>
      <c r="M93" s="50" t="n">
        <v>0.67132</v>
      </c>
      <c r="N93" s="50" t="n">
        <v>12.7416</v>
      </c>
      <c r="O93" s="50" t="n">
        <v>2.6629</v>
      </c>
      <c r="R93" s="50" t="n">
        <v>185.85</v>
      </c>
      <c r="S93" s="50" t="n">
        <v>0.51525</v>
      </c>
      <c r="T93" s="50" t="n">
        <v>0.52608</v>
      </c>
      <c r="U93" s="50" t="n">
        <v>50.7133</v>
      </c>
      <c r="V93" s="50" t="n">
        <v>0.56436</v>
      </c>
      <c r="W93" s="50" t="n">
        <v>0.9722</v>
      </c>
      <c r="X93" s="50" t="n">
        <v>1.4682</v>
      </c>
      <c r="Y93" s="50" t="n">
        <v>1.4892</v>
      </c>
      <c r="Z93" s="50" t="n">
        <v>4.30178</v>
      </c>
      <c r="AA93" s="50" t="n">
        <v>2.4115</v>
      </c>
      <c r="AB93" s="50" t="n">
        <v>5.0125</v>
      </c>
    </row>
    <row r="94">
      <c r="A94" s="49" t="n">
        <v>45341</v>
      </c>
      <c r="B94" s="50" t="n">
        <v>7.1032</v>
      </c>
      <c r="C94" s="50" t="n">
        <v>7.6796</v>
      </c>
      <c r="D94" s="50" t="n">
        <v>0.047572</v>
      </c>
      <c r="E94" s="50" t="n">
        <v>0.9081900000000001</v>
      </c>
      <c r="F94" s="50" t="n">
        <v>8.990399999999999</v>
      </c>
      <c r="G94" s="50" t="n">
        <v>4.6602</v>
      </c>
      <c r="H94" s="50" t="n">
        <v>4.3736</v>
      </c>
      <c r="I94" s="50" t="n">
        <v>5.2945</v>
      </c>
      <c r="J94" s="50" t="n">
        <v>8.0974</v>
      </c>
      <c r="K94" s="50" t="n">
        <v>5.2947</v>
      </c>
      <c r="L94" s="50" t="n">
        <v>1.1351</v>
      </c>
      <c r="M94" s="50" t="n">
        <v>0.67245</v>
      </c>
      <c r="N94" s="50" t="n">
        <v>12.9</v>
      </c>
      <c r="O94" s="50" t="n">
        <v>2.6491</v>
      </c>
      <c r="R94" s="50" t="n">
        <v>186.26</v>
      </c>
      <c r="S94" s="50" t="n">
        <v>0.51541</v>
      </c>
      <c r="T94" s="50" t="n">
        <v>0.5263</v>
      </c>
      <c r="U94" s="50" t="n">
        <v>50.7261</v>
      </c>
      <c r="V94" s="50" t="n">
        <v>0.56568</v>
      </c>
      <c r="W94" s="50" t="n">
        <v>0.9721</v>
      </c>
      <c r="X94" s="50" t="n">
        <v>1.4632</v>
      </c>
      <c r="Y94" s="50" t="n">
        <v>1.4761</v>
      </c>
      <c r="Z94" s="50" t="n">
        <v>4.32703</v>
      </c>
      <c r="AA94" s="50" t="n">
        <v>2.3985</v>
      </c>
      <c r="AB94" s="50" t="n">
        <v>5.0324</v>
      </c>
    </row>
    <row r="95">
      <c r="A95" s="49" t="n">
        <v>45342</v>
      </c>
      <c r="B95" s="50" t="n">
        <v>7.1068</v>
      </c>
      <c r="C95" s="50" t="n">
        <v>7.6799</v>
      </c>
      <c r="D95" s="50" t="n">
        <v>0.047531</v>
      </c>
      <c r="E95" s="50" t="n">
        <v>0.90862</v>
      </c>
      <c r="F95" s="50" t="n">
        <v>8.973800000000001</v>
      </c>
      <c r="G95" s="50" t="n">
        <v>4.6605</v>
      </c>
      <c r="H95" s="50" t="n">
        <v>4.3881</v>
      </c>
      <c r="I95" s="50" t="n">
        <v>5.2912</v>
      </c>
      <c r="J95" s="50" t="n">
        <v>8.0754</v>
      </c>
      <c r="K95" s="50" t="n">
        <v>5.2852</v>
      </c>
      <c r="L95" s="50" t="n">
        <v>1.1344</v>
      </c>
      <c r="M95" s="50" t="n">
        <v>0.67424</v>
      </c>
      <c r="N95" s="50" t="n">
        <v>12.9305</v>
      </c>
      <c r="O95" s="50" t="n">
        <v>2.6627</v>
      </c>
      <c r="R95" s="50" t="n">
        <v>186.74</v>
      </c>
      <c r="S95" s="50" t="n">
        <v>0.51564</v>
      </c>
      <c r="T95" s="50" t="n">
        <v>0.52654</v>
      </c>
      <c r="U95" s="50" t="n">
        <v>50.7846</v>
      </c>
      <c r="V95" s="50" t="n">
        <v>0.56537</v>
      </c>
      <c r="W95" s="50" t="n">
        <v>0.9732</v>
      </c>
      <c r="X95" s="50" t="n">
        <v>1.4578</v>
      </c>
      <c r="Y95" s="50" t="n">
        <v>1.4731</v>
      </c>
      <c r="Z95" s="50" t="n">
        <v>4.33329</v>
      </c>
      <c r="AA95" s="50" t="n">
        <v>2.3996</v>
      </c>
      <c r="AB95" s="50" t="n">
        <v>5.0461</v>
      </c>
    </row>
    <row r="96">
      <c r="A96" s="49" t="n">
        <v>45343</v>
      </c>
      <c r="B96" s="50" t="n">
        <v>7.103</v>
      </c>
      <c r="C96" s="50" t="n">
        <v>7.6994</v>
      </c>
      <c r="D96" s="50" t="n">
        <v>0.047587</v>
      </c>
      <c r="E96" s="50" t="n">
        <v>0.90826</v>
      </c>
      <c r="F96" s="50" t="n">
        <v>8.99</v>
      </c>
      <c r="G96" s="50" t="n">
        <v>4.6715</v>
      </c>
      <c r="H96" s="50" t="n">
        <v>4.4018</v>
      </c>
      <c r="I96" s="50" t="n">
        <v>5.2964</v>
      </c>
      <c r="J96" s="50" t="n">
        <v>8.076000000000001</v>
      </c>
      <c r="K96" s="50" t="n">
        <v>5.2715</v>
      </c>
      <c r="L96" s="50" t="n">
        <v>1.1346</v>
      </c>
      <c r="M96" s="50" t="n">
        <v>0.67545</v>
      </c>
      <c r="N96" s="50" t="n">
        <v>12.9047</v>
      </c>
      <c r="O96" s="50" t="n">
        <v>2.6595</v>
      </c>
      <c r="R96" s="50" t="n">
        <v>186.79</v>
      </c>
      <c r="S96" s="50" t="n">
        <v>0.51616</v>
      </c>
      <c r="T96" s="50" t="n">
        <v>0.527</v>
      </c>
      <c r="U96" s="50" t="n">
        <v>50.4946</v>
      </c>
      <c r="V96" s="50" t="n">
        <v>0.5622</v>
      </c>
      <c r="W96" s="50" t="n">
        <v>0.9707</v>
      </c>
      <c r="X96" s="50" t="n">
        <v>1.4538</v>
      </c>
      <c r="Y96" s="50" t="n">
        <v>1.473</v>
      </c>
      <c r="Z96" s="50" t="n">
        <v>4.34318</v>
      </c>
      <c r="AA96" s="50" t="n">
        <v>2.4026</v>
      </c>
      <c r="AB96" s="50" t="n">
        <v>5.0413</v>
      </c>
    </row>
    <row r="97">
      <c r="A97" s="49" t="n">
        <v>45344</v>
      </c>
      <c r="B97" s="50" t="n">
        <v>7.1018</v>
      </c>
      <c r="C97" s="50" t="n">
        <v>7.7088</v>
      </c>
      <c r="D97" s="50" t="n">
        <v>0.047439</v>
      </c>
      <c r="E97" s="50" t="n">
        <v>0.90817</v>
      </c>
      <c r="F97" s="50" t="n">
        <v>9.001300000000001</v>
      </c>
      <c r="G97" s="50" t="n">
        <v>4.6715</v>
      </c>
      <c r="H97" s="50" t="n">
        <v>4.4127</v>
      </c>
      <c r="I97" s="50" t="n">
        <v>5.2954</v>
      </c>
      <c r="J97" s="50" t="n">
        <v>8.1005</v>
      </c>
      <c r="K97" s="50" t="n">
        <v>5.2801</v>
      </c>
      <c r="L97" s="50" t="n">
        <v>1.1347</v>
      </c>
      <c r="M97" s="50" t="n">
        <v>0.675</v>
      </c>
      <c r="N97" s="50" t="n">
        <v>12.926</v>
      </c>
      <c r="O97" s="50" t="n">
        <v>2.6578</v>
      </c>
      <c r="R97" s="50" t="n">
        <v>186.62</v>
      </c>
      <c r="S97" s="50" t="n">
        <v>0.51602</v>
      </c>
      <c r="T97" s="50" t="n">
        <v>0.52666</v>
      </c>
      <c r="U97" s="50" t="n">
        <v>50.3686</v>
      </c>
      <c r="V97" s="50" t="n">
        <v>0.56163</v>
      </c>
      <c r="W97" s="50" t="n">
        <v>0.9696</v>
      </c>
      <c r="X97" s="50" t="n">
        <v>1.454</v>
      </c>
      <c r="Y97" s="50" t="n">
        <v>1.4718</v>
      </c>
      <c r="Z97" s="50" t="n">
        <v>4.35684</v>
      </c>
      <c r="AA97" s="50" t="n">
        <v>2.4006</v>
      </c>
      <c r="AB97" s="50" t="n">
        <v>5.0256</v>
      </c>
    </row>
    <row r="98">
      <c r="A98" s="49" t="n">
        <v>45345</v>
      </c>
      <c r="B98" s="50" t="n">
        <v>7.1064</v>
      </c>
      <c r="C98" s="50" t="n">
        <v>7.7102</v>
      </c>
      <c r="D98" s="50" t="n">
        <v>0.047401</v>
      </c>
      <c r="E98" s="50" t="n">
        <v>0.90848</v>
      </c>
      <c r="F98" s="50" t="n">
        <v>9.020899999999999</v>
      </c>
      <c r="G98" s="50" t="n">
        <v>4.6779</v>
      </c>
      <c r="H98" s="50" t="n">
        <v>4.4244</v>
      </c>
      <c r="I98" s="50" t="n">
        <v>5.3024</v>
      </c>
      <c r="J98" s="50" t="n">
        <v>8.095000000000001</v>
      </c>
      <c r="K98" s="50" t="n">
        <v>5.2882</v>
      </c>
      <c r="L98" s="50" t="n">
        <v>1.1343</v>
      </c>
      <c r="M98" s="50" t="n">
        <v>0.67296</v>
      </c>
      <c r="N98" s="50" t="n">
        <v>13.0238</v>
      </c>
      <c r="O98" s="50" t="n">
        <v>2.693</v>
      </c>
      <c r="R98" s="50" t="n">
        <v>185.82</v>
      </c>
      <c r="S98" s="50" t="n">
        <v>0.51614</v>
      </c>
      <c r="T98" s="50" t="n">
        <v>0.52707</v>
      </c>
      <c r="U98" s="50" t="n">
        <v>50.4308</v>
      </c>
      <c r="V98" s="50" t="n">
        <v>0.5625599999999999</v>
      </c>
      <c r="W98" s="50" t="n">
        <v>0.9695</v>
      </c>
      <c r="X98" s="50" t="n">
        <v>1.448</v>
      </c>
      <c r="Y98" s="50" t="n">
        <v>1.4748</v>
      </c>
      <c r="Z98" s="50" t="n">
        <v>4.36283</v>
      </c>
      <c r="AA98" s="50" t="n">
        <v>2.4098</v>
      </c>
      <c r="AB98" s="50" t="n">
        <v>5.0285</v>
      </c>
    </row>
    <row r="99">
      <c r="A99" s="49" t="n">
        <v>45348</v>
      </c>
      <c r="B99" s="50" t="n">
        <v>7.108</v>
      </c>
      <c r="C99" s="50" t="n">
        <v>7.7171</v>
      </c>
      <c r="D99" s="50" t="n">
        <v>0.047458</v>
      </c>
      <c r="E99" s="50" t="n">
        <v>0.90844</v>
      </c>
      <c r="F99" s="50" t="n">
        <v>9.037800000000001</v>
      </c>
      <c r="G99" s="50" t="n">
        <v>4.6857</v>
      </c>
      <c r="H99" s="50" t="n">
        <v>4.4209</v>
      </c>
      <c r="I99" s="50" t="n">
        <v>5.3048</v>
      </c>
      <c r="J99" s="50" t="n">
        <v>8.0946</v>
      </c>
      <c r="K99" s="50" t="n">
        <v>5.2864</v>
      </c>
      <c r="L99" s="50" t="n">
        <v>1.1346</v>
      </c>
      <c r="M99" s="50" t="n">
        <v>0.67162</v>
      </c>
      <c r="N99" s="50" t="n">
        <v>13.16</v>
      </c>
      <c r="O99" s="50" t="n">
        <v>2.7117</v>
      </c>
      <c r="R99" s="50" t="n">
        <v>186.07</v>
      </c>
      <c r="S99" s="50" t="n">
        <v>0.51534</v>
      </c>
      <c r="T99" s="50" t="n">
        <v>0.52621</v>
      </c>
      <c r="U99" s="50" t="n">
        <v>50.5416</v>
      </c>
      <c r="V99" s="50" t="n">
        <v>0.55981</v>
      </c>
      <c r="W99" s="50" t="n">
        <v>0.9684</v>
      </c>
      <c r="X99" s="50" t="n">
        <v>1.4475</v>
      </c>
      <c r="Y99" s="50" t="n">
        <v>1.4778</v>
      </c>
      <c r="Z99" s="50" t="n">
        <v>4.35637</v>
      </c>
      <c r="AA99" s="50" t="n">
        <v>2.4078</v>
      </c>
      <c r="AB99" s="50" t="n">
        <v>5.0315</v>
      </c>
    </row>
    <row r="100">
      <c r="A100" s="49" t="n">
        <v>45349</v>
      </c>
      <c r="B100" s="50" t="n">
        <v>7.1057</v>
      </c>
      <c r="C100" s="50" t="n">
        <v>7.7309</v>
      </c>
      <c r="D100" s="50" t="n">
        <v>0.047385</v>
      </c>
      <c r="E100" s="50" t="n">
        <v>0.90832</v>
      </c>
      <c r="F100" s="50" t="n">
        <v>9.0359</v>
      </c>
      <c r="G100" s="50" t="n">
        <v>4.6621</v>
      </c>
      <c r="H100" s="50" t="n">
        <v>4.4025</v>
      </c>
      <c r="I100" s="50" t="n">
        <v>5.2952</v>
      </c>
      <c r="J100" s="50" t="n">
        <v>8.095700000000001</v>
      </c>
      <c r="K100" s="50" t="n">
        <v>5.2794</v>
      </c>
      <c r="L100" s="50" t="n">
        <v>1.1345</v>
      </c>
      <c r="M100" s="50" t="n">
        <v>0.67239</v>
      </c>
      <c r="N100" s="50" t="n">
        <v>12.9114</v>
      </c>
      <c r="O100" s="50" t="n">
        <v>2.7121</v>
      </c>
      <c r="R100" s="50" t="n">
        <v>186.31</v>
      </c>
      <c r="S100" s="50" t="n">
        <v>0.51581</v>
      </c>
      <c r="T100" s="50" t="n">
        <v>0.52672</v>
      </c>
      <c r="U100" s="50" t="n">
        <v>50.4941</v>
      </c>
      <c r="V100" s="50" t="n">
        <v>0.5591</v>
      </c>
      <c r="W100" s="50" t="n">
        <v>0.9669</v>
      </c>
      <c r="X100" s="50" t="n">
        <v>1.4427</v>
      </c>
      <c r="Y100" s="50" t="n">
        <v>1.4764</v>
      </c>
      <c r="Z100" s="50" t="n">
        <v>4.36987</v>
      </c>
      <c r="AA100" s="50" t="n">
        <v>2.4061</v>
      </c>
      <c r="AB100" s="50" t="n">
        <v>5.0282</v>
      </c>
    </row>
    <row r="101">
      <c r="A101" s="49" t="n">
        <v>45350</v>
      </c>
      <c r="B101" s="50" t="n">
        <v>7.1075</v>
      </c>
      <c r="C101" s="50" t="n">
        <v>7.729</v>
      </c>
      <c r="D101" s="50" t="n">
        <v>0.047428</v>
      </c>
      <c r="E101" s="50" t="n">
        <v>0.90823</v>
      </c>
      <c r="F101" s="50" t="n">
        <v>9.038399999999999</v>
      </c>
      <c r="G101" s="50" t="n">
        <v>4.6695</v>
      </c>
      <c r="H101" s="50" t="n">
        <v>4.4092</v>
      </c>
      <c r="I101" s="50" t="n">
        <v>5.3005</v>
      </c>
      <c r="J101" s="50" t="n">
        <v>8.1088</v>
      </c>
      <c r="K101" s="50" t="n">
        <v>5.2716</v>
      </c>
      <c r="L101" s="50" t="n">
        <v>1.1346</v>
      </c>
      <c r="M101" s="50" t="n">
        <v>0.6698</v>
      </c>
      <c r="N101" s="50" t="n">
        <v>12.87</v>
      </c>
      <c r="O101" s="50" t="n">
        <v>2.683</v>
      </c>
      <c r="R101" s="50" t="n">
        <v>186.31</v>
      </c>
      <c r="S101" s="50" t="n">
        <v>0.51568</v>
      </c>
      <c r="T101" s="50" t="n">
        <v>0.52658</v>
      </c>
      <c r="U101" s="50" t="n">
        <v>50.7276</v>
      </c>
      <c r="V101" s="50" t="n">
        <v>0.5589</v>
      </c>
      <c r="W101" s="50" t="n">
        <v>0.9673</v>
      </c>
      <c r="X101" s="50" t="n">
        <v>1.4457</v>
      </c>
      <c r="Y101" s="50" t="n">
        <v>1.4784</v>
      </c>
      <c r="Z101" s="50" t="n">
        <v>4.37194</v>
      </c>
      <c r="AA101" s="50" t="n">
        <v>2.4021</v>
      </c>
      <c r="AB101" s="50" t="n">
        <v>5.0241</v>
      </c>
    </row>
    <row r="102">
      <c r="A102" s="49" t="n">
        <v>45351</v>
      </c>
      <c r="B102" s="50" t="n">
        <v>7.1036</v>
      </c>
      <c r="C102" s="50" t="n">
        <v>7.7249</v>
      </c>
      <c r="D102" s="50" t="n">
        <v>0.047391</v>
      </c>
      <c r="E102" s="50" t="n">
        <v>0.9075299999999999</v>
      </c>
      <c r="F102" s="50" t="n">
        <v>9.024900000000001</v>
      </c>
      <c r="G102" s="50" t="n">
        <v>4.6345</v>
      </c>
      <c r="H102" s="50" t="n">
        <v>4.3552</v>
      </c>
      <c r="I102" s="50" t="n">
        <v>5.2937</v>
      </c>
      <c r="J102" s="50" t="n">
        <v>8.1142</v>
      </c>
      <c r="K102" s="50" t="n">
        <v>5.2548</v>
      </c>
      <c r="L102" s="50" t="n">
        <v>1.1356</v>
      </c>
      <c r="M102" s="50" t="n">
        <v>0.67092</v>
      </c>
      <c r="N102" s="50" t="n">
        <v>12.7828</v>
      </c>
      <c r="O102" s="50" t="n">
        <v>2.706</v>
      </c>
      <c r="R102" s="50" t="n">
        <v>186.56</v>
      </c>
      <c r="S102" s="50" t="n">
        <v>0.51552</v>
      </c>
      <c r="T102" s="50" t="n">
        <v>0.5264</v>
      </c>
      <c r="U102" s="50" t="n">
        <v>51.0522</v>
      </c>
      <c r="V102" s="50" t="n">
        <v>0.5605599999999999</v>
      </c>
      <c r="W102" s="50" t="n">
        <v>0.9671999999999999</v>
      </c>
      <c r="X102" s="50" t="n">
        <v>1.4496</v>
      </c>
      <c r="Y102" s="50" t="n">
        <v>1.4865</v>
      </c>
      <c r="Z102" s="50" t="n">
        <v>4.38119</v>
      </c>
      <c r="AA102" s="50" t="n">
        <v>2.4063</v>
      </c>
      <c r="AB102" s="50" t="n">
        <v>5.042</v>
      </c>
    </row>
    <row r="103">
      <c r="A103" s="49" t="n">
        <v>45352</v>
      </c>
      <c r="B103" s="50" t="n">
        <v>7.1059</v>
      </c>
      <c r="C103" s="50" t="n">
        <v>7.7017</v>
      </c>
      <c r="D103" s="50" t="n">
        <v>0.047529</v>
      </c>
      <c r="E103" s="50" t="n">
        <v>0.90772</v>
      </c>
      <c r="F103" s="50" t="n">
        <v>8.997</v>
      </c>
      <c r="G103" s="50" t="n">
        <v>4.6358</v>
      </c>
      <c r="H103" s="50" t="n">
        <v>4.3469</v>
      </c>
      <c r="I103" s="50" t="n">
        <v>5.291</v>
      </c>
      <c r="J103" s="50" t="n">
        <v>8.057399999999999</v>
      </c>
      <c r="K103" s="50" t="n">
        <v>5.2531</v>
      </c>
      <c r="L103" s="50" t="n">
        <v>1.1353</v>
      </c>
      <c r="M103" s="50" t="n">
        <v>0.66732</v>
      </c>
      <c r="N103" s="50" t="n">
        <v>12.7703</v>
      </c>
      <c r="O103" s="50" t="n">
        <v>2.6972</v>
      </c>
      <c r="R103" s="50" t="n">
        <v>186.54</v>
      </c>
      <c r="S103" s="50" t="n">
        <v>0.5158</v>
      </c>
      <c r="T103" s="50" t="n">
        <v>0.5266999999999999</v>
      </c>
      <c r="U103" s="50" t="n">
        <v>51.1621</v>
      </c>
      <c r="V103" s="50" t="n">
        <v>0.56227</v>
      </c>
      <c r="W103" s="50" t="n">
        <v>0.9709</v>
      </c>
      <c r="X103" s="50" t="n">
        <v>1.4551</v>
      </c>
      <c r="Y103" s="50" t="n">
        <v>1.4911</v>
      </c>
      <c r="Z103" s="50" t="n">
        <v>4.39411</v>
      </c>
      <c r="AA103" s="50" t="n">
        <v>2.4006</v>
      </c>
      <c r="AB103" s="50" t="n">
        <v>5.0229</v>
      </c>
    </row>
    <row r="104">
      <c r="A104" s="49" t="n">
        <v>45355</v>
      </c>
      <c r="B104" s="50" t="n">
        <v>7.102</v>
      </c>
      <c r="C104" s="50" t="n">
        <v>7.7224</v>
      </c>
      <c r="D104" s="50" t="n">
        <v>0.047524</v>
      </c>
      <c r="E104" s="50" t="n">
        <v>0.90725</v>
      </c>
      <c r="F104" s="50" t="n">
        <v>9.015499999999999</v>
      </c>
      <c r="G104" s="50" t="n">
        <v>4.6545</v>
      </c>
      <c r="H104" s="50" t="n">
        <v>4.3592</v>
      </c>
      <c r="I104" s="50" t="n">
        <v>5.2944</v>
      </c>
      <c r="J104" s="50" t="n">
        <v>8.061999999999999</v>
      </c>
      <c r="K104" s="50" t="n">
        <v>5.2586</v>
      </c>
      <c r="L104" s="50" t="n">
        <v>1.1359</v>
      </c>
      <c r="M104" s="50" t="n">
        <v>0.66601</v>
      </c>
      <c r="N104" s="50" t="n">
        <v>12.8276</v>
      </c>
      <c r="O104" s="50" t="n">
        <v>2.6861</v>
      </c>
      <c r="R104" s="50" t="n">
        <v>186.34</v>
      </c>
      <c r="S104" s="50" t="n">
        <v>0.51573</v>
      </c>
      <c r="T104" s="50" t="n">
        <v>0.52691</v>
      </c>
      <c r="U104" s="50" t="n">
        <v>51.1636</v>
      </c>
      <c r="V104" s="50" t="n">
        <v>0.56062</v>
      </c>
      <c r="W104" s="50" t="n">
        <v>0.9676</v>
      </c>
      <c r="X104" s="50" t="n">
        <v>1.448</v>
      </c>
      <c r="Y104" s="50" t="n">
        <v>1.4792</v>
      </c>
      <c r="Z104" s="50" t="n">
        <v>4.40893</v>
      </c>
      <c r="AA104" s="50" t="n">
        <v>2.3953</v>
      </c>
      <c r="AB104" s="50" t="n">
        <v>5.0175</v>
      </c>
    </row>
    <row r="105">
      <c r="A105" s="49" t="n">
        <v>45356</v>
      </c>
      <c r="B105" s="50" t="n">
        <v>7.1027</v>
      </c>
      <c r="C105" s="50" t="n">
        <v>7.7347</v>
      </c>
      <c r="D105" s="50" t="n">
        <v>0.047431</v>
      </c>
      <c r="E105" s="50" t="n">
        <v>0.90763</v>
      </c>
      <c r="F105" s="50" t="n">
        <v>9.041700000000001</v>
      </c>
      <c r="G105" s="50" t="n">
        <v>4.6417</v>
      </c>
      <c r="H105" s="50" t="n">
        <v>4.352</v>
      </c>
      <c r="I105" s="50" t="n">
        <v>5.3001</v>
      </c>
      <c r="J105" s="50" t="n">
        <v>8.049799999999999</v>
      </c>
      <c r="K105" s="50" t="n">
        <v>5.2532</v>
      </c>
      <c r="L105" s="50" t="n">
        <v>1.1354</v>
      </c>
      <c r="M105" s="50" t="n">
        <v>0.66489</v>
      </c>
      <c r="N105" s="50" t="n">
        <v>12.7886</v>
      </c>
      <c r="O105" s="50" t="n">
        <v>2.6751</v>
      </c>
      <c r="R105" s="50" t="n">
        <v>186.24</v>
      </c>
      <c r="S105" s="50" t="n">
        <v>0.5158</v>
      </c>
      <c r="T105" s="50" t="n">
        <v>0.52668</v>
      </c>
      <c r="U105" s="50" t="n">
        <v>51.3162</v>
      </c>
      <c r="V105" s="50" t="n">
        <v>0.56041</v>
      </c>
      <c r="W105" s="50" t="n">
        <v>0.9663</v>
      </c>
      <c r="X105" s="50" t="n">
        <v>1.4548</v>
      </c>
      <c r="Y105" s="50" t="n">
        <v>1.4844</v>
      </c>
      <c r="Z105" s="50" t="n">
        <v>4.43269</v>
      </c>
      <c r="AA105" s="50" t="n">
        <v>2.387</v>
      </c>
      <c r="AB105" s="50" t="n">
        <v>5.0045</v>
      </c>
    </row>
    <row r="106">
      <c r="A106" s="49" t="n">
        <v>45357</v>
      </c>
      <c r="B106" s="50" t="n">
        <v>7.1016</v>
      </c>
      <c r="C106" s="50" t="n">
        <v>7.7335</v>
      </c>
      <c r="D106" s="50" t="n">
        <v>0.047577</v>
      </c>
      <c r="E106" s="50" t="n">
        <v>0.90767</v>
      </c>
      <c r="F106" s="50" t="n">
        <v>9.0501</v>
      </c>
      <c r="G106" s="50" t="n">
        <v>4.6371</v>
      </c>
      <c r="H106" s="50" t="n">
        <v>4.3442</v>
      </c>
      <c r="I106" s="50" t="n">
        <v>5.3013</v>
      </c>
      <c r="J106" s="50" t="n">
        <v>8.062900000000001</v>
      </c>
      <c r="K106" s="50" t="n">
        <v>5.2454</v>
      </c>
      <c r="L106" s="50" t="n">
        <v>1.1353</v>
      </c>
      <c r="M106" s="50" t="n">
        <v>0.6671</v>
      </c>
      <c r="N106" s="50" t="n">
        <v>12.7008</v>
      </c>
      <c r="O106" s="50" t="n">
        <v>2.6686</v>
      </c>
      <c r="R106" s="50" t="n">
        <v>186.81</v>
      </c>
      <c r="S106" s="50" t="n">
        <v>0.51588</v>
      </c>
      <c r="T106" s="50" t="n">
        <v>0.52681</v>
      </c>
      <c r="U106" s="50" t="n">
        <v>51.0738</v>
      </c>
      <c r="V106" s="50" t="n">
        <v>0.55927</v>
      </c>
      <c r="W106" s="50" t="n">
        <v>0.9664</v>
      </c>
      <c r="X106" s="50" t="n">
        <v>1.4569</v>
      </c>
      <c r="Y106" s="50" t="n">
        <v>1.485</v>
      </c>
      <c r="Z106" s="50" t="n">
        <v>4.45259</v>
      </c>
      <c r="AA106" s="50" t="n">
        <v>2.3859</v>
      </c>
      <c r="AB106" s="50" t="n">
        <v>5.0155</v>
      </c>
    </row>
    <row r="107">
      <c r="A107" s="49" t="n">
        <v>45358</v>
      </c>
      <c r="B107" s="50" t="n">
        <v>7.1002</v>
      </c>
      <c r="C107" s="50" t="n">
        <v>7.7594</v>
      </c>
      <c r="D107" s="50" t="n">
        <v>0.047802</v>
      </c>
      <c r="E107" s="50" t="n">
        <v>0.90769</v>
      </c>
      <c r="F107" s="50" t="n">
        <v>9.061500000000001</v>
      </c>
      <c r="G107" s="50" t="n">
        <v>4.6779</v>
      </c>
      <c r="H107" s="50" t="n">
        <v>4.3729</v>
      </c>
      <c r="I107" s="50" t="n">
        <v>5.3151</v>
      </c>
      <c r="J107" s="50" t="n">
        <v>8.059100000000001</v>
      </c>
      <c r="K107" s="50" t="n">
        <v>5.2712</v>
      </c>
      <c r="L107" s="50" t="n">
        <v>1.1354</v>
      </c>
      <c r="M107" s="50" t="n">
        <v>0.66432</v>
      </c>
      <c r="N107" s="50" t="n">
        <v>12.6994</v>
      </c>
      <c r="O107" s="50" t="n">
        <v>2.6467</v>
      </c>
      <c r="R107" s="50" t="n">
        <v>186.18</v>
      </c>
      <c r="S107" s="50" t="n">
        <v>0.51642</v>
      </c>
      <c r="T107" s="50" t="n">
        <v>0.52735</v>
      </c>
      <c r="U107" s="50" t="n">
        <v>50.8966</v>
      </c>
      <c r="V107" s="50" t="n">
        <v>0.55574</v>
      </c>
      <c r="W107" s="50" t="n">
        <v>0.9635</v>
      </c>
      <c r="X107" s="50" t="n">
        <v>1.4448</v>
      </c>
      <c r="Y107" s="50" t="n">
        <v>1.4742</v>
      </c>
      <c r="Z107" s="50" t="n">
        <v>4.46889</v>
      </c>
      <c r="AA107" s="50" t="n">
        <v>2.3784</v>
      </c>
      <c r="AB107" s="50" t="n">
        <v>4.9923</v>
      </c>
    </row>
    <row r="108">
      <c r="A108" s="49" t="n">
        <v>45359</v>
      </c>
      <c r="B108" s="50" t="n">
        <v>7.0978</v>
      </c>
      <c r="C108" s="50" t="n">
        <v>7.7915</v>
      </c>
      <c r="D108" s="50" t="n">
        <v>0.048211</v>
      </c>
      <c r="E108" s="50" t="n">
        <v>0.90765</v>
      </c>
      <c r="F108" s="50" t="n">
        <v>9.1129</v>
      </c>
      <c r="G108" s="50" t="n">
        <v>4.7135</v>
      </c>
      <c r="H108" s="50" t="n">
        <v>4.4054</v>
      </c>
      <c r="I108" s="50" t="n">
        <v>5.3335</v>
      </c>
      <c r="J108" s="50" t="n">
        <v>8.1052</v>
      </c>
      <c r="K108" s="50" t="n">
        <v>5.2913</v>
      </c>
      <c r="L108" s="50" t="n">
        <v>1.1353</v>
      </c>
      <c r="M108" s="50" t="n">
        <v>0.65993</v>
      </c>
      <c r="N108" s="50" t="n">
        <v>12.6899</v>
      </c>
      <c r="O108" s="50" t="n">
        <v>2.6293</v>
      </c>
      <c r="R108" s="50" t="n">
        <v>185.48</v>
      </c>
      <c r="S108" s="50" t="n">
        <v>0.51673</v>
      </c>
      <c r="T108" s="50" t="n">
        <v>0.5276999999999999</v>
      </c>
      <c r="U108" s="50" t="n">
        <v>50.8746</v>
      </c>
      <c r="V108" s="50" t="n">
        <v>0.55392</v>
      </c>
      <c r="W108" s="50" t="n">
        <v>0.9597</v>
      </c>
      <c r="X108" s="50" t="n">
        <v>1.4362</v>
      </c>
      <c r="Y108" s="50" t="n">
        <v>1.463</v>
      </c>
      <c r="Z108" s="50" t="n">
        <v>4.49095</v>
      </c>
      <c r="AA108" s="50" t="n">
        <v>2.3793</v>
      </c>
      <c r="AB108" s="50" t="n">
        <v>4.9882</v>
      </c>
    </row>
    <row r="109">
      <c r="A109" s="49" t="n">
        <v>45362</v>
      </c>
      <c r="B109" s="50" t="n">
        <v>7.0969</v>
      </c>
      <c r="C109" s="50" t="n">
        <v>7.7878</v>
      </c>
      <c r="D109" s="50" t="n">
        <v>0.048545</v>
      </c>
      <c r="E109" s="50" t="n">
        <v>0.90751</v>
      </c>
      <c r="F109" s="50" t="n">
        <v>9.1472</v>
      </c>
      <c r="G109" s="50" t="n">
        <v>4.7176</v>
      </c>
      <c r="H109" s="50" t="n">
        <v>4.4069</v>
      </c>
      <c r="I109" s="50" t="n">
        <v>5.3421</v>
      </c>
      <c r="J109" s="50" t="n">
        <v>8.110900000000001</v>
      </c>
      <c r="K109" s="50" t="n">
        <v>5.2805</v>
      </c>
      <c r="L109" s="50" t="n">
        <v>1.1356</v>
      </c>
      <c r="M109" s="50" t="n">
        <v>0.66032</v>
      </c>
      <c r="N109" s="50" t="n">
        <v>12.7447</v>
      </c>
      <c r="O109" s="50" t="n">
        <v>2.6444</v>
      </c>
      <c r="R109" s="50" t="n">
        <v>184.5</v>
      </c>
      <c r="S109" s="50" t="n">
        <v>0.51647</v>
      </c>
      <c r="T109" s="50" t="n">
        <v>0.52741</v>
      </c>
      <c r="U109" s="50" t="n">
        <v>50.7316</v>
      </c>
      <c r="V109" s="50" t="n">
        <v>0.55422</v>
      </c>
      <c r="W109" s="50" t="n">
        <v>0.9601</v>
      </c>
      <c r="X109" s="50" t="n">
        <v>1.4348</v>
      </c>
      <c r="Y109" s="50" t="n">
        <v>1.4659</v>
      </c>
      <c r="Z109" s="50" t="n">
        <v>4.49624</v>
      </c>
      <c r="AA109" s="50" t="n">
        <v>2.368</v>
      </c>
      <c r="AB109" s="50" t="n">
        <v>4.9691</v>
      </c>
    </row>
    <row r="110">
      <c r="A110" s="49" t="n">
        <v>45363</v>
      </c>
      <c r="B110" s="50" t="n">
        <v>7.0963</v>
      </c>
      <c r="C110" s="50" t="n">
        <v>7.7782</v>
      </c>
      <c r="D110" s="50" t="n">
        <v>0.048568</v>
      </c>
      <c r="E110" s="50" t="n">
        <v>0.9073099999999999</v>
      </c>
      <c r="F110" s="50" t="n">
        <v>9.120799999999999</v>
      </c>
      <c r="G110" s="50" t="n">
        <v>4.7117</v>
      </c>
      <c r="H110" s="50" t="n">
        <v>4.4</v>
      </c>
      <c r="I110" s="50" t="n">
        <v>5.3469</v>
      </c>
      <c r="J110" s="50" t="n">
        <v>8.112</v>
      </c>
      <c r="K110" s="50" t="n">
        <v>5.2835</v>
      </c>
      <c r="L110" s="50" t="n">
        <v>1.1358</v>
      </c>
      <c r="M110" s="50" t="n">
        <v>0.66003</v>
      </c>
      <c r="N110" s="50" t="n">
        <v>12.7303</v>
      </c>
      <c r="O110" s="50" t="n">
        <v>2.6274</v>
      </c>
      <c r="R110" s="50" t="n">
        <v>183.68</v>
      </c>
      <c r="S110" s="50" t="n">
        <v>0.5164</v>
      </c>
      <c r="T110" s="50" t="n">
        <v>0.5273099999999999</v>
      </c>
      <c r="U110" s="50" t="n">
        <v>50.8597</v>
      </c>
      <c r="V110" s="50" t="n">
        <v>0.55202</v>
      </c>
      <c r="W110" s="50" t="n">
        <v>0.9611</v>
      </c>
      <c r="X110" s="50" t="n">
        <v>1.4384</v>
      </c>
      <c r="Y110" s="50" t="n">
        <v>1.4684</v>
      </c>
      <c r="Z110" s="50" t="n">
        <v>4.50361</v>
      </c>
      <c r="AA110" s="50" t="n">
        <v>2.3682</v>
      </c>
      <c r="AB110" s="50" t="n">
        <v>4.9712</v>
      </c>
    </row>
    <row r="111">
      <c r="A111" s="49" t="n">
        <v>45364</v>
      </c>
      <c r="B111" s="50" t="n">
        <v>7.093</v>
      </c>
      <c r="C111" s="50" t="n">
        <v>7.7796</v>
      </c>
      <c r="D111" s="50" t="n">
        <v>0.048256</v>
      </c>
      <c r="E111" s="50" t="n">
        <v>0.90661</v>
      </c>
      <c r="F111" s="50" t="n">
        <v>9.1089</v>
      </c>
      <c r="G111" s="50" t="n">
        <v>4.7077</v>
      </c>
      <c r="H111" s="50" t="n">
        <v>4.3854</v>
      </c>
      <c r="I111" s="50" t="n">
        <v>5.3404</v>
      </c>
      <c r="J111" s="50" t="n">
        <v>8.1152</v>
      </c>
      <c r="K111" s="50" t="n">
        <v>5.281</v>
      </c>
      <c r="L111" s="50" t="n">
        <v>1.1366</v>
      </c>
      <c r="M111" s="50" t="n">
        <v>0.65912</v>
      </c>
      <c r="N111" s="50" t="n">
        <v>12.8475</v>
      </c>
      <c r="O111" s="50" t="n">
        <v>2.6261</v>
      </c>
      <c r="R111" s="50" t="n">
        <v>183.7</v>
      </c>
      <c r="S111" s="50" t="n">
        <v>0.51619</v>
      </c>
      <c r="T111" s="50" t="n">
        <v>0.5270899999999999</v>
      </c>
      <c r="U111" s="50" t="n">
        <v>51.4164</v>
      </c>
      <c r="V111" s="50" t="n">
        <v>0.5527</v>
      </c>
      <c r="W111" s="50" t="n">
        <v>0.9606</v>
      </c>
      <c r="X111" s="50" t="n">
        <v>1.4372</v>
      </c>
      <c r="Y111" s="50" t="n">
        <v>1.4776</v>
      </c>
      <c r="Z111" s="50" t="n">
        <v>4.50904</v>
      </c>
      <c r="AA111" s="50" t="n">
        <v>2.3666</v>
      </c>
      <c r="AB111" s="50" t="n">
        <v>4.9963</v>
      </c>
    </row>
    <row r="112">
      <c r="A112" s="49" t="n">
        <v>45365</v>
      </c>
      <c r="B112" s="50" t="n">
        <v>7.0974</v>
      </c>
      <c r="C112" s="50" t="n">
        <v>7.7912</v>
      </c>
      <c r="D112" s="50" t="n">
        <v>0.048276</v>
      </c>
      <c r="E112" s="50" t="n">
        <v>0.90739</v>
      </c>
      <c r="F112" s="50" t="n">
        <v>9.1069</v>
      </c>
      <c r="G112" s="50" t="n">
        <v>4.7185</v>
      </c>
      <c r="H112" s="50" t="n">
        <v>4.3937</v>
      </c>
      <c r="I112" s="50" t="n">
        <v>5.3371</v>
      </c>
      <c r="J112" s="50" t="n">
        <v>8.0899</v>
      </c>
      <c r="K112" s="50" t="n">
        <v>5.2866</v>
      </c>
      <c r="L112" s="50" t="n">
        <v>1.1356</v>
      </c>
      <c r="M112" s="50" t="n">
        <v>0.66044</v>
      </c>
      <c r="N112" s="50" t="n">
        <v>12.7999</v>
      </c>
      <c r="O112" s="50" t="n">
        <v>2.6136</v>
      </c>
      <c r="R112" s="50" t="n">
        <v>184.08</v>
      </c>
      <c r="S112" s="50" t="n">
        <v>0.5165999999999999</v>
      </c>
      <c r="T112" s="50" t="n">
        <v>0.52754</v>
      </c>
      <c r="U112" s="50" t="n">
        <v>50.9784</v>
      </c>
      <c r="V112" s="50" t="n">
        <v>0.55137</v>
      </c>
      <c r="W112" s="50" t="n">
        <v>0.9597</v>
      </c>
      <c r="X112" s="50" t="n">
        <v>1.4366</v>
      </c>
      <c r="Y112" s="50" t="n">
        <v>1.4739</v>
      </c>
      <c r="Z112" s="50" t="n">
        <v>4.5167</v>
      </c>
      <c r="AA112" s="50" t="n">
        <v>2.3504</v>
      </c>
      <c r="AB112" s="50" t="n">
        <v>4.9965</v>
      </c>
    </row>
    <row r="113">
      <c r="A113" s="49" t="n">
        <v>45366</v>
      </c>
      <c r="B113" s="50" t="n">
        <v>7.0975</v>
      </c>
      <c r="C113" s="50" t="n">
        <v>7.7569</v>
      </c>
      <c r="D113" s="50" t="n">
        <v>0.048134</v>
      </c>
      <c r="E113" s="50" t="n">
        <v>0.90735</v>
      </c>
      <c r="F113" s="50" t="n">
        <v>9.0883</v>
      </c>
      <c r="G113" s="50" t="n">
        <v>4.6937</v>
      </c>
      <c r="H113" s="50" t="n">
        <v>4.3736</v>
      </c>
      <c r="I113" s="50" t="n">
        <v>5.333</v>
      </c>
      <c r="J113" s="50" t="n">
        <v>8.065200000000001</v>
      </c>
      <c r="K113" s="50" t="n">
        <v>5.2702</v>
      </c>
      <c r="L113" s="50" t="n">
        <v>1.1357</v>
      </c>
      <c r="M113" s="50" t="n">
        <v>0.66049</v>
      </c>
      <c r="N113" s="50" t="n">
        <v>12.8062</v>
      </c>
      <c r="O113" s="50" t="n">
        <v>2.6328</v>
      </c>
      <c r="R113" s="50" t="n">
        <v>184.87</v>
      </c>
      <c r="S113" s="50" t="n">
        <v>0.51549</v>
      </c>
      <c r="T113" s="50" t="n">
        <v>0.52637</v>
      </c>
      <c r="U113" s="50" t="n">
        <v>51.1671</v>
      </c>
      <c r="V113" s="50" t="n">
        <v>0.55525</v>
      </c>
      <c r="W113" s="50" t="n">
        <v>0.9637</v>
      </c>
      <c r="X113" s="50" t="n">
        <v>1.4507</v>
      </c>
      <c r="Y113" s="50" t="n">
        <v>1.4836</v>
      </c>
      <c r="Z113" s="50" t="n">
        <v>4.51937</v>
      </c>
      <c r="AA113" s="50" t="n">
        <v>2.3522</v>
      </c>
      <c r="AB113" s="50" t="n">
        <v>4.9997</v>
      </c>
    </row>
    <row r="114">
      <c r="A114" s="49" t="n">
        <v>45369</v>
      </c>
      <c r="B114" s="50" t="n">
        <v>7.0943</v>
      </c>
      <c r="C114" s="50" t="n">
        <v>7.7559</v>
      </c>
      <c r="D114" s="50" t="n">
        <v>0.047895</v>
      </c>
      <c r="E114" s="50" t="n">
        <v>0.90696</v>
      </c>
      <c r="F114" s="50" t="n">
        <v>9.0725</v>
      </c>
      <c r="G114" s="50" t="n">
        <v>4.6792</v>
      </c>
      <c r="H114" s="50" t="n">
        <v>4.3458</v>
      </c>
      <c r="I114" s="50" t="n">
        <v>5.3219</v>
      </c>
      <c r="J114" s="50" t="n">
        <v>8.0665</v>
      </c>
      <c r="K114" s="50" t="n">
        <v>5.2656</v>
      </c>
      <c r="L114" s="50" t="n">
        <v>1.1366</v>
      </c>
      <c r="M114" s="50" t="n">
        <v>0.66267</v>
      </c>
      <c r="N114" s="50" t="n">
        <v>12.9608</v>
      </c>
      <c r="O114" s="50" t="n">
        <v>2.6358</v>
      </c>
      <c r="R114" s="50" t="n">
        <v>186</v>
      </c>
      <c r="S114" s="50" t="n">
        <v>0.51559</v>
      </c>
      <c r="T114" s="50" t="n">
        <v>0.52652</v>
      </c>
      <c r="U114" s="50" t="n">
        <v>50.8069</v>
      </c>
      <c r="V114" s="50" t="n">
        <v>0.55608</v>
      </c>
      <c r="W114" s="50" t="n">
        <v>0.9641</v>
      </c>
      <c r="X114" s="50" t="n">
        <v>1.4541</v>
      </c>
      <c r="Y114" s="50" t="n">
        <v>1.4915</v>
      </c>
      <c r="Z114" s="50" t="n">
        <v>4.51672</v>
      </c>
      <c r="AA114" s="50" t="n">
        <v>2.3545</v>
      </c>
      <c r="AB114" s="50" t="n">
        <v>5.0166</v>
      </c>
    </row>
    <row r="115">
      <c r="A115" s="49" t="n">
        <v>45370</v>
      </c>
      <c r="B115" s="50" t="n">
        <v>7.0985</v>
      </c>
      <c r="C115" s="50" t="n">
        <v>7.7439</v>
      </c>
      <c r="D115" s="50" t="n">
        <v>0.047831</v>
      </c>
      <c r="E115" s="50" t="n">
        <v>0.90772</v>
      </c>
      <c r="F115" s="50" t="n">
        <v>9.064299999999999</v>
      </c>
      <c r="G115" s="50" t="n">
        <v>4.6753</v>
      </c>
      <c r="H115" s="50" t="n">
        <v>4.3432</v>
      </c>
      <c r="I115" s="50" t="n">
        <v>5.3156</v>
      </c>
      <c r="J115" s="50" t="n">
        <v>8.0266</v>
      </c>
      <c r="K115" s="50" t="n">
        <v>5.2675</v>
      </c>
      <c r="L115" s="50" t="n">
        <v>1.1353</v>
      </c>
      <c r="M115" s="50" t="n">
        <v>0.66501</v>
      </c>
      <c r="N115" s="50" t="n">
        <v>12.8287</v>
      </c>
      <c r="O115" s="50" t="n">
        <v>2.6651</v>
      </c>
      <c r="R115" s="50" t="n">
        <v>186.75</v>
      </c>
      <c r="S115" s="50" t="n">
        <v>0.51597</v>
      </c>
      <c r="T115" s="50" t="n">
        <v>0.52693</v>
      </c>
      <c r="U115" s="50" t="n">
        <v>51.1656</v>
      </c>
      <c r="V115" s="50" t="n">
        <v>0.56012</v>
      </c>
      <c r="W115" s="50" t="n">
        <v>0.9658</v>
      </c>
      <c r="X115" s="50" t="n">
        <v>1.4641</v>
      </c>
      <c r="Y115" s="50" t="n">
        <v>1.4963</v>
      </c>
      <c r="Z115" s="50" t="n">
        <v>4.54276</v>
      </c>
      <c r="AA115" s="50" t="n">
        <v>2.372</v>
      </c>
      <c r="AB115" s="50" t="n">
        <v>5.0356</v>
      </c>
    </row>
    <row r="116">
      <c r="A116" s="49" t="n">
        <v>45371</v>
      </c>
      <c r="B116" s="50" t="n">
        <v>7.0968</v>
      </c>
      <c r="C116" s="50" t="n">
        <v>7.7441</v>
      </c>
      <c r="D116" s="50" t="n">
        <v>0.047282</v>
      </c>
      <c r="E116" s="50" t="n">
        <v>0.90722</v>
      </c>
      <c r="F116" s="50" t="n">
        <v>9.068199999999999</v>
      </c>
      <c r="G116" s="50" t="n">
        <v>4.6587</v>
      </c>
      <c r="H116" s="50" t="n">
        <v>4.3195</v>
      </c>
      <c r="I116" s="50" t="n">
        <v>5.3061</v>
      </c>
      <c r="J116" s="50" t="n">
        <v>8.0251</v>
      </c>
      <c r="K116" s="50" t="n">
        <v>5.2577</v>
      </c>
      <c r="L116" s="50" t="n">
        <v>1.1359</v>
      </c>
      <c r="M116" s="50" t="n">
        <v>0.66642</v>
      </c>
      <c r="N116" s="50" t="n">
        <v>12.9299</v>
      </c>
      <c r="O116" s="50" t="n">
        <v>2.6585</v>
      </c>
      <c r="R116" s="50" t="n">
        <v>186.99</v>
      </c>
      <c r="S116" s="50" t="n">
        <v>0.51545</v>
      </c>
      <c r="T116" s="50" t="n">
        <v>0.52638</v>
      </c>
      <c r="U116" s="50" t="n">
        <v>51.1285</v>
      </c>
      <c r="V116" s="50" t="n">
        <v>0.5589499999999999</v>
      </c>
      <c r="W116" s="50" t="n">
        <v>0.9654</v>
      </c>
      <c r="X116" s="50" t="n">
        <v>1.4635</v>
      </c>
      <c r="Y116" s="50" t="n">
        <v>1.4937</v>
      </c>
      <c r="Z116" s="50" t="n">
        <v>4.54664</v>
      </c>
      <c r="AA116" s="50" t="n">
        <v>2.3668</v>
      </c>
      <c r="AB116" s="50" t="n">
        <v>5.0456</v>
      </c>
    </row>
    <row r="117">
      <c r="A117" s="49" t="n">
        <v>45372</v>
      </c>
      <c r="B117" s="50" t="n">
        <v>7.0942</v>
      </c>
      <c r="C117" s="50" t="n">
        <v>7.7769</v>
      </c>
      <c r="D117" s="50" t="n">
        <v>0.047258</v>
      </c>
      <c r="E117" s="50" t="n">
        <v>0.90709</v>
      </c>
      <c r="F117" s="50" t="n">
        <v>9.097099999999999</v>
      </c>
      <c r="G117" s="50" t="n">
        <v>4.6925</v>
      </c>
      <c r="H117" s="50" t="n">
        <v>4.3362</v>
      </c>
      <c r="I117" s="50" t="n">
        <v>5.3052</v>
      </c>
      <c r="J117" s="50" t="n">
        <v>8.0304</v>
      </c>
      <c r="K117" s="50" t="n">
        <v>5.2811</v>
      </c>
      <c r="L117" s="50" t="n">
        <v>1.1361</v>
      </c>
      <c r="M117" s="50" t="n">
        <v>0.66517</v>
      </c>
      <c r="N117" s="50" t="n">
        <v>12.9281</v>
      </c>
      <c r="O117" s="50" t="n">
        <v>2.6323</v>
      </c>
      <c r="R117" s="50" t="n">
        <v>186.46</v>
      </c>
      <c r="S117" s="50" t="n">
        <v>0.51681</v>
      </c>
      <c r="T117" s="50" t="n">
        <v>0.52776</v>
      </c>
      <c r="U117" s="50" t="n">
        <v>50.7636</v>
      </c>
      <c r="V117" s="50" t="n">
        <v>0.55608</v>
      </c>
      <c r="W117" s="50" t="n">
        <v>0.9615</v>
      </c>
      <c r="X117" s="50" t="n">
        <v>1.4582</v>
      </c>
      <c r="Y117" s="50" t="n">
        <v>1.4848</v>
      </c>
      <c r="Z117" s="50" t="n">
        <v>4.55923</v>
      </c>
      <c r="AA117" s="50" t="n">
        <v>2.3531</v>
      </c>
      <c r="AB117" s="50" t="n">
        <v>5.043</v>
      </c>
    </row>
    <row r="118">
      <c r="A118" s="49" t="n">
        <v>45373</v>
      </c>
      <c r="B118" s="50" t="n">
        <v>7.1004</v>
      </c>
      <c r="C118" s="50" t="n">
        <v>7.7465</v>
      </c>
      <c r="D118" s="50" t="n">
        <v>0.047118</v>
      </c>
      <c r="E118" s="50" t="n">
        <v>0.9079199999999999</v>
      </c>
      <c r="F118" s="50" t="n">
        <v>9.035500000000001</v>
      </c>
      <c r="G118" s="50" t="n">
        <v>4.6912</v>
      </c>
      <c r="H118" s="50" t="n">
        <v>4.327</v>
      </c>
      <c r="I118" s="50" t="n">
        <v>5.3052</v>
      </c>
      <c r="J118" s="50" t="n">
        <v>7.9543</v>
      </c>
      <c r="K118" s="50" t="n">
        <v>5.2757</v>
      </c>
      <c r="L118" s="50" t="n">
        <v>1.135</v>
      </c>
      <c r="M118" s="50" t="n">
        <v>0.66437</v>
      </c>
      <c r="N118" s="50" t="n">
        <v>12.8644</v>
      </c>
      <c r="O118" s="50" t="n">
        <v>2.6445</v>
      </c>
      <c r="R118" s="50" t="n">
        <v>185.78</v>
      </c>
      <c r="S118" s="50" t="n">
        <v>0.51586</v>
      </c>
      <c r="T118" s="50" t="n">
        <v>0.52683</v>
      </c>
      <c r="U118" s="50" t="n">
        <v>50.9998</v>
      </c>
      <c r="V118" s="50" t="n">
        <v>0.55755</v>
      </c>
      <c r="W118" s="50" t="n">
        <v>0.9651999999999999</v>
      </c>
      <c r="X118" s="50" t="n">
        <v>1.4663</v>
      </c>
      <c r="Y118" s="50" t="n">
        <v>1.4946</v>
      </c>
      <c r="Z118" s="50" t="n">
        <v>4.51766</v>
      </c>
      <c r="AA118" s="50" t="n">
        <v>2.3571</v>
      </c>
      <c r="AB118" s="50" t="n">
        <v>5.0609</v>
      </c>
    </row>
    <row r="119">
      <c r="A119" s="49" t="n">
        <v>45376</v>
      </c>
      <c r="B119" s="50" t="n">
        <v>7.0996</v>
      </c>
      <c r="C119" s="50" t="n">
        <v>7.7167</v>
      </c>
      <c r="D119" s="50" t="n">
        <v>0.047274</v>
      </c>
      <c r="E119" s="50" t="n">
        <v>0.90774</v>
      </c>
      <c r="F119" s="50" t="n">
        <v>8.9953</v>
      </c>
      <c r="G119" s="50" t="n">
        <v>4.659</v>
      </c>
      <c r="H119" s="50" t="n">
        <v>4.2896</v>
      </c>
      <c r="I119" s="50" t="n">
        <v>5.2876</v>
      </c>
      <c r="J119" s="50" t="n">
        <v>7.9519</v>
      </c>
      <c r="K119" s="50" t="n">
        <v>5.2542</v>
      </c>
      <c r="L119" s="50" t="n">
        <v>1.1352</v>
      </c>
      <c r="M119" s="50" t="n">
        <v>0.66648</v>
      </c>
      <c r="N119" s="50" t="n">
        <v>12.8308</v>
      </c>
      <c r="O119" s="50" t="n">
        <v>2.6648</v>
      </c>
      <c r="R119" s="50" t="n">
        <v>186.79</v>
      </c>
      <c r="S119" s="50" t="n">
        <v>0.51483</v>
      </c>
      <c r="T119" s="50" t="n">
        <v>0.52578</v>
      </c>
      <c r="U119" s="50" t="n">
        <v>51.7049</v>
      </c>
      <c r="V119" s="50" t="n">
        <v>0.56236</v>
      </c>
      <c r="W119" s="50" t="n">
        <v>0.9696</v>
      </c>
      <c r="X119" s="50" t="n">
        <v>1.4786</v>
      </c>
      <c r="Y119" s="50" t="n">
        <v>1.5052</v>
      </c>
      <c r="Z119" s="50" t="n">
        <v>4.49627</v>
      </c>
      <c r="AA119" s="50" t="n">
        <v>2.3576</v>
      </c>
      <c r="AB119" s="50" t="n">
        <v>5.0805</v>
      </c>
    </row>
    <row r="120">
      <c r="A120" s="49" t="n">
        <v>45377</v>
      </c>
      <c r="B120" s="50" t="n">
        <v>7.0943</v>
      </c>
      <c r="C120" s="50" t="n">
        <v>7.7203</v>
      </c>
      <c r="D120" s="50" t="n">
        <v>0.047127</v>
      </c>
      <c r="E120" s="50" t="n">
        <v>0.90706</v>
      </c>
      <c r="F120" s="50" t="n">
        <v>8.9994</v>
      </c>
      <c r="G120" s="50" t="n">
        <v>4.662</v>
      </c>
      <c r="H120" s="50" t="n">
        <v>4.2848</v>
      </c>
      <c r="I120" s="50" t="n">
        <v>5.2889</v>
      </c>
      <c r="J120" s="50" t="n">
        <v>7.9174</v>
      </c>
      <c r="K120" s="50" t="n">
        <v>5.2485</v>
      </c>
      <c r="L120" s="50" t="n">
        <v>1.1361</v>
      </c>
      <c r="M120" s="50" t="n">
        <v>0.66526</v>
      </c>
      <c r="N120" s="50" t="n">
        <v>12.9842</v>
      </c>
      <c r="O120" s="50" t="n">
        <v>2.6563</v>
      </c>
      <c r="R120" s="50" t="n">
        <v>186.96</v>
      </c>
      <c r="S120" s="50" t="n">
        <v>0.51589</v>
      </c>
      <c r="T120" s="50" t="n">
        <v>0.5268699999999999</v>
      </c>
      <c r="U120" s="50" t="n">
        <v>51.5829</v>
      </c>
      <c r="V120" s="50" t="n">
        <v>0.55952</v>
      </c>
      <c r="W120" s="50" t="n">
        <v>0.9688</v>
      </c>
      <c r="X120" s="50" t="n">
        <v>1.4842</v>
      </c>
      <c r="Y120" s="50" t="n">
        <v>1.5051</v>
      </c>
      <c r="Z120" s="50" t="n">
        <v>4.51804</v>
      </c>
      <c r="AA120" s="50" t="n">
        <v>2.3502</v>
      </c>
      <c r="AB120" s="50" t="n">
        <v>5.0866</v>
      </c>
    </row>
    <row r="121">
      <c r="A121" s="49" t="n">
        <v>45378</v>
      </c>
      <c r="B121" s="50" t="n">
        <v>7.0946</v>
      </c>
      <c r="C121" s="50" t="n">
        <v>7.7179</v>
      </c>
      <c r="D121" s="50" t="n">
        <v>0.047099</v>
      </c>
      <c r="E121" s="50" t="n">
        <v>0.90698</v>
      </c>
      <c r="F121" s="50" t="n">
        <v>8.9975</v>
      </c>
      <c r="G121" s="50" t="n">
        <v>4.6616</v>
      </c>
      <c r="H121" s="50" t="n">
        <v>4.2917</v>
      </c>
      <c r="I121" s="50" t="n">
        <v>5.2932</v>
      </c>
      <c r="J121" s="50" t="n">
        <v>7.8841</v>
      </c>
      <c r="K121" s="50" t="n">
        <v>5.2508</v>
      </c>
      <c r="L121" s="50" t="n">
        <v>1.1362</v>
      </c>
      <c r="M121" s="50" t="n">
        <v>0.66583</v>
      </c>
      <c r="N121" s="50" t="n">
        <v>12.9383</v>
      </c>
      <c r="O121" s="50" t="n">
        <v>2.6683</v>
      </c>
      <c r="R121" s="50" t="n">
        <v>187.32</v>
      </c>
      <c r="S121" s="50" t="n">
        <v>0.51585</v>
      </c>
      <c r="T121" s="50" t="n">
        <v>0.52686</v>
      </c>
      <c r="U121" s="50" t="n">
        <v>51.4547</v>
      </c>
      <c r="V121" s="50" t="n">
        <v>0.56073</v>
      </c>
      <c r="W121" s="50" t="n">
        <v>0.9702</v>
      </c>
      <c r="X121" s="50" t="n">
        <v>1.4857</v>
      </c>
      <c r="Y121" s="50" t="n">
        <v>1.5111</v>
      </c>
      <c r="Z121" s="50" t="n">
        <v>4.5233</v>
      </c>
      <c r="AA121" s="50" t="n">
        <v>2.3465</v>
      </c>
      <c r="AB121" s="50" t="n">
        <v>5.0776</v>
      </c>
    </row>
    <row r="122">
      <c r="A122" s="49" t="n">
        <v>45379</v>
      </c>
      <c r="B122" s="50" t="n">
        <v>7.0948</v>
      </c>
      <c r="C122" s="50" t="n">
        <v>7.7043</v>
      </c>
      <c r="D122" s="50" t="n">
        <v>0.047195</v>
      </c>
      <c r="E122" s="50" t="n">
        <v>0.90685</v>
      </c>
      <c r="F122" s="50" t="n">
        <v>8.995799999999999</v>
      </c>
      <c r="G122" s="50" t="n">
        <v>4.6532</v>
      </c>
      <c r="H122" s="50" t="n">
        <v>4.2793</v>
      </c>
      <c r="I122" s="50" t="n">
        <v>5.2873</v>
      </c>
      <c r="J122" s="50" t="n">
        <v>7.8738</v>
      </c>
      <c r="K122" s="50" t="n">
        <v>5.2548</v>
      </c>
      <c r="L122" s="50" t="n">
        <v>1.1364</v>
      </c>
      <c r="M122" s="50" t="n">
        <v>0.66625</v>
      </c>
      <c r="N122" s="50" t="n">
        <v>12.92</v>
      </c>
      <c r="O122" s="50" t="n">
        <v>2.6607</v>
      </c>
      <c r="R122" s="50" t="n">
        <v>188.18</v>
      </c>
      <c r="S122" s="50" t="n">
        <v>0.51553</v>
      </c>
      <c r="T122" s="50" t="n">
        <v>0.52656</v>
      </c>
      <c r="U122" s="50" t="n">
        <v>51.4293</v>
      </c>
      <c r="V122" s="50" t="n">
        <v>0.56206</v>
      </c>
      <c r="W122" s="50" t="n">
        <v>0.9709</v>
      </c>
      <c r="X122" s="50" t="n">
        <v>1.4926</v>
      </c>
      <c r="Y122" s="50" t="n">
        <v>1.5171</v>
      </c>
      <c r="Z122" s="50" t="n">
        <v>4.53312</v>
      </c>
      <c r="AA122" s="50" t="n">
        <v>2.3335</v>
      </c>
      <c r="AB122" s="50" t="n">
        <v>5.0839</v>
      </c>
    </row>
    <row r="123">
      <c r="A123" s="49" t="n">
        <v>45380</v>
      </c>
      <c r="B123" s="50" t="n">
        <v>7.095</v>
      </c>
      <c r="C123" s="50" t="n">
        <v>7.6765</v>
      </c>
      <c r="D123" s="50" t="n">
        <v>0.047158</v>
      </c>
      <c r="E123" s="50" t="n">
        <v>0.90655</v>
      </c>
      <c r="F123" s="50" t="n">
        <v>9.000400000000001</v>
      </c>
      <c r="G123" s="50" t="n">
        <v>4.6402</v>
      </c>
      <c r="H123" s="50" t="n">
        <v>4.2583</v>
      </c>
      <c r="I123" s="50" t="n">
        <v>5.2762</v>
      </c>
      <c r="J123" s="50" t="n">
        <v>7.9074</v>
      </c>
      <c r="K123" s="50" t="n">
        <v>5.2738</v>
      </c>
      <c r="L123" s="50" t="n">
        <v>1.1367</v>
      </c>
      <c r="M123" s="50" t="n">
        <v>0.66721</v>
      </c>
      <c r="N123" s="50" t="n">
        <v>12.925</v>
      </c>
      <c r="O123" s="50" t="n">
        <v>2.66</v>
      </c>
      <c r="R123" s="50" t="n">
        <v>188.06</v>
      </c>
      <c r="S123" s="50" t="n">
        <v>0.51564</v>
      </c>
      <c r="T123" s="50" t="n">
        <v>0.52662</v>
      </c>
      <c r="U123" s="50" t="n">
        <v>51.4542</v>
      </c>
      <c r="V123" s="50" t="n">
        <v>0.56216</v>
      </c>
      <c r="W123" s="50" t="n">
        <v>0.9732</v>
      </c>
      <c r="X123" s="50" t="n">
        <v>1.5037</v>
      </c>
      <c r="Y123" s="50" t="n">
        <v>1.5276</v>
      </c>
      <c r="Z123" s="50" t="n">
        <v>4.54454</v>
      </c>
      <c r="AA123" s="50" t="n">
        <v>2.3393</v>
      </c>
      <c r="AB123" s="50" t="n">
        <v>5.0976</v>
      </c>
    </row>
    <row r="124">
      <c r="A124" s="49" t="n">
        <v>45383</v>
      </c>
      <c r="B124" s="50" t="n">
        <v>7.0938</v>
      </c>
      <c r="C124" s="50" t="n">
        <v>7.6889</v>
      </c>
      <c r="D124" s="50" t="n">
        <v>0.047148</v>
      </c>
      <c r="E124" s="50" t="n">
        <v>0.90644</v>
      </c>
      <c r="F124" s="50" t="n">
        <v>8.998900000000001</v>
      </c>
      <c r="G124" s="50" t="n">
        <v>4.6597</v>
      </c>
      <c r="H124" s="50" t="n">
        <v>4.2773</v>
      </c>
      <c r="I124" s="50" t="n">
        <v>5.2835</v>
      </c>
      <c r="J124" s="50" t="n">
        <v>7.8982</v>
      </c>
      <c r="K124" s="50" t="n">
        <v>5.2726</v>
      </c>
      <c r="L124" s="50" t="n">
        <v>1.137</v>
      </c>
      <c r="M124" s="50" t="n">
        <v>0.66594</v>
      </c>
      <c r="N124" s="50" t="n">
        <v>12.9368</v>
      </c>
      <c r="O124" s="50" t="n">
        <v>2.6513</v>
      </c>
      <c r="R124" s="50" t="n">
        <v>187.99</v>
      </c>
      <c r="S124" s="50" t="n">
        <v>0.51592</v>
      </c>
      <c r="T124" s="50" t="n">
        <v>0.5269200000000001</v>
      </c>
      <c r="U124" s="50" t="n">
        <v>51.435</v>
      </c>
      <c r="V124" s="50" t="n">
        <v>0.56106</v>
      </c>
      <c r="W124" s="50" t="n">
        <v>0.9736</v>
      </c>
      <c r="X124" s="50" t="n">
        <v>1.4988</v>
      </c>
      <c r="Y124" s="50" t="n">
        <v>1.5237</v>
      </c>
      <c r="Z124" s="50" t="n">
        <v>4.55222</v>
      </c>
      <c r="AA124" s="50" t="n">
        <v>2.3333</v>
      </c>
      <c r="AB124" s="50" t="n">
        <v>5.0851</v>
      </c>
    </row>
    <row r="125">
      <c r="A125" s="49" t="n">
        <v>45384</v>
      </c>
      <c r="B125" s="50" t="n">
        <v>7.0957</v>
      </c>
      <c r="C125" s="50" t="n">
        <v>7.665</v>
      </c>
      <c r="D125" s="50" t="n">
        <v>0.047138</v>
      </c>
      <c r="E125" s="50" t="n">
        <v>0.9067499999999999</v>
      </c>
      <c r="F125" s="50" t="n">
        <v>8.962</v>
      </c>
      <c r="G125" s="50" t="n">
        <v>4.643</v>
      </c>
      <c r="H125" s="50" t="n">
        <v>4.2673</v>
      </c>
      <c r="I125" s="50" t="n">
        <v>5.2784</v>
      </c>
      <c r="J125" s="50" t="n">
        <v>7.8889</v>
      </c>
      <c r="K125" s="50" t="n">
        <v>5.2665</v>
      </c>
      <c r="L125" s="50" t="n">
        <v>1.1365</v>
      </c>
      <c r="M125" s="50" t="n">
        <v>0.66614</v>
      </c>
      <c r="N125" s="50" t="n">
        <v>12.8906</v>
      </c>
      <c r="O125" s="50" t="n">
        <v>2.6598</v>
      </c>
      <c r="R125" s="50" t="n">
        <v>188.45</v>
      </c>
      <c r="S125" s="50" t="n">
        <v>0.51535</v>
      </c>
      <c r="T125" s="50" t="n">
        <v>0.5263</v>
      </c>
      <c r="U125" s="50" t="n">
        <v>51.6645</v>
      </c>
      <c r="V125" s="50" t="n">
        <v>0.56255</v>
      </c>
      <c r="W125" s="50" t="n">
        <v>0.9762</v>
      </c>
      <c r="X125" s="50" t="n">
        <v>1.511</v>
      </c>
      <c r="Y125" s="50" t="n">
        <v>1.5346</v>
      </c>
      <c r="Z125" s="50" t="n">
        <v>4.52686</v>
      </c>
      <c r="AA125" s="50" t="n">
        <v>2.3398</v>
      </c>
      <c r="AB125" s="50" t="n">
        <v>5.0995</v>
      </c>
    </row>
    <row r="126">
      <c r="A126" s="49" t="n">
        <v>45385</v>
      </c>
      <c r="B126" s="50" t="n">
        <v>7.0949</v>
      </c>
      <c r="C126" s="50" t="n">
        <v>7.6773</v>
      </c>
      <c r="D126" s="50" t="n">
        <v>0.047106</v>
      </c>
      <c r="E126" s="50" t="n">
        <v>0.90629</v>
      </c>
      <c r="F126" s="50" t="n">
        <v>8.9579</v>
      </c>
      <c r="G126" s="50" t="n">
        <v>4.6481</v>
      </c>
      <c r="H126" s="50" t="n">
        <v>4.2653</v>
      </c>
      <c r="I126" s="50" t="n">
        <v>5.269</v>
      </c>
      <c r="J126" s="50" t="n">
        <v>7.8469</v>
      </c>
      <c r="K126" s="50" t="n">
        <v>5.259</v>
      </c>
      <c r="L126" s="50" t="n">
        <v>1.137</v>
      </c>
      <c r="M126" s="50" t="n">
        <v>0.6692</v>
      </c>
      <c r="N126" s="50" t="n">
        <v>12.9127</v>
      </c>
      <c r="O126" s="50" t="n">
        <v>2.6404</v>
      </c>
      <c r="R126" s="50" t="n">
        <v>188.3</v>
      </c>
      <c r="S126" s="50" t="n">
        <v>0.51583</v>
      </c>
      <c r="T126" s="50" t="n">
        <v>0.52686</v>
      </c>
      <c r="U126" s="50" t="n">
        <v>51.6677</v>
      </c>
      <c r="V126" s="50" t="n">
        <v>0.56164</v>
      </c>
      <c r="W126" s="50" t="n">
        <v>0.9758</v>
      </c>
      <c r="X126" s="50" t="n">
        <v>1.507</v>
      </c>
      <c r="Y126" s="50" t="n">
        <v>1.5222</v>
      </c>
      <c r="Z126" s="50" t="n">
        <v>4.49881</v>
      </c>
      <c r="AA126" s="50" t="n">
        <v>2.3347</v>
      </c>
      <c r="AB126" s="50" t="n">
        <v>5.1154</v>
      </c>
    </row>
    <row r="127">
      <c r="A127" s="49" t="n">
        <v>45390</v>
      </c>
      <c r="B127" s="50" t="n">
        <v>7.0947</v>
      </c>
      <c r="C127" s="50" t="n">
        <v>7.7137</v>
      </c>
      <c r="D127" s="50" t="n">
        <v>0.047065</v>
      </c>
      <c r="E127" s="50" t="n">
        <v>0.90623</v>
      </c>
      <c r="F127" s="50" t="n">
        <v>8.989100000000001</v>
      </c>
      <c r="G127" s="50" t="n">
        <v>4.6848</v>
      </c>
      <c r="H127" s="50" t="n">
        <v>4.2913</v>
      </c>
      <c r="I127" s="50" t="n">
        <v>5.2763</v>
      </c>
      <c r="J127" s="50" t="n">
        <v>7.8834</v>
      </c>
      <c r="K127" s="50" t="n">
        <v>5.2409</v>
      </c>
      <c r="L127" s="50" t="n">
        <v>1.1366</v>
      </c>
      <c r="M127" s="50" t="n">
        <v>0.66951</v>
      </c>
      <c r="N127" s="50" t="n">
        <v>12.9202</v>
      </c>
      <c r="O127" s="50" t="n">
        <v>2.6321</v>
      </c>
      <c r="R127" s="50" t="n">
        <v>188.75</v>
      </c>
      <c r="S127" s="50" t="n">
        <v>0.51617</v>
      </c>
      <c r="T127" s="50" t="n">
        <v>0.52721</v>
      </c>
      <c r="U127" s="50" t="n">
        <v>50.7304</v>
      </c>
      <c r="V127" s="50" t="n">
        <v>0.5576100000000001</v>
      </c>
      <c r="W127" s="50" t="n">
        <v>0.9708</v>
      </c>
      <c r="X127" s="50" t="n">
        <v>1.4949</v>
      </c>
      <c r="Y127" s="50" t="n">
        <v>1.511</v>
      </c>
      <c r="Z127" s="50" t="n">
        <v>4.49366</v>
      </c>
      <c r="AA127" s="50" t="n">
        <v>2.3221</v>
      </c>
      <c r="AB127" s="50" t="n">
        <v>5.1252</v>
      </c>
    </row>
    <row r="128">
      <c r="A128" s="49" t="n">
        <v>45391</v>
      </c>
      <c r="B128" s="50" t="n">
        <v>7.0956</v>
      </c>
      <c r="C128" s="50" t="n">
        <v>7.7382</v>
      </c>
      <c r="D128" s="50" t="n">
        <v>0.047022</v>
      </c>
      <c r="E128" s="50" t="n">
        <v>0.90605</v>
      </c>
      <c r="F128" s="50" t="n">
        <v>9.0161</v>
      </c>
      <c r="G128" s="50" t="n">
        <v>4.712</v>
      </c>
      <c r="H128" s="50" t="n">
        <v>4.3135</v>
      </c>
      <c r="I128" s="50" t="n">
        <v>5.2836</v>
      </c>
      <c r="J128" s="50" t="n">
        <v>7.8708</v>
      </c>
      <c r="K128" s="50" t="n">
        <v>5.2552</v>
      </c>
      <c r="L128" s="50" t="n">
        <v>1.1374</v>
      </c>
      <c r="M128" s="50" t="n">
        <v>0.6694099999999999</v>
      </c>
      <c r="N128" s="50" t="n">
        <v>12.9082</v>
      </c>
      <c r="O128" s="50" t="n">
        <v>2.6208</v>
      </c>
      <c r="R128" s="50" t="n">
        <v>189.02</v>
      </c>
      <c r="S128" s="50" t="n">
        <v>0.5159899999999999</v>
      </c>
      <c r="T128" s="50" t="n">
        <v>0.52702</v>
      </c>
      <c r="U128" s="50" t="n">
        <v>50.5957</v>
      </c>
      <c r="V128" s="50" t="n">
        <v>0.5529500000000001</v>
      </c>
      <c r="W128" s="50" t="n">
        <v>0.9677</v>
      </c>
      <c r="X128" s="50" t="n">
        <v>1.4815</v>
      </c>
      <c r="Y128" s="50" t="n">
        <v>1.5001</v>
      </c>
      <c r="Z128" s="50" t="n">
        <v>4.51652</v>
      </c>
      <c r="AA128" s="50" t="n">
        <v>2.3018</v>
      </c>
      <c r="AB128" s="50" t="n">
        <v>5.1279</v>
      </c>
    </row>
    <row r="129">
      <c r="A129" s="49" t="n">
        <v>45392</v>
      </c>
      <c r="B129" s="50" t="n">
        <v>7.0959</v>
      </c>
      <c r="C129" s="50" t="n">
        <v>7.7402</v>
      </c>
      <c r="D129" s="50" t="n">
        <v>0.04706</v>
      </c>
      <c r="E129" s="50" t="n">
        <v>0.90615</v>
      </c>
      <c r="F129" s="50" t="n">
        <v>9.034599999999999</v>
      </c>
      <c r="G129" s="50" t="n">
        <v>4.732</v>
      </c>
      <c r="H129" s="50" t="n">
        <v>4.3371</v>
      </c>
      <c r="I129" s="50" t="n">
        <v>5.2962</v>
      </c>
      <c r="J129" s="50" t="n">
        <v>7.8916</v>
      </c>
      <c r="K129" s="50" t="n">
        <v>5.2577</v>
      </c>
      <c r="L129" s="50" t="n">
        <v>1.1373</v>
      </c>
      <c r="M129" s="50" t="n">
        <v>0.66899</v>
      </c>
      <c r="N129" s="50" t="n">
        <v>12.9747</v>
      </c>
      <c r="O129" s="50" t="n">
        <v>2.5943</v>
      </c>
      <c r="R129" s="50" t="n">
        <v>188.8</v>
      </c>
      <c r="S129" s="50" t="n">
        <v>0.5157</v>
      </c>
      <c r="T129" s="50" t="n">
        <v>0.5267500000000001</v>
      </c>
      <c r="U129" s="50" t="n">
        <v>50.614</v>
      </c>
      <c r="V129" s="50" t="n">
        <v>0.5535</v>
      </c>
      <c r="W129" s="50" t="n">
        <v>0.9674</v>
      </c>
      <c r="X129" s="50" t="n">
        <v>1.4795</v>
      </c>
      <c r="Y129" s="50" t="n">
        <v>1.4985</v>
      </c>
      <c r="Z129" s="50" t="n">
        <v>4.52404</v>
      </c>
      <c r="AA129" s="50" t="n">
        <v>2.3088</v>
      </c>
      <c r="AB129" s="50" t="n">
        <v>5.0838</v>
      </c>
    </row>
    <row r="130">
      <c r="A130" s="49" t="n">
        <v>45393</v>
      </c>
      <c r="B130" s="50" t="n">
        <v>7.0968</v>
      </c>
      <c r="C130" s="50" t="n">
        <v>7.669</v>
      </c>
      <c r="D130" s="50" t="n">
        <v>0.046778</v>
      </c>
      <c r="E130" s="50" t="n">
        <v>0.90584</v>
      </c>
      <c r="F130" s="50" t="n">
        <v>8.954800000000001</v>
      </c>
      <c r="G130" s="50" t="n">
        <v>4.6601</v>
      </c>
      <c r="H130" s="50" t="n">
        <v>4.2862</v>
      </c>
      <c r="I130" s="50" t="n">
        <v>5.2699</v>
      </c>
      <c r="J130" s="50" t="n">
        <v>7.8254</v>
      </c>
      <c r="K130" s="50" t="n">
        <v>5.2245</v>
      </c>
      <c r="L130" s="50" t="n">
        <v>1.1376</v>
      </c>
      <c r="M130" s="50" t="n">
        <v>0.66831</v>
      </c>
      <c r="N130" s="50" t="n">
        <v>13.0171</v>
      </c>
      <c r="O130" s="50" t="n">
        <v>2.6363</v>
      </c>
      <c r="R130" s="50" t="n">
        <v>189.44</v>
      </c>
      <c r="S130" s="50" t="n">
        <v>0.51475</v>
      </c>
      <c r="T130" s="50" t="n">
        <v>0.52578</v>
      </c>
      <c r="U130" s="50" t="n">
        <v>51.2698</v>
      </c>
      <c r="V130" s="50" t="n">
        <v>0.55909</v>
      </c>
      <c r="W130" s="50" t="n">
        <v>0.9766</v>
      </c>
      <c r="X130" s="50" t="n">
        <v>1.5008</v>
      </c>
      <c r="Y130" s="50" t="n">
        <v>1.5189</v>
      </c>
      <c r="Z130" s="50" t="n">
        <v>4.52658</v>
      </c>
      <c r="AA130" s="50" t="n">
        <v>2.3183</v>
      </c>
      <c r="AB130" s="50" t="n">
        <v>5.1092</v>
      </c>
    </row>
    <row r="131">
      <c r="A131" s="49" t="n">
        <v>45394</v>
      </c>
      <c r="B131" s="50" t="n">
        <v>7.0967</v>
      </c>
      <c r="C131" s="50" t="n">
        <v>7.6529</v>
      </c>
      <c r="D131" s="50" t="n">
        <v>0.046654</v>
      </c>
      <c r="E131" s="50" t="n">
        <v>0.9055</v>
      </c>
      <c r="F131" s="50" t="n">
        <v>8.954800000000001</v>
      </c>
      <c r="G131" s="50" t="n">
        <v>4.6708</v>
      </c>
      <c r="H131" s="50" t="n">
        <v>4.2951</v>
      </c>
      <c r="I131" s="50" t="n">
        <v>5.2699</v>
      </c>
      <c r="J131" s="50" t="n">
        <v>7.8375</v>
      </c>
      <c r="K131" s="50" t="n">
        <v>5.2194</v>
      </c>
      <c r="L131" s="50" t="n">
        <v>1.138</v>
      </c>
      <c r="M131" s="50" t="n">
        <v>0.6688499999999999</v>
      </c>
      <c r="N131" s="50" t="n">
        <v>13.028</v>
      </c>
      <c r="O131" s="50" t="n">
        <v>2.6306</v>
      </c>
      <c r="R131" s="50" t="n">
        <v>190.36</v>
      </c>
      <c r="S131" s="50" t="n">
        <v>0.51535</v>
      </c>
      <c r="T131" s="50" t="n">
        <v>0.5264</v>
      </c>
      <c r="U131" s="50" t="n">
        <v>51.193</v>
      </c>
      <c r="V131" s="50" t="n">
        <v>0.55945</v>
      </c>
      <c r="W131" s="50" t="n">
        <v>0.9782</v>
      </c>
      <c r="X131" s="50" t="n">
        <v>1.503</v>
      </c>
      <c r="Y131" s="50" t="n">
        <v>1.5176</v>
      </c>
      <c r="Z131" s="50" t="n">
        <v>4.5332</v>
      </c>
      <c r="AA131" s="50" t="n">
        <v>2.3161</v>
      </c>
      <c r="AB131" s="50" t="n">
        <v>5.0896</v>
      </c>
    </row>
    <row r="132">
      <c r="A132" s="49" t="n">
        <v>45397</v>
      </c>
      <c r="B132" s="50" t="n">
        <v>7.0979</v>
      </c>
      <c r="C132" s="50" t="n">
        <v>7.6179</v>
      </c>
      <c r="D132" s="50" t="n">
        <v>0.046677</v>
      </c>
      <c r="E132" s="50" t="n">
        <v>0.90577</v>
      </c>
      <c r="F132" s="50" t="n">
        <v>8.9163</v>
      </c>
      <c r="G132" s="50" t="n">
        <v>4.6451</v>
      </c>
      <c r="H132" s="50" t="n">
        <v>4.268</v>
      </c>
      <c r="I132" s="50" t="n">
        <v>5.251</v>
      </c>
      <c r="J132" s="50" t="n">
        <v>7.8218</v>
      </c>
      <c r="K132" s="50" t="n">
        <v>5.2069</v>
      </c>
      <c r="L132" s="50" t="n">
        <v>1.1377</v>
      </c>
      <c r="M132" s="50" t="n">
        <v>0.66995</v>
      </c>
      <c r="N132" s="50" t="n">
        <v>13.0415</v>
      </c>
      <c r="O132" s="50" t="n">
        <v>2.6429</v>
      </c>
      <c r="R132" s="50" t="n">
        <v>191.65</v>
      </c>
      <c r="S132" s="50" t="n">
        <v>0.51463</v>
      </c>
      <c r="T132" s="50" t="n">
        <v>0.52565</v>
      </c>
      <c r="U132" s="50" t="n">
        <v>51.6194</v>
      </c>
      <c r="V132" s="50" t="n">
        <v>0.56373</v>
      </c>
      <c r="W132" s="50" t="n">
        <v>0.9809</v>
      </c>
      <c r="X132" s="50" t="n">
        <v>1.515</v>
      </c>
      <c r="Y132" s="50" t="n">
        <v>1.52</v>
      </c>
      <c r="Z132" s="50" t="n">
        <v>4.53526</v>
      </c>
      <c r="AA132" s="50" t="n">
        <v>2.333</v>
      </c>
      <c r="AB132" s="50" t="n">
        <v>5.1129</v>
      </c>
    </row>
    <row r="133">
      <c r="A133" s="49" t="n">
        <v>45398</v>
      </c>
      <c r="B133" s="50" t="n">
        <v>7.1028</v>
      </c>
      <c r="C133" s="50" t="n">
        <v>7.5969</v>
      </c>
      <c r="D133" s="50" t="n">
        <v>0.046419</v>
      </c>
      <c r="E133" s="50" t="n">
        <v>0.90705</v>
      </c>
      <c r="F133" s="50" t="n">
        <v>8.898300000000001</v>
      </c>
      <c r="G133" s="50" t="n">
        <v>4.6151</v>
      </c>
      <c r="H133" s="50" t="n">
        <v>4.2288</v>
      </c>
      <c r="I133" s="50" t="n">
        <v>5.2377</v>
      </c>
      <c r="J133" s="50" t="n">
        <v>7.8302</v>
      </c>
      <c r="K133" s="50" t="n">
        <v>5.1935</v>
      </c>
      <c r="L133" s="50" t="n">
        <v>1.1361</v>
      </c>
      <c r="M133" s="50" t="n">
        <v>0.67186</v>
      </c>
      <c r="N133" s="50" t="n">
        <v>13.046</v>
      </c>
      <c r="O133" s="50" t="n">
        <v>2.6605</v>
      </c>
      <c r="R133" s="50" t="n">
        <v>192.8</v>
      </c>
      <c r="S133" s="50" t="n">
        <v>0.51478</v>
      </c>
      <c r="T133" s="50" t="n">
        <v>0.52582</v>
      </c>
      <c r="U133" s="50" t="n">
        <v>51.8553</v>
      </c>
      <c r="V133" s="50" t="n">
        <v>0.56649</v>
      </c>
      <c r="W133" s="50" t="n">
        <v>0.9842</v>
      </c>
      <c r="X133" s="50" t="n">
        <v>1.5198</v>
      </c>
      <c r="Y133" s="50" t="n">
        <v>1.5283</v>
      </c>
      <c r="Z133" s="50" t="n">
        <v>4.54144</v>
      </c>
      <c r="AA133" s="50" t="n">
        <v>2.344</v>
      </c>
      <c r="AB133" s="50" t="n">
        <v>5.1225</v>
      </c>
    </row>
    <row r="134">
      <c r="A134" s="49" t="n">
        <v>45399</v>
      </c>
      <c r="B134" s="50" t="n">
        <v>7.1025</v>
      </c>
      <c r="C134" s="50" t="n">
        <v>7.5973</v>
      </c>
      <c r="D134" s="50" t="n">
        <v>0.046333</v>
      </c>
      <c r="E134" s="50" t="n">
        <v>0.9069</v>
      </c>
      <c r="F134" s="50" t="n">
        <v>8.890000000000001</v>
      </c>
      <c r="G134" s="50" t="n">
        <v>4.6063</v>
      </c>
      <c r="H134" s="50" t="n">
        <v>4.2218</v>
      </c>
      <c r="I134" s="50" t="n">
        <v>5.2331</v>
      </c>
      <c r="J134" s="50" t="n">
        <v>7.827</v>
      </c>
      <c r="K134" s="50" t="n">
        <v>5.1829</v>
      </c>
      <c r="L134" s="50" t="n">
        <v>1.1363</v>
      </c>
      <c r="M134" s="50" t="n">
        <v>0.67193</v>
      </c>
      <c r="N134" s="50" t="n">
        <v>13.129</v>
      </c>
      <c r="O134" s="50" t="n">
        <v>2.6675</v>
      </c>
      <c r="R134" s="50" t="n">
        <v>193.16</v>
      </c>
      <c r="S134" s="50" t="n">
        <v>0.5146500000000001</v>
      </c>
      <c r="T134" s="50" t="n">
        <v>0.52582</v>
      </c>
      <c r="U134" s="50" t="n">
        <v>51.9985</v>
      </c>
      <c r="V134" s="50" t="n">
        <v>0.57487</v>
      </c>
      <c r="W134" s="50" t="n">
        <v>0.9842</v>
      </c>
      <c r="X134" s="50" t="n">
        <v>1.529</v>
      </c>
      <c r="Y134" s="50" t="n">
        <v>1.533</v>
      </c>
      <c r="Z134" s="50" t="n">
        <v>4.54773</v>
      </c>
      <c r="AA134" s="50" t="n">
        <v>2.3878</v>
      </c>
      <c r="AB134" s="50" t="n">
        <v>5.1146</v>
      </c>
    </row>
    <row r="135">
      <c r="A135" s="49" t="n">
        <v>45400</v>
      </c>
      <c r="B135" s="50" t="n">
        <v>7.102</v>
      </c>
      <c r="C135" s="50" t="n">
        <v>7.598</v>
      </c>
      <c r="D135" s="50" t="n">
        <v>0.046363</v>
      </c>
      <c r="E135" s="50" t="n">
        <v>0.90707</v>
      </c>
      <c r="F135" s="50" t="n">
        <v>8.885400000000001</v>
      </c>
      <c r="G135" s="50" t="n">
        <v>4.5929</v>
      </c>
      <c r="H135" s="50" t="n">
        <v>4.2149</v>
      </c>
      <c r="I135" s="50" t="n">
        <v>5.2392</v>
      </c>
      <c r="J135" s="50" t="n">
        <v>7.8271</v>
      </c>
      <c r="K135" s="50" t="n">
        <v>5.1863</v>
      </c>
      <c r="L135" s="50" t="n">
        <v>1.1373</v>
      </c>
      <c r="M135" s="50" t="n">
        <v>0.67259</v>
      </c>
      <c r="N135" s="50" t="n">
        <v>13.1411</v>
      </c>
      <c r="O135" s="50" t="n">
        <v>2.6681</v>
      </c>
      <c r="R135" s="50" t="n">
        <v>192.08</v>
      </c>
      <c r="S135" s="50" t="n">
        <v>0.51583</v>
      </c>
      <c r="T135" s="50" t="n">
        <v>0.52666</v>
      </c>
      <c r="U135" s="50" t="n">
        <v>51.6907</v>
      </c>
      <c r="V135" s="50" t="n">
        <v>0.56945</v>
      </c>
      <c r="W135" s="50" t="n">
        <v>0.9845</v>
      </c>
      <c r="X135" s="50" t="n">
        <v>1.5342</v>
      </c>
      <c r="Y135" s="50" t="n">
        <v>1.5447</v>
      </c>
      <c r="Z135" s="50" t="n">
        <v>4.55275</v>
      </c>
      <c r="AA135" s="50" t="n">
        <v>2.3795</v>
      </c>
      <c r="AB135" s="50" t="n">
        <v>5.1351</v>
      </c>
    </row>
    <row r="136">
      <c r="A136" s="49" t="n">
        <v>45401</v>
      </c>
      <c r="B136" s="50" t="n">
        <v>7.1046</v>
      </c>
      <c r="C136" s="50" t="n">
        <v>7.5873</v>
      </c>
      <c r="D136" s="50" t="n">
        <v>0.046329</v>
      </c>
      <c r="E136" s="50" t="n">
        <v>0.90711</v>
      </c>
      <c r="F136" s="50" t="n">
        <v>8.887</v>
      </c>
      <c r="G136" s="50" t="n">
        <v>4.587</v>
      </c>
      <c r="H136" s="50" t="n">
        <v>4.2103</v>
      </c>
      <c r="I136" s="50" t="n">
        <v>5.2378</v>
      </c>
      <c r="J136" s="50" t="n">
        <v>7.822</v>
      </c>
      <c r="K136" s="50" t="n">
        <v>5.1945</v>
      </c>
      <c r="L136" s="50" t="n">
        <v>1.136</v>
      </c>
      <c r="M136" s="50" t="n">
        <v>0.67238</v>
      </c>
      <c r="N136" s="50" t="n">
        <v>13.101</v>
      </c>
      <c r="O136" s="50" t="n">
        <v>2.6832</v>
      </c>
      <c r="R136" s="50" t="n">
        <v>191.93</v>
      </c>
      <c r="S136" s="50" t="n">
        <v>0.51518</v>
      </c>
      <c r="T136" s="50" t="n">
        <v>0.52622</v>
      </c>
      <c r="U136" s="50" t="n">
        <v>51.8617</v>
      </c>
      <c r="V136" s="50" t="n">
        <v>0.57014</v>
      </c>
      <c r="W136" s="50" t="n">
        <v>0.9863</v>
      </c>
      <c r="X136" s="50" t="n">
        <v>1.5371</v>
      </c>
      <c r="Y136" s="50" t="n">
        <v>1.5507</v>
      </c>
      <c r="Z136" s="50" t="n">
        <v>4.55756</v>
      </c>
      <c r="AA136" s="50" t="n">
        <v>2.394</v>
      </c>
      <c r="AB136" s="50" t="n">
        <v>5.1351</v>
      </c>
    </row>
    <row r="137">
      <c r="A137" s="49" t="n">
        <v>45404</v>
      </c>
      <c r="B137" s="50" t="n">
        <v>7.1043</v>
      </c>
      <c r="C137" s="50" t="n">
        <v>7.5955</v>
      </c>
      <c r="D137" s="50" t="n">
        <v>0.046334</v>
      </c>
      <c r="E137" s="50" t="n">
        <v>0.90696</v>
      </c>
      <c r="F137" s="50" t="n">
        <v>8.845599999999999</v>
      </c>
      <c r="G137" s="50" t="n">
        <v>4.5944</v>
      </c>
      <c r="H137" s="50" t="n">
        <v>4.2097</v>
      </c>
      <c r="I137" s="50" t="n">
        <v>5.2413</v>
      </c>
      <c r="J137" s="50" t="n">
        <v>7.8306</v>
      </c>
      <c r="K137" s="50" t="n">
        <v>5.2012</v>
      </c>
      <c r="L137" s="50" t="n">
        <v>1.1362</v>
      </c>
      <c r="M137" s="50" t="n">
        <v>0.6716</v>
      </c>
      <c r="N137" s="50" t="n">
        <v>12.9834</v>
      </c>
      <c r="O137" s="50" t="n">
        <v>2.6824</v>
      </c>
      <c r="R137" s="50" t="n">
        <v>191.91</v>
      </c>
      <c r="S137" s="50" t="n">
        <v>0.51514</v>
      </c>
      <c r="T137" s="50" t="n">
        <v>0.52613</v>
      </c>
      <c r="U137" s="50" t="n">
        <v>51.7552</v>
      </c>
      <c r="V137" s="50" t="n">
        <v>0.56548</v>
      </c>
      <c r="W137" s="50" t="n">
        <v>0.9844000000000001</v>
      </c>
      <c r="X137" s="50" t="n">
        <v>1.5301</v>
      </c>
      <c r="Y137" s="50" t="n">
        <v>1.5451</v>
      </c>
      <c r="Z137" s="50" t="n">
        <v>4.56005</v>
      </c>
      <c r="AA137" s="50" t="n">
        <v>2.3955</v>
      </c>
      <c r="AB137" s="50" t="n">
        <v>5.1528</v>
      </c>
    </row>
    <row r="138">
      <c r="A138" s="49" t="n">
        <v>45405</v>
      </c>
      <c r="B138" s="50" t="n">
        <v>7.1059</v>
      </c>
      <c r="C138" s="50" t="n">
        <v>7.6053</v>
      </c>
      <c r="D138" s="50" t="n">
        <v>0.046228</v>
      </c>
      <c r="E138" s="50" t="n">
        <v>0.90687</v>
      </c>
      <c r="F138" s="50" t="n">
        <v>8.8148</v>
      </c>
      <c r="G138" s="50" t="n">
        <v>4.6119</v>
      </c>
      <c r="H138" s="50" t="n">
        <v>4.2402</v>
      </c>
      <c r="I138" s="50" t="n">
        <v>5.2357</v>
      </c>
      <c r="J138" s="50" t="n">
        <v>7.8279</v>
      </c>
      <c r="K138" s="50" t="n">
        <v>5.2161</v>
      </c>
      <c r="L138" s="50" t="n">
        <v>1.1364</v>
      </c>
      <c r="M138" s="50" t="n">
        <v>0.67255</v>
      </c>
      <c r="N138" s="50" t="n">
        <v>13.0756</v>
      </c>
      <c r="O138" s="50" t="n">
        <v>2.6938</v>
      </c>
      <c r="R138" s="50" t="n">
        <v>192.08</v>
      </c>
      <c r="S138" s="50" t="n">
        <v>0.51493</v>
      </c>
      <c r="T138" s="50" t="n">
        <v>0.52591</v>
      </c>
      <c r="U138" s="50" t="n">
        <v>52.0453</v>
      </c>
      <c r="V138" s="50" t="n">
        <v>0.56995</v>
      </c>
      <c r="W138" s="50" t="n">
        <v>0.9846</v>
      </c>
      <c r="X138" s="50" t="n">
        <v>1.5246</v>
      </c>
      <c r="Y138" s="50" t="n">
        <v>1.5402</v>
      </c>
      <c r="Z138" s="50" t="n">
        <v>4.5644</v>
      </c>
      <c r="AA138" s="50" t="n">
        <v>2.4113</v>
      </c>
      <c r="AB138" s="50" t="n">
        <v>5.1699</v>
      </c>
    </row>
    <row r="139">
      <c r="A139" s="49" t="n">
        <v>45406</v>
      </c>
      <c r="B139" s="50" t="n">
        <v>7.1048</v>
      </c>
      <c r="C139" s="50" t="n">
        <v>7.6332</v>
      </c>
      <c r="D139" s="50" t="n">
        <v>0.046199</v>
      </c>
      <c r="E139" s="50" t="n">
        <v>0.90678</v>
      </c>
      <c r="F139" s="50" t="n">
        <v>8.8759</v>
      </c>
      <c r="G139" s="50" t="n">
        <v>4.6333</v>
      </c>
      <c r="H139" s="50" t="n">
        <v>4.2478</v>
      </c>
      <c r="I139" s="50" t="n">
        <v>5.2345</v>
      </c>
      <c r="J139" s="50" t="n">
        <v>7.8192</v>
      </c>
      <c r="K139" s="50" t="n">
        <v>5.2242</v>
      </c>
      <c r="L139" s="50" t="n">
        <v>1.1364</v>
      </c>
      <c r="M139" s="50" t="n">
        <v>0.67261</v>
      </c>
      <c r="N139" s="50" t="n">
        <v>12.9988</v>
      </c>
      <c r="O139" s="50" t="n">
        <v>2.6848</v>
      </c>
      <c r="R139" s="50" t="n">
        <v>191.41</v>
      </c>
      <c r="S139" s="50" t="n">
        <v>0.51553</v>
      </c>
      <c r="T139" s="50" t="n">
        <v>0.52654</v>
      </c>
      <c r="U139" s="50" t="n">
        <v>51.7286</v>
      </c>
      <c r="V139" s="50" t="n">
        <v>0.56707</v>
      </c>
      <c r="W139" s="50" t="n">
        <v>0.9812</v>
      </c>
      <c r="X139" s="50" t="n">
        <v>1.516</v>
      </c>
      <c r="Y139" s="50" t="n">
        <v>1.5313</v>
      </c>
      <c r="Z139" s="50" t="n">
        <v>4.56517</v>
      </c>
      <c r="AA139" s="50" t="n">
        <v>2.3892</v>
      </c>
      <c r="AB139" s="50" t="n">
        <v>5.1534</v>
      </c>
    </row>
    <row r="140">
      <c r="A140" s="49" t="n">
        <v>45407</v>
      </c>
      <c r="B140" s="50" t="n">
        <v>7.1058</v>
      </c>
      <c r="C140" s="50" t="n">
        <v>7.6372</v>
      </c>
      <c r="D140" s="50" t="n">
        <v>0.046082</v>
      </c>
      <c r="E140" s="50" t="n">
        <v>0.90743</v>
      </c>
      <c r="F140" s="50" t="n">
        <v>8.8932</v>
      </c>
      <c r="G140" s="50" t="n">
        <v>4.6465</v>
      </c>
      <c r="H140" s="50" t="n">
        <v>4.2528</v>
      </c>
      <c r="I140" s="50" t="n">
        <v>5.2364</v>
      </c>
      <c r="J140" s="50" t="n">
        <v>7.8045</v>
      </c>
      <c r="K140" s="50" t="n">
        <v>5.214</v>
      </c>
      <c r="L140" s="50" t="n">
        <v>1.136</v>
      </c>
      <c r="M140" s="50" t="n">
        <v>0.67283</v>
      </c>
      <c r="N140" s="50" t="n">
        <v>12.8753</v>
      </c>
      <c r="O140" s="50" t="n">
        <v>2.6997</v>
      </c>
      <c r="R140" s="50" t="n">
        <v>191.46</v>
      </c>
      <c r="S140" s="50" t="n">
        <v>0.51498</v>
      </c>
      <c r="T140" s="50" t="n">
        <v>0.5258699999999999</v>
      </c>
      <c r="U140" s="50" t="n">
        <v>51.8177</v>
      </c>
      <c r="V140" s="50" t="n">
        <v>0.57016</v>
      </c>
      <c r="W140" s="50" t="n">
        <v>0.9804</v>
      </c>
      <c r="X140" s="50" t="n">
        <v>1.5247</v>
      </c>
      <c r="Y140" s="50" t="n">
        <v>1.5421</v>
      </c>
      <c r="Z140" s="50" t="n">
        <v>4.56384</v>
      </c>
      <c r="AA140" s="50" t="n">
        <v>2.404</v>
      </c>
      <c r="AB140" s="50" t="n">
        <v>5.1717</v>
      </c>
    </row>
    <row r="141">
      <c r="A141" s="49" t="n">
        <v>45408</v>
      </c>
      <c r="B141" s="50" t="n">
        <v>7.1056</v>
      </c>
      <c r="C141" s="50" t="n">
        <v>7.6561</v>
      </c>
      <c r="D141" s="50" t="n">
        <v>0.045967</v>
      </c>
      <c r="E141" s="50" t="n">
        <v>0.90777</v>
      </c>
      <c r="F141" s="50" t="n">
        <v>8.925000000000001</v>
      </c>
      <c r="G141" s="50" t="n">
        <v>4.6636</v>
      </c>
      <c r="H141" s="50" t="n">
        <v>4.2691</v>
      </c>
      <c r="I141" s="50" t="n">
        <v>5.246</v>
      </c>
      <c r="J141" s="50" t="n">
        <v>7.8182</v>
      </c>
      <c r="K141" s="50" t="n">
        <v>5.2306</v>
      </c>
      <c r="L141" s="50" t="n">
        <v>1.1355</v>
      </c>
      <c r="M141" s="50" t="n">
        <v>0.6724599999999999</v>
      </c>
      <c r="N141" s="50" t="n">
        <v>12.8598</v>
      </c>
      <c r="O141" s="50" t="n">
        <v>2.6726</v>
      </c>
      <c r="R141" s="50" t="n">
        <v>191.35</v>
      </c>
      <c r="S141" s="50" t="n">
        <v>0.51515</v>
      </c>
      <c r="T141" s="50" t="n">
        <v>0.52606</v>
      </c>
      <c r="U141" s="50" t="n">
        <v>51.556</v>
      </c>
      <c r="V141" s="50" t="n">
        <v>0.56602</v>
      </c>
      <c r="W141" s="50" t="n">
        <v>0.9779</v>
      </c>
      <c r="X141" s="50" t="n">
        <v>1.5249</v>
      </c>
      <c r="Y141" s="50" t="n">
        <v>1.5376</v>
      </c>
      <c r="Z141" s="50" t="n">
        <v>4.56196</v>
      </c>
      <c r="AA141" s="50" t="n">
        <v>2.4215</v>
      </c>
      <c r="AB141" s="50" t="n">
        <v>5.1646</v>
      </c>
    </row>
    <row r="142">
      <c r="A142" s="49" t="n">
        <v>45411</v>
      </c>
      <c r="B142" s="50" t="n">
        <v>7.1066</v>
      </c>
      <c r="C142" s="50" t="n">
        <v>7.6486</v>
      </c>
      <c r="D142" s="50" t="n">
        <v>0.045252</v>
      </c>
      <c r="E142" s="50" t="n">
        <v>0.90772</v>
      </c>
      <c r="F142" s="50" t="n">
        <v>8.9358</v>
      </c>
      <c r="G142" s="50" t="n">
        <v>4.6811</v>
      </c>
      <c r="H142" s="50" t="n">
        <v>4.2648</v>
      </c>
      <c r="I142" s="50" t="n">
        <v>5.2446</v>
      </c>
      <c r="J142" s="50" t="n">
        <v>7.8208</v>
      </c>
      <c r="K142" s="50" t="n">
        <v>5.2368</v>
      </c>
      <c r="L142" s="50" t="n">
        <v>1.1353</v>
      </c>
      <c r="M142" s="50" t="n">
        <v>0.67122</v>
      </c>
      <c r="N142" s="50" t="n">
        <v>12.8098</v>
      </c>
      <c r="O142" s="50" t="n">
        <v>2.6389</v>
      </c>
      <c r="R142" s="50" t="n">
        <v>191.72</v>
      </c>
      <c r="S142" s="50" t="n">
        <v>0.51461</v>
      </c>
      <c r="T142" s="50" t="n">
        <v>0.52547</v>
      </c>
      <c r="U142" s="50" t="n">
        <v>51.5704</v>
      </c>
      <c r="V142" s="50" t="n">
        <v>0.56767</v>
      </c>
      <c r="W142" s="50" t="n">
        <v>0.9789</v>
      </c>
      <c r="X142" s="50" t="n">
        <v>1.5292</v>
      </c>
      <c r="Y142" s="50" t="n">
        <v>1.5435</v>
      </c>
      <c r="Z142" s="50" t="n">
        <v>4.55424</v>
      </c>
      <c r="AA142" s="50" t="n">
        <v>2.4154</v>
      </c>
      <c r="AB142" s="50" t="n">
        <v>5.159</v>
      </c>
    </row>
    <row r="143">
      <c r="A143" s="49" t="n">
        <v>45412</v>
      </c>
      <c r="B143" s="50" t="n">
        <v>7.1063</v>
      </c>
      <c r="C143" s="50" t="n">
        <v>7.6458</v>
      </c>
      <c r="D143" s="50" t="n">
        <v>0.04577</v>
      </c>
      <c r="E143" s="50" t="n">
        <v>0.90805</v>
      </c>
      <c r="F143" s="50" t="n">
        <v>8.9594</v>
      </c>
      <c r="G143" s="50" t="n">
        <v>4.6905</v>
      </c>
      <c r="H143" s="50" t="n">
        <v>4.2781</v>
      </c>
      <c r="I143" s="50" t="n">
        <v>5.241</v>
      </c>
      <c r="J143" s="50" t="n">
        <v>7.8319</v>
      </c>
      <c r="K143" s="50" t="n">
        <v>5.2255</v>
      </c>
      <c r="L143" s="50" t="n">
        <v>1.1349</v>
      </c>
      <c r="M143" s="50" t="n">
        <v>0.67161</v>
      </c>
      <c r="N143" s="50" t="n">
        <v>13.002</v>
      </c>
      <c r="O143" s="50" t="n">
        <v>2.6177</v>
      </c>
      <c r="R143" s="50" t="n">
        <v>191.65</v>
      </c>
      <c r="S143" s="50" t="n">
        <v>0.51523</v>
      </c>
      <c r="T143" s="50" t="n">
        <v>0.5261400000000001</v>
      </c>
      <c r="U143" s="50" t="n">
        <v>51.4039</v>
      </c>
      <c r="V143" s="50" t="n">
        <v>0.56669</v>
      </c>
      <c r="W143" s="50" t="n">
        <v>0.9794</v>
      </c>
      <c r="X143" s="50" t="n">
        <v>1.5321</v>
      </c>
      <c r="Y143" s="50" t="n">
        <v>1.543</v>
      </c>
      <c r="Z143" s="50" t="n">
        <v>4.54533</v>
      </c>
      <c r="AA143" s="50" t="n">
        <v>2.3953</v>
      </c>
      <c r="AB143" s="50" t="n">
        <v>5.174</v>
      </c>
    </row>
    <row r="144">
      <c r="A144" s="49" t="n">
        <v>45418</v>
      </c>
      <c r="B144" s="50" t="n">
        <v>7.0994</v>
      </c>
      <c r="C144" s="50" t="n">
        <v>7.6632</v>
      </c>
      <c r="D144" s="50" t="n">
        <v>0.04655</v>
      </c>
      <c r="E144" s="50" t="n">
        <v>0.90886</v>
      </c>
      <c r="F144" s="50" t="n">
        <v>8.932499999999999</v>
      </c>
      <c r="G144" s="50" t="n">
        <v>4.7134</v>
      </c>
      <c r="H144" s="50" t="n">
        <v>4.2896</v>
      </c>
      <c r="I144" s="50" t="n">
        <v>5.2702</v>
      </c>
      <c r="J144" s="50" t="n">
        <v>7.8639</v>
      </c>
      <c r="K144" s="50" t="n">
        <v>5.2066</v>
      </c>
      <c r="L144" s="50" t="n">
        <v>1.1333</v>
      </c>
      <c r="M144" s="50" t="n">
        <v>0.66764</v>
      </c>
      <c r="N144" s="50" t="n">
        <v>12.8082</v>
      </c>
      <c r="O144" s="50" t="n">
        <v>2.6038</v>
      </c>
      <c r="R144" s="50" t="n">
        <v>190.16</v>
      </c>
      <c r="S144" s="50" t="n">
        <v>0.51636</v>
      </c>
      <c r="T144" s="50" t="n">
        <v>0.52728</v>
      </c>
      <c r="U144" s="50" t="n">
        <v>51.0261</v>
      </c>
      <c r="V144" s="50" t="n">
        <v>0.56628</v>
      </c>
      <c r="W144" s="50" t="n">
        <v>0.9768</v>
      </c>
      <c r="X144" s="50" t="n">
        <v>1.5171</v>
      </c>
      <c r="Y144" s="50" t="n">
        <v>1.5267</v>
      </c>
      <c r="Z144" s="50" t="n">
        <v>4.5431</v>
      </c>
      <c r="AA144" s="50" t="n">
        <v>2.3936</v>
      </c>
      <c r="AB144" s="50" t="n">
        <v>5.1425</v>
      </c>
    </row>
    <row r="145">
      <c r="A145" s="49" t="n">
        <v>45419</v>
      </c>
      <c r="B145" s="50" t="n">
        <v>7.1002</v>
      </c>
      <c r="C145" s="50" t="n">
        <v>7.6742</v>
      </c>
      <c r="D145" s="50" t="n">
        <v>0.046289</v>
      </c>
      <c r="E145" s="50" t="n">
        <v>0.90806</v>
      </c>
      <c r="F145" s="50" t="n">
        <v>8.949999999999999</v>
      </c>
      <c r="G145" s="50" t="n">
        <v>4.7274</v>
      </c>
      <c r="H145" s="50" t="n">
        <v>4.2946</v>
      </c>
      <c r="I145" s="50" t="n">
        <v>5.2679</v>
      </c>
      <c r="J145" s="50" t="n">
        <v>7.8609</v>
      </c>
      <c r="K145" s="50" t="n">
        <v>5.2178</v>
      </c>
      <c r="L145" s="50" t="n">
        <v>1.1349</v>
      </c>
      <c r="M145" s="50" t="n">
        <v>0.66772</v>
      </c>
      <c r="N145" s="50" t="n">
        <v>12.7709</v>
      </c>
      <c r="O145" s="50" t="n">
        <v>2.5965</v>
      </c>
      <c r="R145" s="50" t="n">
        <v>189.54</v>
      </c>
      <c r="S145" s="50" t="n">
        <v>0.51574</v>
      </c>
      <c r="T145" s="50" t="n">
        <v>0.52662</v>
      </c>
      <c r="U145" s="50" t="n">
        <v>50.8056</v>
      </c>
      <c r="V145" s="50" t="n">
        <v>0.5631</v>
      </c>
      <c r="W145" s="50" t="n">
        <v>0.9749</v>
      </c>
      <c r="X145" s="50" t="n">
        <v>1.517</v>
      </c>
      <c r="Y145" s="50" t="n">
        <v>1.5211</v>
      </c>
      <c r="Z145" s="50" t="n">
        <v>4.52789</v>
      </c>
      <c r="AA145" s="50" t="n">
        <v>2.3775</v>
      </c>
      <c r="AB145" s="50" t="n">
        <v>5.1521</v>
      </c>
    </row>
    <row r="146">
      <c r="A146" s="49" t="n">
        <v>45420</v>
      </c>
      <c r="B146" s="50" t="n">
        <v>7.1016</v>
      </c>
      <c r="C146" s="50" t="n">
        <v>7.6659</v>
      </c>
      <c r="D146" s="50" t="n">
        <v>0.046145</v>
      </c>
      <c r="E146" s="50" t="n">
        <v>0.90788</v>
      </c>
      <c r="F146" s="50" t="n">
        <v>8.9162</v>
      </c>
      <c r="G146" s="50" t="n">
        <v>4.7064</v>
      </c>
      <c r="H146" s="50" t="n">
        <v>4.2904</v>
      </c>
      <c r="I146" s="50" t="n">
        <v>5.2582</v>
      </c>
      <c r="J146" s="50" t="n">
        <v>7.8494</v>
      </c>
      <c r="K146" s="50" t="n">
        <v>5.1983</v>
      </c>
      <c r="L146" s="50" t="n">
        <v>1.1351</v>
      </c>
      <c r="M146" s="50" t="n">
        <v>0.66729</v>
      </c>
      <c r="N146" s="50" t="n">
        <v>12.7718</v>
      </c>
      <c r="O146" s="50" t="n">
        <v>2.5993</v>
      </c>
      <c r="R146" s="50" t="n">
        <v>190.1</v>
      </c>
      <c r="S146" s="50" t="n">
        <v>0.51537</v>
      </c>
      <c r="T146" s="50" t="n">
        <v>0.52625</v>
      </c>
      <c r="U146" s="50" t="n">
        <v>50.9288</v>
      </c>
      <c r="V146" s="50" t="n">
        <v>0.56457</v>
      </c>
      <c r="W146" s="50" t="n">
        <v>0.9759</v>
      </c>
      <c r="X146" s="50" t="n">
        <v>1.5229</v>
      </c>
      <c r="Y146" s="50" t="n">
        <v>1.5322</v>
      </c>
      <c r="Z146" s="50" t="n">
        <v>4.52537</v>
      </c>
      <c r="AA146" s="50" t="n">
        <v>2.3811</v>
      </c>
      <c r="AB146" s="50" t="n">
        <v>5.1616</v>
      </c>
    </row>
    <row r="147">
      <c r="A147" s="49" t="n">
        <v>45421</v>
      </c>
      <c r="B147" s="50" t="n">
        <v>7.1028</v>
      </c>
      <c r="C147" s="50" t="n">
        <v>7.6639</v>
      </c>
      <c r="D147" s="50" t="n">
        <v>0.045939</v>
      </c>
      <c r="E147" s="50" t="n">
        <v>0.90878</v>
      </c>
      <c r="F147" s="50" t="n">
        <v>8.910299999999999</v>
      </c>
      <c r="G147" s="50" t="n">
        <v>4.6984</v>
      </c>
      <c r="H147" s="50" t="n">
        <v>4.2934</v>
      </c>
      <c r="I147" s="50" t="n">
        <v>5.2583</v>
      </c>
      <c r="J147" s="50" t="n">
        <v>7.8544</v>
      </c>
      <c r="K147" s="50" t="n">
        <v>5.2015</v>
      </c>
      <c r="L147" s="50" t="n">
        <v>1.1339</v>
      </c>
      <c r="M147" s="50" t="n">
        <v>0.66723</v>
      </c>
      <c r="N147" s="50" t="n">
        <v>12.812</v>
      </c>
      <c r="O147" s="50" t="n">
        <v>2.6091</v>
      </c>
      <c r="R147" s="50" t="n">
        <v>190.5</v>
      </c>
      <c r="S147" s="50" t="n">
        <v>0.5153</v>
      </c>
      <c r="T147" s="50" t="n">
        <v>0.5262</v>
      </c>
      <c r="U147" s="50" t="n">
        <v>50.9183</v>
      </c>
      <c r="V147" s="50" t="n">
        <v>0.56311</v>
      </c>
      <c r="W147" s="50" t="n">
        <v>0.9761</v>
      </c>
      <c r="X147" s="50" t="n">
        <v>1.5286</v>
      </c>
      <c r="Y147" s="50" t="n">
        <v>1.5299</v>
      </c>
      <c r="Z147" s="50" t="n">
        <v>4.52791</v>
      </c>
      <c r="AA147" s="50" t="n">
        <v>2.3813</v>
      </c>
      <c r="AB147" s="50" t="n">
        <v>5.1611</v>
      </c>
    </row>
    <row r="148">
      <c r="A148" s="49" t="n">
        <v>45422</v>
      </c>
      <c r="B148" s="50" t="n">
        <v>7.1011</v>
      </c>
      <c r="C148" s="50" t="n">
        <v>7.6817</v>
      </c>
      <c r="D148" s="50" t="n">
        <v>0.045954</v>
      </c>
      <c r="E148" s="50" t="n">
        <v>0.90867</v>
      </c>
      <c r="F148" s="50" t="n">
        <v>8.9223</v>
      </c>
      <c r="G148" s="50" t="n">
        <v>4.721</v>
      </c>
      <c r="H148" s="50" t="n">
        <v>4.3121</v>
      </c>
      <c r="I148" s="50" t="n">
        <v>5.2634</v>
      </c>
      <c r="J148" s="50" t="n">
        <v>7.8643</v>
      </c>
      <c r="K148" s="50" t="n">
        <v>5.2137</v>
      </c>
      <c r="L148" s="50" t="n">
        <v>1.1341</v>
      </c>
      <c r="M148" s="50" t="n">
        <v>0.66689</v>
      </c>
      <c r="N148" s="50" t="n">
        <v>12.9291</v>
      </c>
      <c r="O148" s="50" t="n">
        <v>2.5955</v>
      </c>
      <c r="R148" s="50" t="n">
        <v>191</v>
      </c>
      <c r="S148" s="50" t="n">
        <v>0.51585</v>
      </c>
      <c r="T148" s="50" t="n">
        <v>0.52677</v>
      </c>
      <c r="U148" s="50" t="n">
        <v>50.683</v>
      </c>
      <c r="V148" s="50" t="n">
        <v>0.55989</v>
      </c>
      <c r="W148" s="50" t="n">
        <v>0.9741</v>
      </c>
      <c r="X148" s="50" t="n">
        <v>1.5223</v>
      </c>
      <c r="Y148" s="50" t="n">
        <v>1.5239</v>
      </c>
      <c r="Z148" s="50" t="n">
        <v>4.53194</v>
      </c>
      <c r="AA148" s="50" t="n">
        <v>2.3651</v>
      </c>
      <c r="AB148" s="50" t="n">
        <v>5.1372</v>
      </c>
    </row>
    <row r="149">
      <c r="A149" s="49" t="n">
        <v>45425</v>
      </c>
      <c r="B149" s="50" t="n">
        <v>7.103</v>
      </c>
      <c r="C149" s="50" t="n">
        <v>7.6829</v>
      </c>
      <c r="D149" s="50" t="n">
        <v>0.045867</v>
      </c>
      <c r="E149" s="50" t="n">
        <v>0.90889</v>
      </c>
      <c r="F149" s="50" t="n">
        <v>8.9354</v>
      </c>
      <c r="G149" s="50" t="n">
        <v>4.7173</v>
      </c>
      <c r="H149" s="50" t="n">
        <v>4.3084</v>
      </c>
      <c r="I149" s="50" t="n">
        <v>5.2604</v>
      </c>
      <c r="J149" s="50" t="n">
        <v>7.8694</v>
      </c>
      <c r="K149" s="50" t="n">
        <v>5.2207</v>
      </c>
      <c r="L149" s="50" t="n">
        <v>1.1337</v>
      </c>
      <c r="M149" s="50" t="n">
        <v>0.66716</v>
      </c>
      <c r="N149" s="50" t="n">
        <v>12.92</v>
      </c>
      <c r="O149" s="50" t="n">
        <v>2.5886</v>
      </c>
      <c r="R149" s="50" t="n">
        <v>191.19</v>
      </c>
      <c r="S149" s="50" t="n">
        <v>0.5153799999999999</v>
      </c>
      <c r="T149" s="50" t="n">
        <v>0.52626</v>
      </c>
      <c r="U149" s="50" t="n">
        <v>50.677</v>
      </c>
      <c r="V149" s="50" t="n">
        <v>0.56204</v>
      </c>
      <c r="W149" s="50" t="n">
        <v>0.9742</v>
      </c>
      <c r="X149" s="50" t="n">
        <v>1.5199</v>
      </c>
      <c r="Y149" s="50" t="n">
        <v>1.5224</v>
      </c>
      <c r="Z149" s="50" t="n">
        <v>4.5228</v>
      </c>
      <c r="AA149" s="50" t="n">
        <v>2.3625</v>
      </c>
      <c r="AB149" s="50" t="n">
        <v>5.1345</v>
      </c>
    </row>
    <row r="150">
      <c r="A150" s="49" t="n">
        <v>45426</v>
      </c>
      <c r="B150" s="50" t="n">
        <v>7.1053</v>
      </c>
      <c r="C150" s="50" t="n">
        <v>7.6951</v>
      </c>
      <c r="D150" s="50" t="n">
        <v>0.045752</v>
      </c>
      <c r="E150" s="50" t="n">
        <v>0.90962</v>
      </c>
      <c r="F150" s="50" t="n">
        <v>8.953799999999999</v>
      </c>
      <c r="G150" s="50" t="n">
        <v>4.7197</v>
      </c>
      <c r="H150" s="50" t="n">
        <v>4.3069</v>
      </c>
      <c r="I150" s="50" t="n">
        <v>5.2657</v>
      </c>
      <c r="J150" s="50" t="n">
        <v>7.8513</v>
      </c>
      <c r="K150" s="50" t="n">
        <v>5.2222</v>
      </c>
      <c r="L150" s="50" t="n">
        <v>1.1329</v>
      </c>
      <c r="M150" s="50" t="n">
        <v>0.66578</v>
      </c>
      <c r="N150" s="50" t="n">
        <v>12.7786</v>
      </c>
      <c r="O150" s="50" t="n">
        <v>2.5784</v>
      </c>
      <c r="R150" s="50" t="n">
        <v>190.73</v>
      </c>
      <c r="S150" s="50" t="n">
        <v>0.51546</v>
      </c>
      <c r="T150" s="50" t="n">
        <v>0.52634</v>
      </c>
      <c r="U150" s="50" t="n">
        <v>50.4854</v>
      </c>
      <c r="V150" s="50" t="n">
        <v>0.55918</v>
      </c>
      <c r="W150" s="50" t="n">
        <v>0.9729</v>
      </c>
      <c r="X150" s="50" t="n">
        <v>1.5199</v>
      </c>
      <c r="Y150" s="50" t="n">
        <v>1.5177</v>
      </c>
      <c r="Z150" s="50" t="n">
        <v>4.52408</v>
      </c>
      <c r="AA150" s="50" t="n">
        <v>2.3651</v>
      </c>
      <c r="AB150" s="50" t="n">
        <v>5.1389</v>
      </c>
    </row>
    <row r="151">
      <c r="A151" s="49" t="n">
        <v>45427</v>
      </c>
      <c r="B151" s="50" t="n">
        <v>7.1049</v>
      </c>
      <c r="C151" s="50" t="n">
        <v>7.7129</v>
      </c>
      <c r="D151" s="50" t="n">
        <v>0.045676</v>
      </c>
      <c r="E151" s="50" t="n">
        <v>0.90955</v>
      </c>
      <c r="F151" s="50" t="n">
        <v>8.975</v>
      </c>
      <c r="G151" s="50" t="n">
        <v>4.7316</v>
      </c>
      <c r="H151" s="50" t="n">
        <v>4.324</v>
      </c>
      <c r="I151" s="50" t="n">
        <v>5.2695</v>
      </c>
      <c r="J151" s="50" t="n">
        <v>7.8634</v>
      </c>
      <c r="K151" s="50" t="n">
        <v>5.2275</v>
      </c>
      <c r="L151" s="50" t="n">
        <v>1.133</v>
      </c>
      <c r="M151" s="50" t="n">
        <v>0.66314</v>
      </c>
      <c r="N151" s="50" t="n">
        <v>12.7489</v>
      </c>
      <c r="O151" s="50" t="n">
        <v>2.5845</v>
      </c>
      <c r="R151" s="50" t="n">
        <v>190.5</v>
      </c>
      <c r="S151" s="50" t="n">
        <v>0.51534</v>
      </c>
      <c r="T151" s="50" t="n">
        <v>0.5263600000000001</v>
      </c>
      <c r="U151" s="50" t="n">
        <v>50.2348</v>
      </c>
      <c r="V151" s="50" t="n">
        <v>0.5556</v>
      </c>
      <c r="W151" s="50" t="n">
        <v>0.9708</v>
      </c>
      <c r="X151" s="50" t="n">
        <v>1.5152</v>
      </c>
      <c r="Y151" s="50" t="n">
        <v>1.5165</v>
      </c>
      <c r="Z151" s="50" t="n">
        <v>4.52866</v>
      </c>
      <c r="AA151" s="50" t="n">
        <v>2.3717</v>
      </c>
      <c r="AB151" s="50" t="n">
        <v>5.1095</v>
      </c>
    </row>
    <row r="152">
      <c r="A152" s="49" t="n">
        <v>45428</v>
      </c>
      <c r="B152" s="50" t="n">
        <v>7.102</v>
      </c>
      <c r="C152" s="50" t="n">
        <v>7.7498</v>
      </c>
      <c r="D152" s="50" t="n">
        <v>0.046241</v>
      </c>
      <c r="E152" s="50" t="n">
        <v>0.90998</v>
      </c>
      <c r="F152" s="50" t="n">
        <v>9.0268</v>
      </c>
      <c r="G152" s="50" t="n">
        <v>4.7715</v>
      </c>
      <c r="H152" s="50" t="n">
        <v>4.3723</v>
      </c>
      <c r="I152" s="50" t="n">
        <v>5.2927</v>
      </c>
      <c r="J152" s="50" t="n">
        <v>7.8971</v>
      </c>
      <c r="K152" s="50" t="n">
        <v>5.2364</v>
      </c>
      <c r="L152" s="50" t="n">
        <v>1.1327</v>
      </c>
      <c r="M152" s="50" t="n">
        <v>0.66064</v>
      </c>
      <c r="N152" s="50" t="n">
        <v>12.7349</v>
      </c>
      <c r="O152" s="50" t="n">
        <v>2.5693</v>
      </c>
      <c r="R152" s="50" t="n">
        <v>189.69</v>
      </c>
      <c r="S152" s="50" t="n">
        <v>0.51663</v>
      </c>
      <c r="T152" s="50" t="n">
        <v>0.52754</v>
      </c>
      <c r="U152" s="50" t="n">
        <v>49.9495</v>
      </c>
      <c r="V152" s="50" t="n">
        <v>0.55182</v>
      </c>
      <c r="W152" s="50" t="n">
        <v>0.9661</v>
      </c>
      <c r="X152" s="50" t="n">
        <v>1.4971</v>
      </c>
      <c r="Y152" s="50" t="n">
        <v>1.4993</v>
      </c>
      <c r="Z152" s="50" t="n">
        <v>4.52325</v>
      </c>
      <c r="AA152" s="50" t="n">
        <v>2.3517</v>
      </c>
      <c r="AB152" s="50" t="n">
        <v>5.0852</v>
      </c>
    </row>
    <row r="153">
      <c r="A153" s="49" t="n">
        <v>45429</v>
      </c>
      <c r="B153" s="50" t="n">
        <v>7.1045</v>
      </c>
      <c r="C153" s="50" t="n">
        <v>7.7446</v>
      </c>
      <c r="D153" s="50" t="n">
        <v>0.045959</v>
      </c>
      <c r="E153" s="50" t="n">
        <v>0.91057</v>
      </c>
      <c r="F153" s="50" t="n">
        <v>9.030200000000001</v>
      </c>
      <c r="G153" s="50" t="n">
        <v>4.7679</v>
      </c>
      <c r="H153" s="50" t="n">
        <v>4.3801</v>
      </c>
      <c r="I153" s="50" t="n">
        <v>5.2896</v>
      </c>
      <c r="J153" s="50" t="n">
        <v>7.8641</v>
      </c>
      <c r="K153" s="50" t="n">
        <v>5.2387</v>
      </c>
      <c r="L153" s="50" t="n">
        <v>1.1317</v>
      </c>
      <c r="M153" s="50" t="n">
        <v>0.65954</v>
      </c>
      <c r="N153" s="50" t="n">
        <v>12.7</v>
      </c>
      <c r="O153" s="50" t="n">
        <v>2.5553</v>
      </c>
      <c r="R153" s="50" t="n">
        <v>188.56</v>
      </c>
      <c r="S153" s="50" t="n">
        <v>0.51589</v>
      </c>
      <c r="T153" s="50" t="n">
        <v>0.52678</v>
      </c>
      <c r="U153" s="50" t="n">
        <v>50.112</v>
      </c>
      <c r="V153" s="50" t="n">
        <v>0.552</v>
      </c>
      <c r="W153" s="50" t="n">
        <v>0.9669</v>
      </c>
      <c r="X153" s="50" t="n">
        <v>1.5032</v>
      </c>
      <c r="Y153" s="50" t="n">
        <v>1.5027</v>
      </c>
      <c r="Z153" s="50" t="n">
        <v>4.52675</v>
      </c>
      <c r="AA153" s="50" t="n">
        <v>2.3493</v>
      </c>
      <c r="AB153" s="50" t="n">
        <v>5.0626</v>
      </c>
    </row>
    <row r="154">
      <c r="A154" s="49" t="n">
        <v>45432</v>
      </c>
      <c r="B154" s="50" t="n">
        <v>7.1042</v>
      </c>
      <c r="C154" s="50" t="n">
        <v>7.7528</v>
      </c>
      <c r="D154" s="50" t="n">
        <v>0.045866</v>
      </c>
      <c r="E154" s="50" t="n">
        <v>0.91034</v>
      </c>
      <c r="F154" s="50" t="n">
        <v>9.058299999999999</v>
      </c>
      <c r="G154" s="50" t="n">
        <v>4.7843</v>
      </c>
      <c r="H154" s="50" t="n">
        <v>4.3862</v>
      </c>
      <c r="I154" s="50" t="n">
        <v>5.295</v>
      </c>
      <c r="J154" s="50" t="n">
        <v>7.844</v>
      </c>
      <c r="K154" s="50" t="n">
        <v>5.2448</v>
      </c>
      <c r="L154" s="50" t="n">
        <v>1.1318</v>
      </c>
      <c r="M154" s="50" t="n">
        <v>0.65956</v>
      </c>
      <c r="N154" s="50" t="n">
        <v>12.7079</v>
      </c>
      <c r="O154" s="50" t="n">
        <v>2.5523</v>
      </c>
      <c r="R154" s="50" t="n">
        <v>189.16</v>
      </c>
      <c r="S154" s="50" t="n">
        <v>0.51547</v>
      </c>
      <c r="T154" s="50" t="n">
        <v>0.52633</v>
      </c>
      <c r="U154" s="50" t="n">
        <v>50.1038</v>
      </c>
      <c r="V154" s="50" t="n">
        <v>0.5515099999999999</v>
      </c>
      <c r="W154" s="50" t="n">
        <v>0.9651999999999999</v>
      </c>
      <c r="X154" s="50" t="n">
        <v>1.5008</v>
      </c>
      <c r="Y154" s="50" t="n">
        <v>1.4983</v>
      </c>
      <c r="Z154" s="50" t="n">
        <v>4.52229</v>
      </c>
      <c r="AA154" s="50" t="n">
        <v>2.3362</v>
      </c>
      <c r="AB154" s="50" t="n">
        <v>5.0451</v>
      </c>
    </row>
    <row r="155">
      <c r="A155" s="49" t="n">
        <v>45433</v>
      </c>
      <c r="B155" s="50" t="n">
        <v>7.1069</v>
      </c>
      <c r="C155" s="50" t="n">
        <v>7.7503</v>
      </c>
      <c r="D155" s="50" t="n">
        <v>0.045754</v>
      </c>
      <c r="E155" s="50" t="n">
        <v>0.91153</v>
      </c>
      <c r="F155" s="50" t="n">
        <v>9.070499999999999</v>
      </c>
      <c r="G155" s="50" t="n">
        <v>4.7687</v>
      </c>
      <c r="H155" s="50" t="n">
        <v>4.3743</v>
      </c>
      <c r="I155" s="50" t="n">
        <v>5.2916</v>
      </c>
      <c r="J155" s="50" t="n">
        <v>7.8401</v>
      </c>
      <c r="K155" s="50" t="n">
        <v>5.2439</v>
      </c>
      <c r="L155" s="50" t="n">
        <v>1.1306</v>
      </c>
      <c r="M155" s="50" t="n">
        <v>0.6599</v>
      </c>
      <c r="N155" s="50" t="n">
        <v>12.6632</v>
      </c>
      <c r="O155" s="50" t="n">
        <v>2.5502</v>
      </c>
      <c r="R155" s="50" t="n">
        <v>189.52</v>
      </c>
      <c r="S155" s="50" t="n">
        <v>0.51508</v>
      </c>
      <c r="T155" s="50" t="n">
        <v>0.52598</v>
      </c>
      <c r="U155" s="50" t="n">
        <v>50.005</v>
      </c>
      <c r="V155" s="50" t="n">
        <v>0.55117</v>
      </c>
      <c r="W155" s="50" t="n">
        <v>0.966</v>
      </c>
      <c r="X155" s="50" t="n">
        <v>1.4972</v>
      </c>
      <c r="Y155" s="50" t="n">
        <v>1.5008</v>
      </c>
      <c r="Z155" s="50" t="n">
        <v>4.51516</v>
      </c>
      <c r="AA155" s="50" t="n">
        <v>2.3296</v>
      </c>
      <c r="AB155" s="50" t="n">
        <v>5.0398</v>
      </c>
    </row>
    <row r="156">
      <c r="A156" s="49" t="n">
        <v>45434</v>
      </c>
      <c r="B156" s="50" t="n">
        <v>7.1077</v>
      </c>
      <c r="C156" s="50" t="n">
        <v>7.7508</v>
      </c>
      <c r="D156" s="50" t="n">
        <v>0.045814</v>
      </c>
      <c r="E156" s="50" t="n">
        <v>0.91072</v>
      </c>
      <c r="F156" s="50" t="n">
        <v>9.0746</v>
      </c>
      <c r="G156" s="50" t="n">
        <v>4.7694</v>
      </c>
      <c r="H156" s="50" t="n">
        <v>4.3668</v>
      </c>
      <c r="I156" s="50" t="n">
        <v>5.294</v>
      </c>
      <c r="J156" s="50" t="n">
        <v>7.8356</v>
      </c>
      <c r="K156" s="50" t="n">
        <v>5.2401</v>
      </c>
      <c r="L156" s="50" t="n">
        <v>1.1316</v>
      </c>
      <c r="M156" s="50" t="n">
        <v>0.66053</v>
      </c>
      <c r="N156" s="50" t="n">
        <v>12.612</v>
      </c>
      <c r="O156" s="50" t="n">
        <v>2.5352</v>
      </c>
      <c r="R156" s="50" t="n">
        <v>190.12</v>
      </c>
      <c r="S156" s="50" t="n">
        <v>0.51493</v>
      </c>
      <c r="T156" s="50" t="n">
        <v>0.52582</v>
      </c>
      <c r="U156" s="50" t="n">
        <v>49.9324</v>
      </c>
      <c r="V156" s="50" t="n">
        <v>0.55085</v>
      </c>
      <c r="W156" s="50" t="n">
        <v>0.9658</v>
      </c>
      <c r="X156" s="50" t="n">
        <v>1.4969</v>
      </c>
      <c r="Y156" s="50" t="n">
        <v>1.4952</v>
      </c>
      <c r="Z156" s="50" t="n">
        <v>4.51147</v>
      </c>
      <c r="AA156" s="50" t="n">
        <v>2.3386</v>
      </c>
      <c r="AB156" s="50" t="n">
        <v>5.0751</v>
      </c>
    </row>
    <row r="157">
      <c r="A157" s="49" t="n">
        <v>45435</v>
      </c>
      <c r="B157" s="50" t="n">
        <v>7.1098</v>
      </c>
      <c r="C157" s="50" t="n">
        <v>7.733</v>
      </c>
      <c r="D157" s="50" t="n">
        <v>0.045695</v>
      </c>
      <c r="E157" s="50" t="n">
        <v>0.91094</v>
      </c>
      <c r="F157" s="50" t="n">
        <v>9.0867</v>
      </c>
      <c r="G157" s="50" t="n">
        <v>4.7396</v>
      </c>
      <c r="H157" s="50" t="n">
        <v>4.3755</v>
      </c>
      <c r="I157" s="50" t="n">
        <v>5.2881</v>
      </c>
      <c r="J157" s="50" t="n">
        <v>7.8056</v>
      </c>
      <c r="K157" s="50" t="n">
        <v>5.2247</v>
      </c>
      <c r="L157" s="50" t="n">
        <v>1.1312</v>
      </c>
      <c r="M157" s="50" t="n">
        <v>0.6605799999999999</v>
      </c>
      <c r="N157" s="50" t="n">
        <v>12.5728</v>
      </c>
      <c r="O157" s="50" t="n">
        <v>2.5656</v>
      </c>
      <c r="R157" s="50" t="n">
        <v>190.09</v>
      </c>
      <c r="S157" s="50" t="n">
        <v>0.5145999999999999</v>
      </c>
      <c r="T157" s="50" t="n">
        <v>0.52545</v>
      </c>
      <c r="U157" s="50" t="n">
        <v>50.2695</v>
      </c>
      <c r="V157" s="50" t="n">
        <v>0.55435</v>
      </c>
      <c r="W157" s="50" t="n">
        <v>0.9683</v>
      </c>
      <c r="X157" s="50" t="n">
        <v>1.5026</v>
      </c>
      <c r="Y157" s="50" t="n">
        <v>1.5002</v>
      </c>
      <c r="Z157" s="50" t="n">
        <v>4.51145</v>
      </c>
      <c r="AA157" s="50" t="n">
        <v>2.3431</v>
      </c>
      <c r="AB157" s="50" t="n">
        <v>5.0794</v>
      </c>
    </row>
    <row r="158">
      <c r="A158" s="49" t="n">
        <v>45436</v>
      </c>
      <c r="B158" s="50" t="n">
        <v>7.1102</v>
      </c>
      <c r="C158" s="50" t="n">
        <v>7.7254</v>
      </c>
      <c r="D158" s="50" t="n">
        <v>0.045615</v>
      </c>
      <c r="E158" s="50" t="n">
        <v>0.91048</v>
      </c>
      <c r="F158" s="50" t="n">
        <v>9.0717</v>
      </c>
      <c r="G158" s="50" t="n">
        <v>4.7269</v>
      </c>
      <c r="H158" s="50" t="n">
        <v>4.3733</v>
      </c>
      <c r="I158" s="50" t="n">
        <v>5.2814</v>
      </c>
      <c r="J158" s="50" t="n">
        <v>7.8142</v>
      </c>
      <c r="K158" s="50" t="n">
        <v>5.2108</v>
      </c>
      <c r="L158" s="50" t="n">
        <v>1.1319</v>
      </c>
      <c r="M158" s="50" t="n">
        <v>0.66226</v>
      </c>
      <c r="N158" s="50" t="n">
        <v>12.7711</v>
      </c>
      <c r="O158" s="50" t="n">
        <v>2.5898</v>
      </c>
      <c r="R158" s="50" t="n">
        <v>190.3</v>
      </c>
      <c r="S158" s="50" t="n">
        <v>0.51447</v>
      </c>
      <c r="T158" s="50" t="n">
        <v>0.52534</v>
      </c>
      <c r="U158" s="50" t="n">
        <v>50.2239</v>
      </c>
      <c r="V158" s="50" t="n">
        <v>0.55441</v>
      </c>
      <c r="W158" s="50" t="n">
        <v>0.9692</v>
      </c>
      <c r="X158" s="50" t="n">
        <v>1.5021</v>
      </c>
      <c r="Y158" s="50" t="n">
        <v>1.495</v>
      </c>
      <c r="Z158" s="50" t="n">
        <v>4.50951</v>
      </c>
      <c r="AA158" s="50" t="n">
        <v>2.352</v>
      </c>
      <c r="AB158" s="50" t="n">
        <v>5.1021</v>
      </c>
    </row>
    <row r="159">
      <c r="A159" s="49" t="n">
        <v>45439</v>
      </c>
      <c r="B159" s="50" t="n">
        <v>7.1091</v>
      </c>
      <c r="C159" s="50" t="n">
        <v>7.7402</v>
      </c>
      <c r="D159" s="50" t="n">
        <v>0.045595</v>
      </c>
      <c r="E159" s="50" t="n">
        <v>0.90981</v>
      </c>
      <c r="F159" s="50" t="n">
        <v>9.085100000000001</v>
      </c>
      <c r="G159" s="50" t="n">
        <v>4.7352</v>
      </c>
      <c r="H159" s="50" t="n">
        <v>4.3828</v>
      </c>
      <c r="I159" s="50" t="n">
        <v>5.2828</v>
      </c>
      <c r="J159" s="50" t="n">
        <v>7.8036</v>
      </c>
      <c r="K159" s="50" t="n">
        <v>5.2227</v>
      </c>
      <c r="L159" s="50" t="n">
        <v>1.1327</v>
      </c>
      <c r="M159" s="50" t="n">
        <v>0.66256</v>
      </c>
      <c r="N159" s="50" t="n">
        <v>12.4942</v>
      </c>
      <c r="O159" s="50" t="n">
        <v>2.5837</v>
      </c>
      <c r="R159" s="50" t="n">
        <v>190.54</v>
      </c>
      <c r="S159" s="50" t="n">
        <v>0.51516</v>
      </c>
      <c r="T159" s="50" t="n">
        <v>0.52605</v>
      </c>
      <c r="U159" s="50" t="n">
        <v>49.827</v>
      </c>
      <c r="V159" s="50" t="n">
        <v>0.55169</v>
      </c>
      <c r="W159" s="50" t="n">
        <v>0.9673</v>
      </c>
      <c r="X159" s="50" t="n">
        <v>1.4938</v>
      </c>
      <c r="Y159" s="50" t="n">
        <v>1.4872</v>
      </c>
      <c r="Z159" s="50" t="n">
        <v>4.51551</v>
      </c>
      <c r="AA159" s="50" t="n">
        <v>2.3459</v>
      </c>
      <c r="AB159" s="50" t="n">
        <v>5.1135</v>
      </c>
    </row>
    <row r="160">
      <c r="A160" s="49" t="n">
        <v>45440</v>
      </c>
      <c r="B160" s="50" t="n">
        <v>7.1101</v>
      </c>
      <c r="C160" s="50" t="n">
        <v>7.7504</v>
      </c>
      <c r="D160" s="50" t="n">
        <v>0.045584</v>
      </c>
      <c r="E160" s="50" t="n">
        <v>0.91082</v>
      </c>
      <c r="F160" s="50" t="n">
        <v>9.1096</v>
      </c>
      <c r="G160" s="50" t="n">
        <v>4.7561</v>
      </c>
      <c r="H160" s="50" t="n">
        <v>4.4047</v>
      </c>
      <c r="I160" s="50" t="n">
        <v>5.2867</v>
      </c>
      <c r="J160" s="50" t="n">
        <v>7.8104</v>
      </c>
      <c r="K160" s="50" t="n">
        <v>5.2393</v>
      </c>
      <c r="L160" s="50" t="n">
        <v>1.1314</v>
      </c>
      <c r="M160" s="50" t="n">
        <v>0.66047</v>
      </c>
      <c r="N160" s="50" t="n">
        <v>12.3953</v>
      </c>
      <c r="O160" s="50" t="n">
        <v>2.5803</v>
      </c>
      <c r="R160" s="50" t="n">
        <v>189.8</v>
      </c>
      <c r="S160" s="50" t="n">
        <v>0.51541</v>
      </c>
      <c r="T160" s="50" t="n">
        <v>0.52635</v>
      </c>
      <c r="U160" s="50" t="n">
        <v>49.8616</v>
      </c>
      <c r="V160" s="50" t="n">
        <v>0.55243</v>
      </c>
      <c r="W160" s="50" t="n">
        <v>0.9667</v>
      </c>
      <c r="X160" s="50" t="n">
        <v>1.4873</v>
      </c>
      <c r="Y160" s="50" t="n">
        <v>1.4722</v>
      </c>
      <c r="Z160" s="50" t="n">
        <v>4.50483</v>
      </c>
      <c r="AA160" s="50" t="n">
        <v>2.3467</v>
      </c>
      <c r="AB160" s="50" t="n">
        <v>5.1034</v>
      </c>
    </row>
    <row r="161">
      <c r="A161" s="49" t="n">
        <v>45441</v>
      </c>
      <c r="B161" s="50" t="n">
        <v>7.1106</v>
      </c>
      <c r="C161" s="50" t="n">
        <v>7.7508</v>
      </c>
      <c r="D161" s="50" t="n">
        <v>0.045519</v>
      </c>
      <c r="E161" s="50" t="n">
        <v>0.91025</v>
      </c>
      <c r="F161" s="50" t="n">
        <v>9.111599999999999</v>
      </c>
      <c r="G161" s="50" t="n">
        <v>4.7558</v>
      </c>
      <c r="H161" s="50" t="n">
        <v>4.4015</v>
      </c>
      <c r="I161" s="50" t="n">
        <v>5.2907</v>
      </c>
      <c r="J161" s="50" t="n">
        <v>7.8283</v>
      </c>
      <c r="K161" s="50" t="n">
        <v>5.2388</v>
      </c>
      <c r="L161" s="50" t="n">
        <v>1.1321</v>
      </c>
      <c r="M161" s="50" t="n">
        <v>0.66056</v>
      </c>
      <c r="N161" s="50" t="n">
        <v>12.3499</v>
      </c>
      <c r="O161" s="50" t="n">
        <v>2.565</v>
      </c>
      <c r="R161" s="50" t="n">
        <v>189.7</v>
      </c>
      <c r="S161" s="50" t="n">
        <v>0.51473</v>
      </c>
      <c r="T161" s="50" t="n">
        <v>0.5256</v>
      </c>
      <c r="U161" s="50" t="n">
        <v>49.8666</v>
      </c>
      <c r="V161" s="50" t="n">
        <v>0.55153</v>
      </c>
      <c r="W161" s="50" t="n">
        <v>0.9664</v>
      </c>
      <c r="X161" s="50" t="n">
        <v>1.4808</v>
      </c>
      <c r="Y161" s="50" t="n">
        <v>1.4744</v>
      </c>
      <c r="Z161" s="50" t="n">
        <v>4.51568</v>
      </c>
      <c r="AA161" s="50" t="n">
        <v>2.3623</v>
      </c>
      <c r="AB161" s="50" t="n">
        <v>5.106</v>
      </c>
    </row>
    <row r="162">
      <c r="A162" s="49" t="n">
        <v>45442</v>
      </c>
      <c r="B162" s="50" t="n">
        <v>7.1111</v>
      </c>
      <c r="C162" s="50" t="n">
        <v>7.7222</v>
      </c>
      <c r="D162" s="50" t="n">
        <v>0.04548</v>
      </c>
      <c r="E162" s="50" t="n">
        <v>0.9101900000000001</v>
      </c>
      <c r="F162" s="50" t="n">
        <v>9.0814</v>
      </c>
      <c r="G162" s="50" t="n">
        <v>4.7366</v>
      </c>
      <c r="H162" s="50" t="n">
        <v>4.3877</v>
      </c>
      <c r="I162" s="50" t="n">
        <v>5.2831</v>
      </c>
      <c r="J162" s="50" t="n">
        <v>7.8333</v>
      </c>
      <c r="K162" s="50" t="n">
        <v>5.2189</v>
      </c>
      <c r="L162" s="50" t="n">
        <v>1.1322</v>
      </c>
      <c r="M162" s="50" t="n">
        <v>0.66194</v>
      </c>
      <c r="N162" s="50" t="n">
        <v>12.4675</v>
      </c>
      <c r="O162" s="50" t="n">
        <v>2.5862</v>
      </c>
      <c r="R162" s="50" t="n">
        <v>190.72</v>
      </c>
      <c r="S162" s="50" t="n">
        <v>0.51387</v>
      </c>
      <c r="T162" s="50" t="n">
        <v>0.5248</v>
      </c>
      <c r="U162" s="50" t="n">
        <v>50.4543</v>
      </c>
      <c r="V162" s="50" t="n">
        <v>0.55683</v>
      </c>
      <c r="W162" s="50" t="n">
        <v>0.9694</v>
      </c>
      <c r="X162" s="50" t="n">
        <v>1.4924</v>
      </c>
      <c r="Y162" s="50" t="n">
        <v>1.4829</v>
      </c>
      <c r="Z162" s="50" t="n">
        <v>4.51314</v>
      </c>
      <c r="AA162" s="50" t="n">
        <v>2.3936</v>
      </c>
      <c r="AB162" s="50" t="n">
        <v>5.1302</v>
      </c>
    </row>
    <row r="163">
      <c r="A163" s="49" t="n">
        <v>45443</v>
      </c>
      <c r="B163" s="50" t="n">
        <v>7.1088</v>
      </c>
      <c r="C163" s="50" t="n">
        <v>7.7322</v>
      </c>
      <c r="D163" s="50" t="n">
        <v>0.045611</v>
      </c>
      <c r="E163" s="50" t="n">
        <v>0.90927</v>
      </c>
      <c r="F163" s="50" t="n">
        <v>9.0853</v>
      </c>
      <c r="G163" s="50" t="n">
        <v>4.7402</v>
      </c>
      <c r="H163" s="50" t="n">
        <v>4.3805</v>
      </c>
      <c r="I163" s="50" t="n">
        <v>5.2849</v>
      </c>
      <c r="J163" s="50" t="n">
        <v>7.9016</v>
      </c>
      <c r="K163" s="50" t="n">
        <v>5.2224</v>
      </c>
      <c r="L163" s="50" t="n">
        <v>1.1328</v>
      </c>
      <c r="M163" s="50" t="n">
        <v>0.66153</v>
      </c>
      <c r="N163" s="50" t="n">
        <v>12.5706</v>
      </c>
      <c r="O163" s="50" t="n">
        <v>2.6287</v>
      </c>
      <c r="R163" s="50" t="n">
        <v>192.21</v>
      </c>
      <c r="S163" s="50" t="n">
        <v>0.5149</v>
      </c>
      <c r="T163" s="50" t="n">
        <v>0.52585</v>
      </c>
      <c r="U163" s="50" t="n">
        <v>50.5333</v>
      </c>
      <c r="V163" s="50" t="n">
        <v>0.55603</v>
      </c>
      <c r="W163" s="50" t="n">
        <v>0.9679</v>
      </c>
      <c r="X163" s="50" t="n">
        <v>1.4832</v>
      </c>
      <c r="Y163" s="50" t="n">
        <v>1.479</v>
      </c>
      <c r="Z163" s="50" t="n">
        <v>4.51777</v>
      </c>
      <c r="AA163" s="50" t="n">
        <v>2.3924</v>
      </c>
      <c r="AB163" s="50" t="n">
        <v>5.1217</v>
      </c>
    </row>
    <row r="164">
      <c r="A164" s="49" t="n">
        <v>45446</v>
      </c>
      <c r="B164" s="50" t="n">
        <v>7.1086</v>
      </c>
      <c r="C164" s="50" t="n">
        <v>7.7457</v>
      </c>
      <c r="D164" s="50" t="n">
        <v>0.045504</v>
      </c>
      <c r="E164" s="50" t="n">
        <v>0.90892</v>
      </c>
      <c r="F164" s="50" t="n">
        <v>9.0951</v>
      </c>
      <c r="G164" s="50" t="n">
        <v>4.7584</v>
      </c>
      <c r="H164" s="50" t="n">
        <v>4.4032</v>
      </c>
      <c r="I164" s="50" t="n">
        <v>5.2813</v>
      </c>
      <c r="J164" s="50" t="n">
        <v>7.9135</v>
      </c>
      <c r="K164" s="50" t="n">
        <v>5.244</v>
      </c>
      <c r="L164" s="50" t="n">
        <v>1.1339</v>
      </c>
      <c r="M164" s="50" t="n">
        <v>0.66199</v>
      </c>
      <c r="N164" s="50" t="n">
        <v>12.6036</v>
      </c>
      <c r="O164" s="50" t="n">
        <v>2.6379</v>
      </c>
      <c r="R164" s="50" t="n">
        <v>192.58</v>
      </c>
      <c r="S164" s="50" t="n">
        <v>0.51495</v>
      </c>
      <c r="T164" s="50" t="n">
        <v>0.52585</v>
      </c>
      <c r="U164" s="50" t="n">
        <v>50.4931</v>
      </c>
      <c r="V164" s="50" t="n">
        <v>0.554</v>
      </c>
      <c r="W164" s="50" t="n">
        <v>0.9661999999999999</v>
      </c>
      <c r="X164" s="50" t="n">
        <v>1.475</v>
      </c>
      <c r="Y164" s="50" t="n">
        <v>1.4729</v>
      </c>
      <c r="Z164" s="50" t="n">
        <v>4.51538</v>
      </c>
      <c r="AA164" s="50" t="n">
        <v>2.3877</v>
      </c>
      <c r="AB164" s="50" t="n">
        <v>5.1329</v>
      </c>
    </row>
    <row r="165">
      <c r="A165" s="49" t="n">
        <v>45447</v>
      </c>
      <c r="B165" s="50" t="n">
        <v>7.1083</v>
      </c>
      <c r="C165" s="50" t="n">
        <v>7.7787</v>
      </c>
      <c r="D165" s="50" t="n">
        <v>0.045781</v>
      </c>
      <c r="E165" s="50" t="n">
        <v>0.90911</v>
      </c>
      <c r="F165" s="50" t="n">
        <v>9.131600000000001</v>
      </c>
      <c r="G165" s="50" t="n">
        <v>4.7777</v>
      </c>
      <c r="H165" s="50" t="n">
        <v>4.4296</v>
      </c>
      <c r="I165" s="50" t="n">
        <v>5.2968</v>
      </c>
      <c r="J165" s="50" t="n">
        <v>7.9635</v>
      </c>
      <c r="K165" s="50" t="n">
        <v>5.2359</v>
      </c>
      <c r="L165" s="50" t="n">
        <v>1.1335</v>
      </c>
      <c r="M165" s="50" t="n">
        <v>0.66069</v>
      </c>
      <c r="N165" s="50" t="n">
        <v>12.4609</v>
      </c>
      <c r="O165" s="50" t="n">
        <v>2.6024</v>
      </c>
      <c r="R165" s="50" t="n">
        <v>191.75</v>
      </c>
      <c r="S165" s="50" t="n">
        <v>0.51559</v>
      </c>
      <c r="T165" s="50" t="n">
        <v>0.5265</v>
      </c>
      <c r="U165" s="50" t="n">
        <v>50.3868</v>
      </c>
      <c r="V165" s="50" t="n">
        <v>0.5515600000000001</v>
      </c>
      <c r="W165" s="50" t="n">
        <v>0.9626</v>
      </c>
      <c r="X165" s="50" t="n">
        <v>1.4594</v>
      </c>
      <c r="Y165" s="50" t="n">
        <v>1.4666</v>
      </c>
      <c r="Z165" s="50" t="n">
        <v>4.5142</v>
      </c>
      <c r="AA165" s="50" t="n">
        <v>2.4865</v>
      </c>
      <c r="AB165" s="50" t="n">
        <v>5.1194</v>
      </c>
    </row>
    <row r="166">
      <c r="A166" s="49" t="n">
        <v>45448</v>
      </c>
      <c r="B166" s="50" t="n">
        <v>7.1097</v>
      </c>
      <c r="C166" s="50" t="n">
        <v>7.7698</v>
      </c>
      <c r="D166" s="50" t="n">
        <v>0.046174</v>
      </c>
      <c r="E166" s="50" t="n">
        <v>0.91024</v>
      </c>
      <c r="F166" s="50" t="n">
        <v>9.119899999999999</v>
      </c>
      <c r="G166" s="50" t="n">
        <v>4.755</v>
      </c>
      <c r="H166" s="50" t="n">
        <v>4.4251</v>
      </c>
      <c r="I166" s="50" t="n">
        <v>5.2994</v>
      </c>
      <c r="J166" s="50" t="n">
        <v>8.0223</v>
      </c>
      <c r="K166" s="50" t="n">
        <v>5.2268</v>
      </c>
      <c r="L166" s="50" t="n">
        <v>1.1321</v>
      </c>
      <c r="M166" s="50" t="n">
        <v>0.66099</v>
      </c>
      <c r="N166" s="50" t="n">
        <v>12.4731</v>
      </c>
      <c r="O166" s="50" t="n">
        <v>2.6273</v>
      </c>
      <c r="R166" s="50" t="n">
        <v>191.69</v>
      </c>
      <c r="S166" s="50" t="n">
        <v>0.5147699999999999</v>
      </c>
      <c r="T166" s="50" t="n">
        <v>0.52566</v>
      </c>
      <c r="U166" s="50" t="n">
        <v>50.8241</v>
      </c>
      <c r="V166" s="50" t="n">
        <v>0.55683</v>
      </c>
      <c r="W166" s="50" t="n">
        <v>0.9634</v>
      </c>
      <c r="X166" s="50" t="n">
        <v>1.4615</v>
      </c>
      <c r="Y166" s="50" t="n">
        <v>1.4808</v>
      </c>
      <c r="Z166" s="50" t="n">
        <v>4.57172</v>
      </c>
      <c r="AA166" s="50" t="n">
        <v>2.5058</v>
      </c>
      <c r="AB166" s="50" t="n">
        <v>5.1034</v>
      </c>
    </row>
    <row r="167">
      <c r="A167" s="49" t="n">
        <v>45449</v>
      </c>
      <c r="B167" s="50" t="n">
        <v>7.1108</v>
      </c>
      <c r="C167" s="50" t="n">
        <v>7.7664</v>
      </c>
      <c r="D167" s="50" t="n">
        <v>0.045896</v>
      </c>
      <c r="E167" s="50" t="n">
        <v>0.91061</v>
      </c>
      <c r="F167" s="50" t="n">
        <v>9.135300000000001</v>
      </c>
      <c r="G167" s="50" t="n">
        <v>4.7598</v>
      </c>
      <c r="H167" s="50" t="n">
        <v>4.4401</v>
      </c>
      <c r="I167" s="50" t="n">
        <v>5.2945</v>
      </c>
      <c r="J167" s="50" t="n">
        <v>7.9992</v>
      </c>
      <c r="K167" s="50" t="n">
        <v>5.2219</v>
      </c>
      <c r="L167" s="50" t="n">
        <v>1.1317</v>
      </c>
      <c r="M167" s="50" t="n">
        <v>0.66066</v>
      </c>
      <c r="N167" s="50" t="n">
        <v>12.4174</v>
      </c>
      <c r="O167" s="50" t="n">
        <v>2.6573</v>
      </c>
      <c r="R167" s="50" t="n">
        <v>190.93</v>
      </c>
      <c r="S167" s="50" t="n">
        <v>0.51476</v>
      </c>
      <c r="T167" s="50" t="n">
        <v>0.52566</v>
      </c>
      <c r="U167" s="50" t="n">
        <v>50.5004</v>
      </c>
      <c r="V167" s="50" t="n">
        <v>0.55497</v>
      </c>
      <c r="W167" s="50" t="n">
        <v>0.9639</v>
      </c>
      <c r="X167" s="50" t="n">
        <v>1.4549</v>
      </c>
      <c r="Y167" s="50" t="n">
        <v>1.4818</v>
      </c>
      <c r="Z167" s="50" t="n">
        <v>4.51769</v>
      </c>
      <c r="AA167" s="50" t="n">
        <v>2.4635</v>
      </c>
      <c r="AB167" s="50" t="n">
        <v>5.1004</v>
      </c>
    </row>
    <row r="168">
      <c r="A168" s="49" t="n">
        <v>45450</v>
      </c>
      <c r="B168" s="50" t="n">
        <v>7.1106</v>
      </c>
      <c r="C168" s="50" t="n">
        <v>7.776</v>
      </c>
      <c r="D168" s="50" t="n">
        <v>0.045984</v>
      </c>
      <c r="E168" s="50" t="n">
        <v>0.91037</v>
      </c>
      <c r="F168" s="50" t="n">
        <v>9.1305</v>
      </c>
      <c r="G168" s="50" t="n">
        <v>4.7688</v>
      </c>
      <c r="H168" s="50" t="n">
        <v>4.4391</v>
      </c>
      <c r="I168" s="50" t="n">
        <v>5.3027</v>
      </c>
      <c r="J168" s="50" t="n">
        <v>8.0228</v>
      </c>
      <c r="K168" s="50" t="n">
        <v>5.2281</v>
      </c>
      <c r="L168" s="50" t="n">
        <v>1.132</v>
      </c>
      <c r="M168" s="50" t="n">
        <v>0.66044</v>
      </c>
      <c r="N168" s="50" t="n">
        <v>12.4433</v>
      </c>
      <c r="O168" s="50" t="n">
        <v>2.6636</v>
      </c>
      <c r="R168" s="50" t="n">
        <v>190.71</v>
      </c>
      <c r="S168" s="50" t="n">
        <v>0.51489</v>
      </c>
      <c r="T168" s="50" t="n">
        <v>0.52581</v>
      </c>
      <c r="U168" s="50" t="n">
        <v>50.35</v>
      </c>
      <c r="V168" s="50" t="n">
        <v>0.55331</v>
      </c>
      <c r="W168" s="50" t="n">
        <v>0.9628</v>
      </c>
      <c r="X168" s="50" t="n">
        <v>1.4547</v>
      </c>
      <c r="Y168" s="50" t="n">
        <v>1.4796</v>
      </c>
      <c r="Z168" s="50" t="n">
        <v>4.52143</v>
      </c>
      <c r="AA168" s="50" t="n">
        <v>2.518</v>
      </c>
      <c r="AB168" s="50" t="n">
        <v>5.0789</v>
      </c>
    </row>
    <row r="169">
      <c r="A169" s="49" t="n">
        <v>45454</v>
      </c>
      <c r="B169" s="50" t="n">
        <v>7.1135</v>
      </c>
      <c r="C169" s="50" t="n">
        <v>7.697</v>
      </c>
      <c r="D169" s="50" t="n">
        <v>0.045596</v>
      </c>
      <c r="E169" s="50" t="n">
        <v>0.91059</v>
      </c>
      <c r="F169" s="50" t="n">
        <v>9.106</v>
      </c>
      <c r="G169" s="50" t="n">
        <v>4.7335</v>
      </c>
      <c r="H169" s="50" t="n">
        <v>4.3996</v>
      </c>
      <c r="I169" s="50" t="n">
        <v>5.284</v>
      </c>
      <c r="J169" s="50" t="n">
        <v>7.9653</v>
      </c>
      <c r="K169" s="50" t="n">
        <v>5.2048</v>
      </c>
      <c r="L169" s="50" t="n">
        <v>1.1315</v>
      </c>
      <c r="M169" s="50" t="n">
        <v>0.66334</v>
      </c>
      <c r="N169" s="50" t="n">
        <v>12.3768</v>
      </c>
      <c r="O169" s="50" t="n">
        <v>2.6241</v>
      </c>
      <c r="R169" s="50" t="n">
        <v>191.24</v>
      </c>
      <c r="S169" s="50" t="n">
        <v>0.51393</v>
      </c>
      <c r="T169" s="50" t="n">
        <v>0.52475</v>
      </c>
      <c r="U169" s="50" t="n">
        <v>51.3312</v>
      </c>
      <c r="V169" s="50" t="n">
        <v>0.56486</v>
      </c>
      <c r="W169" s="50" t="n">
        <v>0.9725</v>
      </c>
      <c r="X169" s="50" t="n">
        <v>1.4648</v>
      </c>
      <c r="Y169" s="50" t="n">
        <v>1.4897</v>
      </c>
      <c r="Z169" s="50" t="n">
        <v>4.5309</v>
      </c>
      <c r="AA169" s="50" t="n">
        <v>2.5942</v>
      </c>
      <c r="AB169" s="50" t="n">
        <v>5.1153</v>
      </c>
    </row>
    <row r="170">
      <c r="A170" s="49" t="n">
        <v>45455</v>
      </c>
      <c r="B170" s="50" t="n">
        <v>7.1133</v>
      </c>
      <c r="C170" s="50" t="n">
        <v>7.6788</v>
      </c>
      <c r="D170" s="50" t="n">
        <v>0.045588</v>
      </c>
      <c r="E170" s="50" t="n">
        <v>0.91081</v>
      </c>
      <c r="F170" s="50" t="n">
        <v>9.108499999999999</v>
      </c>
      <c r="G170" s="50" t="n">
        <v>4.7348</v>
      </c>
      <c r="H170" s="50" t="n">
        <v>4.4099</v>
      </c>
      <c r="I170" s="50" t="n">
        <v>5.2822</v>
      </c>
      <c r="J170" s="50" t="n">
        <v>7.9499</v>
      </c>
      <c r="K170" s="50" t="n">
        <v>5.2053</v>
      </c>
      <c r="L170" s="50" t="n">
        <v>1.1314</v>
      </c>
      <c r="M170" s="50" t="n">
        <v>0.663</v>
      </c>
      <c r="N170" s="50" t="n">
        <v>12.4319</v>
      </c>
      <c r="O170" s="50" t="n">
        <v>2.601</v>
      </c>
      <c r="R170" s="50" t="n">
        <v>191.63</v>
      </c>
      <c r="S170" s="50" t="n">
        <v>0.514</v>
      </c>
      <c r="T170" s="50" t="n">
        <v>0.52484</v>
      </c>
      <c r="U170" s="50" t="n">
        <v>51.6968</v>
      </c>
      <c r="V170" s="50" t="n">
        <v>0.56793</v>
      </c>
      <c r="W170" s="50" t="n">
        <v>0.9745</v>
      </c>
      <c r="X170" s="50" t="n">
        <v>1.4661</v>
      </c>
      <c r="Y170" s="50" t="n">
        <v>1.4969</v>
      </c>
      <c r="Z170" s="50" t="n">
        <v>4.53053</v>
      </c>
      <c r="AA170" s="50" t="n">
        <v>2.6096</v>
      </c>
      <c r="AB170" s="50" t="n">
        <v>5.1125</v>
      </c>
    </row>
    <row r="171">
      <c r="A171" s="49" t="n">
        <v>45456</v>
      </c>
      <c r="B171" s="50" t="n">
        <v>7.1122</v>
      </c>
      <c r="C171" s="50" t="n">
        <v>7.7197</v>
      </c>
      <c r="D171" s="50" t="n">
        <v>0.045636</v>
      </c>
      <c r="E171" s="50" t="n">
        <v>0.9108000000000001</v>
      </c>
      <c r="F171" s="50" t="n">
        <v>9.130599999999999</v>
      </c>
      <c r="G171" s="50" t="n">
        <v>4.7624</v>
      </c>
      <c r="H171" s="50" t="n">
        <v>4.4269</v>
      </c>
      <c r="I171" s="50" t="n">
        <v>5.2941</v>
      </c>
      <c r="J171" s="50" t="n">
        <v>7.9672</v>
      </c>
      <c r="K171" s="50" t="n">
        <v>5.2064</v>
      </c>
      <c r="L171" s="50" t="n">
        <v>1.1314</v>
      </c>
      <c r="M171" s="50" t="n">
        <v>0.66259</v>
      </c>
      <c r="N171" s="50" t="n">
        <v>12.4492</v>
      </c>
      <c r="O171" s="50" t="n">
        <v>2.5797</v>
      </c>
      <c r="R171" s="50" t="n">
        <v>190.93</v>
      </c>
      <c r="S171" s="50" t="n">
        <v>0.51493</v>
      </c>
      <c r="T171" s="50" t="n">
        <v>0.52585</v>
      </c>
      <c r="U171" s="50" t="n">
        <v>51.3977</v>
      </c>
      <c r="V171" s="50" t="n">
        <v>0.56377</v>
      </c>
      <c r="W171" s="50" t="n">
        <v>0.97</v>
      </c>
      <c r="X171" s="50" t="n">
        <v>1.4536</v>
      </c>
      <c r="Y171" s="50" t="n">
        <v>1.4832</v>
      </c>
      <c r="Z171" s="50" t="n">
        <v>4.53044</v>
      </c>
      <c r="AA171" s="50" t="n">
        <v>2.6404</v>
      </c>
      <c r="AB171" s="50" t="n">
        <v>5.1086</v>
      </c>
    </row>
    <row r="172">
      <c r="A172" s="49" t="n">
        <v>45457</v>
      </c>
      <c r="B172" s="50" t="n">
        <v>7.1151</v>
      </c>
      <c r="C172" s="50" t="n">
        <v>7.6795</v>
      </c>
      <c r="D172" s="50" t="n">
        <v>0.045603</v>
      </c>
      <c r="E172" s="50" t="n">
        <v>0.91091</v>
      </c>
      <c r="F172" s="50" t="n">
        <v>9.1228</v>
      </c>
      <c r="G172" s="50" t="n">
        <v>4.7518</v>
      </c>
      <c r="H172" s="50" t="n">
        <v>4.4196</v>
      </c>
      <c r="I172" s="50" t="n">
        <v>5.2896</v>
      </c>
      <c r="J172" s="50" t="n">
        <v>7.9858</v>
      </c>
      <c r="K172" s="50" t="n">
        <v>5.2104</v>
      </c>
      <c r="L172" s="50" t="n">
        <v>1.1313</v>
      </c>
      <c r="M172" s="50" t="n">
        <v>0.66204</v>
      </c>
      <c r="N172" s="50" t="n">
        <v>12.2412</v>
      </c>
      <c r="O172" s="50" t="n">
        <v>2.5821</v>
      </c>
      <c r="R172" s="50" t="n">
        <v>191.32</v>
      </c>
      <c r="S172" s="50" t="n">
        <v>0.514</v>
      </c>
      <c r="T172" s="50" t="n">
        <v>0.52496</v>
      </c>
      <c r="U172" s="50" t="n">
        <v>51.9372</v>
      </c>
      <c r="V172" s="50" t="n">
        <v>0.56897</v>
      </c>
      <c r="W172" s="50" t="n">
        <v>0.9746</v>
      </c>
      <c r="X172" s="50" t="n">
        <v>1.465</v>
      </c>
      <c r="Y172" s="50" t="n">
        <v>1.4905</v>
      </c>
      <c r="Z172" s="50" t="n">
        <v>4.54846</v>
      </c>
      <c r="AA172" s="50" t="n">
        <v>2.5937</v>
      </c>
      <c r="AB172" s="50" t="n">
        <v>5.1127</v>
      </c>
    </row>
    <row r="173">
      <c r="A173" s="49" t="n">
        <v>45460</v>
      </c>
      <c r="B173" s="50" t="n">
        <v>7.1149</v>
      </c>
      <c r="C173" s="50" t="n">
        <v>7.6555</v>
      </c>
      <c r="D173" s="50" t="n">
        <v>0.045502</v>
      </c>
      <c r="E173" s="50" t="n">
        <v>0.91087</v>
      </c>
      <c r="F173" s="50" t="n">
        <v>9.075799999999999</v>
      </c>
      <c r="G173" s="50" t="n">
        <v>4.7405</v>
      </c>
      <c r="H173" s="50" t="n">
        <v>4.4047</v>
      </c>
      <c r="I173" s="50" t="n">
        <v>5.2805</v>
      </c>
      <c r="J173" s="50" t="n">
        <v>8.016299999999999</v>
      </c>
      <c r="K173" s="50" t="n">
        <v>5.2132</v>
      </c>
      <c r="L173" s="50" t="n">
        <v>1.1308</v>
      </c>
      <c r="M173" s="50" t="n">
        <v>0.6627999999999999</v>
      </c>
      <c r="N173" s="50" t="n">
        <v>12.4745</v>
      </c>
      <c r="O173" s="50" t="n">
        <v>2.5731</v>
      </c>
      <c r="R173" s="50" t="n">
        <v>192.09</v>
      </c>
      <c r="S173" s="50" t="n">
        <v>0.51372</v>
      </c>
      <c r="T173" s="50" t="n">
        <v>0.52468</v>
      </c>
      <c r="U173" s="50" t="n">
        <v>52.2164</v>
      </c>
      <c r="V173" s="50" t="n">
        <v>0.57394</v>
      </c>
      <c r="W173" s="50" t="n">
        <v>0.9777</v>
      </c>
      <c r="X173" s="50" t="n">
        <v>1.4703</v>
      </c>
      <c r="Y173" s="50" t="n">
        <v>1.4944</v>
      </c>
      <c r="Z173" s="50" t="n">
        <v>4.58138</v>
      </c>
      <c r="AA173" s="50" t="n">
        <v>2.5995</v>
      </c>
      <c r="AB173" s="50" t="n">
        <v>5.1042</v>
      </c>
    </row>
    <row r="174">
      <c r="A174" s="49" t="n">
        <v>45461</v>
      </c>
      <c r="B174" s="50" t="n">
        <v>7.1148</v>
      </c>
      <c r="C174" s="50" t="n">
        <v>7.6749</v>
      </c>
      <c r="D174" s="50" t="n">
        <v>0.045461</v>
      </c>
      <c r="E174" s="50" t="n">
        <v>0.91095</v>
      </c>
      <c r="F174" s="50" t="n">
        <v>9.082800000000001</v>
      </c>
      <c r="G174" s="50" t="n">
        <v>4.7364</v>
      </c>
      <c r="H174" s="50" t="n">
        <v>4.3976</v>
      </c>
      <c r="I174" s="50" t="n">
        <v>5.2847</v>
      </c>
      <c r="J174" s="50" t="n">
        <v>8.0268</v>
      </c>
      <c r="K174" s="50" t="n">
        <v>5.2162</v>
      </c>
      <c r="L174" s="50" t="n">
        <v>1.1314</v>
      </c>
      <c r="M174" s="50" t="n">
        <v>0.66189</v>
      </c>
      <c r="N174" s="50" t="n">
        <v>12.3627</v>
      </c>
      <c r="O174" s="50" t="n">
        <v>2.5575</v>
      </c>
      <c r="R174" s="50" t="n">
        <v>192.01</v>
      </c>
      <c r="S174" s="50" t="n">
        <v>0.51415</v>
      </c>
      <c r="T174" s="50" t="n">
        <v>0.5252599999999999</v>
      </c>
      <c r="U174" s="50" t="n">
        <v>51.7514</v>
      </c>
      <c r="V174" s="50" t="n">
        <v>0.56845</v>
      </c>
      <c r="W174" s="50" t="n">
        <v>0.9752</v>
      </c>
      <c r="X174" s="50" t="n">
        <v>1.4649</v>
      </c>
      <c r="Y174" s="50" t="n">
        <v>1.4922</v>
      </c>
      <c r="Z174" s="50" t="n">
        <v>4.59262</v>
      </c>
      <c r="AA174" s="50" t="n">
        <v>2.6077</v>
      </c>
      <c r="AB174" s="50" t="n">
        <v>5.1262</v>
      </c>
    </row>
    <row r="175">
      <c r="A175" s="49" t="n">
        <v>45462</v>
      </c>
      <c r="B175" s="50" t="n">
        <v>7.1159</v>
      </c>
      <c r="C175" s="50" t="n">
        <v>7.6687</v>
      </c>
      <c r="D175" s="50" t="n">
        <v>0.045381</v>
      </c>
      <c r="E175" s="50" t="n">
        <v>0.91137</v>
      </c>
      <c r="F175" s="50" t="n">
        <v>9.070600000000001</v>
      </c>
      <c r="G175" s="50" t="n">
        <v>4.7619</v>
      </c>
      <c r="H175" s="50" t="n">
        <v>4.3979</v>
      </c>
      <c r="I175" s="50" t="n">
        <v>5.2809</v>
      </c>
      <c r="J175" s="50" t="n">
        <v>8.060600000000001</v>
      </c>
      <c r="K175" s="50" t="n">
        <v>5.2098</v>
      </c>
      <c r="L175" s="50" t="n">
        <v>1.1309</v>
      </c>
      <c r="M175" s="50" t="n">
        <v>0.66211</v>
      </c>
      <c r="N175" s="50" t="n">
        <v>11.9538</v>
      </c>
      <c r="O175" s="50" t="n">
        <v>2.5312</v>
      </c>
      <c r="R175" s="50" t="n">
        <v>192.31</v>
      </c>
      <c r="S175" s="50" t="n">
        <v>0.5148200000000001</v>
      </c>
      <c r="T175" s="50" t="n">
        <v>0.52589</v>
      </c>
      <c r="U175" s="50" t="n">
        <v>51.62</v>
      </c>
      <c r="V175" s="50" t="n">
        <v>0.5682700000000001</v>
      </c>
      <c r="W175" s="50" t="n">
        <v>0.9766</v>
      </c>
      <c r="X175" s="50" t="n">
        <v>1.4621</v>
      </c>
      <c r="Y175" s="50" t="n">
        <v>1.4833</v>
      </c>
      <c r="Z175" s="50" t="n">
        <v>4.56326</v>
      </c>
      <c r="AA175" s="50" t="n">
        <v>2.5916</v>
      </c>
      <c r="AB175" s="50" t="n">
        <v>5.1116</v>
      </c>
    </row>
    <row r="176">
      <c r="A176" s="49" t="n">
        <v>45463</v>
      </c>
      <c r="B176" s="50" t="n">
        <v>7.1192</v>
      </c>
      <c r="C176" s="50" t="n">
        <v>7.6801</v>
      </c>
      <c r="D176" s="50" t="n">
        <v>0.045378</v>
      </c>
      <c r="E176" s="50" t="n">
        <v>0.91199</v>
      </c>
      <c r="F176" s="50" t="n">
        <v>9.086600000000001</v>
      </c>
      <c r="G176" s="50" t="n">
        <v>4.7761</v>
      </c>
      <c r="H176" s="50" t="n">
        <v>4.4016</v>
      </c>
      <c r="I176" s="50" t="n">
        <v>5.2864</v>
      </c>
      <c r="J176" s="50" t="n">
        <v>8.065099999999999</v>
      </c>
      <c r="K176" s="50" t="n">
        <v>5.2181</v>
      </c>
      <c r="L176" s="50" t="n">
        <v>1.1301</v>
      </c>
      <c r="M176" s="50" t="n">
        <v>0.66194</v>
      </c>
      <c r="N176" s="50" t="n">
        <v>11.627</v>
      </c>
      <c r="O176" s="50" t="n">
        <v>2.5154</v>
      </c>
      <c r="R176" s="50" t="n">
        <v>192.39</v>
      </c>
      <c r="S176" s="50" t="n">
        <v>0.51453</v>
      </c>
      <c r="T176" s="50" t="n">
        <v>0.5255300000000001</v>
      </c>
      <c r="U176" s="50" t="n">
        <v>51.7824</v>
      </c>
      <c r="V176" s="50" t="n">
        <v>0.56574</v>
      </c>
      <c r="W176" s="50" t="n">
        <v>0.9752</v>
      </c>
      <c r="X176" s="50" t="n">
        <v>1.4602</v>
      </c>
      <c r="Y176" s="50" t="n">
        <v>1.4792</v>
      </c>
      <c r="Z176" s="50" t="n">
        <v>4.55255</v>
      </c>
      <c r="AA176" s="50" t="n">
        <v>2.594</v>
      </c>
      <c r="AB176" s="50" t="n">
        <v>5.1083</v>
      </c>
    </row>
    <row r="177">
      <c r="A177" s="49" t="n">
        <v>45464</v>
      </c>
      <c r="B177" s="50" t="n">
        <v>7.1196</v>
      </c>
      <c r="C177" s="50" t="n">
        <v>7.6623</v>
      </c>
      <c r="D177" s="50" t="n">
        <v>0.045182</v>
      </c>
      <c r="E177" s="50" t="n">
        <v>0.91232</v>
      </c>
      <c r="F177" s="50" t="n">
        <v>9.0624</v>
      </c>
      <c r="G177" s="50" t="n">
        <v>4.7761</v>
      </c>
      <c r="H177" s="50" t="n">
        <v>4.3995</v>
      </c>
      <c r="I177" s="50" t="n">
        <v>5.2794</v>
      </c>
      <c r="J177" s="50" t="n">
        <v>8.0161</v>
      </c>
      <c r="K177" s="50" t="n">
        <v>5.2418</v>
      </c>
      <c r="L177" s="50" t="n">
        <v>1.1297</v>
      </c>
      <c r="M177" s="50" t="n">
        <v>0.66207</v>
      </c>
      <c r="N177" s="50" t="n">
        <v>12.1308</v>
      </c>
      <c r="O177" s="50" t="n">
        <v>2.5163</v>
      </c>
      <c r="R177" s="50" t="n">
        <v>193.02</v>
      </c>
      <c r="S177" s="50" t="n">
        <v>0.51366</v>
      </c>
      <c r="T177" s="50" t="n">
        <v>0.52463</v>
      </c>
      <c r="U177" s="50" t="n">
        <v>52.0393</v>
      </c>
      <c r="V177" s="50" t="n">
        <v>0.56749</v>
      </c>
      <c r="W177" s="50" t="n">
        <v>0.9772999999999999</v>
      </c>
      <c r="X177" s="50" t="n">
        <v>1.4664</v>
      </c>
      <c r="Y177" s="50" t="n">
        <v>1.4745</v>
      </c>
      <c r="Z177" s="50" t="n">
        <v>4.59046</v>
      </c>
      <c r="AA177" s="50" t="n">
        <v>2.5789</v>
      </c>
      <c r="AB177" s="50" t="n">
        <v>5.11</v>
      </c>
    </row>
    <row r="178">
      <c r="A178" s="49" t="n">
        <v>45467</v>
      </c>
      <c r="B178" s="50" t="n">
        <v>7.1201</v>
      </c>
      <c r="C178" s="50" t="n">
        <v>7.6507</v>
      </c>
      <c r="D178" s="50" t="n">
        <v>0.044952</v>
      </c>
      <c r="E178" s="50" t="n">
        <v>0.91239</v>
      </c>
      <c r="F178" s="50" t="n">
        <v>9.045</v>
      </c>
      <c r="G178" s="50" t="n">
        <v>4.7589</v>
      </c>
      <c r="H178" s="50" t="n">
        <v>4.3903</v>
      </c>
      <c r="I178" s="50" t="n">
        <v>5.278</v>
      </c>
      <c r="J178" s="50" t="n">
        <v>7.9915</v>
      </c>
      <c r="K178" s="50" t="n">
        <v>5.2314</v>
      </c>
      <c r="L178" s="50" t="n">
        <v>1.1296</v>
      </c>
      <c r="M178" s="50" t="n">
        <v>0.66139</v>
      </c>
      <c r="N178" s="50" t="n">
        <v>12.3928</v>
      </c>
      <c r="O178" s="50" t="n">
        <v>2.5215</v>
      </c>
      <c r="R178" s="50" t="n">
        <v>193.08</v>
      </c>
      <c r="S178" s="50" t="n">
        <v>0.51351</v>
      </c>
      <c r="T178" s="50" t="n">
        <v>0.5244799999999999</v>
      </c>
      <c r="U178" s="50" t="n">
        <v>52.0725</v>
      </c>
      <c r="V178" s="50" t="n">
        <v>0.56809</v>
      </c>
      <c r="W178" s="50" t="n">
        <v>0.9785</v>
      </c>
      <c r="X178" s="50" t="n">
        <v>1.4677</v>
      </c>
      <c r="Y178" s="50" t="n">
        <v>1.4792</v>
      </c>
      <c r="Z178" s="50" t="n">
        <v>4.58916</v>
      </c>
      <c r="AA178" s="50" t="n">
        <v>2.5459</v>
      </c>
      <c r="AB178" s="50" t="n">
        <v>5.1108</v>
      </c>
    </row>
    <row r="179">
      <c r="A179" s="49" t="n">
        <v>45468</v>
      </c>
      <c r="B179" s="50" t="n">
        <v>7.1225</v>
      </c>
      <c r="C179" s="50" t="n">
        <v>7.6703</v>
      </c>
      <c r="D179" s="50" t="n">
        <v>0.04494</v>
      </c>
      <c r="E179" s="50" t="n">
        <v>0.91234</v>
      </c>
      <c r="F179" s="50" t="n">
        <v>9.0603</v>
      </c>
      <c r="G179" s="50" t="n">
        <v>4.7626</v>
      </c>
      <c r="H179" s="50" t="n">
        <v>4.3898</v>
      </c>
      <c r="I179" s="50" t="n">
        <v>5.2774</v>
      </c>
      <c r="J179" s="50" t="n">
        <v>7.9856</v>
      </c>
      <c r="K179" s="50" t="n">
        <v>5.2363</v>
      </c>
      <c r="L179" s="50" t="n">
        <v>1.1298</v>
      </c>
      <c r="M179" s="50" t="n">
        <v>0.66203</v>
      </c>
      <c r="N179" s="50" t="n">
        <v>12.2228</v>
      </c>
      <c r="O179" s="50" t="n">
        <v>2.5385</v>
      </c>
      <c r="R179" s="50" t="n">
        <v>192.88</v>
      </c>
      <c r="S179" s="50" t="n">
        <v>0.51444</v>
      </c>
      <c r="T179" s="50" t="n">
        <v>0.52547</v>
      </c>
      <c r="U179" s="50" t="n">
        <v>51.7358</v>
      </c>
      <c r="V179" s="50" t="n">
        <v>0.56189</v>
      </c>
      <c r="W179" s="50" t="n">
        <v>0.9766</v>
      </c>
      <c r="X179" s="50" t="n">
        <v>1.4654</v>
      </c>
      <c r="Y179" s="50" t="n">
        <v>1.4769</v>
      </c>
      <c r="Z179" s="50" t="n">
        <v>4.61097</v>
      </c>
      <c r="AA179" s="50" t="n">
        <v>2.525</v>
      </c>
      <c r="AB179" s="50" t="n">
        <v>5.1107</v>
      </c>
    </row>
    <row r="180">
      <c r="A180" s="49" t="n">
        <v>45469</v>
      </c>
      <c r="B180" s="50" t="n">
        <v>7.1248</v>
      </c>
      <c r="C180" s="50" t="n">
        <v>7.6654</v>
      </c>
      <c r="D180" s="50" t="n">
        <v>0.045001</v>
      </c>
      <c r="E180" s="50" t="n">
        <v>0.91235</v>
      </c>
      <c r="F180" s="50" t="n">
        <v>9.078200000000001</v>
      </c>
      <c r="G180" s="50" t="n">
        <v>4.7653</v>
      </c>
      <c r="H180" s="50" t="n">
        <v>4.3963</v>
      </c>
      <c r="I180" s="50" t="n">
        <v>5.2785</v>
      </c>
      <c r="J180" s="50" t="n">
        <v>7.9819</v>
      </c>
      <c r="K180" s="50" t="n">
        <v>5.2456</v>
      </c>
      <c r="L180" s="50" t="n">
        <v>1.1297</v>
      </c>
      <c r="M180" s="50" t="n">
        <v>0.66085</v>
      </c>
      <c r="N180" s="50" t="n">
        <v>12.2169</v>
      </c>
      <c r="O180" s="50" t="n">
        <v>2.5537</v>
      </c>
      <c r="R180" s="50" t="n">
        <v>193.16</v>
      </c>
      <c r="S180" s="50" t="n">
        <v>0.51366</v>
      </c>
      <c r="T180" s="50" t="n">
        <v>0.52472</v>
      </c>
      <c r="U180" s="50" t="n">
        <v>51.8902</v>
      </c>
      <c r="V180" s="50" t="n">
        <v>0.56362</v>
      </c>
      <c r="W180" s="50" t="n">
        <v>0.9769</v>
      </c>
      <c r="X180" s="50" t="n">
        <v>1.4682</v>
      </c>
      <c r="Y180" s="50" t="n">
        <v>1.485</v>
      </c>
      <c r="Z180" s="50" t="n">
        <v>4.6077</v>
      </c>
      <c r="AA180" s="50" t="n">
        <v>2.5478</v>
      </c>
      <c r="AB180" s="50" t="n">
        <v>5.1076</v>
      </c>
    </row>
    <row r="181">
      <c r="A181" s="49" t="n">
        <v>45470</v>
      </c>
      <c r="B181" s="50" t="n">
        <v>7.127</v>
      </c>
      <c r="C181" s="50" t="n">
        <v>7.6501</v>
      </c>
      <c r="D181" s="50" t="n">
        <v>0.044783</v>
      </c>
      <c r="E181" s="50" t="n">
        <v>0.91272</v>
      </c>
      <c r="F181" s="50" t="n">
        <v>9.042299999999999</v>
      </c>
      <c r="G181" s="50" t="n">
        <v>4.7697</v>
      </c>
      <c r="H181" s="50" t="n">
        <v>4.371</v>
      </c>
      <c r="I181" s="50" t="n">
        <v>5.2658</v>
      </c>
      <c r="J181" s="50" t="n">
        <v>7.9724</v>
      </c>
      <c r="K181" s="50" t="n">
        <v>5.2334</v>
      </c>
      <c r="L181" s="50" t="n">
        <v>1.1285</v>
      </c>
      <c r="M181" s="50" t="n">
        <v>0.66188</v>
      </c>
      <c r="N181" s="50" t="n">
        <v>12.2668</v>
      </c>
      <c r="O181" s="50" t="n">
        <v>2.541</v>
      </c>
      <c r="R181" s="50" t="n">
        <v>193.15</v>
      </c>
      <c r="S181" s="50" t="n">
        <v>0.51305</v>
      </c>
      <c r="T181" s="50" t="n">
        <v>0.52406</v>
      </c>
      <c r="U181" s="50" t="n">
        <v>52.1134</v>
      </c>
      <c r="V181" s="50" t="n">
        <v>0.56675</v>
      </c>
      <c r="W181" s="50" t="n">
        <v>0.9786</v>
      </c>
      <c r="X181" s="50" t="n">
        <v>1.4726</v>
      </c>
      <c r="Y181" s="50" t="n">
        <v>1.4928</v>
      </c>
      <c r="Z181" s="50" t="n">
        <v>4.58718</v>
      </c>
      <c r="AA181" s="50" t="n">
        <v>2.5721</v>
      </c>
      <c r="AB181" s="50" t="n">
        <v>5.1317</v>
      </c>
    </row>
    <row r="182">
      <c r="A182" s="49" t="n">
        <v>45471</v>
      </c>
      <c r="B182" s="50" t="n">
        <v>7.1268</v>
      </c>
      <c r="C182" s="50" t="n">
        <v>7.6617</v>
      </c>
      <c r="D182" s="50" t="n">
        <v>0.044738</v>
      </c>
      <c r="E182" s="50" t="n">
        <v>0.91268</v>
      </c>
      <c r="F182" s="50" t="n">
        <v>9.042999999999999</v>
      </c>
      <c r="G182" s="50" t="n">
        <v>4.765</v>
      </c>
      <c r="H182" s="50" t="n">
        <v>4.369</v>
      </c>
      <c r="I182" s="50" t="n">
        <v>5.279</v>
      </c>
      <c r="J182" s="50" t="n">
        <v>7.9471</v>
      </c>
      <c r="K182" s="50" t="n">
        <v>5.2274</v>
      </c>
      <c r="L182" s="50" t="n">
        <v>1.1291</v>
      </c>
      <c r="M182" s="50" t="n">
        <v>0.66248</v>
      </c>
      <c r="N182" s="50" t="n">
        <v>11.8894</v>
      </c>
      <c r="O182" s="50" t="n">
        <v>2.5846</v>
      </c>
      <c r="R182" s="50" t="n">
        <v>192.73</v>
      </c>
      <c r="S182" s="50" t="n">
        <v>0.51381</v>
      </c>
      <c r="T182" s="50" t="n">
        <v>0.52475</v>
      </c>
      <c r="U182" s="50" t="n">
        <v>51.98</v>
      </c>
      <c r="V182" s="50" t="n">
        <v>0.56533</v>
      </c>
      <c r="W182" s="50" t="n">
        <v>0.9774</v>
      </c>
      <c r="X182" s="50" t="n">
        <v>1.4844</v>
      </c>
      <c r="Y182" s="50" t="n">
        <v>1.4913</v>
      </c>
      <c r="Z182" s="50" t="n">
        <v>4.59736</v>
      </c>
      <c r="AA182" s="50" t="n">
        <v>2.5924</v>
      </c>
      <c r="AB182" s="50" t="n">
        <v>5.124</v>
      </c>
    </row>
    <row r="183">
      <c r="A183" s="49" t="n">
        <v>45474</v>
      </c>
      <c r="B183" s="50" t="n">
        <v>7.1265</v>
      </c>
      <c r="C183" s="50" t="n">
        <v>7.6787</v>
      </c>
      <c r="D183" s="50" t="n">
        <v>0.044682</v>
      </c>
      <c r="E183" s="50" t="n">
        <v>0.91261</v>
      </c>
      <c r="F183" s="50" t="n">
        <v>9.0427</v>
      </c>
      <c r="G183" s="50" t="n">
        <v>4.7768</v>
      </c>
      <c r="H183" s="50" t="n">
        <v>4.3758</v>
      </c>
      <c r="I183" s="50" t="n">
        <v>5.2713</v>
      </c>
      <c r="J183" s="50" t="n">
        <v>7.9344</v>
      </c>
      <c r="K183" s="50" t="n">
        <v>5.2336</v>
      </c>
      <c r="L183" s="50" t="n">
        <v>1.1293</v>
      </c>
      <c r="M183" s="50" t="n">
        <v>0.6621</v>
      </c>
      <c r="N183" s="50" t="n">
        <v>11.9275</v>
      </c>
      <c r="O183" s="50" t="n">
        <v>2.5301</v>
      </c>
      <c r="R183" s="50" t="n">
        <v>192.07</v>
      </c>
      <c r="S183" s="50" t="n">
        <v>0.51434</v>
      </c>
      <c r="T183" s="50" t="n">
        <v>0.52539</v>
      </c>
      <c r="U183" s="50" t="n">
        <v>51.6287</v>
      </c>
      <c r="V183" s="50" t="n">
        <v>0.56429</v>
      </c>
      <c r="W183" s="50" t="n">
        <v>0.9756</v>
      </c>
      <c r="X183" s="50" t="n">
        <v>1.4781</v>
      </c>
      <c r="Y183" s="50" t="n">
        <v>1.4921</v>
      </c>
      <c r="Z183" s="50" t="n">
        <v>4.57867</v>
      </c>
      <c r="AA183" s="50" t="n">
        <v>2.569</v>
      </c>
      <c r="AB183" s="50" t="n">
        <v>5.1151</v>
      </c>
    </row>
    <row r="184">
      <c r="A184" s="49" t="n">
        <v>45475</v>
      </c>
      <c r="B184" s="50" t="n">
        <v>7.1291</v>
      </c>
      <c r="C184" s="50" t="n">
        <v>7.6892</v>
      </c>
      <c r="D184" s="50" t="n">
        <v>0.044587</v>
      </c>
      <c r="E184" s="50" t="n">
        <v>0.91267</v>
      </c>
      <c r="F184" s="50" t="n">
        <v>9.058199999999999</v>
      </c>
      <c r="G184" s="50" t="n">
        <v>4.7779</v>
      </c>
      <c r="H184" s="50" t="n">
        <v>4.363</v>
      </c>
      <c r="I184" s="50" t="n">
        <v>5.2703</v>
      </c>
      <c r="J184" s="50" t="n">
        <v>7.9209</v>
      </c>
      <c r="K184" s="50" t="n">
        <v>5.2237</v>
      </c>
      <c r="L184" s="50" t="n">
        <v>1.1293</v>
      </c>
      <c r="M184" s="50" t="n">
        <v>0.66156</v>
      </c>
      <c r="N184" s="50" t="n">
        <v>12.0704</v>
      </c>
      <c r="O184" s="50" t="n">
        <v>2.5647</v>
      </c>
      <c r="R184" s="50" t="n">
        <v>192.16</v>
      </c>
      <c r="S184" s="50" t="n">
        <v>0.51326</v>
      </c>
      <c r="T184" s="50" t="n">
        <v>0.52425</v>
      </c>
      <c r="U184" s="50" t="n">
        <v>51.5536</v>
      </c>
      <c r="V184" s="50" t="n">
        <v>0.56387</v>
      </c>
      <c r="W184" s="50" t="n">
        <v>0.9738</v>
      </c>
      <c r="X184" s="50" t="n">
        <v>1.4806</v>
      </c>
      <c r="Y184" s="50" t="n">
        <v>1.4899</v>
      </c>
      <c r="Z184" s="50" t="n">
        <v>4.55935</v>
      </c>
      <c r="AA184" s="50" t="n">
        <v>2.5801</v>
      </c>
      <c r="AB184" s="50" t="n">
        <v>5.1064</v>
      </c>
    </row>
    <row r="185">
      <c r="A185" s="49" t="n">
        <v>45476</v>
      </c>
      <c r="B185" s="50" t="n">
        <v>7.1312</v>
      </c>
      <c r="C185" s="50" t="n">
        <v>7.6939</v>
      </c>
      <c r="D185" s="50" t="n">
        <v>0.044552</v>
      </c>
      <c r="E185" s="50" t="n">
        <v>0.91278</v>
      </c>
      <c r="F185" s="50" t="n">
        <v>9.0831</v>
      </c>
      <c r="G185" s="50" t="n">
        <v>4.783</v>
      </c>
      <c r="H185" s="50" t="n">
        <v>4.3697</v>
      </c>
      <c r="I185" s="50" t="n">
        <v>5.2735</v>
      </c>
      <c r="J185" s="50" t="n">
        <v>7.908</v>
      </c>
      <c r="K185" s="50" t="n">
        <v>5.2413</v>
      </c>
      <c r="L185" s="50" t="n">
        <v>1.1292</v>
      </c>
      <c r="M185" s="50" t="n">
        <v>0.6624</v>
      </c>
      <c r="N185" s="50" t="n">
        <v>12.2126</v>
      </c>
      <c r="O185" s="50" t="n">
        <v>2.6036</v>
      </c>
      <c r="R185" s="50" t="n">
        <v>192.75</v>
      </c>
      <c r="S185" s="50" t="n">
        <v>0.5135</v>
      </c>
      <c r="T185" s="50" t="n">
        <v>0.52449</v>
      </c>
      <c r="U185" s="50" t="n">
        <v>51.5206</v>
      </c>
      <c r="V185" s="50" t="n">
        <v>0.56252</v>
      </c>
      <c r="W185" s="50" t="n">
        <v>0.9728</v>
      </c>
      <c r="X185" s="50" t="n">
        <v>1.4767</v>
      </c>
      <c r="Y185" s="50" t="n">
        <v>1.4917</v>
      </c>
      <c r="Z185" s="50" t="n">
        <v>4.54881</v>
      </c>
      <c r="AA185" s="50" t="n">
        <v>2.564</v>
      </c>
      <c r="AB185" s="50" t="n">
        <v>5.1221</v>
      </c>
    </row>
    <row r="186">
      <c r="A186" s="49" t="n">
        <v>45477</v>
      </c>
      <c r="B186" s="50" t="n">
        <v>7.1305</v>
      </c>
      <c r="C186" s="50" t="n">
        <v>7.7232</v>
      </c>
      <c r="D186" s="50" t="n">
        <v>0.044517</v>
      </c>
      <c r="E186" s="50" t="n">
        <v>0.9129</v>
      </c>
      <c r="F186" s="50" t="n">
        <v>9.1196</v>
      </c>
      <c r="G186" s="50" t="n">
        <v>4.8099</v>
      </c>
      <c r="H186" s="50" t="n">
        <v>4.3853</v>
      </c>
      <c r="I186" s="50" t="n">
        <v>5.2849</v>
      </c>
      <c r="J186" s="50" t="n">
        <v>7.9258</v>
      </c>
      <c r="K186" s="50" t="n">
        <v>5.2541</v>
      </c>
      <c r="L186" s="50" t="n">
        <v>1.1288</v>
      </c>
      <c r="M186" s="50" t="n">
        <v>0.66199</v>
      </c>
      <c r="N186" s="50" t="n">
        <v>12.3043</v>
      </c>
      <c r="O186" s="50" t="n">
        <v>2.5786</v>
      </c>
      <c r="R186" s="50" t="n">
        <v>192.57</v>
      </c>
      <c r="S186" s="50" t="n">
        <v>0.51363</v>
      </c>
      <c r="T186" s="50" t="n">
        <v>0.52459</v>
      </c>
      <c r="U186" s="50" t="n">
        <v>51.331</v>
      </c>
      <c r="V186" s="50" t="n">
        <v>0.55909</v>
      </c>
      <c r="W186" s="50" t="n">
        <v>0.9697</v>
      </c>
      <c r="X186" s="50" t="n">
        <v>1.4654</v>
      </c>
      <c r="Y186" s="50" t="n">
        <v>1.4764</v>
      </c>
      <c r="Z186" s="50" t="n">
        <v>4.54979</v>
      </c>
      <c r="AA186" s="50" t="n">
        <v>2.553</v>
      </c>
      <c r="AB186" s="50" t="n">
        <v>5.1022</v>
      </c>
    </row>
    <row r="187">
      <c r="A187" s="49" t="n">
        <v>45478</v>
      </c>
      <c r="B187" s="50" t="n">
        <v>7.1289</v>
      </c>
      <c r="C187" s="50" t="n">
        <v>7.7409</v>
      </c>
      <c r="D187" s="50" t="n">
        <v>0.04459</v>
      </c>
      <c r="E187" s="50" t="n">
        <v>0.91292</v>
      </c>
      <c r="F187" s="50" t="n">
        <v>9.129</v>
      </c>
      <c r="G187" s="50" t="n">
        <v>4.8229</v>
      </c>
      <c r="H187" s="50" t="n">
        <v>4.3931</v>
      </c>
      <c r="I187" s="50" t="n">
        <v>5.2896</v>
      </c>
      <c r="J187" s="50" t="n">
        <v>7.938</v>
      </c>
      <c r="K187" s="50" t="n">
        <v>5.2627</v>
      </c>
      <c r="L187" s="50" t="n">
        <v>1.1291</v>
      </c>
      <c r="M187" s="50" t="n">
        <v>0.66091</v>
      </c>
      <c r="N187" s="50" t="n">
        <v>12.3742</v>
      </c>
      <c r="O187" s="50" t="n">
        <v>2.5562</v>
      </c>
      <c r="R187" s="50" t="n">
        <v>191.82</v>
      </c>
      <c r="S187" s="50" t="n">
        <v>0.5135999999999999</v>
      </c>
      <c r="T187" s="50" t="n">
        <v>0.52454</v>
      </c>
      <c r="U187" s="50" t="n">
        <v>51.007</v>
      </c>
      <c r="V187" s="50" t="n">
        <v>0.5557800000000001</v>
      </c>
      <c r="W187" s="50" t="n">
        <v>0.9677</v>
      </c>
      <c r="X187" s="50" t="n">
        <v>1.4665</v>
      </c>
      <c r="Y187" s="50" t="n">
        <v>1.478</v>
      </c>
      <c r="Z187" s="50" t="n">
        <v>4.56099</v>
      </c>
      <c r="AA187" s="50" t="n">
        <v>2.5402</v>
      </c>
      <c r="AB187" s="50" t="n">
        <v>5.0927</v>
      </c>
    </row>
    <row r="188">
      <c r="A188" s="49" t="n">
        <v>45481</v>
      </c>
      <c r="B188" s="50" t="n">
        <v>7.1286</v>
      </c>
      <c r="C188" s="50" t="n">
        <v>7.747</v>
      </c>
      <c r="D188" s="50" t="n">
        <v>0.044739</v>
      </c>
      <c r="E188" s="50" t="n">
        <v>0.9124</v>
      </c>
      <c r="F188" s="50" t="n">
        <v>9.163</v>
      </c>
      <c r="G188" s="50" t="n">
        <v>4.8353</v>
      </c>
      <c r="H188" s="50" t="n">
        <v>4.4107</v>
      </c>
      <c r="I188" s="50" t="n">
        <v>5.301</v>
      </c>
      <c r="J188" s="50" t="n">
        <v>7.979</v>
      </c>
      <c r="K188" s="50" t="n">
        <v>5.2503</v>
      </c>
      <c r="L188" s="50" t="n">
        <v>1.1294</v>
      </c>
      <c r="M188" s="50" t="n">
        <v>0.66123</v>
      </c>
      <c r="N188" s="50" t="n">
        <v>12.2371</v>
      </c>
      <c r="O188" s="50" t="n">
        <v>2.542</v>
      </c>
      <c r="R188" s="50" t="n">
        <v>191.71</v>
      </c>
      <c r="S188" s="50" t="n">
        <v>0.51376</v>
      </c>
      <c r="T188" s="50" t="n">
        <v>0.52468</v>
      </c>
      <c r="U188" s="50" t="n">
        <v>50.8978</v>
      </c>
      <c r="V188" s="50" t="n">
        <v>0.55562</v>
      </c>
      <c r="W188" s="50" t="n">
        <v>0.9667</v>
      </c>
      <c r="X188" s="50" t="n">
        <v>1.4669</v>
      </c>
      <c r="Y188" s="50" t="n">
        <v>1.4765</v>
      </c>
      <c r="Z188" s="50" t="n">
        <v>4.56366</v>
      </c>
      <c r="AA188" s="50" t="n">
        <v>2.5415</v>
      </c>
      <c r="AB188" s="50" t="n">
        <v>5.0711</v>
      </c>
    </row>
    <row r="189">
      <c r="A189" s="49" t="n">
        <v>45482</v>
      </c>
      <c r="B189" s="50" t="n">
        <v>7.131</v>
      </c>
      <c r="C189" s="50" t="n">
        <v>7.7535</v>
      </c>
      <c r="D189" s="50" t="n">
        <v>0.044748</v>
      </c>
      <c r="E189" s="50" t="n">
        <v>0.91304</v>
      </c>
      <c r="F189" s="50" t="n">
        <v>9.172499999999999</v>
      </c>
      <c r="G189" s="50" t="n">
        <v>4.8354</v>
      </c>
      <c r="H189" s="50" t="n">
        <v>4.4058</v>
      </c>
      <c r="I189" s="50" t="n">
        <v>5.2982</v>
      </c>
      <c r="J189" s="50" t="n">
        <v>7.9659</v>
      </c>
      <c r="K189" s="50" t="n">
        <v>5.257</v>
      </c>
      <c r="L189" s="50" t="n">
        <v>1.1281</v>
      </c>
      <c r="M189" s="50" t="n">
        <v>0.66082</v>
      </c>
      <c r="N189" s="50" t="n">
        <v>12.1567</v>
      </c>
      <c r="O189" s="50" t="n">
        <v>2.5339</v>
      </c>
      <c r="R189" s="50" t="n">
        <v>192.22</v>
      </c>
      <c r="S189" s="50" t="n">
        <v>0.51352</v>
      </c>
      <c r="T189" s="50" t="n">
        <v>0.52442</v>
      </c>
      <c r="U189" s="50" t="n">
        <v>51.0997</v>
      </c>
      <c r="V189" s="50" t="n">
        <v>0.55277</v>
      </c>
      <c r="W189" s="50" t="n">
        <v>0.9657</v>
      </c>
      <c r="X189" s="50" t="n">
        <v>1.4762</v>
      </c>
      <c r="Y189" s="50" t="n">
        <v>1.4813</v>
      </c>
      <c r="Z189" s="50" t="n">
        <v>4.5713</v>
      </c>
      <c r="AA189" s="50" t="n">
        <v>2.5262</v>
      </c>
      <c r="AB189" s="50" t="n">
        <v>5.0651</v>
      </c>
    </row>
    <row r="190">
      <c r="A190" s="49" t="n">
        <v>45483</v>
      </c>
      <c r="B190" s="50" t="n">
        <v>7.1342</v>
      </c>
      <c r="C190" s="50" t="n">
        <v>7.7495</v>
      </c>
      <c r="D190" s="50" t="n">
        <v>0.044628</v>
      </c>
      <c r="E190" s="50" t="n">
        <v>0.91329</v>
      </c>
      <c r="F190" s="50" t="n">
        <v>9.1633</v>
      </c>
      <c r="G190" s="50" t="n">
        <v>4.8399</v>
      </c>
      <c r="H190" s="50" t="n">
        <v>4.4065</v>
      </c>
      <c r="I190" s="50" t="n">
        <v>5.2984</v>
      </c>
      <c r="J190" s="50" t="n">
        <v>7.9703</v>
      </c>
      <c r="K190" s="50" t="n">
        <v>5.2621</v>
      </c>
      <c r="L190" s="50" t="n">
        <v>1.1281</v>
      </c>
      <c r="M190" s="50" t="n">
        <v>0.6600200000000001</v>
      </c>
      <c r="N190" s="50" t="n">
        <v>12.1867</v>
      </c>
      <c r="O190" s="50" t="n">
        <v>2.5385</v>
      </c>
      <c r="R190" s="50" t="n">
        <v>192.23</v>
      </c>
      <c r="S190" s="50" t="n">
        <v>0.51301</v>
      </c>
      <c r="T190" s="50" t="n">
        <v>0.52388</v>
      </c>
      <c r="U190" s="50" t="n">
        <v>51.1001</v>
      </c>
      <c r="V190" s="50" t="n">
        <v>0.55169</v>
      </c>
      <c r="W190" s="50" t="n">
        <v>0.9661</v>
      </c>
      <c r="X190" s="50" t="n">
        <v>1.472</v>
      </c>
      <c r="Y190" s="50" t="n">
        <v>1.481</v>
      </c>
      <c r="Z190" s="50" t="n">
        <v>4.59262</v>
      </c>
      <c r="AA190" s="50" t="n">
        <v>2.5116</v>
      </c>
      <c r="AB190" s="50" t="n">
        <v>5.0579</v>
      </c>
    </row>
    <row r="191">
      <c r="A191" s="49" t="n">
        <v>45484</v>
      </c>
      <c r="B191" s="50" t="n">
        <v>7.1339</v>
      </c>
      <c r="C191" s="50" t="n">
        <v>7.7628</v>
      </c>
      <c r="D191" s="50" t="n">
        <v>0.04457</v>
      </c>
      <c r="E191" s="50" t="n">
        <v>0.9134</v>
      </c>
      <c r="F191" s="50" t="n">
        <v>9.2079</v>
      </c>
      <c r="G191" s="50" t="n">
        <v>4.8463</v>
      </c>
      <c r="H191" s="50" t="n">
        <v>4.3784</v>
      </c>
      <c r="I191" s="50" t="n">
        <v>5.3093</v>
      </c>
      <c r="J191" s="50" t="n">
        <v>7.9527</v>
      </c>
      <c r="K191" s="50" t="n">
        <v>5.2677</v>
      </c>
      <c r="L191" s="50" t="n">
        <v>1.128</v>
      </c>
      <c r="M191" s="50" t="n">
        <v>0.65865</v>
      </c>
      <c r="N191" s="50" t="n">
        <v>12.3106</v>
      </c>
      <c r="O191" s="50" t="n">
        <v>2.532</v>
      </c>
      <c r="R191" s="50" t="n">
        <v>192.02</v>
      </c>
      <c r="S191" s="50" t="n">
        <v>0.51214</v>
      </c>
      <c r="T191" s="50" t="n">
        <v>0.52418</v>
      </c>
      <c r="U191" s="50" t="n">
        <v>50.9273</v>
      </c>
      <c r="V191" s="50" t="n">
        <v>0.5515099999999999</v>
      </c>
      <c r="W191" s="50" t="n">
        <v>0.9645</v>
      </c>
      <c r="X191" s="50" t="n">
        <v>1.4714</v>
      </c>
      <c r="Y191" s="50" t="n">
        <v>1.4964</v>
      </c>
      <c r="Z191" s="50" t="n">
        <v>4.59105</v>
      </c>
      <c r="AA191" s="50" t="n">
        <v>2.5028</v>
      </c>
      <c r="AB191" s="50" t="n">
        <v>5.0466</v>
      </c>
    </row>
    <row r="192">
      <c r="A192" s="49" t="n">
        <v>45485</v>
      </c>
      <c r="B192" s="50" t="n">
        <v>7.1315</v>
      </c>
      <c r="C192" s="50" t="n">
        <v>7.7726</v>
      </c>
      <c r="D192" s="50" t="n">
        <v>0.045253</v>
      </c>
      <c r="E192" s="50" t="n">
        <v>0.91339</v>
      </c>
      <c r="F192" s="50" t="n">
        <v>9.2324</v>
      </c>
      <c r="G192" s="50" t="n">
        <v>4.8412</v>
      </c>
      <c r="H192" s="50" t="n">
        <v>4.3655</v>
      </c>
      <c r="I192" s="50" t="n">
        <v>5.3198</v>
      </c>
      <c r="J192" s="50" t="n">
        <v>7.9636</v>
      </c>
      <c r="K192" s="50" t="n">
        <v>5.249</v>
      </c>
      <c r="L192" s="50" t="n">
        <v>1.1281</v>
      </c>
      <c r="M192" s="50" t="n">
        <v>0.65646</v>
      </c>
      <c r="N192" s="50" t="n">
        <v>12.1454</v>
      </c>
      <c r="O192" s="50" t="n">
        <v>2.5204</v>
      </c>
      <c r="R192" s="50" t="n">
        <v>191.18</v>
      </c>
      <c r="S192" s="50" t="n">
        <v>0.5143</v>
      </c>
      <c r="T192" s="50" t="n">
        <v>0.52518</v>
      </c>
      <c r="U192" s="50" t="n">
        <v>50.8795</v>
      </c>
      <c r="V192" s="50" t="n">
        <v>0.55083</v>
      </c>
      <c r="W192" s="50" t="n">
        <v>0.964</v>
      </c>
      <c r="X192" s="50" t="n">
        <v>1.4683</v>
      </c>
      <c r="Y192" s="50" t="n">
        <v>1.5009</v>
      </c>
      <c r="Z192" s="50" t="n">
        <v>4.61373</v>
      </c>
      <c r="AA192" s="50" t="n">
        <v>2.4967</v>
      </c>
      <c r="AB192" s="50" t="n">
        <v>5.0253</v>
      </c>
    </row>
    <row r="193">
      <c r="A193" s="49" t="n">
        <v>45488</v>
      </c>
      <c r="B193" s="50" t="n">
        <v>7.1313</v>
      </c>
      <c r="C193" s="50" t="n">
        <v>7.7929</v>
      </c>
      <c r="D193" s="50" t="n">
        <v>0.045354</v>
      </c>
      <c r="E193" s="50" t="n">
        <v>0.91333</v>
      </c>
      <c r="F193" s="50" t="n">
        <v>9.2826</v>
      </c>
      <c r="G193" s="50" t="n">
        <v>4.8538</v>
      </c>
      <c r="H193" s="50" t="n">
        <v>4.3776</v>
      </c>
      <c r="I193" s="50" t="n">
        <v>5.3252</v>
      </c>
      <c r="J193" s="50" t="n">
        <v>7.9715</v>
      </c>
      <c r="K193" s="50" t="n">
        <v>5.2499</v>
      </c>
      <c r="L193" s="50" t="n">
        <v>1.1284</v>
      </c>
      <c r="M193" s="50" t="n">
        <v>0.65555</v>
      </c>
      <c r="N193" s="50" t="n">
        <v>12.2336</v>
      </c>
      <c r="O193" s="50" t="n">
        <v>2.5186</v>
      </c>
      <c r="R193" s="50" t="n">
        <v>191.41</v>
      </c>
      <c r="S193" s="50" t="n">
        <v>0.51344</v>
      </c>
      <c r="T193" s="50" t="n">
        <v>0.5243100000000001</v>
      </c>
      <c r="U193" s="50" t="n">
        <v>50.5374</v>
      </c>
      <c r="V193" s="50" t="n">
        <v>0.5483</v>
      </c>
      <c r="W193" s="50" t="n">
        <v>0.9606</v>
      </c>
      <c r="X193" s="50" t="n">
        <v>1.4717</v>
      </c>
      <c r="Y193" s="50" t="n">
        <v>1.5011</v>
      </c>
      <c r="Z193" s="50" t="n">
        <v>4.62028</v>
      </c>
      <c r="AA193" s="50" t="n">
        <v>2.4838</v>
      </c>
      <c r="AB193" s="50" t="n">
        <v>5.0336</v>
      </c>
    </row>
    <row r="194">
      <c r="A194" s="49" t="n">
        <v>45489</v>
      </c>
      <c r="B194" s="50" t="n">
        <v>7.1328</v>
      </c>
      <c r="C194" s="50" t="n">
        <v>7.8047</v>
      </c>
      <c r="D194" s="50" t="n">
        <v>0.045429</v>
      </c>
      <c r="E194" s="50" t="n">
        <v>0.91368</v>
      </c>
      <c r="F194" s="50" t="n">
        <v>9.2888</v>
      </c>
      <c r="G194" s="50" t="n">
        <v>4.8517</v>
      </c>
      <c r="H194" s="50" t="n">
        <v>4.3666</v>
      </c>
      <c r="I194" s="50" t="n">
        <v>5.3237</v>
      </c>
      <c r="J194" s="50" t="n">
        <v>7.9855</v>
      </c>
      <c r="K194" s="50" t="n">
        <v>5.2434</v>
      </c>
      <c r="L194" s="50" t="n">
        <v>1.1281</v>
      </c>
      <c r="M194" s="50" t="n">
        <v>0.6555</v>
      </c>
      <c r="N194" s="50" t="n">
        <v>12.2674</v>
      </c>
      <c r="O194" s="50" t="n">
        <v>2.5468</v>
      </c>
      <c r="R194" s="50" t="n">
        <v>192.39</v>
      </c>
      <c r="S194" s="50" t="n">
        <v>0.5132100000000001</v>
      </c>
      <c r="T194" s="50" t="n">
        <v>0.52411</v>
      </c>
      <c r="U194" s="50" t="n">
        <v>50.3652</v>
      </c>
      <c r="V194" s="50" t="n">
        <v>0.5478</v>
      </c>
      <c r="W194" s="50" t="n">
        <v>0.9593</v>
      </c>
      <c r="X194" s="50" t="n">
        <v>1.4799</v>
      </c>
      <c r="Y194" s="50" t="n">
        <v>1.5103</v>
      </c>
      <c r="Z194" s="50" t="n">
        <v>4.61062</v>
      </c>
      <c r="AA194" s="50" t="n">
        <v>2.4883</v>
      </c>
      <c r="AB194" s="50" t="n">
        <v>5.0273</v>
      </c>
    </row>
    <row r="195">
      <c r="A195" s="49" t="n">
        <v>45490</v>
      </c>
      <c r="B195" s="50" t="n">
        <v>7.1318</v>
      </c>
      <c r="C195" s="50" t="n">
        <v>7.8089</v>
      </c>
      <c r="D195" s="50" t="n">
        <v>0.045384</v>
      </c>
      <c r="E195" s="50" t="n">
        <v>0.9135799999999999</v>
      </c>
      <c r="F195" s="50" t="n">
        <v>9.293200000000001</v>
      </c>
      <c r="G195" s="50" t="n">
        <v>4.829</v>
      </c>
      <c r="H195" s="50" t="n">
        <v>4.3577</v>
      </c>
      <c r="I195" s="50" t="n">
        <v>5.3227</v>
      </c>
      <c r="J195" s="50" t="n">
        <v>8.0045</v>
      </c>
      <c r="K195" s="50" t="n">
        <v>5.2453</v>
      </c>
      <c r="L195" s="50" t="n">
        <v>1.1283</v>
      </c>
      <c r="M195" s="50" t="n">
        <v>0.65559</v>
      </c>
      <c r="N195" s="50" t="n">
        <v>12.2949</v>
      </c>
      <c r="O195" s="50" t="n">
        <v>2.5244</v>
      </c>
      <c r="R195" s="50" t="n">
        <v>192.17</v>
      </c>
      <c r="S195" s="50" t="n">
        <v>0.51318</v>
      </c>
      <c r="T195" s="50" t="n">
        <v>0.5240899999999999</v>
      </c>
      <c r="U195" s="50" t="n">
        <v>50.4199</v>
      </c>
      <c r="V195" s="50" t="n">
        <v>0.5507300000000001</v>
      </c>
      <c r="W195" s="50" t="n">
        <v>0.9583</v>
      </c>
      <c r="X195" s="50" t="n">
        <v>1.4785</v>
      </c>
      <c r="Y195" s="50" t="n">
        <v>1.5064</v>
      </c>
      <c r="Z195" s="50" t="n">
        <v>4.61557</v>
      </c>
      <c r="AA195" s="50" t="n">
        <v>2.4784</v>
      </c>
      <c r="AB195" s="50" t="n">
        <v>5.0089</v>
      </c>
    </row>
    <row r="196">
      <c r="A196" s="49" t="n">
        <v>45491</v>
      </c>
      <c r="B196" s="50" t="n">
        <v>7.1285</v>
      </c>
      <c r="C196" s="50" t="n">
        <v>7.8253</v>
      </c>
      <c r="D196" s="50" t="n">
        <v>0.046067</v>
      </c>
      <c r="E196" s="50" t="n">
        <v>0.91317</v>
      </c>
      <c r="F196" s="50" t="n">
        <v>9.301500000000001</v>
      </c>
      <c r="G196" s="50" t="n">
        <v>4.8193</v>
      </c>
      <c r="H196" s="50" t="n">
        <v>4.3626</v>
      </c>
      <c r="I196" s="50" t="n">
        <v>5.3326</v>
      </c>
      <c r="J196" s="50" t="n">
        <v>8.0878</v>
      </c>
      <c r="K196" s="50" t="n">
        <v>5.2325</v>
      </c>
      <c r="L196" s="50" t="n">
        <v>1.1287</v>
      </c>
      <c r="M196" s="50" t="n">
        <v>0.65437</v>
      </c>
      <c r="N196" s="50" t="n">
        <v>12.3152</v>
      </c>
      <c r="O196" s="50" t="n">
        <v>2.5493</v>
      </c>
      <c r="R196" s="50" t="n">
        <v>191.8</v>
      </c>
      <c r="S196" s="50" t="n">
        <v>0.51408</v>
      </c>
      <c r="T196" s="50" t="n">
        <v>0.52495</v>
      </c>
      <c r="U196" s="50" t="n">
        <v>50.1731</v>
      </c>
      <c r="V196" s="50" t="n">
        <v>0.55078</v>
      </c>
      <c r="W196" s="50" t="n">
        <v>0.9572000000000001</v>
      </c>
      <c r="X196" s="50" t="n">
        <v>1.4736</v>
      </c>
      <c r="Y196" s="50" t="n">
        <v>1.5011</v>
      </c>
      <c r="Z196" s="50" t="n">
        <v>4.62926</v>
      </c>
      <c r="AA196" s="50" t="n">
        <v>2.4914</v>
      </c>
      <c r="AB196" s="50" t="n">
        <v>4.9998</v>
      </c>
    </row>
    <row r="197">
      <c r="A197" s="49" t="n">
        <v>45492</v>
      </c>
      <c r="B197" s="50" t="n">
        <v>7.1315</v>
      </c>
      <c r="C197" s="50" t="n">
        <v>7.809</v>
      </c>
      <c r="D197" s="50" t="n">
        <v>0.045691</v>
      </c>
      <c r="E197" s="50" t="n">
        <v>0.91311</v>
      </c>
      <c r="F197" s="50" t="n">
        <v>9.279500000000001</v>
      </c>
      <c r="G197" s="50" t="n">
        <v>4.8142</v>
      </c>
      <c r="H197" s="50" t="n">
        <v>4.3462</v>
      </c>
      <c r="I197" s="50" t="n">
        <v>5.3262</v>
      </c>
      <c r="J197" s="50" t="n">
        <v>8.062099999999999</v>
      </c>
      <c r="K197" s="50" t="n">
        <v>5.2354</v>
      </c>
      <c r="L197" s="50" t="n">
        <v>1.1287</v>
      </c>
      <c r="M197" s="50" t="n">
        <v>0.65487</v>
      </c>
      <c r="N197" s="50" t="n">
        <v>12.2886</v>
      </c>
      <c r="O197" s="50" t="n">
        <v>2.5516</v>
      </c>
      <c r="R197" s="50" t="n">
        <v>192.29</v>
      </c>
      <c r="S197" s="50" t="n">
        <v>0.51287</v>
      </c>
      <c r="T197" s="50" t="n">
        <v>0.52376</v>
      </c>
      <c r="U197" s="50" t="n">
        <v>50.2571</v>
      </c>
      <c r="V197" s="50" t="n">
        <v>0.55187</v>
      </c>
      <c r="W197" s="50" t="n">
        <v>0.9587</v>
      </c>
      <c r="X197" s="50" t="n">
        <v>1.4782</v>
      </c>
      <c r="Y197" s="50" t="n">
        <v>1.5104</v>
      </c>
      <c r="Z197" s="50" t="n">
        <v>4.62126</v>
      </c>
      <c r="AA197" s="50" t="n">
        <v>2.5207</v>
      </c>
      <c r="AB197" s="50" t="n">
        <v>5.0205</v>
      </c>
    </row>
    <row r="198">
      <c r="A198" s="49" t="n">
        <v>45495</v>
      </c>
      <c r="B198" s="50" t="n">
        <v>7.1335</v>
      </c>
      <c r="C198" s="50" t="n">
        <v>7.8087</v>
      </c>
      <c r="D198" s="50" t="n">
        <v>0.045666</v>
      </c>
      <c r="E198" s="50" t="n">
        <v>0.91333</v>
      </c>
      <c r="F198" s="50" t="n">
        <v>9.267899999999999</v>
      </c>
      <c r="G198" s="50" t="n">
        <v>4.8073</v>
      </c>
      <c r="H198" s="50" t="n">
        <v>4.3292</v>
      </c>
      <c r="I198" s="50" t="n">
        <v>5.3247</v>
      </c>
      <c r="J198" s="50" t="n">
        <v>8.0564</v>
      </c>
      <c r="K198" s="50" t="n">
        <v>5.2333</v>
      </c>
      <c r="L198" s="50" t="n">
        <v>1.1283</v>
      </c>
      <c r="M198" s="50" t="n">
        <v>0.65689</v>
      </c>
      <c r="N198" s="50" t="n">
        <v>12.2111</v>
      </c>
      <c r="O198" s="50" t="n">
        <v>2.5474</v>
      </c>
      <c r="R198" s="50" t="n">
        <v>192.77</v>
      </c>
      <c r="S198" s="50" t="n">
        <v>0.51301</v>
      </c>
      <c r="T198" s="50" t="n">
        <v>0.5238699999999999</v>
      </c>
      <c r="U198" s="50" t="n">
        <v>50.243</v>
      </c>
      <c r="V198" s="50" t="n">
        <v>0.55143</v>
      </c>
      <c r="W198" s="50" t="n">
        <v>0.9585</v>
      </c>
      <c r="X198" s="50" t="n">
        <v>1.4848</v>
      </c>
      <c r="Y198" s="50" t="n">
        <v>1.5173</v>
      </c>
      <c r="Z198" s="50" t="n">
        <v>4.61948</v>
      </c>
      <c r="AA198" s="50" t="n">
        <v>2.5233</v>
      </c>
      <c r="AB198" s="50" t="n">
        <v>5.0422</v>
      </c>
    </row>
    <row r="199">
      <c r="A199" s="49" t="n">
        <v>45496</v>
      </c>
      <c r="B199" s="50" t="n">
        <v>7.1334</v>
      </c>
      <c r="C199" s="50" t="n">
        <v>7.8047</v>
      </c>
      <c r="D199" s="50" t="n">
        <v>0.045756</v>
      </c>
      <c r="E199" s="50" t="n">
        <v>0.91377</v>
      </c>
      <c r="F199" s="50" t="n">
        <v>9.2674</v>
      </c>
      <c r="G199" s="50" t="n">
        <v>4.7687</v>
      </c>
      <c r="H199" s="50" t="n">
        <v>4.2993</v>
      </c>
      <c r="I199" s="50" t="n">
        <v>5.3189</v>
      </c>
      <c r="J199" s="50" t="n">
        <v>8.041399999999999</v>
      </c>
      <c r="K199" s="50" t="n">
        <v>5.215</v>
      </c>
      <c r="L199" s="50" t="n">
        <v>1.1277</v>
      </c>
      <c r="M199" s="50" t="n">
        <v>0.65647</v>
      </c>
      <c r="N199" s="50" t="n">
        <v>12.2112</v>
      </c>
      <c r="O199" s="50" t="n">
        <v>2.5519</v>
      </c>
      <c r="R199" s="50" t="n">
        <v>192.59</v>
      </c>
      <c r="S199" s="50" t="n">
        <v>0.51296</v>
      </c>
      <c r="T199" s="50" t="n">
        <v>0.52388</v>
      </c>
      <c r="U199" s="50" t="n">
        <v>50.1414</v>
      </c>
      <c r="V199" s="50" t="n">
        <v>0.55078</v>
      </c>
      <c r="W199" s="50" t="n">
        <v>0.9595</v>
      </c>
      <c r="X199" s="50" t="n">
        <v>1.496</v>
      </c>
      <c r="Y199" s="50" t="n">
        <v>1.5305</v>
      </c>
      <c r="Z199" s="50" t="n">
        <v>4.59903</v>
      </c>
      <c r="AA199" s="50" t="n">
        <v>2.5176</v>
      </c>
      <c r="AB199" s="50" t="n">
        <v>5.0494</v>
      </c>
    </row>
    <row r="200">
      <c r="A200" s="49" t="n">
        <v>45497</v>
      </c>
      <c r="B200" s="50" t="n">
        <v>7.1358</v>
      </c>
      <c r="C200" s="50" t="n">
        <v>7.7764</v>
      </c>
      <c r="D200" s="50" t="n">
        <v>0.046107</v>
      </c>
      <c r="E200" s="50" t="n">
        <v>0.91381</v>
      </c>
      <c r="F200" s="50" t="n">
        <v>9.246499999999999</v>
      </c>
      <c r="G200" s="50" t="n">
        <v>4.7483</v>
      </c>
      <c r="H200" s="50" t="n">
        <v>4.2818</v>
      </c>
      <c r="I200" s="50" t="n">
        <v>5.3225</v>
      </c>
      <c r="J200" s="50" t="n">
        <v>8.026</v>
      </c>
      <c r="K200" s="50" t="n">
        <v>5.2052</v>
      </c>
      <c r="L200" s="50" t="n">
        <v>1.1277</v>
      </c>
      <c r="M200" s="50" t="n">
        <v>0.65568</v>
      </c>
      <c r="N200" s="50" t="n">
        <v>12.2057</v>
      </c>
      <c r="O200" s="50" t="n">
        <v>2.5734</v>
      </c>
      <c r="R200" s="50" t="n">
        <v>192.31</v>
      </c>
      <c r="S200" s="50" t="n">
        <v>0.51296</v>
      </c>
      <c r="T200" s="50" t="n">
        <v>0.52391</v>
      </c>
      <c r="U200" s="50" t="n">
        <v>50.4264</v>
      </c>
      <c r="V200" s="50" t="n">
        <v>0.55275</v>
      </c>
      <c r="W200" s="50" t="n">
        <v>0.9631</v>
      </c>
      <c r="X200" s="50" t="n">
        <v>1.5022</v>
      </c>
      <c r="Y200" s="50" t="n">
        <v>1.5392</v>
      </c>
      <c r="Z200" s="50" t="n">
        <v>4.58439</v>
      </c>
      <c r="AA200" s="50" t="n">
        <v>2.548</v>
      </c>
      <c r="AB200" s="50" t="n">
        <v>5.0209</v>
      </c>
    </row>
    <row r="201">
      <c r="A201" s="49" t="n">
        <v>45498</v>
      </c>
      <c r="B201" s="50" t="n">
        <v>7.1321</v>
      </c>
      <c r="C201" s="50" t="n">
        <v>7.7643</v>
      </c>
      <c r="D201" s="50" t="n">
        <v>0.046703</v>
      </c>
      <c r="E201" s="50" t="n">
        <v>0.9134</v>
      </c>
      <c r="F201" s="50" t="n">
        <v>9.2392</v>
      </c>
      <c r="G201" s="50" t="n">
        <v>4.7168</v>
      </c>
      <c r="H201" s="50" t="n">
        <v>4.2583</v>
      </c>
      <c r="I201" s="50" t="n">
        <v>5.3289</v>
      </c>
      <c r="J201" s="50" t="n">
        <v>8.08</v>
      </c>
      <c r="K201" s="50" t="n">
        <v>5.1923</v>
      </c>
      <c r="L201" s="50" t="n">
        <v>1.1283</v>
      </c>
      <c r="M201" s="50" t="n">
        <v>0.6553600000000001</v>
      </c>
      <c r="N201" s="50" t="n">
        <v>11.9976</v>
      </c>
      <c r="O201" s="50" t="n">
        <v>2.5677</v>
      </c>
      <c r="R201" s="50" t="n">
        <v>192.04</v>
      </c>
      <c r="S201" s="50" t="n">
        <v>0.51332</v>
      </c>
      <c r="T201" s="50" t="n">
        <v>0.5242599999999999</v>
      </c>
      <c r="U201" s="50" t="n">
        <v>50.8899</v>
      </c>
      <c r="V201" s="50" t="n">
        <v>0.55589</v>
      </c>
      <c r="W201" s="50" t="n">
        <v>0.9649</v>
      </c>
      <c r="X201" s="50" t="n">
        <v>1.5041</v>
      </c>
      <c r="Y201" s="50" t="n">
        <v>1.5414</v>
      </c>
      <c r="Z201" s="50" t="n">
        <v>4.58919</v>
      </c>
      <c r="AA201" s="50" t="n">
        <v>2.5798</v>
      </c>
      <c r="AB201" s="50" t="n">
        <v>5.021</v>
      </c>
    </row>
    <row r="202">
      <c r="A202" s="49" t="n">
        <v>45499</v>
      </c>
      <c r="B202" s="50" t="n">
        <v>7.127</v>
      </c>
      <c r="C202" s="50" t="n">
        <v>7.7599</v>
      </c>
      <c r="D202" s="50" t="n">
        <v>0.046617</v>
      </c>
      <c r="E202" s="50" t="n">
        <v>0.91304</v>
      </c>
      <c r="F202" s="50" t="n">
        <v>9.192</v>
      </c>
      <c r="G202" s="50" t="n">
        <v>4.6825</v>
      </c>
      <c r="H202" s="50" t="n">
        <v>4.2203</v>
      </c>
      <c r="I202" s="50" t="n">
        <v>5.3207</v>
      </c>
      <c r="J202" s="50" t="n">
        <v>8.1091</v>
      </c>
      <c r="K202" s="50" t="n">
        <v>5.1775</v>
      </c>
      <c r="L202" s="50" t="n">
        <v>1.1286</v>
      </c>
      <c r="M202" s="50" t="n">
        <v>0.6540899999999999</v>
      </c>
      <c r="N202" s="50" t="n">
        <v>11.846</v>
      </c>
      <c r="O202" s="50" t="n">
        <v>2.5715</v>
      </c>
      <c r="R202" s="50" t="n">
        <v>192.79</v>
      </c>
      <c r="S202" s="50" t="n">
        <v>0.5139</v>
      </c>
      <c r="T202" s="50" t="n">
        <v>0.5249</v>
      </c>
      <c r="U202" s="50" t="n">
        <v>50.7225</v>
      </c>
      <c r="V202" s="50" t="n">
        <v>0.55392</v>
      </c>
      <c r="W202" s="50" t="n">
        <v>0.9644</v>
      </c>
      <c r="X202" s="50" t="n">
        <v>1.5138</v>
      </c>
      <c r="Y202" s="50" t="n">
        <v>1.5432</v>
      </c>
      <c r="Z202" s="50" t="n">
        <v>4.63362</v>
      </c>
      <c r="AA202" s="50" t="n">
        <v>2.5899</v>
      </c>
      <c r="AB202" s="50" t="n">
        <v>5.0489</v>
      </c>
    </row>
    <row r="203">
      <c r="A203" s="49" t="n">
        <v>45502</v>
      </c>
      <c r="B203" s="50" t="n">
        <v>7.1316</v>
      </c>
      <c r="C203" s="50" t="n">
        <v>7.7679</v>
      </c>
      <c r="D203" s="50" t="n">
        <v>0.046526</v>
      </c>
      <c r="E203" s="50" t="n">
        <v>0.91339</v>
      </c>
      <c r="F203" s="50" t="n">
        <v>9.209199999999999</v>
      </c>
      <c r="G203" s="50" t="n">
        <v>4.7016</v>
      </c>
      <c r="H203" s="50" t="n">
        <v>4.2319</v>
      </c>
      <c r="I203" s="50" t="n">
        <v>5.3231</v>
      </c>
      <c r="J203" s="50" t="n">
        <v>8.081300000000001</v>
      </c>
      <c r="K203" s="50" t="n">
        <v>5.1821</v>
      </c>
      <c r="L203" s="50" t="n">
        <v>1.1282</v>
      </c>
      <c r="M203" s="50" t="n">
        <v>0.6530899999999999</v>
      </c>
      <c r="N203" s="50" t="n">
        <v>11.9824</v>
      </c>
      <c r="O203" s="50" t="n">
        <v>2.5606</v>
      </c>
      <c r="R203" s="50" t="n">
        <v>192.48</v>
      </c>
      <c r="S203" s="50" t="n">
        <v>0.51366</v>
      </c>
      <c r="T203" s="50" t="n">
        <v>0.5247000000000001</v>
      </c>
      <c r="U203" s="50" t="n">
        <v>50.5107</v>
      </c>
      <c r="V203" s="50" t="n">
        <v>0.55228</v>
      </c>
      <c r="W203" s="50" t="n">
        <v>0.9639</v>
      </c>
      <c r="X203" s="50" t="n">
        <v>1.5111</v>
      </c>
      <c r="Y203" s="50" t="n">
        <v>1.5403</v>
      </c>
      <c r="Z203" s="50" t="n">
        <v>4.60398</v>
      </c>
      <c r="AA203" s="50" t="n">
        <v>2.5872</v>
      </c>
      <c r="AB203" s="50" t="n">
        <v>5.0081</v>
      </c>
    </row>
    <row r="204">
      <c r="A204" s="49" t="n">
        <v>45503</v>
      </c>
      <c r="B204" s="50" t="n">
        <v>7.1364</v>
      </c>
      <c r="C204" s="50" t="n">
        <v>7.7497</v>
      </c>
      <c r="D204" s="50" t="n">
        <v>0.046645</v>
      </c>
      <c r="E204" s="50" t="n">
        <v>0.91354</v>
      </c>
      <c r="F204" s="50" t="n">
        <v>9.2113</v>
      </c>
      <c r="G204" s="50" t="n">
        <v>4.6996</v>
      </c>
      <c r="H204" s="50" t="n">
        <v>4.2238</v>
      </c>
      <c r="I204" s="50" t="n">
        <v>5.3293</v>
      </c>
      <c r="J204" s="50" t="n">
        <v>8.072100000000001</v>
      </c>
      <c r="K204" s="50" t="n">
        <v>5.175</v>
      </c>
      <c r="L204" s="50" t="n">
        <v>1.128</v>
      </c>
      <c r="M204" s="50" t="n">
        <v>0.65022</v>
      </c>
      <c r="N204" s="50" t="n">
        <v>12.0148</v>
      </c>
      <c r="O204" s="50" t="n">
        <v>2.5787</v>
      </c>
      <c r="R204" s="50" t="n">
        <v>192.17</v>
      </c>
      <c r="S204" s="50" t="n">
        <v>0.51319</v>
      </c>
      <c r="T204" s="50" t="n">
        <v>0.52416</v>
      </c>
      <c r="U204" s="50" t="n">
        <v>50.9228</v>
      </c>
      <c r="V204" s="50" t="n">
        <v>0.55645</v>
      </c>
      <c r="W204" s="50" t="n">
        <v>0.9661</v>
      </c>
      <c r="X204" s="50" t="n">
        <v>1.5124</v>
      </c>
      <c r="Y204" s="50" t="n">
        <v>1.5371</v>
      </c>
      <c r="Z204" s="50" t="n">
        <v>4.61802</v>
      </c>
      <c r="AA204" s="50" t="n">
        <v>2.619</v>
      </c>
      <c r="AB204" s="50" t="n">
        <v>5.0018</v>
      </c>
    </row>
    <row r="205">
      <c r="A205" s="49" t="n">
        <v>45504</v>
      </c>
      <c r="B205" s="50" t="n">
        <v>7.1346</v>
      </c>
      <c r="C205" s="50" t="n">
        <v>7.7439</v>
      </c>
      <c r="D205" s="50" t="n">
        <v>0.046958</v>
      </c>
      <c r="E205" s="50" t="n">
        <v>0.9133599999999999</v>
      </c>
      <c r="F205" s="50" t="n">
        <v>9.19</v>
      </c>
      <c r="G205" s="50" t="n">
        <v>4.6893</v>
      </c>
      <c r="H205" s="50" t="n">
        <v>4.2392</v>
      </c>
      <c r="I205" s="50" t="n">
        <v>5.3295</v>
      </c>
      <c r="J205" s="50" t="n">
        <v>8.101599999999999</v>
      </c>
      <c r="K205" s="50" t="n">
        <v>5.1733</v>
      </c>
      <c r="L205" s="50" t="n">
        <v>1.1283</v>
      </c>
      <c r="M205" s="50" t="n">
        <v>0.64733</v>
      </c>
      <c r="N205" s="50" t="n">
        <v>11.9643</v>
      </c>
      <c r="O205" s="50" t="n">
        <v>2.5619</v>
      </c>
      <c r="R205" s="50" t="n">
        <v>192.56</v>
      </c>
      <c r="S205" s="50" t="n">
        <v>0.51352</v>
      </c>
      <c r="T205" s="50" t="n">
        <v>0.52451</v>
      </c>
      <c r="U205" s="50" t="n">
        <v>51.2323</v>
      </c>
      <c r="V205" s="50" t="n">
        <v>0.55605</v>
      </c>
      <c r="W205" s="50" t="n">
        <v>0.9666</v>
      </c>
      <c r="X205" s="50" t="n">
        <v>1.5034</v>
      </c>
      <c r="Y205" s="50" t="n">
        <v>1.5308</v>
      </c>
      <c r="Z205" s="50" t="n">
        <v>4.62824</v>
      </c>
      <c r="AA205" s="50" t="n">
        <v>2.6315</v>
      </c>
      <c r="AB205" s="50" t="n">
        <v>4.9935</v>
      </c>
    </row>
    <row r="206">
      <c r="A206" s="49" t="n">
        <v>45505</v>
      </c>
      <c r="B206" s="50" t="n">
        <v>7.1323</v>
      </c>
      <c r="C206" s="50" t="n">
        <v>7.7359</v>
      </c>
      <c r="D206" s="50" t="n">
        <v>0.047699</v>
      </c>
      <c r="E206" s="50" t="n">
        <v>0.91283</v>
      </c>
      <c r="F206" s="50" t="n">
        <v>9.180899999999999</v>
      </c>
      <c r="G206" s="50" t="n">
        <v>4.6796</v>
      </c>
      <c r="H206" s="50" t="n">
        <v>4.262</v>
      </c>
      <c r="I206" s="50" t="n">
        <v>5.3416</v>
      </c>
      <c r="J206" s="50" t="n">
        <v>8.1243</v>
      </c>
      <c r="K206" s="50" t="n">
        <v>5.177</v>
      </c>
      <c r="L206" s="50" t="n">
        <v>1.1289</v>
      </c>
      <c r="M206" s="50" t="n">
        <v>0.64168</v>
      </c>
      <c r="N206" s="50" t="n">
        <v>12.0207</v>
      </c>
      <c r="O206" s="50" t="n">
        <v>2.5519</v>
      </c>
      <c r="R206" s="50" t="n">
        <v>191.1</v>
      </c>
      <c r="S206" s="50" t="n">
        <v>0.51447</v>
      </c>
      <c r="T206" s="50" t="n">
        <v>0.52554</v>
      </c>
      <c r="U206" s="50" t="n">
        <v>51.0704</v>
      </c>
      <c r="V206" s="50" t="n">
        <v>0.5562</v>
      </c>
      <c r="W206" s="50" t="n">
        <v>0.9676</v>
      </c>
      <c r="X206" s="50" t="n">
        <v>1.4975</v>
      </c>
      <c r="Y206" s="50" t="n">
        <v>1.5281</v>
      </c>
      <c r="Z206" s="50" t="n">
        <v>4.64457</v>
      </c>
      <c r="AA206" s="50" t="n">
        <v>2.6167</v>
      </c>
      <c r="AB206" s="50" t="n">
        <v>4.9586</v>
      </c>
    </row>
    <row r="207">
      <c r="A207" s="49" t="n">
        <v>45506</v>
      </c>
      <c r="B207" s="50" t="n">
        <v>7.1376</v>
      </c>
      <c r="C207" s="50" t="n">
        <v>7.7246</v>
      </c>
      <c r="D207" s="50" t="n">
        <v>0.048075</v>
      </c>
      <c r="E207" s="50" t="n">
        <v>0.91343</v>
      </c>
      <c r="F207" s="50" t="n">
        <v>9.120799999999999</v>
      </c>
      <c r="G207" s="50" t="n">
        <v>4.6594</v>
      </c>
      <c r="H207" s="50" t="n">
        <v>4.2653</v>
      </c>
      <c r="I207" s="50" t="n">
        <v>5.3508</v>
      </c>
      <c r="J207" s="50" t="n">
        <v>8.1915</v>
      </c>
      <c r="K207" s="50" t="n">
        <v>5.1661</v>
      </c>
      <c r="L207" s="50" t="n">
        <v>1.1281</v>
      </c>
      <c r="M207" s="50" t="n">
        <v>0.63951</v>
      </c>
      <c r="N207" s="50" t="n">
        <v>11.9112</v>
      </c>
      <c r="O207" s="50" t="n">
        <v>2.5582</v>
      </c>
      <c r="R207" s="50" t="n">
        <v>191.01</v>
      </c>
      <c r="S207" s="50" t="n">
        <v>0.51333</v>
      </c>
      <c r="T207" s="50" t="n">
        <v>0.52447</v>
      </c>
      <c r="U207" s="50" t="n">
        <v>51.4843</v>
      </c>
      <c r="V207" s="50" t="n">
        <v>0.55891</v>
      </c>
      <c r="W207" s="50" t="n">
        <v>0.969</v>
      </c>
      <c r="X207" s="50" t="n">
        <v>1.498</v>
      </c>
      <c r="Y207" s="50" t="n">
        <v>1.5294</v>
      </c>
      <c r="Z207" s="50" t="n">
        <v>4.63361</v>
      </c>
      <c r="AA207" s="50" t="n">
        <v>2.65</v>
      </c>
      <c r="AB207" s="50" t="n">
        <v>4.9495</v>
      </c>
    </row>
    <row r="208">
      <c r="A208" s="49" t="n">
        <v>45509</v>
      </c>
      <c r="B208" s="50" t="n">
        <v>7.1345</v>
      </c>
      <c r="C208" s="50" t="n">
        <v>7.7889</v>
      </c>
      <c r="D208" s="50" t="n">
        <v>0.049003</v>
      </c>
      <c r="E208" s="50" t="n">
        <v>0.91737</v>
      </c>
      <c r="F208" s="50" t="n">
        <v>9.126099999999999</v>
      </c>
      <c r="G208" s="50" t="n">
        <v>4.6389</v>
      </c>
      <c r="H208" s="50" t="n">
        <v>4.2483</v>
      </c>
      <c r="I208" s="50" t="n">
        <v>5.3798</v>
      </c>
      <c r="J208" s="50" t="n">
        <v>8.326599999999999</v>
      </c>
      <c r="K208" s="50" t="n">
        <v>5.1449</v>
      </c>
      <c r="L208" s="50" t="n">
        <v>1.1264</v>
      </c>
      <c r="M208" s="50" t="n">
        <v>0.62551</v>
      </c>
      <c r="N208" s="50" t="n">
        <v>11.9814</v>
      </c>
      <c r="O208" s="50" t="n">
        <v>2.5667</v>
      </c>
      <c r="R208" s="50" t="n">
        <v>190.75</v>
      </c>
      <c r="S208" s="50" t="n">
        <v>0.51487</v>
      </c>
      <c r="T208" s="50" t="n">
        <v>0.5260899999999999</v>
      </c>
      <c r="U208" s="50" t="n">
        <v>51.1592</v>
      </c>
      <c r="V208" s="50" t="n">
        <v>0.55201</v>
      </c>
      <c r="W208" s="50" t="n">
        <v>0.9601</v>
      </c>
      <c r="X208" s="50" t="n">
        <v>1.4826</v>
      </c>
      <c r="Y208" s="50" t="n">
        <v>1.5348</v>
      </c>
      <c r="Z208" s="50" t="n">
        <v>4.65732</v>
      </c>
      <c r="AA208" s="50" t="n">
        <v>2.7213</v>
      </c>
      <c r="AB208" s="50" t="n">
        <v>4.9494</v>
      </c>
    </row>
    <row r="209">
      <c r="A209" s="49" t="n">
        <v>45510</v>
      </c>
      <c r="B209" s="50" t="n">
        <v>7.1318</v>
      </c>
      <c r="C209" s="50" t="n">
        <v>7.8143</v>
      </c>
      <c r="D209" s="50" t="n">
        <v>0.049069</v>
      </c>
      <c r="E209" s="50" t="n">
        <v>0.91556</v>
      </c>
      <c r="F209" s="50" t="n">
        <v>9.120100000000001</v>
      </c>
      <c r="G209" s="50" t="n">
        <v>4.6487</v>
      </c>
      <c r="H209" s="50" t="n">
        <v>4.2481</v>
      </c>
      <c r="I209" s="50" t="n">
        <v>5.3831</v>
      </c>
      <c r="J209" s="50" t="n">
        <v>8.3489</v>
      </c>
      <c r="K209" s="50" t="n">
        <v>5.1658</v>
      </c>
      <c r="L209" s="50" t="n">
        <v>1.1255</v>
      </c>
      <c r="M209" s="50" t="n">
        <v>0.6222299999999999</v>
      </c>
      <c r="N209" s="50" t="n">
        <v>11.9134</v>
      </c>
      <c r="O209" s="50" t="n">
        <v>2.5938</v>
      </c>
      <c r="R209" s="50" t="n">
        <v>191.86</v>
      </c>
      <c r="S209" s="50" t="n">
        <v>0.5152</v>
      </c>
      <c r="T209" s="50" t="n">
        <v>0.52657</v>
      </c>
      <c r="U209" s="50" t="n">
        <v>50.8086</v>
      </c>
      <c r="V209" s="50" t="n">
        <v>0.55083</v>
      </c>
      <c r="W209" s="50" t="n">
        <v>0.9558</v>
      </c>
      <c r="X209" s="50" t="n">
        <v>1.478</v>
      </c>
      <c r="Y209" s="50" t="n">
        <v>1.5434</v>
      </c>
      <c r="Z209" s="50" t="n">
        <v>4.68324</v>
      </c>
      <c r="AA209" s="50" t="n">
        <v>2.6953</v>
      </c>
      <c r="AB209" s="50" t="n">
        <v>4.967</v>
      </c>
    </row>
    <row r="210">
      <c r="A210" s="49" t="n">
        <v>45511</v>
      </c>
      <c r="B210" s="50" t="n">
        <v>7.1386</v>
      </c>
      <c r="C210" s="50" t="n">
        <v>7.7995</v>
      </c>
      <c r="D210" s="50" t="n">
        <v>0.049409</v>
      </c>
      <c r="E210" s="50" t="n">
        <v>0.91562</v>
      </c>
      <c r="F210" s="50" t="n">
        <v>9.0601</v>
      </c>
      <c r="G210" s="50" t="n">
        <v>4.6563</v>
      </c>
      <c r="H210" s="50" t="n">
        <v>4.2683</v>
      </c>
      <c r="I210" s="50" t="n">
        <v>5.3855</v>
      </c>
      <c r="J210" s="50" t="n">
        <v>8.372400000000001</v>
      </c>
      <c r="K210" s="50" t="n">
        <v>5.1807</v>
      </c>
      <c r="L210" s="50" t="n">
        <v>1.1255</v>
      </c>
      <c r="M210" s="50" t="n">
        <v>0.6265500000000001</v>
      </c>
      <c r="N210" s="50" t="n">
        <v>11.9896</v>
      </c>
      <c r="O210" s="50" t="n">
        <v>2.59</v>
      </c>
      <c r="R210" s="50" t="n">
        <v>192.62</v>
      </c>
      <c r="S210" s="50" t="n">
        <v>0.5144300000000001</v>
      </c>
      <c r="T210" s="50" t="n">
        <v>0.52582</v>
      </c>
      <c r="U210" s="50" t="n">
        <v>51.02</v>
      </c>
      <c r="V210" s="50" t="n">
        <v>0.55279</v>
      </c>
      <c r="W210" s="50" t="n">
        <v>0.9567</v>
      </c>
      <c r="X210" s="50" t="n">
        <v>1.4756</v>
      </c>
      <c r="Y210" s="50" t="n">
        <v>1.5298</v>
      </c>
      <c r="Z210" s="50" t="n">
        <v>4.7094</v>
      </c>
      <c r="AA210" s="50" t="n">
        <v>2.7276</v>
      </c>
      <c r="AB210" s="50" t="n">
        <v>4.9656</v>
      </c>
    </row>
    <row r="211">
      <c r="A211" s="49" t="n">
        <v>45512</v>
      </c>
      <c r="B211" s="50" t="n">
        <v>7.146</v>
      </c>
      <c r="C211" s="50" t="n">
        <v>7.8151</v>
      </c>
      <c r="D211" s="50" t="n">
        <v>0.049002</v>
      </c>
      <c r="E211" s="50" t="n">
        <v>0.91733</v>
      </c>
      <c r="F211" s="50" t="n">
        <v>9.0701</v>
      </c>
      <c r="G211" s="50" t="n">
        <v>4.6617</v>
      </c>
      <c r="H211" s="50" t="n">
        <v>4.288</v>
      </c>
      <c r="I211" s="50" t="n">
        <v>5.3882</v>
      </c>
      <c r="J211" s="50" t="n">
        <v>8.319800000000001</v>
      </c>
      <c r="K211" s="50" t="n">
        <v>5.2008</v>
      </c>
      <c r="L211" s="50" t="n">
        <v>1.1234</v>
      </c>
      <c r="M211" s="50" t="n">
        <v>0.62821</v>
      </c>
      <c r="N211" s="50" t="n">
        <v>11.9826</v>
      </c>
      <c r="O211" s="50" t="n">
        <v>2.5742</v>
      </c>
      <c r="R211" s="50" t="n">
        <v>192.43</v>
      </c>
      <c r="S211" s="50" t="n">
        <v>0.51381</v>
      </c>
      <c r="T211" s="50" t="n">
        <v>0.52506</v>
      </c>
      <c r="U211" s="50" t="n">
        <v>50.9897</v>
      </c>
      <c r="V211" s="50" t="n">
        <v>0.55408</v>
      </c>
      <c r="W211" s="50" t="n">
        <v>0.9558</v>
      </c>
      <c r="X211" s="50" t="n">
        <v>1.4639</v>
      </c>
      <c r="Y211" s="50" t="n">
        <v>1.5119</v>
      </c>
      <c r="Z211" s="50" t="n">
        <v>4.69123</v>
      </c>
      <c r="AA211" s="50" t="n">
        <v>2.6996</v>
      </c>
      <c r="AB211" s="50" t="n">
        <v>4.9722</v>
      </c>
    </row>
    <row r="212">
      <c r="A212" s="49" t="n">
        <v>45513</v>
      </c>
      <c r="B212" s="50" t="n">
        <v>7.1449</v>
      </c>
      <c r="C212" s="50" t="n">
        <v>7.8064</v>
      </c>
      <c r="D212" s="50" t="n">
        <v>0.048486</v>
      </c>
      <c r="E212" s="50" t="n">
        <v>0.91658</v>
      </c>
      <c r="F212" s="50" t="n">
        <v>9.113899999999999</v>
      </c>
      <c r="G212" s="50" t="n">
        <v>4.7127</v>
      </c>
      <c r="H212" s="50" t="n">
        <v>4.2976</v>
      </c>
      <c r="I212" s="50" t="n">
        <v>5.3928</v>
      </c>
      <c r="J212" s="50" t="n">
        <v>8.252700000000001</v>
      </c>
      <c r="K212" s="50" t="n">
        <v>5.2067</v>
      </c>
      <c r="L212" s="50" t="n">
        <v>1.1243</v>
      </c>
      <c r="M212" s="50" t="n">
        <v>0.62604</v>
      </c>
      <c r="N212" s="50" t="n">
        <v>12.1203</v>
      </c>
      <c r="O212" s="50" t="n">
        <v>2.5674</v>
      </c>
      <c r="R212" s="50" t="n">
        <v>192.15</v>
      </c>
      <c r="S212" s="50" t="n">
        <v>0.5136500000000001</v>
      </c>
      <c r="T212" s="50" t="n">
        <v>0.52476</v>
      </c>
      <c r="U212" s="50" t="n">
        <v>50.7918</v>
      </c>
      <c r="V212" s="50" t="n">
        <v>0.55415</v>
      </c>
      <c r="W212" s="50" t="n">
        <v>0.9566</v>
      </c>
      <c r="X212" s="50" t="n">
        <v>1.4701</v>
      </c>
      <c r="Y212" s="50" t="n">
        <v>1.5167</v>
      </c>
      <c r="Z212" s="50" t="n">
        <v>4.69263</v>
      </c>
      <c r="AA212" s="50" t="n">
        <v>2.6417</v>
      </c>
      <c r="AB212" s="50" t="n">
        <v>4.9304</v>
      </c>
    </row>
    <row r="213">
      <c r="A213" s="49" t="n">
        <v>45516</v>
      </c>
      <c r="B213" s="50" t="n">
        <v>7.1458</v>
      </c>
      <c r="C213" s="50" t="n">
        <v>7.8038</v>
      </c>
      <c r="D213" s="50" t="n">
        <v>0.048669</v>
      </c>
      <c r="E213" s="50" t="n">
        <v>0.91623</v>
      </c>
      <c r="F213" s="50" t="n">
        <v>9.114599999999999</v>
      </c>
      <c r="G213" s="50" t="n">
        <v>4.6985</v>
      </c>
      <c r="H213" s="50" t="n">
        <v>4.291</v>
      </c>
      <c r="I213" s="50" t="n">
        <v>5.398</v>
      </c>
      <c r="J213" s="50" t="n">
        <v>8.260300000000001</v>
      </c>
      <c r="K213" s="50" t="n">
        <v>5.2049</v>
      </c>
      <c r="L213" s="50" t="n">
        <v>1.1247</v>
      </c>
      <c r="M213" s="50" t="n">
        <v>0.61817</v>
      </c>
      <c r="N213" s="50" t="n">
        <v>12.3853</v>
      </c>
      <c r="O213" s="50" t="n">
        <v>2.5614</v>
      </c>
      <c r="R213" s="50" t="n">
        <v>190.71</v>
      </c>
      <c r="S213" s="50" t="n">
        <v>0.51386</v>
      </c>
      <c r="T213" s="50" t="n">
        <v>0.52489</v>
      </c>
      <c r="U213" s="50" t="n">
        <v>50.5595</v>
      </c>
      <c r="V213" s="50" t="n">
        <v>0.55399</v>
      </c>
      <c r="W213" s="50" t="n">
        <v>0.9574</v>
      </c>
      <c r="X213" s="50" t="n">
        <v>1.4707</v>
      </c>
      <c r="Y213" s="50" t="n">
        <v>1.5134</v>
      </c>
      <c r="Z213" s="50" t="n">
        <v>4.68812</v>
      </c>
      <c r="AA213" s="50" t="n">
        <v>2.6352</v>
      </c>
      <c r="AB213" s="50" t="n">
        <v>4.923</v>
      </c>
    </row>
    <row r="214">
      <c r="A214" s="49" t="n">
        <v>45517</v>
      </c>
      <c r="B214" s="50" t="n">
        <v>7.1479</v>
      </c>
      <c r="C214" s="50" t="n">
        <v>7.8217</v>
      </c>
      <c r="D214" s="50" t="n">
        <v>0.048684</v>
      </c>
      <c r="E214" s="50" t="n">
        <v>0.91743</v>
      </c>
      <c r="F214" s="50" t="n">
        <v>9.1349</v>
      </c>
      <c r="G214" s="50" t="n">
        <v>4.7142</v>
      </c>
      <c r="H214" s="50" t="n">
        <v>4.3126</v>
      </c>
      <c r="I214" s="50" t="n">
        <v>5.4023</v>
      </c>
      <c r="J214" s="50" t="n">
        <v>8.2668</v>
      </c>
      <c r="K214" s="50" t="n">
        <v>5.2089</v>
      </c>
      <c r="L214" s="50" t="n">
        <v>1.1232</v>
      </c>
      <c r="M214" s="50" t="n">
        <v>0.62231</v>
      </c>
      <c r="N214" s="50" t="n">
        <v>12.7003</v>
      </c>
      <c r="O214" s="50" t="n">
        <v>2.5508</v>
      </c>
      <c r="R214" s="50" t="n">
        <v>191.28</v>
      </c>
      <c r="S214" s="50" t="n">
        <v>0.51337</v>
      </c>
      <c r="T214" s="50" t="n">
        <v>0.52462</v>
      </c>
      <c r="U214" s="50" t="n">
        <v>50.401</v>
      </c>
      <c r="V214" s="50" t="n">
        <v>0.55102</v>
      </c>
      <c r="W214" s="50" t="n">
        <v>0.9547</v>
      </c>
      <c r="X214" s="50" t="n">
        <v>1.4706</v>
      </c>
      <c r="Y214" s="50" t="n">
        <v>1.5104</v>
      </c>
      <c r="Z214" s="50" t="n">
        <v>4.68687</v>
      </c>
      <c r="AA214" s="50" t="n">
        <v>2.6635</v>
      </c>
      <c r="AB214" s="50" t="n">
        <v>4.9051</v>
      </c>
    </row>
    <row r="215">
      <c r="A215" s="49" t="n">
        <v>45518</v>
      </c>
      <c r="B215" s="50" t="n">
        <v>7.1415</v>
      </c>
      <c r="C215" s="50" t="n">
        <v>7.8517</v>
      </c>
      <c r="D215" s="50" t="n">
        <v>0.048607</v>
      </c>
      <c r="E215" s="50" t="n">
        <v>0.91691</v>
      </c>
      <c r="F215" s="50" t="n">
        <v>9.186400000000001</v>
      </c>
      <c r="G215" s="50" t="n">
        <v>4.7373</v>
      </c>
      <c r="H215" s="50" t="n">
        <v>4.3404</v>
      </c>
      <c r="I215" s="50" t="n">
        <v>5.4224</v>
      </c>
      <c r="J215" s="50" t="n">
        <v>8.255699999999999</v>
      </c>
      <c r="K215" s="50" t="n">
        <v>5.2091</v>
      </c>
      <c r="L215" s="50" t="n">
        <v>1.1239</v>
      </c>
      <c r="M215" s="50" t="n">
        <v>0.6207</v>
      </c>
      <c r="N215" s="50" t="n">
        <v>12.8133</v>
      </c>
      <c r="O215" s="50" t="n">
        <v>2.5356</v>
      </c>
      <c r="R215" s="50" t="n">
        <v>190.78</v>
      </c>
      <c r="S215" s="50" t="n">
        <v>0.51432</v>
      </c>
      <c r="T215" s="50" t="n">
        <v>0.5256999999999999</v>
      </c>
      <c r="U215" s="50" t="n">
        <v>50.0965</v>
      </c>
      <c r="V215" s="50" t="n">
        <v>0.54614</v>
      </c>
      <c r="W215" s="50" t="n">
        <v>0.9506</v>
      </c>
      <c r="X215" s="50" t="n">
        <v>1.4651</v>
      </c>
      <c r="Y215" s="50" t="n">
        <v>1.5031</v>
      </c>
      <c r="Z215" s="50" t="n">
        <v>4.69147</v>
      </c>
      <c r="AA215" s="50" t="n">
        <v>2.6605</v>
      </c>
      <c r="AB215" s="50" t="n">
        <v>4.9022</v>
      </c>
    </row>
    <row r="216">
      <c r="A216" s="49" t="n">
        <v>45519</v>
      </c>
      <c r="B216" s="50" t="n">
        <v>7.1399</v>
      </c>
      <c r="C216" s="50" t="n">
        <v>7.8618</v>
      </c>
      <c r="D216" s="50" t="n">
        <v>0.048479</v>
      </c>
      <c r="E216" s="50" t="n">
        <v>0.91626</v>
      </c>
      <c r="F216" s="50" t="n">
        <v>9.1568</v>
      </c>
      <c r="G216" s="50" t="n">
        <v>4.7086</v>
      </c>
      <c r="H216" s="50" t="n">
        <v>4.2812</v>
      </c>
      <c r="I216" s="50" t="n">
        <v>5.4229</v>
      </c>
      <c r="J216" s="50" t="n">
        <v>8.251899999999999</v>
      </c>
      <c r="K216" s="50" t="n">
        <v>5.2056</v>
      </c>
      <c r="L216" s="50" t="n">
        <v>1.1244</v>
      </c>
      <c r="M216" s="50" t="n">
        <v>0.61929</v>
      </c>
      <c r="N216" s="50" t="n">
        <v>12.5791</v>
      </c>
      <c r="O216" s="50" t="n">
        <v>2.5312</v>
      </c>
      <c r="R216" s="50" t="n">
        <v>190.28</v>
      </c>
      <c r="S216" s="50" t="n">
        <v>0.51439</v>
      </c>
      <c r="T216" s="50" t="n">
        <v>0.52563</v>
      </c>
      <c r="U216" s="50" t="n">
        <v>50.2489</v>
      </c>
      <c r="V216" s="50" t="n">
        <v>0.5457</v>
      </c>
      <c r="W216" s="50" t="n">
        <v>0.949</v>
      </c>
      <c r="X216" s="50" t="n">
        <v>1.4659</v>
      </c>
      <c r="Y216" s="50" t="n">
        <v>1.5013</v>
      </c>
      <c r="Z216" s="50" t="n">
        <v>4.70634</v>
      </c>
      <c r="AA216" s="50" t="n">
        <v>2.6361</v>
      </c>
      <c r="AB216" s="50" t="n">
        <v>4.9114</v>
      </c>
    </row>
    <row r="217">
      <c r="A217" s="49" t="n">
        <v>45520</v>
      </c>
      <c r="B217" s="50" t="n">
        <v>7.1464</v>
      </c>
      <c r="C217" s="50" t="n">
        <v>7.8488</v>
      </c>
      <c r="D217" s="50" t="n">
        <v>0.047945</v>
      </c>
      <c r="E217" s="50" t="n">
        <v>0.91654</v>
      </c>
      <c r="F217" s="50" t="n">
        <v>9.1972</v>
      </c>
      <c r="G217" s="50" t="n">
        <v>4.7314</v>
      </c>
      <c r="H217" s="50" t="n">
        <v>4.2847</v>
      </c>
      <c r="I217" s="50" t="n">
        <v>5.4086</v>
      </c>
      <c r="J217" s="50" t="n">
        <v>8.1966</v>
      </c>
      <c r="K217" s="50" t="n">
        <v>5.2095</v>
      </c>
      <c r="L217" s="50" t="n">
        <v>1.1243</v>
      </c>
      <c r="M217" s="50" t="n">
        <v>0.6226699999999999</v>
      </c>
      <c r="N217" s="50" t="n">
        <v>12.4196</v>
      </c>
      <c r="O217" s="50" t="n">
        <v>2.5169</v>
      </c>
      <c r="R217" s="50" t="n">
        <v>190.33</v>
      </c>
      <c r="S217" s="50" t="n">
        <v>0.51373</v>
      </c>
      <c r="T217" s="50" t="n">
        <v>0.52491</v>
      </c>
      <c r="U217" s="50" t="n">
        <v>50.4635</v>
      </c>
      <c r="V217" s="50" t="n">
        <v>0.54703</v>
      </c>
      <c r="W217" s="50" t="n">
        <v>0.9514</v>
      </c>
      <c r="X217" s="50" t="n">
        <v>1.4734</v>
      </c>
      <c r="Y217" s="50" t="n">
        <v>1.5024</v>
      </c>
      <c r="Z217" s="50" t="n">
        <v>4.7113</v>
      </c>
      <c r="AA217" s="50" t="n">
        <v>2.6113</v>
      </c>
      <c r="AB217" s="50" t="n">
        <v>4.8954</v>
      </c>
    </row>
    <row r="218">
      <c r="A218" s="49" t="n">
        <v>45523</v>
      </c>
      <c r="B218" s="50" t="n">
        <v>7.1415</v>
      </c>
      <c r="C218" s="50" t="n">
        <v>7.8748</v>
      </c>
      <c r="D218" s="50" t="n">
        <v>0.048279</v>
      </c>
      <c r="E218" s="50" t="n">
        <v>0.9162400000000001</v>
      </c>
      <c r="F218" s="50" t="n">
        <v>9.2417</v>
      </c>
      <c r="G218" s="50" t="n">
        <v>4.7656</v>
      </c>
      <c r="H218" s="50" t="n">
        <v>4.3241</v>
      </c>
      <c r="I218" s="50" t="n">
        <v>5.4294</v>
      </c>
      <c r="J218" s="50" t="n">
        <v>8.2285</v>
      </c>
      <c r="K218" s="50" t="n">
        <v>5.2201</v>
      </c>
      <c r="L218" s="50" t="n">
        <v>1.1247</v>
      </c>
      <c r="M218" s="50" t="n">
        <v>0.61705</v>
      </c>
      <c r="N218" s="50" t="n">
        <v>12.524</v>
      </c>
      <c r="O218" s="50" t="n">
        <v>2.5006</v>
      </c>
      <c r="R218" s="50" t="n">
        <v>188.75</v>
      </c>
      <c r="S218" s="50" t="n">
        <v>0.51448</v>
      </c>
      <c r="T218" s="50" t="n">
        <v>0.52551</v>
      </c>
      <c r="U218" s="50" t="n">
        <v>50.1385</v>
      </c>
      <c r="V218" s="50" t="n">
        <v>0.54173</v>
      </c>
      <c r="W218" s="50" t="n">
        <v>0.9483</v>
      </c>
      <c r="X218" s="50" t="n">
        <v>1.4613</v>
      </c>
      <c r="Y218" s="50" t="n">
        <v>1.4961</v>
      </c>
      <c r="Z218" s="50" t="n">
        <v>4.71618</v>
      </c>
      <c r="AA218" s="50" t="n">
        <v>2.6082</v>
      </c>
      <c r="AB218" s="50" t="n">
        <v>4.8431</v>
      </c>
    </row>
    <row r="219">
      <c r="A219" s="49" t="n">
        <v>45524</v>
      </c>
      <c r="B219" s="50" t="n">
        <v>7.1325</v>
      </c>
      <c r="C219" s="50" t="n">
        <v>7.9026</v>
      </c>
      <c r="D219" s="50" t="n">
        <v>0.048581</v>
      </c>
      <c r="E219" s="50" t="n">
        <v>0.916</v>
      </c>
      <c r="F219" s="50" t="n">
        <v>9.257</v>
      </c>
      <c r="G219" s="50" t="n">
        <v>4.7991</v>
      </c>
      <c r="H219" s="50" t="n">
        <v>4.3593</v>
      </c>
      <c r="I219" s="50" t="n">
        <v>5.4516</v>
      </c>
      <c r="J219" s="50" t="n">
        <v>8.258800000000001</v>
      </c>
      <c r="K219" s="50" t="n">
        <v>5.2284</v>
      </c>
      <c r="L219" s="50" t="n">
        <v>1.125</v>
      </c>
      <c r="M219" s="50" t="n">
        <v>0.61328</v>
      </c>
      <c r="N219" s="50" t="n">
        <v>12.6123</v>
      </c>
      <c r="O219" s="50" t="n">
        <v>2.4856</v>
      </c>
      <c r="R219" s="50" t="n">
        <v>186.99</v>
      </c>
      <c r="S219" s="50" t="n">
        <v>0.51524</v>
      </c>
      <c r="T219" s="50" t="n">
        <v>0.52638</v>
      </c>
      <c r="U219" s="50" t="n">
        <v>49.8588</v>
      </c>
      <c r="V219" s="50" t="n">
        <v>0.53962</v>
      </c>
      <c r="W219" s="50" t="n">
        <v>0.9446</v>
      </c>
      <c r="X219" s="50" t="n">
        <v>1.446</v>
      </c>
      <c r="Y219" s="50" t="n">
        <v>1.4804</v>
      </c>
      <c r="Z219" s="50" t="n">
        <v>4.73565</v>
      </c>
      <c r="AA219" s="50" t="n">
        <v>2.6188</v>
      </c>
      <c r="AB219" s="50" t="n">
        <v>4.8222</v>
      </c>
    </row>
    <row r="220">
      <c r="A220" s="49" t="n">
        <v>45525</v>
      </c>
      <c r="B220" s="50" t="n">
        <v>7.1307</v>
      </c>
      <c r="C220" s="50" t="n">
        <v>7.9325</v>
      </c>
      <c r="D220" s="50" t="n">
        <v>0.049141</v>
      </c>
      <c r="E220" s="50" t="n">
        <v>0.91553</v>
      </c>
      <c r="F220" s="50" t="n">
        <v>9.2902</v>
      </c>
      <c r="G220" s="50" t="n">
        <v>4.8097</v>
      </c>
      <c r="H220" s="50" t="n">
        <v>4.3903</v>
      </c>
      <c r="I220" s="50" t="n">
        <v>5.4653</v>
      </c>
      <c r="J220" s="50" t="n">
        <v>8.361499999999999</v>
      </c>
      <c r="K220" s="50" t="n">
        <v>5.2357</v>
      </c>
      <c r="L220" s="50" t="n">
        <v>1.1259</v>
      </c>
      <c r="M220" s="50" t="n">
        <v>0.61282</v>
      </c>
      <c r="N220" s="50" t="n">
        <v>12.7802</v>
      </c>
      <c r="O220" s="50" t="n">
        <v>2.4965</v>
      </c>
      <c r="R220" s="50" t="n">
        <v>186.56</v>
      </c>
      <c r="S220" s="50" t="n">
        <v>0.51522</v>
      </c>
      <c r="T220" s="50" t="n">
        <v>0.52638</v>
      </c>
      <c r="U220" s="50" t="n">
        <v>49.5977</v>
      </c>
      <c r="V220" s="50" t="n">
        <v>0.53877</v>
      </c>
      <c r="W220" s="50" t="n">
        <v>0.9405</v>
      </c>
      <c r="X220" s="50" t="n">
        <v>1.4311</v>
      </c>
      <c r="Y220" s="50" t="n">
        <v>1.4717</v>
      </c>
      <c r="Z220" s="50" t="n">
        <v>4.7548</v>
      </c>
      <c r="AA220" s="50" t="n">
        <v>2.6658</v>
      </c>
      <c r="AB220" s="50" t="n">
        <v>4.7912</v>
      </c>
    </row>
    <row r="221">
      <c r="A221" s="49" t="n">
        <v>45526</v>
      </c>
      <c r="B221" s="50" t="n">
        <v>7.1228</v>
      </c>
      <c r="C221" s="50" t="n">
        <v>7.9463</v>
      </c>
      <c r="D221" s="50" t="n">
        <v>0.049139</v>
      </c>
      <c r="E221" s="50" t="n">
        <v>0.91411</v>
      </c>
      <c r="F221" s="50" t="n">
        <v>9.3254</v>
      </c>
      <c r="G221" s="50" t="n">
        <v>4.8072</v>
      </c>
      <c r="H221" s="50" t="n">
        <v>4.3881</v>
      </c>
      <c r="I221" s="50" t="n">
        <v>5.4595</v>
      </c>
      <c r="J221" s="50" t="n">
        <v>8.3733</v>
      </c>
      <c r="K221" s="50" t="n">
        <v>5.244</v>
      </c>
      <c r="L221" s="50" t="n">
        <v>1.1274</v>
      </c>
      <c r="M221" s="50" t="n">
        <v>0.6137</v>
      </c>
      <c r="N221" s="50" t="n">
        <v>12.8356</v>
      </c>
      <c r="O221" s="50" t="n">
        <v>2.5054</v>
      </c>
      <c r="R221" s="50" t="n">
        <v>187.14</v>
      </c>
      <c r="S221" s="50" t="n">
        <v>0.51556</v>
      </c>
      <c r="T221" s="50" t="n">
        <v>0.52658</v>
      </c>
      <c r="U221" s="50" t="n">
        <v>49.3874</v>
      </c>
      <c r="V221" s="50" t="n">
        <v>0.53809</v>
      </c>
      <c r="W221" s="50" t="n">
        <v>0.9392</v>
      </c>
      <c r="X221" s="50" t="n">
        <v>1.4297</v>
      </c>
      <c r="Y221" s="50" t="n">
        <v>1.4739</v>
      </c>
      <c r="Z221" s="50" t="n">
        <v>4.76177</v>
      </c>
      <c r="AA221" s="50" t="n">
        <v>2.7063</v>
      </c>
      <c r="AB221" s="50" t="n">
        <v>4.8103</v>
      </c>
    </row>
    <row r="222">
      <c r="A222" s="49" t="n">
        <v>45527</v>
      </c>
      <c r="B222" s="50" t="n">
        <v>7.1358</v>
      </c>
      <c r="C222" s="50" t="n">
        <v>7.9316</v>
      </c>
      <c r="D222" s="50" t="n">
        <v>0.048864</v>
      </c>
      <c r="E222" s="50" t="n">
        <v>0.9152400000000001</v>
      </c>
      <c r="F222" s="50" t="n">
        <v>9.3469</v>
      </c>
      <c r="G222" s="50" t="n">
        <v>4.7885</v>
      </c>
      <c r="H222" s="50" t="n">
        <v>4.3886</v>
      </c>
      <c r="I222" s="50" t="n">
        <v>5.4474</v>
      </c>
      <c r="J222" s="50" t="n">
        <v>8.3805</v>
      </c>
      <c r="K222" s="50" t="n">
        <v>5.2477</v>
      </c>
      <c r="L222" s="50" t="n">
        <v>1.1259</v>
      </c>
      <c r="M222" s="50" t="n">
        <v>0.6147</v>
      </c>
      <c r="N222" s="50" t="n">
        <v>12.805</v>
      </c>
      <c r="O222" s="50" t="n">
        <v>2.5241</v>
      </c>
      <c r="R222" s="50" t="n">
        <v>187.97</v>
      </c>
      <c r="S222" s="50" t="n">
        <v>0.51467</v>
      </c>
      <c r="T222" s="50" t="n">
        <v>0.52581</v>
      </c>
      <c r="U222" s="50" t="n">
        <v>49.6231</v>
      </c>
      <c r="V222" s="50" t="n">
        <v>0.54013</v>
      </c>
      <c r="W222" s="50" t="n">
        <v>0.9406</v>
      </c>
      <c r="X222" s="50" t="n">
        <v>1.4344</v>
      </c>
      <c r="Y222" s="50" t="n">
        <v>1.4837</v>
      </c>
      <c r="Z222" s="50" t="n">
        <v>4.76018</v>
      </c>
      <c r="AA222" s="50" t="n">
        <v>2.7344</v>
      </c>
      <c r="AB222" s="50" t="n">
        <v>4.8283</v>
      </c>
    </row>
    <row r="223">
      <c r="A223" s="49" t="n">
        <v>45530</v>
      </c>
      <c r="B223" s="50" t="n">
        <v>7.1139</v>
      </c>
      <c r="C223" s="50" t="n">
        <v>7.9584</v>
      </c>
      <c r="D223" s="50" t="n">
        <v>0.049485</v>
      </c>
      <c r="E223" s="50" t="n">
        <v>0.91267</v>
      </c>
      <c r="F223" s="50" t="n">
        <v>9.3934</v>
      </c>
      <c r="G223" s="50" t="n">
        <v>4.8268</v>
      </c>
      <c r="H223" s="50" t="n">
        <v>4.4275</v>
      </c>
      <c r="I223" s="50" t="n">
        <v>5.4693</v>
      </c>
      <c r="J223" s="50" t="n">
        <v>8.396599999999999</v>
      </c>
      <c r="K223" s="50" t="n">
        <v>5.2643</v>
      </c>
      <c r="L223" s="50" t="n">
        <v>1.1293</v>
      </c>
      <c r="M223" s="50" t="n">
        <v>0.61286</v>
      </c>
      <c r="N223" s="50" t="n">
        <v>12.8576</v>
      </c>
      <c r="O223" s="50" t="n">
        <v>2.4942</v>
      </c>
      <c r="R223" s="50" t="n">
        <v>186.17</v>
      </c>
      <c r="S223" s="50" t="n">
        <v>0.5165999999999999</v>
      </c>
      <c r="T223" s="50" t="n">
        <v>0.52776</v>
      </c>
      <c r="U223" s="50" t="n">
        <v>49.4499</v>
      </c>
      <c r="V223" s="50" t="n">
        <v>0.53637</v>
      </c>
      <c r="W223" s="50" t="n">
        <v>0.9378</v>
      </c>
      <c r="X223" s="50" t="n">
        <v>1.4337</v>
      </c>
      <c r="Y223" s="50" t="n">
        <v>1.4719</v>
      </c>
      <c r="Z223" s="50" t="n">
        <v>4.78373</v>
      </c>
      <c r="AA223" s="50" t="n">
        <v>2.7068</v>
      </c>
      <c r="AB223" s="50" t="n">
        <v>4.7731</v>
      </c>
    </row>
    <row r="224">
      <c r="A224" s="49" t="n">
        <v>45531</v>
      </c>
      <c r="B224" s="50" t="n">
        <v>7.1249</v>
      </c>
      <c r="C224" s="50" t="n">
        <v>7.9494</v>
      </c>
      <c r="D224" s="50" t="n">
        <v>0.049302</v>
      </c>
      <c r="E224" s="50" t="n">
        <v>0.91359</v>
      </c>
      <c r="F224" s="50" t="n">
        <v>9.3926</v>
      </c>
      <c r="G224" s="50" t="n">
        <v>4.8251</v>
      </c>
      <c r="H224" s="50" t="n">
        <v>4.4212</v>
      </c>
      <c r="I224" s="50" t="n">
        <v>5.4617</v>
      </c>
      <c r="J224" s="50" t="n">
        <v>8.4091</v>
      </c>
      <c r="K224" s="50" t="n">
        <v>5.2828</v>
      </c>
      <c r="L224" s="50" t="n">
        <v>1.128</v>
      </c>
      <c r="M224" s="50" t="n">
        <v>0.61094</v>
      </c>
      <c r="N224" s="50" t="n">
        <v>12.9166</v>
      </c>
      <c r="O224" s="50" t="n">
        <v>2.4871</v>
      </c>
      <c r="R224" s="50" t="n">
        <v>186.62</v>
      </c>
      <c r="S224" s="50" t="n">
        <v>0.51576</v>
      </c>
      <c r="T224" s="50" t="n">
        <v>0.52691</v>
      </c>
      <c r="U224" s="50" t="n">
        <v>49.6167</v>
      </c>
      <c r="V224" s="50" t="n">
        <v>0.53859</v>
      </c>
      <c r="W224" s="50" t="n">
        <v>0.9385</v>
      </c>
      <c r="X224" s="50" t="n">
        <v>1.4339</v>
      </c>
      <c r="Y224" s="50" t="n">
        <v>1.4804</v>
      </c>
      <c r="Z224" s="50" t="n">
        <v>4.77832</v>
      </c>
      <c r="AA224" s="50" t="n">
        <v>2.7232</v>
      </c>
      <c r="AB224" s="50" t="n">
        <v>4.7715</v>
      </c>
    </row>
    <row r="225">
      <c r="A225" s="49" t="n">
        <v>45532</v>
      </c>
      <c r="B225" s="50" t="n">
        <v>7.1216</v>
      </c>
      <c r="C225" s="50" t="n">
        <v>7.9616</v>
      </c>
      <c r="D225" s="50" t="n">
        <v>0.049516</v>
      </c>
      <c r="E225" s="50" t="n">
        <v>0.91278</v>
      </c>
      <c r="F225" s="50" t="n">
        <v>9.441599999999999</v>
      </c>
      <c r="G225" s="50" t="n">
        <v>4.8352</v>
      </c>
      <c r="H225" s="50" t="n">
        <v>4.4478</v>
      </c>
      <c r="I225" s="50" t="n">
        <v>5.4731</v>
      </c>
      <c r="J225" s="50" t="n">
        <v>8.463699999999999</v>
      </c>
      <c r="K225" s="50" t="n">
        <v>5.2961</v>
      </c>
      <c r="L225" s="50" t="n">
        <v>1.129</v>
      </c>
      <c r="M225" s="50" t="n">
        <v>0.61003</v>
      </c>
      <c r="N225" s="50" t="n">
        <v>12.8508</v>
      </c>
      <c r="O225" s="50" t="n">
        <v>2.489</v>
      </c>
      <c r="R225" s="50" t="n">
        <v>186.68</v>
      </c>
      <c r="S225" s="50" t="n">
        <v>0.51577</v>
      </c>
      <c r="T225" s="50" t="n">
        <v>0.52695</v>
      </c>
      <c r="U225" s="50" t="n">
        <v>49.3443</v>
      </c>
      <c r="V225" s="50" t="n">
        <v>0.53786</v>
      </c>
      <c r="W225" s="50" t="n">
        <v>0.9370000000000001</v>
      </c>
      <c r="X225" s="50" t="n">
        <v>1.4252</v>
      </c>
      <c r="Y225" s="50" t="n">
        <v>1.469</v>
      </c>
      <c r="Z225" s="50" t="n">
        <v>4.77966</v>
      </c>
      <c r="AA225" s="50" t="n">
        <v>2.779</v>
      </c>
      <c r="AB225" s="50" t="n">
        <v>4.7629</v>
      </c>
    </row>
    <row r="226">
      <c r="A226" s="49" t="n">
        <v>45533</v>
      </c>
      <c r="B226" s="50" t="n">
        <v>7.1299</v>
      </c>
      <c r="C226" s="50" t="n">
        <v>7.9318</v>
      </c>
      <c r="D226" s="50" t="n">
        <v>0.049386</v>
      </c>
      <c r="E226" s="50" t="n">
        <v>0.91423</v>
      </c>
      <c r="F226" s="50" t="n">
        <v>9.4054</v>
      </c>
      <c r="G226" s="50" t="n">
        <v>4.8372</v>
      </c>
      <c r="H226" s="50" t="n">
        <v>4.4571</v>
      </c>
      <c r="I226" s="50" t="n">
        <v>5.4711</v>
      </c>
      <c r="J226" s="50" t="n">
        <v>8.473699999999999</v>
      </c>
      <c r="K226" s="50" t="n">
        <v>5.2907</v>
      </c>
      <c r="L226" s="50" t="n">
        <v>1.1272</v>
      </c>
      <c r="M226" s="50" t="n">
        <v>0.60878</v>
      </c>
      <c r="N226" s="50" t="n">
        <v>12.8394</v>
      </c>
      <c r="O226" s="50" t="n">
        <v>2.5011</v>
      </c>
      <c r="R226" s="50" t="n">
        <v>187.42</v>
      </c>
      <c r="S226" s="50" t="n">
        <v>0.51519</v>
      </c>
      <c r="T226" s="50" t="n">
        <v>0.5263600000000001</v>
      </c>
      <c r="U226" s="50" t="n">
        <v>49.6173</v>
      </c>
      <c r="V226" s="50" t="n">
        <v>0.5418500000000001</v>
      </c>
      <c r="W226" s="50" t="n">
        <v>0.9404</v>
      </c>
      <c r="X226" s="50" t="n">
        <v>1.4302</v>
      </c>
      <c r="Y226" s="50" t="n">
        <v>1.4742</v>
      </c>
      <c r="Z226" s="50" t="n">
        <v>4.79189</v>
      </c>
      <c r="AA226" s="50" t="n">
        <v>2.7623</v>
      </c>
      <c r="AB226" s="50" t="n">
        <v>4.7741</v>
      </c>
    </row>
    <row r="227">
      <c r="A227" s="49" t="n">
        <v>45534</v>
      </c>
      <c r="B227" s="50" t="n">
        <v>7.1124</v>
      </c>
      <c r="C227" s="50" t="n">
        <v>7.8807</v>
      </c>
      <c r="D227" s="50" t="n">
        <v>0.049054</v>
      </c>
      <c r="E227" s="50" t="n">
        <v>0.91222</v>
      </c>
      <c r="F227" s="50" t="n">
        <v>9.363799999999999</v>
      </c>
      <c r="G227" s="50" t="n">
        <v>4.8345</v>
      </c>
      <c r="H227" s="50" t="n">
        <v>4.4552</v>
      </c>
      <c r="I227" s="50" t="n">
        <v>5.4588</v>
      </c>
      <c r="J227" s="50" t="n">
        <v>8.394299999999999</v>
      </c>
      <c r="K227" s="50" t="n">
        <v>5.2732</v>
      </c>
      <c r="L227" s="50" t="n">
        <v>1.1297</v>
      </c>
      <c r="M227" s="50" t="n">
        <v>0.60603</v>
      </c>
      <c r="N227" s="50" t="n">
        <v>12.9376</v>
      </c>
      <c r="O227" s="50" t="n">
        <v>2.4957</v>
      </c>
      <c r="R227" s="50" t="n">
        <v>187.67</v>
      </c>
      <c r="S227" s="50" t="n">
        <v>0.51641</v>
      </c>
      <c r="T227" s="50" t="n">
        <v>0.52766</v>
      </c>
      <c r="U227" s="50" t="n">
        <v>49.8353</v>
      </c>
      <c r="V227" s="50" t="n">
        <v>0.54367</v>
      </c>
      <c r="W227" s="50" t="n">
        <v>0.9465</v>
      </c>
      <c r="X227" s="50" t="n">
        <v>1.437</v>
      </c>
      <c r="Y227" s="50" t="n">
        <v>1.4765</v>
      </c>
      <c r="Z227" s="50" t="n">
        <v>4.79217</v>
      </c>
      <c r="AA227" s="50" t="n">
        <v>2.7904</v>
      </c>
      <c r="AB227" s="50" t="n">
        <v>4.7718</v>
      </c>
    </row>
    <row r="228">
      <c r="A228" s="49" t="n">
        <v>45537</v>
      </c>
      <c r="B228" s="50" t="n">
        <v>7.1027</v>
      </c>
      <c r="C228" s="50" t="n">
        <v>7.8444</v>
      </c>
      <c r="D228" s="50" t="n">
        <v>0.04848</v>
      </c>
      <c r="E228" s="50" t="n">
        <v>0.91091</v>
      </c>
      <c r="F228" s="50" t="n">
        <v>9.322699999999999</v>
      </c>
      <c r="G228" s="50" t="n">
        <v>4.8084</v>
      </c>
      <c r="H228" s="50" t="n">
        <v>4.4374</v>
      </c>
      <c r="I228" s="50" t="n">
        <v>5.4376</v>
      </c>
      <c r="J228" s="50" t="n">
        <v>8.3482</v>
      </c>
      <c r="K228" s="50" t="n">
        <v>5.2649</v>
      </c>
      <c r="L228" s="50" t="n">
        <v>1.1313</v>
      </c>
      <c r="M228" s="50" t="n">
        <v>0.60891</v>
      </c>
      <c r="N228" s="50" t="n">
        <v>12.7579</v>
      </c>
      <c r="O228" s="50" t="n">
        <v>2.5109</v>
      </c>
      <c r="R228" s="50" t="n">
        <v>188.48</v>
      </c>
      <c r="S228" s="50" t="n">
        <v>0.51735</v>
      </c>
      <c r="T228" s="50" t="n">
        <v>0.52859</v>
      </c>
      <c r="U228" s="50" t="n">
        <v>50.0939</v>
      </c>
      <c r="V228" s="50" t="n">
        <v>0.54653</v>
      </c>
      <c r="W228" s="50" t="n">
        <v>0.9509</v>
      </c>
      <c r="X228" s="50" t="n">
        <v>1.4452</v>
      </c>
      <c r="Y228" s="50" t="n">
        <v>1.4933</v>
      </c>
      <c r="Z228" s="50" t="n">
        <v>4.79963</v>
      </c>
      <c r="AA228" s="50" t="n">
        <v>2.7756</v>
      </c>
      <c r="AB228" s="50" t="n">
        <v>4.7963</v>
      </c>
    </row>
    <row r="229">
      <c r="A229" s="49" t="n">
        <v>45538</v>
      </c>
      <c r="B229" s="50" t="n">
        <v>7.1112</v>
      </c>
      <c r="C229" s="50" t="n">
        <v>7.8654</v>
      </c>
      <c r="D229" s="50" t="n">
        <v>0.048414</v>
      </c>
      <c r="E229" s="50" t="n">
        <v>0.91208</v>
      </c>
      <c r="F229" s="50" t="n">
        <v>9.3406</v>
      </c>
      <c r="G229" s="50" t="n">
        <v>4.8254</v>
      </c>
      <c r="H229" s="50" t="n">
        <v>4.4268</v>
      </c>
      <c r="I229" s="50" t="n">
        <v>5.4395</v>
      </c>
      <c r="J229" s="50" t="n">
        <v>8.347899999999999</v>
      </c>
      <c r="K229" s="50" t="n">
        <v>5.2669</v>
      </c>
      <c r="L229" s="50" t="n">
        <v>1.1298</v>
      </c>
      <c r="M229" s="50" t="n">
        <v>0.61277</v>
      </c>
      <c r="N229" s="50" t="n">
        <v>12.6122</v>
      </c>
      <c r="O229" s="50" t="n">
        <v>2.5085</v>
      </c>
      <c r="R229" s="50" t="n">
        <v>188.22</v>
      </c>
      <c r="S229" s="50" t="n">
        <v>0.51664</v>
      </c>
      <c r="T229" s="50" t="n">
        <v>0.5279</v>
      </c>
      <c r="U229" s="50" t="n">
        <v>49.8998</v>
      </c>
      <c r="V229" s="50" t="n">
        <v>0.5426800000000001</v>
      </c>
      <c r="W229" s="50" t="n">
        <v>0.948</v>
      </c>
      <c r="X229" s="50" t="n">
        <v>1.4415</v>
      </c>
      <c r="Y229" s="50" t="n">
        <v>1.4896</v>
      </c>
      <c r="Z229" s="50" t="n">
        <v>4.76942</v>
      </c>
      <c r="AA229" s="50" t="n">
        <v>2.791</v>
      </c>
      <c r="AB229" s="50" t="n">
        <v>4.8097</v>
      </c>
    </row>
    <row r="230">
      <c r="A230" s="49" t="n">
        <v>45539</v>
      </c>
      <c r="B230" s="50" t="n">
        <v>7.1148</v>
      </c>
      <c r="C230" s="50" t="n">
        <v>7.8582</v>
      </c>
      <c r="D230" s="50" t="n">
        <v>0.049008</v>
      </c>
      <c r="E230" s="50" t="n">
        <v>0.91255</v>
      </c>
      <c r="F230" s="50" t="n">
        <v>9.327299999999999</v>
      </c>
      <c r="G230" s="50" t="n">
        <v>4.7755</v>
      </c>
      <c r="H230" s="50" t="n">
        <v>4.4018</v>
      </c>
      <c r="I230" s="50" t="n">
        <v>5.4451</v>
      </c>
      <c r="J230" s="50" t="n">
        <v>8.370900000000001</v>
      </c>
      <c r="K230" s="50" t="n">
        <v>5.2533</v>
      </c>
      <c r="L230" s="50" t="n">
        <v>1.1293</v>
      </c>
      <c r="M230" s="50" t="n">
        <v>0.6134500000000001</v>
      </c>
      <c r="N230" s="50" t="n">
        <v>12.3337</v>
      </c>
      <c r="O230" s="50" t="n">
        <v>2.5256</v>
      </c>
      <c r="R230" s="50" t="n">
        <v>188.53</v>
      </c>
      <c r="S230" s="50" t="n">
        <v>0.51634</v>
      </c>
      <c r="T230" s="50" t="n">
        <v>0.52747</v>
      </c>
      <c r="U230" s="50" t="n">
        <v>50.0895</v>
      </c>
      <c r="V230" s="50" t="n">
        <v>0.54454</v>
      </c>
      <c r="W230" s="50" t="n">
        <v>0.9492</v>
      </c>
      <c r="X230" s="50" t="n">
        <v>1.448</v>
      </c>
      <c r="Y230" s="50" t="n">
        <v>1.5021</v>
      </c>
      <c r="Z230" s="50" t="n">
        <v>4.77911</v>
      </c>
      <c r="AA230" s="50" t="n">
        <v>2.7845</v>
      </c>
      <c r="AB230" s="50" t="n">
        <v>4.8129</v>
      </c>
    </row>
    <row r="231">
      <c r="A231" s="49" t="n">
        <v>45540</v>
      </c>
      <c r="B231" s="50" t="n">
        <v>7.0989</v>
      </c>
      <c r="C231" s="50" t="n">
        <v>7.866</v>
      </c>
      <c r="D231" s="50" t="n">
        <v>0.049482</v>
      </c>
      <c r="E231" s="50" t="n">
        <v>0.91081</v>
      </c>
      <c r="F231" s="50" t="n">
        <v>9.330299999999999</v>
      </c>
      <c r="G231" s="50" t="n">
        <v>4.7693</v>
      </c>
      <c r="H231" s="50" t="n">
        <v>4.394</v>
      </c>
      <c r="I231" s="50" t="n">
        <v>5.4464</v>
      </c>
      <c r="J231" s="50" t="n">
        <v>8.3894</v>
      </c>
      <c r="K231" s="50" t="n">
        <v>5.2553</v>
      </c>
      <c r="L231" s="50" t="n">
        <v>1.1314</v>
      </c>
      <c r="M231" s="50" t="n">
        <v>0.61239</v>
      </c>
      <c r="N231" s="50" t="n">
        <v>12.3126</v>
      </c>
      <c r="O231" s="50" t="n">
        <v>2.5173</v>
      </c>
      <c r="R231" s="50" t="n">
        <v>188.02</v>
      </c>
      <c r="S231" s="50" t="n">
        <v>0.51744</v>
      </c>
      <c r="T231" s="50" t="n">
        <v>0.52879</v>
      </c>
      <c r="U231" s="50" t="n">
        <v>49.9805</v>
      </c>
      <c r="V231" s="50" t="n">
        <v>0.5435</v>
      </c>
      <c r="W231" s="50" t="n">
        <v>0.9485</v>
      </c>
      <c r="X231" s="50" t="n">
        <v>1.447</v>
      </c>
      <c r="Y231" s="50" t="n">
        <v>1.499</v>
      </c>
      <c r="Z231" s="50" t="n">
        <v>4.79542</v>
      </c>
      <c r="AA231" s="50" t="n">
        <v>2.8092</v>
      </c>
      <c r="AB231" s="50" t="n">
        <v>4.7874</v>
      </c>
    </row>
    <row r="232">
      <c r="A232" s="49" t="n">
        <v>45541</v>
      </c>
      <c r="B232" s="50" t="n">
        <v>7.0925</v>
      </c>
      <c r="C232" s="50" t="n">
        <v>7.8783</v>
      </c>
      <c r="D232" s="50" t="n">
        <v>0.049459</v>
      </c>
      <c r="E232" s="50" t="n">
        <v>0.91003</v>
      </c>
      <c r="F232" s="50" t="n">
        <v>9.343400000000001</v>
      </c>
      <c r="G232" s="50" t="n">
        <v>4.7793</v>
      </c>
      <c r="H232" s="50" t="n">
        <v>4.412</v>
      </c>
      <c r="I232" s="50" t="n">
        <v>5.4555</v>
      </c>
      <c r="J232" s="50" t="n">
        <v>8.4011</v>
      </c>
      <c r="K232" s="50" t="n">
        <v>5.2526</v>
      </c>
      <c r="L232" s="50" t="n">
        <v>1.1324</v>
      </c>
      <c r="M232" s="50" t="n">
        <v>0.6112</v>
      </c>
      <c r="N232" s="50" t="n">
        <v>12.4425</v>
      </c>
      <c r="O232" s="50" t="n">
        <v>2.4967</v>
      </c>
      <c r="R232" s="50" t="n">
        <v>187.98</v>
      </c>
      <c r="S232" s="50" t="n">
        <v>0.51791</v>
      </c>
      <c r="T232" s="50" t="n">
        <v>0.52935</v>
      </c>
      <c r="U232" s="50" t="n">
        <v>49.9084</v>
      </c>
      <c r="V232" s="50" t="n">
        <v>0.5436</v>
      </c>
      <c r="W232" s="50" t="n">
        <v>0.9469</v>
      </c>
      <c r="X232" s="50" t="n">
        <v>1.446</v>
      </c>
      <c r="Y232" s="50" t="n">
        <v>1.499</v>
      </c>
      <c r="Z232" s="50" t="n">
        <v>4.79284</v>
      </c>
      <c r="AA232" s="50" t="n">
        <v>2.8049</v>
      </c>
      <c r="AB232" s="50" t="n">
        <v>4.7411</v>
      </c>
    </row>
    <row r="233">
      <c r="A233" s="49" t="n">
        <v>45544</v>
      </c>
      <c r="B233" s="50" t="n">
        <v>7.0989</v>
      </c>
      <c r="C233" s="50" t="n">
        <v>7.8708</v>
      </c>
      <c r="D233" s="50" t="n">
        <v>0.049854</v>
      </c>
      <c r="E233" s="50" t="n">
        <v>0.91057</v>
      </c>
      <c r="F233" s="50" t="n">
        <v>9.325200000000001</v>
      </c>
      <c r="G233" s="50" t="n">
        <v>4.7369</v>
      </c>
      <c r="H233" s="50" t="n">
        <v>4.3829</v>
      </c>
      <c r="I233" s="50" t="n">
        <v>5.4474</v>
      </c>
      <c r="J233" s="50" t="n">
        <v>8.412100000000001</v>
      </c>
      <c r="K233" s="50" t="n">
        <v>5.2349</v>
      </c>
      <c r="L233" s="50" t="n">
        <v>1.1317</v>
      </c>
      <c r="M233" s="50" t="n">
        <v>0.61072</v>
      </c>
      <c r="N233" s="50" t="n">
        <v>12.737</v>
      </c>
      <c r="O233" s="50" t="n">
        <v>2.5141</v>
      </c>
      <c r="R233" s="50" t="n">
        <v>188.53</v>
      </c>
      <c r="S233" s="50" t="n">
        <v>0.5174299999999999</v>
      </c>
      <c r="T233" s="50" t="n">
        <v>0.52882</v>
      </c>
      <c r="U233" s="50" t="n">
        <v>50.0315</v>
      </c>
      <c r="V233" s="50" t="n">
        <v>0.54379</v>
      </c>
      <c r="W233" s="50" t="n">
        <v>0.9479</v>
      </c>
      <c r="X233" s="50" t="n">
        <v>1.4505</v>
      </c>
      <c r="Y233" s="50" t="n">
        <v>1.5089</v>
      </c>
      <c r="Z233" s="50" t="n">
        <v>4.7908</v>
      </c>
      <c r="AA233" s="50" t="n">
        <v>2.811</v>
      </c>
      <c r="AB233" s="50" t="n">
        <v>4.7501</v>
      </c>
    </row>
    <row r="234">
      <c r="A234" s="49" t="n">
        <v>45545</v>
      </c>
      <c r="B234" s="50" t="n">
        <v>7.1136</v>
      </c>
      <c r="C234" s="50" t="n">
        <v>7.8498</v>
      </c>
      <c r="D234" s="50" t="n">
        <v>0.049661</v>
      </c>
      <c r="E234" s="50" t="n">
        <v>0.91234</v>
      </c>
      <c r="F234" s="50" t="n">
        <v>9.2986</v>
      </c>
      <c r="G234" s="50" t="n">
        <v>4.7384</v>
      </c>
      <c r="H234" s="50" t="n">
        <v>4.3706</v>
      </c>
      <c r="I234" s="50" t="n">
        <v>5.4473</v>
      </c>
      <c r="J234" s="50" t="n">
        <v>8.3748</v>
      </c>
      <c r="K234" s="50" t="n">
        <v>5.2462</v>
      </c>
      <c r="L234" s="50" t="n">
        <v>1.1295</v>
      </c>
      <c r="M234" s="50" t="n">
        <v>0.61428</v>
      </c>
      <c r="N234" s="50" t="n">
        <v>12.7277</v>
      </c>
      <c r="O234" s="50" t="n">
        <v>2.5126</v>
      </c>
      <c r="R234" s="50" t="n">
        <v>188.71</v>
      </c>
      <c r="S234" s="50" t="n">
        <v>0.51628</v>
      </c>
      <c r="T234" s="50" t="n">
        <v>0.52757</v>
      </c>
      <c r="U234" s="50" t="n">
        <v>50.5371</v>
      </c>
      <c r="V234" s="50" t="n">
        <v>0.54454</v>
      </c>
      <c r="W234" s="50" t="n">
        <v>0.9503</v>
      </c>
      <c r="X234" s="50" t="n">
        <v>1.4587</v>
      </c>
      <c r="Y234" s="50" t="n">
        <v>1.5231</v>
      </c>
      <c r="Z234" s="50" t="n">
        <v>4.79113</v>
      </c>
      <c r="AA234" s="50" t="n">
        <v>2.7956</v>
      </c>
      <c r="AB234" s="50" t="n">
        <v>4.7638</v>
      </c>
    </row>
    <row r="235">
      <c r="A235" s="49" t="n">
        <v>45546</v>
      </c>
      <c r="B235" s="50" t="n">
        <v>7.1182</v>
      </c>
      <c r="C235" s="50" t="n">
        <v>7.8443</v>
      </c>
      <c r="D235" s="50" t="n">
        <v>0.050034</v>
      </c>
      <c r="E235" s="50" t="n">
        <v>0.91293</v>
      </c>
      <c r="F235" s="50" t="n">
        <v>9.311199999999999</v>
      </c>
      <c r="G235" s="50" t="n">
        <v>4.7366</v>
      </c>
      <c r="H235" s="50" t="n">
        <v>4.3788</v>
      </c>
      <c r="I235" s="50" t="n">
        <v>5.4581</v>
      </c>
      <c r="J235" s="50" t="n">
        <v>8.4054</v>
      </c>
      <c r="K235" s="50" t="n">
        <v>5.231</v>
      </c>
      <c r="L235" s="50" t="n">
        <v>1.1288</v>
      </c>
      <c r="M235" s="50" t="n">
        <v>0.60975</v>
      </c>
      <c r="N235" s="50" t="n">
        <v>12.7814</v>
      </c>
      <c r="O235" s="50" t="n">
        <v>2.5206</v>
      </c>
      <c r="R235" s="50" t="n">
        <v>188.7</v>
      </c>
      <c r="S235" s="50" t="n">
        <v>0.51594</v>
      </c>
      <c r="T235" s="50" t="n">
        <v>0.52707</v>
      </c>
      <c r="U235" s="50" t="n">
        <v>50.5933</v>
      </c>
      <c r="V235" s="50" t="n">
        <v>0.5454599999999999</v>
      </c>
      <c r="W235" s="50" t="n">
        <v>0.9510999999999999</v>
      </c>
      <c r="X235" s="50" t="n">
        <v>1.4573</v>
      </c>
      <c r="Y235" s="50" t="n">
        <v>1.5217</v>
      </c>
      <c r="Z235" s="50" t="n">
        <v>4.78139</v>
      </c>
      <c r="AA235" s="50" t="n">
        <v>2.823</v>
      </c>
      <c r="AB235" s="50" t="n">
        <v>4.7282</v>
      </c>
    </row>
    <row r="236">
      <c r="A236" s="49" t="n">
        <v>45547</v>
      </c>
      <c r="B236" s="50" t="n">
        <v>7.1214</v>
      </c>
      <c r="C236" s="50" t="n">
        <v>7.84</v>
      </c>
      <c r="D236" s="50" t="n">
        <v>0.04993</v>
      </c>
      <c r="E236" s="50" t="n">
        <v>0.91332</v>
      </c>
      <c r="F236" s="50" t="n">
        <v>9.284599999999999</v>
      </c>
      <c r="G236" s="50" t="n">
        <v>4.7559</v>
      </c>
      <c r="H236" s="50" t="n">
        <v>4.3695</v>
      </c>
      <c r="I236" s="50" t="n">
        <v>5.459</v>
      </c>
      <c r="J236" s="50" t="n">
        <v>8.350099999999999</v>
      </c>
      <c r="K236" s="50" t="n">
        <v>5.2457</v>
      </c>
      <c r="L236" s="50" t="n">
        <v>1.1283</v>
      </c>
      <c r="M236" s="50" t="n">
        <v>0.60824</v>
      </c>
      <c r="N236" s="50" t="n">
        <v>12.8614</v>
      </c>
      <c r="O236" s="50" t="n">
        <v>2.5143</v>
      </c>
      <c r="R236" s="50" t="n">
        <v>188.16</v>
      </c>
      <c r="S236" s="50" t="n">
        <v>0.51579</v>
      </c>
      <c r="T236" s="50" t="n">
        <v>0.527</v>
      </c>
      <c r="U236" s="50" t="n">
        <v>50.5212</v>
      </c>
      <c r="V236" s="50" t="n">
        <v>0.54688</v>
      </c>
      <c r="W236" s="50" t="n">
        <v>0.9517</v>
      </c>
      <c r="X236" s="50" t="n">
        <v>1.4587</v>
      </c>
      <c r="Y236" s="50" t="n">
        <v>1.5245</v>
      </c>
      <c r="Z236" s="50" t="n">
        <v>4.7742</v>
      </c>
      <c r="AA236" s="50" t="n">
        <v>2.7806</v>
      </c>
      <c r="AB236" s="50" t="n">
        <v>4.7439</v>
      </c>
    </row>
    <row r="237">
      <c r="A237" s="49" t="n">
        <v>45548</v>
      </c>
      <c r="B237" s="50" t="n">
        <v>7.103</v>
      </c>
      <c r="C237" s="50" t="n">
        <v>7.868</v>
      </c>
      <c r="D237" s="50" t="n">
        <v>0.05016</v>
      </c>
      <c r="E237" s="50" t="n">
        <v>0.91069</v>
      </c>
      <c r="F237" s="50" t="n">
        <v>9.3262</v>
      </c>
      <c r="G237" s="50" t="n">
        <v>4.7757</v>
      </c>
      <c r="H237" s="50" t="n">
        <v>4.3933</v>
      </c>
      <c r="I237" s="50" t="n">
        <v>5.4594</v>
      </c>
      <c r="J237" s="50" t="n">
        <v>8.355</v>
      </c>
      <c r="K237" s="50" t="n">
        <v>5.2315</v>
      </c>
      <c r="L237" s="50" t="n">
        <v>1.1316</v>
      </c>
      <c r="M237" s="50" t="n">
        <v>0.60967</v>
      </c>
      <c r="N237" s="50" t="n">
        <v>12.5467</v>
      </c>
      <c r="O237" s="50" t="n">
        <v>2.5015</v>
      </c>
      <c r="R237" s="50" t="n">
        <v>188.02</v>
      </c>
      <c r="S237" s="50" t="n">
        <v>0.51719</v>
      </c>
      <c r="T237" s="50" t="n">
        <v>0.52842</v>
      </c>
      <c r="U237" s="50" t="n">
        <v>50.2673</v>
      </c>
      <c r="V237" s="50" t="n">
        <v>0.54478</v>
      </c>
      <c r="W237" s="50" t="n">
        <v>0.9487</v>
      </c>
      <c r="X237" s="50" t="n">
        <v>1.4475</v>
      </c>
      <c r="Y237" s="50" t="n">
        <v>1.5083</v>
      </c>
      <c r="Z237" s="50" t="n">
        <v>4.78492</v>
      </c>
      <c r="AA237" s="50" t="n">
        <v>2.7517</v>
      </c>
      <c r="AB237" s="50" t="n">
        <v>4.7021</v>
      </c>
    </row>
    <row r="238">
      <c r="A238" s="49" t="n">
        <v>45553</v>
      </c>
      <c r="B238" s="50" t="n">
        <v>7.087</v>
      </c>
      <c r="C238" s="50" t="n">
        <v>7.8835</v>
      </c>
      <c r="D238" s="50" t="n">
        <v>0.049925</v>
      </c>
      <c r="E238" s="50" t="n">
        <v>0.90937</v>
      </c>
      <c r="F238" s="50" t="n">
        <v>9.3307</v>
      </c>
      <c r="G238" s="50" t="n">
        <v>4.7918</v>
      </c>
      <c r="H238" s="50" t="n">
        <v>4.3897</v>
      </c>
      <c r="I238" s="50" t="n">
        <v>5.4701</v>
      </c>
      <c r="J238" s="50" t="n">
        <v>8.3736</v>
      </c>
      <c r="K238" s="50" t="n">
        <v>5.2136</v>
      </c>
      <c r="L238" s="50" t="n">
        <v>1.1335</v>
      </c>
      <c r="M238" s="50" t="n">
        <v>0.60092</v>
      </c>
      <c r="N238" s="50" t="n">
        <v>12.9121</v>
      </c>
      <c r="O238" s="50" t="n">
        <v>2.4819</v>
      </c>
      <c r="R238" s="50" t="n">
        <v>186.78</v>
      </c>
      <c r="S238" s="50" t="n">
        <v>0.51828</v>
      </c>
      <c r="T238" s="50" t="n">
        <v>0.52963</v>
      </c>
      <c r="U238" s="50" t="n">
        <v>50.0581</v>
      </c>
      <c r="V238" s="50" t="n">
        <v>0.54227</v>
      </c>
      <c r="W238" s="50" t="n">
        <v>0.9466</v>
      </c>
      <c r="X238" s="50" t="n">
        <v>1.4364</v>
      </c>
      <c r="Y238" s="50" t="n">
        <v>1.4956</v>
      </c>
      <c r="Z238" s="50" t="n">
        <v>4.80794</v>
      </c>
      <c r="AA238" s="50" t="n">
        <v>2.698</v>
      </c>
      <c r="AB238" s="50" t="n">
        <v>4.7069</v>
      </c>
    </row>
    <row r="239">
      <c r="A239" s="49" t="n">
        <v>45554</v>
      </c>
      <c r="B239" s="50" t="n">
        <v>7.0983</v>
      </c>
      <c r="C239" s="50" t="n">
        <v>7.8859</v>
      </c>
      <c r="D239" s="50" t="n">
        <v>0.049782</v>
      </c>
      <c r="E239" s="50" t="n">
        <v>0.9106</v>
      </c>
      <c r="F239" s="50" t="n">
        <v>9.3687</v>
      </c>
      <c r="G239" s="50" t="n">
        <v>4.7974</v>
      </c>
      <c r="H239" s="50" t="n">
        <v>4.405</v>
      </c>
      <c r="I239" s="50" t="n">
        <v>5.4776</v>
      </c>
      <c r="J239" s="50" t="n">
        <v>8.3789</v>
      </c>
      <c r="K239" s="50" t="n">
        <v>5.2152</v>
      </c>
      <c r="L239" s="50" t="n">
        <v>1.1319</v>
      </c>
      <c r="M239" s="50" t="n">
        <v>0.59824</v>
      </c>
      <c r="N239" s="50" t="n">
        <v>13.0887</v>
      </c>
      <c r="O239" s="50" t="n">
        <v>2.4717</v>
      </c>
      <c r="R239" s="50" t="n">
        <v>187.27</v>
      </c>
      <c r="S239" s="50" t="n">
        <v>0.5174</v>
      </c>
      <c r="T239" s="50" t="n">
        <v>0.52869</v>
      </c>
      <c r="U239" s="50" t="n">
        <v>49.9871</v>
      </c>
      <c r="V239" s="50" t="n">
        <v>0.5413</v>
      </c>
      <c r="W239" s="50" t="n">
        <v>0.9457</v>
      </c>
      <c r="X239" s="50" t="n">
        <v>1.4383</v>
      </c>
      <c r="Y239" s="50" t="n">
        <v>1.4922</v>
      </c>
      <c r="Z239" s="50" t="n">
        <v>4.79907</v>
      </c>
      <c r="AA239" s="50" t="n">
        <v>2.7133</v>
      </c>
      <c r="AB239" s="50" t="n">
        <v>4.7063</v>
      </c>
    </row>
    <row r="240">
      <c r="A240" s="49" t="n">
        <v>45555</v>
      </c>
      <c r="B240" s="50" t="n">
        <v>7.0644</v>
      </c>
      <c r="C240" s="50" t="n">
        <v>7.8834</v>
      </c>
      <c r="D240" s="50" t="n">
        <v>0.049493</v>
      </c>
      <c r="E240" s="50" t="n">
        <v>0.90655</v>
      </c>
      <c r="F240" s="50" t="n">
        <v>9.380699999999999</v>
      </c>
      <c r="G240" s="50" t="n">
        <v>4.81</v>
      </c>
      <c r="H240" s="50" t="n">
        <v>4.4062</v>
      </c>
      <c r="I240" s="50" t="n">
        <v>5.467</v>
      </c>
      <c r="J240" s="50" t="n">
        <v>8.3347</v>
      </c>
      <c r="K240" s="50" t="n">
        <v>5.2088</v>
      </c>
      <c r="L240" s="50" t="n">
        <v>1.1369</v>
      </c>
      <c r="M240" s="50" t="n">
        <v>0.59557</v>
      </c>
      <c r="N240" s="50" t="n">
        <v>13.0388</v>
      </c>
      <c r="O240" s="50" t="n">
        <v>2.4784</v>
      </c>
      <c r="R240" s="50" t="n">
        <v>188.08</v>
      </c>
      <c r="S240" s="50" t="n">
        <v>0.51986</v>
      </c>
      <c r="T240" s="50" t="n">
        <v>0.53113</v>
      </c>
      <c r="U240" s="50" t="n">
        <v>49.999</v>
      </c>
      <c r="V240" s="50" t="n">
        <v>0.5421899999999999</v>
      </c>
      <c r="W240" s="50" t="n">
        <v>0.9462</v>
      </c>
      <c r="X240" s="50" t="n">
        <v>1.4384</v>
      </c>
      <c r="Y240" s="50" t="n">
        <v>1.4868</v>
      </c>
      <c r="Z240" s="50" t="n">
        <v>4.82354</v>
      </c>
      <c r="AA240" s="50" t="n">
        <v>2.734</v>
      </c>
      <c r="AB240" s="50" t="n">
        <v>4.6879</v>
      </c>
    </row>
    <row r="241">
      <c r="A241" s="49" t="n">
        <v>45558</v>
      </c>
      <c r="B241" s="50" t="n">
        <v>7.0531</v>
      </c>
      <c r="C241" s="50" t="n">
        <v>7.8714</v>
      </c>
      <c r="D241" s="50" t="n">
        <v>0.049011</v>
      </c>
      <c r="E241" s="50" t="n">
        <v>0.9053600000000001</v>
      </c>
      <c r="F241" s="50" t="n">
        <v>9.390599999999999</v>
      </c>
      <c r="G241" s="50" t="n">
        <v>4.8018</v>
      </c>
      <c r="H241" s="50" t="n">
        <v>4.3979</v>
      </c>
      <c r="I241" s="50" t="n">
        <v>5.4642</v>
      </c>
      <c r="J241" s="50" t="n">
        <v>8.292</v>
      </c>
      <c r="K241" s="50" t="n">
        <v>5.1989</v>
      </c>
      <c r="L241" s="50" t="n">
        <v>1.1385</v>
      </c>
      <c r="M241" s="50" t="n">
        <v>0.59556</v>
      </c>
      <c r="N241" s="50" t="n">
        <v>13.0947</v>
      </c>
      <c r="O241" s="50" t="n">
        <v>2.4726</v>
      </c>
      <c r="R241" s="50" t="n">
        <v>189.1</v>
      </c>
      <c r="S241" s="50" t="n">
        <v>0.52076</v>
      </c>
      <c r="T241" s="50" t="n">
        <v>0.53204</v>
      </c>
      <c r="U241" s="50" t="n">
        <v>49.9355</v>
      </c>
      <c r="V241" s="50" t="n">
        <v>0.54253</v>
      </c>
      <c r="W241" s="50" t="n">
        <v>0.9478</v>
      </c>
      <c r="X241" s="50" t="n">
        <v>1.442</v>
      </c>
      <c r="Y241" s="50" t="n">
        <v>1.4873</v>
      </c>
      <c r="Z241" s="50" t="n">
        <v>4.83908</v>
      </c>
      <c r="AA241" s="50" t="n">
        <v>2.7492</v>
      </c>
      <c r="AB241" s="50" t="n">
        <v>4.6723</v>
      </c>
    </row>
    <row r="242">
      <c r="A242" s="49" t="n">
        <v>45559</v>
      </c>
      <c r="B242" s="50" t="n">
        <v>7.051</v>
      </c>
      <c r="C242" s="50" t="n">
        <v>7.8332</v>
      </c>
      <c r="D242" s="50" t="n">
        <v>0.049085</v>
      </c>
      <c r="E242" s="50" t="n">
        <v>0.90545</v>
      </c>
      <c r="F242" s="50" t="n">
        <v>9.4093</v>
      </c>
      <c r="G242" s="50" t="n">
        <v>4.8156</v>
      </c>
      <c r="H242" s="50" t="n">
        <v>4.4156</v>
      </c>
      <c r="I242" s="50" t="n">
        <v>5.4616</v>
      </c>
      <c r="J242" s="50" t="n">
        <v>8.319699999999999</v>
      </c>
      <c r="K242" s="50" t="n">
        <v>5.2105</v>
      </c>
      <c r="L242" s="50" t="n">
        <v>1.1382</v>
      </c>
      <c r="M242" s="50" t="n">
        <v>0.59577</v>
      </c>
      <c r="N242" s="50" t="n">
        <v>13.1904</v>
      </c>
      <c r="O242" s="50" t="n">
        <v>2.461</v>
      </c>
      <c r="R242" s="50" t="n">
        <v>189.22</v>
      </c>
      <c r="S242" s="50" t="n">
        <v>0.5208700000000001</v>
      </c>
      <c r="T242" s="50" t="n">
        <v>0.53208</v>
      </c>
      <c r="U242" s="50" t="n">
        <v>50.4076</v>
      </c>
      <c r="V242" s="50" t="n">
        <v>0.54541</v>
      </c>
      <c r="W242" s="50" t="n">
        <v>0.9522</v>
      </c>
      <c r="X242" s="50" t="n">
        <v>1.4463</v>
      </c>
      <c r="Y242" s="50" t="n">
        <v>1.4875</v>
      </c>
      <c r="Z242" s="50" t="n">
        <v>4.84331</v>
      </c>
      <c r="AA242" s="50" t="n">
        <v>2.7557</v>
      </c>
      <c r="AB242" s="50" t="n">
        <v>4.6721</v>
      </c>
    </row>
    <row r="243">
      <c r="A243" s="49" t="n">
        <v>45560</v>
      </c>
      <c r="B243" s="50" t="n">
        <v>7.0202</v>
      </c>
      <c r="C243" s="50" t="n">
        <v>7.8524</v>
      </c>
      <c r="D243" s="50" t="n">
        <v>0.04906</v>
      </c>
      <c r="E243" s="50" t="n">
        <v>0.90194</v>
      </c>
      <c r="F243" s="50" t="n">
        <v>9.421099999999999</v>
      </c>
      <c r="G243" s="50" t="n">
        <v>4.8419</v>
      </c>
      <c r="H243" s="50" t="n">
        <v>4.455</v>
      </c>
      <c r="I243" s="50" t="n">
        <v>5.472</v>
      </c>
      <c r="J243" s="50" t="n">
        <v>8.335599999999999</v>
      </c>
      <c r="K243" s="50" t="n">
        <v>5.2282</v>
      </c>
      <c r="L243" s="50" t="n">
        <v>1.143</v>
      </c>
      <c r="M243" s="50" t="n">
        <v>0.59017</v>
      </c>
      <c r="N243" s="50" t="n">
        <v>13.233</v>
      </c>
      <c r="O243" s="50" t="n">
        <v>2.4596</v>
      </c>
      <c r="R243" s="50" t="n">
        <v>189.11</v>
      </c>
      <c r="S243" s="50" t="n">
        <v>0.52324</v>
      </c>
      <c r="T243" s="50" t="n">
        <v>0.53447</v>
      </c>
      <c r="U243" s="50" t="n">
        <v>50.2467</v>
      </c>
      <c r="V243" s="50" t="n">
        <v>0.54187</v>
      </c>
      <c r="W243" s="50" t="n">
        <v>0.9499</v>
      </c>
      <c r="X243" s="50" t="n">
        <v>1.4376</v>
      </c>
      <c r="Y243" s="50" t="n">
        <v>1.4814</v>
      </c>
      <c r="Z243" s="50" t="n">
        <v>4.85997</v>
      </c>
      <c r="AA243" s="50" t="n">
        <v>2.7535</v>
      </c>
      <c r="AB243" s="50" t="n">
        <v>4.6474</v>
      </c>
    </row>
    <row r="244">
      <c r="A244" s="49" t="n">
        <v>45561</v>
      </c>
      <c r="B244" s="50" t="n">
        <v>7.0354</v>
      </c>
      <c r="C244" s="50" t="n">
        <v>7.8317</v>
      </c>
      <c r="D244" s="50" t="n">
        <v>0.048636</v>
      </c>
      <c r="E244" s="50" t="n">
        <v>0.90382</v>
      </c>
      <c r="F244" s="50" t="n">
        <v>9.3727</v>
      </c>
      <c r="G244" s="50" t="n">
        <v>4.8012</v>
      </c>
      <c r="H244" s="50" t="n">
        <v>4.4044</v>
      </c>
      <c r="I244" s="50" t="n">
        <v>5.4569</v>
      </c>
      <c r="J244" s="50" t="n">
        <v>8.2735</v>
      </c>
      <c r="K244" s="50" t="n">
        <v>5.2183</v>
      </c>
      <c r="L244" s="50" t="n">
        <v>1.1407</v>
      </c>
      <c r="M244" s="50" t="n">
        <v>0.58775</v>
      </c>
      <c r="N244" s="50" t="n">
        <v>13.1295</v>
      </c>
      <c r="O244" s="50" t="n">
        <v>2.4556</v>
      </c>
      <c r="R244" s="50" t="n">
        <v>189.71</v>
      </c>
      <c r="S244" s="50" t="n">
        <v>0.5220399999999999</v>
      </c>
      <c r="T244" s="50" t="n">
        <v>0.53331</v>
      </c>
      <c r="U244" s="50" t="n">
        <v>50.4573</v>
      </c>
      <c r="V244" s="50" t="n">
        <v>0.5450700000000001</v>
      </c>
      <c r="W244" s="50" t="n">
        <v>0.9524</v>
      </c>
      <c r="X244" s="50" t="n">
        <v>1.4481</v>
      </c>
      <c r="Y244" s="50" t="n">
        <v>1.5029</v>
      </c>
      <c r="Z244" s="50" t="n">
        <v>4.85654</v>
      </c>
      <c r="AA244" s="50" t="n">
        <v>2.7924</v>
      </c>
      <c r="AB244" s="50" t="n">
        <v>4.6509</v>
      </c>
    </row>
    <row r="245">
      <c r="A245" s="49" t="n">
        <v>45562</v>
      </c>
      <c r="B245" s="50" t="n">
        <v>7.0101</v>
      </c>
      <c r="C245" s="50" t="n">
        <v>7.8326</v>
      </c>
      <c r="D245" s="50" t="n">
        <v>0.048314</v>
      </c>
      <c r="E245" s="50" t="n">
        <v>0.90112</v>
      </c>
      <c r="F245" s="50" t="n">
        <v>9.397500000000001</v>
      </c>
      <c r="G245" s="50" t="n">
        <v>4.8322</v>
      </c>
      <c r="H245" s="50" t="n">
        <v>4.4334</v>
      </c>
      <c r="I245" s="50" t="n">
        <v>5.4597</v>
      </c>
      <c r="J245" s="50" t="n">
        <v>8.280099999999999</v>
      </c>
      <c r="K245" s="50" t="n">
        <v>5.2023</v>
      </c>
      <c r="L245" s="50" t="n">
        <v>1.1439</v>
      </c>
      <c r="M245" s="50" t="n">
        <v>0.58989</v>
      </c>
      <c r="N245" s="50" t="n">
        <v>13.2147</v>
      </c>
      <c r="O245" s="50" t="n">
        <v>2.4521</v>
      </c>
      <c r="R245" s="50" t="n">
        <v>187.77</v>
      </c>
      <c r="S245" s="50" t="n">
        <v>0.52396</v>
      </c>
      <c r="T245" s="50" t="n">
        <v>0.53509</v>
      </c>
      <c r="U245" s="50" t="n">
        <v>50.5598</v>
      </c>
      <c r="V245" s="50" t="n">
        <v>0.54565</v>
      </c>
      <c r="W245" s="50" t="n">
        <v>0.9520999999999999</v>
      </c>
      <c r="X245" s="50" t="n">
        <v>1.4437</v>
      </c>
      <c r="Y245" s="50" t="n">
        <v>1.5029</v>
      </c>
      <c r="Z245" s="50" t="n">
        <v>4.87579</v>
      </c>
      <c r="AA245" s="50" t="n">
        <v>2.799</v>
      </c>
      <c r="AB245" s="50" t="n">
        <v>4.6268</v>
      </c>
    </row>
    <row r="246">
      <c r="A246" s="49" t="n">
        <v>45565</v>
      </c>
      <c r="B246" s="50" t="n">
        <v>7.0074</v>
      </c>
      <c r="C246" s="50" t="n">
        <v>7.8267</v>
      </c>
      <c r="D246" s="50" t="n">
        <v>0.049077</v>
      </c>
      <c r="E246" s="50" t="n">
        <v>0.90179</v>
      </c>
      <c r="F246" s="50" t="n">
        <v>9.376099999999999</v>
      </c>
      <c r="G246" s="50" t="n">
        <v>4.8471</v>
      </c>
      <c r="H246" s="50" t="n">
        <v>4.4483</v>
      </c>
      <c r="I246" s="50" t="n">
        <v>5.4731</v>
      </c>
      <c r="J246" s="50" t="n">
        <v>8.331799999999999</v>
      </c>
      <c r="K246" s="50" t="n">
        <v>5.1868</v>
      </c>
      <c r="L246" s="50" t="n">
        <v>1.1428</v>
      </c>
      <c r="M246" s="50" t="n">
        <v>0.58777</v>
      </c>
      <c r="N246" s="50" t="n">
        <v>13.3868</v>
      </c>
      <c r="O246" s="50" t="n">
        <v>2.4411</v>
      </c>
      <c r="R246" s="50" t="n">
        <v>186.99</v>
      </c>
      <c r="S246" s="50" t="n">
        <v>0.5241</v>
      </c>
      <c r="T246" s="50" t="n">
        <v>0.53531</v>
      </c>
      <c r="U246" s="50" t="n">
        <v>50.6811</v>
      </c>
      <c r="V246" s="50" t="n">
        <v>0.54575</v>
      </c>
      <c r="W246" s="50" t="n">
        <v>0.9526</v>
      </c>
      <c r="X246" s="50" t="n">
        <v>1.439</v>
      </c>
      <c r="Y246" s="50" t="n">
        <v>1.4981</v>
      </c>
      <c r="Z246" s="50" t="n">
        <v>4.8751</v>
      </c>
      <c r="AA246" s="50" t="n">
        <v>2.8041</v>
      </c>
      <c r="AB246" s="50" t="n">
        <v>4.6192</v>
      </c>
    </row>
    <row r="247">
      <c r="A247" s="49" t="n">
        <v>45573</v>
      </c>
      <c r="B247" s="50" t="n">
        <v>7.0709</v>
      </c>
      <c r="C247" s="50" t="n">
        <v>7.7643</v>
      </c>
      <c r="D247" s="50" t="n">
        <v>0.047774</v>
      </c>
      <c r="E247" s="50" t="n">
        <v>0.91042</v>
      </c>
      <c r="F247" s="50" t="n">
        <v>9.257400000000001</v>
      </c>
      <c r="G247" s="50" t="n">
        <v>4.7761</v>
      </c>
      <c r="H247" s="50" t="n">
        <v>4.3357</v>
      </c>
      <c r="I247" s="50" t="n">
        <v>5.423</v>
      </c>
      <c r="J247" s="50" t="n">
        <v>8.279199999999999</v>
      </c>
      <c r="K247" s="50" t="n">
        <v>5.1905</v>
      </c>
      <c r="L247" s="50" t="n">
        <v>1.1321</v>
      </c>
      <c r="M247" s="50" t="n">
        <v>0.60578</v>
      </c>
      <c r="N247" s="50" t="n">
        <v>13.6317</v>
      </c>
      <c r="O247" s="50" t="n">
        <v>2.4573</v>
      </c>
      <c r="R247" s="50" t="n">
        <v>190.34</v>
      </c>
      <c r="S247" s="50" t="n">
        <v>0.5194800000000001</v>
      </c>
      <c r="T247" s="50" t="n">
        <v>0.53127</v>
      </c>
      <c r="U247" s="50" t="n">
        <v>51.7913</v>
      </c>
      <c r="V247" s="50" t="n">
        <v>0.55709</v>
      </c>
      <c r="W247" s="50" t="n">
        <v>0.9611</v>
      </c>
      <c r="X247" s="50" t="n">
        <v>1.4639</v>
      </c>
      <c r="Y247" s="50" t="n">
        <v>1.5052</v>
      </c>
      <c r="Z247" s="50" t="n">
        <v>4.84495</v>
      </c>
      <c r="AA247" s="50" t="n">
        <v>2.7278</v>
      </c>
      <c r="AB247" s="50" t="n">
        <v>4.7371</v>
      </c>
    </row>
    <row r="248">
      <c r="A248" s="49" t="n">
        <v>45574</v>
      </c>
      <c r="B248" s="50" t="n">
        <v>7.0568</v>
      </c>
      <c r="C248" s="50" t="n">
        <v>7.7461</v>
      </c>
      <c r="D248" s="50" t="n">
        <v>0.047604</v>
      </c>
      <c r="E248" s="50" t="n">
        <v>0.90767</v>
      </c>
      <c r="F248" s="50" t="n">
        <v>9.243399999999999</v>
      </c>
      <c r="G248" s="50" t="n">
        <v>4.7568</v>
      </c>
      <c r="H248" s="50" t="n">
        <v>4.3256</v>
      </c>
      <c r="I248" s="50" t="n">
        <v>5.4106</v>
      </c>
      <c r="J248" s="50" t="n">
        <v>8.2319</v>
      </c>
      <c r="K248" s="50" t="n">
        <v>5.1697</v>
      </c>
      <c r="L248" s="50" t="n">
        <v>1.1344</v>
      </c>
      <c r="M248" s="50" t="n">
        <v>0.60749</v>
      </c>
      <c r="N248" s="50" t="n">
        <v>13.7077</v>
      </c>
      <c r="O248" s="50" t="n">
        <v>2.4921</v>
      </c>
      <c r="R248" s="50" t="n">
        <v>189.97</v>
      </c>
      <c r="S248" s="50" t="n">
        <v>0.52041</v>
      </c>
      <c r="T248" s="50" t="n">
        <v>0.53203</v>
      </c>
      <c r="U248" s="50" t="n">
        <v>51.5607</v>
      </c>
      <c r="V248" s="50" t="n">
        <v>0.55541</v>
      </c>
      <c r="W248" s="50" t="n">
        <v>0.9628</v>
      </c>
      <c r="X248" s="50" t="n">
        <v>1.4637</v>
      </c>
      <c r="Y248" s="50" t="n">
        <v>1.5173</v>
      </c>
      <c r="Z248" s="50" t="n">
        <v>4.85221</v>
      </c>
      <c r="AA248" s="50" t="n">
        <v>2.7422</v>
      </c>
      <c r="AB248" s="50" t="n">
        <v>4.7508</v>
      </c>
    </row>
    <row r="249">
      <c r="A249" s="49" t="n">
        <v>45575</v>
      </c>
      <c r="B249" s="50" t="n">
        <v>7.0742</v>
      </c>
      <c r="C249" s="50" t="n">
        <v>7.7392</v>
      </c>
      <c r="D249" s="50" t="n">
        <v>0.047414</v>
      </c>
      <c r="E249" s="50" t="n">
        <v>0.91016</v>
      </c>
      <c r="F249" s="50" t="n">
        <v>9.243399999999999</v>
      </c>
      <c r="G249" s="50" t="n">
        <v>4.7507</v>
      </c>
      <c r="H249" s="50" t="n">
        <v>4.2922</v>
      </c>
      <c r="I249" s="50" t="n">
        <v>5.4097</v>
      </c>
      <c r="J249" s="50" t="n">
        <v>8.2196</v>
      </c>
      <c r="K249" s="50" t="n">
        <v>5.1594</v>
      </c>
      <c r="L249" s="50" t="n">
        <v>1.1326</v>
      </c>
      <c r="M249" s="50" t="n">
        <v>0.6056</v>
      </c>
      <c r="N249" s="50" t="n">
        <v>13.7109</v>
      </c>
      <c r="O249" s="50" t="n">
        <v>2.4969</v>
      </c>
      <c r="R249" s="50" t="n">
        <v>190.35</v>
      </c>
      <c r="S249" s="50" t="n">
        <v>0.51917</v>
      </c>
      <c r="T249" s="50" t="n">
        <v>0.5306999999999999</v>
      </c>
      <c r="U249" s="50" t="n">
        <v>51.5409</v>
      </c>
      <c r="V249" s="50" t="n">
        <v>0.55519</v>
      </c>
      <c r="W249" s="50" t="n">
        <v>0.9636</v>
      </c>
      <c r="X249" s="50" t="n">
        <v>1.469</v>
      </c>
      <c r="Y249" s="50" t="n">
        <v>1.5235</v>
      </c>
      <c r="Z249" s="50" t="n">
        <v>4.84248</v>
      </c>
      <c r="AA249" s="50" t="n">
        <v>2.7529</v>
      </c>
      <c r="AB249" s="50" t="n">
        <v>4.7363</v>
      </c>
    </row>
    <row r="250">
      <c r="A250" s="49" t="n">
        <v>45576</v>
      </c>
      <c r="B250" s="50" t="n">
        <v>7.0731</v>
      </c>
      <c r="C250" s="50" t="n">
        <v>7.7334</v>
      </c>
      <c r="D250" s="50" t="n">
        <v>0.047601</v>
      </c>
      <c r="E250" s="50" t="n">
        <v>0.91037</v>
      </c>
      <c r="F250" s="50" t="n">
        <v>9.2361</v>
      </c>
      <c r="G250" s="50" t="n">
        <v>4.7682</v>
      </c>
      <c r="H250" s="50" t="n">
        <v>4.3109</v>
      </c>
      <c r="I250" s="50" t="n">
        <v>5.4162</v>
      </c>
      <c r="J250" s="50" t="n">
        <v>8.257099999999999</v>
      </c>
      <c r="K250" s="50" t="n">
        <v>5.1463</v>
      </c>
      <c r="L250" s="50" t="n">
        <v>1.1323</v>
      </c>
      <c r="M250" s="50" t="n">
        <v>0.6065</v>
      </c>
      <c r="N250" s="50" t="n">
        <v>13.6692</v>
      </c>
      <c r="O250" s="50" t="n">
        <v>2.4759</v>
      </c>
      <c r="R250" s="50" t="n">
        <v>191.01</v>
      </c>
      <c r="S250" s="50" t="n">
        <v>0.5192600000000001</v>
      </c>
      <c r="T250" s="50" t="n">
        <v>0.53085</v>
      </c>
      <c r="U250" s="50" t="n">
        <v>51.8812</v>
      </c>
      <c r="V250" s="50" t="n">
        <v>0.55621</v>
      </c>
      <c r="W250" s="50" t="n">
        <v>0.9648</v>
      </c>
      <c r="X250" s="50" t="n">
        <v>1.4689</v>
      </c>
      <c r="Y250" s="50" t="n">
        <v>1.5175</v>
      </c>
      <c r="Z250" s="50" t="n">
        <v>4.84474</v>
      </c>
      <c r="AA250" s="50" t="n">
        <v>2.7506</v>
      </c>
      <c r="AB250" s="50" t="n">
        <v>4.7281</v>
      </c>
    </row>
    <row r="251">
      <c r="A251" s="49" t="n">
        <v>45579</v>
      </c>
      <c r="B251" s="50" t="n">
        <v>7.0723</v>
      </c>
      <c r="C251" s="50" t="n">
        <v>7.7255</v>
      </c>
      <c r="D251" s="50" t="n">
        <v>0.047383</v>
      </c>
      <c r="E251" s="50" t="n">
        <v>0.90992</v>
      </c>
      <c r="F251" s="50" t="n">
        <v>9.229200000000001</v>
      </c>
      <c r="G251" s="50" t="n">
        <v>4.7612</v>
      </c>
      <c r="H251" s="50" t="n">
        <v>4.31</v>
      </c>
      <c r="I251" s="50" t="n">
        <v>5.4119</v>
      </c>
      <c r="J251" s="50" t="n">
        <v>8.242100000000001</v>
      </c>
      <c r="K251" s="50" t="n">
        <v>5.132</v>
      </c>
      <c r="L251" s="50" t="n">
        <v>1.1326</v>
      </c>
      <c r="M251" s="50" t="n">
        <v>0.6065700000000001</v>
      </c>
      <c r="N251" s="50" t="n">
        <v>13.5451</v>
      </c>
      <c r="O251" s="50" t="n">
        <v>2.4694</v>
      </c>
      <c r="R251" s="50" t="n">
        <v>190.92</v>
      </c>
      <c r="S251" s="50" t="n">
        <v>0.51935</v>
      </c>
      <c r="T251" s="50" t="n">
        <v>0.53101</v>
      </c>
      <c r="U251" s="50" t="n">
        <v>51.9593</v>
      </c>
      <c r="V251" s="50" t="n">
        <v>0.55598</v>
      </c>
      <c r="W251" s="50" t="n">
        <v>0.9657</v>
      </c>
      <c r="X251" s="50" t="n">
        <v>1.4689</v>
      </c>
      <c r="Y251" s="50" t="n">
        <v>1.5173</v>
      </c>
      <c r="Z251" s="50" t="n">
        <v>4.84656</v>
      </c>
      <c r="AA251" s="50" t="n">
        <v>2.7292</v>
      </c>
      <c r="AB251" s="50" t="n">
        <v>4.7003</v>
      </c>
    </row>
    <row r="252">
      <c r="A252" s="49" t="n">
        <v>45580</v>
      </c>
      <c r="B252" s="50" t="n">
        <v>7.083</v>
      </c>
      <c r="C252" s="50" t="n">
        <v>7.7255</v>
      </c>
      <c r="D252" s="50" t="n">
        <v>0.047319</v>
      </c>
      <c r="E252" s="50" t="n">
        <v>0.91225</v>
      </c>
      <c r="F252" s="50" t="n">
        <v>9.2529</v>
      </c>
      <c r="G252" s="50" t="n">
        <v>4.764</v>
      </c>
      <c r="H252" s="50" t="n">
        <v>4.3147</v>
      </c>
      <c r="I252" s="50" t="n">
        <v>5.4154</v>
      </c>
      <c r="J252" s="50" t="n">
        <v>8.2151</v>
      </c>
      <c r="K252" s="50" t="n">
        <v>5.1326</v>
      </c>
      <c r="L252" s="50" t="n">
        <v>1.1296</v>
      </c>
      <c r="M252" s="50" t="n">
        <v>0.60661</v>
      </c>
      <c r="N252" s="50" t="n">
        <v>13.4243</v>
      </c>
      <c r="O252" s="50" t="n">
        <v>2.478</v>
      </c>
      <c r="R252" s="50" t="n">
        <v>191.63</v>
      </c>
      <c r="S252" s="50" t="n">
        <v>0.51857</v>
      </c>
      <c r="T252" s="50" t="n">
        <v>0.53012</v>
      </c>
      <c r="U252" s="50" t="n">
        <v>51.8733</v>
      </c>
      <c r="V252" s="50" t="n">
        <v>0.5555</v>
      </c>
      <c r="W252" s="50" t="n">
        <v>0.9656</v>
      </c>
      <c r="X252" s="50" t="n">
        <v>1.4719</v>
      </c>
      <c r="Y252" s="50" t="n">
        <v>1.5247</v>
      </c>
      <c r="Z252" s="50" t="n">
        <v>4.83899</v>
      </c>
      <c r="AA252" s="50" t="n">
        <v>2.7405</v>
      </c>
      <c r="AB252" s="50" t="n">
        <v>4.6991</v>
      </c>
    </row>
    <row r="253">
      <c r="A253" s="49" t="n">
        <v>45581</v>
      </c>
      <c r="B253" s="50" t="n">
        <v>7.1191</v>
      </c>
      <c r="C253" s="50" t="n">
        <v>7.7508</v>
      </c>
      <c r="D253" s="50" t="n">
        <v>0.047705</v>
      </c>
      <c r="E253" s="50" t="n">
        <v>0.9165</v>
      </c>
      <c r="F253" s="50" t="n">
        <v>9.303100000000001</v>
      </c>
      <c r="G253" s="50" t="n">
        <v>4.762</v>
      </c>
      <c r="H253" s="50" t="n">
        <v>4.315</v>
      </c>
      <c r="I253" s="50" t="n">
        <v>5.4368</v>
      </c>
      <c r="J253" s="50" t="n">
        <v>8.2532</v>
      </c>
      <c r="K253" s="50" t="n">
        <v>5.1666</v>
      </c>
      <c r="L253" s="50" t="n">
        <v>1.1248</v>
      </c>
      <c r="M253" s="50" t="n">
        <v>0.60527</v>
      </c>
      <c r="N253" s="50" t="n">
        <v>13.603</v>
      </c>
      <c r="O253" s="50" t="n">
        <v>2.4794</v>
      </c>
      <c r="R253" s="50" t="n">
        <v>191.67</v>
      </c>
      <c r="S253" s="50" t="n">
        <v>0.51581</v>
      </c>
      <c r="T253" s="50" t="n">
        <v>0.52727</v>
      </c>
      <c r="U253" s="50" t="n">
        <v>51.6207</v>
      </c>
      <c r="V253" s="50" t="n">
        <v>0.5537300000000001</v>
      </c>
      <c r="W253" s="50" t="n">
        <v>0.9623</v>
      </c>
      <c r="X253" s="50" t="n">
        <v>1.4634</v>
      </c>
      <c r="Y253" s="50" t="n">
        <v>1.5207</v>
      </c>
      <c r="Z253" s="50" t="n">
        <v>4.80794</v>
      </c>
      <c r="AA253" s="50" t="n">
        <v>2.7667</v>
      </c>
      <c r="AB253" s="50" t="n">
        <v>4.6819</v>
      </c>
    </row>
    <row r="254">
      <c r="A254" s="49" t="n">
        <v>45582</v>
      </c>
      <c r="B254" s="50" t="n">
        <v>7.122</v>
      </c>
      <c r="C254" s="50" t="n">
        <v>7.7337</v>
      </c>
      <c r="D254" s="50" t="n">
        <v>0.047599</v>
      </c>
      <c r="E254" s="50" t="n">
        <v>0.91637</v>
      </c>
      <c r="F254" s="50" t="n">
        <v>9.251099999999999</v>
      </c>
      <c r="G254" s="50" t="n">
        <v>4.745</v>
      </c>
      <c r="H254" s="50" t="n">
        <v>4.3147</v>
      </c>
      <c r="I254" s="50" t="n">
        <v>5.4222</v>
      </c>
      <c r="J254" s="50" t="n">
        <v>8.2265</v>
      </c>
      <c r="K254" s="50" t="n">
        <v>5.1771</v>
      </c>
      <c r="L254" s="50" t="n">
        <v>1.1245</v>
      </c>
      <c r="M254" s="50" t="n">
        <v>0.60366</v>
      </c>
      <c r="N254" s="50" t="n">
        <v>13.6441</v>
      </c>
      <c r="O254" s="50" t="n">
        <v>2.4782</v>
      </c>
      <c r="R254" s="50" t="n">
        <v>191.58</v>
      </c>
      <c r="S254" s="50" t="n">
        <v>0.51575</v>
      </c>
      <c r="T254" s="50" t="n">
        <v>0.5273600000000001</v>
      </c>
      <c r="U254" s="50" t="n">
        <v>51.8579</v>
      </c>
      <c r="V254" s="50" t="n">
        <v>0.55586</v>
      </c>
      <c r="W254" s="50" t="n">
        <v>0.9647</v>
      </c>
      <c r="X254" s="50" t="n">
        <v>1.4756</v>
      </c>
      <c r="Y254" s="50" t="n">
        <v>1.5333</v>
      </c>
      <c r="Z254" s="50" t="n">
        <v>4.79857</v>
      </c>
      <c r="AA254" s="50" t="n">
        <v>2.7956</v>
      </c>
      <c r="AB254" s="50" t="n">
        <v>4.6625</v>
      </c>
    </row>
    <row r="255">
      <c r="A255" s="49" t="n">
        <v>45583</v>
      </c>
      <c r="B255" s="50" t="n">
        <v>7.1274</v>
      </c>
      <c r="C255" s="50" t="n">
        <v>7.7173</v>
      </c>
      <c r="D255" s="50" t="n">
        <v>0.047443</v>
      </c>
      <c r="E255" s="50" t="n">
        <v>0.91696</v>
      </c>
      <c r="F255" s="50" t="n">
        <v>9.2735</v>
      </c>
      <c r="G255" s="50" t="n">
        <v>4.7726</v>
      </c>
      <c r="H255" s="50" t="n">
        <v>4.3157</v>
      </c>
      <c r="I255" s="50" t="n">
        <v>5.4216</v>
      </c>
      <c r="J255" s="50" t="n">
        <v>8.2278</v>
      </c>
      <c r="K255" s="50" t="n">
        <v>5.1655</v>
      </c>
      <c r="L255" s="50" t="n">
        <v>1.1241</v>
      </c>
      <c r="M255" s="50" t="n">
        <v>0.60467</v>
      </c>
      <c r="N255" s="50" t="n">
        <v>13.6243</v>
      </c>
      <c r="O255" s="50" t="n">
        <v>2.4802</v>
      </c>
      <c r="R255" s="50" t="n">
        <v>192.39</v>
      </c>
      <c r="S255" s="50" t="n">
        <v>0.51534</v>
      </c>
      <c r="T255" s="50" t="n">
        <v>0.52696</v>
      </c>
      <c r="U255" s="50" t="n">
        <v>51.8735</v>
      </c>
      <c r="V255" s="50" t="n">
        <v>0.55829</v>
      </c>
      <c r="W255" s="50" t="n">
        <v>0.9665</v>
      </c>
      <c r="X255" s="50" t="n">
        <v>1.4799</v>
      </c>
      <c r="Y255" s="50" t="n">
        <v>1.5324</v>
      </c>
      <c r="Z255" s="50" t="n">
        <v>4.79806</v>
      </c>
      <c r="AA255" s="50" t="n">
        <v>2.7819</v>
      </c>
      <c r="AB255" s="50" t="n">
        <v>4.6575</v>
      </c>
    </row>
    <row r="256">
      <c r="A256" s="49" t="n">
        <v>45586</v>
      </c>
      <c r="B256" s="50" t="n">
        <v>7.0982</v>
      </c>
      <c r="C256" s="50" t="n">
        <v>7.7126</v>
      </c>
      <c r="D256" s="50" t="n">
        <v>0.047465</v>
      </c>
      <c r="E256" s="50" t="n">
        <v>0.9136</v>
      </c>
      <c r="F256" s="50" t="n">
        <v>9.262</v>
      </c>
      <c r="G256" s="50" t="n">
        <v>4.7632</v>
      </c>
      <c r="H256" s="50" t="n">
        <v>4.3115</v>
      </c>
      <c r="I256" s="50" t="n">
        <v>5.4179</v>
      </c>
      <c r="J256" s="50" t="n">
        <v>8.206</v>
      </c>
      <c r="K256" s="50" t="n">
        <v>5.143</v>
      </c>
      <c r="L256" s="50" t="n">
        <v>1.1282</v>
      </c>
      <c r="M256" s="50" t="n">
        <v>0.6061</v>
      </c>
      <c r="N256" s="50" t="n">
        <v>13.4211</v>
      </c>
      <c r="O256" s="50" t="n">
        <v>2.4799</v>
      </c>
      <c r="R256" s="50" t="n">
        <v>192.8</v>
      </c>
      <c r="S256" s="50" t="n">
        <v>0.51744</v>
      </c>
      <c r="T256" s="50" t="n">
        <v>0.5291</v>
      </c>
      <c r="U256" s="50" t="n">
        <v>51.9041</v>
      </c>
      <c r="V256" s="50" t="n">
        <v>0.55814</v>
      </c>
      <c r="W256" s="50" t="n">
        <v>0.9669</v>
      </c>
      <c r="X256" s="50" t="n">
        <v>1.4826</v>
      </c>
      <c r="Y256" s="50" t="n">
        <v>1.5386</v>
      </c>
      <c r="Z256" s="50" t="n">
        <v>4.81865</v>
      </c>
      <c r="AA256" s="50" t="n">
        <v>2.7992</v>
      </c>
      <c r="AB256" s="50" t="n">
        <v>4.6639</v>
      </c>
    </row>
    <row r="257">
      <c r="A257" s="49" t="n">
        <v>45587</v>
      </c>
      <c r="B257" s="50" t="n">
        <v>7.1223</v>
      </c>
      <c r="C257" s="50" t="n">
        <v>7.7016</v>
      </c>
      <c r="D257" s="50" t="n">
        <v>0.047261</v>
      </c>
      <c r="E257" s="50" t="n">
        <v>0.91612</v>
      </c>
      <c r="F257" s="50" t="n">
        <v>9.2461</v>
      </c>
      <c r="G257" s="50" t="n">
        <v>4.7405</v>
      </c>
      <c r="H257" s="50" t="n">
        <v>4.2912</v>
      </c>
      <c r="I257" s="50" t="n">
        <v>5.4093</v>
      </c>
      <c r="J257" s="50" t="n">
        <v>8.227499999999999</v>
      </c>
      <c r="K257" s="50" t="n">
        <v>5.1485</v>
      </c>
      <c r="L257" s="50" t="n">
        <v>1.1251</v>
      </c>
      <c r="M257" s="50" t="n">
        <v>0.6052999999999999</v>
      </c>
      <c r="N257" s="50" t="n">
        <v>13.5766</v>
      </c>
      <c r="O257" s="50" t="n">
        <v>2.4733</v>
      </c>
      <c r="R257" s="50" t="n">
        <v>193.62</v>
      </c>
      <c r="S257" s="50" t="n">
        <v>0.51571</v>
      </c>
      <c r="T257" s="50" t="n">
        <v>0.52739</v>
      </c>
      <c r="U257" s="50" t="n">
        <v>52.1223</v>
      </c>
      <c r="V257" s="50" t="n">
        <v>0.56084</v>
      </c>
      <c r="W257" s="50" t="n">
        <v>0.9681999999999999</v>
      </c>
      <c r="X257" s="50" t="n">
        <v>1.483</v>
      </c>
      <c r="Y257" s="50" t="n">
        <v>1.5372</v>
      </c>
      <c r="Z257" s="50" t="n">
        <v>4.80883</v>
      </c>
      <c r="AA257" s="50" t="n">
        <v>2.8032</v>
      </c>
      <c r="AB257" s="50" t="n">
        <v>4.704</v>
      </c>
    </row>
    <row r="258">
      <c r="A258" s="49" t="n">
        <v>45588</v>
      </c>
      <c r="B258" s="50" t="n">
        <v>7.1245</v>
      </c>
      <c r="C258" s="50" t="n">
        <v>7.6912</v>
      </c>
      <c r="D258" s="50" t="n">
        <v>0.047148</v>
      </c>
      <c r="E258" s="50" t="n">
        <v>0.9166</v>
      </c>
      <c r="F258" s="50" t="n">
        <v>9.2475</v>
      </c>
      <c r="G258" s="50" t="n">
        <v>4.7599</v>
      </c>
      <c r="H258" s="50" t="n">
        <v>4.3054</v>
      </c>
      <c r="I258" s="50" t="n">
        <v>5.4125</v>
      </c>
      <c r="J258" s="50" t="n">
        <v>8.231400000000001</v>
      </c>
      <c r="K258" s="50" t="n">
        <v>5.1552</v>
      </c>
      <c r="L258" s="50" t="n">
        <v>1.1244</v>
      </c>
      <c r="M258" s="50" t="n">
        <v>0.60762</v>
      </c>
      <c r="N258" s="50" t="n">
        <v>13.4549</v>
      </c>
      <c r="O258" s="50" t="n">
        <v>2.4615</v>
      </c>
      <c r="R258" s="50" t="n">
        <v>193.56</v>
      </c>
      <c r="S258" s="50" t="n">
        <v>0.51556</v>
      </c>
      <c r="T258" s="50" t="n">
        <v>0.52719</v>
      </c>
      <c r="U258" s="50" t="n">
        <v>52.03</v>
      </c>
      <c r="V258" s="50" t="n">
        <v>0.56214</v>
      </c>
      <c r="W258" s="50" t="n">
        <v>0.9696</v>
      </c>
      <c r="X258" s="50" t="n">
        <v>1.4803</v>
      </c>
      <c r="Y258" s="50" t="n">
        <v>1.5332</v>
      </c>
      <c r="Z258" s="50" t="n">
        <v>4.80898</v>
      </c>
      <c r="AA258" s="50" t="n">
        <v>2.8012</v>
      </c>
      <c r="AB258" s="50" t="n">
        <v>4.7022</v>
      </c>
    </row>
    <row r="259">
      <c r="A259" s="49" t="n">
        <v>45589</v>
      </c>
      <c r="B259" s="50" t="n">
        <v>7.1286</v>
      </c>
      <c r="C259" s="50" t="n">
        <v>7.6868</v>
      </c>
      <c r="D259" s="50" t="n">
        <v>0.0467</v>
      </c>
      <c r="E259" s="50" t="n">
        <v>0.91755</v>
      </c>
      <c r="F259" s="50" t="n">
        <v>9.205299999999999</v>
      </c>
      <c r="G259" s="50" t="n">
        <v>4.7282</v>
      </c>
      <c r="H259" s="50" t="n">
        <v>4.279</v>
      </c>
      <c r="I259" s="50" t="n">
        <v>5.388</v>
      </c>
      <c r="J259" s="50" t="n">
        <v>8.2277</v>
      </c>
      <c r="K259" s="50" t="n">
        <v>5.1514</v>
      </c>
      <c r="L259" s="50" t="n">
        <v>1.1234</v>
      </c>
      <c r="M259" s="50" t="n">
        <v>0.61058</v>
      </c>
      <c r="N259" s="50" t="n">
        <v>13.4727</v>
      </c>
      <c r="O259" s="50" t="n">
        <v>2.4959</v>
      </c>
      <c r="R259" s="50" t="n">
        <v>193.78</v>
      </c>
      <c r="S259" s="50" t="n">
        <v>0.51524</v>
      </c>
      <c r="T259" s="50" t="n">
        <v>0.5268</v>
      </c>
      <c r="U259" s="50" t="n">
        <v>52.4409</v>
      </c>
      <c r="V259" s="50" t="n">
        <v>0.56551</v>
      </c>
      <c r="W259" s="50" t="n">
        <v>0.9704</v>
      </c>
      <c r="X259" s="50" t="n">
        <v>1.4856</v>
      </c>
      <c r="Y259" s="50" t="n">
        <v>1.5411</v>
      </c>
      <c r="Z259" s="50" t="n">
        <v>4.80783</v>
      </c>
      <c r="AA259" s="50" t="n">
        <v>2.7833</v>
      </c>
      <c r="AB259" s="50" t="n">
        <v>4.7413</v>
      </c>
    </row>
    <row r="260">
      <c r="A260" s="49" t="n">
        <v>45590</v>
      </c>
      <c r="B260" s="50" t="n">
        <v>7.109</v>
      </c>
      <c r="C260" s="50" t="n">
        <v>7.6939</v>
      </c>
      <c r="D260" s="50" t="n">
        <v>0.046844</v>
      </c>
      <c r="E260" s="50" t="n">
        <v>0.91496</v>
      </c>
      <c r="F260" s="50" t="n">
        <v>9.2209</v>
      </c>
      <c r="G260" s="50" t="n">
        <v>4.7147</v>
      </c>
      <c r="H260" s="50" t="n">
        <v>4.2698</v>
      </c>
      <c r="I260" s="50" t="n">
        <v>5.3909</v>
      </c>
      <c r="J260" s="50" t="n">
        <v>8.2096</v>
      </c>
      <c r="K260" s="50" t="n">
        <v>5.1314</v>
      </c>
      <c r="L260" s="50" t="n">
        <v>1.1266</v>
      </c>
      <c r="M260" s="50" t="n">
        <v>0.61136</v>
      </c>
      <c r="N260" s="50" t="n">
        <v>13.5256</v>
      </c>
      <c r="O260" s="50" t="n">
        <v>2.4846</v>
      </c>
      <c r="R260" s="50" t="n">
        <v>194.02</v>
      </c>
      <c r="S260" s="50" t="n">
        <v>0.51666</v>
      </c>
      <c r="T260" s="50" t="n">
        <v>0.5283600000000001</v>
      </c>
      <c r="U260" s="50" t="n">
        <v>52.3748</v>
      </c>
      <c r="V260" s="50" t="n">
        <v>0.5646600000000001</v>
      </c>
      <c r="W260" s="50" t="n">
        <v>0.9696</v>
      </c>
      <c r="X260" s="50" t="n">
        <v>1.4858</v>
      </c>
      <c r="Y260" s="50" t="n">
        <v>1.5388</v>
      </c>
      <c r="Z260" s="50" t="n">
        <v>4.82394</v>
      </c>
      <c r="AA260" s="50" t="n">
        <v>2.7888</v>
      </c>
      <c r="AB260" s="50" t="n">
        <v>4.7375</v>
      </c>
    </row>
    <row r="261">
      <c r="A261" s="49" t="n">
        <v>45593</v>
      </c>
      <c r="B261" s="50" t="n">
        <v>7.1307</v>
      </c>
      <c r="C261" s="50" t="n">
        <v>7.699</v>
      </c>
      <c r="D261" s="50" t="n">
        <v>0.046657</v>
      </c>
      <c r="E261" s="50" t="n">
        <v>0.91733</v>
      </c>
      <c r="F261" s="50" t="n">
        <v>9.240500000000001</v>
      </c>
      <c r="G261" s="50" t="n">
        <v>4.7116</v>
      </c>
      <c r="H261" s="50" t="n">
        <v>4.2655</v>
      </c>
      <c r="I261" s="50" t="n">
        <v>5.3892</v>
      </c>
      <c r="J261" s="50" t="n">
        <v>8.2097</v>
      </c>
      <c r="K261" s="50" t="n">
        <v>5.1322</v>
      </c>
      <c r="L261" s="50" t="n">
        <v>1.1232</v>
      </c>
      <c r="M261" s="50" t="n">
        <v>0.6093499999999999</v>
      </c>
      <c r="N261" s="50" t="n">
        <v>13.6467</v>
      </c>
      <c r="O261" s="50" t="n">
        <v>2.4769</v>
      </c>
      <c r="R261" s="50" t="n">
        <v>194.79</v>
      </c>
      <c r="S261" s="50" t="n">
        <v>0.51514</v>
      </c>
      <c r="T261" s="50" t="n">
        <v>0.52673</v>
      </c>
      <c r="U261" s="50" t="n">
        <v>52.4465</v>
      </c>
      <c r="V261" s="50" t="n">
        <v>0.56427</v>
      </c>
      <c r="W261" s="50" t="n">
        <v>0.9687</v>
      </c>
      <c r="X261" s="50" t="n">
        <v>1.4884</v>
      </c>
      <c r="Y261" s="50" t="n">
        <v>1.5407</v>
      </c>
      <c r="Z261" s="50" t="n">
        <v>4.80922</v>
      </c>
      <c r="AA261" s="50" t="n">
        <v>2.7972</v>
      </c>
      <c r="AB261" s="50" t="n">
        <v>4.7332</v>
      </c>
    </row>
    <row r="262">
      <c r="A262" s="49" t="n">
        <v>45594</v>
      </c>
      <c r="B262" s="50" t="n">
        <v>7.1283</v>
      </c>
      <c r="C262" s="50" t="n">
        <v>7.7073</v>
      </c>
      <c r="D262" s="50" t="n">
        <v>0.046506</v>
      </c>
      <c r="E262" s="50" t="n">
        <v>0.91729</v>
      </c>
      <c r="F262" s="50" t="n">
        <v>9.2439</v>
      </c>
      <c r="G262" s="50" t="n">
        <v>4.689</v>
      </c>
      <c r="H262" s="50" t="n">
        <v>4.2626</v>
      </c>
      <c r="I262" s="50" t="n">
        <v>5.3886</v>
      </c>
      <c r="J262" s="50" t="n">
        <v>8.238300000000001</v>
      </c>
      <c r="K262" s="50" t="n">
        <v>5.1309</v>
      </c>
      <c r="L262" s="50" t="n">
        <v>1.1236</v>
      </c>
      <c r="M262" s="50" t="n">
        <v>0.61202</v>
      </c>
      <c r="N262" s="50" t="n">
        <v>13.6376</v>
      </c>
      <c r="O262" s="50" t="n">
        <v>2.4833</v>
      </c>
      <c r="R262" s="50" t="n">
        <v>194.06</v>
      </c>
      <c r="S262" s="50" t="n">
        <v>0.51522</v>
      </c>
      <c r="T262" s="50" t="n">
        <v>0.52685</v>
      </c>
      <c r="U262" s="50" t="n">
        <v>52.4497</v>
      </c>
      <c r="V262" s="50" t="n">
        <v>0.56428</v>
      </c>
      <c r="W262" s="50" t="n">
        <v>0.9676</v>
      </c>
      <c r="X262" s="50" t="n">
        <v>1.4936</v>
      </c>
      <c r="Y262" s="50" t="n">
        <v>1.5414</v>
      </c>
      <c r="Z262" s="50" t="n">
        <v>4.81065</v>
      </c>
      <c r="AA262" s="50" t="n">
        <v>2.8107</v>
      </c>
      <c r="AB262" s="50" t="n">
        <v>4.7395</v>
      </c>
    </row>
    <row r="263">
      <c r="A263" s="49" t="n">
        <v>45595</v>
      </c>
      <c r="B263" s="50" t="n">
        <v>7.139</v>
      </c>
      <c r="C263" s="50" t="n">
        <v>7.7248</v>
      </c>
      <c r="D263" s="50" t="n">
        <v>0.046588</v>
      </c>
      <c r="E263" s="50" t="n">
        <v>0.91877</v>
      </c>
      <c r="F263" s="50" t="n">
        <v>9.2902</v>
      </c>
      <c r="G263" s="50" t="n">
        <v>4.683</v>
      </c>
      <c r="H263" s="50" t="n">
        <v>4.2623</v>
      </c>
      <c r="I263" s="50" t="n">
        <v>5.3941</v>
      </c>
      <c r="J263" s="50" t="n">
        <v>8.2326</v>
      </c>
      <c r="K263" s="50" t="n">
        <v>5.1315</v>
      </c>
      <c r="L263" s="50" t="n">
        <v>1.1218</v>
      </c>
      <c r="M263" s="50" t="n">
        <v>0.61275</v>
      </c>
      <c r="N263" s="50" t="n">
        <v>13.6683</v>
      </c>
      <c r="O263" s="50" t="n">
        <v>2.473</v>
      </c>
      <c r="R263" s="50" t="n">
        <v>193.9</v>
      </c>
      <c r="S263" s="50" t="n">
        <v>0.51514</v>
      </c>
      <c r="T263" s="50" t="n">
        <v>0.52603</v>
      </c>
      <c r="U263" s="50" t="n">
        <v>52.4408</v>
      </c>
      <c r="V263" s="50" t="n">
        <v>0.56151</v>
      </c>
      <c r="W263" s="50" t="n">
        <v>0.9654</v>
      </c>
      <c r="X263" s="50" t="n">
        <v>1.4899</v>
      </c>
      <c r="Y263" s="50" t="n">
        <v>1.5348</v>
      </c>
      <c r="Z263" s="50" t="n">
        <v>4.80042</v>
      </c>
      <c r="AA263" s="50" t="n">
        <v>2.8079</v>
      </c>
      <c r="AB263" s="50" t="n">
        <v>4.7179</v>
      </c>
    </row>
    <row r="264">
      <c r="A264" s="49" t="n">
        <v>45596</v>
      </c>
      <c r="B264" s="50" t="n">
        <v>7.125</v>
      </c>
      <c r="C264" s="50" t="n">
        <v>7.7368</v>
      </c>
      <c r="D264" s="50" t="n">
        <v>0.04648</v>
      </c>
      <c r="E264" s="50" t="n">
        <v>0.91673</v>
      </c>
      <c r="F264" s="50" t="n">
        <v>9.231999999999999</v>
      </c>
      <c r="G264" s="50" t="n">
        <v>4.6831</v>
      </c>
      <c r="H264" s="50" t="n">
        <v>4.2551</v>
      </c>
      <c r="I264" s="50" t="n">
        <v>5.3884</v>
      </c>
      <c r="J264" s="50" t="n">
        <v>8.224</v>
      </c>
      <c r="K264" s="50" t="n">
        <v>5.1231</v>
      </c>
      <c r="L264" s="50" t="n">
        <v>1.1242</v>
      </c>
      <c r="M264" s="50" t="n">
        <v>0.61446</v>
      </c>
      <c r="N264" s="50" t="n">
        <v>13.6242</v>
      </c>
      <c r="O264" s="50" t="n">
        <v>2.4775</v>
      </c>
      <c r="R264" s="50" t="n">
        <v>193.62</v>
      </c>
      <c r="S264" s="50" t="n">
        <v>0.5154300000000001</v>
      </c>
      <c r="T264" s="50" t="n">
        <v>0.52711</v>
      </c>
      <c r="U264" s="50" t="n">
        <v>52.7147</v>
      </c>
      <c r="V264" s="50" t="n">
        <v>0.56273</v>
      </c>
      <c r="W264" s="50" t="n">
        <v>0.9641</v>
      </c>
      <c r="X264" s="50" t="n">
        <v>1.4986</v>
      </c>
      <c r="Y264" s="50" t="n">
        <v>1.5386</v>
      </c>
      <c r="Z264" s="50" t="n">
        <v>4.81139</v>
      </c>
      <c r="AA264" s="50" t="n">
        <v>2.8311</v>
      </c>
      <c r="AB264" s="50" t="n">
        <v>4.7367</v>
      </c>
    </row>
    <row r="265">
      <c r="A265" s="49" t="n">
        <v>45597</v>
      </c>
      <c r="B265" s="50" t="n">
        <v>7.1135</v>
      </c>
      <c r="C265" s="50" t="n">
        <v>7.7421</v>
      </c>
      <c r="D265" s="50" t="n">
        <v>0.0468</v>
      </c>
      <c r="E265" s="50" t="n">
        <v>0.915</v>
      </c>
      <c r="F265" s="50" t="n">
        <v>9.1755</v>
      </c>
      <c r="G265" s="50" t="n">
        <v>4.6808</v>
      </c>
      <c r="H265" s="50" t="n">
        <v>4.2497</v>
      </c>
      <c r="I265" s="50" t="n">
        <v>5.3892</v>
      </c>
      <c r="J265" s="50" t="n">
        <v>8.237399999999999</v>
      </c>
      <c r="K265" s="50" t="n">
        <v>5.1071</v>
      </c>
      <c r="L265" s="50" t="n">
        <v>1.1263</v>
      </c>
      <c r="M265" s="50" t="n">
        <v>0.6143999999999999</v>
      </c>
      <c r="N265" s="50" t="n">
        <v>13.6815</v>
      </c>
      <c r="O265" s="50" t="n">
        <v>2.4747</v>
      </c>
      <c r="R265" s="50" t="n">
        <v>193.32</v>
      </c>
      <c r="S265" s="50" t="n">
        <v>0.51634</v>
      </c>
      <c r="T265" s="50" t="n">
        <v>0.52796</v>
      </c>
      <c r="U265" s="50" t="n">
        <v>52.7762</v>
      </c>
      <c r="V265" s="50" t="n">
        <v>0.56232</v>
      </c>
      <c r="W265" s="50" t="n">
        <v>0.9635</v>
      </c>
      <c r="X265" s="50" t="n">
        <v>1.4966</v>
      </c>
      <c r="Y265" s="50" t="n">
        <v>1.5457</v>
      </c>
      <c r="Z265" s="50" t="n">
        <v>4.8223</v>
      </c>
      <c r="AA265" s="50" t="n">
        <v>2.82</v>
      </c>
      <c r="AB265" s="50" t="n">
        <v>4.754</v>
      </c>
    </row>
    <row r="266">
      <c r="A266" s="49" t="n">
        <v>45600</v>
      </c>
      <c r="B266" s="50" t="n">
        <v>7.1203</v>
      </c>
      <c r="C266" s="50" t="n">
        <v>7.7419</v>
      </c>
      <c r="D266" s="50" t="n">
        <v>0.046748</v>
      </c>
      <c r="E266" s="50" t="n">
        <v>0.91575</v>
      </c>
      <c r="F266" s="50" t="n">
        <v>9.225899999999999</v>
      </c>
      <c r="G266" s="50" t="n">
        <v>4.6945</v>
      </c>
      <c r="H266" s="50" t="n">
        <v>4.2634</v>
      </c>
      <c r="I266" s="50" t="n">
        <v>5.3858</v>
      </c>
      <c r="J266" s="50" t="n">
        <v>8.2042</v>
      </c>
      <c r="K266" s="50" t="n">
        <v>5.1147</v>
      </c>
      <c r="L266" s="50" t="n">
        <v>1.1255</v>
      </c>
      <c r="M266" s="50" t="n">
        <v>0.61494</v>
      </c>
      <c r="N266" s="50" t="n">
        <v>13.7582</v>
      </c>
      <c r="O266" s="50" t="n">
        <v>2.4691</v>
      </c>
      <c r="R266" s="50" t="n">
        <v>193.38</v>
      </c>
      <c r="S266" s="50" t="n">
        <v>0.51581</v>
      </c>
      <c r="T266" s="50" t="n">
        <v>0.52746</v>
      </c>
      <c r="U266" s="50" t="n">
        <v>52.7677</v>
      </c>
      <c r="V266" s="50" t="n">
        <v>0.5626</v>
      </c>
      <c r="W266" s="50" t="n">
        <v>0.9631999999999999</v>
      </c>
      <c r="X266" s="50" t="n">
        <v>1.5013</v>
      </c>
      <c r="Y266" s="50" t="n">
        <v>1.546</v>
      </c>
      <c r="Z266" s="50" t="n">
        <v>4.82208</v>
      </c>
      <c r="AA266" s="50" t="n">
        <v>2.8235</v>
      </c>
      <c r="AB266" s="50" t="n">
        <v>4.7597</v>
      </c>
    </row>
    <row r="267">
      <c r="A267" s="49" t="n">
        <v>45601</v>
      </c>
      <c r="B267" s="50" t="n">
        <v>7.1016</v>
      </c>
      <c r="C267" s="50" t="n">
        <v>7.724</v>
      </c>
      <c r="D267" s="50" t="n">
        <v>0.046657</v>
      </c>
      <c r="E267" s="50" t="n">
        <v>0.91356</v>
      </c>
      <c r="F267" s="50" t="n">
        <v>9.2004</v>
      </c>
      <c r="G267" s="50" t="n">
        <v>4.6766</v>
      </c>
      <c r="H267" s="50" t="n">
        <v>4.2419</v>
      </c>
      <c r="I267" s="50" t="n">
        <v>5.3823</v>
      </c>
      <c r="J267" s="50" t="n">
        <v>8.2189</v>
      </c>
      <c r="K267" s="50" t="n">
        <v>5.1089</v>
      </c>
      <c r="L267" s="50" t="n">
        <v>1.1283</v>
      </c>
      <c r="M267" s="50" t="n">
        <v>0.616</v>
      </c>
      <c r="N267" s="50" t="n">
        <v>13.8896</v>
      </c>
      <c r="O267" s="50" t="n">
        <v>2.4655</v>
      </c>
      <c r="R267" s="50" t="n">
        <v>193.6</v>
      </c>
      <c r="S267" s="50" t="n">
        <v>0.51713</v>
      </c>
      <c r="T267" s="50" t="n">
        <v>0.52885</v>
      </c>
      <c r="U267" s="50" t="n">
        <v>52.8304</v>
      </c>
      <c r="V267" s="50" t="n">
        <v>0.56404</v>
      </c>
      <c r="W267" s="50" t="n">
        <v>0.9656</v>
      </c>
      <c r="X267" s="50" t="n">
        <v>1.5096</v>
      </c>
      <c r="Y267" s="50" t="n">
        <v>1.5494</v>
      </c>
      <c r="Z267" s="50" t="n">
        <v>4.8368</v>
      </c>
      <c r="AA267" s="50" t="n">
        <v>2.8308</v>
      </c>
      <c r="AB267" s="50" t="n">
        <v>4.7535</v>
      </c>
    </row>
    <row r="268">
      <c r="A268" s="49" t="n">
        <v>45602</v>
      </c>
      <c r="B268" s="50" t="n">
        <v>7.0993</v>
      </c>
      <c r="C268" s="50" t="n">
        <v>7.7411</v>
      </c>
      <c r="D268" s="50" t="n">
        <v>0.04675</v>
      </c>
      <c r="E268" s="50" t="n">
        <v>0.9132400000000001</v>
      </c>
      <c r="F268" s="50" t="n">
        <v>9.2384</v>
      </c>
      <c r="G268" s="50" t="n">
        <v>4.7045</v>
      </c>
      <c r="H268" s="50" t="n">
        <v>4.2608</v>
      </c>
      <c r="I268" s="50" t="n">
        <v>5.3945</v>
      </c>
      <c r="J268" s="50" t="n">
        <v>8.213900000000001</v>
      </c>
      <c r="K268" s="50" t="n">
        <v>5.1286</v>
      </c>
      <c r="L268" s="50" t="n">
        <v>1.1287</v>
      </c>
      <c r="M268" s="50" t="n">
        <v>0.61199</v>
      </c>
      <c r="N268" s="50" t="n">
        <v>13.7838</v>
      </c>
      <c r="O268" s="50" t="n">
        <v>2.4526</v>
      </c>
      <c r="R268" s="50" t="n">
        <v>194.46</v>
      </c>
      <c r="S268" s="50" t="n">
        <v>0.5174299999999999</v>
      </c>
      <c r="T268" s="50" t="n">
        <v>0.52921</v>
      </c>
      <c r="U268" s="50" t="n">
        <v>52.7431</v>
      </c>
      <c r="V268" s="50" t="n">
        <v>0.56247</v>
      </c>
      <c r="W268" s="50" t="n">
        <v>0.9631</v>
      </c>
      <c r="X268" s="50" t="n">
        <v>1.5092</v>
      </c>
      <c r="Y268" s="50" t="n">
        <v>1.545</v>
      </c>
      <c r="Z268" s="50" t="n">
        <v>4.83038</v>
      </c>
      <c r="AA268" s="50" t="n">
        <v>2.8413</v>
      </c>
      <c r="AB268" s="50" t="n">
        <v>4.735</v>
      </c>
    </row>
    <row r="269">
      <c r="A269" s="49" t="n">
        <v>45603</v>
      </c>
      <c r="B269" s="50" t="n">
        <v>7.1659</v>
      </c>
      <c r="C269" s="50" t="n">
        <v>7.6862</v>
      </c>
      <c r="D269" s="50" t="n">
        <v>0.0464</v>
      </c>
      <c r="E269" s="50" t="n">
        <v>0.9217</v>
      </c>
      <c r="F269" s="50" t="n">
        <v>9.228999999999999</v>
      </c>
      <c r="G269" s="50" t="n">
        <v>4.7074</v>
      </c>
      <c r="H269" s="50" t="n">
        <v>4.2574</v>
      </c>
      <c r="I269" s="50" t="n">
        <v>5.3746</v>
      </c>
      <c r="J269" s="50" t="n">
        <v>8.1784</v>
      </c>
      <c r="K269" s="50" t="n">
        <v>5.1396</v>
      </c>
      <c r="L269" s="50" t="n">
        <v>1.1181</v>
      </c>
      <c r="M269" s="50" t="n">
        <v>0.6157899999999999</v>
      </c>
      <c r="N269" s="50" t="n">
        <v>13.6093</v>
      </c>
      <c r="O269" s="50" t="n">
        <v>2.4634</v>
      </c>
      <c r="R269" s="50" t="n">
        <v>195.53</v>
      </c>
      <c r="S269" s="50" t="n">
        <v>0.5127699999999999</v>
      </c>
      <c r="T269" s="50" t="n">
        <v>0.5244799999999999</v>
      </c>
      <c r="U269" s="50" t="n">
        <v>53.2878</v>
      </c>
      <c r="V269" s="50" t="n">
        <v>0.5659</v>
      </c>
      <c r="W269" s="50" t="n">
        <v>0.97</v>
      </c>
      <c r="X269" s="50" t="n">
        <v>1.5146</v>
      </c>
      <c r="Y269" s="50" t="n">
        <v>1.5453</v>
      </c>
      <c r="Z269" s="50" t="n">
        <v>4.77391</v>
      </c>
      <c r="AA269" s="50" t="n">
        <v>2.8112</v>
      </c>
      <c r="AB269" s="50" t="n">
        <v>4.7906</v>
      </c>
    </row>
    <row r="270">
      <c r="A270" s="49" t="n">
        <v>45604</v>
      </c>
      <c r="B270" s="50" t="n">
        <v>7.1433</v>
      </c>
      <c r="C270" s="50" t="n">
        <v>7.7099</v>
      </c>
      <c r="D270" s="50" t="n">
        <v>0.046658</v>
      </c>
      <c r="E270" s="50" t="n">
        <v>0.91906</v>
      </c>
      <c r="F270" s="50" t="n">
        <v>9.2697</v>
      </c>
      <c r="G270" s="50" t="n">
        <v>4.7653</v>
      </c>
      <c r="H270" s="50" t="n">
        <v>4.2997</v>
      </c>
      <c r="I270" s="50" t="n">
        <v>5.4083</v>
      </c>
      <c r="J270" s="50" t="n">
        <v>8.185499999999999</v>
      </c>
      <c r="K270" s="50" t="n">
        <v>5.151</v>
      </c>
      <c r="L270" s="50" t="n">
        <v>1.1213</v>
      </c>
      <c r="M270" s="50" t="n">
        <v>0.6156</v>
      </c>
      <c r="N270" s="50" t="n">
        <v>13.711</v>
      </c>
      <c r="O270" s="50" t="n">
        <v>2.4227</v>
      </c>
      <c r="R270" s="50" t="n">
        <v>193.66</v>
      </c>
      <c r="S270" s="50" t="n">
        <v>0.51431</v>
      </c>
      <c r="T270" s="50" t="n">
        <v>0.5259</v>
      </c>
      <c r="U270" s="50" t="n">
        <v>52.478</v>
      </c>
      <c r="V270" s="50" t="n">
        <v>0.5591699999999999</v>
      </c>
      <c r="W270" s="50" t="n">
        <v>0.9671</v>
      </c>
      <c r="X270" s="50" t="n">
        <v>1.4964</v>
      </c>
      <c r="Y270" s="50" t="n">
        <v>1.5231</v>
      </c>
      <c r="Z270" s="50" t="n">
        <v>4.80938</v>
      </c>
      <c r="AA270" s="50" t="n">
        <v>2.7726</v>
      </c>
      <c r="AB270" s="50" t="n">
        <v>4.7651</v>
      </c>
    </row>
    <row r="271">
      <c r="A271" s="49" t="n">
        <v>45607</v>
      </c>
      <c r="B271" s="50" t="n">
        <v>7.1786</v>
      </c>
      <c r="C271" s="50" t="n">
        <v>7.6916</v>
      </c>
      <c r="D271" s="50" t="n">
        <v>0.046947</v>
      </c>
      <c r="E271" s="50" t="n">
        <v>0.92323</v>
      </c>
      <c r="F271" s="50" t="n">
        <v>9.270300000000001</v>
      </c>
      <c r="G271" s="50" t="n">
        <v>4.7269</v>
      </c>
      <c r="H271" s="50" t="n">
        <v>4.2828</v>
      </c>
      <c r="I271" s="50" t="n">
        <v>5.4082</v>
      </c>
      <c r="J271" s="50" t="n">
        <v>8.1914</v>
      </c>
      <c r="K271" s="50" t="n">
        <v>5.1608</v>
      </c>
      <c r="L271" s="50" t="n">
        <v>1.1162</v>
      </c>
      <c r="M271" s="50" t="n">
        <v>0.6109</v>
      </c>
      <c r="N271" s="50" t="n">
        <v>13.5965</v>
      </c>
      <c r="O271" s="50" t="n">
        <v>2.4552</v>
      </c>
      <c r="R271" s="50" t="n">
        <v>194.56</v>
      </c>
      <c r="S271" s="50" t="n">
        <v>0.51184</v>
      </c>
      <c r="T271" s="50" t="n">
        <v>0.52339</v>
      </c>
      <c r="U271" s="50" t="n">
        <v>52.9042</v>
      </c>
      <c r="V271" s="50" t="n">
        <v>0.56236</v>
      </c>
      <c r="W271" s="50" t="n">
        <v>0.9695</v>
      </c>
      <c r="X271" s="50" t="n">
        <v>1.5079</v>
      </c>
      <c r="Y271" s="50" t="n">
        <v>1.531</v>
      </c>
      <c r="Z271" s="50" t="n">
        <v>4.78688</v>
      </c>
      <c r="AA271" s="50" t="n">
        <v>2.8044</v>
      </c>
      <c r="AB271" s="50" t="n">
        <v>4.7749</v>
      </c>
    </row>
    <row r="272">
      <c r="A272" s="49" t="n">
        <v>45608</v>
      </c>
      <c r="B272" s="50" t="n">
        <v>7.1927</v>
      </c>
      <c r="C272" s="50" t="n">
        <v>7.6641</v>
      </c>
      <c r="D272" s="50" t="n">
        <v>0.04681</v>
      </c>
      <c r="E272" s="50" t="n">
        <v>0.92504</v>
      </c>
      <c r="F272" s="50" t="n">
        <v>9.2545</v>
      </c>
      <c r="G272" s="50" t="n">
        <v>4.7282</v>
      </c>
      <c r="H272" s="50" t="n">
        <v>4.2906</v>
      </c>
      <c r="I272" s="50" t="n">
        <v>5.3938</v>
      </c>
      <c r="J272" s="50" t="n">
        <v>8.1675</v>
      </c>
      <c r="K272" s="50" t="n">
        <v>5.1644</v>
      </c>
      <c r="L272" s="50" t="n">
        <v>1.1141</v>
      </c>
      <c r="M272" s="50" t="n">
        <v>0.6132</v>
      </c>
      <c r="N272" s="50" t="n">
        <v>13.3351</v>
      </c>
      <c r="O272" s="50" t="n">
        <v>2.4927</v>
      </c>
      <c r="R272" s="50" t="n">
        <v>194.71</v>
      </c>
      <c r="S272" s="50" t="n">
        <v>0.51073</v>
      </c>
      <c r="T272" s="50" t="n">
        <v>0.5223100000000001</v>
      </c>
      <c r="U272" s="50" t="n">
        <v>53.5194</v>
      </c>
      <c r="V272" s="50" t="n">
        <v>0.56912</v>
      </c>
      <c r="W272" s="50" t="n">
        <v>0.9731</v>
      </c>
      <c r="X272" s="50" t="n">
        <v>1.5078</v>
      </c>
      <c r="Y272" s="50" t="n">
        <v>1.5335</v>
      </c>
      <c r="Z272" s="50" t="n">
        <v>4.77423</v>
      </c>
      <c r="AA272" s="50" t="n">
        <v>2.8314</v>
      </c>
      <c r="AB272" s="50" t="n">
        <v>4.7954</v>
      </c>
    </row>
    <row r="273">
      <c r="A273" s="49" t="n">
        <v>45609</v>
      </c>
      <c r="B273" s="50" t="n">
        <v>7.1991</v>
      </c>
      <c r="C273" s="50" t="n">
        <v>7.6875</v>
      </c>
      <c r="D273" s="50" t="n">
        <v>0.046841</v>
      </c>
      <c r="E273" s="50" t="n">
        <v>0.92553</v>
      </c>
      <c r="F273" s="50" t="n">
        <v>9.222099999999999</v>
      </c>
      <c r="G273" s="50" t="n">
        <v>4.7253</v>
      </c>
      <c r="H273" s="50" t="n">
        <v>4.2889</v>
      </c>
      <c r="I273" s="50" t="n">
        <v>5.4089</v>
      </c>
      <c r="J273" s="50" t="n">
        <v>8.2073</v>
      </c>
      <c r="K273" s="50" t="n">
        <v>5.1915</v>
      </c>
      <c r="L273" s="50" t="n">
        <v>1.1134</v>
      </c>
      <c r="M273" s="50" t="n">
        <v>0.61312</v>
      </c>
      <c r="N273" s="50" t="n">
        <v>13.5819</v>
      </c>
      <c r="O273" s="50" t="n">
        <v>2.5013</v>
      </c>
      <c r="R273" s="50" t="n">
        <v>194.57</v>
      </c>
      <c r="S273" s="50" t="n">
        <v>0.50742</v>
      </c>
      <c r="T273" s="50" t="n">
        <v>0.51899</v>
      </c>
      <c r="U273" s="50" t="n">
        <v>53.4419</v>
      </c>
      <c r="V273" s="50" t="n">
        <v>0.56606</v>
      </c>
      <c r="W273" s="50" t="n">
        <v>0.9701</v>
      </c>
      <c r="X273" s="50" t="n">
        <v>1.5061</v>
      </c>
      <c r="Y273" s="50" t="n">
        <v>1.5302</v>
      </c>
      <c r="Z273" s="50" t="n">
        <v>4.74664</v>
      </c>
      <c r="AA273" s="50" t="n">
        <v>2.8435</v>
      </c>
      <c r="AB273" s="50" t="n">
        <v>4.8121</v>
      </c>
    </row>
    <row r="274">
      <c r="A274" s="49" t="n">
        <v>45610</v>
      </c>
      <c r="B274" s="50" t="n">
        <v>7.1966</v>
      </c>
      <c r="C274" s="50" t="n">
        <v>7.6317</v>
      </c>
      <c r="D274" s="50" t="n">
        <v>0.046527</v>
      </c>
      <c r="E274" s="50" t="n">
        <v>0.92496</v>
      </c>
      <c r="F274" s="50" t="n">
        <v>9.180099999999999</v>
      </c>
      <c r="G274" s="50" t="n">
        <v>4.6929</v>
      </c>
      <c r="H274" s="50" t="n">
        <v>4.2524</v>
      </c>
      <c r="I274" s="50" t="n">
        <v>5.3792</v>
      </c>
      <c r="J274" s="50" t="n">
        <v>8.1553</v>
      </c>
      <c r="K274" s="50" t="n">
        <v>5.165</v>
      </c>
      <c r="L274" s="50" t="n">
        <v>1.1142</v>
      </c>
      <c r="M274" s="50" t="n">
        <v>0.61651</v>
      </c>
      <c r="N274" s="50" t="n">
        <v>13.6273</v>
      </c>
      <c r="O274" s="50" t="n">
        <v>2.5233</v>
      </c>
      <c r="R274" s="50" t="n">
        <v>194.31</v>
      </c>
      <c r="S274" s="50" t="n">
        <v>0.50817</v>
      </c>
      <c r="T274" s="50" t="n">
        <v>0.51986</v>
      </c>
      <c r="U274" s="50" t="n">
        <v>53.4086</v>
      </c>
      <c r="V274" s="50" t="n">
        <v>0.56815</v>
      </c>
      <c r="W274" s="50" t="n">
        <v>0.9769</v>
      </c>
      <c r="X274" s="50" t="n">
        <v>1.5204</v>
      </c>
      <c r="Y274" s="50" t="n">
        <v>1.5407</v>
      </c>
      <c r="Z274" s="50" t="n">
        <v>4.75016</v>
      </c>
      <c r="AA274" s="50" t="n">
        <v>2.8416</v>
      </c>
      <c r="AB274" s="50" t="n">
        <v>4.8281</v>
      </c>
    </row>
    <row r="275">
      <c r="A275" s="49" t="n">
        <v>45611</v>
      </c>
      <c r="B275" s="50" t="n">
        <v>7.1992</v>
      </c>
      <c r="C275" s="50" t="n">
        <v>7.6131</v>
      </c>
      <c r="D275" s="50" t="n">
        <v>0.04634</v>
      </c>
      <c r="E275" s="50" t="n">
        <v>0.92499</v>
      </c>
      <c r="F275" s="50" t="n">
        <v>9.156000000000001</v>
      </c>
      <c r="G275" s="50" t="n">
        <v>4.6679</v>
      </c>
      <c r="H275" s="50" t="n">
        <v>4.2323</v>
      </c>
      <c r="I275" s="50" t="n">
        <v>5.3709</v>
      </c>
      <c r="J275" s="50" t="n">
        <v>8.1204</v>
      </c>
      <c r="K275" s="50" t="n">
        <v>5.1451</v>
      </c>
      <c r="L275" s="50" t="n">
        <v>1.114</v>
      </c>
      <c r="M275" s="50" t="n">
        <v>0.62038</v>
      </c>
      <c r="N275" s="50" t="n">
        <v>13.7276</v>
      </c>
      <c r="O275" s="50" t="n">
        <v>2.5273</v>
      </c>
      <c r="R275" s="50" t="n">
        <v>194.17</v>
      </c>
      <c r="S275" s="50" t="n">
        <v>0.50734</v>
      </c>
      <c r="T275" s="50" t="n">
        <v>0.51869</v>
      </c>
      <c r="U275" s="50" t="n">
        <v>53.2641</v>
      </c>
      <c r="V275" s="50" t="n">
        <v>0.56659</v>
      </c>
      <c r="W275" s="50" t="n">
        <v>0.9789</v>
      </c>
      <c r="X275" s="50" t="n">
        <v>1.5202</v>
      </c>
      <c r="Y275" s="50" t="n">
        <v>1.5409</v>
      </c>
      <c r="Z275" s="50" t="n">
        <v>4.7807</v>
      </c>
      <c r="AA275" s="50" t="n">
        <v>2.8264</v>
      </c>
      <c r="AB275" s="50" t="n">
        <v>4.8387</v>
      </c>
    </row>
    <row r="276">
      <c r="A276" s="49" t="n">
        <v>45614</v>
      </c>
      <c r="B276" s="50" t="n">
        <v>7.1907</v>
      </c>
      <c r="C276" s="50" t="n">
        <v>7.6029</v>
      </c>
      <c r="D276" s="50" t="n">
        <v>0.046738</v>
      </c>
      <c r="E276" s="50" t="n">
        <v>0.92371</v>
      </c>
      <c r="F276" s="50" t="n">
        <v>9.1038</v>
      </c>
      <c r="G276" s="50" t="n">
        <v>4.6652</v>
      </c>
      <c r="H276" s="50" t="n">
        <v>4.2342</v>
      </c>
      <c r="I276" s="50" t="n">
        <v>5.3786</v>
      </c>
      <c r="J276" s="50" t="n">
        <v>8.1191</v>
      </c>
      <c r="K276" s="50" t="n">
        <v>5.1269</v>
      </c>
      <c r="L276" s="50" t="n">
        <v>1.1156</v>
      </c>
      <c r="M276" s="50" t="n">
        <v>0.61897</v>
      </c>
      <c r="N276" s="50" t="n">
        <v>13.8298</v>
      </c>
      <c r="O276" s="50" t="n">
        <v>2.5216</v>
      </c>
      <c r="R276" s="50" t="n">
        <v>193.18</v>
      </c>
      <c r="S276" s="50" t="n">
        <v>0.50852</v>
      </c>
      <c r="T276" s="50" t="n">
        <v>0.51969</v>
      </c>
      <c r="U276" s="50" t="n">
        <v>53.5753</v>
      </c>
      <c r="V276" s="50" t="n">
        <v>0.5678800000000001</v>
      </c>
      <c r="W276" s="50" t="n">
        <v>0.9802</v>
      </c>
      <c r="X276" s="50" t="n">
        <v>1.5214</v>
      </c>
      <c r="Y276" s="50" t="n">
        <v>1.5362</v>
      </c>
      <c r="Z276" s="50" t="n">
        <v>4.76276</v>
      </c>
      <c r="AA276" s="50" t="n">
        <v>2.8192</v>
      </c>
      <c r="AB276" s="50" t="n">
        <v>4.8151</v>
      </c>
    </row>
    <row r="277">
      <c r="A277" s="49" t="n">
        <v>45615</v>
      </c>
      <c r="B277" s="50" t="n">
        <v>7.1911</v>
      </c>
      <c r="C277" s="50" t="n">
        <v>7.6386</v>
      </c>
      <c r="D277" s="50" t="n">
        <v>0.046801</v>
      </c>
      <c r="E277" s="50" t="n">
        <v>0.92392</v>
      </c>
      <c r="F277" s="50" t="n">
        <v>9.139099999999999</v>
      </c>
      <c r="G277" s="50" t="n">
        <v>4.6943</v>
      </c>
      <c r="H277" s="50" t="n">
        <v>4.2529</v>
      </c>
      <c r="I277" s="50" t="n">
        <v>5.3905</v>
      </c>
      <c r="J277" s="50" t="n">
        <v>8.162100000000001</v>
      </c>
      <c r="K277" s="50" t="n">
        <v>5.1496</v>
      </c>
      <c r="L277" s="50" t="n">
        <v>1.1154</v>
      </c>
      <c r="M277" s="50" t="n">
        <v>0.61981</v>
      </c>
      <c r="N277" s="50" t="n">
        <v>13.8188</v>
      </c>
      <c r="O277" s="50" t="n">
        <v>2.4901</v>
      </c>
      <c r="R277" s="50" t="n">
        <v>192.72</v>
      </c>
      <c r="S277" s="50" t="n">
        <v>0.50874</v>
      </c>
      <c r="T277" s="50" t="n">
        <v>0.51997</v>
      </c>
      <c r="U277" s="50" t="n">
        <v>53.0833</v>
      </c>
      <c r="V277" s="50" t="n">
        <v>0.56323</v>
      </c>
      <c r="W277" s="50" t="n">
        <v>0.9754</v>
      </c>
      <c r="X277" s="50" t="n">
        <v>1.5121</v>
      </c>
      <c r="Y277" s="50" t="n">
        <v>1.5246</v>
      </c>
      <c r="Z277" s="50" t="n">
        <v>4.78401</v>
      </c>
      <c r="AA277" s="50" t="n">
        <v>2.7996</v>
      </c>
      <c r="AB277" s="50" t="n">
        <v>4.7948</v>
      </c>
    </row>
    <row r="278">
      <c r="A278" s="49" t="n">
        <v>45616</v>
      </c>
      <c r="B278" s="50" t="n">
        <v>7.1935</v>
      </c>
      <c r="C278" s="50" t="n">
        <v>7.6517</v>
      </c>
      <c r="D278" s="50" t="n">
        <v>0.04682</v>
      </c>
      <c r="E278" s="50" t="n">
        <v>0.92422</v>
      </c>
      <c r="F278" s="50" t="n">
        <v>9.158899999999999</v>
      </c>
      <c r="G278" s="50" t="n">
        <v>4.7226</v>
      </c>
      <c r="H278" s="50" t="n">
        <v>4.2761</v>
      </c>
      <c r="I278" s="50" t="n">
        <v>5.3995</v>
      </c>
      <c r="J278" s="50" t="n">
        <v>8.1807</v>
      </c>
      <c r="K278" s="50" t="n">
        <v>5.18</v>
      </c>
      <c r="L278" s="50" t="n">
        <v>1.1149</v>
      </c>
      <c r="M278" s="50" t="n">
        <v>0.61864</v>
      </c>
      <c r="N278" s="50" t="n">
        <v>13.8902</v>
      </c>
      <c r="O278" s="50" t="n">
        <v>2.5007</v>
      </c>
      <c r="R278" s="50" t="n">
        <v>192.55</v>
      </c>
      <c r="S278" s="50" t="n">
        <v>0.50815</v>
      </c>
      <c r="T278" s="50" t="n">
        <v>0.51938</v>
      </c>
      <c r="U278" s="50" t="n">
        <v>53.2581</v>
      </c>
      <c r="V278" s="50" t="n">
        <v>0.56475</v>
      </c>
      <c r="W278" s="50" t="n">
        <v>0.9737</v>
      </c>
      <c r="X278" s="50" t="n">
        <v>1.5112</v>
      </c>
      <c r="Y278" s="50" t="n">
        <v>1.5171</v>
      </c>
      <c r="Z278" s="50" t="n">
        <v>4.7681</v>
      </c>
      <c r="AA278" s="50" t="n">
        <v>2.7819</v>
      </c>
      <c r="AB278" s="50" t="n">
        <v>4.7759</v>
      </c>
    </row>
    <row r="279">
      <c r="A279" s="49" t="n">
        <v>45617</v>
      </c>
      <c r="B279" s="50" t="n">
        <v>7.1934</v>
      </c>
      <c r="C279" s="50" t="n">
        <v>7.6178</v>
      </c>
      <c r="D279" s="50" t="n">
        <v>0.046638</v>
      </c>
      <c r="E279" s="50" t="n">
        <v>0.92425</v>
      </c>
      <c r="F279" s="50" t="n">
        <v>9.141400000000001</v>
      </c>
      <c r="G279" s="50" t="n">
        <v>4.7067</v>
      </c>
      <c r="H279" s="50" t="n">
        <v>4.2507</v>
      </c>
      <c r="I279" s="50" t="n">
        <v>5.3806</v>
      </c>
      <c r="J279" s="50" t="n">
        <v>8.1739</v>
      </c>
      <c r="K279" s="50" t="n">
        <v>5.177</v>
      </c>
      <c r="L279" s="50" t="n">
        <v>1.1151</v>
      </c>
      <c r="M279" s="50" t="n">
        <v>0.61807</v>
      </c>
      <c r="N279" s="50" t="n">
        <v>13.8734</v>
      </c>
      <c r="O279" s="50" t="n">
        <v>2.5089</v>
      </c>
      <c r="R279" s="50" t="n">
        <v>193.39</v>
      </c>
      <c r="S279" s="50" t="n">
        <v>0.50798</v>
      </c>
      <c r="T279" s="50" t="n">
        <v>0.51922</v>
      </c>
      <c r="U279" s="50" t="n">
        <v>53.7226</v>
      </c>
      <c r="V279" s="50" t="n">
        <v>0.56848</v>
      </c>
      <c r="W279" s="50" t="n">
        <v>0.9788</v>
      </c>
      <c r="X279" s="50" t="n">
        <v>1.5256</v>
      </c>
      <c r="Y279" s="50" t="n">
        <v>1.5297</v>
      </c>
      <c r="Z279" s="50" t="n">
        <v>4.76659</v>
      </c>
      <c r="AA279" s="50" t="n">
        <v>2.8072</v>
      </c>
      <c r="AB279" s="50" t="n">
        <v>4.7872</v>
      </c>
    </row>
    <row r="280">
      <c r="A280" s="49" t="n">
        <v>45618</v>
      </c>
      <c r="B280" s="50" t="n">
        <v>7.1942</v>
      </c>
      <c r="C280" s="50" t="n">
        <v>7.5641</v>
      </c>
      <c r="D280" s="50" t="n">
        <v>0.046919</v>
      </c>
      <c r="E280" s="50" t="n">
        <v>0.92439</v>
      </c>
      <c r="F280" s="50" t="n">
        <v>9.092499999999999</v>
      </c>
      <c r="G280" s="50" t="n">
        <v>4.7074</v>
      </c>
      <c r="H280" s="50" t="n">
        <v>4.2359</v>
      </c>
      <c r="I280" s="50" t="n">
        <v>5.3646</v>
      </c>
      <c r="J280" s="50" t="n">
        <v>8.143000000000001</v>
      </c>
      <c r="K280" s="50" t="n">
        <v>5.1734</v>
      </c>
      <c r="L280" s="50" t="n">
        <v>1.1148</v>
      </c>
      <c r="M280" s="50" t="n">
        <v>0.61781</v>
      </c>
      <c r="N280" s="50" t="n">
        <v>13.9913</v>
      </c>
      <c r="O280" s="50" t="n">
        <v>2.5077</v>
      </c>
      <c r="R280" s="50" t="n">
        <v>193.49</v>
      </c>
      <c r="S280" s="50" t="n">
        <v>0.50801</v>
      </c>
      <c r="T280" s="50" t="n">
        <v>0.51932</v>
      </c>
      <c r="U280" s="50" t="n">
        <v>54.2472</v>
      </c>
      <c r="V280" s="50" t="n">
        <v>0.57339</v>
      </c>
      <c r="W280" s="50" t="n">
        <v>0.9856</v>
      </c>
      <c r="X280" s="50" t="n">
        <v>1.5307</v>
      </c>
      <c r="Y280" s="50" t="n">
        <v>1.5317</v>
      </c>
      <c r="Z280" s="50" t="n">
        <v>4.77171</v>
      </c>
      <c r="AA280" s="50" t="n">
        <v>2.827</v>
      </c>
      <c r="AB280" s="50" t="n">
        <v>4.7981</v>
      </c>
    </row>
    <row r="281">
      <c r="A281" s="49" t="n">
        <v>45621</v>
      </c>
      <c r="B281" s="50" t="n">
        <v>7.1918</v>
      </c>
      <c r="C281" s="50" t="n">
        <v>7.5645</v>
      </c>
      <c r="D281" s="50" t="n">
        <v>0.046923</v>
      </c>
      <c r="E281" s="50" t="n">
        <v>0.92408</v>
      </c>
      <c r="F281" s="50" t="n">
        <v>9.0868</v>
      </c>
      <c r="G281" s="50" t="n">
        <v>4.7227</v>
      </c>
      <c r="H281" s="50" t="n">
        <v>4.2319</v>
      </c>
      <c r="I281" s="50" t="n">
        <v>5.3765</v>
      </c>
      <c r="J281" s="50" t="n">
        <v>8.102</v>
      </c>
      <c r="K281" s="50" t="n">
        <v>5.1817</v>
      </c>
      <c r="L281" s="50" t="n">
        <v>1.1152</v>
      </c>
      <c r="M281" s="50" t="n">
        <v>0.6178399999999999</v>
      </c>
      <c r="N281" s="50" t="n">
        <v>14.4107</v>
      </c>
      <c r="O281" s="50" t="n">
        <v>2.4979</v>
      </c>
      <c r="R281" s="50" t="n">
        <v>194.19</v>
      </c>
      <c r="S281" s="50" t="n">
        <v>0.50803</v>
      </c>
      <c r="T281" s="50" t="n">
        <v>0.51981</v>
      </c>
      <c r="U281" s="50" t="n">
        <v>54.2374</v>
      </c>
      <c r="V281" s="50" t="n">
        <v>0.57224</v>
      </c>
      <c r="W281" s="50" t="n">
        <v>0.9859</v>
      </c>
      <c r="X281" s="50" t="n">
        <v>1.5185</v>
      </c>
      <c r="Y281" s="50" t="n">
        <v>1.5245</v>
      </c>
      <c r="Z281" s="50" t="n">
        <v>4.76334</v>
      </c>
      <c r="AA281" s="50" t="n">
        <v>2.8198</v>
      </c>
      <c r="AB281" s="50" t="n">
        <v>4.7635</v>
      </c>
    </row>
    <row r="282">
      <c r="A282" s="49" t="n">
        <v>45622</v>
      </c>
      <c r="B282" s="50" t="n">
        <v>7.191</v>
      </c>
      <c r="C282" s="50" t="n">
        <v>7.5613</v>
      </c>
      <c r="D282" s="50" t="n">
        <v>0.046933</v>
      </c>
      <c r="E282" s="50" t="n">
        <v>0.9240699999999999</v>
      </c>
      <c r="F282" s="50" t="n">
        <v>9.0608</v>
      </c>
      <c r="G282" s="50" t="n">
        <v>4.6891</v>
      </c>
      <c r="H282" s="50" t="n">
        <v>4.2148</v>
      </c>
      <c r="I282" s="50" t="n">
        <v>5.359</v>
      </c>
      <c r="J282" s="50" t="n">
        <v>8.1374</v>
      </c>
      <c r="K282" s="50" t="n">
        <v>5.1612</v>
      </c>
      <c r="L282" s="50" t="n">
        <v>1.1152</v>
      </c>
      <c r="M282" s="50" t="n">
        <v>0.61691</v>
      </c>
      <c r="N282" s="50" t="n">
        <v>14.3711</v>
      </c>
      <c r="O282" s="50" t="n">
        <v>2.5033</v>
      </c>
      <c r="R282" s="50" t="n">
        <v>193.74</v>
      </c>
      <c r="S282" s="50" t="n">
        <v>0.50888</v>
      </c>
      <c r="T282" s="50" t="n">
        <v>0.52028</v>
      </c>
      <c r="U282" s="50" t="n">
        <v>54.0476</v>
      </c>
      <c r="V282" s="50" t="n">
        <v>0.56858</v>
      </c>
      <c r="W282" s="50" t="n">
        <v>0.9861</v>
      </c>
      <c r="X282" s="50" t="n">
        <v>1.5236</v>
      </c>
      <c r="Y282" s="50" t="n">
        <v>1.5382</v>
      </c>
      <c r="Z282" s="50" t="n">
        <v>4.79179</v>
      </c>
      <c r="AA282" s="50" t="n">
        <v>2.8253</v>
      </c>
      <c r="AB282" s="50" t="n">
        <v>4.7969</v>
      </c>
    </row>
    <row r="283">
      <c r="A283" s="49" t="n">
        <v>45623</v>
      </c>
      <c r="B283" s="50" t="n">
        <v>7.1982</v>
      </c>
      <c r="C283" s="50" t="n">
        <v>7.5739</v>
      </c>
      <c r="D283" s="50" t="n">
        <v>0.047296</v>
      </c>
      <c r="E283" s="50" t="n">
        <v>0.92505</v>
      </c>
      <c r="F283" s="50" t="n">
        <v>9.078200000000001</v>
      </c>
      <c r="G283" s="50" t="n">
        <v>4.6805</v>
      </c>
      <c r="H283" s="50" t="n">
        <v>4.2181</v>
      </c>
      <c r="I283" s="50" t="n">
        <v>5.3634</v>
      </c>
      <c r="J283" s="50" t="n">
        <v>8.1424</v>
      </c>
      <c r="K283" s="50" t="n">
        <v>5.1445</v>
      </c>
      <c r="L283" s="50" t="n">
        <v>1.1143</v>
      </c>
      <c r="M283" s="50" t="n">
        <v>0.6162</v>
      </c>
      <c r="N283" s="50" t="n">
        <v>14.5365</v>
      </c>
      <c r="O283" s="50" t="n">
        <v>2.5177</v>
      </c>
      <c r="R283" s="50" t="n">
        <v>192.9</v>
      </c>
      <c r="S283" s="50" t="n">
        <v>0.50802</v>
      </c>
      <c r="T283" s="50" t="n">
        <v>0.51963</v>
      </c>
      <c r="U283" s="50" t="n">
        <v>54.1265</v>
      </c>
      <c r="V283" s="50" t="n">
        <v>0.56758</v>
      </c>
      <c r="W283" s="50" t="n">
        <v>0.9842</v>
      </c>
      <c r="X283" s="50" t="n">
        <v>1.5206</v>
      </c>
      <c r="Y283" s="50" t="n">
        <v>1.5417</v>
      </c>
      <c r="Z283" s="50" t="n">
        <v>4.78889</v>
      </c>
      <c r="AA283" s="50" t="n">
        <v>2.8601</v>
      </c>
      <c r="AB283" s="50" t="n">
        <v>4.7986</v>
      </c>
    </row>
    <row r="284">
      <c r="A284" s="49" t="n">
        <v>45624</v>
      </c>
      <c r="B284" s="50" t="n">
        <v>7.1894</v>
      </c>
      <c r="C284" s="50" t="n">
        <v>7.617</v>
      </c>
      <c r="D284" s="50" t="n">
        <v>0.047834</v>
      </c>
      <c r="E284" s="50" t="n">
        <v>0.92398</v>
      </c>
      <c r="F284" s="50" t="n">
        <v>9.1411</v>
      </c>
      <c r="G284" s="50" t="n">
        <v>4.6899</v>
      </c>
      <c r="H284" s="50" t="n">
        <v>4.26</v>
      </c>
      <c r="I284" s="50" t="n">
        <v>5.3809</v>
      </c>
      <c r="J284" s="50" t="n">
        <v>8.168699999999999</v>
      </c>
      <c r="K284" s="50" t="n">
        <v>5.1456</v>
      </c>
      <c r="L284" s="50" t="n">
        <v>1.1153</v>
      </c>
      <c r="M284" s="50" t="n">
        <v>0.61549</v>
      </c>
      <c r="N284" s="50" t="n">
        <v>15.6113</v>
      </c>
      <c r="O284" s="50" t="n">
        <v>2.5232</v>
      </c>
      <c r="R284" s="50" t="n">
        <v>192.55</v>
      </c>
      <c r="S284" s="50" t="n">
        <v>0.50907</v>
      </c>
      <c r="T284" s="50" t="n">
        <v>0.52049</v>
      </c>
      <c r="U284" s="50" t="n">
        <v>54.1186</v>
      </c>
      <c r="V284" s="50" t="n">
        <v>0.5644</v>
      </c>
      <c r="W284" s="50" t="n">
        <v>0.9799</v>
      </c>
      <c r="X284" s="50" t="n">
        <v>1.5136</v>
      </c>
      <c r="Y284" s="50" t="n">
        <v>1.535</v>
      </c>
      <c r="Z284" s="50" t="n">
        <v>4.79483</v>
      </c>
      <c r="AA284" s="50" t="n">
        <v>2.8467</v>
      </c>
      <c r="AB284" s="50" t="n">
        <v>4.7763</v>
      </c>
    </row>
    <row r="285">
      <c r="A285" s="49" t="n">
        <v>45625</v>
      </c>
      <c r="B285" s="50" t="n">
        <v>7.1877</v>
      </c>
      <c r="C285" s="50" t="n">
        <v>7.6087</v>
      </c>
      <c r="D285" s="50" t="n">
        <v>0.04777</v>
      </c>
      <c r="E285" s="50" t="n">
        <v>0.92355</v>
      </c>
      <c r="F285" s="50" t="n">
        <v>9.145</v>
      </c>
      <c r="G285" s="50" t="n">
        <v>4.6908</v>
      </c>
      <c r="H285" s="50" t="n">
        <v>4.2553</v>
      </c>
      <c r="I285" s="50" t="n">
        <v>5.3712</v>
      </c>
      <c r="J285" s="50" t="n">
        <v>8.162000000000001</v>
      </c>
      <c r="K285" s="50" t="n">
        <v>5.1475</v>
      </c>
      <c r="L285" s="50" t="n">
        <v>1.1161</v>
      </c>
      <c r="M285" s="50" t="n">
        <v>0.6162</v>
      </c>
      <c r="N285" s="50" t="n">
        <v>14.9153</v>
      </c>
      <c r="O285" s="50" t="n">
        <v>2.5139</v>
      </c>
      <c r="R285" s="50" t="n">
        <v>193.12</v>
      </c>
      <c r="S285" s="50" t="n">
        <v>0.50953</v>
      </c>
      <c r="T285" s="50" t="n">
        <v>0.52107</v>
      </c>
      <c r="U285" s="50" t="n">
        <v>54.4093</v>
      </c>
      <c r="V285" s="50" t="n">
        <v>0.5657</v>
      </c>
      <c r="W285" s="50" t="n">
        <v>0.9806</v>
      </c>
      <c r="X285" s="50" t="n">
        <v>1.5152</v>
      </c>
      <c r="Y285" s="50" t="n">
        <v>1.5312</v>
      </c>
      <c r="Z285" s="50" t="n">
        <v>4.79932</v>
      </c>
      <c r="AA285" s="50" t="n">
        <v>2.8371</v>
      </c>
      <c r="AB285" s="50" t="n">
        <v>4.7649</v>
      </c>
    </row>
    <row r="286">
      <c r="A286" s="49" t="n">
        <v>45628</v>
      </c>
      <c r="B286" s="50" t="n">
        <v>7.1865</v>
      </c>
      <c r="C286" s="50" t="n">
        <v>7.5907</v>
      </c>
      <c r="D286" s="50" t="n">
        <v>0.048134</v>
      </c>
      <c r="E286" s="50" t="n">
        <v>0.92343</v>
      </c>
      <c r="F286" s="50" t="n">
        <v>9.1462</v>
      </c>
      <c r="G286" s="50" t="n">
        <v>4.6856</v>
      </c>
      <c r="H286" s="50" t="n">
        <v>4.2607</v>
      </c>
      <c r="I286" s="50" t="n">
        <v>5.3768</v>
      </c>
      <c r="J286" s="50" t="n">
        <v>8.157999999999999</v>
      </c>
      <c r="K286" s="50" t="n">
        <v>5.1429</v>
      </c>
      <c r="L286" s="50" t="n">
        <v>1.116</v>
      </c>
      <c r="M286" s="50" t="n">
        <v>0.6167</v>
      </c>
      <c r="N286" s="50" t="n">
        <v>14.7104</v>
      </c>
      <c r="O286" s="50" t="n">
        <v>2.512</v>
      </c>
      <c r="R286" s="50" t="n">
        <v>193.44</v>
      </c>
      <c r="S286" s="50" t="n">
        <v>0.50962</v>
      </c>
      <c r="T286" s="50" t="n">
        <v>0.52122</v>
      </c>
      <c r="U286" s="50" t="n">
        <v>54.4038</v>
      </c>
      <c r="V286" s="50" t="n">
        <v>0.5660500000000001</v>
      </c>
      <c r="W286" s="50" t="n">
        <v>0.983</v>
      </c>
      <c r="X286" s="50" t="n">
        <v>1.5179</v>
      </c>
      <c r="Y286" s="50" t="n">
        <v>1.5373</v>
      </c>
      <c r="Z286" s="50" t="n">
        <v>4.81201</v>
      </c>
      <c r="AA286" s="50" t="n">
        <v>2.8331</v>
      </c>
      <c r="AB286" s="50" t="n">
        <v>4.7598</v>
      </c>
    </row>
    <row r="287">
      <c r="A287" s="49" t="n">
        <v>45629</v>
      </c>
      <c r="B287" s="50" t="n">
        <v>7.1996</v>
      </c>
      <c r="C287" s="50" t="n">
        <v>7.5799</v>
      </c>
      <c r="D287" s="50" t="n">
        <v>0.048384</v>
      </c>
      <c r="E287" s="50" t="n">
        <v>0.92526</v>
      </c>
      <c r="F287" s="50" t="n">
        <v>9.139200000000001</v>
      </c>
      <c r="G287" s="50" t="n">
        <v>4.6806</v>
      </c>
      <c r="H287" s="50" t="n">
        <v>4.2599</v>
      </c>
      <c r="I287" s="50" t="n">
        <v>5.3722</v>
      </c>
      <c r="J287" s="50" t="n">
        <v>8.138299999999999</v>
      </c>
      <c r="K287" s="50" t="n">
        <v>5.1473</v>
      </c>
      <c r="L287" s="50" t="n">
        <v>1.1138</v>
      </c>
      <c r="M287" s="50" t="n">
        <v>0.61693</v>
      </c>
      <c r="N287" s="50" t="n">
        <v>14.6514</v>
      </c>
      <c r="O287" s="50" t="n">
        <v>2.5144</v>
      </c>
      <c r="R287" s="50" t="n">
        <v>193.91</v>
      </c>
      <c r="S287" s="50" t="n">
        <v>0.5084</v>
      </c>
      <c r="T287" s="50" t="n">
        <v>0.52001</v>
      </c>
      <c r="U287" s="50" t="n">
        <v>54.6769</v>
      </c>
      <c r="V287" s="50" t="n">
        <v>0.56508</v>
      </c>
      <c r="W287" s="50" t="n">
        <v>0.9845</v>
      </c>
      <c r="X287" s="50" t="n">
        <v>1.5215</v>
      </c>
      <c r="Y287" s="50" t="n">
        <v>1.5361</v>
      </c>
      <c r="Z287" s="50" t="n">
        <v>4.80632</v>
      </c>
      <c r="AA287" s="50" t="n">
        <v>2.8288</v>
      </c>
      <c r="AB287" s="50" t="n">
        <v>4.7658</v>
      </c>
    </row>
    <row r="288">
      <c r="A288" s="49" t="n">
        <v>45630</v>
      </c>
      <c r="B288" s="50" t="n">
        <v>7.1934</v>
      </c>
      <c r="C288" s="50" t="n">
        <v>7.5945</v>
      </c>
      <c r="D288" s="50" t="n">
        <v>0.048428</v>
      </c>
      <c r="E288" s="50" t="n">
        <v>0.92416</v>
      </c>
      <c r="F288" s="50" t="n">
        <v>9.1572</v>
      </c>
      <c r="G288" s="50" t="n">
        <v>4.6919</v>
      </c>
      <c r="H288" s="50" t="n">
        <v>4.2638</v>
      </c>
      <c r="I288" s="50" t="n">
        <v>5.3743</v>
      </c>
      <c r="J288" s="50" t="n">
        <v>8.144500000000001</v>
      </c>
      <c r="K288" s="50" t="n">
        <v>5.1441</v>
      </c>
      <c r="L288" s="50" t="n">
        <v>1.1151</v>
      </c>
      <c r="M288" s="50" t="n">
        <v>0.6178900000000001</v>
      </c>
      <c r="N288" s="50" t="n">
        <v>14.4415</v>
      </c>
      <c r="O288" s="50" t="n">
        <v>2.5086</v>
      </c>
      <c r="R288" s="50" t="n">
        <v>195.59</v>
      </c>
      <c r="S288" s="50" t="n">
        <v>0.50782</v>
      </c>
      <c r="T288" s="50" t="n">
        <v>0.51944</v>
      </c>
      <c r="U288" s="50" t="n">
        <v>54.587</v>
      </c>
      <c r="V288" s="50" t="n">
        <v>0.56524</v>
      </c>
      <c r="W288" s="50" t="n">
        <v>0.9825</v>
      </c>
      <c r="X288" s="50" t="n">
        <v>1.522</v>
      </c>
      <c r="Y288" s="50" t="n">
        <v>1.5297</v>
      </c>
      <c r="Z288" s="50" t="n">
        <v>4.80042</v>
      </c>
      <c r="AA288" s="50" t="n">
        <v>2.8141</v>
      </c>
      <c r="AB288" s="50" t="n">
        <v>4.7375</v>
      </c>
    </row>
    <row r="289">
      <c r="A289" s="49" t="n">
        <v>45631</v>
      </c>
      <c r="B289" s="50" t="n">
        <v>7.1879</v>
      </c>
      <c r="C289" s="50" t="n">
        <v>7.5889</v>
      </c>
      <c r="D289" s="50" t="n">
        <v>0.048039</v>
      </c>
      <c r="E289" s="50" t="n">
        <v>0.9235</v>
      </c>
      <c r="F289" s="50" t="n">
        <v>9.1684</v>
      </c>
      <c r="G289" s="50" t="n">
        <v>4.6468</v>
      </c>
      <c r="H289" s="50" t="n">
        <v>4.2384</v>
      </c>
      <c r="I289" s="50" t="n">
        <v>5.3733</v>
      </c>
      <c r="J289" s="50" t="n">
        <v>8.1609</v>
      </c>
      <c r="K289" s="50" t="n">
        <v>5.1352</v>
      </c>
      <c r="L289" s="50" t="n">
        <v>1.1159</v>
      </c>
      <c r="M289" s="50" t="n">
        <v>0.61528</v>
      </c>
      <c r="N289" s="50" t="n">
        <v>14.4513</v>
      </c>
      <c r="O289" s="50" t="n">
        <v>2.5193</v>
      </c>
      <c r="R289" s="50" t="n">
        <v>195.14</v>
      </c>
      <c r="S289" s="50" t="n">
        <v>0.50857</v>
      </c>
      <c r="T289" s="50" t="n">
        <v>0.52033</v>
      </c>
      <c r="U289" s="50" t="n">
        <v>54.503</v>
      </c>
      <c r="V289" s="50" t="n">
        <v>0.56397</v>
      </c>
      <c r="W289" s="50" t="n">
        <v>0.9835</v>
      </c>
      <c r="X289" s="50" t="n">
        <v>1.5128</v>
      </c>
      <c r="Y289" s="50" t="n">
        <v>1.5308</v>
      </c>
      <c r="Z289" s="50" t="n">
        <v>4.80773</v>
      </c>
      <c r="AA289" s="50" t="n">
        <v>2.8153</v>
      </c>
      <c r="AB289" s="50" t="n">
        <v>4.7327</v>
      </c>
    </row>
    <row r="290">
      <c r="A290" s="49" t="n">
        <v>45632</v>
      </c>
      <c r="B290" s="50" t="n">
        <v>7.1848</v>
      </c>
      <c r="C290" s="50" t="n">
        <v>7.6243</v>
      </c>
      <c r="D290" s="50" t="n">
        <v>0.04809</v>
      </c>
      <c r="E290" s="50" t="n">
        <v>0.9232</v>
      </c>
      <c r="F290" s="50" t="n">
        <v>9.188700000000001</v>
      </c>
      <c r="G290" s="50" t="n">
        <v>4.6493</v>
      </c>
      <c r="H290" s="50" t="n">
        <v>4.2474</v>
      </c>
      <c r="I290" s="50" t="n">
        <v>5.3864</v>
      </c>
      <c r="J290" s="50" t="n">
        <v>8.193300000000001</v>
      </c>
      <c r="K290" s="50" t="n">
        <v>5.1418</v>
      </c>
      <c r="L290" s="50" t="n">
        <v>1.1163</v>
      </c>
      <c r="M290" s="50" t="n">
        <v>0.61295</v>
      </c>
      <c r="N290" s="50" t="n">
        <v>13.9092</v>
      </c>
      <c r="O290" s="50" t="n">
        <v>2.5035</v>
      </c>
      <c r="R290" s="50" t="n">
        <v>195.81</v>
      </c>
      <c r="S290" s="50" t="n">
        <v>0.5097</v>
      </c>
      <c r="T290" s="50" t="n">
        <v>0.5213</v>
      </c>
      <c r="U290" s="50" t="n">
        <v>54.1107</v>
      </c>
      <c r="V290" s="50" t="n">
        <v>0.55913</v>
      </c>
      <c r="W290" s="50" t="n">
        <v>0.9789</v>
      </c>
      <c r="X290" s="50" t="n">
        <v>1.5058</v>
      </c>
      <c r="Y290" s="50" t="n">
        <v>1.5321</v>
      </c>
      <c r="Z290" s="50" t="n">
        <v>4.81658</v>
      </c>
      <c r="AA290" s="50" t="n">
        <v>2.8057</v>
      </c>
      <c r="AB290" s="50" t="n">
        <v>4.7263</v>
      </c>
    </row>
    <row r="291">
      <c r="A291" s="49" t="n">
        <v>45635</v>
      </c>
      <c r="B291" s="50" t="n">
        <v>7.187</v>
      </c>
      <c r="C291" s="50" t="n">
        <v>7.6198</v>
      </c>
      <c r="D291" s="50" t="n">
        <v>0.048233</v>
      </c>
      <c r="E291" s="50" t="n">
        <v>0.9237300000000001</v>
      </c>
      <c r="F291" s="50" t="n">
        <v>9.1951</v>
      </c>
      <c r="G291" s="50" t="n">
        <v>4.622</v>
      </c>
      <c r="H291" s="50" t="n">
        <v>4.2211</v>
      </c>
      <c r="I291" s="50" t="n">
        <v>5.378</v>
      </c>
      <c r="J291" s="50" t="n">
        <v>8.205</v>
      </c>
      <c r="K291" s="50" t="n">
        <v>5.103</v>
      </c>
      <c r="L291" s="50" t="n">
        <v>1.1156</v>
      </c>
      <c r="M291" s="50" t="n">
        <v>0.61228</v>
      </c>
      <c r="N291" s="50" t="n">
        <v>13.8198</v>
      </c>
      <c r="O291" s="50" t="n">
        <v>2.4995</v>
      </c>
      <c r="R291" s="50" t="n">
        <v>196.87</v>
      </c>
      <c r="S291" s="50" t="n">
        <v>0.50881</v>
      </c>
      <c r="T291" s="50" t="n">
        <v>0.52041</v>
      </c>
      <c r="U291" s="50" t="n">
        <v>54.3426</v>
      </c>
      <c r="V291" s="50" t="n">
        <v>0.56009</v>
      </c>
      <c r="W291" s="50" t="n">
        <v>0.9791</v>
      </c>
      <c r="X291" s="50" t="n">
        <v>1.5146</v>
      </c>
      <c r="Y291" s="50" t="n">
        <v>1.5445</v>
      </c>
      <c r="Z291" s="50" t="n">
        <v>4.81759</v>
      </c>
      <c r="AA291" s="50" t="n">
        <v>2.7997</v>
      </c>
      <c r="AB291" s="50" t="n">
        <v>4.7045</v>
      </c>
    </row>
    <row r="292">
      <c r="A292" s="49" t="n">
        <v>45636</v>
      </c>
      <c r="B292" s="50" t="n">
        <v>7.1896</v>
      </c>
      <c r="C292" s="50" t="n">
        <v>7.6216</v>
      </c>
      <c r="D292" s="50" t="n">
        <v>0.047852</v>
      </c>
      <c r="E292" s="50" t="n">
        <v>0.92508</v>
      </c>
      <c r="F292" s="50" t="n">
        <v>9.2059</v>
      </c>
      <c r="G292" s="50" t="n">
        <v>4.6553</v>
      </c>
      <c r="H292" s="50" t="n">
        <v>4.2446</v>
      </c>
      <c r="I292" s="50" t="n">
        <v>5.3865</v>
      </c>
      <c r="J292" s="50" t="n">
        <v>8.210000000000001</v>
      </c>
      <c r="K292" s="50" t="n">
        <v>5.1025</v>
      </c>
      <c r="L292" s="50" t="n">
        <v>1.114</v>
      </c>
      <c r="M292" s="50" t="n">
        <v>0.61327</v>
      </c>
      <c r="N292" s="50" t="n">
        <v>13.7542</v>
      </c>
      <c r="O292" s="50" t="n">
        <v>2.4651</v>
      </c>
      <c r="R292" s="50" t="n">
        <v>197.34</v>
      </c>
      <c r="S292" s="50" t="n">
        <v>0.50825</v>
      </c>
      <c r="T292" s="50" t="n">
        <v>0.51984</v>
      </c>
      <c r="U292" s="50" t="n">
        <v>54.0185</v>
      </c>
      <c r="V292" s="50" t="n">
        <v>0.5584</v>
      </c>
      <c r="W292" s="50" t="n">
        <v>0.979</v>
      </c>
      <c r="X292" s="50" t="n">
        <v>1.5102</v>
      </c>
      <c r="Y292" s="50" t="n">
        <v>1.5395</v>
      </c>
      <c r="Z292" s="50" t="n">
        <v>4.81564</v>
      </c>
      <c r="AA292" s="50" t="n">
        <v>2.807</v>
      </c>
      <c r="AB292" s="50" t="n">
        <v>4.6662</v>
      </c>
    </row>
    <row r="293">
      <c r="A293" s="49" t="n">
        <v>45637</v>
      </c>
      <c r="B293" s="50" t="n">
        <v>7.1843</v>
      </c>
      <c r="C293" s="50" t="n">
        <v>7.6004</v>
      </c>
      <c r="D293" s="50" t="n">
        <v>0.047625</v>
      </c>
      <c r="E293" s="50" t="n">
        <v>0.92392</v>
      </c>
      <c r="F293" s="50" t="n">
        <v>9.222</v>
      </c>
      <c r="G293" s="50" t="n">
        <v>4.6093</v>
      </c>
      <c r="H293" s="50" t="n">
        <v>4.1978</v>
      </c>
      <c r="I293" s="50" t="n">
        <v>5.3802</v>
      </c>
      <c r="J293" s="50" t="n">
        <v>8.1724</v>
      </c>
      <c r="K293" s="50" t="n">
        <v>5.0963</v>
      </c>
      <c r="L293" s="50" t="n">
        <v>1.1154</v>
      </c>
      <c r="M293" s="50" t="n">
        <v>0.61374</v>
      </c>
      <c r="N293" s="50" t="n">
        <v>14.2183</v>
      </c>
      <c r="O293" s="50" t="n">
        <v>2.4697</v>
      </c>
      <c r="R293" s="50" t="n">
        <v>198.07</v>
      </c>
      <c r="S293" s="50" t="n">
        <v>0.50864</v>
      </c>
      <c r="T293" s="50" t="n">
        <v>0.52036</v>
      </c>
      <c r="U293" s="50" t="n">
        <v>53.9764</v>
      </c>
      <c r="V293" s="50" t="n">
        <v>0.56024</v>
      </c>
      <c r="W293" s="50" t="n">
        <v>0.9815</v>
      </c>
      <c r="X293" s="50" t="n">
        <v>1.5182</v>
      </c>
      <c r="Y293" s="50" t="n">
        <v>1.5434</v>
      </c>
      <c r="Z293" s="50" t="n">
        <v>4.82588</v>
      </c>
      <c r="AA293" s="50" t="n">
        <v>2.7968</v>
      </c>
      <c r="AB293" s="50" t="n">
        <v>4.6634</v>
      </c>
    </row>
    <row r="294">
      <c r="A294" s="49" t="n">
        <v>45638</v>
      </c>
      <c r="B294" s="50" t="n">
        <v>7.1854</v>
      </c>
      <c r="C294" s="50" t="n">
        <v>7.5789</v>
      </c>
      <c r="D294" s="50" t="n">
        <v>0.047488</v>
      </c>
      <c r="E294" s="50" t="n">
        <v>0.92416</v>
      </c>
      <c r="F294" s="50" t="n">
        <v>9.2066</v>
      </c>
      <c r="G294" s="50" t="n">
        <v>4.6084</v>
      </c>
      <c r="H294" s="50" t="n">
        <v>4.1889</v>
      </c>
      <c r="I294" s="50" t="n">
        <v>5.3713</v>
      </c>
      <c r="J294" s="50" t="n">
        <v>8.161</v>
      </c>
      <c r="K294" s="50" t="n">
        <v>5.1035</v>
      </c>
      <c r="L294" s="50" t="n">
        <v>1.115</v>
      </c>
      <c r="M294" s="50" t="n">
        <v>0.61381</v>
      </c>
      <c r="N294" s="50" t="n">
        <v>14.5604</v>
      </c>
      <c r="O294" s="50" t="n">
        <v>2.4555</v>
      </c>
      <c r="R294" s="50" t="n">
        <v>197.41</v>
      </c>
      <c r="S294" s="50" t="n">
        <v>0.50874</v>
      </c>
      <c r="T294" s="50" t="n">
        <v>0.52052</v>
      </c>
      <c r="U294" s="50" t="n">
        <v>54.0942</v>
      </c>
      <c r="V294" s="50" t="n">
        <v>0.5634</v>
      </c>
      <c r="W294" s="50" t="n">
        <v>0.9845</v>
      </c>
      <c r="X294" s="50" t="n">
        <v>1.5196</v>
      </c>
      <c r="Y294" s="50" t="n">
        <v>1.5435</v>
      </c>
      <c r="Z294" s="50" t="n">
        <v>4.82562</v>
      </c>
      <c r="AA294" s="50" t="n">
        <v>2.7931</v>
      </c>
      <c r="AB294" s="50" t="n">
        <v>4.6769</v>
      </c>
    </row>
    <row r="295">
      <c r="A295" s="49" t="n">
        <v>45639</v>
      </c>
      <c r="B295" s="50" t="n">
        <v>7.1876</v>
      </c>
      <c r="C295" s="50" t="n">
        <v>7.5675</v>
      </c>
      <c r="D295" s="50" t="n">
        <v>0.047421</v>
      </c>
      <c r="E295" s="50" t="n">
        <v>0.92442</v>
      </c>
      <c r="F295" s="50" t="n">
        <v>9.1578</v>
      </c>
      <c r="G295" s="50" t="n">
        <v>4.6061</v>
      </c>
      <c r="H295" s="50" t="n">
        <v>4.1781</v>
      </c>
      <c r="I295" s="50" t="n">
        <v>5.3616</v>
      </c>
      <c r="J295" s="50" t="n">
        <v>8.0969</v>
      </c>
      <c r="K295" s="50" t="n">
        <v>5.0874</v>
      </c>
      <c r="L295" s="50" t="n">
        <v>1.1148</v>
      </c>
      <c r="M295" s="50" t="n">
        <v>0.61478</v>
      </c>
      <c r="N295" s="50" t="n">
        <v>14.4437</v>
      </c>
      <c r="O295" s="50" t="n">
        <v>2.4644</v>
      </c>
      <c r="R295" s="50" t="n">
        <v>197.43</v>
      </c>
      <c r="S295" s="50" t="n">
        <v>0.5085</v>
      </c>
      <c r="T295" s="50" t="n">
        <v>0.52023</v>
      </c>
      <c r="U295" s="50" t="n">
        <v>54.1388</v>
      </c>
      <c r="V295" s="50" t="n">
        <v>0.5654</v>
      </c>
      <c r="W295" s="50" t="n">
        <v>0.9863</v>
      </c>
      <c r="X295" s="50" t="n">
        <v>1.5239</v>
      </c>
      <c r="Y295" s="50" t="n">
        <v>1.5452</v>
      </c>
      <c r="Z295" s="50" t="n">
        <v>4.8355</v>
      </c>
      <c r="AA295" s="50" t="n">
        <v>2.8031</v>
      </c>
      <c r="AB295" s="50" t="n">
        <v>4.685</v>
      </c>
    </row>
    <row r="296">
      <c r="A296" s="49" t="n">
        <v>45642</v>
      </c>
      <c r="B296" s="50" t="n">
        <v>7.1882</v>
      </c>
      <c r="C296" s="50" t="n">
        <v>7.5874</v>
      </c>
      <c r="D296" s="50" t="n">
        <v>0.047165</v>
      </c>
      <c r="E296" s="50" t="n">
        <v>0.92444</v>
      </c>
      <c r="F296" s="50" t="n">
        <v>9.116400000000001</v>
      </c>
      <c r="G296" s="50" t="n">
        <v>4.6042</v>
      </c>
      <c r="H296" s="50" t="n">
        <v>4.1805</v>
      </c>
      <c r="I296" s="50" t="n">
        <v>5.355</v>
      </c>
      <c r="J296" s="50" t="n">
        <v>8.085900000000001</v>
      </c>
      <c r="K296" s="50" t="n">
        <v>5.0818</v>
      </c>
      <c r="L296" s="50" t="n">
        <v>1.1147</v>
      </c>
      <c r="M296" s="50" t="n">
        <v>0.61629</v>
      </c>
      <c r="N296" s="50" t="n">
        <v>14.3648</v>
      </c>
      <c r="O296" s="50" t="n">
        <v>2.4759</v>
      </c>
      <c r="R296" s="50" t="n">
        <v>197.88</v>
      </c>
      <c r="S296" s="50" t="n">
        <v>0.50834</v>
      </c>
      <c r="T296" s="50" t="n">
        <v>0.51989</v>
      </c>
      <c r="U296" s="50" t="n">
        <v>53.9477</v>
      </c>
      <c r="V296" s="50" t="n">
        <v>0.56173</v>
      </c>
      <c r="W296" s="50" t="n">
        <v>0.9836</v>
      </c>
      <c r="X296" s="50" t="n">
        <v>1.5198</v>
      </c>
      <c r="Y296" s="50" t="n">
        <v>1.5436</v>
      </c>
      <c r="Z296" s="50" t="n">
        <v>4.8343</v>
      </c>
      <c r="AA296" s="50" t="n">
        <v>2.7886</v>
      </c>
      <c r="AB296" s="50" t="n">
        <v>4.7122</v>
      </c>
    </row>
    <row r="297">
      <c r="A297" s="49" t="n">
        <v>45643</v>
      </c>
      <c r="B297" s="50" t="n">
        <v>7.1891</v>
      </c>
      <c r="C297" s="50" t="n">
        <v>7.597</v>
      </c>
      <c r="D297" s="50" t="n">
        <v>0.046986</v>
      </c>
      <c r="E297" s="50" t="n">
        <v>0.9248</v>
      </c>
      <c r="F297" s="50" t="n">
        <v>9.1656</v>
      </c>
      <c r="G297" s="50" t="n">
        <v>4.6101</v>
      </c>
      <c r="H297" s="50" t="n">
        <v>4.1934</v>
      </c>
      <c r="I297" s="50" t="n">
        <v>5.3528</v>
      </c>
      <c r="J297" s="50" t="n">
        <v>8.068199999999999</v>
      </c>
      <c r="K297" s="50" t="n">
        <v>5.0803</v>
      </c>
      <c r="L297" s="50" t="n">
        <v>1.1148</v>
      </c>
      <c r="M297" s="50" t="n">
        <v>0.61607</v>
      </c>
      <c r="N297" s="50" t="n">
        <v>14.2283</v>
      </c>
      <c r="O297" s="50" t="n">
        <v>2.4749</v>
      </c>
      <c r="R297" s="50" t="n">
        <v>198.11</v>
      </c>
      <c r="S297" s="50" t="n">
        <v>0.50865</v>
      </c>
      <c r="T297" s="50" t="n">
        <v>0.5196</v>
      </c>
      <c r="U297" s="50" t="n">
        <v>53.8299</v>
      </c>
      <c r="V297" s="50" t="n">
        <v>0.56028</v>
      </c>
      <c r="W297" s="50" t="n">
        <v>0.9829</v>
      </c>
      <c r="X297" s="50" t="n">
        <v>1.5059</v>
      </c>
      <c r="Y297" s="50" t="n">
        <v>1.5426</v>
      </c>
      <c r="Z297" s="50" t="n">
        <v>4.83133</v>
      </c>
      <c r="AA297" s="50" t="n">
        <v>2.791</v>
      </c>
      <c r="AB297" s="50" t="n">
        <v>4.6987</v>
      </c>
    </row>
    <row r="298">
      <c r="A298" s="49" t="n">
        <v>45644</v>
      </c>
      <c r="B298" s="50" t="n">
        <v>7.188</v>
      </c>
      <c r="C298" s="50" t="n">
        <v>7.583</v>
      </c>
      <c r="D298" s="50" t="n">
        <v>0.047185</v>
      </c>
      <c r="E298" s="50" t="n">
        <v>0.92518</v>
      </c>
      <c r="F298" s="50" t="n">
        <v>9.1854</v>
      </c>
      <c r="G298" s="50" t="n">
        <v>4.5856</v>
      </c>
      <c r="H298" s="50" t="n">
        <v>4.1731</v>
      </c>
      <c r="I298" s="50" t="n">
        <v>5.3563</v>
      </c>
      <c r="J298" s="50" t="n">
        <v>8.087</v>
      </c>
      <c r="K298" s="50" t="n">
        <v>5.0559</v>
      </c>
      <c r="L298" s="50" t="n">
        <v>1.1138</v>
      </c>
      <c r="M298" s="50" t="n">
        <v>0.61678</v>
      </c>
      <c r="N298" s="50" t="n">
        <v>14.3527</v>
      </c>
      <c r="O298" s="50" t="n">
        <v>2.5069</v>
      </c>
      <c r="R298" s="50" t="n">
        <v>198.18</v>
      </c>
      <c r="S298" s="50" t="n">
        <v>0.50802</v>
      </c>
      <c r="T298" s="50" t="n">
        <v>0.51956</v>
      </c>
      <c r="U298" s="50" t="n">
        <v>53.987</v>
      </c>
      <c r="V298" s="50" t="n">
        <v>0.5629999999999999</v>
      </c>
      <c r="W298" s="50" t="n">
        <v>0.9844000000000001</v>
      </c>
      <c r="X298" s="50" t="n">
        <v>1.5157</v>
      </c>
      <c r="Y298" s="50" t="n">
        <v>1.5487</v>
      </c>
      <c r="Z298" s="50" t="n">
        <v>4.83876</v>
      </c>
      <c r="AA298" s="50" t="n">
        <v>2.7958</v>
      </c>
      <c r="AB298" s="50" t="n">
        <v>4.7175</v>
      </c>
    </row>
    <row r="299">
      <c r="A299" s="49" t="n">
        <v>45645</v>
      </c>
      <c r="B299" s="50" t="n">
        <v>7.1911</v>
      </c>
      <c r="C299" s="50" t="n">
        <v>7.4998</v>
      </c>
      <c r="D299" s="50" t="n">
        <v>0.046943</v>
      </c>
      <c r="E299" s="50" t="n">
        <v>0.92526</v>
      </c>
      <c r="F299" s="50" t="n">
        <v>9.1038</v>
      </c>
      <c r="G299" s="50" t="n">
        <v>4.509</v>
      </c>
      <c r="H299" s="50" t="n">
        <v>4.091</v>
      </c>
      <c r="I299" s="50" t="n">
        <v>5.3119</v>
      </c>
      <c r="J299" s="50" t="n">
        <v>8.021699999999999</v>
      </c>
      <c r="K299" s="50" t="n">
        <v>5.0212</v>
      </c>
      <c r="L299" s="50" t="n">
        <v>1.1137</v>
      </c>
      <c r="M299" s="50" t="n">
        <v>0.6202</v>
      </c>
      <c r="N299" s="50" t="n">
        <v>14.3629</v>
      </c>
      <c r="O299" s="50" t="n">
        <v>2.5354</v>
      </c>
      <c r="R299" s="50" t="n">
        <v>199</v>
      </c>
      <c r="S299" s="50" t="n">
        <v>0.5071099999999999</v>
      </c>
      <c r="T299" s="50" t="n">
        <v>0.51861</v>
      </c>
      <c r="U299" s="50" t="n">
        <v>55.1547</v>
      </c>
      <c r="V299" s="50" t="n">
        <v>0.56957</v>
      </c>
      <c r="W299" s="50" t="n">
        <v>0.9958</v>
      </c>
      <c r="X299" s="50" t="n">
        <v>1.5356</v>
      </c>
      <c r="Y299" s="50" t="n">
        <v>1.5709</v>
      </c>
      <c r="Z299" s="50" t="n">
        <v>4.83568</v>
      </c>
      <c r="AA299" s="50" t="n">
        <v>2.8226</v>
      </c>
      <c r="AB299" s="50" t="n">
        <v>4.7464</v>
      </c>
    </row>
    <row r="300">
      <c r="A300" s="49" t="n">
        <v>45646</v>
      </c>
      <c r="B300" s="50" t="n">
        <v>7.1901</v>
      </c>
      <c r="C300" s="50" t="n">
        <v>7.4984</v>
      </c>
      <c r="D300" s="50" t="n">
        <v>0.046073</v>
      </c>
      <c r="E300" s="50" t="n">
        <v>0.92545</v>
      </c>
      <c r="F300" s="50" t="n">
        <v>9.0428</v>
      </c>
      <c r="G300" s="50" t="n">
        <v>4.5186</v>
      </c>
      <c r="H300" s="50" t="n">
        <v>4.0876</v>
      </c>
      <c r="I300" s="50" t="n">
        <v>5.3145</v>
      </c>
      <c r="J300" s="50" t="n">
        <v>8.0397</v>
      </c>
      <c r="K300" s="50" t="n">
        <v>5.0346</v>
      </c>
      <c r="L300" s="50" t="n">
        <v>1.1139</v>
      </c>
      <c r="M300" s="50" t="n">
        <v>0.62336</v>
      </c>
      <c r="N300" s="50" t="n">
        <v>14.1816</v>
      </c>
      <c r="O300" s="50" t="n">
        <v>2.5485</v>
      </c>
      <c r="R300" s="50" t="n">
        <v>199.07</v>
      </c>
      <c r="S300" s="50" t="n">
        <v>0.50728</v>
      </c>
      <c r="T300" s="50" t="n">
        <v>0.51888</v>
      </c>
      <c r="U300" s="50" t="n">
        <v>55.3348</v>
      </c>
      <c r="V300" s="50" t="n">
        <v>0.5678299999999999</v>
      </c>
      <c r="W300" s="50" t="n">
        <v>0.9955000000000001</v>
      </c>
      <c r="X300" s="50" t="n">
        <v>1.5238</v>
      </c>
      <c r="Y300" s="50" t="n">
        <v>1.5801</v>
      </c>
      <c r="Z300" s="50" t="n">
        <v>4.85163</v>
      </c>
      <c r="AA300" s="50" t="n">
        <v>2.8167</v>
      </c>
      <c r="AB300" s="50" t="n">
        <v>4.7601</v>
      </c>
    </row>
    <row r="301">
      <c r="A301" s="49" t="n">
        <v>45649</v>
      </c>
      <c r="B301" s="50" t="n">
        <v>7.187</v>
      </c>
      <c r="C301" s="50" t="n">
        <v>7.5315</v>
      </c>
      <c r="D301" s="50" t="n">
        <v>0.046287</v>
      </c>
      <c r="E301" s="50" t="n">
        <v>0.9246799999999999</v>
      </c>
      <c r="F301" s="50" t="n">
        <v>9.072100000000001</v>
      </c>
      <c r="G301" s="50" t="n">
        <v>4.5205</v>
      </c>
      <c r="H301" s="50" t="n">
        <v>4.0951</v>
      </c>
      <c r="I301" s="50" t="n">
        <v>5.3309</v>
      </c>
      <c r="J301" s="50" t="n">
        <v>8.072800000000001</v>
      </c>
      <c r="K301" s="50" t="n">
        <v>5.0327</v>
      </c>
      <c r="L301" s="50" t="n">
        <v>1.1145</v>
      </c>
      <c r="M301" s="50" t="n">
        <v>0.62238</v>
      </c>
      <c r="N301" s="50" t="n">
        <v>14.128</v>
      </c>
      <c r="O301" s="50" t="n">
        <v>2.5379</v>
      </c>
      <c r="R301" s="50" t="n">
        <v>199.29</v>
      </c>
      <c r="S301" s="50" t="n">
        <v>0.50841</v>
      </c>
      <c r="T301" s="50" t="n">
        <v>0.51981</v>
      </c>
      <c r="U301" s="50" t="n">
        <v>54.919</v>
      </c>
      <c r="V301" s="50" t="n">
        <v>0.56507</v>
      </c>
      <c r="W301" s="50" t="n">
        <v>0.9912</v>
      </c>
      <c r="X301" s="50" t="n">
        <v>1.5264</v>
      </c>
      <c r="Y301" s="50" t="n">
        <v>1.5674</v>
      </c>
      <c r="Z301" s="50" t="n">
        <v>4.86248</v>
      </c>
      <c r="AA301" s="50" t="n">
        <v>2.7816</v>
      </c>
      <c r="AB301" s="50" t="n">
        <v>4.7329</v>
      </c>
    </row>
    <row r="302">
      <c r="A302" s="49" t="n">
        <v>45650</v>
      </c>
      <c r="B302" s="50" t="n">
        <v>7.1876</v>
      </c>
      <c r="C302" s="50" t="n">
        <v>7.5235</v>
      </c>
      <c r="D302" s="50" t="n">
        <v>0.046171</v>
      </c>
      <c r="E302" s="50" t="n">
        <v>0.92506</v>
      </c>
      <c r="F302" s="50" t="n">
        <v>9.063000000000001</v>
      </c>
      <c r="G302" s="50" t="n">
        <v>4.5246</v>
      </c>
      <c r="H302" s="50" t="n">
        <v>4.1004</v>
      </c>
      <c r="I302" s="50" t="n">
        <v>5.3282</v>
      </c>
      <c r="J302" s="50" t="n">
        <v>8.037800000000001</v>
      </c>
      <c r="K302" s="50" t="n">
        <v>5.04</v>
      </c>
      <c r="L302" s="50" t="n">
        <v>1.1134</v>
      </c>
      <c r="M302" s="50" t="n">
        <v>0.62083</v>
      </c>
      <c r="N302" s="50" t="n">
        <v>13.8678</v>
      </c>
      <c r="O302" s="50" t="n">
        <v>2.5688</v>
      </c>
      <c r="R302" s="50" t="n">
        <v>199.8</v>
      </c>
      <c r="S302" s="50" t="n">
        <v>0.50762</v>
      </c>
      <c r="T302" s="50" t="n">
        <v>0.51915</v>
      </c>
      <c r="U302" s="50" t="n">
        <v>54.8516</v>
      </c>
      <c r="V302" s="50" t="n">
        <v>0.56697</v>
      </c>
      <c r="W302" s="50" t="n">
        <v>0.9923999999999999</v>
      </c>
      <c r="X302" s="50" t="n">
        <v>1.5264</v>
      </c>
      <c r="Y302" s="50" t="n">
        <v>1.5694</v>
      </c>
      <c r="Z302" s="50" t="n">
        <v>4.86603</v>
      </c>
      <c r="AA302" s="50" t="n">
        <v>2.7952</v>
      </c>
      <c r="AB302" s="50" t="n">
        <v>4.7202</v>
      </c>
    </row>
    <row r="303">
      <c r="A303" s="49" t="n">
        <v>45651</v>
      </c>
      <c r="B303" s="50" t="n">
        <v>7.1868</v>
      </c>
      <c r="C303" s="50" t="n">
        <v>7.5178</v>
      </c>
      <c r="D303" s="50" t="n">
        <v>0.046161</v>
      </c>
      <c r="E303" s="50" t="n">
        <v>0.92532</v>
      </c>
      <c r="F303" s="50" t="n">
        <v>9.056900000000001</v>
      </c>
      <c r="G303" s="50" t="n">
        <v>4.5178</v>
      </c>
      <c r="H303" s="50" t="n">
        <v>4.0996</v>
      </c>
      <c r="I303" s="50" t="n">
        <v>5.3168</v>
      </c>
      <c r="J303" s="50" t="n">
        <v>8.016999999999999</v>
      </c>
      <c r="K303" s="50" t="n">
        <v>5.0421</v>
      </c>
      <c r="L303" s="50" t="n">
        <v>1.1133</v>
      </c>
      <c r="M303" s="50" t="n">
        <v>0.62075</v>
      </c>
      <c r="N303" s="50" t="n">
        <v>13.7352</v>
      </c>
      <c r="O303" s="50" t="n">
        <v>2.588</v>
      </c>
      <c r="R303" s="50" t="n">
        <v>200.77</v>
      </c>
      <c r="S303" s="50" t="n">
        <v>0.50782</v>
      </c>
      <c r="T303" s="50" t="n">
        <v>0.51914</v>
      </c>
      <c r="U303" s="50" t="n">
        <v>54.6351</v>
      </c>
      <c r="V303" s="50" t="n">
        <v>0.56617</v>
      </c>
      <c r="W303" s="50" t="n">
        <v>0.9933</v>
      </c>
      <c r="X303" s="50" t="n">
        <v>1.5314</v>
      </c>
      <c r="Y303" s="50" t="n">
        <v>1.5689</v>
      </c>
      <c r="Z303" s="50" t="n">
        <v>4.8473</v>
      </c>
      <c r="AA303" s="50" t="n">
        <v>2.7926</v>
      </c>
      <c r="AB303" s="50" t="n">
        <v>4.7054</v>
      </c>
    </row>
    <row r="304">
      <c r="A304" s="49" t="n">
        <v>45652</v>
      </c>
      <c r="B304" s="50" t="n">
        <v>7.1897</v>
      </c>
      <c r="C304" s="50" t="n">
        <v>7.5157</v>
      </c>
      <c r="D304" s="50" t="n">
        <v>0.046138</v>
      </c>
      <c r="E304" s="50" t="n">
        <v>0.92572</v>
      </c>
      <c r="F304" s="50" t="n">
        <v>9.0641</v>
      </c>
      <c r="G304" s="50" t="n">
        <v>4.5189</v>
      </c>
      <c r="H304" s="50" t="n">
        <v>4.101</v>
      </c>
      <c r="I304" s="50" t="n">
        <v>5.3197</v>
      </c>
      <c r="J304" s="50" t="n">
        <v>8.0223</v>
      </c>
      <c r="K304" s="50" t="n">
        <v>5.0432</v>
      </c>
      <c r="L304" s="50" t="n">
        <v>1.1126</v>
      </c>
      <c r="M304" s="50" t="n">
        <v>0.61955</v>
      </c>
      <c r="N304" s="50" t="n">
        <v>13.6646</v>
      </c>
      <c r="O304" s="50" t="n">
        <v>2.5902</v>
      </c>
      <c r="R304" s="50" t="n">
        <v>200.78</v>
      </c>
      <c r="S304" s="50" t="n">
        <v>0.50782</v>
      </c>
      <c r="T304" s="50" t="n">
        <v>0.51911</v>
      </c>
      <c r="U304" s="50" t="n">
        <v>54.696</v>
      </c>
      <c r="V304" s="50" t="n">
        <v>0.5666099999999999</v>
      </c>
      <c r="W304" s="50" t="n">
        <v>0.9935</v>
      </c>
      <c r="X304" s="50" t="n">
        <v>1.5322</v>
      </c>
      <c r="Y304" s="50" t="n">
        <v>1.5693</v>
      </c>
      <c r="Z304" s="50" t="n">
        <v>4.85607</v>
      </c>
      <c r="AA304" s="50" t="n">
        <v>2.7926</v>
      </c>
      <c r="AB304" s="50" t="n">
        <v>4.7083</v>
      </c>
    </row>
    <row r="305">
      <c r="A305" s="49" t="n">
        <v>45653</v>
      </c>
      <c r="B305" s="50" t="n">
        <v>7.1893</v>
      </c>
      <c r="C305" s="50" t="n">
        <v>7.5337</v>
      </c>
      <c r="D305" s="50" t="n">
        <v>0.045979</v>
      </c>
      <c r="E305" s="50" t="n">
        <v>0.92564</v>
      </c>
      <c r="F305" s="50" t="n">
        <v>9.0564</v>
      </c>
      <c r="G305" s="50" t="n">
        <v>4.5059</v>
      </c>
      <c r="H305" s="50" t="n">
        <v>4.0822</v>
      </c>
      <c r="I305" s="50" t="n">
        <v>5.3197</v>
      </c>
      <c r="J305" s="50" t="n">
        <v>8.033300000000001</v>
      </c>
      <c r="K305" s="50" t="n">
        <v>5.0242</v>
      </c>
      <c r="L305" s="50" t="n">
        <v>1.1133</v>
      </c>
      <c r="M305" s="50" t="n">
        <v>0.61783</v>
      </c>
      <c r="N305" s="50" t="n">
        <v>13.7045</v>
      </c>
      <c r="O305" s="50" t="n">
        <v>2.6102</v>
      </c>
      <c r="R305" s="50" t="n">
        <v>202.46</v>
      </c>
      <c r="S305" s="50" t="n">
        <v>0.50773</v>
      </c>
      <c r="T305" s="50" t="n">
        <v>0.51908</v>
      </c>
      <c r="U305" s="50" t="n">
        <v>54.5281</v>
      </c>
      <c r="V305" s="50" t="n">
        <v>0.56589</v>
      </c>
      <c r="W305" s="50" t="n">
        <v>0.991</v>
      </c>
      <c r="X305" s="50" t="n">
        <v>1.5276</v>
      </c>
      <c r="Y305" s="50" t="n">
        <v>1.5758</v>
      </c>
      <c r="Z305" s="50" t="n">
        <v>4.8655</v>
      </c>
      <c r="AA305" s="50" t="n">
        <v>2.8011</v>
      </c>
      <c r="AB305" s="50" t="n">
        <v>4.7026</v>
      </c>
    </row>
    <row r="306">
      <c r="A306" s="49" t="n">
        <v>45656</v>
      </c>
      <c r="B306" s="50" t="n">
        <v>7.1889</v>
      </c>
      <c r="C306" s="50" t="n">
        <v>7.5407</v>
      </c>
      <c r="D306" s="50" t="n">
        <v>0.045953</v>
      </c>
      <c r="E306" s="50" t="n">
        <v>0.92584</v>
      </c>
      <c r="F306" s="50" t="n">
        <v>9.0968</v>
      </c>
      <c r="G306" s="50" t="n">
        <v>4.5104</v>
      </c>
      <c r="H306" s="50" t="n">
        <v>4.0941</v>
      </c>
      <c r="I306" s="50" t="n">
        <v>5.3234</v>
      </c>
      <c r="J306" s="50" t="n">
        <v>8.0124</v>
      </c>
      <c r="K306" s="50" t="n">
        <v>5.0267</v>
      </c>
      <c r="L306" s="50" t="n">
        <v>1.1134</v>
      </c>
      <c r="M306" s="50" t="n">
        <v>0.61798</v>
      </c>
      <c r="N306" s="50" t="n">
        <v>14.3849</v>
      </c>
      <c r="O306" s="50" t="n">
        <v>2.5889</v>
      </c>
      <c r="R306" s="50" t="n">
        <v>202.58</v>
      </c>
      <c r="S306" s="50" t="n">
        <v>0.50773</v>
      </c>
      <c r="T306" s="50" t="n">
        <v>0.5188700000000001</v>
      </c>
      <c r="U306" s="50" t="n">
        <v>54.5369</v>
      </c>
      <c r="V306" s="50" t="n">
        <v>0.5663899999999999</v>
      </c>
      <c r="W306" s="50" t="n">
        <v>0.9899</v>
      </c>
      <c r="X306" s="50" t="n">
        <v>1.5204</v>
      </c>
      <c r="Y306" s="50" t="n">
        <v>1.5688</v>
      </c>
      <c r="Z306" s="50" t="n">
        <v>4.86458</v>
      </c>
      <c r="AA306" s="50" t="n">
        <v>2.8153</v>
      </c>
      <c r="AB306" s="50" t="n">
        <v>4.6913</v>
      </c>
    </row>
    <row r="307">
      <c r="A307" s="49" t="n">
        <v>45657</v>
      </c>
      <c r="B307" s="50" t="n">
        <v>7.1884</v>
      </c>
      <c r="C307" s="50" t="n">
        <v>7.5257</v>
      </c>
      <c r="D307" s="50" t="n">
        <v>0.046233</v>
      </c>
      <c r="E307" s="50" t="n">
        <v>0.92604</v>
      </c>
      <c r="F307" s="50" t="n">
        <v>9.076499999999999</v>
      </c>
      <c r="G307" s="50" t="n">
        <v>4.507</v>
      </c>
      <c r="H307" s="50" t="n">
        <v>4.0955</v>
      </c>
      <c r="I307" s="50" t="n">
        <v>5.3214</v>
      </c>
      <c r="J307" s="50" t="n">
        <v>7.9977</v>
      </c>
      <c r="K307" s="50" t="n">
        <v>5.0498</v>
      </c>
      <c r="L307" s="50" t="n">
        <v>1.113</v>
      </c>
      <c r="M307" s="50" t="n">
        <v>0.61732</v>
      </c>
      <c r="N307" s="50" t="n">
        <v>15.1387</v>
      </c>
      <c r="O307" s="50" t="n">
        <v>2.6014</v>
      </c>
      <c r="R307" s="50" t="n">
        <v>202.52</v>
      </c>
      <c r="S307" s="50" t="n">
        <v>0.50732</v>
      </c>
      <c r="T307" s="50" t="n">
        <v>0.51856</v>
      </c>
      <c r="U307" s="50" t="n">
        <v>54.6486</v>
      </c>
      <c r="V307" s="50" t="n">
        <v>0.5682700000000001</v>
      </c>
      <c r="W307" s="50" t="n">
        <v>0.9917</v>
      </c>
      <c r="X307" s="50" t="n">
        <v>1.5233</v>
      </c>
      <c r="Y307" s="50" t="n">
        <v>1.5658</v>
      </c>
      <c r="Z307" s="50" t="n">
        <v>4.8755</v>
      </c>
      <c r="AA307" s="50" t="n">
        <v>2.859</v>
      </c>
      <c r="AB307" s="50" t="n">
        <v>4.7028</v>
      </c>
    </row>
    <row r="308">
      <c r="A308" s="49" t="n">
        <v>45659</v>
      </c>
      <c r="B308" s="50" t="n">
        <v>7.1879</v>
      </c>
      <c r="C308" s="50" t="n">
        <v>7.491</v>
      </c>
      <c r="D308" s="50" t="n">
        <v>0.046123</v>
      </c>
      <c r="E308" s="50" t="n">
        <v>0.92489</v>
      </c>
      <c r="F308" s="50" t="n">
        <v>9.058400000000001</v>
      </c>
      <c r="G308" s="50" t="n">
        <v>4.4904</v>
      </c>
      <c r="H308" s="50" t="n">
        <v>4.0708</v>
      </c>
      <c r="I308" s="50" t="n">
        <v>5.2991</v>
      </c>
      <c r="J308" s="50" t="n">
        <v>7.9669</v>
      </c>
      <c r="K308" s="50" t="n">
        <v>5.0442</v>
      </c>
      <c r="L308" s="50" t="n">
        <v>1.1136</v>
      </c>
      <c r="M308" s="50" t="n">
        <v>0.61866</v>
      </c>
      <c r="N308" s="50" t="n">
        <v>15.5494</v>
      </c>
      <c r="O308" s="50" t="n">
        <v>2.6092</v>
      </c>
      <c r="R308" s="50" t="n">
        <v>202.71</v>
      </c>
      <c r="S308" s="50" t="n">
        <v>0.50714</v>
      </c>
      <c r="T308" s="50" t="n">
        <v>0.51854</v>
      </c>
      <c r="U308" s="50" t="n">
        <v>54.8765</v>
      </c>
      <c r="V308" s="50" t="n">
        <v>0.57119</v>
      </c>
      <c r="W308" s="50" t="n">
        <v>0.9963</v>
      </c>
      <c r="X308" s="50" t="n">
        <v>1.528</v>
      </c>
      <c r="Y308" s="50" t="n">
        <v>1.5721</v>
      </c>
      <c r="Z308" s="50" t="n">
        <v>4.87965</v>
      </c>
      <c r="AA308" s="50" t="n">
        <v>2.8855</v>
      </c>
      <c r="AB308" s="50" t="n">
        <v>4.7132</v>
      </c>
    </row>
    <row r="309">
      <c r="A309" s="49" t="n">
        <v>45660</v>
      </c>
      <c r="B309" s="50" t="n">
        <v>7.1878</v>
      </c>
      <c r="C309" s="50" t="n">
        <v>7.4269</v>
      </c>
      <c r="D309" s="50" t="n">
        <v>0.046067</v>
      </c>
      <c r="E309" s="50" t="n">
        <v>0.92427</v>
      </c>
      <c r="F309" s="50" t="n">
        <v>8.957100000000001</v>
      </c>
      <c r="G309" s="50" t="n">
        <v>4.4964</v>
      </c>
      <c r="H309" s="50" t="n">
        <v>4.0646</v>
      </c>
      <c r="I309" s="50" t="n">
        <v>5.2817</v>
      </c>
      <c r="J309" s="50" t="n">
        <v>7.9216</v>
      </c>
      <c r="K309" s="50" t="n">
        <v>5.0302</v>
      </c>
      <c r="L309" s="50" t="n">
        <v>1.1151</v>
      </c>
      <c r="M309" s="50" t="n">
        <v>0.61973</v>
      </c>
      <c r="N309" s="50" t="n">
        <v>15.692</v>
      </c>
      <c r="O309" s="50" t="n">
        <v>2.5942</v>
      </c>
      <c r="R309" s="50" t="n">
        <v>202.04</v>
      </c>
      <c r="S309" s="50" t="n">
        <v>0.5075</v>
      </c>
      <c r="T309" s="50" t="n">
        <v>0.5188</v>
      </c>
      <c r="U309" s="50" t="n">
        <v>55.6734</v>
      </c>
      <c r="V309" s="50" t="n">
        <v>0.57611</v>
      </c>
      <c r="W309" s="50" t="n">
        <v>1.0057</v>
      </c>
      <c r="X309" s="50" t="n">
        <v>1.5403</v>
      </c>
      <c r="Y309" s="50" t="n">
        <v>1.573</v>
      </c>
      <c r="Z309" s="50" t="n">
        <v>4.88598</v>
      </c>
      <c r="AA309" s="50" t="n">
        <v>2.8547</v>
      </c>
      <c r="AB309" s="50" t="n">
        <v>4.7304</v>
      </c>
    </row>
    <row r="310">
      <c r="A310" s="49" t="n">
        <v>45663</v>
      </c>
      <c r="B310" s="50" t="n">
        <v>7.1876</v>
      </c>
      <c r="C310" s="50" t="n">
        <v>7.4443</v>
      </c>
      <c r="D310" s="50" t="n">
        <v>0.046065</v>
      </c>
      <c r="E310" s="50" t="n">
        <v>0.92406</v>
      </c>
      <c r="F310" s="50" t="n">
        <v>8.976900000000001</v>
      </c>
      <c r="G310" s="50" t="n">
        <v>4.5033</v>
      </c>
      <c r="H310" s="50" t="n">
        <v>4.0773</v>
      </c>
      <c r="I310" s="50" t="n">
        <v>5.2743</v>
      </c>
      <c r="J310" s="50" t="n">
        <v>7.9348</v>
      </c>
      <c r="K310" s="50" t="n">
        <v>5.0159</v>
      </c>
      <c r="L310" s="50" t="n">
        <v>1.1155</v>
      </c>
      <c r="M310" s="50" t="n">
        <v>0.62226</v>
      </c>
      <c r="N310" s="50" t="n">
        <v>15.1225</v>
      </c>
      <c r="O310" s="50" t="n">
        <v>2.5999</v>
      </c>
      <c r="R310" s="50" t="n">
        <v>202.28</v>
      </c>
      <c r="S310" s="50" t="n">
        <v>0.5079399999999999</v>
      </c>
      <c r="T310" s="50" t="n">
        <v>0.51931</v>
      </c>
      <c r="U310" s="50" t="n">
        <v>55.7543</v>
      </c>
      <c r="V310" s="50" t="n">
        <v>0.57329</v>
      </c>
      <c r="W310" s="50" t="n">
        <v>1.0025</v>
      </c>
      <c r="X310" s="50" t="n">
        <v>1.5369</v>
      </c>
      <c r="Y310" s="50" t="n">
        <v>1.5692</v>
      </c>
      <c r="Z310" s="50" t="n">
        <v>4.87205</v>
      </c>
      <c r="AA310" s="50" t="n">
        <v>2.8573</v>
      </c>
      <c r="AB310" s="50" t="n">
        <v>4.7455</v>
      </c>
    </row>
    <row r="311">
      <c r="A311" s="49" t="n">
        <v>45664</v>
      </c>
      <c r="B311" s="50" t="n">
        <v>7.1879</v>
      </c>
      <c r="C311" s="50" t="n">
        <v>7.5035</v>
      </c>
      <c r="D311" s="50" t="n">
        <v>0.046002</v>
      </c>
      <c r="E311" s="50" t="n">
        <v>0.92453</v>
      </c>
      <c r="F311" s="50" t="n">
        <v>9.039899999999999</v>
      </c>
      <c r="G311" s="50" t="n">
        <v>4.518</v>
      </c>
      <c r="H311" s="50" t="n">
        <v>4.0966</v>
      </c>
      <c r="I311" s="50" t="n">
        <v>5.3006</v>
      </c>
      <c r="J311" s="50" t="n">
        <v>7.9694</v>
      </c>
      <c r="K311" s="50" t="n">
        <v>5.0495</v>
      </c>
      <c r="L311" s="50" t="n">
        <v>1.1148</v>
      </c>
      <c r="M311" s="50" t="n">
        <v>0.6231</v>
      </c>
      <c r="N311" s="50" t="n">
        <v>14.6879</v>
      </c>
      <c r="O311" s="50" t="n">
        <v>2.5746</v>
      </c>
      <c r="R311" s="50" t="n">
        <v>201.1</v>
      </c>
      <c r="S311" s="50" t="n">
        <v>0.50782</v>
      </c>
      <c r="T311" s="50" t="n">
        <v>0.51916</v>
      </c>
      <c r="U311" s="50" t="n">
        <v>55.4407</v>
      </c>
      <c r="V311" s="50" t="n">
        <v>0.5665</v>
      </c>
      <c r="W311" s="50" t="n">
        <v>0.9953</v>
      </c>
      <c r="X311" s="50" t="n">
        <v>1.5282</v>
      </c>
      <c r="Y311" s="50" t="n">
        <v>1.5626</v>
      </c>
      <c r="Z311" s="50" t="n">
        <v>4.87845</v>
      </c>
      <c r="AA311" s="50" t="n">
        <v>2.8167</v>
      </c>
      <c r="AB311" s="50" t="n">
        <v>4.7655</v>
      </c>
    </row>
    <row r="312">
      <c r="A312" s="49" t="n">
        <v>45665</v>
      </c>
      <c r="B312" s="50" t="n">
        <v>7.1887</v>
      </c>
      <c r="C312" s="50" t="n">
        <v>7.4905</v>
      </c>
      <c r="D312" s="50" t="n">
        <v>0.045991</v>
      </c>
      <c r="E312" s="50" t="n">
        <v>0.92453</v>
      </c>
      <c r="F312" s="50" t="n">
        <v>9.0345</v>
      </c>
      <c r="G312" s="50" t="n">
        <v>4.524</v>
      </c>
      <c r="H312" s="50" t="n">
        <v>4.104</v>
      </c>
      <c r="I312" s="50" t="n">
        <v>5.3054</v>
      </c>
      <c r="J312" s="50" t="n">
        <v>7.9505</v>
      </c>
      <c r="K312" s="50" t="n">
        <v>5.0528</v>
      </c>
      <c r="L312" s="50" t="n">
        <v>1.1149</v>
      </c>
      <c r="M312" s="50" t="n">
        <v>0.6200599999999999</v>
      </c>
      <c r="N312" s="50" t="n">
        <v>14.6444</v>
      </c>
      <c r="O312" s="50" t="n">
        <v>2.5859</v>
      </c>
      <c r="R312" s="50" t="n">
        <v>199.6</v>
      </c>
      <c r="S312" s="50" t="n">
        <v>0.50679</v>
      </c>
      <c r="T312" s="50" t="n">
        <v>0.518</v>
      </c>
      <c r="U312" s="50" t="n">
        <v>55.4456</v>
      </c>
      <c r="V312" s="50" t="n">
        <v>0.5688299999999999</v>
      </c>
      <c r="W312" s="50" t="n">
        <v>0.9974</v>
      </c>
      <c r="X312" s="50" t="n">
        <v>1.5334</v>
      </c>
      <c r="Y312" s="50" t="n">
        <v>1.5647</v>
      </c>
      <c r="Z312" s="50" t="n">
        <v>4.8684</v>
      </c>
      <c r="AA312" s="50" t="n">
        <v>2.8148</v>
      </c>
      <c r="AB312" s="50" t="n">
        <v>4.7462</v>
      </c>
    </row>
    <row r="313">
      <c r="A313" s="49" t="n">
        <v>45666</v>
      </c>
      <c r="B313" s="50" t="n">
        <v>7.1886</v>
      </c>
      <c r="C313" s="50" t="n">
        <v>7.4694</v>
      </c>
      <c r="D313" s="50" t="n">
        <v>0.045944</v>
      </c>
      <c r="E313" s="50" t="n">
        <v>0.92404</v>
      </c>
      <c r="F313" s="50" t="n">
        <v>8.951700000000001</v>
      </c>
      <c r="G313" s="50" t="n">
        <v>4.5085</v>
      </c>
      <c r="H313" s="50" t="n">
        <v>4.0806</v>
      </c>
      <c r="I313" s="50" t="n">
        <v>5.2928</v>
      </c>
      <c r="J313" s="50" t="n">
        <v>7.9364</v>
      </c>
      <c r="K313" s="50" t="n">
        <v>5.049</v>
      </c>
      <c r="L313" s="50" t="n">
        <v>1.1141</v>
      </c>
      <c r="M313" s="50" t="n">
        <v>0.6221100000000001</v>
      </c>
      <c r="N313" s="50" t="n">
        <v>14.2535</v>
      </c>
      <c r="O313" s="50" t="n">
        <v>2.617</v>
      </c>
      <c r="R313" s="50" t="n">
        <v>200.14</v>
      </c>
      <c r="S313" s="50" t="n">
        <v>0.50668</v>
      </c>
      <c r="T313" s="50" t="n">
        <v>0.51786</v>
      </c>
      <c r="U313" s="50" t="n">
        <v>55.4549</v>
      </c>
      <c r="V313" s="50" t="n">
        <v>0.57243</v>
      </c>
      <c r="W313" s="50" t="n">
        <v>1</v>
      </c>
      <c r="X313" s="50" t="n">
        <v>1.5388</v>
      </c>
      <c r="Y313" s="50" t="n">
        <v>1.5742</v>
      </c>
      <c r="Z313" s="50" t="n">
        <v>4.87222</v>
      </c>
      <c r="AA313" s="50" t="n">
        <v>2.825</v>
      </c>
      <c r="AB313" s="50" t="n">
        <v>4.756</v>
      </c>
    </row>
    <row r="314">
      <c r="A314" s="49" t="n">
        <v>45667</v>
      </c>
      <c r="B314" s="50" t="n">
        <v>7.1891</v>
      </c>
      <c r="C314" s="50" t="n">
        <v>7.4527</v>
      </c>
      <c r="D314" s="50" t="n">
        <v>0.045961</v>
      </c>
      <c r="E314" s="50" t="n">
        <v>0.92389</v>
      </c>
      <c r="F314" s="50" t="n">
        <v>8.904500000000001</v>
      </c>
      <c r="G314" s="50" t="n">
        <v>4.4931</v>
      </c>
      <c r="H314" s="50" t="n">
        <v>4.0722</v>
      </c>
      <c r="I314" s="50" t="n">
        <v>5.2899</v>
      </c>
      <c r="J314" s="50" t="n">
        <v>7.921</v>
      </c>
      <c r="K314" s="50" t="n">
        <v>5.0359</v>
      </c>
      <c r="L314" s="50" t="n">
        <v>1.1158</v>
      </c>
      <c r="M314" s="50" t="n">
        <v>0.62121</v>
      </c>
      <c r="N314" s="50" t="n">
        <v>13.9473</v>
      </c>
      <c r="O314" s="50" t="n">
        <v>2.6176</v>
      </c>
      <c r="R314" s="50" t="n">
        <v>200.27</v>
      </c>
      <c r="S314" s="50" t="n">
        <v>0.50707</v>
      </c>
      <c r="T314" s="50" t="n">
        <v>0.5182600000000001</v>
      </c>
      <c r="U314" s="50" t="n">
        <v>55.5007</v>
      </c>
      <c r="V314" s="50" t="n">
        <v>0.57203</v>
      </c>
      <c r="W314" s="50" t="n">
        <v>1.0024</v>
      </c>
      <c r="X314" s="50" t="n">
        <v>1.541</v>
      </c>
      <c r="Y314" s="50" t="n">
        <v>1.5746</v>
      </c>
      <c r="Z314" s="50" t="n">
        <v>4.8776</v>
      </c>
      <c r="AA314" s="50" t="n">
        <v>2.839</v>
      </c>
      <c r="AB314" s="50" t="n">
        <v>4.7454</v>
      </c>
    </row>
    <row r="315">
      <c r="A315" s="49" t="n">
        <v>45670</v>
      </c>
      <c r="B315" s="50" t="n">
        <v>7.1885</v>
      </c>
      <c r="C315" s="50" t="n">
        <v>7.4222</v>
      </c>
      <c r="D315" s="50" t="n">
        <v>0.046067</v>
      </c>
      <c r="E315" s="50" t="n">
        <v>0.92308</v>
      </c>
      <c r="F315" s="50" t="n">
        <v>8.8459</v>
      </c>
      <c r="G315" s="50" t="n">
        <v>4.4698</v>
      </c>
      <c r="H315" s="50" t="n">
        <v>4.0526</v>
      </c>
      <c r="I315" s="50" t="n">
        <v>5.2818</v>
      </c>
      <c r="J315" s="50" t="n">
        <v>7.8931</v>
      </c>
      <c r="K315" s="50" t="n">
        <v>5.0376</v>
      </c>
      <c r="L315" s="50" t="n">
        <v>1.1166</v>
      </c>
      <c r="M315" s="50" t="n">
        <v>0.62273</v>
      </c>
      <c r="N315" s="50" t="n">
        <v>13.8894</v>
      </c>
      <c r="O315" s="50" t="n">
        <v>2.6349</v>
      </c>
      <c r="R315" s="50" t="n">
        <v>201.96</v>
      </c>
      <c r="S315" s="50" t="n">
        <v>0.5063800000000001</v>
      </c>
      <c r="T315" s="50" t="n">
        <v>0.51746</v>
      </c>
      <c r="U315" s="50" t="n">
        <v>55.6678</v>
      </c>
      <c r="V315" s="50" t="n">
        <v>0.57499</v>
      </c>
      <c r="W315" s="50" t="n">
        <v>1.006</v>
      </c>
      <c r="X315" s="50" t="n">
        <v>1.542</v>
      </c>
      <c r="Y315" s="50" t="n">
        <v>1.5782</v>
      </c>
      <c r="Z315" s="50" t="n">
        <v>4.87857</v>
      </c>
      <c r="AA315" s="50" t="n">
        <v>2.8559</v>
      </c>
      <c r="AB315" s="50" t="n">
        <v>4.7589</v>
      </c>
    </row>
    <row r="316">
      <c r="A316" s="49" t="n">
        <v>45671</v>
      </c>
      <c r="B316" s="50" t="n">
        <v>7.1878</v>
      </c>
      <c r="C316" s="50" t="n">
        <v>7.4206</v>
      </c>
      <c r="D316" s="50" t="n">
        <v>0.046128</v>
      </c>
      <c r="E316" s="50" t="n">
        <v>0.9234599999999999</v>
      </c>
      <c r="F316" s="50" t="n">
        <v>8.844799999999999</v>
      </c>
      <c r="G316" s="50" t="n">
        <v>4.4855</v>
      </c>
      <c r="H316" s="50" t="n">
        <v>4.0705</v>
      </c>
      <c r="I316" s="50" t="n">
        <v>5.2897</v>
      </c>
      <c r="J316" s="50" t="n">
        <v>7.8829</v>
      </c>
      <c r="K316" s="50" t="n">
        <v>5.0465</v>
      </c>
      <c r="L316" s="50" t="n">
        <v>1.1159</v>
      </c>
      <c r="M316" s="50" t="n">
        <v>0.6222299999999999</v>
      </c>
      <c r="N316" s="50" t="n">
        <v>14.0399</v>
      </c>
      <c r="O316" s="50" t="n">
        <v>2.6319</v>
      </c>
      <c r="R316" s="50" t="n">
        <v>201.43</v>
      </c>
      <c r="S316" s="50" t="n">
        <v>0.50748</v>
      </c>
      <c r="T316" s="50" t="n">
        <v>0.51858</v>
      </c>
      <c r="U316" s="50" t="n">
        <v>55.5857</v>
      </c>
      <c r="V316" s="50" t="n">
        <v>0.5751500000000001</v>
      </c>
      <c r="W316" s="50" t="n">
        <v>1.0068</v>
      </c>
      <c r="X316" s="50" t="n">
        <v>1.551</v>
      </c>
      <c r="Y316" s="50" t="n">
        <v>1.5761</v>
      </c>
      <c r="Z316" s="50" t="n">
        <v>4.89681</v>
      </c>
      <c r="AA316" s="50" t="n">
        <v>2.8549</v>
      </c>
      <c r="AB316" s="50" t="n">
        <v>4.7713</v>
      </c>
    </row>
    <row r="317">
      <c r="A317" s="49" t="n">
        <v>45672</v>
      </c>
      <c r="B317" s="50" t="n">
        <v>7.1883</v>
      </c>
      <c r="C317" s="50" t="n">
        <v>7.4531</v>
      </c>
      <c r="D317" s="50" t="n">
        <v>0.045978</v>
      </c>
      <c r="E317" s="50" t="n">
        <v>0.92314</v>
      </c>
      <c r="F317" s="50" t="n">
        <v>8.8308</v>
      </c>
      <c r="G317" s="50" t="n">
        <v>4.4871</v>
      </c>
      <c r="H317" s="50" t="n">
        <v>4.0733</v>
      </c>
      <c r="I317" s="50" t="n">
        <v>5.2921</v>
      </c>
      <c r="J317" s="50" t="n">
        <v>7.9145</v>
      </c>
      <c r="K317" s="50" t="n">
        <v>5.0501</v>
      </c>
      <c r="L317" s="50" t="n">
        <v>1.1162</v>
      </c>
      <c r="M317" s="50" t="n">
        <v>0.62205</v>
      </c>
      <c r="N317" s="50" t="n">
        <v>14.04</v>
      </c>
      <c r="O317" s="50" t="n">
        <v>2.6197</v>
      </c>
      <c r="R317" s="50" t="n">
        <v>200.78</v>
      </c>
      <c r="S317" s="50" t="n">
        <v>0.50725</v>
      </c>
      <c r="T317" s="50" t="n">
        <v>0.51833</v>
      </c>
      <c r="U317" s="50" t="n">
        <v>55.2885</v>
      </c>
      <c r="V317" s="50" t="n">
        <v>0.57219</v>
      </c>
      <c r="W317" s="50" t="n">
        <v>1.0024</v>
      </c>
      <c r="X317" s="50" t="n">
        <v>1.5443</v>
      </c>
      <c r="Y317" s="50" t="n">
        <v>1.5723</v>
      </c>
      <c r="Z317" s="50" t="n">
        <v>4.8935</v>
      </c>
      <c r="AA317" s="50" t="n">
        <v>2.8416</v>
      </c>
      <c r="AB317" s="50" t="n">
        <v>4.7679</v>
      </c>
    </row>
    <row r="318">
      <c r="A318" s="49" t="n">
        <v>45673</v>
      </c>
      <c r="B318" s="50" t="n">
        <v>7.1881</v>
      </c>
      <c r="C318" s="50" t="n">
        <v>7.4442</v>
      </c>
      <c r="D318" s="50" t="n">
        <v>0.046375</v>
      </c>
      <c r="E318" s="50" t="n">
        <v>0.92326</v>
      </c>
      <c r="F318" s="50" t="n">
        <v>8.8512</v>
      </c>
      <c r="G318" s="50" t="n">
        <v>4.5177</v>
      </c>
      <c r="H318" s="50" t="n">
        <v>4.0887</v>
      </c>
      <c r="I318" s="50" t="n">
        <v>5.291</v>
      </c>
      <c r="J318" s="50" t="n">
        <v>7.9128</v>
      </c>
      <c r="K318" s="50" t="n">
        <v>5.0556</v>
      </c>
      <c r="L318" s="50" t="n">
        <v>1.1163</v>
      </c>
      <c r="M318" s="50" t="n">
        <v>0.6218399999999999</v>
      </c>
      <c r="N318" s="50" t="n">
        <v>14.0109</v>
      </c>
      <c r="O318" s="50" t="n">
        <v>2.6005</v>
      </c>
      <c r="R318" s="50" t="n">
        <v>200.04</v>
      </c>
      <c r="S318" s="50" t="n">
        <v>0.50747</v>
      </c>
      <c r="T318" s="50" t="n">
        <v>0.51846</v>
      </c>
      <c r="U318" s="50" t="n">
        <v>55.2319</v>
      </c>
      <c r="V318" s="50" t="n">
        <v>0.57196</v>
      </c>
      <c r="W318" s="50" t="n">
        <v>1.0035</v>
      </c>
      <c r="X318" s="50" t="n">
        <v>1.5408</v>
      </c>
      <c r="Y318" s="50" t="n">
        <v>1.5647</v>
      </c>
      <c r="Z318" s="50" t="n">
        <v>4.89392</v>
      </c>
      <c r="AA318" s="50" t="n">
        <v>2.8341</v>
      </c>
      <c r="AB318" s="50" t="n">
        <v>4.7524</v>
      </c>
    </row>
    <row r="319">
      <c r="A319" s="49" t="n">
        <v>45674</v>
      </c>
      <c r="B319" s="50" t="n">
        <v>7.1889</v>
      </c>
      <c r="C319" s="50" t="n">
        <v>7.4562</v>
      </c>
      <c r="D319" s="50" t="n">
        <v>0.0467</v>
      </c>
      <c r="E319" s="50" t="n">
        <v>0.92304</v>
      </c>
      <c r="F319" s="50" t="n">
        <v>8.855700000000001</v>
      </c>
      <c r="G319" s="50" t="n">
        <v>4.5036</v>
      </c>
      <c r="H319" s="50" t="n">
        <v>4.0795</v>
      </c>
      <c r="I319" s="50" t="n">
        <v>5.2933</v>
      </c>
      <c r="J319" s="50" t="n">
        <v>7.9299</v>
      </c>
      <c r="K319" s="50" t="n">
        <v>5.0369</v>
      </c>
      <c r="L319" s="50" t="n">
        <v>1.1164</v>
      </c>
      <c r="M319" s="50" t="n">
        <v>0.62193</v>
      </c>
      <c r="N319" s="50" t="n">
        <v>14.1408</v>
      </c>
      <c r="O319" s="50" t="n">
        <v>2.6045</v>
      </c>
      <c r="R319" s="50" t="n">
        <v>200.02</v>
      </c>
      <c r="S319" s="50" t="n">
        <v>0.50698</v>
      </c>
      <c r="T319" s="50" t="n">
        <v>0.51786</v>
      </c>
      <c r="U319" s="50" t="n">
        <v>55.3224</v>
      </c>
      <c r="V319" s="50" t="n">
        <v>0.57203</v>
      </c>
      <c r="W319" s="50" t="n">
        <v>1.0018</v>
      </c>
      <c r="X319" s="50" t="n">
        <v>1.5394</v>
      </c>
      <c r="Y319" s="50" t="n">
        <v>1.5687</v>
      </c>
      <c r="Z319" s="50" t="n">
        <v>4.90035</v>
      </c>
      <c r="AA319" s="50" t="n">
        <v>2.8839</v>
      </c>
      <c r="AB319" s="50" t="n">
        <v>4.7484</v>
      </c>
    </row>
    <row r="320">
      <c r="A320" s="49" t="n">
        <v>45677</v>
      </c>
      <c r="B320" s="50" t="n">
        <v>7.1886</v>
      </c>
      <c r="C320" s="50" t="n">
        <v>7.4228</v>
      </c>
      <c r="D320" s="50" t="n">
        <v>0.046475</v>
      </c>
      <c r="E320" s="50" t="n">
        <v>0.9234</v>
      </c>
      <c r="F320" s="50" t="n">
        <v>8.8109</v>
      </c>
      <c r="G320" s="50" t="n">
        <v>4.4829</v>
      </c>
      <c r="H320" s="50" t="n">
        <v>4.051</v>
      </c>
      <c r="I320" s="50" t="n">
        <v>5.2897</v>
      </c>
      <c r="J320" s="50" t="n">
        <v>7.902</v>
      </c>
      <c r="K320" s="50" t="n">
        <v>5.011</v>
      </c>
      <c r="L320" s="50" t="n">
        <v>1.1159</v>
      </c>
      <c r="M320" s="50" t="n">
        <v>0.62273</v>
      </c>
      <c r="N320" s="50" t="n">
        <v>13.9888</v>
      </c>
      <c r="O320" s="50" t="n">
        <v>2.5876</v>
      </c>
      <c r="R320" s="50" t="n">
        <v>200.1</v>
      </c>
      <c r="S320" s="50" t="n">
        <v>0.5067</v>
      </c>
      <c r="T320" s="50" t="n">
        <v>0.51761</v>
      </c>
      <c r="U320" s="50" t="n">
        <v>55.4829</v>
      </c>
      <c r="V320" s="50" t="n">
        <v>0.5728</v>
      </c>
      <c r="W320" s="50" t="n">
        <v>1.0089</v>
      </c>
      <c r="X320" s="50" t="n">
        <v>1.5433</v>
      </c>
      <c r="Y320" s="50" t="n">
        <v>1.5834</v>
      </c>
      <c r="Z320" s="50" t="n">
        <v>4.89933</v>
      </c>
      <c r="AA320" s="50" t="n">
        <v>2.8661</v>
      </c>
      <c r="AB320" s="50" t="n">
        <v>4.7346</v>
      </c>
    </row>
    <row r="321">
      <c r="A321" s="49" t="n">
        <v>45678</v>
      </c>
      <c r="B321" s="50" t="n">
        <v>7.1703</v>
      </c>
      <c r="C321" s="50" t="n">
        <v>7.5002</v>
      </c>
      <c r="D321" s="50" t="n">
        <v>0.04655</v>
      </c>
      <c r="E321" s="50" t="n">
        <v>0.9212900000000001</v>
      </c>
      <c r="F321" s="50" t="n">
        <v>8.888</v>
      </c>
      <c r="G321" s="50" t="n">
        <v>4.5238</v>
      </c>
      <c r="H321" s="50" t="n">
        <v>4.1</v>
      </c>
      <c r="I321" s="50" t="n">
        <v>5.3229</v>
      </c>
      <c r="J321" s="50" t="n">
        <v>7.9486</v>
      </c>
      <c r="K321" s="50" t="n">
        <v>5.0498</v>
      </c>
      <c r="L321" s="50" t="n">
        <v>1.1186</v>
      </c>
      <c r="M321" s="50" t="n">
        <v>0.61883</v>
      </c>
      <c r="N321" s="50" t="n">
        <v>13.844</v>
      </c>
      <c r="O321" s="50" t="n">
        <v>2.5699</v>
      </c>
      <c r="R321" s="50" t="n">
        <v>198.74</v>
      </c>
      <c r="S321" s="50" t="n">
        <v>0.50888</v>
      </c>
      <c r="T321" s="50" t="n">
        <v>0.51983</v>
      </c>
      <c r="U321" s="50" t="n">
        <v>54.666</v>
      </c>
      <c r="V321" s="50" t="n">
        <v>0.56542</v>
      </c>
      <c r="W321" s="50" t="n">
        <v>0.9974</v>
      </c>
      <c r="X321" s="50" t="n">
        <v>1.5291</v>
      </c>
      <c r="Y321" s="50" t="n">
        <v>1.5701</v>
      </c>
      <c r="Z321" s="50" t="n">
        <v>4.92189</v>
      </c>
      <c r="AA321" s="50" t="n">
        <v>2.8443</v>
      </c>
      <c r="AB321" s="50" t="n">
        <v>4.7135</v>
      </c>
    </row>
    <row r="322">
      <c r="A322" s="49" t="n">
        <v>45679</v>
      </c>
      <c r="B322" s="50" t="n">
        <v>7.1696</v>
      </c>
      <c r="C322" s="50" t="n">
        <v>7.4976</v>
      </c>
      <c r="D322" s="50" t="n">
        <v>0.046408</v>
      </c>
      <c r="E322" s="50" t="n">
        <v>0.92076</v>
      </c>
      <c r="F322" s="50" t="n">
        <v>8.882400000000001</v>
      </c>
      <c r="G322" s="50" t="n">
        <v>4.5176</v>
      </c>
      <c r="H322" s="50" t="n">
        <v>4.0928</v>
      </c>
      <c r="I322" s="50" t="n">
        <v>5.3212</v>
      </c>
      <c r="J322" s="50" t="n">
        <v>7.9362</v>
      </c>
      <c r="K322" s="50" t="n">
        <v>5.0317</v>
      </c>
      <c r="L322" s="50" t="n">
        <v>1.1192</v>
      </c>
      <c r="M322" s="50" t="n">
        <v>0.62002</v>
      </c>
      <c r="N322" s="50" t="n">
        <v>13.7176</v>
      </c>
      <c r="O322" s="50" t="n">
        <v>2.5719</v>
      </c>
      <c r="R322" s="50" t="n">
        <v>198.29</v>
      </c>
      <c r="S322" s="50" t="n">
        <v>0.50971</v>
      </c>
      <c r="T322" s="50" t="n">
        <v>0.52064</v>
      </c>
      <c r="U322" s="50" t="n">
        <v>54.8867</v>
      </c>
      <c r="V322" s="50" t="n">
        <v>0.56697</v>
      </c>
      <c r="W322" s="50" t="n">
        <v>0.9961</v>
      </c>
      <c r="X322" s="50" t="n">
        <v>1.5259</v>
      </c>
      <c r="Y322" s="50" t="n">
        <v>1.5699</v>
      </c>
      <c r="Z322" s="50" t="n">
        <v>4.94078</v>
      </c>
      <c r="AA322" s="50" t="n">
        <v>2.871</v>
      </c>
      <c r="AB322" s="50" t="n">
        <v>4.6948</v>
      </c>
    </row>
    <row r="323">
      <c r="A323" s="49" t="n">
        <v>45680</v>
      </c>
      <c r="B323" s="50" t="n">
        <v>7.1708</v>
      </c>
      <c r="C323" s="50" t="n">
        <v>7.5018</v>
      </c>
      <c r="D323" s="50" t="n">
        <v>0.046238</v>
      </c>
      <c r="E323" s="50" t="n">
        <v>0.92097</v>
      </c>
      <c r="F323" s="50" t="n">
        <v>8.874700000000001</v>
      </c>
      <c r="G323" s="50" t="n">
        <v>4.5278</v>
      </c>
      <c r="H323" s="50" t="n">
        <v>4.098</v>
      </c>
      <c r="I323" s="50" t="n">
        <v>5.3184</v>
      </c>
      <c r="J323" s="50" t="n">
        <v>7.9432</v>
      </c>
      <c r="K323" s="50" t="n">
        <v>5.0165</v>
      </c>
      <c r="L323" s="50" t="n">
        <v>1.1193</v>
      </c>
      <c r="M323" s="50" t="n">
        <v>0.6159</v>
      </c>
      <c r="N323" s="50" t="n">
        <v>13.6396</v>
      </c>
      <c r="O323" s="50" t="n">
        <v>2.5712</v>
      </c>
      <c r="R323" s="50" t="n">
        <v>198.47</v>
      </c>
      <c r="S323" s="50" t="n">
        <v>0.50913</v>
      </c>
      <c r="T323" s="50" t="n">
        <v>0.51999</v>
      </c>
      <c r="U323" s="50" t="n">
        <v>54.7476</v>
      </c>
      <c r="V323" s="50" t="n">
        <v>0.56293</v>
      </c>
      <c r="W323" s="50" t="n">
        <v>0.9955000000000001</v>
      </c>
      <c r="X323" s="50" t="n">
        <v>1.5261</v>
      </c>
      <c r="Y323" s="50" t="n">
        <v>1.5645</v>
      </c>
      <c r="Z323" s="50" t="n">
        <v>4.93558</v>
      </c>
      <c r="AA323" s="50" t="n">
        <v>2.8477</v>
      </c>
      <c r="AB323" s="50" t="n">
        <v>4.6788</v>
      </c>
    </row>
    <row r="324">
      <c r="A324" s="49" t="n">
        <v>45681</v>
      </c>
      <c r="B324" s="50" t="n">
        <v>7.1705</v>
      </c>
      <c r="C324" s="50" t="n">
        <v>7.5062</v>
      </c>
      <c r="D324" s="50" t="n">
        <v>0.046337</v>
      </c>
      <c r="E324" s="50" t="n">
        <v>0.92044</v>
      </c>
      <c r="F324" s="50" t="n">
        <v>8.9011</v>
      </c>
      <c r="G324" s="50" t="n">
        <v>4.5362</v>
      </c>
      <c r="H324" s="50" t="n">
        <v>4.1063</v>
      </c>
      <c r="I324" s="50" t="n">
        <v>5.3178</v>
      </c>
      <c r="J324" s="50" t="n">
        <v>7.9315</v>
      </c>
      <c r="K324" s="50" t="n">
        <v>5.0195</v>
      </c>
      <c r="L324" s="50" t="n">
        <v>1.1196</v>
      </c>
      <c r="M324" s="50" t="n">
        <v>0.61616</v>
      </c>
      <c r="N324" s="50" t="n">
        <v>13.7162</v>
      </c>
      <c r="O324" s="50" t="n">
        <v>2.5715</v>
      </c>
      <c r="R324" s="50" t="n">
        <v>198.24</v>
      </c>
      <c r="S324" s="50" t="n">
        <v>0.50928</v>
      </c>
      <c r="T324" s="50" t="n">
        <v>0.52015</v>
      </c>
      <c r="U324" s="50" t="n">
        <v>54.6311</v>
      </c>
      <c r="V324" s="50" t="n">
        <v>0.56147</v>
      </c>
      <c r="W324" s="50" t="n">
        <v>0.9949</v>
      </c>
      <c r="X324" s="50" t="n">
        <v>1.5263</v>
      </c>
      <c r="Y324" s="50" t="n">
        <v>1.5641</v>
      </c>
      <c r="Z324" s="50" t="n">
        <v>4.94118</v>
      </c>
      <c r="AA324" s="50" t="n">
        <v>2.8315</v>
      </c>
      <c r="AB324" s="50" t="n">
        <v>4.6925</v>
      </c>
    </row>
    <row r="325">
      <c r="A325" s="49" t="n">
        <v>45684</v>
      </c>
      <c r="B325" s="50" t="n">
        <v>7.1698</v>
      </c>
      <c r="C325" s="50" t="n">
        <v>7.5301</v>
      </c>
      <c r="D325" s="50" t="n">
        <v>0.046311</v>
      </c>
      <c r="E325" s="50" t="n">
        <v>0.92055</v>
      </c>
      <c r="F325" s="50" t="n">
        <v>8.959199999999999</v>
      </c>
      <c r="G325" s="50" t="n">
        <v>4.5307</v>
      </c>
      <c r="H325" s="50" t="n">
        <v>4.1071</v>
      </c>
      <c r="I325" s="50" t="n">
        <v>5.3376</v>
      </c>
      <c r="J325" s="50" t="n">
        <v>7.9237</v>
      </c>
      <c r="K325" s="50" t="n">
        <v>5.0051</v>
      </c>
      <c r="L325" s="50" t="n">
        <v>1.1194</v>
      </c>
      <c r="M325" s="50" t="n">
        <v>0.60897</v>
      </c>
      <c r="N325" s="50" t="n">
        <v>13.5336</v>
      </c>
      <c r="O325" s="50" t="n">
        <v>2.5769</v>
      </c>
      <c r="R325" s="50" t="n">
        <v>198.15</v>
      </c>
      <c r="S325" s="50" t="n">
        <v>0.51052</v>
      </c>
      <c r="T325" s="50" t="n">
        <v>0.52133</v>
      </c>
      <c r="U325" s="50" t="n">
        <v>54.1252</v>
      </c>
      <c r="V325" s="50" t="n">
        <v>0.55925</v>
      </c>
      <c r="W325" s="50" t="n">
        <v>0.9917</v>
      </c>
      <c r="X325" s="50" t="n">
        <v>1.5199</v>
      </c>
      <c r="Y325" s="50" t="n">
        <v>1.5595</v>
      </c>
      <c r="Z325" s="50" t="n">
        <v>4.94953</v>
      </c>
      <c r="AA325" s="50" t="n">
        <v>2.8432</v>
      </c>
      <c r="AB325" s="50" t="n">
        <v>4.6623</v>
      </c>
    </row>
    <row r="326">
      <c r="A326" s="49" t="n">
        <v>45693</v>
      </c>
      <c r="B326" s="50" t="n">
        <v>7.1693</v>
      </c>
      <c r="C326" s="50" t="n">
        <v>7.4794</v>
      </c>
      <c r="D326" s="50" t="n">
        <v>0.046784</v>
      </c>
      <c r="E326" s="50" t="n">
        <v>0.92079</v>
      </c>
      <c r="F326" s="50" t="n">
        <v>9.001099999999999</v>
      </c>
      <c r="G326" s="50" t="n">
        <v>4.5167</v>
      </c>
      <c r="H326" s="50" t="n">
        <v>4.0896</v>
      </c>
      <c r="I326" s="50" t="n">
        <v>5.3359</v>
      </c>
      <c r="J326" s="50" t="n">
        <v>7.9604</v>
      </c>
      <c r="K326" s="50" t="n">
        <v>5.0431</v>
      </c>
      <c r="L326" s="50" t="n">
        <v>1.1192</v>
      </c>
      <c r="M326" s="50" t="n">
        <v>0.6145</v>
      </c>
      <c r="N326" s="50" t="n">
        <v>13.8219</v>
      </c>
      <c r="O326" s="50" t="n">
        <v>2.5928</v>
      </c>
      <c r="R326" s="50" t="n">
        <v>200.61</v>
      </c>
      <c r="S326" s="50" t="n">
        <v>0.50889</v>
      </c>
      <c r="T326" s="50" t="n">
        <v>0.51962</v>
      </c>
      <c r="U326" s="50" t="n">
        <v>54.4647</v>
      </c>
      <c r="V326" s="50" t="n">
        <v>0.5629</v>
      </c>
      <c r="W326" s="50" t="n">
        <v>0.9986</v>
      </c>
      <c r="X326" s="50" t="n">
        <v>1.5215</v>
      </c>
      <c r="Y326" s="50" t="n">
        <v>1.5597</v>
      </c>
      <c r="Z326" s="50" t="n">
        <v>4.98043</v>
      </c>
      <c r="AA326" s="50" t="n">
        <v>2.8496</v>
      </c>
      <c r="AB326" s="50" t="n">
        <v>4.649</v>
      </c>
    </row>
    <row r="327">
      <c r="A327" s="49" t="n">
        <v>45694</v>
      </c>
      <c r="B327" s="50" t="n">
        <v>7.1691</v>
      </c>
      <c r="C327" s="50" t="n">
        <v>7.4843</v>
      </c>
      <c r="D327" s="50" t="n">
        <v>0.047237</v>
      </c>
      <c r="E327" s="50" t="n">
        <v>0.92054</v>
      </c>
      <c r="F327" s="50" t="n">
        <v>8.9968</v>
      </c>
      <c r="G327" s="50" t="n">
        <v>4.5293</v>
      </c>
      <c r="H327" s="50" t="n">
        <v>4.1099</v>
      </c>
      <c r="I327" s="50" t="n">
        <v>5.3392</v>
      </c>
      <c r="J327" s="50" t="n">
        <v>7.9731</v>
      </c>
      <c r="K327" s="50" t="n">
        <v>5.0336</v>
      </c>
      <c r="L327" s="50" t="n">
        <v>1.1195</v>
      </c>
      <c r="M327" s="50" t="n">
        <v>0.6141799999999999</v>
      </c>
      <c r="N327" s="50" t="n">
        <v>13.4997</v>
      </c>
      <c r="O327" s="50" t="n">
        <v>2.5797</v>
      </c>
      <c r="R327" s="50" t="n">
        <v>199.84</v>
      </c>
      <c r="S327" s="50" t="n">
        <v>0.51014</v>
      </c>
      <c r="T327" s="50" t="n">
        <v>0.52096</v>
      </c>
      <c r="U327" s="50" t="n">
        <v>54.2603</v>
      </c>
      <c r="V327" s="50" t="n">
        <v>0.56127</v>
      </c>
      <c r="W327" s="50" t="n">
        <v>0.9976</v>
      </c>
      <c r="X327" s="50" t="n">
        <v>1.5148</v>
      </c>
      <c r="Y327" s="50" t="n">
        <v>1.5593</v>
      </c>
      <c r="Z327" s="50" t="n">
        <v>4.98118</v>
      </c>
      <c r="AA327" s="50" t="n">
        <v>2.8633</v>
      </c>
      <c r="AB327" s="50" t="n">
        <v>4.6424</v>
      </c>
    </row>
    <row r="328">
      <c r="A328" s="49" t="n">
        <v>45695</v>
      </c>
      <c r="B328" s="50" t="n">
        <v>7.1699</v>
      </c>
      <c r="C328" s="50" t="n">
        <v>7.4815</v>
      </c>
      <c r="D328" s="50" t="n">
        <v>0.047709</v>
      </c>
      <c r="E328" s="50" t="n">
        <v>0.92084</v>
      </c>
      <c r="F328" s="50" t="n">
        <v>8.9596</v>
      </c>
      <c r="G328" s="50" t="n">
        <v>4.5344</v>
      </c>
      <c r="H328" s="50" t="n">
        <v>4.1051</v>
      </c>
      <c r="I328" s="50" t="n">
        <v>5.336</v>
      </c>
      <c r="J328" s="50" t="n">
        <v>7.9533</v>
      </c>
      <c r="K328" s="50" t="n">
        <v>5.045</v>
      </c>
      <c r="L328" s="50" t="n">
        <v>1.1191</v>
      </c>
      <c r="M328" s="50" t="n">
        <v>0.61478</v>
      </c>
      <c r="N328" s="50" t="n">
        <v>13.2901</v>
      </c>
      <c r="O328" s="50" t="n">
        <v>2.5611</v>
      </c>
      <c r="R328" s="50" t="n">
        <v>199.8</v>
      </c>
      <c r="S328" s="50" t="n">
        <v>0.50932</v>
      </c>
      <c r="T328" s="50" t="n">
        <v>0.5200900000000001</v>
      </c>
      <c r="U328" s="50" t="n">
        <v>54.0858</v>
      </c>
      <c r="V328" s="50" t="n">
        <v>0.56009</v>
      </c>
      <c r="W328" s="50" t="n">
        <v>0.9983</v>
      </c>
      <c r="X328" s="50" t="n">
        <v>1.5119</v>
      </c>
      <c r="Y328" s="50" t="n">
        <v>1.5553</v>
      </c>
      <c r="Z328" s="50" t="n">
        <v>4.98316</v>
      </c>
      <c r="AA328" s="50" t="n">
        <v>2.8431</v>
      </c>
      <c r="AB328" s="50" t="n">
        <v>4.6658</v>
      </c>
    </row>
    <row r="329">
      <c r="A329" s="49" t="n">
        <v>45698</v>
      </c>
      <c r="B329" s="50" t="n">
        <v>7.1707</v>
      </c>
      <c r="C329" s="50" t="n">
        <v>7.4325</v>
      </c>
      <c r="D329" s="50" t="n">
        <v>0.047761</v>
      </c>
      <c r="E329" s="50" t="n">
        <v>0.92054</v>
      </c>
      <c r="F329" s="50" t="n">
        <v>8.9366</v>
      </c>
      <c r="G329" s="50" t="n">
        <v>4.5258</v>
      </c>
      <c r="H329" s="50" t="n">
        <v>4.0991</v>
      </c>
      <c r="I329" s="50" t="n">
        <v>5.3201</v>
      </c>
      <c r="J329" s="50" t="n">
        <v>7.9192</v>
      </c>
      <c r="K329" s="50" t="n">
        <v>5.0476</v>
      </c>
      <c r="L329" s="50" t="n">
        <v>1.1195</v>
      </c>
      <c r="M329" s="50" t="n">
        <v>0.61641</v>
      </c>
      <c r="N329" s="50" t="n">
        <v>13.3034</v>
      </c>
      <c r="O329" s="50" t="n">
        <v>2.5712</v>
      </c>
      <c r="R329" s="50" t="n">
        <v>200.06</v>
      </c>
      <c r="S329" s="50" t="n">
        <v>0.50835</v>
      </c>
      <c r="T329" s="50" t="n">
        <v>0.51911</v>
      </c>
      <c r="U329" s="50" t="n">
        <v>54.4592</v>
      </c>
      <c r="V329" s="50" t="n">
        <v>0.5634</v>
      </c>
      <c r="W329" s="50" t="n">
        <v>1.0033</v>
      </c>
      <c r="X329" s="50" t="n">
        <v>1.5173</v>
      </c>
      <c r="Y329" s="50" t="n">
        <v>1.5597</v>
      </c>
      <c r="Z329" s="50" t="n">
        <v>4.96273</v>
      </c>
      <c r="AA329" s="50" t="n">
        <v>2.8527</v>
      </c>
      <c r="AB329" s="50" t="n">
        <v>4.6623</v>
      </c>
    </row>
    <row r="330">
      <c r="A330" s="49" t="n">
        <v>45699</v>
      </c>
      <c r="B330" s="50" t="n">
        <v>7.1716</v>
      </c>
      <c r="C330" s="50" t="n">
        <v>7.4369</v>
      </c>
      <c r="D330" s="50" t="n">
        <v>0.047702</v>
      </c>
      <c r="E330" s="50" t="n">
        <v>0.92075</v>
      </c>
      <c r="F330" s="50" t="n">
        <v>8.9229</v>
      </c>
      <c r="G330" s="50" t="n">
        <v>4.5368</v>
      </c>
      <c r="H330" s="50" t="n">
        <v>4.0865</v>
      </c>
      <c r="I330" s="50" t="n">
        <v>5.3243</v>
      </c>
      <c r="J330" s="50" t="n">
        <v>7.9098</v>
      </c>
      <c r="K330" s="50" t="n">
        <v>5.0471</v>
      </c>
      <c r="L330" s="50" t="n">
        <v>1.1191</v>
      </c>
      <c r="M330" s="50" t="n">
        <v>0.61855</v>
      </c>
      <c r="N330" s="50" t="n">
        <v>13.2257</v>
      </c>
      <c r="O330" s="50" t="n">
        <v>2.5589</v>
      </c>
      <c r="R330" s="50" t="n">
        <v>199.9</v>
      </c>
      <c r="S330" s="50" t="n">
        <v>0.50825</v>
      </c>
      <c r="T330" s="50" t="n">
        <v>0.51891</v>
      </c>
      <c r="U330" s="50" t="n">
        <v>54.4139</v>
      </c>
      <c r="V330" s="50" t="n">
        <v>0.56267</v>
      </c>
      <c r="W330" s="50" t="n">
        <v>1.0039</v>
      </c>
      <c r="X330" s="50" t="n">
        <v>1.5126</v>
      </c>
      <c r="Y330" s="50" t="n">
        <v>1.5537</v>
      </c>
      <c r="Z330" s="50" t="n">
        <v>4.97712</v>
      </c>
      <c r="AA330" s="50" t="n">
        <v>2.8632</v>
      </c>
      <c r="AB330" s="50" t="n">
        <v>4.6729</v>
      </c>
    </row>
    <row r="331">
      <c r="A331" s="49" t="n">
        <v>45700</v>
      </c>
      <c r="B331" s="50" t="n">
        <v>7.171</v>
      </c>
      <c r="C331" s="50" t="n">
        <v>7.4735</v>
      </c>
      <c r="D331" s="50" t="n">
        <v>0.047385</v>
      </c>
      <c r="E331" s="50" t="n">
        <v>0.92021</v>
      </c>
      <c r="F331" s="50" t="n">
        <v>8.977</v>
      </c>
      <c r="G331" s="50" t="n">
        <v>4.5489</v>
      </c>
      <c r="H331" s="50" t="n">
        <v>4.0994</v>
      </c>
      <c r="I331" s="50" t="n">
        <v>5.3311</v>
      </c>
      <c r="J331" s="50" t="n">
        <v>7.8856</v>
      </c>
      <c r="K331" s="50" t="n">
        <v>5.0578</v>
      </c>
      <c r="L331" s="50" t="n">
        <v>1.1199</v>
      </c>
      <c r="M331" s="50" t="n">
        <v>0.61943</v>
      </c>
      <c r="N331" s="50" t="n">
        <v>13.2148</v>
      </c>
      <c r="O331" s="50" t="n">
        <v>2.5703</v>
      </c>
      <c r="R331" s="50" t="n">
        <v>200.06</v>
      </c>
      <c r="S331" s="50" t="n">
        <v>0.50881</v>
      </c>
      <c r="T331" s="50" t="n">
        <v>0.51949</v>
      </c>
      <c r="U331" s="50" t="n">
        <v>53.9252</v>
      </c>
      <c r="V331" s="50" t="n">
        <v>0.5581700000000001</v>
      </c>
      <c r="W331" s="50" t="n">
        <v>0.9991</v>
      </c>
      <c r="X331" s="50" t="n">
        <v>1.5045</v>
      </c>
      <c r="Y331" s="50" t="n">
        <v>1.5524</v>
      </c>
      <c r="Z331" s="50" t="n">
        <v>4.9818</v>
      </c>
      <c r="AA331" s="50" t="n">
        <v>2.8531</v>
      </c>
      <c r="AB331" s="50" t="n">
        <v>4.6962</v>
      </c>
    </row>
    <row r="332">
      <c r="A332" s="49" t="n">
        <v>45701</v>
      </c>
      <c r="B332" s="50" t="n">
        <v>7.1719</v>
      </c>
      <c r="C332" s="50" t="n">
        <v>7.5061</v>
      </c>
      <c r="D332" s="50" t="n">
        <v>0.046921</v>
      </c>
      <c r="E332" s="50" t="n">
        <v>0.9209000000000001</v>
      </c>
      <c r="F332" s="50" t="n">
        <v>8.9848</v>
      </c>
      <c r="G332" s="50" t="n">
        <v>4.543</v>
      </c>
      <c r="H332" s="50" t="n">
        <v>4.0925</v>
      </c>
      <c r="I332" s="50" t="n">
        <v>5.3338</v>
      </c>
      <c r="J332" s="50" t="n">
        <v>7.8878</v>
      </c>
      <c r="K332" s="50" t="n">
        <v>5.0576</v>
      </c>
      <c r="L332" s="50" t="n">
        <v>1.1193</v>
      </c>
      <c r="M332" s="50" t="n">
        <v>0.61944</v>
      </c>
      <c r="N332" s="50" t="n">
        <v>12.8607</v>
      </c>
      <c r="O332" s="50" t="n">
        <v>2.5693</v>
      </c>
      <c r="R332" s="50" t="n">
        <v>200.18</v>
      </c>
      <c r="S332" s="50" t="n">
        <v>0.5084</v>
      </c>
      <c r="T332" s="50" t="n">
        <v>0.51915</v>
      </c>
      <c r="U332" s="50" t="n">
        <v>53.613</v>
      </c>
      <c r="V332" s="50" t="n">
        <v>0.5551</v>
      </c>
      <c r="W332" s="50" t="n">
        <v>0.9958</v>
      </c>
      <c r="X332" s="50" t="n">
        <v>1.5061</v>
      </c>
      <c r="Y332" s="50" t="n">
        <v>1.5598</v>
      </c>
      <c r="Z332" s="50" t="n">
        <v>4.99201</v>
      </c>
      <c r="AA332" s="50" t="n">
        <v>2.8508</v>
      </c>
      <c r="AB332" s="50" t="n">
        <v>4.6853</v>
      </c>
    </row>
    <row r="333">
      <c r="A333" s="49" t="n">
        <v>45702</v>
      </c>
      <c r="B333" s="50" t="n">
        <v>7.1706</v>
      </c>
      <c r="C333" s="50" t="n">
        <v>7.5318</v>
      </c>
      <c r="D333" s="50" t="n">
        <v>0.04717</v>
      </c>
      <c r="E333" s="50" t="n">
        <v>0.92091</v>
      </c>
      <c r="F333" s="50" t="n">
        <v>9.042299999999999</v>
      </c>
      <c r="G333" s="50" t="n">
        <v>4.5521</v>
      </c>
      <c r="H333" s="50" t="n">
        <v>4.1044</v>
      </c>
      <c r="I333" s="50" t="n">
        <v>5.3605</v>
      </c>
      <c r="J333" s="50" t="n">
        <v>7.9574</v>
      </c>
      <c r="K333" s="50" t="n">
        <v>5.0784</v>
      </c>
      <c r="L333" s="50" t="n">
        <v>1.1193</v>
      </c>
      <c r="M333" s="50" t="n">
        <v>0.61682</v>
      </c>
      <c r="N333" s="50" t="n">
        <v>12.3335</v>
      </c>
      <c r="O333" s="50" t="n">
        <v>2.5722</v>
      </c>
      <c r="R333" s="50" t="n">
        <v>199.55</v>
      </c>
      <c r="S333" s="50" t="n">
        <v>0.51006</v>
      </c>
      <c r="T333" s="50" t="n">
        <v>0.5208199999999999</v>
      </c>
      <c r="U333" s="50" t="n">
        <v>53.3741</v>
      </c>
      <c r="V333" s="50" t="n">
        <v>0.55336</v>
      </c>
      <c r="W333" s="50" t="n">
        <v>0.9918</v>
      </c>
      <c r="X333" s="50" t="n">
        <v>1.4904</v>
      </c>
      <c r="Y333" s="50" t="n">
        <v>1.5484</v>
      </c>
      <c r="Z333" s="50" t="n">
        <v>5.01864</v>
      </c>
      <c r="AA333" s="50" t="n">
        <v>2.8379</v>
      </c>
      <c r="AB333" s="50" t="n">
        <v>4.6539</v>
      </c>
    </row>
    <row r="334">
      <c r="A334" s="49" t="n">
        <v>45705</v>
      </c>
      <c r="B334" s="50" t="n">
        <v>7.1702</v>
      </c>
      <c r="C334" s="50" t="n">
        <v>7.5394</v>
      </c>
      <c r="D334" s="50" t="n">
        <v>0.047424</v>
      </c>
      <c r="E334" s="50" t="n">
        <v>0.9211</v>
      </c>
      <c r="F334" s="50" t="n">
        <v>9.058</v>
      </c>
      <c r="G334" s="50" t="n">
        <v>4.573</v>
      </c>
      <c r="H334" s="50" t="n">
        <v>4.1306</v>
      </c>
      <c r="I334" s="50" t="n">
        <v>5.3695</v>
      </c>
      <c r="J334" s="50" t="n">
        <v>7.9903</v>
      </c>
      <c r="K334" s="50" t="n">
        <v>5.0821</v>
      </c>
      <c r="L334" s="50" t="n">
        <v>1.1191</v>
      </c>
      <c r="M334" s="50" t="n">
        <v>0.6145699999999999</v>
      </c>
      <c r="N334" s="50" t="n">
        <v>12.5775</v>
      </c>
      <c r="O334" s="50" t="n">
        <v>2.5529</v>
      </c>
      <c r="R334" s="50" t="n">
        <v>199.46</v>
      </c>
      <c r="S334" s="50" t="n">
        <v>0.50978</v>
      </c>
      <c r="T334" s="50" t="n">
        <v>0.52056</v>
      </c>
      <c r="U334" s="50" t="n">
        <v>53.2546</v>
      </c>
      <c r="V334" s="50" t="n">
        <v>0.55187</v>
      </c>
      <c r="W334" s="50" t="n">
        <v>0.9918</v>
      </c>
      <c r="X334" s="50" t="n">
        <v>1.4881</v>
      </c>
      <c r="Y334" s="50" t="n">
        <v>1.5476</v>
      </c>
      <c r="Z334" s="50" t="n">
        <v>5.02128</v>
      </c>
      <c r="AA334" s="50" t="n">
        <v>2.8248</v>
      </c>
      <c r="AB334" s="50" t="n">
        <v>4.667</v>
      </c>
    </row>
    <row r="335">
      <c r="A335" s="49" t="n">
        <v>45706</v>
      </c>
      <c r="B335" s="50" t="n">
        <v>7.1697</v>
      </c>
      <c r="C335" s="50" t="n">
        <v>7.5331</v>
      </c>
      <c r="D335" s="50" t="n">
        <v>0.047616</v>
      </c>
      <c r="E335" s="50" t="n">
        <v>0.92135</v>
      </c>
      <c r="F335" s="50" t="n">
        <v>9.083399999999999</v>
      </c>
      <c r="G335" s="50" t="n">
        <v>4.5721</v>
      </c>
      <c r="H335" s="50" t="n">
        <v>4.1281</v>
      </c>
      <c r="I335" s="50" t="n">
        <v>5.3671</v>
      </c>
      <c r="J335" s="50" t="n">
        <v>7.9815</v>
      </c>
      <c r="K335" s="50" t="n">
        <v>5.0803</v>
      </c>
      <c r="L335" s="50" t="n">
        <v>1.1185</v>
      </c>
      <c r="M335" s="50" t="n">
        <v>0.61598</v>
      </c>
      <c r="N335" s="50" t="n">
        <v>12.601</v>
      </c>
      <c r="O335" s="50" t="n">
        <v>2.5613</v>
      </c>
      <c r="R335" s="50" t="n">
        <v>199.5</v>
      </c>
      <c r="S335" s="50" t="n">
        <v>0.50993</v>
      </c>
      <c r="T335" s="50" t="n">
        <v>0.52069</v>
      </c>
      <c r="U335" s="50" t="n">
        <v>53.2234</v>
      </c>
      <c r="V335" s="50" t="n">
        <v>0.55109</v>
      </c>
      <c r="W335" s="50" t="n">
        <v>0.9921</v>
      </c>
      <c r="X335" s="50" t="n">
        <v>1.488</v>
      </c>
      <c r="Y335" s="50" t="n">
        <v>1.5457</v>
      </c>
      <c r="Z335" s="50" t="n">
        <v>5.02807</v>
      </c>
      <c r="AA335" s="50" t="n">
        <v>2.8213</v>
      </c>
      <c r="AB335" s="50" t="n">
        <v>4.6636</v>
      </c>
    </row>
    <row r="336">
      <c r="A336" s="49" t="n">
        <v>45707</v>
      </c>
      <c r="B336" s="50" t="n">
        <v>7.1705</v>
      </c>
      <c r="C336" s="50" t="n">
        <v>7.5178</v>
      </c>
      <c r="D336" s="50" t="n">
        <v>0.047559</v>
      </c>
      <c r="E336" s="50" t="n">
        <v>0.92209</v>
      </c>
      <c r="F336" s="50" t="n">
        <v>9.102399999999999</v>
      </c>
      <c r="G336" s="50" t="n">
        <v>4.5783</v>
      </c>
      <c r="H336" s="50" t="n">
        <v>4.1185</v>
      </c>
      <c r="I336" s="50" t="n">
        <v>5.3707</v>
      </c>
      <c r="J336" s="50" t="n">
        <v>7.9679</v>
      </c>
      <c r="K336" s="50" t="n">
        <v>5.0886</v>
      </c>
      <c r="L336" s="50" t="n">
        <v>1.1178</v>
      </c>
      <c r="M336" s="50" t="n">
        <v>0.61665</v>
      </c>
      <c r="N336" s="50" t="n">
        <v>12.5734</v>
      </c>
      <c r="O336" s="50" t="n">
        <v>2.5573</v>
      </c>
      <c r="R336" s="50" t="n">
        <v>199.08</v>
      </c>
      <c r="S336" s="50" t="n">
        <v>0.50907</v>
      </c>
      <c r="T336" s="50" t="n">
        <v>0.5198</v>
      </c>
      <c r="U336" s="50" t="n">
        <v>53.248</v>
      </c>
      <c r="V336" s="50" t="n">
        <v>0.55094</v>
      </c>
      <c r="W336" s="50" t="n">
        <v>0.9941</v>
      </c>
      <c r="X336" s="50" t="n">
        <v>1.4894</v>
      </c>
      <c r="Y336" s="50" t="n">
        <v>1.551</v>
      </c>
      <c r="Z336" s="50" t="n">
        <v>5.02585</v>
      </c>
      <c r="AA336" s="50" t="n">
        <v>2.813</v>
      </c>
      <c r="AB336" s="50" t="n">
        <v>4.6489</v>
      </c>
    </row>
    <row r="337">
      <c r="A337" s="49" t="n">
        <v>45708</v>
      </c>
      <c r="B337" s="50" t="n">
        <v>7.1712</v>
      </c>
      <c r="C337" s="50" t="n">
        <v>7.5024</v>
      </c>
      <c r="D337" s="50" t="n">
        <v>0.047807</v>
      </c>
      <c r="E337" s="50" t="n">
        <v>0.9221</v>
      </c>
      <c r="F337" s="50" t="n">
        <v>9.074299999999999</v>
      </c>
      <c r="G337" s="50" t="n">
        <v>4.573</v>
      </c>
      <c r="H337" s="50" t="n">
        <v>4.1187</v>
      </c>
      <c r="I337" s="50" t="n">
        <v>5.3689</v>
      </c>
      <c r="J337" s="50" t="n">
        <v>7.9623</v>
      </c>
      <c r="K337" s="50" t="n">
        <v>5.072</v>
      </c>
      <c r="L337" s="50" t="n">
        <v>1.118</v>
      </c>
      <c r="M337" s="50" t="n">
        <v>0.61628</v>
      </c>
      <c r="N337" s="50" t="n">
        <v>12.2972</v>
      </c>
      <c r="O337" s="50" t="n">
        <v>2.5732</v>
      </c>
      <c r="R337" s="50" t="n">
        <v>198.96</v>
      </c>
      <c r="S337" s="50" t="n">
        <v>0.5089900000000001</v>
      </c>
      <c r="T337" s="50" t="n">
        <v>0.51973</v>
      </c>
      <c r="U337" s="50" t="n">
        <v>53.5733</v>
      </c>
      <c r="V337" s="50" t="n">
        <v>0.55611</v>
      </c>
      <c r="W337" s="50" t="n">
        <v>0.9971</v>
      </c>
      <c r="X337" s="50" t="n">
        <v>1.4898</v>
      </c>
      <c r="Y337" s="50" t="n">
        <v>1.5485</v>
      </c>
      <c r="Z337" s="50" t="n">
        <v>5.02634</v>
      </c>
      <c r="AA337" s="50" t="n">
        <v>2.8421</v>
      </c>
      <c r="AB337" s="50" t="n">
        <v>4.6569</v>
      </c>
    </row>
    <row r="338">
      <c r="A338" s="49" t="n">
        <v>45709</v>
      </c>
      <c r="B338" s="50" t="n">
        <v>7.1696</v>
      </c>
      <c r="C338" s="50" t="n">
        <v>7.5388</v>
      </c>
      <c r="D338" s="50" t="n">
        <v>0.048227</v>
      </c>
      <c r="E338" s="50" t="n">
        <v>0.9221</v>
      </c>
      <c r="F338" s="50" t="n">
        <v>9.1081</v>
      </c>
      <c r="G338" s="50" t="n">
        <v>4.6026</v>
      </c>
      <c r="H338" s="50" t="n">
        <v>4.1511</v>
      </c>
      <c r="I338" s="50" t="n">
        <v>5.3959</v>
      </c>
      <c r="J338" s="50" t="n">
        <v>7.9978</v>
      </c>
      <c r="K338" s="50" t="n">
        <v>5.0781</v>
      </c>
      <c r="L338" s="50" t="n">
        <v>1.1176</v>
      </c>
      <c r="M338" s="50" t="n">
        <v>0.61424</v>
      </c>
      <c r="N338" s="50" t="n">
        <v>12.2403</v>
      </c>
      <c r="O338" s="50" t="n">
        <v>2.5521</v>
      </c>
      <c r="R338" s="50" t="n">
        <v>198.84</v>
      </c>
      <c r="S338" s="50" t="n">
        <v>0.51063</v>
      </c>
      <c r="T338" s="50" t="n">
        <v>0.52141</v>
      </c>
      <c r="U338" s="50" t="n">
        <v>53.2668</v>
      </c>
      <c r="V338" s="50" t="n">
        <v>0.55113</v>
      </c>
      <c r="W338" s="50" t="n">
        <v>0.9915</v>
      </c>
      <c r="X338" s="50" t="n">
        <v>1.4797</v>
      </c>
      <c r="Y338" s="50" t="n">
        <v>1.5463</v>
      </c>
      <c r="Z338" s="50" t="n">
        <v>5.05395</v>
      </c>
      <c r="AA338" s="50" t="n">
        <v>2.8263</v>
      </c>
      <c r="AB338" s="50" t="n">
        <v>4.6505</v>
      </c>
    </row>
    <row r="339">
      <c r="A339" s="49" t="n">
        <v>45712</v>
      </c>
      <c r="B339" s="50" t="n">
        <v>7.1717</v>
      </c>
      <c r="C339" s="50" t="n">
        <v>7.5475</v>
      </c>
      <c r="D339" s="50" t="n">
        <v>0.048332</v>
      </c>
      <c r="E339" s="50" t="n">
        <v>0.92306</v>
      </c>
      <c r="F339" s="50" t="n">
        <v>9.111499999999999</v>
      </c>
      <c r="G339" s="50" t="n">
        <v>4.5928</v>
      </c>
      <c r="H339" s="50" t="n">
        <v>4.1537</v>
      </c>
      <c r="I339" s="50" t="n">
        <v>5.3914</v>
      </c>
      <c r="J339" s="50" t="n">
        <v>8.0106</v>
      </c>
      <c r="K339" s="50" t="n">
        <v>5.0734</v>
      </c>
      <c r="L339" s="50" t="n">
        <v>1.1167</v>
      </c>
      <c r="M339" s="50" t="n">
        <v>0.61309</v>
      </c>
      <c r="N339" s="50" t="n">
        <v>12.2042</v>
      </c>
      <c r="O339" s="50" t="n">
        <v>2.5548</v>
      </c>
      <c r="R339" s="50" t="n">
        <v>198.6</v>
      </c>
      <c r="S339" s="50" t="n">
        <v>0.5099399999999999</v>
      </c>
      <c r="T339" s="50" t="n">
        <v>0.5206499999999999</v>
      </c>
      <c r="U339" s="50" t="n">
        <v>53.4485</v>
      </c>
      <c r="V339" s="50" t="n">
        <v>0.55137</v>
      </c>
      <c r="W339" s="50" t="n">
        <v>0.9891</v>
      </c>
      <c r="X339" s="50" t="n">
        <v>1.475</v>
      </c>
      <c r="Y339" s="50" t="n">
        <v>1.5419</v>
      </c>
      <c r="Z339" s="50" t="n">
        <v>5.05775</v>
      </c>
      <c r="AA339" s="50" t="n">
        <v>2.8345</v>
      </c>
      <c r="AB339" s="50" t="n">
        <v>4.6419</v>
      </c>
    </row>
    <row r="340">
      <c r="A340" s="49" t="n">
        <v>45713</v>
      </c>
      <c r="B340" s="50" t="n">
        <v>7.1726</v>
      </c>
      <c r="C340" s="50" t="n">
        <v>7.5322</v>
      </c>
      <c r="D340" s="50" t="n">
        <v>0.048137</v>
      </c>
      <c r="E340" s="50" t="n">
        <v>0.92245</v>
      </c>
      <c r="F340" s="50" t="n">
        <v>9.086499999999999</v>
      </c>
      <c r="G340" s="50" t="n">
        <v>4.5727</v>
      </c>
      <c r="H340" s="50" t="n">
        <v>4.137</v>
      </c>
      <c r="I340" s="50" t="n">
        <v>5.3759</v>
      </c>
      <c r="J340" s="50" t="n">
        <v>8.015599999999999</v>
      </c>
      <c r="K340" s="50" t="n">
        <v>5.0527</v>
      </c>
      <c r="L340" s="50" t="n">
        <v>1.1174</v>
      </c>
      <c r="M340" s="50" t="n">
        <v>0.61288</v>
      </c>
      <c r="N340" s="50" t="n">
        <v>12.1016</v>
      </c>
      <c r="O340" s="50" t="n">
        <v>2.554</v>
      </c>
      <c r="R340" s="50" t="n">
        <v>198.15</v>
      </c>
      <c r="S340" s="50" t="n">
        <v>0.5098</v>
      </c>
      <c r="T340" s="50" t="n">
        <v>0.52052</v>
      </c>
      <c r="U340" s="50" t="n">
        <v>53.2576</v>
      </c>
      <c r="V340" s="50" t="n">
        <v>0.55013</v>
      </c>
      <c r="W340" s="50" t="n">
        <v>0.9909</v>
      </c>
      <c r="X340" s="50" t="n">
        <v>1.4806</v>
      </c>
      <c r="Y340" s="50" t="n">
        <v>1.5446</v>
      </c>
      <c r="Z340" s="50" t="n">
        <v>5.04519</v>
      </c>
      <c r="AA340" s="50" t="n">
        <v>2.8474</v>
      </c>
      <c r="AB340" s="50" t="n">
        <v>4.6381</v>
      </c>
    </row>
    <row r="341">
      <c r="A341" s="49" t="n">
        <v>45714</v>
      </c>
      <c r="B341" s="50" t="n">
        <v>7.1732</v>
      </c>
      <c r="C341" s="50" t="n">
        <v>7.5713</v>
      </c>
      <c r="D341" s="50" t="n">
        <v>0.048443</v>
      </c>
      <c r="E341" s="50" t="n">
        <v>0.92298</v>
      </c>
      <c r="F341" s="50" t="n">
        <v>9.119999999999999</v>
      </c>
      <c r="G341" s="50" t="n">
        <v>4.576</v>
      </c>
      <c r="H341" s="50" t="n">
        <v>4.1376</v>
      </c>
      <c r="I341" s="50" t="n">
        <v>5.3878</v>
      </c>
      <c r="J341" s="50" t="n">
        <v>8.0562</v>
      </c>
      <c r="K341" s="50" t="n">
        <v>5.0372</v>
      </c>
      <c r="L341" s="50" t="n">
        <v>1.1168</v>
      </c>
      <c r="M341" s="50" t="n">
        <v>0.6134500000000001</v>
      </c>
      <c r="N341" s="50" t="n">
        <v>11.9347</v>
      </c>
      <c r="O341" s="50" t="n">
        <v>2.5615</v>
      </c>
      <c r="R341" s="50" t="n">
        <v>198.29</v>
      </c>
      <c r="S341" s="50" t="n">
        <v>0.51003</v>
      </c>
      <c r="T341" s="50" t="n">
        <v>0.52075</v>
      </c>
      <c r="U341" s="50" t="n">
        <v>52.9574</v>
      </c>
      <c r="V341" s="50" t="n">
        <v>0.5466</v>
      </c>
      <c r="W341" s="50" t="n">
        <v>0.9857</v>
      </c>
      <c r="X341" s="50" t="n">
        <v>1.471</v>
      </c>
      <c r="Y341" s="50" t="n">
        <v>1.5422</v>
      </c>
      <c r="Z341" s="50" t="n">
        <v>5.05823</v>
      </c>
      <c r="AA341" s="50" t="n">
        <v>2.8449</v>
      </c>
      <c r="AB341" s="50" t="n">
        <v>4.6745</v>
      </c>
    </row>
    <row r="342">
      <c r="A342" s="49" t="n">
        <v>45715</v>
      </c>
      <c r="B342" s="50" t="n">
        <v>7.174</v>
      </c>
      <c r="C342" s="50" t="n">
        <v>7.5556</v>
      </c>
      <c r="D342" s="50" t="n">
        <v>0.048495</v>
      </c>
      <c r="E342" s="50" t="n">
        <v>0.92302</v>
      </c>
      <c r="F342" s="50" t="n">
        <v>9.135</v>
      </c>
      <c r="G342" s="50" t="n">
        <v>4.5515</v>
      </c>
      <c r="H342" s="50" t="n">
        <v>4.1182</v>
      </c>
      <c r="I342" s="50" t="n">
        <v>5.3844</v>
      </c>
      <c r="J342" s="50" t="n">
        <v>8.0505</v>
      </c>
      <c r="K342" s="50" t="n">
        <v>5.0308</v>
      </c>
      <c r="L342" s="50" t="n">
        <v>1.1167</v>
      </c>
      <c r="M342" s="50" t="n">
        <v>0.61469</v>
      </c>
      <c r="N342" s="50" t="n">
        <v>11.9647</v>
      </c>
      <c r="O342" s="50" t="n">
        <v>2.5567</v>
      </c>
      <c r="R342" s="50" t="n">
        <v>198.38</v>
      </c>
      <c r="S342" s="50" t="n">
        <v>0.50951</v>
      </c>
      <c r="T342" s="50" t="n">
        <v>0.52028</v>
      </c>
      <c r="U342" s="50" t="n">
        <v>52.8516</v>
      </c>
      <c r="V342" s="50" t="n">
        <v>0.54764</v>
      </c>
      <c r="W342" s="50" t="n">
        <v>0.9877</v>
      </c>
      <c r="X342" s="50" t="n">
        <v>1.4766</v>
      </c>
      <c r="Y342" s="50" t="n">
        <v>1.5477</v>
      </c>
      <c r="Z342" s="50" t="n">
        <v>5.05456</v>
      </c>
      <c r="AA342" s="50" t="n">
        <v>2.8367</v>
      </c>
      <c r="AB342" s="50" t="n">
        <v>4.6671</v>
      </c>
    </row>
    <row r="343">
      <c r="A343" s="49" t="n">
        <v>45716</v>
      </c>
      <c r="B343" s="50" t="n">
        <v>7.1738</v>
      </c>
      <c r="C343" s="50" t="n">
        <v>7.5045</v>
      </c>
      <c r="D343" s="50" t="n">
        <v>0.048336</v>
      </c>
      <c r="E343" s="50" t="n">
        <v>0.9226</v>
      </c>
      <c r="F343" s="50" t="n">
        <v>9.099399999999999</v>
      </c>
      <c r="G343" s="50" t="n">
        <v>4.5101</v>
      </c>
      <c r="H343" s="50" t="n">
        <v>4.0806</v>
      </c>
      <c r="I343" s="50" t="n">
        <v>5.3522</v>
      </c>
      <c r="J343" s="50" t="n">
        <v>8.0191</v>
      </c>
      <c r="K343" s="50" t="n">
        <v>5.0079</v>
      </c>
      <c r="L343" s="50" t="n">
        <v>1.1172</v>
      </c>
      <c r="M343" s="50" t="n">
        <v>0.6181</v>
      </c>
      <c r="N343" s="50" t="n">
        <v>12.0381</v>
      </c>
      <c r="O343" s="50" t="n">
        <v>2.5603</v>
      </c>
      <c r="R343" s="50" t="n">
        <v>199.89</v>
      </c>
      <c r="S343" s="50" t="n">
        <v>0.5084</v>
      </c>
      <c r="T343" s="50" t="n">
        <v>0.51919</v>
      </c>
      <c r="U343" s="50" t="n">
        <v>53.3957</v>
      </c>
      <c r="V343" s="50" t="n">
        <v>0.55513</v>
      </c>
      <c r="W343" s="50" t="n">
        <v>0.9946</v>
      </c>
      <c r="X343" s="50" t="n">
        <v>1.4885</v>
      </c>
      <c r="Y343" s="50" t="n">
        <v>1.5562</v>
      </c>
      <c r="Z343" s="50" t="n">
        <v>5.05296</v>
      </c>
      <c r="AA343" s="50" t="n">
        <v>2.8419</v>
      </c>
      <c r="AB343" s="50" t="n">
        <v>4.6946</v>
      </c>
    </row>
    <row r="344">
      <c r="A344" s="49" t="n">
        <v>45719</v>
      </c>
      <c r="B344" s="50" t="n">
        <v>7.1745</v>
      </c>
      <c r="C344" s="50" t="n">
        <v>7.5139</v>
      </c>
      <c r="D344" s="50" t="n">
        <v>0.04796</v>
      </c>
      <c r="E344" s="50" t="n">
        <v>0.92252</v>
      </c>
      <c r="F344" s="50" t="n">
        <v>9.0952</v>
      </c>
      <c r="G344" s="50" t="n">
        <v>4.4967</v>
      </c>
      <c r="H344" s="50" t="n">
        <v>4.0629</v>
      </c>
      <c r="I344" s="50" t="n">
        <v>5.344</v>
      </c>
      <c r="J344" s="50" t="n">
        <v>7.9854</v>
      </c>
      <c r="K344" s="50" t="n">
        <v>5.0041</v>
      </c>
      <c r="L344" s="50" t="n">
        <v>1.1173</v>
      </c>
      <c r="M344" s="50" t="n">
        <v>0.61859</v>
      </c>
      <c r="N344" s="50" t="n">
        <v>12.2784</v>
      </c>
      <c r="O344" s="50" t="n">
        <v>2.5834</v>
      </c>
      <c r="R344" s="50" t="n">
        <v>201.41</v>
      </c>
      <c r="S344" s="50" t="n">
        <v>0.50865</v>
      </c>
      <c r="T344" s="50" t="n">
        <v>0.5194299999999999</v>
      </c>
      <c r="U344" s="50" t="n">
        <v>53.5237</v>
      </c>
      <c r="V344" s="50" t="n">
        <v>0.5565600000000001</v>
      </c>
      <c r="W344" s="50" t="n">
        <v>0.9933999999999999</v>
      </c>
      <c r="X344" s="50" t="n">
        <v>1.4847</v>
      </c>
      <c r="Y344" s="50" t="n">
        <v>1.5556</v>
      </c>
      <c r="Z344" s="50" t="n">
        <v>5.05438</v>
      </c>
      <c r="AA344" s="50" t="n">
        <v>2.8444</v>
      </c>
      <c r="AB344" s="50" t="n">
        <v>4.7128</v>
      </c>
    </row>
    <row r="345">
      <c r="A345" s="49" t="n">
        <v>45720</v>
      </c>
      <c r="B345" s="50" t="n">
        <v>7.1739</v>
      </c>
      <c r="C345" s="50" t="n">
        <v>7.5557</v>
      </c>
      <c r="D345" s="50" t="n">
        <v>0.048395</v>
      </c>
      <c r="E345" s="50" t="n">
        <v>0.92244</v>
      </c>
      <c r="F345" s="50" t="n">
        <v>9.1533</v>
      </c>
      <c r="G345" s="50" t="n">
        <v>4.4876</v>
      </c>
      <c r="H345" s="50" t="n">
        <v>4.061</v>
      </c>
      <c r="I345" s="50" t="n">
        <v>5.3525</v>
      </c>
      <c r="J345" s="50" t="n">
        <v>8.0236</v>
      </c>
      <c r="K345" s="50" t="n">
        <v>4.9814</v>
      </c>
      <c r="L345" s="50" t="n">
        <v>1.1171</v>
      </c>
      <c r="M345" s="50" t="n">
        <v>0.61943</v>
      </c>
      <c r="N345" s="50" t="n">
        <v>12.312</v>
      </c>
      <c r="O345" s="50" t="n">
        <v>2.5846</v>
      </c>
      <c r="R345" s="50" t="n">
        <v>201.46</v>
      </c>
      <c r="S345" s="50" t="n">
        <v>0.5094</v>
      </c>
      <c r="T345" s="50" t="n">
        <v>0.52018</v>
      </c>
      <c r="U345" s="50" t="n">
        <v>52.9468</v>
      </c>
      <c r="V345" s="50" t="n">
        <v>0.5504</v>
      </c>
      <c r="W345" s="50" t="n">
        <v>0.9882</v>
      </c>
      <c r="X345" s="50" t="n">
        <v>1.4573</v>
      </c>
      <c r="Y345" s="50" t="n">
        <v>1.5528</v>
      </c>
      <c r="Z345" s="50" t="n">
        <v>5.05105</v>
      </c>
      <c r="AA345" s="50" t="n">
        <v>2.8785</v>
      </c>
      <c r="AB345" s="50" t="n">
        <v>4.6983</v>
      </c>
    </row>
    <row r="346">
      <c r="A346" s="49" t="n">
        <v>45721</v>
      </c>
      <c r="B346" s="50" t="n">
        <v>7.1714</v>
      </c>
      <c r="C346" s="50" t="n">
        <v>7.6452</v>
      </c>
      <c r="D346" s="50" t="n">
        <v>0.048179</v>
      </c>
      <c r="E346" s="50" t="n">
        <v>0.92249</v>
      </c>
      <c r="F346" s="50" t="n">
        <v>9.2058</v>
      </c>
      <c r="G346" s="50" t="n">
        <v>4.5181</v>
      </c>
      <c r="H346" s="50" t="n">
        <v>4.0877</v>
      </c>
      <c r="I346" s="50" t="n">
        <v>5.3802</v>
      </c>
      <c r="J346" s="50" t="n">
        <v>8.0768</v>
      </c>
      <c r="K346" s="50" t="n">
        <v>5.0053</v>
      </c>
      <c r="L346" s="50" t="n">
        <v>1.1171</v>
      </c>
      <c r="M346" s="50" t="n">
        <v>0.6185</v>
      </c>
      <c r="N346" s="50" t="n">
        <v>12.364</v>
      </c>
      <c r="O346" s="50" t="n">
        <v>2.5711</v>
      </c>
      <c r="R346" s="50" t="n">
        <v>201.33</v>
      </c>
      <c r="S346" s="50" t="n">
        <v>0.50997</v>
      </c>
      <c r="T346" s="50" t="n">
        <v>0.52079</v>
      </c>
      <c r="U346" s="50" t="n">
        <v>52.1618</v>
      </c>
      <c r="V346" s="50" t="n">
        <v>0.54495</v>
      </c>
      <c r="W346" s="50" t="n">
        <v>0.9766</v>
      </c>
      <c r="X346" s="50" t="n">
        <v>1.4464</v>
      </c>
      <c r="Y346" s="50" t="n">
        <v>1.5412</v>
      </c>
      <c r="Z346" s="50" t="n">
        <v>5.05589</v>
      </c>
      <c r="AA346" s="50" t="n">
        <v>2.8551</v>
      </c>
      <c r="AB346" s="50" t="n">
        <v>4.6633</v>
      </c>
    </row>
    <row r="347">
      <c r="A347" s="49" t="n">
        <v>45722</v>
      </c>
      <c r="B347" s="50" t="n">
        <v>7.1692</v>
      </c>
      <c r="C347" s="50" t="n">
        <v>7.7573</v>
      </c>
      <c r="D347" s="50" t="n">
        <v>0.048378</v>
      </c>
      <c r="E347" s="50" t="n">
        <v>0.92252</v>
      </c>
      <c r="F347" s="50" t="n">
        <v>9.2636</v>
      </c>
      <c r="G347" s="50" t="n">
        <v>4.5589</v>
      </c>
      <c r="H347" s="50" t="n">
        <v>4.1284</v>
      </c>
      <c r="I347" s="50" t="n">
        <v>5.4008</v>
      </c>
      <c r="J347" s="50" t="n">
        <v>8.06</v>
      </c>
      <c r="K347" s="50" t="n">
        <v>5.0176</v>
      </c>
      <c r="L347" s="50" t="n">
        <v>1.1171</v>
      </c>
      <c r="M347" s="50" t="n">
        <v>0.61474</v>
      </c>
      <c r="N347" s="50" t="n">
        <v>12.484</v>
      </c>
      <c r="O347" s="50" t="n">
        <v>2.549</v>
      </c>
      <c r="R347" s="50" t="n">
        <v>200.37</v>
      </c>
      <c r="S347" s="50" t="n">
        <v>0.5108</v>
      </c>
      <c r="T347" s="50" t="n">
        <v>0.52166</v>
      </c>
      <c r="U347" s="50" t="n">
        <v>51.3327</v>
      </c>
      <c r="V347" s="50" t="n">
        <v>0.53532</v>
      </c>
      <c r="W347" s="50" t="n">
        <v>0.9622000000000001</v>
      </c>
      <c r="X347" s="50" t="n">
        <v>1.4174</v>
      </c>
      <c r="Y347" s="50" t="n">
        <v>1.5177</v>
      </c>
      <c r="Z347" s="50" t="n">
        <v>5.0632</v>
      </c>
      <c r="AA347" s="50" t="n">
        <v>2.8404</v>
      </c>
      <c r="AB347" s="50" t="n">
        <v>4.6597</v>
      </c>
    </row>
    <row r="348">
      <c r="A348" s="49" t="n">
        <v>45723</v>
      </c>
      <c r="B348" s="50" t="n">
        <v>7.1705</v>
      </c>
      <c r="C348" s="50" t="n">
        <v>7.7607</v>
      </c>
      <c r="D348" s="50" t="n">
        <v>0.048706</v>
      </c>
      <c r="E348" s="50" t="n">
        <v>0.92256</v>
      </c>
      <c r="F348" s="50" t="n">
        <v>9.266500000000001</v>
      </c>
      <c r="G348" s="50" t="n">
        <v>4.559</v>
      </c>
      <c r="H348" s="50" t="n">
        <v>4.1374</v>
      </c>
      <c r="I348" s="50" t="n">
        <v>5.397</v>
      </c>
      <c r="J348" s="50" t="n">
        <v>8.1363</v>
      </c>
      <c r="K348" s="50" t="n">
        <v>5.0368</v>
      </c>
      <c r="L348" s="50" t="n">
        <v>1.117</v>
      </c>
      <c r="M348" s="50" t="n">
        <v>0.61555</v>
      </c>
      <c r="N348" s="50" t="n">
        <v>12.2904</v>
      </c>
      <c r="O348" s="50" t="n">
        <v>2.524</v>
      </c>
      <c r="R348" s="50" t="n">
        <v>200.56</v>
      </c>
      <c r="S348" s="50" t="n">
        <v>0.51048</v>
      </c>
      <c r="T348" s="50" t="n">
        <v>0.52132</v>
      </c>
      <c r="U348" s="50" t="n">
        <v>51.4736</v>
      </c>
      <c r="V348" s="50" t="n">
        <v>0.53777</v>
      </c>
      <c r="W348" s="50" t="n">
        <v>0.9618</v>
      </c>
      <c r="X348" s="50" t="n">
        <v>1.4125</v>
      </c>
      <c r="Y348" s="50" t="n">
        <v>1.5126</v>
      </c>
      <c r="Z348" s="50" t="n">
        <v>5.0689</v>
      </c>
      <c r="AA348" s="50" t="n">
        <v>2.8225</v>
      </c>
      <c r="AB348" s="50" t="n">
        <v>4.6738</v>
      </c>
    </row>
    <row r="349">
      <c r="A349" s="49" t="n">
        <v>45726</v>
      </c>
      <c r="B349" s="50" t="n">
        <v>7.1733</v>
      </c>
      <c r="C349" s="50" t="n">
        <v>7.8093</v>
      </c>
      <c r="D349" s="50" t="n">
        <v>0.048847</v>
      </c>
      <c r="E349" s="50" t="n">
        <v>0.92305</v>
      </c>
      <c r="F349" s="50" t="n">
        <v>9.2994</v>
      </c>
      <c r="G349" s="50" t="n">
        <v>4.5381</v>
      </c>
      <c r="H349" s="50" t="n">
        <v>4.1176</v>
      </c>
      <c r="I349" s="50" t="n">
        <v>5.4113</v>
      </c>
      <c r="J349" s="50" t="n">
        <v>8.1882</v>
      </c>
      <c r="K349" s="50" t="n">
        <v>5.0077</v>
      </c>
      <c r="L349" s="50" t="n">
        <v>1.1165</v>
      </c>
      <c r="M349" s="50" t="n">
        <v>0.61299</v>
      </c>
      <c r="N349" s="50" t="n">
        <v>12.4303</v>
      </c>
      <c r="O349" s="50" t="n">
        <v>2.5425</v>
      </c>
      <c r="R349" s="50" t="n">
        <v>200.78</v>
      </c>
      <c r="S349" s="50" t="n">
        <v>0.5104</v>
      </c>
      <c r="T349" s="50" t="n">
        <v>0.5214</v>
      </c>
      <c r="U349" s="50" t="n">
        <v>50.9719</v>
      </c>
      <c r="V349" s="50" t="n">
        <v>0.53365</v>
      </c>
      <c r="W349" s="50" t="n">
        <v>0.9555</v>
      </c>
      <c r="X349" s="50" t="n">
        <v>1.4001</v>
      </c>
      <c r="Y349" s="50" t="n">
        <v>1.5059</v>
      </c>
      <c r="Z349" s="50" t="n">
        <v>5.06721</v>
      </c>
      <c r="AA349" s="50" t="n">
        <v>2.8192</v>
      </c>
      <c r="AB349" s="50" t="n">
        <v>4.6709</v>
      </c>
    </row>
    <row r="350">
      <c r="A350" s="49" t="n">
        <v>45727</v>
      </c>
      <c r="B350" s="50" t="n">
        <v>7.1741</v>
      </c>
      <c r="C350" s="50" t="n">
        <v>7.8118</v>
      </c>
      <c r="D350" s="50" t="n">
        <v>0.049195</v>
      </c>
      <c r="E350" s="50" t="n">
        <v>0.9236</v>
      </c>
      <c r="F350" s="50" t="n">
        <v>9.280099999999999</v>
      </c>
      <c r="G350" s="50" t="n">
        <v>4.5294</v>
      </c>
      <c r="H350" s="50" t="n">
        <v>4.117</v>
      </c>
      <c r="I350" s="50" t="n">
        <v>5.403</v>
      </c>
      <c r="J350" s="50" t="n">
        <v>8.1816</v>
      </c>
      <c r="K350" s="50" t="n">
        <v>5.0001</v>
      </c>
      <c r="L350" s="50" t="n">
        <v>1.1158</v>
      </c>
      <c r="M350" s="50" t="n">
        <v>0.61429</v>
      </c>
      <c r="N350" s="50" t="n">
        <v>12.0796</v>
      </c>
      <c r="O350" s="50" t="n">
        <v>2.548</v>
      </c>
      <c r="R350" s="50" t="n">
        <v>201.59</v>
      </c>
      <c r="S350" s="50" t="n">
        <v>0.50944</v>
      </c>
      <c r="T350" s="50" t="n">
        <v>0.52036</v>
      </c>
      <c r="U350" s="50" t="n">
        <v>51.1897</v>
      </c>
      <c r="V350" s="50" t="n">
        <v>0.5374</v>
      </c>
      <c r="W350" s="50" t="n">
        <v>0.9555</v>
      </c>
      <c r="X350" s="50" t="n">
        <v>1.4033</v>
      </c>
      <c r="Y350" s="50" t="n">
        <v>1.4926</v>
      </c>
      <c r="Z350" s="50" t="n">
        <v>5.06952</v>
      </c>
      <c r="AA350" s="50" t="n">
        <v>2.8279</v>
      </c>
      <c r="AB350" s="50" t="n">
        <v>4.687</v>
      </c>
    </row>
    <row r="351">
      <c r="A351" s="49" t="n">
        <v>45728</v>
      </c>
      <c r="B351" s="50" t="n">
        <v>7.1696</v>
      </c>
      <c r="C351" s="50" t="n">
        <v>7.844</v>
      </c>
      <c r="D351" s="50" t="n">
        <v>0.048663</v>
      </c>
      <c r="E351" s="50" t="n">
        <v>0.9226799999999999</v>
      </c>
      <c r="F351" s="50" t="n">
        <v>9.304</v>
      </c>
      <c r="G351" s="50" t="n">
        <v>4.5284</v>
      </c>
      <c r="H351" s="50" t="n">
        <v>4.1151</v>
      </c>
      <c r="I351" s="50" t="n">
        <v>5.4026</v>
      </c>
      <c r="J351" s="50" t="n">
        <v>8.1327</v>
      </c>
      <c r="K351" s="50" t="n">
        <v>4.9848</v>
      </c>
      <c r="L351" s="50" t="n">
        <v>1.1169</v>
      </c>
      <c r="M351" s="50" t="n">
        <v>0.61432</v>
      </c>
      <c r="N351" s="50" t="n">
        <v>11.8499</v>
      </c>
      <c r="O351" s="50" t="n">
        <v>2.5358</v>
      </c>
      <c r="R351" s="50" t="n">
        <v>201.65</v>
      </c>
      <c r="S351" s="50" t="n">
        <v>0.51078</v>
      </c>
      <c r="T351" s="50" t="n">
        <v>0.52162</v>
      </c>
      <c r="U351" s="50" t="n">
        <v>51.1001</v>
      </c>
      <c r="V351" s="50" t="n">
        <v>0.53477</v>
      </c>
      <c r="W351" s="50" t="n">
        <v>0.9513</v>
      </c>
      <c r="X351" s="50" t="n">
        <v>1.3927</v>
      </c>
      <c r="Y351" s="50" t="n">
        <v>1.4827</v>
      </c>
      <c r="Z351" s="50" t="n">
        <v>5.0863</v>
      </c>
      <c r="AA351" s="50" t="n">
        <v>2.8213</v>
      </c>
      <c r="AB351" s="50" t="n">
        <v>4.6784</v>
      </c>
    </row>
    <row r="352">
      <c r="A352" s="49" t="n">
        <v>45729</v>
      </c>
      <c r="B352" s="50" t="n">
        <v>7.1728</v>
      </c>
      <c r="C352" s="50" t="n">
        <v>7.834</v>
      </c>
      <c r="D352" s="50" t="n">
        <v>0.048662</v>
      </c>
      <c r="E352" s="50" t="n">
        <v>0.92323</v>
      </c>
      <c r="F352" s="50" t="n">
        <v>9.3316</v>
      </c>
      <c r="G352" s="50" t="n">
        <v>4.5523</v>
      </c>
      <c r="H352" s="50" t="n">
        <v>4.1393</v>
      </c>
      <c r="I352" s="50" t="n">
        <v>5.401</v>
      </c>
      <c r="J352" s="50" t="n">
        <v>8.1571</v>
      </c>
      <c r="K352" s="50" t="n">
        <v>5.016</v>
      </c>
      <c r="L352" s="50" t="n">
        <v>1.1162</v>
      </c>
      <c r="M352" s="50" t="n">
        <v>0.61494</v>
      </c>
      <c r="N352" s="50" t="n">
        <v>12.0349</v>
      </c>
      <c r="O352" s="50" t="n">
        <v>2.5493</v>
      </c>
      <c r="R352" s="50" t="n">
        <v>201.12</v>
      </c>
      <c r="S352" s="50" t="n">
        <v>0.50997</v>
      </c>
      <c r="T352" s="50" t="n">
        <v>0.52074</v>
      </c>
      <c r="U352" s="50" t="n">
        <v>50.9609</v>
      </c>
      <c r="V352" s="50" t="n">
        <v>0.5345800000000001</v>
      </c>
      <c r="W352" s="50" t="n">
        <v>0.9525</v>
      </c>
      <c r="X352" s="50" t="n">
        <v>1.4016</v>
      </c>
      <c r="Y352" s="50" t="n">
        <v>1.4774</v>
      </c>
      <c r="Z352" s="50" t="n">
        <v>5.0771</v>
      </c>
      <c r="AA352" s="50" t="n">
        <v>2.8058</v>
      </c>
      <c r="AB352" s="50" t="n">
        <v>4.6833</v>
      </c>
    </row>
    <row r="353">
      <c r="A353" s="49" t="n">
        <v>45730</v>
      </c>
      <c r="B353" s="50" t="n">
        <v>7.1738</v>
      </c>
      <c r="C353" s="50" t="n">
        <v>7.8113</v>
      </c>
      <c r="D353" s="50" t="n">
        <v>0.048767</v>
      </c>
      <c r="E353" s="50" t="n">
        <v>0.92303</v>
      </c>
      <c r="F353" s="50" t="n">
        <v>9.3249</v>
      </c>
      <c r="G353" s="50" t="n">
        <v>4.531</v>
      </c>
      <c r="H353" s="50" t="n">
        <v>4.1154</v>
      </c>
      <c r="I353" s="50" t="n">
        <v>5.388</v>
      </c>
      <c r="J353" s="50" t="n">
        <v>8.1488</v>
      </c>
      <c r="K353" s="50" t="n">
        <v>4.9947</v>
      </c>
      <c r="L353" s="50" t="n">
        <v>1.1165</v>
      </c>
      <c r="M353" s="50" t="n">
        <v>0.61696</v>
      </c>
      <c r="N353" s="50" t="n">
        <v>11.9005</v>
      </c>
      <c r="O353" s="50" t="n">
        <v>2.5427</v>
      </c>
      <c r="R353" s="50" t="n">
        <v>201.46</v>
      </c>
      <c r="S353" s="50" t="n">
        <v>0.50985</v>
      </c>
      <c r="T353" s="50" t="n">
        <v>0.52063</v>
      </c>
      <c r="U353" s="50" t="n">
        <v>51.1543</v>
      </c>
      <c r="V353" s="50" t="n">
        <v>0.53512</v>
      </c>
      <c r="W353" s="50" t="n">
        <v>0.9555</v>
      </c>
      <c r="X353" s="50" t="n">
        <v>1.4148</v>
      </c>
      <c r="Y353" s="50" t="n">
        <v>1.4833</v>
      </c>
      <c r="Z353" s="50" t="n">
        <v>5.08935</v>
      </c>
      <c r="AA353" s="50" t="n">
        <v>2.7923</v>
      </c>
      <c r="AB353" s="50" t="n">
        <v>4.6648</v>
      </c>
    </row>
    <row r="354">
      <c r="A354" s="49" t="n">
        <v>45733</v>
      </c>
      <c r="B354" s="50" t="n">
        <v>7.1688</v>
      </c>
      <c r="C354" s="50" t="n">
        <v>7.8196</v>
      </c>
      <c r="D354" s="50" t="n">
        <v>0.04843</v>
      </c>
      <c r="E354" s="50" t="n">
        <v>0.92242</v>
      </c>
      <c r="F354" s="50" t="n">
        <v>9.2941</v>
      </c>
      <c r="G354" s="50" t="n">
        <v>4.5511</v>
      </c>
      <c r="H354" s="50" t="n">
        <v>4.1418</v>
      </c>
      <c r="I354" s="50" t="n">
        <v>5.3914</v>
      </c>
      <c r="J354" s="50" t="n">
        <v>8.1251</v>
      </c>
      <c r="K354" s="50" t="n">
        <v>5.0068</v>
      </c>
      <c r="L354" s="50" t="n">
        <v>1.1172</v>
      </c>
      <c r="M354" s="50" t="n">
        <v>0.61807</v>
      </c>
      <c r="N354" s="50" t="n">
        <v>11.8371</v>
      </c>
      <c r="O354" s="50" t="n">
        <v>2.5342</v>
      </c>
      <c r="R354" s="50" t="n">
        <v>201.51</v>
      </c>
      <c r="S354" s="50" t="n">
        <v>0.51085</v>
      </c>
      <c r="T354" s="50" t="n">
        <v>0.5217000000000001</v>
      </c>
      <c r="U354" s="50" t="n">
        <v>51.0795</v>
      </c>
      <c r="V354" s="50" t="n">
        <v>0.535</v>
      </c>
      <c r="W354" s="50" t="n">
        <v>0.9545</v>
      </c>
      <c r="X354" s="50" t="n">
        <v>1.4097</v>
      </c>
      <c r="Y354" s="50" t="n">
        <v>1.4799</v>
      </c>
      <c r="Z354" s="50" t="n">
        <v>5.0963</v>
      </c>
      <c r="AA354" s="50" t="n">
        <v>2.7748</v>
      </c>
      <c r="AB354" s="50" t="n">
        <v>4.667</v>
      </c>
    </row>
    <row r="355">
      <c r="A355" s="49" t="n">
        <v>45734</v>
      </c>
      <c r="B355" s="50" t="n">
        <v>7.1733</v>
      </c>
      <c r="C355" s="50" t="n">
        <v>7.8439</v>
      </c>
      <c r="D355" s="50" t="n">
        <v>0.048194</v>
      </c>
      <c r="E355" s="50" t="n">
        <v>0.92323</v>
      </c>
      <c r="F355" s="50" t="n">
        <v>9.329499999999999</v>
      </c>
      <c r="G355" s="50" t="n">
        <v>4.59</v>
      </c>
      <c r="H355" s="50" t="n">
        <v>4.1939</v>
      </c>
      <c r="I355" s="50" t="n">
        <v>5.4049</v>
      </c>
      <c r="J355" s="50" t="n">
        <v>8.148199999999999</v>
      </c>
      <c r="K355" s="50" t="n">
        <v>5.0308</v>
      </c>
      <c r="L355" s="50" t="n">
        <v>1.1162</v>
      </c>
      <c r="M355" s="50" t="n">
        <v>0.61842</v>
      </c>
      <c r="N355" s="50" t="n">
        <v>11.5607</v>
      </c>
      <c r="O355" s="50" t="n">
        <v>2.5188</v>
      </c>
      <c r="R355" s="50" t="n">
        <v>200.47</v>
      </c>
      <c r="S355" s="50" t="n">
        <v>0.51098</v>
      </c>
      <c r="T355" s="50" t="n">
        <v>0.52183</v>
      </c>
      <c r="U355" s="50" t="n">
        <v>50.7284</v>
      </c>
      <c r="V355" s="50" t="n">
        <v>0.53333</v>
      </c>
      <c r="W355" s="50" t="n">
        <v>0.9516</v>
      </c>
      <c r="X355" s="50" t="n">
        <v>1.4038</v>
      </c>
      <c r="Y355" s="50" t="n">
        <v>1.467</v>
      </c>
      <c r="Z355" s="50" t="n">
        <v>5.09473</v>
      </c>
      <c r="AA355" s="50" t="n">
        <v>2.7791</v>
      </c>
      <c r="AB355" s="50" t="n">
        <v>4.6622</v>
      </c>
    </row>
    <row r="356">
      <c r="A356" s="49" t="n">
        <v>45735</v>
      </c>
      <c r="B356" s="50" t="n">
        <v>7.1697</v>
      </c>
      <c r="C356" s="50" t="n">
        <v>7.8633</v>
      </c>
      <c r="D356" s="50" t="n">
        <v>0.048189</v>
      </c>
      <c r="E356" s="50" t="n">
        <v>0.92278</v>
      </c>
      <c r="F356" s="50" t="n">
        <v>9.344799999999999</v>
      </c>
      <c r="G356" s="50" t="n">
        <v>4.576</v>
      </c>
      <c r="H356" s="50" t="n">
        <v>4.1905</v>
      </c>
      <c r="I356" s="50" t="n">
        <v>5.4023</v>
      </c>
      <c r="J356" s="50" t="n">
        <v>8.194699999999999</v>
      </c>
      <c r="K356" s="50" t="n">
        <v>5.0308</v>
      </c>
      <c r="L356" s="50" t="n">
        <v>1.1167</v>
      </c>
      <c r="M356" s="50" t="n">
        <v>0.61786</v>
      </c>
      <c r="N356" s="50" t="n">
        <v>11.3248</v>
      </c>
      <c r="O356" s="50" t="n">
        <v>2.5221</v>
      </c>
      <c r="R356" s="50" t="n">
        <v>201.25</v>
      </c>
      <c r="S356" s="50" t="n">
        <v>0.51078</v>
      </c>
      <c r="T356" s="50" t="n">
        <v>0.52157</v>
      </c>
      <c r="U356" s="50" t="n">
        <v>50.5528</v>
      </c>
      <c r="V356" s="50" t="n">
        <v>0.53147</v>
      </c>
      <c r="W356" s="50" t="n">
        <v>0.949</v>
      </c>
      <c r="X356" s="50" t="n">
        <v>1.3973</v>
      </c>
      <c r="Y356" s="50" t="n">
        <v>1.4684</v>
      </c>
      <c r="Z356" s="50" t="n">
        <v>5.10118</v>
      </c>
      <c r="AA356" s="50" t="n">
        <v>2.7711</v>
      </c>
      <c r="AB356" s="50" t="n">
        <v>4.6645</v>
      </c>
    </row>
    <row r="357">
      <c r="A357" s="49" t="n">
        <v>45736</v>
      </c>
      <c r="B357" s="50" t="n">
        <v>7.1754</v>
      </c>
      <c r="C357" s="50" t="n">
        <v>7.8457</v>
      </c>
      <c r="D357" s="50" t="n">
        <v>0.048498</v>
      </c>
      <c r="E357" s="50" t="n">
        <v>0.92353</v>
      </c>
      <c r="F357" s="50" t="n">
        <v>9.358599999999999</v>
      </c>
      <c r="G357" s="50" t="n">
        <v>4.577</v>
      </c>
      <c r="H357" s="50" t="n">
        <v>4.1918</v>
      </c>
      <c r="I357" s="50" t="n">
        <v>5.4089</v>
      </c>
      <c r="J357" s="50" t="n">
        <v>8.200900000000001</v>
      </c>
      <c r="K357" s="50" t="n">
        <v>5.0283</v>
      </c>
      <c r="L357" s="50" t="n">
        <v>1.1159</v>
      </c>
      <c r="M357" s="50" t="n">
        <v>0.61569</v>
      </c>
      <c r="N357" s="50" t="n">
        <v>11.6215</v>
      </c>
      <c r="O357" s="50" t="n">
        <v>2.5196</v>
      </c>
      <c r="R357" s="50" t="n">
        <v>202.45</v>
      </c>
      <c r="S357" s="50" t="n">
        <v>0.51029</v>
      </c>
      <c r="T357" s="50" t="n">
        <v>0.52113</v>
      </c>
      <c r="U357" s="50" t="n">
        <v>50.7538</v>
      </c>
      <c r="V357" s="50" t="n">
        <v>0.5329700000000001</v>
      </c>
      <c r="W357" s="50" t="n">
        <v>0.951</v>
      </c>
      <c r="X357" s="50" t="n">
        <v>1.403</v>
      </c>
      <c r="Y357" s="50" t="n">
        <v>1.4669</v>
      </c>
      <c r="Z357" s="50" t="n">
        <v>5.26028</v>
      </c>
      <c r="AA357" s="50" t="n">
        <v>2.7884</v>
      </c>
      <c r="AB357" s="50" t="n">
        <v>4.6578</v>
      </c>
    </row>
    <row r="358">
      <c r="A358" s="49" t="n">
        <v>45737</v>
      </c>
      <c r="B358" s="50" t="n">
        <v>7.176</v>
      </c>
      <c r="C358" s="50" t="n">
        <v>7.8209</v>
      </c>
      <c r="D358" s="50" t="n">
        <v>0.048504</v>
      </c>
      <c r="E358" s="50" t="n">
        <v>0.92328</v>
      </c>
      <c r="F358" s="50" t="n">
        <v>9.3401</v>
      </c>
      <c r="G358" s="50" t="n">
        <v>4.5381</v>
      </c>
      <c r="H358" s="50" t="n">
        <v>4.1582</v>
      </c>
      <c r="I358" s="50" t="n">
        <v>5.3939</v>
      </c>
      <c r="J358" s="50" t="n">
        <v>8.1669</v>
      </c>
      <c r="K358" s="50" t="n">
        <v>5.0333</v>
      </c>
      <c r="L358" s="50" t="n">
        <v>1.1162</v>
      </c>
      <c r="M358" s="50" t="n">
        <v>0.61454</v>
      </c>
      <c r="N358" s="50" t="n">
        <v>11.6926</v>
      </c>
      <c r="O358" s="50" t="n">
        <v>2.5225</v>
      </c>
      <c r="R358" s="50" t="n">
        <v>203.16</v>
      </c>
      <c r="S358" s="50" t="n">
        <v>0.50972</v>
      </c>
      <c r="T358" s="50" t="n">
        <v>0.52054</v>
      </c>
      <c r="U358" s="50" t="n">
        <v>51.0031</v>
      </c>
      <c r="V358" s="50" t="n">
        <v>0.5364</v>
      </c>
      <c r="W358" s="50" t="n">
        <v>0.9543</v>
      </c>
      <c r="X358" s="50" t="n">
        <v>1.4052</v>
      </c>
      <c r="Y358" s="50" t="n">
        <v>1.4636</v>
      </c>
      <c r="Z358" s="50" t="n">
        <v>5.2686</v>
      </c>
      <c r="AA358" s="50" t="n">
        <v>2.7997</v>
      </c>
      <c r="AB358" s="50" t="n">
        <v>4.6705</v>
      </c>
    </row>
    <row r="359">
      <c r="A359" s="49" t="n">
        <v>45740</v>
      </c>
      <c r="B359" s="50" t="n">
        <v>7.178</v>
      </c>
      <c r="C359" s="50" t="n">
        <v>7.8004</v>
      </c>
      <c r="D359" s="50" t="n">
        <v>0.048247</v>
      </c>
      <c r="E359" s="50" t="n">
        <v>0.92347</v>
      </c>
      <c r="F359" s="50" t="n">
        <v>9.3085</v>
      </c>
      <c r="G359" s="50" t="n">
        <v>4.5333</v>
      </c>
      <c r="H359" s="50" t="n">
        <v>4.1477</v>
      </c>
      <c r="I359" s="50" t="n">
        <v>5.3935</v>
      </c>
      <c r="J359" s="50" t="n">
        <v>8.150700000000001</v>
      </c>
      <c r="K359" s="50" t="n">
        <v>5.0306</v>
      </c>
      <c r="L359" s="50" t="n">
        <v>1.116</v>
      </c>
      <c r="M359" s="50" t="n">
        <v>0.61367</v>
      </c>
      <c r="N359" s="50" t="n">
        <v>11.657</v>
      </c>
      <c r="O359" s="50" t="n">
        <v>2.53</v>
      </c>
      <c r="R359" s="50" t="n">
        <v>202.83</v>
      </c>
      <c r="S359" s="50" t="n">
        <v>0.50962</v>
      </c>
      <c r="T359" s="50" t="n">
        <v>0.52045</v>
      </c>
      <c r="U359" s="50" t="n">
        <v>50.9675</v>
      </c>
      <c r="V359" s="50" t="n">
        <v>0.53773</v>
      </c>
      <c r="W359" s="50" t="n">
        <v>0.9568</v>
      </c>
      <c r="X359" s="50" t="n">
        <v>1.4046</v>
      </c>
      <c r="Y359" s="50" t="n">
        <v>1.4615</v>
      </c>
      <c r="Z359" s="50" t="n">
        <v>5.26935</v>
      </c>
      <c r="AA359" s="50" t="n">
        <v>2.8098</v>
      </c>
      <c r="AB359" s="50" t="n">
        <v>4.6896</v>
      </c>
    </row>
    <row r="360">
      <c r="A360" s="49" t="n">
        <v>45741</v>
      </c>
      <c r="B360" s="50" t="n">
        <v>7.1788</v>
      </c>
      <c r="C360" s="50" t="n">
        <v>7.7864</v>
      </c>
      <c r="D360" s="50" t="n">
        <v>0.047886</v>
      </c>
      <c r="E360" s="50" t="n">
        <v>0.92342</v>
      </c>
      <c r="F360" s="50" t="n">
        <v>9.312900000000001</v>
      </c>
      <c r="G360" s="50" t="n">
        <v>4.537</v>
      </c>
      <c r="H360" s="50" t="n">
        <v>4.14</v>
      </c>
      <c r="I360" s="50" t="n">
        <v>5.3821</v>
      </c>
      <c r="J360" s="50" t="n">
        <v>8.158200000000001</v>
      </c>
      <c r="K360" s="50" t="n">
        <v>5.0394</v>
      </c>
      <c r="L360" s="50" t="n">
        <v>1.116</v>
      </c>
      <c r="M360" s="50" t="n">
        <v>0.61583</v>
      </c>
      <c r="N360" s="50" t="n">
        <v>11.5721</v>
      </c>
      <c r="O360" s="50" t="n">
        <v>2.5347</v>
      </c>
      <c r="R360" s="50" t="n">
        <v>203</v>
      </c>
      <c r="S360" s="50" t="n">
        <v>0.50918</v>
      </c>
      <c r="T360" s="50" t="n">
        <v>0.52001</v>
      </c>
      <c r="U360" s="50" t="n">
        <v>51.2311</v>
      </c>
      <c r="V360" s="50" t="n">
        <v>0.5361</v>
      </c>
      <c r="W360" s="50" t="n">
        <v>0.9585</v>
      </c>
      <c r="X360" s="50" t="n">
        <v>1.4012</v>
      </c>
      <c r="Y360" s="50" t="n">
        <v>1.46</v>
      </c>
      <c r="Z360" s="50" t="n">
        <v>5.25109</v>
      </c>
      <c r="AA360" s="50" t="n">
        <v>2.7839</v>
      </c>
      <c r="AB360" s="50" t="n">
        <v>4.6949</v>
      </c>
    </row>
    <row r="361">
      <c r="A361" s="49" t="n">
        <v>45742</v>
      </c>
      <c r="B361" s="50" t="n">
        <v>7.1754</v>
      </c>
      <c r="C361" s="50" t="n">
        <v>7.7689</v>
      </c>
      <c r="D361" s="50" t="n">
        <v>0.048129</v>
      </c>
      <c r="E361" s="50" t="n">
        <v>0.92286</v>
      </c>
      <c r="F361" s="50" t="n">
        <v>9.3222</v>
      </c>
      <c r="G361" s="50" t="n">
        <v>4.5469</v>
      </c>
      <c r="H361" s="50" t="n">
        <v>4.1408</v>
      </c>
      <c r="I361" s="50" t="n">
        <v>5.3895</v>
      </c>
      <c r="J361" s="50" t="n">
        <v>8.152699999999999</v>
      </c>
      <c r="K361" s="50" t="n">
        <v>5.0515</v>
      </c>
      <c r="L361" s="50" t="n">
        <v>1.1169</v>
      </c>
      <c r="M361" s="50" t="n">
        <v>0.61512</v>
      </c>
      <c r="N361" s="50" t="n">
        <v>11.6615</v>
      </c>
      <c r="O361" s="50" t="n">
        <v>2.5383</v>
      </c>
      <c r="R361" s="50" t="n">
        <v>202.49</v>
      </c>
      <c r="S361" s="50" t="n">
        <v>0.50962</v>
      </c>
      <c r="T361" s="50" t="n">
        <v>0.52054</v>
      </c>
      <c r="U361" s="50" t="n">
        <v>51.3532</v>
      </c>
      <c r="V361" s="50" t="n">
        <v>0.53577</v>
      </c>
      <c r="W361" s="50" t="n">
        <v>0.9608</v>
      </c>
      <c r="X361" s="50" t="n">
        <v>1.3928</v>
      </c>
      <c r="Y361" s="50" t="n">
        <v>1.459</v>
      </c>
      <c r="Z361" s="50" t="n">
        <v>5.26228</v>
      </c>
      <c r="AA361" s="50" t="n">
        <v>2.7856</v>
      </c>
      <c r="AB361" s="50" t="n">
        <v>4.6821</v>
      </c>
    </row>
    <row r="362">
      <c r="A362" s="49" t="n">
        <v>45743</v>
      </c>
      <c r="B362" s="50" t="n">
        <v>7.1763</v>
      </c>
      <c r="C362" s="50" t="n">
        <v>7.7485</v>
      </c>
      <c r="D362" s="50" t="n">
        <v>0.048045</v>
      </c>
      <c r="E362" s="50" t="n">
        <v>0.92294</v>
      </c>
      <c r="F362" s="50" t="n">
        <v>9.289199999999999</v>
      </c>
      <c r="G362" s="50" t="n">
        <v>4.5423</v>
      </c>
      <c r="H362" s="50" t="n">
        <v>4.1403</v>
      </c>
      <c r="I362" s="50" t="n">
        <v>5.3746</v>
      </c>
      <c r="J362" s="50" t="n">
        <v>8.149900000000001</v>
      </c>
      <c r="K362" s="50" t="n">
        <v>5.0518</v>
      </c>
      <c r="L362" s="50" t="n">
        <v>1.1169</v>
      </c>
      <c r="M362" s="50" t="n">
        <v>0.61475</v>
      </c>
      <c r="N362" s="50" t="n">
        <v>11.6156</v>
      </c>
      <c r="O362" s="50" t="n">
        <v>2.5375</v>
      </c>
      <c r="R362" s="50" t="n">
        <v>202.79</v>
      </c>
      <c r="S362" s="50" t="n">
        <v>0.50896</v>
      </c>
      <c r="T362" s="50" t="n">
        <v>0.5198199999999999</v>
      </c>
      <c r="U362" s="50" t="n">
        <v>51.696</v>
      </c>
      <c r="V362" s="50" t="n">
        <v>0.54037</v>
      </c>
      <c r="W362" s="50" t="n">
        <v>0.9637</v>
      </c>
      <c r="X362" s="50" t="n">
        <v>1.3959</v>
      </c>
      <c r="Y362" s="50" t="n">
        <v>1.4652</v>
      </c>
      <c r="Z362" s="50" t="n">
        <v>5.26306</v>
      </c>
      <c r="AA362" s="50" t="n">
        <v>2.8083</v>
      </c>
      <c r="AB362" s="50" t="n">
        <v>4.6955</v>
      </c>
    </row>
    <row r="363">
      <c r="A363" s="49" t="n">
        <v>45744</v>
      </c>
      <c r="B363" s="50" t="n">
        <v>7.1752</v>
      </c>
      <c r="C363" s="50" t="n">
        <v>7.7755</v>
      </c>
      <c r="D363" s="50" t="n">
        <v>0.047821</v>
      </c>
      <c r="E363" s="50" t="n">
        <v>0.9227300000000001</v>
      </c>
      <c r="F363" s="50" t="n">
        <v>9.3254</v>
      </c>
      <c r="G363" s="50" t="n">
        <v>4.5415</v>
      </c>
      <c r="H363" s="50" t="n">
        <v>4.1436</v>
      </c>
      <c r="I363" s="50" t="n">
        <v>5.3764</v>
      </c>
      <c r="J363" s="50" t="n">
        <v>8.159599999999999</v>
      </c>
      <c r="K363" s="50" t="n">
        <v>5.0398</v>
      </c>
      <c r="L363" s="50" t="n">
        <v>1.1171</v>
      </c>
      <c r="M363" s="50" t="n">
        <v>0.6148400000000001</v>
      </c>
      <c r="N363" s="50" t="n">
        <v>11.6275</v>
      </c>
      <c r="O363" s="50" t="n">
        <v>2.5319</v>
      </c>
      <c r="R363" s="50" t="n">
        <v>202.6</v>
      </c>
      <c r="S363" s="50" t="n">
        <v>0.50963</v>
      </c>
      <c r="T363" s="50" t="n">
        <v>0.52044</v>
      </c>
      <c r="U363" s="50" t="n">
        <v>51.5999</v>
      </c>
      <c r="V363" s="50" t="n">
        <v>0.53777</v>
      </c>
      <c r="W363" s="50" t="n">
        <v>0.9603</v>
      </c>
      <c r="X363" s="50" t="n">
        <v>1.3874</v>
      </c>
      <c r="Y363" s="50" t="n">
        <v>1.4553</v>
      </c>
      <c r="Z363" s="50" t="n">
        <v>5.25481</v>
      </c>
      <c r="AA363" s="50" t="n">
        <v>2.8209</v>
      </c>
      <c r="AB363" s="50" t="n">
        <v>4.6839</v>
      </c>
    </row>
    <row r="364">
      <c r="A364" s="49" t="n">
        <v>45747</v>
      </c>
      <c r="B364" s="50" t="n">
        <v>7.1782</v>
      </c>
      <c r="C364" s="50" t="n">
        <v>7.7962</v>
      </c>
      <c r="D364" s="50" t="n">
        <v>0.048355</v>
      </c>
      <c r="E364" s="50" t="n">
        <v>0.92283</v>
      </c>
      <c r="F364" s="50" t="n">
        <v>9.318300000000001</v>
      </c>
      <c r="G364" s="50" t="n">
        <v>4.527</v>
      </c>
      <c r="H364" s="50" t="n">
        <v>4.1185</v>
      </c>
      <c r="I364" s="50" t="n">
        <v>5.3631</v>
      </c>
      <c r="J364" s="50" t="n">
        <v>8.1737</v>
      </c>
      <c r="K364" s="50" t="n">
        <v>5.0375</v>
      </c>
      <c r="L364" s="50" t="n">
        <v>1.1168</v>
      </c>
      <c r="M364" s="50" t="n">
        <v>0.61658</v>
      </c>
      <c r="N364" s="50" t="n">
        <v>11.696</v>
      </c>
      <c r="O364" s="50" t="n">
        <v>2.5599</v>
      </c>
      <c r="R364" s="50" t="n">
        <v>203.26</v>
      </c>
      <c r="S364" s="50" t="n">
        <v>0.50949</v>
      </c>
      <c r="T364" s="50" t="n">
        <v>0.52027</v>
      </c>
      <c r="U364" s="50" t="n">
        <v>51.5637</v>
      </c>
      <c r="V364" s="50" t="n">
        <v>0.53593</v>
      </c>
      <c r="W364" s="50" t="n">
        <v>0.9579</v>
      </c>
      <c r="X364" s="50" t="n">
        <v>1.3887</v>
      </c>
      <c r="Y364" s="50" t="n">
        <v>1.4548</v>
      </c>
      <c r="Z364" s="50" t="n">
        <v>5.2625</v>
      </c>
      <c r="AA364" s="50" t="n">
        <v>2.8338</v>
      </c>
      <c r="AB364" s="50" t="n">
        <v>4.7032</v>
      </c>
    </row>
    <row r="365">
      <c r="A365" s="49" t="n">
        <v>45748</v>
      </c>
      <c r="B365" s="50" t="n">
        <v>7.1775</v>
      </c>
      <c r="C365" s="50" t="n">
        <v>7.7913</v>
      </c>
      <c r="D365" s="50" t="n">
        <v>0.048085</v>
      </c>
      <c r="E365" s="50" t="n">
        <v>0.92257</v>
      </c>
      <c r="F365" s="50" t="n">
        <v>9.305400000000001</v>
      </c>
      <c r="G365" s="50" t="n">
        <v>4.5016</v>
      </c>
      <c r="H365" s="50" t="n">
        <v>4.096</v>
      </c>
      <c r="I365" s="50" t="n">
        <v>5.3601</v>
      </c>
      <c r="J365" s="50" t="n">
        <v>8.1417</v>
      </c>
      <c r="K365" s="50" t="n">
        <v>5.0097</v>
      </c>
      <c r="L365" s="50" t="n">
        <v>1.117</v>
      </c>
      <c r="M365" s="50" t="n">
        <v>0.6170600000000001</v>
      </c>
      <c r="N365" s="50" t="n">
        <v>11.4641</v>
      </c>
      <c r="O365" s="50" t="n">
        <v>2.5444</v>
      </c>
      <c r="R365" s="50" t="n">
        <v>203.78</v>
      </c>
      <c r="S365" s="50" t="n">
        <v>0.50972</v>
      </c>
      <c r="T365" s="50" t="n">
        <v>0.52052</v>
      </c>
      <c r="U365" s="50" t="n">
        <v>51.6965</v>
      </c>
      <c r="V365" s="50" t="n">
        <v>0.5371899999999999</v>
      </c>
      <c r="W365" s="50" t="n">
        <v>0.9581</v>
      </c>
      <c r="X365" s="50" t="n">
        <v>1.3934</v>
      </c>
      <c r="Y365" s="50" t="n">
        <v>1.4585</v>
      </c>
      <c r="Z365" s="50" t="n">
        <v>5.26142</v>
      </c>
      <c r="AA365" s="50" t="n">
        <v>2.8459</v>
      </c>
      <c r="AB365" s="50" t="n">
        <v>4.7001</v>
      </c>
    </row>
    <row r="366">
      <c r="A366" s="49" t="n">
        <v>45749</v>
      </c>
      <c r="B366" s="50" t="n">
        <v>7.1793</v>
      </c>
      <c r="C366" s="50" t="n">
        <v>7.7826</v>
      </c>
      <c r="D366" s="50" t="n">
        <v>0.048224</v>
      </c>
      <c r="E366" s="50" t="n">
        <v>0.92267</v>
      </c>
      <c r="F366" s="50" t="n">
        <v>9.3163</v>
      </c>
      <c r="G366" s="50" t="n">
        <v>4.5373</v>
      </c>
      <c r="H366" s="50" t="n">
        <v>4.129</v>
      </c>
      <c r="I366" s="50" t="n">
        <v>5.3621</v>
      </c>
      <c r="J366" s="50" t="n">
        <v>8.149100000000001</v>
      </c>
      <c r="K366" s="50" t="n">
        <v>5.0508</v>
      </c>
      <c r="L366" s="50" t="n">
        <v>1.1169</v>
      </c>
      <c r="M366" s="50" t="n">
        <v>0.61676</v>
      </c>
      <c r="N366" s="50" t="n">
        <v>11.6325</v>
      </c>
      <c r="O366" s="50" t="n">
        <v>2.5639</v>
      </c>
      <c r="R366" s="50" t="n">
        <v>203.46</v>
      </c>
      <c r="S366" s="50" t="n">
        <v>0.50924</v>
      </c>
      <c r="T366" s="50" t="n">
        <v>0.52008</v>
      </c>
      <c r="U366" s="50" t="n">
        <v>51.655</v>
      </c>
      <c r="V366" s="50" t="n">
        <v>0.53747</v>
      </c>
      <c r="W366" s="50" t="n">
        <v>0.9594</v>
      </c>
      <c r="X366" s="50" t="n">
        <v>1.3882</v>
      </c>
      <c r="Y366" s="50" t="n">
        <v>1.4511</v>
      </c>
      <c r="Z366" s="50" t="n">
        <v>5.25693</v>
      </c>
      <c r="AA366" s="50" t="n">
        <v>2.8236</v>
      </c>
      <c r="AB366" s="50" t="n">
        <v>4.7241</v>
      </c>
    </row>
    <row r="367">
      <c r="A367" s="49" t="n">
        <v>45750</v>
      </c>
      <c r="B367" s="50" t="n">
        <v>7.1889</v>
      </c>
      <c r="C367" s="50" t="n">
        <v>7.8414</v>
      </c>
      <c r="D367" s="50" t="n">
        <v>0.048767</v>
      </c>
      <c r="E367" s="50" t="n">
        <v>0.92353</v>
      </c>
      <c r="F367" s="50" t="n">
        <v>9.3903</v>
      </c>
      <c r="G367" s="50" t="n">
        <v>4.5185</v>
      </c>
      <c r="H367" s="50" t="n">
        <v>4.1367</v>
      </c>
      <c r="I367" s="50" t="n">
        <v>5.3478</v>
      </c>
      <c r="J367" s="50" t="n">
        <v>8.1915</v>
      </c>
      <c r="K367" s="50" t="n">
        <v>5.065</v>
      </c>
      <c r="L367" s="50" t="n">
        <v>1.1158</v>
      </c>
      <c r="M367" s="50" t="n">
        <v>0.61947</v>
      </c>
      <c r="N367" s="50" t="n">
        <v>11.6222</v>
      </c>
      <c r="O367" s="50" t="n">
        <v>2.6328</v>
      </c>
      <c r="R367" s="50" t="n">
        <v>202.55</v>
      </c>
      <c r="S367" s="50" t="n">
        <v>0.5099</v>
      </c>
      <c r="T367" s="50" t="n">
        <v>0.52066</v>
      </c>
      <c r="U367" s="50" t="n">
        <v>51.1452</v>
      </c>
      <c r="V367" s="50" t="n">
        <v>0.5327499999999999</v>
      </c>
      <c r="W367" s="50" t="n">
        <v>0.9522</v>
      </c>
      <c r="X367" s="50" t="n">
        <v>1.3679</v>
      </c>
      <c r="Y367" s="50" t="n">
        <v>1.4432</v>
      </c>
      <c r="Z367" s="50" t="n">
        <v>5.2614</v>
      </c>
      <c r="AA367" s="50" t="n">
        <v>2.8149</v>
      </c>
      <c r="AB367" s="50" t="n">
        <v>4.7457</v>
      </c>
    </row>
    <row r="368">
      <c r="A368" s="49" t="n">
        <v>45754</v>
      </c>
      <c r="B368" s="50" t="n">
        <v>7.198</v>
      </c>
      <c r="C368" s="50" t="n">
        <v>7.9356</v>
      </c>
      <c r="D368" s="50" t="n">
        <v>0.049942</v>
      </c>
      <c r="E368" s="50" t="n">
        <v>0.9261200000000001</v>
      </c>
      <c r="F368" s="50" t="n">
        <v>9.3439</v>
      </c>
      <c r="G368" s="50" t="n">
        <v>4.3555</v>
      </c>
      <c r="H368" s="50" t="n">
        <v>4.0336</v>
      </c>
      <c r="I368" s="50" t="n">
        <v>5.3719</v>
      </c>
      <c r="J368" s="50" t="n">
        <v>8.460699999999999</v>
      </c>
      <c r="K368" s="50" t="n">
        <v>5.0921</v>
      </c>
      <c r="L368" s="50" t="n">
        <v>1.1137</v>
      </c>
      <c r="M368" s="50" t="n">
        <v>0.61467</v>
      </c>
      <c r="N368" s="50" t="n">
        <v>11.5881</v>
      </c>
      <c r="O368" s="50" t="n">
        <v>2.6622</v>
      </c>
      <c r="R368" s="50" t="n">
        <v>202.14</v>
      </c>
      <c r="S368" s="50" t="n">
        <v>0.50763</v>
      </c>
      <c r="T368" s="50" t="n">
        <v>0.51862</v>
      </c>
      <c r="U368" s="50" t="n">
        <v>51.1488</v>
      </c>
      <c r="V368" s="50" t="n">
        <v>0.53732</v>
      </c>
      <c r="W368" s="50" t="n">
        <v>0.9414</v>
      </c>
      <c r="X368" s="50" t="n">
        <v>1.3793</v>
      </c>
      <c r="Y368" s="50" t="n">
        <v>1.4877</v>
      </c>
      <c r="Z368" s="50" t="n">
        <v>5.2462</v>
      </c>
      <c r="AA368" s="50" t="n">
        <v>2.8557</v>
      </c>
      <c r="AB368" s="50" t="n">
        <v>4.7484</v>
      </c>
    </row>
    <row r="369">
      <c r="A369" s="49" t="n">
        <v>45755</v>
      </c>
      <c r="B369" s="50" t="n">
        <v>7.2038</v>
      </c>
      <c r="C369" s="50" t="n">
        <v>7.9155</v>
      </c>
      <c r="D369" s="50" t="n">
        <v>0.04916</v>
      </c>
      <c r="E369" s="50" t="n">
        <v>0.92701</v>
      </c>
      <c r="F369" s="50" t="n">
        <v>9.2563</v>
      </c>
      <c r="G369" s="50" t="n">
        <v>4.3729</v>
      </c>
      <c r="H369" s="50" t="n">
        <v>4.0408</v>
      </c>
      <c r="I369" s="50" t="n">
        <v>5.3601</v>
      </c>
      <c r="J369" s="50" t="n">
        <v>8.4216</v>
      </c>
      <c r="K369" s="50" t="n">
        <v>5.1019</v>
      </c>
      <c r="L369" s="50" t="n">
        <v>1.1119</v>
      </c>
      <c r="M369" s="50" t="n">
        <v>0.6190099999999999</v>
      </c>
      <c r="N369" s="50" t="n">
        <v>11.7808</v>
      </c>
      <c r="O369" s="50" t="n">
        <v>2.7025</v>
      </c>
      <c r="R369" s="50" t="n">
        <v>201.84</v>
      </c>
      <c r="S369" s="50" t="n">
        <v>0.50648</v>
      </c>
      <c r="T369" s="50" t="n">
        <v>0.5176500000000001</v>
      </c>
      <c r="U369" s="50" t="n">
        <v>51.5256</v>
      </c>
      <c r="V369" s="50" t="n">
        <v>0.54297</v>
      </c>
      <c r="W369" s="50" t="n">
        <v>0.9452</v>
      </c>
      <c r="X369" s="50" t="n">
        <v>1.3847</v>
      </c>
      <c r="Y369" s="50" t="n">
        <v>1.5071</v>
      </c>
      <c r="Z369" s="50" t="n">
        <v>5.23387</v>
      </c>
      <c r="AA369" s="50" t="n">
        <v>2.8605</v>
      </c>
      <c r="AB369" s="50" t="n">
        <v>4.7453</v>
      </c>
    </row>
    <row r="370">
      <c r="A370" s="49" t="n">
        <v>45756</v>
      </c>
      <c r="B370" s="50" t="n">
        <v>7.2066</v>
      </c>
      <c r="C370" s="50" t="n">
        <v>7.962</v>
      </c>
      <c r="D370" s="50" t="n">
        <v>0.04993</v>
      </c>
      <c r="E370" s="50" t="n">
        <v>0.92791</v>
      </c>
      <c r="F370" s="50" t="n">
        <v>9.283200000000001</v>
      </c>
      <c r="G370" s="50" t="n">
        <v>4.3243</v>
      </c>
      <c r="H370" s="50" t="n">
        <v>4.0139</v>
      </c>
      <c r="I370" s="50" t="n">
        <v>5.3589</v>
      </c>
      <c r="J370" s="50" t="n">
        <v>8.554600000000001</v>
      </c>
      <c r="K370" s="50" t="n">
        <v>5.0903</v>
      </c>
      <c r="L370" s="50" t="n">
        <v>1.1108</v>
      </c>
      <c r="M370" s="50" t="n">
        <v>0.61992</v>
      </c>
      <c r="N370" s="50" t="n">
        <v>11.6906</v>
      </c>
      <c r="O370" s="50" t="n">
        <v>2.7245</v>
      </c>
      <c r="R370" s="50" t="n">
        <v>202.97</v>
      </c>
      <c r="S370" s="50" t="n">
        <v>0.50651</v>
      </c>
      <c r="T370" s="50" t="n">
        <v>0.5177</v>
      </c>
      <c r="U370" s="50" t="n">
        <v>51.1737</v>
      </c>
      <c r="V370" s="50" t="n">
        <v>0.53627</v>
      </c>
      <c r="W370" s="50" t="n">
        <v>0.9396</v>
      </c>
      <c r="X370" s="50" t="n">
        <v>1.3768</v>
      </c>
      <c r="Y370" s="50" t="n">
        <v>1.5033</v>
      </c>
      <c r="Z370" s="50" t="n">
        <v>5.22383</v>
      </c>
      <c r="AA370" s="50" t="n">
        <v>2.8843</v>
      </c>
      <c r="AB370" s="50" t="n">
        <v>4.778</v>
      </c>
    </row>
    <row r="371">
      <c r="A371" s="49" t="n">
        <v>45757</v>
      </c>
      <c r="B371" s="50" t="n">
        <v>7.2092</v>
      </c>
      <c r="C371" s="50" t="n">
        <v>7.9462</v>
      </c>
      <c r="D371" s="50" t="n">
        <v>0.049365</v>
      </c>
      <c r="E371" s="50" t="n">
        <v>0.92906</v>
      </c>
      <c r="F371" s="50" t="n">
        <v>9.3127</v>
      </c>
      <c r="G371" s="50" t="n">
        <v>4.4702</v>
      </c>
      <c r="H371" s="50" t="n">
        <v>4.1122</v>
      </c>
      <c r="I371" s="50" t="n">
        <v>5.3979</v>
      </c>
      <c r="J371" s="50" t="n">
        <v>8.4626</v>
      </c>
      <c r="K371" s="50" t="n">
        <v>5.1496</v>
      </c>
      <c r="L371" s="50" t="n">
        <v>1.1094</v>
      </c>
      <c r="M371" s="50" t="n">
        <v>0.61768</v>
      </c>
      <c r="N371" s="50" t="n">
        <v>11.7088</v>
      </c>
      <c r="O371" s="50" t="n">
        <v>2.6749</v>
      </c>
      <c r="R371" s="50" t="n">
        <v>199.93</v>
      </c>
      <c r="S371" s="50" t="n">
        <v>0.5063</v>
      </c>
      <c r="T371" s="50" t="n">
        <v>0.51742</v>
      </c>
      <c r="U371" s="50" t="n">
        <v>50.8009</v>
      </c>
      <c r="V371" s="50" t="n">
        <v>0.53327</v>
      </c>
      <c r="W371" s="50" t="n">
        <v>0.9418</v>
      </c>
      <c r="X371" s="50" t="n">
        <v>1.3715</v>
      </c>
      <c r="Y371" s="50" t="n">
        <v>1.4791</v>
      </c>
      <c r="Z371" s="50" t="n">
        <v>5.22312</v>
      </c>
      <c r="AA371" s="50" t="n">
        <v>2.8078</v>
      </c>
      <c r="AB371" s="50" t="n">
        <v>4.6969</v>
      </c>
    </row>
    <row r="372">
      <c r="A372" s="49" t="n">
        <v>45758</v>
      </c>
      <c r="B372" s="50" t="n">
        <v>7.2087</v>
      </c>
      <c r="C372" s="50" t="n">
        <v>8.133900000000001</v>
      </c>
      <c r="D372" s="50" t="n">
        <v>0.050305</v>
      </c>
      <c r="E372" s="50" t="n">
        <v>0.92922</v>
      </c>
      <c r="F372" s="50" t="n">
        <v>9.389699999999999</v>
      </c>
      <c r="G372" s="50" t="n">
        <v>4.5052</v>
      </c>
      <c r="H372" s="50" t="n">
        <v>4.1667</v>
      </c>
      <c r="I372" s="50" t="n">
        <v>5.4353</v>
      </c>
      <c r="J372" s="50" t="n">
        <v>8.7637</v>
      </c>
      <c r="K372" s="50" t="n">
        <v>5.1835</v>
      </c>
      <c r="L372" s="50" t="n">
        <v>1.1093</v>
      </c>
      <c r="M372" s="50" t="n">
        <v>0.61467</v>
      </c>
      <c r="N372" s="50" t="n">
        <v>11.4473</v>
      </c>
      <c r="O372" s="50" t="n">
        <v>2.6882</v>
      </c>
      <c r="R372" s="50" t="n">
        <v>200.25</v>
      </c>
      <c r="S372" s="50" t="n">
        <v>0.50754</v>
      </c>
      <c r="T372" s="50" t="n">
        <v>0.51863</v>
      </c>
      <c r="U372" s="50" t="n">
        <v>50.1556</v>
      </c>
      <c r="V372" s="50" t="n">
        <v>0.52455</v>
      </c>
      <c r="W372" s="50" t="n">
        <v>0.9203</v>
      </c>
      <c r="X372" s="50" t="n">
        <v>1.3607</v>
      </c>
      <c r="Y372" s="50" t="n">
        <v>1.4848</v>
      </c>
      <c r="Z372" s="50" t="n">
        <v>5.25283</v>
      </c>
      <c r="AA372" s="50" t="n">
        <v>2.8507</v>
      </c>
      <c r="AB372" s="50" t="n">
        <v>4.6796</v>
      </c>
    </row>
    <row r="373">
      <c r="A373" s="49" t="n">
        <v>45761</v>
      </c>
      <c r="B373" s="50" t="n">
        <v>7.211</v>
      </c>
      <c r="C373" s="50" t="n">
        <v>8.222</v>
      </c>
      <c r="D373" s="50" t="n">
        <v>0.050509</v>
      </c>
      <c r="E373" s="50" t="n">
        <v>0.9295</v>
      </c>
      <c r="F373" s="50" t="n">
        <v>9.472300000000001</v>
      </c>
      <c r="G373" s="50" t="n">
        <v>4.5592</v>
      </c>
      <c r="H373" s="50" t="n">
        <v>4.2434</v>
      </c>
      <c r="I373" s="50" t="n">
        <v>5.4837</v>
      </c>
      <c r="J373" s="50" t="n">
        <v>8.843500000000001</v>
      </c>
      <c r="K373" s="50" t="n">
        <v>5.2262</v>
      </c>
      <c r="L373" s="50" t="n">
        <v>1.1086</v>
      </c>
      <c r="M373" s="50" t="n">
        <v>0.61073</v>
      </c>
      <c r="N373" s="50" t="n">
        <v>11.414</v>
      </c>
      <c r="O373" s="50" t="n">
        <v>2.638</v>
      </c>
      <c r="R373" s="50" t="n">
        <v>196.4</v>
      </c>
      <c r="S373" s="50" t="n">
        <v>0.50639</v>
      </c>
      <c r="T373" s="50" t="n">
        <v>0.51747</v>
      </c>
      <c r="U373" s="50" t="n">
        <v>49.8942</v>
      </c>
      <c r="V373" s="50" t="n">
        <v>0.52216</v>
      </c>
      <c r="W373" s="50" t="n">
        <v>0.9102</v>
      </c>
      <c r="X373" s="50" t="n">
        <v>1.3484</v>
      </c>
      <c r="Y373" s="50" t="n">
        <v>1.4665</v>
      </c>
      <c r="Z373" s="50" t="n">
        <v>5.2343</v>
      </c>
      <c r="AA373" s="50" t="n">
        <v>2.8035</v>
      </c>
      <c r="AB373" s="50" t="n">
        <v>4.6199</v>
      </c>
    </row>
    <row r="374">
      <c r="A374" s="49" t="n">
        <v>45762</v>
      </c>
      <c r="B374" s="50" t="n">
        <v>7.2096</v>
      </c>
      <c r="C374" s="50" t="n">
        <v>8.209199999999999</v>
      </c>
      <c r="D374" s="50" t="n">
        <v>0.050718</v>
      </c>
      <c r="E374" s="50" t="n">
        <v>0.92948</v>
      </c>
      <c r="F374" s="50" t="n">
        <v>9.539400000000001</v>
      </c>
      <c r="G374" s="50" t="n">
        <v>4.586</v>
      </c>
      <c r="H374" s="50" t="n">
        <v>4.2721</v>
      </c>
      <c r="I374" s="50" t="n">
        <v>5.4992</v>
      </c>
      <c r="J374" s="50" t="n">
        <v>8.8636</v>
      </c>
      <c r="K374" s="50" t="n">
        <v>5.2182</v>
      </c>
      <c r="L374" s="50" t="n">
        <v>1.109</v>
      </c>
      <c r="M374" s="50" t="n">
        <v>0.60926</v>
      </c>
      <c r="N374" s="50" t="n">
        <v>11.255</v>
      </c>
      <c r="O374" s="50" t="n">
        <v>2.6097</v>
      </c>
      <c r="R374" s="50" t="n">
        <v>196.03</v>
      </c>
      <c r="S374" s="50" t="n">
        <v>0.50686</v>
      </c>
      <c r="T374" s="50" t="n">
        <v>0.51788</v>
      </c>
      <c r="U374" s="50" t="n">
        <v>49.9488</v>
      </c>
      <c r="V374" s="50" t="n">
        <v>0.52091</v>
      </c>
      <c r="W374" s="50" t="n">
        <v>0.9102</v>
      </c>
      <c r="X374" s="50" t="n">
        <v>1.3497</v>
      </c>
      <c r="Y374" s="50" t="n">
        <v>1.4599</v>
      </c>
      <c r="Z374" s="50" t="n">
        <v>5.23778</v>
      </c>
      <c r="AA374" s="50" t="n">
        <v>2.7758</v>
      </c>
      <c r="AB374" s="50" t="n">
        <v>4.6185</v>
      </c>
    </row>
    <row r="375">
      <c r="A375" s="49" t="n">
        <v>45763</v>
      </c>
      <c r="B375" s="50" t="n">
        <v>7.2133</v>
      </c>
      <c r="C375" s="50" t="n">
        <v>8.178900000000001</v>
      </c>
      <c r="D375" s="50" t="n">
        <v>0.050801</v>
      </c>
      <c r="E375" s="50" t="n">
        <v>0.92997</v>
      </c>
      <c r="F375" s="50" t="n">
        <v>9.5985</v>
      </c>
      <c r="G375" s="50" t="n">
        <v>4.594</v>
      </c>
      <c r="H375" s="50" t="n">
        <v>4.2818</v>
      </c>
      <c r="I375" s="50" t="n">
        <v>5.4989</v>
      </c>
      <c r="J375" s="50" t="n">
        <v>8.8322</v>
      </c>
      <c r="K375" s="50" t="n">
        <v>5.2045</v>
      </c>
      <c r="L375" s="50" t="n">
        <v>1.1084</v>
      </c>
      <c r="M375" s="50" t="n">
        <v>0.60891</v>
      </c>
      <c r="N375" s="50" t="n">
        <v>11.4224</v>
      </c>
      <c r="O375" s="50" t="n">
        <v>2.6292</v>
      </c>
      <c r="R375" s="50" t="n">
        <v>196.3</v>
      </c>
      <c r="S375" s="50" t="n">
        <v>0.50609</v>
      </c>
      <c r="T375" s="50" t="n">
        <v>0.51707</v>
      </c>
      <c r="U375" s="50" t="n">
        <v>49.8028</v>
      </c>
      <c r="V375" s="50" t="n">
        <v>0.52433</v>
      </c>
      <c r="W375" s="50" t="n">
        <v>0.9155</v>
      </c>
      <c r="X375" s="50" t="n">
        <v>1.3624</v>
      </c>
      <c r="Y375" s="50" t="n">
        <v>1.4707</v>
      </c>
      <c r="Z375" s="50" t="n">
        <v>5.24</v>
      </c>
      <c r="AA375" s="50" t="n">
        <v>2.7792</v>
      </c>
      <c r="AB375" s="50" t="n">
        <v>4.5973</v>
      </c>
    </row>
    <row r="376">
      <c r="A376" s="49" t="n">
        <v>45764</v>
      </c>
      <c r="B376" s="50" t="n">
        <v>7.2085</v>
      </c>
      <c r="C376" s="50" t="n">
        <v>8.247</v>
      </c>
      <c r="D376" s="50" t="n">
        <v>0.051173</v>
      </c>
      <c r="E376" s="50" t="n">
        <v>0.92888</v>
      </c>
      <c r="F376" s="50" t="n">
        <v>9.5763</v>
      </c>
      <c r="G376" s="50" t="n">
        <v>4.6188</v>
      </c>
      <c r="H376" s="50" t="n">
        <v>4.312</v>
      </c>
      <c r="I376" s="50" t="n">
        <v>5.5229</v>
      </c>
      <c r="J376" s="50" t="n">
        <v>8.8818</v>
      </c>
      <c r="K376" s="50" t="n">
        <v>5.2301</v>
      </c>
      <c r="L376" s="50" t="n">
        <v>1.1097</v>
      </c>
      <c r="M376" s="50" t="n">
        <v>0.60892</v>
      </c>
      <c r="N376" s="50" t="n">
        <v>11.3843</v>
      </c>
      <c r="O376" s="50" t="n">
        <v>2.6043</v>
      </c>
      <c r="R376" s="50" t="n">
        <v>195.32</v>
      </c>
      <c r="S376" s="50" t="n">
        <v>0.50709</v>
      </c>
      <c r="T376" s="50" t="n">
        <v>0.51803</v>
      </c>
      <c r="U376" s="50" t="n">
        <v>49.3775</v>
      </c>
      <c r="V376" s="50" t="n">
        <v>0.51814</v>
      </c>
      <c r="W376" s="50" t="n">
        <v>0.9065</v>
      </c>
      <c r="X376" s="50" t="n">
        <v>1.3465</v>
      </c>
      <c r="Y376" s="50" t="n">
        <v>1.4595</v>
      </c>
      <c r="Z376" s="50" t="n">
        <v>5.25918</v>
      </c>
      <c r="AA376" s="50" t="n">
        <v>2.7554</v>
      </c>
      <c r="AB376" s="50" t="n">
        <v>4.5556</v>
      </c>
    </row>
    <row r="377">
      <c r="A377" s="49" t="n">
        <v>45765</v>
      </c>
      <c r="B377" s="50" t="n">
        <v>7.2069</v>
      </c>
      <c r="C377" s="50" t="n">
        <v>8.2318</v>
      </c>
      <c r="D377" s="50" t="n">
        <v>0.050938</v>
      </c>
      <c r="E377" s="50" t="n">
        <v>0.92831</v>
      </c>
      <c r="F377" s="50" t="n">
        <v>9.6023</v>
      </c>
      <c r="G377" s="50" t="n">
        <v>4.6301</v>
      </c>
      <c r="H377" s="50" t="n">
        <v>4.3348</v>
      </c>
      <c r="I377" s="50" t="n">
        <v>5.5188</v>
      </c>
      <c r="J377" s="50" t="n">
        <v>8.833</v>
      </c>
      <c r="K377" s="50" t="n">
        <v>5.2355</v>
      </c>
      <c r="L377" s="50" t="n">
        <v>1.1104</v>
      </c>
      <c r="M377" s="50" t="n">
        <v>0.60927</v>
      </c>
      <c r="N377" s="50" t="n">
        <v>11.2669</v>
      </c>
      <c r="O377" s="50" t="n">
        <v>2.6012</v>
      </c>
      <c r="R377" s="50" t="n">
        <v>195.32</v>
      </c>
      <c r="S377" s="50" t="n">
        <v>0.50732</v>
      </c>
      <c r="T377" s="50" t="n">
        <v>0.51828</v>
      </c>
      <c r="U377" s="50" t="n">
        <v>49.5929</v>
      </c>
      <c r="V377" s="50" t="n">
        <v>0.51953</v>
      </c>
      <c r="W377" s="50" t="n">
        <v>0.9079</v>
      </c>
      <c r="X377" s="50" t="n">
        <v>1.3278</v>
      </c>
      <c r="Y377" s="50" t="n">
        <v>1.4454</v>
      </c>
      <c r="Z377" s="50" t="n">
        <v>5.23568</v>
      </c>
      <c r="AA377" s="50" t="n">
        <v>2.7251</v>
      </c>
      <c r="AB377" s="50" t="n">
        <v>4.5882</v>
      </c>
    </row>
    <row r="378">
      <c r="A378" s="49" t="n">
        <v>45768</v>
      </c>
      <c r="B378" s="50" t="n">
        <v>7.2055</v>
      </c>
      <c r="C378" s="50" t="n">
        <v>8.2806</v>
      </c>
      <c r="D378" s="50" t="n">
        <v>0.05122</v>
      </c>
      <c r="E378" s="50" t="n">
        <v>0.92848</v>
      </c>
      <c r="F378" s="50" t="n">
        <v>9.6297</v>
      </c>
      <c r="G378" s="50" t="n">
        <v>4.6267</v>
      </c>
      <c r="H378" s="50" t="n">
        <v>4.3222</v>
      </c>
      <c r="I378" s="50" t="n">
        <v>5.5302</v>
      </c>
      <c r="J378" s="50" t="n">
        <v>8.892200000000001</v>
      </c>
      <c r="K378" s="50" t="n">
        <v>5.238</v>
      </c>
      <c r="L378" s="50" t="n">
        <v>1.1103</v>
      </c>
      <c r="M378" s="50" t="n">
        <v>0.6085</v>
      </c>
      <c r="N378" s="50" t="n">
        <v>11.2431</v>
      </c>
      <c r="O378" s="50" t="n">
        <v>2.6039</v>
      </c>
      <c r="R378" s="50" t="n">
        <v>195.62</v>
      </c>
      <c r="S378" s="50" t="n">
        <v>0.50757</v>
      </c>
      <c r="T378" s="50" t="n">
        <v>0.51849</v>
      </c>
      <c r="U378" s="50" t="n">
        <v>49.2074</v>
      </c>
      <c r="V378" s="50" t="n">
        <v>0.51663</v>
      </c>
      <c r="W378" s="50" t="n">
        <v>0.902</v>
      </c>
      <c r="X378" s="50" t="n">
        <v>1.321</v>
      </c>
      <c r="Y378" s="50" t="n">
        <v>1.4438</v>
      </c>
      <c r="Z378" s="50" t="n">
        <v>5.2621</v>
      </c>
      <c r="AA378" s="50" t="n">
        <v>2.7268</v>
      </c>
      <c r="AB378" s="50" t="n">
        <v>4.5905</v>
      </c>
    </row>
    <row r="379">
      <c r="A379" s="49" t="n">
        <v>45769</v>
      </c>
      <c r="B379" s="50" t="n">
        <v>7.2074</v>
      </c>
      <c r="C379" s="50" t="n">
        <v>8.324</v>
      </c>
      <c r="D379" s="50" t="n">
        <v>0.05149</v>
      </c>
      <c r="E379" s="50" t="n">
        <v>0.92871</v>
      </c>
      <c r="F379" s="50" t="n">
        <v>9.6732</v>
      </c>
      <c r="G379" s="50" t="n">
        <v>4.6455</v>
      </c>
      <c r="H379" s="50" t="n">
        <v>4.3517</v>
      </c>
      <c r="I379" s="50" t="n">
        <v>5.541</v>
      </c>
      <c r="J379" s="50" t="n">
        <v>8.9312</v>
      </c>
      <c r="K379" s="50" t="n">
        <v>5.2327</v>
      </c>
      <c r="L379" s="50" t="n">
        <v>1.1098</v>
      </c>
      <c r="M379" s="50" t="n">
        <v>0.60484</v>
      </c>
      <c r="N379" s="50" t="n">
        <v>11.1395</v>
      </c>
      <c r="O379" s="50" t="n">
        <v>2.5917</v>
      </c>
      <c r="R379" s="50" t="n">
        <v>196.23</v>
      </c>
      <c r="S379" s="50" t="n">
        <v>0.50773</v>
      </c>
      <c r="T379" s="50" t="n">
        <v>0.51847</v>
      </c>
      <c r="U379" s="50" t="n">
        <v>48.9191</v>
      </c>
      <c r="V379" s="50" t="n">
        <v>0.5126500000000001</v>
      </c>
      <c r="W379" s="50" t="n">
        <v>0.898</v>
      </c>
      <c r="X379" s="50" t="n">
        <v>1.3161</v>
      </c>
      <c r="Y379" s="50" t="n">
        <v>1.4344</v>
      </c>
      <c r="Z379" s="50" t="n">
        <v>5.27875</v>
      </c>
      <c r="AA379" s="50" t="n">
        <v>2.7282</v>
      </c>
      <c r="AB379" s="50" t="n">
        <v>4.5693</v>
      </c>
    </row>
    <row r="380">
      <c r="A380" s="49" t="n">
        <v>45770</v>
      </c>
      <c r="B380" s="50" t="n">
        <v>7.2116</v>
      </c>
      <c r="C380" s="50" t="n">
        <v>8.249599999999999</v>
      </c>
      <c r="D380" s="50" t="n">
        <v>0.051001</v>
      </c>
      <c r="E380" s="50" t="n">
        <v>0.9295</v>
      </c>
      <c r="F380" s="50" t="n">
        <v>9.639900000000001</v>
      </c>
      <c r="G380" s="50" t="n">
        <v>4.6397</v>
      </c>
      <c r="H380" s="50" t="n">
        <v>4.3492</v>
      </c>
      <c r="I380" s="50" t="n">
        <v>5.518</v>
      </c>
      <c r="J380" s="50" t="n">
        <v>8.7857</v>
      </c>
      <c r="K380" s="50" t="n">
        <v>5.255</v>
      </c>
      <c r="L380" s="50" t="n">
        <v>1.1089</v>
      </c>
      <c r="M380" s="50" t="n">
        <v>0.60743</v>
      </c>
      <c r="N380" s="50" t="n">
        <v>11.1609</v>
      </c>
      <c r="O380" s="50" t="n">
        <v>2.5691</v>
      </c>
      <c r="R380" s="50" t="n">
        <v>196.3</v>
      </c>
      <c r="S380" s="50" t="n">
        <v>0.50562</v>
      </c>
      <c r="T380" s="50" t="n">
        <v>0.51635</v>
      </c>
      <c r="U380" s="50" t="n">
        <v>49.5844</v>
      </c>
      <c r="V380" s="50" t="n">
        <v>0.5201</v>
      </c>
      <c r="W380" s="50" t="n">
        <v>0.9069</v>
      </c>
      <c r="X380" s="50" t="n">
        <v>1.3255</v>
      </c>
      <c r="Y380" s="50" t="n">
        <v>1.436</v>
      </c>
      <c r="Z380" s="50" t="n">
        <v>5.26636</v>
      </c>
      <c r="AA380" s="50" t="n">
        <v>2.7085</v>
      </c>
      <c r="AB380" s="50" t="n">
        <v>4.606</v>
      </c>
    </row>
    <row r="381">
      <c r="A381" s="49" t="n">
        <v>45771</v>
      </c>
      <c r="B381" s="50" t="n">
        <v>7.2098</v>
      </c>
      <c r="C381" s="50" t="n">
        <v>8.212400000000001</v>
      </c>
      <c r="D381" s="50" t="n">
        <v>0.050703</v>
      </c>
      <c r="E381" s="50" t="n">
        <v>0.92915</v>
      </c>
      <c r="F381" s="50" t="n">
        <v>9.6137</v>
      </c>
      <c r="G381" s="50" t="n">
        <v>4.6202</v>
      </c>
      <c r="H381" s="50" t="n">
        <v>4.3283</v>
      </c>
      <c r="I381" s="50" t="n">
        <v>5.5052</v>
      </c>
      <c r="J381" s="50" t="n">
        <v>8.729699999999999</v>
      </c>
      <c r="K381" s="50" t="n">
        <v>5.231</v>
      </c>
      <c r="L381" s="50" t="n">
        <v>1.1092</v>
      </c>
      <c r="M381" s="50" t="n">
        <v>0.60669</v>
      </c>
      <c r="N381" s="50" t="n">
        <v>11.3778</v>
      </c>
      <c r="O381" s="50" t="n">
        <v>2.5766</v>
      </c>
      <c r="R381" s="50" t="n">
        <v>196.68</v>
      </c>
      <c r="S381" s="50" t="n">
        <v>0.50681</v>
      </c>
      <c r="T381" s="50" t="n">
        <v>0.51745</v>
      </c>
      <c r="U381" s="50" t="n">
        <v>49.7585</v>
      </c>
      <c r="V381" s="50" t="n">
        <v>0.52167</v>
      </c>
      <c r="W381" s="50" t="n">
        <v>0.9099</v>
      </c>
      <c r="X381" s="50" t="n">
        <v>1.3351</v>
      </c>
      <c r="Y381" s="50" t="n">
        <v>1.4496</v>
      </c>
      <c r="Z381" s="50" t="n">
        <v>5.27933</v>
      </c>
      <c r="AA381" s="50" t="n">
        <v>2.7135</v>
      </c>
      <c r="AB381" s="50" t="n">
        <v>4.6122</v>
      </c>
    </row>
    <row r="382">
      <c r="A382" s="49" t="n">
        <v>45772</v>
      </c>
      <c r="B382" s="50" t="n">
        <v>7.2066</v>
      </c>
      <c r="C382" s="50" t="n">
        <v>8.2241</v>
      </c>
      <c r="D382" s="50" t="n">
        <v>0.050736</v>
      </c>
      <c r="E382" s="50" t="n">
        <v>0.92883</v>
      </c>
      <c r="F382" s="50" t="n">
        <v>9.638400000000001</v>
      </c>
      <c r="G382" s="50" t="n">
        <v>4.6375</v>
      </c>
      <c r="H382" s="50" t="n">
        <v>4.3457</v>
      </c>
      <c r="I382" s="50" t="n">
        <v>5.5136</v>
      </c>
      <c r="J382" s="50" t="n">
        <v>8.7293</v>
      </c>
      <c r="K382" s="50" t="n">
        <v>5.228</v>
      </c>
      <c r="L382" s="50" t="n">
        <v>1.1095</v>
      </c>
      <c r="M382" s="50" t="n">
        <v>0.6045</v>
      </c>
      <c r="N382" s="50" t="n">
        <v>11.4048</v>
      </c>
      <c r="O382" s="50" t="n">
        <v>2.5945</v>
      </c>
      <c r="R382" s="50" t="n">
        <v>197.26</v>
      </c>
      <c r="S382" s="50" t="n">
        <v>0.50744</v>
      </c>
      <c r="T382" s="50" t="n">
        <v>0.5182</v>
      </c>
      <c r="U382" s="50" t="n">
        <v>49.369</v>
      </c>
      <c r="V382" s="50" t="n">
        <v>0.51945</v>
      </c>
      <c r="W382" s="50" t="n">
        <v>0.9087</v>
      </c>
      <c r="X382" s="50" t="n">
        <v>1.3273</v>
      </c>
      <c r="Y382" s="50" t="n">
        <v>1.4383</v>
      </c>
      <c r="Z382" s="50" t="n">
        <v>5.30225</v>
      </c>
      <c r="AA382" s="50" t="n">
        <v>2.7113</v>
      </c>
      <c r="AB382" s="50" t="n">
        <v>4.6031</v>
      </c>
    </row>
    <row r="383">
      <c r="A383" s="49" t="n">
        <v>45775</v>
      </c>
      <c r="B383" s="50" t="n">
        <v>7.2043</v>
      </c>
      <c r="C383" s="50" t="n">
        <v>8.2125</v>
      </c>
      <c r="D383" s="50" t="n">
        <v>0.050434</v>
      </c>
      <c r="E383" s="50" t="n">
        <v>0.92877</v>
      </c>
      <c r="F383" s="50" t="n">
        <v>9.619</v>
      </c>
      <c r="G383" s="50" t="n">
        <v>4.6242</v>
      </c>
      <c r="H383" s="50" t="n">
        <v>4.3176</v>
      </c>
      <c r="I383" s="50" t="n">
        <v>5.5001</v>
      </c>
      <c r="J383" s="50" t="n">
        <v>8.7333</v>
      </c>
      <c r="K383" s="50" t="n">
        <v>5.2239</v>
      </c>
      <c r="L383" s="50" t="n">
        <v>1.1096</v>
      </c>
      <c r="M383" s="50" t="n">
        <v>0.60461</v>
      </c>
      <c r="N383" s="50" t="n">
        <v>11.3359</v>
      </c>
      <c r="O383" s="50" t="n">
        <v>2.5845</v>
      </c>
      <c r="R383" s="50" t="n">
        <v>198</v>
      </c>
      <c r="S383" s="50" t="n">
        <v>0.50752</v>
      </c>
      <c r="T383" s="50" t="n">
        <v>0.51828</v>
      </c>
      <c r="U383" s="50" t="n">
        <v>49.4217</v>
      </c>
      <c r="V383" s="50" t="n">
        <v>0.52</v>
      </c>
      <c r="W383" s="50" t="n">
        <v>0.9098000000000001</v>
      </c>
      <c r="X383" s="50" t="n">
        <v>1.3391</v>
      </c>
      <c r="Y383" s="50" t="n">
        <v>1.4417</v>
      </c>
      <c r="Z383" s="50" t="n">
        <v>5.305</v>
      </c>
      <c r="AA383" s="50" t="n">
        <v>2.7029</v>
      </c>
      <c r="AB383" s="50" t="n">
        <v>4.6192</v>
      </c>
    </row>
    <row r="384">
      <c r="A384" s="49" t="n">
        <v>45776</v>
      </c>
      <c r="B384" s="50" t="n">
        <v>7.2029</v>
      </c>
      <c r="C384" s="50" t="n">
        <v>8.237</v>
      </c>
      <c r="D384" s="50" t="n">
        <v>0.050897</v>
      </c>
      <c r="E384" s="50" t="n">
        <v>0.92853</v>
      </c>
      <c r="F384" s="50" t="n">
        <v>9.701599999999999</v>
      </c>
      <c r="G384" s="50" t="n">
        <v>4.6467</v>
      </c>
      <c r="H384" s="50" t="n">
        <v>4.3225</v>
      </c>
      <c r="I384" s="50" t="n">
        <v>5.5179</v>
      </c>
      <c r="J384" s="50" t="n">
        <v>8.787100000000001</v>
      </c>
      <c r="K384" s="50" t="n">
        <v>5.2297</v>
      </c>
      <c r="L384" s="50" t="n">
        <v>1.1099</v>
      </c>
      <c r="M384" s="50" t="n">
        <v>0.60168</v>
      </c>
      <c r="N384" s="50" t="n">
        <v>11.3512</v>
      </c>
      <c r="O384" s="50" t="n">
        <v>2.564</v>
      </c>
      <c r="R384" s="50" t="n">
        <v>198.1</v>
      </c>
      <c r="S384" s="50" t="n">
        <v>0.50797</v>
      </c>
      <c r="T384" s="50" t="n">
        <v>0.51881</v>
      </c>
      <c r="U384" s="50" t="n">
        <v>49.044</v>
      </c>
      <c r="V384" s="50" t="n">
        <v>0.51772</v>
      </c>
      <c r="W384" s="50" t="n">
        <v>0.9067</v>
      </c>
      <c r="X384" s="50" t="n">
        <v>1.3272</v>
      </c>
      <c r="Y384" s="50" t="n">
        <v>1.4317</v>
      </c>
      <c r="Z384" s="50" t="n">
        <v>5.31035</v>
      </c>
      <c r="AA384" s="50" t="n">
        <v>2.7128</v>
      </c>
      <c r="AB384" s="50" t="n">
        <v>4.607</v>
      </c>
    </row>
    <row r="385">
      <c r="A385" s="49" t="n">
        <v>45777</v>
      </c>
      <c r="B385" s="50" t="n">
        <v>7.2014</v>
      </c>
      <c r="C385" s="50" t="n">
        <v>8.225</v>
      </c>
      <c r="D385" s="50" t="n">
        <v>0.050872</v>
      </c>
      <c r="E385" s="50" t="n">
        <v>0.92813</v>
      </c>
      <c r="F385" s="50" t="n">
        <v>9.6867</v>
      </c>
      <c r="G385" s="50" t="n">
        <v>4.6177</v>
      </c>
      <c r="H385" s="50" t="n">
        <v>4.2996</v>
      </c>
      <c r="I385" s="50" t="n">
        <v>5.5219</v>
      </c>
      <c r="J385" s="50" t="n">
        <v>8.763999999999999</v>
      </c>
      <c r="K385" s="50" t="n">
        <v>5.2298</v>
      </c>
      <c r="L385" s="50" t="n">
        <v>1.1103</v>
      </c>
      <c r="M385" s="50" t="n">
        <v>0.59837</v>
      </c>
      <c r="N385" s="50" t="n">
        <v>11.2833</v>
      </c>
      <c r="O385" s="50" t="n">
        <v>2.5688</v>
      </c>
      <c r="R385" s="50" t="n">
        <v>197.47</v>
      </c>
      <c r="S385" s="50" t="n">
        <v>0.50795</v>
      </c>
      <c r="T385" s="50" t="n">
        <v>0.51875</v>
      </c>
      <c r="U385" s="50" t="n">
        <v>49.1105</v>
      </c>
      <c r="V385" s="50" t="n">
        <v>0.51867</v>
      </c>
      <c r="W385" s="50" t="n">
        <v>0.9079</v>
      </c>
      <c r="X385" s="50" t="n">
        <v>1.3326</v>
      </c>
      <c r="Y385" s="50" t="n">
        <v>1.4349</v>
      </c>
      <c r="Z385" s="50" t="n">
        <v>5.32563</v>
      </c>
      <c r="AA385" s="50" t="n">
        <v>2.7084</v>
      </c>
      <c r="AB385" s="50" t="n">
        <v>4.6139</v>
      </c>
    </row>
    <row r="386">
      <c r="A386" s="49" t="n">
        <v>45783</v>
      </c>
      <c r="B386" s="50" t="n">
        <v>7.2008</v>
      </c>
      <c r="C386" s="50" t="n">
        <v>8.153499999999999</v>
      </c>
      <c r="D386" s="50" t="n">
        <v>0.050269</v>
      </c>
      <c r="E386" s="50" t="n">
        <v>0.92903</v>
      </c>
      <c r="F386" s="50" t="n">
        <v>9.5808</v>
      </c>
      <c r="G386" s="50" t="n">
        <v>4.6617</v>
      </c>
      <c r="H386" s="50" t="n">
        <v>4.3034</v>
      </c>
      <c r="I386" s="50" t="n">
        <v>5.5872</v>
      </c>
      <c r="J386" s="50" t="n">
        <v>8.766400000000001</v>
      </c>
      <c r="K386" s="50" t="n">
        <v>5.2202</v>
      </c>
      <c r="L386" s="50" t="n">
        <v>1.1093</v>
      </c>
      <c r="M386" s="50" t="n">
        <v>0.58306</v>
      </c>
      <c r="N386" s="50" t="n">
        <v>11.1706</v>
      </c>
      <c r="O386" s="50" t="n">
        <v>2.534</v>
      </c>
      <c r="R386" s="50" t="n">
        <v>191.47</v>
      </c>
      <c r="S386" s="50" t="n">
        <v>0.50929</v>
      </c>
      <c r="T386" s="50" t="n">
        <v>0.51998</v>
      </c>
      <c r="U386" s="50" t="n">
        <v>49.4515</v>
      </c>
      <c r="V386" s="50" t="n">
        <v>0.52316</v>
      </c>
      <c r="W386" s="50" t="n">
        <v>0.9154</v>
      </c>
      <c r="X386" s="50" t="n">
        <v>1.341</v>
      </c>
      <c r="Y386" s="50" t="n">
        <v>1.441</v>
      </c>
      <c r="Z386" s="50" t="n">
        <v>5.33629</v>
      </c>
      <c r="AA386" s="50" t="n">
        <v>2.7326</v>
      </c>
      <c r="AB386" s="50" t="n">
        <v>4.5571</v>
      </c>
    </row>
    <row r="387">
      <c r="A387" s="49" t="n">
        <v>45784</v>
      </c>
      <c r="B387" s="50" t="n">
        <v>7.2005</v>
      </c>
      <c r="C387" s="50" t="n">
        <v>8.164999999999999</v>
      </c>
      <c r="D387" s="50" t="n">
        <v>0.050345</v>
      </c>
      <c r="E387" s="50" t="n">
        <v>0.92891</v>
      </c>
      <c r="F387" s="50" t="n">
        <v>9.6153</v>
      </c>
      <c r="G387" s="50" t="n">
        <v>4.6876</v>
      </c>
      <c r="H387" s="50" t="n">
        <v>4.3358</v>
      </c>
      <c r="I387" s="50" t="n">
        <v>5.5908</v>
      </c>
      <c r="J387" s="50" t="n">
        <v>8.7196</v>
      </c>
      <c r="K387" s="50" t="n">
        <v>5.2327</v>
      </c>
      <c r="L387" s="50" t="n">
        <v>1.1094</v>
      </c>
      <c r="M387" s="50" t="n">
        <v>0.58649</v>
      </c>
      <c r="N387" s="50" t="n">
        <v>11.2936</v>
      </c>
      <c r="O387" s="50" t="n">
        <v>2.5289</v>
      </c>
      <c r="R387" s="50" t="n">
        <v>192.81</v>
      </c>
      <c r="S387" s="50" t="n">
        <v>0.51002</v>
      </c>
      <c r="T387" s="50" t="n">
        <v>0.52071</v>
      </c>
      <c r="U387" s="50" t="n">
        <v>49.4869</v>
      </c>
      <c r="V387" s="50" t="n">
        <v>0.5233</v>
      </c>
      <c r="W387" s="50" t="n">
        <v>0.9137</v>
      </c>
      <c r="X387" s="50" t="n">
        <v>1.3274</v>
      </c>
      <c r="Y387" s="50" t="n">
        <v>1.4251</v>
      </c>
      <c r="Z387" s="50" t="n">
        <v>5.36219</v>
      </c>
      <c r="AA387" s="50" t="n">
        <v>2.7268</v>
      </c>
      <c r="AB387" s="50" t="n">
        <v>4.5313</v>
      </c>
    </row>
    <row r="388">
      <c r="A388" s="49" t="n">
        <v>45785</v>
      </c>
      <c r="B388" s="50" t="n">
        <v>7.2073</v>
      </c>
      <c r="C388" s="50" t="n">
        <v>8.159599999999999</v>
      </c>
      <c r="D388" s="50" t="n">
        <v>0.050202</v>
      </c>
      <c r="E388" s="50" t="n">
        <v>0.9287</v>
      </c>
      <c r="F388" s="50" t="n">
        <v>9.594900000000001</v>
      </c>
      <c r="G388" s="50" t="n">
        <v>4.6431</v>
      </c>
      <c r="H388" s="50" t="n">
        <v>4.2931</v>
      </c>
      <c r="I388" s="50" t="n">
        <v>5.575</v>
      </c>
      <c r="J388" s="50" t="n">
        <v>8.761799999999999</v>
      </c>
      <c r="K388" s="50" t="n">
        <v>5.2197</v>
      </c>
      <c r="L388" s="50" t="n">
        <v>1.1096</v>
      </c>
      <c r="M388" s="50" t="n">
        <v>0.58805</v>
      </c>
      <c r="N388" s="50" t="n">
        <v>11.1692</v>
      </c>
      <c r="O388" s="50" t="n">
        <v>2.53</v>
      </c>
      <c r="R388" s="50" t="n">
        <v>193.28</v>
      </c>
      <c r="S388" s="50" t="n">
        <v>0.50881</v>
      </c>
      <c r="T388" s="50" t="n">
        <v>0.51961</v>
      </c>
      <c r="U388" s="50" t="n">
        <v>49.5509</v>
      </c>
      <c r="V388" s="50" t="n">
        <v>0.52313</v>
      </c>
      <c r="W388" s="50" t="n">
        <v>0.9145</v>
      </c>
      <c r="X388" s="50" t="n">
        <v>1.3386</v>
      </c>
      <c r="Y388" s="50" t="n">
        <v>1.4343</v>
      </c>
      <c r="Z388" s="50" t="n">
        <v>5.35298</v>
      </c>
      <c r="AA388" s="50" t="n">
        <v>2.7184</v>
      </c>
      <c r="AB388" s="50" t="n">
        <v>4.5492</v>
      </c>
    </row>
    <row r="389">
      <c r="A389" s="49" t="n">
        <v>45786</v>
      </c>
      <c r="B389" s="50" t="n">
        <v>7.2095</v>
      </c>
      <c r="C389" s="50" t="n">
        <v>8.111800000000001</v>
      </c>
      <c r="D389" s="50" t="n">
        <v>0.049518</v>
      </c>
      <c r="E389" s="50" t="n">
        <v>0.92764</v>
      </c>
      <c r="F389" s="50" t="n">
        <v>9.5724</v>
      </c>
      <c r="G389" s="50" t="n">
        <v>4.6269</v>
      </c>
      <c r="H389" s="50" t="n">
        <v>4.2717</v>
      </c>
      <c r="I389" s="50" t="n">
        <v>5.5563</v>
      </c>
      <c r="J389" s="50" t="n">
        <v>8.6927</v>
      </c>
      <c r="K389" s="50" t="n">
        <v>5.1959</v>
      </c>
      <c r="L389" s="50" t="n">
        <v>1.1109</v>
      </c>
      <c r="M389" s="50" t="n">
        <v>0.59397</v>
      </c>
      <c r="N389" s="50" t="n">
        <v>11.3876</v>
      </c>
      <c r="O389" s="50" t="n">
        <v>2.5214</v>
      </c>
      <c r="R389" s="50" t="n">
        <v>194.41</v>
      </c>
      <c r="S389" s="50" t="n">
        <v>0.5079900000000001</v>
      </c>
      <c r="T389" s="50" t="n">
        <v>0.51875</v>
      </c>
      <c r="U389" s="50" t="n">
        <v>49.999</v>
      </c>
      <c r="V389" s="50" t="n">
        <v>0.5246</v>
      </c>
      <c r="W389" s="50" t="n">
        <v>0.9197</v>
      </c>
      <c r="X389" s="50" t="n">
        <v>1.3471</v>
      </c>
      <c r="Y389" s="50" t="n">
        <v>1.4428</v>
      </c>
      <c r="Z389" s="50" t="n">
        <v>5.35694</v>
      </c>
      <c r="AA389" s="50" t="n">
        <v>2.7053</v>
      </c>
      <c r="AB389" s="50" t="n">
        <v>4.5604</v>
      </c>
    </row>
    <row r="390">
      <c r="A390" s="49" t="n">
        <v>45789</v>
      </c>
      <c r="B390" s="50" t="n">
        <v>7.2066</v>
      </c>
      <c r="C390" s="50" t="n">
        <v>8.1074</v>
      </c>
      <c r="D390" s="50" t="n">
        <v>0.049546</v>
      </c>
      <c r="E390" s="50" t="n">
        <v>0.92639</v>
      </c>
      <c r="F390" s="50" t="n">
        <v>9.5915</v>
      </c>
      <c r="G390" s="50" t="n">
        <v>4.6393</v>
      </c>
      <c r="H390" s="50" t="n">
        <v>4.2799</v>
      </c>
      <c r="I390" s="50" t="n">
        <v>5.5637</v>
      </c>
      <c r="J390" s="50" t="n">
        <v>8.6538</v>
      </c>
      <c r="K390" s="50" t="n">
        <v>5.1864</v>
      </c>
      <c r="L390" s="50" t="n">
        <v>1.1127</v>
      </c>
      <c r="M390" s="50" t="n">
        <v>0.5958</v>
      </c>
      <c r="N390" s="50" t="n">
        <v>11.4005</v>
      </c>
      <c r="O390" s="50" t="n">
        <v>2.523</v>
      </c>
      <c r="R390" s="50" t="n">
        <v>193.14</v>
      </c>
      <c r="S390" s="50" t="n">
        <v>0.50872</v>
      </c>
      <c r="T390" s="50" t="n">
        <v>0.51952</v>
      </c>
      <c r="U390" s="50" t="n">
        <v>49.7896</v>
      </c>
      <c r="V390" s="50" t="n">
        <v>0.52188</v>
      </c>
      <c r="W390" s="50" t="n">
        <v>0.9204</v>
      </c>
      <c r="X390" s="50" t="n">
        <v>1.3457</v>
      </c>
      <c r="Y390" s="50" t="n">
        <v>1.436</v>
      </c>
      <c r="Z390" s="50" t="n">
        <v>5.36245</v>
      </c>
      <c r="AA390" s="50" t="n">
        <v>2.6939</v>
      </c>
      <c r="AB390" s="50" t="n">
        <v>4.5714</v>
      </c>
    </row>
    <row r="391">
      <c r="A391" s="49" t="n">
        <v>45790</v>
      </c>
      <c r="B391" s="50" t="n">
        <v>7.1991</v>
      </c>
      <c r="C391" s="50" t="n">
        <v>8.0017</v>
      </c>
      <c r="D391" s="50" t="n">
        <v>0.048633</v>
      </c>
      <c r="E391" s="50" t="n">
        <v>0.92374</v>
      </c>
      <c r="F391" s="50" t="n">
        <v>9.5047</v>
      </c>
      <c r="G391" s="50" t="n">
        <v>4.598</v>
      </c>
      <c r="H391" s="50" t="n">
        <v>4.227</v>
      </c>
      <c r="I391" s="50" t="n">
        <v>5.5249</v>
      </c>
      <c r="J391" s="50" t="n">
        <v>8.535500000000001</v>
      </c>
      <c r="K391" s="50" t="n">
        <v>5.1623</v>
      </c>
      <c r="L391" s="50" t="n">
        <v>1.1156</v>
      </c>
      <c r="M391" s="50" t="n">
        <v>0.59787</v>
      </c>
      <c r="N391" s="50" t="n">
        <v>11.2425</v>
      </c>
      <c r="O391" s="50" t="n">
        <v>2.5325</v>
      </c>
      <c r="R391" s="50" t="n">
        <v>196.38</v>
      </c>
      <c r="S391" s="50" t="n">
        <v>0.5092100000000001</v>
      </c>
      <c r="T391" s="50" t="n">
        <v>0.52002</v>
      </c>
      <c r="U391" s="50" t="n">
        <v>50.647</v>
      </c>
      <c r="V391" s="50" t="n">
        <v>0.53009</v>
      </c>
      <c r="W391" s="50" t="n">
        <v>0.9322</v>
      </c>
      <c r="X391" s="50" t="n">
        <v>1.3619</v>
      </c>
      <c r="Y391" s="50" t="n">
        <v>1.4486</v>
      </c>
      <c r="Z391" s="50" t="n">
        <v>5.37875</v>
      </c>
      <c r="AA391" s="50" t="n">
        <v>2.7225</v>
      </c>
      <c r="AB391" s="50" t="n">
        <v>4.6289</v>
      </c>
    </row>
    <row r="392">
      <c r="A392" s="49" t="n">
        <v>45791</v>
      </c>
      <c r="B392" s="50" t="n">
        <v>7.1956</v>
      </c>
      <c r="C392" s="50" t="n">
        <v>8.0358</v>
      </c>
      <c r="D392" s="50" t="n">
        <v>0.0487</v>
      </c>
      <c r="E392" s="50" t="n">
        <v>0.92286</v>
      </c>
      <c r="F392" s="50" t="n">
        <v>9.5533</v>
      </c>
      <c r="G392" s="50" t="n">
        <v>4.6468</v>
      </c>
      <c r="H392" s="50" t="n">
        <v>4.2631</v>
      </c>
      <c r="I392" s="50" t="n">
        <v>5.5225</v>
      </c>
      <c r="J392" s="50" t="n">
        <v>8.557</v>
      </c>
      <c r="K392" s="50" t="n">
        <v>5.1537</v>
      </c>
      <c r="L392" s="50" t="n">
        <v>1.1167</v>
      </c>
      <c r="M392" s="50" t="n">
        <v>0.6011</v>
      </c>
      <c r="N392" s="50" t="n">
        <v>11.1094</v>
      </c>
      <c r="O392" s="50" t="n">
        <v>2.549</v>
      </c>
      <c r="R392" s="50" t="n">
        <v>197.03</v>
      </c>
      <c r="S392" s="50" t="n">
        <v>0.5115</v>
      </c>
      <c r="T392" s="50" t="n">
        <v>0.5223100000000001</v>
      </c>
      <c r="U392" s="50" t="n">
        <v>50.2791</v>
      </c>
      <c r="V392" s="50" t="n">
        <v>0.5274</v>
      </c>
      <c r="W392" s="50" t="n">
        <v>0.9287</v>
      </c>
      <c r="X392" s="50" t="n">
        <v>1.3537</v>
      </c>
      <c r="Y392" s="50" t="n">
        <v>1.4427</v>
      </c>
      <c r="Z392" s="50" t="n">
        <v>5.40003</v>
      </c>
      <c r="AA392" s="50" t="n">
        <v>2.7018</v>
      </c>
      <c r="AB392" s="50" t="n">
        <v>4.6283</v>
      </c>
    </row>
    <row r="393">
      <c r="A393" s="49" t="n">
        <v>45792</v>
      </c>
      <c r="B393" s="50" t="n">
        <v>7.1963</v>
      </c>
      <c r="C393" s="50" t="n">
        <v>8.0564</v>
      </c>
      <c r="D393" s="50" t="n">
        <v>0.049184</v>
      </c>
      <c r="E393" s="50" t="n">
        <v>0.92209</v>
      </c>
      <c r="F393" s="50" t="n">
        <v>9.5542</v>
      </c>
      <c r="G393" s="50" t="n">
        <v>4.6318</v>
      </c>
      <c r="H393" s="50" t="n">
        <v>4.2523</v>
      </c>
      <c r="I393" s="50" t="n">
        <v>5.5387</v>
      </c>
      <c r="J393" s="50" t="n">
        <v>8.5633</v>
      </c>
      <c r="K393" s="50" t="n">
        <v>5.1557</v>
      </c>
      <c r="L393" s="50" t="n">
        <v>1.1176</v>
      </c>
      <c r="M393" s="50" t="n">
        <v>0.59567</v>
      </c>
      <c r="N393" s="50" t="n">
        <v>11.151</v>
      </c>
      <c r="O393" s="50" t="n">
        <v>2.5333</v>
      </c>
      <c r="R393" s="50" t="n">
        <v>194.94</v>
      </c>
      <c r="S393" s="50" t="n">
        <v>0.5098200000000001</v>
      </c>
      <c r="T393" s="50" t="n">
        <v>0.52064</v>
      </c>
      <c r="U393" s="50" t="n">
        <v>50.0167</v>
      </c>
      <c r="V393" s="50" t="n">
        <v>0.52497</v>
      </c>
      <c r="W393" s="50" t="n">
        <v>0.9262</v>
      </c>
      <c r="X393" s="50" t="n">
        <v>1.3534</v>
      </c>
      <c r="Y393" s="50" t="n">
        <v>1.4402</v>
      </c>
      <c r="Z393" s="50" t="n">
        <v>5.37973</v>
      </c>
      <c r="AA393" s="50" t="n">
        <v>2.6914</v>
      </c>
      <c r="AB393" s="50" t="n">
        <v>4.6297</v>
      </c>
    </row>
    <row r="394">
      <c r="A394" s="49" t="n">
        <v>45793</v>
      </c>
      <c r="B394" s="50" t="n">
        <v>7.1938</v>
      </c>
      <c r="C394" s="50" t="n">
        <v>8.0573</v>
      </c>
      <c r="D394" s="50" t="n">
        <v>0.049494</v>
      </c>
      <c r="E394" s="50" t="n">
        <v>0.9214599999999999</v>
      </c>
      <c r="F394" s="50" t="n">
        <v>9.5785</v>
      </c>
      <c r="G394" s="50" t="n">
        <v>4.6114</v>
      </c>
      <c r="H394" s="50" t="n">
        <v>4.2322</v>
      </c>
      <c r="I394" s="50" t="n">
        <v>5.5542</v>
      </c>
      <c r="J394" s="50" t="n">
        <v>8.6189</v>
      </c>
      <c r="K394" s="50" t="n">
        <v>5.1596</v>
      </c>
      <c r="L394" s="50" t="n">
        <v>1.1183</v>
      </c>
      <c r="M394" s="50" t="n">
        <v>0.59389</v>
      </c>
      <c r="N394" s="50" t="n">
        <v>11.106</v>
      </c>
      <c r="O394" s="50" t="n">
        <v>2.5027</v>
      </c>
      <c r="R394" s="50" t="n">
        <v>194.12</v>
      </c>
      <c r="S394" s="50" t="n">
        <v>0.5102</v>
      </c>
      <c r="T394" s="50" t="n">
        <v>0.521</v>
      </c>
      <c r="U394" s="50" t="n">
        <v>49.9571</v>
      </c>
      <c r="V394" s="50" t="n">
        <v>0.52698</v>
      </c>
      <c r="W394" s="50" t="n">
        <v>0.9258999999999999</v>
      </c>
      <c r="X394" s="50" t="n">
        <v>1.3518</v>
      </c>
      <c r="Y394" s="50" t="n">
        <v>1.4469</v>
      </c>
      <c r="Z394" s="50" t="n">
        <v>5.388</v>
      </c>
      <c r="AA394" s="50" t="n">
        <v>2.7074</v>
      </c>
      <c r="AB394" s="50" t="n">
        <v>4.609</v>
      </c>
    </row>
    <row r="395">
      <c r="A395" s="49" t="n">
        <v>45796</v>
      </c>
      <c r="B395" s="50" t="n">
        <v>7.1916</v>
      </c>
      <c r="C395" s="50" t="n">
        <v>8.055</v>
      </c>
      <c r="D395" s="50" t="n">
        <v>0.049593</v>
      </c>
      <c r="E395" s="50" t="n">
        <v>0.9198499999999999</v>
      </c>
      <c r="F395" s="50" t="n">
        <v>9.5776</v>
      </c>
      <c r="G395" s="50" t="n">
        <v>4.6163</v>
      </c>
      <c r="H395" s="50" t="n">
        <v>4.2422</v>
      </c>
      <c r="I395" s="50" t="n">
        <v>5.5473</v>
      </c>
      <c r="J395" s="50" t="n">
        <v>8.624499999999999</v>
      </c>
      <c r="K395" s="50" t="n">
        <v>5.1609</v>
      </c>
      <c r="L395" s="50" t="n">
        <v>1.1204</v>
      </c>
      <c r="M395" s="50" t="n">
        <v>0.59655</v>
      </c>
      <c r="N395" s="50" t="n">
        <v>11.2412</v>
      </c>
      <c r="O395" s="50" t="n">
        <v>2.5073</v>
      </c>
      <c r="R395" s="50" t="n">
        <v>194.37</v>
      </c>
      <c r="S395" s="50" t="n">
        <v>0.51009</v>
      </c>
      <c r="T395" s="50" t="n">
        <v>0.52091</v>
      </c>
      <c r="U395" s="50" t="n">
        <v>49.9951</v>
      </c>
      <c r="V395" s="50" t="n">
        <v>0.53033</v>
      </c>
      <c r="W395" s="50" t="n">
        <v>0.926</v>
      </c>
      <c r="X395" s="50" t="n">
        <v>1.3522</v>
      </c>
      <c r="Y395" s="50" t="n">
        <v>1.4403</v>
      </c>
      <c r="Z395" s="50" t="n">
        <v>5.39634</v>
      </c>
      <c r="AA395" s="50" t="n">
        <v>2.7021</v>
      </c>
      <c r="AB395" s="50" t="n">
        <v>4.6103</v>
      </c>
    </row>
    <row r="396">
      <c r="A396" s="49" t="n">
        <v>45797</v>
      </c>
      <c r="B396" s="50" t="n">
        <v>7.1931</v>
      </c>
      <c r="C396" s="50" t="n">
        <v>8.081</v>
      </c>
      <c r="D396" s="50" t="n">
        <v>0.049691</v>
      </c>
      <c r="E396" s="50" t="n">
        <v>0.9194099999999999</v>
      </c>
      <c r="F396" s="50" t="n">
        <v>9.6113</v>
      </c>
      <c r="G396" s="50" t="n">
        <v>4.6456</v>
      </c>
      <c r="H396" s="50" t="n">
        <v>4.2699</v>
      </c>
      <c r="I396" s="50" t="n">
        <v>5.5583</v>
      </c>
      <c r="J396" s="50" t="n">
        <v>8.6144</v>
      </c>
      <c r="K396" s="50" t="n">
        <v>5.157</v>
      </c>
      <c r="L396" s="50" t="n">
        <v>1.1208</v>
      </c>
      <c r="M396" s="50" t="n">
        <v>0.59637</v>
      </c>
      <c r="N396" s="50" t="n">
        <v>11.1787</v>
      </c>
      <c r="O396" s="50" t="n">
        <v>2.5132</v>
      </c>
      <c r="R396" s="50" t="n">
        <v>193.28</v>
      </c>
      <c r="S396" s="50" t="n">
        <v>0.51033</v>
      </c>
      <c r="T396" s="50" t="n">
        <v>0.52118</v>
      </c>
      <c r="U396" s="50" t="n">
        <v>49.726</v>
      </c>
      <c r="V396" s="50" t="n">
        <v>0.52554</v>
      </c>
      <c r="W396" s="50" t="n">
        <v>0.9232</v>
      </c>
      <c r="X396" s="50" t="n">
        <v>1.3456</v>
      </c>
      <c r="Y396" s="50" t="n">
        <v>1.4327</v>
      </c>
      <c r="Z396" s="50" t="n">
        <v>5.3941</v>
      </c>
      <c r="AA396" s="50" t="n">
        <v>2.6822</v>
      </c>
      <c r="AB396" s="50" t="n">
        <v>4.5982</v>
      </c>
    </row>
    <row r="397">
      <c r="A397" s="49" t="n">
        <v>45798</v>
      </c>
      <c r="B397" s="50" t="n">
        <v>7.1937</v>
      </c>
      <c r="C397" s="50" t="n">
        <v>8.1265</v>
      </c>
      <c r="D397" s="50" t="n">
        <v>0.049908</v>
      </c>
      <c r="E397" s="50" t="n">
        <v>0.91889</v>
      </c>
      <c r="F397" s="50" t="n">
        <v>9.643599999999999</v>
      </c>
      <c r="G397" s="50" t="n">
        <v>4.6278</v>
      </c>
      <c r="H397" s="50" t="n">
        <v>4.2733</v>
      </c>
      <c r="I397" s="50" t="n">
        <v>5.5638</v>
      </c>
      <c r="J397" s="50" t="n">
        <v>8.7012</v>
      </c>
      <c r="K397" s="50" t="n">
        <v>5.178</v>
      </c>
      <c r="L397" s="50" t="n">
        <v>1.1215</v>
      </c>
      <c r="M397" s="50" t="n">
        <v>0.59487</v>
      </c>
      <c r="N397" s="50" t="n">
        <v>11.2073</v>
      </c>
      <c r="O397" s="50" t="n">
        <v>2.4906</v>
      </c>
      <c r="R397" s="50" t="n">
        <v>193.06</v>
      </c>
      <c r="S397" s="50" t="n">
        <v>0.51012</v>
      </c>
      <c r="T397" s="50" t="n">
        <v>0.52091</v>
      </c>
      <c r="U397" s="50" t="n">
        <v>49.4729</v>
      </c>
      <c r="V397" s="50" t="n">
        <v>0.52135</v>
      </c>
      <c r="W397" s="50" t="n">
        <v>0.918</v>
      </c>
      <c r="X397" s="50" t="n">
        <v>1.3383</v>
      </c>
      <c r="Y397" s="50" t="n">
        <v>1.4233</v>
      </c>
      <c r="Z397" s="50" t="n">
        <v>5.3869</v>
      </c>
      <c r="AA397" s="50" t="n">
        <v>2.6768</v>
      </c>
      <c r="AB397" s="50" t="n">
        <v>4.5648</v>
      </c>
    </row>
    <row r="398">
      <c r="A398" s="49" t="n">
        <v>45799</v>
      </c>
      <c r="B398" s="50" t="n">
        <v>7.1903</v>
      </c>
      <c r="C398" s="50" t="n">
        <v>8.1462</v>
      </c>
      <c r="D398" s="50" t="n">
        <v>0.050009</v>
      </c>
      <c r="E398" s="50" t="n">
        <v>0.91858</v>
      </c>
      <c r="F398" s="50" t="n">
        <v>9.647399999999999</v>
      </c>
      <c r="G398" s="50" t="n">
        <v>4.6273</v>
      </c>
      <c r="H398" s="50" t="n">
        <v>4.2688</v>
      </c>
      <c r="I398" s="50" t="n">
        <v>5.5784</v>
      </c>
      <c r="J398" s="50" t="n">
        <v>8.7096</v>
      </c>
      <c r="K398" s="50" t="n">
        <v>5.1884</v>
      </c>
      <c r="L398" s="50" t="n">
        <v>1.1218</v>
      </c>
      <c r="M398" s="50" t="n">
        <v>0.59278</v>
      </c>
      <c r="N398" s="50" t="n">
        <v>11.0853</v>
      </c>
      <c r="O398" s="50" t="n">
        <v>2.4991</v>
      </c>
      <c r="R398" s="50" t="n">
        <v>191.12</v>
      </c>
      <c r="S398" s="50" t="n">
        <v>0.51076</v>
      </c>
      <c r="T398" s="50" t="n">
        <v>0.52155</v>
      </c>
      <c r="U398" s="50" t="n">
        <v>49.4022</v>
      </c>
      <c r="V398" s="50" t="n">
        <v>0.52047</v>
      </c>
      <c r="W398" s="50" t="n">
        <v>0.9157999999999999</v>
      </c>
      <c r="X398" s="50" t="n">
        <v>1.3316</v>
      </c>
      <c r="Y398" s="50" t="n">
        <v>1.4151</v>
      </c>
      <c r="Z398" s="50" t="n">
        <v>5.39513</v>
      </c>
      <c r="AA398" s="50" t="n">
        <v>2.6929</v>
      </c>
      <c r="AB398" s="50" t="n">
        <v>4.5441</v>
      </c>
    </row>
    <row r="399">
      <c r="A399" s="49" t="n">
        <v>45800</v>
      </c>
      <c r="B399" s="50" t="n">
        <v>7.1919</v>
      </c>
      <c r="C399" s="50" t="n">
        <v>8.126899999999999</v>
      </c>
      <c r="D399" s="50" t="n">
        <v>0.050067</v>
      </c>
      <c r="E399" s="50" t="n">
        <v>0.9186</v>
      </c>
      <c r="F399" s="50" t="n">
        <v>9.6661</v>
      </c>
      <c r="G399" s="50" t="n">
        <v>4.6192</v>
      </c>
      <c r="H399" s="50" t="n">
        <v>4.2521</v>
      </c>
      <c r="I399" s="50" t="n">
        <v>5.5729</v>
      </c>
      <c r="J399" s="50" t="n">
        <v>8.6935</v>
      </c>
      <c r="K399" s="50" t="n">
        <v>5.1983</v>
      </c>
      <c r="L399" s="50" t="n">
        <v>1.1219</v>
      </c>
      <c r="M399" s="50" t="n">
        <v>0.59333</v>
      </c>
      <c r="N399" s="50" t="n">
        <v>11.0636</v>
      </c>
      <c r="O399" s="50" t="n">
        <v>2.5026</v>
      </c>
      <c r="R399" s="50" t="n">
        <v>191.83</v>
      </c>
      <c r="S399" s="50" t="n">
        <v>0.51008</v>
      </c>
      <c r="T399" s="50" t="n">
        <v>0.52079</v>
      </c>
      <c r="U399" s="50" t="n">
        <v>49.6176</v>
      </c>
      <c r="V399" s="50" t="n">
        <v>0.52303</v>
      </c>
      <c r="W399" s="50" t="n">
        <v>0.9181</v>
      </c>
      <c r="X399" s="50" t="n">
        <v>1.3382</v>
      </c>
      <c r="Y399" s="50" t="n">
        <v>1.4155</v>
      </c>
      <c r="Z399" s="50" t="n">
        <v>5.4189</v>
      </c>
      <c r="AA399" s="50" t="n">
        <v>2.6847</v>
      </c>
      <c r="AB399" s="50" t="n">
        <v>4.56</v>
      </c>
    </row>
    <row r="400">
      <c r="A400" s="49" t="n">
        <v>45803</v>
      </c>
      <c r="B400" s="50" t="n">
        <v>7.1833</v>
      </c>
      <c r="C400" s="50" t="n">
        <v>8.1676</v>
      </c>
      <c r="D400" s="50" t="n">
        <v>0.050252</v>
      </c>
      <c r="E400" s="50" t="n">
        <v>0.91689</v>
      </c>
      <c r="F400" s="50" t="n">
        <v>9.713900000000001</v>
      </c>
      <c r="G400" s="50" t="n">
        <v>4.6661</v>
      </c>
      <c r="H400" s="50" t="n">
        <v>4.2997</v>
      </c>
      <c r="I400" s="50" t="n">
        <v>5.5896</v>
      </c>
      <c r="J400" s="50" t="n">
        <v>8.7286</v>
      </c>
      <c r="K400" s="50" t="n">
        <v>5.2262</v>
      </c>
      <c r="L400" s="50" t="n">
        <v>1.1236</v>
      </c>
      <c r="M400" s="50" t="n">
        <v>0.5891</v>
      </c>
      <c r="N400" s="50" t="n">
        <v>11.073</v>
      </c>
      <c r="O400" s="50" t="n">
        <v>2.4823</v>
      </c>
      <c r="R400" s="50" t="n">
        <v>190.4</v>
      </c>
      <c r="S400" s="50" t="n">
        <v>0.51209</v>
      </c>
      <c r="T400" s="50" t="n">
        <v>0.52263</v>
      </c>
      <c r="U400" s="50" t="n">
        <v>49.4489</v>
      </c>
      <c r="V400" s="50" t="n">
        <v>0.52005</v>
      </c>
      <c r="W400" s="50" t="n">
        <v>0.9136</v>
      </c>
      <c r="X400" s="50" t="n">
        <v>1.3254</v>
      </c>
      <c r="Y400" s="50" t="n">
        <v>1.4081</v>
      </c>
      <c r="Z400" s="50" t="n">
        <v>5.4339</v>
      </c>
      <c r="AA400" s="50" t="n">
        <v>2.6771</v>
      </c>
      <c r="AB400" s="50" t="n">
        <v>4.537</v>
      </c>
    </row>
    <row r="401">
      <c r="A401" s="49" t="n">
        <v>45804</v>
      </c>
      <c r="B401" s="50" t="n">
        <v>7.1876</v>
      </c>
      <c r="C401" s="50" t="n">
        <v>8.184900000000001</v>
      </c>
      <c r="D401" s="50" t="n">
        <v>0.050349</v>
      </c>
      <c r="E401" s="50" t="n">
        <v>0.91723</v>
      </c>
      <c r="F401" s="50" t="n">
        <v>9.747199999999999</v>
      </c>
      <c r="G401" s="50" t="n">
        <v>4.6588</v>
      </c>
      <c r="H401" s="50" t="n">
        <v>4.3085</v>
      </c>
      <c r="I401" s="50" t="n">
        <v>5.5974</v>
      </c>
      <c r="J401" s="50" t="n">
        <v>8.7577</v>
      </c>
      <c r="K401" s="50" t="n">
        <v>5.2317</v>
      </c>
      <c r="L401" s="50" t="n">
        <v>1.1238</v>
      </c>
      <c r="M401" s="50" t="n">
        <v>0.5867</v>
      </c>
      <c r="N401" s="50" t="n">
        <v>11.1246</v>
      </c>
      <c r="O401" s="50" t="n">
        <v>2.4826</v>
      </c>
      <c r="R401" s="50" t="n">
        <v>190.54</v>
      </c>
      <c r="S401" s="50" t="n">
        <v>0.51123</v>
      </c>
      <c r="T401" s="50" t="n">
        <v>0.52198</v>
      </c>
      <c r="U401" s="50" t="n">
        <v>49.279</v>
      </c>
      <c r="V401" s="50" t="n">
        <v>0.51856</v>
      </c>
      <c r="W401" s="50" t="n">
        <v>0.9112</v>
      </c>
      <c r="X401" s="50" t="n">
        <v>1.3239</v>
      </c>
      <c r="Y401" s="50" t="n">
        <v>1.405</v>
      </c>
      <c r="Z401" s="50" t="n">
        <v>5.42733</v>
      </c>
      <c r="AA401" s="50" t="n">
        <v>2.6783</v>
      </c>
      <c r="AB401" s="50" t="n">
        <v>4.5354</v>
      </c>
    </row>
    <row r="402">
      <c r="A402" s="49" t="n">
        <v>45805</v>
      </c>
      <c r="B402" s="50" t="n">
        <v>7.1894</v>
      </c>
      <c r="C402" s="50" t="n">
        <v>8.155799999999999</v>
      </c>
      <c r="D402" s="50" t="n">
        <v>0.049915</v>
      </c>
      <c r="E402" s="50" t="n">
        <v>0.9172</v>
      </c>
      <c r="F402" s="50" t="n">
        <v>9.7248</v>
      </c>
      <c r="G402" s="50" t="n">
        <v>4.6402</v>
      </c>
      <c r="H402" s="50" t="n">
        <v>4.2816</v>
      </c>
      <c r="I402" s="50" t="n">
        <v>5.5844</v>
      </c>
      <c r="J402" s="50" t="n">
        <v>8.700699999999999</v>
      </c>
      <c r="K402" s="50" t="n">
        <v>5.2107</v>
      </c>
      <c r="L402" s="50" t="n">
        <v>1.1235</v>
      </c>
      <c r="M402" s="50" t="n">
        <v>0.5888099999999999</v>
      </c>
      <c r="N402" s="50" t="n">
        <v>11.154</v>
      </c>
      <c r="O402" s="50" t="n">
        <v>2.4954</v>
      </c>
      <c r="R402" s="50" t="n">
        <v>191.02</v>
      </c>
      <c r="S402" s="50" t="n">
        <v>0.51042</v>
      </c>
      <c r="T402" s="50" t="n">
        <v>0.52122</v>
      </c>
      <c r="U402" s="50" t="n">
        <v>49.5033</v>
      </c>
      <c r="V402" s="50" t="n">
        <v>0.52073</v>
      </c>
      <c r="W402" s="50" t="n">
        <v>0.9141</v>
      </c>
      <c r="X402" s="50" t="n">
        <v>1.3364</v>
      </c>
      <c r="Y402" s="50" t="n">
        <v>1.4106</v>
      </c>
      <c r="Z402" s="50" t="n">
        <v>5.42706</v>
      </c>
      <c r="AA402" s="50" t="n">
        <v>2.6786</v>
      </c>
      <c r="AB402" s="50" t="n">
        <v>4.5455</v>
      </c>
    </row>
    <row r="403">
      <c r="A403" s="49" t="n">
        <v>45806</v>
      </c>
      <c r="B403" s="50" t="n">
        <v>7.1907</v>
      </c>
      <c r="C403" s="50" t="n">
        <v>8.1027</v>
      </c>
      <c r="D403" s="50" t="n">
        <v>0.049497</v>
      </c>
      <c r="E403" s="50" t="n">
        <v>0.91762</v>
      </c>
      <c r="F403" s="50" t="n">
        <v>9.6797</v>
      </c>
      <c r="G403" s="50" t="n">
        <v>4.6309</v>
      </c>
      <c r="H403" s="50" t="n">
        <v>4.2965</v>
      </c>
      <c r="I403" s="50" t="n">
        <v>5.5727</v>
      </c>
      <c r="J403" s="50" t="n">
        <v>8.6653</v>
      </c>
      <c r="K403" s="50" t="n">
        <v>5.2016</v>
      </c>
      <c r="L403" s="50" t="n">
        <v>1.123</v>
      </c>
      <c r="M403" s="50" t="n">
        <v>0.58846</v>
      </c>
      <c r="N403" s="50" t="n">
        <v>11.1021</v>
      </c>
      <c r="O403" s="50" t="n">
        <v>2.4926</v>
      </c>
      <c r="R403" s="50" t="n">
        <v>191.36</v>
      </c>
      <c r="S403" s="50" t="n">
        <v>0.51036</v>
      </c>
      <c r="T403" s="50" t="n">
        <v>0.52111</v>
      </c>
      <c r="U403" s="50" t="n">
        <v>49.7737</v>
      </c>
      <c r="V403" s="50" t="n">
        <v>0.52286</v>
      </c>
      <c r="W403" s="50" t="n">
        <v>0.9201</v>
      </c>
      <c r="X403" s="50" t="n">
        <v>1.3433</v>
      </c>
      <c r="Y403" s="50" t="n">
        <v>1.4155</v>
      </c>
      <c r="Z403" s="50" t="n">
        <v>5.43383</v>
      </c>
      <c r="AA403" s="50" t="n">
        <v>2.693</v>
      </c>
      <c r="AB403" s="50" t="n">
        <v>4.5522</v>
      </c>
    </row>
    <row r="404">
      <c r="A404" s="49" t="n">
        <v>45807</v>
      </c>
      <c r="B404" s="50" t="n">
        <v>7.1848</v>
      </c>
      <c r="C404" s="50" t="n">
        <v>8.162000000000001</v>
      </c>
      <c r="D404" s="50" t="n">
        <v>0.049861</v>
      </c>
      <c r="E404" s="50" t="n">
        <v>0.91642</v>
      </c>
      <c r="F404" s="50" t="n">
        <v>9.6844</v>
      </c>
      <c r="G404" s="50" t="n">
        <v>4.6224</v>
      </c>
      <c r="H404" s="50" t="n">
        <v>4.2866</v>
      </c>
      <c r="I404" s="50" t="n">
        <v>5.5783</v>
      </c>
      <c r="J404" s="50" t="n">
        <v>8.724299999999999</v>
      </c>
      <c r="K404" s="50" t="n">
        <v>5.1959</v>
      </c>
      <c r="L404" s="50" t="n">
        <v>1.1245</v>
      </c>
      <c r="M404" s="50" t="n">
        <v>0.5905</v>
      </c>
      <c r="N404" s="50" t="n">
        <v>10.7437</v>
      </c>
      <c r="O404" s="50" t="n">
        <v>2.4789</v>
      </c>
      <c r="R404" s="50" t="n">
        <v>191.06</v>
      </c>
      <c r="S404" s="50" t="n">
        <v>0.51226</v>
      </c>
      <c r="T404" s="50" t="n">
        <v>0.52307</v>
      </c>
      <c r="U404" s="50" t="n">
        <v>49.4659</v>
      </c>
      <c r="V404" s="50" t="n">
        <v>0.51957</v>
      </c>
      <c r="W404" s="50" t="n">
        <v>0.9143</v>
      </c>
      <c r="X404" s="50" t="n">
        <v>1.3318</v>
      </c>
      <c r="Y404" s="50" t="n">
        <v>1.4112</v>
      </c>
      <c r="Z404" s="50" t="n">
        <v>5.46923</v>
      </c>
      <c r="AA404" s="50" t="n">
        <v>2.691</v>
      </c>
      <c r="AB404" s="50" t="n">
        <v>4.5359</v>
      </c>
    </row>
    <row r="405">
      <c r="A405" s="49" t="n">
        <v>45811</v>
      </c>
      <c r="B405" s="50" t="n">
        <v>7.1869</v>
      </c>
      <c r="C405" s="50" t="n">
        <v>8.216900000000001</v>
      </c>
      <c r="D405" s="50" t="n">
        <v>0.050352</v>
      </c>
      <c r="E405" s="50" t="n">
        <v>0.91617</v>
      </c>
      <c r="F405" s="50" t="n">
        <v>9.725</v>
      </c>
      <c r="G405" s="50" t="n">
        <v>4.6592</v>
      </c>
      <c r="H405" s="50" t="n">
        <v>4.3342</v>
      </c>
      <c r="I405" s="50" t="n">
        <v>5.586</v>
      </c>
      <c r="J405" s="50" t="n">
        <v>8.7889</v>
      </c>
      <c r="K405" s="50" t="n">
        <v>5.2319</v>
      </c>
      <c r="L405" s="50" t="n">
        <v>1.1248</v>
      </c>
      <c r="M405" s="50" t="n">
        <v>0.59179</v>
      </c>
      <c r="N405" s="50" t="n">
        <v>11.0163</v>
      </c>
      <c r="O405" s="50" t="n">
        <v>2.4877</v>
      </c>
      <c r="R405" s="50" t="n">
        <v>191.69</v>
      </c>
      <c r="S405" s="50" t="n">
        <v>0.5117699999999999</v>
      </c>
      <c r="T405" s="50" t="n">
        <v>0.52272</v>
      </c>
      <c r="U405" s="50" t="n">
        <v>49.064</v>
      </c>
      <c r="V405" s="50" t="n">
        <v>0.51789</v>
      </c>
      <c r="W405" s="50" t="n">
        <v>0.9078000000000001</v>
      </c>
      <c r="X405" s="50" t="n">
        <v>1.3265</v>
      </c>
      <c r="Y405" s="50" t="n">
        <v>1.4026</v>
      </c>
      <c r="Z405" s="50" t="n">
        <v>5.45586</v>
      </c>
      <c r="AA405" s="50" t="n">
        <v>2.6758</v>
      </c>
      <c r="AB405" s="50" t="n">
        <v>4.5302</v>
      </c>
    </row>
    <row r="406">
      <c r="A406" s="49" t="n">
        <v>45812</v>
      </c>
      <c r="B406" s="50" t="n">
        <v>7.1886</v>
      </c>
      <c r="C406" s="50" t="n">
        <v>8.1853</v>
      </c>
      <c r="D406" s="50" t="n">
        <v>0.049977</v>
      </c>
      <c r="E406" s="50" t="n">
        <v>0.91635</v>
      </c>
      <c r="F406" s="50" t="n">
        <v>9.7324</v>
      </c>
      <c r="G406" s="50" t="n">
        <v>4.6513</v>
      </c>
      <c r="H406" s="50" t="n">
        <v>4.3203</v>
      </c>
      <c r="I406" s="50" t="n">
        <v>5.5788</v>
      </c>
      <c r="J406" s="50" t="n">
        <v>8.7392</v>
      </c>
      <c r="K406" s="50" t="n">
        <v>5.2461</v>
      </c>
      <c r="L406" s="50" t="n">
        <v>1.124</v>
      </c>
      <c r="M406" s="50" t="n">
        <v>0.59019</v>
      </c>
      <c r="N406" s="50" t="n">
        <v>10.9896</v>
      </c>
      <c r="O406" s="50" t="n">
        <v>2.4828</v>
      </c>
      <c r="R406" s="50" t="n">
        <v>191.6</v>
      </c>
      <c r="S406" s="50" t="n">
        <v>0.5103</v>
      </c>
      <c r="T406" s="50" t="n">
        <v>0.52114</v>
      </c>
      <c r="U406" s="50" t="n">
        <v>49.2982</v>
      </c>
      <c r="V406" s="50" t="n">
        <v>0.52176</v>
      </c>
      <c r="W406" s="50" t="n">
        <v>0.9109</v>
      </c>
      <c r="X406" s="50" t="n">
        <v>1.3367</v>
      </c>
      <c r="Y406" s="50" t="n">
        <v>1.4087</v>
      </c>
      <c r="Z406" s="50" t="n">
        <v>5.43871</v>
      </c>
      <c r="AA406" s="50" t="n">
        <v>2.6748</v>
      </c>
      <c r="AB406" s="50" t="n">
        <v>4.5372</v>
      </c>
    </row>
    <row r="407">
      <c r="A407" s="49" t="n">
        <v>45813</v>
      </c>
      <c r="B407" s="50" t="n">
        <v>7.1865</v>
      </c>
      <c r="C407" s="50" t="n">
        <v>8.204499999999999</v>
      </c>
      <c r="D407" s="50" t="n">
        <v>0.050352</v>
      </c>
      <c r="E407" s="50" t="n">
        <v>0.91605</v>
      </c>
      <c r="F407" s="50" t="n">
        <v>9.7323</v>
      </c>
      <c r="G407" s="50" t="n">
        <v>4.6614</v>
      </c>
      <c r="H407" s="50" t="n">
        <v>4.329</v>
      </c>
      <c r="I407" s="50" t="n">
        <v>5.5839</v>
      </c>
      <c r="J407" s="50" t="n">
        <v>8.779299999999999</v>
      </c>
      <c r="K407" s="50" t="n">
        <v>5.2491</v>
      </c>
      <c r="L407" s="50" t="n">
        <v>1.125</v>
      </c>
      <c r="M407" s="50" t="n">
        <v>0.59078</v>
      </c>
      <c r="N407" s="50" t="n">
        <v>11.0443</v>
      </c>
      <c r="O407" s="50" t="n">
        <v>2.4822</v>
      </c>
      <c r="R407" s="50" t="n">
        <v>189.81</v>
      </c>
      <c r="S407" s="50" t="n">
        <v>0.5117699999999999</v>
      </c>
      <c r="T407" s="50" t="n">
        <v>0.5224</v>
      </c>
      <c r="U407" s="50" t="n">
        <v>49.1583</v>
      </c>
      <c r="V407" s="50" t="n">
        <v>0.52138</v>
      </c>
      <c r="W407" s="50" t="n">
        <v>0.9094</v>
      </c>
      <c r="X407" s="50" t="n">
        <v>1.3343</v>
      </c>
      <c r="Y407" s="50" t="n">
        <v>1.4077</v>
      </c>
      <c r="Z407" s="50" t="n">
        <v>5.46961</v>
      </c>
      <c r="AA407" s="50" t="n">
        <v>2.6735</v>
      </c>
      <c r="AB407" s="50" t="n">
        <v>4.5396</v>
      </c>
    </row>
    <row r="408">
      <c r="A408" s="49" t="n">
        <v>45814</v>
      </c>
      <c r="B408" s="50" t="n">
        <v>7.1845</v>
      </c>
      <c r="C408" s="50" t="n">
        <v>8.2174</v>
      </c>
      <c r="D408" s="50" t="n">
        <v>0.050019</v>
      </c>
      <c r="E408" s="50" t="n">
        <v>0.91572</v>
      </c>
      <c r="F408" s="50" t="n">
        <v>9.743</v>
      </c>
      <c r="G408" s="50" t="n">
        <v>4.6694</v>
      </c>
      <c r="H408" s="50" t="n">
        <v>4.3343</v>
      </c>
      <c r="I408" s="50" t="n">
        <v>5.5808</v>
      </c>
      <c r="J408" s="50" t="n">
        <v>8.7563</v>
      </c>
      <c r="K408" s="50" t="n">
        <v>5.2486</v>
      </c>
      <c r="L408" s="50" t="n">
        <v>1.1248</v>
      </c>
      <c r="M408" s="50" t="n">
        <v>0.58879</v>
      </c>
      <c r="N408" s="50" t="n">
        <v>10.7359</v>
      </c>
      <c r="O408" s="50" t="n">
        <v>2.4682</v>
      </c>
      <c r="R408" s="50" t="n">
        <v>188.97</v>
      </c>
      <c r="S408" s="50" t="n">
        <v>0.51184</v>
      </c>
      <c r="T408" s="50" t="n">
        <v>0.52269</v>
      </c>
      <c r="U408" s="50" t="n">
        <v>49.0739</v>
      </c>
      <c r="V408" s="50" t="n">
        <v>0.5208</v>
      </c>
      <c r="W408" s="50" t="n">
        <v>0.908</v>
      </c>
      <c r="X408" s="50" t="n">
        <v>1.3337</v>
      </c>
      <c r="Y408" s="50" t="n">
        <v>1.4032</v>
      </c>
      <c r="Z408" s="50" t="n">
        <v>5.47475</v>
      </c>
      <c r="AA408" s="50" t="n">
        <v>2.6686</v>
      </c>
      <c r="AB408" s="50" t="n">
        <v>4.5427</v>
      </c>
    </row>
    <row r="409">
      <c r="A409" s="49" t="n">
        <v>45817</v>
      </c>
      <c r="B409" s="50" t="n">
        <v>7.1855</v>
      </c>
      <c r="C409" s="50" t="n">
        <v>8.1975</v>
      </c>
      <c r="D409" s="50" t="n">
        <v>0.049693</v>
      </c>
      <c r="E409" s="50" t="n">
        <v>0.91566</v>
      </c>
      <c r="F409" s="50" t="n">
        <v>9.731</v>
      </c>
      <c r="G409" s="50" t="n">
        <v>4.6733</v>
      </c>
      <c r="H409" s="50" t="n">
        <v>4.3309</v>
      </c>
      <c r="I409" s="50" t="n">
        <v>5.5767</v>
      </c>
      <c r="J409" s="50" t="n">
        <v>8.7538</v>
      </c>
      <c r="K409" s="50" t="n">
        <v>5.2498</v>
      </c>
      <c r="L409" s="50" t="n">
        <v>1.1255</v>
      </c>
      <c r="M409" s="50" t="n">
        <v>0.58934</v>
      </c>
      <c r="N409" s="50" t="n">
        <v>10.9758</v>
      </c>
      <c r="O409" s="50" t="n">
        <v>2.4732</v>
      </c>
      <c r="R409" s="50" t="n">
        <v>189.13</v>
      </c>
      <c r="S409" s="50" t="n">
        <v>0.51105</v>
      </c>
      <c r="T409" s="50" t="n">
        <v>0.52177</v>
      </c>
      <c r="U409" s="50" t="n">
        <v>49.1963</v>
      </c>
      <c r="V409" s="50" t="n">
        <v>0.52283</v>
      </c>
      <c r="W409" s="50" t="n">
        <v>0.9098000000000001</v>
      </c>
      <c r="X409" s="50" t="n">
        <v>1.3372</v>
      </c>
      <c r="Y409" s="50" t="n">
        <v>1.4046</v>
      </c>
      <c r="Z409" s="50" t="n">
        <v>5.45883</v>
      </c>
      <c r="AA409" s="50" t="n">
        <v>2.6577</v>
      </c>
      <c r="AB409" s="50" t="n">
        <v>4.5542</v>
      </c>
    </row>
    <row r="410">
      <c r="A410" s="49" t="n">
        <v>45818</v>
      </c>
      <c r="B410" s="50" t="n">
        <v>7.184</v>
      </c>
      <c r="C410" s="50" t="n">
        <v>8.208</v>
      </c>
      <c r="D410" s="50" t="n">
        <v>0.049711</v>
      </c>
      <c r="E410" s="50" t="n">
        <v>0.91537</v>
      </c>
      <c r="F410" s="50" t="n">
        <v>9.738200000000001</v>
      </c>
      <c r="G410" s="50" t="n">
        <v>4.6825</v>
      </c>
      <c r="H410" s="50" t="n">
        <v>4.3488</v>
      </c>
      <c r="I410" s="50" t="n">
        <v>5.5888</v>
      </c>
      <c r="J410" s="50" t="n">
        <v>8.747400000000001</v>
      </c>
      <c r="K410" s="50" t="n">
        <v>5.2458</v>
      </c>
      <c r="L410" s="50" t="n">
        <v>1.1258</v>
      </c>
      <c r="M410" s="50" t="n">
        <v>0.58914</v>
      </c>
      <c r="N410" s="50" t="n">
        <v>10.9921</v>
      </c>
      <c r="O410" s="50" t="n">
        <v>2.4666</v>
      </c>
      <c r="R410" s="50" t="n">
        <v>188.61</v>
      </c>
      <c r="S410" s="50" t="n">
        <v>0.51123</v>
      </c>
      <c r="T410" s="50" t="n">
        <v>0.52201</v>
      </c>
      <c r="U410" s="50" t="n">
        <v>48.9307</v>
      </c>
      <c r="V410" s="50" t="n">
        <v>0.52006</v>
      </c>
      <c r="W410" s="50" t="n">
        <v>0.9087</v>
      </c>
      <c r="X410" s="50" t="n">
        <v>1.334</v>
      </c>
      <c r="Y410" s="50" t="n">
        <v>1.4001</v>
      </c>
      <c r="Z410" s="50" t="n">
        <v>5.4723</v>
      </c>
      <c r="AA410" s="50" t="n">
        <v>2.6508</v>
      </c>
      <c r="AB410" s="50" t="n">
        <v>4.5455</v>
      </c>
    </row>
    <row r="411">
      <c r="A411" s="49" t="n">
        <v>45819</v>
      </c>
      <c r="B411" s="50" t="n">
        <v>7.1815</v>
      </c>
      <c r="C411" s="50" t="n">
        <v>8.2082</v>
      </c>
      <c r="D411" s="50" t="n">
        <v>0.049553</v>
      </c>
      <c r="E411" s="50" t="n">
        <v>0.9150199999999999</v>
      </c>
      <c r="F411" s="50" t="n">
        <v>9.6974</v>
      </c>
      <c r="G411" s="50" t="n">
        <v>4.6875</v>
      </c>
      <c r="H411" s="50" t="n">
        <v>4.3489</v>
      </c>
      <c r="I411" s="50" t="n">
        <v>5.5839</v>
      </c>
      <c r="J411" s="50" t="n">
        <v>8.732699999999999</v>
      </c>
      <c r="K411" s="50" t="n">
        <v>5.2548</v>
      </c>
      <c r="L411" s="50" t="n">
        <v>1.1262</v>
      </c>
      <c r="M411" s="50" t="n">
        <v>0.58995</v>
      </c>
      <c r="N411" s="50" t="n">
        <v>10.9236</v>
      </c>
      <c r="O411" s="50" t="n">
        <v>2.4648</v>
      </c>
      <c r="R411" s="50" t="n">
        <v>189.91</v>
      </c>
      <c r="S411" s="50" t="n">
        <v>0.51136</v>
      </c>
      <c r="T411" s="50" t="n">
        <v>0.52224</v>
      </c>
      <c r="U411" s="50" t="n">
        <v>48.8471</v>
      </c>
      <c r="V411" s="50" t="n">
        <v>0.51849</v>
      </c>
      <c r="W411" s="50" t="n">
        <v>0.9087</v>
      </c>
      <c r="X411" s="50" t="n">
        <v>1.3357</v>
      </c>
      <c r="Y411" s="50" t="n">
        <v>1.4072</v>
      </c>
      <c r="Z411" s="50" t="n">
        <v>5.45711</v>
      </c>
      <c r="AA411" s="50" t="n">
        <v>2.6539</v>
      </c>
      <c r="AB411" s="50" t="n">
        <v>4.5447</v>
      </c>
    </row>
    <row r="412">
      <c r="A412" s="49" t="n">
        <v>45820</v>
      </c>
      <c r="B412" s="50" t="n">
        <v>7.1803</v>
      </c>
      <c r="C412" s="50" t="n">
        <v>8.2578</v>
      </c>
      <c r="D412" s="50" t="n">
        <v>0.049763</v>
      </c>
      <c r="E412" s="50" t="n">
        <v>0.91481</v>
      </c>
      <c r="F412" s="50" t="n">
        <v>9.733599999999999</v>
      </c>
      <c r="G412" s="50" t="n">
        <v>4.6675</v>
      </c>
      <c r="H412" s="50" t="n">
        <v>4.3276</v>
      </c>
      <c r="I412" s="50" t="n">
        <v>5.5895</v>
      </c>
      <c r="J412" s="50" t="n">
        <v>8.763999999999999</v>
      </c>
      <c r="K412" s="50" t="n">
        <v>5.2497</v>
      </c>
      <c r="L412" s="50" t="n">
        <v>1.1265</v>
      </c>
      <c r="M412" s="50" t="n">
        <v>0.58935</v>
      </c>
      <c r="N412" s="50" t="n">
        <v>11.0617</v>
      </c>
      <c r="O412" s="50" t="n">
        <v>2.4671</v>
      </c>
      <c r="R412" s="50" t="n">
        <v>190.62</v>
      </c>
      <c r="S412" s="50" t="n">
        <v>0.51179</v>
      </c>
      <c r="T412" s="50" t="n">
        <v>0.52268</v>
      </c>
      <c r="U412" s="50" t="n">
        <v>48.4215</v>
      </c>
      <c r="V412" s="50" t="n">
        <v>0.51473</v>
      </c>
      <c r="W412" s="50" t="n">
        <v>0.9034</v>
      </c>
      <c r="X412" s="50" t="n">
        <v>1.33</v>
      </c>
      <c r="Y412" s="50" t="n">
        <v>1.3998</v>
      </c>
      <c r="Z412" s="50" t="n">
        <v>5.45802</v>
      </c>
      <c r="AA412" s="50" t="n">
        <v>2.6329</v>
      </c>
      <c r="AB412" s="50" t="n">
        <v>4.5364</v>
      </c>
    </row>
    <row r="413">
      <c r="A413" s="49" t="n">
        <v>45821</v>
      </c>
      <c r="B413" s="50" t="n">
        <v>7.1772</v>
      </c>
      <c r="C413" s="50" t="n">
        <v>8.308299999999999</v>
      </c>
      <c r="D413" s="50" t="n">
        <v>0.050028</v>
      </c>
      <c r="E413" s="50" t="n">
        <v>0.91444</v>
      </c>
      <c r="F413" s="50" t="n">
        <v>9.761900000000001</v>
      </c>
      <c r="G413" s="50" t="n">
        <v>4.678</v>
      </c>
      <c r="H413" s="50" t="n">
        <v>4.3441</v>
      </c>
      <c r="I413" s="50" t="n">
        <v>5.609</v>
      </c>
      <c r="J413" s="50" t="n">
        <v>8.856</v>
      </c>
      <c r="K413" s="50" t="n">
        <v>5.2715</v>
      </c>
      <c r="L413" s="50" t="n">
        <v>1.1272</v>
      </c>
      <c r="M413" s="50" t="n">
        <v>0.5887</v>
      </c>
      <c r="N413" s="50" t="n">
        <v>11.144</v>
      </c>
      <c r="O413" s="50" t="n">
        <v>2.4785</v>
      </c>
      <c r="R413" s="50" t="n">
        <v>189.77</v>
      </c>
      <c r="S413" s="50" t="n">
        <v>0.51219</v>
      </c>
      <c r="T413" s="50" t="n">
        <v>0.52319</v>
      </c>
      <c r="U413" s="50" t="n">
        <v>48.2765</v>
      </c>
      <c r="V413" s="50" t="n">
        <v>0.5131</v>
      </c>
      <c r="W413" s="50" t="n">
        <v>0.8972</v>
      </c>
      <c r="X413" s="50" t="n">
        <v>1.3165</v>
      </c>
      <c r="Y413" s="50" t="n">
        <v>1.3846</v>
      </c>
      <c r="Z413" s="50" t="n">
        <v>5.49299</v>
      </c>
      <c r="AA413" s="50" t="n">
        <v>2.634</v>
      </c>
      <c r="AB413" s="50" t="n">
        <v>4.5173</v>
      </c>
    </row>
    <row r="414">
      <c r="A414" s="49" t="n">
        <v>45824</v>
      </c>
      <c r="B414" s="50" t="n">
        <v>7.1789</v>
      </c>
      <c r="C414" s="50" t="n">
        <v>8.287000000000001</v>
      </c>
      <c r="D414" s="50" t="n">
        <v>0.049732</v>
      </c>
      <c r="E414" s="50" t="n">
        <v>0.91457</v>
      </c>
      <c r="F414" s="50" t="n">
        <v>9.7364</v>
      </c>
      <c r="G414" s="50" t="n">
        <v>4.6629</v>
      </c>
      <c r="H414" s="50" t="n">
        <v>4.3243</v>
      </c>
      <c r="I414" s="50" t="n">
        <v>5.6008</v>
      </c>
      <c r="J414" s="50" t="n">
        <v>8.850199999999999</v>
      </c>
      <c r="K414" s="50" t="n">
        <v>5.2885</v>
      </c>
      <c r="L414" s="50" t="n">
        <v>1.127</v>
      </c>
      <c r="M414" s="50" t="n">
        <v>0.59122</v>
      </c>
      <c r="N414" s="50" t="n">
        <v>11.1341</v>
      </c>
      <c r="O414" s="50" t="n">
        <v>2.4997</v>
      </c>
      <c r="R414" s="50" t="n">
        <v>190.01</v>
      </c>
      <c r="S414" s="50" t="n">
        <v>0.51124</v>
      </c>
      <c r="T414" s="50" t="n">
        <v>0.52236</v>
      </c>
      <c r="U414" s="50" t="n">
        <v>48.6089</v>
      </c>
      <c r="V414" s="50" t="n">
        <v>0.51506</v>
      </c>
      <c r="W414" s="50" t="n">
        <v>0.8998</v>
      </c>
      <c r="X414" s="50" t="n">
        <v>1.3221</v>
      </c>
      <c r="Y414" s="50" t="n">
        <v>1.3803</v>
      </c>
      <c r="Z414" s="50" t="n">
        <v>5.48786</v>
      </c>
      <c r="AA414" s="50" t="n">
        <v>2.6386</v>
      </c>
      <c r="AB414" s="50" t="n">
        <v>4.5171</v>
      </c>
    </row>
    <row r="415">
      <c r="A415" s="49" t="n">
        <v>45825</v>
      </c>
      <c r="B415" s="50" t="n">
        <v>7.1746</v>
      </c>
      <c r="C415" s="50" t="n">
        <v>8.293200000000001</v>
      </c>
      <c r="D415" s="50" t="n">
        <v>0.049612</v>
      </c>
      <c r="E415" s="50" t="n">
        <v>0.9140200000000001</v>
      </c>
      <c r="F415" s="50" t="n">
        <v>9.7423</v>
      </c>
      <c r="G415" s="50" t="n">
        <v>4.6782</v>
      </c>
      <c r="H415" s="50" t="n">
        <v>4.3481</v>
      </c>
      <c r="I415" s="50" t="n">
        <v>5.6053</v>
      </c>
      <c r="J415" s="50" t="n">
        <v>8.822100000000001</v>
      </c>
      <c r="K415" s="50" t="n">
        <v>5.2902</v>
      </c>
      <c r="L415" s="50" t="n">
        <v>1.1269</v>
      </c>
      <c r="M415" s="50" t="n">
        <v>0.5909</v>
      </c>
      <c r="N415" s="50" t="n">
        <v>10.9502</v>
      </c>
      <c r="O415" s="50" t="n">
        <v>2.48</v>
      </c>
      <c r="R415" s="50" t="n">
        <v>189.33</v>
      </c>
      <c r="S415" s="50" t="n">
        <v>0.51179</v>
      </c>
      <c r="T415" s="50" t="n">
        <v>0.52263</v>
      </c>
      <c r="U415" s="50" t="n">
        <v>48.5064</v>
      </c>
      <c r="V415" s="50" t="n">
        <v>0.5149</v>
      </c>
      <c r="W415" s="50" t="n">
        <v>0.8992</v>
      </c>
      <c r="X415" s="50" t="n">
        <v>1.3217</v>
      </c>
      <c r="Y415" s="50" t="n">
        <v>1.3803</v>
      </c>
      <c r="Z415" s="50" t="n">
        <v>5.48503</v>
      </c>
      <c r="AA415" s="50" t="n">
        <v>2.6351</v>
      </c>
      <c r="AB415" s="50" t="n">
        <v>4.5204</v>
      </c>
    </row>
    <row r="416">
      <c r="A416" s="49" t="n">
        <v>45826</v>
      </c>
      <c r="B416" s="50" t="n">
        <v>7.1761</v>
      </c>
      <c r="C416" s="50" t="n">
        <v>8.255800000000001</v>
      </c>
      <c r="D416" s="50" t="n">
        <v>0.049456</v>
      </c>
      <c r="E416" s="50" t="n">
        <v>0.91417</v>
      </c>
      <c r="F416" s="50" t="n">
        <v>9.657999999999999</v>
      </c>
      <c r="G416" s="50" t="n">
        <v>4.6594</v>
      </c>
      <c r="H416" s="50" t="n">
        <v>4.3316</v>
      </c>
      <c r="I416" s="50" t="n">
        <v>5.5887</v>
      </c>
      <c r="J416" s="50" t="n">
        <v>8.8043</v>
      </c>
      <c r="K416" s="50" t="n">
        <v>5.2568</v>
      </c>
      <c r="L416" s="50" t="n">
        <v>1.1284</v>
      </c>
      <c r="M416" s="50" t="n">
        <v>0.59084</v>
      </c>
      <c r="N416" s="50" t="n">
        <v>10.9301</v>
      </c>
      <c r="O416" s="50" t="n">
        <v>2.505</v>
      </c>
      <c r="R416" s="50" t="n">
        <v>191.5</v>
      </c>
      <c r="S416" s="50" t="n">
        <v>0.51085</v>
      </c>
      <c r="T416" s="50" t="n">
        <v>0.52164</v>
      </c>
      <c r="U416" s="50" t="n">
        <v>48.9282</v>
      </c>
      <c r="V416" s="50" t="n">
        <v>0.5179</v>
      </c>
      <c r="W416" s="50" t="n">
        <v>0.9032</v>
      </c>
      <c r="X416" s="50" t="n">
        <v>1.3279</v>
      </c>
      <c r="Y416" s="50" t="n">
        <v>1.3815</v>
      </c>
      <c r="Z416" s="50" t="n">
        <v>5.49653</v>
      </c>
      <c r="AA416" s="50" t="n">
        <v>2.6464</v>
      </c>
      <c r="AB416" s="50" t="n">
        <v>4.5305</v>
      </c>
    </row>
    <row r="417">
      <c r="A417" s="49" t="n">
        <v>45827</v>
      </c>
      <c r="B417" s="50" t="n">
        <v>7.1729</v>
      </c>
      <c r="C417" s="50" t="n">
        <v>8.2395</v>
      </c>
      <c r="D417" s="50" t="n">
        <v>0.049547</v>
      </c>
      <c r="E417" s="50" t="n">
        <v>0.91378</v>
      </c>
      <c r="F417" s="50" t="n">
        <v>9.631500000000001</v>
      </c>
      <c r="G417" s="50" t="n">
        <v>4.6717</v>
      </c>
      <c r="H417" s="50" t="n">
        <v>4.3299</v>
      </c>
      <c r="I417" s="50" t="n">
        <v>5.5889</v>
      </c>
      <c r="J417" s="50" t="n">
        <v>8.769500000000001</v>
      </c>
      <c r="K417" s="50" t="n">
        <v>5.2438</v>
      </c>
      <c r="L417" s="50" t="n">
        <v>1.1289</v>
      </c>
      <c r="M417" s="50" t="n">
        <v>0.59154</v>
      </c>
      <c r="N417" s="50" t="n">
        <v>10.9133</v>
      </c>
      <c r="O417" s="50" t="n">
        <v>2.5101</v>
      </c>
      <c r="R417" s="50" t="n">
        <v>191.46</v>
      </c>
      <c r="S417" s="50" t="n">
        <v>0.51129</v>
      </c>
      <c r="T417" s="50" t="n">
        <v>0.5224800000000001</v>
      </c>
      <c r="U417" s="50" t="n">
        <v>48.9</v>
      </c>
      <c r="V417" s="50" t="n">
        <v>0.5184299999999999</v>
      </c>
      <c r="W417" s="50" t="n">
        <v>0.9051</v>
      </c>
      <c r="X417" s="50" t="n">
        <v>1.3426</v>
      </c>
      <c r="Y417" s="50" t="n">
        <v>1.3892</v>
      </c>
      <c r="Z417" s="50" t="n">
        <v>5.50238</v>
      </c>
      <c r="AA417" s="50" t="n">
        <v>2.6493</v>
      </c>
      <c r="AB417" s="50" t="n">
        <v>4.5468</v>
      </c>
    </row>
    <row r="418">
      <c r="A418" s="49" t="n">
        <v>45828</v>
      </c>
      <c r="B418" s="50" t="n">
        <v>7.1695</v>
      </c>
      <c r="C418" s="50" t="n">
        <v>8.260300000000001</v>
      </c>
      <c r="D418" s="50" t="n">
        <v>0.049402</v>
      </c>
      <c r="E418" s="50" t="n">
        <v>0.91333</v>
      </c>
      <c r="F418" s="50" t="n">
        <v>9.6701</v>
      </c>
      <c r="G418" s="50" t="n">
        <v>4.6529</v>
      </c>
      <c r="H418" s="50" t="n">
        <v>4.3054</v>
      </c>
      <c r="I418" s="50" t="n">
        <v>5.5835</v>
      </c>
      <c r="J418" s="50" t="n">
        <v>8.7887</v>
      </c>
      <c r="K418" s="50" t="n">
        <v>5.2392</v>
      </c>
      <c r="L418" s="50" t="n">
        <v>1.1294</v>
      </c>
      <c r="M418" s="50" t="n">
        <v>0.59306</v>
      </c>
      <c r="N418" s="50" t="n">
        <v>10.9105</v>
      </c>
      <c r="O418" s="50" t="n">
        <v>2.5154</v>
      </c>
      <c r="R418" s="50" t="n">
        <v>191.46</v>
      </c>
      <c r="S418" s="50" t="n">
        <v>0.51178</v>
      </c>
      <c r="T418" s="50" t="n">
        <v>0.52297</v>
      </c>
      <c r="U418" s="50" t="n">
        <v>48.8134</v>
      </c>
      <c r="V418" s="50" t="n">
        <v>0.51737</v>
      </c>
      <c r="W418" s="50" t="n">
        <v>0.9031</v>
      </c>
      <c r="X418" s="50" t="n">
        <v>1.341</v>
      </c>
      <c r="Y418" s="50" t="n">
        <v>1.3977</v>
      </c>
      <c r="Z418" s="50" t="n">
        <v>5.5238</v>
      </c>
      <c r="AA418" s="50" t="n">
        <v>2.653</v>
      </c>
      <c r="AB418" s="50" t="n">
        <v>4.5596</v>
      </c>
    </row>
    <row r="419">
      <c r="A419" s="49" t="n">
        <v>45831</v>
      </c>
      <c r="B419" s="50" t="n">
        <v>7.171</v>
      </c>
      <c r="C419" s="50" t="n">
        <v>8.2509</v>
      </c>
      <c r="D419" s="50" t="n">
        <v>0.049113</v>
      </c>
      <c r="E419" s="50" t="n">
        <v>0.91352</v>
      </c>
      <c r="F419" s="50" t="n">
        <v>9.6433</v>
      </c>
      <c r="G419" s="50" t="n">
        <v>4.6276</v>
      </c>
      <c r="H419" s="50" t="n">
        <v>4.2827</v>
      </c>
      <c r="I419" s="50" t="n">
        <v>5.5727</v>
      </c>
      <c r="J419" s="50" t="n">
        <v>8.7782</v>
      </c>
      <c r="K419" s="50" t="n">
        <v>5.225</v>
      </c>
      <c r="L419" s="50" t="n">
        <v>1.1287</v>
      </c>
      <c r="M419" s="50" t="n">
        <v>0.59285</v>
      </c>
      <c r="N419" s="50" t="n">
        <v>10.9291</v>
      </c>
      <c r="O419" s="50" t="n">
        <v>2.518</v>
      </c>
      <c r="R419" s="50" t="n">
        <v>191.66</v>
      </c>
      <c r="S419" s="50" t="n">
        <v>0.51142</v>
      </c>
      <c r="T419" s="50" t="n">
        <v>0.52263</v>
      </c>
      <c r="U419" s="50" t="n">
        <v>48.8076</v>
      </c>
      <c r="V419" s="50" t="n">
        <v>0.51773</v>
      </c>
      <c r="W419" s="50" t="n">
        <v>0.9036999999999999</v>
      </c>
      <c r="X419" s="50" t="n">
        <v>1.3498</v>
      </c>
      <c r="Y419" s="50" t="n">
        <v>1.4068</v>
      </c>
      <c r="Z419" s="50" t="n">
        <v>5.53105</v>
      </c>
      <c r="AA419" s="50" t="n">
        <v>2.6793</v>
      </c>
      <c r="AB419" s="50" t="n">
        <v>4.5698</v>
      </c>
    </row>
    <row r="420">
      <c r="A420" s="49" t="n">
        <v>45832</v>
      </c>
      <c r="B420" s="50" t="n">
        <v>7.1656</v>
      </c>
      <c r="C420" s="50" t="n">
        <v>8.310600000000001</v>
      </c>
      <c r="D420" s="50" t="n">
        <v>0.049137</v>
      </c>
      <c r="E420" s="50" t="n">
        <v>0.91283</v>
      </c>
      <c r="F420" s="50" t="n">
        <v>9.7018</v>
      </c>
      <c r="G420" s="50" t="n">
        <v>4.6426</v>
      </c>
      <c r="H420" s="50" t="n">
        <v>4.2938</v>
      </c>
      <c r="I420" s="50" t="n">
        <v>5.5877</v>
      </c>
      <c r="J420" s="50" t="n">
        <v>8.817399999999999</v>
      </c>
      <c r="K420" s="50" t="n">
        <v>5.2194</v>
      </c>
      <c r="L420" s="50" t="n">
        <v>1.1301</v>
      </c>
      <c r="M420" s="50" t="n">
        <v>0.59761</v>
      </c>
      <c r="N420" s="50" t="n">
        <v>10.9442</v>
      </c>
      <c r="O420" s="50" t="n">
        <v>2.4876</v>
      </c>
      <c r="R420" s="50" t="n">
        <v>191.33</v>
      </c>
      <c r="S420" s="50" t="n">
        <v>0.51273</v>
      </c>
      <c r="T420" s="50" t="n">
        <v>0.52385</v>
      </c>
      <c r="U420" s="50" t="n">
        <v>48.4804</v>
      </c>
      <c r="V420" s="50" t="n">
        <v>0.51439</v>
      </c>
      <c r="W420" s="50" t="n">
        <v>0.8975</v>
      </c>
      <c r="X420" s="50" t="n">
        <v>1.3365</v>
      </c>
      <c r="Y420" s="50" t="n">
        <v>1.4057</v>
      </c>
      <c r="Z420" s="50" t="n">
        <v>5.53943</v>
      </c>
      <c r="AA420" s="50" t="n">
        <v>2.6636</v>
      </c>
      <c r="AB420" s="50" t="n">
        <v>4.5752</v>
      </c>
    </row>
    <row r="421">
      <c r="A421" s="49" t="n">
        <v>45833</v>
      </c>
      <c r="B421" s="50" t="n">
        <v>7.1668</v>
      </c>
      <c r="C421" s="50" t="n">
        <v>8.3224</v>
      </c>
      <c r="D421" s="50" t="n">
        <v>0.049481</v>
      </c>
      <c r="E421" s="50" t="n">
        <v>0.91298</v>
      </c>
      <c r="F421" s="50" t="n">
        <v>9.7545</v>
      </c>
      <c r="G421" s="50" t="n">
        <v>4.651</v>
      </c>
      <c r="H421" s="50" t="n">
        <v>4.3073</v>
      </c>
      <c r="I421" s="50" t="n">
        <v>5.6009</v>
      </c>
      <c r="J421" s="50" t="n">
        <v>8.901400000000001</v>
      </c>
      <c r="K421" s="50" t="n">
        <v>5.2206</v>
      </c>
      <c r="L421" s="50" t="n">
        <v>1.1299</v>
      </c>
      <c r="M421" s="50" t="n">
        <v>0.59162</v>
      </c>
      <c r="N421" s="50" t="n">
        <v>10.9172</v>
      </c>
      <c r="O421" s="50" t="n">
        <v>2.4753</v>
      </c>
      <c r="R421" s="50" t="n">
        <v>189.6</v>
      </c>
      <c r="S421" s="50" t="n">
        <v>0.51255</v>
      </c>
      <c r="T421" s="50" t="n">
        <v>0.52356</v>
      </c>
      <c r="U421" s="50" t="n">
        <v>48.2046</v>
      </c>
      <c r="V421" s="50" t="n">
        <v>0.51085</v>
      </c>
      <c r="W421" s="50" t="n">
        <v>0.8963</v>
      </c>
      <c r="X421" s="50" t="n">
        <v>1.3287</v>
      </c>
      <c r="Y421" s="50" t="n">
        <v>1.4118</v>
      </c>
      <c r="Z421" s="50" t="n">
        <v>5.52385</v>
      </c>
      <c r="AA421" s="50" t="n">
        <v>2.6505</v>
      </c>
      <c r="AB421" s="50" t="n">
        <v>4.5544</v>
      </c>
    </row>
    <row r="422">
      <c r="A422" s="49" t="n">
        <v>45834</v>
      </c>
      <c r="B422" s="50" t="n">
        <v>7.162</v>
      </c>
      <c r="C422" s="50" t="n">
        <v>8.3606</v>
      </c>
      <c r="D422" s="50" t="n">
        <v>0.049388</v>
      </c>
      <c r="E422" s="50" t="n">
        <v>0.91254</v>
      </c>
      <c r="F422" s="50" t="n">
        <v>9.7957</v>
      </c>
      <c r="G422" s="50" t="n">
        <v>4.6669</v>
      </c>
      <c r="H422" s="50" t="n">
        <v>4.331</v>
      </c>
      <c r="I422" s="50" t="n">
        <v>5.6055</v>
      </c>
      <c r="J422" s="50" t="n">
        <v>8.9048</v>
      </c>
      <c r="K422" s="50" t="n">
        <v>5.2198</v>
      </c>
      <c r="L422" s="50" t="n">
        <v>1.1297</v>
      </c>
      <c r="M422" s="50" t="n">
        <v>0.59116</v>
      </c>
      <c r="N422" s="50" t="n">
        <v>10.9215</v>
      </c>
      <c r="O422" s="50" t="n">
        <v>2.4748</v>
      </c>
      <c r="R422" s="50" t="n">
        <v>189.71</v>
      </c>
      <c r="S422" s="50" t="n">
        <v>0.51291</v>
      </c>
      <c r="T422" s="50" t="n">
        <v>0.5238</v>
      </c>
      <c r="U422" s="50" t="n">
        <v>47.9292</v>
      </c>
      <c r="V422" s="50" t="n">
        <v>0.50811</v>
      </c>
      <c r="W422" s="50" t="n">
        <v>0.8925</v>
      </c>
      <c r="X422" s="50" t="n">
        <v>1.3225</v>
      </c>
      <c r="Y422" s="50" t="n">
        <v>1.4131</v>
      </c>
      <c r="Z422" s="50" t="n">
        <v>5.55263</v>
      </c>
      <c r="AA422" s="50" t="n">
        <v>2.642</v>
      </c>
      <c r="AB422" s="50" t="n">
        <v>4.5427</v>
      </c>
    </row>
    <row r="423">
      <c r="A423" s="49" t="n">
        <v>45835</v>
      </c>
      <c r="B423" s="50" t="n">
        <v>7.1627</v>
      </c>
      <c r="C423" s="50" t="n">
        <v>8.376799999999999</v>
      </c>
      <c r="D423" s="50" t="n">
        <v>0.049582</v>
      </c>
      <c r="E423" s="50" t="n">
        <v>0.9125</v>
      </c>
      <c r="F423" s="50" t="n">
        <v>9.8345</v>
      </c>
      <c r="G423" s="50" t="n">
        <v>4.6921</v>
      </c>
      <c r="H423" s="50" t="n">
        <v>4.3445</v>
      </c>
      <c r="I423" s="50" t="n">
        <v>5.6201</v>
      </c>
      <c r="J423" s="50" t="n">
        <v>8.944699999999999</v>
      </c>
      <c r="K423" s="50" t="n">
        <v>5.2519</v>
      </c>
      <c r="L423" s="50" t="n">
        <v>1.1288</v>
      </c>
      <c r="M423" s="50" t="n">
        <v>0.58995</v>
      </c>
      <c r="N423" s="50" t="n">
        <v>10.9786</v>
      </c>
      <c r="O423" s="50" t="n">
        <v>2.4925</v>
      </c>
      <c r="R423" s="50" t="n">
        <v>189.24</v>
      </c>
      <c r="S423" s="50" t="n">
        <v>0.51264</v>
      </c>
      <c r="T423" s="50" t="n">
        <v>0.52355</v>
      </c>
      <c r="U423" s="50" t="n">
        <v>47.7173</v>
      </c>
      <c r="V423" s="50" t="n">
        <v>0.50617</v>
      </c>
      <c r="W423" s="50" t="n">
        <v>0.8907</v>
      </c>
      <c r="X423" s="50" t="n">
        <v>1.3266</v>
      </c>
      <c r="Y423" s="50" t="n">
        <v>1.4075</v>
      </c>
      <c r="Z423" s="50" t="n">
        <v>5.55784</v>
      </c>
      <c r="AA423" s="50" t="n">
        <v>2.6355</v>
      </c>
      <c r="AB423" s="50" t="n">
        <v>4.5349</v>
      </c>
    </row>
    <row r="424">
      <c r="A424" s="49" t="n">
        <v>45838</v>
      </c>
      <c r="B424" s="50" t="n">
        <v>7.1586</v>
      </c>
      <c r="C424" s="50" t="n">
        <v>8.4024</v>
      </c>
      <c r="D424" s="50" t="n">
        <v>0.049594</v>
      </c>
      <c r="E424" s="50" t="n">
        <v>0.91195</v>
      </c>
      <c r="F424" s="50" t="n">
        <v>9.83</v>
      </c>
      <c r="G424" s="50" t="n">
        <v>4.6817</v>
      </c>
      <c r="H424" s="50" t="n">
        <v>4.3475</v>
      </c>
      <c r="I424" s="50" t="n">
        <v>5.6179</v>
      </c>
      <c r="J424" s="50" t="n">
        <v>8.972099999999999</v>
      </c>
      <c r="K424" s="50" t="n">
        <v>5.2358</v>
      </c>
      <c r="L424" s="50" t="n">
        <v>1.1303</v>
      </c>
      <c r="M424" s="50" t="n">
        <v>0.58996</v>
      </c>
      <c r="N424" s="50" t="n">
        <v>10.9558</v>
      </c>
      <c r="O424" s="50" t="n">
        <v>2.4807</v>
      </c>
      <c r="R424" s="50" t="n">
        <v>190</v>
      </c>
      <c r="S424" s="50" t="n">
        <v>0.51259</v>
      </c>
      <c r="T424" s="50" t="n">
        <v>0.52343</v>
      </c>
      <c r="U424" s="50" t="n">
        <v>47.4761</v>
      </c>
      <c r="V424" s="50" t="n">
        <v>0.5043800000000001</v>
      </c>
      <c r="W424" s="50" t="n">
        <v>0.8879</v>
      </c>
      <c r="X424" s="50" t="n">
        <v>1.3213</v>
      </c>
      <c r="Y424" s="50" t="n">
        <v>1.4053</v>
      </c>
      <c r="Z424" s="50" t="n">
        <v>5.56613</v>
      </c>
      <c r="AA424" s="50" t="n">
        <v>2.6255</v>
      </c>
      <c r="AB424" s="50" t="n">
        <v>4.552</v>
      </c>
    </row>
    <row r="425">
      <c r="A425" s="49" t="n">
        <v>45839</v>
      </c>
      <c r="B425" s="50" t="n">
        <v>7.1534</v>
      </c>
      <c r="C425" s="50" t="n">
        <v>8.4305</v>
      </c>
      <c r="D425" s="50" t="n">
        <v>0.049738</v>
      </c>
      <c r="E425" s="50" t="n">
        <v>0.91126</v>
      </c>
      <c r="F425" s="50" t="n">
        <v>9.819699999999999</v>
      </c>
      <c r="G425" s="50" t="n">
        <v>4.7036</v>
      </c>
      <c r="H425" s="50" t="n">
        <v>4.3568</v>
      </c>
      <c r="I425" s="50" t="n">
        <v>5.6287</v>
      </c>
      <c r="J425" s="50" t="n">
        <v>9.0181</v>
      </c>
      <c r="K425" s="50" t="n">
        <v>5.2557</v>
      </c>
      <c r="L425" s="50" t="n">
        <v>1.1311</v>
      </c>
      <c r="M425" s="50" t="n">
        <v>0.58727</v>
      </c>
      <c r="N425" s="50" t="n">
        <v>10.9342</v>
      </c>
      <c r="O425" s="50" t="n">
        <v>2.4773</v>
      </c>
      <c r="R425" s="50" t="n">
        <v>188.94</v>
      </c>
      <c r="S425" s="50" t="n">
        <v>0.51372</v>
      </c>
      <c r="T425" s="50" t="n">
        <v>0.52445</v>
      </c>
      <c r="U425" s="50" t="n">
        <v>47.3708</v>
      </c>
      <c r="V425" s="50" t="n">
        <v>0.50327</v>
      </c>
      <c r="W425" s="50" t="n">
        <v>0.8851</v>
      </c>
      <c r="X425" s="50" t="n">
        <v>1.3226</v>
      </c>
      <c r="Y425" s="50" t="n">
        <v>1.4094</v>
      </c>
      <c r="Z425" s="50" t="n">
        <v>5.56897</v>
      </c>
      <c r="AA425" s="50" t="n">
        <v>2.622</v>
      </c>
      <c r="AB425" s="50" t="n">
        <v>4.5341</v>
      </c>
    </row>
    <row r="426">
      <c r="A426" s="49" t="n">
        <v>45840</v>
      </c>
      <c r="B426" s="50" t="n">
        <v>7.1546</v>
      </c>
      <c r="C426" s="50" t="n">
        <v>8.4451</v>
      </c>
      <c r="D426" s="50" t="n">
        <v>0.049905</v>
      </c>
      <c r="E426" s="50" t="n">
        <v>0.91146</v>
      </c>
      <c r="F426" s="50" t="n">
        <v>9.836</v>
      </c>
      <c r="G426" s="50" t="n">
        <v>4.7097</v>
      </c>
      <c r="H426" s="50" t="n">
        <v>4.3674</v>
      </c>
      <c r="I426" s="50" t="n">
        <v>5.623</v>
      </c>
      <c r="J426" s="50" t="n">
        <v>9.0494</v>
      </c>
      <c r="K426" s="50" t="n">
        <v>5.245</v>
      </c>
      <c r="L426" s="50" t="n">
        <v>1.1309</v>
      </c>
      <c r="M426" s="50" t="n">
        <v>0.58652</v>
      </c>
      <c r="N426" s="50" t="n">
        <v>10.9583</v>
      </c>
      <c r="O426" s="50" t="n">
        <v>2.4602</v>
      </c>
      <c r="R426" s="50" t="n">
        <v>189.62</v>
      </c>
      <c r="S426" s="50" t="n">
        <v>0.51324</v>
      </c>
      <c r="T426" s="50" t="n">
        <v>0.52407</v>
      </c>
      <c r="U426" s="50" t="n">
        <v>47.2715</v>
      </c>
      <c r="V426" s="50" t="n">
        <v>0.50287</v>
      </c>
      <c r="W426" s="50" t="n">
        <v>0.8834</v>
      </c>
      <c r="X426" s="50" t="n">
        <v>1.3244</v>
      </c>
      <c r="Y426" s="50" t="n">
        <v>1.4072</v>
      </c>
      <c r="Z426" s="50" t="n">
        <v>5.56523</v>
      </c>
      <c r="AA426" s="50" t="n">
        <v>2.6189</v>
      </c>
      <c r="AB426" s="50" t="n">
        <v>4.5317</v>
      </c>
    </row>
    <row r="427">
      <c r="A427" s="49" t="n">
        <v>45841</v>
      </c>
      <c r="B427" s="50" t="n">
        <v>7.1523</v>
      </c>
      <c r="C427" s="50" t="n">
        <v>8.446300000000001</v>
      </c>
      <c r="D427" s="50" t="n">
        <v>0.049861</v>
      </c>
      <c r="E427" s="50" t="n">
        <v>0.9111399999999999</v>
      </c>
      <c r="F427" s="50" t="n">
        <v>9.769600000000001</v>
      </c>
      <c r="G427" s="50" t="n">
        <v>4.7119</v>
      </c>
      <c r="H427" s="50" t="n">
        <v>4.3591</v>
      </c>
      <c r="I427" s="50" t="n">
        <v>5.6229</v>
      </c>
      <c r="J427" s="50" t="n">
        <v>9.040800000000001</v>
      </c>
      <c r="K427" s="50" t="n">
        <v>5.2684</v>
      </c>
      <c r="L427" s="50" t="n">
        <v>1.1313</v>
      </c>
      <c r="M427" s="50" t="n">
        <v>0.59029</v>
      </c>
      <c r="N427" s="50" t="n">
        <v>11.023</v>
      </c>
      <c r="O427" s="50" t="n">
        <v>2.4535</v>
      </c>
      <c r="R427" s="50" t="n">
        <v>189.36</v>
      </c>
      <c r="S427" s="50" t="n">
        <v>0.51313</v>
      </c>
      <c r="T427" s="50" t="n">
        <v>0.52394</v>
      </c>
      <c r="U427" s="50" t="n">
        <v>47.3793</v>
      </c>
      <c r="V427" s="50" t="n">
        <v>0.5047700000000001</v>
      </c>
      <c r="W427" s="50" t="n">
        <v>0.8834</v>
      </c>
      <c r="X427" s="50" t="n">
        <v>1.3294</v>
      </c>
      <c r="Y427" s="50" t="n">
        <v>1.4058</v>
      </c>
      <c r="Z427" s="50" t="n">
        <v>5.57531</v>
      </c>
      <c r="AA427" s="50" t="n">
        <v>2.6244</v>
      </c>
      <c r="AB427" s="50" t="n">
        <v>4.5187</v>
      </c>
    </row>
    <row r="428">
      <c r="A428" s="49" t="n">
        <v>45842</v>
      </c>
      <c r="B428" s="50" t="n">
        <v>7.1535</v>
      </c>
      <c r="C428" s="50" t="n">
        <v>8.422800000000001</v>
      </c>
      <c r="D428" s="50" t="n">
        <v>0.049468</v>
      </c>
      <c r="E428" s="50" t="n">
        <v>0.9115</v>
      </c>
      <c r="F428" s="50" t="n">
        <v>9.7836</v>
      </c>
      <c r="G428" s="50" t="n">
        <v>4.7103</v>
      </c>
      <c r="H428" s="50" t="n">
        <v>4.3538</v>
      </c>
      <c r="I428" s="50" t="n">
        <v>5.618</v>
      </c>
      <c r="J428" s="50" t="n">
        <v>9.014200000000001</v>
      </c>
      <c r="K428" s="50" t="n">
        <v>5.2751</v>
      </c>
      <c r="L428" s="50" t="n">
        <v>1.1309</v>
      </c>
      <c r="M428" s="50" t="n">
        <v>0.59029</v>
      </c>
      <c r="N428" s="50" t="n">
        <v>11.0292</v>
      </c>
      <c r="O428" s="50" t="n">
        <v>2.4452</v>
      </c>
      <c r="R428" s="50" t="n">
        <v>190.61</v>
      </c>
      <c r="S428" s="50" t="n">
        <v>0.51284</v>
      </c>
      <c r="T428" s="50" t="n">
        <v>0.52362</v>
      </c>
      <c r="U428" s="50" t="n">
        <v>47.3276</v>
      </c>
      <c r="V428" s="50" t="n">
        <v>0.50343</v>
      </c>
      <c r="W428" s="50" t="n">
        <v>0.8855</v>
      </c>
      <c r="X428" s="50" t="n">
        <v>1.3364</v>
      </c>
      <c r="Y428" s="50" t="n">
        <v>1.403</v>
      </c>
      <c r="Z428" s="50" t="n">
        <v>5.5602</v>
      </c>
      <c r="AA428" s="50" t="n">
        <v>2.6046</v>
      </c>
      <c r="AB428" s="50" t="n">
        <v>4.5265</v>
      </c>
    </row>
    <row r="429">
      <c r="A429" s="49" t="n">
        <v>45845</v>
      </c>
      <c r="B429" s="50" t="n">
        <v>7.1506</v>
      </c>
      <c r="C429" s="50" t="n">
        <v>8.4292</v>
      </c>
      <c r="D429" s="50" t="n">
        <v>0.049545</v>
      </c>
      <c r="E429" s="50" t="n">
        <v>0.91092</v>
      </c>
      <c r="F429" s="50" t="n">
        <v>9.768800000000001</v>
      </c>
      <c r="G429" s="50" t="n">
        <v>4.6863</v>
      </c>
      <c r="H429" s="50" t="n">
        <v>4.3304</v>
      </c>
      <c r="I429" s="50" t="n">
        <v>5.6167</v>
      </c>
      <c r="J429" s="50" t="n">
        <v>9.010999999999999</v>
      </c>
      <c r="K429" s="50" t="n">
        <v>5.261</v>
      </c>
      <c r="L429" s="50" t="n">
        <v>1.1312</v>
      </c>
      <c r="M429" s="50" t="n">
        <v>0.58924</v>
      </c>
      <c r="N429" s="50" t="n">
        <v>10.9917</v>
      </c>
      <c r="O429" s="50" t="n">
        <v>2.4579</v>
      </c>
      <c r="R429" s="50" t="n">
        <v>190.51</v>
      </c>
      <c r="S429" s="50" t="n">
        <v>0.51319</v>
      </c>
      <c r="T429" s="50" t="n">
        <v>0.524</v>
      </c>
      <c r="U429" s="50" t="n">
        <v>47.2462</v>
      </c>
      <c r="V429" s="50" t="n">
        <v>0.503</v>
      </c>
      <c r="W429" s="50" t="n">
        <v>0.8849</v>
      </c>
      <c r="X429" s="50" t="n">
        <v>1.3355</v>
      </c>
      <c r="Y429" s="50" t="n">
        <v>1.4059</v>
      </c>
      <c r="Z429" s="50" t="n">
        <v>5.57759</v>
      </c>
      <c r="AA429" s="50" t="n">
        <v>2.6002</v>
      </c>
      <c r="AB429" s="50" t="n">
        <v>4.5227</v>
      </c>
    </row>
    <row r="430">
      <c r="A430" s="49" t="n">
        <v>45846</v>
      </c>
      <c r="B430" s="50" t="n">
        <v>7.1534</v>
      </c>
      <c r="C430" s="50" t="n">
        <v>8.411</v>
      </c>
      <c r="D430" s="50" t="n">
        <v>0.049114</v>
      </c>
      <c r="E430" s="50" t="n">
        <v>0.91128</v>
      </c>
      <c r="F430" s="50" t="n">
        <v>9.7654</v>
      </c>
      <c r="G430" s="50" t="n">
        <v>4.6637</v>
      </c>
      <c r="H430" s="50" t="n">
        <v>4.3091</v>
      </c>
      <c r="I430" s="50" t="n">
        <v>5.6029</v>
      </c>
      <c r="J430" s="50" t="n">
        <v>8.9924</v>
      </c>
      <c r="K430" s="50" t="n">
        <v>5.2462</v>
      </c>
      <c r="L430" s="50" t="n">
        <v>1.1308</v>
      </c>
      <c r="M430" s="50" t="n">
        <v>0.59163</v>
      </c>
      <c r="N430" s="50" t="n">
        <v>10.9654</v>
      </c>
      <c r="O430" s="50" t="n">
        <v>2.4915</v>
      </c>
      <c r="R430" s="50" t="n">
        <v>191.46</v>
      </c>
      <c r="S430" s="50" t="n">
        <v>0.5124300000000001</v>
      </c>
      <c r="T430" s="50" t="n">
        <v>0.52322</v>
      </c>
      <c r="U430" s="50" t="n">
        <v>47.5549</v>
      </c>
      <c r="V430" s="50" t="n">
        <v>0.50525</v>
      </c>
      <c r="W430" s="50" t="n">
        <v>0.8864</v>
      </c>
      <c r="X430" s="50" t="n">
        <v>1.3267</v>
      </c>
      <c r="Y430" s="50" t="n">
        <v>1.4096</v>
      </c>
      <c r="Z430" s="50" t="n">
        <v>5.57923</v>
      </c>
      <c r="AA430" s="50" t="n">
        <v>2.6038</v>
      </c>
      <c r="AB430" s="50" t="n">
        <v>4.5479</v>
      </c>
    </row>
    <row r="431">
      <c r="A431" s="49" t="n">
        <v>45847</v>
      </c>
      <c r="B431" s="50" t="n">
        <v>7.1541</v>
      </c>
      <c r="C431" s="50" t="n">
        <v>8.396599999999999</v>
      </c>
      <c r="D431" s="50" t="n">
        <v>0.048826</v>
      </c>
      <c r="E431" s="50" t="n">
        <v>0.9113599999999999</v>
      </c>
      <c r="F431" s="50" t="n">
        <v>9.732699999999999</v>
      </c>
      <c r="G431" s="50" t="n">
        <v>4.6775</v>
      </c>
      <c r="H431" s="50" t="n">
        <v>4.2977</v>
      </c>
      <c r="I431" s="50" t="n">
        <v>5.5958</v>
      </c>
      <c r="J431" s="50" t="n">
        <v>8.9968</v>
      </c>
      <c r="K431" s="50" t="n">
        <v>5.2418</v>
      </c>
      <c r="L431" s="50" t="n">
        <v>1.1307</v>
      </c>
      <c r="M431" s="50" t="n">
        <v>0.5923</v>
      </c>
      <c r="N431" s="50" t="n">
        <v>10.9324</v>
      </c>
      <c r="O431" s="50" t="n">
        <v>2.4822</v>
      </c>
      <c r="R431" s="50" t="n">
        <v>191.44</v>
      </c>
      <c r="S431" s="50" t="n">
        <v>0.51257</v>
      </c>
      <c r="T431" s="50" t="n">
        <v>0.52346</v>
      </c>
      <c r="U431" s="50" t="n">
        <v>47.6361</v>
      </c>
      <c r="V431" s="50" t="n">
        <v>0.50527</v>
      </c>
      <c r="W431" s="50" t="n">
        <v>0.8878</v>
      </c>
      <c r="X431" s="50" t="n">
        <v>1.3295</v>
      </c>
      <c r="Y431" s="50" t="n">
        <v>1.4079</v>
      </c>
      <c r="Z431" s="50" t="n">
        <v>5.58703</v>
      </c>
      <c r="AA431" s="50" t="n">
        <v>2.5991</v>
      </c>
      <c r="AB431" s="50" t="n">
        <v>4.5446</v>
      </c>
    </row>
    <row r="432">
      <c r="A432" s="49" t="n">
        <v>45848</v>
      </c>
      <c r="B432" s="50" t="n">
        <v>7.151</v>
      </c>
      <c r="C432" s="50" t="n">
        <v>8.401</v>
      </c>
      <c r="D432" s="50" t="n">
        <v>0.049046</v>
      </c>
      <c r="E432" s="50" t="n">
        <v>0.91096</v>
      </c>
      <c r="F432" s="50" t="n">
        <v>9.735099999999999</v>
      </c>
      <c r="G432" s="50" t="n">
        <v>4.6821</v>
      </c>
      <c r="H432" s="50" t="n">
        <v>4.2998</v>
      </c>
      <c r="I432" s="50" t="n">
        <v>5.5954</v>
      </c>
      <c r="J432" s="50" t="n">
        <v>9.028499999999999</v>
      </c>
      <c r="K432" s="50" t="n">
        <v>5.2328</v>
      </c>
      <c r="L432" s="50" t="n">
        <v>1.1315</v>
      </c>
      <c r="M432" s="50" t="n">
        <v>0.5927</v>
      </c>
      <c r="N432" s="50" t="n">
        <v>10.8874</v>
      </c>
      <c r="O432" s="50" t="n">
        <v>2.4867</v>
      </c>
      <c r="R432" s="50" t="n">
        <v>191.4</v>
      </c>
      <c r="S432" s="50" t="n">
        <v>0.5128</v>
      </c>
      <c r="T432" s="50" t="n">
        <v>0.52372</v>
      </c>
      <c r="U432" s="50" t="n">
        <v>47.5414</v>
      </c>
      <c r="V432" s="50" t="n">
        <v>0.50478</v>
      </c>
      <c r="W432" s="50" t="n">
        <v>0.8875999999999999</v>
      </c>
      <c r="X432" s="50" t="n">
        <v>1.3268</v>
      </c>
      <c r="Y432" s="50" t="n">
        <v>1.4076</v>
      </c>
      <c r="Z432" s="50" t="n">
        <v>5.58945</v>
      </c>
      <c r="AA432" s="50" t="n">
        <v>2.601</v>
      </c>
      <c r="AB432" s="50" t="n">
        <v>4.5522</v>
      </c>
    </row>
    <row r="433">
      <c r="A433" s="49" t="n">
        <v>45849</v>
      </c>
      <c r="B433" s="50" t="n">
        <v>7.1475</v>
      </c>
      <c r="C433" s="50" t="n">
        <v>8.3697</v>
      </c>
      <c r="D433" s="50" t="n">
        <v>0.048981</v>
      </c>
      <c r="E433" s="50" t="n">
        <v>0.91054</v>
      </c>
      <c r="F433" s="50" t="n">
        <v>9.7142</v>
      </c>
      <c r="G433" s="50" t="n">
        <v>4.7156</v>
      </c>
      <c r="H433" s="50" t="n">
        <v>4.3225</v>
      </c>
      <c r="I433" s="50" t="n">
        <v>5.5933</v>
      </c>
      <c r="J433" s="50" t="n">
        <v>8.985900000000001</v>
      </c>
      <c r="K433" s="50" t="n">
        <v>5.2391</v>
      </c>
      <c r="L433" s="50" t="n">
        <v>1.132</v>
      </c>
      <c r="M433" s="50" t="n">
        <v>0.59359</v>
      </c>
      <c r="N433" s="50" t="n">
        <v>10.8324</v>
      </c>
      <c r="O433" s="50" t="n">
        <v>2.4779</v>
      </c>
      <c r="R433" s="50" t="n">
        <v>191.66</v>
      </c>
      <c r="S433" s="50" t="n">
        <v>0.5131</v>
      </c>
      <c r="T433" s="50" t="n">
        <v>0.52399</v>
      </c>
      <c r="U433" s="50" t="n">
        <v>47.5949</v>
      </c>
      <c r="V433" s="50" t="n">
        <v>0.50734</v>
      </c>
      <c r="W433" s="50" t="n">
        <v>0.8907</v>
      </c>
      <c r="X433" s="50" t="n">
        <v>1.328</v>
      </c>
      <c r="Y433" s="50" t="n">
        <v>1.4083</v>
      </c>
      <c r="Z433" s="50" t="n">
        <v>5.60773</v>
      </c>
      <c r="AA433" s="50" t="n">
        <v>2.5996</v>
      </c>
      <c r="AB433" s="50" t="n">
        <v>4.5516</v>
      </c>
    </row>
    <row r="434">
      <c r="A434" s="49" t="n">
        <v>45852</v>
      </c>
      <c r="B434" s="50" t="n">
        <v>7.1491</v>
      </c>
      <c r="C434" s="50" t="n">
        <v>8.361000000000001</v>
      </c>
      <c r="D434" s="50" t="n">
        <v>0.048659</v>
      </c>
      <c r="E434" s="50" t="n">
        <v>0.91072</v>
      </c>
      <c r="F434" s="50" t="n">
        <v>9.666499999999999</v>
      </c>
      <c r="G434" s="50" t="n">
        <v>4.7127</v>
      </c>
      <c r="H434" s="50" t="n">
        <v>4.3047</v>
      </c>
      <c r="I434" s="50" t="n">
        <v>5.5928</v>
      </c>
      <c r="J434" s="50" t="n">
        <v>8.991899999999999</v>
      </c>
      <c r="K434" s="50" t="n">
        <v>5.2349</v>
      </c>
      <c r="L434" s="50" t="n">
        <v>1.1318</v>
      </c>
      <c r="M434" s="50" t="n">
        <v>0.59388</v>
      </c>
      <c r="N434" s="50" t="n">
        <v>10.8731</v>
      </c>
      <c r="O434" s="50" t="n">
        <v>2.505</v>
      </c>
      <c r="R434" s="50" t="n">
        <v>192.07</v>
      </c>
      <c r="S434" s="50" t="n">
        <v>0.51285</v>
      </c>
      <c r="T434" s="50" t="n">
        <v>0.52358</v>
      </c>
      <c r="U434" s="50" t="n">
        <v>47.8401</v>
      </c>
      <c r="V434" s="50" t="n">
        <v>0.51008</v>
      </c>
      <c r="W434" s="50" t="n">
        <v>0.8914</v>
      </c>
      <c r="X434" s="50" t="n">
        <v>1.3361</v>
      </c>
      <c r="Y434" s="50" t="n">
        <v>1.4144</v>
      </c>
      <c r="Z434" s="50" t="n">
        <v>5.6122</v>
      </c>
      <c r="AA434" s="50" t="n">
        <v>2.6084</v>
      </c>
      <c r="AB434" s="50" t="n">
        <v>4.5222</v>
      </c>
    </row>
    <row r="435">
      <c r="A435" s="49" t="n">
        <v>45853</v>
      </c>
      <c r="B435" s="50" t="n">
        <v>7.1498</v>
      </c>
      <c r="C435" s="50" t="n">
        <v>8.353400000000001</v>
      </c>
      <c r="D435" s="50" t="n">
        <v>0.048468</v>
      </c>
      <c r="E435" s="50" t="n">
        <v>0.91081</v>
      </c>
      <c r="F435" s="50" t="n">
        <v>9.6212</v>
      </c>
      <c r="G435" s="50" t="n">
        <v>4.6879</v>
      </c>
      <c r="H435" s="50" t="n">
        <v>4.2808</v>
      </c>
      <c r="I435" s="50" t="n">
        <v>5.5838</v>
      </c>
      <c r="J435" s="50" t="n">
        <v>8.976800000000001</v>
      </c>
      <c r="K435" s="50" t="n">
        <v>5.2264</v>
      </c>
      <c r="L435" s="50" t="n">
        <v>1.1314</v>
      </c>
      <c r="M435" s="50" t="n">
        <v>0.5941</v>
      </c>
      <c r="N435" s="50" t="n">
        <v>10.8846</v>
      </c>
      <c r="O435" s="50" t="n">
        <v>2.5006</v>
      </c>
      <c r="R435" s="50" t="n">
        <v>192.98</v>
      </c>
      <c r="S435" s="50" t="n">
        <v>0.51284</v>
      </c>
      <c r="T435" s="50" t="n">
        <v>0.52367</v>
      </c>
      <c r="U435" s="50" t="n">
        <v>47.8701</v>
      </c>
      <c r="V435" s="50" t="n">
        <v>0.50951</v>
      </c>
      <c r="W435" s="50" t="n">
        <v>0.8928</v>
      </c>
      <c r="X435" s="50" t="n">
        <v>1.342</v>
      </c>
      <c r="Y435" s="50" t="n">
        <v>1.4136</v>
      </c>
      <c r="Z435" s="50" t="n">
        <v>5.61593</v>
      </c>
      <c r="AA435" s="50" t="n">
        <v>2.6191</v>
      </c>
      <c r="AB435" s="50" t="n">
        <v>4.5287</v>
      </c>
    </row>
    <row r="436">
      <c r="A436" s="49" t="n">
        <v>45854</v>
      </c>
      <c r="B436" s="50" t="n">
        <v>7.1526</v>
      </c>
      <c r="C436" s="50" t="n">
        <v>8.3157</v>
      </c>
      <c r="D436" s="50" t="n">
        <v>0.048134</v>
      </c>
      <c r="E436" s="50" t="n">
        <v>0.91121</v>
      </c>
      <c r="F436" s="50" t="n">
        <v>9.594799999999999</v>
      </c>
      <c r="G436" s="50" t="n">
        <v>4.6733</v>
      </c>
      <c r="H436" s="50" t="n">
        <v>4.2721</v>
      </c>
      <c r="I436" s="50" t="n">
        <v>5.5757</v>
      </c>
      <c r="J436" s="50" t="n">
        <v>8.9373</v>
      </c>
      <c r="K436" s="50" t="n">
        <v>5.2242</v>
      </c>
      <c r="L436" s="50" t="n">
        <v>1.1309</v>
      </c>
      <c r="M436" s="50" t="n">
        <v>0.59275</v>
      </c>
      <c r="N436" s="50" t="n">
        <v>10.8657</v>
      </c>
      <c r="O436" s="50" t="n">
        <v>2.4987</v>
      </c>
      <c r="R436" s="50" t="n">
        <v>193.31</v>
      </c>
      <c r="S436" s="50" t="n">
        <v>0.51253</v>
      </c>
      <c r="T436" s="50" t="n">
        <v>0.52323</v>
      </c>
      <c r="U436" s="50" t="n">
        <v>48.1518</v>
      </c>
      <c r="V436" s="50" t="n">
        <v>0.5127699999999999</v>
      </c>
      <c r="W436" s="50" t="n">
        <v>0.8962</v>
      </c>
      <c r="X436" s="50" t="n">
        <v>1.3547</v>
      </c>
      <c r="Y436" s="50" t="n">
        <v>1.4286</v>
      </c>
      <c r="Z436" s="50" t="n">
        <v>5.61425</v>
      </c>
      <c r="AA436" s="50" t="n">
        <v>2.6264</v>
      </c>
      <c r="AB436" s="50" t="n">
        <v>4.5346</v>
      </c>
    </row>
    <row r="437">
      <c r="A437" s="49" t="n">
        <v>45855</v>
      </c>
      <c r="B437" s="50" t="n">
        <v>7.1461</v>
      </c>
      <c r="C437" s="50" t="n">
        <v>8.3207</v>
      </c>
      <c r="D437" s="50" t="n">
        <v>0.048406</v>
      </c>
      <c r="E437" s="50" t="n">
        <v>0.91035</v>
      </c>
      <c r="F437" s="50" t="n">
        <v>9.5953</v>
      </c>
      <c r="G437" s="50" t="n">
        <v>4.6658</v>
      </c>
      <c r="H437" s="50" t="n">
        <v>4.2525</v>
      </c>
      <c r="I437" s="50" t="n">
        <v>5.5802</v>
      </c>
      <c r="J437" s="50" t="n">
        <v>8.9314</v>
      </c>
      <c r="K437" s="50" t="n">
        <v>5.2274</v>
      </c>
      <c r="L437" s="50" t="n">
        <v>1.132</v>
      </c>
      <c r="M437" s="50" t="n">
        <v>0.59314</v>
      </c>
      <c r="N437" s="50" t="n">
        <v>10.9057</v>
      </c>
      <c r="O437" s="50" t="n">
        <v>2.4924</v>
      </c>
      <c r="R437" s="50" t="n">
        <v>193.83</v>
      </c>
      <c r="S437" s="50" t="n">
        <v>0.51323</v>
      </c>
      <c r="T437" s="50" t="n">
        <v>0.52406</v>
      </c>
      <c r="U437" s="50" t="n">
        <v>47.9756</v>
      </c>
      <c r="V437" s="50" t="n">
        <v>0.51079</v>
      </c>
      <c r="W437" s="50" t="n">
        <v>0.8971</v>
      </c>
      <c r="X437" s="50" t="n">
        <v>1.359</v>
      </c>
      <c r="Y437" s="50" t="n">
        <v>1.433</v>
      </c>
      <c r="Z437" s="50" t="n">
        <v>5.62195</v>
      </c>
      <c r="AA437" s="50" t="n">
        <v>2.6164</v>
      </c>
      <c r="AB437" s="50" t="n">
        <v>4.5332</v>
      </c>
    </row>
    <row r="438">
      <c r="A438" s="49" t="n">
        <v>45856</v>
      </c>
      <c r="B438" s="50" t="n">
        <v>7.1498</v>
      </c>
      <c r="C438" s="50" t="n">
        <v>8.315099999999999</v>
      </c>
      <c r="D438" s="50" t="n">
        <v>0.048262</v>
      </c>
      <c r="E438" s="50" t="n">
        <v>0.91092</v>
      </c>
      <c r="F438" s="50" t="n">
        <v>9.6149</v>
      </c>
      <c r="G438" s="50" t="n">
        <v>4.6527</v>
      </c>
      <c r="H438" s="50" t="n">
        <v>4.2582</v>
      </c>
      <c r="I438" s="50" t="n">
        <v>5.5692</v>
      </c>
      <c r="J438" s="50" t="n">
        <v>8.9175</v>
      </c>
      <c r="K438" s="50" t="n">
        <v>5.2104</v>
      </c>
      <c r="L438" s="50" t="n">
        <v>1.1313</v>
      </c>
      <c r="M438" s="50" t="n">
        <v>0.59327</v>
      </c>
      <c r="N438" s="50" t="n">
        <v>10.8817</v>
      </c>
      <c r="O438" s="50" t="n">
        <v>2.4898</v>
      </c>
      <c r="R438" s="50" t="n">
        <v>194.15</v>
      </c>
      <c r="S438" s="50" t="n">
        <v>0.51312</v>
      </c>
      <c r="T438" s="50" t="n">
        <v>0.52403</v>
      </c>
      <c r="U438" s="50" t="n">
        <v>47.9914</v>
      </c>
      <c r="V438" s="50" t="n">
        <v>0.512</v>
      </c>
      <c r="W438" s="50" t="n">
        <v>0.8977000000000001</v>
      </c>
      <c r="X438" s="50" t="n">
        <v>1.3592</v>
      </c>
      <c r="Y438" s="50" t="n">
        <v>1.4363</v>
      </c>
      <c r="Z438" s="50" t="n">
        <v>5.63285</v>
      </c>
      <c r="AA438" s="50" t="n">
        <v>2.6217</v>
      </c>
      <c r="AB438" s="50" t="n">
        <v>4.5334</v>
      </c>
    </row>
    <row r="439">
      <c r="A439" s="49" t="n">
        <v>45859</v>
      </c>
      <c r="B439" s="50" t="n">
        <v>7.1522</v>
      </c>
      <c r="C439" s="50" t="n">
        <v>8.322800000000001</v>
      </c>
      <c r="D439" s="50" t="n">
        <v>0.048255</v>
      </c>
      <c r="E439" s="50" t="n">
        <v>0.91125</v>
      </c>
      <c r="F439" s="50" t="n">
        <v>9.6022</v>
      </c>
      <c r="G439" s="50" t="n">
        <v>4.6595</v>
      </c>
      <c r="H439" s="50" t="n">
        <v>4.2594</v>
      </c>
      <c r="I439" s="50" t="n">
        <v>5.5717</v>
      </c>
      <c r="J439" s="50" t="n">
        <v>8.930999999999999</v>
      </c>
      <c r="K439" s="50" t="n">
        <v>5.2152</v>
      </c>
      <c r="L439" s="50" t="n">
        <v>1.1311</v>
      </c>
      <c r="M439" s="50" t="n">
        <v>0.59231</v>
      </c>
      <c r="N439" s="50" t="n">
        <v>10.9649</v>
      </c>
      <c r="O439" s="50" t="n">
        <v>2.475</v>
      </c>
      <c r="R439" s="50" t="n">
        <v>194.02</v>
      </c>
      <c r="S439" s="50" t="n">
        <v>0.51296</v>
      </c>
      <c r="T439" s="50" t="n">
        <v>0.52388</v>
      </c>
      <c r="U439" s="50" t="n">
        <v>47.9307</v>
      </c>
      <c r="V439" s="50" t="n">
        <v>0.51003</v>
      </c>
      <c r="W439" s="50" t="n">
        <v>0.897</v>
      </c>
      <c r="X439" s="50" t="n">
        <v>1.3481</v>
      </c>
      <c r="Y439" s="50" t="n">
        <v>1.4207</v>
      </c>
      <c r="Z439" s="50" t="n">
        <v>5.63765</v>
      </c>
      <c r="AA439" s="50" t="n">
        <v>2.6159</v>
      </c>
      <c r="AB439" s="50" t="n">
        <v>4.522</v>
      </c>
    </row>
    <row r="440">
      <c r="A440" s="49" t="n">
        <v>45860</v>
      </c>
      <c r="B440" s="50" t="n">
        <v>7.146</v>
      </c>
      <c r="C440" s="50" t="n">
        <v>8.360099999999999</v>
      </c>
      <c r="D440" s="50" t="n">
        <v>0.048514</v>
      </c>
      <c r="E440" s="50" t="n">
        <v>0.91034</v>
      </c>
      <c r="F440" s="50" t="n">
        <v>9.6449</v>
      </c>
      <c r="G440" s="50" t="n">
        <v>4.6654</v>
      </c>
      <c r="H440" s="50" t="n">
        <v>4.268</v>
      </c>
      <c r="I440" s="50" t="n">
        <v>5.5868</v>
      </c>
      <c r="J440" s="50" t="n">
        <v>8.958</v>
      </c>
      <c r="K440" s="50" t="n">
        <v>5.2282</v>
      </c>
      <c r="L440" s="50" t="n">
        <v>1.1323</v>
      </c>
      <c r="M440" s="50" t="n">
        <v>0.59165</v>
      </c>
      <c r="N440" s="50" t="n">
        <v>10.9124</v>
      </c>
      <c r="O440" s="50" t="n">
        <v>2.463</v>
      </c>
      <c r="R440" s="50" t="n">
        <v>193.25</v>
      </c>
      <c r="S440" s="50" t="n">
        <v>0.5134300000000001</v>
      </c>
      <c r="T440" s="50" t="n">
        <v>0.52447</v>
      </c>
      <c r="U440" s="50" t="n">
        <v>47.716</v>
      </c>
      <c r="V440" s="50" t="n">
        <v>0.5074</v>
      </c>
      <c r="W440" s="50" t="n">
        <v>0.8929</v>
      </c>
      <c r="X440" s="50" t="n">
        <v>1.3388</v>
      </c>
      <c r="Y440" s="50" t="n">
        <v>1.4204</v>
      </c>
      <c r="Z440" s="50" t="n">
        <v>5.64555</v>
      </c>
      <c r="AA440" s="50" t="n">
        <v>2.6108</v>
      </c>
      <c r="AB440" s="50" t="n">
        <v>4.5021</v>
      </c>
    </row>
    <row r="441">
      <c r="A441" s="49" t="n">
        <v>45861</v>
      </c>
      <c r="B441" s="50" t="n">
        <v>7.1414</v>
      </c>
      <c r="C441" s="50" t="n">
        <v>8.391999999999999</v>
      </c>
      <c r="D441" s="50" t="n">
        <v>0.048732</v>
      </c>
      <c r="E441" s="50" t="n">
        <v>0.9097499999999999</v>
      </c>
      <c r="F441" s="50" t="n">
        <v>9.6662</v>
      </c>
      <c r="G441" s="50" t="n">
        <v>4.6844</v>
      </c>
      <c r="H441" s="50" t="n">
        <v>4.2923</v>
      </c>
      <c r="I441" s="50" t="n">
        <v>5.5924</v>
      </c>
      <c r="J441" s="50" t="n">
        <v>9.0105</v>
      </c>
      <c r="K441" s="50" t="n">
        <v>5.2556</v>
      </c>
      <c r="L441" s="50" t="n">
        <v>1.1331</v>
      </c>
      <c r="M441" s="50" t="n">
        <v>0.5914199999999999</v>
      </c>
      <c r="N441" s="50" t="n">
        <v>10.9633</v>
      </c>
      <c r="O441" s="50" t="n">
        <v>2.4573</v>
      </c>
      <c r="R441" s="50" t="n">
        <v>192.89</v>
      </c>
      <c r="S441" s="50" t="n">
        <v>0.5137</v>
      </c>
      <c r="T441" s="50" t="n">
        <v>0.52473</v>
      </c>
      <c r="U441" s="50" t="n">
        <v>47.5309</v>
      </c>
      <c r="V441" s="50" t="n">
        <v>0.50652</v>
      </c>
      <c r="W441" s="50" t="n">
        <v>0.8895999999999999</v>
      </c>
      <c r="X441" s="50" t="n">
        <v>1.3312</v>
      </c>
      <c r="Y441" s="50" t="n">
        <v>1.4089</v>
      </c>
      <c r="Z441" s="50" t="n">
        <v>5.64623</v>
      </c>
      <c r="AA441" s="50" t="n">
        <v>2.6082</v>
      </c>
      <c r="AB441" s="50" t="n">
        <v>4.4972</v>
      </c>
    </row>
    <row r="442">
      <c r="A442" s="49" t="n">
        <v>45862</v>
      </c>
      <c r="B442" s="50" t="n">
        <v>7.1385</v>
      </c>
      <c r="C442" s="50" t="n">
        <v>8.4077</v>
      </c>
      <c r="D442" s="50" t="n">
        <v>0.048831</v>
      </c>
      <c r="E442" s="50" t="n">
        <v>0.9094100000000001</v>
      </c>
      <c r="F442" s="50" t="n">
        <v>9.7003</v>
      </c>
      <c r="G442" s="50" t="n">
        <v>4.7152</v>
      </c>
      <c r="H442" s="50" t="n">
        <v>4.3204</v>
      </c>
      <c r="I442" s="50" t="n">
        <v>5.5979</v>
      </c>
      <c r="J442" s="50" t="n">
        <v>9.0183</v>
      </c>
      <c r="K442" s="50" t="n">
        <v>5.2508</v>
      </c>
      <c r="L442" s="50" t="n">
        <v>1.1334</v>
      </c>
      <c r="M442" s="50" t="n">
        <v>0.59143</v>
      </c>
      <c r="N442" s="50" t="n">
        <v>10.9656</v>
      </c>
      <c r="O442" s="50" t="n">
        <v>2.452</v>
      </c>
      <c r="R442" s="50" t="n">
        <v>192.31</v>
      </c>
      <c r="S442" s="50" t="n">
        <v>0.51419</v>
      </c>
      <c r="T442" s="50" t="n">
        <v>0.52528</v>
      </c>
      <c r="U442" s="50" t="n">
        <v>47.3783</v>
      </c>
      <c r="V442" s="50" t="n">
        <v>0.50523</v>
      </c>
      <c r="W442" s="50" t="n">
        <v>0.8877</v>
      </c>
      <c r="X442" s="50" t="n">
        <v>1.331</v>
      </c>
      <c r="Y442" s="50" t="n">
        <v>1.4143</v>
      </c>
      <c r="Z442" s="50" t="n">
        <v>5.65959</v>
      </c>
      <c r="AA442" s="50" t="n">
        <v>2.5955</v>
      </c>
      <c r="AB442" s="50" t="n">
        <v>4.4988</v>
      </c>
    </row>
    <row r="443">
      <c r="A443" s="49" t="n">
        <v>45863</v>
      </c>
      <c r="B443" s="50" t="n">
        <v>7.1419</v>
      </c>
      <c r="C443" s="50" t="n">
        <v>8.4001</v>
      </c>
      <c r="D443" s="50" t="n">
        <v>0.048621</v>
      </c>
      <c r="E443" s="50" t="n">
        <v>0.90983</v>
      </c>
      <c r="F443" s="50" t="n">
        <v>9.656499999999999</v>
      </c>
      <c r="G443" s="50" t="n">
        <v>4.7158</v>
      </c>
      <c r="H443" s="50" t="n">
        <v>4.3177</v>
      </c>
      <c r="I443" s="50" t="n">
        <v>5.5949</v>
      </c>
      <c r="J443" s="50" t="n">
        <v>8.990600000000001</v>
      </c>
      <c r="K443" s="50" t="n">
        <v>5.2407</v>
      </c>
      <c r="L443" s="50" t="n">
        <v>1.1329</v>
      </c>
      <c r="M443" s="50" t="n">
        <v>0.5897</v>
      </c>
      <c r="N443" s="50" t="n">
        <v>11.1195</v>
      </c>
      <c r="O443" s="50" t="n">
        <v>2.4658</v>
      </c>
      <c r="R443" s="50" t="n">
        <v>192.01</v>
      </c>
      <c r="S443" s="50" t="n">
        <v>0.51364</v>
      </c>
      <c r="T443" s="50" t="n">
        <v>0.52467</v>
      </c>
      <c r="U443" s="50" t="n">
        <v>47.2897</v>
      </c>
      <c r="V443" s="50" t="n">
        <v>0.5066000000000001</v>
      </c>
      <c r="W443" s="50" t="n">
        <v>0.8884</v>
      </c>
      <c r="X443" s="50" t="n">
        <v>1.333</v>
      </c>
      <c r="Y443" s="50" t="n">
        <v>1.4156</v>
      </c>
      <c r="Z443" s="50" t="n">
        <v>5.66898</v>
      </c>
      <c r="AA443" s="50" t="n">
        <v>2.595</v>
      </c>
      <c r="AB443" s="50" t="n">
        <v>4.5112</v>
      </c>
    </row>
    <row r="444">
      <c r="A444" s="49" t="n">
        <v>45866</v>
      </c>
      <c r="B444" s="50" t="n">
        <v>7.1467</v>
      </c>
      <c r="C444" s="50" t="n">
        <v>8.4099</v>
      </c>
      <c r="D444" s="50" t="n">
        <v>0.048401</v>
      </c>
      <c r="E444" s="50" t="n">
        <v>0.91051</v>
      </c>
      <c r="F444" s="50" t="n">
        <v>9.616099999999999</v>
      </c>
      <c r="G444" s="50" t="n">
        <v>4.7034</v>
      </c>
      <c r="H444" s="50" t="n">
        <v>4.3103</v>
      </c>
      <c r="I444" s="50" t="n">
        <v>5.585</v>
      </c>
      <c r="J444" s="50" t="n">
        <v>8.9945</v>
      </c>
      <c r="K444" s="50" t="n">
        <v>5.223</v>
      </c>
      <c r="L444" s="50" t="n">
        <v>1.1318</v>
      </c>
      <c r="M444" s="50" t="n">
        <v>0.5901</v>
      </c>
      <c r="N444" s="50" t="n">
        <v>11.0812</v>
      </c>
      <c r="O444" s="50" t="n">
        <v>2.4815</v>
      </c>
      <c r="R444" s="50" t="n">
        <v>193.08</v>
      </c>
      <c r="S444" s="50" t="n">
        <v>0.5134</v>
      </c>
      <c r="T444" s="50" t="n">
        <v>0.52439</v>
      </c>
      <c r="U444" s="50" t="n">
        <v>47.1093</v>
      </c>
      <c r="V444" s="50" t="n">
        <v>0.50503</v>
      </c>
      <c r="W444" s="50" t="n">
        <v>0.8874</v>
      </c>
      <c r="X444" s="50" t="n">
        <v>1.3283</v>
      </c>
      <c r="Y444" s="50" t="n">
        <v>1.4165</v>
      </c>
      <c r="Z444" s="50" t="n">
        <v>5.66626</v>
      </c>
      <c r="AA444" s="50" t="n">
        <v>2.5907</v>
      </c>
      <c r="AB444" s="50" t="n">
        <v>4.5275</v>
      </c>
    </row>
    <row r="445">
      <c r="A445" s="49" t="n">
        <v>45867</v>
      </c>
      <c r="B445" s="50" t="n">
        <v>7.1511</v>
      </c>
      <c r="C445" s="50" t="n">
        <v>8.3063</v>
      </c>
      <c r="D445" s="50" t="n">
        <v>0.048225</v>
      </c>
      <c r="E445" s="50" t="n">
        <v>0.9110200000000001</v>
      </c>
      <c r="F445" s="50" t="n">
        <v>9.576599999999999</v>
      </c>
      <c r="G445" s="50" t="n">
        <v>4.6786</v>
      </c>
      <c r="H445" s="50" t="n">
        <v>4.2862</v>
      </c>
      <c r="I445" s="50" t="n">
        <v>5.5683</v>
      </c>
      <c r="J445" s="50" t="n">
        <v>8.9221</v>
      </c>
      <c r="K445" s="50" t="n">
        <v>5.2209</v>
      </c>
      <c r="L445" s="50" t="n">
        <v>1.1311</v>
      </c>
      <c r="M445" s="50" t="n">
        <v>0.59066</v>
      </c>
      <c r="N445" s="50" t="n">
        <v>11.3531</v>
      </c>
      <c r="O445" s="50" t="n">
        <v>2.4986</v>
      </c>
      <c r="R445" s="50" t="n">
        <v>193.94</v>
      </c>
      <c r="S445" s="50" t="n">
        <v>0.5121599999999999</v>
      </c>
      <c r="T445" s="50" t="n">
        <v>0.5231</v>
      </c>
      <c r="U445" s="50" t="n">
        <v>47.8563</v>
      </c>
      <c r="V445" s="50" t="n">
        <v>0.5134</v>
      </c>
      <c r="W445" s="50" t="n">
        <v>0.8984</v>
      </c>
      <c r="X445" s="50" t="n">
        <v>1.3403</v>
      </c>
      <c r="Y445" s="50" t="n">
        <v>1.421</v>
      </c>
      <c r="Z445" s="50" t="n">
        <v>5.65645</v>
      </c>
      <c r="AA445" s="50" t="n">
        <v>2.6208</v>
      </c>
      <c r="AB445" s="50" t="n">
        <v>4.5266</v>
      </c>
    </row>
    <row r="446">
      <c r="A446" s="49" t="n">
        <v>45868</v>
      </c>
      <c r="B446" s="50" t="n">
        <v>7.1441</v>
      </c>
      <c r="C446" s="50" t="n">
        <v>8.270300000000001</v>
      </c>
      <c r="D446" s="50" t="n">
        <v>0.048238</v>
      </c>
      <c r="E446" s="50" t="n">
        <v>0.9101</v>
      </c>
      <c r="F446" s="50" t="n">
        <v>9.5602</v>
      </c>
      <c r="G446" s="50" t="n">
        <v>4.6638</v>
      </c>
      <c r="H446" s="50" t="n">
        <v>4.2669</v>
      </c>
      <c r="I446" s="50" t="n">
        <v>5.5598</v>
      </c>
      <c r="J446" s="50" t="n">
        <v>8.886900000000001</v>
      </c>
      <c r="K446" s="50" t="n">
        <v>5.1983</v>
      </c>
      <c r="L446" s="50" t="n">
        <v>1.1323</v>
      </c>
      <c r="M446" s="50" t="n">
        <v>0.59129</v>
      </c>
      <c r="N446" s="50" t="n">
        <v>11.3092</v>
      </c>
      <c r="O446" s="50" t="n">
        <v>2.4984</v>
      </c>
      <c r="R446" s="50" t="n">
        <v>193.55</v>
      </c>
      <c r="S446" s="50" t="n">
        <v>0.51289</v>
      </c>
      <c r="T446" s="50" t="n">
        <v>0.52379</v>
      </c>
      <c r="U446" s="50" t="n">
        <v>48.3358</v>
      </c>
      <c r="V446" s="50" t="n">
        <v>0.51739</v>
      </c>
      <c r="W446" s="50" t="n">
        <v>0.9026</v>
      </c>
      <c r="X446" s="50" t="n">
        <v>1.3475</v>
      </c>
      <c r="Y446" s="50" t="n">
        <v>1.4249</v>
      </c>
      <c r="Z446" s="50" t="n">
        <v>5.66433</v>
      </c>
      <c r="AA446" s="50" t="n">
        <v>2.6198</v>
      </c>
      <c r="AB446" s="50" t="n">
        <v>4.5199</v>
      </c>
    </row>
    <row r="447">
      <c r="A447" s="49" t="n">
        <v>45869</v>
      </c>
      <c r="B447" s="50" t="n">
        <v>7.1494</v>
      </c>
      <c r="C447" s="50" t="n">
        <v>8.192</v>
      </c>
      <c r="D447" s="50" t="n">
        <v>0.048007</v>
      </c>
      <c r="E447" s="50" t="n">
        <v>0.91079</v>
      </c>
      <c r="F447" s="50" t="n">
        <v>9.501300000000001</v>
      </c>
      <c r="G447" s="50" t="n">
        <v>4.6238</v>
      </c>
      <c r="H447" s="50" t="n">
        <v>4.2424</v>
      </c>
      <c r="I447" s="50" t="n">
        <v>5.5306</v>
      </c>
      <c r="J447" s="50" t="n">
        <v>8.809900000000001</v>
      </c>
      <c r="K447" s="50" t="n">
        <v>5.1863</v>
      </c>
      <c r="L447" s="50" t="n">
        <v>1.1314</v>
      </c>
      <c r="M447" s="50" t="n">
        <v>0.59185</v>
      </c>
      <c r="N447" s="50" t="n">
        <v>11.2641</v>
      </c>
      <c r="O447" s="50" t="n">
        <v>2.5106</v>
      </c>
      <c r="R447" s="50" t="n">
        <v>193.79</v>
      </c>
      <c r="S447" s="50" t="n">
        <v>0.5120400000000001</v>
      </c>
      <c r="T447" s="50" t="n">
        <v>0.52299</v>
      </c>
      <c r="U447" s="50" t="n">
        <v>48.8616</v>
      </c>
      <c r="V447" s="50" t="n">
        <v>0.52153</v>
      </c>
      <c r="W447" s="50" t="n">
        <v>0.9112</v>
      </c>
      <c r="X447" s="50" t="n">
        <v>1.3635</v>
      </c>
      <c r="Y447" s="50" t="n">
        <v>1.4369</v>
      </c>
      <c r="Z447" s="50" t="n">
        <v>5.65695</v>
      </c>
      <c r="AA447" s="50" t="n">
        <v>2.6315</v>
      </c>
      <c r="AB447" s="50" t="n">
        <v>4.5497</v>
      </c>
    </row>
    <row r="448">
      <c r="A448" s="49" t="n">
        <v>45870</v>
      </c>
      <c r="B448" s="50" t="n">
        <v>7.1496</v>
      </c>
      <c r="C448" s="50" t="n">
        <v>8.188499999999999</v>
      </c>
      <c r="D448" s="50" t="n">
        <v>0.047574</v>
      </c>
      <c r="E448" s="50" t="n">
        <v>0.91079</v>
      </c>
      <c r="F448" s="50" t="n">
        <v>9.4701</v>
      </c>
      <c r="G448" s="50" t="n">
        <v>4.6121</v>
      </c>
      <c r="H448" s="50" t="n">
        <v>4.2287</v>
      </c>
      <c r="I448" s="50" t="n">
        <v>5.5248</v>
      </c>
      <c r="J448" s="50" t="n">
        <v>8.8134</v>
      </c>
      <c r="K448" s="50" t="n">
        <v>5.1757</v>
      </c>
      <c r="L448" s="50" t="n">
        <v>1.1314</v>
      </c>
      <c r="M448" s="50" t="n">
        <v>0.59501</v>
      </c>
      <c r="N448" s="50" t="n">
        <v>11.2611</v>
      </c>
      <c r="O448" s="50" t="n">
        <v>2.5419</v>
      </c>
      <c r="R448" s="50" t="n">
        <v>194.13</v>
      </c>
      <c r="S448" s="50" t="n">
        <v>0.5119899999999999</v>
      </c>
      <c r="T448" s="50" t="n">
        <v>0.52294</v>
      </c>
      <c r="U448" s="50" t="n">
        <v>48.8339</v>
      </c>
      <c r="V448" s="50" t="n">
        <v>0.52207</v>
      </c>
      <c r="W448" s="50" t="n">
        <v>0.9118000000000001</v>
      </c>
      <c r="X448" s="50" t="n">
        <v>1.3649</v>
      </c>
      <c r="Y448" s="50" t="n">
        <v>1.4402</v>
      </c>
      <c r="Z448" s="50" t="n">
        <v>5.66718</v>
      </c>
      <c r="AA448" s="50" t="n">
        <v>2.6334</v>
      </c>
      <c r="AB448" s="50" t="n">
        <v>4.5559</v>
      </c>
    </row>
    <row r="449">
      <c r="A449" s="49" t="n">
        <v>45873</v>
      </c>
      <c r="B449" s="50" t="n">
        <v>7.1395</v>
      </c>
      <c r="C449" s="50" t="n">
        <v>8.269500000000001</v>
      </c>
      <c r="D449" s="50" t="n">
        <v>0.048576</v>
      </c>
      <c r="E449" s="50" t="n">
        <v>0.90952</v>
      </c>
      <c r="F449" s="50" t="n">
        <v>9.491899999999999</v>
      </c>
      <c r="G449" s="50" t="n">
        <v>4.622</v>
      </c>
      <c r="H449" s="50" t="n">
        <v>4.225</v>
      </c>
      <c r="I449" s="50" t="n">
        <v>5.5475</v>
      </c>
      <c r="J449" s="50" t="n">
        <v>8.885199999999999</v>
      </c>
      <c r="K449" s="50" t="n">
        <v>5.189</v>
      </c>
      <c r="L449" s="50" t="n">
        <v>1.133</v>
      </c>
      <c r="M449" s="50" t="n">
        <v>0.59631</v>
      </c>
      <c r="N449" s="50" t="n">
        <v>11.105</v>
      </c>
      <c r="O449" s="50" t="n">
        <v>2.5214</v>
      </c>
      <c r="R449" s="50" t="n">
        <v>193.85</v>
      </c>
      <c r="S449" s="50" t="n">
        <v>0.51369</v>
      </c>
      <c r="T449" s="50" t="n">
        <v>0.52452</v>
      </c>
      <c r="U449" s="50" t="n">
        <v>48.0119</v>
      </c>
      <c r="V449" s="50" t="n">
        <v>0.51515</v>
      </c>
      <c r="W449" s="50" t="n">
        <v>0.9023</v>
      </c>
      <c r="X449" s="50" t="n">
        <v>1.35</v>
      </c>
      <c r="Y449" s="50" t="n">
        <v>1.4348</v>
      </c>
      <c r="Z449" s="50" t="n">
        <v>5.68538</v>
      </c>
      <c r="AA449" s="50" t="n">
        <v>2.6393</v>
      </c>
      <c r="AB449" s="50" t="n">
        <v>4.5366</v>
      </c>
    </row>
    <row r="450">
      <c r="A450" s="49" t="n">
        <v>45874</v>
      </c>
      <c r="B450" s="50" t="n">
        <v>7.1366</v>
      </c>
      <c r="C450" s="50" t="n">
        <v>8.275</v>
      </c>
      <c r="D450" s="50" t="n">
        <v>0.048709</v>
      </c>
      <c r="E450" s="50" t="n">
        <v>0.90916</v>
      </c>
      <c r="F450" s="50" t="n">
        <v>9.5021</v>
      </c>
      <c r="G450" s="50" t="n">
        <v>4.6254</v>
      </c>
      <c r="H450" s="50" t="n">
        <v>4.2292</v>
      </c>
      <c r="I450" s="50" t="n">
        <v>5.5553</v>
      </c>
      <c r="J450" s="50" t="n">
        <v>8.8504</v>
      </c>
      <c r="K450" s="50" t="n">
        <v>5.1897</v>
      </c>
      <c r="L450" s="50" t="n">
        <v>1.1335</v>
      </c>
      <c r="M450" s="50" t="n">
        <v>0.59236</v>
      </c>
      <c r="N450" s="50" t="n">
        <v>11.127</v>
      </c>
      <c r="O450" s="50" t="n">
        <v>2.5094</v>
      </c>
      <c r="R450" s="50" t="n">
        <v>193.45</v>
      </c>
      <c r="S450" s="50" t="n">
        <v>0.5139</v>
      </c>
      <c r="T450" s="50" t="n">
        <v>0.52489</v>
      </c>
      <c r="U450" s="50" t="n">
        <v>48.202</v>
      </c>
      <c r="V450" s="50" t="n">
        <v>0.5164299999999999</v>
      </c>
      <c r="W450" s="50" t="n">
        <v>0.902</v>
      </c>
      <c r="X450" s="50" t="n">
        <v>1.3497</v>
      </c>
      <c r="Y450" s="50" t="n">
        <v>1.4352</v>
      </c>
      <c r="Z450" s="50" t="n">
        <v>5.68715</v>
      </c>
      <c r="AA450" s="50" t="n">
        <v>2.6434</v>
      </c>
      <c r="AB450" s="50" t="n">
        <v>4.5135</v>
      </c>
    </row>
    <row r="451">
      <c r="A451" s="49" t="n">
        <v>45875</v>
      </c>
      <c r="B451" s="50" t="n">
        <v>7.1409</v>
      </c>
      <c r="C451" s="50" t="n">
        <v>8.2768</v>
      </c>
      <c r="D451" s="50" t="n">
        <v>0.04849</v>
      </c>
      <c r="E451" s="50" t="n">
        <v>0.90968</v>
      </c>
      <c r="F451" s="50" t="n">
        <v>9.512499999999999</v>
      </c>
      <c r="G451" s="50" t="n">
        <v>4.6313</v>
      </c>
      <c r="H451" s="50" t="n">
        <v>4.2318</v>
      </c>
      <c r="I451" s="50" t="n">
        <v>5.5544</v>
      </c>
      <c r="J451" s="50" t="n">
        <v>8.8558</v>
      </c>
      <c r="K451" s="50" t="n">
        <v>5.1936</v>
      </c>
      <c r="L451" s="50" t="n">
        <v>1.1328</v>
      </c>
      <c r="M451" s="50" t="n">
        <v>0.5906</v>
      </c>
      <c r="N451" s="50" t="n">
        <v>11.1388</v>
      </c>
      <c r="O451" s="50" t="n">
        <v>2.5051</v>
      </c>
      <c r="R451" s="50" t="n">
        <v>193.67</v>
      </c>
      <c r="S451" s="50" t="n">
        <v>0.51342</v>
      </c>
      <c r="T451" s="50" t="n">
        <v>0.52452</v>
      </c>
      <c r="U451" s="50" t="n">
        <v>48.1034</v>
      </c>
      <c r="V451" s="50" t="n">
        <v>0.51716</v>
      </c>
      <c r="W451" s="50" t="n">
        <v>0.9016999999999999</v>
      </c>
      <c r="X451" s="50" t="n">
        <v>1.3524</v>
      </c>
      <c r="Y451" s="50" t="n">
        <v>1.4339</v>
      </c>
      <c r="Z451" s="50" t="n">
        <v>5.68341</v>
      </c>
      <c r="AA451" s="50" t="n">
        <v>2.6218</v>
      </c>
      <c r="AB451" s="50" t="n">
        <v>4.5141</v>
      </c>
    </row>
    <row r="452">
      <c r="A452" s="49" t="n">
        <v>45876</v>
      </c>
      <c r="B452" s="50" t="n">
        <v>7.1345</v>
      </c>
      <c r="C452" s="50" t="n">
        <v>8.3291</v>
      </c>
      <c r="D452" s="50" t="n">
        <v>0.048589</v>
      </c>
      <c r="E452" s="50" t="n">
        <v>0.90895</v>
      </c>
      <c r="F452" s="50" t="n">
        <v>9.545999999999999</v>
      </c>
      <c r="G452" s="50" t="n">
        <v>4.6455</v>
      </c>
      <c r="H452" s="50" t="n">
        <v>4.2394</v>
      </c>
      <c r="I452" s="50" t="n">
        <v>5.561</v>
      </c>
      <c r="J452" s="50" t="n">
        <v>8.863</v>
      </c>
      <c r="K452" s="50" t="n">
        <v>5.2015</v>
      </c>
      <c r="L452" s="50" t="n">
        <v>1.1339</v>
      </c>
      <c r="M452" s="50" t="n">
        <v>0.59113</v>
      </c>
      <c r="N452" s="50" t="n">
        <v>11.1482</v>
      </c>
      <c r="O452" s="50" t="n">
        <v>2.488</v>
      </c>
      <c r="R452" s="50" t="n">
        <v>193.53</v>
      </c>
      <c r="S452" s="50" t="n">
        <v>0.51378</v>
      </c>
      <c r="T452" s="50" t="n">
        <v>0.5248</v>
      </c>
      <c r="U452" s="50" t="n">
        <v>47.7509</v>
      </c>
      <c r="V452" s="50" t="n">
        <v>0.5127699999999999</v>
      </c>
      <c r="W452" s="50" t="n">
        <v>0.8965</v>
      </c>
      <c r="X452" s="50" t="n">
        <v>1.3438</v>
      </c>
      <c r="Y452" s="50" t="n">
        <v>1.4256</v>
      </c>
      <c r="Z452" s="50" t="n">
        <v>5.68485</v>
      </c>
      <c r="AA452" s="50" t="n">
        <v>2.6026</v>
      </c>
      <c r="AB452" s="50" t="n">
        <v>4.5181</v>
      </c>
    </row>
    <row r="453">
      <c r="A453" s="49" t="n">
        <v>45877</v>
      </c>
      <c r="B453" s="50" t="n">
        <v>7.1382</v>
      </c>
      <c r="C453" s="50" t="n">
        <v>8.338100000000001</v>
      </c>
      <c r="D453" s="50" t="n">
        <v>0.048701</v>
      </c>
      <c r="E453" s="50" t="n">
        <v>0.90937</v>
      </c>
      <c r="F453" s="50" t="n">
        <v>9.6106</v>
      </c>
      <c r="G453" s="50" t="n">
        <v>4.6611</v>
      </c>
      <c r="H453" s="50" t="n">
        <v>4.2635</v>
      </c>
      <c r="I453" s="50" t="n">
        <v>5.5717</v>
      </c>
      <c r="J453" s="50" t="n">
        <v>8.8635</v>
      </c>
      <c r="K453" s="50" t="n">
        <v>5.2029</v>
      </c>
      <c r="L453" s="50" t="n">
        <v>1.1332</v>
      </c>
      <c r="M453" s="50" t="n">
        <v>0.5914199999999999</v>
      </c>
      <c r="N453" s="50" t="n">
        <v>11.0464</v>
      </c>
      <c r="O453" s="50" t="n">
        <v>2.4789</v>
      </c>
      <c r="R453" s="50" t="n">
        <v>193.41</v>
      </c>
      <c r="S453" s="50" t="n">
        <v>0.51389</v>
      </c>
      <c r="T453" s="50" t="n">
        <v>0.5248699999999999</v>
      </c>
      <c r="U453" s="50" t="n">
        <v>47.5497</v>
      </c>
      <c r="V453" s="50" t="n">
        <v>0.50979</v>
      </c>
      <c r="W453" s="50" t="n">
        <v>0.8959</v>
      </c>
      <c r="X453" s="50" t="n">
        <v>1.3363</v>
      </c>
      <c r="Y453" s="50" t="n">
        <v>1.4292</v>
      </c>
      <c r="Z453" s="50" t="n">
        <v>5.6845</v>
      </c>
      <c r="AA453" s="50" t="n">
        <v>2.6039</v>
      </c>
      <c r="AB453" s="50" t="n">
        <v>4.5085</v>
      </c>
    </row>
    <row r="454">
      <c r="A454" s="49" t="n">
        <v>45880</v>
      </c>
      <c r="B454" s="50" t="n">
        <v>7.1405</v>
      </c>
      <c r="C454" s="50" t="n">
        <v>8.334899999999999</v>
      </c>
      <c r="D454" s="50" t="n">
        <v>0.048495</v>
      </c>
      <c r="E454" s="50" t="n">
        <v>0.90964</v>
      </c>
      <c r="F454" s="50" t="n">
        <v>9.6234</v>
      </c>
      <c r="G454" s="50" t="n">
        <v>4.6667</v>
      </c>
      <c r="H454" s="50" t="n">
        <v>4.2636</v>
      </c>
      <c r="I454" s="50" t="n">
        <v>5.5678</v>
      </c>
      <c r="J454" s="50" t="n">
        <v>8.8604</v>
      </c>
      <c r="K454" s="50" t="n">
        <v>5.2051</v>
      </c>
      <c r="L454" s="50" t="n">
        <v>1.1329</v>
      </c>
      <c r="M454" s="50" t="n">
        <v>0.59322</v>
      </c>
      <c r="N454" s="50" t="n">
        <v>11.1362</v>
      </c>
      <c r="O454" s="50" t="n">
        <v>2.4779</v>
      </c>
      <c r="R454" s="50" t="n">
        <v>193.69</v>
      </c>
      <c r="S454" s="50" t="n">
        <v>0.513</v>
      </c>
      <c r="T454" s="50" t="n">
        <v>0.52421</v>
      </c>
      <c r="U454" s="50" t="n">
        <v>47.434</v>
      </c>
      <c r="V454" s="50" t="n">
        <v>0.50928</v>
      </c>
      <c r="W454" s="50" t="n">
        <v>0.8955</v>
      </c>
      <c r="X454" s="50" t="n">
        <v>1.3378</v>
      </c>
      <c r="Y454" s="50" t="n">
        <v>1.4348</v>
      </c>
      <c r="Z454" s="50" t="n">
        <v>5.68945</v>
      </c>
      <c r="AA454" s="50" t="n">
        <v>2.5986</v>
      </c>
      <c r="AB454" s="50" t="n">
        <v>4.5133</v>
      </c>
    </row>
    <row r="455">
      <c r="A455" s="49" t="n">
        <v>45881</v>
      </c>
      <c r="B455" s="50" t="n">
        <v>7.1418</v>
      </c>
      <c r="C455" s="50" t="n">
        <v>8.3142</v>
      </c>
      <c r="D455" s="50" t="n">
        <v>0.048341</v>
      </c>
      <c r="E455" s="50" t="n">
        <v>0.9098000000000001</v>
      </c>
      <c r="F455" s="50" t="n">
        <v>9.617599999999999</v>
      </c>
      <c r="G455" s="50" t="n">
        <v>4.6664</v>
      </c>
      <c r="H455" s="50" t="n">
        <v>4.2592</v>
      </c>
      <c r="I455" s="50" t="n">
        <v>5.5621</v>
      </c>
      <c r="J455" s="50" t="n">
        <v>8.812900000000001</v>
      </c>
      <c r="K455" s="50" t="n">
        <v>5.1979</v>
      </c>
      <c r="L455" s="50" t="n">
        <v>1.1329</v>
      </c>
      <c r="M455" s="50" t="n">
        <v>0.5916400000000001</v>
      </c>
      <c r="N455" s="50" t="n">
        <v>11.0725</v>
      </c>
      <c r="O455" s="50" t="n">
        <v>2.4818</v>
      </c>
      <c r="R455" s="50" t="n">
        <v>193.92</v>
      </c>
      <c r="S455" s="50" t="n">
        <v>0.51289</v>
      </c>
      <c r="T455" s="50" t="n">
        <v>0.52403</v>
      </c>
      <c r="U455" s="50" t="n">
        <v>47.5882</v>
      </c>
      <c r="V455" s="50" t="n">
        <v>0.512</v>
      </c>
      <c r="W455" s="50" t="n">
        <v>0.8978</v>
      </c>
      <c r="X455" s="50" t="n">
        <v>1.3455</v>
      </c>
      <c r="Y455" s="50" t="n">
        <v>1.4274</v>
      </c>
      <c r="Z455" s="50" t="n">
        <v>5.68343</v>
      </c>
      <c r="AA455" s="50" t="n">
        <v>2.6103</v>
      </c>
      <c r="AB455" s="50" t="n">
        <v>4.521</v>
      </c>
    </row>
    <row r="456">
      <c r="A456" s="49" t="n">
        <v>45882</v>
      </c>
      <c r="B456" s="50" t="n">
        <v>7.135</v>
      </c>
      <c r="C456" s="50" t="n">
        <v>8.346399999999999</v>
      </c>
      <c r="D456" s="50" t="n">
        <v>0.048406</v>
      </c>
      <c r="E456" s="50" t="n">
        <v>0.9089699999999999</v>
      </c>
      <c r="F456" s="50" t="n">
        <v>9.652100000000001</v>
      </c>
      <c r="G456" s="50" t="n">
        <v>4.6671</v>
      </c>
      <c r="H456" s="50" t="n">
        <v>4.2599</v>
      </c>
      <c r="I456" s="50" t="n">
        <v>5.5724</v>
      </c>
      <c r="J456" s="50" t="n">
        <v>8.8619</v>
      </c>
      <c r="K456" s="50" t="n">
        <v>5.1914</v>
      </c>
      <c r="L456" s="50" t="n">
        <v>1.1337</v>
      </c>
      <c r="M456" s="50" t="n">
        <v>0.59062</v>
      </c>
      <c r="N456" s="50" t="n">
        <v>11.0734</v>
      </c>
      <c r="O456" s="50" t="n">
        <v>2.4603</v>
      </c>
      <c r="R456" s="50" t="n">
        <v>193.31</v>
      </c>
      <c r="S456" s="50" t="n">
        <v>0.5135999999999999</v>
      </c>
      <c r="T456" s="50" t="n">
        <v>0.52476</v>
      </c>
      <c r="U456" s="50" t="n">
        <v>47.3695</v>
      </c>
      <c r="V456" s="50" t="n">
        <v>0.50964</v>
      </c>
      <c r="W456" s="50" t="n">
        <v>0.8944</v>
      </c>
      <c r="X456" s="50" t="n">
        <v>1.3351</v>
      </c>
      <c r="Y456" s="50" t="n">
        <v>1.4292</v>
      </c>
      <c r="Z456" s="50" t="n">
        <v>5.69571</v>
      </c>
      <c r="AA456" s="50" t="n">
        <v>2.6005</v>
      </c>
      <c r="AB456" s="50" t="n">
        <v>4.5211</v>
      </c>
    </row>
    <row r="457">
      <c r="A457" s="49" t="n">
        <v>45883</v>
      </c>
      <c r="B457" s="50" t="n">
        <v>7.1337</v>
      </c>
      <c r="C457" s="50" t="n">
        <v>8.364699999999999</v>
      </c>
      <c r="D457" s="50" t="n">
        <v>0.048602</v>
      </c>
      <c r="E457" s="50" t="n">
        <v>0.90887</v>
      </c>
      <c r="F457" s="50" t="n">
        <v>9.7074</v>
      </c>
      <c r="G457" s="50" t="n">
        <v>4.6788</v>
      </c>
      <c r="H457" s="50" t="n">
        <v>4.2757</v>
      </c>
      <c r="I457" s="50" t="n">
        <v>5.5809</v>
      </c>
      <c r="J457" s="50" t="n">
        <v>8.8736</v>
      </c>
      <c r="K457" s="50" t="n">
        <v>5.1958</v>
      </c>
      <c r="L457" s="50" t="n">
        <v>1.1339</v>
      </c>
      <c r="M457" s="50" t="n">
        <v>0.58853</v>
      </c>
      <c r="N457" s="50" t="n">
        <v>11.0807</v>
      </c>
      <c r="O457" s="50" t="n">
        <v>2.4494</v>
      </c>
      <c r="R457" s="50" t="n">
        <v>192.73</v>
      </c>
      <c r="S457" s="50" t="n">
        <v>0.51393</v>
      </c>
      <c r="T457" s="50" t="n">
        <v>0.52493</v>
      </c>
      <c r="U457" s="50" t="n">
        <v>47.204</v>
      </c>
      <c r="V457" s="50" t="n">
        <v>0.5079</v>
      </c>
      <c r="W457" s="50" t="n">
        <v>0.8927</v>
      </c>
      <c r="X457" s="50" t="n">
        <v>1.3352</v>
      </c>
      <c r="Y457" s="50" t="n">
        <v>1.4259</v>
      </c>
      <c r="Z457" s="50" t="n">
        <v>5.69985</v>
      </c>
      <c r="AA457" s="50" t="n">
        <v>2.6083</v>
      </c>
      <c r="AB457" s="50" t="n">
        <v>4.509</v>
      </c>
    </row>
    <row r="458">
      <c r="A458" s="49" t="n">
        <v>45884</v>
      </c>
      <c r="B458" s="50" t="n">
        <v>7.1371</v>
      </c>
      <c r="C458" s="50" t="n">
        <v>8.329700000000001</v>
      </c>
      <c r="D458" s="50" t="n">
        <v>0.048423</v>
      </c>
      <c r="E458" s="50" t="n">
        <v>0.91054</v>
      </c>
      <c r="F458" s="50" t="n">
        <v>9.6831</v>
      </c>
      <c r="G458" s="50" t="n">
        <v>4.6481</v>
      </c>
      <c r="H458" s="50" t="n">
        <v>4.2369</v>
      </c>
      <c r="I458" s="50" t="n">
        <v>5.5694</v>
      </c>
      <c r="J458" s="50" t="n">
        <v>8.858599999999999</v>
      </c>
      <c r="K458" s="50" t="n">
        <v>5.1818</v>
      </c>
      <c r="L458" s="50" t="n">
        <v>1.1317</v>
      </c>
      <c r="M458" s="50" t="n">
        <v>0.58894</v>
      </c>
      <c r="N458" s="50" t="n">
        <v>11.1047</v>
      </c>
      <c r="O458" s="50" t="n">
        <v>2.4603</v>
      </c>
      <c r="R458" s="50" t="n">
        <v>193.89</v>
      </c>
      <c r="S458" s="50" t="n">
        <v>0.5131</v>
      </c>
      <c r="T458" s="50" t="n">
        <v>0.52413</v>
      </c>
      <c r="U458" s="50" t="n">
        <v>47.4357</v>
      </c>
      <c r="V458" s="50" t="n">
        <v>0.51135</v>
      </c>
      <c r="W458" s="50" t="n">
        <v>0.8968</v>
      </c>
      <c r="X458" s="50" t="n">
        <v>1.3396</v>
      </c>
      <c r="Y458" s="50" t="n">
        <v>1.429</v>
      </c>
      <c r="Z458" s="50" t="n">
        <v>5.7047</v>
      </c>
      <c r="AA458" s="50" t="n">
        <v>2.6303</v>
      </c>
      <c r="AB458" s="50" t="n">
        <v>4.5254</v>
      </c>
    </row>
    <row r="459">
      <c r="A459" s="49" t="n">
        <v>45887</v>
      </c>
      <c r="B459" s="50" t="n">
        <v>7.1322</v>
      </c>
      <c r="C459" s="50" t="n">
        <v>8.368600000000001</v>
      </c>
      <c r="D459" s="50" t="n">
        <v>0.048563</v>
      </c>
      <c r="E459" s="50" t="n">
        <v>0.91108</v>
      </c>
      <c r="F459" s="50" t="n">
        <v>9.6922</v>
      </c>
      <c r="G459" s="50" t="n">
        <v>4.6565</v>
      </c>
      <c r="H459" s="50" t="n">
        <v>4.2448</v>
      </c>
      <c r="I459" s="50" t="n">
        <v>5.5751</v>
      </c>
      <c r="J459" s="50" t="n">
        <v>8.8575</v>
      </c>
      <c r="K459" s="50" t="n">
        <v>5.176</v>
      </c>
      <c r="L459" s="50" t="n">
        <v>1.131</v>
      </c>
      <c r="M459" s="50" t="n">
        <v>0.58851</v>
      </c>
      <c r="N459" s="50" t="n">
        <v>11.1604</v>
      </c>
      <c r="O459" s="50" t="n">
        <v>2.4627</v>
      </c>
      <c r="R459" s="50" t="n">
        <v>193.87</v>
      </c>
      <c r="S459" s="50" t="n">
        <v>0.51358</v>
      </c>
      <c r="T459" s="50" t="n">
        <v>0.52467</v>
      </c>
      <c r="U459" s="50" t="n">
        <v>47.176</v>
      </c>
      <c r="V459" s="50" t="n">
        <v>0.50847</v>
      </c>
      <c r="W459" s="50" t="n">
        <v>0.892</v>
      </c>
      <c r="X459" s="50" t="n">
        <v>1.3356</v>
      </c>
      <c r="Y459" s="50" t="n">
        <v>1.4237</v>
      </c>
      <c r="Z459" s="50" t="n">
        <v>5.71353</v>
      </c>
      <c r="AA459" s="50" t="n">
        <v>2.6199</v>
      </c>
      <c r="AB459" s="50" t="n">
        <v>4.5325</v>
      </c>
    </row>
    <row r="460">
      <c r="A460" s="49" t="n">
        <v>45888</v>
      </c>
      <c r="B460" s="50" t="n">
        <v>7.1359</v>
      </c>
      <c r="C460" s="50" t="n">
        <v>8.342700000000001</v>
      </c>
      <c r="D460" s="50" t="n">
        <v>0.048391</v>
      </c>
      <c r="E460" s="50" t="n">
        <v>0.91247</v>
      </c>
      <c r="F460" s="50" t="n">
        <v>9.662000000000001</v>
      </c>
      <c r="G460" s="50" t="n">
        <v>4.6462</v>
      </c>
      <c r="H460" s="50" t="n">
        <v>4.2426</v>
      </c>
      <c r="I460" s="50" t="n">
        <v>5.5692</v>
      </c>
      <c r="J460" s="50" t="n">
        <v>8.8561</v>
      </c>
      <c r="K460" s="50" t="n">
        <v>5.1835</v>
      </c>
      <c r="L460" s="50" t="n">
        <v>1.1294</v>
      </c>
      <c r="M460" s="50" t="n">
        <v>0.5904199999999999</v>
      </c>
      <c r="N460" s="50" t="n">
        <v>11.195</v>
      </c>
      <c r="O460" s="50" t="n">
        <v>2.4658</v>
      </c>
      <c r="R460" s="50" t="n">
        <v>193.79</v>
      </c>
      <c r="S460" s="50" t="n">
        <v>0.51322</v>
      </c>
      <c r="T460" s="50" t="n">
        <v>0.52433</v>
      </c>
      <c r="U460" s="50" t="n">
        <v>47.3269</v>
      </c>
      <c r="V460" s="50" t="n">
        <v>0.50922</v>
      </c>
      <c r="W460" s="50" t="n">
        <v>0.8947000000000001</v>
      </c>
      <c r="X460" s="50" t="n">
        <v>1.336</v>
      </c>
      <c r="Y460" s="50" t="n">
        <v>1.4249</v>
      </c>
      <c r="Z460" s="50" t="n">
        <v>5.71028</v>
      </c>
      <c r="AA460" s="50" t="n">
        <v>2.6273</v>
      </c>
      <c r="AB460" s="50" t="n">
        <v>4.5351</v>
      </c>
    </row>
    <row r="461">
      <c r="A461" s="49" t="n">
        <v>45889</v>
      </c>
      <c r="B461" s="50" t="n">
        <v>7.1384</v>
      </c>
      <c r="C461" s="50" t="n">
        <v>8.324299999999999</v>
      </c>
      <c r="D461" s="50" t="n">
        <v>0.048473</v>
      </c>
      <c r="E461" s="50" t="n">
        <v>0.91477</v>
      </c>
      <c r="F461" s="50" t="n">
        <v>9.6509</v>
      </c>
      <c r="G461" s="50" t="n">
        <v>4.6145</v>
      </c>
      <c r="H461" s="50" t="n">
        <v>4.2188</v>
      </c>
      <c r="I461" s="50" t="n">
        <v>5.5672</v>
      </c>
      <c r="J461" s="50" t="n">
        <v>8.8522</v>
      </c>
      <c r="K461" s="50" t="n">
        <v>5.1615</v>
      </c>
      <c r="L461" s="50" t="n">
        <v>1.1265</v>
      </c>
      <c r="M461" s="50" t="n">
        <v>0.5904700000000001</v>
      </c>
      <c r="N461" s="50" t="n">
        <v>11.2361</v>
      </c>
      <c r="O461" s="50" t="n">
        <v>2.4756</v>
      </c>
      <c r="R461" s="50" t="n">
        <v>194.33</v>
      </c>
      <c r="S461" s="50" t="n">
        <v>0.51298</v>
      </c>
      <c r="T461" s="50" t="n">
        <v>0.52419</v>
      </c>
      <c r="U461" s="50" t="n">
        <v>47.2649</v>
      </c>
      <c r="V461" s="50" t="n">
        <v>0.50958</v>
      </c>
      <c r="W461" s="50" t="n">
        <v>0.8976</v>
      </c>
      <c r="X461" s="50" t="n">
        <v>1.3425</v>
      </c>
      <c r="Y461" s="50" t="n">
        <v>1.4387</v>
      </c>
      <c r="Z461" s="50" t="n">
        <v>5.7082</v>
      </c>
      <c r="AA461" s="50" t="n">
        <v>2.6325</v>
      </c>
      <c r="AB461" s="50" t="n">
        <v>4.5426</v>
      </c>
    </row>
    <row r="462">
      <c r="A462" s="49" t="n">
        <v>45890</v>
      </c>
      <c r="B462" s="50" t="n">
        <v>7.1287</v>
      </c>
      <c r="C462" s="50" t="n">
        <v>8.3287</v>
      </c>
      <c r="D462" s="50" t="n">
        <v>0.048535</v>
      </c>
      <c r="E462" s="50" t="n">
        <v>0.91254</v>
      </c>
      <c r="F462" s="50" t="n">
        <v>9.623699999999999</v>
      </c>
      <c r="G462" s="50" t="n">
        <v>4.6004</v>
      </c>
      <c r="H462" s="50" t="n">
        <v>4.1686</v>
      </c>
      <c r="I462" s="50" t="n">
        <v>5.5638</v>
      </c>
      <c r="J462" s="50" t="n">
        <v>8.888400000000001</v>
      </c>
      <c r="K462" s="50" t="n">
        <v>5.1547</v>
      </c>
      <c r="L462" s="50" t="n">
        <v>1.1293</v>
      </c>
      <c r="M462" s="50" t="n">
        <v>0.59088</v>
      </c>
      <c r="N462" s="50" t="n">
        <v>11.2229</v>
      </c>
      <c r="O462" s="50" t="n">
        <v>2.4743</v>
      </c>
      <c r="R462" s="50" t="n">
        <v>195.05</v>
      </c>
      <c r="S462" s="50" t="n">
        <v>0.51341</v>
      </c>
      <c r="T462" s="50" t="n">
        <v>0.52463</v>
      </c>
      <c r="U462" s="50" t="n">
        <v>47.3496</v>
      </c>
      <c r="V462" s="50" t="n">
        <v>0.5097699999999999</v>
      </c>
      <c r="W462" s="50" t="n">
        <v>0.8963</v>
      </c>
      <c r="X462" s="50" t="n">
        <v>1.3409</v>
      </c>
      <c r="Y462" s="50" t="n">
        <v>1.4315</v>
      </c>
      <c r="Z462" s="50" t="n">
        <v>5.71813</v>
      </c>
      <c r="AA462" s="50" t="n">
        <v>2.6264</v>
      </c>
      <c r="AB462" s="50" t="n">
        <v>4.5455</v>
      </c>
    </row>
    <row r="463">
      <c r="A463" s="49" t="n">
        <v>45891</v>
      </c>
      <c r="B463" s="50" t="n">
        <v>7.1321</v>
      </c>
      <c r="C463" s="50" t="n">
        <v>8.298</v>
      </c>
      <c r="D463" s="50" t="n">
        <v>0.048231</v>
      </c>
      <c r="E463" s="50" t="n">
        <v>0.9128500000000001</v>
      </c>
      <c r="F463" s="50" t="n">
        <v>9.5967</v>
      </c>
      <c r="G463" s="50" t="n">
        <v>4.5911</v>
      </c>
      <c r="H463" s="50" t="n">
        <v>4.1609</v>
      </c>
      <c r="I463" s="50" t="n">
        <v>5.5493</v>
      </c>
      <c r="J463" s="50" t="n">
        <v>8.8398</v>
      </c>
      <c r="K463" s="50" t="n">
        <v>5.1445</v>
      </c>
      <c r="L463" s="50" t="n">
        <v>1.1288</v>
      </c>
      <c r="M463" s="50" t="n">
        <v>0.59109</v>
      </c>
      <c r="N463" s="50" t="n">
        <v>11.2197</v>
      </c>
      <c r="O463" s="50" t="n">
        <v>2.4786</v>
      </c>
      <c r="R463" s="50" t="n">
        <v>195.32</v>
      </c>
      <c r="S463" s="50" t="n">
        <v>0.51332</v>
      </c>
      <c r="T463" s="50" t="n">
        <v>0.52451</v>
      </c>
      <c r="U463" s="50" t="n">
        <v>47.6955</v>
      </c>
      <c r="V463" s="50" t="n">
        <v>0.5123</v>
      </c>
      <c r="W463" s="50" t="n">
        <v>0.9006</v>
      </c>
      <c r="X463" s="50" t="n">
        <v>1.3453</v>
      </c>
      <c r="Y463" s="50" t="n">
        <v>1.4241</v>
      </c>
      <c r="Z463" s="50" t="n">
        <v>5.7302</v>
      </c>
      <c r="AA463" s="50" t="n">
        <v>2.6232</v>
      </c>
      <c r="AB463" s="50" t="n">
        <v>4.5545</v>
      </c>
    </row>
    <row r="464">
      <c r="A464" s="49" t="n">
        <v>45894</v>
      </c>
      <c r="B464" s="50" t="n">
        <v>7.1161</v>
      </c>
      <c r="C464" s="50" t="n">
        <v>8.3446</v>
      </c>
      <c r="D464" s="50" t="n">
        <v>0.04848</v>
      </c>
      <c r="E464" s="50" t="n">
        <v>0.91066</v>
      </c>
      <c r="F464" s="50" t="n">
        <v>9.633800000000001</v>
      </c>
      <c r="G464" s="50" t="n">
        <v>4.6243</v>
      </c>
      <c r="H464" s="50" t="n">
        <v>4.1831</v>
      </c>
      <c r="I464" s="50" t="n">
        <v>5.5645</v>
      </c>
      <c r="J464" s="50" t="n">
        <v>8.885400000000001</v>
      </c>
      <c r="K464" s="50" t="n">
        <v>5.1581</v>
      </c>
      <c r="L464" s="50" t="n">
        <v>1.1317</v>
      </c>
      <c r="M464" s="50" t="n">
        <v>0.59027</v>
      </c>
      <c r="N464" s="50" t="n">
        <v>11.258</v>
      </c>
      <c r="O464" s="50" t="n">
        <v>2.4448</v>
      </c>
      <c r="R464" s="50" t="n">
        <v>193.61</v>
      </c>
      <c r="S464" s="50" t="n">
        <v>0.51473</v>
      </c>
      <c r="T464" s="50" t="n">
        <v>0.5259200000000001</v>
      </c>
      <c r="U464" s="50" t="n">
        <v>47.33</v>
      </c>
      <c r="V464" s="50" t="n">
        <v>0.50979</v>
      </c>
      <c r="W464" s="50" t="n">
        <v>0.8947000000000001</v>
      </c>
      <c r="X464" s="50" t="n">
        <v>1.3331</v>
      </c>
      <c r="Y464" s="50" t="n">
        <v>1.4124</v>
      </c>
      <c r="Z464" s="50" t="n">
        <v>5.73485</v>
      </c>
      <c r="AA464" s="50" t="n">
        <v>2.607</v>
      </c>
      <c r="AB464" s="50" t="n">
        <v>4.5412</v>
      </c>
    </row>
    <row r="465">
      <c r="A465" s="49" t="n">
        <v>45895</v>
      </c>
      <c r="B465" s="50" t="n">
        <v>7.1188</v>
      </c>
      <c r="C465" s="50" t="n">
        <v>8.298</v>
      </c>
      <c r="D465" s="50" t="n">
        <v>0.048344</v>
      </c>
      <c r="E465" s="50" t="n">
        <v>0.91164</v>
      </c>
      <c r="F465" s="50" t="n">
        <v>9.6081</v>
      </c>
      <c r="G465" s="50" t="n">
        <v>4.6266</v>
      </c>
      <c r="H465" s="50" t="n">
        <v>4.1781</v>
      </c>
      <c r="I465" s="50" t="n">
        <v>5.5519</v>
      </c>
      <c r="J465" s="50" t="n">
        <v>8.859</v>
      </c>
      <c r="K465" s="50" t="n">
        <v>5.1526</v>
      </c>
      <c r="L465" s="50" t="n">
        <v>1.1304</v>
      </c>
      <c r="M465" s="50" t="n">
        <v>0.5895899999999999</v>
      </c>
      <c r="N465" s="50" t="n">
        <v>11.287</v>
      </c>
      <c r="O465" s="50" t="n">
        <v>2.4694</v>
      </c>
      <c r="R465" s="50" t="n">
        <v>194.5</v>
      </c>
      <c r="S465" s="50" t="n">
        <v>0.51442</v>
      </c>
      <c r="T465" s="50" t="n">
        <v>0.52552</v>
      </c>
      <c r="U465" s="50" t="n">
        <v>47.8659</v>
      </c>
      <c r="V465" s="50" t="n">
        <v>0.51323</v>
      </c>
      <c r="W465" s="50" t="n">
        <v>0.9</v>
      </c>
      <c r="X465" s="50" t="n">
        <v>1.343</v>
      </c>
      <c r="Y465" s="50" t="n">
        <v>1.4185</v>
      </c>
      <c r="Z465" s="50" t="n">
        <v>5.74058</v>
      </c>
      <c r="AA465" s="50" t="n">
        <v>2.6195</v>
      </c>
      <c r="AB465" s="50" t="n">
        <v>4.5414</v>
      </c>
    </row>
    <row r="466">
      <c r="A466" s="49" t="n">
        <v>45896</v>
      </c>
      <c r="B466" s="50" t="n">
        <v>7.1108</v>
      </c>
      <c r="C466" s="50" t="n">
        <v>8.292400000000001</v>
      </c>
      <c r="D466" s="50" t="n">
        <v>0.04839</v>
      </c>
      <c r="E466" s="50" t="n">
        <v>0.91299</v>
      </c>
      <c r="F466" s="50" t="n">
        <v>9.6082</v>
      </c>
      <c r="G466" s="50" t="n">
        <v>4.6278</v>
      </c>
      <c r="H466" s="50" t="n">
        <v>4.1759</v>
      </c>
      <c r="I466" s="50" t="n">
        <v>5.5464</v>
      </c>
      <c r="J466" s="50" t="n">
        <v>8.8667</v>
      </c>
      <c r="K466" s="50" t="n">
        <v>5.1535</v>
      </c>
      <c r="L466" s="50" t="n">
        <v>1.1287</v>
      </c>
      <c r="M466" s="50" t="n">
        <v>0.59117</v>
      </c>
      <c r="N466" s="50" t="n">
        <v>11.2527</v>
      </c>
      <c r="O466" s="50" t="n">
        <v>2.474</v>
      </c>
      <c r="R466" s="50" t="n">
        <v>195.32</v>
      </c>
      <c r="S466" s="50" t="n">
        <v>0.51505</v>
      </c>
      <c r="T466" s="50" t="n">
        <v>0.5261400000000001</v>
      </c>
      <c r="U466" s="50" t="n">
        <v>47.7129</v>
      </c>
      <c r="V466" s="50" t="n">
        <v>0.513</v>
      </c>
      <c r="W466" s="50" t="n">
        <v>0.9008</v>
      </c>
      <c r="X466" s="50" t="n">
        <v>1.3415</v>
      </c>
      <c r="Y466" s="50" t="n">
        <v>1.4211</v>
      </c>
      <c r="Z466" s="50" t="n">
        <v>5.75268</v>
      </c>
      <c r="AA466" s="50" t="n">
        <v>2.6185</v>
      </c>
      <c r="AB466" s="50" t="n">
        <v>4.5433</v>
      </c>
    </row>
    <row r="467">
      <c r="A467" s="49" t="n">
        <v>45897</v>
      </c>
      <c r="B467" s="50" t="n">
        <v>7.1063</v>
      </c>
      <c r="C467" s="50" t="n">
        <v>8.291499999999999</v>
      </c>
      <c r="D467" s="50" t="n">
        <v>0.048394</v>
      </c>
      <c r="E467" s="50" t="n">
        <v>0.91267</v>
      </c>
      <c r="F467" s="50" t="n">
        <v>9.615500000000001</v>
      </c>
      <c r="G467" s="50" t="n">
        <v>4.6374</v>
      </c>
      <c r="H467" s="50" t="n">
        <v>4.1769</v>
      </c>
      <c r="I467" s="50" t="n">
        <v>5.5421</v>
      </c>
      <c r="J467" s="50" t="n">
        <v>8.8803</v>
      </c>
      <c r="K467" s="50" t="n">
        <v>5.1682</v>
      </c>
      <c r="L467" s="50" t="n">
        <v>1.1292</v>
      </c>
      <c r="M467" s="50" t="n">
        <v>0.5934</v>
      </c>
      <c r="N467" s="50" t="n">
        <v>11.2408</v>
      </c>
      <c r="O467" s="50" t="n">
        <v>2.4856</v>
      </c>
      <c r="R467" s="50" t="n">
        <v>195.14</v>
      </c>
      <c r="S467" s="50" t="n">
        <v>0.51552</v>
      </c>
      <c r="T467" s="50" t="n">
        <v>0.52671</v>
      </c>
      <c r="U467" s="50" t="n">
        <v>47.7875</v>
      </c>
      <c r="V467" s="50" t="n">
        <v>0.5144300000000001</v>
      </c>
      <c r="W467" s="50" t="n">
        <v>0.9005</v>
      </c>
      <c r="X467" s="50" t="n">
        <v>1.3377</v>
      </c>
      <c r="Y467" s="50" t="n">
        <v>1.4145</v>
      </c>
      <c r="Z467" s="50" t="n">
        <v>5.76061</v>
      </c>
      <c r="AA467" s="50" t="n">
        <v>2.6202</v>
      </c>
      <c r="AB467" s="50" t="n">
        <v>4.5433</v>
      </c>
    </row>
    <row r="468">
      <c r="A468" s="49" t="n">
        <v>45898</v>
      </c>
      <c r="B468" s="50" t="n">
        <v>7.103</v>
      </c>
      <c r="C468" s="50" t="n">
        <v>8.300800000000001</v>
      </c>
      <c r="D468" s="50" t="n">
        <v>0.048428</v>
      </c>
      <c r="E468" s="50" t="n">
        <v>0.91157</v>
      </c>
      <c r="F468" s="50" t="n">
        <v>9.6043</v>
      </c>
      <c r="G468" s="50" t="n">
        <v>4.6432</v>
      </c>
      <c r="H468" s="50" t="n">
        <v>4.1847</v>
      </c>
      <c r="I468" s="50" t="n">
        <v>5.5453</v>
      </c>
      <c r="J468" s="50" t="n">
        <v>8.866300000000001</v>
      </c>
      <c r="K468" s="50" t="n">
        <v>5.1721</v>
      </c>
      <c r="L468" s="50" t="n">
        <v>1.1305</v>
      </c>
      <c r="M468" s="50" t="n">
        <v>0.59199</v>
      </c>
      <c r="N468" s="50" t="n">
        <v>11.3072</v>
      </c>
      <c r="O468" s="50" t="n">
        <v>2.4878</v>
      </c>
      <c r="R468" s="50" t="n">
        <v>194.75</v>
      </c>
      <c r="S468" s="50" t="n">
        <v>0.51646</v>
      </c>
      <c r="T468" s="50" t="n">
        <v>0.52763</v>
      </c>
      <c r="U468" s="50" t="n">
        <v>47.7477</v>
      </c>
      <c r="V468" s="50" t="n">
        <v>0.51323</v>
      </c>
      <c r="W468" s="50" t="n">
        <v>0.8994</v>
      </c>
      <c r="X468" s="50" t="n">
        <v>1.3336</v>
      </c>
      <c r="Y468" s="50" t="n">
        <v>1.4157</v>
      </c>
      <c r="Z468" s="50" t="n">
        <v>5.78333</v>
      </c>
      <c r="AA468" s="50" t="n">
        <v>2.6235</v>
      </c>
      <c r="AB468" s="50" t="n">
        <v>4.5359</v>
      </c>
    </row>
    <row r="469">
      <c r="A469" s="49" t="n">
        <v>45901</v>
      </c>
      <c r="B469" s="50" t="n">
        <v>7.1072</v>
      </c>
      <c r="C469" s="50" t="n">
        <v>8.312900000000001</v>
      </c>
      <c r="D469" s="50" t="n">
        <v>0.04834</v>
      </c>
      <c r="E469" s="50" t="n">
        <v>0.91174</v>
      </c>
      <c r="F469" s="50" t="n">
        <v>9.6061</v>
      </c>
      <c r="G469" s="50" t="n">
        <v>4.6542</v>
      </c>
      <c r="H469" s="50" t="n">
        <v>4.1963</v>
      </c>
      <c r="I469" s="50" t="n">
        <v>5.541</v>
      </c>
      <c r="J469" s="50" t="n">
        <v>8.8782</v>
      </c>
      <c r="K469" s="50" t="n">
        <v>5.1774</v>
      </c>
      <c r="L469" s="50" t="n">
        <v>1.1304</v>
      </c>
      <c r="M469" s="50" t="n">
        <v>0.59319</v>
      </c>
      <c r="N469" s="50" t="n">
        <v>11.2318</v>
      </c>
      <c r="O469" s="50" t="n">
        <v>2.4817</v>
      </c>
      <c r="R469" s="50" t="n">
        <v>195.31</v>
      </c>
      <c r="S469" s="50" t="n">
        <v>0.51622</v>
      </c>
      <c r="T469" s="50" t="n">
        <v>0.52745</v>
      </c>
      <c r="U469" s="50" t="n">
        <v>47.6915</v>
      </c>
      <c r="V469" s="50" t="n">
        <v>0.51259</v>
      </c>
      <c r="W469" s="50" t="n">
        <v>0.8981</v>
      </c>
      <c r="X469" s="50" t="n">
        <v>1.3296</v>
      </c>
      <c r="Y469" s="50" t="n">
        <v>1.4146</v>
      </c>
      <c r="Z469" s="50" t="n">
        <v>5.78058</v>
      </c>
      <c r="AA469" s="50" t="n">
        <v>2.6247</v>
      </c>
      <c r="AB469" s="50" t="n">
        <v>4.5391</v>
      </c>
    </row>
    <row r="470">
      <c r="A470" s="49" t="n">
        <v>45902</v>
      </c>
      <c r="B470" s="50" t="n">
        <v>7.1089</v>
      </c>
      <c r="C470" s="50" t="n">
        <v>8.3276</v>
      </c>
      <c r="D470" s="50" t="n">
        <v>0.048388</v>
      </c>
      <c r="E470" s="50" t="n">
        <v>0.91183</v>
      </c>
      <c r="F470" s="50" t="n">
        <v>9.6358</v>
      </c>
      <c r="G470" s="50" t="n">
        <v>4.6608</v>
      </c>
      <c r="H470" s="50" t="n">
        <v>4.2001</v>
      </c>
      <c r="I470" s="50" t="n">
        <v>5.5422</v>
      </c>
      <c r="J470" s="50" t="n">
        <v>8.8851</v>
      </c>
      <c r="K470" s="50" t="n">
        <v>5.1744</v>
      </c>
      <c r="L470" s="50" t="n">
        <v>1.1301</v>
      </c>
      <c r="M470" s="50" t="n">
        <v>0.59305</v>
      </c>
      <c r="N470" s="50" t="n">
        <v>11.3049</v>
      </c>
      <c r="O470" s="50" t="n">
        <v>2.4765</v>
      </c>
      <c r="R470" s="50" t="n">
        <v>195.67</v>
      </c>
      <c r="S470" s="50" t="n">
        <v>0.51614</v>
      </c>
      <c r="T470" s="50" t="n">
        <v>0.5273099999999999</v>
      </c>
      <c r="U470" s="50" t="n">
        <v>47.3973</v>
      </c>
      <c r="V470" s="50" t="n">
        <v>0.51123</v>
      </c>
      <c r="W470" s="50" t="n">
        <v>0.8967000000000001</v>
      </c>
      <c r="X470" s="50" t="n">
        <v>1.3201</v>
      </c>
      <c r="Y470" s="50" t="n">
        <v>1.405</v>
      </c>
      <c r="Z470" s="50" t="n">
        <v>5.77943</v>
      </c>
      <c r="AA470" s="50" t="n">
        <v>2.6218</v>
      </c>
      <c r="AB470" s="50" t="n">
        <v>4.5341</v>
      </c>
    </row>
    <row r="471">
      <c r="A471" s="49" t="n">
        <v>45903</v>
      </c>
      <c r="B471" s="50" t="n">
        <v>7.1108</v>
      </c>
      <c r="C471" s="50" t="n">
        <v>8.285500000000001</v>
      </c>
      <c r="D471" s="50" t="n">
        <v>0.048005</v>
      </c>
      <c r="E471" s="50" t="n">
        <v>0.91086</v>
      </c>
      <c r="F471" s="50" t="n">
        <v>9.5405</v>
      </c>
      <c r="G471" s="50" t="n">
        <v>4.6433</v>
      </c>
      <c r="H471" s="50" t="n">
        <v>4.1767</v>
      </c>
      <c r="I471" s="50" t="n">
        <v>5.5265</v>
      </c>
      <c r="J471" s="50" t="n">
        <v>8.8514</v>
      </c>
      <c r="K471" s="50" t="n">
        <v>5.1706</v>
      </c>
      <c r="L471" s="50" t="n">
        <v>1.1313</v>
      </c>
      <c r="M471" s="50" t="n">
        <v>0.59398</v>
      </c>
      <c r="N471" s="50" t="n">
        <v>11.2879</v>
      </c>
      <c r="O471" s="50" t="n">
        <v>2.4843</v>
      </c>
      <c r="R471" s="50" t="n">
        <v>195.8</v>
      </c>
      <c r="S471" s="50" t="n">
        <v>0.51523</v>
      </c>
      <c r="T471" s="50" t="n">
        <v>0.52642</v>
      </c>
      <c r="U471" s="50" t="n">
        <v>47.7284</v>
      </c>
      <c r="V471" s="50" t="n">
        <v>0.51451</v>
      </c>
      <c r="W471" s="50" t="n">
        <v>0.9016</v>
      </c>
      <c r="X471" s="50" t="n">
        <v>1.3284</v>
      </c>
      <c r="Y471" s="50" t="n">
        <v>1.4088</v>
      </c>
      <c r="Z471" s="50" t="n">
        <v>5.77585</v>
      </c>
      <c r="AA471" s="50" t="n">
        <v>2.6308</v>
      </c>
      <c r="AB471" s="50" t="n">
        <v>4.5327</v>
      </c>
    </row>
    <row r="472">
      <c r="A472" s="49" t="n">
        <v>45904</v>
      </c>
      <c r="B472" s="50" t="n">
        <v>7.1052</v>
      </c>
      <c r="C472" s="50" t="n">
        <v>8.297000000000001</v>
      </c>
      <c r="D472" s="50" t="n">
        <v>0.048112</v>
      </c>
      <c r="E472" s="50" t="n">
        <v>0.91115</v>
      </c>
      <c r="F472" s="50" t="n">
        <v>9.5654</v>
      </c>
      <c r="G472" s="50" t="n">
        <v>4.6584</v>
      </c>
      <c r="H472" s="50" t="n">
        <v>4.1889</v>
      </c>
      <c r="I472" s="50" t="n">
        <v>5.5264</v>
      </c>
      <c r="J472" s="50" t="n">
        <v>8.8491</v>
      </c>
      <c r="K472" s="50" t="n">
        <v>5.1595</v>
      </c>
      <c r="L472" s="50" t="n">
        <v>1.131</v>
      </c>
      <c r="M472" s="50" t="n">
        <v>0.5931</v>
      </c>
      <c r="N472" s="50" t="n">
        <v>11.3431</v>
      </c>
      <c r="O472" s="50" t="n">
        <v>2.4826</v>
      </c>
      <c r="R472" s="50" t="n">
        <v>195.07</v>
      </c>
      <c r="S472" s="50" t="n">
        <v>0.51584</v>
      </c>
      <c r="T472" s="50" t="n">
        <v>0.52703</v>
      </c>
      <c r="U472" s="50" t="n">
        <v>47.3989</v>
      </c>
      <c r="V472" s="50" t="n">
        <v>0.51233</v>
      </c>
      <c r="W472" s="50" t="n">
        <v>0.8997000000000001</v>
      </c>
      <c r="X472" s="50" t="n">
        <v>1.3243</v>
      </c>
      <c r="Y472" s="50" t="n">
        <v>1.4101</v>
      </c>
      <c r="Z472" s="50" t="n">
        <v>5.77788</v>
      </c>
      <c r="AA472" s="50" t="n">
        <v>2.6286</v>
      </c>
      <c r="AB472" s="50" t="n">
        <v>4.528</v>
      </c>
    </row>
    <row r="473">
      <c r="A473" s="49" t="n">
        <v>45905</v>
      </c>
      <c r="B473" s="50" t="n">
        <v>7.1064</v>
      </c>
      <c r="C473" s="50" t="n">
        <v>8.295299999999999</v>
      </c>
      <c r="D473" s="50" t="n">
        <v>0.047992</v>
      </c>
      <c r="E473" s="50" t="n">
        <v>0.91103</v>
      </c>
      <c r="F473" s="50" t="n">
        <v>9.568899999999999</v>
      </c>
      <c r="G473" s="50" t="n">
        <v>4.6426</v>
      </c>
      <c r="H473" s="50" t="n">
        <v>4.1681</v>
      </c>
      <c r="I473" s="50" t="n">
        <v>5.5225</v>
      </c>
      <c r="J473" s="50" t="n">
        <v>8.837999999999999</v>
      </c>
      <c r="K473" s="50" t="n">
        <v>5.1528</v>
      </c>
      <c r="L473" s="50" t="n">
        <v>1.1311</v>
      </c>
      <c r="M473" s="50" t="n">
        <v>0.59356</v>
      </c>
      <c r="N473" s="50" t="n">
        <v>11.3902</v>
      </c>
      <c r="O473" s="50" t="n">
        <v>2.4954</v>
      </c>
      <c r="R473" s="50" t="n">
        <v>195.45</v>
      </c>
      <c r="S473" s="50" t="n">
        <v>0.51572</v>
      </c>
      <c r="T473" s="50" t="n">
        <v>0.52691</v>
      </c>
      <c r="U473" s="50" t="n">
        <v>47.3641</v>
      </c>
      <c r="V473" s="50" t="n">
        <v>0.5124</v>
      </c>
      <c r="W473" s="50" t="n">
        <v>0.9</v>
      </c>
      <c r="X473" s="50" t="n">
        <v>1.3286</v>
      </c>
      <c r="Y473" s="50" t="n">
        <v>1.4158</v>
      </c>
      <c r="Z473" s="50" t="n">
        <v>5.79156</v>
      </c>
      <c r="AA473" s="50" t="n">
        <v>2.6326</v>
      </c>
      <c r="AB473" s="50" t="n">
        <v>4.5296</v>
      </c>
    </row>
    <row r="474">
      <c r="A474" s="49" t="n">
        <v>45908</v>
      </c>
      <c r="B474" s="50" t="n">
        <v>7.1029</v>
      </c>
      <c r="C474" s="50" t="n">
        <v>8.326499999999999</v>
      </c>
      <c r="D474" s="50" t="n">
        <v>0.047936</v>
      </c>
      <c r="E474" s="50" t="n">
        <v>0.91094</v>
      </c>
      <c r="F474" s="50" t="n">
        <v>9.5928</v>
      </c>
      <c r="G474" s="50" t="n">
        <v>4.6595</v>
      </c>
      <c r="H474" s="50" t="n">
        <v>4.1888</v>
      </c>
      <c r="I474" s="50" t="n">
        <v>5.5309</v>
      </c>
      <c r="J474" s="50" t="n">
        <v>8.896100000000001</v>
      </c>
      <c r="K474" s="50" t="n">
        <v>5.139</v>
      </c>
      <c r="L474" s="50" t="n">
        <v>1.1316</v>
      </c>
      <c r="M474" s="50" t="n">
        <v>0.59365</v>
      </c>
      <c r="N474" s="50" t="n">
        <v>11.4304</v>
      </c>
      <c r="O474" s="50" t="n">
        <v>2.4777</v>
      </c>
      <c r="R474" s="50" t="n">
        <v>195.06</v>
      </c>
      <c r="S474" s="50" t="n">
        <v>0.51647</v>
      </c>
      <c r="T474" s="50" t="n">
        <v>0.52756</v>
      </c>
      <c r="U474" s="50" t="n">
        <v>47.1426</v>
      </c>
      <c r="V474" s="50" t="n">
        <v>0.51047</v>
      </c>
      <c r="W474" s="50" t="n">
        <v>0.8967000000000001</v>
      </c>
      <c r="X474" s="50" t="n">
        <v>1.3198</v>
      </c>
      <c r="Y474" s="50" t="n">
        <v>1.4093</v>
      </c>
      <c r="Z474" s="50" t="n">
        <v>5.79838</v>
      </c>
      <c r="AA474" s="50" t="n">
        <v>2.631</v>
      </c>
      <c r="AB474" s="50" t="n">
        <v>4.5079</v>
      </c>
    </row>
    <row r="475">
      <c r="A475" s="49" t="n">
        <v>45909</v>
      </c>
      <c r="B475" s="50" t="n">
        <v>7.1008</v>
      </c>
      <c r="C475" s="50" t="n">
        <v>8.3611</v>
      </c>
      <c r="D475" s="50" t="n">
        <v>0.04828</v>
      </c>
      <c r="E475" s="50" t="n">
        <v>0.91121</v>
      </c>
      <c r="F475" s="50" t="n">
        <v>9.629799999999999</v>
      </c>
      <c r="G475" s="50" t="n">
        <v>4.6888</v>
      </c>
      <c r="H475" s="50" t="n">
        <v>4.228</v>
      </c>
      <c r="I475" s="50" t="n">
        <v>5.5421</v>
      </c>
      <c r="J475" s="50" t="n">
        <v>8.9574</v>
      </c>
      <c r="K475" s="50" t="n">
        <v>5.1478</v>
      </c>
      <c r="L475" s="50" t="n">
        <v>1.1312</v>
      </c>
      <c r="M475" s="50" t="n">
        <v>0.59232</v>
      </c>
      <c r="N475" s="50" t="n">
        <v>11.5967</v>
      </c>
      <c r="O475" s="50" t="n">
        <v>2.4608</v>
      </c>
      <c r="R475" s="50" t="n">
        <v>194.82</v>
      </c>
      <c r="S475" s="50" t="n">
        <v>0.51685</v>
      </c>
      <c r="T475" s="50" t="n">
        <v>0.52781</v>
      </c>
      <c r="U475" s="50" t="n">
        <v>46.9921</v>
      </c>
      <c r="V475" s="50" t="n">
        <v>0.50793</v>
      </c>
      <c r="W475" s="50" t="n">
        <v>0.8929</v>
      </c>
      <c r="X475" s="50" t="n">
        <v>1.3162</v>
      </c>
      <c r="Y475" s="50" t="n">
        <v>1.4044</v>
      </c>
      <c r="Z475" s="50" t="n">
        <v>5.80497</v>
      </c>
      <c r="AA475" s="50" t="n">
        <v>2.6251</v>
      </c>
      <c r="AB475" s="50" t="n">
        <v>4.457</v>
      </c>
    </row>
    <row r="476">
      <c r="A476" s="49" t="n">
        <v>45910</v>
      </c>
      <c r="B476" s="50" t="n">
        <v>7.1062</v>
      </c>
      <c r="C476" s="50" t="n">
        <v>8.321</v>
      </c>
      <c r="D476" s="50" t="n">
        <v>0.048274</v>
      </c>
      <c r="E476" s="50" t="n">
        <v>0.91226</v>
      </c>
      <c r="F476" s="50" t="n">
        <v>9.619300000000001</v>
      </c>
      <c r="G476" s="50" t="n">
        <v>4.6859</v>
      </c>
      <c r="H476" s="50" t="n">
        <v>4.2181</v>
      </c>
      <c r="I476" s="50" t="n">
        <v>5.5448</v>
      </c>
      <c r="J476" s="50" t="n">
        <v>8.9214</v>
      </c>
      <c r="K476" s="50" t="n">
        <v>5.1392</v>
      </c>
      <c r="L476" s="50" t="n">
        <v>1.1297</v>
      </c>
      <c r="M476" s="50" t="n">
        <v>0.5921999999999999</v>
      </c>
      <c r="N476" s="50" t="n">
        <v>11.7539</v>
      </c>
      <c r="O476" s="50" t="n">
        <v>2.4681</v>
      </c>
      <c r="R476" s="50" t="n">
        <v>195.05</v>
      </c>
      <c r="S476" s="50" t="n">
        <v>0.51606</v>
      </c>
      <c r="T476" s="50" t="n">
        <v>0.52715</v>
      </c>
      <c r="U476" s="50" t="n">
        <v>47.2219</v>
      </c>
      <c r="V476" s="50" t="n">
        <v>0.51073</v>
      </c>
      <c r="W476" s="50" t="n">
        <v>0.8975</v>
      </c>
      <c r="X476" s="50" t="n">
        <v>1.3195</v>
      </c>
      <c r="Y476" s="50" t="n">
        <v>1.4044</v>
      </c>
      <c r="Z476" s="50" t="n">
        <v>5.7965</v>
      </c>
      <c r="AA476" s="50" t="n">
        <v>2.6192</v>
      </c>
      <c r="AB476" s="50" t="n">
        <v>4.4585</v>
      </c>
    </row>
    <row r="477">
      <c r="A477" s="49" t="n">
        <v>45911</v>
      </c>
      <c r="B477" s="50" t="n">
        <v>7.1034</v>
      </c>
      <c r="C477" s="50" t="n">
        <v>8.315799999999999</v>
      </c>
      <c r="D477" s="50" t="n">
        <v>0.048262</v>
      </c>
      <c r="E477" s="50" t="n">
        <v>0.91189</v>
      </c>
      <c r="F477" s="50" t="n">
        <v>9.621700000000001</v>
      </c>
      <c r="G477" s="50" t="n">
        <v>4.7058</v>
      </c>
      <c r="H477" s="50" t="n">
        <v>4.2249</v>
      </c>
      <c r="I477" s="50" t="n">
        <v>5.5452</v>
      </c>
      <c r="J477" s="50" t="n">
        <v>8.899800000000001</v>
      </c>
      <c r="K477" s="50" t="n">
        <v>5.1293</v>
      </c>
      <c r="L477" s="50" t="n">
        <v>1.1301</v>
      </c>
      <c r="M477" s="50" t="n">
        <v>0.59328</v>
      </c>
      <c r="N477" s="50" t="n">
        <v>11.9236</v>
      </c>
      <c r="O477" s="50" t="n">
        <v>2.461</v>
      </c>
      <c r="R477" s="50" t="n">
        <v>195.23</v>
      </c>
      <c r="S477" s="50" t="n">
        <v>0.51667</v>
      </c>
      <c r="T477" s="50" t="n">
        <v>0.5277500000000001</v>
      </c>
      <c r="U477" s="50" t="n">
        <v>47.2557</v>
      </c>
      <c r="V477" s="50" t="n">
        <v>0.51228</v>
      </c>
      <c r="W477" s="50" t="n">
        <v>0.8976</v>
      </c>
      <c r="X477" s="50" t="n">
        <v>1.3144</v>
      </c>
      <c r="Y477" s="50" t="n">
        <v>1.3966</v>
      </c>
      <c r="Z477" s="50" t="n">
        <v>5.806</v>
      </c>
      <c r="AA477" s="50" t="n">
        <v>2.6164</v>
      </c>
      <c r="AB477" s="50" t="n">
        <v>4.464</v>
      </c>
    </row>
    <row r="478">
      <c r="A478" s="49" t="n">
        <v>45912</v>
      </c>
      <c r="B478" s="50" t="n">
        <v>7.1019</v>
      </c>
      <c r="C478" s="50" t="n">
        <v>8.332599999999999</v>
      </c>
      <c r="D478" s="50" t="n">
        <v>0.048263</v>
      </c>
      <c r="E478" s="50" t="n">
        <v>0.91193</v>
      </c>
      <c r="F478" s="50" t="n">
        <v>9.641500000000001</v>
      </c>
      <c r="G478" s="50" t="n">
        <v>4.732</v>
      </c>
      <c r="H478" s="50" t="n">
        <v>4.2445</v>
      </c>
      <c r="I478" s="50" t="n">
        <v>5.5417</v>
      </c>
      <c r="J478" s="50" t="n">
        <v>8.9238</v>
      </c>
      <c r="K478" s="50" t="n">
        <v>5.1341</v>
      </c>
      <c r="L478" s="50" t="n">
        <v>1.1295</v>
      </c>
      <c r="M478" s="50" t="n">
        <v>0.59351</v>
      </c>
      <c r="N478" s="50" t="n">
        <v>11.9189</v>
      </c>
      <c r="O478" s="50" t="n">
        <v>2.4446</v>
      </c>
      <c r="R478" s="50" t="n">
        <v>195.54</v>
      </c>
      <c r="S478" s="50" t="n">
        <v>0.51715</v>
      </c>
      <c r="T478" s="50" t="n">
        <v>0.5282</v>
      </c>
      <c r="U478" s="50" t="n">
        <v>46.9633</v>
      </c>
      <c r="V478" s="50" t="n">
        <v>0.51047</v>
      </c>
      <c r="W478" s="50" t="n">
        <v>0.8958</v>
      </c>
      <c r="X478" s="50" t="n">
        <v>1.3111</v>
      </c>
      <c r="Y478" s="50" t="n">
        <v>1.388</v>
      </c>
      <c r="Z478" s="50" t="n">
        <v>5.82043</v>
      </c>
      <c r="AA478" s="50" t="n">
        <v>2.6007</v>
      </c>
      <c r="AB478" s="50" t="n">
        <v>4.4641</v>
      </c>
    </row>
    <row r="479">
      <c r="A479" s="49" t="n">
        <v>45915</v>
      </c>
      <c r="B479" s="50" t="n">
        <v>7.1056</v>
      </c>
      <c r="C479" s="50" t="n">
        <v>8.332700000000001</v>
      </c>
      <c r="D479" s="50" t="n">
        <v>0.048147</v>
      </c>
      <c r="E479" s="50" t="n">
        <v>0.91331</v>
      </c>
      <c r="F479" s="50" t="n">
        <v>9.6351</v>
      </c>
      <c r="G479" s="50" t="n">
        <v>4.7258</v>
      </c>
      <c r="H479" s="50" t="n">
        <v>4.2332</v>
      </c>
      <c r="I479" s="50" t="n">
        <v>5.5412</v>
      </c>
      <c r="J479" s="50" t="n">
        <v>8.922700000000001</v>
      </c>
      <c r="K479" s="50" t="n">
        <v>5.1366</v>
      </c>
      <c r="L479" s="50" t="n">
        <v>1.1283</v>
      </c>
      <c r="M479" s="50" t="n">
        <v>0.5910300000000001</v>
      </c>
      <c r="N479" s="50" t="n">
        <v>11.751</v>
      </c>
      <c r="O479" s="50" t="n">
        <v>2.4443</v>
      </c>
      <c r="R479" s="50" t="n">
        <v>195.85</v>
      </c>
      <c r="S479" s="50" t="n">
        <v>0.51669</v>
      </c>
      <c r="T479" s="50" t="n">
        <v>0.52771</v>
      </c>
      <c r="U479" s="50" t="n">
        <v>46.8357</v>
      </c>
      <c r="V479" s="50" t="n">
        <v>0.51044</v>
      </c>
      <c r="W479" s="50" t="n">
        <v>0.8956</v>
      </c>
      <c r="X479" s="50" t="n">
        <v>1.3119</v>
      </c>
      <c r="Y479" s="50" t="n">
        <v>1.3876</v>
      </c>
      <c r="Z479" s="50" t="n">
        <v>5.81309</v>
      </c>
      <c r="AA479" s="50" t="n">
        <v>2.5963</v>
      </c>
      <c r="AB479" s="50" t="n">
        <v>4.4627</v>
      </c>
    </row>
    <row r="480">
      <c r="A480" s="49" t="n">
        <v>45916</v>
      </c>
      <c r="B480" s="50" t="n">
        <v>7.1027</v>
      </c>
      <c r="C480" s="50" t="n">
        <v>8.357100000000001</v>
      </c>
      <c r="D480" s="50" t="n">
        <v>0.048211</v>
      </c>
      <c r="E480" s="50" t="n">
        <v>0.913</v>
      </c>
      <c r="F480" s="50" t="n">
        <v>9.664300000000001</v>
      </c>
      <c r="G480" s="50" t="n">
        <v>4.7396</v>
      </c>
      <c r="H480" s="50" t="n">
        <v>4.2404</v>
      </c>
      <c r="I480" s="50" t="n">
        <v>5.5508</v>
      </c>
      <c r="J480" s="50" t="n">
        <v>8.9411</v>
      </c>
      <c r="K480" s="50" t="n">
        <v>5.1581</v>
      </c>
      <c r="L480" s="50" t="n">
        <v>1.1289</v>
      </c>
      <c r="M480" s="50" t="n">
        <v>0.59097</v>
      </c>
      <c r="N480" s="50" t="n">
        <v>11.6497</v>
      </c>
      <c r="O480" s="50" t="n">
        <v>2.4434</v>
      </c>
      <c r="R480" s="50" t="n">
        <v>194.82</v>
      </c>
      <c r="S480" s="50" t="n">
        <v>0.51681</v>
      </c>
      <c r="T480" s="50" t="n">
        <v>0.52782</v>
      </c>
      <c r="U480" s="50" t="n">
        <v>46.5779</v>
      </c>
      <c r="V480" s="50" t="n">
        <v>0.50803</v>
      </c>
      <c r="W480" s="50" t="n">
        <v>0.8932</v>
      </c>
      <c r="X480" s="50" t="n">
        <v>1.3056</v>
      </c>
      <c r="Y480" s="50" t="n">
        <v>1.3829</v>
      </c>
      <c r="Z480" s="50" t="n">
        <v>5.81145</v>
      </c>
      <c r="AA480" s="50" t="n">
        <v>2.5838</v>
      </c>
      <c r="AB480" s="50" t="n">
        <v>4.474</v>
      </c>
    </row>
    <row r="481">
      <c r="A481" s="49" t="n">
        <v>45917</v>
      </c>
      <c r="B481" s="50" t="n">
        <v>7.1013</v>
      </c>
      <c r="C481" s="50" t="n">
        <v>8.424899999999999</v>
      </c>
      <c r="D481" s="50" t="n">
        <v>0.04851</v>
      </c>
      <c r="E481" s="50" t="n">
        <v>0.91278</v>
      </c>
      <c r="F481" s="50" t="n">
        <v>9.692399999999999</v>
      </c>
      <c r="G481" s="50" t="n">
        <v>4.747</v>
      </c>
      <c r="H481" s="50" t="n">
        <v>4.2521</v>
      </c>
      <c r="I481" s="50" t="n">
        <v>5.566</v>
      </c>
      <c r="J481" s="50" t="n">
        <v>9.0327</v>
      </c>
      <c r="K481" s="50" t="n">
        <v>5.1671</v>
      </c>
      <c r="L481" s="50" t="n">
        <v>1.129</v>
      </c>
      <c r="M481" s="50" t="n">
        <v>0.59083</v>
      </c>
      <c r="N481" s="50" t="n">
        <v>11.7061</v>
      </c>
      <c r="O481" s="50" t="n">
        <v>2.4425</v>
      </c>
      <c r="R481" s="50" t="n">
        <v>194.23</v>
      </c>
      <c r="S481" s="50" t="n">
        <v>0.51736</v>
      </c>
      <c r="T481" s="50" t="n">
        <v>0.52838</v>
      </c>
      <c r="U481" s="50" t="n">
        <v>46.2049</v>
      </c>
      <c r="V481" s="50" t="n">
        <v>0.50417</v>
      </c>
      <c r="W481" s="50" t="n">
        <v>0.8858</v>
      </c>
      <c r="X481" s="50" t="n">
        <v>1.2996</v>
      </c>
      <c r="Y481" s="50" t="n">
        <v>1.3749</v>
      </c>
      <c r="Z481" s="50" t="n">
        <v>5.8173</v>
      </c>
      <c r="AA481" s="50" t="n">
        <v>2.5765</v>
      </c>
      <c r="AB481" s="50" t="n">
        <v>4.4583</v>
      </c>
    </row>
    <row r="482">
      <c r="A482" s="49" t="n">
        <v>45918</v>
      </c>
      <c r="B482" s="50" t="n">
        <v>7.1085</v>
      </c>
      <c r="C482" s="50" t="n">
        <v>8.4025</v>
      </c>
      <c r="D482" s="50" t="n">
        <v>0.048396</v>
      </c>
      <c r="E482" s="50" t="n">
        <v>0.9141899999999999</v>
      </c>
      <c r="F482" s="50" t="n">
        <v>9.6899</v>
      </c>
      <c r="G482" s="50" t="n">
        <v>4.7292</v>
      </c>
      <c r="H482" s="50" t="n">
        <v>4.2172</v>
      </c>
      <c r="I482" s="50" t="n">
        <v>5.5611</v>
      </c>
      <c r="J482" s="50" t="n">
        <v>9.0161</v>
      </c>
      <c r="K482" s="50" t="n">
        <v>5.1619</v>
      </c>
      <c r="L482" s="50" t="n">
        <v>1.1275</v>
      </c>
      <c r="M482" s="50" t="n">
        <v>0.59009</v>
      </c>
      <c r="N482" s="50" t="n">
        <v>11.7952</v>
      </c>
      <c r="O482" s="50" t="n">
        <v>2.4463</v>
      </c>
      <c r="R482" s="50" t="n">
        <v>194.38</v>
      </c>
      <c r="S482" s="50" t="n">
        <v>0.51668</v>
      </c>
      <c r="T482" s="50" t="n">
        <v>0.52778</v>
      </c>
      <c r="U482" s="50" t="n">
        <v>46.397</v>
      </c>
      <c r="V482" s="50" t="n">
        <v>0.50637</v>
      </c>
      <c r="W482" s="50" t="n">
        <v>0.8883</v>
      </c>
      <c r="X482" s="50" t="n">
        <v>1.3067</v>
      </c>
      <c r="Y482" s="50" t="n">
        <v>1.3801</v>
      </c>
      <c r="Z482" s="50" t="n">
        <v>5.81058</v>
      </c>
      <c r="AA482" s="50" t="n">
        <v>2.5774</v>
      </c>
      <c r="AB482" s="50" t="n">
        <v>4.4721</v>
      </c>
    </row>
    <row r="483">
      <c r="A483" s="49" t="n">
        <v>45919</v>
      </c>
      <c r="B483" s="50" t="n">
        <v>7.1128</v>
      </c>
      <c r="C483" s="50" t="n">
        <v>8.3834</v>
      </c>
      <c r="D483" s="50" t="n">
        <v>0.048076</v>
      </c>
      <c r="E483" s="50" t="n">
        <v>0.91457</v>
      </c>
      <c r="F483" s="50" t="n">
        <v>9.641299999999999</v>
      </c>
      <c r="G483" s="50" t="n">
        <v>4.7059</v>
      </c>
      <c r="H483" s="50" t="n">
        <v>4.188</v>
      </c>
      <c r="I483" s="50" t="n">
        <v>5.5475</v>
      </c>
      <c r="J483" s="50" t="n">
        <v>8.9787</v>
      </c>
      <c r="K483" s="50" t="n">
        <v>5.1574</v>
      </c>
      <c r="L483" s="50" t="n">
        <v>1.1268</v>
      </c>
      <c r="M483" s="50" t="n">
        <v>0.59029</v>
      </c>
      <c r="N483" s="50" t="n">
        <v>11.7015</v>
      </c>
      <c r="O483" s="50" t="n">
        <v>2.44</v>
      </c>
      <c r="R483" s="50" t="n">
        <v>195.32</v>
      </c>
      <c r="S483" s="50" t="n">
        <v>0.51629</v>
      </c>
      <c r="T483" s="50" t="n">
        <v>0.52718</v>
      </c>
      <c r="U483" s="50" t="n">
        <v>46.422</v>
      </c>
      <c r="V483" s="50" t="n">
        <v>0.50809</v>
      </c>
      <c r="W483" s="50" t="n">
        <v>0.8901</v>
      </c>
      <c r="X483" s="50" t="n">
        <v>1.314</v>
      </c>
      <c r="Y483" s="50" t="n">
        <v>1.3885</v>
      </c>
      <c r="Z483" s="50" t="n">
        <v>5.81809</v>
      </c>
      <c r="AA483" s="50" t="n">
        <v>2.5831</v>
      </c>
      <c r="AB483" s="50" t="n">
        <v>4.4836</v>
      </c>
    </row>
    <row r="484">
      <c r="A484" s="49" t="n">
        <v>45922</v>
      </c>
      <c r="B484" s="50" t="n">
        <v>7.1106</v>
      </c>
      <c r="C484" s="50" t="n">
        <v>8.351599999999999</v>
      </c>
      <c r="D484" s="50" t="n">
        <v>0.04806</v>
      </c>
      <c r="E484" s="50" t="n">
        <v>0.91499</v>
      </c>
      <c r="F484" s="50" t="n">
        <v>9.584099999999999</v>
      </c>
      <c r="G484" s="50" t="n">
        <v>4.6911</v>
      </c>
      <c r="H484" s="50" t="n">
        <v>4.1658</v>
      </c>
      <c r="I484" s="50" t="n">
        <v>5.537</v>
      </c>
      <c r="J484" s="50" t="n">
        <v>8.936999999999999</v>
      </c>
      <c r="K484" s="50" t="n">
        <v>5.1626</v>
      </c>
      <c r="L484" s="50" t="n">
        <v>1.1262</v>
      </c>
      <c r="M484" s="50" t="n">
        <v>0.59122</v>
      </c>
      <c r="N484" s="50" t="n">
        <v>11.7301</v>
      </c>
      <c r="O484" s="50" t="n">
        <v>2.4358</v>
      </c>
      <c r="R484" s="50" t="n">
        <v>196.35</v>
      </c>
      <c r="S484" s="50" t="n">
        <v>0.51619</v>
      </c>
      <c r="T484" s="50" t="n">
        <v>0.5270899999999999</v>
      </c>
      <c r="U484" s="50" t="n">
        <v>46.7496</v>
      </c>
      <c r="V484" s="50" t="n">
        <v>0.51081</v>
      </c>
      <c r="W484" s="50" t="n">
        <v>0.8937</v>
      </c>
      <c r="X484" s="50" t="n">
        <v>1.3233</v>
      </c>
      <c r="Y484" s="50" t="n">
        <v>1.3952</v>
      </c>
      <c r="Z484" s="50" t="n">
        <v>5.8188</v>
      </c>
      <c r="AA484" s="50" t="n">
        <v>2.5892</v>
      </c>
      <c r="AB484" s="50" t="n">
        <v>4.4771</v>
      </c>
    </row>
    <row r="485">
      <c r="A485" s="49" t="n">
        <v>45923</v>
      </c>
      <c r="B485" s="50" t="n">
        <v>7.1057</v>
      </c>
      <c r="C485" s="50" t="n">
        <v>8.387700000000001</v>
      </c>
      <c r="D485" s="50" t="n">
        <v>0.048108</v>
      </c>
      <c r="E485" s="50" t="n">
        <v>0.91451</v>
      </c>
      <c r="F485" s="50" t="n">
        <v>9.603999999999999</v>
      </c>
      <c r="G485" s="50" t="n">
        <v>4.6891</v>
      </c>
      <c r="H485" s="50" t="n">
        <v>4.1696</v>
      </c>
      <c r="I485" s="50" t="n">
        <v>5.545</v>
      </c>
      <c r="J485" s="50" t="n">
        <v>8.968999999999999</v>
      </c>
      <c r="K485" s="50" t="n">
        <v>5.14</v>
      </c>
      <c r="L485" s="50" t="n">
        <v>1.1268</v>
      </c>
      <c r="M485" s="50" t="n">
        <v>0.59106</v>
      </c>
      <c r="N485" s="50" t="n">
        <v>11.7621</v>
      </c>
      <c r="O485" s="50" t="n">
        <v>2.4404</v>
      </c>
      <c r="R485" s="50" t="n">
        <v>195.75</v>
      </c>
      <c r="S485" s="50" t="n">
        <v>0.51684</v>
      </c>
      <c r="T485" s="50" t="n">
        <v>0.52779</v>
      </c>
      <c r="U485" s="50" t="n">
        <v>46.3917</v>
      </c>
      <c r="V485" s="50" t="n">
        <v>0.50747</v>
      </c>
      <c r="W485" s="50" t="n">
        <v>0.89</v>
      </c>
      <c r="X485" s="50" t="n">
        <v>1.3165</v>
      </c>
      <c r="Y485" s="50" t="n">
        <v>1.3956</v>
      </c>
      <c r="Z485" s="50" t="n">
        <v>5.82522</v>
      </c>
      <c r="AA485" s="50" t="n">
        <v>2.5834</v>
      </c>
      <c r="AB485" s="50" t="n">
        <v>4.4708</v>
      </c>
    </row>
    <row r="486">
      <c r="A486" s="49" t="n">
        <v>45924</v>
      </c>
      <c r="B486" s="50" t="n">
        <v>7.1077</v>
      </c>
      <c r="C486" s="50" t="n">
        <v>8.3939</v>
      </c>
      <c r="D486" s="50" t="n">
        <v>0.048147</v>
      </c>
      <c r="E486" s="50" t="n">
        <v>0.91429</v>
      </c>
      <c r="F486" s="50" t="n">
        <v>9.6106</v>
      </c>
      <c r="G486" s="50" t="n">
        <v>4.6894</v>
      </c>
      <c r="H486" s="50" t="n">
        <v>4.163</v>
      </c>
      <c r="I486" s="50" t="n">
        <v>5.5387</v>
      </c>
      <c r="J486" s="50" t="n">
        <v>8.979100000000001</v>
      </c>
      <c r="K486" s="50" t="n">
        <v>5.1363</v>
      </c>
      <c r="L486" s="50" t="n">
        <v>1.1271</v>
      </c>
      <c r="M486" s="50" t="n">
        <v>0.59046</v>
      </c>
      <c r="N486" s="50" t="n">
        <v>11.7567</v>
      </c>
      <c r="O486" s="50" t="n">
        <v>2.4267</v>
      </c>
      <c r="R486" s="50" t="n">
        <v>196.05</v>
      </c>
      <c r="S486" s="50" t="n">
        <v>0.51675</v>
      </c>
      <c r="T486" s="50" t="n">
        <v>0.52772</v>
      </c>
      <c r="U486" s="50" t="n">
        <v>46.4425</v>
      </c>
      <c r="V486" s="50" t="n">
        <v>0.50718</v>
      </c>
      <c r="W486" s="50" t="n">
        <v>0.8891</v>
      </c>
      <c r="X486" s="50" t="n">
        <v>1.3135</v>
      </c>
      <c r="Y486" s="50" t="n">
        <v>1.3908</v>
      </c>
      <c r="Z486" s="50" t="n">
        <v>5.82693</v>
      </c>
      <c r="AA486" s="50" t="n">
        <v>2.5818</v>
      </c>
      <c r="AB486" s="50" t="n">
        <v>4.4827</v>
      </c>
    </row>
    <row r="487">
      <c r="A487" s="49" t="n">
        <v>45925</v>
      </c>
      <c r="B487" s="50" t="n">
        <v>7.1118</v>
      </c>
      <c r="C487" s="50" t="n">
        <v>8.3614</v>
      </c>
      <c r="D487" s="50" t="n">
        <v>0.047885</v>
      </c>
      <c r="E487" s="50" t="n">
        <v>0.91434</v>
      </c>
      <c r="F487" s="50" t="n">
        <v>9.5817</v>
      </c>
      <c r="G487" s="50" t="n">
        <v>4.6924</v>
      </c>
      <c r="H487" s="50" t="n">
        <v>4.1461</v>
      </c>
      <c r="I487" s="50" t="n">
        <v>5.5271</v>
      </c>
      <c r="J487" s="50" t="n">
        <v>8.963200000000001</v>
      </c>
      <c r="K487" s="50" t="n">
        <v>5.1261</v>
      </c>
      <c r="L487" s="50" t="n">
        <v>1.127</v>
      </c>
      <c r="M487" s="50" t="n">
        <v>0.59169</v>
      </c>
      <c r="N487" s="50" t="n">
        <v>11.7444</v>
      </c>
      <c r="O487" s="50" t="n">
        <v>2.4343</v>
      </c>
      <c r="R487" s="50" t="n">
        <v>196.97</v>
      </c>
      <c r="S487" s="50" t="n">
        <v>0.51568</v>
      </c>
      <c r="T487" s="50" t="n">
        <v>0.52662</v>
      </c>
      <c r="U487" s="50" t="n">
        <v>46.8253</v>
      </c>
      <c r="V487" s="50" t="n">
        <v>0.51057</v>
      </c>
      <c r="W487" s="50" t="n">
        <v>0.8923</v>
      </c>
      <c r="X487" s="50" t="n">
        <v>1.3193</v>
      </c>
      <c r="Y487" s="50" t="n">
        <v>1.3955</v>
      </c>
      <c r="Z487" s="50" t="n">
        <v>5.82451</v>
      </c>
      <c r="AA487" s="50" t="n">
        <v>2.5881</v>
      </c>
      <c r="AB487" s="50" t="n">
        <v>4.502</v>
      </c>
    </row>
    <row r="488">
      <c r="A488" s="49" t="n">
        <v>45926</v>
      </c>
      <c r="B488" s="50" t="n">
        <v>7.1152</v>
      </c>
      <c r="C488" s="50" t="n">
        <v>8.3117</v>
      </c>
      <c r="D488" s="50" t="n">
        <v>0.047524</v>
      </c>
      <c r="E488" s="50" t="n">
        <v>0.9143</v>
      </c>
      <c r="F488" s="50" t="n">
        <v>9.5062</v>
      </c>
      <c r="G488" s="50" t="n">
        <v>4.6599</v>
      </c>
      <c r="H488" s="50" t="n">
        <v>4.1117</v>
      </c>
      <c r="I488" s="50" t="n">
        <v>5.5052</v>
      </c>
      <c r="J488" s="50" t="n">
        <v>8.9085</v>
      </c>
      <c r="K488" s="50" t="n">
        <v>5.1128</v>
      </c>
      <c r="L488" s="50" t="n">
        <v>1.127</v>
      </c>
      <c r="M488" s="50" t="n">
        <v>0.59209</v>
      </c>
      <c r="N488" s="50" t="n">
        <v>11.7721</v>
      </c>
      <c r="O488" s="50" t="n">
        <v>2.4457</v>
      </c>
      <c r="R488" s="50" t="n">
        <v>197.79</v>
      </c>
      <c r="S488" s="50" t="n">
        <v>0.51519</v>
      </c>
      <c r="T488" s="50" t="n">
        <v>0.5261400000000001</v>
      </c>
      <c r="U488" s="50" t="n">
        <v>47.1643</v>
      </c>
      <c r="V488" s="50" t="n">
        <v>0.51407</v>
      </c>
      <c r="W488" s="50" t="n">
        <v>0.8982</v>
      </c>
      <c r="X488" s="50" t="n">
        <v>1.3277</v>
      </c>
      <c r="Y488" s="50" t="n">
        <v>1.4076</v>
      </c>
      <c r="Z488" s="50" t="n">
        <v>5.83128</v>
      </c>
      <c r="AA488" s="50" t="n">
        <v>2.5957</v>
      </c>
      <c r="AB488" s="50" t="n">
        <v>4.519</v>
      </c>
    </row>
    <row r="489">
      <c r="A489" s="49" t="n">
        <v>45929</v>
      </c>
      <c r="B489" s="50" t="n">
        <v>7.1089</v>
      </c>
      <c r="C489" s="50" t="n">
        <v>8.3316</v>
      </c>
      <c r="D489" s="50" t="n">
        <v>0.047649</v>
      </c>
      <c r="E489" s="50" t="n">
        <v>0.91368</v>
      </c>
      <c r="F489" s="50" t="n">
        <v>9.5411</v>
      </c>
      <c r="G489" s="50" t="n">
        <v>4.6616</v>
      </c>
      <c r="H489" s="50" t="n">
        <v>4.1119</v>
      </c>
      <c r="I489" s="50" t="n">
        <v>5.5108</v>
      </c>
      <c r="J489" s="50" t="n">
        <v>8.922499999999999</v>
      </c>
      <c r="K489" s="50" t="n">
        <v>5.1053</v>
      </c>
      <c r="L489" s="50" t="n">
        <v>1.1279</v>
      </c>
      <c r="M489" s="50" t="n">
        <v>0.5922500000000001</v>
      </c>
      <c r="N489" s="50" t="n">
        <v>11.7059</v>
      </c>
      <c r="O489" s="50" t="n">
        <v>2.4397</v>
      </c>
      <c r="R489" s="50" t="n">
        <v>197.67</v>
      </c>
      <c r="S489" s="50" t="n">
        <v>0.51609</v>
      </c>
      <c r="T489" s="50" t="n">
        <v>0.52703</v>
      </c>
      <c r="U489" s="50" t="n">
        <v>46.9519</v>
      </c>
      <c r="V489" s="50" t="n">
        <v>0.51203</v>
      </c>
      <c r="W489" s="50" t="n">
        <v>0.8959</v>
      </c>
      <c r="X489" s="50" t="n">
        <v>1.3223</v>
      </c>
      <c r="Y489" s="50" t="n">
        <v>1.401</v>
      </c>
      <c r="Z489" s="50" t="n">
        <v>5.8403</v>
      </c>
      <c r="AA489" s="50" t="n">
        <v>2.5801</v>
      </c>
      <c r="AB489" s="50" t="n">
        <v>4.5265</v>
      </c>
    </row>
    <row r="490">
      <c r="A490" s="49" t="n">
        <v>45930</v>
      </c>
      <c r="B490" s="50" t="n">
        <v>7.1055</v>
      </c>
      <c r="C490" s="50" t="n">
        <v>8.335100000000001</v>
      </c>
      <c r="D490" s="50" t="n">
        <v>0.047858</v>
      </c>
      <c r="E490" s="50" t="n">
        <v>0.91298</v>
      </c>
      <c r="F490" s="50" t="n">
        <v>9.551399999999999</v>
      </c>
      <c r="G490" s="50" t="n">
        <v>4.6761</v>
      </c>
      <c r="H490" s="50" t="n">
        <v>4.1087</v>
      </c>
      <c r="I490" s="50" t="n">
        <v>5.5131</v>
      </c>
      <c r="J490" s="50" t="n">
        <v>8.9132</v>
      </c>
      <c r="K490" s="50" t="n">
        <v>5.1094</v>
      </c>
      <c r="L490" s="50" t="n">
        <v>1.1287</v>
      </c>
      <c r="M490" s="50" t="n">
        <v>0.59246</v>
      </c>
      <c r="N490" s="50" t="n">
        <v>11.6602</v>
      </c>
      <c r="O490" s="50" t="n">
        <v>2.4291</v>
      </c>
      <c r="R490" s="50" t="n">
        <v>196.92</v>
      </c>
      <c r="S490" s="50" t="n">
        <v>0.51652</v>
      </c>
      <c r="T490" s="50" t="n">
        <v>0.52747</v>
      </c>
      <c r="U490" s="50" t="n">
        <v>46.8758</v>
      </c>
      <c r="V490" s="50" t="n">
        <v>0.5117</v>
      </c>
      <c r="W490" s="50" t="n">
        <v>0.8955</v>
      </c>
      <c r="X490" s="50" t="n">
        <v>1.3252</v>
      </c>
      <c r="Y490" s="50" t="n">
        <v>1.4051</v>
      </c>
      <c r="Z490" s="50" t="n">
        <v>5.84673</v>
      </c>
      <c r="AA490" s="50" t="n">
        <v>2.5822</v>
      </c>
      <c r="AB490" s="50" t="n">
        <v>4.5304</v>
      </c>
    </row>
    <row r="491">
      <c r="A491" s="49" t="n">
        <v>45939</v>
      </c>
      <c r="B491" s="50" t="n">
        <v>7.1102</v>
      </c>
      <c r="C491" s="50" t="n">
        <v>8.282500000000001</v>
      </c>
      <c r="D491" s="50" t="n">
        <v>0.046648</v>
      </c>
      <c r="E491" s="50" t="n">
        <v>0.91377</v>
      </c>
      <c r="F491" s="50" t="n">
        <v>9.547700000000001</v>
      </c>
      <c r="G491" s="50" t="n">
        <v>4.6927</v>
      </c>
      <c r="H491" s="50" t="n">
        <v>4.1245</v>
      </c>
      <c r="I491" s="50" t="n">
        <v>5.4972</v>
      </c>
      <c r="J491" s="50" t="n">
        <v>8.8887</v>
      </c>
      <c r="K491" s="50" t="n">
        <v>5.1067</v>
      </c>
      <c r="L491" s="50" t="n">
        <v>1.1277</v>
      </c>
      <c r="M491" s="50" t="n">
        <v>0.59165</v>
      </c>
      <c r="N491" s="50" t="n">
        <v>11.4219</v>
      </c>
      <c r="O491" s="50" t="n">
        <v>2.4079</v>
      </c>
      <c r="R491" s="50" t="n">
        <v>198.49</v>
      </c>
      <c r="S491" s="50" t="n">
        <v>0.51559</v>
      </c>
      <c r="T491" s="50" t="n">
        <v>0.5266</v>
      </c>
      <c r="U491" s="50" t="n">
        <v>47.2464</v>
      </c>
      <c r="V491" s="50" t="n">
        <v>0.51373</v>
      </c>
      <c r="W491" s="50" t="n">
        <v>0.9018</v>
      </c>
      <c r="X491" s="50" t="n">
        <v>1.3236</v>
      </c>
      <c r="Y491" s="50" t="n">
        <v>1.4008</v>
      </c>
      <c r="Z491" s="50" t="n">
        <v>5.85725</v>
      </c>
      <c r="AA491" s="50" t="n">
        <v>2.5756</v>
      </c>
      <c r="AB491" s="50" t="n">
        <v>4.5666</v>
      </c>
    </row>
    <row r="492">
      <c r="A492" s="49" t="n">
        <v>45940</v>
      </c>
      <c r="B492" s="50" t="n">
        <v>7.1048</v>
      </c>
      <c r="C492" s="50" t="n">
        <v>8.2338</v>
      </c>
      <c r="D492" s="50" t="n">
        <v>0.046534</v>
      </c>
      <c r="E492" s="50" t="n">
        <v>0.91296</v>
      </c>
      <c r="F492" s="50" t="n">
        <v>9.473100000000001</v>
      </c>
      <c r="G492" s="50" t="n">
        <v>4.6721</v>
      </c>
      <c r="H492" s="50" t="n">
        <v>4.095</v>
      </c>
      <c r="I492" s="50" t="n">
        <v>5.4809</v>
      </c>
      <c r="J492" s="50" t="n">
        <v>8.833299999999999</v>
      </c>
      <c r="K492" s="50" t="n">
        <v>5.0805</v>
      </c>
      <c r="L492" s="50" t="n">
        <v>1.1288</v>
      </c>
      <c r="M492" s="50" t="n">
        <v>0.5924700000000001</v>
      </c>
      <c r="N492" s="50" t="n">
        <v>11.3927</v>
      </c>
      <c r="O492" s="50" t="n">
        <v>2.4156</v>
      </c>
      <c r="R492" s="50" t="n">
        <v>198.82</v>
      </c>
      <c r="S492" s="50" t="n">
        <v>0.51559</v>
      </c>
      <c r="T492" s="50" t="n">
        <v>0.52658</v>
      </c>
      <c r="U492" s="50" t="n">
        <v>47.5068</v>
      </c>
      <c r="V492" s="50" t="n">
        <v>0.51707</v>
      </c>
      <c r="W492" s="50" t="n">
        <v>0.9068000000000001</v>
      </c>
      <c r="X492" s="50" t="n">
        <v>1.3386</v>
      </c>
      <c r="Y492" s="50" t="n">
        <v>1.4135</v>
      </c>
      <c r="Z492" s="50" t="n">
        <v>5.87238</v>
      </c>
      <c r="AA492" s="50" t="n">
        <v>2.5831</v>
      </c>
      <c r="AB492" s="50" t="n">
        <v>4.5987</v>
      </c>
    </row>
    <row r="493">
      <c r="A493" s="49" t="n">
        <v>45943</v>
      </c>
      <c r="B493" s="50" t="n">
        <v>7.1007</v>
      </c>
      <c r="C493" s="50" t="n">
        <v>8.2524</v>
      </c>
      <c r="D493" s="50" t="n">
        <v>0.046845</v>
      </c>
      <c r="E493" s="50" t="n">
        <v>0.91251</v>
      </c>
      <c r="F493" s="50" t="n">
        <v>9.487399999999999</v>
      </c>
      <c r="G493" s="50" t="n">
        <v>4.6227</v>
      </c>
      <c r="H493" s="50" t="n">
        <v>4.0758</v>
      </c>
      <c r="I493" s="50" t="n">
        <v>5.4837</v>
      </c>
      <c r="J493" s="50" t="n">
        <v>8.865500000000001</v>
      </c>
      <c r="K493" s="50" t="n">
        <v>5.081</v>
      </c>
      <c r="L493" s="50" t="n">
        <v>1.1294</v>
      </c>
      <c r="M493" s="50" t="n">
        <v>0.59306</v>
      </c>
      <c r="N493" s="50" t="n">
        <v>11.4734</v>
      </c>
      <c r="O493" s="50" t="n">
        <v>2.4484</v>
      </c>
      <c r="R493" s="50" t="n">
        <v>200.47</v>
      </c>
      <c r="S493" s="50" t="n">
        <v>0.51633</v>
      </c>
      <c r="T493" s="50" t="n">
        <v>0.52734</v>
      </c>
      <c r="U493" s="50" t="n">
        <v>47.4877</v>
      </c>
      <c r="V493" s="50" t="n">
        <v>0.5165</v>
      </c>
      <c r="W493" s="50" t="n">
        <v>0.9048</v>
      </c>
      <c r="X493" s="50" t="n">
        <v>1.3368</v>
      </c>
      <c r="Y493" s="50" t="n">
        <v>1.4205</v>
      </c>
      <c r="Z493" s="50" t="n">
        <v>5.87718</v>
      </c>
      <c r="AA493" s="50" t="n">
        <v>2.6032</v>
      </c>
      <c r="AB493" s="50" t="n">
        <v>4.5851</v>
      </c>
    </row>
    <row r="494">
      <c r="A494" s="49" t="n">
        <v>45944</v>
      </c>
      <c r="B494" s="50" t="n">
        <v>7.1021</v>
      </c>
      <c r="C494" s="50" t="n">
        <v>8.2257</v>
      </c>
      <c r="D494" s="50" t="n">
        <v>0.046725</v>
      </c>
      <c r="E494" s="50" t="n">
        <v>0.91305</v>
      </c>
      <c r="F494" s="50" t="n">
        <v>9.4841</v>
      </c>
      <c r="G494" s="50" t="n">
        <v>4.6371</v>
      </c>
      <c r="H494" s="50" t="n">
        <v>4.0746</v>
      </c>
      <c r="I494" s="50" t="n">
        <v>5.4784</v>
      </c>
      <c r="J494" s="50" t="n">
        <v>8.8416</v>
      </c>
      <c r="K494" s="50" t="n">
        <v>5.0681</v>
      </c>
      <c r="L494" s="50" t="n">
        <v>1.1286</v>
      </c>
      <c r="M494" s="50" t="n">
        <v>0.59426</v>
      </c>
      <c r="N494" s="50" t="n">
        <v>11.3693</v>
      </c>
      <c r="O494" s="50" t="n">
        <v>2.4355</v>
      </c>
      <c r="R494" s="50" t="n">
        <v>200.26</v>
      </c>
      <c r="S494" s="50" t="n">
        <v>0.51616</v>
      </c>
      <c r="T494" s="50" t="n">
        <v>0.52705</v>
      </c>
      <c r="U494" s="50" t="n">
        <v>47.6081</v>
      </c>
      <c r="V494" s="50" t="n">
        <v>0.51785</v>
      </c>
      <c r="W494" s="50" t="n">
        <v>0.9077</v>
      </c>
      <c r="X494" s="50" t="n">
        <v>1.3361</v>
      </c>
      <c r="Y494" s="50" t="n">
        <v>1.4177</v>
      </c>
      <c r="Z494" s="50" t="n">
        <v>5.87363</v>
      </c>
      <c r="AA494" s="50" t="n">
        <v>2.5958</v>
      </c>
      <c r="AB494" s="50" t="n">
        <v>4.5748</v>
      </c>
    </row>
    <row r="495">
      <c r="A495" s="49" t="n">
        <v>45945</v>
      </c>
      <c r="B495" s="50" t="n">
        <v>7.0995</v>
      </c>
      <c r="C495" s="50" t="n">
        <v>8.2498</v>
      </c>
      <c r="D495" s="50" t="n">
        <v>0.046871</v>
      </c>
      <c r="E495" s="50" t="n">
        <v>0.9133599999999999</v>
      </c>
      <c r="F495" s="50" t="n">
        <v>9.4726</v>
      </c>
      <c r="G495" s="50" t="n">
        <v>4.6166</v>
      </c>
      <c r="H495" s="50" t="n">
        <v>4.0644</v>
      </c>
      <c r="I495" s="50" t="n">
        <v>5.4772</v>
      </c>
      <c r="J495" s="50" t="n">
        <v>8.8705</v>
      </c>
      <c r="K495" s="50" t="n">
        <v>5.064</v>
      </c>
      <c r="L495" s="50" t="n">
        <v>1.1283</v>
      </c>
      <c r="M495" s="50" t="n">
        <v>0.59452</v>
      </c>
      <c r="N495" s="50" t="n">
        <v>11.199</v>
      </c>
      <c r="O495" s="50" t="n">
        <v>2.4461</v>
      </c>
      <c r="R495" s="50" t="n">
        <v>200.56</v>
      </c>
      <c r="S495" s="50" t="n">
        <v>0.51644</v>
      </c>
      <c r="T495" s="50" t="n">
        <v>0.52734</v>
      </c>
      <c r="U495" s="50" t="n">
        <v>47.4678</v>
      </c>
      <c r="V495" s="50" t="n">
        <v>0.51633</v>
      </c>
      <c r="W495" s="50" t="n">
        <v>0.9054</v>
      </c>
      <c r="X495" s="50" t="n">
        <v>1.3411</v>
      </c>
      <c r="Y495" s="50" t="n">
        <v>1.4281</v>
      </c>
      <c r="Z495" s="50" t="n">
        <v>5.87535</v>
      </c>
      <c r="AA495" s="50" t="n">
        <v>2.6029</v>
      </c>
      <c r="AB495" s="50" t="n">
        <v>4.5838</v>
      </c>
    </row>
    <row r="496">
      <c r="A496" s="49" t="n">
        <v>45946</v>
      </c>
      <c r="B496" s="50" t="n">
        <v>7.0968</v>
      </c>
      <c r="C496" s="50" t="n">
        <v>8.275499999999999</v>
      </c>
      <c r="D496" s="50" t="n">
        <v>0.047077</v>
      </c>
      <c r="E496" s="50" t="n">
        <v>0.91295</v>
      </c>
      <c r="F496" s="50" t="n">
        <v>9.521000000000001</v>
      </c>
      <c r="G496" s="50" t="n">
        <v>4.6215</v>
      </c>
      <c r="H496" s="50" t="n">
        <v>4.0644</v>
      </c>
      <c r="I496" s="50" t="n">
        <v>5.4854</v>
      </c>
      <c r="J496" s="50" t="n">
        <v>8.9163</v>
      </c>
      <c r="K496" s="50" t="n">
        <v>5.0581</v>
      </c>
      <c r="L496" s="50" t="n">
        <v>1.1288</v>
      </c>
      <c r="M496" s="50" t="n">
        <v>0.59517</v>
      </c>
      <c r="N496" s="50" t="n">
        <v>11.0413</v>
      </c>
      <c r="O496" s="50" t="n">
        <v>2.443</v>
      </c>
      <c r="R496" s="50" t="n">
        <v>199.7</v>
      </c>
      <c r="S496" s="50" t="n">
        <v>0.51694</v>
      </c>
      <c r="T496" s="50" t="n">
        <v>0.52789</v>
      </c>
      <c r="U496" s="50" t="n">
        <v>47.183</v>
      </c>
      <c r="V496" s="50" t="n">
        <v>0.5138</v>
      </c>
      <c r="W496" s="50" t="n">
        <v>0.9026</v>
      </c>
      <c r="X496" s="50" t="n">
        <v>1.333</v>
      </c>
      <c r="Y496" s="50" t="n">
        <v>1.4206</v>
      </c>
      <c r="Z496" s="50" t="n">
        <v>5.88715</v>
      </c>
      <c r="AA496" s="50" t="n">
        <v>2.5995</v>
      </c>
      <c r="AB496" s="50" t="n">
        <v>4.5699</v>
      </c>
    </row>
    <row r="497">
      <c r="A497" s="49" t="n">
        <v>45947</v>
      </c>
      <c r="B497" s="50" t="n">
        <v>7.0949</v>
      </c>
      <c r="C497" s="50" t="n">
        <v>8.307399999999999</v>
      </c>
      <c r="D497" s="50" t="n">
        <v>0.047324</v>
      </c>
      <c r="E497" s="50" t="n">
        <v>0.9131899999999999</v>
      </c>
      <c r="F497" s="50" t="n">
        <v>9.546099999999999</v>
      </c>
      <c r="G497" s="50" t="n">
        <v>4.6039</v>
      </c>
      <c r="H497" s="50" t="n">
        <v>4.069</v>
      </c>
      <c r="I497" s="50" t="n">
        <v>5.4934</v>
      </c>
      <c r="J497" s="50" t="n">
        <v>8.9643</v>
      </c>
      <c r="K497" s="50" t="n">
        <v>5.0557</v>
      </c>
      <c r="L497" s="50" t="n">
        <v>1.1285</v>
      </c>
      <c r="M497" s="50" t="n">
        <v>0.59449</v>
      </c>
      <c r="N497" s="50" t="n">
        <v>11.2477</v>
      </c>
      <c r="O497" s="50" t="n">
        <v>2.4418</v>
      </c>
      <c r="R497" s="50" t="n">
        <v>199.35</v>
      </c>
      <c r="S497" s="50" t="n">
        <v>0.51703</v>
      </c>
      <c r="T497" s="50" t="n">
        <v>0.52795</v>
      </c>
      <c r="U497" s="50" t="n">
        <v>46.904</v>
      </c>
      <c r="V497" s="50" t="n">
        <v>0.5111599999999999</v>
      </c>
      <c r="W497" s="50" t="n">
        <v>0.8991</v>
      </c>
      <c r="X497" s="50" t="n">
        <v>1.3259</v>
      </c>
      <c r="Y497" s="50" t="n">
        <v>1.4164</v>
      </c>
      <c r="Z497" s="50" t="n">
        <v>5.8927</v>
      </c>
      <c r="AA497" s="50" t="n">
        <v>2.5956</v>
      </c>
      <c r="AB497" s="50" t="n">
        <v>4.5716</v>
      </c>
    </row>
    <row r="498">
      <c r="A498" s="49" t="n">
        <v>45950</v>
      </c>
      <c r="B498" s="50" t="n">
        <v>7.0973</v>
      </c>
      <c r="C498" s="50" t="n">
        <v>8.2896</v>
      </c>
      <c r="D498" s="50" t="n">
        <v>0.047157</v>
      </c>
      <c r="E498" s="50" t="n">
        <v>0.91362</v>
      </c>
      <c r="F498" s="50" t="n">
        <v>9.5497</v>
      </c>
      <c r="G498" s="50" t="n">
        <v>4.6237</v>
      </c>
      <c r="H498" s="50" t="n">
        <v>4.0792</v>
      </c>
      <c r="I498" s="50" t="n">
        <v>5.4891</v>
      </c>
      <c r="J498" s="50" t="n">
        <v>8.9605</v>
      </c>
      <c r="K498" s="50" t="n">
        <v>5.0758</v>
      </c>
      <c r="L498" s="50" t="n">
        <v>1.1279</v>
      </c>
      <c r="M498" s="50" t="n">
        <v>0.59432</v>
      </c>
      <c r="N498" s="50" t="n">
        <v>11.3949</v>
      </c>
      <c r="O498" s="50" t="n">
        <v>2.4448</v>
      </c>
      <c r="R498" s="50" t="n">
        <v>199.79</v>
      </c>
      <c r="S498" s="50" t="n">
        <v>0.51642</v>
      </c>
      <c r="T498" s="50" t="n">
        <v>0.52728</v>
      </c>
      <c r="U498" s="50" t="n">
        <v>46.9719</v>
      </c>
      <c r="V498" s="50" t="n">
        <v>0.512</v>
      </c>
      <c r="W498" s="50" t="n">
        <v>0.901</v>
      </c>
      <c r="X498" s="50" t="n">
        <v>1.3254</v>
      </c>
      <c r="Y498" s="50" t="n">
        <v>1.4146</v>
      </c>
      <c r="Z498" s="50" t="n">
        <v>5.89539</v>
      </c>
      <c r="AA498" s="50" t="n">
        <v>2.5858</v>
      </c>
      <c r="AB498" s="50" t="n">
        <v>4.6042</v>
      </c>
    </row>
    <row r="499">
      <c r="A499" s="49" t="n">
        <v>45951</v>
      </c>
      <c r="B499" s="50" t="n">
        <v>7.093</v>
      </c>
      <c r="C499" s="50" t="n">
        <v>8.273400000000001</v>
      </c>
      <c r="D499" s="50" t="n">
        <v>0.047163</v>
      </c>
      <c r="E499" s="50" t="n">
        <v>0.91296</v>
      </c>
      <c r="F499" s="50" t="n">
        <v>9.524100000000001</v>
      </c>
      <c r="G499" s="50" t="n">
        <v>4.6309</v>
      </c>
      <c r="H499" s="50" t="n">
        <v>4.0851</v>
      </c>
      <c r="I499" s="50" t="n">
        <v>5.4934</v>
      </c>
      <c r="J499" s="50" t="n">
        <v>8.9659</v>
      </c>
      <c r="K499" s="50" t="n">
        <v>5.0633</v>
      </c>
      <c r="L499" s="50" t="n">
        <v>1.1288</v>
      </c>
      <c r="M499" s="50" t="n">
        <v>0.59411</v>
      </c>
      <c r="N499" s="50" t="n">
        <v>11.3601</v>
      </c>
      <c r="O499" s="50" t="n">
        <v>2.4241</v>
      </c>
      <c r="R499" s="50" t="n">
        <v>199.7</v>
      </c>
      <c r="S499" s="50" t="n">
        <v>0.51683</v>
      </c>
      <c r="T499" s="50" t="n">
        <v>0.52779</v>
      </c>
      <c r="U499" s="50" t="n">
        <v>46.9988</v>
      </c>
      <c r="V499" s="50" t="n">
        <v>0.5118</v>
      </c>
      <c r="W499" s="50" t="n">
        <v>0.9028</v>
      </c>
      <c r="X499" s="50" t="n">
        <v>1.3253</v>
      </c>
      <c r="Y499" s="50" t="n">
        <v>1.4139</v>
      </c>
      <c r="Z499" s="50" t="n">
        <v>5.90014</v>
      </c>
      <c r="AA499" s="50" t="n">
        <v>2.5907</v>
      </c>
      <c r="AB499" s="50" t="n">
        <v>4.5761</v>
      </c>
    </row>
    <row r="500">
      <c r="A500" s="49" t="n">
        <v>45952</v>
      </c>
      <c r="B500" s="50" t="n">
        <v>7.0954</v>
      </c>
      <c r="C500" s="50" t="n">
        <v>8.244999999999999</v>
      </c>
      <c r="D500" s="50" t="n">
        <v>0.046816</v>
      </c>
      <c r="E500" s="50" t="n">
        <v>0.91303</v>
      </c>
      <c r="F500" s="50" t="n">
        <v>9.5046</v>
      </c>
      <c r="G500" s="50" t="n">
        <v>4.6163</v>
      </c>
      <c r="H500" s="50" t="n">
        <v>4.0856</v>
      </c>
      <c r="I500" s="50" t="n">
        <v>5.4748</v>
      </c>
      <c r="J500" s="50" t="n">
        <v>8.924899999999999</v>
      </c>
      <c r="K500" s="50" t="n">
        <v>5.0721</v>
      </c>
      <c r="L500" s="50" t="n">
        <v>1.1287</v>
      </c>
      <c r="M500" s="50" t="n">
        <v>0.59484</v>
      </c>
      <c r="N500" s="50" t="n">
        <v>11.4278</v>
      </c>
      <c r="O500" s="50" t="n">
        <v>2.4477</v>
      </c>
      <c r="R500" s="50" t="n">
        <v>201.13</v>
      </c>
      <c r="S500" s="50" t="n">
        <v>0.51659</v>
      </c>
      <c r="T500" s="50" t="n">
        <v>0.52751</v>
      </c>
      <c r="U500" s="50" t="n">
        <v>47.2003</v>
      </c>
      <c r="V500" s="50" t="n">
        <v>0.51403</v>
      </c>
      <c r="W500" s="50" t="n">
        <v>0.9056999999999999</v>
      </c>
      <c r="X500" s="50" t="n">
        <v>1.3258</v>
      </c>
      <c r="Y500" s="50" t="n">
        <v>1.4149</v>
      </c>
      <c r="Z500" s="50" t="n">
        <v>5.90415</v>
      </c>
      <c r="AA500" s="50" t="n">
        <v>2.5954</v>
      </c>
      <c r="AB500" s="50" t="n">
        <v>4.6144</v>
      </c>
    </row>
    <row r="501">
      <c r="A501" s="49" t="n">
        <v>45953</v>
      </c>
      <c r="B501" s="50" t="n">
        <v>7.0918</v>
      </c>
      <c r="C501" s="50" t="n">
        <v>8.243399999999999</v>
      </c>
      <c r="D501" s="50" t="n">
        <v>0.046766</v>
      </c>
      <c r="E501" s="50" t="n">
        <v>0.91251</v>
      </c>
      <c r="F501" s="50" t="n">
        <v>9.485099999999999</v>
      </c>
      <c r="G501" s="50" t="n">
        <v>4.6098</v>
      </c>
      <c r="H501" s="50" t="n">
        <v>4.0781</v>
      </c>
      <c r="I501" s="50" t="n">
        <v>5.4749</v>
      </c>
      <c r="J501" s="50" t="n">
        <v>8.920199999999999</v>
      </c>
      <c r="K501" s="50" t="n">
        <v>5.0778</v>
      </c>
      <c r="L501" s="50" t="n">
        <v>1.1293</v>
      </c>
      <c r="M501" s="50" t="n">
        <v>0.59514</v>
      </c>
      <c r="N501" s="50" t="n">
        <v>11.4379</v>
      </c>
      <c r="O501" s="50" t="n">
        <v>2.453</v>
      </c>
      <c r="R501" s="50" t="n">
        <v>201.32</v>
      </c>
      <c r="S501" s="50" t="n">
        <v>0.51691</v>
      </c>
      <c r="T501" s="50" t="n">
        <v>0.52787</v>
      </c>
      <c r="U501" s="50" t="n">
        <v>47.1823</v>
      </c>
      <c r="V501" s="50" t="n">
        <v>0.51347</v>
      </c>
      <c r="W501" s="50" t="n">
        <v>0.9062</v>
      </c>
      <c r="X501" s="50" t="n">
        <v>1.3249</v>
      </c>
      <c r="Y501" s="50" t="n">
        <v>1.4108</v>
      </c>
      <c r="Z501" s="50" t="n">
        <v>5.90675</v>
      </c>
      <c r="AA501" s="50" t="n">
        <v>2.5967</v>
      </c>
      <c r="AB501" s="50" t="n">
        <v>4.6116</v>
      </c>
    </row>
    <row r="502">
      <c r="A502" s="49" t="n">
        <v>45954</v>
      </c>
      <c r="B502" s="50" t="n">
        <v>7.0928</v>
      </c>
      <c r="C502" s="50" t="n">
        <v>8.2486</v>
      </c>
      <c r="D502" s="50" t="n">
        <v>0.046595</v>
      </c>
      <c r="E502" s="50" t="n">
        <v>0.91266</v>
      </c>
      <c r="F502" s="50" t="n">
        <v>9.4672</v>
      </c>
      <c r="G502" s="50" t="n">
        <v>4.6266</v>
      </c>
      <c r="H502" s="50" t="n">
        <v>4.0897</v>
      </c>
      <c r="I502" s="50" t="n">
        <v>5.471</v>
      </c>
      <c r="J502" s="50" t="n">
        <v>8.929600000000001</v>
      </c>
      <c r="K502" s="50" t="n">
        <v>5.0777</v>
      </c>
      <c r="L502" s="50" t="n">
        <v>1.1292</v>
      </c>
      <c r="M502" s="50" t="n">
        <v>0.59477</v>
      </c>
      <c r="N502" s="50" t="n">
        <v>11.4231</v>
      </c>
      <c r="O502" s="50" t="n">
        <v>2.4406</v>
      </c>
      <c r="R502" s="50" t="n">
        <v>201.89</v>
      </c>
      <c r="S502" s="50" t="n">
        <v>0.51706</v>
      </c>
      <c r="T502" s="50" t="n">
        <v>0.52794</v>
      </c>
      <c r="U502" s="50" t="n">
        <v>47.2795</v>
      </c>
      <c r="V502" s="50" t="n">
        <v>0.51263</v>
      </c>
      <c r="W502" s="50" t="n">
        <v>0.9055</v>
      </c>
      <c r="X502" s="50" t="n">
        <v>1.3206</v>
      </c>
      <c r="Y502" s="50" t="n">
        <v>1.4034</v>
      </c>
      <c r="Z502" s="50" t="n">
        <v>5.90915</v>
      </c>
      <c r="AA502" s="50" t="n">
        <v>2.5909</v>
      </c>
      <c r="AB502" s="50" t="n">
        <v>4.6124</v>
      </c>
    </row>
    <row r="503">
      <c r="A503" s="49" t="n">
        <v>45957</v>
      </c>
      <c r="B503" s="50" t="n">
        <v>7.0881</v>
      </c>
      <c r="C503" s="50" t="n">
        <v>8.2546</v>
      </c>
      <c r="D503" s="50" t="n">
        <v>0.046382</v>
      </c>
      <c r="E503" s="50" t="n">
        <v>0.91246</v>
      </c>
      <c r="F503" s="50" t="n">
        <v>9.456300000000001</v>
      </c>
      <c r="G503" s="50" t="n">
        <v>4.6386</v>
      </c>
      <c r="H503" s="50" t="n">
        <v>4.092</v>
      </c>
      <c r="I503" s="50" t="n">
        <v>5.47</v>
      </c>
      <c r="J503" s="50" t="n">
        <v>8.914099999999999</v>
      </c>
      <c r="K503" s="50" t="n">
        <v>5.0739</v>
      </c>
      <c r="L503" s="50" t="n">
        <v>1.1294</v>
      </c>
      <c r="M503" s="50" t="n">
        <v>0.59448</v>
      </c>
      <c r="N503" s="50" t="n">
        <v>11.2183</v>
      </c>
      <c r="O503" s="50" t="n">
        <v>2.4238</v>
      </c>
      <c r="R503" s="50" t="n">
        <v>202.14</v>
      </c>
      <c r="S503" s="50" t="n">
        <v>0.51734</v>
      </c>
      <c r="T503" s="50" t="n">
        <v>0.52826</v>
      </c>
      <c r="U503" s="50" t="n">
        <v>47.2263</v>
      </c>
      <c r="V503" s="50" t="n">
        <v>0.51384</v>
      </c>
      <c r="W503" s="50" t="n">
        <v>0.905</v>
      </c>
      <c r="X503" s="50" t="n">
        <v>1.322</v>
      </c>
      <c r="Y503" s="50" t="n">
        <v>1.408</v>
      </c>
      <c r="Z503" s="50" t="n">
        <v>5.91551</v>
      </c>
      <c r="AA503" s="50" t="n">
        <v>2.5943</v>
      </c>
      <c r="AB503" s="50" t="n">
        <v>4.5992</v>
      </c>
    </row>
    <row r="504">
      <c r="A504" s="49" t="n">
        <v>45958</v>
      </c>
      <c r="B504" s="50" t="n">
        <v>7.0856</v>
      </c>
      <c r="C504" s="50" t="n">
        <v>8.2622</v>
      </c>
      <c r="D504" s="50" t="n">
        <v>0.046459</v>
      </c>
      <c r="E504" s="50" t="n">
        <v>0.91228</v>
      </c>
      <c r="F504" s="50" t="n">
        <v>9.4611</v>
      </c>
      <c r="G504" s="50" t="n">
        <v>4.651</v>
      </c>
      <c r="H504" s="50" t="n">
        <v>4.0992</v>
      </c>
      <c r="I504" s="50" t="n">
        <v>5.473</v>
      </c>
      <c r="J504" s="50" t="n">
        <v>8.9232</v>
      </c>
      <c r="K504" s="50" t="n">
        <v>5.0708</v>
      </c>
      <c r="L504" s="50" t="n">
        <v>1.1296</v>
      </c>
      <c r="M504" s="50" t="n">
        <v>0.59313</v>
      </c>
      <c r="N504" s="50" t="n">
        <v>11.1576</v>
      </c>
      <c r="O504" s="50" t="n">
        <v>2.4289</v>
      </c>
      <c r="R504" s="50" t="n">
        <v>201.77</v>
      </c>
      <c r="S504" s="50" t="n">
        <v>0.51796</v>
      </c>
      <c r="T504" s="50" t="n">
        <v>0.5288</v>
      </c>
      <c r="U504" s="50" t="n">
        <v>47.0175</v>
      </c>
      <c r="V504" s="50" t="n">
        <v>0.5122</v>
      </c>
      <c r="W504" s="50" t="n">
        <v>0.9039</v>
      </c>
      <c r="X504" s="50" t="n">
        <v>1.3221</v>
      </c>
      <c r="Y504" s="50" t="n">
        <v>1.4075</v>
      </c>
      <c r="Z504" s="50" t="n">
        <v>5.915</v>
      </c>
      <c r="AA504" s="50" t="n">
        <v>2.5938</v>
      </c>
      <c r="AB504" s="50" t="n">
        <v>4.5972</v>
      </c>
    </row>
    <row r="505">
      <c r="A505" s="49" t="n">
        <v>45959</v>
      </c>
      <c r="B505" s="50" t="n">
        <v>7.0843</v>
      </c>
      <c r="C505" s="50" t="n">
        <v>8.2582</v>
      </c>
      <c r="D505" s="50" t="n">
        <v>0.046613</v>
      </c>
      <c r="E505" s="50" t="n">
        <v>0.912</v>
      </c>
      <c r="F505" s="50" t="n">
        <v>9.4071</v>
      </c>
      <c r="G505" s="50" t="n">
        <v>4.6663</v>
      </c>
      <c r="H505" s="50" t="n">
        <v>4.0986</v>
      </c>
      <c r="I505" s="50" t="n">
        <v>5.4799</v>
      </c>
      <c r="J505" s="50" t="n">
        <v>8.934200000000001</v>
      </c>
      <c r="K505" s="50" t="n">
        <v>5.0836</v>
      </c>
      <c r="L505" s="50" t="n">
        <v>1.1299</v>
      </c>
      <c r="M505" s="50" t="n">
        <v>0.59143</v>
      </c>
      <c r="N505" s="50" t="n">
        <v>11.1671</v>
      </c>
      <c r="O505" s="50" t="n">
        <v>2.4201</v>
      </c>
      <c r="R505" s="50" t="n">
        <v>201.92</v>
      </c>
      <c r="S505" s="50" t="n">
        <v>0.51817</v>
      </c>
      <c r="T505" s="50" t="n">
        <v>0.5290899999999999</v>
      </c>
      <c r="U505" s="50" t="n">
        <v>46.9903</v>
      </c>
      <c r="V505" s="50" t="n">
        <v>0.51219</v>
      </c>
      <c r="W505" s="50" t="n">
        <v>0.9042</v>
      </c>
      <c r="X505" s="50" t="n">
        <v>1.3226</v>
      </c>
      <c r="Y505" s="50" t="n">
        <v>1.408</v>
      </c>
      <c r="Z505" s="50" t="n">
        <v>5.91825</v>
      </c>
      <c r="AA505" s="50" t="n">
        <v>2.6007</v>
      </c>
      <c r="AB505" s="50" t="n">
        <v>4.5614</v>
      </c>
    </row>
    <row r="506">
      <c r="A506" s="49" t="n">
        <v>45960</v>
      </c>
      <c r="B506" s="50" t="n">
        <v>7.0864</v>
      </c>
      <c r="C506" s="50" t="n">
        <v>8.2334</v>
      </c>
      <c r="D506" s="50" t="n">
        <v>0.046492</v>
      </c>
      <c r="E506" s="50" t="n">
        <v>0.91195</v>
      </c>
      <c r="F506" s="50" t="n">
        <v>9.364699999999999</v>
      </c>
      <c r="G506" s="50" t="n">
        <v>4.6659</v>
      </c>
      <c r="H506" s="50" t="n">
        <v>4.0938</v>
      </c>
      <c r="I506" s="50" t="n">
        <v>5.4698</v>
      </c>
      <c r="J506" s="50" t="n">
        <v>8.8687</v>
      </c>
      <c r="K506" s="50" t="n">
        <v>5.0888</v>
      </c>
      <c r="L506" s="50" t="n">
        <v>1.1301</v>
      </c>
      <c r="M506" s="50" t="n">
        <v>0.59077</v>
      </c>
      <c r="N506" s="50" t="n">
        <v>11.2648</v>
      </c>
      <c r="O506" s="50" t="n">
        <v>2.4219</v>
      </c>
      <c r="R506" s="50" t="n">
        <v>200.58</v>
      </c>
      <c r="S506" s="50" t="n">
        <v>0.51762</v>
      </c>
      <c r="T506" s="50" t="n">
        <v>0.52855</v>
      </c>
      <c r="U506" s="50" t="n">
        <v>47.2142</v>
      </c>
      <c r="V506" s="50" t="n">
        <v>0.51513</v>
      </c>
      <c r="W506" s="50" t="n">
        <v>0.9071</v>
      </c>
      <c r="X506" s="50" t="n">
        <v>1.3257</v>
      </c>
      <c r="Y506" s="50" t="n">
        <v>1.4114</v>
      </c>
      <c r="Z506" s="50" t="n">
        <v>5.91801</v>
      </c>
      <c r="AA506" s="50" t="n">
        <v>2.6054</v>
      </c>
      <c r="AB506" s="50" t="n">
        <v>4.5613</v>
      </c>
    </row>
    <row r="507">
      <c r="A507" s="49" t="n">
        <v>45961</v>
      </c>
      <c r="B507" s="50" t="n">
        <v>7.088</v>
      </c>
      <c r="C507" s="50" t="n">
        <v>8.213800000000001</v>
      </c>
      <c r="D507" s="50" t="n">
        <v>0.046103</v>
      </c>
      <c r="E507" s="50" t="n">
        <v>0.91227</v>
      </c>
      <c r="F507" s="50" t="n">
        <v>9.3414</v>
      </c>
      <c r="G507" s="50" t="n">
        <v>4.6561</v>
      </c>
      <c r="H507" s="50" t="n">
        <v>4.0789</v>
      </c>
      <c r="I507" s="50" t="n">
        <v>5.4615</v>
      </c>
      <c r="J507" s="50" t="n">
        <v>8.8561</v>
      </c>
      <c r="K507" s="50" t="n">
        <v>5.079</v>
      </c>
      <c r="L507" s="50" t="n">
        <v>1.1297</v>
      </c>
      <c r="M507" s="50" t="n">
        <v>0.59115</v>
      </c>
      <c r="N507" s="50" t="n">
        <v>11.2644</v>
      </c>
      <c r="O507" s="50" t="n">
        <v>2.4351</v>
      </c>
      <c r="R507" s="50" t="n">
        <v>201.2</v>
      </c>
      <c r="S507" s="50" t="n">
        <v>0.51713</v>
      </c>
      <c r="T507" s="50" t="n">
        <v>0.52798</v>
      </c>
      <c r="U507" s="50" t="n">
        <v>47.2958</v>
      </c>
      <c r="V507" s="50" t="n">
        <v>0.51657</v>
      </c>
      <c r="W507" s="50" t="n">
        <v>0.9092</v>
      </c>
      <c r="X507" s="50" t="n">
        <v>1.329</v>
      </c>
      <c r="Y507" s="50" t="n">
        <v>1.4153</v>
      </c>
      <c r="Z507" s="50" t="n">
        <v>5.91659</v>
      </c>
      <c r="AA507" s="50" t="n">
        <v>2.6112</v>
      </c>
      <c r="AB507" s="50" t="n">
        <v>4.5484</v>
      </c>
    </row>
    <row r="508">
      <c r="A508" s="49" t="n">
        <v>45964</v>
      </c>
      <c r="B508" s="50" t="n">
        <v>7.0867</v>
      </c>
      <c r="C508" s="50" t="n">
        <v>8.1845</v>
      </c>
      <c r="D508" s="50" t="n">
        <v>0.046083</v>
      </c>
      <c r="E508" s="50" t="n">
        <v>0.9117499999999999</v>
      </c>
      <c r="F508" s="50" t="n">
        <v>9.3264</v>
      </c>
      <c r="G508" s="50" t="n">
        <v>4.6486</v>
      </c>
      <c r="H508" s="50" t="n">
        <v>4.066</v>
      </c>
      <c r="I508" s="50" t="n">
        <v>5.4545</v>
      </c>
      <c r="J508" s="50" t="n">
        <v>8.821400000000001</v>
      </c>
      <c r="K508" s="50" t="n">
        <v>5.0655</v>
      </c>
      <c r="L508" s="50" t="n">
        <v>1.1302</v>
      </c>
      <c r="M508" s="50" t="n">
        <v>0.59051</v>
      </c>
      <c r="N508" s="50" t="n">
        <v>11.3129</v>
      </c>
      <c r="O508" s="50" t="n">
        <v>2.44</v>
      </c>
      <c r="R508" s="50" t="n">
        <v>201.27</v>
      </c>
      <c r="S508" s="50" t="n">
        <v>0.51719</v>
      </c>
      <c r="T508" s="50" t="n">
        <v>0.52812</v>
      </c>
      <c r="U508" s="50" t="n">
        <v>47.3882</v>
      </c>
      <c r="V508" s="50" t="n">
        <v>0.51967</v>
      </c>
      <c r="W508" s="50" t="n">
        <v>0.9123</v>
      </c>
      <c r="X508" s="50" t="n">
        <v>1.3369</v>
      </c>
      <c r="Y508" s="50" t="n">
        <v>1.4252</v>
      </c>
      <c r="Z508" s="50" t="n">
        <v>5.92145</v>
      </c>
      <c r="AA508" s="50" t="n">
        <v>2.6154</v>
      </c>
      <c r="AB508" s="50" t="n">
        <v>4.5614</v>
      </c>
    </row>
    <row r="509">
      <c r="A509" s="49" t="n">
        <v>45965</v>
      </c>
      <c r="B509" s="50" t="n">
        <v>7.0885</v>
      </c>
      <c r="C509" s="50" t="n">
        <v>8.1759</v>
      </c>
      <c r="D509" s="50" t="n">
        <v>0.046072</v>
      </c>
      <c r="E509" s="50" t="n">
        <v>0.91181</v>
      </c>
      <c r="F509" s="50" t="n">
        <v>9.3277</v>
      </c>
      <c r="G509" s="50" t="n">
        <v>4.6436</v>
      </c>
      <c r="H509" s="50" t="n">
        <v>4.0531</v>
      </c>
      <c r="I509" s="50" t="n">
        <v>5.4417</v>
      </c>
      <c r="J509" s="50" t="n">
        <v>8.784800000000001</v>
      </c>
      <c r="K509" s="50" t="n">
        <v>5.0526</v>
      </c>
      <c r="L509" s="50" t="n">
        <v>1.1302</v>
      </c>
      <c r="M509" s="50" t="n">
        <v>0.59148</v>
      </c>
      <c r="N509" s="50" t="n">
        <v>11.3706</v>
      </c>
      <c r="O509" s="50" t="n">
        <v>2.4397</v>
      </c>
      <c r="R509" s="50" t="n">
        <v>201.52</v>
      </c>
      <c r="S509" s="50" t="n">
        <v>0.51707</v>
      </c>
      <c r="T509" s="50" t="n">
        <v>0.52803</v>
      </c>
      <c r="U509" s="50" t="n">
        <v>47.3559</v>
      </c>
      <c r="V509" s="50" t="n">
        <v>0.52011</v>
      </c>
      <c r="W509" s="50" t="n">
        <v>0.9131</v>
      </c>
      <c r="X509" s="50" t="n">
        <v>1.3353</v>
      </c>
      <c r="Y509" s="50" t="n">
        <v>1.4253</v>
      </c>
      <c r="Z509" s="50" t="n">
        <v>5.92073</v>
      </c>
      <c r="AA509" s="50" t="n">
        <v>2.6057</v>
      </c>
      <c r="AB509" s="50" t="n">
        <v>4.5695</v>
      </c>
    </row>
    <row r="510">
      <c r="A510" s="49" t="n">
        <v>45966</v>
      </c>
      <c r="B510" s="50" t="n">
        <v>7.0901</v>
      </c>
      <c r="C510" s="50" t="n">
        <v>8.1586</v>
      </c>
      <c r="D510" s="50" t="n">
        <v>0.046254</v>
      </c>
      <c r="E510" s="50" t="n">
        <v>0.9119699999999999</v>
      </c>
      <c r="F510" s="50" t="n">
        <v>9.2554</v>
      </c>
      <c r="G510" s="50" t="n">
        <v>4.6116</v>
      </c>
      <c r="H510" s="50" t="n">
        <v>4.0154</v>
      </c>
      <c r="I510" s="50" t="n">
        <v>5.433</v>
      </c>
      <c r="J510" s="50" t="n">
        <v>8.769299999999999</v>
      </c>
      <c r="K510" s="50" t="n">
        <v>5.0407</v>
      </c>
      <c r="L510" s="50" t="n">
        <v>1.13</v>
      </c>
      <c r="M510" s="50" t="n">
        <v>0.59116</v>
      </c>
      <c r="N510" s="50" t="n">
        <v>11.3604</v>
      </c>
      <c r="O510" s="50" t="n">
        <v>2.4653</v>
      </c>
      <c r="R510" s="50" t="n">
        <v>202.98</v>
      </c>
      <c r="S510" s="50" t="n">
        <v>0.51662</v>
      </c>
      <c r="T510" s="50" t="n">
        <v>0.52756</v>
      </c>
      <c r="U510" s="50" t="n">
        <v>47.5668</v>
      </c>
      <c r="V510" s="50" t="n">
        <v>0.52207</v>
      </c>
      <c r="W510" s="50" t="n">
        <v>0.915</v>
      </c>
      <c r="X510" s="50" t="n">
        <v>1.3484</v>
      </c>
      <c r="Y510" s="50" t="n">
        <v>1.4383</v>
      </c>
      <c r="Z510" s="50" t="n">
        <v>5.9193</v>
      </c>
      <c r="AA510" s="50" t="n">
        <v>2.6328</v>
      </c>
      <c r="AB510" s="50" t="n">
        <v>4.5765</v>
      </c>
    </row>
    <row r="511">
      <c r="A511" s="49" t="n">
        <v>45967</v>
      </c>
      <c r="B511" s="50" t="n">
        <v>7.0865</v>
      </c>
      <c r="C511" s="50" t="n">
        <v>8.162100000000001</v>
      </c>
      <c r="D511" s="50" t="n">
        <v>0.046126</v>
      </c>
      <c r="E511" s="50" t="n">
        <v>0.91151</v>
      </c>
      <c r="F511" s="50" t="n">
        <v>9.2674</v>
      </c>
      <c r="G511" s="50" t="n">
        <v>4.6201</v>
      </c>
      <c r="H511" s="50" t="n">
        <v>4.0247</v>
      </c>
      <c r="I511" s="50" t="n">
        <v>5.4358</v>
      </c>
      <c r="J511" s="50" t="n">
        <v>8.7645</v>
      </c>
      <c r="K511" s="50" t="n">
        <v>5.0344</v>
      </c>
      <c r="L511" s="50" t="n">
        <v>1.1305</v>
      </c>
      <c r="M511" s="50" t="n">
        <v>0.58983</v>
      </c>
      <c r="N511" s="50" t="n">
        <v>11.419</v>
      </c>
      <c r="O511" s="50" t="n">
        <v>2.4531</v>
      </c>
      <c r="R511" s="50" t="n">
        <v>202.66</v>
      </c>
      <c r="S511" s="50" t="n">
        <v>0.51705</v>
      </c>
      <c r="T511" s="50" t="n">
        <v>0.52805</v>
      </c>
      <c r="U511" s="50" t="n">
        <v>47.3729</v>
      </c>
      <c r="V511" s="50" t="n">
        <v>0.52102</v>
      </c>
      <c r="W511" s="50" t="n">
        <v>0.9147999999999999</v>
      </c>
      <c r="X511" s="50" t="n">
        <v>1.3454</v>
      </c>
      <c r="Y511" s="50" t="n">
        <v>1.4379</v>
      </c>
      <c r="Z511" s="50" t="n">
        <v>5.9251</v>
      </c>
      <c r="AA511" s="50" t="n">
        <v>2.6198</v>
      </c>
      <c r="AB511" s="50" t="n">
        <v>4.5691</v>
      </c>
    </row>
    <row r="512">
      <c r="A512" s="49" t="n">
        <v>45968</v>
      </c>
      <c r="B512" s="50" t="n">
        <v>7.0836</v>
      </c>
      <c r="C512" s="50" t="n">
        <v>8.1892</v>
      </c>
      <c r="D512" s="50" t="n">
        <v>0.046412</v>
      </c>
      <c r="E512" s="50" t="n">
        <v>0.91113</v>
      </c>
      <c r="F512" s="50" t="n">
        <v>9.3187</v>
      </c>
      <c r="G512" s="50" t="n">
        <v>4.5992</v>
      </c>
      <c r="H512" s="50" t="n">
        <v>4.0023</v>
      </c>
      <c r="I512" s="50" t="n">
        <v>5.4391</v>
      </c>
      <c r="J512" s="50" t="n">
        <v>8.794600000000001</v>
      </c>
      <c r="K512" s="50" t="n">
        <v>5.0257</v>
      </c>
      <c r="L512" s="50" t="n">
        <v>1.131</v>
      </c>
      <c r="M512" s="50" t="n">
        <v>0.58923</v>
      </c>
      <c r="N512" s="50" t="n">
        <v>11.4155</v>
      </c>
      <c r="O512" s="50" t="n">
        <v>2.4501</v>
      </c>
      <c r="R512" s="50" t="n">
        <v>203.98</v>
      </c>
      <c r="S512" s="50" t="n">
        <v>0.5177</v>
      </c>
      <c r="T512" s="50" t="n">
        <v>0.52863</v>
      </c>
      <c r="U512" s="50" t="n">
        <v>47.1186</v>
      </c>
      <c r="V512" s="50" t="n">
        <v>0.51877</v>
      </c>
      <c r="W512" s="50" t="n">
        <v>0.912</v>
      </c>
      <c r="X512" s="50" t="n">
        <v>1.3491</v>
      </c>
      <c r="Y512" s="50" t="n">
        <v>1.4374</v>
      </c>
      <c r="Z512" s="50" t="n">
        <v>5.94368</v>
      </c>
      <c r="AA512" s="50" t="n">
        <v>2.619</v>
      </c>
      <c r="AB512" s="50" t="n">
        <v>4.5594</v>
      </c>
    </row>
    <row r="513">
      <c r="A513" s="49" t="n">
        <v>45971</v>
      </c>
      <c r="B513" s="50" t="n">
        <v>7.0856</v>
      </c>
      <c r="C513" s="50" t="n">
        <v>8.1942</v>
      </c>
      <c r="D513" s="50" t="n">
        <v>0.046151</v>
      </c>
      <c r="E513" s="50" t="n">
        <v>0.91113</v>
      </c>
      <c r="F513" s="50" t="n">
        <v>9.3287</v>
      </c>
      <c r="G513" s="50" t="n">
        <v>4.6137</v>
      </c>
      <c r="H513" s="50" t="n">
        <v>3.9966</v>
      </c>
      <c r="I513" s="50" t="n">
        <v>5.4476</v>
      </c>
      <c r="J513" s="50" t="n">
        <v>8.7927</v>
      </c>
      <c r="K513" s="50" t="n">
        <v>5.0541</v>
      </c>
      <c r="L513" s="50" t="n">
        <v>1.1311</v>
      </c>
      <c r="M513" s="50" t="n">
        <v>0.58795</v>
      </c>
      <c r="N513" s="50" t="n">
        <v>11.3682</v>
      </c>
      <c r="O513" s="50" t="n">
        <v>2.4412</v>
      </c>
      <c r="R513" s="50" t="n">
        <v>204.87</v>
      </c>
      <c r="S513" s="50" t="n">
        <v>0.51747</v>
      </c>
      <c r="T513" s="50" t="n">
        <v>0.52834</v>
      </c>
      <c r="U513" s="50" t="n">
        <v>46.9406</v>
      </c>
      <c r="V513" s="50" t="n">
        <v>0.51727</v>
      </c>
      <c r="W513" s="50" t="n">
        <v>0.9114</v>
      </c>
      <c r="X513" s="50" t="n">
        <v>1.3442</v>
      </c>
      <c r="Y513" s="50" t="n">
        <v>1.4325</v>
      </c>
      <c r="Z513" s="50" t="n">
        <v>5.94806</v>
      </c>
      <c r="AA513" s="50" t="n">
        <v>2.6</v>
      </c>
      <c r="AB513" s="50" t="n">
        <v>4.5573</v>
      </c>
    </row>
    <row r="514">
      <c r="A514" s="49" t="n">
        <v>45972</v>
      </c>
      <c r="B514" s="50" t="n">
        <v>7.0866</v>
      </c>
      <c r="C514" s="50" t="n">
        <v>8.198600000000001</v>
      </c>
      <c r="D514" s="50" t="n">
        <v>0.046064</v>
      </c>
      <c r="E514" s="50" t="n">
        <v>0.9116</v>
      </c>
      <c r="F514" s="50" t="n">
        <v>9.346500000000001</v>
      </c>
      <c r="G514" s="50" t="n">
        <v>4.6371</v>
      </c>
      <c r="H514" s="50" t="n">
        <v>4.0101</v>
      </c>
      <c r="I514" s="50" t="n">
        <v>5.4468</v>
      </c>
      <c r="J514" s="50" t="n">
        <v>8.809100000000001</v>
      </c>
      <c r="K514" s="50" t="n">
        <v>5.0607</v>
      </c>
      <c r="L514" s="50" t="n">
        <v>1.1307</v>
      </c>
      <c r="M514" s="50" t="n">
        <v>0.58597</v>
      </c>
      <c r="N514" s="50" t="n">
        <v>11.4209</v>
      </c>
      <c r="O514" s="50" t="n">
        <v>2.4187</v>
      </c>
      <c r="R514" s="50" t="n">
        <v>205.22</v>
      </c>
      <c r="S514" s="50" t="n">
        <v>0.51741</v>
      </c>
      <c r="T514" s="50" t="n">
        <v>0.52839</v>
      </c>
      <c r="U514" s="50" t="n">
        <v>46.7518</v>
      </c>
      <c r="V514" s="50" t="n">
        <v>0.51613</v>
      </c>
      <c r="W514" s="50" t="n">
        <v>0.9109</v>
      </c>
      <c r="X514" s="50" t="n">
        <v>1.3408</v>
      </c>
      <c r="Y514" s="50" t="n">
        <v>1.4273</v>
      </c>
      <c r="Z514" s="50" t="n">
        <v>5.94738</v>
      </c>
      <c r="AA514" s="50" t="n">
        <v>2.5908</v>
      </c>
      <c r="AB514" s="50" t="n">
        <v>4.5511</v>
      </c>
    </row>
    <row r="515">
      <c r="A515" s="49" t="n">
        <v>45973</v>
      </c>
      <c r="B515" s="50" t="n">
        <v>7.0833</v>
      </c>
      <c r="C515" s="50" t="n">
        <v>8.215199999999999</v>
      </c>
      <c r="D515" s="50" t="n">
        <v>0.046035</v>
      </c>
      <c r="E515" s="50" t="n">
        <v>0.91139</v>
      </c>
      <c r="F515" s="50" t="n">
        <v>9.327299999999999</v>
      </c>
      <c r="G515" s="50" t="n">
        <v>4.6321</v>
      </c>
      <c r="H515" s="50" t="n">
        <v>4.0139</v>
      </c>
      <c r="I515" s="50" t="n">
        <v>5.4528</v>
      </c>
      <c r="J515" s="50" t="n">
        <v>8.859</v>
      </c>
      <c r="K515" s="50" t="n">
        <v>5.0624</v>
      </c>
      <c r="L515" s="50" t="n">
        <v>1.131</v>
      </c>
      <c r="M515" s="50" t="n">
        <v>0.58208</v>
      </c>
      <c r="N515" s="50" t="n">
        <v>11.3802</v>
      </c>
      <c r="O515" s="50" t="n">
        <v>2.4193</v>
      </c>
      <c r="R515" s="50" t="n">
        <v>205.74</v>
      </c>
      <c r="S515" s="50" t="n">
        <v>0.51763</v>
      </c>
      <c r="T515" s="50" t="n">
        <v>0.52856</v>
      </c>
      <c r="U515" s="50" t="n">
        <v>46.837</v>
      </c>
      <c r="V515" s="50" t="n">
        <v>0.5148</v>
      </c>
      <c r="W515" s="50" t="n">
        <v>0.9089</v>
      </c>
      <c r="X515" s="50" t="n">
        <v>1.3325</v>
      </c>
      <c r="Y515" s="50" t="n">
        <v>1.4168</v>
      </c>
      <c r="Z515" s="50" t="n">
        <v>5.95136</v>
      </c>
      <c r="AA515" s="50" t="n">
        <v>2.5835</v>
      </c>
      <c r="AB515" s="50" t="n">
        <v>4.559</v>
      </c>
    </row>
    <row r="516">
      <c r="A516" s="49" t="n">
        <v>45974</v>
      </c>
      <c r="B516" s="50" t="n">
        <v>7.0865</v>
      </c>
      <c r="C516" s="50" t="n">
        <v>8.222300000000001</v>
      </c>
      <c r="D516" s="50" t="n">
        <v>0.045878</v>
      </c>
      <c r="E516" s="50" t="n">
        <v>0.91195</v>
      </c>
      <c r="F516" s="50" t="n">
        <v>9.316599999999999</v>
      </c>
      <c r="G516" s="50" t="n">
        <v>4.6412</v>
      </c>
      <c r="H516" s="50" t="n">
        <v>4.0194</v>
      </c>
      <c r="I516" s="50" t="n">
        <v>5.4512</v>
      </c>
      <c r="J516" s="50" t="n">
        <v>8.8927</v>
      </c>
      <c r="K516" s="50" t="n">
        <v>5.0659</v>
      </c>
      <c r="L516" s="50" t="n">
        <v>1.1303</v>
      </c>
      <c r="M516" s="50" t="n">
        <v>0.58233</v>
      </c>
      <c r="N516" s="50" t="n">
        <v>11.4232</v>
      </c>
      <c r="O516" s="50" t="n">
        <v>2.4093</v>
      </c>
      <c r="R516" s="50" t="n">
        <v>206.79</v>
      </c>
      <c r="S516" s="50" t="n">
        <v>0.51749</v>
      </c>
      <c r="T516" s="50" t="n">
        <v>0.52841</v>
      </c>
      <c r="U516" s="50" t="n">
        <v>46.7385</v>
      </c>
      <c r="V516" s="50" t="n">
        <v>0.51456</v>
      </c>
      <c r="W516" s="50" t="n">
        <v>0.9082</v>
      </c>
      <c r="X516" s="50" t="n">
        <v>1.331</v>
      </c>
      <c r="Y516" s="50" t="n">
        <v>1.4204</v>
      </c>
      <c r="Z516" s="50" t="n">
        <v>5.95117</v>
      </c>
      <c r="AA516" s="50" t="n">
        <v>2.5804</v>
      </c>
      <c r="AB516" s="50" t="n">
        <v>4.5551</v>
      </c>
    </row>
    <row r="517">
      <c r="A517" s="49" t="n">
        <v>45975</v>
      </c>
      <c r="B517" s="50" t="n">
        <v>7.0825</v>
      </c>
      <c r="C517" s="50" t="n">
        <v>8.2403</v>
      </c>
      <c r="D517" s="50" t="n">
        <v>0.045846</v>
      </c>
      <c r="E517" s="50" t="n">
        <v>0.91139</v>
      </c>
      <c r="F517" s="50" t="n">
        <v>9.316599999999999</v>
      </c>
      <c r="G517" s="50" t="n">
        <v>4.6273</v>
      </c>
      <c r="H517" s="50" t="n">
        <v>4.0082</v>
      </c>
      <c r="I517" s="50" t="n">
        <v>5.4483</v>
      </c>
      <c r="J517" s="50" t="n">
        <v>8.9313</v>
      </c>
      <c r="K517" s="50" t="n">
        <v>5.0492</v>
      </c>
      <c r="L517" s="50" t="n">
        <v>1.1309</v>
      </c>
      <c r="M517" s="50" t="n">
        <v>0.5821499999999999</v>
      </c>
      <c r="N517" s="50" t="n">
        <v>11.3689</v>
      </c>
      <c r="O517" s="50" t="n">
        <v>2.4055</v>
      </c>
      <c r="R517" s="50" t="n">
        <v>206.67</v>
      </c>
      <c r="S517" s="50" t="n">
        <v>0.5180900000000001</v>
      </c>
      <c r="T517" s="50" t="n">
        <v>0.52902</v>
      </c>
      <c r="U517" s="50" t="n">
        <v>46.6004</v>
      </c>
      <c r="V517" s="50" t="n">
        <v>0.51317</v>
      </c>
      <c r="W517" s="50" t="n">
        <v>0.9061</v>
      </c>
      <c r="X517" s="50" t="n">
        <v>1.3269</v>
      </c>
      <c r="Y517" s="50" t="n">
        <v>1.4141</v>
      </c>
      <c r="Z517" s="50" t="n">
        <v>5.96305</v>
      </c>
      <c r="AA517" s="50" t="n">
        <v>2.5843</v>
      </c>
      <c r="AB517" s="50" t="n">
        <v>4.5608</v>
      </c>
    </row>
    <row r="518">
      <c r="A518" s="49" t="n">
        <v>45978</v>
      </c>
      <c r="B518" s="50" t="n">
        <v>7.0816</v>
      </c>
      <c r="C518" s="50" t="n">
        <v>8.2296</v>
      </c>
      <c r="D518" s="50" t="n">
        <v>0.045859</v>
      </c>
      <c r="E518" s="50" t="n">
        <v>0.91117</v>
      </c>
      <c r="F518" s="50" t="n">
        <v>9.327400000000001</v>
      </c>
      <c r="G518" s="50" t="n">
        <v>4.6292</v>
      </c>
      <c r="H518" s="50" t="n">
        <v>4.024</v>
      </c>
      <c r="I518" s="50" t="n">
        <v>5.4577</v>
      </c>
      <c r="J518" s="50" t="n">
        <v>8.9237</v>
      </c>
      <c r="K518" s="50" t="n">
        <v>5.0533</v>
      </c>
      <c r="L518" s="50" t="n">
        <v>1.131</v>
      </c>
      <c r="M518" s="50" t="n">
        <v>0.58262</v>
      </c>
      <c r="N518" s="50" t="n">
        <v>11.3909</v>
      </c>
      <c r="O518" s="50" t="n">
        <v>2.4114</v>
      </c>
      <c r="R518" s="50" t="n">
        <v>204.95</v>
      </c>
      <c r="S518" s="50" t="n">
        <v>0.5182600000000001</v>
      </c>
      <c r="T518" s="50" t="n">
        <v>0.52915</v>
      </c>
      <c r="U518" s="50" t="n">
        <v>46.6801</v>
      </c>
      <c r="V518" s="50" t="n">
        <v>0.51322</v>
      </c>
      <c r="W518" s="50" t="n">
        <v>0.9072</v>
      </c>
      <c r="X518" s="50" t="n">
        <v>1.3333</v>
      </c>
      <c r="Y518" s="50" t="n">
        <v>1.4232</v>
      </c>
      <c r="Z518" s="50" t="n">
        <v>5.971</v>
      </c>
      <c r="AA518" s="50" t="n">
        <v>2.5843</v>
      </c>
      <c r="AB518" s="50" t="n">
        <v>4.5731</v>
      </c>
    </row>
    <row r="519">
      <c r="A519" s="49" t="n">
        <v>45979</v>
      </c>
      <c r="B519" s="50" t="n">
        <v>7.0856</v>
      </c>
      <c r="C519" s="50" t="n">
        <v>8.222300000000001</v>
      </c>
      <c r="D519" s="50" t="n">
        <v>0.04571</v>
      </c>
      <c r="E519" s="50" t="n">
        <v>0.91145</v>
      </c>
      <c r="F519" s="50" t="n">
        <v>9.3348</v>
      </c>
      <c r="G519" s="50" t="n">
        <v>4.6089</v>
      </c>
      <c r="H519" s="50" t="n">
        <v>4.0163</v>
      </c>
      <c r="I519" s="50" t="n">
        <v>5.4449</v>
      </c>
      <c r="J519" s="50" t="n">
        <v>8.9129</v>
      </c>
      <c r="K519" s="50" t="n">
        <v>5.051</v>
      </c>
      <c r="L519" s="50" t="n">
        <v>1.1306</v>
      </c>
      <c r="M519" s="50" t="n">
        <v>0.58428</v>
      </c>
      <c r="N519" s="50" t="n">
        <v>11.4333</v>
      </c>
      <c r="O519" s="50" t="n">
        <v>2.4217</v>
      </c>
      <c r="R519" s="50" t="n">
        <v>206.03</v>
      </c>
      <c r="S519" s="50" t="n">
        <v>0.51749</v>
      </c>
      <c r="T519" s="50" t="n">
        <v>0.52843</v>
      </c>
      <c r="U519" s="50" t="n">
        <v>46.7552</v>
      </c>
      <c r="V519" s="50" t="n">
        <v>0.51497</v>
      </c>
      <c r="W519" s="50" t="n">
        <v>0.9082</v>
      </c>
      <c r="X519" s="50" t="n">
        <v>1.3354</v>
      </c>
      <c r="Y519" s="50" t="n">
        <v>1.4239</v>
      </c>
      <c r="Z519" s="50" t="n">
        <v>5.96235</v>
      </c>
      <c r="AA519" s="50" t="n">
        <v>2.5995</v>
      </c>
      <c r="AB519" s="50" t="n">
        <v>4.5707</v>
      </c>
    </row>
    <row r="520">
      <c r="A520" s="49" t="n">
        <v>45980</v>
      </c>
      <c r="B520" s="50" t="n">
        <v>7.0872</v>
      </c>
      <c r="C520" s="50" t="n">
        <v>8.2164</v>
      </c>
      <c r="D520" s="50" t="n">
        <v>0.045635</v>
      </c>
      <c r="E520" s="50" t="n">
        <v>0.91023</v>
      </c>
      <c r="F520" s="50" t="n">
        <v>9.329499999999999</v>
      </c>
      <c r="G520" s="50" t="n">
        <v>4.6181</v>
      </c>
      <c r="H520" s="50" t="n">
        <v>4.0161</v>
      </c>
      <c r="I520" s="50" t="n">
        <v>5.4513</v>
      </c>
      <c r="J520" s="50" t="n">
        <v>8.868499999999999</v>
      </c>
      <c r="K520" s="50" t="n">
        <v>5.0743</v>
      </c>
      <c r="L520" s="50" t="n">
        <v>1.1322</v>
      </c>
      <c r="M520" s="50" t="n">
        <v>0.58585</v>
      </c>
      <c r="N520" s="50" t="n">
        <v>11.3983</v>
      </c>
      <c r="O520" s="50" t="n">
        <v>2.4229</v>
      </c>
      <c r="R520" s="50" t="n">
        <v>205.87</v>
      </c>
      <c r="S520" s="50" t="n">
        <v>0.51753</v>
      </c>
      <c r="T520" s="50" t="n">
        <v>0.52842</v>
      </c>
      <c r="U520" s="50" t="n">
        <v>46.723</v>
      </c>
      <c r="V520" s="50" t="n">
        <v>0.51584</v>
      </c>
      <c r="W520" s="50" t="n">
        <v>0.909</v>
      </c>
      <c r="X520" s="50" t="n">
        <v>1.3348</v>
      </c>
      <c r="Y520" s="50" t="n">
        <v>1.4246</v>
      </c>
      <c r="Z520" s="50" t="n">
        <v>5.96352</v>
      </c>
      <c r="AA520" s="50" t="n">
        <v>2.5858</v>
      </c>
      <c r="AB520" s="50" t="n">
        <v>4.5589</v>
      </c>
    </row>
    <row r="521">
      <c r="A521" s="49" t="n">
        <v>45981</v>
      </c>
      <c r="B521" s="50" t="n">
        <v>7.0905</v>
      </c>
      <c r="C521" s="50" t="n">
        <v>8.191800000000001</v>
      </c>
      <c r="D521" s="50" t="n">
        <v>0.045207</v>
      </c>
      <c r="E521" s="50" t="n">
        <v>0.91064</v>
      </c>
      <c r="F521" s="50" t="n">
        <v>9.2742</v>
      </c>
      <c r="G521" s="50" t="n">
        <v>4.608</v>
      </c>
      <c r="H521" s="50" t="n">
        <v>3.9893</v>
      </c>
      <c r="I521" s="50" t="n">
        <v>5.4359</v>
      </c>
      <c r="J521" s="50" t="n">
        <v>8.816800000000001</v>
      </c>
      <c r="K521" s="50" t="n">
        <v>5.0575</v>
      </c>
      <c r="L521" s="50" t="n">
        <v>1.1316</v>
      </c>
      <c r="M521" s="50" t="n">
        <v>0.58523</v>
      </c>
      <c r="N521" s="50" t="n">
        <v>11.3241</v>
      </c>
      <c r="O521" s="50" t="n">
        <v>2.4221</v>
      </c>
      <c r="R521" s="50" t="n">
        <v>206.41</v>
      </c>
      <c r="S521" s="50" t="n">
        <v>0.51712</v>
      </c>
      <c r="T521" s="50" t="n">
        <v>0.52801</v>
      </c>
      <c r="U521" s="50" t="n">
        <v>46.63</v>
      </c>
      <c r="V521" s="50" t="n">
        <v>0.51638</v>
      </c>
      <c r="W521" s="50" t="n">
        <v>0.9116</v>
      </c>
      <c r="X521" s="50" t="n">
        <v>1.344</v>
      </c>
      <c r="Y521" s="50" t="n">
        <v>1.4322</v>
      </c>
      <c r="Z521" s="50" t="n">
        <v>5.96149</v>
      </c>
      <c r="AA521" s="50" t="n">
        <v>2.5844</v>
      </c>
      <c r="AB521" s="50" t="n">
        <v>4.5655</v>
      </c>
    </row>
    <row r="522">
      <c r="A522" s="49" t="n">
        <v>45982</v>
      </c>
      <c r="B522" s="50" t="n">
        <v>7.0875</v>
      </c>
      <c r="C522" s="50" t="n">
        <v>8.182600000000001</v>
      </c>
      <c r="D522" s="50" t="n">
        <v>0.045124</v>
      </c>
      <c r="E522" s="50" t="n">
        <v>0.9103</v>
      </c>
      <c r="F522" s="50" t="n">
        <v>9.2857</v>
      </c>
      <c r="G522" s="50" t="n">
        <v>4.578</v>
      </c>
      <c r="H522" s="50" t="n">
        <v>3.9684</v>
      </c>
      <c r="I522" s="50" t="n">
        <v>5.4309</v>
      </c>
      <c r="J522" s="50" t="n">
        <v>8.8101</v>
      </c>
      <c r="K522" s="50" t="n">
        <v>5.0386</v>
      </c>
      <c r="L522" s="50" t="n">
        <v>1.132</v>
      </c>
      <c r="M522" s="50" t="n">
        <v>0.58552</v>
      </c>
      <c r="N522" s="50" t="n">
        <v>11.2485</v>
      </c>
      <c r="O522" s="50" t="n">
        <v>2.4266</v>
      </c>
      <c r="R522" s="50" t="n">
        <v>207.22</v>
      </c>
      <c r="S522" s="50" t="n">
        <v>0.51725</v>
      </c>
      <c r="T522" s="50" t="n">
        <v>0.52805</v>
      </c>
      <c r="U522" s="50" t="n">
        <v>46.6863</v>
      </c>
      <c r="V522" s="50" t="n">
        <v>0.51731</v>
      </c>
      <c r="W522" s="50" t="n">
        <v>0.9131</v>
      </c>
      <c r="X522" s="50" t="n">
        <v>1.3447</v>
      </c>
      <c r="Y522" s="50" t="n">
        <v>1.438</v>
      </c>
      <c r="Z522" s="50" t="n">
        <v>5.97516</v>
      </c>
      <c r="AA522" s="50" t="n">
        <v>2.5899</v>
      </c>
      <c r="AB522" s="50" t="n">
        <v>4.5625</v>
      </c>
    </row>
    <row r="523">
      <c r="A523" s="49" t="n">
        <v>45985</v>
      </c>
      <c r="B523" s="50" t="n">
        <v>7.0847</v>
      </c>
      <c r="C523" s="50" t="n">
        <v>8.1638</v>
      </c>
      <c r="D523" s="50" t="n">
        <v>0.045307</v>
      </c>
      <c r="E523" s="50" t="n">
        <v>0.9103</v>
      </c>
      <c r="F523" s="50" t="n">
        <v>9.2903</v>
      </c>
      <c r="G523" s="50" t="n">
        <v>4.5843</v>
      </c>
      <c r="H523" s="50" t="n">
        <v>3.9835</v>
      </c>
      <c r="I523" s="50" t="n">
        <v>5.4283</v>
      </c>
      <c r="J523" s="50" t="n">
        <v>8.7713</v>
      </c>
      <c r="K523" s="50" t="n">
        <v>5.0331</v>
      </c>
      <c r="L523" s="50" t="n">
        <v>1.132</v>
      </c>
      <c r="M523" s="50" t="n">
        <v>0.58417</v>
      </c>
      <c r="N523" s="50" t="n">
        <v>11.1274</v>
      </c>
      <c r="O523" s="50" t="n">
        <v>2.4493</v>
      </c>
      <c r="R523" s="50" t="n">
        <v>207.11</v>
      </c>
      <c r="S523" s="50" t="n">
        <v>0.51745</v>
      </c>
      <c r="T523" s="50" t="n">
        <v>0.52841</v>
      </c>
      <c r="U523" s="50" t="n">
        <v>47.018</v>
      </c>
      <c r="V523" s="50" t="n">
        <v>0.51894</v>
      </c>
      <c r="W523" s="50" t="n">
        <v>0.915</v>
      </c>
      <c r="X523" s="50" t="n">
        <v>1.3458</v>
      </c>
      <c r="Y523" s="50" t="n">
        <v>1.444</v>
      </c>
      <c r="Z523" s="50" t="n">
        <v>5.97726</v>
      </c>
      <c r="AA523" s="50" t="n">
        <v>2.6053</v>
      </c>
      <c r="AB523" s="50" t="n">
        <v>4.5689</v>
      </c>
    </row>
    <row r="524">
      <c r="A524" s="49" t="n">
        <v>45986</v>
      </c>
      <c r="B524" s="50" t="n">
        <v>7.0826</v>
      </c>
      <c r="C524" s="50" t="n">
        <v>8.168699999999999</v>
      </c>
      <c r="D524" s="50" t="n">
        <v>0.0452</v>
      </c>
      <c r="E524" s="50" t="n">
        <v>0.9102</v>
      </c>
      <c r="F524" s="50" t="n">
        <v>9.293900000000001</v>
      </c>
      <c r="G524" s="50" t="n">
        <v>4.5838</v>
      </c>
      <c r="H524" s="50" t="n">
        <v>3.9806</v>
      </c>
      <c r="I524" s="50" t="n">
        <v>5.4352</v>
      </c>
      <c r="J524" s="50" t="n">
        <v>8.769399999999999</v>
      </c>
      <c r="K524" s="50" t="n">
        <v>5.0258</v>
      </c>
      <c r="L524" s="50" t="n">
        <v>1.1322</v>
      </c>
      <c r="M524" s="50" t="n">
        <v>0.5832000000000001</v>
      </c>
      <c r="N524" s="50" t="n">
        <v>11.0503</v>
      </c>
      <c r="O524" s="50" t="n">
        <v>2.441</v>
      </c>
      <c r="R524" s="50" t="n">
        <v>207.85</v>
      </c>
      <c r="S524" s="50" t="n">
        <v>0.5178700000000001</v>
      </c>
      <c r="T524" s="50" t="n">
        <v>0.52883</v>
      </c>
      <c r="U524" s="50" t="n">
        <v>46.7648</v>
      </c>
      <c r="V524" s="50" t="n">
        <v>0.5182099999999999</v>
      </c>
      <c r="W524" s="50" t="n">
        <v>0.9144</v>
      </c>
      <c r="X524" s="50" t="n">
        <v>1.3464</v>
      </c>
      <c r="Y524" s="50" t="n">
        <v>1.4423</v>
      </c>
      <c r="Z524" s="50" t="n">
        <v>5.98186</v>
      </c>
      <c r="AA524" s="50" t="n">
        <v>2.6102</v>
      </c>
      <c r="AB524" s="50" t="n">
        <v>4.5612</v>
      </c>
    </row>
    <row r="525">
      <c r="A525" s="49" t="n">
        <v>45987</v>
      </c>
      <c r="B525" s="50" t="n">
        <v>7.0796</v>
      </c>
      <c r="C525" s="50" t="n">
        <v>8.19</v>
      </c>
      <c r="D525" s="50" t="n">
        <v>0.045347</v>
      </c>
      <c r="E525" s="50" t="n">
        <v>0.91059</v>
      </c>
      <c r="F525" s="50" t="n">
        <v>9.3222</v>
      </c>
      <c r="G525" s="50" t="n">
        <v>4.5812</v>
      </c>
      <c r="H525" s="50" t="n">
        <v>3.9823</v>
      </c>
      <c r="I525" s="50" t="n">
        <v>5.4401</v>
      </c>
      <c r="J525" s="50" t="n">
        <v>8.7662</v>
      </c>
      <c r="K525" s="50" t="n">
        <v>5.0209</v>
      </c>
      <c r="L525" s="50" t="n">
        <v>1.132</v>
      </c>
      <c r="M525" s="50" t="n">
        <v>0.58329</v>
      </c>
      <c r="N525" s="50" t="n">
        <v>11.1388</v>
      </c>
      <c r="O525" s="50" t="n">
        <v>2.4312</v>
      </c>
      <c r="R525" s="50" t="n">
        <v>206.72</v>
      </c>
      <c r="S525" s="50" t="n">
        <v>0.51878</v>
      </c>
      <c r="T525" s="50" t="n">
        <v>0.52977</v>
      </c>
      <c r="U525" s="50" t="n">
        <v>46.5967</v>
      </c>
      <c r="V525" s="50" t="n">
        <v>0.51535</v>
      </c>
      <c r="W525" s="50" t="n">
        <v>0.912</v>
      </c>
      <c r="X525" s="50" t="n">
        <v>1.3462</v>
      </c>
      <c r="Y525" s="50" t="n">
        <v>1.4446</v>
      </c>
      <c r="Z525" s="50" t="n">
        <v>5.99633</v>
      </c>
      <c r="AA525" s="50" t="n">
        <v>2.5964</v>
      </c>
      <c r="AB525" s="50" t="n">
        <v>4.5575</v>
      </c>
    </row>
    <row r="526">
      <c r="A526" s="49" t="n">
        <v>45988</v>
      </c>
      <c r="B526" s="50" t="n">
        <v>7.0779</v>
      </c>
      <c r="C526" s="50" t="n">
        <v>8.2056</v>
      </c>
      <c r="D526" s="50" t="n">
        <v>0.045267</v>
      </c>
      <c r="E526" s="50" t="n">
        <v>0.90998</v>
      </c>
      <c r="F526" s="50" t="n">
        <v>9.367100000000001</v>
      </c>
      <c r="G526" s="50" t="n">
        <v>4.6134</v>
      </c>
      <c r="H526" s="50" t="n">
        <v>4.0339</v>
      </c>
      <c r="I526" s="50" t="n">
        <v>5.4565</v>
      </c>
      <c r="J526" s="50" t="n">
        <v>8.8005</v>
      </c>
      <c r="K526" s="50" t="n">
        <v>5.0378</v>
      </c>
      <c r="L526" s="50" t="n">
        <v>1.1327</v>
      </c>
      <c r="M526" s="50" t="n">
        <v>0.58449</v>
      </c>
      <c r="N526" s="50" t="n">
        <v>11.1002</v>
      </c>
      <c r="O526" s="50" t="n">
        <v>2.4229</v>
      </c>
      <c r="R526" s="50" t="n">
        <v>207.7</v>
      </c>
      <c r="S526" s="50" t="n">
        <v>0.5193</v>
      </c>
      <c r="T526" s="50" t="n">
        <v>0.53028</v>
      </c>
      <c r="U526" s="50" t="n">
        <v>46.5595</v>
      </c>
      <c r="V526" s="50" t="n">
        <v>0.51584</v>
      </c>
      <c r="W526" s="50" t="n">
        <v>0.9102</v>
      </c>
      <c r="X526" s="50" t="n">
        <v>1.3418</v>
      </c>
      <c r="Y526" s="50" t="n">
        <v>1.4419</v>
      </c>
      <c r="Z526" s="50" t="n">
        <v>6.00101</v>
      </c>
      <c r="AA526" s="50" t="n">
        <v>2.5931</v>
      </c>
      <c r="AB526" s="50" t="n">
        <v>4.5538</v>
      </c>
    </row>
    <row r="527">
      <c r="A527" s="49" t="n">
        <v>45989</v>
      </c>
      <c r="B527" s="50" t="n">
        <v>7.0789</v>
      </c>
      <c r="C527" s="50" t="n">
        <v>8.207800000000001</v>
      </c>
      <c r="D527" s="50" t="n">
        <v>0.045293</v>
      </c>
      <c r="E527" s="50" t="n">
        <v>0.9099</v>
      </c>
      <c r="F527" s="50" t="n">
        <v>9.3697</v>
      </c>
      <c r="G527" s="50" t="n">
        <v>4.6243</v>
      </c>
      <c r="H527" s="50" t="n">
        <v>4.0533</v>
      </c>
      <c r="I527" s="50" t="n">
        <v>5.4589</v>
      </c>
      <c r="J527" s="50" t="n">
        <v>8.7971</v>
      </c>
      <c r="K527" s="50" t="n">
        <v>5.046</v>
      </c>
      <c r="L527" s="50" t="n">
        <v>1.1329</v>
      </c>
      <c r="M527" s="50" t="n">
        <v>0.58344</v>
      </c>
      <c r="N527" s="50" t="n">
        <v>11.0135</v>
      </c>
      <c r="O527" s="50" t="n">
        <v>2.4235</v>
      </c>
      <c r="R527" s="50" t="n">
        <v>206.78</v>
      </c>
      <c r="S527" s="50" t="n">
        <v>0.51897</v>
      </c>
      <c r="T527" s="50" t="n">
        <v>0.53008</v>
      </c>
      <c r="U527" s="50" t="n">
        <v>46.4631</v>
      </c>
      <c r="V527" s="50" t="n">
        <v>0.515</v>
      </c>
      <c r="W527" s="50" t="n">
        <v>0.9099</v>
      </c>
      <c r="X527" s="50" t="n">
        <v>1.3385</v>
      </c>
      <c r="Y527" s="50" t="n">
        <v>1.4356</v>
      </c>
      <c r="Z527" s="50" t="n">
        <v>6.00333</v>
      </c>
      <c r="AA527" s="50" t="n">
        <v>2.5918</v>
      </c>
      <c r="AB527" s="50" t="n">
        <v>4.5526</v>
      </c>
    </row>
    <row r="528">
      <c r="A528" s="49" t="n">
        <v>45992</v>
      </c>
      <c r="B528" s="50" t="n">
        <v>7.0759</v>
      </c>
      <c r="C528" s="50" t="n">
        <v>8.2052</v>
      </c>
      <c r="D528" s="50" t="n">
        <v>0.045331</v>
      </c>
      <c r="E528" s="50" t="n">
        <v>0.90877</v>
      </c>
      <c r="F528" s="50" t="n">
        <v>9.361599999999999</v>
      </c>
      <c r="G528" s="50" t="n">
        <v>4.6302</v>
      </c>
      <c r="H528" s="50" t="n">
        <v>4.0535</v>
      </c>
      <c r="I528" s="50" t="n">
        <v>5.4569</v>
      </c>
      <c r="J528" s="50" t="n">
        <v>8.801299999999999</v>
      </c>
      <c r="K528" s="50" t="n">
        <v>5.0621</v>
      </c>
      <c r="L528" s="50" t="n">
        <v>1.1343</v>
      </c>
      <c r="M528" s="50" t="n">
        <v>0.58391</v>
      </c>
      <c r="N528" s="50" t="n">
        <v>10.9581</v>
      </c>
      <c r="O528" s="50" t="n">
        <v>2.4199</v>
      </c>
      <c r="R528" s="50" t="n">
        <v>207.5</v>
      </c>
      <c r="S528" s="50" t="n">
        <v>0.51934</v>
      </c>
      <c r="T528" s="50" t="n">
        <v>0.53039</v>
      </c>
      <c r="U528" s="50" t="n">
        <v>46.5104</v>
      </c>
      <c r="V528" s="50" t="n">
        <v>0.51614</v>
      </c>
      <c r="W528" s="50" t="n">
        <v>0.9103</v>
      </c>
      <c r="X528" s="50" t="n">
        <v>1.336</v>
      </c>
      <c r="Y528" s="50" t="n">
        <v>1.4302</v>
      </c>
      <c r="Z528" s="50" t="n">
        <v>6.00787</v>
      </c>
      <c r="AA528" s="50" t="n">
        <v>2.5854</v>
      </c>
      <c r="AB528" s="50" t="n">
        <v>4.5432</v>
      </c>
    </row>
    <row r="529">
      <c r="A529" s="49" t="n">
        <v>45993</v>
      </c>
      <c r="B529" s="50" t="n">
        <v>7.0794</v>
      </c>
      <c r="C529" s="50" t="n">
        <v>8.2113</v>
      </c>
      <c r="D529" s="50" t="n">
        <v>0.045495</v>
      </c>
      <c r="E529" s="50" t="n">
        <v>0.9088000000000001</v>
      </c>
      <c r="F529" s="50" t="n">
        <v>9.3451</v>
      </c>
      <c r="G529" s="50" t="n">
        <v>4.6292</v>
      </c>
      <c r="H529" s="50" t="n">
        <v>4.0512</v>
      </c>
      <c r="I529" s="50" t="n">
        <v>5.4576</v>
      </c>
      <c r="J529" s="50" t="n">
        <v>8.791499999999999</v>
      </c>
      <c r="K529" s="50" t="n">
        <v>5.0539</v>
      </c>
      <c r="L529" s="50" t="n">
        <v>1.1339</v>
      </c>
      <c r="M529" s="50" t="n">
        <v>0.58373</v>
      </c>
      <c r="N529" s="50" t="n">
        <v>10.9857</v>
      </c>
      <c r="O529" s="50" t="n">
        <v>2.4155</v>
      </c>
      <c r="R529" s="50" t="n">
        <v>207.92</v>
      </c>
      <c r="S529" s="50" t="n">
        <v>0.51913</v>
      </c>
      <c r="T529" s="50" t="n">
        <v>0.53051</v>
      </c>
      <c r="U529" s="50" t="n">
        <v>46.3742</v>
      </c>
      <c r="V529" s="50" t="n">
        <v>0.51484</v>
      </c>
      <c r="W529" s="50" t="n">
        <v>0.9095</v>
      </c>
      <c r="X529" s="50" t="n">
        <v>1.3363</v>
      </c>
      <c r="Y529" s="50" t="n">
        <v>1.4319</v>
      </c>
      <c r="Z529" s="50" t="n">
        <v>5.99926</v>
      </c>
      <c r="AA529" s="50" t="n">
        <v>2.5875</v>
      </c>
      <c r="AB529" s="50" t="n">
        <v>4.5236</v>
      </c>
    </row>
    <row r="530">
      <c r="A530" s="49" t="n">
        <v>45994</v>
      </c>
      <c r="B530" s="50" t="n">
        <v>7.0754</v>
      </c>
      <c r="C530" s="50" t="n">
        <v>8.221</v>
      </c>
      <c r="D530" s="50" t="n">
        <v>0.04536</v>
      </c>
      <c r="E530" s="50" t="n">
        <v>0.9089699999999999</v>
      </c>
      <c r="F530" s="50" t="n">
        <v>9.3429</v>
      </c>
      <c r="G530" s="50" t="n">
        <v>4.6437</v>
      </c>
      <c r="H530" s="50" t="n">
        <v>4.0567</v>
      </c>
      <c r="I530" s="50" t="n">
        <v>5.4544</v>
      </c>
      <c r="J530" s="50" t="n">
        <v>8.8047</v>
      </c>
      <c r="K530" s="50" t="n">
        <v>5.0589</v>
      </c>
      <c r="L530" s="50" t="n">
        <v>1.1336</v>
      </c>
      <c r="M530" s="50" t="n">
        <v>0.58423</v>
      </c>
      <c r="N530" s="50" t="n">
        <v>10.9574</v>
      </c>
      <c r="O530" s="50" t="n">
        <v>2.4206</v>
      </c>
      <c r="R530" s="50" t="n">
        <v>207.71</v>
      </c>
      <c r="S530" s="50" t="n">
        <v>0.51959</v>
      </c>
      <c r="T530" s="50" t="n">
        <v>0.53104</v>
      </c>
      <c r="U530" s="50" t="n">
        <v>46.3451</v>
      </c>
      <c r="V530" s="50" t="n">
        <v>0.515</v>
      </c>
      <c r="W530" s="50" t="n">
        <v>0.9087</v>
      </c>
      <c r="X530" s="50" t="n">
        <v>1.3336</v>
      </c>
      <c r="Y530" s="50" t="n">
        <v>1.4328</v>
      </c>
      <c r="Z530" s="50" t="n">
        <v>6.00898</v>
      </c>
      <c r="AA530" s="50" t="n">
        <v>2.5855</v>
      </c>
      <c r="AB530" s="50" t="n">
        <v>4.5265</v>
      </c>
    </row>
    <row r="531">
      <c r="A531" s="49" t="n">
        <v>45995</v>
      </c>
      <c r="B531" s="50" t="n">
        <v>7.0733</v>
      </c>
      <c r="C531" s="50" t="n">
        <v>8.237299999999999</v>
      </c>
      <c r="D531" s="50" t="n">
        <v>0.045468</v>
      </c>
      <c r="E531" s="50" t="n">
        <v>0.90891</v>
      </c>
      <c r="F531" s="50" t="n">
        <v>9.4207</v>
      </c>
      <c r="G531" s="50" t="n">
        <v>4.6586</v>
      </c>
      <c r="H531" s="50" t="n">
        <v>4.0715</v>
      </c>
      <c r="I531" s="50" t="n">
        <v>5.4573</v>
      </c>
      <c r="J531" s="50" t="n">
        <v>8.825200000000001</v>
      </c>
      <c r="K531" s="50" t="n">
        <v>5.0597</v>
      </c>
      <c r="L531" s="50" t="n">
        <v>1.1338</v>
      </c>
      <c r="M531" s="50" t="n">
        <v>0.58336</v>
      </c>
      <c r="N531" s="50" t="n">
        <v>10.9436</v>
      </c>
      <c r="O531" s="50" t="n">
        <v>2.4137</v>
      </c>
      <c r="R531" s="50" t="n">
        <v>207.73</v>
      </c>
      <c r="S531" s="50" t="n">
        <v>0.52041</v>
      </c>
      <c r="T531" s="50" t="n">
        <v>0.53168</v>
      </c>
      <c r="U531" s="50" t="n">
        <v>46.2196</v>
      </c>
      <c r="V531" s="50" t="n">
        <v>0.51286</v>
      </c>
      <c r="W531" s="50" t="n">
        <v>0.907</v>
      </c>
      <c r="X531" s="50" t="n">
        <v>1.3283</v>
      </c>
      <c r="Y531" s="50" t="n">
        <v>1.426</v>
      </c>
      <c r="Z531" s="50" t="n">
        <v>6.01326</v>
      </c>
      <c r="AA531" s="50" t="n">
        <v>2.5901</v>
      </c>
      <c r="AB531" s="50" t="n">
        <v>4.5178</v>
      </c>
    </row>
    <row r="532">
      <c r="A532" s="49" t="n">
        <v>45996</v>
      </c>
      <c r="B532" s="50" t="n">
        <v>7.0749</v>
      </c>
      <c r="C532" s="50" t="n">
        <v>8.2376</v>
      </c>
      <c r="D532" s="50" t="n">
        <v>0.045597</v>
      </c>
      <c r="E532" s="50" t="n">
        <v>0.90906</v>
      </c>
      <c r="F532" s="50" t="n">
        <v>9.4269</v>
      </c>
      <c r="G532" s="50" t="n">
        <v>4.6754</v>
      </c>
      <c r="H532" s="50" t="n">
        <v>4.0767</v>
      </c>
      <c r="I532" s="50" t="n">
        <v>5.4573</v>
      </c>
      <c r="J532" s="50" t="n">
        <v>8.801600000000001</v>
      </c>
      <c r="K532" s="50" t="n">
        <v>5.0682</v>
      </c>
      <c r="L532" s="50" t="n">
        <v>1.133</v>
      </c>
      <c r="M532" s="50" t="n">
        <v>0.58145</v>
      </c>
      <c r="N532" s="50" t="n">
        <v>10.8432</v>
      </c>
      <c r="O532" s="50" t="n">
        <v>2.4017</v>
      </c>
      <c r="R532" s="50" t="n">
        <v>208.37</v>
      </c>
      <c r="S532" s="50" t="n">
        <v>0.51924</v>
      </c>
      <c r="T532" s="50" t="n">
        <v>0.53057</v>
      </c>
      <c r="U532" s="50" t="n">
        <v>46.4939</v>
      </c>
      <c r="V532" s="50" t="n">
        <v>0.51405</v>
      </c>
      <c r="W532" s="50" t="n">
        <v>0.9068000000000001</v>
      </c>
      <c r="X532" s="50" t="n">
        <v>1.3323</v>
      </c>
      <c r="Y532" s="50" t="n">
        <v>1.43</v>
      </c>
      <c r="Z532" s="50" t="n">
        <v>6.00776</v>
      </c>
      <c r="AA532" s="50" t="n">
        <v>2.5779</v>
      </c>
      <c r="AB532" s="50" t="n">
        <v>4.5291</v>
      </c>
    </row>
    <row r="533">
      <c r="A533" s="49" t="n">
        <v>45999</v>
      </c>
      <c r="B533" s="50" t="n">
        <v>7.0764</v>
      </c>
      <c r="C533" s="50" t="n">
        <v>8.237399999999999</v>
      </c>
      <c r="D533" s="50" t="n">
        <v>0.045563</v>
      </c>
      <c r="E533" s="50" t="n">
        <v>0.9091900000000001</v>
      </c>
      <c r="F533" s="50" t="n">
        <v>9.427099999999999</v>
      </c>
      <c r="G533" s="50" t="n">
        <v>4.6954</v>
      </c>
      <c r="H533" s="50" t="n">
        <v>4.0861</v>
      </c>
      <c r="I533" s="50" t="n">
        <v>5.4599</v>
      </c>
      <c r="J533" s="50" t="n">
        <v>8.791399999999999</v>
      </c>
      <c r="K533" s="50" t="n">
        <v>5.1153</v>
      </c>
      <c r="L533" s="50" t="n">
        <v>1.1335</v>
      </c>
      <c r="M533" s="50" t="n">
        <v>0.5813700000000001</v>
      </c>
      <c r="N533" s="50" t="n">
        <v>10.8143</v>
      </c>
      <c r="O533" s="50" t="n">
        <v>2.394</v>
      </c>
      <c r="R533" s="50" t="n">
        <v>208.11</v>
      </c>
      <c r="S533" s="50" t="n">
        <v>0.51924</v>
      </c>
      <c r="T533" s="50" t="n">
        <v>0.53061</v>
      </c>
      <c r="U533" s="50" t="n">
        <v>46.3354</v>
      </c>
      <c r="V533" s="50" t="n">
        <v>0.5134300000000001</v>
      </c>
      <c r="W533" s="50" t="n">
        <v>0.9068000000000001</v>
      </c>
      <c r="X533" s="50" t="n">
        <v>1.3287</v>
      </c>
      <c r="Y533" s="50" t="n">
        <v>1.4291</v>
      </c>
      <c r="Z533" s="50" t="n">
        <v>6.01561</v>
      </c>
      <c r="AA533" s="50" t="n">
        <v>2.5694</v>
      </c>
      <c r="AB533" s="50" t="n">
        <v>4.5123</v>
      </c>
    </row>
    <row r="534">
      <c r="A534" s="49" t="n">
        <v>46000</v>
      </c>
      <c r="B534" s="50" t="n">
        <v>7.0773</v>
      </c>
      <c r="C534" s="50" t="n">
        <v>8.2372</v>
      </c>
      <c r="D534" s="50" t="n">
        <v>0.045391</v>
      </c>
      <c r="E534" s="50" t="n">
        <v>0.90981</v>
      </c>
      <c r="F534" s="50" t="n">
        <v>9.4298</v>
      </c>
      <c r="G534" s="50" t="n">
        <v>4.688</v>
      </c>
      <c r="H534" s="50" t="n">
        <v>4.0869</v>
      </c>
      <c r="I534" s="50" t="n">
        <v>5.4532</v>
      </c>
      <c r="J534" s="50" t="n">
        <v>8.7713</v>
      </c>
      <c r="K534" s="50" t="n">
        <v>5.1092</v>
      </c>
      <c r="L534" s="50" t="n">
        <v>1.1321</v>
      </c>
      <c r="M534" s="50" t="n">
        <v>0.58157</v>
      </c>
      <c r="N534" s="50" t="n">
        <v>10.8475</v>
      </c>
      <c r="O534" s="50" t="n">
        <v>2.4081</v>
      </c>
      <c r="R534" s="50" t="n">
        <v>207.81</v>
      </c>
      <c r="S534" s="50" t="n">
        <v>0.51908</v>
      </c>
      <c r="T534" s="50" t="n">
        <v>0.53041</v>
      </c>
      <c r="U534" s="50" t="n">
        <v>46.6938</v>
      </c>
      <c r="V534" s="50" t="n">
        <v>0.51453</v>
      </c>
      <c r="W534" s="50" t="n">
        <v>0.9068000000000001</v>
      </c>
      <c r="X534" s="50" t="n">
        <v>1.3277</v>
      </c>
      <c r="Y534" s="50" t="n">
        <v>1.4307</v>
      </c>
      <c r="Z534" s="50" t="n">
        <v>6.01279</v>
      </c>
      <c r="AA534" s="50" t="n">
        <v>2.5813</v>
      </c>
      <c r="AB534" s="50" t="n">
        <v>4.5102</v>
      </c>
    </row>
    <row r="535">
      <c r="A535" s="49" t="n">
        <v>46001</v>
      </c>
      <c r="B535" s="50" t="n">
        <v>7.0753</v>
      </c>
      <c r="C535" s="50" t="n">
        <v>8.2258</v>
      </c>
      <c r="D535" s="50" t="n">
        <v>0.045096</v>
      </c>
      <c r="E535" s="50" t="n">
        <v>0.90928</v>
      </c>
      <c r="F535" s="50" t="n">
        <v>9.4107</v>
      </c>
      <c r="G535" s="50" t="n">
        <v>4.6973</v>
      </c>
      <c r="H535" s="50" t="n">
        <v>4.0877</v>
      </c>
      <c r="I535" s="50" t="n">
        <v>5.455</v>
      </c>
      <c r="J535" s="50" t="n">
        <v>8.7759</v>
      </c>
      <c r="K535" s="50" t="n">
        <v>5.1093</v>
      </c>
      <c r="L535" s="50" t="n">
        <v>1.1335</v>
      </c>
      <c r="M535" s="50" t="n">
        <v>0.58179</v>
      </c>
      <c r="N535" s="50" t="n">
        <v>10.9316</v>
      </c>
      <c r="O535" s="50" t="n">
        <v>2.4103</v>
      </c>
      <c r="R535" s="50" t="n">
        <v>207.86</v>
      </c>
      <c r="S535" s="50" t="n">
        <v>0.51918</v>
      </c>
      <c r="T535" s="50" t="n">
        <v>0.53049</v>
      </c>
      <c r="U535" s="50" t="n">
        <v>46.6505</v>
      </c>
      <c r="V535" s="50" t="n">
        <v>0.5140400000000001</v>
      </c>
      <c r="W535" s="50" t="n">
        <v>0.908</v>
      </c>
      <c r="X535" s="50" t="n">
        <v>1.3231</v>
      </c>
      <c r="Y535" s="50" t="n">
        <v>1.4346</v>
      </c>
      <c r="Z535" s="50" t="n">
        <v>6.01545</v>
      </c>
      <c r="AA535" s="50" t="n">
        <v>2.5729</v>
      </c>
      <c r="AB535" s="50" t="n">
        <v>4.4992</v>
      </c>
    </row>
    <row r="536">
      <c r="A536" s="49" t="n">
        <v>46002</v>
      </c>
      <c r="B536" s="50" t="n">
        <v>7.0686</v>
      </c>
      <c r="C536" s="50" t="n">
        <v>8.2593</v>
      </c>
      <c r="D536" s="50" t="n">
        <v>0.045304</v>
      </c>
      <c r="E536" s="50" t="n">
        <v>0.90862</v>
      </c>
      <c r="F536" s="50" t="n">
        <v>9.4482</v>
      </c>
      <c r="G536" s="50" t="n">
        <v>4.7084</v>
      </c>
      <c r="H536" s="50" t="n">
        <v>4.1015</v>
      </c>
      <c r="I536" s="50" t="n">
        <v>5.4646</v>
      </c>
      <c r="J536" s="50" t="n">
        <v>8.828200000000001</v>
      </c>
      <c r="K536" s="50" t="n">
        <v>5.1167</v>
      </c>
      <c r="L536" s="50" t="n">
        <v>1.1337</v>
      </c>
      <c r="M536" s="50" t="n">
        <v>0.58241</v>
      </c>
      <c r="N536" s="50" t="n">
        <v>11.1011</v>
      </c>
      <c r="O536" s="50" t="n">
        <v>2.3984</v>
      </c>
      <c r="R536" s="50" t="n">
        <v>208.02</v>
      </c>
      <c r="S536" s="50" t="n">
        <v>0.52044</v>
      </c>
      <c r="T536" s="50" t="n">
        <v>0.5317</v>
      </c>
      <c r="U536" s="50" t="n">
        <v>46.3202</v>
      </c>
      <c r="V536" s="50" t="n">
        <v>0.51149</v>
      </c>
      <c r="W536" s="50" t="n">
        <v>0.9045</v>
      </c>
      <c r="X536" s="50" t="n">
        <v>1.3128</v>
      </c>
      <c r="Y536" s="50" t="n">
        <v>1.4294</v>
      </c>
      <c r="Z536" s="50" t="n">
        <v>6.03728</v>
      </c>
      <c r="AA536" s="50" t="n">
        <v>2.5721</v>
      </c>
      <c r="AB536" s="50" t="n">
        <v>4.499</v>
      </c>
    </row>
    <row r="537">
      <c r="A537" s="49" t="n">
        <v>46003</v>
      </c>
      <c r="B537" s="50" t="n">
        <v>7.0638</v>
      </c>
      <c r="C537" s="50" t="n">
        <v>8.2842</v>
      </c>
      <c r="D537" s="50" t="n">
        <v>0.045344</v>
      </c>
      <c r="E537" s="50" t="n">
        <v>0.90779</v>
      </c>
      <c r="F537" s="50" t="n">
        <v>9.4468</v>
      </c>
      <c r="G537" s="50" t="n">
        <v>4.6996</v>
      </c>
      <c r="H537" s="50" t="n">
        <v>4.0973</v>
      </c>
      <c r="I537" s="50" t="n">
        <v>5.4632</v>
      </c>
      <c r="J537" s="50" t="n">
        <v>8.8751</v>
      </c>
      <c r="K537" s="50" t="n">
        <v>5.1203</v>
      </c>
      <c r="L537" s="50" t="n">
        <v>1.1354</v>
      </c>
      <c r="M537" s="50" t="n">
        <v>0.5819800000000001</v>
      </c>
      <c r="N537" s="50" t="n">
        <v>11.3115</v>
      </c>
      <c r="O537" s="50" t="n">
        <v>2.3897</v>
      </c>
      <c r="R537" s="50" t="n">
        <v>208.68</v>
      </c>
      <c r="S537" s="50" t="n">
        <v>0.5207000000000001</v>
      </c>
      <c r="T537" s="50" t="n">
        <v>0.53204</v>
      </c>
      <c r="U537" s="50" t="n">
        <v>46.2421</v>
      </c>
      <c r="V537" s="50" t="n">
        <v>0.51022</v>
      </c>
      <c r="W537" s="50" t="n">
        <v>0.902</v>
      </c>
      <c r="X537" s="50" t="n">
        <v>1.3114</v>
      </c>
      <c r="Y537" s="50" t="n">
        <v>1.4271</v>
      </c>
      <c r="Z537" s="50" t="n">
        <v>6.0451</v>
      </c>
      <c r="AA537" s="50" t="n">
        <v>2.5557</v>
      </c>
      <c r="AB537" s="50" t="n">
        <v>4.4861</v>
      </c>
    </row>
    <row r="538">
      <c r="A538" s="49" t="n">
        <v>46006</v>
      </c>
      <c r="B538" s="50" t="n">
        <v>7.0656</v>
      </c>
      <c r="C538" s="50" t="n">
        <v>8.285500000000001</v>
      </c>
      <c r="D538" s="50" t="n">
        <v>0.045303</v>
      </c>
      <c r="E538" s="50" t="n">
        <v>0.90776</v>
      </c>
      <c r="F538" s="50" t="n">
        <v>9.435700000000001</v>
      </c>
      <c r="G538" s="50" t="n">
        <v>4.6919</v>
      </c>
      <c r="H538" s="50" t="n">
        <v>4.0944</v>
      </c>
      <c r="I538" s="50" t="n">
        <v>5.4653</v>
      </c>
      <c r="J538" s="50" t="n">
        <v>8.870200000000001</v>
      </c>
      <c r="K538" s="50" t="n">
        <v>5.1278</v>
      </c>
      <c r="L538" s="50" t="n">
        <v>1.1354</v>
      </c>
      <c r="M538" s="50" t="n">
        <v>0.58036</v>
      </c>
      <c r="N538" s="50" t="n">
        <v>11.3425</v>
      </c>
      <c r="O538" s="50" t="n">
        <v>2.3897</v>
      </c>
      <c r="R538" s="50" t="n">
        <v>209.2</v>
      </c>
      <c r="S538" s="50" t="n">
        <v>0.5203100000000001</v>
      </c>
      <c r="T538" s="50" t="n">
        <v>0.53157</v>
      </c>
      <c r="U538" s="50" t="n">
        <v>46.4301</v>
      </c>
      <c r="V538" s="50" t="n">
        <v>0.5098</v>
      </c>
      <c r="W538" s="50" t="n">
        <v>0.9015</v>
      </c>
      <c r="X538" s="50" t="n">
        <v>1.3132</v>
      </c>
      <c r="Y538" s="50" t="n">
        <v>1.4335</v>
      </c>
      <c r="Z538" s="50" t="n">
        <v>6.04797</v>
      </c>
      <c r="AA538" s="50" t="n">
        <v>2.5515</v>
      </c>
      <c r="AB538" s="50" t="n">
        <v>4.473</v>
      </c>
    </row>
    <row r="539">
      <c r="A539" s="49" t="n">
        <v>46007</v>
      </c>
      <c r="B539" s="50" t="n">
        <v>7.0602</v>
      </c>
      <c r="C539" s="50" t="n">
        <v>8.289899999999999</v>
      </c>
      <c r="D539" s="50" t="n">
        <v>0.045466</v>
      </c>
      <c r="E539" s="50" t="n">
        <v>0.90733</v>
      </c>
      <c r="F539" s="50" t="n">
        <v>9.433299999999999</v>
      </c>
      <c r="G539" s="50" t="n">
        <v>4.6842</v>
      </c>
      <c r="H539" s="50" t="n">
        <v>4.0774</v>
      </c>
      <c r="I539" s="50" t="n">
        <v>5.4706</v>
      </c>
      <c r="J539" s="50" t="n">
        <v>8.857900000000001</v>
      </c>
      <c r="K539" s="50" t="n">
        <v>5.1208</v>
      </c>
      <c r="L539" s="50" t="n">
        <v>1.1357</v>
      </c>
      <c r="M539" s="50" t="n">
        <v>0.57988</v>
      </c>
      <c r="N539" s="50" t="n">
        <v>11.2708</v>
      </c>
      <c r="O539" s="50" t="n">
        <v>2.3807</v>
      </c>
      <c r="R539" s="50" t="n">
        <v>208.38</v>
      </c>
      <c r="S539" s="50" t="n">
        <v>0.52091</v>
      </c>
      <c r="T539" s="50" t="n">
        <v>0.5321399999999999</v>
      </c>
      <c r="U539" s="50" t="n">
        <v>46.3765</v>
      </c>
      <c r="V539" s="50" t="n">
        <v>0.50863</v>
      </c>
      <c r="W539" s="50" t="n">
        <v>0.9012</v>
      </c>
      <c r="X539" s="50" t="n">
        <v>1.3163</v>
      </c>
      <c r="Y539" s="50" t="n">
        <v>1.4387</v>
      </c>
      <c r="Z539" s="50" t="n">
        <v>6.05456</v>
      </c>
      <c r="AA539" s="50" t="n">
        <v>2.5484</v>
      </c>
      <c r="AB539" s="50" t="n">
        <v>4.4628</v>
      </c>
    </row>
    <row r="540">
      <c r="A540" s="49" t="n">
        <v>46008</v>
      </c>
      <c r="B540" s="50" t="n">
        <v>7.0573</v>
      </c>
      <c r="C540" s="50" t="n">
        <v>8.2803</v>
      </c>
      <c r="D540" s="50" t="n">
        <v>0.045516</v>
      </c>
      <c r="E540" s="50" t="n">
        <v>0.9071900000000001</v>
      </c>
      <c r="F540" s="50" t="n">
        <v>9.4581</v>
      </c>
      <c r="G540" s="50" t="n">
        <v>4.67</v>
      </c>
      <c r="H540" s="50" t="n">
        <v>4.0709</v>
      </c>
      <c r="I540" s="50" t="n">
        <v>5.468</v>
      </c>
      <c r="J540" s="50" t="n">
        <v>8.8606</v>
      </c>
      <c r="K540" s="50" t="n">
        <v>5.1214</v>
      </c>
      <c r="L540" s="50" t="n">
        <v>1.1363</v>
      </c>
      <c r="M540" s="50" t="n">
        <v>0.57901</v>
      </c>
      <c r="N540" s="50" t="n">
        <v>11.2329</v>
      </c>
      <c r="O540" s="50" t="n">
        <v>2.3767</v>
      </c>
      <c r="R540" s="50" t="n">
        <v>209.23</v>
      </c>
      <c r="S540" s="50" t="n">
        <v>0.52141</v>
      </c>
      <c r="T540" s="50" t="n">
        <v>0.53243</v>
      </c>
      <c r="U540" s="50" t="n">
        <v>46.5491</v>
      </c>
      <c r="V540" s="50" t="n">
        <v>0.5088200000000001</v>
      </c>
      <c r="W540" s="50" t="n">
        <v>0.9026</v>
      </c>
      <c r="X540" s="50" t="n">
        <v>1.3201</v>
      </c>
      <c r="Y540" s="50" t="n">
        <v>1.446</v>
      </c>
      <c r="Z540" s="50" t="n">
        <v>6.06283</v>
      </c>
      <c r="AA540" s="50" t="n">
        <v>2.5492</v>
      </c>
      <c r="AB540" s="50" t="n">
        <v>4.4645</v>
      </c>
    </row>
    <row r="541">
      <c r="A541" s="49" t="n">
        <v>46009</v>
      </c>
      <c r="B541" s="50" t="n">
        <v>7.0583</v>
      </c>
      <c r="C541" s="50" t="n">
        <v>8.2759</v>
      </c>
      <c r="D541" s="50" t="n">
        <v>0.045299</v>
      </c>
      <c r="E541" s="50" t="n">
        <v>0.9073600000000001</v>
      </c>
      <c r="F541" s="50" t="n">
        <v>9.4251</v>
      </c>
      <c r="G541" s="50" t="n">
        <v>4.6525</v>
      </c>
      <c r="H541" s="50" t="n">
        <v>4.0645</v>
      </c>
      <c r="I541" s="50" t="n">
        <v>5.4597</v>
      </c>
      <c r="J541" s="50" t="n">
        <v>8.8612</v>
      </c>
      <c r="K541" s="50" t="n">
        <v>5.1126</v>
      </c>
      <c r="L541" s="50" t="n">
        <v>1.1357</v>
      </c>
      <c r="M541" s="50" t="n">
        <v>0.58001</v>
      </c>
      <c r="N541" s="50" t="n">
        <v>11.4148</v>
      </c>
      <c r="O541" s="50" t="n">
        <v>2.3789</v>
      </c>
      <c r="R541" s="50" t="n">
        <v>209.42</v>
      </c>
      <c r="S541" s="50" t="n">
        <v>0.5212</v>
      </c>
      <c r="T541" s="50" t="n">
        <v>0.53229</v>
      </c>
      <c r="U541" s="50" t="n">
        <v>46.9909</v>
      </c>
      <c r="V541" s="50" t="n">
        <v>0.50895</v>
      </c>
      <c r="W541" s="50" t="n">
        <v>0.903</v>
      </c>
      <c r="X541" s="50" t="n">
        <v>1.3199</v>
      </c>
      <c r="Y541" s="50" t="n">
        <v>1.448</v>
      </c>
      <c r="Z541" s="50" t="n">
        <v>6.0632</v>
      </c>
      <c r="AA541" s="50" t="n">
        <v>2.5546</v>
      </c>
      <c r="AB541" s="50" t="n">
        <v>4.4686</v>
      </c>
    </row>
    <row r="542">
      <c r="A542" s="49" t="n">
        <v>46010</v>
      </c>
      <c r="B542" s="50" t="n">
        <v>7.055</v>
      </c>
      <c r="C542" s="50" t="n">
        <v>8.2616</v>
      </c>
      <c r="D542" s="50" t="n">
        <v>0.045274</v>
      </c>
      <c r="E542" s="50" t="n">
        <v>0.9067499999999999</v>
      </c>
      <c r="F542" s="50" t="n">
        <v>9.4267</v>
      </c>
      <c r="G542" s="50" t="n">
        <v>4.6578</v>
      </c>
      <c r="H542" s="50" t="n">
        <v>4.0655</v>
      </c>
      <c r="I542" s="50" t="n">
        <v>5.4639</v>
      </c>
      <c r="J542" s="50" t="n">
        <v>8.869999999999999</v>
      </c>
      <c r="K542" s="50" t="n">
        <v>5.1131</v>
      </c>
      <c r="L542" s="50" t="n">
        <v>1.1365</v>
      </c>
      <c r="M542" s="50" t="n">
        <v>0.57946</v>
      </c>
      <c r="N542" s="50" t="n">
        <v>11.3508</v>
      </c>
      <c r="O542" s="50" t="n">
        <v>2.3739</v>
      </c>
      <c r="R542" s="50" t="n">
        <v>209.46</v>
      </c>
      <c r="S542" s="50" t="n">
        <v>0.52147</v>
      </c>
      <c r="T542" s="50" t="n">
        <v>0.5325</v>
      </c>
      <c r="U542" s="50" t="n">
        <v>46.9184</v>
      </c>
      <c r="V542" s="50" t="n">
        <v>0.50874</v>
      </c>
      <c r="W542" s="50" t="n">
        <v>0.9046999999999999</v>
      </c>
      <c r="X542" s="50" t="n">
        <v>1.3174</v>
      </c>
      <c r="Y542" s="50" t="n">
        <v>1.4419</v>
      </c>
      <c r="Z542" s="50" t="n">
        <v>6.07374</v>
      </c>
      <c r="AA542" s="50" t="n">
        <v>2.5529</v>
      </c>
      <c r="AB542" s="50" t="n">
        <v>4.4624</v>
      </c>
    </row>
    <row r="543">
      <c r="A543" s="49" t="n">
        <v>46013</v>
      </c>
      <c r="B543" s="50" t="n">
        <v>7.0572</v>
      </c>
      <c r="C543" s="50" t="n">
        <v>8.2531</v>
      </c>
      <c r="D543" s="50" t="n">
        <v>0.044699</v>
      </c>
      <c r="E543" s="50" t="n">
        <v>0.90699</v>
      </c>
      <c r="F543" s="50" t="n">
        <v>9.428900000000001</v>
      </c>
      <c r="G543" s="50" t="n">
        <v>4.6576</v>
      </c>
      <c r="H543" s="50" t="n">
        <v>4.0553</v>
      </c>
      <c r="I543" s="50" t="n">
        <v>5.4511</v>
      </c>
      <c r="J543" s="50" t="n">
        <v>8.8599</v>
      </c>
      <c r="K543" s="50" t="n">
        <v>5.1071</v>
      </c>
      <c r="L543" s="50" t="n">
        <v>1.1356</v>
      </c>
      <c r="M543" s="50" t="n">
        <v>0.57845</v>
      </c>
      <c r="N543" s="50" t="n">
        <v>11.424</v>
      </c>
      <c r="O543" s="50" t="n">
        <v>2.3788</v>
      </c>
      <c r="R543" s="50" t="n">
        <v>209.77</v>
      </c>
      <c r="S543" s="50" t="n">
        <v>0.52139</v>
      </c>
      <c r="T543" s="50" t="n">
        <v>0.53246</v>
      </c>
      <c r="U543" s="50" t="n">
        <v>46.8593</v>
      </c>
      <c r="V543" s="50" t="n">
        <v>0.50953</v>
      </c>
      <c r="W543" s="50" t="n">
        <v>0.9052</v>
      </c>
      <c r="X543" s="50" t="n">
        <v>1.3155</v>
      </c>
      <c r="Y543" s="50" t="n">
        <v>1.4385</v>
      </c>
      <c r="Z543" s="50" t="n">
        <v>6.0769</v>
      </c>
      <c r="AA543" s="50" t="n">
        <v>2.5579</v>
      </c>
      <c r="AB543" s="50" t="n">
        <v>4.4605</v>
      </c>
    </row>
    <row r="544">
      <c r="A544" s="49" t="n">
        <v>46014</v>
      </c>
      <c r="B544" s="50" t="n">
        <v>7.0523</v>
      </c>
      <c r="C544" s="50" t="n">
        <v>8.2828</v>
      </c>
      <c r="D544" s="50" t="n">
        <v>0.044846</v>
      </c>
      <c r="E544" s="50" t="n">
        <v>0.90673</v>
      </c>
      <c r="F544" s="50" t="n">
        <v>9.4771</v>
      </c>
      <c r="G544" s="50" t="n">
        <v>4.6841</v>
      </c>
      <c r="H544" s="50" t="n">
        <v>4.0766</v>
      </c>
      <c r="I544" s="50" t="n">
        <v>5.4663</v>
      </c>
      <c r="J544" s="50" t="n">
        <v>8.891</v>
      </c>
      <c r="K544" s="50" t="n">
        <v>5.1172</v>
      </c>
      <c r="L544" s="50" t="n">
        <v>1.1366</v>
      </c>
      <c r="M544" s="50" t="n">
        <v>0.57847</v>
      </c>
      <c r="N544" s="50" t="n">
        <v>11.2047</v>
      </c>
      <c r="O544" s="50" t="n">
        <v>2.3731</v>
      </c>
      <c r="R544" s="50" t="n">
        <v>210.43</v>
      </c>
      <c r="S544" s="50" t="n">
        <v>0.52205</v>
      </c>
      <c r="T544" s="50" t="n">
        <v>0.53308</v>
      </c>
      <c r="U544" s="50" t="n">
        <v>46.933</v>
      </c>
      <c r="V544" s="50" t="n">
        <v>0.50902</v>
      </c>
      <c r="W544" s="50" t="n">
        <v>0.9025</v>
      </c>
      <c r="X544" s="50" t="n">
        <v>1.3118</v>
      </c>
      <c r="Y544" s="50" t="n">
        <v>1.4368</v>
      </c>
      <c r="Z544" s="50" t="n">
        <v>6.08512</v>
      </c>
      <c r="AA544" s="50" t="n">
        <v>2.5532</v>
      </c>
      <c r="AB544" s="50" t="n">
        <v>4.4251</v>
      </c>
    </row>
    <row r="545">
      <c r="A545" s="49" t="n">
        <v>46015</v>
      </c>
      <c r="B545" s="50" t="n">
        <v>7.0471</v>
      </c>
      <c r="C545" s="50" t="n">
        <v>8.296900000000001</v>
      </c>
      <c r="D545" s="50" t="n">
        <v>0.045017</v>
      </c>
      <c r="E545" s="50" t="n">
        <v>0.90623</v>
      </c>
      <c r="F545" s="50" t="n">
        <v>9.5009</v>
      </c>
      <c r="G545" s="50" t="n">
        <v>4.7108</v>
      </c>
      <c r="H545" s="50" t="n">
        <v>4.1038</v>
      </c>
      <c r="I545" s="50" t="n">
        <v>5.4762</v>
      </c>
      <c r="J545" s="50" t="n">
        <v>8.9312</v>
      </c>
      <c r="K545" s="50" t="n">
        <v>5.1364</v>
      </c>
      <c r="L545" s="50" t="n">
        <v>1.1366</v>
      </c>
      <c r="M545" s="50" t="n">
        <v>0.57681</v>
      </c>
      <c r="N545" s="50" t="n">
        <v>11.1183</v>
      </c>
      <c r="O545" s="50" t="n">
        <v>2.3715</v>
      </c>
      <c r="R545" s="50" t="n">
        <v>209.83</v>
      </c>
      <c r="S545" s="50" t="n">
        <v>0.52241</v>
      </c>
      <c r="T545" s="50" t="n">
        <v>0.5335</v>
      </c>
      <c r="U545" s="50" t="n">
        <v>47.0737</v>
      </c>
      <c r="V545" s="50" t="n">
        <v>0.50896</v>
      </c>
      <c r="W545" s="50" t="n">
        <v>0.9006999999999999</v>
      </c>
      <c r="X545" s="50" t="n">
        <v>1.3034</v>
      </c>
      <c r="Y545" s="50" t="n">
        <v>1.4267</v>
      </c>
      <c r="Z545" s="50" t="n">
        <v>6.09228</v>
      </c>
      <c r="AA545" s="50" t="n">
        <v>2.5443</v>
      </c>
      <c r="AB545" s="50" t="n">
        <v>4.4268</v>
      </c>
    </row>
    <row r="546">
      <c r="A546" s="49" t="n">
        <v>46016</v>
      </c>
      <c r="B546" s="50" t="n">
        <v>7.0392</v>
      </c>
      <c r="C546" s="50" t="n">
        <v>8.282500000000001</v>
      </c>
      <c r="D546" s="50" t="n">
        <v>0.045047</v>
      </c>
      <c r="E546" s="50" t="n">
        <v>0.90526</v>
      </c>
      <c r="F546" s="50" t="n">
        <v>9.4877</v>
      </c>
      <c r="G546" s="50" t="n">
        <v>4.7121</v>
      </c>
      <c r="H546" s="50" t="n">
        <v>4.1006</v>
      </c>
      <c r="I546" s="50" t="n">
        <v>5.474</v>
      </c>
      <c r="J546" s="50" t="n">
        <v>8.9163</v>
      </c>
      <c r="K546" s="50" t="n">
        <v>5.1366</v>
      </c>
      <c r="L546" s="50" t="n">
        <v>1.1378</v>
      </c>
      <c r="M546" s="50" t="n">
        <v>0.5750999999999999</v>
      </c>
      <c r="N546" s="50" t="n">
        <v>11.2592</v>
      </c>
      <c r="O546" s="50" t="n">
        <v>2.3704</v>
      </c>
      <c r="R546" s="50" t="n">
        <v>206.38</v>
      </c>
      <c r="S546" s="50" t="n">
        <v>0.52297</v>
      </c>
      <c r="T546" s="50" t="n">
        <v>0.53408</v>
      </c>
      <c r="U546" s="50" t="n">
        <v>46.9917</v>
      </c>
      <c r="V546" s="50" t="n">
        <v>0.50928</v>
      </c>
      <c r="W546" s="50" t="n">
        <v>0.9021</v>
      </c>
      <c r="X546" s="50" t="n">
        <v>1.3045</v>
      </c>
      <c r="Y546" s="50" t="n">
        <v>1.4226</v>
      </c>
      <c r="Z546" s="50" t="n">
        <v>6.08988</v>
      </c>
      <c r="AA546" s="50" t="n">
        <v>2.5484</v>
      </c>
      <c r="AB546" s="50" t="n">
        <v>4.4283</v>
      </c>
    </row>
    <row r="547">
      <c r="A547" s="49" t="n">
        <v>46017</v>
      </c>
      <c r="B547" s="50" t="n">
        <v>7.0358</v>
      </c>
      <c r="C547" s="50" t="n">
        <v>8.274699999999999</v>
      </c>
      <c r="D547" s="50" t="n">
        <v>0.044998</v>
      </c>
      <c r="E547" s="50" t="n">
        <v>0.90486</v>
      </c>
      <c r="F547" s="50" t="n">
        <v>9.476699999999999</v>
      </c>
      <c r="G547" s="50" t="n">
        <v>4.7057</v>
      </c>
      <c r="H547" s="50" t="n">
        <v>4.0938</v>
      </c>
      <c r="I547" s="50" t="n">
        <v>5.4655</v>
      </c>
      <c r="J547" s="50" t="n">
        <v>8.903499999999999</v>
      </c>
      <c r="K547" s="50" t="n">
        <v>5.1292</v>
      </c>
      <c r="L547" s="50" t="n">
        <v>1.1382</v>
      </c>
      <c r="M547" s="50" t="n">
        <v>0.57578</v>
      </c>
      <c r="N547" s="50" t="n">
        <v>11.1455</v>
      </c>
      <c r="O547" s="50" t="n">
        <v>2.3695</v>
      </c>
      <c r="R547" s="50" t="n">
        <v>206.57</v>
      </c>
      <c r="S547" s="50" t="n">
        <v>0.5237000000000001</v>
      </c>
      <c r="T547" s="50" t="n">
        <v>0.53483</v>
      </c>
      <c r="U547" s="50" t="n">
        <v>47.1324</v>
      </c>
      <c r="V547" s="50" t="n">
        <v>0.50983</v>
      </c>
      <c r="W547" s="50" t="n">
        <v>0.9028</v>
      </c>
      <c r="X547" s="50" t="n">
        <v>1.307</v>
      </c>
      <c r="Y547" s="50" t="n">
        <v>1.4252</v>
      </c>
      <c r="Z547" s="50" t="n">
        <v>6.11038</v>
      </c>
      <c r="AA547" s="50" t="n">
        <v>2.5551</v>
      </c>
      <c r="AB547" s="50" t="n">
        <v>4.4289</v>
      </c>
    </row>
    <row r="548">
      <c r="A548" s="49" t="n">
        <v>46020</v>
      </c>
      <c r="B548" s="50" t="n">
        <v>7.0331</v>
      </c>
      <c r="C548" s="50" t="n">
        <v>8.263</v>
      </c>
      <c r="D548" s="50" t="n">
        <v>0.044833</v>
      </c>
      <c r="E548" s="50" t="n">
        <v>0.90494</v>
      </c>
      <c r="F548" s="50" t="n">
        <v>9.466100000000001</v>
      </c>
      <c r="G548" s="50" t="n">
        <v>4.7061</v>
      </c>
      <c r="H548" s="50" t="n">
        <v>4.0819</v>
      </c>
      <c r="I548" s="50" t="n">
        <v>5.4633</v>
      </c>
      <c r="J548" s="50" t="n">
        <v>8.8904</v>
      </c>
      <c r="K548" s="50" t="n">
        <v>5.1305</v>
      </c>
      <c r="L548" s="50" t="n">
        <v>1.1387</v>
      </c>
      <c r="M548" s="50" t="n">
        <v>0.57609</v>
      </c>
      <c r="N548" s="50" t="n">
        <v>11.026</v>
      </c>
      <c r="O548" s="50" t="n">
        <v>2.3747</v>
      </c>
      <c r="R548" s="50" t="n">
        <v>205.28</v>
      </c>
      <c r="S548" s="50" t="n">
        <v>0.52388</v>
      </c>
      <c r="T548" s="50" t="n">
        <v>0.5349</v>
      </c>
      <c r="U548" s="50" t="n">
        <v>46.8764</v>
      </c>
      <c r="V548" s="50" t="n">
        <v>0.51013</v>
      </c>
      <c r="W548" s="50" t="n">
        <v>0.9045</v>
      </c>
      <c r="X548" s="50" t="n">
        <v>1.3055</v>
      </c>
      <c r="Y548" s="50" t="n">
        <v>1.4272</v>
      </c>
      <c r="Z548" s="50" t="n">
        <v>6.11954</v>
      </c>
      <c r="AA548" s="50" t="n">
        <v>2.5497</v>
      </c>
      <c r="AB548" s="50" t="n">
        <v>4.4316</v>
      </c>
    </row>
    <row r="549">
      <c r="A549" s="49" t="n">
        <v>46021</v>
      </c>
      <c r="B549" s="50" t="n">
        <v>7.0348</v>
      </c>
      <c r="C549" s="50" t="n">
        <v>8.2681</v>
      </c>
      <c r="D549" s="50" t="n">
        <v>0.044969</v>
      </c>
      <c r="E549" s="50" t="n">
        <v>0.90447</v>
      </c>
      <c r="F549" s="50" t="n">
        <v>9.483599999999999</v>
      </c>
      <c r="G549" s="50" t="n">
        <v>4.6986</v>
      </c>
      <c r="H549" s="50" t="n">
        <v>4.0741</v>
      </c>
      <c r="I549" s="50" t="n">
        <v>5.463</v>
      </c>
      <c r="J549" s="50" t="n">
        <v>8.8995</v>
      </c>
      <c r="K549" s="50" t="n">
        <v>5.1284</v>
      </c>
      <c r="L549" s="50" t="n">
        <v>1.1393</v>
      </c>
      <c r="M549" s="50" t="n">
        <v>0.57745</v>
      </c>
      <c r="N549" s="50" t="n">
        <v>11.1719</v>
      </c>
      <c r="O549" s="50" t="n">
        <v>2.3755</v>
      </c>
      <c r="R549" s="50" t="n">
        <v>204.52</v>
      </c>
      <c r="S549" s="50" t="n">
        <v>0.52322</v>
      </c>
      <c r="T549" s="50" t="n">
        <v>0.5341900000000001</v>
      </c>
      <c r="U549" s="50" t="n">
        <v>46.7392</v>
      </c>
      <c r="V549" s="50" t="n">
        <v>0.51131</v>
      </c>
      <c r="W549" s="50" t="n">
        <v>0.9035</v>
      </c>
      <c r="X549" s="50" t="n">
        <v>1.3075</v>
      </c>
      <c r="Y549" s="50" t="n">
        <v>1.4304</v>
      </c>
      <c r="Z549" s="50" t="n">
        <v>6.11529</v>
      </c>
      <c r="AA549" s="50" t="n">
        <v>2.5588</v>
      </c>
      <c r="AB549" s="50" t="n">
        <v>4.505</v>
      </c>
    </row>
    <row r="550">
      <c r="A550" s="49" t="n">
        <v>46022</v>
      </c>
      <c r="B550" s="50" t="n">
        <v>7.0288</v>
      </c>
      <c r="C550" s="50" t="n">
        <v>8.2355</v>
      </c>
      <c r="D550" s="50" t="n">
        <v>0.044797</v>
      </c>
      <c r="E550" s="50" t="n">
        <v>0.90322</v>
      </c>
      <c r="F550" s="50" t="n">
        <v>9.4346</v>
      </c>
      <c r="G550" s="50" t="n">
        <v>4.6892</v>
      </c>
      <c r="H550" s="50" t="n">
        <v>4.052</v>
      </c>
      <c r="I550" s="50" t="n">
        <v>5.4586</v>
      </c>
      <c r="J550" s="50" t="n">
        <v>8.851000000000001</v>
      </c>
      <c r="K550" s="50" t="n">
        <v>5.1142</v>
      </c>
      <c r="L550" s="50" t="n">
        <v>1.1412</v>
      </c>
      <c r="M550" s="50" t="n">
        <v>0.57739</v>
      </c>
      <c r="N550" s="50" t="n">
        <v>11.3568</v>
      </c>
      <c r="O550" s="50" t="n">
        <v>2.3672</v>
      </c>
      <c r="R550" s="50" t="n">
        <v>205.75</v>
      </c>
      <c r="S550" s="50" t="n">
        <v>0.52436</v>
      </c>
      <c r="T550" s="50" t="n">
        <v>0.53532</v>
      </c>
      <c r="U550" s="50" t="n">
        <v>46.8631</v>
      </c>
      <c r="V550" s="50" t="n">
        <v>0.51289</v>
      </c>
      <c r="W550" s="50" t="n">
        <v>0.9076</v>
      </c>
      <c r="X550" s="50" t="n">
        <v>1.3129</v>
      </c>
      <c r="Y550" s="50" t="n">
        <v>1.4351</v>
      </c>
      <c r="Z550" s="50" t="n">
        <v>6.12957</v>
      </c>
      <c r="AA550" s="50" t="n">
        <v>2.5649</v>
      </c>
      <c r="AB550" s="50" t="n">
        <v>4.494</v>
      </c>
    </row>
    <row r="551">
      <c r="A551" s="49" t="n">
        <v>46027</v>
      </c>
      <c r="B551" s="50" t="n">
        <v>7.023</v>
      </c>
      <c r="C551" s="50" t="n">
        <v>8.2027</v>
      </c>
      <c r="D551" s="50" t="n">
        <v>0.04466</v>
      </c>
      <c r="E551" s="50" t="n">
        <v>0.90141</v>
      </c>
      <c r="F551" s="50" t="n">
        <v>9.4168</v>
      </c>
      <c r="G551" s="50" t="n">
        <v>4.6817</v>
      </c>
      <c r="H551" s="50" t="n">
        <v>4.0307</v>
      </c>
      <c r="I551" s="50" t="n">
        <v>5.4428</v>
      </c>
      <c r="J551" s="50" t="n">
        <v>8.834199999999999</v>
      </c>
      <c r="K551" s="50" t="n">
        <v>5.0945</v>
      </c>
      <c r="L551" s="50" t="n">
        <v>1.1435</v>
      </c>
      <c r="M551" s="50" t="n">
        <v>0.57882</v>
      </c>
      <c r="N551" s="50" t="n">
        <v>11.4924</v>
      </c>
      <c r="O551" s="50" t="n">
        <v>2.3539</v>
      </c>
      <c r="R551" s="50" t="n">
        <v>206.48</v>
      </c>
      <c r="S551" s="50" t="n">
        <v>0.5246</v>
      </c>
      <c r="T551" s="50" t="n">
        <v>0.53568</v>
      </c>
      <c r="U551" s="50" t="n">
        <v>46.7837</v>
      </c>
      <c r="V551" s="50" t="n">
        <v>0.51332</v>
      </c>
      <c r="W551" s="50" t="n">
        <v>0.9112</v>
      </c>
      <c r="X551" s="50" t="n">
        <v>1.3177</v>
      </c>
      <c r="Y551" s="50" t="n">
        <v>1.4381</v>
      </c>
      <c r="Z551" s="50" t="n">
        <v>6.1453</v>
      </c>
      <c r="AA551" s="50" t="n">
        <v>2.5557</v>
      </c>
      <c r="AB551" s="50" t="n">
        <v>4.5008</v>
      </c>
    </row>
    <row r="552">
      <c r="A552" s="49" t="n">
        <v>46028</v>
      </c>
      <c r="B552" s="50" t="n">
        <v>7.0173</v>
      </c>
      <c r="C552" s="50" t="n">
        <v>8.1919</v>
      </c>
      <c r="D552" s="50" t="n">
        <v>0.044664</v>
      </c>
      <c r="E552" s="50" t="n">
        <v>0.90161</v>
      </c>
      <c r="F552" s="50" t="n">
        <v>9.456200000000001</v>
      </c>
      <c r="G552" s="50" t="n">
        <v>4.6862</v>
      </c>
      <c r="H552" s="50" t="n">
        <v>4.0347</v>
      </c>
      <c r="I552" s="50" t="n">
        <v>5.4518</v>
      </c>
      <c r="J552" s="50" t="n">
        <v>8.8224</v>
      </c>
      <c r="K552" s="50" t="n">
        <v>5.0742</v>
      </c>
      <c r="L552" s="50" t="n">
        <v>1.1432</v>
      </c>
      <c r="M552" s="50" t="n">
        <v>0.58055</v>
      </c>
      <c r="N552" s="50" t="n">
        <v>11.605</v>
      </c>
      <c r="O552" s="50" t="n">
        <v>2.3405</v>
      </c>
      <c r="R552" s="50" t="n">
        <v>207.19</v>
      </c>
      <c r="S552" s="50" t="n">
        <v>0.52584</v>
      </c>
      <c r="T552" s="50" t="n">
        <v>0.53689</v>
      </c>
      <c r="U552" s="50" t="n">
        <v>46.8828</v>
      </c>
      <c r="V552" s="50" t="n">
        <v>0.5142600000000001</v>
      </c>
      <c r="W552" s="50" t="n">
        <v>0.9127999999999999</v>
      </c>
      <c r="X552" s="50" t="n">
        <v>1.3136</v>
      </c>
      <c r="Y552" s="50" t="n">
        <v>1.4373</v>
      </c>
      <c r="Z552" s="50" t="n">
        <v>6.16</v>
      </c>
      <c r="AA552" s="50" t="n">
        <v>2.5606</v>
      </c>
      <c r="AB552" s="50" t="n">
        <v>4.4818</v>
      </c>
    </row>
    <row r="553">
      <c r="A553" s="49" t="n">
        <v>46029</v>
      </c>
      <c r="B553" s="50" t="n">
        <v>7.0187</v>
      </c>
      <c r="C553" s="50" t="n">
        <v>8.1822</v>
      </c>
      <c r="D553" s="50" t="n">
        <v>0.044662</v>
      </c>
      <c r="E553" s="50" t="n">
        <v>0.9013099999999999</v>
      </c>
      <c r="F553" s="50" t="n">
        <v>9.446999999999999</v>
      </c>
      <c r="G553" s="50" t="n">
        <v>4.711</v>
      </c>
      <c r="H553" s="50" t="n">
        <v>4.0423</v>
      </c>
      <c r="I553" s="50" t="n">
        <v>5.4652</v>
      </c>
      <c r="J553" s="50" t="n">
        <v>8.795299999999999</v>
      </c>
      <c r="K553" s="50" t="n">
        <v>5.0637</v>
      </c>
      <c r="L553" s="50" t="n">
        <v>1.1433</v>
      </c>
      <c r="M553" s="50" t="n">
        <v>0.57775</v>
      </c>
      <c r="N553" s="50" t="n">
        <v>11.5387</v>
      </c>
      <c r="O553" s="50" t="n">
        <v>2.3379</v>
      </c>
      <c r="R553" s="50" t="n">
        <v>207.18</v>
      </c>
      <c r="S553" s="50" t="n">
        <v>0.52512</v>
      </c>
      <c r="T553" s="50" t="n">
        <v>0.5361399999999999</v>
      </c>
      <c r="U553" s="50" t="n">
        <v>47.0311</v>
      </c>
      <c r="V553" s="50" t="n">
        <v>0.51459</v>
      </c>
      <c r="W553" s="50" t="n">
        <v>0.9137</v>
      </c>
      <c r="X553" s="50" t="n">
        <v>1.3149</v>
      </c>
      <c r="Y553" s="50" t="n">
        <v>1.4367</v>
      </c>
      <c r="Z553" s="50" t="n">
        <v>6.15237</v>
      </c>
      <c r="AA553" s="50" t="n">
        <v>2.5687</v>
      </c>
      <c r="AB553" s="50" t="n">
        <v>4.4611</v>
      </c>
    </row>
    <row r="554">
      <c r="A554" s="49" t="n">
        <v>46030</v>
      </c>
      <c r="B554" s="50" t="n">
        <v>7.0197</v>
      </c>
      <c r="C554" s="50" t="n">
        <v>8.1769</v>
      </c>
      <c r="D554" s="50" t="n">
        <v>0.044674</v>
      </c>
      <c r="E554" s="50" t="n">
        <v>0.90146</v>
      </c>
      <c r="F554" s="50" t="n">
        <v>9.4207</v>
      </c>
      <c r="G554" s="50" t="n">
        <v>4.7027</v>
      </c>
      <c r="H554" s="50" t="n">
        <v>4.0371</v>
      </c>
      <c r="I554" s="50" t="n">
        <v>5.4595</v>
      </c>
      <c r="J554" s="50" t="n">
        <v>8.7774</v>
      </c>
      <c r="K554" s="50" t="n">
        <v>5.0502</v>
      </c>
      <c r="L554" s="50" t="n">
        <v>1.1431</v>
      </c>
      <c r="M554" s="50" t="n">
        <v>0.5788</v>
      </c>
      <c r="N554" s="50" t="n">
        <v>11.514</v>
      </c>
      <c r="O554" s="50" t="n">
        <v>2.348</v>
      </c>
      <c r="R554" s="50" t="n">
        <v>207.04</v>
      </c>
      <c r="S554" s="50" t="n">
        <v>0.52478</v>
      </c>
      <c r="T554" s="50" t="n">
        <v>0.53578</v>
      </c>
      <c r="U554" s="50" t="n">
        <v>47.051</v>
      </c>
      <c r="V554" s="50" t="n">
        <v>0.51478</v>
      </c>
      <c r="W554" s="50" t="n">
        <v>0.9143</v>
      </c>
      <c r="X554" s="50" t="n">
        <v>1.3122</v>
      </c>
      <c r="Y554" s="50" t="n">
        <v>1.4403</v>
      </c>
      <c r="Z554" s="50" t="n">
        <v>6.14765</v>
      </c>
      <c r="AA554" s="50" t="n">
        <v>2.5668</v>
      </c>
      <c r="AB554" s="50" t="n">
        <v>4.4792</v>
      </c>
    </row>
    <row r="555">
      <c r="A555" s="49" t="n">
        <v>46031</v>
      </c>
      <c r="B555" s="50" t="n">
        <v>7.0128</v>
      </c>
      <c r="C555" s="50" t="n">
        <v>8.1556</v>
      </c>
      <c r="D555" s="50" t="n">
        <v>0.044592</v>
      </c>
      <c r="E555" s="50" t="n">
        <v>0.89973</v>
      </c>
      <c r="F555" s="50" t="n">
        <v>9.396100000000001</v>
      </c>
      <c r="G555" s="50" t="n">
        <v>4.6825</v>
      </c>
      <c r="H555" s="50" t="n">
        <v>4.0163</v>
      </c>
      <c r="I555" s="50" t="n">
        <v>5.4456</v>
      </c>
      <c r="J555" s="50" t="n">
        <v>8.7537</v>
      </c>
      <c r="K555" s="50" t="n">
        <v>5.0426</v>
      </c>
      <c r="L555" s="50" t="n">
        <v>1.1441</v>
      </c>
      <c r="M555" s="50" t="n">
        <v>0.58002</v>
      </c>
      <c r="N555" s="50" t="n">
        <v>11.4963</v>
      </c>
      <c r="O555" s="50" t="n">
        <v>2.3607</v>
      </c>
      <c r="R555" s="50" t="n">
        <v>207.92</v>
      </c>
      <c r="S555" s="50" t="n">
        <v>0.52534</v>
      </c>
      <c r="T555" s="50" t="n">
        <v>0.53638</v>
      </c>
      <c r="U555" s="50" t="n">
        <v>47.2224</v>
      </c>
      <c r="V555" s="50" t="n">
        <v>0.5165999999999999</v>
      </c>
      <c r="W555" s="50" t="n">
        <v>0.9167999999999999</v>
      </c>
      <c r="X555" s="50" t="n">
        <v>1.3184</v>
      </c>
      <c r="Y555" s="50" t="n">
        <v>1.4422</v>
      </c>
      <c r="Z555" s="50" t="n">
        <v>6.16627</v>
      </c>
      <c r="AA555" s="50" t="n">
        <v>2.5678</v>
      </c>
      <c r="AB555" s="50" t="n">
        <v>4.4995</v>
      </c>
    </row>
    <row r="556">
      <c r="A556" s="49" t="n">
        <v>46034</v>
      </c>
      <c r="B556" s="50" t="n">
        <v>7.0108</v>
      </c>
      <c r="C556" s="50" t="n">
        <v>8.140000000000001</v>
      </c>
      <c r="D556" s="50" t="n">
        <v>0.044267</v>
      </c>
      <c r="E556" s="50" t="n">
        <v>0.89959</v>
      </c>
      <c r="F556" s="50" t="n">
        <v>9.369899999999999</v>
      </c>
      <c r="G556" s="50" t="n">
        <v>4.6759</v>
      </c>
      <c r="H556" s="50" t="n">
        <v>4.0056</v>
      </c>
      <c r="I556" s="50" t="n">
        <v>5.4345</v>
      </c>
      <c r="J556" s="50" t="n">
        <v>8.726000000000001</v>
      </c>
      <c r="K556" s="50" t="n">
        <v>5.0241</v>
      </c>
      <c r="L556" s="50" t="n">
        <v>1.1455</v>
      </c>
      <c r="M556" s="50" t="n">
        <v>0.58191</v>
      </c>
      <c r="N556" s="50" t="n">
        <v>11.3121</v>
      </c>
      <c r="O556" s="50" t="n">
        <v>2.3566</v>
      </c>
      <c r="R556" s="50" t="n">
        <v>208.8</v>
      </c>
      <c r="S556" s="50" t="n">
        <v>0.52546</v>
      </c>
      <c r="T556" s="50" t="n">
        <v>0.53645</v>
      </c>
      <c r="U556" s="50" t="n">
        <v>47.4051</v>
      </c>
      <c r="V556" s="50" t="n">
        <v>0.51777</v>
      </c>
      <c r="W556" s="50" t="n">
        <v>0.9185</v>
      </c>
      <c r="X556" s="50" t="n">
        <v>1.3172</v>
      </c>
      <c r="Y556" s="50" t="n">
        <v>1.4427</v>
      </c>
      <c r="Z556" s="50" t="n">
        <v>6.1698</v>
      </c>
      <c r="AA556" s="50" t="n">
        <v>2.568</v>
      </c>
      <c r="AB556" s="50" t="n">
        <v>4.4868</v>
      </c>
    </row>
    <row r="557">
      <c r="A557" s="49" t="n">
        <v>46035</v>
      </c>
      <c r="B557" s="50" t="n">
        <v>7.0103</v>
      </c>
      <c r="C557" s="50" t="n">
        <v>8.1463</v>
      </c>
      <c r="D557" s="50" t="n">
        <v>0.044222</v>
      </c>
      <c r="E557" s="50" t="n">
        <v>0.8991400000000001</v>
      </c>
      <c r="F557" s="50" t="n">
        <v>9.4038</v>
      </c>
      <c r="G557" s="50" t="n">
        <v>4.6827</v>
      </c>
      <c r="H557" s="50" t="n">
        <v>4.026</v>
      </c>
      <c r="I557" s="50" t="n">
        <v>5.4368</v>
      </c>
      <c r="J557" s="50" t="n">
        <v>8.7582</v>
      </c>
      <c r="K557" s="50" t="n">
        <v>5.0308</v>
      </c>
      <c r="L557" s="50" t="n">
        <v>1.146</v>
      </c>
      <c r="M557" s="50" t="n">
        <v>0.58036</v>
      </c>
      <c r="N557" s="50" t="n">
        <v>11.2381</v>
      </c>
      <c r="O557" s="50" t="n">
        <v>2.3446</v>
      </c>
      <c r="R557" s="50" t="n">
        <v>210.48</v>
      </c>
      <c r="S557" s="50" t="n">
        <v>0.52613</v>
      </c>
      <c r="T557" s="50" t="n">
        <v>0.53715</v>
      </c>
      <c r="U557" s="50" t="n">
        <v>47.4846</v>
      </c>
      <c r="V557" s="50" t="n">
        <v>0.5168</v>
      </c>
      <c r="W557" s="50" t="n">
        <v>0.9174</v>
      </c>
      <c r="X557" s="50" t="n">
        <v>1.3127</v>
      </c>
      <c r="Y557" s="50" t="n">
        <v>1.442</v>
      </c>
      <c r="Z557" s="50" t="n">
        <v>6.17796</v>
      </c>
      <c r="AA557" s="50" t="n">
        <v>2.5639</v>
      </c>
      <c r="AB557" s="50" t="n">
        <v>4.4752</v>
      </c>
    </row>
    <row r="558">
      <c r="A558" s="49" t="n">
        <v>46036</v>
      </c>
      <c r="B558" s="50" t="n">
        <v>7.012</v>
      </c>
      <c r="C558" s="50" t="n">
        <v>8.142300000000001</v>
      </c>
      <c r="D558" s="50" t="n">
        <v>0.043958</v>
      </c>
      <c r="E558" s="50" t="n">
        <v>0.89884</v>
      </c>
      <c r="F558" s="50" t="n">
        <v>9.385</v>
      </c>
      <c r="G558" s="50" t="n">
        <v>4.6712</v>
      </c>
      <c r="H558" s="50" t="n">
        <v>4.0086</v>
      </c>
      <c r="I558" s="50" t="n">
        <v>5.4261</v>
      </c>
      <c r="J558" s="50" t="n">
        <v>8.7281</v>
      </c>
      <c r="K558" s="50" t="n">
        <v>5.0328</v>
      </c>
      <c r="L558" s="50" t="n">
        <v>1.1454</v>
      </c>
      <c r="M558" s="50" t="n">
        <v>0.57956</v>
      </c>
      <c r="N558" s="50" t="n">
        <v>11.289</v>
      </c>
      <c r="O558" s="50" t="n">
        <v>2.3436</v>
      </c>
      <c r="R558" s="50" t="n">
        <v>211.3</v>
      </c>
      <c r="S558" s="50" t="n">
        <v>0.52558</v>
      </c>
      <c r="T558" s="50" t="n">
        <v>0.5365799999999999</v>
      </c>
      <c r="U558" s="50" t="n">
        <v>47.441</v>
      </c>
      <c r="V558" s="50" t="n">
        <v>0.51742</v>
      </c>
      <c r="W558" s="50" t="n">
        <v>0.9182</v>
      </c>
      <c r="X558" s="50" t="n">
        <v>1.3193</v>
      </c>
      <c r="Y558" s="50" t="n">
        <v>1.4433</v>
      </c>
      <c r="Z558" s="50" t="n">
        <v>6.17381</v>
      </c>
      <c r="AA558" s="50" t="n">
        <v>2.5477</v>
      </c>
      <c r="AB558" s="50" t="n">
        <v>4.513</v>
      </c>
    </row>
    <row r="559">
      <c r="A559" s="49" t="n">
        <v>46037</v>
      </c>
      <c r="B559" s="50" t="n">
        <v>7.0064</v>
      </c>
      <c r="C559" s="50" t="n">
        <v>8.1312</v>
      </c>
      <c r="D559" s="50" t="n">
        <v>0.044086</v>
      </c>
      <c r="E559" s="50" t="n">
        <v>0.8988</v>
      </c>
      <c r="F559" s="50" t="n">
        <v>9.3786</v>
      </c>
      <c r="G559" s="50" t="n">
        <v>4.6593</v>
      </c>
      <c r="H559" s="50" t="n">
        <v>4.0009</v>
      </c>
      <c r="I559" s="50" t="n">
        <v>5.4231</v>
      </c>
      <c r="J559" s="50" t="n">
        <v>8.729799999999999</v>
      </c>
      <c r="K559" s="50" t="n">
        <v>5.0254</v>
      </c>
      <c r="L559" s="50" t="n">
        <v>1.1465</v>
      </c>
      <c r="M559" s="50" t="n">
        <v>0.5787099999999999</v>
      </c>
      <c r="N559" s="50" t="n">
        <v>11.2601</v>
      </c>
      <c r="O559" s="50" t="n">
        <v>2.3478</v>
      </c>
      <c r="R559" s="50" t="n">
        <v>209.96</v>
      </c>
      <c r="S559" s="50" t="n">
        <v>0.52641</v>
      </c>
      <c r="T559" s="50" t="n">
        <v>0.53752</v>
      </c>
      <c r="U559" s="50" t="n">
        <v>47.4885</v>
      </c>
      <c r="V559" s="50" t="n">
        <v>0.51778</v>
      </c>
      <c r="W559" s="50" t="n">
        <v>0.9195</v>
      </c>
      <c r="X559" s="50" t="n">
        <v>1.3175</v>
      </c>
      <c r="Y559" s="50" t="n">
        <v>1.4416</v>
      </c>
      <c r="Z559" s="50" t="n">
        <v>6.18551</v>
      </c>
      <c r="AA559" s="50" t="n">
        <v>2.5467</v>
      </c>
      <c r="AB559" s="50" t="n">
        <v>4.5136</v>
      </c>
    </row>
    <row r="560">
      <c r="A560" s="49" t="n">
        <v>46038</v>
      </c>
      <c r="B560" s="50" t="n">
        <v>7.0078</v>
      </c>
      <c r="C560" s="50" t="n">
        <v>8.1067</v>
      </c>
      <c r="D560" s="50" t="n">
        <v>0.044041</v>
      </c>
      <c r="E560" s="50" t="n">
        <v>0.89877</v>
      </c>
      <c r="F560" s="50" t="n">
        <v>9.340400000000001</v>
      </c>
      <c r="G560" s="50" t="n">
        <v>4.6745</v>
      </c>
      <c r="H560" s="50" t="n">
        <v>4.0042</v>
      </c>
      <c r="I560" s="50" t="n">
        <v>5.4238</v>
      </c>
      <c r="J560" s="50" t="n">
        <v>8.690799999999999</v>
      </c>
      <c r="K560" s="50" t="n">
        <v>5.0245</v>
      </c>
      <c r="L560" s="50" t="n">
        <v>1.1468</v>
      </c>
      <c r="M560" s="50" t="n">
        <v>0.57982</v>
      </c>
      <c r="N560" s="50" t="n">
        <v>11.2249</v>
      </c>
      <c r="O560" s="50" t="n">
        <v>2.3387</v>
      </c>
      <c r="R560" s="50" t="n">
        <v>210.86</v>
      </c>
      <c r="S560" s="50" t="n">
        <v>0.52629</v>
      </c>
      <c r="T560" s="50" t="n">
        <v>0.53731</v>
      </c>
      <c r="U560" s="50" t="n">
        <v>47.5273</v>
      </c>
      <c r="V560" s="50" t="n">
        <v>0.51957</v>
      </c>
      <c r="W560" s="50" t="n">
        <v>0.9221</v>
      </c>
      <c r="X560" s="50" t="n">
        <v>1.3203</v>
      </c>
      <c r="Y560" s="50" t="n">
        <v>1.4491</v>
      </c>
      <c r="Z560" s="50" t="n">
        <v>6.199</v>
      </c>
      <c r="AA560" s="50" t="n">
        <v>2.5271</v>
      </c>
      <c r="AB560" s="50" t="n">
        <v>4.5017</v>
      </c>
    </row>
    <row r="561">
      <c r="A561" s="49" t="n">
        <v>46041</v>
      </c>
      <c r="B561" s="50" t="n">
        <v>7.0051</v>
      </c>
      <c r="C561" s="50" t="n">
        <v>8.1097</v>
      </c>
      <c r="D561" s="50" t="n">
        <v>0.044281</v>
      </c>
      <c r="E561" s="50" t="n">
        <v>0.89828</v>
      </c>
      <c r="F561" s="50" t="n">
        <v>9.3445</v>
      </c>
      <c r="G561" s="50" t="n">
        <v>4.6637</v>
      </c>
      <c r="H561" s="50" t="n">
        <v>4.0139</v>
      </c>
      <c r="I561" s="50" t="n">
        <v>5.4244</v>
      </c>
      <c r="J561" s="50" t="n">
        <v>8.7401</v>
      </c>
      <c r="K561" s="50" t="n">
        <v>5.018</v>
      </c>
      <c r="L561" s="50" t="n">
        <v>1.1471</v>
      </c>
      <c r="M561" s="50" t="n">
        <v>0.57966</v>
      </c>
      <c r="N561" s="50" t="n">
        <v>11.1883</v>
      </c>
      <c r="O561" s="50" t="n">
        <v>2.3516</v>
      </c>
      <c r="R561" s="50" t="n">
        <v>211.39</v>
      </c>
      <c r="S561" s="50" t="n">
        <v>0.52632</v>
      </c>
      <c r="T561" s="50" t="n">
        <v>0.53738</v>
      </c>
      <c r="U561" s="50" t="n">
        <v>47.5016</v>
      </c>
      <c r="V561" s="50" t="n">
        <v>0.5207000000000001</v>
      </c>
      <c r="W561" s="50" t="n">
        <v>0.9215</v>
      </c>
      <c r="X561" s="50" t="n">
        <v>1.3205</v>
      </c>
      <c r="Y561" s="50" t="n">
        <v>1.4446</v>
      </c>
      <c r="Z561" s="50" t="n">
        <v>6.19931</v>
      </c>
      <c r="AA561" s="50" t="n">
        <v>2.5241</v>
      </c>
      <c r="AB561" s="50" t="n">
        <v>4.489</v>
      </c>
    </row>
    <row r="562">
      <c r="A562" s="49" t="n">
        <v>46042</v>
      </c>
      <c r="B562" s="50" t="n">
        <v>7.0006</v>
      </c>
      <c r="C562" s="50" t="n">
        <v>8.118600000000001</v>
      </c>
      <c r="D562" s="50" t="n">
        <v>0.044087</v>
      </c>
      <c r="E562" s="50" t="n">
        <v>0.89775</v>
      </c>
      <c r="F562" s="50" t="n">
        <v>9.3527</v>
      </c>
      <c r="G562" s="50" t="n">
        <v>4.674</v>
      </c>
      <c r="H562" s="50" t="n">
        <v>4.0315</v>
      </c>
      <c r="I562" s="50" t="n">
        <v>5.4279</v>
      </c>
      <c r="J562" s="50" t="n">
        <v>8.738</v>
      </c>
      <c r="K562" s="50" t="n">
        <v>5.0219</v>
      </c>
      <c r="L562" s="50" t="n">
        <v>1.1479</v>
      </c>
      <c r="M562" s="50" t="n">
        <v>0.58016</v>
      </c>
      <c r="N562" s="50" t="n">
        <v>11.1372</v>
      </c>
      <c r="O562" s="50" t="n">
        <v>2.3491</v>
      </c>
      <c r="R562" s="50" t="n">
        <v>211.64</v>
      </c>
      <c r="S562" s="50" t="n">
        <v>0.5270899999999999</v>
      </c>
      <c r="T562" s="50" t="n">
        <v>0.53816</v>
      </c>
      <c r="U562" s="50" t="n">
        <v>47.4985</v>
      </c>
      <c r="V562" s="50" t="n">
        <v>0.5203</v>
      </c>
      <c r="W562" s="50" t="n">
        <v>0.921</v>
      </c>
      <c r="X562" s="50" t="n">
        <v>1.3207</v>
      </c>
      <c r="Y562" s="50" t="n">
        <v>1.4443</v>
      </c>
      <c r="Z562" s="50" t="n">
        <v>6.20894</v>
      </c>
      <c r="AA562" s="50" t="n">
        <v>2.5196</v>
      </c>
      <c r="AB562" s="50" t="n">
        <v>4.4863</v>
      </c>
    </row>
    <row r="563">
      <c r="A563" s="49" t="n">
        <v>46043</v>
      </c>
      <c r="B563" s="50" t="n">
        <v>7.0014</v>
      </c>
      <c r="C563" s="50" t="n">
        <v>8.1745</v>
      </c>
      <c r="D563" s="50" t="n">
        <v>0.044095</v>
      </c>
      <c r="E563" s="50" t="n">
        <v>0.89779</v>
      </c>
      <c r="F563" s="50" t="n">
        <v>9.366199999999999</v>
      </c>
      <c r="G563" s="50" t="n">
        <v>4.6898</v>
      </c>
      <c r="H563" s="50" t="n">
        <v>4.0555</v>
      </c>
      <c r="I563" s="50" t="n">
        <v>5.4286</v>
      </c>
      <c r="J563" s="50" t="n">
        <v>8.8238</v>
      </c>
      <c r="K563" s="50" t="n">
        <v>5.0365</v>
      </c>
      <c r="L563" s="50" t="n">
        <v>1.1478</v>
      </c>
      <c r="M563" s="50" t="n">
        <v>0.58102</v>
      </c>
      <c r="N563" s="50" t="n">
        <v>11.2079</v>
      </c>
      <c r="O563" s="50" t="n">
        <v>2.3539</v>
      </c>
      <c r="R563" s="50" t="n">
        <v>212.41</v>
      </c>
      <c r="S563" s="50" t="n">
        <v>0.52707</v>
      </c>
      <c r="T563" s="50" t="n">
        <v>0.5381899999999999</v>
      </c>
      <c r="U563" s="50" t="n">
        <v>47.0962</v>
      </c>
      <c r="V563" s="50" t="n">
        <v>0.51673</v>
      </c>
      <c r="W563" s="50" t="n">
        <v>0.9143</v>
      </c>
      <c r="X563" s="50" t="n">
        <v>1.3092</v>
      </c>
      <c r="Y563" s="50" t="n">
        <v>1.4352</v>
      </c>
      <c r="Z563" s="50" t="n">
        <v>6.21082</v>
      </c>
      <c r="AA563" s="50" t="n">
        <v>2.522</v>
      </c>
      <c r="AB563" s="50" t="n">
        <v>4.4565</v>
      </c>
    </row>
    <row r="564">
      <c r="A564" s="49" t="n">
        <v>46044</v>
      </c>
      <c r="B564" s="50" t="n">
        <v>7.0019</v>
      </c>
      <c r="C564" s="50" t="n">
        <v>8.153700000000001</v>
      </c>
      <c r="D564" s="50" t="n">
        <v>0.044112</v>
      </c>
      <c r="E564" s="50" t="n">
        <v>0.8982</v>
      </c>
      <c r="F564" s="50" t="n">
        <v>9.3657</v>
      </c>
      <c r="G564" s="50" t="n">
        <v>4.7138</v>
      </c>
      <c r="H564" s="50" t="n">
        <v>4.0709</v>
      </c>
      <c r="I564" s="50" t="n">
        <v>5.4322</v>
      </c>
      <c r="J564" s="50" t="n">
        <v>8.767799999999999</v>
      </c>
      <c r="K564" s="50" t="n">
        <v>5.0408</v>
      </c>
      <c r="L564" s="50" t="n">
        <v>1.1472</v>
      </c>
      <c r="M564" s="50" t="n">
        <v>0.57886</v>
      </c>
      <c r="N564" s="50" t="n">
        <v>11.0553</v>
      </c>
      <c r="O564" s="50" t="n">
        <v>2.3323</v>
      </c>
      <c r="R564" s="50" t="n">
        <v>210.45</v>
      </c>
      <c r="S564" s="50" t="n">
        <v>0.52651</v>
      </c>
      <c r="T564" s="50" t="n">
        <v>0.5375799999999999</v>
      </c>
      <c r="U564" s="50" t="n">
        <v>47.161</v>
      </c>
      <c r="V564" s="50" t="n">
        <v>0.51669</v>
      </c>
      <c r="W564" s="50" t="n">
        <v>0.9167999999999999</v>
      </c>
      <c r="X564" s="50" t="n">
        <v>1.3066</v>
      </c>
      <c r="Y564" s="50" t="n">
        <v>1.43</v>
      </c>
      <c r="Z564" s="50" t="n">
        <v>6.20658</v>
      </c>
      <c r="AA564" s="50" t="n">
        <v>2.5039</v>
      </c>
      <c r="AB564" s="50" t="n">
        <v>4.4906</v>
      </c>
    </row>
    <row r="565">
      <c r="A565" s="49" t="n">
        <v>46045</v>
      </c>
      <c r="B565" s="50" t="n">
        <v>6.9929</v>
      </c>
      <c r="C565" s="50" t="n">
        <v>8.19</v>
      </c>
      <c r="D565" s="50" t="n">
        <v>0.04401</v>
      </c>
      <c r="E565" s="50" t="n">
        <v>0.89676</v>
      </c>
      <c r="F565" s="50" t="n">
        <v>9.398099999999999</v>
      </c>
      <c r="G565" s="50" t="n">
        <v>4.7529</v>
      </c>
      <c r="H565" s="50" t="n">
        <v>4.1078</v>
      </c>
      <c r="I565" s="50" t="n">
        <v>5.4419</v>
      </c>
      <c r="J565" s="50" t="n">
        <v>8.826599999999999</v>
      </c>
      <c r="K565" s="50" t="n">
        <v>5.047</v>
      </c>
      <c r="L565" s="50" t="n">
        <v>1.1491</v>
      </c>
      <c r="M565" s="50" t="n">
        <v>0.5778</v>
      </c>
      <c r="N565" s="50" t="n">
        <v>10.9025</v>
      </c>
      <c r="O565" s="50" t="n">
        <v>2.3169</v>
      </c>
      <c r="R565" s="50" t="n">
        <v>210.59</v>
      </c>
      <c r="S565" s="50" t="n">
        <v>0.52761</v>
      </c>
      <c r="T565" s="50" t="n">
        <v>0.5387</v>
      </c>
      <c r="U565" s="50" t="n">
        <v>46.6263</v>
      </c>
      <c r="V565" s="50" t="n">
        <v>0.51251</v>
      </c>
      <c r="W565" s="50" t="n">
        <v>0.913</v>
      </c>
      <c r="X565" s="50" t="n">
        <v>1.2946</v>
      </c>
      <c r="Y565" s="50" t="n">
        <v>1.4174</v>
      </c>
      <c r="Z565" s="50" t="n">
        <v>6.22308</v>
      </c>
      <c r="AA565" s="50" t="n">
        <v>2.504</v>
      </c>
      <c r="AB565" s="50" t="n">
        <v>4.4656</v>
      </c>
    </row>
    <row r="566">
      <c r="A566" s="49" t="n">
        <v>46048</v>
      </c>
      <c r="B566" s="50" t="n">
        <v>6.9843</v>
      </c>
      <c r="C566" s="50" t="n">
        <v>8.249000000000001</v>
      </c>
      <c r="D566" s="50" t="n">
        <v>0.044826</v>
      </c>
      <c r="E566" s="50" t="n">
        <v>0.89594</v>
      </c>
      <c r="F566" s="50" t="n">
        <v>9.4983</v>
      </c>
      <c r="G566" s="50" t="n">
        <v>4.8006</v>
      </c>
      <c r="H566" s="50" t="n">
        <v>4.1335</v>
      </c>
      <c r="I566" s="50" t="n">
        <v>5.4784</v>
      </c>
      <c r="J566" s="50" t="n">
        <v>8.94</v>
      </c>
      <c r="K566" s="50" t="n">
        <v>5.0738</v>
      </c>
      <c r="L566" s="50" t="n">
        <v>1.1502</v>
      </c>
      <c r="M566" s="50" t="n">
        <v>0.57265</v>
      </c>
      <c r="N566" s="50" t="n">
        <v>10.8716</v>
      </c>
      <c r="O566" s="50" t="n">
        <v>2.3069</v>
      </c>
      <c r="R566" s="50" t="n">
        <v>208.35</v>
      </c>
      <c r="S566" s="50" t="n">
        <v>0.52859</v>
      </c>
      <c r="T566" s="50" t="n">
        <v>0.53966</v>
      </c>
      <c r="U566" s="50" t="n">
        <v>46.3276</v>
      </c>
      <c r="V566" s="50" t="n">
        <v>0.51048</v>
      </c>
      <c r="W566" s="50" t="n">
        <v>0.906</v>
      </c>
      <c r="X566" s="50" t="n">
        <v>1.2796</v>
      </c>
      <c r="Y566" s="50" t="n">
        <v>1.4015</v>
      </c>
      <c r="Z566" s="50" t="n">
        <v>6.24347</v>
      </c>
      <c r="AA566" s="50" t="n">
        <v>2.4942</v>
      </c>
      <c r="AB566" s="50" t="n">
        <v>4.4618</v>
      </c>
    </row>
    <row r="567">
      <c r="A567" s="49" t="n">
        <v>46049</v>
      </c>
      <c r="B567" s="50" t="n">
        <v>6.9858</v>
      </c>
      <c r="C567" s="50" t="n">
        <v>8.275499999999999</v>
      </c>
      <c r="D567" s="50" t="n">
        <v>0.045176</v>
      </c>
      <c r="E567" s="50" t="n">
        <v>0.89592</v>
      </c>
      <c r="F567" s="50" t="n">
        <v>9.5261</v>
      </c>
      <c r="G567" s="50" t="n">
        <v>4.8135</v>
      </c>
      <c r="H567" s="50" t="n">
        <v>4.1544</v>
      </c>
      <c r="I567" s="50" t="n">
        <v>5.4847</v>
      </c>
      <c r="J567" s="50" t="n">
        <v>8.964600000000001</v>
      </c>
      <c r="K567" s="50" t="n">
        <v>5.0782</v>
      </c>
      <c r="L567" s="50" t="n">
        <v>1.1502</v>
      </c>
      <c r="M567" s="50" t="n">
        <v>0.56874</v>
      </c>
      <c r="N567" s="50" t="n">
        <v>10.9767</v>
      </c>
      <c r="O567" s="50" t="n">
        <v>2.3005</v>
      </c>
      <c r="R567" s="50" t="n">
        <v>207.82</v>
      </c>
      <c r="S567" s="50" t="n">
        <v>0.52745</v>
      </c>
      <c r="T567" s="50" t="n">
        <v>0.53854</v>
      </c>
      <c r="U567" s="50" t="n">
        <v>46.1014</v>
      </c>
      <c r="V567" s="50" t="n">
        <v>0.50828</v>
      </c>
      <c r="W567" s="50" t="n">
        <v>0.9028</v>
      </c>
      <c r="X567" s="50" t="n">
        <v>1.284</v>
      </c>
      <c r="Y567" s="50" t="n">
        <v>1.404</v>
      </c>
      <c r="Z567" s="50" t="n">
        <v>6.22954</v>
      </c>
      <c r="AA567" s="50" t="n">
        <v>2.4902</v>
      </c>
      <c r="AB567" s="50" t="n">
        <v>4.4823</v>
      </c>
    </row>
    <row r="568">
      <c r="A568" s="49" t="n">
        <v>46050</v>
      </c>
      <c r="B568" s="50" t="n">
        <v>6.9755</v>
      </c>
      <c r="C568" s="50" t="n">
        <v>8.3436</v>
      </c>
      <c r="D568" s="50" t="n">
        <v>0.04543</v>
      </c>
      <c r="E568" s="50" t="n">
        <v>0.89427</v>
      </c>
      <c r="F568" s="50" t="n">
        <v>9.5905</v>
      </c>
      <c r="G568" s="50" t="n">
        <v>4.8454</v>
      </c>
      <c r="H568" s="50" t="n">
        <v>4.1723</v>
      </c>
      <c r="I568" s="50" t="n">
        <v>5.5083</v>
      </c>
      <c r="J568" s="50" t="n">
        <v>9.0893</v>
      </c>
      <c r="K568" s="50" t="n">
        <v>5.1016</v>
      </c>
      <c r="L568" s="50" t="n">
        <v>1.1523</v>
      </c>
      <c r="M568" s="50" t="n">
        <v>0.5656099999999999</v>
      </c>
      <c r="N568" s="50" t="n">
        <v>10.9793</v>
      </c>
      <c r="O568" s="50" t="n">
        <v>2.2858</v>
      </c>
      <c r="R568" s="50" t="n">
        <v>206.65</v>
      </c>
      <c r="S568" s="50" t="n">
        <v>0.52925</v>
      </c>
      <c r="T568" s="50" t="n">
        <v>0.54038</v>
      </c>
      <c r="U568" s="50" t="n">
        <v>45.5313</v>
      </c>
      <c r="V568" s="50" t="n">
        <v>0.50312</v>
      </c>
      <c r="W568" s="50" t="n">
        <v>0.8968</v>
      </c>
      <c r="X568" s="50" t="n">
        <v>1.2671</v>
      </c>
      <c r="Y568" s="50" t="n">
        <v>1.3832</v>
      </c>
      <c r="Z568" s="50" t="n">
        <v>6.25543</v>
      </c>
      <c r="AA568" s="50" t="n">
        <v>2.4691</v>
      </c>
      <c r="AB568" s="50" t="n">
        <v>4.4571</v>
      </c>
    </row>
    <row r="569">
      <c r="A569" s="49" t="n">
        <v>46051</v>
      </c>
      <c r="B569" s="50" t="n">
        <v>6.9771</v>
      </c>
      <c r="C569" s="50" t="n">
        <v>8.334899999999999</v>
      </c>
      <c r="D569" s="50" t="n">
        <v>0.045437</v>
      </c>
      <c r="E569" s="50" t="n">
        <v>0.89435</v>
      </c>
      <c r="F569" s="50" t="n">
        <v>9.6175</v>
      </c>
      <c r="G569" s="50" t="n">
        <v>4.9</v>
      </c>
      <c r="H569" s="50" t="n">
        <v>4.2173</v>
      </c>
      <c r="I569" s="50" t="n">
        <v>5.5181</v>
      </c>
      <c r="J569" s="50" t="n">
        <v>9.0779</v>
      </c>
      <c r="K569" s="50" t="n">
        <v>5.1372</v>
      </c>
      <c r="L569" s="50" t="n">
        <v>1.1522</v>
      </c>
      <c r="M569" s="50" t="n">
        <v>0.56213</v>
      </c>
      <c r="N569" s="50" t="n">
        <v>11.0095</v>
      </c>
      <c r="O569" s="50" t="n">
        <v>2.2593</v>
      </c>
      <c r="R569" s="50" t="n">
        <v>205.76</v>
      </c>
      <c r="S569" s="50" t="n">
        <v>0.52781</v>
      </c>
      <c r="T569" s="50" t="n">
        <v>0.53889</v>
      </c>
      <c r="U569" s="50" t="n">
        <v>45.6218</v>
      </c>
      <c r="V569" s="50" t="n">
        <v>0.50463</v>
      </c>
      <c r="W569" s="50" t="n">
        <v>0.8962</v>
      </c>
      <c r="X569" s="50" t="n">
        <v>1.2678</v>
      </c>
      <c r="Y569" s="50" t="n">
        <v>1.376</v>
      </c>
      <c r="Z569" s="50" t="n">
        <v>6.23727</v>
      </c>
      <c r="AA569" s="50" t="n">
        <v>2.4656</v>
      </c>
      <c r="AB569" s="50" t="n">
        <v>4.4679</v>
      </c>
    </row>
    <row r="570">
      <c r="A570" s="49" t="n">
        <v>46052</v>
      </c>
      <c r="B570" s="50" t="n">
        <v>6.9678</v>
      </c>
      <c r="C570" s="50" t="n">
        <v>8.324400000000001</v>
      </c>
      <c r="D570" s="50" t="n">
        <v>0.045464</v>
      </c>
      <c r="E570" s="50" t="n">
        <v>0.89262</v>
      </c>
      <c r="F570" s="50" t="n">
        <v>9.608000000000001</v>
      </c>
      <c r="G570" s="50" t="n">
        <v>4.9019</v>
      </c>
      <c r="H570" s="50" t="n">
        <v>4.2233</v>
      </c>
      <c r="I570" s="50" t="n">
        <v>5.5061</v>
      </c>
      <c r="J570" s="50" t="n">
        <v>9.104699999999999</v>
      </c>
      <c r="K570" s="50" t="n">
        <v>5.1577</v>
      </c>
      <c r="L570" s="50" t="n">
        <v>1.1545</v>
      </c>
      <c r="M570" s="50" t="n">
        <v>0.5641</v>
      </c>
      <c r="N570" s="50" t="n">
        <v>10.8267</v>
      </c>
      <c r="O570" s="50" t="n">
        <v>2.2592</v>
      </c>
      <c r="R570" s="50" t="n">
        <v>206.17</v>
      </c>
      <c r="S570" s="50" t="n">
        <v>0.5277500000000001</v>
      </c>
      <c r="T570" s="50" t="n">
        <v>0.5389699999999999</v>
      </c>
      <c r="U570" s="50" t="n">
        <v>45.6909</v>
      </c>
      <c r="V570" s="50" t="n">
        <v>0.5048</v>
      </c>
      <c r="W570" s="50" t="n">
        <v>0.8966</v>
      </c>
      <c r="X570" s="50" t="n">
        <v>1.2654</v>
      </c>
      <c r="Y570" s="50" t="n">
        <v>1.371</v>
      </c>
      <c r="Z570" s="50" t="n">
        <v>6.24175</v>
      </c>
      <c r="AA570" s="50" t="n">
        <v>2.4721</v>
      </c>
      <c r="AB570" s="50" t="n">
        <v>4.4966</v>
      </c>
    </row>
    <row r="571">
      <c r="A571" s="49" t="n">
        <v>46055</v>
      </c>
      <c r="B571" s="50" t="n">
        <v>6.9695</v>
      </c>
      <c r="C571" s="50" t="n">
        <v>8.2651</v>
      </c>
      <c r="D571" s="50" t="n">
        <v>0.044926</v>
      </c>
      <c r="E571" s="50" t="n">
        <v>0.89249</v>
      </c>
      <c r="F571" s="50" t="n">
        <v>9.538500000000001</v>
      </c>
      <c r="G571" s="50" t="n">
        <v>4.843</v>
      </c>
      <c r="H571" s="50" t="n">
        <v>4.1916</v>
      </c>
      <c r="I571" s="50" t="n">
        <v>5.4759</v>
      </c>
      <c r="J571" s="50" t="n">
        <v>9.0099</v>
      </c>
      <c r="K571" s="50" t="n">
        <v>5.1098</v>
      </c>
      <c r="L571" s="50" t="n">
        <v>1.1546</v>
      </c>
      <c r="M571" s="50" t="n">
        <v>0.56557</v>
      </c>
      <c r="N571" s="50" t="n">
        <v>10.9237</v>
      </c>
      <c r="O571" s="50" t="n">
        <v>2.3227</v>
      </c>
      <c r="R571" s="50" t="n">
        <v>208.04</v>
      </c>
      <c r="S571" s="50" t="n">
        <v>0.52681</v>
      </c>
      <c r="T571" s="50" t="n">
        <v>0.53803</v>
      </c>
      <c r="U571" s="50" t="n">
        <v>46.0801</v>
      </c>
      <c r="V571" s="50" t="n">
        <v>0.50968</v>
      </c>
      <c r="W571" s="50" t="n">
        <v>0.9035</v>
      </c>
      <c r="X571" s="50" t="n">
        <v>1.2784</v>
      </c>
      <c r="Y571" s="50" t="n">
        <v>1.3836</v>
      </c>
      <c r="Z571" s="50" t="n">
        <v>6.23802</v>
      </c>
      <c r="AA571" s="50" t="n">
        <v>2.5057</v>
      </c>
      <c r="AB571" s="50" t="n">
        <v>4.526</v>
      </c>
    </row>
    <row r="572">
      <c r="A572" s="49" t="n">
        <v>46056</v>
      </c>
      <c r="B572" s="50" t="n">
        <v>6.9608</v>
      </c>
      <c r="C572" s="50" t="n">
        <v>8.2174</v>
      </c>
      <c r="D572" s="50" t="n">
        <v>0.044797</v>
      </c>
      <c r="E572" s="50" t="n">
        <v>0.89117</v>
      </c>
      <c r="F572" s="50" t="n">
        <v>9.5192</v>
      </c>
      <c r="G572" s="50" t="n">
        <v>4.8441</v>
      </c>
      <c r="H572" s="50" t="n">
        <v>4.1856</v>
      </c>
      <c r="I572" s="50" t="n">
        <v>5.4765</v>
      </c>
      <c r="J572" s="50" t="n">
        <v>8.9381</v>
      </c>
      <c r="K572" s="50" t="n">
        <v>5.092</v>
      </c>
      <c r="L572" s="50" t="n">
        <v>1.1563</v>
      </c>
      <c r="M572" s="50" t="n">
        <v>0.56718</v>
      </c>
      <c r="N572" s="50" t="n">
        <v>11.0073</v>
      </c>
      <c r="O572" s="50" t="n">
        <v>2.3073</v>
      </c>
      <c r="R572" s="50" t="n">
        <v>208.51</v>
      </c>
      <c r="S572" s="50" t="n">
        <v>0.5274</v>
      </c>
      <c r="T572" s="50" t="n">
        <v>0.53854</v>
      </c>
      <c r="U572" s="50" t="n">
        <v>46.3442</v>
      </c>
      <c r="V572" s="50" t="n">
        <v>0.51362</v>
      </c>
      <c r="W572" s="50" t="n">
        <v>0.9089</v>
      </c>
      <c r="X572" s="50" t="n">
        <v>1.2871</v>
      </c>
      <c r="Y572" s="50" t="n">
        <v>1.3921</v>
      </c>
      <c r="Z572" s="50" t="n">
        <v>6.24154</v>
      </c>
      <c r="AA572" s="50" t="n">
        <v>2.4962</v>
      </c>
      <c r="AB572" s="50" t="n">
        <v>4.5332</v>
      </c>
    </row>
    <row r="573">
      <c r="A573" s="49" t="n">
        <v>46057</v>
      </c>
      <c r="B573" s="50" t="n">
        <v>6.9533</v>
      </c>
      <c r="C573" s="50" t="n">
        <v>8.2111</v>
      </c>
      <c r="D573" s="50" t="n">
        <v>0.044615</v>
      </c>
      <c r="E573" s="50" t="n">
        <v>0.88978</v>
      </c>
      <c r="F573" s="50" t="n">
        <v>9.5144</v>
      </c>
      <c r="G573" s="50" t="n">
        <v>4.8752</v>
      </c>
      <c r="H573" s="50" t="n">
        <v>4.1951</v>
      </c>
      <c r="I573" s="50" t="n">
        <v>5.4729</v>
      </c>
      <c r="J573" s="50" t="n">
        <v>8.9558</v>
      </c>
      <c r="K573" s="50" t="n">
        <v>5.0933</v>
      </c>
      <c r="L573" s="50" t="n">
        <v>1.1581</v>
      </c>
      <c r="M573" s="50" t="n">
        <v>0.56538</v>
      </c>
      <c r="N573" s="50" t="n">
        <v>11.0989</v>
      </c>
      <c r="O573" s="50" t="n">
        <v>2.2974</v>
      </c>
      <c r="R573" s="50" t="n">
        <v>208.76</v>
      </c>
      <c r="S573" s="50" t="n">
        <v>0.52852</v>
      </c>
      <c r="T573" s="50" t="n">
        <v>0.53964</v>
      </c>
      <c r="U573" s="50" t="n">
        <v>46.3507</v>
      </c>
      <c r="V573" s="50" t="n">
        <v>0.51415</v>
      </c>
      <c r="W573" s="50" t="n">
        <v>0.9096</v>
      </c>
      <c r="X573" s="50" t="n">
        <v>1.2821</v>
      </c>
      <c r="Y573" s="50" t="n">
        <v>1.3853</v>
      </c>
      <c r="Z573" s="50" t="n">
        <v>6.2566</v>
      </c>
      <c r="AA573" s="50" t="n">
        <v>2.4799</v>
      </c>
      <c r="AB573" s="50" t="n">
        <v>4.558</v>
      </c>
    </row>
    <row r="574">
      <c r="A574" s="49" t="n">
        <v>46058</v>
      </c>
      <c r="B574" s="50" t="n">
        <v>6.957</v>
      </c>
      <c r="C574" s="50" t="n">
        <v>8.2036</v>
      </c>
      <c r="D574" s="50" t="n">
        <v>0.044328</v>
      </c>
      <c r="E574" s="50" t="n">
        <v>0.89062</v>
      </c>
      <c r="F574" s="50" t="n">
        <v>9.484299999999999</v>
      </c>
      <c r="G574" s="50" t="n">
        <v>4.8637</v>
      </c>
      <c r="H574" s="50" t="n">
        <v>4.1714</v>
      </c>
      <c r="I574" s="50" t="n">
        <v>5.4621</v>
      </c>
      <c r="J574" s="50" t="n">
        <v>8.943899999999999</v>
      </c>
      <c r="K574" s="50" t="n">
        <v>5.0851</v>
      </c>
      <c r="L574" s="50" t="n">
        <v>1.1573</v>
      </c>
      <c r="M574" s="50" t="n">
        <v>0.56576</v>
      </c>
      <c r="N574" s="50" t="n">
        <v>11.0198</v>
      </c>
      <c r="O574" s="50" t="n">
        <v>2.3128</v>
      </c>
      <c r="R574" s="50" t="n">
        <v>210.26</v>
      </c>
      <c r="S574" s="50" t="n">
        <v>0.52844</v>
      </c>
      <c r="T574" s="50" t="n">
        <v>0.53957</v>
      </c>
      <c r="U574" s="50" t="n">
        <v>46.2608</v>
      </c>
      <c r="V574" s="50" t="n">
        <v>0.51403</v>
      </c>
      <c r="W574" s="50" t="n">
        <v>0.9103</v>
      </c>
      <c r="X574" s="50" t="n">
        <v>1.2932</v>
      </c>
      <c r="Y574" s="50" t="n">
        <v>1.3912</v>
      </c>
      <c r="Z574" s="50" t="n">
        <v>6.26195</v>
      </c>
      <c r="AA574" s="50" t="n">
        <v>2.4918</v>
      </c>
      <c r="AB574" s="50" t="n">
        <v>4.5629</v>
      </c>
    </row>
    <row r="575">
      <c r="A575" s="49" t="n">
        <v>46059</v>
      </c>
      <c r="B575" s="50" t="n">
        <v>6.959</v>
      </c>
      <c r="C575" s="50" t="n">
        <v>8.192299999999999</v>
      </c>
      <c r="D575" s="50" t="n">
        <v>0.044367</v>
      </c>
      <c r="E575" s="50" t="n">
        <v>0.8908</v>
      </c>
      <c r="F575" s="50" t="n">
        <v>9.4053</v>
      </c>
      <c r="G575" s="50" t="n">
        <v>4.8103</v>
      </c>
      <c r="H575" s="50" t="n">
        <v>4.1316</v>
      </c>
      <c r="I575" s="50" t="n">
        <v>5.4531</v>
      </c>
      <c r="J575" s="50" t="n">
        <v>8.9412</v>
      </c>
      <c r="K575" s="50" t="n">
        <v>5.0725</v>
      </c>
      <c r="L575" s="50" t="n">
        <v>1.1569</v>
      </c>
      <c r="M575" s="50" t="n">
        <v>0.56847</v>
      </c>
      <c r="N575" s="50" t="n">
        <v>11.0423</v>
      </c>
      <c r="O575" s="50" t="n">
        <v>2.3418</v>
      </c>
      <c r="R575" s="50" t="n">
        <v>211.69</v>
      </c>
      <c r="S575" s="50" t="n">
        <v>0.52802</v>
      </c>
      <c r="T575" s="50" t="n">
        <v>0.53916</v>
      </c>
      <c r="U575" s="50" t="n">
        <v>46.3904</v>
      </c>
      <c r="V575" s="50" t="n">
        <v>0.51549</v>
      </c>
      <c r="W575" s="50" t="n">
        <v>0.9115</v>
      </c>
      <c r="X575" s="50" t="n">
        <v>1.3037</v>
      </c>
      <c r="Y575" s="50" t="n">
        <v>1.4107</v>
      </c>
      <c r="Z575" s="50" t="n">
        <v>6.26921</v>
      </c>
      <c r="AA575" s="50" t="n">
        <v>2.517</v>
      </c>
      <c r="AB575" s="50" t="n">
        <v>4.578</v>
      </c>
    </row>
    <row r="576">
      <c r="A576" s="49" t="n">
        <v>46062</v>
      </c>
      <c r="B576" s="50" t="n">
        <v>6.9523</v>
      </c>
      <c r="C576" s="50" t="n">
        <v>8.204599999999999</v>
      </c>
      <c r="D576" s="50" t="n">
        <v>0.044125</v>
      </c>
      <c r="E576" s="50" t="n">
        <v>0.88969</v>
      </c>
      <c r="F576" s="50" t="n">
        <v>9.4343</v>
      </c>
      <c r="G576" s="50" t="n">
        <v>4.8748</v>
      </c>
      <c r="H576" s="50" t="n">
        <v>4.1756</v>
      </c>
      <c r="I576" s="50" t="n">
        <v>5.4615</v>
      </c>
      <c r="J576" s="50" t="n">
        <v>8.9361</v>
      </c>
      <c r="K576" s="50" t="n">
        <v>5.077</v>
      </c>
      <c r="L576" s="50" t="n">
        <v>1.1585</v>
      </c>
      <c r="M576" s="50" t="n">
        <v>0.56785</v>
      </c>
      <c r="N576" s="50" t="n">
        <v>11.1083</v>
      </c>
      <c r="O576" s="50" t="n">
        <v>2.3071</v>
      </c>
      <c r="R576" s="50" t="n">
        <v>210.92</v>
      </c>
      <c r="S576" s="50" t="n">
        <v>0.52942</v>
      </c>
      <c r="T576" s="50" t="n">
        <v>0.54056</v>
      </c>
      <c r="U576" s="50" t="n">
        <v>46.0406</v>
      </c>
      <c r="V576" s="50" t="n">
        <v>0.51396</v>
      </c>
      <c r="W576" s="50" t="n">
        <v>0.9106</v>
      </c>
      <c r="X576" s="50" t="n">
        <v>1.2982</v>
      </c>
      <c r="Y576" s="50" t="n">
        <v>1.3951</v>
      </c>
      <c r="Z576" s="50" t="n">
        <v>6.27756</v>
      </c>
      <c r="AA576" s="50" t="n">
        <v>2.4855</v>
      </c>
      <c r="AB576" s="50" t="n">
        <v>4.5464</v>
      </c>
    </row>
    <row r="577">
      <c r="A577" s="49" t="n">
        <v>46063</v>
      </c>
      <c r="B577" s="50" t="n">
        <v>6.9458</v>
      </c>
      <c r="C577" s="50" t="n">
        <v>8.251300000000001</v>
      </c>
      <c r="D577" s="50" t="n">
        <v>0.044389</v>
      </c>
      <c r="E577" s="50" t="n">
        <v>0.8888200000000001</v>
      </c>
      <c r="F577" s="50" t="n">
        <v>9.4795</v>
      </c>
      <c r="G577" s="50" t="n">
        <v>4.9055</v>
      </c>
      <c r="H577" s="50" t="n">
        <v>4.1877</v>
      </c>
      <c r="I577" s="50" t="n">
        <v>5.4762</v>
      </c>
      <c r="J577" s="50" t="n">
        <v>9.031599999999999</v>
      </c>
      <c r="K577" s="50" t="n">
        <v>5.1071</v>
      </c>
      <c r="L577" s="50" t="n">
        <v>1.1597</v>
      </c>
      <c r="M577" s="50" t="n">
        <v>0.56723</v>
      </c>
      <c r="N577" s="50" t="n">
        <v>11.1343</v>
      </c>
      <c r="O577" s="50" t="n">
        <v>2.2931</v>
      </c>
      <c r="R577" s="50" t="n">
        <v>210.67</v>
      </c>
      <c r="S577" s="50" t="n">
        <v>0.53025</v>
      </c>
      <c r="T577" s="50" t="n">
        <v>0.54148</v>
      </c>
      <c r="U577" s="50" t="n">
        <v>45.6225</v>
      </c>
      <c r="V577" s="50" t="n">
        <v>0.50969</v>
      </c>
      <c r="W577" s="50" t="n">
        <v>0.9056</v>
      </c>
      <c r="X577" s="50" t="n">
        <v>1.288</v>
      </c>
      <c r="Y577" s="50" t="n">
        <v>1.3829</v>
      </c>
      <c r="Z577" s="50" t="n">
        <v>6.29071</v>
      </c>
      <c r="AA577" s="50" t="n">
        <v>2.4807</v>
      </c>
      <c r="AB577" s="50" t="n">
        <v>4.5017</v>
      </c>
    </row>
    <row r="578">
      <c r="A578" s="49" t="n">
        <v>46064</v>
      </c>
      <c r="B578" s="50" t="n">
        <v>6.9438</v>
      </c>
      <c r="C578" s="50" t="n">
        <v>8.2392</v>
      </c>
      <c r="D578" s="50" t="n">
        <v>0.044836</v>
      </c>
      <c r="E578" s="50" t="n">
        <v>0.88825</v>
      </c>
      <c r="F578" s="50" t="n">
        <v>9.441800000000001</v>
      </c>
      <c r="G578" s="50" t="n">
        <v>4.8977</v>
      </c>
      <c r="H578" s="50" t="n">
        <v>4.1813</v>
      </c>
      <c r="I578" s="50" t="n">
        <v>5.4777</v>
      </c>
      <c r="J578" s="50" t="n">
        <v>9.0138</v>
      </c>
      <c r="K578" s="50" t="n">
        <v>5.1105</v>
      </c>
      <c r="L578" s="50" t="n">
        <v>1.1602</v>
      </c>
      <c r="M578" s="50" t="n">
        <v>0.56569</v>
      </c>
      <c r="N578" s="50" t="n">
        <v>11.1846</v>
      </c>
      <c r="O578" s="50" t="n">
        <v>2.3004</v>
      </c>
      <c r="R578" s="50" t="n">
        <v>210.47</v>
      </c>
      <c r="S578" s="50" t="n">
        <v>0.53028</v>
      </c>
      <c r="T578" s="50" t="n">
        <v>0.54156</v>
      </c>
      <c r="U578" s="50" t="n">
        <v>45.8609</v>
      </c>
      <c r="V578" s="50" t="n">
        <v>0.51181</v>
      </c>
      <c r="W578" s="50" t="n">
        <v>0.9068000000000001</v>
      </c>
      <c r="X578" s="50" t="n">
        <v>1.2833</v>
      </c>
      <c r="Y578" s="50" t="n">
        <v>1.3746</v>
      </c>
      <c r="Z578" s="50" t="n">
        <v>6.29639</v>
      </c>
      <c r="AA578" s="50" t="n">
        <v>2.479</v>
      </c>
      <c r="AB578" s="50" t="n">
        <v>4.5091</v>
      </c>
    </row>
    <row r="579">
      <c r="A579" s="49" t="n">
        <v>46065</v>
      </c>
      <c r="B579" s="50" t="n">
        <v>6.9457</v>
      </c>
      <c r="C579" s="50" t="n">
        <v>8.225300000000001</v>
      </c>
      <c r="D579" s="50" t="n">
        <v>0.045241</v>
      </c>
      <c r="E579" s="50" t="n">
        <v>0.88881</v>
      </c>
      <c r="F579" s="50" t="n">
        <v>9.4368</v>
      </c>
      <c r="G579" s="50" t="n">
        <v>4.9364</v>
      </c>
      <c r="H579" s="50" t="n">
        <v>4.188</v>
      </c>
      <c r="I579" s="50" t="n">
        <v>5.4905</v>
      </c>
      <c r="J579" s="50" t="n">
        <v>8.9846</v>
      </c>
      <c r="K579" s="50" t="n">
        <v>5.1029</v>
      </c>
      <c r="L579" s="50" t="n">
        <v>1.1594</v>
      </c>
      <c r="M579" s="50" t="n">
        <v>0.56459</v>
      </c>
      <c r="N579" s="50" t="n">
        <v>11.1584</v>
      </c>
      <c r="O579" s="50" t="n">
        <v>2.291</v>
      </c>
      <c r="R579" s="50" t="n">
        <v>209.24</v>
      </c>
      <c r="S579" s="50" t="n">
        <v>0.53029</v>
      </c>
      <c r="T579" s="50" t="n">
        <v>0.54151</v>
      </c>
      <c r="U579" s="50" t="n">
        <v>46.058</v>
      </c>
      <c r="V579" s="50" t="n">
        <v>0.51201</v>
      </c>
      <c r="W579" s="50" t="n">
        <v>0.9081</v>
      </c>
      <c r="X579" s="50" t="n">
        <v>1.2841</v>
      </c>
      <c r="Y579" s="50" t="n">
        <v>1.3694</v>
      </c>
      <c r="Z579" s="50" t="n">
        <v>6.29827</v>
      </c>
      <c r="AA579" s="50" t="n">
        <v>2.4784</v>
      </c>
      <c r="AB579" s="50" t="n">
        <v>4.4892</v>
      </c>
    </row>
    <row r="580">
      <c r="A580" s="49" t="n">
        <v>46066</v>
      </c>
      <c r="B580" s="50" t="n">
        <v>6.9398</v>
      </c>
      <c r="C580" s="50" t="n">
        <v>8.2195</v>
      </c>
      <c r="D580" s="50" t="n">
        <v>0.045304</v>
      </c>
      <c r="E580" s="50" t="n">
        <v>0.88787</v>
      </c>
      <c r="F580" s="50" t="n">
        <v>9.4245</v>
      </c>
      <c r="G580" s="50" t="n">
        <v>4.9048</v>
      </c>
      <c r="H580" s="50" t="n">
        <v>4.1709</v>
      </c>
      <c r="I580" s="50" t="n">
        <v>5.4851</v>
      </c>
      <c r="J580" s="50" t="n">
        <v>8.9993</v>
      </c>
      <c r="K580" s="50" t="n">
        <v>5.0865</v>
      </c>
      <c r="L580" s="50" t="n">
        <v>1.1607</v>
      </c>
      <c r="M580" s="50" t="n">
        <v>0.56336</v>
      </c>
      <c r="N580" s="50" t="n">
        <v>11.1826</v>
      </c>
      <c r="O580" s="50" t="n">
        <v>2.3036</v>
      </c>
      <c r="R580" s="50" t="n">
        <v>208.56</v>
      </c>
      <c r="S580" s="50" t="n">
        <v>0.53057</v>
      </c>
      <c r="T580" s="50" t="n">
        <v>0.54177</v>
      </c>
      <c r="U580" s="50" t="n">
        <v>46.0517</v>
      </c>
      <c r="V580" s="50" t="n">
        <v>0.51213</v>
      </c>
      <c r="W580" s="50" t="n">
        <v>0.9088000000000001</v>
      </c>
      <c r="X580" s="50" t="n">
        <v>1.2898</v>
      </c>
      <c r="Y580" s="50" t="n">
        <v>1.3778</v>
      </c>
      <c r="Z580" s="50" t="n">
        <v>6.3134</v>
      </c>
      <c r="AA580" s="50" t="n">
        <v>2.4832</v>
      </c>
      <c r="AB580" s="50" t="n">
        <v>4.4916</v>
      </c>
    </row>
    <row r="581">
      <c r="A581" s="49" t="n">
        <v>46077</v>
      </c>
      <c r="B581" s="50" t="n">
        <v>6.9414</v>
      </c>
      <c r="C581" s="50" t="n">
        <v>8.173</v>
      </c>
      <c r="D581" s="50" t="n">
        <v>0.044846</v>
      </c>
      <c r="E581" s="50" t="n">
        <v>0.88773</v>
      </c>
      <c r="F581" s="50" t="n">
        <v>9.351900000000001</v>
      </c>
      <c r="G581" s="50" t="n">
        <v>4.8902</v>
      </c>
      <c r="H581" s="50" t="n">
        <v>4.1271</v>
      </c>
      <c r="I581" s="50" t="n">
        <v>5.4715</v>
      </c>
      <c r="J581" s="50" t="n">
        <v>8.950200000000001</v>
      </c>
      <c r="K581" s="50" t="n">
        <v>5.0601</v>
      </c>
      <c r="L581" s="50" t="n">
        <v>1.1608</v>
      </c>
      <c r="M581" s="50" t="n">
        <v>0.5613899999999999</v>
      </c>
      <c r="N581" s="50" t="n">
        <v>11.1262</v>
      </c>
      <c r="O581" s="50" t="n">
        <v>2.3087</v>
      </c>
      <c r="R581" s="50" t="n">
        <v>208.75</v>
      </c>
      <c r="S581" s="50" t="n">
        <v>0.52989</v>
      </c>
      <c r="T581" s="50" t="n">
        <v>0.54123</v>
      </c>
      <c r="U581" s="50" t="n">
        <v>46.3776</v>
      </c>
      <c r="V581" s="50" t="n">
        <v>0.51605</v>
      </c>
      <c r="W581" s="50" t="n">
        <v>0.9143</v>
      </c>
      <c r="X581" s="50" t="n">
        <v>1.3082</v>
      </c>
      <c r="Y581" s="50" t="n">
        <v>1.381</v>
      </c>
      <c r="Z581" s="50" t="n">
        <v>6.32406</v>
      </c>
      <c r="AA581" s="50" t="n">
        <v>2.4893</v>
      </c>
      <c r="AB581" s="50" t="n">
        <v>4.4751</v>
      </c>
    </row>
    <row r="582">
      <c r="A582" s="49" t="n">
        <v>46078</v>
      </c>
      <c r="B582" s="50" t="n">
        <v>6.9321</v>
      </c>
      <c r="C582" s="50" t="n">
        <v>8.135199999999999</v>
      </c>
      <c r="D582" s="50" t="n">
        <v>0.044388</v>
      </c>
      <c r="E582" s="50" t="n">
        <v>0.88611</v>
      </c>
      <c r="F582" s="50" t="n">
        <v>9.317500000000001</v>
      </c>
      <c r="G582" s="50" t="n">
        <v>4.8733</v>
      </c>
      <c r="H582" s="50" t="n">
        <v>4.113</v>
      </c>
      <c r="I582" s="50" t="n">
        <v>5.455</v>
      </c>
      <c r="J582" s="50" t="n">
        <v>8.9237</v>
      </c>
      <c r="K582" s="50" t="n">
        <v>5.0387</v>
      </c>
      <c r="L582" s="50" t="n">
        <v>1.163</v>
      </c>
      <c r="M582" s="50" t="n">
        <v>0.56323</v>
      </c>
      <c r="N582" s="50" t="n">
        <v>11.126</v>
      </c>
      <c r="O582" s="50" t="n">
        <v>2.3094</v>
      </c>
      <c r="R582" s="50" t="n">
        <v>209.03</v>
      </c>
      <c r="S582" s="50" t="n">
        <v>0.5318000000000001</v>
      </c>
      <c r="T582" s="50" t="n">
        <v>0.54317</v>
      </c>
      <c r="U582" s="50" t="n">
        <v>46.4486</v>
      </c>
      <c r="V582" s="50" t="n">
        <v>0.51755</v>
      </c>
      <c r="W582" s="50" t="n">
        <v>0.9187</v>
      </c>
      <c r="X582" s="50" t="n">
        <v>1.31</v>
      </c>
      <c r="Y582" s="50" t="n">
        <v>1.3859</v>
      </c>
      <c r="Z582" s="50" t="n">
        <v>6.34527</v>
      </c>
      <c r="AA582" s="50" t="n">
        <v>2.4812</v>
      </c>
      <c r="AB582" s="50" t="n">
        <v>4.5054</v>
      </c>
    </row>
    <row r="583">
      <c r="A583" s="49" t="n">
        <v>46079</v>
      </c>
      <c r="B583" s="50" t="n">
        <v>6.9228</v>
      </c>
      <c r="C583" s="50" t="n">
        <v>8.1462</v>
      </c>
      <c r="D583" s="50" t="n">
        <v>0.044208</v>
      </c>
      <c r="E583" s="50" t="n">
        <v>0.88557</v>
      </c>
      <c r="F583" s="50" t="n">
        <v>9.3391</v>
      </c>
      <c r="G583" s="50" t="n">
        <v>4.9024</v>
      </c>
      <c r="H583" s="50" t="n">
        <v>4.1268</v>
      </c>
      <c r="I583" s="50" t="n">
        <v>5.4618</v>
      </c>
      <c r="J583" s="50" t="n">
        <v>8.921099999999999</v>
      </c>
      <c r="K583" s="50" t="n">
        <v>5.0382</v>
      </c>
      <c r="L583" s="50" t="n">
        <v>1.1637</v>
      </c>
      <c r="M583" s="50" t="n">
        <v>0.56308</v>
      </c>
      <c r="N583" s="50" t="n">
        <v>11.2045</v>
      </c>
      <c r="O583" s="50" t="n">
        <v>2.2975</v>
      </c>
      <c r="R583" s="50" t="n">
        <v>207.37</v>
      </c>
      <c r="S583" s="50" t="n">
        <v>0.53307</v>
      </c>
      <c r="T583" s="50" t="n">
        <v>0.5444099999999999</v>
      </c>
      <c r="U583" s="50" t="n">
        <v>45.9816</v>
      </c>
      <c r="V583" s="50" t="n">
        <v>0.5169</v>
      </c>
      <c r="W583" s="50" t="n">
        <v>0.9174</v>
      </c>
      <c r="X583" s="50" t="n">
        <v>1.3085</v>
      </c>
      <c r="Y583" s="50" t="n">
        <v>1.3864</v>
      </c>
      <c r="Z583" s="50" t="n">
        <v>6.3608</v>
      </c>
      <c r="AA583" s="50" t="n">
        <v>2.4838</v>
      </c>
      <c r="AB583" s="50" t="n">
        <v>4.5165</v>
      </c>
    </row>
    <row r="584">
      <c r="A584" s="49" t="n">
        <v>46080</v>
      </c>
      <c r="B584" s="50" t="n">
        <v>6.9228</v>
      </c>
      <c r="C584" s="50" t="n">
        <v>8.120799999999999</v>
      </c>
      <c r="D584" s="50" t="n">
        <v>0.044216</v>
      </c>
      <c r="E584" s="50" t="n">
        <v>0.88484</v>
      </c>
      <c r="F584" s="50" t="n">
        <v>9.270899999999999</v>
      </c>
      <c r="G584" s="50" t="n">
        <v>4.8776</v>
      </c>
      <c r="H584" s="50" t="n">
        <v>4.1018</v>
      </c>
      <c r="I584" s="50" t="n">
        <v>5.4488</v>
      </c>
      <c r="J584" s="50" t="n">
        <v>8.8912</v>
      </c>
      <c r="K584" s="50" t="n">
        <v>5.0266</v>
      </c>
      <c r="L584" s="50" t="n">
        <v>1.1646</v>
      </c>
      <c r="M584" s="50" t="n">
        <v>0.56393</v>
      </c>
      <c r="N584" s="50" t="n">
        <v>11.2292</v>
      </c>
      <c r="O584" s="50" t="n">
        <v>2.3124</v>
      </c>
      <c r="R584" s="50" t="n">
        <v>208.9</v>
      </c>
      <c r="S584" s="50" t="n">
        <v>0.53411</v>
      </c>
      <c r="T584" s="50" t="n">
        <v>0.54539</v>
      </c>
      <c r="U584" s="50" t="n">
        <v>46.203</v>
      </c>
      <c r="V584" s="50" t="n">
        <v>0.51899</v>
      </c>
      <c r="W584" s="50" t="n">
        <v>0.9203</v>
      </c>
      <c r="X584" s="50" t="n">
        <v>1.3165</v>
      </c>
      <c r="Y584" s="50" t="n">
        <v>1.3902</v>
      </c>
      <c r="Z584" s="50" t="n">
        <v>6.38455</v>
      </c>
      <c r="AA584" s="50" t="n">
        <v>2.4927</v>
      </c>
      <c r="AB584" s="50" t="n">
        <v>4.5271</v>
      </c>
    </row>
    <row r="585">
      <c r="A585" s="49" t="n">
        <v>46083</v>
      </c>
      <c r="B585" s="50" t="n">
        <v>6.9236</v>
      </c>
      <c r="C585" s="50" t="n">
        <v>8.1135</v>
      </c>
      <c r="D585" s="50" t="n">
        <v>0.044123</v>
      </c>
      <c r="E585" s="50" t="n">
        <v>0.88518</v>
      </c>
      <c r="F585" s="50" t="n">
        <v>9.2493</v>
      </c>
      <c r="G585" s="50" t="n">
        <v>4.8724</v>
      </c>
      <c r="H585" s="50" t="n">
        <v>4.1114</v>
      </c>
      <c r="I585" s="50" t="n">
        <v>5.4378</v>
      </c>
      <c r="J585" s="50" t="n">
        <v>8.970000000000001</v>
      </c>
      <c r="K585" s="50" t="n">
        <v>5.0439</v>
      </c>
      <c r="L585" s="50" t="n">
        <v>1.1645</v>
      </c>
      <c r="M585" s="50" t="n">
        <v>0.56538</v>
      </c>
      <c r="N585" s="50" t="n">
        <v>11.222</v>
      </c>
      <c r="O585" s="50" t="n">
        <v>2.3287</v>
      </c>
      <c r="R585" s="50" t="n">
        <v>210.05</v>
      </c>
      <c r="S585" s="50" t="n">
        <v>0.53283</v>
      </c>
      <c r="T585" s="50" t="n">
        <v>0.54418</v>
      </c>
      <c r="U585" s="50" t="n">
        <v>46.5962</v>
      </c>
      <c r="V585" s="50" t="n">
        <v>0.52035</v>
      </c>
      <c r="W585" s="50" t="n">
        <v>0.9207</v>
      </c>
      <c r="X585" s="50" t="n">
        <v>1.3161</v>
      </c>
      <c r="Y585" s="50" t="n">
        <v>1.3796</v>
      </c>
      <c r="Z585" s="50" t="n">
        <v>6.37217</v>
      </c>
      <c r="AA585" s="50" t="n">
        <v>2.5063</v>
      </c>
      <c r="AB585" s="50" t="n">
        <v>4.5292</v>
      </c>
    </row>
    <row r="586">
      <c r="A586" s="49" t="n">
        <v>46084</v>
      </c>
      <c r="B586" s="50" t="n">
        <v>6.9088</v>
      </c>
      <c r="C586" s="50" t="n">
        <v>8.0732</v>
      </c>
      <c r="D586" s="50" t="n">
        <v>0.043969</v>
      </c>
      <c r="E586" s="50" t="n">
        <v>0.88327</v>
      </c>
      <c r="F586" s="50" t="n">
        <v>9.2584</v>
      </c>
      <c r="G586" s="50" t="n">
        <v>4.9025</v>
      </c>
      <c r="H586" s="50" t="n">
        <v>4.1034</v>
      </c>
      <c r="I586" s="50" t="n">
        <v>5.4251</v>
      </c>
      <c r="J586" s="50" t="n">
        <v>8.8691</v>
      </c>
      <c r="K586" s="50" t="n">
        <v>5.0472</v>
      </c>
      <c r="L586" s="50" t="n">
        <v>1.1667</v>
      </c>
      <c r="M586" s="50" t="n">
        <v>0.5682</v>
      </c>
      <c r="N586" s="50" t="n">
        <v>11.2341</v>
      </c>
      <c r="O586" s="50" t="n">
        <v>2.3285</v>
      </c>
      <c r="R586" s="50" t="n">
        <v>210.91</v>
      </c>
      <c r="S586" s="50" t="n">
        <v>0.53223</v>
      </c>
      <c r="T586" s="50" t="n">
        <v>0.54384</v>
      </c>
      <c r="U586" s="50" t="n">
        <v>47.0142</v>
      </c>
      <c r="V586" s="50" t="n">
        <v>0.52419</v>
      </c>
      <c r="W586" s="50" t="n">
        <v>0.9253</v>
      </c>
      <c r="X586" s="50" t="n">
        <v>1.327</v>
      </c>
      <c r="Y586" s="50" t="n">
        <v>1.3871</v>
      </c>
      <c r="Z586" s="50" t="n">
        <v>6.36737</v>
      </c>
      <c r="AA586" s="50" t="n">
        <v>2.5036</v>
      </c>
      <c r="AB586" s="50" t="n">
        <v>4.5491</v>
      </c>
    </row>
    <row r="587">
      <c r="A587" s="49" t="n">
        <v>46085</v>
      </c>
      <c r="B587" s="50" t="n">
        <v>6.9124</v>
      </c>
      <c r="C587" s="50" t="n">
        <v>8.0214</v>
      </c>
      <c r="D587" s="50" t="n">
        <v>0.043831</v>
      </c>
      <c r="E587" s="50" t="n">
        <v>0.88574</v>
      </c>
      <c r="F587" s="50" t="n">
        <v>9.229200000000001</v>
      </c>
      <c r="G587" s="50" t="n">
        <v>4.8638</v>
      </c>
      <c r="H587" s="50" t="n">
        <v>4.0696</v>
      </c>
      <c r="I587" s="50" t="n">
        <v>5.4111</v>
      </c>
      <c r="J587" s="50" t="n">
        <v>8.837199999999999</v>
      </c>
      <c r="K587" s="50" t="n">
        <v>5.0529</v>
      </c>
      <c r="L587" s="50" t="n">
        <v>1.1634</v>
      </c>
      <c r="M587" s="50" t="n">
        <v>0.57087</v>
      </c>
      <c r="N587" s="50" t="n">
        <v>11.2286</v>
      </c>
      <c r="O587" s="50" t="n">
        <v>2.3885</v>
      </c>
      <c r="R587" s="50" t="n">
        <v>214.6</v>
      </c>
      <c r="S587" s="50" t="n">
        <v>0.53156</v>
      </c>
      <c r="T587" s="50" t="n">
        <v>0.54313</v>
      </c>
      <c r="U587" s="50" t="n">
        <v>48.183</v>
      </c>
      <c r="V587" s="50" t="n">
        <v>0.53473</v>
      </c>
      <c r="W587" s="50" t="n">
        <v>0.931</v>
      </c>
      <c r="X587" s="50" t="n">
        <v>1.3398</v>
      </c>
      <c r="Y587" s="50" t="n">
        <v>1.3982</v>
      </c>
      <c r="Z587" s="50" t="n">
        <v>6.3613</v>
      </c>
      <c r="AA587" s="50" t="n">
        <v>2.5577</v>
      </c>
      <c r="AB587" s="50" t="n">
        <v>4.5688</v>
      </c>
    </row>
    <row r="588">
      <c r="A588" s="49" t="n">
        <v>46086</v>
      </c>
      <c r="B588" s="50" t="n">
        <v>6.9007</v>
      </c>
      <c r="C588" s="50" t="n">
        <v>8.036199999999999</v>
      </c>
      <c r="D588" s="50" t="n">
        <v>0.043985</v>
      </c>
      <c r="E588" s="50" t="n">
        <v>0.88259</v>
      </c>
      <c r="F588" s="50" t="n">
        <v>9.2309</v>
      </c>
      <c r="G588" s="50" t="n">
        <v>4.8855</v>
      </c>
      <c r="H588" s="50" t="n">
        <v>4.1001</v>
      </c>
      <c r="I588" s="50" t="n">
        <v>5.4159</v>
      </c>
      <c r="J588" s="50" t="n">
        <v>8.861800000000001</v>
      </c>
      <c r="K588" s="50" t="n">
        <v>5.0605</v>
      </c>
      <c r="L588" s="50" t="n">
        <v>1.1676</v>
      </c>
      <c r="M588" s="50" t="n">
        <v>0.5704900000000001</v>
      </c>
      <c r="N588" s="50" t="n">
        <v>11.2776</v>
      </c>
      <c r="O588" s="50" t="n">
        <v>2.3668</v>
      </c>
      <c r="R588" s="50" t="n">
        <v>211.9</v>
      </c>
      <c r="S588" s="50" t="n">
        <v>0.53209</v>
      </c>
      <c r="T588" s="50" t="n">
        <v>0.54375</v>
      </c>
      <c r="U588" s="50" t="n">
        <v>47.8509</v>
      </c>
      <c r="V588" s="50" t="n">
        <v>0.53104</v>
      </c>
      <c r="W588" s="50" t="n">
        <v>0.93</v>
      </c>
      <c r="X588" s="50" t="n">
        <v>1.3286</v>
      </c>
      <c r="Y588" s="50" t="n">
        <v>1.3948</v>
      </c>
      <c r="Z588" s="50" t="n">
        <v>6.37</v>
      </c>
      <c r="AA588" s="50" t="n">
        <v>2.5474</v>
      </c>
      <c r="AB588" s="50" t="n">
        <v>4.5754</v>
      </c>
    </row>
    <row r="589">
      <c r="A589" s="49" t="n">
        <v>46087</v>
      </c>
      <c r="B589" s="50" t="n">
        <v>6.9025</v>
      </c>
      <c r="C589" s="50" t="n">
        <v>8.013199999999999</v>
      </c>
      <c r="D589" s="50" t="n">
        <v>0.043814</v>
      </c>
      <c r="E589" s="50" t="n">
        <v>0.88253</v>
      </c>
      <c r="F589" s="50" t="n">
        <v>9.219799999999999</v>
      </c>
      <c r="G589" s="50" t="n">
        <v>4.8415</v>
      </c>
      <c r="H589" s="50" t="n">
        <v>4.0721</v>
      </c>
      <c r="I589" s="50" t="n">
        <v>5.3907</v>
      </c>
      <c r="J589" s="50" t="n">
        <v>8.8414</v>
      </c>
      <c r="K589" s="50" t="n">
        <v>5.0494</v>
      </c>
      <c r="L589" s="50" t="n">
        <v>1.1677</v>
      </c>
      <c r="M589" s="50" t="n">
        <v>0.57147</v>
      </c>
      <c r="N589" s="50" t="n">
        <v>11.3929</v>
      </c>
      <c r="O589" s="50" t="n">
        <v>2.4129</v>
      </c>
      <c r="R589" s="50" t="n">
        <v>214.51</v>
      </c>
      <c r="S589" s="50" t="n">
        <v>0.53207</v>
      </c>
      <c r="T589" s="50" t="n">
        <v>0.5437</v>
      </c>
      <c r="U589" s="50" t="n">
        <v>48.3737</v>
      </c>
      <c r="V589" s="50" t="n">
        <v>0.5336</v>
      </c>
      <c r="W589" s="50" t="n">
        <v>0.9324</v>
      </c>
      <c r="X589" s="50" t="n">
        <v>1.3364</v>
      </c>
      <c r="Y589" s="50" t="n">
        <v>1.4018</v>
      </c>
      <c r="Z589" s="50" t="n">
        <v>6.38063</v>
      </c>
      <c r="AA589" s="50" t="n">
        <v>2.565</v>
      </c>
      <c r="AB589" s="50" t="n">
        <v>4.5967</v>
      </c>
    </row>
    <row r="590">
      <c r="A590" s="49" t="n">
        <v>46090</v>
      </c>
      <c r="B590" s="50" t="n">
        <v>6.9158</v>
      </c>
      <c r="C590" s="50" t="n">
        <v>7.9679</v>
      </c>
      <c r="D590" s="50" t="n">
        <v>0.043653</v>
      </c>
      <c r="E590" s="50" t="n">
        <v>0.88505</v>
      </c>
      <c r="F590" s="50" t="n">
        <v>9.202999999999999</v>
      </c>
      <c r="G590" s="50" t="n">
        <v>4.8208</v>
      </c>
      <c r="H590" s="50" t="n">
        <v>4.0499</v>
      </c>
      <c r="I590" s="50" t="n">
        <v>5.3849</v>
      </c>
      <c r="J590" s="50" t="n">
        <v>8.8527</v>
      </c>
      <c r="K590" s="50" t="n">
        <v>5.0827</v>
      </c>
      <c r="L590" s="50" t="n">
        <v>1.1644</v>
      </c>
      <c r="M590" s="50" t="n">
        <v>0.57341</v>
      </c>
      <c r="N590" s="50" t="n">
        <v>11.4167</v>
      </c>
      <c r="O590" s="50" t="n">
        <v>2.4323</v>
      </c>
      <c r="R590" s="50" t="n">
        <v>215.72</v>
      </c>
      <c r="S590" s="50" t="n">
        <v>0.53145</v>
      </c>
      <c r="T590" s="50" t="n">
        <v>0.5431</v>
      </c>
      <c r="U590" s="50" t="n">
        <v>49.594</v>
      </c>
      <c r="V590" s="50" t="n">
        <v>0.53954</v>
      </c>
      <c r="W590" s="50" t="n">
        <v>0.9373</v>
      </c>
      <c r="X590" s="50" t="n">
        <v>1.3403</v>
      </c>
      <c r="Y590" s="50" t="n">
        <v>1.3936</v>
      </c>
      <c r="Z590" s="50" t="n">
        <v>6.37897</v>
      </c>
      <c r="AA590" s="50" t="n">
        <v>2.6044</v>
      </c>
      <c r="AB590" s="50" t="n">
        <v>4.6319</v>
      </c>
    </row>
    <row r="591">
      <c r="A591" s="49" t="n">
        <v>46091</v>
      </c>
      <c r="B591" s="50" t="n">
        <v>6.8982</v>
      </c>
      <c r="C591" s="50" t="n">
        <v>8.0198</v>
      </c>
      <c r="D591" s="50" t="n">
        <v>0.043717</v>
      </c>
      <c r="E591" s="50" t="n">
        <v>0.88196</v>
      </c>
      <c r="F591" s="50" t="n">
        <v>9.2658</v>
      </c>
      <c r="G591" s="50" t="n">
        <v>4.8765</v>
      </c>
      <c r="H591" s="50" t="n">
        <v>4.0869</v>
      </c>
      <c r="I591" s="50" t="n">
        <v>5.4137</v>
      </c>
      <c r="J591" s="50" t="n">
        <v>8.8726</v>
      </c>
      <c r="K591" s="50" t="n">
        <v>5.0785</v>
      </c>
      <c r="L591" s="50" t="n">
        <v>1.1684</v>
      </c>
      <c r="M591" s="50" t="n">
        <v>0.57354</v>
      </c>
      <c r="N591" s="50" t="n">
        <v>11.3514</v>
      </c>
      <c r="O591" s="50" t="n">
        <v>2.367</v>
      </c>
      <c r="R591" s="50" t="n">
        <v>213.09</v>
      </c>
      <c r="S591" s="50" t="n">
        <v>0.53256</v>
      </c>
      <c r="T591" s="50" t="n">
        <v>0.54438</v>
      </c>
      <c r="U591" s="50" t="n">
        <v>48.3256</v>
      </c>
      <c r="V591" s="50" t="n">
        <v>0.52982</v>
      </c>
      <c r="W591" s="50" t="n">
        <v>0.9321</v>
      </c>
      <c r="X591" s="50" t="n">
        <v>1.3253</v>
      </c>
      <c r="Y591" s="50" t="n">
        <v>1.3914</v>
      </c>
      <c r="Z591" s="50" t="n">
        <v>6.39263</v>
      </c>
      <c r="AA591" s="50" t="n">
        <v>2.5611</v>
      </c>
      <c r="AB591" s="50" t="n">
        <v>4.598</v>
      </c>
    </row>
    <row r="592">
      <c r="A592" s="49" t="n">
        <v>46092</v>
      </c>
      <c r="B592" s="50" t="n">
        <v>6.8917</v>
      </c>
      <c r="C592" s="50" t="n">
        <v>7.9986</v>
      </c>
      <c r="D592" s="50" t="n">
        <v>0.043575</v>
      </c>
      <c r="E592" s="50" t="n">
        <v>0.88075</v>
      </c>
      <c r="F592" s="50" t="n">
        <v>9.2432</v>
      </c>
      <c r="G592" s="50" t="n">
        <v>4.9036</v>
      </c>
      <c r="H592" s="50" t="n">
        <v>4.0789</v>
      </c>
      <c r="I592" s="50" t="n">
        <v>5.4091</v>
      </c>
      <c r="J592" s="50" t="n">
        <v>8.8476</v>
      </c>
      <c r="K592" s="50" t="n">
        <v>5.0684</v>
      </c>
      <c r="L592" s="50" t="n">
        <v>1.1703</v>
      </c>
      <c r="M592" s="50" t="n">
        <v>0.56915</v>
      </c>
      <c r="N592" s="50" t="n">
        <v>11.4781</v>
      </c>
      <c r="O592" s="50" t="n">
        <v>2.3647</v>
      </c>
      <c r="R592" s="50" t="n">
        <v>213.27</v>
      </c>
      <c r="S592" s="50" t="n">
        <v>0.53318</v>
      </c>
      <c r="T592" s="50" t="n">
        <v>0.54481</v>
      </c>
      <c r="U592" s="50" t="n">
        <v>48.3338</v>
      </c>
      <c r="V592" s="50" t="n">
        <v>0.53283</v>
      </c>
      <c r="W592" s="50" t="n">
        <v>0.9345</v>
      </c>
      <c r="X592" s="50" t="n">
        <v>1.332</v>
      </c>
      <c r="Y592" s="50" t="n">
        <v>1.3997</v>
      </c>
      <c r="Z592" s="50" t="n">
        <v>6.39932</v>
      </c>
      <c r="AA592" s="50" t="n">
        <v>2.5528</v>
      </c>
      <c r="AB592" s="50" t="n">
        <v>4.5903</v>
      </c>
    </row>
    <row r="593">
      <c r="A593" s="49" t="n">
        <v>46093</v>
      </c>
      <c r="B593" s="50" t="n">
        <v>6.8959</v>
      </c>
      <c r="C593" s="50" t="n">
        <v>7.9568</v>
      </c>
      <c r="D593" s="50" t="n">
        <v>0.043339</v>
      </c>
      <c r="E593" s="50" t="n">
        <v>0.88128</v>
      </c>
      <c r="F593" s="50" t="n">
        <v>9.2225</v>
      </c>
      <c r="G593" s="50" t="n">
        <v>4.9158</v>
      </c>
      <c r="H593" s="50" t="n">
        <v>4.0663</v>
      </c>
      <c r="I593" s="50" t="n">
        <v>5.4021</v>
      </c>
      <c r="J593" s="50" t="n">
        <v>8.8163</v>
      </c>
      <c r="K593" s="50" t="n">
        <v>5.0655</v>
      </c>
      <c r="L593" s="50" t="n">
        <v>1.1693</v>
      </c>
      <c r="M593" s="50" t="n">
        <v>0.56911</v>
      </c>
      <c r="N593" s="50" t="n">
        <v>11.5004</v>
      </c>
      <c r="O593" s="50" t="n">
        <v>2.4016</v>
      </c>
      <c r="R593" s="50" t="n">
        <v>214.63</v>
      </c>
      <c r="S593" s="50" t="n">
        <v>0.5331</v>
      </c>
      <c r="T593" s="50" t="n">
        <v>0.54466</v>
      </c>
      <c r="U593" s="50" t="n">
        <v>48.7241</v>
      </c>
      <c r="V593" s="50" t="n">
        <v>0.53399</v>
      </c>
      <c r="W593" s="50" t="n">
        <v>0.9389999999999999</v>
      </c>
      <c r="X593" s="50" t="n">
        <v>1.3419</v>
      </c>
      <c r="Y593" s="50" t="n">
        <v>1.4017</v>
      </c>
      <c r="Z593" s="50" t="n">
        <v>6.39958</v>
      </c>
      <c r="AA593" s="50" t="n">
        <v>2.5733</v>
      </c>
      <c r="AB593" s="50" t="n">
        <v>4.6375</v>
      </c>
    </row>
    <row r="594">
      <c r="A594" s="49" t="n">
        <v>46094</v>
      </c>
      <c r="B594" s="50" t="n">
        <v>6.9007</v>
      </c>
      <c r="C594" s="50" t="n">
        <v>7.9402</v>
      </c>
      <c r="D594" s="50" t="n">
        <v>0.043284</v>
      </c>
      <c r="E594" s="50" t="n">
        <v>0.88163</v>
      </c>
      <c r="F594" s="50" t="n">
        <v>9.202199999999999</v>
      </c>
      <c r="G594" s="50" t="n">
        <v>4.8788</v>
      </c>
      <c r="H594" s="50" t="n">
        <v>4.0327</v>
      </c>
      <c r="I594" s="50" t="n">
        <v>5.3901</v>
      </c>
      <c r="J594" s="50" t="n">
        <v>8.7736</v>
      </c>
      <c r="K594" s="50" t="n">
        <v>5.0544</v>
      </c>
      <c r="L594" s="50" t="n">
        <v>1.1683</v>
      </c>
      <c r="M594" s="50" t="n">
        <v>0.56979</v>
      </c>
      <c r="N594" s="50" t="n">
        <v>11.5506</v>
      </c>
      <c r="O594" s="50" t="n">
        <v>2.4317</v>
      </c>
      <c r="R594" s="50" t="n">
        <v>216.06</v>
      </c>
      <c r="S594" s="50" t="n">
        <v>0.53289</v>
      </c>
      <c r="T594" s="50" t="n">
        <v>0.54445</v>
      </c>
      <c r="U594" s="50" t="n">
        <v>49.3333</v>
      </c>
      <c r="V594" s="50" t="n">
        <v>0.53769</v>
      </c>
      <c r="W594" s="50" t="n">
        <v>0.9411</v>
      </c>
      <c r="X594" s="50" t="n">
        <v>1.3566</v>
      </c>
      <c r="Y594" s="50" t="n">
        <v>1.407</v>
      </c>
      <c r="Z594" s="50" t="n">
        <v>6.41076</v>
      </c>
      <c r="AA594" s="50" t="n">
        <v>2.5865</v>
      </c>
      <c r="AB594" s="50" t="n">
        <v>4.6677</v>
      </c>
    </row>
    <row r="595">
      <c r="A595" s="49" t="n">
        <v>46097</v>
      </c>
      <c r="B595" s="50" t="n">
        <v>6.9057</v>
      </c>
      <c r="C595" s="50" t="n">
        <v>7.896</v>
      </c>
      <c r="D595" s="50" t="n">
        <v>0.043276</v>
      </c>
      <c r="E595" s="50" t="n">
        <v>0.88217</v>
      </c>
      <c r="F595" s="50" t="n">
        <v>9.1449</v>
      </c>
      <c r="G595" s="50" t="n">
        <v>4.8337</v>
      </c>
      <c r="H595" s="50" t="n">
        <v>4.0002</v>
      </c>
      <c r="I595" s="50" t="n">
        <v>5.3826</v>
      </c>
      <c r="J595" s="50" t="n">
        <v>8.737399999999999</v>
      </c>
      <c r="K595" s="50" t="n">
        <v>5.0356</v>
      </c>
      <c r="L595" s="50" t="n">
        <v>1.1681</v>
      </c>
      <c r="M595" s="50" t="n">
        <v>0.57017</v>
      </c>
      <c r="N595" s="50" t="n">
        <v>11.6084</v>
      </c>
      <c r="O595" s="50" t="n">
        <v>2.4461</v>
      </c>
      <c r="R595" s="50" t="n">
        <v>216.77</v>
      </c>
      <c r="S595" s="50" t="n">
        <v>0.5319700000000001</v>
      </c>
      <c r="T595" s="50" t="n">
        <v>0.54352</v>
      </c>
      <c r="U595" s="50" t="n">
        <v>49.7624</v>
      </c>
      <c r="V595" s="50" t="n">
        <v>0.54127</v>
      </c>
      <c r="W595" s="50" t="n">
        <v>0.9466</v>
      </c>
      <c r="X595" s="50" t="n">
        <v>1.3688</v>
      </c>
      <c r="Y595" s="50" t="n">
        <v>1.4152</v>
      </c>
      <c r="Z595" s="50" t="n">
        <v>6.40071</v>
      </c>
      <c r="AA595" s="50" t="n">
        <v>2.5892</v>
      </c>
      <c r="AB595" s="50" t="n">
        <v>4.6998</v>
      </c>
    </row>
    <row r="596">
      <c r="A596" s="49" t="n">
        <v>46098</v>
      </c>
      <c r="B596" s="50" t="n">
        <v>6.8961</v>
      </c>
      <c r="C596" s="50" t="n">
        <v>7.9238</v>
      </c>
      <c r="D596" s="50" t="n">
        <v>0.043293</v>
      </c>
      <c r="E596" s="50" t="n">
        <v>0.88073</v>
      </c>
      <c r="F596" s="50" t="n">
        <v>9.172499999999999</v>
      </c>
      <c r="G596" s="50" t="n">
        <v>4.8668</v>
      </c>
      <c r="H596" s="50" t="n">
        <v>4.0299</v>
      </c>
      <c r="I596" s="50" t="n">
        <v>5.3922</v>
      </c>
      <c r="J596" s="50" t="n">
        <v>8.7431</v>
      </c>
      <c r="K596" s="50" t="n">
        <v>5.0339</v>
      </c>
      <c r="L596" s="50" t="n">
        <v>1.1701</v>
      </c>
      <c r="M596" s="50" t="n">
        <v>0.5694399999999999</v>
      </c>
      <c r="N596" s="50" t="n">
        <v>11.8019</v>
      </c>
      <c r="O596" s="50" t="n">
        <v>2.4229</v>
      </c>
      <c r="R596" s="50" t="n">
        <v>216.48</v>
      </c>
      <c r="S596" s="50" t="n">
        <v>0.5329199999999999</v>
      </c>
      <c r="T596" s="50" t="n">
        <v>0.54451</v>
      </c>
      <c r="U596" s="50" t="n">
        <v>49.2956</v>
      </c>
      <c r="V596" s="50" t="n">
        <v>0.53835</v>
      </c>
      <c r="W596" s="50" t="n">
        <v>0.9434</v>
      </c>
      <c r="X596" s="50" t="n">
        <v>1.3566</v>
      </c>
      <c r="Y596" s="50" t="n">
        <v>1.4048</v>
      </c>
      <c r="Z596" s="50" t="n">
        <v>6.41066</v>
      </c>
      <c r="AA596" s="50" t="n">
        <v>2.568</v>
      </c>
      <c r="AB596" s="50" t="n">
        <v>4.7034</v>
      </c>
    </row>
    <row r="597">
      <c r="A597" s="49" t="n">
        <v>46099</v>
      </c>
      <c r="B597" s="50" t="n">
        <v>6.8909</v>
      </c>
      <c r="C597" s="50" t="n">
        <v>7.9425</v>
      </c>
      <c r="D597" s="50" t="n">
        <v>0.043316</v>
      </c>
      <c r="E597" s="50" t="n">
        <v>0.87918</v>
      </c>
      <c r="F597" s="50" t="n">
        <v>9.1943</v>
      </c>
      <c r="G597" s="50" t="n">
        <v>4.8918</v>
      </c>
      <c r="H597" s="50" t="n">
        <v>4.0313</v>
      </c>
      <c r="I597" s="50" t="n">
        <v>5.3943</v>
      </c>
      <c r="J597" s="50" t="n">
        <v>8.7707</v>
      </c>
      <c r="K597" s="50" t="n">
        <v>5.0266</v>
      </c>
      <c r="L597" s="50" t="n">
        <v>1.1721</v>
      </c>
      <c r="M597" s="50" t="n">
        <v>0.5684900000000001</v>
      </c>
      <c r="N597" s="50" t="n">
        <v>11.9631</v>
      </c>
      <c r="O597" s="50" t="n">
        <v>2.4234</v>
      </c>
      <c r="R597" s="50" t="n">
        <v>215.99</v>
      </c>
      <c r="S597" s="50" t="n">
        <v>0.53354</v>
      </c>
      <c r="T597" s="50" t="n">
        <v>0.5454</v>
      </c>
      <c r="U597" s="50" t="n">
        <v>48.901</v>
      </c>
      <c r="V597" s="50" t="n">
        <v>0.53612</v>
      </c>
      <c r="W597" s="50" t="n">
        <v>0.9408</v>
      </c>
      <c r="X597" s="50" t="n">
        <v>1.3479</v>
      </c>
      <c r="Y597" s="50" t="n">
        <v>1.3927</v>
      </c>
      <c r="Z597" s="50" t="n">
        <v>6.42098</v>
      </c>
      <c r="AA597" s="50" t="n">
        <v>2.5644</v>
      </c>
      <c r="AB597" s="50" t="n">
        <v>4.6977</v>
      </c>
    </row>
    <row r="598">
      <c r="A598" s="49" t="n">
        <v>46100</v>
      </c>
      <c r="B598" s="50" t="n">
        <v>6.8975</v>
      </c>
      <c r="C598" s="50" t="n">
        <v>7.9083</v>
      </c>
      <c r="D598" s="50" t="n">
        <v>0.043169</v>
      </c>
      <c r="E598" s="50" t="n">
        <v>0.88006</v>
      </c>
      <c r="F598" s="50" t="n">
        <v>9.150399999999999</v>
      </c>
      <c r="G598" s="50" t="n">
        <v>4.8485</v>
      </c>
      <c r="H598" s="50" t="n">
        <v>4.0004</v>
      </c>
      <c r="I598" s="50" t="n">
        <v>5.3734</v>
      </c>
      <c r="J598" s="50" t="n">
        <v>8.7027</v>
      </c>
      <c r="K598" s="50" t="n">
        <v>5.022</v>
      </c>
      <c r="L598" s="50" t="n">
        <v>1.1709</v>
      </c>
      <c r="M598" s="50" t="n">
        <v>0.56871</v>
      </c>
      <c r="N598" s="50" t="n">
        <v>12.1445</v>
      </c>
      <c r="O598" s="50" t="n">
        <v>2.4631</v>
      </c>
      <c r="R598" s="50" t="n">
        <v>217.79</v>
      </c>
      <c r="S598" s="50" t="n">
        <v>0.53255</v>
      </c>
      <c r="T598" s="50" t="n">
        <v>0.54434</v>
      </c>
      <c r="U598" s="50" t="n">
        <v>49.7625</v>
      </c>
      <c r="V598" s="50" t="n">
        <v>0.54049</v>
      </c>
      <c r="W598" s="50" t="n">
        <v>0.9451000000000001</v>
      </c>
      <c r="X598" s="50" t="n">
        <v>1.3634</v>
      </c>
      <c r="Y598" s="50" t="n">
        <v>1.3925</v>
      </c>
      <c r="Z598" s="50" t="n">
        <v>6.42504</v>
      </c>
      <c r="AA598" s="50" t="n">
        <v>2.5891</v>
      </c>
      <c r="AB598" s="50" t="n">
        <v>4.7587</v>
      </c>
    </row>
    <row r="599">
      <c r="A599" s="49" t="n">
        <v>46101</v>
      </c>
      <c r="B599" s="50" t="n">
        <v>6.8898</v>
      </c>
      <c r="C599" s="50" t="n">
        <v>7.9675</v>
      </c>
      <c r="D599" s="50" t="n">
        <v>0.04357</v>
      </c>
      <c r="E599" s="50" t="n">
        <v>0.87915</v>
      </c>
      <c r="F599" s="50" t="n">
        <v>9.2395</v>
      </c>
      <c r="G599" s="50" t="n">
        <v>4.8729</v>
      </c>
      <c r="H599" s="50" t="n">
        <v>4.0382</v>
      </c>
      <c r="I599" s="50" t="n">
        <v>5.3869</v>
      </c>
      <c r="J599" s="50" t="n">
        <v>8.724299999999999</v>
      </c>
      <c r="K599" s="50" t="n">
        <v>5.0105</v>
      </c>
      <c r="L599" s="50" t="n">
        <v>1.1723</v>
      </c>
      <c r="M599" s="50" t="n">
        <v>0.57199</v>
      </c>
      <c r="N599" s="50" t="n">
        <v>12.5112</v>
      </c>
      <c r="O599" s="50" t="n">
        <v>2.432</v>
      </c>
      <c r="R599" s="50" t="n">
        <v>216.58</v>
      </c>
      <c r="S599" s="50" t="n">
        <v>0.53374</v>
      </c>
      <c r="T599" s="50" t="n">
        <v>0.54553</v>
      </c>
      <c r="U599" s="50" t="n">
        <v>49.017</v>
      </c>
      <c r="V599" s="50" t="n">
        <v>0.53566</v>
      </c>
      <c r="W599" s="50" t="n">
        <v>0.9378</v>
      </c>
      <c r="X599" s="50" t="n">
        <v>1.3509</v>
      </c>
      <c r="Y599" s="50" t="n">
        <v>1.3806</v>
      </c>
      <c r="Z599" s="50" t="n">
        <v>6.43874</v>
      </c>
      <c r="AA599" s="50" t="n">
        <v>2.5788</v>
      </c>
      <c r="AB599" s="50" t="n">
        <v>4.7255</v>
      </c>
    </row>
    <row r="600">
      <c r="A600" s="49" t="n">
        <v>46104</v>
      </c>
      <c r="B600" s="50" t="n">
        <v>6.9041</v>
      </c>
      <c r="C600" s="50" t="n">
        <v>7.9676</v>
      </c>
      <c r="D600" s="50" t="n">
        <v>0.04332</v>
      </c>
      <c r="E600" s="50" t="n">
        <v>0.88114</v>
      </c>
      <c r="F600" s="50" t="n">
        <v>9.190899999999999</v>
      </c>
      <c r="G600" s="50" t="n">
        <v>4.8326</v>
      </c>
      <c r="H600" s="50" t="n">
        <v>4.0208</v>
      </c>
      <c r="I600" s="50" t="n">
        <v>5.3776</v>
      </c>
      <c r="J600" s="50" t="n">
        <v>8.753399999999999</v>
      </c>
      <c r="K600" s="50" t="n">
        <v>5.0275</v>
      </c>
      <c r="L600" s="50" t="n">
        <v>1.1695</v>
      </c>
      <c r="M600" s="50" t="n">
        <v>0.57056</v>
      </c>
      <c r="N600" s="50" t="n">
        <v>12.065</v>
      </c>
      <c r="O600" s="50" t="n">
        <v>2.476</v>
      </c>
      <c r="R600" s="50" t="n">
        <v>218.32</v>
      </c>
      <c r="S600" s="50" t="n">
        <v>0.53286</v>
      </c>
      <c r="T600" s="50" t="n">
        <v>0.54469</v>
      </c>
      <c r="U600" s="50" t="n">
        <v>49.3029</v>
      </c>
      <c r="V600" s="50" t="n">
        <v>0.53613</v>
      </c>
      <c r="W600" s="50" t="n">
        <v>0.9374</v>
      </c>
      <c r="X600" s="50" t="n">
        <v>1.355</v>
      </c>
      <c r="Y600" s="50" t="n">
        <v>1.3886</v>
      </c>
      <c r="Z600" s="50" t="n">
        <v>6.42868</v>
      </c>
      <c r="AA600" s="50" t="n">
        <v>2.6015</v>
      </c>
      <c r="AB600" s="50" t="n">
        <v>4.7774</v>
      </c>
    </row>
    <row r="601">
      <c r="A601" s="49" t="n">
        <v>46105</v>
      </c>
      <c r="B601" s="50" t="n">
        <v>6.8943</v>
      </c>
      <c r="C601" s="50" t="n">
        <v>7.9941</v>
      </c>
      <c r="D601" s="50" t="n">
        <v>0.043476</v>
      </c>
      <c r="E601" s="50" t="n">
        <v>0.88015</v>
      </c>
      <c r="F601" s="50" t="n">
        <v>9.2471</v>
      </c>
      <c r="G601" s="50" t="n">
        <v>4.8255</v>
      </c>
      <c r="H601" s="50" t="n">
        <v>4.0301</v>
      </c>
      <c r="I601" s="50" t="n">
        <v>5.4036</v>
      </c>
      <c r="J601" s="50" t="n">
        <v>8.7578</v>
      </c>
      <c r="K601" s="50" t="n">
        <v>5.0183</v>
      </c>
      <c r="L601" s="50" t="n">
        <v>1.1708</v>
      </c>
      <c r="M601" s="50" t="n">
        <v>0.57047</v>
      </c>
      <c r="N601" s="50" t="n">
        <v>11.8949</v>
      </c>
      <c r="O601" s="50" t="n">
        <v>2.4439</v>
      </c>
      <c r="R601" s="50" t="n">
        <v>216.58</v>
      </c>
      <c r="S601" s="50" t="n">
        <v>0.53325</v>
      </c>
      <c r="T601" s="50" t="n">
        <v>0.54501</v>
      </c>
      <c r="U601" s="50" t="n">
        <v>48.5087</v>
      </c>
      <c r="V601" s="50" t="n">
        <v>0.53268</v>
      </c>
      <c r="W601" s="50" t="n">
        <v>0.9344</v>
      </c>
      <c r="X601" s="50" t="n">
        <v>1.3548</v>
      </c>
      <c r="Y601" s="50" t="n">
        <v>1.4138</v>
      </c>
      <c r="Z601" s="50" t="n">
        <v>6.43722</v>
      </c>
      <c r="AA601" s="50" t="n">
        <v>2.5822</v>
      </c>
      <c r="AB601" s="50" t="n">
        <v>4.7103</v>
      </c>
    </row>
    <row r="602">
      <c r="A602" s="49" t="n">
        <v>46106</v>
      </c>
      <c r="B602" s="50" t="n">
        <v>6.8911</v>
      </c>
      <c r="C602" s="50" t="n">
        <v>8.0008</v>
      </c>
      <c r="D602" s="50" t="n">
        <v>0.043394</v>
      </c>
      <c r="E602" s="50" t="n">
        <v>0.88092</v>
      </c>
      <c r="F602" s="50" t="n">
        <v>9.242599999999999</v>
      </c>
      <c r="G602" s="50" t="n">
        <v>4.8187</v>
      </c>
      <c r="H602" s="50" t="n">
        <v>4.0192</v>
      </c>
      <c r="I602" s="50" t="n">
        <v>5.3908</v>
      </c>
      <c r="J602" s="50" t="n">
        <v>8.7418</v>
      </c>
      <c r="K602" s="50" t="n">
        <v>5.0045</v>
      </c>
      <c r="L602" s="50" t="n">
        <v>1.1697</v>
      </c>
      <c r="M602" s="50" t="n">
        <v>0.57343</v>
      </c>
      <c r="N602" s="50" t="n">
        <v>11.6858</v>
      </c>
      <c r="O602" s="50" t="n">
        <v>2.4555</v>
      </c>
      <c r="R602" s="50" t="n">
        <v>217.13</v>
      </c>
      <c r="S602" s="50" t="n">
        <v>0.5335</v>
      </c>
      <c r="T602" s="50" t="n">
        <v>0.5452</v>
      </c>
      <c r="U602" s="50" t="n">
        <v>48.8271</v>
      </c>
      <c r="V602" s="50" t="n">
        <v>0.5337</v>
      </c>
      <c r="W602" s="50" t="n">
        <v>0.9340000000000001</v>
      </c>
      <c r="X602" s="50" t="n">
        <v>1.3513</v>
      </c>
      <c r="Y602" s="50" t="n">
        <v>1.4079</v>
      </c>
      <c r="Z602" s="50" t="n">
        <v>6.43941</v>
      </c>
      <c r="AA602" s="50" t="n">
        <v>2.5745</v>
      </c>
      <c r="AB602" s="50" t="n">
        <v>4.7152</v>
      </c>
    </row>
    <row r="603">
      <c r="A603" s="49" t="n">
        <v>46107</v>
      </c>
      <c r="B603" s="50" t="n">
        <v>6.9056</v>
      </c>
      <c r="C603" s="50" t="n">
        <v>7.9798</v>
      </c>
      <c r="D603" s="50" t="n">
        <v>0.043337</v>
      </c>
      <c r="E603" s="50" t="n">
        <v>0.88357</v>
      </c>
      <c r="F603" s="50" t="n">
        <v>9.2285</v>
      </c>
      <c r="G603" s="50" t="n">
        <v>4.7958</v>
      </c>
      <c r="H603" s="50" t="n">
        <v>4.0104</v>
      </c>
      <c r="I603" s="50" t="n">
        <v>5.3876</v>
      </c>
      <c r="J603" s="50" t="n">
        <v>8.7262</v>
      </c>
      <c r="K603" s="50" t="n">
        <v>5.0009</v>
      </c>
      <c r="L603" s="50" t="n">
        <v>1.1663</v>
      </c>
      <c r="M603" s="50" t="n">
        <v>0.57411</v>
      </c>
      <c r="N603" s="50" t="n">
        <v>11.7287</v>
      </c>
      <c r="O603" s="50" t="n">
        <v>2.4593</v>
      </c>
      <c r="R603" s="50" t="n">
        <v>217.9</v>
      </c>
      <c r="S603" s="50" t="n">
        <v>0.53183</v>
      </c>
      <c r="T603" s="50" t="n">
        <v>0.5432399999999999</v>
      </c>
      <c r="U603" s="50" t="n">
        <v>48.509</v>
      </c>
      <c r="V603" s="50" t="n">
        <v>0.53551</v>
      </c>
      <c r="W603" s="50" t="n">
        <v>0.9358</v>
      </c>
      <c r="X603" s="50" t="n">
        <v>1.3544</v>
      </c>
      <c r="Y603" s="50" t="n">
        <v>1.4025</v>
      </c>
      <c r="Z603" s="50" t="n">
        <v>6.42314</v>
      </c>
      <c r="AA603" s="50" t="n">
        <v>2.5759</v>
      </c>
      <c r="AB603" s="50" t="n">
        <v>4.7417</v>
      </c>
    </row>
    <row r="604">
      <c r="A604" s="49" t="n">
        <v>46108</v>
      </c>
      <c r="B604" s="50" t="n">
        <v>6.9141</v>
      </c>
      <c r="C604" s="50" t="n">
        <v>7.9685</v>
      </c>
      <c r="D604" s="50" t="n">
        <v>0.043271</v>
      </c>
      <c r="E604" s="50" t="n">
        <v>0.88361</v>
      </c>
      <c r="F604" s="50" t="n">
        <v>9.212999999999999</v>
      </c>
      <c r="G604" s="50" t="n">
        <v>4.7607</v>
      </c>
      <c r="H604" s="50" t="n">
        <v>3.981</v>
      </c>
      <c r="I604" s="50" t="n">
        <v>5.3742</v>
      </c>
      <c r="J604" s="50" t="n">
        <v>8.6953</v>
      </c>
      <c r="K604" s="50" t="n">
        <v>4.9877</v>
      </c>
      <c r="L604" s="50" t="n">
        <v>1.1662</v>
      </c>
      <c r="M604" s="50" t="n">
        <v>0.57859</v>
      </c>
      <c r="N604" s="50" t="n">
        <v>11.7774</v>
      </c>
      <c r="O604" s="50" t="n">
        <v>2.4712</v>
      </c>
      <c r="R604" s="50" t="n">
        <v>218.45</v>
      </c>
      <c r="S604" s="50" t="n">
        <v>0.53162</v>
      </c>
      <c r="T604" s="50" t="n">
        <v>0.54304</v>
      </c>
      <c r="U604" s="50" t="n">
        <v>48.6562</v>
      </c>
      <c r="V604" s="50" t="n">
        <v>0.53654</v>
      </c>
      <c r="W604" s="50" t="n">
        <v>0.9376</v>
      </c>
      <c r="X604" s="50" t="n">
        <v>1.3641</v>
      </c>
      <c r="Y604" s="50" t="n">
        <v>1.4034</v>
      </c>
      <c r="Z604" s="50" t="n">
        <v>6.43538</v>
      </c>
      <c r="AA604" s="50" t="n">
        <v>2.5936</v>
      </c>
      <c r="AB604" s="50" t="n">
        <v>4.7701</v>
      </c>
    </row>
    <row r="605">
      <c r="A605" s="49" t="n">
        <v>46111</v>
      </c>
      <c r="B605" s="50" t="n">
        <v>6.9223</v>
      </c>
      <c r="C605" s="50" t="n">
        <v>7.9551</v>
      </c>
      <c r="D605" s="50" t="n">
        <v>0.043171</v>
      </c>
      <c r="E605" s="50" t="n">
        <v>0.88384</v>
      </c>
      <c r="F605" s="50" t="n">
        <v>9.166600000000001</v>
      </c>
      <c r="G605" s="50" t="n">
        <v>4.7419</v>
      </c>
      <c r="H605" s="50" t="n">
        <v>3.9672</v>
      </c>
      <c r="I605" s="50" t="n">
        <v>5.3655</v>
      </c>
      <c r="J605" s="50" t="n">
        <v>8.6526</v>
      </c>
      <c r="K605" s="50" t="n">
        <v>4.9795</v>
      </c>
      <c r="L605" s="50" t="n">
        <v>1.1654</v>
      </c>
      <c r="M605" s="50" t="n">
        <v>0.57977</v>
      </c>
      <c r="N605" s="50" t="n">
        <v>11.7781</v>
      </c>
      <c r="O605" s="50" t="n">
        <v>2.4793</v>
      </c>
      <c r="R605" s="50" t="n">
        <v>218.42</v>
      </c>
      <c r="S605" s="50" t="n">
        <v>0.5308</v>
      </c>
      <c r="T605" s="50" t="n">
        <v>0.54228</v>
      </c>
      <c r="U605" s="50" t="n">
        <v>48.9611</v>
      </c>
      <c r="V605" s="50" t="n">
        <v>0.53865</v>
      </c>
      <c r="W605" s="50" t="n">
        <v>0.9394</v>
      </c>
      <c r="X605" s="50" t="n">
        <v>1.3692</v>
      </c>
      <c r="Y605" s="50" t="n">
        <v>1.4083</v>
      </c>
      <c r="Z605" s="50" t="n">
        <v>6.42364</v>
      </c>
      <c r="AA605" s="50" t="n">
        <v>2.6215</v>
      </c>
      <c r="AB605" s="50" t="n">
        <v>4.7611</v>
      </c>
    </row>
    <row r="606">
      <c r="A606" s="49" t="n">
        <v>46112</v>
      </c>
      <c r="B606" s="50" t="n">
        <v>6.9194</v>
      </c>
      <c r="C606" s="50" t="n">
        <v>7.9302</v>
      </c>
      <c r="D606" s="50" t="n">
        <v>0.043296</v>
      </c>
      <c r="E606" s="50" t="n">
        <v>0.88295</v>
      </c>
      <c r="F606" s="50" t="n">
        <v>9.116899999999999</v>
      </c>
      <c r="G606" s="50" t="n">
        <v>4.7382</v>
      </c>
      <c r="H606" s="50" t="n">
        <v>3.9558</v>
      </c>
      <c r="I606" s="50" t="n">
        <v>5.3575</v>
      </c>
      <c r="J606" s="50" t="n">
        <v>8.6524</v>
      </c>
      <c r="K606" s="50" t="n">
        <v>4.9684</v>
      </c>
      <c r="L606" s="50" t="n">
        <v>1.1672</v>
      </c>
      <c r="M606" s="50" t="n">
        <v>0.58287</v>
      </c>
      <c r="N606" s="50" t="n">
        <v>11.7503</v>
      </c>
      <c r="O606" s="50" t="n">
        <v>2.4858</v>
      </c>
      <c r="R606" s="50" t="n">
        <v>219.94</v>
      </c>
      <c r="S606" s="50" t="n">
        <v>0.53077</v>
      </c>
      <c r="T606" s="50" t="n">
        <v>0.54227</v>
      </c>
      <c r="U606" s="50" t="n">
        <v>48.9875</v>
      </c>
      <c r="V606" s="50" t="n">
        <v>0.54115</v>
      </c>
      <c r="W606" s="50" t="n">
        <v>0.9423</v>
      </c>
      <c r="X606" s="50" t="n">
        <v>1.3807</v>
      </c>
      <c r="Y606" s="50" t="n">
        <v>1.4071</v>
      </c>
      <c r="Z606" s="50" t="n">
        <v>6.42689</v>
      </c>
      <c r="AA606" s="50" t="n">
        <v>2.6217</v>
      </c>
      <c r="AB606" s="50" t="n">
        <v>4.7462</v>
      </c>
    </row>
    <row r="607">
      <c r="A607" s="49" t="n">
        <v>46113</v>
      </c>
      <c r="B607" s="50" t="n">
        <v>6.9025</v>
      </c>
      <c r="C607" s="50" t="n">
        <v>7.9806</v>
      </c>
      <c r="D607" s="50" t="n">
        <v>0.04346</v>
      </c>
      <c r="E607" s="50" t="n">
        <v>0.88065</v>
      </c>
      <c r="F607" s="50" t="n">
        <v>9.132999999999999</v>
      </c>
      <c r="G607" s="50" t="n">
        <v>4.7649</v>
      </c>
      <c r="H607" s="50" t="n">
        <v>3.9624</v>
      </c>
      <c r="I607" s="50" t="n">
        <v>5.3726</v>
      </c>
      <c r="J607" s="50" t="n">
        <v>8.638999999999999</v>
      </c>
      <c r="K607" s="50" t="n">
        <v>4.9582</v>
      </c>
      <c r="L607" s="50" t="n">
        <v>1.1696</v>
      </c>
      <c r="M607" s="50" t="n">
        <v>0.58583</v>
      </c>
      <c r="N607" s="50" t="n">
        <v>11.7944</v>
      </c>
      <c r="O607" s="50" t="n">
        <v>2.4485</v>
      </c>
      <c r="R607" s="50" t="n">
        <v>218.51</v>
      </c>
      <c r="S607" s="50" t="n">
        <v>0.53264</v>
      </c>
      <c r="T607" s="50" t="n">
        <v>0.54426</v>
      </c>
      <c r="U607" s="50" t="n">
        <v>48.1815</v>
      </c>
      <c r="V607" s="50" t="n">
        <v>0.5373599999999999</v>
      </c>
      <c r="W607" s="50" t="n">
        <v>0.9370000000000001</v>
      </c>
      <c r="X607" s="50" t="n">
        <v>1.3716</v>
      </c>
      <c r="Y607" s="50" t="n">
        <v>1.4039</v>
      </c>
      <c r="Z607" s="50" t="n">
        <v>6.44597</v>
      </c>
      <c r="AA607" s="50" t="n">
        <v>2.5954</v>
      </c>
      <c r="AB607" s="50" t="n">
        <v>4.7217</v>
      </c>
    </row>
    <row r="608">
      <c r="A608" s="49" t="n">
        <v>46114</v>
      </c>
      <c r="B608" s="50" t="n">
        <v>6.888</v>
      </c>
      <c r="C608" s="50" t="n">
        <v>7.98</v>
      </c>
      <c r="D608" s="50" t="n">
        <v>0.04338</v>
      </c>
      <c r="E608" s="50" t="n">
        <v>0.87876</v>
      </c>
      <c r="F608" s="50" t="n">
        <v>9.1584</v>
      </c>
      <c r="G608" s="50" t="n">
        <v>4.7653</v>
      </c>
      <c r="H608" s="50" t="n">
        <v>3.9563</v>
      </c>
      <c r="I608" s="50" t="n">
        <v>5.367</v>
      </c>
      <c r="J608" s="50" t="n">
        <v>8.6724</v>
      </c>
      <c r="K608" s="50" t="n">
        <v>4.9592</v>
      </c>
      <c r="L608" s="50" t="n">
        <v>1.1721</v>
      </c>
      <c r="M608" s="50" t="n">
        <v>0.58408</v>
      </c>
      <c r="N608" s="50" t="n">
        <v>11.6829</v>
      </c>
      <c r="O608" s="50" t="n">
        <v>2.4427</v>
      </c>
      <c r="R608" s="50" t="n">
        <v>219.7</v>
      </c>
      <c r="S608" s="50" t="n">
        <v>0.53345</v>
      </c>
      <c r="T608" s="50" t="n">
        <v>0.54519</v>
      </c>
      <c r="U608" s="50" t="n">
        <v>47.998</v>
      </c>
      <c r="V608" s="50" t="n">
        <v>0.53644</v>
      </c>
      <c r="W608" s="50" t="n">
        <v>0.9369</v>
      </c>
      <c r="X608" s="50" t="n">
        <v>1.3673</v>
      </c>
      <c r="Y608" s="50" t="n">
        <v>1.4119</v>
      </c>
      <c r="Z608" s="50" t="n">
        <v>6.46058</v>
      </c>
      <c r="AA608" s="50" t="n">
        <v>2.5861</v>
      </c>
      <c r="AB608" s="50" t="n">
        <v>4.7382</v>
      </c>
    </row>
    <row r="609">
      <c r="A609" s="49" t="n">
        <v>46115</v>
      </c>
      <c r="B609" s="50" t="n">
        <v>6.8929</v>
      </c>
      <c r="C609" s="50" t="n">
        <v>7.9518</v>
      </c>
      <c r="D609" s="50" t="n">
        <v>0.043187</v>
      </c>
      <c r="E609" s="50" t="n">
        <v>0.87945</v>
      </c>
      <c r="F609" s="50" t="n">
        <v>9.1153</v>
      </c>
      <c r="G609" s="50" t="n">
        <v>4.7619</v>
      </c>
      <c r="H609" s="50" t="n">
        <v>3.9397</v>
      </c>
      <c r="I609" s="50" t="n">
        <v>5.3603</v>
      </c>
      <c r="J609" s="50" t="n">
        <v>8.627599999999999</v>
      </c>
      <c r="K609" s="50" t="n">
        <v>4.9497</v>
      </c>
      <c r="L609" s="50" t="n">
        <v>1.1712</v>
      </c>
      <c r="M609" s="50" t="n">
        <v>0.58606</v>
      </c>
      <c r="N609" s="50" t="n">
        <v>11.6732</v>
      </c>
      <c r="O609" s="50" t="n">
        <v>2.4601</v>
      </c>
      <c r="R609" s="50" t="n">
        <v>219.09</v>
      </c>
      <c r="S609" s="50" t="n">
        <v>0.53331</v>
      </c>
      <c r="T609" s="50" t="n">
        <v>0.5450700000000001</v>
      </c>
      <c r="U609" s="50" t="n">
        <v>48.3291</v>
      </c>
      <c r="V609" s="50" t="n">
        <v>0.53805</v>
      </c>
      <c r="W609" s="50" t="n">
        <v>0.9399</v>
      </c>
      <c r="X609" s="50" t="n">
        <v>1.3681</v>
      </c>
      <c r="Y609" s="50" t="n">
        <v>1.4121</v>
      </c>
      <c r="Z609" s="50" t="n">
        <v>6.47019</v>
      </c>
      <c r="AA609" s="50" t="n">
        <v>2.5923</v>
      </c>
      <c r="AB609" s="50" t="n">
        <v>4.7348</v>
      </c>
    </row>
    <row r="610">
      <c r="A610" s="49" t="n">
        <v>46119</v>
      </c>
      <c r="B610" s="50" t="n">
        <v>6.8854</v>
      </c>
      <c r="C610" s="50" t="n">
        <v>7.9398</v>
      </c>
      <c r="D610" s="50" t="n">
        <v>0.043119</v>
      </c>
      <c r="E610" s="50" t="n">
        <v>0.87858</v>
      </c>
      <c r="F610" s="50" t="n">
        <v>9.103400000000001</v>
      </c>
      <c r="G610" s="50" t="n">
        <v>4.7584</v>
      </c>
      <c r="H610" s="50" t="n">
        <v>3.9287</v>
      </c>
      <c r="I610" s="50" t="n">
        <v>5.3555</v>
      </c>
      <c r="J610" s="50" t="n">
        <v>8.6204</v>
      </c>
      <c r="K610" s="50" t="n">
        <v>4.9454</v>
      </c>
      <c r="L610" s="50" t="n">
        <v>1.1729</v>
      </c>
      <c r="M610" s="50" t="n">
        <v>0.58512</v>
      </c>
      <c r="N610" s="50" t="n">
        <v>11.485</v>
      </c>
      <c r="O610" s="50" t="n">
        <v>2.4503</v>
      </c>
      <c r="R610" s="50" t="n">
        <v>219.16</v>
      </c>
      <c r="S610" s="50" t="n">
        <v>0.53373</v>
      </c>
      <c r="T610" s="50" t="n">
        <v>0.54559</v>
      </c>
      <c r="U610" s="50" t="n">
        <v>48.0544</v>
      </c>
      <c r="V610" s="50" t="n">
        <v>0.53694</v>
      </c>
      <c r="W610" s="50" t="n">
        <v>0.9411</v>
      </c>
      <c r="X610" s="50" t="n">
        <v>1.3737</v>
      </c>
      <c r="Y610" s="50" t="n">
        <v>1.411</v>
      </c>
      <c r="Z610" s="50" t="n">
        <v>6.47932</v>
      </c>
      <c r="AA610" s="50" t="n">
        <v>2.58</v>
      </c>
      <c r="AB610" s="50" t="n">
        <v>4.7335</v>
      </c>
    </row>
    <row r="611">
      <c r="A611" s="49" t="n">
        <v>46120</v>
      </c>
      <c r="B611" s="50" t="n">
        <v>6.868</v>
      </c>
      <c r="C611" s="50" t="n">
        <v>7.999</v>
      </c>
      <c r="D611" s="50" t="n">
        <v>0.043169</v>
      </c>
      <c r="E611" s="50" t="n">
        <v>0.87652</v>
      </c>
      <c r="F611" s="50" t="n">
        <v>9.170400000000001</v>
      </c>
      <c r="G611" s="50" t="n">
        <v>4.8349</v>
      </c>
      <c r="H611" s="50" t="n">
        <v>3.9681</v>
      </c>
      <c r="I611" s="50" t="n">
        <v>5.3671</v>
      </c>
      <c r="J611" s="50" t="n">
        <v>8.655099999999999</v>
      </c>
      <c r="K611" s="50" t="n">
        <v>4.9456</v>
      </c>
      <c r="L611" s="50" t="n">
        <v>1.1756</v>
      </c>
      <c r="M611" s="50" t="n">
        <v>0.58516</v>
      </c>
      <c r="N611" s="50" t="n">
        <v>11.457</v>
      </c>
      <c r="O611" s="50" t="n">
        <v>2.4086</v>
      </c>
      <c r="R611" s="50" t="n">
        <v>217.16</v>
      </c>
      <c r="S611" s="50" t="n">
        <v>0.53601</v>
      </c>
      <c r="T611" s="50" t="n">
        <v>0.54795</v>
      </c>
      <c r="U611" s="50" t="n">
        <v>47.0612</v>
      </c>
      <c r="V611" s="50" t="n">
        <v>0.53199</v>
      </c>
      <c r="W611" s="50" t="n">
        <v>0.9344</v>
      </c>
      <c r="X611" s="50" t="n">
        <v>1.3624</v>
      </c>
      <c r="Y611" s="50" t="n">
        <v>1.4015</v>
      </c>
      <c r="Z611" s="50" t="n">
        <v>6.50125</v>
      </c>
      <c r="AA611" s="50" t="n">
        <v>2.5571</v>
      </c>
      <c r="AB611" s="50" t="n">
        <v>4.6919</v>
      </c>
    </row>
    <row r="612">
      <c r="A612" s="49" t="n">
        <v>46121</v>
      </c>
      <c r="B612" s="50" t="n">
        <v>6.8649</v>
      </c>
      <c r="C612" s="50" t="n">
        <v>7.9754</v>
      </c>
      <c r="D612" s="50" t="n">
        <v>0.043158</v>
      </c>
      <c r="E612" s="50" t="n">
        <v>0.87651</v>
      </c>
      <c r="F612" s="50" t="n">
        <v>9.1633</v>
      </c>
      <c r="G612" s="50" t="n">
        <v>4.8178</v>
      </c>
      <c r="H612" s="50" t="n">
        <v>3.9842</v>
      </c>
      <c r="I612" s="50" t="n">
        <v>5.3689</v>
      </c>
      <c r="J612" s="50" t="n">
        <v>8.646699999999999</v>
      </c>
      <c r="K612" s="50" t="n">
        <v>4.9402</v>
      </c>
      <c r="L612" s="50" t="n">
        <v>1.1757</v>
      </c>
      <c r="M612" s="50" t="n">
        <v>0.58058</v>
      </c>
      <c r="N612" s="50" t="n">
        <v>11.4861</v>
      </c>
      <c r="O612" s="50" t="n">
        <v>2.4004</v>
      </c>
      <c r="R612" s="50" t="n">
        <v>216.37</v>
      </c>
      <c r="S612" s="50" t="n">
        <v>0.53654</v>
      </c>
      <c r="T612" s="50" t="n">
        <v>0.54819</v>
      </c>
      <c r="U612" s="50" t="n">
        <v>47.1413</v>
      </c>
      <c r="V612" s="50" t="n">
        <v>0.5323</v>
      </c>
      <c r="W612" s="50" t="n">
        <v>0.9367</v>
      </c>
      <c r="X612" s="50" t="n">
        <v>1.3619</v>
      </c>
      <c r="Y612" s="50" t="n">
        <v>1.3992</v>
      </c>
      <c r="Z612" s="50" t="n">
        <v>6.49689</v>
      </c>
      <c r="AA612" s="50" t="n">
        <v>2.5456</v>
      </c>
      <c r="AB612" s="50" t="n">
        <v>4.689</v>
      </c>
    </row>
    <row r="613">
      <c r="A613" s="49" t="n">
        <v>46122</v>
      </c>
      <c r="B613" s="50" t="n">
        <v>6.8654</v>
      </c>
      <c r="C613" s="50" t="n">
        <v>8.003</v>
      </c>
      <c r="D613" s="50" t="n">
        <v>0.043056</v>
      </c>
      <c r="E613" s="50" t="n">
        <v>0.87641</v>
      </c>
      <c r="F613" s="50" t="n">
        <v>9.1912</v>
      </c>
      <c r="G613" s="50" t="n">
        <v>4.8416</v>
      </c>
      <c r="H613" s="50" t="n">
        <v>4.0039</v>
      </c>
      <c r="I613" s="50" t="n">
        <v>5.3773</v>
      </c>
      <c r="J613" s="50" t="n">
        <v>8.6568</v>
      </c>
      <c r="K613" s="50" t="n">
        <v>4.9507</v>
      </c>
      <c r="L613" s="50" t="n">
        <v>1.1758</v>
      </c>
      <c r="M613" s="50" t="n">
        <v>0.58084</v>
      </c>
      <c r="N613" s="50" t="n">
        <v>11.3548</v>
      </c>
      <c r="O613" s="50" t="n">
        <v>2.3932</v>
      </c>
      <c r="R613" s="50" t="n">
        <v>215.82</v>
      </c>
      <c r="S613" s="50" t="n">
        <v>0.53677</v>
      </c>
      <c r="T613" s="50" t="n">
        <v>0.5484</v>
      </c>
      <c r="U613" s="50" t="n">
        <v>47.0322</v>
      </c>
      <c r="V613" s="50" t="n">
        <v>0.53025</v>
      </c>
      <c r="W613" s="50" t="n">
        <v>0.9339</v>
      </c>
      <c r="X613" s="50" t="n">
        <v>1.3573</v>
      </c>
      <c r="Y613" s="50" t="n">
        <v>1.3885</v>
      </c>
      <c r="Z613" s="50" t="n">
        <v>6.521</v>
      </c>
      <c r="AA613" s="50" t="n">
        <v>2.5354</v>
      </c>
      <c r="AB613" s="50" t="n">
        <v>4.6902</v>
      </c>
    </row>
    <row r="614">
      <c r="A614" s="49" t="n">
        <v>46125</v>
      </c>
      <c r="B614" s="50" t="n">
        <v>6.8657</v>
      </c>
      <c r="C614" s="50" t="n">
        <v>8.0014</v>
      </c>
      <c r="D614" s="50" t="n">
        <v>0.042939</v>
      </c>
      <c r="E614" s="50" t="n">
        <v>0.87646</v>
      </c>
      <c r="F614" s="50" t="n">
        <v>9.176399999999999</v>
      </c>
      <c r="G614" s="50" t="n">
        <v>4.8105</v>
      </c>
      <c r="H614" s="50" t="n">
        <v>3.9774</v>
      </c>
      <c r="I614" s="50" t="n">
        <v>5.3609</v>
      </c>
      <c r="J614" s="50" t="n">
        <v>8.6464</v>
      </c>
      <c r="K614" s="50" t="n">
        <v>4.9384</v>
      </c>
      <c r="L614" s="50" t="n">
        <v>1.1758</v>
      </c>
      <c r="M614" s="50" t="n">
        <v>0.5792</v>
      </c>
      <c r="N614" s="50" t="n">
        <v>11.2589</v>
      </c>
      <c r="O614" s="50" t="n">
        <v>2.4222</v>
      </c>
      <c r="R614" s="50" t="n">
        <v>217.28</v>
      </c>
      <c r="S614" s="50" t="n">
        <v>0.5361</v>
      </c>
      <c r="T614" s="50" t="n">
        <v>0.54775</v>
      </c>
      <c r="U614" s="50" t="n">
        <v>46.0351</v>
      </c>
      <c r="V614" s="50" t="n">
        <v>0.53196</v>
      </c>
      <c r="W614" s="50" t="n">
        <v>0.9339</v>
      </c>
      <c r="X614" s="50" t="n">
        <v>1.3635</v>
      </c>
      <c r="Y614" s="50" t="n">
        <v>1.3922</v>
      </c>
      <c r="Z614" s="50" t="n">
        <v>6.52126</v>
      </c>
      <c r="AA614" s="50" t="n">
        <v>2.5437</v>
      </c>
      <c r="AB614" s="50" t="n">
        <v>4.7289</v>
      </c>
    </row>
    <row r="615">
      <c r="A615" s="49" t="n">
        <v>46126</v>
      </c>
      <c r="B615" s="50" t="n">
        <v>6.8593</v>
      </c>
      <c r="C615" s="50" t="n">
        <v>8.0456</v>
      </c>
      <c r="D615" s="50" t="n">
        <v>0.04297</v>
      </c>
      <c r="E615" s="50" t="n">
        <v>0.87579</v>
      </c>
      <c r="F615" s="50" t="n">
        <v>9.238</v>
      </c>
      <c r="G615" s="50" t="n">
        <v>4.8501</v>
      </c>
      <c r="H615" s="50" t="n">
        <v>4.0095</v>
      </c>
      <c r="I615" s="50" t="n">
        <v>5.375</v>
      </c>
      <c r="J615" s="50" t="n">
        <v>8.728400000000001</v>
      </c>
      <c r="K615" s="50" t="n">
        <v>4.9572</v>
      </c>
      <c r="L615" s="50" t="n">
        <v>1.1767</v>
      </c>
      <c r="M615" s="50" t="n">
        <v>0.57986</v>
      </c>
      <c r="N615" s="50" t="n">
        <v>11.1502</v>
      </c>
      <c r="O615" s="50" t="n">
        <v>2.3958</v>
      </c>
      <c r="R615" s="50" t="n">
        <v>216.5</v>
      </c>
      <c r="S615" s="50" t="n">
        <v>0.5373599999999999</v>
      </c>
      <c r="T615" s="50" t="n">
        <v>0.54906</v>
      </c>
      <c r="U615" s="50" t="n">
        <v>45.0965</v>
      </c>
      <c r="V615" s="50" t="n">
        <v>0.52739</v>
      </c>
      <c r="W615" s="50" t="n">
        <v>0.9291</v>
      </c>
      <c r="X615" s="50" t="n">
        <v>1.3436</v>
      </c>
      <c r="Y615" s="50" t="n">
        <v>1.3818</v>
      </c>
      <c r="Z615" s="50" t="n">
        <v>6.53627</v>
      </c>
      <c r="AA615" s="50" t="n">
        <v>2.5263</v>
      </c>
      <c r="AB615" s="50" t="n">
        <v>4.6887</v>
      </c>
    </row>
    <row r="616">
      <c r="A616" s="49" t="n">
        <v>46127</v>
      </c>
      <c r="B616" s="50" t="n">
        <v>6.8582</v>
      </c>
      <c r="C616" s="50" t="n">
        <v>8.059799999999999</v>
      </c>
      <c r="D616" s="50" t="n">
        <v>0.043031</v>
      </c>
      <c r="E616" s="50" t="n">
        <v>0.8754</v>
      </c>
      <c r="F616" s="50" t="n">
        <v>9.2729</v>
      </c>
      <c r="G616" s="50" t="n">
        <v>4.8693</v>
      </c>
      <c r="H616" s="50" t="n">
        <v>4.0309</v>
      </c>
      <c r="I616" s="50" t="n">
        <v>5.3763</v>
      </c>
      <c r="J616" s="50" t="n">
        <v>8.752000000000001</v>
      </c>
      <c r="K616" s="50" t="n">
        <v>4.9603</v>
      </c>
      <c r="L616" s="50" t="n">
        <v>1.1766</v>
      </c>
      <c r="M616" s="50" t="n">
        <v>0.57746</v>
      </c>
      <c r="N616" s="50" t="n">
        <v>11.0753</v>
      </c>
      <c r="O616" s="50" t="n">
        <v>2.3899</v>
      </c>
      <c r="R616" s="50" t="n">
        <v>215.78</v>
      </c>
      <c r="S616" s="50" t="n">
        <v>0.53784</v>
      </c>
      <c r="T616" s="50" t="n">
        <v>0.54952</v>
      </c>
      <c r="U616" s="50" t="n">
        <v>45.071</v>
      </c>
      <c r="V616" s="50" t="n">
        <v>0.52533</v>
      </c>
      <c r="W616" s="50" t="n">
        <v>0.9272</v>
      </c>
      <c r="X616" s="50" t="n">
        <v>1.3444</v>
      </c>
      <c r="Y616" s="50" t="n">
        <v>1.383</v>
      </c>
      <c r="Z616" s="50" t="n">
        <v>6.5464</v>
      </c>
      <c r="AA616" s="50" t="n">
        <v>2.5223</v>
      </c>
      <c r="AB616" s="50" t="n">
        <v>4.6881</v>
      </c>
    </row>
    <row r="617">
      <c r="A617" s="49" t="n">
        <v>46128</v>
      </c>
      <c r="B617" s="50" t="n">
        <v>6.8616</v>
      </c>
      <c r="C617" s="50" t="n">
        <v>8.0724</v>
      </c>
      <c r="D617" s="50" t="n">
        <v>0.043047</v>
      </c>
      <c r="E617" s="50" t="n">
        <v>0.87629</v>
      </c>
      <c r="F617" s="50" t="n">
        <v>9.2799</v>
      </c>
      <c r="G617" s="50" t="n">
        <v>4.9041</v>
      </c>
      <c r="H617" s="50" t="n">
        <v>4.0431</v>
      </c>
      <c r="I617" s="50" t="n">
        <v>5.3808</v>
      </c>
      <c r="J617" s="50" t="n">
        <v>8.7553</v>
      </c>
      <c r="K617" s="50" t="n">
        <v>4.9773</v>
      </c>
      <c r="L617" s="50" t="n">
        <v>1.176</v>
      </c>
      <c r="M617" s="50" t="n">
        <v>0.57767</v>
      </c>
      <c r="N617" s="50" t="n">
        <v>11.0747</v>
      </c>
      <c r="O617" s="50" t="n">
        <v>2.3933</v>
      </c>
      <c r="R617" s="50" t="n">
        <v>216.08</v>
      </c>
      <c r="S617" s="50" t="n">
        <v>0.53728</v>
      </c>
      <c r="T617" s="50" t="n">
        <v>0.54877</v>
      </c>
      <c r="U617" s="50" t="n">
        <v>44.9795</v>
      </c>
      <c r="V617" s="50" t="n">
        <v>0.52396</v>
      </c>
      <c r="W617" s="50" t="n">
        <v>0.9257</v>
      </c>
      <c r="X617" s="50" t="n">
        <v>1.3403</v>
      </c>
      <c r="Y617" s="50" t="n">
        <v>1.3734</v>
      </c>
      <c r="Z617" s="50" t="n">
        <v>6.53952</v>
      </c>
      <c r="AA617" s="50" t="n">
        <v>2.5202</v>
      </c>
      <c r="AB617" s="50" t="n">
        <v>4.6919</v>
      </c>
    </row>
    <row r="618">
      <c r="A618" s="49" t="n">
        <v>46129</v>
      </c>
      <c r="B618" s="50" t="n">
        <v>6.8622</v>
      </c>
      <c r="C618" s="50" t="n">
        <v>8.0618</v>
      </c>
      <c r="D618" s="50" t="n">
        <v>0.043012</v>
      </c>
      <c r="E618" s="50" t="n">
        <v>0.87697</v>
      </c>
      <c r="F618" s="50" t="n">
        <v>9.257300000000001</v>
      </c>
      <c r="G618" s="50" t="n">
        <v>4.9005</v>
      </c>
      <c r="H618" s="50" t="n">
        <v>4.03</v>
      </c>
      <c r="I618" s="50" t="n">
        <v>5.3751</v>
      </c>
      <c r="J618" s="50" t="n">
        <v>8.7415</v>
      </c>
      <c r="K618" s="50" t="n">
        <v>4.9923</v>
      </c>
      <c r="L618" s="50" t="n">
        <v>1.175</v>
      </c>
      <c r="M618" s="50" t="n">
        <v>0.5778</v>
      </c>
      <c r="N618" s="50" t="n">
        <v>11.1731</v>
      </c>
      <c r="O618" s="50" t="n">
        <v>2.3954</v>
      </c>
      <c r="R618" s="50" t="n">
        <v>216.56</v>
      </c>
      <c r="S618" s="50" t="n">
        <v>0.53705</v>
      </c>
      <c r="T618" s="50" t="n">
        <v>0.5485</v>
      </c>
      <c r="U618" s="50" t="n">
        <v>45.2188</v>
      </c>
      <c r="V618" s="50" t="n">
        <v>0.52543</v>
      </c>
      <c r="W618" s="50" t="n">
        <v>0.927</v>
      </c>
      <c r="X618" s="50" t="n">
        <v>1.3436</v>
      </c>
      <c r="Y618" s="50" t="n">
        <v>1.3685</v>
      </c>
      <c r="Z618" s="50" t="n">
        <v>6.5534</v>
      </c>
      <c r="AA618" s="50" t="n">
        <v>2.5174</v>
      </c>
      <c r="AB618" s="50" t="n">
        <v>4.6867</v>
      </c>
    </row>
    <row r="619">
      <c r="A619" s="49" t="n">
        <v>46132</v>
      </c>
      <c r="B619" s="50" t="n">
        <v>6.8648</v>
      </c>
      <c r="C619" s="50" t="n">
        <v>8.0402</v>
      </c>
      <c r="D619" s="50" t="n">
        <v>0.043049</v>
      </c>
      <c r="E619" s="50" t="n">
        <v>0.87663</v>
      </c>
      <c r="F619" s="50" t="n">
        <v>9.2332</v>
      </c>
      <c r="G619" s="50" t="n">
        <v>4.8891</v>
      </c>
      <c r="H619" s="50" t="n">
        <v>4.0172</v>
      </c>
      <c r="I619" s="50" t="n">
        <v>5.3767</v>
      </c>
      <c r="J619" s="50" t="n">
        <v>8.744</v>
      </c>
      <c r="K619" s="50" t="n">
        <v>4.9931</v>
      </c>
      <c r="L619" s="50" t="n">
        <v>1.1755</v>
      </c>
      <c r="M619" s="50" t="n">
        <v>0.57683</v>
      </c>
      <c r="N619" s="50" t="n">
        <v>11.1378</v>
      </c>
      <c r="O619" s="50" t="n">
        <v>2.3983</v>
      </c>
      <c r="R619" s="50" t="n">
        <v>214.82</v>
      </c>
      <c r="S619" s="50" t="n">
        <v>0.53678</v>
      </c>
      <c r="T619" s="50" t="n">
        <v>0.54819</v>
      </c>
      <c r="U619" s="50" t="n">
        <v>45.0101</v>
      </c>
      <c r="V619" s="50" t="n">
        <v>0.52556</v>
      </c>
      <c r="W619" s="50" t="n">
        <v>0.9294</v>
      </c>
      <c r="X619" s="50" t="n">
        <v>1.3424</v>
      </c>
      <c r="Y619" s="50" t="n">
        <v>1.371</v>
      </c>
      <c r="Z619" s="50" t="n">
        <v>6.55071</v>
      </c>
      <c r="AA619" s="50" t="n">
        <v>2.5344</v>
      </c>
      <c r="AB619" s="50" t="n">
        <v>4.688</v>
      </c>
    </row>
    <row r="620">
      <c r="A620" s="49" t="n">
        <v>46133</v>
      </c>
      <c r="B620" s="50" t="n">
        <v>6.8594</v>
      </c>
      <c r="C620" s="50" t="n">
        <v>8.0565</v>
      </c>
      <c r="D620" s="50" t="n">
        <v>0.043065</v>
      </c>
      <c r="E620" s="50" t="n">
        <v>0.87588</v>
      </c>
      <c r="F620" s="50" t="n">
        <v>9.248900000000001</v>
      </c>
      <c r="G620" s="50" t="n">
        <v>4.9038</v>
      </c>
      <c r="H620" s="50" t="n">
        <v>4.0367</v>
      </c>
      <c r="I620" s="50" t="n">
        <v>5.3844</v>
      </c>
      <c r="J620" s="50" t="n">
        <v>8.784700000000001</v>
      </c>
      <c r="K620" s="50" t="n">
        <v>5.0084</v>
      </c>
      <c r="L620" s="50" t="n">
        <v>1.1765</v>
      </c>
      <c r="M620" s="50" t="n">
        <v>0.5773200000000001</v>
      </c>
      <c r="N620" s="50" t="n">
        <v>10.9934</v>
      </c>
      <c r="O620" s="50" t="n">
        <v>2.3908</v>
      </c>
      <c r="R620" s="50" t="n">
        <v>215.38</v>
      </c>
      <c r="S620" s="50" t="n">
        <v>0.53753</v>
      </c>
      <c r="T620" s="50" t="n">
        <v>0.54896</v>
      </c>
      <c r="U620" s="50" t="n">
        <v>44.8568</v>
      </c>
      <c r="V620" s="50" t="n">
        <v>0.52445</v>
      </c>
      <c r="W620" s="50" t="n">
        <v>0.9276</v>
      </c>
      <c r="X620" s="50" t="n">
        <v>1.3351</v>
      </c>
      <c r="Y620" s="50" t="n">
        <v>1.3626</v>
      </c>
      <c r="Z620" s="50" t="n">
        <v>6.56224</v>
      </c>
      <c r="AA620" s="50" t="n">
        <v>2.5274</v>
      </c>
      <c r="AB620" s="50" t="n">
        <v>4.6911</v>
      </c>
    </row>
    <row r="621">
      <c r="A621" s="49" t="n">
        <v>46134</v>
      </c>
      <c r="B621" s="50" t="n">
        <v>6.8635</v>
      </c>
      <c r="C621" s="50" t="n">
        <v>8.036199999999999</v>
      </c>
      <c r="D621" s="50" t="n">
        <v>0.042976</v>
      </c>
      <c r="E621" s="50" t="n">
        <v>0.8764</v>
      </c>
      <c r="F621" s="50" t="n">
        <v>9.2446</v>
      </c>
      <c r="G621" s="50" t="n">
        <v>4.8966</v>
      </c>
      <c r="H621" s="50" t="n">
        <v>4.036</v>
      </c>
      <c r="I621" s="50" t="n">
        <v>5.3738</v>
      </c>
      <c r="J621" s="50" t="n">
        <v>8.7689</v>
      </c>
      <c r="K621" s="50" t="n">
        <v>5.0082</v>
      </c>
      <c r="L621" s="50" t="n">
        <v>1.1758</v>
      </c>
      <c r="M621" s="50" t="n">
        <v>0.57707</v>
      </c>
      <c r="N621" s="50" t="n">
        <v>10.9933</v>
      </c>
      <c r="O621" s="50" t="n">
        <v>2.4062</v>
      </c>
      <c r="R621" s="50" t="n">
        <v>216.61</v>
      </c>
      <c r="S621" s="50" t="n">
        <v>0.53695</v>
      </c>
      <c r="T621" s="50" t="n">
        <v>0.54825</v>
      </c>
      <c r="U621" s="50" t="n">
        <v>45.2382</v>
      </c>
      <c r="V621" s="50" t="n">
        <v>0.52713</v>
      </c>
      <c r="W621" s="50" t="n">
        <v>0.93</v>
      </c>
      <c r="X621" s="50" t="n">
        <v>1.3424</v>
      </c>
      <c r="Y621" s="50" t="n">
        <v>1.3651</v>
      </c>
      <c r="Z621" s="50" t="n">
        <v>6.5634</v>
      </c>
      <c r="AA621" s="50" t="n">
        <v>2.5288</v>
      </c>
      <c r="AB621" s="50" t="n">
        <v>4.7103</v>
      </c>
    </row>
    <row r="622">
      <c r="A622" s="49" t="n">
        <v>46135</v>
      </c>
      <c r="B622" s="50" t="n">
        <v>6.865</v>
      </c>
      <c r="C622" s="50" t="n">
        <v>8.017799999999999</v>
      </c>
      <c r="D622" s="50" t="n">
        <v>0.042988</v>
      </c>
      <c r="E622" s="50" t="n">
        <v>0.87648</v>
      </c>
      <c r="F622" s="50" t="n">
        <v>9.246700000000001</v>
      </c>
      <c r="G622" s="50" t="n">
        <v>4.9032</v>
      </c>
      <c r="H622" s="50" t="n">
        <v>4.0441</v>
      </c>
      <c r="I622" s="50" t="n">
        <v>5.368</v>
      </c>
      <c r="J622" s="50" t="n">
        <v>8.7308</v>
      </c>
      <c r="K622" s="50" t="n">
        <v>5.0079</v>
      </c>
      <c r="L622" s="50" t="n">
        <v>1.1757</v>
      </c>
      <c r="M622" s="50" t="n">
        <v>0.57695</v>
      </c>
      <c r="N622" s="50" t="n">
        <v>10.9955</v>
      </c>
      <c r="O622" s="50" t="n">
        <v>2.4047</v>
      </c>
      <c r="R622" s="50" t="n">
        <v>216.36</v>
      </c>
      <c r="S622" s="50" t="n">
        <v>0.53656</v>
      </c>
      <c r="T622" s="50" t="n">
        <v>0.54792</v>
      </c>
      <c r="U622" s="50" t="n">
        <v>45.4616</v>
      </c>
      <c r="V622" s="50" t="n">
        <v>0.52884</v>
      </c>
      <c r="W622" s="50" t="n">
        <v>0.9321</v>
      </c>
      <c r="X622" s="50" t="n">
        <v>1.3452</v>
      </c>
      <c r="Y622" s="50" t="n">
        <v>1.3588</v>
      </c>
      <c r="Z622" s="50" t="n">
        <v>6.55929</v>
      </c>
      <c r="AA622" s="50" t="n">
        <v>2.5296</v>
      </c>
      <c r="AB622" s="50" t="n">
        <v>4.7173</v>
      </c>
    </row>
    <row r="623">
      <c r="A623" s="49" t="n">
        <v>46136</v>
      </c>
      <c r="B623" s="50" t="n">
        <v>6.8674</v>
      </c>
      <c r="C623" s="50" t="n">
        <v>8.007899999999999</v>
      </c>
      <c r="D623" s="50" t="n">
        <v>0.042944</v>
      </c>
      <c r="E623" s="50" t="n">
        <v>0.87666</v>
      </c>
      <c r="F623" s="50" t="n">
        <v>9.230399999999999</v>
      </c>
      <c r="G623" s="50" t="n">
        <v>4.8884</v>
      </c>
      <c r="H623" s="50" t="n">
        <v>4.0126</v>
      </c>
      <c r="I623" s="50" t="n">
        <v>5.3637</v>
      </c>
      <c r="J623" s="50" t="n">
        <v>8.7201</v>
      </c>
      <c r="K623" s="50" t="n">
        <v>5.0028</v>
      </c>
      <c r="L623" s="50" t="n">
        <v>1.1754</v>
      </c>
      <c r="M623" s="50" t="n">
        <v>0.5783700000000001</v>
      </c>
      <c r="N623" s="50" t="n">
        <v>11.0727</v>
      </c>
      <c r="O623" s="50" t="n">
        <v>2.4258</v>
      </c>
      <c r="R623" s="50" t="n">
        <v>216.5</v>
      </c>
      <c r="S623" s="50" t="n">
        <v>0.5360200000000001</v>
      </c>
      <c r="T623" s="50" t="n">
        <v>0.54738</v>
      </c>
      <c r="U623" s="50" t="n">
        <v>45.7505</v>
      </c>
      <c r="V623" s="50" t="n">
        <v>0.52946</v>
      </c>
      <c r="W623" s="50" t="n">
        <v>0.9332</v>
      </c>
      <c r="X623" s="50" t="n">
        <v>1.3509</v>
      </c>
      <c r="Y623" s="50" t="n">
        <v>1.3613</v>
      </c>
      <c r="Z623" s="50" t="n">
        <v>6.56067</v>
      </c>
      <c r="AA623" s="50" t="n">
        <v>2.539</v>
      </c>
      <c r="AB623" s="50" t="n">
        <v>4.7436</v>
      </c>
    </row>
    <row r="624">
      <c r="A624" s="49" t="n">
        <v>46139</v>
      </c>
      <c r="B624" s="50" t="n">
        <v>6.8579</v>
      </c>
      <c r="C624" s="50" t="n">
        <v>8.017300000000001</v>
      </c>
      <c r="D624" s="50" t="n">
        <v>0.042952</v>
      </c>
      <c r="E624" s="50" t="n">
        <v>0.87536</v>
      </c>
      <c r="F624" s="50" t="n">
        <v>9.252599999999999</v>
      </c>
      <c r="G624" s="50" t="n">
        <v>4.8909</v>
      </c>
      <c r="H624" s="50" t="n">
        <v>4.0192</v>
      </c>
      <c r="I624" s="50" t="n">
        <v>5.3639</v>
      </c>
      <c r="J624" s="50" t="n">
        <v>8.7096</v>
      </c>
      <c r="K624" s="50" t="n">
        <v>5.0036</v>
      </c>
      <c r="L624" s="50" t="n">
        <v>1.1776</v>
      </c>
      <c r="M624" s="50" t="n">
        <v>0.57828</v>
      </c>
      <c r="N624" s="50" t="n">
        <v>11.0129</v>
      </c>
      <c r="O624" s="50" t="n">
        <v>2.4204</v>
      </c>
      <c r="R624" s="50" t="n">
        <v>215.78</v>
      </c>
      <c r="S624" s="50" t="n">
        <v>0.53669</v>
      </c>
      <c r="T624" s="50" t="n">
        <v>0.54806</v>
      </c>
      <c r="U624" s="50" t="n">
        <v>45.492</v>
      </c>
      <c r="V624" s="50" t="n">
        <v>0.5287500000000001</v>
      </c>
      <c r="W624" s="50" t="n">
        <v>0.9323</v>
      </c>
      <c r="X624" s="50" t="n">
        <v>1.3503</v>
      </c>
      <c r="Y624" s="50" t="n">
        <v>1.3621</v>
      </c>
      <c r="Z624" s="50" t="n">
        <v>6.57358</v>
      </c>
      <c r="AA624" s="50" t="n">
        <v>2.5398</v>
      </c>
      <c r="AB624" s="50" t="n">
        <v>4.7397</v>
      </c>
    </row>
    <row r="625">
      <c r="A625" s="49" t="n">
        <v>46140</v>
      </c>
      <c r="B625" s="50" t="n">
        <v>6.8589</v>
      </c>
      <c r="C625" s="50" t="n">
        <v>8.0207</v>
      </c>
      <c r="D625" s="50" t="n">
        <v>0.042954</v>
      </c>
      <c r="E625" s="50" t="n">
        <v>0.87514</v>
      </c>
      <c r="F625" s="50" t="n">
        <v>9.261100000000001</v>
      </c>
      <c r="G625" s="50" t="n">
        <v>4.9177</v>
      </c>
      <c r="H625" s="50" t="n">
        <v>4.0438</v>
      </c>
      <c r="I625" s="50" t="n">
        <v>5.372</v>
      </c>
      <c r="J625" s="50" t="n">
        <v>8.714700000000001</v>
      </c>
      <c r="K625" s="50" t="n">
        <v>5.0215</v>
      </c>
      <c r="L625" s="50" t="n">
        <v>1.1775</v>
      </c>
      <c r="M625" s="50" t="n">
        <v>0.5767600000000001</v>
      </c>
      <c r="N625" s="50" t="n">
        <v>10.9659</v>
      </c>
      <c r="O625" s="50" t="n">
        <v>2.4155</v>
      </c>
      <c r="R625" s="50" t="n">
        <v>215.69</v>
      </c>
      <c r="S625" s="50" t="n">
        <v>0.53689</v>
      </c>
      <c r="T625" s="50" t="n">
        <v>0.54828</v>
      </c>
      <c r="U625" s="50" t="n">
        <v>45.3733</v>
      </c>
      <c r="V625" s="50" t="n">
        <v>0.52885</v>
      </c>
      <c r="W625" s="50" t="n">
        <v>0.9316</v>
      </c>
      <c r="X625" s="50" t="n">
        <v>1.3475</v>
      </c>
      <c r="Y625" s="50" t="n">
        <v>1.3572</v>
      </c>
      <c r="Z625" s="50" t="n">
        <v>6.58028</v>
      </c>
      <c r="AA625" s="50" t="n">
        <v>2.5377</v>
      </c>
      <c r="AB625" s="50" t="n">
        <v>4.7345</v>
      </c>
    </row>
    <row r="626">
      <c r="A626" s="49" t="n">
        <v>46141</v>
      </c>
      <c r="B626" s="50" t="n">
        <v>6.8608</v>
      </c>
      <c r="C626" s="50" t="n">
        <v>8.022600000000001</v>
      </c>
      <c r="D626" s="50" t="n">
        <v>0.042944</v>
      </c>
      <c r="E626" s="50" t="n">
        <v>0.87563</v>
      </c>
      <c r="F626" s="50" t="n">
        <v>9.260300000000001</v>
      </c>
      <c r="G626" s="50" t="n">
        <v>4.9191</v>
      </c>
      <c r="H626" s="50" t="n">
        <v>4.0312</v>
      </c>
      <c r="I626" s="50" t="n">
        <v>5.366</v>
      </c>
      <c r="J626" s="50" t="n">
        <v>8.6806</v>
      </c>
      <c r="K626" s="50" t="n">
        <v>5.0038</v>
      </c>
      <c r="L626" s="50" t="n">
        <v>1.1769</v>
      </c>
      <c r="M626" s="50" t="n">
        <v>0.57666</v>
      </c>
      <c r="N626" s="50" t="n">
        <v>10.9957</v>
      </c>
      <c r="O626" s="50" t="n">
        <v>2.414</v>
      </c>
      <c r="R626" s="50" t="n">
        <v>215.36</v>
      </c>
      <c r="S626" s="50" t="n">
        <v>0.53645</v>
      </c>
      <c r="T626" s="50" t="n">
        <v>0.54783</v>
      </c>
      <c r="U626" s="50" t="n">
        <v>45.2973</v>
      </c>
      <c r="V626" s="50" t="n">
        <v>0.52922</v>
      </c>
      <c r="W626" s="50" t="n">
        <v>0.9316</v>
      </c>
      <c r="X626" s="50" t="n">
        <v>1.353</v>
      </c>
      <c r="Y626" s="50" t="n">
        <v>1.3616</v>
      </c>
      <c r="Z626" s="50" t="n">
        <v>6.58002</v>
      </c>
      <c r="AA626" s="50" t="n">
        <v>2.5369</v>
      </c>
      <c r="AB626" s="50" t="n">
        <v>4.7524</v>
      </c>
    </row>
    <row r="627">
      <c r="A627" s="49" t="n">
        <v>46142</v>
      </c>
      <c r="B627" s="50" t="n">
        <v>6.8628</v>
      </c>
      <c r="C627" s="50" t="n">
        <v>8.005699999999999</v>
      </c>
      <c r="D627" s="50" t="n">
        <v>0.042812</v>
      </c>
      <c r="E627" s="50" t="n">
        <v>0.87581</v>
      </c>
      <c r="F627" s="50" t="n">
        <v>9.2416</v>
      </c>
      <c r="G627" s="50" t="n">
        <v>4.8824</v>
      </c>
      <c r="H627" s="50" t="n">
        <v>4</v>
      </c>
      <c r="I627" s="50" t="n">
        <v>5.3518</v>
      </c>
      <c r="J627" s="50" t="n">
        <v>8.665900000000001</v>
      </c>
      <c r="K627" s="50" t="n">
        <v>5.0085</v>
      </c>
      <c r="L627" s="50" t="n">
        <v>1.1766</v>
      </c>
      <c r="M627" s="50" t="n">
        <v>0.5771500000000001</v>
      </c>
      <c r="N627" s="50" t="n">
        <v>10.9367</v>
      </c>
      <c r="O627" s="50" t="n">
        <v>2.4547</v>
      </c>
      <c r="R627" s="50" t="n">
        <v>217.09</v>
      </c>
      <c r="S627" s="50" t="n">
        <v>0.5360200000000001</v>
      </c>
      <c r="T627" s="50" t="n">
        <v>0.54737</v>
      </c>
      <c r="U627" s="50" t="n">
        <v>45.6224</v>
      </c>
      <c r="V627" s="50" t="n">
        <v>0.53186</v>
      </c>
      <c r="W627" s="50" t="n">
        <v>0.9333</v>
      </c>
      <c r="X627" s="50" t="n">
        <v>1.3587</v>
      </c>
      <c r="Y627" s="50" t="n">
        <v>1.3609</v>
      </c>
      <c r="Z627" s="50" t="n">
        <v>6.5905</v>
      </c>
      <c r="AA627" s="50" t="n">
        <v>2.557</v>
      </c>
      <c r="AB627" s="50" t="n">
        <v>4.7867</v>
      </c>
    </row>
    <row r="628">
      <c r="A628" s="49" t="n">
        <v>46148</v>
      </c>
      <c r="B628" s="50" t="n">
        <v>6.8562</v>
      </c>
      <c r="C628" s="50" t="n">
        <v>8.009399999999999</v>
      </c>
      <c r="D628" s="50" t="n">
        <v>0.043338</v>
      </c>
      <c r="E628" s="50" t="n">
        <v>0.87504</v>
      </c>
      <c r="F628" s="50" t="n">
        <v>9.2712</v>
      </c>
      <c r="G628" s="50" t="n">
        <v>4.9245</v>
      </c>
      <c r="H628" s="50" t="n">
        <v>4.0362</v>
      </c>
      <c r="I628" s="50" t="n">
        <v>5.3677</v>
      </c>
      <c r="J628" s="50" t="n">
        <v>8.747299999999999</v>
      </c>
      <c r="K628" s="50" t="n">
        <v>5.0224</v>
      </c>
      <c r="L628" s="50" t="n">
        <v>1.1776</v>
      </c>
      <c r="M628" s="50" t="n">
        <v>0.57856</v>
      </c>
      <c r="N628" s="50" t="n">
        <v>11.0603</v>
      </c>
      <c r="O628" s="50" t="n">
        <v>2.4253</v>
      </c>
      <c r="R628" s="50" t="n">
        <v>214.83</v>
      </c>
      <c r="S628" s="50" t="n">
        <v>0.53757</v>
      </c>
      <c r="T628" s="50" t="n">
        <v>0.54921</v>
      </c>
      <c r="U628" s="50" t="n">
        <v>45.0546</v>
      </c>
      <c r="V628" s="50" t="n">
        <v>0.52946</v>
      </c>
      <c r="W628" s="50" t="n">
        <v>0.9329</v>
      </c>
      <c r="X628" s="50" t="n">
        <v>1.352</v>
      </c>
      <c r="Y628" s="50" t="n">
        <v>1.353</v>
      </c>
      <c r="Z628" s="50" t="n">
        <v>6.61707</v>
      </c>
      <c r="AA628" s="50" t="n">
        <v>2.5335</v>
      </c>
      <c r="AB628" s="50" t="n">
        <v>4.753</v>
      </c>
    </row>
    <row r="629">
      <c r="A629" s="49" t="n">
        <v>46149</v>
      </c>
      <c r="B629" s="50" t="n">
        <v>6.8487</v>
      </c>
      <c r="C629" s="50" t="n">
        <v>8.0251</v>
      </c>
      <c r="D629" s="50" t="n">
        <v>0.043661</v>
      </c>
      <c r="E629" s="50" t="n">
        <v>0.87415</v>
      </c>
      <c r="F629" s="50" t="n">
        <v>9.2826</v>
      </c>
      <c r="G629" s="50" t="n">
        <v>4.9401</v>
      </c>
      <c r="H629" s="50" t="n">
        <v>4.063</v>
      </c>
      <c r="I629" s="50" t="n">
        <v>5.3884</v>
      </c>
      <c r="J629" s="50" t="n">
        <v>8.7721</v>
      </c>
      <c r="K629" s="50" t="n">
        <v>5.007</v>
      </c>
      <c r="L629" s="50" t="n">
        <v>1.1788</v>
      </c>
      <c r="M629" s="50" t="n">
        <v>0.57373</v>
      </c>
      <c r="N629" s="50" t="n">
        <v>10.9808</v>
      </c>
      <c r="O629" s="50" t="n">
        <v>2.4</v>
      </c>
      <c r="R629" s="50" t="n">
        <v>212.38</v>
      </c>
      <c r="S629" s="50" t="n">
        <v>0.53806</v>
      </c>
      <c r="T629" s="50" t="n">
        <v>0.54955</v>
      </c>
      <c r="U629" s="50" t="n">
        <v>44.6309</v>
      </c>
      <c r="V629" s="50" t="n">
        <v>0.52679</v>
      </c>
      <c r="W629" s="50" t="n">
        <v>0.9313</v>
      </c>
      <c r="X629" s="50" t="n">
        <v>1.3529</v>
      </c>
      <c r="Y629" s="50" t="n">
        <v>1.3618</v>
      </c>
      <c r="Z629" s="50" t="n">
        <v>6.62151</v>
      </c>
      <c r="AA629" s="50" t="n">
        <v>2.5225</v>
      </c>
      <c r="AB629" s="50" t="n">
        <v>4.7273</v>
      </c>
    </row>
    <row r="630">
      <c r="A630" s="49" t="n">
        <v>46150</v>
      </c>
      <c r="B630" s="50" t="n">
        <v>6.8502</v>
      </c>
      <c r="C630" s="50" t="n">
        <v>8.0139</v>
      </c>
      <c r="D630" s="50" t="n">
        <v>0.043559</v>
      </c>
      <c r="E630" s="50" t="n">
        <v>0.87463</v>
      </c>
      <c r="F630" s="50" t="n">
        <v>9.2599</v>
      </c>
      <c r="G630" s="50" t="n">
        <v>4.9232</v>
      </c>
      <c r="H630" s="50" t="n">
        <v>4.0561</v>
      </c>
      <c r="I630" s="50" t="n">
        <v>5.3839</v>
      </c>
      <c r="J630" s="50" t="n">
        <v>8.7569</v>
      </c>
      <c r="K630" s="50" t="n">
        <v>4.9985</v>
      </c>
      <c r="L630" s="50" t="n">
        <v>1.1782</v>
      </c>
      <c r="M630" s="50" t="n">
        <v>0.57185</v>
      </c>
      <c r="N630" s="50" t="n">
        <v>10.951</v>
      </c>
      <c r="O630" s="50" t="n">
        <v>2.4096</v>
      </c>
      <c r="R630" s="50" t="n">
        <v>213.87</v>
      </c>
      <c r="S630" s="50" t="n">
        <v>0.53776</v>
      </c>
      <c r="T630" s="50" t="n">
        <v>0.54916</v>
      </c>
      <c r="U630" s="50" t="n">
        <v>44.4571</v>
      </c>
      <c r="V630" s="50" t="n">
        <v>0.52752</v>
      </c>
      <c r="W630" s="50" t="n">
        <v>0.9326</v>
      </c>
      <c r="X630" s="50" t="n">
        <v>1.3585</v>
      </c>
      <c r="Y630" s="50" t="n">
        <v>1.3627</v>
      </c>
      <c r="Z630" s="50" t="n">
        <v>6.62799</v>
      </c>
      <c r="AA630" s="50" t="n">
        <v>2.528</v>
      </c>
      <c r="AB630" s="50" t="n">
        <v>4.7306</v>
      </c>
    </row>
    <row r="631">
      <c r="A631" s="49" t="n">
        <v>46153</v>
      </c>
      <c r="B631" s="50" t="n">
        <v>6.8467</v>
      </c>
      <c r="C631" s="50" t="n">
        <v>8.025600000000001</v>
      </c>
      <c r="D631" s="50" t="n">
        <v>0.043533</v>
      </c>
      <c r="E631" s="50" t="n">
        <v>0.87468</v>
      </c>
      <c r="F631" s="50" t="n">
        <v>9.276999999999999</v>
      </c>
      <c r="G631" s="50" t="n">
        <v>4.937</v>
      </c>
      <c r="H631" s="50" t="n">
        <v>4.0593</v>
      </c>
      <c r="I631" s="50" t="n">
        <v>5.3815</v>
      </c>
      <c r="J631" s="50" t="n">
        <v>8.777900000000001</v>
      </c>
      <c r="K631" s="50" t="n">
        <v>4.9843</v>
      </c>
      <c r="L631" s="50" t="n">
        <v>1.1781</v>
      </c>
      <c r="M631" s="50" t="n">
        <v>0.57398</v>
      </c>
      <c r="N631" s="50" t="n">
        <v>10.9136</v>
      </c>
      <c r="O631" s="50" t="n">
        <v>2.4067</v>
      </c>
      <c r="R631" s="50" t="n">
        <v>214.91</v>
      </c>
      <c r="S631" s="50" t="n">
        <v>0.5385799999999999</v>
      </c>
      <c r="T631" s="50" t="n">
        <v>0.5500699999999999</v>
      </c>
      <c r="U631" s="50" t="n">
        <v>44.1508</v>
      </c>
      <c r="V631" s="50" t="n">
        <v>0.52719</v>
      </c>
      <c r="W631" s="50" t="n">
        <v>0.9306</v>
      </c>
      <c r="X631" s="50" t="n">
        <v>1.3542</v>
      </c>
      <c r="Y631" s="50" t="n">
        <v>1.3508</v>
      </c>
      <c r="Z631" s="50" t="n">
        <v>6.64409</v>
      </c>
      <c r="AA631" s="50" t="n">
        <v>2.5179</v>
      </c>
      <c r="AB631" s="50" t="n">
        <v>4.737</v>
      </c>
    </row>
    <row r="632">
      <c r="A632" s="49" t="n">
        <v>46154</v>
      </c>
      <c r="B632" s="50" t="n">
        <v>6.8426</v>
      </c>
      <c r="C632" s="50" t="n">
        <v>8.0329</v>
      </c>
      <c r="D632" s="50" t="n">
        <v>0.043435</v>
      </c>
      <c r="E632" s="50" t="n">
        <v>0.87393</v>
      </c>
      <c r="F632" s="50" t="n">
        <v>9.2806</v>
      </c>
      <c r="G632" s="50" t="n">
        <v>4.9413</v>
      </c>
      <c r="H632" s="50" t="n">
        <v>4.0674</v>
      </c>
      <c r="I632" s="50" t="n">
        <v>5.3761</v>
      </c>
      <c r="J632" s="50" t="n">
        <v>8.7705</v>
      </c>
      <c r="K632" s="50" t="n">
        <v>4.9838</v>
      </c>
      <c r="L632" s="50" t="n">
        <v>1.1792</v>
      </c>
      <c r="M632" s="50" t="n">
        <v>0.57464</v>
      </c>
      <c r="N632" s="50" t="n">
        <v>10.8439</v>
      </c>
      <c r="O632" s="50" t="n">
        <v>2.4086</v>
      </c>
      <c r="R632" s="50" t="n">
        <v>217</v>
      </c>
      <c r="S632" s="50" t="n">
        <v>0.53876</v>
      </c>
      <c r="T632" s="50" t="n">
        <v>0.55036</v>
      </c>
      <c r="U632" s="50" t="n">
        <v>44.22</v>
      </c>
      <c r="V632" s="50" t="n">
        <v>0.52686</v>
      </c>
      <c r="W632" s="50" t="n">
        <v>0.9298999999999999</v>
      </c>
      <c r="X632" s="50" t="n">
        <v>1.3527</v>
      </c>
      <c r="Y632" s="50" t="n">
        <v>1.3473</v>
      </c>
      <c r="Z632" s="50" t="n">
        <v>6.64947</v>
      </c>
      <c r="AA632" s="50" t="n">
        <v>2.5165</v>
      </c>
      <c r="AB632" s="50" t="n">
        <v>4.7441</v>
      </c>
    </row>
    <row r="633">
      <c r="A633" s="49" t="n">
        <v>46155</v>
      </c>
      <c r="B633" s="50" t="n">
        <v>6.8431</v>
      </c>
      <c r="C633" s="50" t="n">
        <v>8.0039</v>
      </c>
      <c r="D633" s="50" t="n">
        <v>0.043327</v>
      </c>
      <c r="E633" s="50" t="n">
        <v>0.87408</v>
      </c>
      <c r="F633" s="50" t="n">
        <v>9.233499999999999</v>
      </c>
      <c r="G633" s="50" t="n">
        <v>4.9366</v>
      </c>
      <c r="H633" s="50" t="n">
        <v>4.0594</v>
      </c>
      <c r="I633" s="50" t="n">
        <v>5.3635</v>
      </c>
      <c r="J633" s="50" t="n">
        <v>8.743499999999999</v>
      </c>
      <c r="K633" s="50" t="n">
        <v>4.9773</v>
      </c>
      <c r="L633" s="50" t="n">
        <v>1.1789</v>
      </c>
      <c r="M633" s="50" t="n">
        <v>0.57619</v>
      </c>
      <c r="N633" s="50" t="n">
        <v>10.8651</v>
      </c>
      <c r="O633" s="50" t="n">
        <v>2.4197</v>
      </c>
      <c r="R633" s="50" t="n">
        <v>219.23</v>
      </c>
      <c r="S633" s="50" t="n">
        <v>0.53887</v>
      </c>
      <c r="T633" s="50" t="n">
        <v>0.5505100000000001</v>
      </c>
      <c r="U633" s="50" t="n">
        <v>44.6309</v>
      </c>
      <c r="V633" s="50" t="n">
        <v>0.53069</v>
      </c>
      <c r="W633" s="50" t="n">
        <v>0.9335</v>
      </c>
      <c r="X633" s="50" t="n">
        <v>1.3632</v>
      </c>
      <c r="Y633" s="50" t="n">
        <v>1.3477</v>
      </c>
      <c r="Z633" s="50" t="n">
        <v>6.65649</v>
      </c>
      <c r="AA633" s="50" t="n">
        <v>2.5216</v>
      </c>
      <c r="AB633" s="50" t="n">
        <v>4.756</v>
      </c>
    </row>
    <row r="634">
      <c r="A634" s="49" t="n">
        <v>46156</v>
      </c>
      <c r="B634" s="50" t="n">
        <v>6.8401</v>
      </c>
      <c r="C634" s="50" t="n">
        <v>7.986</v>
      </c>
      <c r="D634" s="50" t="n">
        <v>0.04326</v>
      </c>
      <c r="E634" s="50" t="n">
        <v>0.87363</v>
      </c>
      <c r="F634" s="50" t="n">
        <v>9.222099999999999</v>
      </c>
      <c r="G634" s="50" t="n">
        <v>4.9458</v>
      </c>
      <c r="H634" s="50" t="n">
        <v>4.0442</v>
      </c>
      <c r="I634" s="50" t="n">
        <v>5.3585</v>
      </c>
      <c r="J634" s="50" t="n">
        <v>8.7265</v>
      </c>
      <c r="K634" s="50" t="n">
        <v>4.971</v>
      </c>
      <c r="L634" s="50" t="n">
        <v>1.1797</v>
      </c>
      <c r="M634" s="50" t="n">
        <v>0.57572</v>
      </c>
      <c r="N634" s="50" t="n">
        <v>10.864</v>
      </c>
      <c r="O634" s="50" t="n">
        <v>2.404</v>
      </c>
      <c r="R634" s="50" t="n">
        <v>218.93</v>
      </c>
      <c r="S634" s="50" t="n">
        <v>0.53914</v>
      </c>
      <c r="T634" s="50" t="n">
        <v>0.5507300000000001</v>
      </c>
      <c r="U634" s="50" t="n">
        <v>44.7821</v>
      </c>
      <c r="V634" s="50" t="n">
        <v>0.53096</v>
      </c>
      <c r="W634" s="50" t="n">
        <v>0.9357</v>
      </c>
      <c r="X634" s="50" t="n">
        <v>1.3683</v>
      </c>
      <c r="Y634" s="50" t="n">
        <v>1.3458</v>
      </c>
      <c r="Z634" s="50" t="n">
        <v>6.66345</v>
      </c>
      <c r="AA634" s="50" t="n">
        <v>2.5142</v>
      </c>
      <c r="AB634" s="50" t="n">
        <v>4.7521</v>
      </c>
    </row>
    <row r="635">
      <c r="A635" s="49" t="n">
        <v>46157</v>
      </c>
      <c r="B635" s="50" t="n">
        <v>6.8415</v>
      </c>
      <c r="C635" s="50" t="n">
        <v>7.9534</v>
      </c>
      <c r="D635" s="50" t="n">
        <v>0.043126</v>
      </c>
      <c r="E635" s="50" t="n">
        <v>0.87343</v>
      </c>
      <c r="F635" s="50" t="n">
        <v>9.1349</v>
      </c>
      <c r="G635" s="50" t="n">
        <v>4.9244</v>
      </c>
      <c r="H635" s="50" t="n">
        <v>4.0275</v>
      </c>
      <c r="I635" s="50" t="n">
        <v>5.3446</v>
      </c>
      <c r="J635" s="50" t="n">
        <v>8.7042</v>
      </c>
      <c r="K635" s="50" t="n">
        <v>4.9687</v>
      </c>
      <c r="L635" s="50" t="n">
        <v>1.1798</v>
      </c>
      <c r="M635" s="50" t="n">
        <v>0.57609</v>
      </c>
      <c r="N635" s="50" t="n">
        <v>10.7817</v>
      </c>
      <c r="O635" s="50" t="n">
        <v>2.4161</v>
      </c>
      <c r="R635" s="50" t="n">
        <v>219.61</v>
      </c>
      <c r="S635" s="50" t="n">
        <v>0.53878</v>
      </c>
      <c r="T635" s="50" t="n">
        <v>0.55043</v>
      </c>
      <c r="U635" s="50" t="n">
        <v>44.9232</v>
      </c>
      <c r="V635" s="50" t="n">
        <v>0.53272</v>
      </c>
      <c r="W635" s="50" t="n">
        <v>0.9396</v>
      </c>
      <c r="X635" s="50" t="n">
        <v>1.3778</v>
      </c>
      <c r="Y635" s="50" t="n">
        <v>1.3611</v>
      </c>
      <c r="Z635" s="50" t="n">
        <v>6.67209</v>
      </c>
      <c r="AA635" s="50" t="n">
        <v>2.5218</v>
      </c>
      <c r="AB635" s="50" t="n">
        <v>4.7623</v>
      </c>
    </row>
    <row r="636">
      <c r="A636" s="49" t="n">
        <v>46160</v>
      </c>
      <c r="B636" s="50" t="n">
        <v>6.8435</v>
      </c>
      <c r="C636" s="50" t="n">
        <v>7.9295</v>
      </c>
      <c r="D636" s="50" t="n">
        <v>0.04303</v>
      </c>
      <c r="E636" s="50" t="n">
        <v>0.87408</v>
      </c>
      <c r="F636" s="50" t="n">
        <v>9.0891</v>
      </c>
      <c r="G636" s="50" t="n">
        <v>4.8721</v>
      </c>
      <c r="H636" s="50" t="n">
        <v>3.9825</v>
      </c>
      <c r="I636" s="50" t="n">
        <v>5.3292</v>
      </c>
      <c r="J636" s="50" t="n">
        <v>8.677199999999999</v>
      </c>
      <c r="K636" s="50" t="n">
        <v>4.9608</v>
      </c>
      <c r="L636" s="50" t="n">
        <v>1.1789</v>
      </c>
      <c r="M636" s="50" t="n">
        <v>0.5803</v>
      </c>
      <c r="N636" s="50" t="n">
        <v>10.7008</v>
      </c>
      <c r="O636" s="50" t="n">
        <v>2.4472</v>
      </c>
      <c r="R636" s="50" t="n">
        <v>219.94</v>
      </c>
      <c r="S636" s="50" t="n">
        <v>0.5382400000000001</v>
      </c>
      <c r="T636" s="50" t="n">
        <v>0.54995</v>
      </c>
      <c r="U636" s="50" t="n">
        <v>45.5352</v>
      </c>
      <c r="V636" s="50" t="n">
        <v>0.5353</v>
      </c>
      <c r="W636" s="50" t="n">
        <v>0.9425</v>
      </c>
      <c r="X636" s="50" t="n">
        <v>1.3838</v>
      </c>
      <c r="Y636" s="50" t="n">
        <v>1.3655</v>
      </c>
      <c r="Z636" s="50" t="n">
        <v>6.67216</v>
      </c>
      <c r="AA636" s="50" t="n">
        <v>2.5384</v>
      </c>
      <c r="AB636" s="50" t="n">
        <v>4.798</v>
      </c>
    </row>
    <row r="637">
      <c r="A637" s="49" t="n">
        <v>46161</v>
      </c>
      <c r="B637" s="50" t="n">
        <v>6.8375</v>
      </c>
      <c r="C637" s="50" t="n">
        <v>7.9437</v>
      </c>
      <c r="D637" s="50" t="n">
        <v>0.042979</v>
      </c>
      <c r="E637" s="50" t="n">
        <v>0.87318</v>
      </c>
      <c r="F637" s="50" t="n">
        <v>9.1562</v>
      </c>
      <c r="G637" s="50" t="n">
        <v>4.8864</v>
      </c>
      <c r="H637" s="50" t="n">
        <v>4.0021</v>
      </c>
      <c r="I637" s="50" t="n">
        <v>5.3332</v>
      </c>
      <c r="J637" s="50" t="n">
        <v>8.694000000000001</v>
      </c>
      <c r="K637" s="50" t="n">
        <v>4.959</v>
      </c>
      <c r="L637" s="50" t="n">
        <v>1.1802</v>
      </c>
      <c r="M637" s="50" t="n">
        <v>0.58231</v>
      </c>
      <c r="N637" s="50" t="n">
        <v>10.6688</v>
      </c>
      <c r="O637" s="50" t="n">
        <v>2.4302</v>
      </c>
      <c r="R637" s="50" t="n">
        <v>219.48</v>
      </c>
      <c r="S637" s="50" t="n">
        <v>0.53912</v>
      </c>
      <c r="T637" s="50" t="n">
        <v>0.55085</v>
      </c>
      <c r="U637" s="50" t="n">
        <v>45.3039</v>
      </c>
      <c r="V637" s="50" t="n">
        <v>0.53317</v>
      </c>
      <c r="W637" s="50" t="n">
        <v>0.9406</v>
      </c>
      <c r="X637" s="50" t="n">
        <v>1.3764</v>
      </c>
      <c r="Y637" s="50" t="n">
        <v>1.3592</v>
      </c>
      <c r="Z637" s="50" t="n">
        <v>6.6847</v>
      </c>
      <c r="AA637" s="50" t="n">
        <v>2.5297</v>
      </c>
      <c r="AB637" s="50" t="n">
        <v>4.7816</v>
      </c>
    </row>
    <row r="638">
      <c r="A638" s="49" t="n">
        <v>46162</v>
      </c>
      <c r="B638" s="50" t="n">
        <v>6.8397</v>
      </c>
      <c r="C638" s="50" t="n">
        <v>7.9207</v>
      </c>
      <c r="D638" s="50" t="n">
        <v>0.042961</v>
      </c>
      <c r="E638" s="50" t="n">
        <v>0.8730599999999999</v>
      </c>
      <c r="F638" s="50" t="n">
        <v>9.1442</v>
      </c>
      <c r="G638" s="50" t="n">
        <v>4.8498</v>
      </c>
      <c r="H638" s="50" t="n">
        <v>3.9812</v>
      </c>
      <c r="I638" s="50" t="n">
        <v>5.3263</v>
      </c>
      <c r="J638" s="50" t="n">
        <v>8.656000000000001</v>
      </c>
      <c r="K638" s="50" t="n">
        <v>4.9629</v>
      </c>
      <c r="L638" s="50" t="n">
        <v>1.1803</v>
      </c>
      <c r="M638" s="50" t="n">
        <v>0.58253</v>
      </c>
      <c r="N638" s="50" t="n">
        <v>10.445</v>
      </c>
      <c r="O638" s="50" t="n">
        <v>2.4464</v>
      </c>
      <c r="R638" s="50" t="n">
        <v>221.44</v>
      </c>
      <c r="S638" s="50" t="n">
        <v>0.53847</v>
      </c>
      <c r="T638" s="50" t="n">
        <v>0.5501</v>
      </c>
      <c r="U638" s="50" t="n">
        <v>45.613</v>
      </c>
      <c r="V638" s="50" t="n">
        <v>0.53605</v>
      </c>
      <c r="W638" s="50" t="n">
        <v>0.9433</v>
      </c>
      <c r="X638" s="50" t="n">
        <v>1.3777</v>
      </c>
      <c r="Y638" s="50" t="n">
        <v>1.3591</v>
      </c>
      <c r="Z638" s="50" t="n">
        <v>6.67985</v>
      </c>
      <c r="AA638" s="50" t="n">
        <v>2.5473</v>
      </c>
      <c r="AB638" s="50" t="n">
        <v>4.7961</v>
      </c>
    </row>
    <row r="639">
      <c r="A639" s="49" t="n">
        <v>46163</v>
      </c>
      <c r="B639" s="50" t="n">
        <v>6.8349</v>
      </c>
      <c r="C639" s="50" t="n">
        <v>7.9236</v>
      </c>
      <c r="D639" s="50" t="n">
        <v>0.042957</v>
      </c>
      <c r="E639" s="50" t="n">
        <v>0.8726699999999999</v>
      </c>
      <c r="F639" s="50" t="n">
        <v>9.1554</v>
      </c>
      <c r="G639" s="50" t="n">
        <v>4.8712</v>
      </c>
      <c r="H639" s="50" t="n">
        <v>3.9963</v>
      </c>
      <c r="I639" s="50" t="n">
        <v>5.3361</v>
      </c>
      <c r="J639" s="50" t="n">
        <v>8.6608</v>
      </c>
      <c r="K639" s="50" t="n">
        <v>4.9545</v>
      </c>
      <c r="L639" s="50" t="n">
        <v>1.1809</v>
      </c>
      <c r="M639" s="50" t="n">
        <v>0.58125</v>
      </c>
      <c r="N639" s="50" t="n">
        <v>10.4797</v>
      </c>
      <c r="O639" s="50" t="n">
        <v>2.4146</v>
      </c>
      <c r="R639" s="50" t="n">
        <v>219.92</v>
      </c>
      <c r="S639" s="50" t="n">
        <v>0.5391899999999999</v>
      </c>
      <c r="T639" s="50" t="n">
        <v>0.55086</v>
      </c>
      <c r="U639" s="50" t="n">
        <v>45.3449</v>
      </c>
      <c r="V639" s="50" t="n">
        <v>0.53529</v>
      </c>
      <c r="W639" s="50" t="n">
        <v>0.9434</v>
      </c>
      <c r="X639" s="50" t="n">
        <v>1.3715</v>
      </c>
      <c r="Y639" s="50" t="n">
        <v>1.3595</v>
      </c>
      <c r="Z639" s="50" t="n">
        <v>6.68927</v>
      </c>
      <c r="AA639" s="50" t="n">
        <v>2.5375</v>
      </c>
      <c r="AB639" s="50" t="n">
        <v>4.787</v>
      </c>
    </row>
    <row r="640">
      <c r="A640" s="49" t="n">
        <v>46164</v>
      </c>
      <c r="B640" s="50" t="n">
        <v>6.8373</v>
      </c>
      <c r="C640" s="50" t="n">
        <v>7.9193</v>
      </c>
      <c r="D640" s="50" t="n">
        <v>0.042933</v>
      </c>
      <c r="E640" s="50" t="n">
        <v>0.87261</v>
      </c>
      <c r="F640" s="50" t="n">
        <v>9.1571</v>
      </c>
      <c r="G640" s="50" t="n">
        <v>4.8735</v>
      </c>
      <c r="H640" s="50" t="n">
        <v>4.0057</v>
      </c>
      <c r="I640" s="50" t="n">
        <v>5.3355</v>
      </c>
      <c r="J640" s="50" t="n">
        <v>8.6709</v>
      </c>
      <c r="K640" s="50" t="n">
        <v>4.9468</v>
      </c>
      <c r="L640" s="50" t="n">
        <v>1.181</v>
      </c>
      <c r="M640" s="50" t="n">
        <v>0.5799800000000001</v>
      </c>
      <c r="N640" s="50" t="n">
        <v>10.4465</v>
      </c>
      <c r="O640" s="50" t="n">
        <v>2.4116</v>
      </c>
      <c r="R640" s="50" t="n">
        <v>221.31</v>
      </c>
      <c r="S640" s="50" t="n">
        <v>0.53894</v>
      </c>
      <c r="T640" s="50" t="n">
        <v>0.55067</v>
      </c>
      <c r="U640" s="50" t="n">
        <v>45.281</v>
      </c>
      <c r="V640" s="50" t="n">
        <v>0.53492</v>
      </c>
      <c r="W640" s="50" t="n">
        <v>0.9435</v>
      </c>
      <c r="X640" s="50" t="n">
        <v>1.3704</v>
      </c>
      <c r="Y640" s="50" t="n">
        <v>1.3552</v>
      </c>
      <c r="Z640" s="50" t="n">
        <v>6.69937</v>
      </c>
      <c r="AA640" s="50" t="n">
        <v>2.5339</v>
      </c>
      <c r="AB640" s="50" t="n">
        <v>4.7902</v>
      </c>
    </row>
    <row r="641">
      <c r="A641" s="49" t="n">
        <v>46167</v>
      </c>
      <c r="B641" s="50" t="n">
        <v>6.8318</v>
      </c>
      <c r="C641" s="50" t="n">
        <v>7.9297</v>
      </c>
      <c r="D641" s="50" t="n">
        <v>0.042905</v>
      </c>
      <c r="E641" s="50" t="n">
        <v>0.87208</v>
      </c>
      <c r="F641" s="50" t="n">
        <v>9.1828</v>
      </c>
      <c r="G641" s="50" t="n">
        <v>4.875</v>
      </c>
      <c r="H641" s="50" t="n">
        <v>4.0006</v>
      </c>
      <c r="I641" s="50" t="n">
        <v>5.3348</v>
      </c>
      <c r="J641" s="50" t="n">
        <v>8.7125</v>
      </c>
      <c r="K641" s="50" t="n">
        <v>4.9322</v>
      </c>
      <c r="L641" s="50" t="n">
        <v>1.1817</v>
      </c>
      <c r="M641" s="50" t="n">
        <v>0.57994</v>
      </c>
      <c r="N641" s="50" t="n">
        <v>10.5114</v>
      </c>
      <c r="O641" s="50" t="n">
        <v>2.399</v>
      </c>
      <c r="R641" s="50" t="n">
        <v>222.62</v>
      </c>
      <c r="S641" s="50" t="n">
        <v>0.53957</v>
      </c>
      <c r="T641" s="50" t="n">
        <v>0.55127</v>
      </c>
      <c r="U641" s="50" t="n">
        <v>45.0789</v>
      </c>
      <c r="V641" s="50" t="n">
        <v>0.5338000000000001</v>
      </c>
      <c r="W641" s="50" t="n">
        <v>0.9424</v>
      </c>
      <c r="X641" s="50" t="n">
        <v>1.3674</v>
      </c>
      <c r="Y641" s="50" t="n">
        <v>1.3603</v>
      </c>
      <c r="Z641" s="50" t="n">
        <v>6.71058</v>
      </c>
      <c r="AA641" s="50" t="n">
        <v>2.5299</v>
      </c>
      <c r="AB641" s="50" t="n">
        <v>4.7801</v>
      </c>
    </row>
    <row r="642">
      <c r="A642" s="49" t="n">
        <v>46168</v>
      </c>
      <c r="B642" s="50" t="n">
        <v>6.8288</v>
      </c>
      <c r="C642" s="50" t="n">
        <v>7.9233</v>
      </c>
      <c r="D642" s="50" t="n">
        <v>0.042879</v>
      </c>
      <c r="E642" s="50" t="n">
        <v>0.87155</v>
      </c>
      <c r="F642" s="50" t="n">
        <v>9.1891</v>
      </c>
      <c r="G642" s="50" t="n">
        <v>4.8811</v>
      </c>
      <c r="H642" s="50" t="n">
        <v>3.9911</v>
      </c>
      <c r="I642" s="50" t="n">
        <v>5.3317</v>
      </c>
      <c r="J642" s="50" t="n">
        <v>8.698399999999999</v>
      </c>
      <c r="K642" s="50" t="n">
        <v>4.9288</v>
      </c>
      <c r="L642" s="50" t="n">
        <v>1.1827</v>
      </c>
      <c r="M642" s="50" t="n">
        <v>0.58011</v>
      </c>
      <c r="N642" s="50" t="n">
        <v>10.5281</v>
      </c>
      <c r="O642" s="50" t="n">
        <v>2.394</v>
      </c>
      <c r="R642" s="50" t="n">
        <v>222.65</v>
      </c>
      <c r="S642" s="50" t="n">
        <v>0.53986</v>
      </c>
      <c r="T642" s="50" t="n">
        <v>0.55154</v>
      </c>
      <c r="U642" s="50" t="n">
        <v>44.979</v>
      </c>
      <c r="V642" s="50" t="n">
        <v>0.53337</v>
      </c>
      <c r="W642" s="50" t="n">
        <v>0.9429999999999999</v>
      </c>
      <c r="X642" s="50" t="n">
        <v>1.3657</v>
      </c>
      <c r="Y642" s="50" t="n">
        <v>1.3571</v>
      </c>
      <c r="Z642" s="50" t="n">
        <v>6.74177</v>
      </c>
      <c r="AA642" s="50" t="n">
        <v>2.5349</v>
      </c>
      <c r="AB642" s="50" t="n">
        <v>4.7818</v>
      </c>
    </row>
    <row r="643">
      <c r="A643" s="49" t="n">
        <v>46169</v>
      </c>
      <c r="B643" s="50" t="n">
        <v>6.8291</v>
      </c>
      <c r="C643" s="50" t="n">
        <v>7.9234</v>
      </c>
      <c r="D643" s="50" t="n">
        <v>0.042804</v>
      </c>
      <c r="E643" s="50" t="n">
        <v>0.87151</v>
      </c>
      <c r="F643" s="50" t="n">
        <v>9.1614</v>
      </c>
      <c r="G643" s="50" t="n">
        <v>4.8825</v>
      </c>
      <c r="H643" s="50" t="n">
        <v>3.9768</v>
      </c>
      <c r="I643" s="50" t="n">
        <v>5.3315</v>
      </c>
      <c r="J643" s="50" t="n">
        <v>8.6768</v>
      </c>
      <c r="K643" s="50" t="n">
        <v>4.9293</v>
      </c>
      <c r="L643" s="50" t="n">
        <v>1.1824</v>
      </c>
      <c r="M643" s="50" t="n">
        <v>0.58309</v>
      </c>
      <c r="N643" s="50" t="n">
        <v>10.5788</v>
      </c>
      <c r="O643" s="50" t="n">
        <v>2.4023</v>
      </c>
      <c r="R643" s="50" t="n">
        <v>221.69</v>
      </c>
      <c r="S643" s="50" t="n">
        <v>0.53961</v>
      </c>
      <c r="T643" s="50" t="n">
        <v>0.55132</v>
      </c>
      <c r="U643" s="50" t="n">
        <v>44.8665</v>
      </c>
      <c r="V643" s="50" t="n">
        <v>0.53398</v>
      </c>
      <c r="W643" s="50" t="n">
        <v>0.9431</v>
      </c>
      <c r="X643" s="50" t="n">
        <v>1.3654</v>
      </c>
      <c r="Y643" s="50" t="n">
        <v>1.3614</v>
      </c>
      <c r="Z643" s="50" t="n">
        <v>6.73874</v>
      </c>
      <c r="AA643" s="50" t="n">
        <v>2.5367</v>
      </c>
      <c r="AB643" s="50" t="n">
        <v>4.8022</v>
      </c>
    </row>
    <row r="644">
      <c r="A644" s="49" t="n">
        <v>46170</v>
      </c>
      <c r="B644" s="50" t="n">
        <v>6.824</v>
      </c>
      <c r="C644" s="50" t="n">
        <v>7.9121</v>
      </c>
      <c r="D644" s="50" t="n">
        <v>0.042732</v>
      </c>
      <c r="E644" s="50" t="n">
        <v>0.87115</v>
      </c>
      <c r="F644" s="50" t="n">
        <v>9.137700000000001</v>
      </c>
      <c r="G644" s="50" t="n">
        <v>4.8584</v>
      </c>
      <c r="H644" s="50" t="n">
        <v>4.0139</v>
      </c>
      <c r="I644" s="50" t="n">
        <v>5.3291</v>
      </c>
      <c r="J644" s="50" t="n">
        <v>8.648899999999999</v>
      </c>
      <c r="K644" s="50" t="n">
        <v>4.916</v>
      </c>
      <c r="L644" s="50" t="n">
        <v>1.1829</v>
      </c>
      <c r="M644" s="50" t="n">
        <v>0.58261</v>
      </c>
      <c r="N644" s="50" t="n">
        <v>10.4546</v>
      </c>
      <c r="O644" s="50" t="n">
        <v>2.4034</v>
      </c>
      <c r="R644" s="50" t="n">
        <v>221.18</v>
      </c>
      <c r="S644" s="50" t="n">
        <v>0.53977</v>
      </c>
      <c r="T644" s="50" t="n">
        <v>0.55147</v>
      </c>
      <c r="U644" s="50" t="n">
        <v>44.7732</v>
      </c>
      <c r="V644" s="50" t="n">
        <v>0.5345800000000001</v>
      </c>
      <c r="W644" s="50" t="n">
        <v>0.9445</v>
      </c>
      <c r="X644" s="50" t="n">
        <v>1.3667</v>
      </c>
      <c r="Y644" s="50" t="n">
        <v>1.3636</v>
      </c>
      <c r="Z644" s="50" t="n">
        <v>6.74002</v>
      </c>
      <c r="AA644" s="50" t="n">
        <v>2.5488</v>
      </c>
      <c r="AB644" s="50" t="n">
        <v>4.8031</v>
      </c>
    </row>
    <row r="645">
      <c r="A645" s="49" t="n">
        <v>46171</v>
      </c>
      <c r="B645" s="50" t="n">
        <v>6.8176</v>
      </c>
      <c r="C645" s="50" t="n">
        <v>7.916</v>
      </c>
      <c r="D645" s="50" t="n">
        <v>0.042718</v>
      </c>
      <c r="E645" s="50" t="n">
        <v>0.87029</v>
      </c>
      <c r="F645" s="50" t="n">
        <v>9.1335</v>
      </c>
      <c r="G645" s="50" t="n">
        <v>4.8641</v>
      </c>
      <c r="H645" s="50" t="n">
        <v>4.0354</v>
      </c>
      <c r="I645" s="50" t="n">
        <v>5.3271</v>
      </c>
      <c r="J645" s="50" t="n">
        <v>8.6715</v>
      </c>
      <c r="K645" s="50" t="n">
        <v>4.9257</v>
      </c>
      <c r="L645" s="50" t="n">
        <v>1.1841</v>
      </c>
      <c r="M645" s="50" t="n">
        <v>0.58426</v>
      </c>
      <c r="N645" s="50" t="n">
        <v>10.4705</v>
      </c>
      <c r="O645" s="50" t="n">
        <v>2.3872</v>
      </c>
      <c r="R645" s="50" t="n">
        <v>220.6</v>
      </c>
      <c r="S645" s="50" t="n">
        <v>0.54093</v>
      </c>
      <c r="T645" s="50" t="n">
        <v>0.55272</v>
      </c>
      <c r="U645" s="50" t="n">
        <v>44.7315</v>
      </c>
      <c r="V645" s="50" t="n">
        <v>0.53329</v>
      </c>
      <c r="W645" s="50" t="n">
        <v>0.9443</v>
      </c>
      <c r="X645" s="50" t="n">
        <v>1.3629</v>
      </c>
      <c r="Y645" s="50" t="n">
        <v>1.3626</v>
      </c>
      <c r="Z645" s="50" t="n">
        <v>6.75411</v>
      </c>
      <c r="AA645" s="50" t="n">
        <v>2.5437</v>
      </c>
      <c r="AB645" s="50" t="n">
        <v>4.8018</v>
      </c>
    </row>
    <row r="646">
      <c r="A646" s="49" t="n">
        <v>46174</v>
      </c>
      <c r="B646" s="50" t="n">
        <v>6.8167</v>
      </c>
      <c r="C646" s="50" t="n">
        <v>7.9122</v>
      </c>
      <c r="D646" s="50" t="n">
        <v>0.042656</v>
      </c>
      <c r="E646" s="50" t="n">
        <v>0.86986</v>
      </c>
      <c r="F646" s="50" t="n">
        <v>9.133900000000001</v>
      </c>
      <c r="G646" s="50" t="n">
        <v>4.8759</v>
      </c>
      <c r="H646" s="50" t="n">
        <v>4.0589</v>
      </c>
      <c r="I646" s="50" t="n">
        <v>5.3197</v>
      </c>
      <c r="J646" s="50" t="n">
        <v>8.6922</v>
      </c>
      <c r="K646" s="50" t="n">
        <v>4.9188</v>
      </c>
      <c r="L646" s="50" t="n">
        <v>1.1847</v>
      </c>
      <c r="M646" s="50" t="n">
        <v>0.58309</v>
      </c>
      <c r="N646" s="50" t="n">
        <v>10.4888</v>
      </c>
      <c r="O646" s="50" t="n">
        <v>2.3908</v>
      </c>
      <c r="R646" s="50" t="n">
        <v>222.41</v>
      </c>
      <c r="S646" s="50" t="n">
        <v>0.54125</v>
      </c>
      <c r="T646" s="50" t="n">
        <v>0.553</v>
      </c>
      <c r="U646" s="50" t="n">
        <v>44.6765</v>
      </c>
      <c r="V646" s="50" t="n">
        <v>0.53401</v>
      </c>
      <c r="W646" s="50" t="n">
        <v>0.9446</v>
      </c>
      <c r="X646" s="50" t="n">
        <v>1.3625</v>
      </c>
      <c r="Y646" s="50" t="n">
        <v>1.3624</v>
      </c>
      <c r="Z646" s="50" t="n">
        <v>6.75858</v>
      </c>
      <c r="AA646" s="50" t="n">
        <v>2.5502</v>
      </c>
      <c r="AB646" s="50" t="n">
        <v>4.8011</v>
      </c>
    </row>
    <row r="647">
      <c r="A647" s="49" t="n">
        <v>46175</v>
      </c>
      <c r="B647" s="50" t="n">
        <v>6.8187</v>
      </c>
      <c r="C647" s="50" t="n">
        <v>7.9068</v>
      </c>
      <c r="D647" s="50" t="n">
        <v>0.042621</v>
      </c>
      <c r="E647" s="50" t="n">
        <v>0.86998</v>
      </c>
      <c r="F647" s="50" t="n">
        <v>9.1472</v>
      </c>
      <c r="G647" s="50" t="n">
        <v>4.8681</v>
      </c>
      <c r="H647" s="50" t="n">
        <v>4.0327</v>
      </c>
      <c r="I647" s="50" t="n">
        <v>5.3167</v>
      </c>
      <c r="J647" s="50" t="n">
        <v>8.6485</v>
      </c>
      <c r="K647" s="50" t="n">
        <v>4.9081</v>
      </c>
      <c r="L647" s="50" t="n">
        <v>1.1845</v>
      </c>
      <c r="M647" s="50" t="n">
        <v>0.58268</v>
      </c>
      <c r="N647" s="50" t="n">
        <v>10.6364</v>
      </c>
      <c r="O647" s="50" t="n">
        <v>2.3981</v>
      </c>
      <c r="R647" s="50" t="n">
        <v>222.99</v>
      </c>
      <c r="S647" s="50" t="n">
        <v>0.54066</v>
      </c>
      <c r="T647" s="50" t="n">
        <v>0.55243</v>
      </c>
      <c r="U647" s="50" t="n">
        <v>44.9201</v>
      </c>
      <c r="V647" s="50" t="n">
        <v>0.53495</v>
      </c>
      <c r="W647" s="50" t="n">
        <v>0.945</v>
      </c>
      <c r="X647" s="50" t="n">
        <v>1.3703</v>
      </c>
      <c r="Y647" s="50" t="n">
        <v>1.3655</v>
      </c>
      <c r="Z647" s="50" t="n">
        <v>6.75419</v>
      </c>
      <c r="AA647" s="50" t="n">
        <v>2.55</v>
      </c>
      <c r="AB647" s="50" t="n">
        <v>4.8064</v>
      </c>
    </row>
    <row r="648">
      <c r="A648" s="49" t="n">
        <v>46176</v>
      </c>
      <c r="B648" s="50" t="n">
        <v>6.8184</v>
      </c>
      <c r="C648" s="50" t="n">
        <v>7.899</v>
      </c>
      <c r="D648" s="50" t="n">
        <v>0.042552</v>
      </c>
      <c r="E648" s="50" t="n">
        <v>0.87001</v>
      </c>
      <c r="F648" s="50" t="n">
        <v>9.1449</v>
      </c>
      <c r="G648" s="50" t="n">
        <v>4.875</v>
      </c>
      <c r="H648" s="50" t="n">
        <v>4.025</v>
      </c>
      <c r="I648" s="50" t="n">
        <v>5.3064</v>
      </c>
      <c r="J648" s="50" t="n">
        <v>8.630100000000001</v>
      </c>
      <c r="K648" s="50" t="n">
        <v>4.9065</v>
      </c>
      <c r="L648" s="50" t="n">
        <v>1.1845</v>
      </c>
      <c r="M648" s="50" t="n">
        <v>0.58379</v>
      </c>
      <c r="N648" s="50" t="n">
        <v>10.7983</v>
      </c>
      <c r="O648" s="50" t="n">
        <v>2.3913</v>
      </c>
      <c r="R648" s="50" t="n">
        <v>223.67</v>
      </c>
      <c r="S648" s="50" t="n">
        <v>0.54081</v>
      </c>
      <c r="T648" s="50" t="n">
        <v>0.55263</v>
      </c>
      <c r="U648" s="50" t="n">
        <v>44.8619</v>
      </c>
      <c r="V648" s="50" t="n">
        <v>0.5354100000000001</v>
      </c>
      <c r="W648" s="50" t="n">
        <v>0.946</v>
      </c>
      <c r="X648" s="50" t="n">
        <v>1.3726</v>
      </c>
      <c r="Y648" s="50" t="n">
        <v>1.3677</v>
      </c>
      <c r="Z648" s="50" t="n">
        <v>6.7586</v>
      </c>
      <c r="AA648" s="50" t="n">
        <v>2.5439</v>
      </c>
      <c r="AB648" s="50" t="n">
        <v>4.8192</v>
      </c>
    </row>
    <row r="649">
      <c r="A649" s="49" t="n">
        <v>46177</v>
      </c>
      <c r="B649" s="50" t="n">
        <v>6.8203</v>
      </c>
      <c r="C649" s="50" t="n">
        <v>7.892</v>
      </c>
      <c r="D649" s="50" t="n">
        <v>0.04254</v>
      </c>
      <c r="E649" s="50" t="n">
        <v>0.87033</v>
      </c>
      <c r="F649" s="50" t="n">
        <v>9.129799999999999</v>
      </c>
      <c r="G649" s="50" t="n">
        <v>4.8473</v>
      </c>
      <c r="H649" s="50" t="n">
        <v>3.9892</v>
      </c>
      <c r="I649" s="50" t="n">
        <v>5.2994</v>
      </c>
      <c r="J649" s="50" t="n">
        <v>8.598699999999999</v>
      </c>
      <c r="K649" s="50" t="n">
        <v>4.8918</v>
      </c>
      <c r="L649" s="50" t="n">
        <v>1.184</v>
      </c>
      <c r="M649" s="50" t="n">
        <v>0.58729</v>
      </c>
      <c r="N649" s="50" t="n">
        <v>10.8853</v>
      </c>
      <c r="O649" s="50" t="n">
        <v>2.4031</v>
      </c>
      <c r="R649" s="50" t="n">
        <v>224.93</v>
      </c>
      <c r="S649" s="50" t="n">
        <v>0.5404099999999999</v>
      </c>
      <c r="T649" s="50" t="n">
        <v>0.55238</v>
      </c>
      <c r="U649" s="50" t="n">
        <v>45.0404</v>
      </c>
      <c r="V649" s="50" t="n">
        <v>0.53679</v>
      </c>
      <c r="W649" s="50" t="n">
        <v>0.9469</v>
      </c>
      <c r="X649" s="50" t="n">
        <v>1.3819</v>
      </c>
      <c r="Y649" s="50" t="n">
        <v>1.3715</v>
      </c>
      <c r="Z649" s="50" t="n">
        <v>6.7568</v>
      </c>
      <c r="AA649" s="50" t="n">
        <v>2.5463</v>
      </c>
      <c r="AB649" s="50" t="n">
        <v>4.8178</v>
      </c>
    </row>
    <row r="650">
      <c r="A650" s="49" t="n">
        <v>46178</v>
      </c>
      <c r="B650" s="50" t="n">
        <v>6.8157</v>
      </c>
      <c r="C650" s="50" t="n">
        <v>7.8919</v>
      </c>
      <c r="D650" s="50" t="n">
        <v>0.04251</v>
      </c>
      <c r="E650" s="50" t="n">
        <v>0.87005</v>
      </c>
      <c r="F650" s="50" t="n">
        <v>9.123100000000001</v>
      </c>
      <c r="G650" s="50" t="n">
        <v>4.8457</v>
      </c>
      <c r="H650" s="50" t="n">
        <v>3.9885</v>
      </c>
      <c r="I650" s="50" t="n">
        <v>5.2916</v>
      </c>
      <c r="J650" s="50" t="n">
        <v>8.6152</v>
      </c>
      <c r="K650" s="50" t="n">
        <v>4.8843</v>
      </c>
      <c r="L650" s="50" t="n">
        <v>1.1844</v>
      </c>
      <c r="M650" s="50" t="n">
        <v>0.5904</v>
      </c>
      <c r="N650" s="50" t="n">
        <v>10.83</v>
      </c>
      <c r="O650" s="50" t="n">
        <v>2.3993</v>
      </c>
      <c r="R650" s="50" t="n">
        <v>226.32</v>
      </c>
      <c r="S650" s="50" t="n">
        <v>0.54079</v>
      </c>
      <c r="T650" s="50" t="n">
        <v>0.55282</v>
      </c>
      <c r="U650" s="50" t="n">
        <v>44.7925</v>
      </c>
      <c r="V650" s="50" t="n">
        <v>0.53626</v>
      </c>
      <c r="W650" s="50" t="n">
        <v>0.9471000000000001</v>
      </c>
      <c r="X650" s="50" t="n">
        <v>1.3804</v>
      </c>
      <c r="Y650" s="50" t="n">
        <v>1.3753</v>
      </c>
      <c r="Z650" s="50" t="n">
        <v>6.77611</v>
      </c>
      <c r="AA650" s="50" t="n">
        <v>2.5411</v>
      </c>
      <c r="AB650" s="50" t="n">
        <v>4.8166</v>
      </c>
    </row>
    <row r="651">
      <c r="A651" s="49" t="n">
        <v>46181</v>
      </c>
      <c r="B651" s="50" t="n">
        <v>6.8198</v>
      </c>
      <c r="C651" s="50" t="n">
        <v>7.8476</v>
      </c>
      <c r="D651" s="50" t="n">
        <v>0.042495</v>
      </c>
      <c r="E651" s="50" t="n">
        <v>0.87048</v>
      </c>
      <c r="F651" s="50" t="n">
        <v>9.081200000000001</v>
      </c>
      <c r="G651" s="50" t="n">
        <v>4.7971</v>
      </c>
      <c r="H651" s="50" t="n">
        <v>3.9486</v>
      </c>
      <c r="I651" s="50" t="n">
        <v>5.2754</v>
      </c>
      <c r="J651" s="50" t="n">
        <v>8.550800000000001</v>
      </c>
      <c r="K651" s="50" t="n">
        <v>4.8802</v>
      </c>
      <c r="L651" s="50" t="n">
        <v>1.1838</v>
      </c>
      <c r="M651" s="50" t="n">
        <v>0.5936399999999999</v>
      </c>
      <c r="N651" s="50" t="n">
        <v>10.8451</v>
      </c>
      <c r="O651" s="50" t="n">
        <v>2.4331</v>
      </c>
      <c r="R651" s="50" t="n">
        <v>228.65</v>
      </c>
      <c r="S651" s="50" t="n">
        <v>0.53962</v>
      </c>
      <c r="T651" s="50" t="n">
        <v>0.55164</v>
      </c>
      <c r="U651" s="50" t="n">
        <v>45.2995</v>
      </c>
      <c r="V651" s="50" t="n">
        <v>0.54109</v>
      </c>
      <c r="W651" s="50" t="n">
        <v>0.9522</v>
      </c>
      <c r="X651" s="50" t="n">
        <v>1.391</v>
      </c>
      <c r="Y651" s="50" t="n">
        <v>1.3892</v>
      </c>
      <c r="Z651" s="50" t="n">
        <v>6.768</v>
      </c>
      <c r="AA651" s="50" t="n">
        <v>2.5637</v>
      </c>
      <c r="AB651" s="50" t="n">
        <v>4.8281</v>
      </c>
    </row>
    <row r="652">
      <c r="A652" s="49" t="n">
        <v>46182</v>
      </c>
      <c r="B652" s="50" t="n">
        <v>6.8147</v>
      </c>
      <c r="C652" s="50" t="n">
        <v>7.84</v>
      </c>
      <c r="D652" s="50" t="n">
        <v>0.042475</v>
      </c>
      <c r="E652" s="50" t="n">
        <v>0.86957</v>
      </c>
      <c r="F652" s="50" t="n">
        <v>9.067</v>
      </c>
      <c r="G652" s="50" t="n">
        <v>4.7863</v>
      </c>
      <c r="H652" s="50" t="n">
        <v>3.9453</v>
      </c>
      <c r="I652" s="50" t="n">
        <v>5.2785</v>
      </c>
      <c r="J652" s="50" t="n">
        <v>8.5223</v>
      </c>
      <c r="K652" s="50" t="n">
        <v>4.8701</v>
      </c>
      <c r="L652" s="50" t="n">
        <v>1.1851</v>
      </c>
      <c r="M652" s="50" t="n">
        <v>0.59854</v>
      </c>
      <c r="N652" s="50" t="n">
        <v>10.764</v>
      </c>
      <c r="O652" s="50" t="n">
        <v>2.4285</v>
      </c>
      <c r="R652" s="50" t="n">
        <v>224.63</v>
      </c>
      <c r="S652" s="50" t="n">
        <v>0.54039</v>
      </c>
      <c r="T652" s="50" t="n">
        <v>0.55242</v>
      </c>
      <c r="U652" s="50" t="n">
        <v>45.3589</v>
      </c>
      <c r="V652" s="50" t="n">
        <v>0.54053</v>
      </c>
      <c r="W652" s="50" t="n">
        <v>0.9534</v>
      </c>
      <c r="X652" s="50" t="n">
        <v>1.3887</v>
      </c>
      <c r="Y652" s="50" t="n">
        <v>1.394</v>
      </c>
      <c r="Z652" s="50" t="n">
        <v>6.78052</v>
      </c>
      <c r="AA652" s="50" t="n">
        <v>2.5654</v>
      </c>
      <c r="AB652" s="50" t="n">
        <v>4.8385</v>
      </c>
    </row>
    <row r="653">
      <c r="A653" s="49" t="n">
        <v>46183</v>
      </c>
      <c r="B653" s="50" t="n">
        <v>6.813</v>
      </c>
      <c r="C653" s="50" t="n">
        <v>7.8392</v>
      </c>
      <c r="D653" s="50" t="n">
        <v>0.042416</v>
      </c>
      <c r="E653" s="50" t="n">
        <v>0.86935</v>
      </c>
      <c r="F653" s="50" t="n">
        <v>9.0847</v>
      </c>
      <c r="G653" s="50" t="n">
        <v>4.7685</v>
      </c>
      <c r="H653" s="50" t="n">
        <v>3.9455</v>
      </c>
      <c r="I653" s="50" t="n">
        <v>5.2796</v>
      </c>
      <c r="J653" s="50" t="n">
        <v>8.5059</v>
      </c>
      <c r="K653" s="50" t="n">
        <v>4.8669</v>
      </c>
      <c r="L653" s="50" t="n">
        <v>1.1854</v>
      </c>
      <c r="M653" s="50" t="n">
        <v>0.59714</v>
      </c>
      <c r="N653" s="50" t="n">
        <v>10.6062</v>
      </c>
      <c r="O653" s="50" t="n">
        <v>2.433</v>
      </c>
      <c r="R653" s="50" t="n">
        <v>224.44</v>
      </c>
      <c r="S653" s="50" t="n">
        <v>0.54072</v>
      </c>
      <c r="T653" s="50" t="n">
        <v>0.55278</v>
      </c>
      <c r="U653" s="50" t="n">
        <v>45.3545</v>
      </c>
      <c r="V653" s="50" t="n">
        <v>0.54059</v>
      </c>
      <c r="W653" s="50" t="n">
        <v>0.9535</v>
      </c>
      <c r="X653" s="50" t="n">
        <v>1.396</v>
      </c>
      <c r="Y653" s="50" t="n">
        <v>1.4009</v>
      </c>
      <c r="Z653" s="50" t="n">
        <v>6.78554</v>
      </c>
      <c r="AA653" s="50" t="n">
        <v>2.5656</v>
      </c>
      <c r="AB653" s="50" t="n">
        <v>4.8496</v>
      </c>
    </row>
    <row r="654">
      <c r="A654" s="49" t="n">
        <v>46184</v>
      </c>
      <c r="B654" s="50" t="n">
        <v>6.815</v>
      </c>
      <c r="C654" s="50" t="n">
        <v>7.8425</v>
      </c>
      <c r="D654" s="50" t="n">
        <v>0.042385</v>
      </c>
      <c r="E654" s="50" t="n">
        <v>0.86975</v>
      </c>
      <c r="F654" s="50" t="n">
        <v>9.083399999999999</v>
      </c>
      <c r="G654" s="50" t="n">
        <v>4.7556</v>
      </c>
      <c r="H654" s="50" t="n">
        <v>3.9391</v>
      </c>
      <c r="I654" s="50" t="n">
        <v>5.2798</v>
      </c>
      <c r="J654" s="50" t="n">
        <v>8.500999999999999</v>
      </c>
      <c r="K654" s="50" t="n">
        <v>4.8726</v>
      </c>
      <c r="L654" s="50" t="n">
        <v>1.1848</v>
      </c>
      <c r="M654" s="50" t="n">
        <v>0.59862</v>
      </c>
      <c r="N654" s="50" t="n">
        <v>10.6393</v>
      </c>
      <c r="O654" s="50" t="n">
        <v>2.4378</v>
      </c>
      <c r="R654" s="50" t="n">
        <v>224.27</v>
      </c>
      <c r="S654" s="50" t="n">
        <v>0.5405</v>
      </c>
      <c r="T654" s="50" t="n">
        <v>0.55245</v>
      </c>
      <c r="U654" s="50" t="n">
        <v>45.448</v>
      </c>
      <c r="V654" s="50" t="n">
        <v>0.54188</v>
      </c>
      <c r="W654" s="50" t="n">
        <v>0.9530999999999999</v>
      </c>
      <c r="X654" s="50" t="n">
        <v>1.4005</v>
      </c>
      <c r="Y654" s="50" t="n">
        <v>1.3934</v>
      </c>
      <c r="Z654" s="50" t="n">
        <v>6.78836</v>
      </c>
      <c r="AA654" s="50" t="n">
        <v>2.56</v>
      </c>
      <c r="AB654" s="50" t="n">
        <v>4.8551</v>
      </c>
    </row>
    <row r="655">
      <c r="A655" s="49" t="n">
        <v>46185</v>
      </c>
      <c r="B655" s="50" t="n">
        <v>6.8109</v>
      </c>
      <c r="C655" s="50" t="n">
        <v>7.8576</v>
      </c>
      <c r="D655" s="50" t="n">
        <v>0.042419</v>
      </c>
      <c r="E655" s="50" t="n">
        <v>0.86926</v>
      </c>
      <c r="F655" s="50" t="n">
        <v>9.1053</v>
      </c>
      <c r="G655" s="50" t="n">
        <v>4.7807</v>
      </c>
      <c r="H655" s="50" t="n">
        <v>3.9546</v>
      </c>
      <c r="I655" s="50" t="n">
        <v>5.2891</v>
      </c>
      <c r="J655" s="50" t="n">
        <v>8.539899999999999</v>
      </c>
      <c r="K655" s="50" t="n">
        <v>4.8559</v>
      </c>
      <c r="L655" s="50" t="n">
        <v>1.1859</v>
      </c>
      <c r="M655" s="50" t="n">
        <v>0.59776</v>
      </c>
      <c r="N655" s="50" t="n">
        <v>10.6262</v>
      </c>
      <c r="O655" s="50" t="n">
        <v>2.3967</v>
      </c>
      <c r="R655" s="50" t="n">
        <v>224.26</v>
      </c>
      <c r="S655" s="50" t="n">
        <v>0.54139</v>
      </c>
      <c r="T655" s="50" t="n">
        <v>0.5533400000000001</v>
      </c>
      <c r="U655" s="50" t="n">
        <v>45.0366</v>
      </c>
      <c r="V655" s="50" t="n">
        <v>0.54023</v>
      </c>
      <c r="W655" s="50" t="n">
        <v>0.9513</v>
      </c>
      <c r="X655" s="50" t="n">
        <v>1.3921</v>
      </c>
      <c r="Y655" s="50" t="n">
        <v>1.3992</v>
      </c>
      <c r="Z655" s="50" t="n">
        <v>6.81127</v>
      </c>
      <c r="AA655" s="50" t="n">
        <v>2.5371</v>
      </c>
      <c r="AB655" s="50" t="n">
        <v>4.8359</v>
      </c>
    </row>
    <row r="656">
      <c r="A656" s="49" t="n">
        <v>46188</v>
      </c>
      <c r="B656" s="50" t="n">
        <v>6.8088</v>
      </c>
      <c r="C656" s="50" t="n">
        <v>7.8686</v>
      </c>
      <c r="D656" s="50" t="n">
        <v>0.042424</v>
      </c>
      <c r="E656" s="50" t="n">
        <v>0.86897</v>
      </c>
      <c r="F656" s="50" t="n">
        <v>9.1191</v>
      </c>
      <c r="G656" s="50" t="n">
        <v>4.7949</v>
      </c>
      <c r="H656" s="50" t="n">
        <v>3.9662</v>
      </c>
      <c r="I656" s="50" t="n">
        <v>5.2944</v>
      </c>
      <c r="J656" s="50" t="n">
        <v>8.5442</v>
      </c>
      <c r="K656" s="50" t="n">
        <v>4.8525</v>
      </c>
      <c r="L656" s="50" t="n">
        <v>1.1859</v>
      </c>
      <c r="M656" s="50" t="n">
        <v>0.59687</v>
      </c>
      <c r="N656" s="50" t="n">
        <v>10.7113</v>
      </c>
      <c r="O656" s="50" t="n">
        <v>2.387</v>
      </c>
      <c r="R656" s="50" t="n">
        <v>223.19</v>
      </c>
      <c r="S656" s="50" t="n">
        <v>0.54199</v>
      </c>
      <c r="T656" s="50" t="n">
        <v>0.55377</v>
      </c>
      <c r="U656" s="50" t="n">
        <v>44.5929</v>
      </c>
      <c r="V656" s="50" t="n">
        <v>0.5384</v>
      </c>
      <c r="W656" s="50" t="n">
        <v>0.95</v>
      </c>
      <c r="X656" s="50" t="n">
        <v>1.3848</v>
      </c>
      <c r="Y656" s="50" t="n">
        <v>1.4018</v>
      </c>
      <c r="Z656" s="50" t="n">
        <v>6.82241</v>
      </c>
      <c r="AA656" s="50" t="n">
        <v>2.5269</v>
      </c>
      <c r="AB656" s="50" t="n">
        <v>4.817</v>
      </c>
    </row>
    <row r="657">
      <c r="A657" s="49" t="n">
        <v>46189</v>
      </c>
      <c r="B657" s="50" t="n">
        <v>6.8108</v>
      </c>
      <c r="C657" s="50" t="n">
        <v>7.8636</v>
      </c>
      <c r="D657" s="50" t="n">
        <v>0.042395</v>
      </c>
      <c r="E657" s="50" t="n">
        <v>0.86932</v>
      </c>
      <c r="F657" s="50" t="n">
        <v>9.1015</v>
      </c>
      <c r="G657" s="50" t="n">
        <v>4.7961</v>
      </c>
      <c r="H657" s="50" t="n">
        <v>3.9522</v>
      </c>
      <c r="I657" s="50" t="n">
        <v>5.2901</v>
      </c>
      <c r="J657" s="50" t="n">
        <v>8.545299999999999</v>
      </c>
      <c r="K657" s="50" t="n">
        <v>4.8465</v>
      </c>
      <c r="L657" s="50" t="n">
        <v>1.1854</v>
      </c>
      <c r="M657" s="50" t="n">
        <v>0.59618</v>
      </c>
      <c r="N657" s="50" t="n">
        <v>10.7214</v>
      </c>
      <c r="O657" s="50" t="n">
        <v>2.3849</v>
      </c>
      <c r="R657" s="50" t="n">
        <v>223.72</v>
      </c>
      <c r="S657" s="50" t="n">
        <v>0.54164</v>
      </c>
      <c r="T657" s="50" t="n">
        <v>0.55338</v>
      </c>
      <c r="U657" s="50" t="n">
        <v>44.5015</v>
      </c>
      <c r="V657" s="50" t="n">
        <v>0.5399</v>
      </c>
      <c r="W657" s="50" t="n">
        <v>0.9505</v>
      </c>
      <c r="X657" s="50" t="n">
        <v>1.386</v>
      </c>
      <c r="Y657" s="50" t="n">
        <v>1.4063</v>
      </c>
      <c r="Z657" s="50" t="n">
        <v>6.82081</v>
      </c>
      <c r="AA657" s="50" t="n">
        <v>2.5334</v>
      </c>
      <c r="AB657" s="50" t="n">
        <v>4.8058</v>
      </c>
    </row>
    <row r="658">
      <c r="A658" s="49" t="n">
        <v>46190</v>
      </c>
      <c r="B658" s="50" t="n">
        <v>6.8096</v>
      </c>
      <c r="C658" s="50" t="n">
        <v>7.8776</v>
      </c>
      <c r="D658" s="50" t="n">
        <v>0.042346</v>
      </c>
      <c r="E658" s="50" t="n">
        <v>0.8694499999999999</v>
      </c>
      <c r="F658" s="50" t="n">
        <v>9.1099</v>
      </c>
      <c r="G658" s="50" t="n">
        <v>4.7944</v>
      </c>
      <c r="H658" s="50" t="n">
        <v>3.9557</v>
      </c>
      <c r="I658" s="50" t="n">
        <v>5.2925</v>
      </c>
      <c r="J658" s="50" t="n">
        <v>8.5616</v>
      </c>
      <c r="K658" s="50" t="n">
        <v>4.845</v>
      </c>
      <c r="L658" s="50" t="n">
        <v>1.1852</v>
      </c>
      <c r="M658" s="50" t="n">
        <v>0.59894</v>
      </c>
      <c r="N658" s="50" t="n">
        <v>10.7305</v>
      </c>
      <c r="O658" s="50" t="n">
        <v>2.3844</v>
      </c>
      <c r="R658" s="50" t="n">
        <v>223.24</v>
      </c>
      <c r="S658" s="50" t="n">
        <v>0.54176</v>
      </c>
      <c r="T658" s="50" t="n">
        <v>0.55353</v>
      </c>
      <c r="U658" s="50" t="n">
        <v>44.2941</v>
      </c>
      <c r="V658" s="50" t="n">
        <v>0.53722</v>
      </c>
      <c r="W658" s="50" t="n">
        <v>0.9488</v>
      </c>
      <c r="X658" s="50" t="n">
        <v>1.3807</v>
      </c>
      <c r="Y658" s="50" t="n">
        <v>1.3972</v>
      </c>
      <c r="Z658" s="50" t="n">
        <v>6.82504</v>
      </c>
      <c r="AA658" s="50" t="n">
        <v>2.5318</v>
      </c>
      <c r="AB658" s="50" t="n">
        <v>4.8039</v>
      </c>
    </row>
    <row r="659">
      <c r="A659" s="49" t="n">
        <v>46191</v>
      </c>
      <c r="B659" s="50" t="n">
        <v>6.813</v>
      </c>
      <c r="C659" s="50" t="n">
        <v>7.8174</v>
      </c>
      <c r="D659" s="50" t="n">
        <v>0.042336</v>
      </c>
      <c r="E659" s="50" t="n">
        <v>0.86948</v>
      </c>
      <c r="F659" s="50" t="n">
        <v>9.039199999999999</v>
      </c>
      <c r="G659" s="50" t="n">
        <v>4.7702</v>
      </c>
      <c r="H659" s="50" t="n">
        <v>3.9259</v>
      </c>
      <c r="I659" s="50" t="n">
        <v>5.2764</v>
      </c>
      <c r="J659" s="50" t="n">
        <v>8.5038</v>
      </c>
      <c r="K659" s="50" t="n">
        <v>4.8168</v>
      </c>
      <c r="L659" s="50" t="n">
        <v>1.1851</v>
      </c>
      <c r="M659" s="50" t="n">
        <v>0.59962</v>
      </c>
      <c r="N659" s="50" t="n">
        <v>10.7647</v>
      </c>
      <c r="O659" s="50" t="n">
        <v>2.4085</v>
      </c>
      <c r="R659" s="50" t="n">
        <v>224.87</v>
      </c>
      <c r="S659" s="50" t="n">
        <v>0.54076</v>
      </c>
      <c r="T659" s="50" t="n">
        <v>0.5525600000000001</v>
      </c>
      <c r="U659" s="50" t="n">
        <v>44.8793</v>
      </c>
      <c r="V659" s="50" t="n">
        <v>0.54243</v>
      </c>
      <c r="W659" s="50" t="n">
        <v>0.9558</v>
      </c>
      <c r="X659" s="50" t="n">
        <v>1.3997</v>
      </c>
      <c r="Y659" s="50" t="n">
        <v>1.4154</v>
      </c>
      <c r="Z659" s="50" t="n">
        <v>6.83324</v>
      </c>
      <c r="AA659" s="50" t="n">
        <v>2.5428</v>
      </c>
      <c r="AB659" s="50" t="n">
        <v>4.8197</v>
      </c>
    </row>
    <row r="660">
      <c r="A660" s="49" t="n">
        <v>46195</v>
      </c>
      <c r="B660" s="50" t="n">
        <v>6.815</v>
      </c>
      <c r="C660" s="50" t="n">
        <v>7.7886</v>
      </c>
      <c r="D660" s="50" t="n">
        <v>0.042158</v>
      </c>
      <c r="E660" s="50" t="n">
        <v>0.86955</v>
      </c>
      <c r="F660" s="50" t="n">
        <v>8.977399999999999</v>
      </c>
      <c r="G660" s="50" t="n">
        <v>4.759</v>
      </c>
      <c r="H660" s="50" t="n">
        <v>3.8958</v>
      </c>
      <c r="I660" s="50" t="n">
        <v>5.2586</v>
      </c>
      <c r="J660" s="50" t="n">
        <v>8.4161</v>
      </c>
      <c r="K660" s="50" t="n">
        <v>4.7915</v>
      </c>
      <c r="L660" s="50" t="n">
        <v>1.1852</v>
      </c>
      <c r="M660" s="50" t="n">
        <v>0.60821</v>
      </c>
      <c r="N660" s="50" t="n">
        <v>10.78</v>
      </c>
      <c r="O660" s="50" t="n">
        <v>2.4199</v>
      </c>
      <c r="R660" s="50" t="n">
        <v>225.7</v>
      </c>
      <c r="S660" s="50" t="n">
        <v>0.54074</v>
      </c>
      <c r="T660" s="50" t="n">
        <v>0.55262</v>
      </c>
      <c r="U660" s="50" t="n">
        <v>45.185</v>
      </c>
      <c r="V660" s="50" t="n">
        <v>0.54614</v>
      </c>
      <c r="W660" s="50" t="n">
        <v>0.9597</v>
      </c>
      <c r="X660" s="50" t="n">
        <v>1.4117</v>
      </c>
      <c r="Y660" s="50" t="n">
        <v>1.4286</v>
      </c>
      <c r="Z660" s="50" t="n">
        <v>6.83489</v>
      </c>
      <c r="AA660" s="50" t="n">
        <v>2.5493</v>
      </c>
      <c r="AB660" s="50" t="n">
        <v>4.8522</v>
      </c>
    </row>
    <row r="661">
      <c r="A661" s="49" t="n">
        <v>46196</v>
      </c>
      <c r="B661" s="50" t="n">
        <v>6.8171</v>
      </c>
      <c r="C661" s="50" t="n">
        <v>7.7654</v>
      </c>
      <c r="D661" s="50" t="n">
        <v>0.042121</v>
      </c>
      <c r="E661" s="50" t="n">
        <v>0.86953</v>
      </c>
      <c r="F661" s="50" t="n">
        <v>9.004300000000001</v>
      </c>
      <c r="G661" s="50" t="n">
        <v>4.7541</v>
      </c>
      <c r="H661" s="50" t="n">
        <v>3.8806</v>
      </c>
      <c r="I661" s="50" t="n">
        <v>5.2553</v>
      </c>
      <c r="J661" s="50" t="n">
        <v>8.4077</v>
      </c>
      <c r="K661" s="50" t="n">
        <v>4.799</v>
      </c>
      <c r="L661" s="50" t="n">
        <v>1.1851</v>
      </c>
      <c r="M661" s="50" t="n">
        <v>0.60942</v>
      </c>
      <c r="N661" s="50" t="n">
        <v>10.9467</v>
      </c>
      <c r="O661" s="50" t="n">
        <v>2.4118</v>
      </c>
      <c r="R661" s="50" t="n">
        <v>226.65</v>
      </c>
      <c r="S661" s="50" t="n">
        <v>0.54059</v>
      </c>
      <c r="T661" s="50" t="n">
        <v>0.55262</v>
      </c>
      <c r="U661" s="50" t="n">
        <v>45.3135</v>
      </c>
      <c r="V661" s="50" t="n">
        <v>0.54957</v>
      </c>
      <c r="W661" s="50" t="n">
        <v>0.9625</v>
      </c>
      <c r="X661" s="50" t="n">
        <v>1.4159</v>
      </c>
      <c r="Y661" s="50" t="n">
        <v>1.4275</v>
      </c>
      <c r="Z661" s="50" t="n">
        <v>6.83589</v>
      </c>
      <c r="AA661" s="50" t="n">
        <v>2.5515</v>
      </c>
      <c r="AB661" s="50" t="n">
        <v>4.8587</v>
      </c>
    </row>
    <row r="662">
      <c r="A662" s="49" t="n">
        <v>46197</v>
      </c>
      <c r="B662" s="50" t="n">
        <v>6.8195</v>
      </c>
      <c r="C662" s="50" t="n">
        <v>7.7434</v>
      </c>
      <c r="D662" s="50" t="n">
        <v>0.042144</v>
      </c>
      <c r="E662" s="50" t="n">
        <v>0.86975</v>
      </c>
      <c r="F662" s="50" t="n">
        <v>8.9818</v>
      </c>
      <c r="G662" s="50" t="n">
        <v>4.7046</v>
      </c>
      <c r="H662" s="50" t="n">
        <v>3.8542</v>
      </c>
      <c r="I662" s="50" t="n">
        <v>5.2477</v>
      </c>
      <c r="J662" s="50" t="n">
        <v>8.408300000000001</v>
      </c>
      <c r="K662" s="50" t="n">
        <v>4.787</v>
      </c>
      <c r="L662" s="50" t="n">
        <v>1.1848</v>
      </c>
      <c r="M662" s="50" t="n">
        <v>0.60831</v>
      </c>
      <c r="N662" s="50" t="n">
        <v>10.974</v>
      </c>
      <c r="O662" s="50" t="n">
        <v>2.4295</v>
      </c>
      <c r="R662" s="50" t="n">
        <v>225.59</v>
      </c>
      <c r="S662" s="50" t="n">
        <v>0.53989</v>
      </c>
      <c r="T662" s="50" t="n">
        <v>0.55183</v>
      </c>
      <c r="U662" s="50" t="n">
        <v>45.8491</v>
      </c>
      <c r="V662" s="50" t="n">
        <v>0.55244</v>
      </c>
      <c r="W662" s="50" t="n">
        <v>0.9654</v>
      </c>
      <c r="X662" s="50" t="n">
        <v>1.4315</v>
      </c>
      <c r="Y662" s="50" t="n">
        <v>1.4401</v>
      </c>
      <c r="Z662" s="50" t="n">
        <v>6.82859</v>
      </c>
      <c r="AA662" s="50" t="n">
        <v>2.5778</v>
      </c>
      <c r="AB662" s="50" t="n">
        <v>4.8963</v>
      </c>
    </row>
    <row r="663">
      <c r="A663" s="49" t="n">
        <v>46198</v>
      </c>
      <c r="B663" s="50" t="n">
        <v>6.8209</v>
      </c>
      <c r="C663" s="50" t="n">
        <v>7.7349</v>
      </c>
      <c r="D663" s="50" t="n">
        <v>0.042124</v>
      </c>
      <c r="E663" s="50" t="n">
        <v>0.87012</v>
      </c>
      <c r="F663" s="50" t="n">
        <v>8.9682</v>
      </c>
      <c r="G663" s="50" t="n">
        <v>4.6992</v>
      </c>
      <c r="H663" s="50" t="n">
        <v>3.845</v>
      </c>
      <c r="I663" s="50" t="n">
        <v>5.2507</v>
      </c>
      <c r="J663" s="50" t="n">
        <v>8.3874</v>
      </c>
      <c r="K663" s="50" t="n">
        <v>4.7853</v>
      </c>
      <c r="L663" s="50" t="n">
        <v>1.1843</v>
      </c>
      <c r="M663" s="50" t="n">
        <v>0.60668</v>
      </c>
      <c r="N663" s="50" t="n">
        <v>10.9897</v>
      </c>
      <c r="O663" s="50" t="n">
        <v>2.431</v>
      </c>
      <c r="R663" s="50" t="n">
        <v>226.65</v>
      </c>
      <c r="S663" s="50" t="n">
        <v>0.5392</v>
      </c>
      <c r="T663" s="50" t="n">
        <v>0.55118</v>
      </c>
      <c r="U663" s="50" t="n">
        <v>45.9755</v>
      </c>
      <c r="V663" s="50" t="n">
        <v>0.55391</v>
      </c>
      <c r="W663" s="50" t="n">
        <v>0.9664</v>
      </c>
      <c r="X663" s="50" t="n">
        <v>1.4322</v>
      </c>
      <c r="Y663" s="50" t="n">
        <v>1.4466</v>
      </c>
      <c r="Z663" s="50" t="n">
        <v>6.82659</v>
      </c>
      <c r="AA663" s="50" t="n">
        <v>2.5856</v>
      </c>
      <c r="AB663" s="50" t="n">
        <v>4.9099</v>
      </c>
    </row>
    <row r="664">
      <c r="A664" s="49" t="n">
        <v>46199</v>
      </c>
      <c r="B664" s="50" t="n">
        <v>6.8166</v>
      </c>
      <c r="C664" s="50" t="n">
        <v>7.7405</v>
      </c>
      <c r="D664" s="50" t="n">
        <v>0.042107</v>
      </c>
      <c r="E664" s="50" t="n">
        <v>0.86942</v>
      </c>
      <c r="F664" s="50" t="n">
        <v>8.9832</v>
      </c>
      <c r="G664" s="50" t="n">
        <v>4.7021</v>
      </c>
      <c r="H664" s="50" t="n">
        <v>3.8435</v>
      </c>
      <c r="I664" s="50" t="n">
        <v>5.2526</v>
      </c>
      <c r="J664" s="50" t="n">
        <v>8.4046</v>
      </c>
      <c r="K664" s="50" t="n">
        <v>4.7954</v>
      </c>
      <c r="L664" s="50" t="n">
        <v>1.1852</v>
      </c>
      <c r="M664" s="50" t="n">
        <v>0.60449</v>
      </c>
      <c r="N664" s="50" t="n">
        <v>11.1023</v>
      </c>
      <c r="O664" s="50" t="n">
        <v>2.4214</v>
      </c>
      <c r="R664" s="50" t="n">
        <v>227.05</v>
      </c>
      <c r="S664" s="50" t="n">
        <v>0.53926</v>
      </c>
      <c r="T664" s="50" t="n">
        <v>0.5513400000000001</v>
      </c>
      <c r="U664" s="50" t="n">
        <v>45.7348</v>
      </c>
      <c r="V664" s="50" t="n">
        <v>0.55304</v>
      </c>
      <c r="W664" s="50" t="n">
        <v>0.9658</v>
      </c>
      <c r="X664" s="50" t="n">
        <v>1.4302</v>
      </c>
      <c r="Y664" s="50" t="n">
        <v>1.4485</v>
      </c>
      <c r="Z664" s="50" t="n">
        <v>6.8384</v>
      </c>
      <c r="AA664" s="50" t="n">
        <v>2.5684</v>
      </c>
      <c r="AB664" s="50" t="n">
        <v>4.9047</v>
      </c>
    </row>
    <row r="665">
      <c r="A665" s="49" t="n">
        <v>46202</v>
      </c>
      <c r="B665" s="50" t="n">
        <v>6.8175</v>
      </c>
      <c r="C665" s="50" t="n">
        <v>7.7564</v>
      </c>
      <c r="D665" s="50" t="n">
        <v>0.04211</v>
      </c>
      <c r="E665" s="50" t="n">
        <v>0.86919</v>
      </c>
      <c r="F665" s="50" t="n">
        <v>8.9902</v>
      </c>
      <c r="G665" s="50" t="n">
        <v>4.6955</v>
      </c>
      <c r="H665" s="50" t="n">
        <v>3.8404</v>
      </c>
      <c r="I665" s="50" t="n">
        <v>5.2623</v>
      </c>
      <c r="J665" s="50" t="n">
        <v>8.4108</v>
      </c>
      <c r="K665" s="50" t="n">
        <v>4.8004</v>
      </c>
      <c r="L665" s="50" t="n">
        <v>1.185</v>
      </c>
      <c r="M665" s="50" t="n">
        <v>0.60002</v>
      </c>
      <c r="N665" s="50" t="n">
        <v>11.5591</v>
      </c>
      <c r="O665" s="50" t="n">
        <v>2.416</v>
      </c>
      <c r="R665" s="50" t="n">
        <v>225.6</v>
      </c>
      <c r="S665" s="50" t="n">
        <v>0.53922</v>
      </c>
      <c r="T665" s="50" t="n">
        <v>0.5513</v>
      </c>
      <c r="U665" s="50" t="n">
        <v>45.6245</v>
      </c>
      <c r="V665" s="50" t="n">
        <v>0.5527</v>
      </c>
      <c r="W665" s="50" t="n">
        <v>0.9637</v>
      </c>
      <c r="X665" s="50" t="n">
        <v>1.4295</v>
      </c>
      <c r="Y665" s="50" t="n">
        <v>1.4591</v>
      </c>
      <c r="Z665" s="50" t="n">
        <v>6.84029</v>
      </c>
      <c r="AA665" s="50" t="n">
        <v>2.5691</v>
      </c>
      <c r="AB665" s="50" t="n">
        <v>4.9063</v>
      </c>
    </row>
    <row r="666">
      <c r="A666" s="49" t="n">
        <v>46203</v>
      </c>
      <c r="B666" s="50" t="n">
        <v>6.8109</v>
      </c>
      <c r="C666" s="50" t="n">
        <v>7.7671</v>
      </c>
      <c r="D666" s="50" t="n">
        <v>0.042045</v>
      </c>
      <c r="E666" s="50" t="n">
        <v>0.86855</v>
      </c>
      <c r="F666" s="50" t="n">
        <v>9.0145</v>
      </c>
      <c r="G666" s="50" t="n">
        <v>4.6804</v>
      </c>
      <c r="H666" s="50" t="n">
        <v>3.8414</v>
      </c>
      <c r="I666" s="50" t="n">
        <v>5.2605</v>
      </c>
      <c r="J666" s="50" t="n">
        <v>8.422800000000001</v>
      </c>
      <c r="K666" s="50" t="n">
        <v>4.7847</v>
      </c>
      <c r="L666" s="50" t="n">
        <v>1.1859</v>
      </c>
      <c r="M666" s="50" t="n">
        <v>0.59758</v>
      </c>
      <c r="N666" s="50" t="n">
        <v>11.3293</v>
      </c>
      <c r="O666" s="50" t="n">
        <v>2.4131</v>
      </c>
      <c r="R666" s="50" t="n">
        <v>227.12</v>
      </c>
      <c r="S666" s="50" t="n">
        <v>0.54023</v>
      </c>
      <c r="T666" s="50" t="n">
        <v>0.55237</v>
      </c>
      <c r="U666" s="50" t="n">
        <v>45.5349</v>
      </c>
      <c r="V666" s="50" t="n">
        <v>0.55184</v>
      </c>
      <c r="W666" s="50" t="n">
        <v>0.9623</v>
      </c>
      <c r="X666" s="50" t="n">
        <v>1.4279</v>
      </c>
      <c r="Y666" s="50" t="n">
        <v>1.46</v>
      </c>
      <c r="Z666" s="50" t="n">
        <v>6.85834</v>
      </c>
      <c r="AA666" s="50" t="n">
        <v>2.5662</v>
      </c>
      <c r="AB666" s="50" t="n">
        <v>4.8961</v>
      </c>
    </row>
    <row r="667">
      <c r="A667" s="49" t="n">
        <v>46204</v>
      </c>
      <c r="B667" s="50" t="n">
        <v>6.8067</v>
      </c>
      <c r="C667" s="50" t="n">
        <v>7.7574</v>
      </c>
      <c r="D667" s="50" t="n">
        <v>0.041835</v>
      </c>
      <c r="E667" s="50" t="n">
        <v>0.8678399999999999</v>
      </c>
      <c r="F667" s="50" t="n">
        <v>9.0076</v>
      </c>
      <c r="G667" s="50" t="n">
        <v>4.6987</v>
      </c>
      <c r="H667" s="50" t="n">
        <v>3.8566</v>
      </c>
      <c r="I667" s="50" t="n">
        <v>5.2528</v>
      </c>
      <c r="J667" s="50" t="n">
        <v>8.408799999999999</v>
      </c>
      <c r="K667" s="50" t="n">
        <v>4.7842</v>
      </c>
      <c r="L667" s="50" t="n">
        <v>1.1869</v>
      </c>
      <c r="M667" s="50" t="n">
        <v>0.60022</v>
      </c>
      <c r="N667" s="50" t="n">
        <v>11.5913</v>
      </c>
      <c r="O667" s="50" t="n">
        <v>2.4103</v>
      </c>
      <c r="R667" s="50" t="n">
        <v>228.18</v>
      </c>
      <c r="S667" s="50" t="n">
        <v>0.54055</v>
      </c>
      <c r="T667" s="50" t="n">
        <v>0.55293</v>
      </c>
      <c r="U667" s="50" t="n">
        <v>45.8252</v>
      </c>
      <c r="V667" s="50" t="n">
        <v>0.55379</v>
      </c>
      <c r="W667" s="50" t="n">
        <v>0.9635</v>
      </c>
      <c r="X667" s="50" t="n">
        <v>1.4284</v>
      </c>
      <c r="Y667" s="50" t="n">
        <v>1.4591</v>
      </c>
      <c r="Z667" s="50" t="n">
        <v>6.86429</v>
      </c>
      <c r="AA667" s="50" t="n">
        <v>2.5714</v>
      </c>
      <c r="AB667" s="50" t="n">
        <v>4.9009</v>
      </c>
    </row>
    <row r="668">
      <c r="A668" s="49" t="n">
        <v>46205</v>
      </c>
      <c r="B668" s="50" t="n">
        <v>6.8088</v>
      </c>
      <c r="C668" s="50" t="n">
        <v>7.7362</v>
      </c>
      <c r="D668" s="50" t="n">
        <v>0.04184</v>
      </c>
      <c r="E668" s="50" t="n">
        <v>0.86804</v>
      </c>
      <c r="F668" s="50" t="n">
        <v>9.028700000000001</v>
      </c>
      <c r="G668" s="50" t="n">
        <v>4.685</v>
      </c>
      <c r="H668" s="50" t="n">
        <v>3.8575</v>
      </c>
      <c r="I668" s="50" t="n">
        <v>5.2478</v>
      </c>
      <c r="J668" s="50" t="n">
        <v>8.403700000000001</v>
      </c>
      <c r="K668" s="50" t="n">
        <v>4.7811</v>
      </c>
      <c r="L668" s="50" t="n">
        <v>1.1865</v>
      </c>
      <c r="M668" s="50" t="n">
        <v>0.60162</v>
      </c>
      <c r="N668" s="50" t="n">
        <v>11.4187</v>
      </c>
      <c r="O668" s="50" t="n">
        <v>2.4132</v>
      </c>
      <c r="R668" s="50" t="n">
        <v>228.43</v>
      </c>
      <c r="S668" s="50" t="n">
        <v>0.54026</v>
      </c>
      <c r="T668" s="50" t="n">
        <v>0.55235</v>
      </c>
      <c r="U668" s="50" t="n">
        <v>45.9532</v>
      </c>
      <c r="V668" s="50" t="n">
        <v>0.55471</v>
      </c>
      <c r="W668" s="50" t="n">
        <v>0.9661999999999999</v>
      </c>
      <c r="X668" s="50" t="n">
        <v>1.4309</v>
      </c>
      <c r="Y668" s="50" t="n">
        <v>1.4586</v>
      </c>
      <c r="Z668" s="50" t="n">
        <v>6.86545</v>
      </c>
      <c r="AA668" s="50" t="n">
        <v>2.5811</v>
      </c>
      <c r="AB668" s="50" t="n">
        <v>4.9054</v>
      </c>
    </row>
    <row r="669">
      <c r="A669" s="49" t="n">
        <v>46206</v>
      </c>
      <c r="B669" s="50" t="n">
        <v>6.8047</v>
      </c>
      <c r="C669" s="50" t="n">
        <v>7.7609</v>
      </c>
      <c r="D669" s="50" t="n">
        <v>0.042094</v>
      </c>
      <c r="E669" s="50" t="n">
        <v>0.86754</v>
      </c>
      <c r="F669" s="50" t="n">
        <v>9.06</v>
      </c>
      <c r="G669" s="50" t="n">
        <v>4.6964</v>
      </c>
      <c r="H669" s="50" t="n">
        <v>3.8651</v>
      </c>
      <c r="I669" s="50" t="n">
        <v>5.2562</v>
      </c>
      <c r="J669" s="50" t="n">
        <v>8.4458</v>
      </c>
      <c r="K669" s="50" t="n">
        <v>4.7857</v>
      </c>
      <c r="L669" s="50" t="n">
        <v>1.1872</v>
      </c>
      <c r="M669" s="50" t="n">
        <v>0.5999100000000001</v>
      </c>
      <c r="N669" s="50" t="n">
        <v>11.4213</v>
      </c>
      <c r="O669" s="50" t="n">
        <v>2.3933</v>
      </c>
      <c r="R669" s="50" t="n">
        <v>227.1</v>
      </c>
      <c r="S669" s="50" t="n">
        <v>0.54096</v>
      </c>
      <c r="T669" s="50" t="n">
        <v>0.55302</v>
      </c>
      <c r="U669" s="50" t="n">
        <v>45.6269</v>
      </c>
      <c r="V669" s="50" t="n">
        <v>0.55225</v>
      </c>
      <c r="W669" s="50" t="n">
        <v>0.9631999999999999</v>
      </c>
      <c r="X669" s="50" t="n">
        <v>1.4259</v>
      </c>
      <c r="Y669" s="50" t="n">
        <v>1.4508</v>
      </c>
      <c r="Z669" s="50" t="n">
        <v>6.88085</v>
      </c>
      <c r="AA669" s="50" t="n">
        <v>2.5708</v>
      </c>
      <c r="AB669" s="50" t="n">
        <v>4.8964</v>
      </c>
    </row>
    <row r="670">
      <c r="A670" s="49" t="n">
        <v>46209</v>
      </c>
      <c r="B670" s="50" t="n">
        <v>6.8066</v>
      </c>
      <c r="C670" s="50" t="n">
        <v>7.7708</v>
      </c>
      <c r="D670" s="50" t="n">
        <v>0.042084</v>
      </c>
      <c r="E670" s="50" t="n">
        <v>0.86781</v>
      </c>
      <c r="F670" s="50" t="n">
        <v>9.070499999999999</v>
      </c>
      <c r="G670" s="50" t="n">
        <v>4.712</v>
      </c>
      <c r="H670" s="50" t="n">
        <v>3.8727</v>
      </c>
      <c r="I670" s="50" t="n">
        <v>5.2592</v>
      </c>
      <c r="J670" s="50" t="n">
        <v>8.455</v>
      </c>
      <c r="K670" s="50" t="n">
        <v>4.7825</v>
      </c>
      <c r="L670" s="50" t="n">
        <v>1.1875</v>
      </c>
      <c r="M670" s="50" t="n">
        <v>0.59882</v>
      </c>
      <c r="N670" s="50" t="n">
        <v>11.363</v>
      </c>
      <c r="O670" s="50" t="n">
        <v>2.3873</v>
      </c>
      <c r="R670" s="50" t="n">
        <v>225.27</v>
      </c>
      <c r="S670" s="50" t="n">
        <v>0.54066</v>
      </c>
      <c r="T670" s="50" t="n">
        <v>0.55266</v>
      </c>
      <c r="U670" s="50" t="n">
        <v>45.4245</v>
      </c>
      <c r="V670" s="50" t="n">
        <v>0.55184</v>
      </c>
      <c r="W670" s="50" t="n">
        <v>0.9619</v>
      </c>
      <c r="X670" s="50" t="n">
        <v>1.4193</v>
      </c>
      <c r="Y670" s="50" t="n">
        <v>1.4475</v>
      </c>
      <c r="Z670" s="50" t="n">
        <v>6.88979</v>
      </c>
      <c r="AA670" s="50" t="n">
        <v>2.5704</v>
      </c>
      <c r="AB670" s="50" t="n">
        <v>4.8846</v>
      </c>
    </row>
    <row r="671">
      <c r="A671" s="49" t="n">
        <v>46210</v>
      </c>
      <c r="B671" s="50" t="n">
        <v>6.8054</v>
      </c>
      <c r="C671" s="50" t="n">
        <v>7.7756</v>
      </c>
      <c r="D671" s="50" t="n">
        <v>0.041961</v>
      </c>
      <c r="E671" s="50" t="n">
        <v>0.86776</v>
      </c>
      <c r="F671" s="50" t="n">
        <v>9.1037</v>
      </c>
      <c r="G671" s="50" t="n">
        <v>4.7265</v>
      </c>
      <c r="H671" s="50" t="n">
        <v>3.8742</v>
      </c>
      <c r="I671" s="50" t="n">
        <v>5.2607</v>
      </c>
      <c r="J671" s="50" t="n">
        <v>8.443</v>
      </c>
      <c r="K671" s="50" t="n">
        <v>4.7814</v>
      </c>
      <c r="L671" s="50" t="n">
        <v>1.1875</v>
      </c>
      <c r="M671" s="50" t="n">
        <v>0.60046</v>
      </c>
      <c r="N671" s="50" t="n">
        <v>11.3437</v>
      </c>
      <c r="O671" s="50" t="n">
        <v>2.3834</v>
      </c>
      <c r="R671" s="50" t="n">
        <v>225.12</v>
      </c>
      <c r="S671" s="50" t="n">
        <v>0.54073</v>
      </c>
      <c r="T671" s="50" t="n">
        <v>0.5528999999999999</v>
      </c>
      <c r="U671" s="50" t="n">
        <v>45.4896</v>
      </c>
      <c r="V671" s="50" t="n">
        <v>0.55133</v>
      </c>
      <c r="W671" s="50" t="n">
        <v>0.9615</v>
      </c>
      <c r="X671" s="50" t="n">
        <v>1.4165</v>
      </c>
      <c r="Y671" s="50" t="n">
        <v>1.4407</v>
      </c>
      <c r="Z671" s="50" t="n">
        <v>6.89032</v>
      </c>
      <c r="AA671" s="50" t="n">
        <v>2.5565</v>
      </c>
      <c r="AB671" s="50" t="n">
        <v>4.9026</v>
      </c>
    </row>
    <row r="672">
      <c r="A672" s="49" t="n">
        <v>46211</v>
      </c>
      <c r="B672" s="50" t="n">
        <v>6.8077</v>
      </c>
      <c r="C672" s="50" t="n">
        <v>7.7614</v>
      </c>
      <c r="D672" s="50" t="n">
        <v>0.041937</v>
      </c>
      <c r="E672" s="50" t="n">
        <v>0.8680600000000001</v>
      </c>
      <c r="F672" s="50" t="n">
        <v>9.085900000000001</v>
      </c>
      <c r="G672" s="50" t="n">
        <v>4.7142</v>
      </c>
      <c r="H672" s="50" t="n">
        <v>3.8657</v>
      </c>
      <c r="I672" s="50" t="n">
        <v>5.2611</v>
      </c>
      <c r="J672" s="50" t="n">
        <v>8.416</v>
      </c>
      <c r="K672" s="50" t="n">
        <v>4.7916</v>
      </c>
      <c r="L672" s="50" t="n">
        <v>1.1871</v>
      </c>
      <c r="M672" s="50" t="n">
        <v>0.59841</v>
      </c>
      <c r="N672" s="50" t="n">
        <v>11.2421</v>
      </c>
      <c r="O672" s="50" t="n">
        <v>2.3973</v>
      </c>
      <c r="R672" s="50" t="n">
        <v>223.02</v>
      </c>
      <c r="S672" s="50" t="n">
        <v>0.53981</v>
      </c>
      <c r="T672" s="50" t="n">
        <v>0.5518</v>
      </c>
      <c r="U672" s="50" t="n">
        <v>45.7157</v>
      </c>
      <c r="V672" s="50" t="n">
        <v>0.5541199999999999</v>
      </c>
      <c r="W672" s="50" t="n">
        <v>0.9631999999999999</v>
      </c>
      <c r="X672" s="50" t="n">
        <v>1.4251</v>
      </c>
      <c r="Y672" s="50" t="n">
        <v>1.4412</v>
      </c>
      <c r="Z672" s="50" t="n">
        <v>6.88405</v>
      </c>
      <c r="AA672" s="50" t="n">
        <v>2.5738</v>
      </c>
      <c r="AB672" s="50" t="n">
        <v>4.907</v>
      </c>
    </row>
    <row r="673">
      <c r="A673" s="49" t="n">
        <v>46212</v>
      </c>
      <c r="B673" s="50" t="n">
        <v>6.8036</v>
      </c>
      <c r="C673" s="50" t="n">
        <v>7.7696</v>
      </c>
      <c r="D673" s="50" t="n">
        <v>0.041863</v>
      </c>
      <c r="E673" s="50" t="n">
        <v>0.86791</v>
      </c>
      <c r="F673" s="50" t="n">
        <v>9.1098</v>
      </c>
      <c r="G673" s="50" t="n">
        <v>4.715</v>
      </c>
      <c r="H673" s="50" t="n">
        <v>3.8854</v>
      </c>
      <c r="I673" s="50" t="n">
        <v>5.2585</v>
      </c>
      <c r="J673" s="50" t="n">
        <v>8.4171</v>
      </c>
      <c r="K673" s="50" t="n">
        <v>4.7999</v>
      </c>
      <c r="L673" s="50" t="n">
        <v>1.1873</v>
      </c>
      <c r="M673" s="50" t="n">
        <v>0.59914</v>
      </c>
      <c r="N673" s="50" t="n">
        <v>11.2815</v>
      </c>
      <c r="O673" s="50" t="n">
        <v>2.4119</v>
      </c>
      <c r="R673" s="50" t="n">
        <v>221.25</v>
      </c>
      <c r="S673" s="50" t="n">
        <v>0.53997</v>
      </c>
      <c r="T673" s="50" t="n">
        <v>0.55197</v>
      </c>
      <c r="U673" s="50" t="n">
        <v>46.3009</v>
      </c>
      <c r="V673" s="50" t="n">
        <v>0.55448</v>
      </c>
      <c r="W673" s="50" t="n">
        <v>0.9622000000000001</v>
      </c>
      <c r="X673" s="50" t="n">
        <v>1.4253</v>
      </c>
      <c r="Y673" s="50" t="n">
        <v>1.4351</v>
      </c>
      <c r="Z673" s="50" t="n">
        <v>6.88774</v>
      </c>
      <c r="AA673" s="50" t="n">
        <v>2.5823</v>
      </c>
      <c r="AB673" s="50" t="n">
        <v>4.9209</v>
      </c>
    </row>
    <row r="674">
      <c r="A674" s="49" t="n">
        <v>46213</v>
      </c>
      <c r="B674" s="50" t="n">
        <v>6.7989</v>
      </c>
      <c r="C674" s="50" t="n">
        <v>7.7712</v>
      </c>
      <c r="D674" s="50" t="n">
        <v>0.041876</v>
      </c>
      <c r="E674" s="50" t="n">
        <v>0.86754</v>
      </c>
      <c r="F674" s="50" t="n">
        <v>9.1157</v>
      </c>
      <c r="G674" s="50" t="n">
        <v>4.7173</v>
      </c>
      <c r="H674" s="50" t="n">
        <v>3.915</v>
      </c>
      <c r="I674" s="50" t="n">
        <v>5.2606</v>
      </c>
      <c r="J674" s="50" t="n">
        <v>8.4278</v>
      </c>
      <c r="K674" s="50" t="n">
        <v>4.797</v>
      </c>
      <c r="L674" s="50" t="n">
        <v>1.1878</v>
      </c>
      <c r="M674" s="50" t="n">
        <v>0.59923</v>
      </c>
      <c r="N674" s="50" t="n">
        <v>11.2046</v>
      </c>
      <c r="O674" s="50" t="n">
        <v>2.3998</v>
      </c>
      <c r="R674" s="50" t="n">
        <v>221.94</v>
      </c>
      <c r="S674" s="50" t="n">
        <v>0.54032</v>
      </c>
      <c r="T674" s="50" t="n">
        <v>0.55228</v>
      </c>
      <c r="U674" s="50" t="n">
        <v>45.954</v>
      </c>
      <c r="V674" s="50" t="n">
        <v>0.55703</v>
      </c>
      <c r="W674" s="50" t="n">
        <v>0.9618</v>
      </c>
      <c r="X674" s="50" t="n">
        <v>1.4214</v>
      </c>
      <c r="Y674" s="50" t="n">
        <v>1.4299</v>
      </c>
      <c r="Z674" s="50" t="n">
        <v>6.90539</v>
      </c>
      <c r="AA674" s="50" t="n">
        <v>2.5791</v>
      </c>
      <c r="AB674" s="50" t="n">
        <v>4.9134</v>
      </c>
    </row>
    <row r="675">
      <c r="A675" s="49" t="n">
        <v>46216</v>
      </c>
      <c r="B675" s="50" t="n">
        <v>6.7972</v>
      </c>
      <c r="C675" s="50" t="n">
        <v>7.74</v>
      </c>
      <c r="D675" s="50" t="n">
        <v>0.041922</v>
      </c>
      <c r="E675" s="50" t="n">
        <v>0.86693</v>
      </c>
      <c r="F675" s="50" t="n">
        <v>9.085000000000001</v>
      </c>
      <c r="G675" s="50" t="n">
        <v>4.7128</v>
      </c>
      <c r="H675" s="50" t="n">
        <v>3.9057</v>
      </c>
      <c r="I675" s="50" t="n">
        <v>5.2496</v>
      </c>
      <c r="J675" s="50" t="n">
        <v>8.389200000000001</v>
      </c>
      <c r="K675" s="50" t="n">
        <v>4.7934</v>
      </c>
      <c r="L675" s="50" t="n">
        <v>1.1887</v>
      </c>
      <c r="M675" s="50" t="n">
        <v>0.59976</v>
      </c>
      <c r="N675" s="50" t="n">
        <v>11.322</v>
      </c>
      <c r="O675" s="50" t="n">
        <v>2.408</v>
      </c>
      <c r="R675" s="50" t="n">
        <v>221.25</v>
      </c>
      <c r="S675" s="50" t="n">
        <v>0.5408500000000001</v>
      </c>
      <c r="T675" s="50" t="n">
        <v>0.5528999999999999</v>
      </c>
      <c r="U675" s="50" t="n">
        <v>46.0563</v>
      </c>
      <c r="V675" s="50" t="n">
        <v>0.55954</v>
      </c>
      <c r="W675" s="50" t="n">
        <v>0.9657</v>
      </c>
      <c r="X675" s="50" t="n">
        <v>1.4265</v>
      </c>
      <c r="Y675" s="50" t="n">
        <v>1.4418</v>
      </c>
      <c r="Z675" s="50" t="n">
        <v>6.9124</v>
      </c>
      <c r="AA675" s="50" t="n">
        <v>2.5777</v>
      </c>
      <c r="AB675" s="50" t="n">
        <v>4.916</v>
      </c>
    </row>
    <row r="676">
      <c r="A676" s="49" t="n">
        <v>46217</v>
      </c>
      <c r="B676" s="50" t="n">
        <v>6.799</v>
      </c>
      <c r="C676" s="50" t="n">
        <v>7.7367</v>
      </c>
      <c r="D676" s="50" t="n">
        <v>0.04185</v>
      </c>
      <c r="E676" s="50" t="n">
        <v>0.86746</v>
      </c>
      <c r="F676" s="50" t="n">
        <v>9.072100000000001</v>
      </c>
      <c r="G676" s="50" t="n">
        <v>4.7015</v>
      </c>
      <c r="H676" s="50" t="n">
        <v>3.9148</v>
      </c>
      <c r="I676" s="50" t="n">
        <v>5.25</v>
      </c>
      <c r="J676" s="50" t="n">
        <v>8.3423</v>
      </c>
      <c r="K676" s="50" t="n">
        <v>4.8016</v>
      </c>
      <c r="L676" s="50" t="n">
        <v>1.1879</v>
      </c>
      <c r="M676" s="50" t="n">
        <v>0.59927</v>
      </c>
      <c r="N676" s="50" t="n">
        <v>11.2951</v>
      </c>
      <c r="O676" s="50" t="n">
        <v>2.4235</v>
      </c>
      <c r="R676" s="50" t="n">
        <v>220.48</v>
      </c>
      <c r="S676" s="50" t="n">
        <v>0.54047</v>
      </c>
      <c r="T676" s="50" t="n">
        <v>0.55258</v>
      </c>
      <c r="U676" s="50" t="n">
        <v>46.4086</v>
      </c>
      <c r="V676" s="50" t="n">
        <v>0.55996</v>
      </c>
      <c r="W676" s="50" t="n">
        <v>0.9661</v>
      </c>
      <c r="X676" s="50" t="n">
        <v>1.4304</v>
      </c>
      <c r="Y676" s="50" t="n">
        <v>1.4398</v>
      </c>
      <c r="Z676" s="50" t="n">
        <v>6.91878</v>
      </c>
      <c r="AA676" s="50" t="n">
        <v>2.5776</v>
      </c>
      <c r="AB676" s="50" t="n">
        <v>4.9321</v>
      </c>
    </row>
    <row r="677">
      <c r="A677" s="49" t="n">
        <v>46218</v>
      </c>
      <c r="B677" s="50" t="n">
        <v>6.791</v>
      </c>
      <c r="C677" s="50" t="n">
        <v>7.7491</v>
      </c>
      <c r="D677" s="50" t="n">
        <v>0.041847</v>
      </c>
      <c r="E677" s="50" t="n">
        <v>0.86647</v>
      </c>
      <c r="F677" s="50" t="n">
        <v>9.0839</v>
      </c>
      <c r="G677" s="50" t="n">
        <v>4.7306</v>
      </c>
      <c r="H677" s="50" t="n">
        <v>3.9404</v>
      </c>
      <c r="I677" s="50" t="n">
        <v>5.2544</v>
      </c>
      <c r="J677" s="50" t="n">
        <v>8.382099999999999</v>
      </c>
      <c r="K677" s="50" t="n">
        <v>4.8234</v>
      </c>
      <c r="L677" s="50" t="n">
        <v>1.1894</v>
      </c>
      <c r="M677" s="50" t="n">
        <v>0.60123</v>
      </c>
      <c r="N677" s="50" t="n">
        <v>11.4435</v>
      </c>
      <c r="O677" s="50" t="n">
        <v>2.413</v>
      </c>
      <c r="R677" s="50" t="n">
        <v>219.47</v>
      </c>
      <c r="S677" s="50" t="n">
        <v>0.54166</v>
      </c>
      <c r="T677" s="50" t="n">
        <v>0.55394</v>
      </c>
      <c r="U677" s="50" t="n">
        <v>46.2452</v>
      </c>
      <c r="V677" s="50" t="n">
        <v>0.55788</v>
      </c>
      <c r="W677" s="50" t="n">
        <v>0.9649</v>
      </c>
      <c r="X677" s="50" t="n">
        <v>1.4244</v>
      </c>
      <c r="Y677" s="50" t="n">
        <v>1.4285</v>
      </c>
      <c r="Z677" s="50" t="n">
        <v>6.933</v>
      </c>
      <c r="AA677" s="50" t="n">
        <v>2.5662</v>
      </c>
      <c r="AB677" s="50" t="n">
        <v>4.938</v>
      </c>
    </row>
    <row r="678">
      <c r="A678" s="49" t="n">
        <v>46219</v>
      </c>
      <c r="B678" s="50" t="n">
        <v>6.7909</v>
      </c>
      <c r="C678" s="50" t="n">
        <v>7.769</v>
      </c>
      <c r="D678" s="50" t="n">
        <v>0.041815</v>
      </c>
      <c r="E678" s="50" t="n">
        <v>0.8663</v>
      </c>
      <c r="F678" s="50" t="n">
        <v>9.170299999999999</v>
      </c>
      <c r="G678" s="50" t="n">
        <v>4.7446</v>
      </c>
      <c r="H678" s="50" t="n">
        <v>3.9587</v>
      </c>
      <c r="I678" s="50" t="n">
        <v>5.2588</v>
      </c>
      <c r="J678" s="50" t="n">
        <v>8.417199999999999</v>
      </c>
      <c r="K678" s="50" t="n">
        <v>4.8236</v>
      </c>
      <c r="L678" s="50" t="n">
        <v>1.1895</v>
      </c>
      <c r="M678" s="50" t="n">
        <v>0.60142</v>
      </c>
      <c r="N678" s="50" t="n">
        <v>11.4522</v>
      </c>
      <c r="O678" s="50" t="n">
        <v>2.4075</v>
      </c>
      <c r="R678" s="50" t="n">
        <v>219.45</v>
      </c>
      <c r="S678" s="50" t="n">
        <v>0.54245</v>
      </c>
      <c r="T678" s="50" t="n">
        <v>0.55464</v>
      </c>
      <c r="U678" s="50" t="n">
        <v>46.2231</v>
      </c>
      <c r="V678" s="50" t="n">
        <v>0.55598</v>
      </c>
      <c r="W678" s="50" t="n">
        <v>0.9624</v>
      </c>
      <c r="X678" s="50" t="n">
        <v>1.4167</v>
      </c>
      <c r="Y678" s="50" t="n">
        <v>1.4256</v>
      </c>
      <c r="Z678" s="50" t="n">
        <v>6.94464</v>
      </c>
      <c r="AA678" s="50" t="n">
        <v>2.5636</v>
      </c>
      <c r="AB678" s="50" t="n">
        <v>4.9607</v>
      </c>
    </row>
    <row r="679">
      <c r="A679" s="49" t="n">
        <v>46220</v>
      </c>
      <c r="B679" s="50" t="n">
        <v>6.7934</v>
      </c>
      <c r="C679" s="50" t="n">
        <v>7.7631</v>
      </c>
      <c r="D679" s="50" t="n">
        <v>0.041811</v>
      </c>
      <c r="E679" s="50" t="n">
        <v>0.86648</v>
      </c>
      <c r="F679" s="50" t="n">
        <v>9.141400000000001</v>
      </c>
      <c r="G679" s="50" t="n">
        <v>4.7463</v>
      </c>
      <c r="H679" s="50" t="n">
        <v>3.9623</v>
      </c>
      <c r="I679" s="50" t="n">
        <v>5.2568</v>
      </c>
      <c r="J679" s="50" t="n">
        <v>8.392799999999999</v>
      </c>
      <c r="K679" s="50" t="n">
        <v>4.831</v>
      </c>
      <c r="L679" s="50" t="n">
        <v>1.1892</v>
      </c>
      <c r="M679" s="50" t="n">
        <v>0.60059</v>
      </c>
      <c r="N679" s="50" t="n">
        <v>11.5295</v>
      </c>
      <c r="O679" s="50" t="n">
        <v>2.4182</v>
      </c>
      <c r="R679" s="50" t="n">
        <v>218.32</v>
      </c>
      <c r="S679" s="50" t="n">
        <v>0.54157</v>
      </c>
      <c r="T679" s="50" t="n">
        <v>0.55377</v>
      </c>
      <c r="U679" s="50" t="n">
        <v>46.6182</v>
      </c>
      <c r="V679" s="50" t="n">
        <v>0.55744</v>
      </c>
      <c r="W679" s="50" t="n">
        <v>0.963</v>
      </c>
      <c r="X679" s="50" t="n">
        <v>1.4218</v>
      </c>
      <c r="Y679" s="50" t="n">
        <v>1.4256</v>
      </c>
      <c r="Z679" s="50" t="n">
        <v>6.94431</v>
      </c>
      <c r="AA679" s="50" t="n">
        <v>2.5665</v>
      </c>
      <c r="AB679" s="50" t="n">
        <v>4.9553</v>
      </c>
    </row>
    <row r="680">
      <c r="A680" s="49" t="n">
        <v>46223</v>
      </c>
      <c r="B680" s="50" t="n">
        <v>6.7948</v>
      </c>
      <c r="C680" s="50" t="n">
        <v>7.757</v>
      </c>
      <c r="D680" s="50" t="n">
        <v>0.041782</v>
      </c>
      <c r="E680" s="50" t="n">
        <v>0.86669</v>
      </c>
      <c r="F680" s="50" t="n">
        <v>9.126200000000001</v>
      </c>
      <c r="G680" s="50" t="n">
        <v>4.7365</v>
      </c>
      <c r="H680" s="50" t="n">
        <v>3.9637</v>
      </c>
      <c r="I680" s="50" t="n">
        <v>5.2531</v>
      </c>
      <c r="J680" s="50" t="n">
        <v>8.3956</v>
      </c>
      <c r="K680" s="50" t="n">
        <v>4.8415</v>
      </c>
      <c r="L680" s="50" t="n">
        <v>1.189</v>
      </c>
      <c r="M680" s="50" t="n">
        <v>0.60246</v>
      </c>
      <c r="N680" s="50" t="n">
        <v>11.5233</v>
      </c>
      <c r="O680" s="50" t="n">
        <v>2.4396</v>
      </c>
      <c r="R680" s="50" t="n">
        <v>219.37</v>
      </c>
      <c r="S680" s="50" t="n">
        <v>0.54112</v>
      </c>
      <c r="T680" s="50" t="n">
        <v>0.5532899999999999</v>
      </c>
      <c r="U680" s="50" t="n">
        <v>46.834</v>
      </c>
      <c r="V680" s="50" t="n">
        <v>0.55936</v>
      </c>
      <c r="W680" s="50" t="n">
        <v>0.9637</v>
      </c>
      <c r="X680" s="50" t="n">
        <v>1.4249</v>
      </c>
      <c r="Y680" s="50" t="n">
        <v>1.4215</v>
      </c>
      <c r="Z680" s="50" t="n">
        <v>6.94783</v>
      </c>
      <c r="AA680" s="50" t="n">
        <v>2.5841</v>
      </c>
      <c r="AB680" s="50" t="n">
        <v>4.9633</v>
      </c>
    </row>
    <row r="681">
      <c r="A681" s="49" t="n">
        <v>46224</v>
      </c>
      <c r="B681" s="50" t="n">
        <v>6.7917</v>
      </c>
      <c r="C681" s="50" t="n">
        <v>7.7418</v>
      </c>
      <c r="D681" s="50" t="n">
        <v>0.041763</v>
      </c>
      <c r="E681" s="50" t="n">
        <v>0.86628</v>
      </c>
      <c r="F681" s="50" t="n">
        <v>9.1083</v>
      </c>
      <c r="G681" s="50" t="n">
        <v>4.7468</v>
      </c>
      <c r="H681" s="50" t="n">
        <v>3.9678</v>
      </c>
      <c r="I681" s="50" t="n">
        <v>5.2541</v>
      </c>
      <c r="J681" s="50" t="n">
        <v>8.3734</v>
      </c>
      <c r="K681" s="50" t="n">
        <v>4.8176</v>
      </c>
      <c r="L681" s="50" t="n">
        <v>1.1896</v>
      </c>
      <c r="M681" s="50" t="n">
        <v>0.60287</v>
      </c>
      <c r="N681" s="50" t="n">
        <v>11.5957</v>
      </c>
      <c r="O681" s="50" t="n">
        <v>2.4329</v>
      </c>
      <c r="R681" s="50" t="n">
        <v>218.02</v>
      </c>
      <c r="S681" s="50" t="n">
        <v>0.5416299999999999</v>
      </c>
      <c r="T681" s="50" t="n">
        <v>0.55374</v>
      </c>
      <c r="U681" s="50" t="n">
        <v>46.7388</v>
      </c>
      <c r="V681" s="50" t="n">
        <v>0.5593</v>
      </c>
      <c r="W681" s="50" t="n">
        <v>0.9657</v>
      </c>
      <c r="X681" s="50" t="n">
        <v>1.4288</v>
      </c>
      <c r="Y681" s="50" t="n">
        <v>1.4271</v>
      </c>
      <c r="Z681" s="50" t="n">
        <v>6.95519</v>
      </c>
      <c r="AA681" s="50" t="n">
        <v>2.5659</v>
      </c>
      <c r="AB681" s="50" t="n">
        <v>4.9656</v>
      </c>
    </row>
    <row r="682">
      <c r="A682" s="49" t="n">
        <v>46225</v>
      </c>
      <c r="B682" s="50" t="n">
        <v>6.7933</v>
      </c>
      <c r="C682" s="50" t="n">
        <v>7.7345</v>
      </c>
      <c r="D682" s="50" t="n">
        <v>0.041592</v>
      </c>
      <c r="E682" s="50" t="n">
        <v>0.86636</v>
      </c>
      <c r="F682" s="50" t="n">
        <v>9.074400000000001</v>
      </c>
      <c r="G682" s="50" t="n">
        <v>4.7476</v>
      </c>
      <c r="H682" s="50" t="n">
        <v>3.9509</v>
      </c>
      <c r="I682" s="50" t="n">
        <v>5.2501</v>
      </c>
      <c r="J682" s="50" t="n">
        <v>8.3466</v>
      </c>
      <c r="K682" s="50" t="n">
        <v>4.8066</v>
      </c>
      <c r="L682" s="50" t="n">
        <v>1.1894</v>
      </c>
      <c r="M682" s="50" t="n">
        <v>0.60243</v>
      </c>
      <c r="N682" s="50" t="n">
        <v>11.5677</v>
      </c>
      <c r="O682" s="50" t="n">
        <v>2.4265</v>
      </c>
      <c r="R682" s="50" t="n">
        <v>218.42</v>
      </c>
      <c r="S682" s="50" t="n">
        <v>0.5415</v>
      </c>
      <c r="T682" s="50" t="n">
        <v>0.55346</v>
      </c>
      <c r="U682" s="50" t="n">
        <v>46.7817</v>
      </c>
      <c r="V682" s="50" t="n">
        <v>0.55932</v>
      </c>
      <c r="W682" s="50" t="n">
        <v>0.9666</v>
      </c>
      <c r="X682" s="50" t="n">
        <v>1.4314</v>
      </c>
      <c r="Y682" s="50" t="n">
        <v>1.4205</v>
      </c>
      <c r="Z682" s="50" t="n">
        <v>6.95715</v>
      </c>
      <c r="AA682" s="50" t="n">
        <v>2.5645</v>
      </c>
      <c r="AB682" s="50" t="n">
        <v>4.9748</v>
      </c>
    </row>
    <row r="683">
      <c r="A683" s="49" t="n">
        <v>46226</v>
      </c>
      <c r="B683" s="50" t="n">
        <v>6.7906</v>
      </c>
      <c r="C683" s="50" t="n">
        <v>7.7395</v>
      </c>
      <c r="D683" s="50" t="n">
        <v>0.041589</v>
      </c>
      <c r="E683" s="50" t="n">
        <v>0.86616</v>
      </c>
      <c r="F683" s="50" t="n">
        <v>9.0701</v>
      </c>
      <c r="G683" s="50" t="n">
        <v>4.7401</v>
      </c>
      <c r="H683" s="50" t="n">
        <v>3.9418</v>
      </c>
      <c r="I683" s="50" t="n">
        <v>5.2529</v>
      </c>
      <c r="J683" s="50" t="n">
        <v>8.3302</v>
      </c>
      <c r="K683" s="50" t="n">
        <v>4.8136</v>
      </c>
      <c r="L683" s="50" t="n">
        <v>1.1897</v>
      </c>
      <c r="M683" s="50" t="n">
        <v>0.60209</v>
      </c>
      <c r="N683" s="50" t="n">
        <v>11.5539</v>
      </c>
      <c r="O683" s="50" t="n">
        <v>2.4188</v>
      </c>
      <c r="R683" s="50" t="n">
        <v>217.58</v>
      </c>
      <c r="S683" s="50" t="n">
        <v>0.5416299999999999</v>
      </c>
      <c r="T683" s="50" t="n">
        <v>0.55358</v>
      </c>
      <c r="U683" s="50" t="n">
        <v>46.9745</v>
      </c>
      <c r="V683" s="50" t="n">
        <v>0.55883</v>
      </c>
      <c r="W683" s="50" t="n">
        <v>0.966</v>
      </c>
      <c r="X683" s="50" t="n">
        <v>1.4298</v>
      </c>
      <c r="Y683" s="50" t="n">
        <v>1.4151</v>
      </c>
      <c r="Z683" s="50" t="n">
        <v>6.96026</v>
      </c>
      <c r="AA683" s="50" t="n">
        <v>2.5646</v>
      </c>
      <c r="AB683" s="50" t="n">
        <v>4.9855</v>
      </c>
    </row>
    <row r="684">
      <c r="A684" s="49" t="n">
        <v>46227</v>
      </c>
      <c r="B684" s="50" t="n">
        <v>6.7939</v>
      </c>
      <c r="C684" s="50" t="n">
        <v>7.7237</v>
      </c>
      <c r="D684" s="50" t="n">
        <v>0.041447</v>
      </c>
      <c r="E684" s="50" t="n">
        <v>0.86637</v>
      </c>
      <c r="F684" s="50" t="n">
        <v>9.037800000000001</v>
      </c>
      <c r="G684" s="50" t="n">
        <v>4.7304</v>
      </c>
      <c r="H684" s="50" t="n">
        <v>3.92</v>
      </c>
      <c r="I684" s="50" t="n">
        <v>5.2501</v>
      </c>
      <c r="J684" s="50" t="n">
        <v>8.3125</v>
      </c>
      <c r="K684" s="50" t="n">
        <v>4.8188</v>
      </c>
      <c r="L684" s="50" t="n">
        <v>1.1894</v>
      </c>
      <c r="M684" s="50" t="n">
        <v>0.60273</v>
      </c>
      <c r="N684" s="50" t="n">
        <v>11.5578</v>
      </c>
      <c r="O684" s="50" t="n">
        <v>2.4757</v>
      </c>
      <c r="R684" s="50" t="n">
        <v>217.21</v>
      </c>
      <c r="S684" s="50" t="n">
        <v>0.54122</v>
      </c>
      <c r="T684" s="50" t="n">
        <v>0.5531199999999999</v>
      </c>
      <c r="U684" s="50" t="n">
        <v>47.1665</v>
      </c>
      <c r="V684" s="50" t="n">
        <v>0.56052</v>
      </c>
      <c r="W684" s="50" t="n">
        <v>0.9679</v>
      </c>
      <c r="X684" s="50" t="n">
        <v>1.4373</v>
      </c>
      <c r="Y684" s="50" t="n">
        <v>1.4164</v>
      </c>
      <c r="Z684" s="50" t="n">
        <v>6.96858</v>
      </c>
      <c r="AA684" s="50" t="n">
        <v>2.5791</v>
      </c>
      <c r="AB684" s="50" t="n">
        <v>4.9882</v>
      </c>
    </row>
    <row r="685">
      <c r="A685" s="49" t="n">
        <v>46230</v>
      </c>
      <c r="B685" s="50" t="n">
        <v>6.7911</v>
      </c>
      <c r="C685" s="50" t="n">
        <v>7.7267</v>
      </c>
      <c r="D685" s="50" t="n">
        <v>0.041441</v>
      </c>
      <c r="E685" s="50" t="n">
        <v>0.8660099999999999</v>
      </c>
      <c r="F685" s="50" t="n">
        <v>9.0494</v>
      </c>
      <c r="G685" s="50" t="n">
        <v>4.74</v>
      </c>
      <c r="H685" s="50" t="n">
        <v>3.9288</v>
      </c>
      <c r="I685" s="50" t="n">
        <v>5.257</v>
      </c>
      <c r="J685" s="50" t="n">
        <v>8.3056</v>
      </c>
      <c r="K685" s="50" t="n">
        <v>4.8113</v>
      </c>
      <c r="L685" s="50" t="n">
        <v>1.1899</v>
      </c>
      <c r="M685" s="50" t="n">
        <v>0.60211</v>
      </c>
      <c r="N685" s="50" t="n">
        <v>11.4826</v>
      </c>
      <c r="O685" s="50" t="n">
        <v>2.4672</v>
      </c>
      <c r="R685" s="50" t="n">
        <v>215.52</v>
      </c>
      <c r="S685" s="50" t="n">
        <v>0.54184</v>
      </c>
      <c r="T685" s="50" t="n">
        <v>0.55374</v>
      </c>
      <c r="U685" s="50" t="n">
        <v>46.6514</v>
      </c>
      <c r="V685" s="50" t="n">
        <v>0.55818</v>
      </c>
      <c r="W685" s="50" t="n">
        <v>0.9679</v>
      </c>
      <c r="X685" s="50" t="n">
        <v>1.4288</v>
      </c>
      <c r="Y685" s="50" t="n">
        <v>1.4132</v>
      </c>
      <c r="Z685" s="50" t="n">
        <v>6.98142</v>
      </c>
      <c r="AA685" s="50" t="n">
        <v>2.5707</v>
      </c>
      <c r="AB685" s="50" t="n">
        <v>4.9645</v>
      </c>
    </row>
    <row r="686">
      <c r="A686" s="49" t="n">
        <v>46231</v>
      </c>
      <c r="B686" s="50" t="n">
        <v>6.7928</v>
      </c>
      <c r="C686" s="50" t="n">
        <v>7.7119</v>
      </c>
      <c r="D686" s="50" t="n">
        <v>0.041427</v>
      </c>
      <c r="E686" s="50" t="n">
        <v>0.86627</v>
      </c>
      <c r="F686" s="50" t="n">
        <v>9.014099999999999</v>
      </c>
      <c r="G686" s="50" t="n">
        <v>4.738</v>
      </c>
      <c r="H686" s="50" t="n">
        <v>3.914</v>
      </c>
      <c r="I686" s="50" t="n">
        <v>5.2514</v>
      </c>
      <c r="J686" s="50" t="n">
        <v>8.282500000000001</v>
      </c>
      <c r="K686" s="50" t="n">
        <v>4.8012</v>
      </c>
      <c r="L686" s="50" t="n">
        <v>1.1896</v>
      </c>
      <c r="M686" s="50" t="n">
        <v>0.60204</v>
      </c>
      <c r="N686" s="50" t="n">
        <v>11.5215</v>
      </c>
      <c r="O686" s="50" t="n">
        <v>2.4725</v>
      </c>
      <c r="R686" s="50" t="n">
        <v>216.57</v>
      </c>
      <c r="S686" s="50" t="n">
        <v>0.54166</v>
      </c>
      <c r="T686" s="50" t="n">
        <v>0.55362</v>
      </c>
      <c r="U686" s="50" t="n">
        <v>46.6798</v>
      </c>
      <c r="V686" s="50" t="n">
        <v>0.56015</v>
      </c>
      <c r="W686" s="50" t="n">
        <v>0.9694</v>
      </c>
      <c r="X686" s="50" t="n">
        <v>1.4341</v>
      </c>
      <c r="Y686" s="50" t="n">
        <v>1.4256</v>
      </c>
      <c r="Z686" s="50" t="n">
        <v>6.98158</v>
      </c>
      <c r="AA686" s="50" t="n">
        <v>2.5719</v>
      </c>
      <c r="AB686" s="50" t="n">
        <v>4.9632</v>
      </c>
    </row>
    <row r="687">
      <c r="A687" s="49" t="n">
        <v>46232</v>
      </c>
      <c r="B687" s="50" t="n">
        <v>6.7899</v>
      </c>
      <c r="C687" s="50" t="n">
        <v>7.7175</v>
      </c>
      <c r="D687" s="50" t="n">
        <v>0.041393</v>
      </c>
      <c r="E687" s="50" t="n">
        <v>0.86589</v>
      </c>
      <c r="F687" s="50" t="n">
        <v>9.0052</v>
      </c>
      <c r="G687" s="50" t="n">
        <v>4.7269</v>
      </c>
      <c r="H687" s="50" t="n">
        <v>3.9182</v>
      </c>
      <c r="I687" s="50" t="n">
        <v>5.2444</v>
      </c>
      <c r="J687" s="50" t="n">
        <v>8.2729</v>
      </c>
      <c r="K687" s="50" t="n">
        <v>4.8034</v>
      </c>
      <c r="L687" s="50" t="n">
        <v>1.19</v>
      </c>
      <c r="M687" s="50" t="n">
        <v>0.60279</v>
      </c>
      <c r="N687" s="50" t="n">
        <v>11.6107</v>
      </c>
      <c r="O687" s="50" t="n">
        <v>2.4641</v>
      </c>
      <c r="R687" s="50" t="n">
        <v>214.71</v>
      </c>
      <c r="S687" s="50" t="n">
        <v>0.54208</v>
      </c>
      <c r="T687" s="50" t="n">
        <v>0.55404</v>
      </c>
      <c r="U687" s="50" t="n">
        <v>46.6651</v>
      </c>
      <c r="V687" s="50" t="n">
        <v>0.5601699999999999</v>
      </c>
      <c r="W687" s="50" t="n">
        <v>0.9687</v>
      </c>
      <c r="X687" s="50" t="n">
        <v>1.4309</v>
      </c>
      <c r="Y687" s="50" t="n">
        <v>1.4294</v>
      </c>
      <c r="Z687" s="50" t="n">
        <v>6.99116</v>
      </c>
      <c r="AA687" s="50" t="n">
        <v>2.571</v>
      </c>
      <c r="AB687" s="50" t="n">
        <v>4.9545</v>
      </c>
    </row>
    <row r="688">
      <c r="A688" s="49" t="n">
        <v>46233</v>
      </c>
      <c r="B688" s="50" t="n">
        <v>6.7892</v>
      </c>
      <c r="C688" s="50" t="n">
        <v>7.7613</v>
      </c>
      <c r="D688" s="50" t="n">
        <v>0.041437</v>
      </c>
      <c r="E688" s="50" t="n">
        <v>0.86573</v>
      </c>
      <c r="F688" s="50" t="n">
        <v>9.045500000000001</v>
      </c>
      <c r="G688" s="50" t="n">
        <v>4.7084</v>
      </c>
      <c r="H688" s="50" t="n">
        <v>3.9235</v>
      </c>
      <c r="I688" s="50" t="n">
        <v>5.2536</v>
      </c>
      <c r="J688" s="50" t="n">
        <v>8.317500000000001</v>
      </c>
      <c r="K688" s="50" t="n">
        <v>4.8196</v>
      </c>
      <c r="L688" s="50" t="n">
        <v>1.1903</v>
      </c>
      <c r="M688" s="50" t="n">
        <v>0.6027400000000001</v>
      </c>
      <c r="N688" s="50" t="n">
        <v>11.7863</v>
      </c>
      <c r="O688" s="50" t="n">
        <v>2.4604</v>
      </c>
      <c r="R688" s="50" t="n">
        <v>213.05</v>
      </c>
      <c r="S688" s="50" t="n">
        <v>0.54276</v>
      </c>
      <c r="T688" s="50" t="n">
        <v>0.55484</v>
      </c>
      <c r="U688" s="50" t="n">
        <v>46.8012</v>
      </c>
      <c r="V688" s="50" t="n">
        <v>0.55687</v>
      </c>
      <c r="W688" s="50" t="n">
        <v>0.9631999999999999</v>
      </c>
      <c r="X688" s="50" t="n">
        <v>1.4254</v>
      </c>
      <c r="Y688" s="50" t="n">
        <v>1.4185</v>
      </c>
      <c r="Z688" s="50" t="n">
        <v>7.00102</v>
      </c>
      <c r="AA688" s="50" t="n">
        <v>2.574</v>
      </c>
      <c r="AB688" s="50" t="n">
        <v>4.9516</v>
      </c>
    </row>
    <row r="689">
      <c r="A689" s="49" t="n">
        <v>46234</v>
      </c>
      <c r="B689" s="50" t="n">
        <v>6.7894</v>
      </c>
      <c r="C689" s="50" t="n">
        <v>7.7886</v>
      </c>
      <c r="D689" s="50" t="n">
        <v>0.042203</v>
      </c>
      <c r="E689" s="50" t="n">
        <v>0.86559</v>
      </c>
      <c r="F689" s="50" t="n">
        <v>9.0982</v>
      </c>
      <c r="G689" s="50" t="n">
        <v>4.7441</v>
      </c>
      <c r="H689" s="50" t="n">
        <v>3.9653</v>
      </c>
      <c r="I689" s="50" t="n">
        <v>5.2752</v>
      </c>
      <c r="J689" s="50" t="n">
        <v>8.3887</v>
      </c>
      <c r="K689" s="50" t="n">
        <v>4.8206</v>
      </c>
      <c r="L689" s="50" t="n">
        <v>1.1905</v>
      </c>
      <c r="M689" s="50" t="n">
        <v>0.60294</v>
      </c>
      <c r="N689" s="50" t="n">
        <v>11.8137</v>
      </c>
      <c r="O689" s="50" t="n">
        <v>2.4399</v>
      </c>
      <c r="R689" s="50" t="n">
        <v>211.21</v>
      </c>
      <c r="S689" s="50" t="n">
        <v>0.54404</v>
      </c>
      <c r="T689" s="50" t="n">
        <v>0.55618</v>
      </c>
      <c r="U689" s="50" t="n">
        <v>46.5108</v>
      </c>
      <c r="V689" s="50" t="n">
        <v>0.55265</v>
      </c>
      <c r="W689" s="50" t="n">
        <v>0.9603</v>
      </c>
      <c r="X689" s="50" t="n">
        <v>1.4122</v>
      </c>
      <c r="Y689" s="50" t="n">
        <v>1.4117</v>
      </c>
      <c r="Z689" s="50" t="n">
        <v>7.03296</v>
      </c>
      <c r="AA689" s="50" t="n">
        <v>2.563</v>
      </c>
      <c r="AB689" s="50" t="n">
        <v>4.9476</v>
      </c>
    </row>
    <row r="690">
      <c r="A690" s="49" t="n">
        <v>46237</v>
      </c>
      <c r="B690" s="50" t="n">
        <v>6.7898</v>
      </c>
      <c r="C690" s="50" t="n">
        <v>7.8068</v>
      </c>
      <c r="D690" s="50" t="n">
        <v>0.042898</v>
      </c>
      <c r="E690" s="50" t="n">
        <v>0.86587</v>
      </c>
      <c r="F690" s="50" t="n">
        <v>9.1227</v>
      </c>
      <c r="G690" s="50" t="n">
        <v>4.7608</v>
      </c>
      <c r="H690" s="50" t="n">
        <v>3.9866</v>
      </c>
      <c r="I690" s="50" t="n">
        <v>5.2794</v>
      </c>
      <c r="J690" s="50" t="n">
        <v>8.381500000000001</v>
      </c>
      <c r="K690" s="50" t="n">
        <v>4.8222</v>
      </c>
      <c r="L690" s="50" t="n">
        <v>1.1901</v>
      </c>
      <c r="M690" s="50" t="n">
        <v>0.603</v>
      </c>
      <c r="N690" s="50" t="n">
        <v>11.7743</v>
      </c>
      <c r="O690" s="50" t="n">
        <v>2.4349</v>
      </c>
      <c r="R690" s="50" t="n">
        <v>212.47</v>
      </c>
      <c r="S690" s="50" t="n">
        <v>0.54354</v>
      </c>
      <c r="T690" s="50" t="n">
        <v>0.55574</v>
      </c>
      <c r="U690" s="50" t="n">
        <v>46.6048</v>
      </c>
      <c r="V690" s="50" t="n">
        <v>0.55125</v>
      </c>
      <c r="W690" s="50" t="n">
        <v>0.9576</v>
      </c>
      <c r="X690" s="50" t="n">
        <v>1.4062</v>
      </c>
      <c r="Y690" s="50" t="n">
        <v>1.4033</v>
      </c>
      <c r="Z690" s="50" t="n">
        <v>7.0294</v>
      </c>
      <c r="AA690" s="50" t="n">
        <v>2.5547</v>
      </c>
      <c r="AB690" s="50" t="n">
        <v>4.9376</v>
      </c>
    </row>
    <row r="691">
      <c r="A691" s="49" t="n">
        <v>46238</v>
      </c>
      <c r="B691" s="50" t="n">
        <v>6.7917</v>
      </c>
      <c r="C691" s="50" t="n">
        <v>7.7986</v>
      </c>
      <c r="D691" s="50" t="n">
        <v>0.043015</v>
      </c>
      <c r="E691" s="50" t="n">
        <v>0.86603</v>
      </c>
      <c r="F691" s="50" t="n">
        <v>9.100300000000001</v>
      </c>
      <c r="G691" s="50" t="n">
        <v>4.7419</v>
      </c>
      <c r="H691" s="50" t="n">
        <v>3.9761</v>
      </c>
      <c r="I691" s="50" t="n">
        <v>5.2824</v>
      </c>
      <c r="J691" s="50" t="n">
        <v>8.367699999999999</v>
      </c>
      <c r="K691" s="50" t="n">
        <v>4.8224</v>
      </c>
      <c r="L691" s="50" t="n">
        <v>1.1899</v>
      </c>
      <c r="M691" s="50" t="n">
        <v>0.6041299999999999</v>
      </c>
      <c r="N691" s="50" t="n">
        <v>11.9013</v>
      </c>
      <c r="O691" s="50" t="n">
        <v>2.4376</v>
      </c>
      <c r="R691" s="50" t="n">
        <v>211.07</v>
      </c>
      <c r="S691" s="50" t="n">
        <v>0.54227</v>
      </c>
      <c r="T691" s="50" t="n">
        <v>0.55449</v>
      </c>
      <c r="U691" s="50" t="n">
        <v>46.6621</v>
      </c>
      <c r="V691" s="50" t="n">
        <v>0.55267</v>
      </c>
      <c r="W691" s="50" t="n">
        <v>0.9587</v>
      </c>
      <c r="X691" s="50" t="n">
        <v>1.412</v>
      </c>
      <c r="Y691" s="50" t="n">
        <v>1.4085</v>
      </c>
      <c r="Z691" s="50" t="n">
        <v>7.01623</v>
      </c>
      <c r="AA691" s="50" t="n">
        <v>2.5553</v>
      </c>
      <c r="AB691" s="50" t="n">
        <v>4.9356</v>
      </c>
    </row>
    <row r="692">
      <c r="A692" s="49" t="n">
        <v>46239</v>
      </c>
      <c r="B692" s="50" t="n">
        <v>6.7889</v>
      </c>
      <c r="C692" s="50" t="n">
        <v>7.8059</v>
      </c>
      <c r="D692" s="50" t="n">
        <v>0.0429</v>
      </c>
      <c r="E692" s="50" t="n">
        <v>0.8656199999999999</v>
      </c>
      <c r="F692" s="50" t="n">
        <v>9.1043</v>
      </c>
      <c r="G692" s="50" t="n">
        <v>4.7694</v>
      </c>
      <c r="H692" s="50" t="n">
        <v>3.9759</v>
      </c>
      <c r="I692" s="50" t="n">
        <v>5.2814</v>
      </c>
      <c r="J692" s="50" t="n">
        <v>8.366899999999999</v>
      </c>
      <c r="K692" s="50" t="n">
        <v>4.8095</v>
      </c>
      <c r="L692" s="50" t="n">
        <v>1.1905</v>
      </c>
      <c r="M692" s="50" t="n">
        <v>0.60408</v>
      </c>
      <c r="N692" s="50" t="n">
        <v>11.9489</v>
      </c>
      <c r="O692" s="50" t="n">
        <v>2.4221</v>
      </c>
      <c r="R692" s="50" t="n">
        <v>211.18</v>
      </c>
      <c r="S692" s="50" t="n">
        <v>0.54287</v>
      </c>
      <c r="T692" s="50" t="n">
        <v>0.55509</v>
      </c>
      <c r="U692" s="50" t="n">
        <v>46.2192</v>
      </c>
      <c r="V692" s="50" t="n">
        <v>0.54984</v>
      </c>
      <c r="W692" s="50" t="n">
        <v>0.9578</v>
      </c>
      <c r="X692" s="50" t="n">
        <v>1.4074</v>
      </c>
      <c r="Y692" s="50" t="n">
        <v>1.4099</v>
      </c>
      <c r="Z692" s="50" t="n">
        <v>7.02546</v>
      </c>
      <c r="AA692" s="50" t="n">
        <v>2.5483</v>
      </c>
      <c r="AB692" s="50" t="n">
        <v>4.9199</v>
      </c>
    </row>
    <row r="693">
      <c r="A693" s="49" t="n">
        <v>46240</v>
      </c>
      <c r="B693" s="50" t="n">
        <v>6.7895</v>
      </c>
      <c r="C693" s="50" t="n">
        <v>7.8197</v>
      </c>
      <c r="D693" s="50" t="n">
        <v>0.042956</v>
      </c>
      <c r="E693" s="50" t="n">
        <v>0.86557</v>
      </c>
      <c r="F693" s="50" t="n">
        <v>9.112399999999999</v>
      </c>
      <c r="G693" s="50" t="n">
        <v>4.7739</v>
      </c>
      <c r="H693" s="50" t="n">
        <v>3.9801</v>
      </c>
      <c r="I693" s="50" t="n">
        <v>5.2835</v>
      </c>
      <c r="J693" s="50" t="n">
        <v>8.3904</v>
      </c>
      <c r="K693" s="50" t="n">
        <v>4.8276</v>
      </c>
      <c r="L693" s="50" t="n">
        <v>1.1905</v>
      </c>
      <c r="M693" s="50" t="n">
        <v>0.60421</v>
      </c>
      <c r="N693" s="50" t="n">
        <v>11.9954</v>
      </c>
      <c r="O693" s="50" t="n">
        <v>2.4101</v>
      </c>
      <c r="R693" s="50" t="n">
        <v>210.35</v>
      </c>
      <c r="S693" s="50" t="n">
        <v>0.54301</v>
      </c>
      <c r="T693" s="50" t="n">
        <v>0.55526</v>
      </c>
      <c r="U693" s="50" t="n">
        <v>46.2047</v>
      </c>
      <c r="V693" s="50" t="n">
        <v>0.54926</v>
      </c>
      <c r="W693" s="50" t="n">
        <v>0.9560999999999999</v>
      </c>
      <c r="X693" s="50" t="n">
        <v>1.4021</v>
      </c>
      <c r="Y693" s="50" t="n">
        <v>1.4086</v>
      </c>
      <c r="Z693" s="50" t="n">
        <v>7.02903</v>
      </c>
      <c r="AA693" s="50" t="n">
        <v>2.5433</v>
      </c>
      <c r="AB693" s="50" t="n">
        <v>4.8982</v>
      </c>
    </row>
    <row r="694">
      <c r="A694" s="49" t="n">
        <v>46241</v>
      </c>
      <c r="B694" s="50" t="n">
        <v>6.7904</v>
      </c>
      <c r="C694" s="50" t="n">
        <v>7.8067</v>
      </c>
      <c r="D694" s="50" t="n">
        <v>0.042791</v>
      </c>
      <c r="E694" s="50" t="n">
        <v>0.8656</v>
      </c>
      <c r="F694" s="50" t="n">
        <v>9.116300000000001</v>
      </c>
      <c r="G694" s="50" t="n">
        <v>4.7635</v>
      </c>
      <c r="H694" s="50" t="n">
        <v>3.9749</v>
      </c>
      <c r="I694" s="50" t="n">
        <v>5.2784</v>
      </c>
      <c r="J694" s="50" t="n">
        <v>8.343</v>
      </c>
      <c r="K694" s="50" t="n">
        <v>4.8332</v>
      </c>
      <c r="L694" s="50" t="n">
        <v>1.1905</v>
      </c>
      <c r="M694" s="50" t="n">
        <v>0.60343</v>
      </c>
      <c r="N694" s="50" t="n">
        <v>12.1801</v>
      </c>
      <c r="O694" s="50" t="n">
        <v>2.4134</v>
      </c>
      <c r="R694" s="50" t="n">
        <v>210.44</v>
      </c>
      <c r="S694" s="50" t="n">
        <v>0.54226</v>
      </c>
      <c r="T694" s="50" t="n">
        <v>0.55436</v>
      </c>
      <c r="U694" s="50" t="n">
        <v>46.7568</v>
      </c>
      <c r="V694" s="50" t="n">
        <v>0.55053</v>
      </c>
      <c r="W694" s="50" t="n">
        <v>0.9576</v>
      </c>
      <c r="X694" s="50" t="n">
        <v>1.4048</v>
      </c>
      <c r="Y694" s="50" t="n">
        <v>1.4085</v>
      </c>
      <c r="Z694" s="50" t="n">
        <v>7.03356</v>
      </c>
      <c r="AA694" s="50" t="n">
        <v>2.537</v>
      </c>
      <c r="AB694" s="50" t="n">
        <v>4.8965</v>
      </c>
    </row>
    <row r="695">
      <c r="A695" s="49" t="n">
        <v>46244</v>
      </c>
      <c r="B695" s="50" t="n">
        <v>6.7884</v>
      </c>
      <c r="C695" s="50" t="n">
        <v>7.8171</v>
      </c>
      <c r="D695" s="50" t="n">
        <v>0.042867</v>
      </c>
      <c r="E695" s="50" t="n">
        <v>0.86536</v>
      </c>
      <c r="F695" s="50" t="n">
        <v>9.1234</v>
      </c>
      <c r="G695" s="50" t="n">
        <v>4.7757</v>
      </c>
      <c r="H695" s="50" t="n">
        <v>3.9792</v>
      </c>
      <c r="I695" s="50" t="n">
        <v>5.2921</v>
      </c>
      <c r="J695" s="50" t="n">
        <v>8.369899999999999</v>
      </c>
      <c r="K695" s="50" t="n">
        <v>4.8453</v>
      </c>
      <c r="L695" s="50" t="n">
        <v>1.1908</v>
      </c>
      <c r="M695" s="50" t="n">
        <v>0.60366</v>
      </c>
      <c r="N695" s="50" t="n">
        <v>12.1726</v>
      </c>
      <c r="O695" s="50" t="n">
        <v>2.3871</v>
      </c>
      <c r="R695" s="50" t="n">
        <v>208.99</v>
      </c>
      <c r="S695" s="50" t="n">
        <v>0.54349</v>
      </c>
      <c r="T695" s="50" t="n">
        <v>0.55558</v>
      </c>
      <c r="U695" s="50" t="n">
        <v>46.493</v>
      </c>
      <c r="V695" s="50" t="n">
        <v>0.5492899999999999</v>
      </c>
      <c r="W695" s="50" t="n">
        <v>0.9566</v>
      </c>
      <c r="X695" s="50" t="n">
        <v>1.4026</v>
      </c>
      <c r="Y695" s="50" t="n">
        <v>1.4053</v>
      </c>
      <c r="Z695" s="50" t="n">
        <v>7.05203</v>
      </c>
      <c r="AA695" s="50" t="n">
        <v>2.5298</v>
      </c>
      <c r="AB695" s="50" t="n">
        <v>4.8851</v>
      </c>
    </row>
    <row r="696">
      <c r="A696" s="49" t="n">
        <v>46245</v>
      </c>
      <c r="B696" s="50" t="n">
        <v>6.79</v>
      </c>
      <c r="C696" s="50" t="n">
        <v>7.8153</v>
      </c>
      <c r="D696" s="50" t="n">
        <v>0.042567</v>
      </c>
      <c r="E696" s="50" t="n">
        <v>0.8655</v>
      </c>
      <c r="F696" s="50" t="n">
        <v>9.1456</v>
      </c>
      <c r="G696" s="50" t="n">
        <v>4.7764</v>
      </c>
      <c r="H696" s="50" t="n">
        <v>3.9828</v>
      </c>
      <c r="I696" s="50" t="n">
        <v>5.2876</v>
      </c>
      <c r="J696" s="50" t="n">
        <v>8.361700000000001</v>
      </c>
      <c r="K696" s="50" t="n">
        <v>4.855</v>
      </c>
      <c r="L696" s="50" t="n">
        <v>1.1906</v>
      </c>
      <c r="M696" s="50" t="n">
        <v>0.60365</v>
      </c>
      <c r="N696" s="50" t="n">
        <v>12.2302</v>
      </c>
      <c r="O696" s="50" t="n">
        <v>2.3896</v>
      </c>
      <c r="R696" s="50" t="n">
        <v>209.59</v>
      </c>
      <c r="S696" s="50" t="n">
        <v>0.54271</v>
      </c>
      <c r="T696" s="50" t="n">
        <v>0.55483</v>
      </c>
      <c r="U696" s="50" t="n">
        <v>46.5694</v>
      </c>
      <c r="V696" s="50" t="n">
        <v>0.54988</v>
      </c>
      <c r="W696" s="50" t="n">
        <v>0.9566</v>
      </c>
      <c r="X696" s="50" t="n">
        <v>1.4026</v>
      </c>
      <c r="Y696" s="50" t="n">
        <v>1.4028</v>
      </c>
      <c r="Z696" s="50" t="n">
        <v>7.04728</v>
      </c>
      <c r="AA696" s="50" t="n">
        <v>2.528</v>
      </c>
      <c r="AB696" s="50" t="n">
        <v>4.881</v>
      </c>
    </row>
    <row r="697">
      <c r="A697" s="49" t="n">
        <v>46246</v>
      </c>
      <c r="B697" s="50" t="n">
        <v>6.7882</v>
      </c>
      <c r="C697" s="50" t="n">
        <v>7.8095</v>
      </c>
      <c r="D697" s="50" t="n">
        <v>0.042548</v>
      </c>
      <c r="E697" s="50" t="n">
        <v>0.86515</v>
      </c>
      <c r="F697" s="50" t="n">
        <v>9.140700000000001</v>
      </c>
      <c r="G697" s="50" t="n">
        <v>4.7793</v>
      </c>
      <c r="H697" s="50" t="n">
        <v>3.9767</v>
      </c>
      <c r="I697" s="50" t="n">
        <v>5.2884</v>
      </c>
      <c r="J697" s="50" t="n">
        <v>8.3461</v>
      </c>
      <c r="K697" s="50" t="n">
        <v>4.8574</v>
      </c>
      <c r="L697" s="50" t="n">
        <v>1.1911</v>
      </c>
      <c r="M697" s="50" t="n">
        <v>0.604</v>
      </c>
      <c r="N697" s="50" t="n">
        <v>12.2256</v>
      </c>
      <c r="O697" s="50" t="n">
        <v>2.3912</v>
      </c>
      <c r="R697" s="50" t="n">
        <v>209.16</v>
      </c>
      <c r="S697" s="50" t="n">
        <v>0.5431</v>
      </c>
      <c r="T697" s="50" t="n">
        <v>0.55519</v>
      </c>
      <c r="U697" s="50" t="n">
        <v>46.707</v>
      </c>
      <c r="V697" s="50" t="n">
        <v>0.55014</v>
      </c>
      <c r="W697" s="50" t="n">
        <v>0.9574</v>
      </c>
      <c r="X697" s="50" t="n">
        <v>1.4075</v>
      </c>
      <c r="Y697" s="50" t="n">
        <v>1.4037</v>
      </c>
      <c r="Z697" s="50" t="n">
        <v>7.0536</v>
      </c>
      <c r="AA697" s="50" t="n">
        <v>2.5192</v>
      </c>
      <c r="AB697" s="50" t="n">
        <v>4.9062</v>
      </c>
    </row>
    <row r="698">
      <c r="A698" s="49" t="n">
        <v>46247</v>
      </c>
      <c r="B698" s="50" t="n">
        <v>6.7888</v>
      </c>
      <c r="C698" s="50" t="n">
        <v>7.8014</v>
      </c>
      <c r="D698" s="50" t="n">
        <v>0.042508</v>
      </c>
      <c r="E698" s="50" t="n">
        <v>0.8651799999999999</v>
      </c>
      <c r="F698" s="50" t="n">
        <v>9.1355</v>
      </c>
      <c r="G698" s="50" t="n">
        <v>4.7797</v>
      </c>
      <c r="H698" s="50" t="n">
        <v>3.9652</v>
      </c>
      <c r="I698" s="50" t="n">
        <v>5.2882</v>
      </c>
      <c r="J698" s="50" t="n">
        <v>8.325900000000001</v>
      </c>
      <c r="K698" s="50" t="n">
        <v>4.8526</v>
      </c>
      <c r="L698" s="50" t="n">
        <v>1.1911</v>
      </c>
      <c r="M698" s="50" t="n">
        <v>0.60297</v>
      </c>
      <c r="N698" s="50" t="n">
        <v>12.2752</v>
      </c>
      <c r="O698" s="50" t="n">
        <v>2.3834</v>
      </c>
      <c r="R698" s="50" t="n">
        <v>209.58</v>
      </c>
      <c r="S698" s="50" t="n">
        <v>0.54293</v>
      </c>
      <c r="T698" s="50" t="n">
        <v>0.55499</v>
      </c>
      <c r="U698" s="50" t="n">
        <v>46.6306</v>
      </c>
      <c r="V698" s="50" t="n">
        <v>0.55127</v>
      </c>
      <c r="W698" s="50" t="n">
        <v>0.9583</v>
      </c>
      <c r="X698" s="50" t="n">
        <v>1.416</v>
      </c>
      <c r="Y698" s="50" t="n">
        <v>1.4038</v>
      </c>
      <c r="Z698" s="50" t="n">
        <v>7.05547</v>
      </c>
      <c r="AA698" s="50" t="n">
        <v>2.5171</v>
      </c>
      <c r="AB698" s="50" t="n">
        <v>4.8982</v>
      </c>
    </row>
    <row r="699">
      <c r="A699" s="49" t="n">
        <v>46248</v>
      </c>
      <c r="B699" s="50" t="n">
        <v>6.7878</v>
      </c>
      <c r="C699" s="50" t="n">
        <v>7.8017</v>
      </c>
      <c r="D699" s="50" t="n">
        <v>0.042454</v>
      </c>
      <c r="E699" s="50" t="n">
        <v>0.865</v>
      </c>
      <c r="F699" s="50" t="n">
        <v>9.126200000000001</v>
      </c>
      <c r="G699" s="50" t="n">
        <v>4.777</v>
      </c>
      <c r="H699" s="50" t="n">
        <v>3.9587</v>
      </c>
      <c r="I699" s="50" t="n">
        <v>5.285</v>
      </c>
      <c r="J699" s="50" t="n">
        <v>8.313599999999999</v>
      </c>
      <c r="K699" s="50" t="n">
        <v>4.8539</v>
      </c>
      <c r="L699" s="50" t="n">
        <v>1.1914</v>
      </c>
      <c r="M699" s="50" t="n">
        <v>0.60339</v>
      </c>
      <c r="N699" s="50" t="n">
        <v>12.3156</v>
      </c>
      <c r="O699" s="50" t="n">
        <v>2.3917</v>
      </c>
      <c r="R699" s="50" t="n">
        <v>209.93</v>
      </c>
      <c r="S699" s="50" t="n">
        <v>0.54326</v>
      </c>
      <c r="T699" s="50" t="n">
        <v>0.55529</v>
      </c>
      <c r="U699" s="50" t="n">
        <v>46.5198</v>
      </c>
      <c r="V699" s="50" t="n">
        <v>0.55184</v>
      </c>
      <c r="W699" s="50" t="n">
        <v>0.9583</v>
      </c>
      <c r="X699" s="50" t="n">
        <v>1.4142</v>
      </c>
      <c r="Y699" s="50" t="n">
        <v>1.4065</v>
      </c>
      <c r="Z699" s="50" t="n">
        <v>7.07462</v>
      </c>
      <c r="AA699" s="50" t="n">
        <v>2.5137</v>
      </c>
      <c r="AB699" s="50" t="n">
        <v>4.9134</v>
      </c>
    </row>
    <row r="700">
      <c r="A700" s="49" t="n">
        <v>46251</v>
      </c>
      <c r="B700" s="50" t="n">
        <v>6.7873</v>
      </c>
      <c r="C700" s="50" t="n">
        <v>7.8288</v>
      </c>
      <c r="D700" s="50" t="n">
        <v>0.042487</v>
      </c>
      <c r="E700" s="50" t="n">
        <v>0.86496</v>
      </c>
      <c r="F700" s="50" t="n">
        <v>9.160399999999999</v>
      </c>
      <c r="G700" s="50" t="n">
        <v>4.7929</v>
      </c>
      <c r="H700" s="50" t="n">
        <v>3.9865</v>
      </c>
      <c r="I700" s="50" t="n">
        <v>5.2899</v>
      </c>
      <c r="J700" s="50" t="n">
        <v>8.324999999999999</v>
      </c>
      <c r="K700" s="50" t="n">
        <v>4.8729</v>
      </c>
      <c r="L700" s="50" t="n">
        <v>1.1914</v>
      </c>
      <c r="M700" s="50" t="n">
        <v>0.60311</v>
      </c>
      <c r="N700" s="50" t="n">
        <v>12.466</v>
      </c>
      <c r="O700" s="50" t="n">
        <v>2.3925</v>
      </c>
      <c r="R700" s="50" t="n">
        <v>209.68</v>
      </c>
      <c r="S700" s="50" t="n">
        <v>0.54334</v>
      </c>
      <c r="T700" s="50" t="n">
        <v>0.55541</v>
      </c>
      <c r="U700" s="50" t="n">
        <v>46.3036</v>
      </c>
      <c r="V700" s="50" t="n">
        <v>0.5494</v>
      </c>
      <c r="W700" s="50" t="n">
        <v>0.955</v>
      </c>
      <c r="X700" s="50" t="n">
        <v>1.4074</v>
      </c>
      <c r="Y700" s="50" t="n">
        <v>1.3969</v>
      </c>
      <c r="Z700" s="50" t="n">
        <v>7.07709</v>
      </c>
      <c r="AA700" s="50" t="n">
        <v>2.5125</v>
      </c>
      <c r="AB700" s="50" t="n">
        <v>4.9071</v>
      </c>
    </row>
    <row r="701">
      <c r="A701" s="49" t="n">
        <v>46252</v>
      </c>
      <c r="B701" s="50" t="n">
        <v>6.7905</v>
      </c>
      <c r="C701" s="50" t="n">
        <v>7.8378</v>
      </c>
      <c r="D701" s="50" t="n">
        <v>0.042482</v>
      </c>
      <c r="E701" s="50" t="n">
        <v>0.86559</v>
      </c>
      <c r="F701" s="50" t="n">
        <v>9.1685</v>
      </c>
      <c r="G701" s="50" t="n">
        <v>4.8091</v>
      </c>
      <c r="H701" s="50" t="n">
        <v>3.9942</v>
      </c>
      <c r="I701" s="50" t="n">
        <v>5.2982</v>
      </c>
      <c r="J701" s="50" t="n">
        <v>8.350199999999999</v>
      </c>
      <c r="K701" s="50" t="n">
        <v>4.8766</v>
      </c>
      <c r="L701" s="50" t="n">
        <v>1.1905</v>
      </c>
      <c r="M701" s="50" t="n">
        <v>0.59899</v>
      </c>
      <c r="N701" s="50" t="n">
        <v>12.5717</v>
      </c>
      <c r="O701" s="50" t="n">
        <v>2.3957</v>
      </c>
      <c r="R701" s="50" t="n">
        <v>209.22</v>
      </c>
      <c r="S701" s="50" t="n">
        <v>0.54295</v>
      </c>
      <c r="T701" s="50" t="n">
        <v>0.55506</v>
      </c>
      <c r="U701" s="50" t="n">
        <v>46.3528</v>
      </c>
      <c r="V701" s="50" t="n">
        <v>0.54975</v>
      </c>
      <c r="W701" s="50" t="n">
        <v>0.9538</v>
      </c>
      <c r="X701" s="50" t="n">
        <v>1.4057</v>
      </c>
      <c r="Y701" s="50" t="n">
        <v>1.3922</v>
      </c>
      <c r="Z701" s="50" t="n">
        <v>7.07554</v>
      </c>
      <c r="AA701" s="50" t="n">
        <v>2.513</v>
      </c>
      <c r="AB701" s="50" t="n">
        <v>4.889</v>
      </c>
    </row>
    <row r="702">
      <c r="A702" s="49" t="n">
        <v>46253</v>
      </c>
      <c r="B702" s="50" t="n">
        <v>6.7854</v>
      </c>
      <c r="C702" s="50" t="n">
        <v>7.8328</v>
      </c>
      <c r="D702" s="50" t="n">
        <v>0.042445</v>
      </c>
      <c r="E702" s="50" t="n">
        <v>0.86502</v>
      </c>
      <c r="F702" s="50" t="n">
        <v>9.1586</v>
      </c>
      <c r="G702" s="50" t="n">
        <v>4.7915</v>
      </c>
      <c r="H702" s="50" t="n">
        <v>3.9731</v>
      </c>
      <c r="I702" s="50" t="n">
        <v>5.2935</v>
      </c>
      <c r="J702" s="50" t="n">
        <v>8.333399999999999</v>
      </c>
      <c r="K702" s="50" t="n">
        <v>4.8658</v>
      </c>
      <c r="L702" s="50" t="n">
        <v>1.1912</v>
      </c>
      <c r="M702" s="50" t="n">
        <v>0.59915</v>
      </c>
      <c r="N702" s="50" t="n">
        <v>12.5909</v>
      </c>
      <c r="O702" s="50" t="n">
        <v>2.402</v>
      </c>
      <c r="R702" s="50" t="n">
        <v>208.8</v>
      </c>
      <c r="S702" s="50" t="n">
        <v>0.543</v>
      </c>
      <c r="T702" s="50" t="n">
        <v>0.55511</v>
      </c>
      <c r="U702" s="50" t="n">
        <v>46.6293</v>
      </c>
      <c r="V702" s="50" t="n">
        <v>0.55124</v>
      </c>
      <c r="W702" s="50" t="n">
        <v>0.9545</v>
      </c>
      <c r="X702" s="50" t="n">
        <v>1.4098</v>
      </c>
      <c r="Y702" s="50" t="n">
        <v>1.392</v>
      </c>
      <c r="Z702" s="50" t="n">
        <v>7.08092</v>
      </c>
      <c r="AA702" s="50" t="n">
        <v>2.5174</v>
      </c>
      <c r="AB702" s="50" t="n">
        <v>4.9013</v>
      </c>
    </row>
    <row r="703">
      <c r="A703" s="49" t="n">
        <v>46254</v>
      </c>
      <c r="B703" s="50" t="n">
        <v>6.7808</v>
      </c>
      <c r="C703" s="50" t="n">
        <v>7.8815</v>
      </c>
      <c r="D703" s="50" t="n">
        <v>0.042636</v>
      </c>
      <c r="E703" s="50" t="n">
        <v>0.86476</v>
      </c>
      <c r="F703" s="50" t="n">
        <v>9.1793</v>
      </c>
      <c r="G703" s="50" t="n">
        <v>4.8041</v>
      </c>
      <c r="H703" s="50" t="n">
        <v>4.0016</v>
      </c>
      <c r="I703" s="50" t="n">
        <v>5.3128</v>
      </c>
      <c r="J703" s="50" t="n">
        <v>8.4634</v>
      </c>
      <c r="K703" s="50" t="n">
        <v>4.884</v>
      </c>
      <c r="L703" s="50" t="n">
        <v>1.1917</v>
      </c>
      <c r="M703" s="50" t="n">
        <v>0.59964</v>
      </c>
      <c r="N703" s="50" t="n">
        <v>12.5119</v>
      </c>
      <c r="O703" s="50" t="n">
        <v>2.3826</v>
      </c>
      <c r="R703" s="50" t="n">
        <v>206.14</v>
      </c>
      <c r="S703" s="50" t="n">
        <v>0.5447</v>
      </c>
      <c r="T703" s="50" t="n">
        <v>0.55684</v>
      </c>
      <c r="U703" s="50" t="n">
        <v>46.1519</v>
      </c>
      <c r="V703" s="50" t="n">
        <v>0.5471200000000001</v>
      </c>
      <c r="W703" s="50" t="n">
        <v>0.9491000000000001</v>
      </c>
      <c r="X703" s="50" t="n">
        <v>1.3993</v>
      </c>
      <c r="Y703" s="50" t="n">
        <v>1.3829</v>
      </c>
      <c r="Z703" s="50" t="n">
        <v>7.10556</v>
      </c>
      <c r="AA703" s="50" t="n">
        <v>2.5068</v>
      </c>
      <c r="AB703" s="50" t="n">
        <v>4.8791</v>
      </c>
    </row>
    <row r="704">
      <c r="A704" s="49" t="n">
        <v>46255</v>
      </c>
      <c r="B704" s="50" t="n">
        <v>6.7817</v>
      </c>
      <c r="C704" s="50" t="n">
        <v>7.8906</v>
      </c>
      <c r="D704" s="50" t="n">
        <v>0.042516</v>
      </c>
      <c r="E704" s="50" t="n">
        <v>0.86466</v>
      </c>
      <c r="F704" s="50" t="n">
        <v>9.210100000000001</v>
      </c>
      <c r="G704" s="50" t="n">
        <v>4.8058</v>
      </c>
      <c r="H704" s="50" t="n">
        <v>4.018</v>
      </c>
      <c r="I704" s="50" t="n">
        <v>5.3115</v>
      </c>
      <c r="J704" s="50" t="n">
        <v>8.447900000000001</v>
      </c>
      <c r="K704" s="50" t="n">
        <v>4.8966</v>
      </c>
      <c r="L704" s="50" t="n">
        <v>1.1917</v>
      </c>
      <c r="M704" s="50" t="n">
        <v>0.59817</v>
      </c>
      <c r="N704" s="50" t="n">
        <v>12.3275</v>
      </c>
      <c r="O704" s="50" t="n">
        <v>2.3848</v>
      </c>
      <c r="R704" s="50" t="n">
        <v>206.2</v>
      </c>
      <c r="S704" s="50" t="n">
        <v>0.5442399999999999</v>
      </c>
      <c r="T704" s="50" t="n">
        <v>0.55637</v>
      </c>
      <c r="U704" s="50" t="n">
        <v>46.1306</v>
      </c>
      <c r="V704" s="50" t="n">
        <v>0.5462900000000001</v>
      </c>
      <c r="W704" s="50" t="n">
        <v>0.9474</v>
      </c>
      <c r="X704" s="50" t="n">
        <v>1.4046</v>
      </c>
      <c r="Y704" s="50" t="n">
        <v>1.3851</v>
      </c>
      <c r="Z704" s="50" t="n">
        <v>7.11112</v>
      </c>
      <c r="AA704" s="50" t="n">
        <v>2.5049</v>
      </c>
      <c r="AB704" s="50" t="n">
        <v>4.8716</v>
      </c>
    </row>
    <row r="705">
      <c r="A705" s="49" t="n">
        <v>46258</v>
      </c>
      <c r="B705" s="50" t="n">
        <v>6.7841</v>
      </c>
      <c r="C705" s="50" t="n">
        <v>7.8863</v>
      </c>
      <c r="D705" s="50" t="n">
        <v>0.042541</v>
      </c>
      <c r="E705" s="50" t="n">
        <v>0.86542</v>
      </c>
      <c r="F705" s="50" t="n">
        <v>9.214399999999999</v>
      </c>
      <c r="G705" s="50" t="n">
        <v>4.8395</v>
      </c>
      <c r="H705" s="50" t="n">
        <v>4.032</v>
      </c>
      <c r="I705" s="50" t="n">
        <v>5.3196</v>
      </c>
      <c r="J705" s="50" t="n">
        <v>8.4337</v>
      </c>
      <c r="K705" s="50" t="n">
        <v>4.8919</v>
      </c>
      <c r="L705" s="50" t="n">
        <v>1.1909</v>
      </c>
      <c r="M705" s="50" t="n">
        <v>0.59688</v>
      </c>
      <c r="N705" s="50" t="n">
        <v>12.3019</v>
      </c>
      <c r="O705" s="50" t="n">
        <v>2.3701</v>
      </c>
      <c r="R705" s="50" t="n">
        <v>205.47</v>
      </c>
      <c r="S705" s="50" t="n">
        <v>0.54426</v>
      </c>
      <c r="T705" s="50" t="n">
        <v>0.5563900000000001</v>
      </c>
      <c r="U705" s="50" t="n">
        <v>45.9174</v>
      </c>
      <c r="V705" s="50" t="n">
        <v>0.54601</v>
      </c>
      <c r="W705" s="50" t="n">
        <v>0.948</v>
      </c>
      <c r="X705" s="50" t="n">
        <v>1.404</v>
      </c>
      <c r="Y705" s="50" t="n">
        <v>1.3799</v>
      </c>
      <c r="Z705" s="50" t="n">
        <v>7.11649</v>
      </c>
      <c r="AA705" s="50" t="n">
        <v>2.5013</v>
      </c>
      <c r="AB705" s="50" t="n">
        <v>4.8462</v>
      </c>
    </row>
    <row r="706">
      <c r="A706" s="49" t="n">
        <v>46259</v>
      </c>
      <c r="B706" s="50" t="n">
        <v>6.7852</v>
      </c>
      <c r="C706" s="50" t="n">
        <v>7.8791</v>
      </c>
      <c r="D706" s="50" t="n">
        <v>0.042518</v>
      </c>
      <c r="E706" s="50" t="n">
        <v>0.86587</v>
      </c>
      <c r="F706" s="50" t="n">
        <v>9.210599999999999</v>
      </c>
      <c r="G706" s="50" t="n">
        <v>4.8302</v>
      </c>
      <c r="H706" s="50" t="n">
        <v>4.0261</v>
      </c>
      <c r="I706" s="50" t="n">
        <v>5.3185</v>
      </c>
      <c r="J706" s="50" t="n">
        <v>8.424899999999999</v>
      </c>
      <c r="K706" s="50" t="n">
        <v>4.8757</v>
      </c>
      <c r="L706" s="50" t="n">
        <v>1.1901</v>
      </c>
      <c r="M706" s="50" t="n">
        <v>0.59751</v>
      </c>
      <c r="N706" s="50" t="n">
        <v>12.4402</v>
      </c>
      <c r="O706" s="50" t="n">
        <v>2.3702</v>
      </c>
      <c r="R706" s="50" t="n">
        <v>205.41</v>
      </c>
      <c r="S706" s="50" t="n">
        <v>0.54413</v>
      </c>
      <c r="T706" s="50" t="n">
        <v>0.55626</v>
      </c>
      <c r="U706" s="50" t="n">
        <v>45.9745</v>
      </c>
      <c r="V706" s="50" t="n">
        <v>0.54584</v>
      </c>
      <c r="W706" s="50" t="n">
        <v>0.9489</v>
      </c>
      <c r="X706" s="50" t="n">
        <v>1.4064</v>
      </c>
      <c r="Y706" s="50" t="n">
        <v>1.3793</v>
      </c>
      <c r="Z706" s="50" t="n">
        <v>7.11634</v>
      </c>
      <c r="AA706" s="50" t="n">
        <v>2.5032</v>
      </c>
      <c r="AB706" s="50" t="n">
        <v>4.8529</v>
      </c>
    </row>
    <row r="707">
      <c r="A707" s="49" t="n">
        <v>46260</v>
      </c>
      <c r="B707" s="50" t="n">
        <v>6.7829</v>
      </c>
      <c r="C707" s="50" t="n">
        <v>7.8807</v>
      </c>
      <c r="D707" s="50" t="n">
        <v>0.04245</v>
      </c>
      <c r="E707" s="50" t="n">
        <v>0.8652300000000001</v>
      </c>
      <c r="F707" s="50" t="n">
        <v>9.2127</v>
      </c>
      <c r="G707" s="50" t="n">
        <v>4.8351</v>
      </c>
      <c r="H707" s="50" t="n">
        <v>4.0323</v>
      </c>
      <c r="I707" s="50" t="n">
        <v>5.32</v>
      </c>
      <c r="J707" s="50" t="n">
        <v>8.4252</v>
      </c>
      <c r="K707" s="50" t="n">
        <v>4.8744</v>
      </c>
      <c r="L707" s="50" t="n">
        <v>1.191</v>
      </c>
      <c r="M707" s="50" t="n">
        <v>0.59746</v>
      </c>
      <c r="N707" s="50" t="n">
        <v>12.458</v>
      </c>
      <c r="O707" s="50" t="n">
        <v>2.3586</v>
      </c>
      <c r="R707" s="50" t="n">
        <v>205.56</v>
      </c>
      <c r="S707" s="50" t="n">
        <v>0.54457</v>
      </c>
      <c r="T707" s="50" t="n">
        <v>0.5567</v>
      </c>
      <c r="U707" s="50" t="n">
        <v>45.8025</v>
      </c>
      <c r="V707" s="50" t="n">
        <v>0.54558</v>
      </c>
      <c r="W707" s="50" t="n">
        <v>0.9488</v>
      </c>
      <c r="X707" s="50" t="n">
        <v>1.4021</v>
      </c>
      <c r="Y707" s="50" t="n">
        <v>1.3817</v>
      </c>
      <c r="Z707" s="50" t="n">
        <v>7.12506</v>
      </c>
      <c r="AA707" s="50" t="n">
        <v>2.504</v>
      </c>
      <c r="AB707" s="50" t="n">
        <v>4.8551</v>
      </c>
    </row>
    <row r="708">
      <c r="A708" s="49" t="n">
        <v>46261</v>
      </c>
      <c r="B708" s="50" t="n">
        <v>6.784</v>
      </c>
      <c r="C708" s="50" t="n">
        <v>7.8739</v>
      </c>
      <c r="D708" s="50" t="n">
        <v>0.042491</v>
      </c>
      <c r="E708" s="50" t="n">
        <v>0.86535</v>
      </c>
      <c r="F708" s="50" t="n">
        <v>9.1859</v>
      </c>
      <c r="G708" s="50" t="n">
        <v>4.8488</v>
      </c>
      <c r="H708" s="50" t="n">
        <v>4.0177</v>
      </c>
      <c r="I708" s="50" t="n">
        <v>5.3144</v>
      </c>
      <c r="J708" s="50" t="n">
        <v>8.3987</v>
      </c>
      <c r="K708" s="50" t="n">
        <v>4.8652</v>
      </c>
      <c r="L708" s="50" t="n">
        <v>1.1908</v>
      </c>
      <c r="M708" s="50" t="n">
        <v>0.59572</v>
      </c>
      <c r="N708" s="50" t="n">
        <v>12.5494</v>
      </c>
      <c r="O708" s="50" t="n">
        <v>2.3604</v>
      </c>
      <c r="R708" s="50" t="n">
        <v>205.23</v>
      </c>
      <c r="S708" s="50" t="n">
        <v>0.5440199999999999</v>
      </c>
      <c r="T708" s="50" t="n">
        <v>0.55615</v>
      </c>
      <c r="U708" s="50" t="n">
        <v>45.9123</v>
      </c>
      <c r="V708" s="50" t="n">
        <v>0.5466</v>
      </c>
      <c r="W708" s="50" t="n">
        <v>0.9494</v>
      </c>
      <c r="X708" s="50" t="n">
        <v>1.4107</v>
      </c>
      <c r="Y708" s="50" t="n">
        <v>1.3848</v>
      </c>
      <c r="Z708" s="50" t="n">
        <v>7.12174</v>
      </c>
      <c r="AA708" s="50" t="n">
        <v>2.5027</v>
      </c>
      <c r="AB708" s="50" t="n">
        <v>4.8663</v>
      </c>
    </row>
    <row r="709">
      <c r="A709" s="49" t="n">
        <v>46262</v>
      </c>
      <c r="B709" s="50" t="n">
        <v>6.7811</v>
      </c>
      <c r="C709" s="50" t="n">
        <v>7.8683</v>
      </c>
      <c r="D709" s="50" t="n">
        <v>0.042428</v>
      </c>
      <c r="E709" s="50" t="n">
        <v>0.86498</v>
      </c>
      <c r="F709" s="50" t="n">
        <v>9.181900000000001</v>
      </c>
      <c r="G709" s="50" t="n">
        <v>4.855</v>
      </c>
      <c r="H709" s="50" t="n">
        <v>4.0208</v>
      </c>
      <c r="I709" s="50" t="n">
        <v>5.3142</v>
      </c>
      <c r="J709" s="50" t="n">
        <v>8.4056</v>
      </c>
      <c r="K709" s="50" t="n">
        <v>4.8716</v>
      </c>
      <c r="L709" s="50" t="n">
        <v>1.1913</v>
      </c>
      <c r="M709" s="50" t="n">
        <v>0.5964</v>
      </c>
      <c r="N709" s="50" t="n">
        <v>12.789</v>
      </c>
      <c r="O709" s="50" t="n">
        <v>2.3669</v>
      </c>
      <c r="R709" s="50" t="n">
        <v>205.12</v>
      </c>
      <c r="S709" s="50" t="n">
        <v>0.54426</v>
      </c>
      <c r="T709" s="50" t="n">
        <v>0.55638</v>
      </c>
      <c r="U709" s="50" t="n">
        <v>46.2773</v>
      </c>
      <c r="V709" s="50" t="n">
        <v>0.54987</v>
      </c>
      <c r="W709" s="50" t="n">
        <v>0.9499</v>
      </c>
      <c r="X709" s="50" t="n">
        <v>1.4099</v>
      </c>
      <c r="Y709" s="50" t="n">
        <v>1.3817</v>
      </c>
      <c r="Z709" s="50" t="n">
        <v>7.12626</v>
      </c>
      <c r="AA709" s="50" t="n">
        <v>2.5064</v>
      </c>
      <c r="AB709" s="50" t="n">
        <v>4.8803</v>
      </c>
    </row>
    <row r="710">
      <c r="A710" s="49" t="n">
        <v>46265</v>
      </c>
      <c r="B710" s="50" t="n">
        <v>6.7828</v>
      </c>
      <c r="C710" s="50" t="n">
        <v>7.8344</v>
      </c>
      <c r="D710" s="50" t="n">
        <v>0.042285</v>
      </c>
      <c r="E710" s="50" t="n">
        <v>0.8651</v>
      </c>
      <c r="F710" s="50" t="n">
        <v>9.153</v>
      </c>
      <c r="G710" s="50" t="n">
        <v>4.841</v>
      </c>
      <c r="H710" s="50" t="n">
        <v>3.9994</v>
      </c>
      <c r="I710" s="50" t="n">
        <v>5.304</v>
      </c>
      <c r="J710" s="50" t="n">
        <v>8.360300000000001</v>
      </c>
      <c r="K710" s="50" t="n">
        <v>4.86</v>
      </c>
      <c r="L710" s="50" t="n">
        <v>1.1912</v>
      </c>
      <c r="M710" s="50" t="n">
        <v>0.59533</v>
      </c>
      <c r="N710" s="50" t="n">
        <v>12.7239</v>
      </c>
      <c r="O710" s="50" t="n">
        <v>2.3897</v>
      </c>
      <c r="R710" s="50" t="n">
        <v>204.55</v>
      </c>
      <c r="S710" s="50" t="n">
        <v>0.54364</v>
      </c>
      <c r="T710" s="50" t="n">
        <v>0.55572</v>
      </c>
      <c r="U710" s="50" t="n">
        <v>46.5549</v>
      </c>
      <c r="V710" s="50" t="n">
        <v>0.55364</v>
      </c>
      <c r="W710" s="50" t="n">
        <v>0.9540999999999999</v>
      </c>
      <c r="X710" s="50" t="n">
        <v>1.4217</v>
      </c>
      <c r="Y710" s="50" t="n">
        <v>1.3867</v>
      </c>
      <c r="Z710" s="50" t="n">
        <v>7.13542</v>
      </c>
      <c r="AA710" s="50" t="n">
        <v>2.5151</v>
      </c>
      <c r="AB710" s="50" t="n">
        <v>4.912</v>
      </c>
    </row>
    <row r="711">
      <c r="A711" s="49" t="n">
        <v>46266</v>
      </c>
      <c r="B711" s="50" t="n">
        <v>6.7809</v>
      </c>
      <c r="C711" s="50" t="n">
        <v>7.8406</v>
      </c>
      <c r="D711" s="50" t="n">
        <v>0.042301</v>
      </c>
      <c r="E711" s="50" t="n">
        <v>0.86498</v>
      </c>
      <c r="F711" s="50" t="n">
        <v>9.1431</v>
      </c>
      <c r="G711" s="50" t="n">
        <v>4.8373</v>
      </c>
      <c r="H711" s="50" t="n">
        <v>3.9928</v>
      </c>
      <c r="I711" s="50" t="n">
        <v>5.3115</v>
      </c>
      <c r="J711" s="50" t="n">
        <v>8.353199999999999</v>
      </c>
      <c r="K711" s="50" t="n">
        <v>4.8687</v>
      </c>
      <c r="L711" s="50" t="n">
        <v>1.1914</v>
      </c>
      <c r="M711" s="50" t="n">
        <v>0.59617</v>
      </c>
      <c r="N711" s="50" t="n">
        <v>12.8255</v>
      </c>
      <c r="O711" s="50" t="n">
        <v>2.3854</v>
      </c>
      <c r="R711" s="50" t="n">
        <v>203.49</v>
      </c>
      <c r="S711" s="50" t="n">
        <v>0.54456</v>
      </c>
      <c r="T711" s="50" t="n">
        <v>0.5567</v>
      </c>
      <c r="U711" s="50" t="n">
        <v>46.4907</v>
      </c>
      <c r="V711" s="50" t="n">
        <v>0.5510699999999999</v>
      </c>
      <c r="W711" s="50" t="n">
        <v>0.9534</v>
      </c>
      <c r="X711" s="50" t="n">
        <v>1.4202</v>
      </c>
      <c r="Y711" s="50" t="n">
        <v>1.3854</v>
      </c>
      <c r="Z711" s="50" t="n">
        <v>7.14872</v>
      </c>
      <c r="AA711" s="50" t="n">
        <v>2.5127</v>
      </c>
      <c r="AB711" s="50" t="n">
        <v>4.9238</v>
      </c>
    </row>
    <row r="712">
      <c r="A712" s="49" t="n">
        <v>46267</v>
      </c>
      <c r="B712" s="50" t="n">
        <v>6.7829</v>
      </c>
      <c r="C712" s="50" t="n">
        <v>7.8267</v>
      </c>
      <c r="D712" s="50" t="n">
        <v>0.042218</v>
      </c>
      <c r="E712" s="50" t="n">
        <v>0.86497</v>
      </c>
      <c r="F712" s="50" t="n">
        <v>9.127800000000001</v>
      </c>
      <c r="G712" s="50" t="n">
        <v>4.8246</v>
      </c>
      <c r="H712" s="50" t="n">
        <v>3.9789</v>
      </c>
      <c r="I712" s="50" t="n">
        <v>5.305</v>
      </c>
      <c r="J712" s="50" t="n">
        <v>8.3256</v>
      </c>
      <c r="K712" s="50" t="n">
        <v>4.8572</v>
      </c>
      <c r="L712" s="50" t="n">
        <v>1.1914</v>
      </c>
      <c r="M712" s="50" t="n">
        <v>0.59714</v>
      </c>
      <c r="N712" s="50" t="n">
        <v>12.9108</v>
      </c>
      <c r="O712" s="50" t="n">
        <v>2.3919</v>
      </c>
      <c r="R712" s="50" t="n">
        <v>203.97</v>
      </c>
      <c r="S712" s="50" t="n">
        <v>0.54417</v>
      </c>
      <c r="T712" s="50" t="n">
        <v>0.55628</v>
      </c>
      <c r="U712" s="50" t="n">
        <v>46.9837</v>
      </c>
      <c r="V712" s="50" t="n">
        <v>0.55291</v>
      </c>
      <c r="W712" s="50" t="n">
        <v>0.955</v>
      </c>
      <c r="X712" s="50" t="n">
        <v>1.4251</v>
      </c>
      <c r="Y712" s="50" t="n">
        <v>1.3825</v>
      </c>
      <c r="Z712" s="50" t="n">
        <v>7.14733</v>
      </c>
      <c r="AA712" s="50" t="n">
        <v>2.5109</v>
      </c>
      <c r="AB712" s="50" t="n">
        <v>4.9421</v>
      </c>
    </row>
    <row r="713">
      <c r="A713" s="49" t="n">
        <v>46268</v>
      </c>
      <c r="B713" s="50" t="n">
        <v>6.7807</v>
      </c>
      <c r="C713" s="50" t="n">
        <v>7.8208</v>
      </c>
      <c r="D713" s="50" t="n">
        <v>0.042495</v>
      </c>
      <c r="E713" s="50" t="n">
        <v>0.86476</v>
      </c>
      <c r="F713" s="50" t="n">
        <v>9.1004</v>
      </c>
      <c r="G713" s="50" t="n">
        <v>4.8344</v>
      </c>
      <c r="H713" s="50" t="n">
        <v>3.9483</v>
      </c>
      <c r="I713" s="50" t="n">
        <v>5.3119</v>
      </c>
      <c r="J713" s="50" t="n">
        <v>8.307700000000001</v>
      </c>
      <c r="K713" s="50" t="n">
        <v>4.8716</v>
      </c>
      <c r="L713" s="50" t="n">
        <v>1.1917</v>
      </c>
      <c r="M713" s="50" t="n">
        <v>0.59756</v>
      </c>
      <c r="N713" s="50" t="n">
        <v>13.0294</v>
      </c>
      <c r="O713" s="50" t="n">
        <v>2.378</v>
      </c>
      <c r="R713" s="50" t="n">
        <v>202.29</v>
      </c>
      <c r="S713" s="50" t="n">
        <v>0.54457</v>
      </c>
      <c r="T713" s="50" t="n">
        <v>0.5567299999999999</v>
      </c>
      <c r="U713" s="50" t="n">
        <v>46.9394</v>
      </c>
      <c r="V713" s="50" t="n">
        <v>0.55267</v>
      </c>
      <c r="W713" s="50" t="n">
        <v>0.956</v>
      </c>
      <c r="X713" s="50" t="n">
        <v>1.4277</v>
      </c>
      <c r="Y713" s="50" t="n">
        <v>1.3822</v>
      </c>
      <c r="Z713" s="50" t="n">
        <v>7.15458</v>
      </c>
      <c r="AA713" s="50" t="n">
        <v>2.5104</v>
      </c>
      <c r="AB713" s="50" t="n">
        <v>4.9282</v>
      </c>
    </row>
    <row r="714">
      <c r="A714" s="49" t="n">
        <v>46269</v>
      </c>
      <c r="B714" s="50" t="n">
        <v>6.7787</v>
      </c>
      <c r="C714" s="50" t="n">
        <v>7.8397</v>
      </c>
      <c r="D714" s="50" t="n">
        <v>0.043135</v>
      </c>
      <c r="E714" s="50" t="n">
        <v>0.86458</v>
      </c>
      <c r="F714" s="50" t="n">
        <v>9.1195</v>
      </c>
      <c r="G714" s="50" t="n">
        <v>4.8487</v>
      </c>
      <c r="H714" s="50" t="n">
        <v>3.9627</v>
      </c>
      <c r="I714" s="50" t="n">
        <v>5.3227</v>
      </c>
      <c r="J714" s="50" t="n">
        <v>8.350099999999999</v>
      </c>
      <c r="K714" s="50" t="n">
        <v>4.8849</v>
      </c>
      <c r="L714" s="50" t="n">
        <v>1.1919</v>
      </c>
      <c r="M714" s="50" t="n">
        <v>0.59784</v>
      </c>
      <c r="N714" s="50" t="n">
        <v>12.9025</v>
      </c>
      <c r="O714" s="50" t="n">
        <v>2.3708</v>
      </c>
      <c r="R714" s="50" t="n">
        <v>202.07</v>
      </c>
      <c r="S714" s="50" t="n">
        <v>0.54515</v>
      </c>
      <c r="T714" s="50" t="n">
        <v>0.55733</v>
      </c>
      <c r="U714" s="50" t="n">
        <v>46.0672</v>
      </c>
      <c r="V714" s="50" t="n">
        <v>0.55013</v>
      </c>
      <c r="W714" s="50" t="n">
        <v>0.9536</v>
      </c>
      <c r="X714" s="50" t="n">
        <v>1.4155</v>
      </c>
      <c r="Y714" s="50" t="n">
        <v>1.3799</v>
      </c>
      <c r="Z714" s="50" t="n">
        <v>7.17587</v>
      </c>
      <c r="AA714" s="50" t="n">
        <v>2.5029</v>
      </c>
      <c r="AB714" s="50" t="n">
        <v>4.8918</v>
      </c>
    </row>
    <row r="715">
      <c r="A715" s="49" t="n">
        <v>46272</v>
      </c>
      <c r="B715" s="50" t="n">
        <v>6.7795</v>
      </c>
      <c r="C715" s="50" t="n">
        <v>7.8337</v>
      </c>
      <c r="D715" s="50" t="n">
        <v>0.043098</v>
      </c>
      <c r="E715" s="50" t="n">
        <v>0.86465</v>
      </c>
      <c r="F715" s="50" t="n">
        <v>9.1158</v>
      </c>
      <c r="G715" s="50" t="n">
        <v>4.8539</v>
      </c>
      <c r="H715" s="50" t="n">
        <v>3.9638</v>
      </c>
      <c r="I715" s="50" t="n">
        <v>5.3231</v>
      </c>
      <c r="J715" s="50" t="n">
        <v>8.3329</v>
      </c>
      <c r="K715" s="50" t="n">
        <v>4.8713</v>
      </c>
      <c r="L715" s="50" t="n">
        <v>1.1921</v>
      </c>
      <c r="M715" s="50" t="n">
        <v>0.59853</v>
      </c>
      <c r="N715" s="50" t="n">
        <v>12.7929</v>
      </c>
      <c r="O715" s="50" t="n">
        <v>2.365</v>
      </c>
      <c r="R715" s="50" t="n">
        <v>199.78</v>
      </c>
      <c r="S715" s="50" t="n">
        <v>0.54506</v>
      </c>
      <c r="T715" s="50" t="n">
        <v>0.55724</v>
      </c>
      <c r="U715" s="50" t="n">
        <v>46.1194</v>
      </c>
      <c r="V715" s="50" t="n">
        <v>0.54947</v>
      </c>
      <c r="W715" s="50" t="n">
        <v>0.9543</v>
      </c>
      <c r="X715" s="50" t="n">
        <v>1.4204</v>
      </c>
      <c r="Y715" s="50" t="n">
        <v>1.3811</v>
      </c>
      <c r="Z715" s="50" t="n">
        <v>7.18008</v>
      </c>
      <c r="AA715" s="50" t="n">
        <v>2.4997</v>
      </c>
      <c r="AB715" s="50" t="n">
        <v>4.8943</v>
      </c>
    </row>
    <row r="716">
      <c r="A716" s="49" t="n">
        <v>46273</v>
      </c>
      <c r="B716" s="50" t="n">
        <v>6.7804</v>
      </c>
      <c r="C716" s="50" t="n">
        <v>7.8419</v>
      </c>
      <c r="D716" s="50" t="n">
        <v>0.043706</v>
      </c>
      <c r="E716" s="50" t="n">
        <v>0.86482</v>
      </c>
      <c r="F716" s="50" t="n">
        <v>9.1349</v>
      </c>
      <c r="G716" s="50" t="n">
        <v>4.8616</v>
      </c>
      <c r="H716" s="50" t="n">
        <v>3.9634</v>
      </c>
      <c r="I716" s="50" t="n">
        <v>5.3287</v>
      </c>
      <c r="J716" s="50" t="n">
        <v>8.341799999999999</v>
      </c>
      <c r="K716" s="50" t="n">
        <v>4.8809</v>
      </c>
      <c r="L716" s="50" t="n">
        <v>1.1916</v>
      </c>
      <c r="M716" s="50" t="n">
        <v>0.5985</v>
      </c>
      <c r="N716" s="50" t="n">
        <v>12.8098</v>
      </c>
      <c r="O716" s="50" t="n">
        <v>2.369</v>
      </c>
      <c r="R716" s="50" t="n">
        <v>200.11</v>
      </c>
      <c r="S716" s="50" t="n">
        <v>0.54497</v>
      </c>
      <c r="T716" s="50" t="n">
        <v>0.55718</v>
      </c>
      <c r="U716" s="50" t="n">
        <v>46.2062</v>
      </c>
      <c r="V716" s="50" t="n">
        <v>0.5485100000000001</v>
      </c>
      <c r="W716" s="50" t="n">
        <v>0.9532</v>
      </c>
      <c r="X716" s="50" t="n">
        <v>1.4232</v>
      </c>
      <c r="Y716" s="50" t="n">
        <v>1.3765</v>
      </c>
      <c r="Z716" s="50" t="n">
        <v>7.18155</v>
      </c>
      <c r="AA716" s="50" t="n">
        <v>2.5056</v>
      </c>
      <c r="AB716" s="50" t="n">
        <v>4.8863</v>
      </c>
    </row>
    <row r="717">
      <c r="A717" s="49" t="n">
        <v>46274</v>
      </c>
      <c r="B717" s="50" t="n">
        <v>6.7769</v>
      </c>
      <c r="C717" s="50" t="n">
        <v>7.8397</v>
      </c>
      <c r="D717" s="50" t="n">
        <v>0.043774</v>
      </c>
      <c r="E717" s="50" t="n">
        <v>0.8641799999999999</v>
      </c>
      <c r="F717" s="50" t="n">
        <v>9.130800000000001</v>
      </c>
      <c r="G717" s="50" t="n">
        <v>4.861</v>
      </c>
      <c r="H717" s="50" t="n">
        <v>3.9474</v>
      </c>
      <c r="I717" s="50" t="n">
        <v>5.3304</v>
      </c>
      <c r="J717" s="50" t="n">
        <v>8.3399</v>
      </c>
      <c r="K717" s="50" t="n">
        <v>4.8867</v>
      </c>
      <c r="L717" s="50" t="n">
        <v>1.1925</v>
      </c>
      <c r="M717" s="50" t="n">
        <v>0.6013500000000001</v>
      </c>
      <c r="N717" s="50" t="n">
        <v>12.8163</v>
      </c>
      <c r="O717" s="50" t="n">
        <v>2.3714</v>
      </c>
      <c r="R717" s="50" t="n">
        <v>199.75</v>
      </c>
      <c r="S717" s="50" t="n">
        <v>0.54531</v>
      </c>
      <c r="T717" s="50" t="n">
        <v>0.55747</v>
      </c>
      <c r="U717" s="50" t="n">
        <v>46.2799</v>
      </c>
      <c r="V717" s="50" t="n">
        <v>0.54913</v>
      </c>
      <c r="W717" s="50" t="n">
        <v>0.9537</v>
      </c>
      <c r="X717" s="50" t="n">
        <v>1.4225</v>
      </c>
      <c r="Y717" s="50" t="n">
        <v>1.3721</v>
      </c>
      <c r="Z717" s="50" t="n">
        <v>7.18635</v>
      </c>
      <c r="AA717" s="50" t="n">
        <v>2.5023</v>
      </c>
      <c r="AB717" s="50" t="n">
        <v>4.8943</v>
      </c>
    </row>
    <row r="718">
      <c r="A718" s="49" t="n">
        <v>46275</v>
      </c>
      <c r="B718" s="50" t="n">
        <v>6.7766</v>
      </c>
      <c r="C718" s="50" t="n">
        <v>7.8446</v>
      </c>
      <c r="D718" s="50" t="n">
        <v>0.043809</v>
      </c>
      <c r="E718" s="50" t="n">
        <v>0.86413</v>
      </c>
      <c r="F718" s="50" t="n">
        <v>9.136200000000001</v>
      </c>
      <c r="G718" s="50" t="n">
        <v>4.8613</v>
      </c>
      <c r="H718" s="50" t="n">
        <v>3.9392</v>
      </c>
      <c r="I718" s="50" t="n">
        <v>5.3311</v>
      </c>
      <c r="J718" s="50" t="n">
        <v>8.333399999999999</v>
      </c>
      <c r="K718" s="50" t="n">
        <v>4.8816</v>
      </c>
      <c r="L718" s="50" t="n">
        <v>1.1925</v>
      </c>
      <c r="M718" s="50" t="n">
        <v>0.60279</v>
      </c>
      <c r="N718" s="50" t="n">
        <v>12.6864</v>
      </c>
      <c r="O718" s="50" t="n">
        <v>2.3771</v>
      </c>
      <c r="R718" s="50" t="n">
        <v>199.57</v>
      </c>
      <c r="S718" s="50" t="n">
        <v>0.54514</v>
      </c>
      <c r="T718" s="50" t="n">
        <v>0.55729</v>
      </c>
      <c r="U718" s="50" t="n">
        <v>46.3338</v>
      </c>
      <c r="V718" s="50" t="n">
        <v>0.54914</v>
      </c>
      <c r="W718" s="50" t="n">
        <v>0.9528</v>
      </c>
      <c r="X718" s="50" t="n">
        <v>1.4229</v>
      </c>
      <c r="Y718" s="50" t="n">
        <v>1.3679</v>
      </c>
      <c r="Z718" s="50" t="n">
        <v>7.18878</v>
      </c>
      <c r="AA718" s="50" t="n">
        <v>2.5</v>
      </c>
      <c r="AB718" s="50" t="n">
        <v>4.8953</v>
      </c>
    </row>
    <row r="719">
      <c r="A719" s="49" t="n">
        <v>46276</v>
      </c>
      <c r="B719" s="50" t="n">
        <v>6.7743</v>
      </c>
      <c r="C719" s="50" t="n">
        <v>7.8367</v>
      </c>
      <c r="D719" s="50" t="n">
        <v>0.043614</v>
      </c>
      <c r="E719" s="50" t="n">
        <v>0.8638400000000001</v>
      </c>
      <c r="F719" s="50" t="n">
        <v>9.121</v>
      </c>
      <c r="G719" s="50" t="n">
        <v>4.833</v>
      </c>
      <c r="H719" s="50" t="n">
        <v>3.9192</v>
      </c>
      <c r="I719" s="50" t="n">
        <v>5.322</v>
      </c>
      <c r="J719" s="50" t="n">
        <v>8.3072</v>
      </c>
      <c r="K719" s="50" t="n">
        <v>4.8751</v>
      </c>
      <c r="L719" s="50" t="n">
        <v>1.1929</v>
      </c>
      <c r="M719" s="50" t="n">
        <v>0.6022</v>
      </c>
      <c r="N719" s="50" t="n">
        <v>12.5034</v>
      </c>
      <c r="O719" s="50" t="n">
        <v>2.3989</v>
      </c>
      <c r="R719" s="50" t="n">
        <v>200.62</v>
      </c>
      <c r="S719" s="50" t="n">
        <v>0.54454</v>
      </c>
      <c r="T719" s="50" t="n">
        <v>0.55674</v>
      </c>
      <c r="U719" s="50" t="n">
        <v>46.5438</v>
      </c>
      <c r="V719" s="50" t="n">
        <v>0.55103</v>
      </c>
      <c r="W719" s="50" t="n">
        <v>0.9537</v>
      </c>
      <c r="X719" s="50" t="n">
        <v>1.4358</v>
      </c>
      <c r="Y719" s="50" t="n">
        <v>1.3764</v>
      </c>
      <c r="Z719" s="50" t="n">
        <v>7.1944</v>
      </c>
      <c r="AA719" s="50" t="n">
        <v>2.5107</v>
      </c>
      <c r="AB719" s="50" t="n">
        <v>4.9249</v>
      </c>
    </row>
    <row r="720">
      <c r="A720" s="49" t="n">
        <v>46279</v>
      </c>
      <c r="B720" s="50" t="n">
        <v>6.7698</v>
      </c>
      <c r="C720" s="50" t="n">
        <v>7.8149</v>
      </c>
      <c r="D720" s="50" t="n">
        <v>0.043799</v>
      </c>
      <c r="E720" s="50" t="n">
        <v>0.86325</v>
      </c>
      <c r="F720" s="50" t="n">
        <v>9.118499999999999</v>
      </c>
      <c r="G720" s="50" t="n">
        <v>4.8231</v>
      </c>
      <c r="H720" s="50" t="n">
        <v>3.9157</v>
      </c>
      <c r="I720" s="50" t="n">
        <v>5.3212</v>
      </c>
      <c r="J720" s="50" t="n">
        <v>8.2608</v>
      </c>
      <c r="K720" s="50" t="n">
        <v>4.8594</v>
      </c>
      <c r="L720" s="50" t="n">
        <v>1.1938</v>
      </c>
      <c r="M720" s="50" t="n">
        <v>0.6022999999999999</v>
      </c>
      <c r="N720" s="50" t="n">
        <v>12.5343</v>
      </c>
      <c r="O720" s="50" t="n">
        <v>2.3963</v>
      </c>
      <c r="R720" s="50" t="n">
        <v>200.34</v>
      </c>
      <c r="S720" s="50" t="n">
        <v>0.54497</v>
      </c>
      <c r="T720" s="50" t="n">
        <v>0.55715</v>
      </c>
      <c r="U720" s="50" t="n">
        <v>46.4317</v>
      </c>
      <c r="V720" s="50" t="n">
        <v>0.5521</v>
      </c>
      <c r="W720" s="50" t="n">
        <v>0.9562</v>
      </c>
      <c r="X720" s="50" t="n">
        <v>1.4402</v>
      </c>
      <c r="Y720" s="50" t="n">
        <v>1.3797</v>
      </c>
      <c r="Z720" s="50" t="n">
        <v>7.20415</v>
      </c>
      <c r="AA720" s="50" t="n">
        <v>2.5128</v>
      </c>
      <c r="AB720" s="50" t="n">
        <v>4.9195</v>
      </c>
    </row>
    <row r="721">
      <c r="A721" s="49" t="n">
        <v>46280</v>
      </c>
      <c r="B721" s="50" t="n">
        <v>6.767</v>
      </c>
      <c r="C721" s="50" t="n">
        <v>7.7811</v>
      </c>
      <c r="D721" s="50" t="n">
        <v>0.043592</v>
      </c>
      <c r="E721" s="50" t="n">
        <v>0.8627</v>
      </c>
      <c r="F721" s="50" t="n">
        <v>9.0992</v>
      </c>
      <c r="G721" s="50" t="n">
        <v>4.8091</v>
      </c>
      <c r="H721" s="50" t="n">
        <v>3.8933</v>
      </c>
      <c r="I721" s="50" t="n">
        <v>5.3068</v>
      </c>
      <c r="J721" s="50" t="n">
        <v>8.252599999999999</v>
      </c>
      <c r="K721" s="50" t="n">
        <v>4.8453</v>
      </c>
      <c r="L721" s="50" t="n">
        <v>1.1944</v>
      </c>
      <c r="M721" s="50" t="n">
        <v>0.60359</v>
      </c>
      <c r="N721" s="50" t="n">
        <v>12.5721</v>
      </c>
      <c r="O721" s="50" t="n">
        <v>2.4091</v>
      </c>
      <c r="R721" s="50" t="n">
        <v>200.75</v>
      </c>
      <c r="S721" s="50" t="n">
        <v>0.54538</v>
      </c>
      <c r="T721" s="50" t="n">
        <v>0.55768</v>
      </c>
      <c r="U721" s="50" t="n">
        <v>46.9077</v>
      </c>
      <c r="V721" s="50" t="n">
        <v>0.55687</v>
      </c>
      <c r="W721" s="50" t="n">
        <v>0.9607</v>
      </c>
      <c r="X721" s="50" t="n">
        <v>1.4487</v>
      </c>
      <c r="Y721" s="50" t="n">
        <v>1.3855</v>
      </c>
      <c r="Z721" s="50" t="n">
        <v>7.21363</v>
      </c>
      <c r="AA721" s="50" t="n">
        <v>2.5367</v>
      </c>
      <c r="AB721" s="50" t="n">
        <v>4.9415</v>
      </c>
    </row>
    <row r="722">
      <c r="A722" s="49" t="n">
        <v>46281</v>
      </c>
      <c r="B722" s="50" t="n">
        <v>6.7628</v>
      </c>
      <c r="C722" s="50" t="n">
        <v>7.7762</v>
      </c>
      <c r="D722" s="50" t="n">
        <v>0.043419</v>
      </c>
      <c r="E722" s="50" t="n">
        <v>0.8621</v>
      </c>
      <c r="F722" s="50" t="n">
        <v>9.083</v>
      </c>
      <c r="G722" s="50" t="n">
        <v>4.8043</v>
      </c>
      <c r="H722" s="50" t="n">
        <v>3.8767</v>
      </c>
      <c r="I722" s="50" t="n">
        <v>5.2951</v>
      </c>
      <c r="J722" s="50" t="n">
        <v>8.236700000000001</v>
      </c>
      <c r="K722" s="50" t="n">
        <v>4.8391</v>
      </c>
      <c r="L722" s="50" t="n">
        <v>1.1953</v>
      </c>
      <c r="M722" s="50" t="n">
        <v>0.60426</v>
      </c>
      <c r="N722" s="50" t="n">
        <v>12.542</v>
      </c>
      <c r="O722" s="50" t="n">
        <v>2.4116</v>
      </c>
      <c r="R722" s="50" t="n">
        <v>203.51</v>
      </c>
      <c r="S722" s="50" t="n">
        <v>0.54509</v>
      </c>
      <c r="T722" s="50" t="n">
        <v>0.55746</v>
      </c>
      <c r="U722" s="50" t="n">
        <v>46.9208</v>
      </c>
      <c r="V722" s="50" t="n">
        <v>0.55727</v>
      </c>
      <c r="W722" s="50" t="n">
        <v>0.9613</v>
      </c>
      <c r="X722" s="50" t="n">
        <v>1.4514</v>
      </c>
      <c r="Y722" s="50" t="n">
        <v>1.388</v>
      </c>
      <c r="Z722" s="50" t="n">
        <v>7.2133</v>
      </c>
      <c r="AA722" s="50" t="n">
        <v>2.5388</v>
      </c>
      <c r="AB722" s="50" t="n">
        <v>4.9519</v>
      </c>
    </row>
    <row r="723">
      <c r="A723" s="49" t="n">
        <v>46282</v>
      </c>
      <c r="B723" s="50" t="n">
        <v>6.758</v>
      </c>
      <c r="C723" s="50" t="n">
        <v>7.735</v>
      </c>
      <c r="D723" s="50" t="n">
        <v>0.043252</v>
      </c>
      <c r="E723" s="50" t="n">
        <v>0.86154</v>
      </c>
      <c r="F723" s="50" t="n">
        <v>9.0289</v>
      </c>
      <c r="G723" s="50" t="n">
        <v>4.7841</v>
      </c>
      <c r="H723" s="50" t="n">
        <v>3.8612</v>
      </c>
      <c r="I723" s="50" t="n">
        <v>5.2805</v>
      </c>
      <c r="J723" s="50" t="n">
        <v>8.1745</v>
      </c>
      <c r="K723" s="50" t="n">
        <v>4.8196</v>
      </c>
      <c r="L723" s="50" t="n">
        <v>1.1961</v>
      </c>
      <c r="M723" s="50" t="n">
        <v>0.60617</v>
      </c>
      <c r="N723" s="50" t="n">
        <v>12.532</v>
      </c>
      <c r="O723" s="50" t="n">
        <v>2.4278</v>
      </c>
      <c r="R723" s="50" t="n">
        <v>204.67</v>
      </c>
      <c r="S723" s="50" t="n">
        <v>0.5447</v>
      </c>
      <c r="T723" s="50" t="n">
        <v>0.55709</v>
      </c>
      <c r="U723" s="50" t="n">
        <v>47.1154</v>
      </c>
      <c r="V723" s="50" t="n">
        <v>0.56327</v>
      </c>
      <c r="W723" s="50" t="n">
        <v>0.9661999999999999</v>
      </c>
      <c r="X723" s="50" t="n">
        <v>1.4611</v>
      </c>
      <c r="Y723" s="50" t="n">
        <v>1.3977</v>
      </c>
      <c r="Z723" s="50" t="n">
        <v>7.21235</v>
      </c>
      <c r="AA723" s="50" t="n">
        <v>2.5518</v>
      </c>
      <c r="AB723" s="50" t="n">
        <v>4.962</v>
      </c>
    </row>
    <row r="724">
      <c r="A724" s="49" t="n">
        <v>46283</v>
      </c>
      <c r="B724" s="50" t="n">
        <v>6.7521</v>
      </c>
      <c r="C724" s="50" t="n">
        <v>7.7257</v>
      </c>
      <c r="D724" s="50" t="n">
        <v>0.043173</v>
      </c>
      <c r="E724" s="50" t="n">
        <v>0.8606200000000001</v>
      </c>
      <c r="F724" s="50" t="n">
        <v>8.995799999999999</v>
      </c>
      <c r="G724" s="50" t="n">
        <v>4.786</v>
      </c>
      <c r="H724" s="50" t="n">
        <v>3.8545</v>
      </c>
      <c r="I724" s="50" t="n">
        <v>5.2791</v>
      </c>
      <c r="J724" s="50" t="n">
        <v>8.1683</v>
      </c>
      <c r="K724" s="50" t="n">
        <v>4.8088</v>
      </c>
      <c r="L724" s="50" t="n">
        <v>1.1974</v>
      </c>
      <c r="M724" s="50" t="n">
        <v>0.60776</v>
      </c>
      <c r="N724" s="50" t="n">
        <v>12.6077</v>
      </c>
      <c r="O724" s="50" t="n">
        <v>2.4145</v>
      </c>
      <c r="R724" s="50" t="n">
        <v>205.49</v>
      </c>
      <c r="S724" s="50" t="n">
        <v>0.54592</v>
      </c>
      <c r="T724" s="50" t="n">
        <v>0.55835</v>
      </c>
      <c r="U724" s="50" t="n">
        <v>46.9164</v>
      </c>
      <c r="V724" s="50" t="n">
        <v>0.5632200000000001</v>
      </c>
      <c r="W724" s="50" t="n">
        <v>0.9676</v>
      </c>
      <c r="X724" s="50" t="n">
        <v>1.4597</v>
      </c>
      <c r="Y724" s="50" t="n">
        <v>1.4004</v>
      </c>
      <c r="Z724" s="50" t="n">
        <v>7.24009</v>
      </c>
      <c r="AA724" s="50" t="n">
        <v>2.5459</v>
      </c>
      <c r="AB724" s="50" t="n">
        <v>4.9551</v>
      </c>
    </row>
    <row r="725">
      <c r="A725" s="49" t="n">
        <v>46286</v>
      </c>
      <c r="B725" s="50" t="n">
        <v>6.7487</v>
      </c>
      <c r="C725" s="50" t="n">
        <v>7.7192</v>
      </c>
      <c r="D725" s="50" t="n">
        <v>0.042898</v>
      </c>
      <c r="E725" s="50" t="n">
        <v>0.86025</v>
      </c>
      <c r="F725" s="50" t="n">
        <v>9.0044</v>
      </c>
      <c r="G725" s="50" t="n">
        <v>4.7891</v>
      </c>
      <c r="H725" s="50" t="n">
        <v>3.8459</v>
      </c>
      <c r="I725" s="50" t="n">
        <v>5.272</v>
      </c>
      <c r="J725" s="50" t="n">
        <v>8.180899999999999</v>
      </c>
      <c r="K725" s="50" t="n">
        <v>4.8023</v>
      </c>
      <c r="L725" s="50" t="n">
        <v>1.1978</v>
      </c>
      <c r="M725" s="50" t="n">
        <v>0.60614</v>
      </c>
      <c r="N725" s="50" t="n">
        <v>12.5947</v>
      </c>
      <c r="O725" s="50" t="n">
        <v>2.4152</v>
      </c>
      <c r="R725" s="50" t="n">
        <v>206.5</v>
      </c>
      <c r="S725" s="50" t="n">
        <v>0.54654</v>
      </c>
      <c r="T725" s="50" t="n">
        <v>0.55886</v>
      </c>
      <c r="U725" s="50" t="n">
        <v>47.1488</v>
      </c>
      <c r="V725" s="50" t="n">
        <v>0.5644</v>
      </c>
      <c r="W725" s="50" t="n">
        <v>0.9685</v>
      </c>
      <c r="X725" s="50" t="n">
        <v>1.4631</v>
      </c>
      <c r="Y725" s="50" t="n">
        <v>1.4006</v>
      </c>
      <c r="Z725" s="50" t="n">
        <v>7.2516</v>
      </c>
      <c r="AA725" s="50" t="n">
        <v>2.5569</v>
      </c>
      <c r="AB725" s="50" t="n">
        <v>4.9684</v>
      </c>
    </row>
    <row r="726">
      <c r="A726" s="49" t="n">
        <v>46287</v>
      </c>
      <c r="B726" s="50" t="n">
        <v>6.7459</v>
      </c>
      <c r="C726" s="50" t="n">
        <v>7.7059</v>
      </c>
      <c r="D726" s="50" t="n">
        <v>0.042794</v>
      </c>
      <c r="E726" s="50" t="n">
        <v>0.8597399999999999</v>
      </c>
      <c r="F726" s="50" t="n">
        <v>8.9863</v>
      </c>
      <c r="G726" s="50" t="n">
        <v>4.785</v>
      </c>
      <c r="H726" s="50" t="n">
        <v>3.8376</v>
      </c>
      <c r="I726" s="50" t="n">
        <v>5.2687</v>
      </c>
      <c r="J726" s="50" t="n">
        <v>8.192500000000001</v>
      </c>
      <c r="K726" s="50" t="n">
        <v>4.7871</v>
      </c>
      <c r="L726" s="50" t="n">
        <v>1.1987</v>
      </c>
      <c r="M726" s="50" t="n">
        <v>0.60576</v>
      </c>
      <c r="N726" s="50" t="n">
        <v>12.4576</v>
      </c>
      <c r="O726" s="50" t="n">
        <v>2.4147</v>
      </c>
      <c r="R726" s="50" t="n">
        <v>203.99</v>
      </c>
      <c r="S726" s="50" t="n">
        <v>0.54669</v>
      </c>
      <c r="T726" s="50" t="n">
        <v>0.55908</v>
      </c>
      <c r="U726" s="50" t="n">
        <v>46.8512</v>
      </c>
      <c r="V726" s="50" t="n">
        <v>0.5632</v>
      </c>
      <c r="W726" s="50" t="n">
        <v>0.9701</v>
      </c>
      <c r="X726" s="50" t="n">
        <v>1.4644</v>
      </c>
      <c r="Y726" s="50" t="n">
        <v>1.4055</v>
      </c>
      <c r="Z726" s="50" t="n">
        <v>7.25927</v>
      </c>
      <c r="AA726" s="50" t="n">
        <v>2.5569</v>
      </c>
      <c r="AB726" s="50" t="n">
        <v>4.9557</v>
      </c>
    </row>
    <row r="727">
      <c r="A727" s="49" t="n">
        <v>46288</v>
      </c>
      <c r="B727" s="50" t="n">
        <v>6.7468</v>
      </c>
      <c r="C727" s="50" t="n">
        <v>7.6935</v>
      </c>
      <c r="D727" s="50" t="n">
        <v>0.042754</v>
      </c>
      <c r="E727" s="50" t="n">
        <v>0.86015</v>
      </c>
      <c r="F727" s="50" t="n">
        <v>8.968</v>
      </c>
      <c r="G727" s="50" t="n">
        <v>4.7795</v>
      </c>
      <c r="H727" s="50" t="n">
        <v>3.8453</v>
      </c>
      <c r="I727" s="50" t="n">
        <v>5.2723</v>
      </c>
      <c r="J727" s="50" t="n">
        <v>8.193</v>
      </c>
      <c r="K727" s="50" t="n">
        <v>4.7756</v>
      </c>
      <c r="L727" s="50" t="n">
        <v>1.198</v>
      </c>
      <c r="M727" s="50" t="n">
        <v>0.60517</v>
      </c>
      <c r="N727" s="50" t="n">
        <v>12.5659</v>
      </c>
      <c r="O727" s="50" t="n">
        <v>2.4057</v>
      </c>
      <c r="R727" s="50" t="n">
        <v>201.56</v>
      </c>
      <c r="S727" s="50" t="n">
        <v>0.54678</v>
      </c>
      <c r="T727" s="50" t="n">
        <v>0.55904</v>
      </c>
      <c r="U727" s="50" t="n">
        <v>47.0028</v>
      </c>
      <c r="V727" s="50" t="n">
        <v>0.56457</v>
      </c>
      <c r="W727" s="50" t="n">
        <v>0.9718</v>
      </c>
      <c r="X727" s="50" t="n">
        <v>1.4638</v>
      </c>
      <c r="Y727" s="50" t="n">
        <v>1.4059</v>
      </c>
      <c r="Z727" s="50" t="n">
        <v>7.26452</v>
      </c>
      <c r="AA727" s="50" t="n">
        <v>2.5697</v>
      </c>
      <c r="AB727" s="50" t="n">
        <v>4.9392</v>
      </c>
    </row>
    <row r="728">
      <c r="A728" s="49" t="n">
        <v>46289</v>
      </c>
      <c r="B728" s="50" t="n">
        <v>6.7489</v>
      </c>
      <c r="C728" s="50" t="n">
        <v>7.6631</v>
      </c>
      <c r="D728" s="50" t="n">
        <v>0.04259</v>
      </c>
      <c r="E728" s="50" t="n">
        <v>0.86054</v>
      </c>
      <c r="F728" s="50" t="n">
        <v>8.9153</v>
      </c>
      <c r="G728" s="50" t="n">
        <v>4.7387</v>
      </c>
      <c r="H728" s="50" t="n">
        <v>3.8219</v>
      </c>
      <c r="I728" s="50" t="n">
        <v>5.2598</v>
      </c>
      <c r="J728" s="50" t="n">
        <v>8.1662</v>
      </c>
      <c r="K728" s="50" t="n">
        <v>4.7735</v>
      </c>
      <c r="L728" s="50" t="n">
        <v>1.1975</v>
      </c>
      <c r="M728" s="50" t="n">
        <v>0.6065700000000001</v>
      </c>
      <c r="N728" s="50" t="n">
        <v>12.6264</v>
      </c>
      <c r="O728" s="50" t="n">
        <v>2.4289</v>
      </c>
      <c r="R728" s="50" t="n">
        <v>203.1</v>
      </c>
      <c r="S728" s="50" t="n">
        <v>0.54552</v>
      </c>
      <c r="T728" s="50" t="n">
        <v>0.55772</v>
      </c>
      <c r="U728" s="50" t="n">
        <v>47.6197</v>
      </c>
      <c r="V728" s="50" t="n">
        <v>0.57065</v>
      </c>
      <c r="W728" s="50" t="n">
        <v>0.9752999999999999</v>
      </c>
      <c r="X728" s="50" t="n">
        <v>1.4731</v>
      </c>
      <c r="Y728" s="50" t="n">
        <v>1.4094</v>
      </c>
      <c r="Z728" s="50" t="n">
        <v>7.25097</v>
      </c>
      <c r="AA728" s="50" t="n">
        <v>2.6026</v>
      </c>
      <c r="AB728" s="50" t="n">
        <v>4.9728</v>
      </c>
    </row>
    <row r="729">
      <c r="A729" s="49" t="n">
        <v>46293</v>
      </c>
      <c r="B729" s="50" t="n">
        <v>6.7399</v>
      </c>
      <c r="C729" s="50" t="n">
        <v>7.6564</v>
      </c>
      <c r="D729" s="50" t="n">
        <v>0.042685</v>
      </c>
      <c r="E729" s="50" t="n">
        <v>0.85923</v>
      </c>
      <c r="F729" s="50" t="n">
        <v>8.900700000000001</v>
      </c>
      <c r="G729" s="50" t="n">
        <v>4.7182</v>
      </c>
      <c r="H729" s="50" t="n">
        <v>3.8051</v>
      </c>
      <c r="I729" s="50" t="n">
        <v>5.262</v>
      </c>
      <c r="J729" s="50" t="n">
        <v>8.112299999999999</v>
      </c>
      <c r="K729" s="50" t="n">
        <v>4.751</v>
      </c>
      <c r="L729" s="50" t="n">
        <v>1.1994</v>
      </c>
      <c r="M729" s="50" t="n">
        <v>0.60532</v>
      </c>
      <c r="N729" s="50" t="n">
        <v>12.5469</v>
      </c>
      <c r="O729" s="50" t="n">
        <v>2.4275</v>
      </c>
      <c r="R729" s="50" t="n">
        <v>201.8</v>
      </c>
      <c r="S729" s="50" t="n">
        <v>0.54622</v>
      </c>
      <c r="T729" s="50" t="n">
        <v>0.55836</v>
      </c>
      <c r="U729" s="50" t="n">
        <v>47.6781</v>
      </c>
      <c r="V729" s="50" t="n">
        <v>0.57062</v>
      </c>
      <c r="W729" s="50" t="n">
        <v>0.9762</v>
      </c>
      <c r="X729" s="50" t="n">
        <v>1.4772</v>
      </c>
      <c r="Y729" s="50" t="n">
        <v>1.4158</v>
      </c>
      <c r="Z729" s="50" t="n">
        <v>7.27886</v>
      </c>
      <c r="AA729" s="50" t="n">
        <v>2.6334</v>
      </c>
      <c r="AB729" s="50" t="n">
        <v>4.9762</v>
      </c>
    </row>
    <row r="730">
      <c r="A730" s="49" t="n">
        <v>46294</v>
      </c>
      <c r="B730" s="50" t="n">
        <v>6.7411</v>
      </c>
      <c r="C730" s="50" t="n">
        <v>7.6494</v>
      </c>
      <c r="D730" s="50" t="n">
        <v>0.04275</v>
      </c>
      <c r="E730" s="50" t="n">
        <v>0.8593499999999999</v>
      </c>
      <c r="F730" s="50" t="n">
        <v>8.917199999999999</v>
      </c>
      <c r="G730" s="50" t="n">
        <v>4.7197</v>
      </c>
      <c r="H730" s="50" t="n">
        <v>3.81</v>
      </c>
      <c r="I730" s="50" t="n">
        <v>5.2673</v>
      </c>
      <c r="J730" s="50" t="n">
        <v>8.0914</v>
      </c>
      <c r="K730" s="50" t="n">
        <v>4.7449</v>
      </c>
      <c r="L730" s="50" t="n">
        <v>1.1992</v>
      </c>
      <c r="M730" s="50" t="n">
        <v>0.60647</v>
      </c>
      <c r="N730" s="50" t="n">
        <v>12.5711</v>
      </c>
      <c r="O730" s="50" t="n">
        <v>2.4372</v>
      </c>
      <c r="R730" s="50" t="n">
        <v>202.16</v>
      </c>
      <c r="S730" s="50" t="n">
        <v>0.54596</v>
      </c>
      <c r="T730" s="50" t="n">
        <v>0.5581</v>
      </c>
      <c r="U730" s="50" t="n">
        <v>47.9575</v>
      </c>
      <c r="V730" s="50" t="n">
        <v>0.57081</v>
      </c>
      <c r="W730" s="50" t="n">
        <v>0.9771</v>
      </c>
      <c r="X730" s="50" t="n">
        <v>1.4805</v>
      </c>
      <c r="Y730" s="50" t="n">
        <v>1.4179</v>
      </c>
      <c r="Z730" s="50" t="n">
        <v>7.28073</v>
      </c>
      <c r="AA730" s="50" t="n">
        <v>2.6692</v>
      </c>
      <c r="AB730" s="50" t="n">
        <v>5.0002</v>
      </c>
    </row>
    <row r="731">
      <c r="A731" s="49" t="n">
        <v>46295</v>
      </c>
      <c r="B731" s="50" t="n">
        <v>6.7351</v>
      </c>
      <c r="C731" s="50" t="n">
        <v>7.6215</v>
      </c>
      <c r="D731" s="50" t="n">
        <v>0.042727</v>
      </c>
      <c r="E731" s="50" t="n">
        <v>0.85842</v>
      </c>
      <c r="F731" s="50" t="n">
        <v>8.8918</v>
      </c>
      <c r="G731" s="50" t="n">
        <v>4.6959</v>
      </c>
      <c r="H731" s="50" t="n">
        <v>3.7899</v>
      </c>
      <c r="I731" s="50" t="n">
        <v>5.2607</v>
      </c>
      <c r="J731" s="50" t="n">
        <v>8.0608</v>
      </c>
      <c r="K731" s="50" t="n">
        <v>4.7341</v>
      </c>
      <c r="L731" s="50" t="n">
        <v>1.2005</v>
      </c>
      <c r="M731" s="50" t="n">
        <v>0.6067</v>
      </c>
      <c r="N731" s="50" t="n">
        <v>12.5065</v>
      </c>
      <c r="O731" s="50" t="n">
        <v>2.439</v>
      </c>
      <c r="R731" s="50" t="n">
        <v>201.7</v>
      </c>
      <c r="S731" s="50" t="n">
        <v>0.5467</v>
      </c>
      <c r="T731" s="50" t="n">
        <v>0.5589</v>
      </c>
      <c r="U731" s="50" t="n">
        <v>48.1144</v>
      </c>
      <c r="V731" s="50" t="n">
        <v>0.57259</v>
      </c>
      <c r="W731" s="50" t="n">
        <v>0.9809</v>
      </c>
      <c r="X731" s="50" t="n">
        <v>1.4874</v>
      </c>
      <c r="Y731" s="50" t="n">
        <v>1.4291</v>
      </c>
      <c r="Z731" s="50" t="n">
        <v>7.2908</v>
      </c>
      <c r="AA731" s="50" t="n">
        <v>2.6825</v>
      </c>
      <c r="AB731" s="50" t="n">
        <v>5.0001</v>
      </c>
    </row>
    <row r="732">
      <c r="A732" s="49" t="n">
        <v>46303</v>
      </c>
      <c r="B732" s="50" t="n">
        <v>6.7367</v>
      </c>
      <c r="C732" s="50" t="n">
        <v>7.5404</v>
      </c>
      <c r="D732" s="50" t="n">
        <v>0.042642</v>
      </c>
      <c r="E732" s="50" t="n">
        <v>0.85849</v>
      </c>
      <c r="F732" s="50" t="n">
        <v>8.8972</v>
      </c>
      <c r="G732" s="50" t="n">
        <v>4.6852</v>
      </c>
      <c r="H732" s="50" t="n">
        <v>3.7693</v>
      </c>
      <c r="I732" s="50" t="n">
        <v>5.261</v>
      </c>
      <c r="J732" s="50" t="n">
        <v>8.084899999999999</v>
      </c>
      <c r="K732" s="50" t="n">
        <v>4.7209</v>
      </c>
      <c r="L732" s="50" t="n">
        <v>1.2004</v>
      </c>
      <c r="M732" s="50" t="n">
        <v>0.60658</v>
      </c>
      <c r="N732" s="50" t="n">
        <v>12.7353</v>
      </c>
      <c r="O732" s="50" t="n">
        <v>2.4701</v>
      </c>
      <c r="R732" s="50" t="n">
        <v>199.28</v>
      </c>
      <c r="S732" s="50" t="n">
        <v>0.5457</v>
      </c>
      <c r="T732" s="50" t="n">
        <v>0.5578</v>
      </c>
      <c r="U732" s="50" t="n">
        <v>48.49</v>
      </c>
      <c r="V732" s="50" t="n">
        <v>0.58041</v>
      </c>
      <c r="W732" s="50" t="n">
        <v>0.9913999999999999</v>
      </c>
      <c r="X732" s="50" t="n">
        <v>1.4855</v>
      </c>
      <c r="Y732" s="50" t="n">
        <v>1.4226</v>
      </c>
      <c r="Z732" s="50" t="n">
        <v>7.30781</v>
      </c>
      <c r="AA732" s="50" t="n">
        <v>2.6692</v>
      </c>
      <c r="AB732" s="50" t="n">
        <v>5.0012</v>
      </c>
    </row>
    <row r="733">
      <c r="A733" s="49" t="n">
        <v>46304</v>
      </c>
      <c r="B733" s="50" t="n">
        <v>6.733</v>
      </c>
      <c r="C733" s="50" t="n">
        <v>7.5323</v>
      </c>
      <c r="D733" s="50" t="n">
        <v>0.042571</v>
      </c>
      <c r="E733" s="50" t="n">
        <v>0.85798</v>
      </c>
      <c r="F733" s="50" t="n">
        <v>8.8872</v>
      </c>
      <c r="G733" s="50" t="n">
        <v>4.6746</v>
      </c>
      <c r="H733" s="50" t="n">
        <v>3.7634</v>
      </c>
      <c r="I733" s="50" t="n">
        <v>5.246</v>
      </c>
      <c r="J733" s="50" t="n">
        <v>8.082100000000001</v>
      </c>
      <c r="K733" s="50" t="n">
        <v>4.7204</v>
      </c>
      <c r="L733" s="50" t="n">
        <v>1.2011</v>
      </c>
      <c r="M733" s="50" t="n">
        <v>0.60836</v>
      </c>
      <c r="N733" s="50" t="n">
        <v>12.6873</v>
      </c>
      <c r="O733" s="50" t="n">
        <v>2.468</v>
      </c>
      <c r="R733" s="50" t="n">
        <v>200.18</v>
      </c>
      <c r="S733" s="50" t="n">
        <v>0.54695</v>
      </c>
      <c r="T733" s="50" t="n">
        <v>0.55901</v>
      </c>
      <c r="U733" s="50" t="n">
        <v>48.4644</v>
      </c>
      <c r="V733" s="50" t="n">
        <v>0.5805</v>
      </c>
      <c r="W733" s="50" t="n">
        <v>0.9923999999999999</v>
      </c>
      <c r="X733" s="50" t="n">
        <v>1.4848</v>
      </c>
      <c r="Y733" s="50" t="n">
        <v>1.4246</v>
      </c>
      <c r="Z733" s="50" t="n">
        <v>7.33835</v>
      </c>
      <c r="AA733" s="50" t="n">
        <v>2.7042</v>
      </c>
      <c r="AB733" s="50" t="n">
        <v>5.0149</v>
      </c>
    </row>
    <row r="734">
      <c r="A734" s="49" t="n">
        <v>46307</v>
      </c>
      <c r="B734" s="50" t="n">
        <v>6.7313</v>
      </c>
      <c r="C734" s="50" t="n">
        <v>7.5258</v>
      </c>
      <c r="D734" s="50" t="n">
        <v>0.042506</v>
      </c>
      <c r="E734" s="50" t="n">
        <v>0.85768</v>
      </c>
      <c r="F734" s="50" t="n">
        <v>8.891299999999999</v>
      </c>
      <c r="G734" s="50" t="n">
        <v>4.6912</v>
      </c>
      <c r="H734" s="50" t="n">
        <v>3.7696</v>
      </c>
      <c r="I734" s="50" t="n">
        <v>5.2455</v>
      </c>
      <c r="J734" s="50" t="n">
        <v>8.0939</v>
      </c>
      <c r="K734" s="50" t="n">
        <v>4.7077</v>
      </c>
      <c r="L734" s="50" t="n">
        <v>1.2015</v>
      </c>
      <c r="M734" s="50" t="n">
        <v>0.6078</v>
      </c>
      <c r="N734" s="50" t="n">
        <v>12.6958</v>
      </c>
      <c r="O734" s="50" t="n">
        <v>2.4574</v>
      </c>
      <c r="R734" s="50" t="n">
        <v>199.73</v>
      </c>
      <c r="S734" s="50" t="n">
        <v>0.54716</v>
      </c>
      <c r="T734" s="50" t="n">
        <v>0.55949</v>
      </c>
      <c r="U734" s="50" t="n">
        <v>48.4487</v>
      </c>
      <c r="V734" s="50" t="n">
        <v>0.58205</v>
      </c>
      <c r="W734" s="50" t="n">
        <v>0.9933</v>
      </c>
      <c r="X734" s="50" t="n">
        <v>1.4894</v>
      </c>
      <c r="Y734" s="50" t="n">
        <v>1.4236</v>
      </c>
      <c r="Z734" s="50" t="n">
        <v>7.34596</v>
      </c>
      <c r="AA734" s="50" t="n">
        <v>2.7392</v>
      </c>
      <c r="AB734" s="50" t="n">
        <v>5.0005</v>
      </c>
    </row>
    <row r="735">
      <c r="A735" s="49" t="n">
        <v>46308</v>
      </c>
      <c r="B735" s="50" t="n">
        <v>6.7298</v>
      </c>
      <c r="C735" s="50" t="n">
        <v>7.4935</v>
      </c>
      <c r="D735" s="50" t="n">
        <v>0.042411</v>
      </c>
      <c r="E735" s="50" t="n">
        <v>0.85753</v>
      </c>
      <c r="F735" s="50" t="n">
        <v>8.870699999999999</v>
      </c>
      <c r="G735" s="50" t="n">
        <v>4.6708</v>
      </c>
      <c r="H735" s="50" t="n">
        <v>3.7506</v>
      </c>
      <c r="I735" s="50" t="n">
        <v>5.2432</v>
      </c>
      <c r="J735" s="50" t="n">
        <v>8.053599999999999</v>
      </c>
      <c r="K735" s="50" t="n">
        <v>4.7009</v>
      </c>
      <c r="L735" s="50" t="n">
        <v>1.2017</v>
      </c>
      <c r="M735" s="50" t="n">
        <v>0.60789</v>
      </c>
      <c r="N735" s="50" t="n">
        <v>12.5353</v>
      </c>
      <c r="O735" s="50" t="n">
        <v>2.4634</v>
      </c>
      <c r="R735" s="50" t="n">
        <v>199.17</v>
      </c>
      <c r="S735" s="50" t="n">
        <v>0.54714</v>
      </c>
      <c r="T735" s="50" t="n">
        <v>0.55951</v>
      </c>
      <c r="U735" s="50" t="n">
        <v>48.6384</v>
      </c>
      <c r="V735" s="50" t="n">
        <v>0.58447</v>
      </c>
      <c r="W735" s="50" t="n">
        <v>0.9976</v>
      </c>
      <c r="X735" s="50" t="n">
        <v>1.4956</v>
      </c>
      <c r="Y735" s="50" t="n">
        <v>1.4265</v>
      </c>
      <c r="Z735" s="50" t="n">
        <v>7.34559</v>
      </c>
      <c r="AA735" s="50" t="n">
        <v>2.7167</v>
      </c>
      <c r="AB735" s="50" t="n">
        <v>5.0158</v>
      </c>
    </row>
    <row r="736">
      <c r="A736" s="49" t="n">
        <v>46309</v>
      </c>
      <c r="B736" s="50" t="n">
        <v>6.7249</v>
      </c>
      <c r="C736" s="50" t="n">
        <v>7.5165</v>
      </c>
      <c r="D736" s="50" t="n">
        <v>0.042412</v>
      </c>
      <c r="E736" s="50" t="n">
        <v>0.85688</v>
      </c>
      <c r="F736" s="50" t="n">
        <v>8.8956</v>
      </c>
      <c r="G736" s="50" t="n">
        <v>4.686</v>
      </c>
      <c r="H736" s="50" t="n">
        <v>3.7664</v>
      </c>
      <c r="I736" s="50" t="n">
        <v>5.2442</v>
      </c>
      <c r="J736" s="50" t="n">
        <v>8.061299999999999</v>
      </c>
      <c r="K736" s="50" t="n">
        <v>4.718</v>
      </c>
      <c r="L736" s="50" t="n">
        <v>1.2027</v>
      </c>
      <c r="M736" s="50" t="n">
        <v>0.60815</v>
      </c>
      <c r="N736" s="50" t="n">
        <v>12.5307</v>
      </c>
      <c r="O736" s="50" t="n">
        <v>2.4544</v>
      </c>
      <c r="R736" s="50" t="n">
        <v>199.96</v>
      </c>
      <c r="S736" s="50" t="n">
        <v>0.54743</v>
      </c>
      <c r="T736" s="50" t="n">
        <v>0.55975</v>
      </c>
      <c r="U736" s="50" t="n">
        <v>48.3585</v>
      </c>
      <c r="V736" s="50" t="n">
        <v>0.58099</v>
      </c>
      <c r="W736" s="50" t="n">
        <v>0.9945000000000001</v>
      </c>
      <c r="X736" s="50" t="n">
        <v>1.4848</v>
      </c>
      <c r="Y736" s="50" t="n">
        <v>1.4189</v>
      </c>
      <c r="Z736" s="50" t="n">
        <v>7.35519</v>
      </c>
      <c r="AA736" s="50" t="n">
        <v>2.7341</v>
      </c>
      <c r="AB736" s="50" t="n">
        <v>5.0085</v>
      </c>
    </row>
    <row r="737">
      <c r="A737" s="49" t="n">
        <v>46310</v>
      </c>
      <c r="B737" s="50" t="n">
        <v>6.7253</v>
      </c>
      <c r="C737" s="50" t="n">
        <v>7.5068</v>
      </c>
      <c r="D737" s="50" t="n">
        <v>0.042472</v>
      </c>
      <c r="E737" s="50" t="n">
        <v>0.85702</v>
      </c>
      <c r="F737" s="50" t="n">
        <v>8.870900000000001</v>
      </c>
      <c r="G737" s="50" t="n">
        <v>4.6794</v>
      </c>
      <c r="H737" s="50" t="n">
        <v>3.7593</v>
      </c>
      <c r="I737" s="50" t="n">
        <v>5.2262</v>
      </c>
      <c r="J737" s="50" t="n">
        <v>8.0588</v>
      </c>
      <c r="K737" s="50" t="n">
        <v>4.718</v>
      </c>
      <c r="L737" s="50" t="n">
        <v>1.2024</v>
      </c>
      <c r="M737" s="50" t="n">
        <v>0.60773</v>
      </c>
      <c r="N737" s="50" t="n">
        <v>12.4869</v>
      </c>
      <c r="O737" s="50" t="n">
        <v>2.4711</v>
      </c>
      <c r="R737" s="50" t="n">
        <v>200.42</v>
      </c>
      <c r="S737" s="50" t="n">
        <v>0.54735</v>
      </c>
      <c r="T737" s="50" t="n">
        <v>0.55951</v>
      </c>
      <c r="U737" s="50" t="n">
        <v>48.4577</v>
      </c>
      <c r="V737" s="50" t="n">
        <v>0.58191</v>
      </c>
      <c r="W737" s="50" t="n">
        <v>0.9959</v>
      </c>
      <c r="X737" s="50" t="n">
        <v>1.4903</v>
      </c>
      <c r="Y737" s="50" t="n">
        <v>1.4168</v>
      </c>
      <c r="Z737" s="50" t="n">
        <v>7.35894</v>
      </c>
      <c r="AA737" s="50" t="n">
        <v>2.7506</v>
      </c>
      <c r="AB737" s="50" t="n">
        <v>5.0153</v>
      </c>
    </row>
    <row r="738">
      <c r="A738" s="49" t="n">
        <v>46311</v>
      </c>
      <c r="B738" s="50" t="n">
        <v>6.722</v>
      </c>
      <c r="C738" s="50" t="n">
        <v>7.5228</v>
      </c>
      <c r="D738" s="50" t="n">
        <v>0.042439</v>
      </c>
      <c r="E738" s="50" t="n">
        <v>0.85658</v>
      </c>
      <c r="F738" s="50" t="n">
        <v>8.903700000000001</v>
      </c>
      <c r="G738" s="50" t="n">
        <v>4.6416</v>
      </c>
      <c r="H738" s="50" t="n">
        <v>3.771</v>
      </c>
      <c r="I738" s="50" t="n">
        <v>5.2335</v>
      </c>
      <c r="J738" s="50" t="n">
        <v>8.1099</v>
      </c>
      <c r="K738" s="50" t="n">
        <v>4.7261</v>
      </c>
      <c r="L738" s="50" t="n">
        <v>1.203</v>
      </c>
      <c r="M738" s="50" t="n">
        <v>0.60792</v>
      </c>
      <c r="N738" s="50" t="n">
        <v>12.5152</v>
      </c>
      <c r="O738" s="50" t="n">
        <v>2.4606</v>
      </c>
      <c r="R738" s="50" t="n">
        <v>200.28</v>
      </c>
      <c r="S738" s="50" t="n">
        <v>0.54761</v>
      </c>
      <c r="T738" s="50" t="n">
        <v>0.55949</v>
      </c>
      <c r="U738" s="50" t="n">
        <v>48.3053</v>
      </c>
      <c r="V738" s="50" t="n">
        <v>0.5799800000000001</v>
      </c>
      <c r="W738" s="50" t="n">
        <v>0.9937</v>
      </c>
      <c r="X738" s="50" t="n">
        <v>1.4837</v>
      </c>
      <c r="Y738" s="50" t="n">
        <v>1.4131</v>
      </c>
      <c r="Z738" s="50" t="n">
        <v>7.3787</v>
      </c>
      <c r="AA738" s="50" t="n">
        <v>2.7458</v>
      </c>
      <c r="AB738" s="50" t="n">
        <v>5.0017</v>
      </c>
    </row>
    <row r="739">
      <c r="A739" s="49" t="n">
        <v>46314</v>
      </c>
      <c r="B739" s="50" t="n">
        <v>6.7208</v>
      </c>
      <c r="C739" s="50" t="n">
        <v>7.5237</v>
      </c>
      <c r="D739" s="50" t="n">
        <v>0.04248</v>
      </c>
      <c r="E739" s="50" t="n">
        <v>0.85642</v>
      </c>
      <c r="F739" s="50" t="n">
        <v>8.936199999999999</v>
      </c>
      <c r="G739" s="50" t="n">
        <v>4.67</v>
      </c>
      <c r="H739" s="50" t="n">
        <v>3.7901</v>
      </c>
      <c r="I739" s="50" t="n">
        <v>5.241</v>
      </c>
      <c r="J739" s="50" t="n">
        <v>8.137700000000001</v>
      </c>
      <c r="K739" s="50" t="n">
        <v>4.7452</v>
      </c>
      <c r="L739" s="50" t="n">
        <v>1.2031</v>
      </c>
      <c r="M739" s="50" t="n">
        <v>0.60803</v>
      </c>
      <c r="N739" s="50" t="n">
        <v>12.4537</v>
      </c>
      <c r="O739" s="50" t="n">
        <v>2.4555</v>
      </c>
      <c r="R739" s="50" t="n">
        <v>199.47</v>
      </c>
      <c r="S739" s="50" t="n">
        <v>0.54792</v>
      </c>
      <c r="T739" s="50" t="n">
        <v>0.55982</v>
      </c>
      <c r="U739" s="50" t="n">
        <v>48.226</v>
      </c>
      <c r="V739" s="50" t="n">
        <v>0.58039</v>
      </c>
      <c r="W739" s="50" t="n">
        <v>0.9937</v>
      </c>
      <c r="X739" s="50" t="n">
        <v>1.4797</v>
      </c>
      <c r="Y739" s="50" t="n">
        <v>1.4076</v>
      </c>
      <c r="Z739" s="50" t="n">
        <v>7.38509</v>
      </c>
      <c r="AA739" s="50" t="n">
        <v>2.749</v>
      </c>
      <c r="AB739" s="50" t="n">
        <v>4.9925</v>
      </c>
    </row>
  </sheetData>
  <autoFilter ref="A4:N739"/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54" customWidth="1" min="6" max="6"/>
  </cols>
  <sheetData>
    <row r="1" ht="34" customHeight="1">
      <c r="A1" s="1" t="inlineStr">
        <is>
          <t>07 · 历史区间与分位（全部由公式实时计算）</t>
        </is>
      </c>
      <c r="B1" s="2" t="n"/>
      <c r="C1" s="2" t="n"/>
      <c r="D1" s="2" t="n"/>
      <c r="E1" s="2" t="n"/>
      <c r="F1" s="2" t="n"/>
    </row>
    <row r="2" ht="30" customHeight="1">
      <c r="A2" s="13" t="inlineStr">
        <is>
          <t>直接引用「06_历史汇率序列」的原始列计算：换币种 = 改 C5 的列字母；窗口 = 末日往前 365 / 1095 天，左开右闭。</t>
        </is>
      </c>
    </row>
    <row r="4" ht="22" customHeight="1">
      <c r="A4" s="6" t="inlineStr">
        <is>
          <t>A. 计算设定</t>
        </is>
      </c>
      <c r="B4" s="7" t="n"/>
      <c r="C4" s="7" t="n"/>
      <c r="D4" s="7" t="n"/>
      <c r="E4" s="7" t="n"/>
      <c r="F4" s="7" t="n"/>
    </row>
    <row r="5">
      <c r="B5" s="8" t="inlineStr">
        <is>
          <t>数据末日</t>
        </is>
      </c>
      <c r="C5" s="51">
        <f>MAX('06_历史汇率序列'!$A$5:$A$739)</f>
        <v/>
      </c>
      <c r="D5" s="16" t="inlineStr">
        <is>
          <t>自动取 06 表最新日期</t>
        </is>
      </c>
      <c r="E5" s="47" t="n"/>
      <c r="F5" s="37" t="n"/>
    </row>
    <row r="6">
      <c r="B6" s="8" t="inlineStr">
        <is>
          <t>币种列（06 表中的列字母）</t>
        </is>
      </c>
      <c r="C6" s="52" t="inlineStr">
        <is>
          <t>B</t>
        </is>
      </c>
      <c r="D6" s="16" t="inlineStr">
        <is>
          <t>B=USD  C=EUR  D=JPY  E=HKD  F=GBP  G=AUD  H=NZD  I=SGD  J=CHF  K=CAD  L=MOP  M=MYR  N=RUB</t>
        </is>
      </c>
      <c r="E6" s="47" t="n"/>
      <c r="F6" s="37" t="n"/>
    </row>
    <row r="7">
      <c r="B7" s="8" t="inlineStr">
        <is>
          <t>当前中间价（分位基准）</t>
        </is>
      </c>
      <c r="C7" s="53">
        <f>'01_输入参数'!$C$9</f>
        <v/>
      </c>
      <c r="D7" s="16" t="inlineStr">
        <is>
          <t>来自「01_输入参数」C9；可覆盖为其他口径值</t>
        </is>
      </c>
      <c r="E7" s="47" t="n"/>
      <c r="F7" s="37" t="n"/>
    </row>
    <row r="9" ht="22" customHeight="1">
      <c r="A9" s="6" t="inlineStr">
        <is>
          <t>B. 分位与区间</t>
        </is>
      </c>
      <c r="B9" s="7" t="n"/>
      <c r="C9" s="7" t="n"/>
      <c r="D9" s="7" t="n"/>
      <c r="E9" s="7" t="n"/>
      <c r="F9" s="7" t="n"/>
    </row>
    <row r="10" ht="30" customHeight="1">
      <c r="B10" s="28" t="inlineStr">
        <is>
          <t>指标</t>
        </is>
      </c>
      <c r="C10" s="28" t="inlineStr">
        <is>
          <t>近 1 年</t>
        </is>
      </c>
      <c r="D10" s="28" t="inlineStr">
        <is>
          <t>近 3 年</t>
        </is>
      </c>
      <c r="E10" s="28" t="inlineStr">
        <is>
          <t>公式说明</t>
        </is>
      </c>
    </row>
    <row r="11">
      <c r="B11" s="8" t="inlineStr">
        <is>
          <t>窗口起点</t>
        </is>
      </c>
      <c r="C11" s="51">
        <f>$C$5-365</f>
        <v/>
      </c>
      <c r="D11" s="51">
        <f>$C$5-1095</f>
        <v/>
      </c>
      <c r="E11" s="16" t="inlineStr">
        <is>
          <t>末日 − 365 / − 1095 天</t>
        </is>
      </c>
      <c r="F11" s="37" t="n"/>
    </row>
    <row r="12">
      <c r="B12" s="8" t="inlineStr">
        <is>
          <t>样本交易日数</t>
        </is>
      </c>
      <c r="C12" s="25">
        <f>SUMPRODUCT(--(('06_历史汇率序列'!$A$5:$A$739&gt;=$C$11)*(INDIRECT("'06_历史汇率序列'!$"&amp;$C$6&amp;"$5:$"&amp;$C$6&amp;"$739")&gt;0)))</f>
        <v/>
      </c>
      <c r="D12" s="25">
        <f>SUMPRODUCT(--(('06_历史汇率序列'!$A$5:$A$739&gt;=$D$11)*(INDIRECT("'06_历史汇率序列'!$"&amp;$C$6&amp;"$5:$"&amp;$C$6&amp;"$739")&gt;0)))</f>
        <v/>
      </c>
      <c r="E12" s="16" t="inlineStr">
        <is>
          <t>SUMPRODUCT(--窗口掩码)</t>
        </is>
      </c>
      <c r="F12" s="37" t="n"/>
    </row>
    <row r="13">
      <c r="B13" s="8" t="inlineStr">
        <is>
          <t>窗口最高</t>
        </is>
      </c>
      <c r="C13" s="40">
        <f>IFERROR(AGGREGATE(14,6,INDIRECT("'06_历史汇率序列'!$"&amp;$C$6&amp;"$5:$"&amp;$C$6&amp;"$739")/(('06_历史汇率序列'!$A$5:$A$739&gt;=$C$11)*(INDIRECT("'06_历史汇率序列'!$"&amp;$C$6&amp;"$5:$"&amp;$C$6&amp;"$739")&gt;0)),1),"")</f>
        <v/>
      </c>
      <c r="D13" s="40">
        <f>IFERROR(AGGREGATE(14,6,INDIRECT("'06_历史汇率序列'!$"&amp;$C$6&amp;"$5:$"&amp;$C$6&amp;"$739")/(('06_历史汇率序列'!$A$5:$A$739&gt;=$D$11)*(INDIRECT("'06_历史汇率序列'!$"&amp;$C$6&amp;"$5:$"&amp;$C$6&amp;"$739")&gt;0)),1),"")</f>
        <v/>
      </c>
      <c r="E13" s="16" t="inlineStr">
        <is>
          <t>AGGREGATE(14,6,列/掩码,1)</t>
        </is>
      </c>
      <c r="F13" s="37" t="n"/>
    </row>
    <row r="14">
      <c r="B14" s="8" t="inlineStr">
        <is>
          <t>最高出现日</t>
        </is>
      </c>
      <c r="C14" s="51">
        <f>IFERROR(INDEX('06_历史汇率序列'!$A$5:$A$739,MATCH(C13,INDIRECT("'06_历史汇率序列'!$"&amp;$C$6&amp;"$5:$"&amp;$C$6&amp;"$739"),0)),"")</f>
        <v/>
      </c>
      <c r="D14" s="51">
        <f>IFERROR(INDEX('06_历史汇率序列'!$A$5:$A$739,MATCH(D13,INDIRECT("'06_历史汇率序列'!$"&amp;$C$6&amp;"$5:$"&amp;$C$6&amp;"$739"),0)),"")</f>
        <v/>
      </c>
      <c r="E14" s="16" t="inlineStr">
        <is>
          <t>INDEX/MATCH 取该值对应日期</t>
        </is>
      </c>
      <c r="F14" s="37" t="n"/>
    </row>
    <row r="15">
      <c r="B15" s="8" t="inlineStr">
        <is>
          <t>窗口最低</t>
        </is>
      </c>
      <c r="C15" s="40">
        <f>IFERROR(AGGREGATE(15,6,INDIRECT("'06_历史汇率序列'!$"&amp;$C$6&amp;"$5:$"&amp;$C$6&amp;"$739")/(('06_历史汇率序列'!$A$5:$A$739&gt;=$C$11)*(INDIRECT("'06_历史汇率序列'!$"&amp;$C$6&amp;"$5:$"&amp;$C$6&amp;"$739")&gt;0)),1),"")</f>
        <v/>
      </c>
      <c r="D15" s="40">
        <f>IFERROR(AGGREGATE(15,6,INDIRECT("'06_历史汇率序列'!$"&amp;$C$6&amp;"$5:$"&amp;$C$6&amp;"$739")/(('06_历史汇率序列'!$A$5:$A$739&gt;=$D$11)*(INDIRECT("'06_历史汇率序列'!$"&amp;$C$6&amp;"$5:$"&amp;$C$6&amp;"$739")&gt;0)),1),"")</f>
        <v/>
      </c>
      <c r="E15" s="16" t="inlineStr">
        <is>
          <t>AGGREGATE(15,6,列/掩码,1)</t>
        </is>
      </c>
      <c r="F15" s="37" t="n"/>
    </row>
    <row r="16">
      <c r="B16" s="8" t="inlineStr">
        <is>
          <t>最低出现日</t>
        </is>
      </c>
      <c r="C16" s="51">
        <f>IFERROR(INDEX('06_历史汇率序列'!$A$5:$A$739,MATCH(C15,INDIRECT("'06_历史汇率序列'!$"&amp;$C$6&amp;"$5:$"&amp;$C$6&amp;"$739"),0)),"")</f>
        <v/>
      </c>
      <c r="D16" s="51">
        <f>IFERROR(INDEX('06_历史汇率序列'!$A$5:$A$739,MATCH(D15,INDIRECT("'06_历史汇率序列'!$"&amp;$C$6&amp;"$5:$"&amp;$C$6&amp;"$739"),0)),"")</f>
        <v/>
      </c>
      <c r="E16" s="16" t="inlineStr">
        <is>
          <t>INDEX/MATCH 取该值对应日期</t>
        </is>
      </c>
      <c r="F16" s="37" t="n"/>
    </row>
    <row r="17">
      <c r="B17" s="8" t="inlineStr">
        <is>
          <t>窗口均值</t>
        </is>
      </c>
      <c r="C17" s="23">
        <f>IFERROR(SUMPRODUCT((('06_历史汇率序列'!$A$5:$A$739&gt;=$C$11)*(INDIRECT("'06_历史汇率序列'!$"&amp;$C$6&amp;"$5:$"&amp;$C$6&amp;"$739")&gt;0))*INDIRECT("'06_历史汇率序列'!$"&amp;$C$6&amp;"$5:$"&amp;$C$6&amp;"$739"))/C12,"")</f>
        <v/>
      </c>
      <c r="D17" s="23">
        <f>IFERROR(SUMPRODUCT((('06_历史汇率序列'!$A$5:$A$739&gt;=$D$11)*(INDIRECT("'06_历史汇率序列'!$"&amp;$C$6&amp;"$5:$"&amp;$C$6&amp;"$739")&gt;0))*INDIRECT("'06_历史汇率序列'!$"&amp;$C$6&amp;"$5:$"&amp;$C$6&amp;"$739"))/D12,"")</f>
        <v/>
      </c>
      <c r="E17" s="16" t="inlineStr">
        <is>
          <t>SUMPRODUCT(掩码×列) ÷ 样本数</t>
        </is>
      </c>
      <c r="F17" s="37" t="n"/>
    </row>
    <row r="18">
      <c r="B18" s="8" t="inlineStr">
        <is>
          <t>窗口中位数</t>
        </is>
      </c>
      <c r="C18" s="23">
        <f>IFERROR(MEDIAN(IF((('06_历史汇率序列'!$A$5:$A$739&gt;=$C$11)*(INDIRECT("'06_历史汇率序列'!$"&amp;$C$6&amp;"$5:$"&amp;$C$6&amp;"$739")&gt;0)),INDIRECT("'06_历史汇率序列'!$"&amp;$C$6&amp;"$5:$"&amp;$C$6&amp;"$739"))),"")</f>
        <v/>
      </c>
      <c r="D18" s="23">
        <f>IFERROR(MEDIAN(IF((('06_历史汇率序列'!$A$5:$A$739&gt;=$D$11)*(INDIRECT("'06_历史汇率序列'!$"&amp;$C$6&amp;"$5:$"&amp;$C$6&amp;"$739")&gt;0)),INDIRECT("'06_历史汇率序列'!$"&amp;$C$6&amp;"$5:$"&amp;$C$6&amp;"$739"))),"")</f>
        <v/>
      </c>
      <c r="E18" s="16" t="inlineStr">
        <is>
          <t>MEDIAN(IF(掩码,列))</t>
        </is>
      </c>
      <c r="F18" s="37" t="n"/>
    </row>
    <row r="19">
      <c r="B19" s="44" t="inlineStr">
        <is>
          <t>当前值分位</t>
        </is>
      </c>
      <c r="C19" s="39">
        <f>IF(C12=0,"",(COUNTIFS('06_历史汇率序列'!$A$5:$A$739,"&gt;="&amp;$C$11,INDIRECT("'06_历史汇率序列'!$"&amp;$C$6&amp;"$5:$"&amp;$C$6&amp;"$739"),"&lt;"&amp;$C$7)+0.5*COUNTIFS('06_历史汇率序列'!$A$5:$A$739,"&gt;="&amp;$C$11,INDIRECT("'06_历史汇率序列'!$"&amp;$C$6&amp;"$5:$"&amp;$C$6&amp;"$739"),$C$7))/C12)</f>
        <v/>
      </c>
      <c r="D19" s="39">
        <f>IF(D12=0,"",(COUNTIFS('06_历史汇率序列'!$A$5:$A$739,"&gt;="&amp;$D$11,INDIRECT("'06_历史汇率序列'!$"&amp;$C$6&amp;"$5:$"&amp;$C$6&amp;"$739"),"&lt;"&amp;$C$7)+0.5*COUNTIFS('06_历史汇率序列'!$A$5:$A$739,"&gt;="&amp;$D$11,INDIRECT("'06_历史汇率序列'!$"&amp;$C$6&amp;"$5:$"&amp;$C$6&amp;"$739"),$C$7))/D12)</f>
        <v/>
      </c>
      <c r="E19" s="16" t="inlineStr">
        <is>
          <t>(低于当前 + 0.5×等于当前) ÷ 样本数</t>
        </is>
      </c>
      <c r="F19" s="37" t="n"/>
    </row>
    <row r="20">
      <c r="B20" s="8" t="inlineStr">
        <is>
          <t>当前距最高</t>
        </is>
      </c>
      <c r="C20" s="33">
        <f>IFERROR($C$7/C13-1,"")</f>
        <v/>
      </c>
      <c r="D20" s="33">
        <f>IFERROR($C$7/D13-1,"")</f>
        <v/>
      </c>
      <c r="E20" s="16" t="inlineStr">
        <is>
          <t>当前值 ÷ 最高 − 1</t>
        </is>
      </c>
      <c r="F20" s="37" t="n"/>
    </row>
    <row r="21">
      <c r="B21" s="8" t="inlineStr">
        <is>
          <t>当前距最低</t>
        </is>
      </c>
      <c r="C21" s="33">
        <f>IFERROR($C$7/C15-1,"")</f>
        <v/>
      </c>
      <c r="D21" s="33">
        <f>IFERROR($C$7/D15-1,"")</f>
        <v/>
      </c>
      <c r="E21" s="16" t="inlineStr">
        <is>
          <t>当前值 ÷ 最低 − 1</t>
        </is>
      </c>
      <c r="F21" s="37" t="n"/>
    </row>
    <row r="22">
      <c r="B22" s="8" t="inlineStr">
        <is>
          <t>区间最高/最低</t>
        </is>
      </c>
      <c r="C22" s="33">
        <f>IFERROR(C13/C15-1,"")</f>
        <v/>
      </c>
      <c r="D22" s="33">
        <f>IFERROR(D13/D15-1,"")</f>
        <v/>
      </c>
      <c r="E22" s="16" t="inlineStr">
        <is>
          <t>最高 ÷ 最低 − 1</t>
        </is>
      </c>
      <c r="F22" s="37" t="n"/>
    </row>
    <row r="24">
      <c r="B24" s="13" t="inlineStr">
        <is>
          <t>• 分位口径与 HTML、Python 完全一致：(低于当前值样本数 + 0.5 × 等于当前值样本数) ÷ 窗口样本数。</t>
        </is>
      </c>
    </row>
    <row r="25">
      <c r="B25" s="13" t="inlineStr">
        <is>
          <t>• 窗口按自然日回看 365 / 1095 天，左开右闭（起点之后、含末日）；缺失的工作日均为法定节假日，未做插值。</t>
        </is>
      </c>
    </row>
    <row r="26">
      <c r="B26" s="13" t="inlineStr">
        <is>
          <t>• 为兼容各类 Office 版本，本表刻意不使用 MAXIFS / MINIFS（部分版本会返回 #NAME?），改用 AGGREGATE + SUMPRODUCT。</t>
        </is>
      </c>
    </row>
    <row r="27">
      <c r="B27" s="13" t="inlineStr">
        <is>
          <t>• 「窗口中位数」是数组公式：在 Excel 里选中该格后按 Ctrl+Shift+Enter 确认一次即可。</t>
        </is>
      </c>
    </row>
    <row r="28">
      <c r="B28" s="13" t="inlineStr">
        <is>
          <t>• 本表只描述过去到过哪里：分位低不等于会涨，分位高不等于会跌。</t>
        </is>
      </c>
    </row>
  </sheetData>
  <mergeCells count="24">
    <mergeCell ref="E12:F12"/>
    <mergeCell ref="B25:F25"/>
    <mergeCell ref="E14:F14"/>
    <mergeCell ref="D7:F7"/>
    <mergeCell ref="E17:F17"/>
    <mergeCell ref="B27:F27"/>
    <mergeCell ref="A2:F2"/>
    <mergeCell ref="E20:F20"/>
    <mergeCell ref="E19:F19"/>
    <mergeCell ref="E13:F13"/>
    <mergeCell ref="A4:F4"/>
    <mergeCell ref="D5:F5"/>
    <mergeCell ref="E15:F15"/>
    <mergeCell ref="B28:F28"/>
    <mergeCell ref="A9:F9"/>
    <mergeCell ref="E11:F11"/>
    <mergeCell ref="E16:F16"/>
    <mergeCell ref="B24:F24"/>
    <mergeCell ref="A1:F1"/>
    <mergeCell ref="D6:F6"/>
    <mergeCell ref="E22:F22"/>
    <mergeCell ref="E18:F18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14" customWidth="1" min="4" max="4"/>
    <col width="12" customWidth="1" min="5" max="5"/>
    <col width="16" customWidth="1" min="6" max="6"/>
    <col width="44" customWidth="1" min="7" max="7"/>
  </cols>
  <sheetData>
    <row r="1" ht="34" customHeight="1">
      <c r="A1" s="1" t="inlineStr">
        <is>
          <t>08 · 实时汇率取数记录（可追溯）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13" t="inlineStr">
        <is>
          <t>每次取数追加一行：谁取的、何时、从哪个页面、什么口径、数值。报价留痕就靠这张表。</t>
        </is>
      </c>
    </row>
    <row r="4" ht="30" customHeight="1">
      <c r="A4" s="28" t="inlineStr">
        <is>
          <t>取数时间</t>
        </is>
      </c>
      <c r="B4" s="28" t="inlineStr">
        <is>
          <t>来源</t>
        </is>
      </c>
      <c r="C4" s="28" t="inlineStr">
        <is>
          <t>页面/接口</t>
        </is>
      </c>
      <c r="D4" s="28" t="inlineStr">
        <is>
          <t>币种对</t>
        </is>
      </c>
      <c r="E4" s="28" t="inlineStr">
        <is>
          <t>口径</t>
        </is>
      </c>
      <c r="F4" s="28" t="inlineStr">
        <is>
          <t>数值</t>
        </is>
      </c>
      <c r="G4" s="28" t="inlineStr">
        <is>
          <t>备注</t>
        </is>
      </c>
    </row>
    <row r="5">
      <c r="A5" s="54" t="inlineStr">
        <is>
          <t>2026-10-19 19:38</t>
        </is>
      </c>
      <c r="B5" s="55" t="inlineStr">
        <is>
          <t>国家外汇管理局</t>
        </is>
      </c>
      <c r="C5" s="56" t="inlineStr">
        <is>
          <t>https://www.safe.gov.cn/AppStructured/hlw/RMBQuery.do</t>
        </is>
      </c>
      <c r="D5" s="4" t="inlineStr">
        <is>
          <t>USD/CNY</t>
        </is>
      </c>
      <c r="E5" s="55" t="inlineStr">
        <is>
          <t>中间价</t>
        </is>
      </c>
      <c r="F5" s="57" t="n">
        <v>6.7208</v>
      </c>
      <c r="G5" s="56" t="inlineStr">
        <is>
          <t>当日 09:15 公布；历史序列同源（07 表）</t>
        </is>
      </c>
    </row>
    <row r="6">
      <c r="A6" s="54" t="inlineStr">
        <is>
          <t>2026-10-19 16:27:56</t>
        </is>
      </c>
      <c r="B6" s="55" t="inlineStr">
        <is>
          <t>中国银行外汇牌价</t>
        </is>
      </c>
      <c r="C6" s="56" t="inlineStr">
        <is>
          <t>https://www.boc.cn/sourcedb/whpj/</t>
        </is>
      </c>
      <c r="D6" s="4" t="inlineStr">
        <is>
          <t>USD/CNY</t>
        </is>
      </c>
      <c r="E6" s="55" t="inlineStr">
        <is>
          <t>现汇买入价</t>
        </is>
      </c>
      <c r="F6" s="57" t="n">
        <v>6.6701</v>
      </c>
      <c r="G6" s="56" t="inlineStr">
        <is>
          <t>出口结汇到手价参考；单位 100 外币</t>
        </is>
      </c>
    </row>
    <row r="7">
      <c r="A7" s="54" t="inlineStr">
        <is>
          <t>2026-10-19 16:27:56</t>
        </is>
      </c>
      <c r="B7" s="55" t="inlineStr">
        <is>
          <t>中国银行外汇牌价</t>
        </is>
      </c>
      <c r="C7" s="56" t="inlineStr">
        <is>
          <t>https://www.boc.cn/sourcedb/whpj/</t>
        </is>
      </c>
      <c r="D7" s="4" t="inlineStr">
        <is>
          <t>USD/CNY</t>
        </is>
      </c>
      <c r="E7" s="55" t="inlineStr">
        <is>
          <t>现汇卖出价</t>
        </is>
      </c>
      <c r="F7" s="57" t="n">
        <v>6.6982</v>
      </c>
      <c r="G7" s="56" t="inlineStr">
        <is>
          <t>进口购汇付出价参考</t>
        </is>
      </c>
    </row>
    <row r="8">
      <c r="A8" s="54" t="inlineStr">
        <is>
          <t>2026-10-19 16:27:56</t>
        </is>
      </c>
      <c r="B8" s="55" t="inlineStr">
        <is>
          <t>中国银行外汇牌价</t>
        </is>
      </c>
      <c r="C8" s="56" t="inlineStr">
        <is>
          <t>https://www.boc.cn/sourcedb/whpj/</t>
        </is>
      </c>
      <c r="D8" s="4" t="inlineStr">
        <is>
          <t>USD/CNY</t>
        </is>
      </c>
      <c r="E8" s="55" t="inlineStr">
        <is>
          <t>中行折算价</t>
        </is>
      </c>
      <c r="F8" s="57" t="n">
        <v>6.7208</v>
      </c>
      <c r="G8" s="56" t="inlineStr">
        <is>
          <t>银行内部折算口径，非成交价</t>
        </is>
      </c>
    </row>
    <row r="9">
      <c r="A9" s="54" t="inlineStr">
        <is>
          <t>2026-10-16</t>
        </is>
      </c>
      <c r="B9" s="55" t="inlineStr">
        <is>
          <t>欧洲央行参考汇率（经 Frankfurter API）</t>
        </is>
      </c>
      <c r="C9" s="56" t="inlineStr">
        <is>
          <t>https://api.frankfurter.app/latest?from=USD&amp;to=CNY</t>
        </is>
      </c>
      <c r="D9" s="4" t="inlineStr">
        <is>
          <t>USD/CNY</t>
        </is>
      </c>
      <c r="E9" s="55" t="inlineStr">
        <is>
          <t>交叉核对</t>
        </is>
      </c>
      <c r="F9" s="57" t="n">
        <v>6.6862</v>
      </c>
      <c r="G9" s="56" t="inlineStr">
        <is>
          <t>此处的 USD/CNY 由 ECB 以 EUR 为桥的参考汇率推导（非 ECB 直接报价），仅作数量级交叉核对。</t>
        </is>
      </c>
    </row>
    <row r="10">
      <c r="A10" s="54" t="inlineStr">
        <is>
          <t>2026-10-19 00:02 UTC</t>
        </is>
      </c>
      <c r="B10" s="55" t="inlineStr">
        <is>
          <t>open.er-api.com 聚合汇率</t>
        </is>
      </c>
      <c r="C10" s="56" t="inlineStr">
        <is>
          <t>https://open.er-api.com/v6/latest/USD</t>
        </is>
      </c>
      <c r="D10" s="4" t="inlineStr">
        <is>
          <t>USD/CNY</t>
        </is>
      </c>
      <c r="E10" s="55" t="inlineStr">
        <is>
          <t>交叉核对</t>
        </is>
      </c>
      <c r="F10" s="57" t="n">
        <v>6.69274</v>
      </c>
      <c r="G10" s="56" t="inlineStr">
        <is>
          <t>第三方聚合器，非官方，仅作数量级交叉核对。</t>
        </is>
      </c>
    </row>
    <row r="12">
      <c r="A12" s="13" t="inlineStr">
        <is>
          <t>• 口径不可混用：中间价不能当作结汇价；现汇买入价 ≠ 现汇卖出价。</t>
        </is>
      </c>
    </row>
    <row r="13">
      <c r="A13" s="13" t="inlineStr">
        <is>
          <t>• 取数要连带记时间：盘中汇率随时变动，报价单上写「某日某时」比写「今日汇率」可追溯。</t>
        </is>
      </c>
    </row>
    <row r="14">
      <c r="A14" s="13" t="inlineStr">
        <is>
          <t>• 第三方聚合器（ECB 经桥接换算、er-api 等）只做数量级核对，不作报价依据。</t>
        </is>
      </c>
    </row>
  </sheetData>
  <mergeCells count="5">
    <mergeCell ref="A13:G13"/>
    <mergeCell ref="A14:G14"/>
    <mergeCell ref="A1:G1"/>
    <mergeCell ref="A12:G12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46" customWidth="1" min="5" max="5"/>
  </cols>
  <sheetData>
    <row r="1" ht="34" customHeight="1">
      <c r="A1" s="1" t="inlineStr">
        <is>
          <t>09 · 把汇率参数带入出口报价</t>
        </is>
      </c>
      <c r="B1" s="2" t="n"/>
      <c r="C1" s="2" t="n"/>
      <c r="D1" s="2" t="n"/>
      <c r="E1" s="2" t="n"/>
    </row>
    <row r="2" ht="30" customHeight="1">
      <c r="A2" s="13" t="inlineStr">
        <is>
          <t>输入目标毛利率与人民币成本，得到「汇率不变时必须达到的最低外币金额」；这是报价底线，不是市场价预测。</t>
        </is>
      </c>
    </row>
    <row r="4" ht="22" customHeight="1">
      <c r="A4" s="6" t="inlineStr">
        <is>
          <t>报价底线计算</t>
        </is>
      </c>
      <c r="B4" s="7" t="n"/>
      <c r="C4" s="7" t="n"/>
      <c r="D4" s="7" t="n"/>
      <c r="E4" s="7" t="n"/>
    </row>
    <row r="5" ht="30" customHeight="1">
      <c r="B5" s="28" t="inlineStr">
        <is>
          <t>项目</t>
        </is>
      </c>
      <c r="C5" s="28" t="inlineStr">
        <is>
          <t>数值</t>
        </is>
      </c>
      <c r="D5" s="28" t="inlineStr">
        <is>
          <t>单位</t>
        </is>
      </c>
      <c r="E5" s="28" t="inlineStr">
        <is>
          <t>公式 / 说明</t>
        </is>
      </c>
    </row>
    <row r="6">
      <c r="B6" s="8" t="inlineStr">
        <is>
          <t>人民币成本</t>
        </is>
      </c>
      <c r="C6" s="31">
        <f>'01_输入参数'!$C$14</f>
        <v/>
      </c>
      <c r="D6" s="24" t="inlineStr">
        <is>
          <t>元</t>
        </is>
      </c>
      <c r="E6" s="16" t="inlineStr">
        <is>
          <t>来自输入</t>
        </is>
      </c>
    </row>
    <row r="7">
      <c r="B7" s="8" t="inlineStr">
        <is>
          <t>目标毛利率</t>
        </is>
      </c>
      <c r="C7" s="58">
        <f>'01_输入参数'!$C$16</f>
        <v/>
      </c>
      <c r="D7" s="24" t="inlineStr">
        <is>
          <t>%</t>
        </is>
      </c>
      <c r="E7" s="16" t="inlineStr">
        <is>
          <t>来自输入（示例 10%）</t>
        </is>
      </c>
    </row>
    <row r="8">
      <c r="B8" s="8" t="inlineStr">
        <is>
          <t>银行费用率</t>
        </is>
      </c>
      <c r="C8" s="58">
        <f>'01_输入参数'!$C$18</f>
        <v/>
      </c>
      <c r="D8" s="24" t="inlineStr">
        <is>
          <t>%</t>
        </is>
      </c>
      <c r="E8" s="16" t="inlineStr">
        <is>
          <t>来自输入</t>
        </is>
      </c>
    </row>
    <row r="9">
      <c r="B9" s="8" t="inlineStr">
        <is>
          <t>所需人民币收入（下限，含费用）</t>
        </is>
      </c>
      <c r="C9" s="32">
        <f>IFERROR(C6/((1-C7)*(1-C8)),"")</f>
        <v/>
      </c>
      <c r="D9" s="24" t="inlineStr">
        <is>
          <t>元</t>
        </is>
      </c>
      <c r="E9" s="16">
        <f> 成本 ÷ [(1−目标毛利率)×(1−费用率)]</f>
        <v/>
      </c>
    </row>
    <row r="10">
      <c r="B10" s="8" t="inlineStr">
        <is>
          <t>对应外币金额（下限）</t>
        </is>
      </c>
      <c r="C10" s="35">
        <f>IFERROR(C9/'01_输入参数'!$C$28,"")</f>
        <v/>
      </c>
      <c r="D10" s="24" t="inlineStr">
        <is>
          <t>外币</t>
        </is>
      </c>
      <c r="E10" s="16">
        <f> 所需收入 ÷ 基准汇率（汇率不变假设）</f>
        <v/>
      </c>
    </row>
    <row r="11">
      <c r="B11" s="8" t="inlineStr">
        <is>
          <t>数量（可选）</t>
        </is>
      </c>
      <c r="C11" s="42" t="n">
        <v>377</v>
      </c>
      <c r="D11" s="24" t="inlineStr">
        <is>
          <t>吨</t>
        </is>
      </c>
      <c r="E11" s="16" t="inlineStr">
        <is>
          <t>填写实际数量，自动折算单价</t>
        </is>
      </c>
    </row>
    <row r="12">
      <c r="B12" s="8" t="inlineStr">
        <is>
          <t>折算单价（下限）</t>
        </is>
      </c>
      <c r="C12" s="32">
        <f>IFERROR(C10/C11,"")</f>
        <v/>
      </c>
      <c r="D12" s="24" t="inlineStr">
        <is>
          <t>外币/吨</t>
        </is>
      </c>
      <c r="E12" s="16">
        <f> 外币金额下限 ÷ 数量</f>
        <v/>
      </c>
    </row>
    <row r="14" ht="22" customHeight="1">
      <c r="A14" s="6" t="inlineStr">
        <is>
          <t>报价确定性检查（汇率变动多少会把底线打穿）</t>
        </is>
      </c>
      <c r="B14" s="7" t="n"/>
      <c r="C14" s="7" t="n"/>
      <c r="D14" s="7" t="n"/>
      <c r="E14" s="7" t="n"/>
    </row>
    <row r="15">
      <c r="B15" s="13" t="inlineStr">
        <is>
          <t>• 底线外币金额是按「汇率不变」算出来的；汇率一旦下行，同样的外币收入折算成人民币就会变少。</t>
        </is>
      </c>
    </row>
    <row r="16">
      <c r="B16" s="13" t="inlineStr">
        <is>
          <t>• 把上面的金额与「03_毛利测算」的平衡汇率一起看：平衡汇率就是底线被打穿的位置。</t>
        </is>
      </c>
    </row>
    <row r="17">
      <c r="B17" s="13" t="inlineStr">
        <is>
          <t>• 报价单上建议注明：所用汇率与取数时间、口径（中间价/银行成交价）、以及汇率大幅变动时的重新议价条件（是否写入由业务与法务决定）。</t>
        </is>
      </c>
    </row>
    <row r="18">
      <c r="B18" s="13" t="inlineStr">
        <is>
          <t>• 本表不预测汇率，不推荐避险产品。</t>
        </is>
      </c>
    </row>
  </sheetData>
  <mergeCells count="8">
    <mergeCell ref="B17:E17"/>
    <mergeCell ref="B18:E18"/>
    <mergeCell ref="A4:E4"/>
    <mergeCell ref="A2:E2"/>
    <mergeCell ref="B16:E16"/>
    <mergeCell ref="B15:E15"/>
    <mergeCell ref="A1:E1"/>
    <mergeCell ref="A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0" customWidth="1" min="3" max="3"/>
    <col width="34" customWidth="1" min="4" max="4"/>
  </cols>
  <sheetData>
    <row r="1" ht="34" customHeight="1">
      <c r="A1" s="1" t="inlineStr">
        <is>
          <t>10 · 口径、数据缺口与免责</t>
        </is>
      </c>
      <c r="B1" s="2" t="n"/>
      <c r="C1" s="2" t="n"/>
      <c r="D1" s="2" t="n"/>
    </row>
    <row r="2" ht="30" customHeight="1">
      <c r="A2" s="13" t="inlineStr">
        <is>
          <t>缺口比结论更重要：每一项未计入因素都可能改变最后那个数字。</t>
        </is>
      </c>
    </row>
    <row r="4" ht="30" customHeight="1">
      <c r="B4" s="28" t="inlineStr">
        <is>
          <t>项目</t>
        </is>
      </c>
      <c r="C4" s="28" t="inlineStr">
        <is>
          <t>说明</t>
        </is>
      </c>
      <c r="D4" s="28" t="inlineStr">
        <is>
          <t>处理方式</t>
        </is>
      </c>
    </row>
    <row r="5" ht="30" customHeight="1">
      <c r="B5" s="8" t="inlineStr">
        <is>
          <t>结汇/购汇手续费</t>
        </is>
      </c>
      <c r="C5" s="4" t="inlineStr">
        <is>
          <t>银行电讯费、手续费、单证费等，按笔收取，部分银行对大额另议。</t>
        </is>
      </c>
      <c r="D5" s="16" t="inlineStr">
        <is>
          <t>费用率默认 0；拿到实际费率后填入「01_输入参数」C18</t>
        </is>
      </c>
    </row>
    <row r="6" ht="30" customHeight="1">
      <c r="B6" s="8" t="inlineStr">
        <is>
          <t>银行点差</t>
        </is>
      </c>
      <c r="C6" s="4" t="inlineStr">
        <is>
          <t>买价与卖价之差，随币种、金额、时段、客户等级浮动，且盘中变化。</t>
        </is>
      </c>
      <c r="D6" s="16" t="inlineStr">
        <is>
          <t>点差带为示例 ±0.25%；建议改用银行实际成交价（口径选「实际成交价」）</t>
        </is>
      </c>
    </row>
    <row r="7" ht="30" customHeight="1">
      <c r="B7" s="8" t="inlineStr">
        <is>
          <t>远期锁汇点价</t>
        </is>
      </c>
      <c r="C7" s="4" t="inlineStr">
        <is>
          <t>远期汇率 = 即期 + 掉期点，取决于两币利差与期限；本簿未取任何远期报价。</t>
        </is>
      </c>
      <c r="D7" s="16" t="inlineStr">
        <is>
          <t>未计入；如需测算锁汇成本，属独立任务</t>
        </is>
      </c>
    </row>
    <row r="8" ht="30" customHeight="1">
      <c r="B8" s="8" t="inlineStr">
        <is>
          <t>交易日与节假日</t>
        </is>
      </c>
      <c r="C8" s="4" t="inlineStr">
        <is>
          <t>长假导致实际可结汇日顺延，影响占用天数。</t>
        </is>
      </c>
      <c r="D8" s="16" t="inlineStr">
        <is>
          <t>按自然日计算，交易日按 ×5/7 估算</t>
        </is>
      </c>
    </row>
    <row r="9" ht="30" customHeight="1">
      <c r="B9" s="8" t="inlineStr">
        <is>
          <t>多币种交叉盘</t>
        </is>
      </c>
      <c r="C9" s="4" t="inlineStr">
        <is>
          <t>以第三币种计价/结算时的交叉汇率。</t>
        </is>
      </c>
      <c r="D9" s="16" t="inlineStr">
        <is>
          <t>未处理；需另取两组中间价合成</t>
        </is>
      </c>
    </row>
    <row r="10" ht="30" customHeight="1">
      <c r="B10" s="8" t="inlineStr">
        <is>
          <t>合同条款</t>
        </is>
      </c>
      <c r="C10" s="4" t="inlineStr">
        <is>
          <t>付款条件、汇率调整条款、迟延利息等改变实际暴露。</t>
        </is>
      </c>
      <c r="D10" s="16" t="inlineStr">
        <is>
          <t>按线性模型计算，未建模条款</t>
        </is>
      </c>
    </row>
    <row r="11" ht="30" customHeight="1">
      <c r="B11" s="8" t="inlineStr">
        <is>
          <t>成本端汇率联动</t>
        </is>
      </c>
      <c r="C11" s="4" t="inlineStr">
        <is>
          <t>若原料或运费以外币计价，人民币成本本身随汇率变动。</t>
        </is>
      </c>
      <c r="D11" s="16" t="inlineStr">
        <is>
          <t>成本视为常数</t>
        </is>
      </c>
    </row>
    <row r="12" ht="30" customHeight="1">
      <c r="B12" s="8" t="inlineStr">
        <is>
          <t>税务与退税</t>
        </is>
      </c>
      <c r="C12" s="4" t="inlineStr">
        <is>
          <t>出口退税率、免抵退对成本折算的影响。</t>
        </is>
      </c>
      <c r="D12" s="16" t="inlineStr">
        <is>
          <t>未纳入；属报价与税务环节</t>
        </is>
      </c>
    </row>
    <row r="13" ht="30" customHeight="1">
      <c r="B13" s="8" t="inlineStr">
        <is>
          <t>样本口径差异</t>
        </is>
      </c>
      <c r="C13" s="4" t="inlineStr">
        <is>
          <t>历史序列为官方中间价；银行牌价与之常年存在差异。</t>
        </is>
      </c>
      <c r="D13" s="16" t="inlineStr">
        <is>
          <t>跨口径比较会失真，已分别标注</t>
        </is>
      </c>
    </row>
    <row r="15" ht="22" customHeight="1">
      <c r="A15" s="6" t="inlineStr">
        <is>
          <t>数据来源</t>
        </is>
      </c>
      <c r="B15" s="7" t="n"/>
      <c r="C15" s="7" t="n"/>
      <c r="D15" s="7" t="n"/>
    </row>
    <row r="16" ht="30" customHeight="1">
      <c r="B16" s="28" t="inlineStr">
        <is>
          <t>来源</t>
        </is>
      </c>
      <c r="C16" s="28" t="inlineStr">
        <is>
          <t>地址 / 口径</t>
        </is>
      </c>
      <c r="D16" s="28" t="inlineStr">
        <is>
          <t>时间</t>
        </is>
      </c>
    </row>
    <row r="17" ht="42" customHeight="1">
      <c r="B17" s="8" t="inlineStr">
        <is>
          <t>国家外汇管理局 · 人民币汇率中间价</t>
        </is>
      </c>
      <c r="C17" s="4" t="inlineStr">
        <is>
          <t>https://www.safe.gov.cn/AppStructured/hlw/RMBQuery.do
该口径为中国外汇交易中心公布的中间价，非银行挂牌买卖价；中间价不含银行点差与结售汇手续费。</t>
        </is>
      </c>
      <c r="D17" s="16" t="inlineStr">
        <is>
          <t>2023-10-09 ~ 2026-10-19，共 735 个交易日</t>
        </is>
      </c>
    </row>
    <row r="18" ht="42" customHeight="1">
      <c r="B18" s="8" t="inlineStr">
        <is>
          <t>中国人民银行授权中国外汇交易中心 · 当日中间价（实时页）</t>
        </is>
      </c>
      <c r="C18" s="4" t="inlineStr">
        <is>
          <t>https://www.chinamoney.com.cn/r/cms/www/chinamoney/data/fx/ccpr.json
当日 09:15 公布的官方中间价，与历史序列同一来源口径。</t>
        </is>
      </c>
      <c r="D18" s="16" t="inlineStr">
        <is>
          <t>2026-10-19 09:15</t>
        </is>
      </c>
    </row>
    <row r="19" ht="42" customHeight="1">
      <c r="B19" s="8" t="inlineStr">
        <is>
          <t>中国银行外汇牌价（现汇买入价/现汇卖出价）</t>
        </is>
      </c>
      <c r="C19" s="4" t="inlineStr">
        <is>
          <t>https://www.boc.cn/sourcedb/whpj/
银行现汇买入价 = 客户把外币结汇成人民币的到手价（出口收汇用）；现汇卖出价 = 客户用人民币购汇的付出价（进口付汇用）。牌价表单位为 100 外币兑人民币。</t>
        </is>
      </c>
      <c r="D19" s="16" t="inlineStr">
        <is>
          <t>2026-10-19 16:27:56</t>
        </is>
      </c>
    </row>
    <row r="20" ht="42" customHeight="1">
      <c r="B20" s="8" t="inlineStr">
        <is>
          <t>欧洲央行参考汇率（经 Frankfurter API）</t>
        </is>
      </c>
      <c r="C20" s="4" t="inlineStr">
        <is>
          <t>https://api.frankfurter.app/latest?from=USD&amp;to=CNY
此处的 USD/CNY 由 ECB 以 EUR 为桥的参考汇率推导（非 ECB 直接报价），仅作数量级交叉核对。</t>
        </is>
      </c>
      <c r="D20" s="16" t="inlineStr">
        <is>
          <t>2026-10-16</t>
        </is>
      </c>
    </row>
    <row r="21" ht="42" customHeight="1">
      <c r="B21" s="8" t="inlineStr">
        <is>
          <t>open.er-api.com 聚合汇率</t>
        </is>
      </c>
      <c r="C21" s="4" t="inlineStr">
        <is>
          <t>https://open.er-api.com/v6/latest/USD
第三方聚合器，非官方，仅作数量级交叉核对。</t>
        </is>
      </c>
      <c r="D21" s="16" t="inlineStr">
        <is>
          <t>2026-10-19 00:02 UTC</t>
        </is>
      </c>
    </row>
    <row r="23">
      <c r="B23" s="11" t="inlineStr">
        <is>
          <t>免责：本工作簿只做汇率情景测算，不预测汇率走势，不构成任何外汇避险产品或交易操作的推荐。
「若汇率为 R」的全部内容均为压力测试假设，不代表对未来汇率的判断。
模拟参数（已标注）仅用于演示计算流程；对外使用前请替换为真实数据并核对银行实际成交价。</t>
        </is>
      </c>
      <c r="C23" s="12" t="n"/>
      <c r="D23" s="12" t="n"/>
    </row>
    <row r="24"/>
    <row r="25"/>
  </sheetData>
  <mergeCells count="4">
    <mergeCell ref="A1:D1"/>
    <mergeCell ref="B23:D25"/>
    <mergeCell ref="A2:D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2026-10-19T11:38:17Z</dcterms:created>
  <dcterms:modified xmlns:dcterms="http://purl.org/dc/terms/" xmlns:xsi="http://www.w3.org/2001/XMLSchema-instance" xsi:type="dcterms:W3CDTF">2026-10-19T11:38:19Z</dcterms:modified>
</cp:coreProperties>
</file>
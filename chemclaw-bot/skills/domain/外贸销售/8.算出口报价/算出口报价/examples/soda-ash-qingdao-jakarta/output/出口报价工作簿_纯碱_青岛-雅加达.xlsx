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drawings/drawing1.xml" ContentType="application/vnd.openxmlformats-officedocument.drawing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1 基础参数" sheetId="1" state="visible" r:id="rId1"/>
    <sheet xmlns:r="http://schemas.openxmlformats.org/officeDocument/2006/relationships" name="02 术语与口径" sheetId="2" state="visible" r:id="rId2"/>
    <sheet xmlns:r="http://schemas.openxmlformats.org/officeDocument/2006/relationships" name="03 费用明细" sheetId="3" state="visible" r:id="rId3"/>
    <sheet xmlns:r="http://schemas.openxmlformats.org/officeDocument/2006/relationships" name="04 术语成本" sheetId="4" state="visible" r:id="rId4"/>
    <sheet xmlns:r="http://schemas.openxmlformats.org/officeDocument/2006/relationships" name="05 FOB-CFR-CIF报价" sheetId="5" state="visible" r:id="rId5"/>
    <sheet xmlns:r="http://schemas.openxmlformats.org/officeDocument/2006/relationships" name="06 汇率换算" sheetId="6" state="visible" r:id="rId6"/>
    <sheet xmlns:r="http://schemas.openxmlformats.org/officeDocument/2006/relationships" name="07 毛利测算" sheetId="7" state="visible" r:id="rId7"/>
    <sheet xmlns:r="http://schemas.openxmlformats.org/officeDocument/2006/relationships" name="08 敏感性分析" sheetId="8" state="visible" r:id="rId8"/>
    <sheet xmlns:r="http://schemas.openxmlformats.org/officeDocument/2006/relationships" name="09 多方案比较" sheetId="9" state="visible" r:id="rId9"/>
    <sheet xmlns:r="http://schemas.openxmlformats.org/officeDocument/2006/relationships" name="10 缺失与假设" sheetId="10" state="visible" r:id="rId10"/>
    <sheet xmlns:r="http://schemas.openxmlformats.org/officeDocument/2006/relationships" name="11 公式与校验" sheetId="11" state="visible" r:id="rId11"/>
    <sheet xmlns:r="http://schemas.openxmlformats.org/officeDocument/2006/relationships" name="12 报价草稿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6">
    <numFmt numFmtId="164" formatCode="#,##0.0000"/>
    <numFmt numFmtId="165" formatCode="0.000000"/>
    <numFmt numFmtId="166" formatCode="0.0%"/>
    <numFmt numFmtId="167" formatCode="0.0000%"/>
    <numFmt numFmtId="168" formatCode="+0%;-0%;0%"/>
    <numFmt numFmtId="169" formatCode="+0.00%;-0.00%;0.00%"/>
  </numFmts>
  <fonts count="9">
    <font>
      <name val="Calibri"/>
      <family val="2"/>
      <color theme="1"/>
      <sz val="11"/>
      <scheme val="minor"/>
    </font>
    <font>
      <name val="Microsoft YaHei"/>
      <b val="1"/>
      <color rgb="00FFFFFF"/>
      <sz val="15"/>
    </font>
    <font>
      <name val="Microsoft YaHei"/>
      <color rgb="006B7C99"/>
      <sz val="9"/>
    </font>
    <font>
      <name val="Microsoft YaHei"/>
      <b val="1"/>
      <color rgb="001F4E79"/>
      <sz val="10.5"/>
    </font>
    <font>
      <name val="Microsoft YaHei"/>
      <b val="1"/>
      <color rgb="00FFFFFF"/>
      <sz val="11.5"/>
    </font>
    <font>
      <name val="Microsoft YaHei"/>
      <b val="1"/>
      <sz val="10"/>
    </font>
    <font>
      <name val="Microsoft YaHei"/>
      <sz val="10"/>
    </font>
    <font>
      <name val="Consolas"/>
      <sz val="9.5"/>
    </font>
    <font>
      <name val="Microsoft YaHei"/>
      <color rgb="008A5A00"/>
      <sz val="9"/>
    </font>
  </fonts>
  <fills count="13">
    <fill>
      <patternFill/>
    </fill>
    <fill>
      <patternFill patternType="gray125"/>
    </fill>
    <fill>
      <patternFill patternType="solid">
        <fgColor rgb="000F1626"/>
      </patternFill>
    </fill>
    <fill>
      <patternFill patternType="solid">
        <fgColor rgb="002A3A57"/>
      </patternFill>
    </fill>
    <fill>
      <patternFill patternType="solid">
        <fgColor rgb="00DCE6F2"/>
      </patternFill>
    </fill>
    <fill>
      <patternFill patternType="solid">
        <fgColor rgb="001B2842"/>
      </patternFill>
    </fill>
    <fill>
      <patternFill patternType="solid">
        <fgColor rgb="00FFF2CC"/>
      </patternFill>
    </fill>
    <fill>
      <patternFill patternType="solid">
        <fgColor rgb="00EAF1FB"/>
      </patternFill>
    </fill>
    <fill>
      <patternFill patternType="solid">
        <fgColor rgb="00F2F4F7"/>
      </patternFill>
    </fill>
    <fill>
      <patternFill patternType="solid">
        <fgColor rgb="00EAF3FF"/>
      </patternFill>
    </fill>
    <fill>
      <patternFill patternType="solid">
        <fgColor rgb="00E9D5FF"/>
      </patternFill>
    </fill>
    <fill>
      <patternFill patternType="solid">
        <fgColor rgb="00D6F5E3"/>
      </patternFill>
    </fill>
    <fill>
      <patternFill patternType="solid">
        <fgColor rgb="00FFF6E5"/>
      </patternFill>
    </fill>
  </fills>
  <borders count="6">
    <border>
      <left/>
      <right/>
      <top/>
      <bottom/>
      <diagonal/>
    </border>
    <border>
      <left style="thin">
        <color rgb="00C9D4E3"/>
      </left>
      <right style="thin">
        <color rgb="00C9D4E3"/>
      </right>
      <top style="thin">
        <color rgb="00C9D4E3"/>
      </top>
      <bottom style="thin">
        <color rgb="00C9D4E3"/>
      </bottom>
    </border>
    <border>
      <left/>
      <right/>
      <top style="thin">
        <color rgb="00C9D4E3"/>
      </top>
      <bottom/>
      <diagonal/>
    </border>
    <border>
      <left/>
      <right style="thin">
        <color rgb="00C9D4E3"/>
      </right>
      <top style="thin">
        <color rgb="00C9D4E3"/>
      </top>
      <bottom/>
      <diagonal/>
    </border>
    <border>
      <left/>
      <right/>
      <top style="thin">
        <color rgb="00C9D4E3"/>
      </top>
      <bottom style="thin">
        <color rgb="00C9D4E3"/>
      </bottom>
      <diagonal/>
    </border>
    <border>
      <left/>
      <right style="thin">
        <color rgb="00C9D4E3"/>
      </right>
      <top style="thin">
        <color rgb="00C9D4E3"/>
      </top>
      <bottom style="thin">
        <color rgb="00C9D4E3"/>
      </bottom>
      <diagonal/>
    </border>
  </borders>
  <cellStyleXfs count="1">
    <xf numFmtId="0" fontId="0" fillId="0" borderId="0"/>
  </cellStyleXfs>
  <cellXfs count="52">
    <xf numFmtId="0" fontId="0" fillId="0" borderId="0" pivotButton="0" quotePrefix="0" xfId="0"/>
    <xf numFmtId="0" fontId="1" fillId="2" borderId="0" applyAlignment="1" pivotButton="0" quotePrefix="0" xfId="0">
      <alignment vertical="center" indent="1"/>
    </xf>
    <xf numFmtId="0" fontId="2" fillId="3" borderId="0" applyAlignment="1" pivotButton="0" quotePrefix="0" xfId="0">
      <alignment vertical="center" indent="1"/>
    </xf>
    <xf numFmtId="0" fontId="3" fillId="4" borderId="0" applyAlignment="1" pivotButton="0" quotePrefix="0" xfId="0">
      <alignment vertical="center" indent="1"/>
    </xf>
    <xf numFmtId="0" fontId="4" fillId="5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 wrapText="1"/>
    </xf>
    <xf numFmtId="164" fontId="6" fillId="6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  <xf numFmtId="0" fontId="6" fillId="6" borderId="1" applyAlignment="1" pivotButton="0" quotePrefix="0" xfId="0">
      <alignment horizontal="left" vertical="center"/>
    </xf>
    <xf numFmtId="165" fontId="6" fillId="6" borderId="1" applyAlignment="1" pivotButton="0" quotePrefix="0" xfId="0">
      <alignment horizontal="right" vertical="center"/>
    </xf>
    <xf numFmtId="0" fontId="6" fillId="6" borderId="1" applyAlignment="1" pivotButton="0" quotePrefix="0" xfId="0">
      <alignment horizontal="center" vertical="center"/>
    </xf>
    <xf numFmtId="164" fontId="6" fillId="7" borderId="1" applyAlignment="1" pivotButton="0" quotePrefix="0" xfId="0">
      <alignment horizontal="right" vertical="center"/>
    </xf>
    <xf numFmtId="10" fontId="6" fillId="6" borderId="1" applyAlignment="1" pivotButton="0" quotePrefix="0" xfId="0">
      <alignment horizontal="right" vertical="center"/>
    </xf>
    <xf numFmtId="4" fontId="6" fillId="6" borderId="1" applyAlignment="1" pivotButton="0" quotePrefix="0" xfId="0">
      <alignment horizontal="right" vertical="center"/>
    </xf>
    <xf numFmtId="166" fontId="6" fillId="6" borderId="1" applyAlignment="1" pivotButton="0" quotePrefix="0" xfId="0">
      <alignment horizontal="right" vertical="center"/>
    </xf>
    <xf numFmtId="0" fontId="2" fillId="8" borderId="0" applyAlignment="1" pivotButton="0" quotePrefix="0" xfId="0">
      <alignment vertical="top" wrapText="1" inden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left" vertical="center" wrapText="1"/>
    </xf>
    <xf numFmtId="0" fontId="6" fillId="0" borderId="1" applyAlignment="1" pivotButton="0" quotePrefix="0" xfId="0">
      <alignment horizontal="center" vertical="center" wrapText="1"/>
    </xf>
    <xf numFmtId="0" fontId="5" fillId="9" borderId="1" applyAlignment="1" pivotButton="0" quotePrefix="0" xfId="0">
      <alignment horizontal="center" vertical="center" wrapText="1"/>
    </xf>
    <xf numFmtId="0" fontId="6" fillId="9" borderId="1" applyAlignment="1" pivotButton="0" quotePrefix="0" xfId="0">
      <alignment horizontal="left" vertical="center" wrapText="1"/>
    </xf>
    <xf numFmtId="0" fontId="6" fillId="9" borderId="1" applyAlignment="1" pivotButton="0" quotePrefix="0" xfId="0">
      <alignment horizontal="center" vertical="center" wrapText="1"/>
    </xf>
    <xf numFmtId="0" fontId="6" fillId="8" borderId="0" applyAlignment="1" pivotButton="0" quotePrefix="0" xfId="0">
      <alignment vertical="top" wrapText="1" indent="1"/>
    </xf>
    <xf numFmtId="0" fontId="7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left" vertical="center" wrapText="1"/>
    </xf>
    <xf numFmtId="0" fontId="2" fillId="7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4" fontId="6" fillId="10" borderId="1" applyAlignment="1" pivotButton="0" quotePrefix="0" xfId="0">
      <alignment horizontal="right" vertical="center"/>
    </xf>
    <xf numFmtId="164" fontId="6" fillId="10" borderId="1" applyAlignment="1" pivotButton="0" quotePrefix="0" xfId="0">
      <alignment horizontal="right" vertical="center"/>
    </xf>
    <xf numFmtId="167" fontId="6" fillId="10" borderId="1" applyAlignment="1" pivotButton="0" quotePrefix="0" xfId="0">
      <alignment horizontal="right" vertical="center"/>
    </xf>
    <xf numFmtId="0" fontId="2" fillId="8" borderId="0" applyAlignment="1" pivotButton="0" quotePrefix="0" xfId="0">
      <alignment vertical="top" wrapText="1"/>
    </xf>
    <xf numFmtId="0" fontId="5" fillId="11" borderId="1" applyAlignment="1" pivotButton="0" quotePrefix="0" xfId="0">
      <alignment horizontal="left" vertical="center"/>
    </xf>
    <xf numFmtId="0" fontId="5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 wrapText="1"/>
    </xf>
    <xf numFmtId="10" fontId="6" fillId="7" borderId="1" applyAlignment="1" pivotButton="0" quotePrefix="0" xfId="0">
      <alignment horizontal="right" vertical="center"/>
    </xf>
    <xf numFmtId="4" fontId="6" fillId="7" borderId="1" applyAlignment="1" pivotButton="0" quotePrefix="0" xfId="0">
      <alignment horizontal="right" vertical="center"/>
    </xf>
    <xf numFmtId="0" fontId="6" fillId="7" borderId="1" applyAlignment="1" pivotButton="0" quotePrefix="0" xfId="0">
      <alignment horizontal="center" vertical="center"/>
    </xf>
    <xf numFmtId="165" fontId="6" fillId="7" borderId="1" applyAlignment="1" pivotButton="0" quotePrefix="0" xfId="0">
      <alignment horizontal="right" vertical="center"/>
    </xf>
    <xf numFmtId="168" fontId="6" fillId="6" borderId="1" applyAlignment="1" pivotButton="0" quotePrefix="0" xfId="0">
      <alignment horizontal="center" vertical="center"/>
    </xf>
    <xf numFmtId="169" fontId="6" fillId="6" borderId="1" applyAlignment="1" pivotButton="0" quotePrefix="0" xfId="0">
      <alignment horizontal="center" vertical="center"/>
    </xf>
    <xf numFmtId="2" fontId="6" fillId="6" borderId="1" applyAlignment="1" pivotButton="0" quotePrefix="0" xfId="0">
      <alignment horizontal="center" vertical="center"/>
    </xf>
    <xf numFmtId="10" fontId="6" fillId="6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left" vertical="center"/>
    </xf>
    <xf numFmtId="0" fontId="7" fillId="0" borderId="1" applyAlignment="1" pivotButton="0" quotePrefix="0" xfId="0">
      <alignment horizontal="left" vertical="center" wrapText="1"/>
    </xf>
    <xf numFmtId="0" fontId="7" fillId="0" borderId="1" applyAlignment="1" pivotButton="0" quotePrefix="0" xfId="0">
      <alignment horizontal="right" vertical="center"/>
    </xf>
    <xf numFmtId="0" fontId="0" fillId="0" borderId="4" pivotButton="0" quotePrefix="0" xfId="0"/>
    <xf numFmtId="0" fontId="0" fillId="0" borderId="5" pivotButton="0" quotePrefix="0" xfId="0"/>
    <xf numFmtId="4" fontId="6" fillId="0" borderId="1" applyAlignment="1" pivotButton="0" quotePrefix="0" xfId="0">
      <alignment horizontal="right" vertical="center"/>
    </xf>
    <xf numFmtId="0" fontId="8" fillId="12" borderId="0" applyAlignment="1" pivotButton="0" quotePrefix="0" xfId="0">
      <alignment vertical="top" wrapText="1" indent="1"/>
    </xf>
  </cellXfs>
  <cellStyles count="1">
    <cellStyle name="Normal" xfId="0" builtinId="0" hidden="0"/>
  </cellStyles>
  <dxfs count="3">
    <dxf>
      <fill>
        <patternFill patternType="solid">
          <fgColor rgb="00FFE8CC"/>
        </patternFill>
      </fill>
    </dxf>
    <dxf>
      <fill>
        <patternFill patternType="solid">
          <fgColor rgb="00D6F5E3"/>
        </patternFill>
      </fill>
    </dxf>
    <dxf>
      <fill>
        <patternFill patternType="solid">
          <fgColor rgb="00FFD6D6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海运费变动 → CIF 单价</a:t>
            </a:r>
          </a:p>
        </rich>
      </tx>
    </title>
    <plotArea>
      <lineChart>
        <grouping val="standard"/>
        <ser>
          <idx val="0"/>
          <order val="0"/>
          <tx>
            <strRef>
              <f>'08 敏感性分析'!F5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'08 敏感性分析'!$A$6:$A$10</f>
            </numRef>
          </cat>
          <val>
            <numRef>
              <f>'08 敏感性分析'!$F$6:$F$10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运费变动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¥/t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汇率变动 → 外币单价</a:t>
            </a:r>
          </a:p>
        </rich>
      </tx>
    </title>
    <plotArea>
      <lineChart>
        <grouping val="standard"/>
        <ser>
          <idx val="0"/>
          <order val="0"/>
          <tx>
            <strRef>
              <f>'08 敏感性分析'!E14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'08 敏感性分析'!$A$15:$A$19</f>
            </numRef>
          </cat>
          <val>
            <numRef>
              <f>'08 敏感性分析'!$E$15:$E$19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汇率变动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外币/t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毛利变动 → 三术语单价</a:t>
            </a:r>
          </a:p>
        </rich>
      </tx>
    </title>
    <plotArea>
      <lineChart>
        <grouping val="standard"/>
        <ser>
          <idx val="0"/>
          <order val="0"/>
          <tx>
            <strRef>
              <f>'08 敏感性分析'!C23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'08 敏感性分析'!$A$24:$A$28</f>
            </numRef>
          </cat>
          <val>
            <numRef>
              <f>'08 敏感性分析'!$C$24:$C$28</f>
            </numRef>
          </val>
        </ser>
        <ser>
          <idx val="1"/>
          <order val="1"/>
          <tx>
            <strRef>
              <f>'08 敏感性分析'!D23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'08 敏感性分析'!$A$24:$A$28</f>
            </numRef>
          </cat>
          <val>
            <numRef>
              <f>'08 敏感性分析'!$D$24:$D$28</f>
            </numRef>
          </val>
        </ser>
        <ser>
          <idx val="2"/>
          <order val="2"/>
          <tx>
            <strRef>
              <f>'08 敏感性分析'!E23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'08 敏感性分析'!$A$24:$A$28</f>
            </numRef>
          </cat>
          <val>
            <numRef>
              <f>'08 敏感性分析'!$E$24:$E$28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毛利率变动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¥/t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/Relationships>
</file>

<file path=xl/drawings/drawing1.xml><?xml version="1.0" encoding="utf-8"?>
<wsDr xmlns="http://schemas.openxmlformats.org/drawingml/2006/spreadsheetDrawing">
  <oneCellAnchor>
    <from>
      <col>9</col>
      <colOff>0</colOff>
      <row>4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9</col>
      <colOff>0</colOff>
      <row>13</row>
      <rowOff>0</rowOff>
    </from>
    <ext cx="5400000" cy="27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9</col>
      <colOff>0</colOff>
      <row>22</row>
      <rowOff>0</rowOff>
    </from>
    <ext cx="5400000" cy="270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8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tabColor rgb="001F4E79"/>
    <outlinePr summaryBelow="1" summaryRight="1"/>
    <pageSetUpPr fitToPage="1"/>
  </sheetPr>
  <dimension ref="A1:F41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30" customWidth="1" min="2" max="2"/>
    <col width="12" customWidth="1" min="3" max="3"/>
    <col width="58" customWidth="1" min="4" max="4"/>
    <col width="10" customWidth="1" min="5" max="5"/>
    <col width="10" customWidth="1" min="6" max="6"/>
  </cols>
  <sheetData>
    <row r="1" ht="34" customHeight="1">
      <c r="A1" s="1" t="inlineStr">
        <is>
          <t>出口报价工作簿 · 01 基础参数</t>
        </is>
      </c>
    </row>
    <row r="2" ht="22" customHeight="1">
      <c r="A2" s="2" t="inlineStr">
        <is>
          <t>引擎 v1.0.0 · 生成于 2026-10-19 · 本表是唯一录入区之一（与 03 表同源录入）</t>
        </is>
      </c>
    </row>
    <row r="4" ht="22" customHeight="1">
      <c r="A4" s="3" t="inlineStr">
        <is>
          <t>A. 贸易主体与货物</t>
        </is>
      </c>
    </row>
    <row r="5" ht="30" customHeight="1">
      <c r="A5" s="4" t="inlineStr">
        <is>
          <t>参数</t>
        </is>
      </c>
      <c r="B5" s="4" t="inlineStr">
        <is>
          <t>值</t>
        </is>
      </c>
      <c r="C5" s="4" t="inlineStr">
        <is>
          <t>单位</t>
        </is>
      </c>
      <c r="D5" s="4" t="inlineStr">
        <is>
          <t>说明</t>
        </is>
      </c>
      <c r="E5" s="4" t="inlineStr"/>
      <c r="F5" s="4" t="inlineStr"/>
    </row>
    <row r="6">
      <c r="A6" s="5" t="inlineStr">
        <is>
          <t>产品（中文）</t>
        </is>
      </c>
      <c r="B6" s="6" t="inlineStr">
        <is>
          <t>重质纯碱（碳酸钠）</t>
        </is>
      </c>
      <c r="C6" s="7" t="inlineStr"/>
      <c r="D6" s="8" t="inlineStr">
        <is>
          <t>出口品名，与报关单/装箱单一致</t>
        </is>
      </c>
    </row>
    <row r="7">
      <c r="A7" s="5" t="inlineStr">
        <is>
          <t>产品（英文）</t>
        </is>
      </c>
      <c r="B7" s="6" t="inlineStr">
        <is>
          <t>Sodium Carbonate Heavy Ash (Soda Ash Dense)</t>
        </is>
      </c>
      <c r="C7" s="7" t="inlineStr"/>
      <c r="D7" s="8" t="inlineStr">
        <is>
          <t>报价单与提单英文品名</t>
        </is>
      </c>
    </row>
    <row r="8">
      <c r="A8" s="5" t="inlineStr">
        <is>
          <t>规格</t>
        </is>
      </c>
      <c r="B8" s="6" t="inlineStr">
        <is>
          <t>Na2CO3 ≥ 99.2%，堆积密度 ~1.0 g/cm³，工业级，25kg 覆膜编织袋</t>
        </is>
      </c>
      <c r="C8" s="7" t="inlineStr"/>
      <c r="D8" s="8" t="inlineStr">
        <is>
          <t>客户验收指标原话；不自行换算</t>
        </is>
      </c>
    </row>
    <row r="9">
      <c r="A9" s="5" t="inlineStr">
        <is>
          <t>HS 编码</t>
        </is>
      </c>
      <c r="B9" s="6" t="inlineStr">
        <is>
          <t>2836200000</t>
        </is>
      </c>
      <c r="C9" s="7" t="inlineStr"/>
      <c r="D9" s="8" t="inlineStr">
        <is>
          <t>中国海关商品编码；决定退税率与监管条件</t>
        </is>
      </c>
    </row>
    <row r="10">
      <c r="A10" s="5" t="inlineStr">
        <is>
          <t>工厂所在地</t>
        </is>
      </c>
      <c r="B10" s="6" t="inlineStr">
        <is>
          <t>山东·青岛周边工厂</t>
        </is>
      </c>
      <c r="C10" s="7" t="inlineStr"/>
      <c r="D10" s="8" t="inlineStr">
        <is>
          <t>内陆段起点</t>
        </is>
      </c>
    </row>
    <row r="11">
      <c r="A11" s="5" t="inlineStr">
        <is>
          <t>起运港</t>
        </is>
      </c>
      <c r="B11" s="6" t="inlineStr">
        <is>
          <t>青岛港 Qingdao (CNQDG)</t>
        </is>
      </c>
      <c r="C11" s="7" t="inlineStr"/>
      <c r="D11" s="8" t="inlineStr">
        <is>
          <t>FOB 交货点 / CFR·CIF 装运港</t>
        </is>
      </c>
    </row>
    <row r="12">
      <c r="A12" s="5" t="inlineStr">
        <is>
          <t>目的港</t>
        </is>
      </c>
      <c r="B12" s="6" t="inlineStr">
        <is>
          <t>雅加达港 Jakarta (IDJKT)</t>
        </is>
      </c>
      <c r="C12" s="7" t="inlineStr"/>
      <c r="D12" s="8" t="inlineStr">
        <is>
          <t>CFR·CIF 运费计至该港</t>
        </is>
      </c>
    </row>
    <row r="14" ht="22" customHeight="1">
      <c r="A14" s="3" t="inlineStr">
        <is>
          <t>B. 数量与计量单位</t>
        </is>
      </c>
    </row>
    <row r="15">
      <c r="A15" s="5" t="inlineStr">
        <is>
          <t>出口数量</t>
        </is>
      </c>
      <c r="B15" s="9" t="n">
        <v>500</v>
      </c>
      <c r="C15" s="7" t="inlineStr">
        <is>
          <t>吨 (MT)</t>
        </is>
      </c>
      <c r="D15" s="8" t="inlineStr">
        <is>
          <t>报价与成本的统一计价单位；如合同按吨/袋/托盘，请先折算成吨</t>
        </is>
      </c>
    </row>
    <row r="16">
      <c r="A16" s="10" t="inlineStr">
        <is>
          <t>进口国品名/编码（可选）</t>
        </is>
      </c>
      <c r="B16" s="11" t="inlineStr"/>
      <c r="C16" s="7" t="inlineStr"/>
      <c r="D16" s="8" t="inlineStr">
        <is>
          <t>目的国 HS 可能不同（前 6 位衔接）；DDP 时用于查进口税率</t>
        </is>
      </c>
    </row>
    <row r="18" ht="22" customHeight="1">
      <c r="A18" s="3" t="inlineStr">
        <is>
          <t>C. 汇率（由用户提供，系统不取实时牌价）</t>
        </is>
      </c>
    </row>
    <row r="19" ht="30" customHeight="1">
      <c r="A19" s="4" t="inlineStr">
        <is>
          <t>币种</t>
        </is>
      </c>
      <c r="B19" s="4" t="inlineStr">
        <is>
          <t>汇率 CNY/1外币</t>
        </is>
      </c>
      <c r="C19" s="4" t="inlineStr">
        <is>
          <t>用途</t>
        </is>
      </c>
      <c r="D19" s="4" t="inlineStr"/>
      <c r="E19" s="4" t="inlineStr"/>
      <c r="F19" s="4" t="inlineStr"/>
    </row>
    <row r="20">
      <c r="A20" s="5" t="inlineStr">
        <is>
          <t>USD</t>
        </is>
      </c>
      <c r="B20" s="9" t="n">
        <v>7.1</v>
      </c>
      <c r="C20" s="10" t="inlineStr">
        <is>
          <t>海运费计价 / 报价展示币种</t>
        </is>
      </c>
    </row>
    <row r="21">
      <c r="A21" s="5" t="inlineStr">
        <is>
          <t>EUR</t>
        </is>
      </c>
      <c r="B21" s="9" t="n">
        <v>7.72</v>
      </c>
      <c r="C21" s="10" t="inlineStr">
        <is>
          <t>备用</t>
        </is>
      </c>
    </row>
    <row r="22">
      <c r="A22" s="5" t="inlineStr">
        <is>
          <t>IDR</t>
        </is>
      </c>
      <c r="B22" s="12" t="n">
        <v>0.000437</v>
      </c>
      <c r="C22" s="10" t="inlineStr">
        <is>
          <t>备用</t>
        </is>
      </c>
    </row>
    <row r="23">
      <c r="A23" s="5" t="inlineStr">
        <is>
          <t>CNY</t>
        </is>
      </c>
      <c r="B23" s="9" t="n">
        <v>1</v>
      </c>
      <c r="C23" s="10" t="inlineStr">
        <is>
          <t>基准币种（人民币）</t>
        </is>
      </c>
    </row>
    <row r="24">
      <c r="A24" s="5" t="inlineStr">
        <is>
          <t>报价币种</t>
        </is>
      </c>
      <c r="B24" s="13" t="inlineStr">
        <is>
          <t>USD</t>
        </is>
      </c>
      <c r="C24" s="10" t="inlineStr">
        <is>
          <t>USD / EUR / IDR / CNY</t>
        </is>
      </c>
    </row>
    <row r="25">
      <c r="A25" s="5" t="inlineStr">
        <is>
          <t>报价汇率</t>
        </is>
      </c>
      <c r="B25" s="14">
        <f>IFERROR(VLOOKUP('01 基础参数'!$B$24,'01 基础参数'!$A$20:$B$23,2,FALSE),"")</f>
        <v/>
      </c>
      <c r="C25" s="10" t="inlineStr">
        <is>
          <t>'= 按报价币种自动取上述汇率</t>
        </is>
      </c>
    </row>
    <row r="27" ht="22" customHeight="1">
      <c r="A27" s="3" t="inlineStr">
        <is>
          <t>D. 毛利口径（毛利率与成本加成率必须区分）</t>
        </is>
      </c>
    </row>
    <row r="28">
      <c r="A28" s="5" t="inlineStr">
        <is>
          <t>毛利口径</t>
        </is>
      </c>
      <c r="B28" s="13" t="inlineStr">
        <is>
          <t>毛利率（按售价）</t>
        </is>
      </c>
      <c r="C28" s="8" t="inlineStr">
        <is>
          <t>毛利率 = 毛利÷售价；成本加成率 = 毛利÷成本。8% 毛利率 ≈ 8.70% 加成率，不可混用。</t>
        </is>
      </c>
    </row>
    <row r="29">
      <c r="A29" s="5" t="inlineStr">
        <is>
          <t>毛利数值</t>
        </is>
      </c>
      <c r="B29" s="15" t="n">
        <v>0.08</v>
      </c>
      <c r="C29" s="10" t="inlineStr">
        <is>
          <t>毛利率/加成率填百分比；「直接定价」时本格忽略</t>
        </is>
      </c>
    </row>
    <row r="30">
      <c r="A30" s="5" t="inlineStr">
        <is>
          <t>直接定价（¥/吨）</t>
        </is>
      </c>
      <c r="B30" s="16" t="n"/>
      <c r="C30" s="10" t="inlineStr">
        <is>
          <t>仅当口径=「直接定价」时生效</t>
        </is>
      </c>
    </row>
    <row r="31">
      <c r="A31" s="5" t="inlineStr">
        <is>
          <t>毛利基准术语</t>
        </is>
      </c>
      <c r="B31" s="13" t="inlineStr">
        <is>
          <t>FOB</t>
        </is>
      </c>
      <c r="C31" s="8" t="inlineStr">
        <is>
          <t>「目标毛利」是针对哪一个术语的价格而言——不写清，FOB 与 CIF 的毛利会被混算</t>
        </is>
      </c>
    </row>
    <row r="33" ht="22" customHeight="1">
      <c r="A33" s="3" t="inlineStr">
        <is>
          <t>E. 出口退税（单列，默认不抵减报价成本）</t>
        </is>
      </c>
    </row>
    <row r="34">
      <c r="A34" s="5" t="inlineStr">
        <is>
          <t>退税率</t>
        </is>
      </c>
      <c r="B34" s="17" t="n">
        <v>13</v>
      </c>
      <c r="C34" s="10" t="inlineStr">
        <is>
          <t>须按商品代码核对退税率文库；系统不默认 13%</t>
        </is>
      </c>
    </row>
    <row r="35">
      <c r="A35" s="5" t="inlineStr">
        <is>
          <t>增值税率</t>
        </is>
      </c>
      <c r="B35" s="17" t="n">
        <v>0.13</v>
      </c>
      <c r="C35" s="10" t="inlineStr">
        <is>
          <t>出口货物适用税率（一般 13%）</t>
        </is>
      </c>
    </row>
    <row r="36">
      <c r="A36" s="5" t="inlineStr">
        <is>
          <t>出厂成本是否含税</t>
        </is>
      </c>
      <c r="B36" s="13" t="inlineStr">
        <is>
          <t>否</t>
        </is>
      </c>
      <c r="C36" s="10" t="inlineStr">
        <is>
          <t>影响退税计税依据：含税价需先除 (1+税率) 还原</t>
        </is>
      </c>
    </row>
    <row r="38">
      <c r="A38" s="18" t="inlineStr">
        <is>
          <t>⚠ 使用约定
1) 本工作簿不提供市场价、参考运价、建议毛利或税费默认值；所有费率须由用户或货代/保险公司提供。
2) 黄色单元格 = 待填写；紫色 = 模拟演示值（SIMULATED，非实时运价）；浅蓝 = 公式自动计算，请勿手改。
3) 缺失项留空即可，公式会显示「待查询」，不会显示 0 或 #VALUE!。</t>
        </is>
      </c>
    </row>
    <row r="39"/>
    <row r="40"/>
    <row r="41"/>
  </sheetData>
  <mergeCells count="30">
    <mergeCell ref="D11:F11"/>
    <mergeCell ref="C23:F23"/>
    <mergeCell ref="A27:F27"/>
    <mergeCell ref="A18:F18"/>
    <mergeCell ref="D7:F7"/>
    <mergeCell ref="A38:F41"/>
    <mergeCell ref="D16:F16"/>
    <mergeCell ref="C28:F28"/>
    <mergeCell ref="A2:F2"/>
    <mergeCell ref="A33:F33"/>
    <mergeCell ref="A14:F14"/>
    <mergeCell ref="C34:F34"/>
    <mergeCell ref="D12:F12"/>
    <mergeCell ref="C30:F30"/>
    <mergeCell ref="D9:F9"/>
    <mergeCell ref="A4:F4"/>
    <mergeCell ref="C24:F24"/>
    <mergeCell ref="D8:F8"/>
    <mergeCell ref="D15:F15"/>
    <mergeCell ref="C35:F35"/>
    <mergeCell ref="C20:F20"/>
    <mergeCell ref="C29:F29"/>
    <mergeCell ref="C25:F25"/>
    <mergeCell ref="D10:F10"/>
    <mergeCell ref="C22:F22"/>
    <mergeCell ref="C31:F31"/>
    <mergeCell ref="A1:F1"/>
    <mergeCell ref="C21:F21"/>
    <mergeCell ref="D6:F6"/>
    <mergeCell ref="C36:F36"/>
  </mergeCells>
  <dataValidations count="3">
    <dataValidation sqref="B28" showDropDown="0" showInputMessage="0" showErrorMessage="0" allowBlank="0" type="list">
      <formula1>"毛利率（按售价）,成本加成率（按成本）,直接定价"</formula1>
    </dataValidation>
    <dataValidation sqref="B31" showDropDown="0" showInputMessage="0" showErrorMessage="0" allowBlank="0" type="list">
      <formula1>"FCA,FAS,FOB,CFR,CIF,CPT,CIP,DAP,DPU,DDP"</formula1>
    </dataValidation>
    <dataValidation sqref="B36" showDropDown="0" showInputMessage="0" showErrorMessage="0" allowBlank="0" type="list">
      <formula1>"是,否"</formula1>
    </dataValidation>
  </dataValidations>
  <pageMargins left="0.75" right="0.75" top="1" bottom="1" header="0.5" footer="0.5"/>
  <pageSetup orientation="landscape" fitToWidth="1"/>
</worksheet>
</file>

<file path=xl/worksheets/sheet2.xml><?xml version="1.0" encoding="utf-8"?>
<worksheet xmlns="http://schemas.openxmlformats.org/spreadsheetml/2006/main">
  <sheetPr>
    <tabColor rgb="007C5CFF"/>
    <outlinePr summaryBelow="1" summaryRight="1"/>
    <pageSetUpPr fitToPage="1"/>
  </sheetPr>
  <dimension ref="A1:H22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26" customWidth="1" min="2" max="2"/>
    <col width="26" customWidth="1" min="3" max="3"/>
    <col width="46" customWidth="1" min="4" max="4"/>
    <col width="18" customWidth="1" min="5" max="5"/>
    <col width="10" customWidth="1" min="6" max="6"/>
    <col width="10" customWidth="1" min="7" max="7"/>
    <col width="10" customWidth="1" min="8" max="8"/>
  </cols>
  <sheetData>
    <row r="1" ht="34" customHeight="1">
      <c r="A1" s="1" t="inlineStr">
        <is>
          <t>Incoterms® 2020 · 费用与风险对照</t>
        </is>
      </c>
    </row>
    <row r="2" ht="22" customHeight="1">
      <c r="A2" s="2" t="inlineStr">
        <is>
          <t>依据 ICC IncoTerms® 2020；分段口径与 03/05 表完全对应，避免重复计费</t>
        </is>
      </c>
    </row>
    <row r="4" ht="30" customHeight="1">
      <c r="A4" s="4" t="inlineStr">
        <is>
          <t>术语</t>
        </is>
      </c>
      <c r="B4" s="4" t="inlineStr">
        <is>
          <t>名称</t>
        </is>
      </c>
      <c r="C4" s="4" t="inlineStr">
        <is>
          <t>卖方承担成本段</t>
        </is>
      </c>
      <c r="D4" s="4" t="inlineStr">
        <is>
          <t>风险转移点</t>
        </is>
      </c>
      <c r="E4" s="4" t="inlineStr">
        <is>
          <t>适用运输方式</t>
        </is>
      </c>
      <c r="F4" s="4" t="inlineStr">
        <is>
          <t>出口清关</t>
        </is>
      </c>
      <c r="G4" s="4" t="inlineStr">
        <is>
          <t>海运费</t>
        </is>
      </c>
      <c r="H4" s="4" t="inlineStr">
        <is>
          <t>保险费</t>
        </is>
      </c>
    </row>
    <row r="5">
      <c r="A5" s="19" t="inlineStr">
        <is>
          <t>EXW</t>
        </is>
      </c>
      <c r="B5" s="20" t="inlineStr">
        <is>
          <t>工厂交货</t>
        </is>
      </c>
      <c r="C5" s="20" t="inlineStr">
        <is>
          <t>无（仅 S1 出厂价）</t>
        </is>
      </c>
      <c r="D5" s="20" t="inlineStr">
        <is>
          <t>货物在卖方场所备妥时</t>
        </is>
      </c>
      <c r="E5" s="21" t="inlineStr">
        <is>
          <t>任何</t>
        </is>
      </c>
      <c r="F5" s="21" t="inlineStr">
        <is>
          <t>买方</t>
        </is>
      </c>
      <c r="G5" s="21" t="inlineStr">
        <is>
          <t>买方</t>
        </is>
      </c>
      <c r="H5" s="21" t="inlineStr">
        <is>
          <t>买方</t>
        </is>
      </c>
    </row>
    <row r="6">
      <c r="A6" s="19" t="inlineStr">
        <is>
          <t>FCA</t>
        </is>
      </c>
      <c r="B6" s="20" t="inlineStr">
        <is>
          <t>货交承运人</t>
        </is>
      </c>
      <c r="C6" s="20" t="inlineStr">
        <is>
          <t>S1 S2 S3</t>
        </is>
      </c>
      <c r="D6" s="20" t="inlineStr">
        <is>
          <t>货交买方指定承运人时</t>
        </is>
      </c>
      <c r="E6" s="21" t="inlineStr">
        <is>
          <t>任何</t>
        </is>
      </c>
      <c r="F6" s="21" t="inlineStr">
        <is>
          <t>卖方</t>
        </is>
      </c>
      <c r="G6" s="21" t="inlineStr">
        <is>
          <t>买方</t>
        </is>
      </c>
      <c r="H6" s="21" t="inlineStr">
        <is>
          <t>买方</t>
        </is>
      </c>
    </row>
    <row r="7">
      <c r="A7" s="19" t="inlineStr">
        <is>
          <t>FAS</t>
        </is>
      </c>
      <c r="B7" s="20" t="inlineStr">
        <is>
          <t>船边交货</t>
        </is>
      </c>
      <c r="C7" s="20" t="inlineStr">
        <is>
          <t>S1 S2 S3</t>
        </is>
      </c>
      <c r="D7" s="20" t="inlineStr">
        <is>
          <t>货物置于船边时</t>
        </is>
      </c>
      <c r="E7" s="21" t="inlineStr">
        <is>
          <t>海运/内河</t>
        </is>
      </c>
      <c r="F7" s="21" t="inlineStr">
        <is>
          <t>卖方</t>
        </is>
      </c>
      <c r="G7" s="21" t="inlineStr">
        <is>
          <t>买方</t>
        </is>
      </c>
      <c r="H7" s="21" t="inlineStr">
        <is>
          <t>买方</t>
        </is>
      </c>
    </row>
    <row r="8">
      <c r="A8" s="22" t="inlineStr">
        <is>
          <t>FOB</t>
        </is>
      </c>
      <c r="B8" s="23" t="inlineStr">
        <is>
          <t>装运港船上交货</t>
        </is>
      </c>
      <c r="C8" s="23" t="inlineStr">
        <is>
          <t>S1 S2 S3 S4</t>
        </is>
      </c>
      <c r="D8" s="23" t="inlineStr">
        <is>
          <t>装运港装上船时</t>
        </is>
      </c>
      <c r="E8" s="24" t="inlineStr">
        <is>
          <t>海运/内河</t>
        </is>
      </c>
      <c r="F8" s="24" t="inlineStr">
        <is>
          <t>卖方</t>
        </is>
      </c>
      <c r="G8" s="24" t="inlineStr">
        <is>
          <t>买方</t>
        </is>
      </c>
      <c r="H8" s="24" t="inlineStr">
        <is>
          <t>买方</t>
        </is>
      </c>
    </row>
    <row r="9">
      <c r="A9" s="22" t="inlineStr">
        <is>
          <t>CFR</t>
        </is>
      </c>
      <c r="B9" s="23" t="inlineStr">
        <is>
          <t>成本加运费</t>
        </is>
      </c>
      <c r="C9" s="23" t="inlineStr">
        <is>
          <t>S1 S2 S3 S4 S5</t>
        </is>
      </c>
      <c r="D9" s="23" t="inlineStr">
        <is>
          <t>装运港装上船时（≠目的地）</t>
        </is>
      </c>
      <c r="E9" s="24" t="inlineStr">
        <is>
          <t>海运/内河</t>
        </is>
      </c>
      <c r="F9" s="24" t="inlineStr">
        <is>
          <t>卖方</t>
        </is>
      </c>
      <c r="G9" s="24" t="inlineStr">
        <is>
          <t>卖方</t>
        </is>
      </c>
      <c r="H9" s="24" t="inlineStr">
        <is>
          <t>买方</t>
        </is>
      </c>
    </row>
    <row r="10">
      <c r="A10" s="22" t="inlineStr">
        <is>
          <t>CIF</t>
        </is>
      </c>
      <c r="B10" s="23" t="inlineStr">
        <is>
          <t>成本保险加运费</t>
        </is>
      </c>
      <c r="C10" s="23" t="inlineStr">
        <is>
          <t>S1 S2 S3 S4 S5 S6</t>
        </is>
      </c>
      <c r="D10" s="23" t="inlineStr">
        <is>
          <t>装运港装上船时（≠目的地）</t>
        </is>
      </c>
      <c r="E10" s="24" t="inlineStr">
        <is>
          <t>海运/内河</t>
        </is>
      </c>
      <c r="F10" s="24" t="inlineStr">
        <is>
          <t>卖方</t>
        </is>
      </c>
      <c r="G10" s="24" t="inlineStr">
        <is>
          <t>卖方</t>
        </is>
      </c>
      <c r="H10" s="24" t="inlineStr">
        <is>
          <t>卖方(≥110%, ICC C)</t>
        </is>
      </c>
    </row>
    <row r="11">
      <c r="A11" s="19" t="inlineStr">
        <is>
          <t>CPT</t>
        </is>
      </c>
      <c r="B11" s="20" t="inlineStr">
        <is>
          <t>运费付至</t>
        </is>
      </c>
      <c r="C11" s="20" t="inlineStr">
        <is>
          <t>S1 S2 S3 S4 S5</t>
        </is>
      </c>
      <c r="D11" s="20" t="inlineStr">
        <is>
          <t>货交第一承运人时</t>
        </is>
      </c>
      <c r="E11" s="21" t="inlineStr">
        <is>
          <t>任何</t>
        </is>
      </c>
      <c r="F11" s="21" t="inlineStr">
        <is>
          <t>卖方</t>
        </is>
      </c>
      <c r="G11" s="21" t="inlineStr">
        <is>
          <t>卖方</t>
        </is>
      </c>
      <c r="H11" s="21" t="inlineStr">
        <is>
          <t>买方</t>
        </is>
      </c>
    </row>
    <row r="12">
      <c r="A12" s="19" t="inlineStr">
        <is>
          <t>CIP</t>
        </is>
      </c>
      <c r="B12" s="20" t="inlineStr">
        <is>
          <t>运费保险付至</t>
        </is>
      </c>
      <c r="C12" s="20" t="inlineStr">
        <is>
          <t>S1 S2 S3 S4 S5 S6</t>
        </is>
      </c>
      <c r="D12" s="20" t="inlineStr">
        <is>
          <t>货交第一承运人时</t>
        </is>
      </c>
      <c r="E12" s="21" t="inlineStr">
        <is>
          <t>任何</t>
        </is>
      </c>
      <c r="F12" s="21" t="inlineStr">
        <is>
          <t>卖方</t>
        </is>
      </c>
      <c r="G12" s="21" t="inlineStr">
        <is>
          <t>卖方</t>
        </is>
      </c>
      <c r="H12" s="21" t="inlineStr">
        <is>
          <t>卖方(≥110%, ICC A)</t>
        </is>
      </c>
    </row>
    <row r="13">
      <c r="A13" s="19" t="inlineStr">
        <is>
          <t>DAP</t>
        </is>
      </c>
      <c r="B13" s="20" t="inlineStr">
        <is>
          <t>目的地交货</t>
        </is>
      </c>
      <c r="C13" s="20" t="inlineStr">
        <is>
          <t>…+S9 目的港费用</t>
        </is>
      </c>
      <c r="D13" s="20" t="inlineStr">
        <is>
          <t>目的地运输工具上待卸时</t>
        </is>
      </c>
      <c r="E13" s="21" t="inlineStr">
        <is>
          <t>任何</t>
        </is>
      </c>
      <c r="F13" s="21" t="inlineStr">
        <is>
          <t>卖方</t>
        </is>
      </c>
      <c r="G13" s="21" t="inlineStr">
        <is>
          <t>卖方</t>
        </is>
      </c>
      <c r="H13" s="21" t="inlineStr">
        <is>
          <t>卖方</t>
        </is>
      </c>
    </row>
    <row r="14">
      <c r="A14" s="19" t="inlineStr">
        <is>
          <t>DPU</t>
        </is>
      </c>
      <c r="B14" s="20" t="inlineStr">
        <is>
          <t>目的地卸货后交货</t>
        </is>
      </c>
      <c r="C14" s="20" t="inlineStr">
        <is>
          <t>…+S9（含卸货）</t>
        </is>
      </c>
      <c r="D14" s="20" t="inlineStr">
        <is>
          <t>目的地卸货完成后</t>
        </is>
      </c>
      <c r="E14" s="21" t="inlineStr">
        <is>
          <t>任何</t>
        </is>
      </c>
      <c r="F14" s="21" t="inlineStr">
        <is>
          <t>卖方</t>
        </is>
      </c>
      <c r="G14" s="21" t="inlineStr">
        <is>
          <t>卖方</t>
        </is>
      </c>
      <c r="H14" s="21" t="inlineStr">
        <is>
          <t>卖方</t>
        </is>
      </c>
    </row>
    <row r="15">
      <c r="A15" s="19" t="inlineStr">
        <is>
          <t>DDP</t>
        </is>
      </c>
      <c r="B15" s="20" t="inlineStr">
        <is>
          <t>完税后交货</t>
        </is>
      </c>
      <c r="C15" s="20" t="inlineStr">
        <is>
          <t>…+S9+进口关税</t>
        </is>
      </c>
      <c r="D15" s="20" t="inlineStr">
        <is>
          <t>目的地已清关、待卸时</t>
        </is>
      </c>
      <c r="E15" s="21" t="inlineStr">
        <is>
          <t>任何</t>
        </is>
      </c>
      <c r="F15" s="21" t="inlineStr">
        <is>
          <t>卖方</t>
        </is>
      </c>
      <c r="G15" s="21" t="inlineStr">
        <is>
          <t>卖方</t>
        </is>
      </c>
      <c r="H15" s="21" t="inlineStr">
        <is>
          <t>卖方</t>
        </is>
      </c>
    </row>
    <row r="17">
      <c r="A17" s="25" t="inlineStr">
        <is>
          <t>三条最常被搞错的规则
① CIF/CFR 的风险转移 = 装运港货物装上船，不是到达目的港；运费/保险是「费用」，不是「风险」。
② CIF 保险费按 CIF 价 × 110% 计，默认 ICC(C)；若客户要求 ICC(A) 或更高保额，需另算保费并改条款。
③ FOB/CIF/CFR 只能用于海运或内河运输；集装箱出口到内陆点应改用 FCA/CPT/CIP/DAP。</t>
        </is>
      </c>
    </row>
    <row r="18"/>
    <row r="19"/>
    <row r="20"/>
    <row r="21"/>
    <row r="22"/>
  </sheetData>
  <mergeCells count="3">
    <mergeCell ref="A2:H2"/>
    <mergeCell ref="A17:H22"/>
    <mergeCell ref="A1:H1"/>
  </mergeCells>
  <pageMargins left="0.75" right="0.75" top="1" bottom="1" header="0.5" footer="0.5"/>
  <pageSetup orientation="landscape" fitToWidth="1"/>
</worksheet>
</file>

<file path=xl/worksheets/sheet3.xml><?xml version="1.0" encoding="utf-8"?>
<worksheet xmlns="http://schemas.openxmlformats.org/spreadsheetml/2006/main">
  <sheetPr>
    <tabColor rgb="003EA6FF"/>
    <outlinePr summaryBelow="1" summaryRight="1"/>
    <pageSetUpPr fitToPage="1"/>
  </sheetPr>
  <dimension ref="A1:I23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3" customWidth="1" min="2" max="2"/>
    <col width="26" customWidth="1" min="3" max="3"/>
    <col width="20" customWidth="1" min="4" max="4"/>
    <col width="14" customWidth="1" min="5" max="5"/>
    <col width="12" customWidth="1" min="6" max="6"/>
    <col width="12" customWidth="1" min="7" max="7"/>
    <col width="46" customWidth="1" min="8" max="8"/>
    <col width="20" customWidth="1" min="9" max="9"/>
  </cols>
  <sheetData>
    <row r="1" ht="34" customHeight="1">
      <c r="A1" s="1" t="inlineStr">
        <is>
          <t>03 费用明细（唯一录入区）</t>
        </is>
      </c>
    </row>
    <row r="2" ht="22" customHeight="1">
      <c r="A2" s="2" t="inlineStr">
        <is>
          <t>每条费用行只归入一个成本段 → 术语价 = 对应段之和，杜绝重复计费</t>
        </is>
      </c>
    </row>
    <row r="4" ht="30" customHeight="1">
      <c r="A4" s="4" t="inlineStr">
        <is>
          <t>成本段</t>
        </is>
      </c>
      <c r="B4" s="4" t="inlineStr">
        <is>
          <t>代码</t>
        </is>
      </c>
      <c r="C4" s="4" t="inlineStr">
        <is>
          <t>成本项</t>
        </is>
      </c>
      <c r="D4" s="4" t="inlineStr">
        <is>
          <t>录入口径</t>
        </is>
      </c>
      <c r="E4" s="4" t="inlineStr">
        <is>
          <t>数值</t>
        </is>
      </c>
      <c r="F4" s="4" t="inlineStr">
        <is>
          <t>单位</t>
        </is>
      </c>
      <c r="G4" s="4" t="inlineStr">
        <is>
          <t>状态</t>
        </is>
      </c>
      <c r="H4" s="4" t="inlineStr">
        <is>
          <t>依据/来源</t>
        </is>
      </c>
      <c r="I4" s="4" t="inlineStr">
        <is>
          <t>承担方</t>
        </is>
      </c>
    </row>
    <row r="5">
      <c r="A5" s="26" t="inlineStr">
        <is>
          <t>S1</t>
        </is>
      </c>
      <c r="B5" s="26" t="inlineStr">
        <is>
          <t>EXW</t>
        </is>
      </c>
      <c r="C5" s="27" t="inlineStr">
        <is>
          <t>出厂价（不含包装）</t>
        </is>
      </c>
      <c r="D5" s="8" t="inlineStr">
        <is>
          <t>¥/吨</t>
        </is>
      </c>
      <c r="E5" s="16" t="n">
        <v>1450</v>
      </c>
      <c r="F5" s="7" t="inlineStr">
        <is>
          <t>¥/t</t>
        </is>
      </c>
      <c r="G5" s="28">
        <f>IF(E5="","待查询",IF(E5=0,"0","已填"))</f>
        <v/>
      </c>
      <c r="H5" s="8" t="inlineStr">
        <is>
          <t>不含包装与出口环节费用</t>
        </is>
      </c>
      <c r="I5" s="29" t="inlineStr">
        <is>
          <t>卖方</t>
        </is>
      </c>
    </row>
    <row r="6">
      <c r="A6" s="26" t="inlineStr">
        <is>
          <t>S2</t>
        </is>
      </c>
      <c r="B6" s="26" t="inlineStr">
        <is>
          <t>PKG</t>
        </is>
      </c>
      <c r="C6" s="27" t="inlineStr">
        <is>
          <t>包装成本</t>
        </is>
      </c>
      <c r="D6" s="8" t="inlineStr">
        <is>
          <t>¥/吨</t>
        </is>
      </c>
      <c r="E6" s="16" t="n">
        <v>60</v>
      </c>
      <c r="F6" s="7" t="inlineStr">
        <is>
          <t>¥/t</t>
        </is>
      </c>
      <c r="G6" s="28">
        <f>IF(E6="","待查询",IF(E6=0,"0","已填"))</f>
        <v/>
      </c>
      <c r="H6" s="8" t="inlineStr">
        <is>
          <t>袋装/吨袋/托盘折吨价</t>
        </is>
      </c>
      <c r="I6" s="29" t="inlineStr">
        <is>
          <t>卖方</t>
        </is>
      </c>
    </row>
    <row r="7">
      <c r="A7" s="26" t="inlineStr">
        <is>
          <t>S3</t>
        </is>
      </c>
      <c r="B7" s="26" t="inlineStr">
        <is>
          <t>INLAND</t>
        </is>
      </c>
      <c r="C7" s="27" t="inlineStr">
        <is>
          <t>内陆运输（工厂→起运港）</t>
        </is>
      </c>
      <c r="D7" s="8" t="inlineStr">
        <is>
          <t>¥/吨</t>
        </is>
      </c>
      <c r="E7" s="30" t="n">
        <v>110</v>
      </c>
      <c r="F7" s="7" t="inlineStr">
        <is>
          <t>¥/t</t>
        </is>
      </c>
      <c r="G7" s="28">
        <f>IF(E7="","待查询",IF(E7=0,"0","已填"))</f>
        <v/>
      </c>
      <c r="H7" s="8" t="inlineStr">
        <is>
          <t>货代报价</t>
        </is>
      </c>
      <c r="I7" s="29" t="inlineStr">
        <is>
          <t>卖方</t>
        </is>
      </c>
    </row>
    <row r="8">
      <c r="A8" s="26" t="inlineStr">
        <is>
          <t>S4</t>
        </is>
      </c>
      <c r="B8" s="26" t="inlineStr">
        <is>
          <t>PORT</t>
        </is>
      </c>
      <c r="C8" s="27" t="inlineStr">
        <is>
          <t>港口及报关费用</t>
        </is>
      </c>
      <c r="D8" s="8" t="inlineStr">
        <is>
          <t>¥/吨</t>
        </is>
      </c>
      <c r="E8" s="30" t="n">
        <v>95</v>
      </c>
      <c r="F8" s="7" t="inlineStr">
        <is>
          <t>¥/t</t>
        </is>
      </c>
      <c r="G8" s="28">
        <f>IF(E8="","待查询",IF(E8=0,"0","已填"))</f>
        <v/>
      </c>
      <c r="H8" s="8" t="inlineStr">
        <is>
          <t>THC/报关/单证/码头作业</t>
        </is>
      </c>
      <c r="I8" s="29" t="inlineStr">
        <is>
          <t>卖方</t>
        </is>
      </c>
    </row>
    <row r="9">
      <c r="A9" s="26" t="inlineStr">
        <is>
          <t>S5</t>
        </is>
      </c>
      <c r="B9" s="26" t="inlineStr">
        <is>
          <t>FRT-USD</t>
        </is>
      </c>
      <c r="C9" s="5" t="inlineStr">
        <is>
          <t>海运费（柜价）</t>
        </is>
      </c>
      <c r="D9" s="10" t="inlineStr">
        <is>
          <t>USD/柜</t>
        </is>
      </c>
      <c r="E9" s="30" t="n">
        <v>1250</v>
      </c>
      <c r="F9" s="7" t="inlineStr">
        <is>
          <t>USD/柜</t>
        </is>
      </c>
      <c r="G9" s="28">
        <f>IF(E9="","待查询","已填")</f>
        <v/>
      </c>
      <c r="H9" s="10" t="inlineStr">
        <is>
          <t>货代报价（若按吨报价，直接填下一行）</t>
        </is>
      </c>
      <c r="I9" s="29" t="inlineStr">
        <is>
          <t>卖方</t>
        </is>
      </c>
    </row>
    <row r="10">
      <c r="A10" s="26" t="inlineStr">
        <is>
          <t>S5</t>
        </is>
      </c>
      <c r="B10" s="26" t="inlineStr">
        <is>
          <t>LOAD</t>
        </is>
      </c>
      <c r="C10" s="5" t="inlineStr">
        <is>
          <t>装柜吨数</t>
        </is>
      </c>
      <c r="D10" s="10" t="inlineStr">
        <is>
          <t>吨/柜</t>
        </is>
      </c>
      <c r="E10" s="31" t="n">
        <v>25</v>
      </c>
      <c r="F10" s="7" t="inlineStr">
        <is>
          <t>t/柜</t>
        </is>
      </c>
      <c r="G10" s="28">
        <f>IF(E10="","待查询","已填")</f>
        <v/>
      </c>
      <c r="H10" s="8" t="inlineStr">
        <is>
          <t>必须来自实际装箱方案（含 VGM 上限），不按理论满载假设</t>
        </is>
      </c>
      <c r="I10" s="29" t="inlineStr">
        <is>
          <t>计算依据</t>
        </is>
      </c>
    </row>
    <row r="11">
      <c r="A11" s="26" t="inlineStr">
        <is>
          <t>S5</t>
        </is>
      </c>
      <c r="B11" s="26" t="inlineStr">
        <is>
          <t>FREIGHT</t>
        </is>
      </c>
      <c r="C11" s="5" t="inlineStr">
        <is>
          <t>海运费（折算 ¥/吨）</t>
        </is>
      </c>
      <c r="D11" s="10" t="inlineStr">
        <is>
          <t>公式：柜价×汇率÷吨数</t>
        </is>
      </c>
      <c r="E11" s="14">
        <f>IF(OR('03 费用明细'!$E$9="",'03 费用明细'!$E$10=""),"",'03 费用明细'!$E$9*'01 基础参数'!$B$25/'03 费用明细'!$E$10)</f>
        <v/>
      </c>
      <c r="F11" s="7" t="inlineStr">
        <is>
          <t>¥/t</t>
        </is>
      </c>
      <c r="G11" s="28">
        <f>IF(ISNUMBER(E11),"已算","待查询")</f>
        <v/>
      </c>
      <c r="H11" s="10" t="inlineStr">
        <is>
          <t>'='03 费用明细'!$E$9 × 报价汇率 ÷ '03 费用明细'!$E$10</t>
        </is>
      </c>
      <c r="I11" s="29" t="inlineStr">
        <is>
          <t>卖方</t>
        </is>
      </c>
    </row>
    <row r="12">
      <c r="A12" s="26" t="inlineStr">
        <is>
          <t>S6</t>
        </is>
      </c>
      <c r="B12" s="26" t="inlineStr">
        <is>
          <t>INS-RATE</t>
        </is>
      </c>
      <c r="C12" s="5" t="inlineStr">
        <is>
          <t>保险费率（占 CIF）</t>
        </is>
      </c>
      <c r="D12" s="8" t="inlineStr">
        <is>
          <t>百分数（如 0.3 表示 0.3%）</t>
        </is>
      </c>
      <c r="E12" s="32" t="n">
        <v>0.3</v>
      </c>
      <c r="F12" s="7" t="inlineStr">
        <is>
          <t>%</t>
        </is>
      </c>
      <c r="G12" s="28">
        <f>IF(E12="","待查询","已填")</f>
        <v/>
      </c>
      <c r="H12" s="10" t="inlineStr">
        <is>
          <t>保险公司报价；CIF 投保金额 = CIF × 110%</t>
        </is>
      </c>
      <c r="I12" s="29" t="inlineStr">
        <is>
          <t>卖方(CIF)</t>
        </is>
      </c>
    </row>
    <row r="13">
      <c r="A13" s="26" t="inlineStr">
        <is>
          <t>S6</t>
        </is>
      </c>
      <c r="B13" s="26" t="inlineStr">
        <is>
          <t>INS-FLOOR</t>
        </is>
      </c>
      <c r="C13" s="5" t="inlineStr">
        <is>
          <t>保单最低保费（整票）</t>
        </is>
      </c>
      <c r="D13" s="10" t="inlineStr">
        <is>
          <t>¥/票</t>
        </is>
      </c>
      <c r="E13" s="16" t="n">
        <v>300</v>
      </c>
      <c r="F13" s="7" t="inlineStr">
        <is>
          <t>¥</t>
        </is>
      </c>
      <c r="G13" s="28">
        <f>IF(E13="","待查询","已填")</f>
        <v/>
      </c>
      <c r="H13" s="8" t="inlineStr">
        <is>
          <t>可选：按费率算出的保费低于最低保费时，按最低保费分摊</t>
        </is>
      </c>
      <c r="I13" s="29" t="inlineStr">
        <is>
          <t>卖方(CIF)</t>
        </is>
      </c>
    </row>
    <row r="14">
      <c r="A14" s="26" t="inlineStr">
        <is>
          <t>S7</t>
        </is>
      </c>
      <c r="B14" s="26" t="inlineStr">
        <is>
          <t>EXPORT_TAX</t>
        </is>
      </c>
      <c r="C14" s="27" t="inlineStr">
        <is>
          <t>出口关税及其他出口税费</t>
        </is>
      </c>
      <c r="D14" s="8" t="inlineStr">
        <is>
          <t>¥/吨</t>
        </is>
      </c>
      <c r="E14" s="16" t="n">
        <v>0</v>
      </c>
      <c r="F14" s="7" t="inlineStr">
        <is>
          <t>¥/t</t>
        </is>
      </c>
      <c r="G14" s="28">
        <f>IF(E14="","待查询",IF(E14=0,"0","已填"))</f>
        <v/>
      </c>
      <c r="H14" s="8" t="inlineStr">
        <is>
          <t>HS 2836200000 出口关税 0%（海关公示）；其他出口税费另计</t>
        </is>
      </c>
      <c r="I14" s="29" t="inlineStr">
        <is>
          <t>卖方</t>
        </is>
      </c>
    </row>
    <row r="15">
      <c r="A15" s="26" t="inlineStr">
        <is>
          <t>S8</t>
        </is>
      </c>
      <c r="B15" s="26" t="inlineStr">
        <is>
          <t>OTHER</t>
        </is>
      </c>
      <c r="C15" s="27" t="inlineStr">
        <is>
          <t>其他出口费用</t>
        </is>
      </c>
      <c r="D15" s="8" t="inlineStr">
        <is>
          <t>¥/吨</t>
        </is>
      </c>
      <c r="E15" s="16" t="n">
        <v>25</v>
      </c>
      <c r="F15" s="7" t="inlineStr">
        <is>
          <t>¥/t</t>
        </is>
      </c>
      <c r="G15" s="28">
        <f>IF(E15="","待查询",IF(E15=0,"0","已填"))</f>
        <v/>
      </c>
      <c r="H15" s="8" t="inlineStr">
        <is>
          <t>结汇/银行费、检验、认证、配额等</t>
        </is>
      </c>
      <c r="I15" s="29" t="inlineStr">
        <is>
          <t>卖方</t>
        </is>
      </c>
    </row>
    <row r="16">
      <c r="A16" s="26" t="inlineStr">
        <is>
          <t>S9</t>
        </is>
      </c>
      <c r="B16" s="26" t="inlineStr">
        <is>
          <t>DEST_PORT</t>
        </is>
      </c>
      <c r="C16" s="27" t="inlineStr">
        <is>
          <t>目的港费用 / 目的地交货费用</t>
        </is>
      </c>
      <c r="D16" s="8" t="inlineStr">
        <is>
          <t>¥/吨</t>
        </is>
      </c>
      <c r="E16" s="16" t="n"/>
      <c r="F16" s="7" t="inlineStr">
        <is>
          <t>¥/t</t>
        </is>
      </c>
      <c r="G16" s="28">
        <f>IF(E16="","待查询",IF(E16=0,"0","已填"))</f>
        <v/>
      </c>
      <c r="H16" s="8" t="inlineStr">
        <is>
          <t>仅 DAP/DPU/DDP 由卖方承担，F/C 组不计入</t>
        </is>
      </c>
      <c r="I16" s="29" t="inlineStr">
        <is>
          <t>卖方(D组)/买方(F/C组)</t>
        </is>
      </c>
    </row>
    <row r="17"/>
    <row r="18">
      <c r="A18" s="10" t="inlineStr">
        <is>
          <t>说明</t>
        </is>
      </c>
      <c r="B18" s="33" t="inlineStr">
        <is>
          <t>• 黄色=待填，紫色=SIMULATED 模拟值，浅蓝=公式。空单元格在后续表中显示「待查询」。
• 海运费两种录入口径：柜价（USD/柜）+ 装柜吨数 → 自动折 ¥/t；或直接把 ¥/t 填到 FREIGHT 行（覆盖公式）。
• 保险费在 04 表按 CIF 自洽式求解，原因见 04 表脚注：用 CFR×费率会系统性低估保费。</t>
        </is>
      </c>
    </row>
    <row r="19"/>
    <row r="20"/>
    <row r="21"/>
    <row r="22"/>
    <row r="23"/>
  </sheetData>
  <mergeCells count="3">
    <mergeCell ref="A1:I1"/>
    <mergeCell ref="B18:I22"/>
    <mergeCell ref="A2:I2"/>
  </mergeCells>
  <pageMargins left="0.75" right="0.75" top="1" bottom="1" header="0.5" footer="0.5"/>
  <pageSetup orientation="landscape" fitToWidth="1"/>
</worksheet>
</file>

<file path=xl/worksheets/sheet4.xml><?xml version="1.0" encoding="utf-8"?>
<worksheet xmlns="http://schemas.openxmlformats.org/spreadsheetml/2006/main">
  <sheetPr>
    <tabColor rgb="0022C98A"/>
    <outlinePr summaryBelow="1" summaryRight="1"/>
    <pageSetUpPr fitToPage="1"/>
  </sheetPr>
  <dimension ref="A1:F30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0" customWidth="1" min="1" max="1"/>
    <col width="10" customWidth="1" min="2" max="2"/>
    <col width="46" customWidth="1" min="3" max="3"/>
    <col width="18" customWidth="1" min="4" max="4"/>
    <col width="20" customWidth="1" min="5" max="5"/>
    <col width="10" customWidth="1" min="6" max="6"/>
  </cols>
  <sheetData>
    <row r="1" ht="34" customHeight="1">
      <c r="A1" s="1" t="inlineStr">
        <is>
          <t>04 术语成本推导（公式驱动）</t>
        </is>
      </c>
    </row>
    <row r="2" ht="22" customHeight="1">
      <c r="A2" s="2" t="inlineStr">
        <is>
          <t>从费用链逐层累加：FOB → CFR → CIF；保险费按 CIF×110% 自洽求解</t>
        </is>
      </c>
    </row>
    <row r="4" ht="30" customHeight="1">
      <c r="A4" s="4" t="inlineStr">
        <is>
          <t>项目</t>
        </is>
      </c>
      <c r="B4" s="4" t="inlineStr">
        <is>
          <t>符号</t>
        </is>
      </c>
      <c r="C4" s="4" t="inlineStr">
        <is>
          <t>公式 / 说明</t>
        </is>
      </c>
      <c r="D4" s="4" t="inlineStr">
        <is>
          <t>金额（¥/吨）</t>
        </is>
      </c>
      <c r="E4" s="4" t="inlineStr">
        <is>
          <t>校验</t>
        </is>
      </c>
      <c r="F4" s="4" t="inlineStr"/>
    </row>
    <row r="5" ht="22" customHeight="1">
      <c r="A5" s="3" t="inlineStr">
        <is>
          <t>一、成本段合计</t>
        </is>
      </c>
    </row>
    <row r="6">
      <c r="A6" s="5" t="inlineStr">
        <is>
          <t>出厂价</t>
        </is>
      </c>
      <c r="B6" s="26" t="inlineStr">
        <is>
          <t>S1</t>
        </is>
      </c>
      <c r="C6" s="8" t="inlineStr">
        <is>
          <t>03 费用明细 · EXW</t>
        </is>
      </c>
      <c r="D6" s="14">
        <f>'03 费用明细'!$E$5</f>
        <v/>
      </c>
    </row>
    <row r="7">
      <c r="A7" s="5" t="inlineStr">
        <is>
          <t>包装</t>
        </is>
      </c>
      <c r="B7" s="26" t="inlineStr">
        <is>
          <t>S2</t>
        </is>
      </c>
      <c r="C7" s="8" t="inlineStr">
        <is>
          <t>03 费用明细 · PKG</t>
        </is>
      </c>
      <c r="D7" s="14">
        <f>'03 费用明细'!$E$6</f>
        <v/>
      </c>
    </row>
    <row r="8">
      <c r="A8" s="5" t="inlineStr">
        <is>
          <t>内陆运输</t>
        </is>
      </c>
      <c r="B8" s="26" t="inlineStr">
        <is>
          <t>S3</t>
        </is>
      </c>
      <c r="C8" s="8" t="inlineStr">
        <is>
          <t>03 费用明细 · INLAND</t>
        </is>
      </c>
      <c r="D8" s="14">
        <f>'03 费用明细'!$E$7</f>
        <v/>
      </c>
    </row>
    <row r="9">
      <c r="A9" s="5" t="inlineStr">
        <is>
          <t>港口及报关</t>
        </is>
      </c>
      <c r="B9" s="26" t="inlineStr">
        <is>
          <t>S4</t>
        </is>
      </c>
      <c r="C9" s="8" t="inlineStr">
        <is>
          <t>03 费用明细 · PORT</t>
        </is>
      </c>
      <c r="D9" s="14">
        <f>'03 费用明细'!$E$8</f>
        <v/>
      </c>
    </row>
    <row r="10">
      <c r="A10" s="5" t="inlineStr">
        <is>
          <t>海运费</t>
        </is>
      </c>
      <c r="B10" s="26" t="inlineStr">
        <is>
          <t>S5</t>
        </is>
      </c>
      <c r="C10" s="8" t="inlineStr">
        <is>
          <t>'=USD/柜 × 汇率 ÷ 装柜吨数</t>
        </is>
      </c>
      <c r="D10" s="14">
        <f>'03 费用明细'!$E$11</f>
        <v/>
      </c>
    </row>
    <row r="11">
      <c r="A11" s="5" t="inlineStr">
        <is>
          <t>出口税费</t>
        </is>
      </c>
      <c r="B11" s="26" t="inlineStr">
        <is>
          <t>S7</t>
        </is>
      </c>
      <c r="C11" s="8" t="inlineStr">
        <is>
          <t>03 费用明细 · EXPORT_TAX</t>
        </is>
      </c>
      <c r="D11" s="14">
        <f>'03 费用明细'!$E$14</f>
        <v/>
      </c>
    </row>
    <row r="12">
      <c r="A12" s="5" t="inlineStr">
        <is>
          <t>其他出口费用</t>
        </is>
      </c>
      <c r="B12" s="26" t="inlineStr">
        <is>
          <t>S8</t>
        </is>
      </c>
      <c r="C12" s="8" t="inlineStr">
        <is>
          <t>03 费用明细 · OTHER</t>
        </is>
      </c>
      <c r="D12" s="14">
        <f>'03 费用明细'!$E$15</f>
        <v/>
      </c>
    </row>
    <row r="13">
      <c r="A13" s="5" t="inlineStr">
        <is>
          <t>保险费</t>
        </is>
      </c>
      <c r="B13" s="26" t="inlineStr">
        <is>
          <t>S6</t>
        </is>
      </c>
      <c r="C13" s="8" t="inlineStr">
        <is>
          <t>'= CFR × 1.10r /(1 − 1.10r)，r=保险费率（自洽解）</t>
        </is>
      </c>
      <c r="D13" s="14">
        <f>IF(OR('03 费用明细'!$E$12="",NOT(ISNUMBER('04 术语成本'!$D$10))),"",IFERROR(MAX(('04 术语成本'!$D$10+'04 术语成本'!$D$6+'04 术语成本'!$D$7+'04 术语成本'!$D$8+'04 术语成本'!$D$9+'04 术语成本'!$D$11+'04 术语成本'!$D$12)*(1.1*('03 费用明细'!$E$12/100))/(1-1.1*('03 费用明细'!$E$12/100)),IFERROR('03 费用明细'!$E$13/'01 基础参数'!$B$15,0)),""))</f>
        <v/>
      </c>
    </row>
    <row r="14">
      <c r="A14" s="5" t="inlineStr">
        <is>
          <t>目的地及进口环节</t>
        </is>
      </c>
      <c r="B14" s="26" t="inlineStr">
        <is>
          <t>S9</t>
        </is>
      </c>
      <c r="C14" s="8" t="inlineStr">
        <is>
          <t>03 费用明细 · DEST_PORT（仅 D 组）</t>
        </is>
      </c>
      <c r="D14" s="14">
        <f>'03 费用明细'!$E$16</f>
        <v/>
      </c>
    </row>
    <row r="16" ht="22" customHeight="1">
      <c r="A16" s="3" t="inlineStr">
        <is>
          <t>二、术语成本（费用不重复）</t>
        </is>
      </c>
    </row>
    <row r="17">
      <c r="A17" s="5" t="inlineStr">
        <is>
          <t>FOB 成本</t>
        </is>
      </c>
      <c r="B17" s="26" t="inlineStr">
        <is>
          <t>CFOB</t>
        </is>
      </c>
      <c r="C17" s="8" t="inlineStr">
        <is>
          <t>S1+S2+S3+S4+S7+S8</t>
        </is>
      </c>
      <c r="D17" s="14">
        <f>IFERROR('04 术语成本'!$D$6+'04 术语成本'!$D$7+'04 术语成本'!$D$8+'04 术语成本'!$D$9+'04 术语成本'!$D$11+'04 术语成本'!$D$12,"")</f>
        <v/>
      </c>
    </row>
    <row r="18">
      <c r="A18" s="5" t="inlineStr">
        <is>
          <t>CFR 成本</t>
        </is>
      </c>
      <c r="B18" s="26" t="inlineStr">
        <is>
          <t>CCFR</t>
        </is>
      </c>
      <c r="C18" s="8" t="inlineStr">
        <is>
          <t>CFOB + S5</t>
        </is>
      </c>
      <c r="D18" s="14">
        <f>IFERROR('04 术语成本'!$D$17+'04 术语成本'!$D$10,"")</f>
        <v/>
      </c>
    </row>
    <row r="19">
      <c r="A19" s="5" t="inlineStr">
        <is>
          <t>CIF 成本</t>
        </is>
      </c>
      <c r="B19" s="26" t="inlineStr">
        <is>
          <t>CCIF</t>
        </is>
      </c>
      <c r="C19" s="8" t="inlineStr">
        <is>
          <t>CCFR + S6</t>
        </is>
      </c>
      <c r="D19" s="14">
        <f>IFERROR('04 术语成本'!$D$18+'04 术语成本'!$D$13,"")</f>
        <v/>
      </c>
    </row>
    <row r="20">
      <c r="A20" s="5" t="inlineStr">
        <is>
          <t>FCA 成本（卖方场所）</t>
        </is>
      </c>
      <c r="B20" s="26" t="inlineStr">
        <is>
          <t>CFCA</t>
        </is>
      </c>
      <c r="C20" s="8" t="inlineStr">
        <is>
          <t>S1+S2（出口清关费另计）</t>
        </is>
      </c>
      <c r="D20" s="14">
        <f>IFERROR('04 术语成本'!$D$6+'04 术语成本'!$D$7,"")</f>
        <v/>
      </c>
    </row>
    <row r="22">
      <c r="A22" s="5" t="inlineStr">
        <is>
          <t>恒等式校验</t>
        </is>
      </c>
      <c r="B22" s="34">
        <f>IF(AND(ISNUMBER('04 术语成本'!$D$18),ISNUMBER('04 术语成本'!$D$17),ISNUMBER('04 术语成本'!$D$10)),IF(ABS('04 术语成本'!$D$18-('04 术语成本'!$D$17+'04 术语成本'!$D$10))&lt;0.000001,"✓ CFR = FOB + 运费","✗ CFR 校验失败"),"— 待补数据")</f>
        <v/>
      </c>
    </row>
    <row r="23">
      <c r="A23" s="5" t="inlineStr">
        <is>
          <t>恒等式校验</t>
        </is>
      </c>
      <c r="B23" s="34">
        <f>IF(AND(ISNUMBER('04 术语成本'!$D$19),ISNUMBER('04 术语成本'!$D$18),ISNUMBER('04 术语成本'!$D$13)),IF(ABS('04 术语成本'!$D$19-('04 术语成本'!$D$18+'04 术语成本'!$D$13))&lt;0.000001,"✓ CIF = CFR + 保险费","✗ CIF 校验失败"),"— 待补数据")</f>
        <v/>
      </c>
    </row>
    <row r="24">
      <c r="A24" s="5" t="inlineStr">
        <is>
          <t>恒等式校验</t>
        </is>
      </c>
      <c r="B24" s="34">
        <f>IF(AND(ISNUMBER('04 术语成本'!$D$13),ISNUMBER('03 费用明细'!$E$12)),IF(ABS('04 术语成本'!$D$13-IFERROR('04 术语成本'!$D$19*1.1*'03 费用明细'!$E$12,0))&lt;0.0001,"✓ 保险费 = CIF × 110% × 费率","✗ 保险费校验失败"),"— 待补数据")</f>
        <v/>
      </c>
    </row>
    <row r="26">
      <c r="A26" s="18" t="inlineStr">
        <is>
          <t>为什么保险费不能用 CFR × 费率？
CIF 条款下投保金额 = 合同价值（即 CIF 价）× 110%，而 CIF 价本身含保险费——这是一个方程而非一次乘法：
    CCIF = CCFR + 1.10 × r × CCIF    ⇒    CCIF = CCFR / (1 − 1.10r)    保险费 = 1.10 r × CCIF
若按 CFR × 费率，会系统性低估。r=0.3% 时，低估幅度约 0.33%；r 越高差距越大。
注：本式假设保费基于整票 CIF 金额；若保单设有最低保费，则按 最低保费 ÷ 数量 分摊（MAX 已内置）。</t>
        </is>
      </c>
    </row>
    <row r="27"/>
    <row r="28"/>
    <row r="29"/>
    <row r="30"/>
  </sheetData>
  <mergeCells count="8">
    <mergeCell ref="A2:F2"/>
    <mergeCell ref="A16:F16"/>
    <mergeCell ref="B24:F24"/>
    <mergeCell ref="A1:F1"/>
    <mergeCell ref="A5:F5"/>
    <mergeCell ref="A26:F30"/>
    <mergeCell ref="B23:F23"/>
    <mergeCell ref="B22:F22"/>
  </mergeCells>
  <pageMargins left="0.75" right="0.75" top="1" bottom="1" header="0.5" footer="0.5"/>
  <pageSetup orientation="landscape" fitToWidth="1"/>
</worksheet>
</file>

<file path=xl/worksheets/sheet5.xml><?xml version="1.0" encoding="utf-8"?>
<worksheet xmlns="http://schemas.openxmlformats.org/spreadsheetml/2006/main">
  <sheetPr>
    <tabColor rgb="00FFB020"/>
    <outlinePr summaryBelow="1" summaryRight="1"/>
    <pageSetUpPr fitToPage="1"/>
  </sheetPr>
  <dimension ref="A1:I1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20" customWidth="1" min="3" max="3"/>
    <col width="11" customWidth="1" min="4" max="4"/>
    <col width="11" customWidth="1" min="5" max="5"/>
    <col width="14" customWidth="1" min="6" max="6"/>
    <col width="14" customWidth="1" min="7" max="7"/>
    <col width="16" customWidth="1" min="8" max="8"/>
    <col width="14" customWidth="1" min="9" max="9"/>
  </cols>
  <sheetData>
    <row r="1" ht="34" customHeight="1">
      <c r="A1" s="1" t="inlineStr">
        <is>
          <t>05 三术语报价（人民币 + 外币）</t>
        </is>
      </c>
    </row>
    <row r="2" ht="22" customHeight="1">
      <c r="A2" s="2" t="inlineStr">
        <is>
          <t>改 01/03 任一参数，本表自动重算；毛利口径与基准术语取自 01 表</t>
        </is>
      </c>
    </row>
    <row r="4" ht="30" customHeight="1">
      <c r="A4" s="4" t="inlineStr">
        <is>
          <t>术语</t>
        </is>
      </c>
      <c r="B4" s="4" t="inlineStr">
        <is>
          <t>成本 ¥/t</t>
        </is>
      </c>
      <c r="C4" s="4" t="inlineStr">
        <is>
          <t>毛利口径</t>
        </is>
      </c>
      <c r="D4" s="4" t="inlineStr">
        <is>
          <t>毛利率</t>
        </is>
      </c>
      <c r="E4" s="4" t="inlineStr">
        <is>
          <t>加成率</t>
        </is>
      </c>
      <c r="F4" s="4" t="inlineStr">
        <is>
          <t>单价 ¥/t</t>
        </is>
      </c>
      <c r="G4" s="4" t="inlineStr">
        <is>
          <t>单价外币/t</t>
        </is>
      </c>
      <c r="H4" s="4" t="inlineStr">
        <is>
          <t>总报价外币</t>
        </is>
      </c>
      <c r="I4" s="4" t="inlineStr">
        <is>
          <t>毛利总额 ¥</t>
        </is>
      </c>
    </row>
    <row r="5">
      <c r="A5" s="35" t="inlineStr">
        <is>
          <t>FCA</t>
        </is>
      </c>
      <c r="B5" s="14">
        <f>IFERROR('04 术语成本'!$D$20,"")</f>
        <v/>
      </c>
      <c r="C5" s="36">
        <f>IF('01 基础参数'!$B$31=A5,'01 基础参数'!$B$28,"同口径派生")</f>
        <v/>
      </c>
      <c r="D5" s="37">
        <f>IF(OR(NOT(ISNUMBER(F5)),F5=0),"",IF(NOT(ISNUMBER(B5)),"",(F5-B5)/F5))</f>
        <v/>
      </c>
      <c r="E5" s="37">
        <f>IF(OR(NOT(ISNUMBER(F5)),NOT(ISNUMBER(B5)),B5=0),"",(F5-B5)/B5)</f>
        <v/>
      </c>
      <c r="F5" s="38">
        <f>IF(NOT(ISNUMBER(B5)),"",IF('01 基础参数'!$B$28="直接定价",IF(ISNUMBER('01 基础参数'!$B$30),'01 基础参数'!$B$30,""),IF('01 基础参数'!$B$29="","",IF('01 基础参数'!$B$28="毛利率（按售价）",IFERROR(B5/(1-'01 基础参数'!$B$29),""),IFERROR(B5*(1+'01 基础参数'!$B$29),"")))))</f>
        <v/>
      </c>
      <c r="G5" s="38">
        <f>IF(OR(NOT(ISNUMBER(F5)),NOT(ISNUMBER('01 基础参数'!$B$25))),"",F5/'01 基础参数'!$B$25)</f>
        <v/>
      </c>
      <c r="H5" s="38">
        <f>IF(OR(G5="",NOT(ISNUMBER('01 基础参数'!$B$15))),"",G5*'01 基础参数'!$B$15)</f>
        <v/>
      </c>
      <c r="I5" s="38">
        <f>IF(OR(NOT(ISNUMBER(F5)),NOT(ISNUMBER(B5)),NOT(ISNUMBER('01 基础参数'!$B$15))),"",(F5-B5)*'01 基础参数'!$B$15)</f>
        <v/>
      </c>
    </row>
    <row r="6">
      <c r="A6" s="35" t="inlineStr">
        <is>
          <t>FOB</t>
        </is>
      </c>
      <c r="B6" s="14">
        <f>IFERROR('04 术语成本'!$D$17,"")</f>
        <v/>
      </c>
      <c r="C6" s="36">
        <f>IF('01 基础参数'!$B$31=A6,'01 基础参数'!$B$28,"同口径派生")</f>
        <v/>
      </c>
      <c r="D6" s="37">
        <f>IF(OR(NOT(ISNUMBER(F6)),F6=0),"",IF(NOT(ISNUMBER(B6)),"",(F6-B6)/F6))</f>
        <v/>
      </c>
      <c r="E6" s="37">
        <f>IF(OR(NOT(ISNUMBER(F6)),NOT(ISNUMBER(B6)),B6=0),"",(F6-B6)/B6)</f>
        <v/>
      </c>
      <c r="F6" s="38">
        <f>IF(NOT(ISNUMBER(B6)),"",IF('01 基础参数'!$B$28="直接定价",IF(ISNUMBER('01 基础参数'!$B$30),'01 基础参数'!$B$30,""),IF('01 基础参数'!$B$29="","",IF('01 基础参数'!$B$28="毛利率（按售价）",IFERROR(B6/(1-'01 基础参数'!$B$29),""),IFERROR(B6*(1+'01 基础参数'!$B$29),"")))))</f>
        <v/>
      </c>
      <c r="G6" s="38">
        <f>IF(OR(NOT(ISNUMBER(F6)),NOT(ISNUMBER('01 基础参数'!$B$25))),"",F6/'01 基础参数'!$B$25)</f>
        <v/>
      </c>
      <c r="H6" s="38">
        <f>IF(OR(G6="",NOT(ISNUMBER('01 基础参数'!$B$15))),"",G6*'01 基础参数'!$B$15)</f>
        <v/>
      </c>
      <c r="I6" s="38">
        <f>IF(OR(NOT(ISNUMBER(F6)),NOT(ISNUMBER(B6)),NOT(ISNUMBER('01 基础参数'!$B$15))),"",(F6-B6)*'01 基础参数'!$B$15)</f>
        <v/>
      </c>
    </row>
    <row r="7">
      <c r="A7" s="35" t="inlineStr">
        <is>
          <t>CFR</t>
        </is>
      </c>
      <c r="B7" s="14">
        <f>IFERROR('04 术语成本'!$D$18,"")</f>
        <v/>
      </c>
      <c r="C7" s="36">
        <f>IF('01 基础参数'!$B$31=A7,'01 基础参数'!$B$28,"同口径派生")</f>
        <v/>
      </c>
      <c r="D7" s="37">
        <f>IF(OR(NOT(ISNUMBER(F7)),F7=0),"",IF(NOT(ISNUMBER(B7)),"",(F7-B7)/F7))</f>
        <v/>
      </c>
      <c r="E7" s="37">
        <f>IF(OR(NOT(ISNUMBER(F7)),NOT(ISNUMBER(B7)),B7=0),"",(F7-B7)/B7)</f>
        <v/>
      </c>
      <c r="F7" s="38">
        <f>IF(NOT(ISNUMBER(B7)),"",IF('01 基础参数'!$B$28="直接定价",IF(ISNUMBER('01 基础参数'!$B$30),'01 基础参数'!$B$30,""),IF('01 基础参数'!$B$29="","",IF('01 基础参数'!$B$28="毛利率（按售价）",IFERROR(B7/(1-'01 基础参数'!$B$29),""),IFERROR(B7*(1+'01 基础参数'!$B$29),"")))))</f>
        <v/>
      </c>
      <c r="G7" s="38">
        <f>IF(OR(NOT(ISNUMBER(F7)),NOT(ISNUMBER('01 基础参数'!$B$25))),"",F7/'01 基础参数'!$B$25)</f>
        <v/>
      </c>
      <c r="H7" s="38">
        <f>IF(OR(G7="",NOT(ISNUMBER('01 基础参数'!$B$15))),"",G7*'01 基础参数'!$B$15)</f>
        <v/>
      </c>
      <c r="I7" s="38">
        <f>IF(OR(NOT(ISNUMBER(F7)),NOT(ISNUMBER(B7)),NOT(ISNUMBER('01 基础参数'!$B$15))),"",(F7-B7)*'01 基础参数'!$B$15)</f>
        <v/>
      </c>
    </row>
    <row r="8">
      <c r="A8" s="35" t="inlineStr">
        <is>
          <t>CIF</t>
        </is>
      </c>
      <c r="B8" s="14">
        <f>IFERROR('04 术语成本'!$D$19,"")</f>
        <v/>
      </c>
      <c r="C8" s="36">
        <f>IF('01 基础参数'!$B$31=A8,'01 基础参数'!$B$28,"同口径派生")</f>
        <v/>
      </c>
      <c r="D8" s="37">
        <f>IF(OR(NOT(ISNUMBER(F8)),F8=0),"",IF(NOT(ISNUMBER(B8)),"",(F8-B8)/F8))</f>
        <v/>
      </c>
      <c r="E8" s="37">
        <f>IF(OR(NOT(ISNUMBER(F8)),NOT(ISNUMBER(B8)),B8=0),"",(F8-B8)/B8)</f>
        <v/>
      </c>
      <c r="F8" s="38">
        <f>IF(NOT(ISNUMBER(B8)),"",IF('01 基础参数'!$B$28="直接定价",IF(ISNUMBER('01 基础参数'!$B$30),'01 基础参数'!$B$30,""),IF('01 基础参数'!$B$29="","",IF('01 基础参数'!$B$28="毛利率（按售价）",IFERROR(B8/(1-'01 基础参数'!$B$29),""),IFERROR(B8*(1+'01 基础参数'!$B$29),"")))))</f>
        <v/>
      </c>
      <c r="G8" s="38">
        <f>IF(OR(NOT(ISNUMBER(F8)),NOT(ISNUMBER('01 基础参数'!$B$25))),"",F8/'01 基础参数'!$B$25)</f>
        <v/>
      </c>
      <c r="H8" s="38">
        <f>IF(OR(G8="",NOT(ISNUMBER('01 基础参数'!$B$15))),"",G8*'01 基础参数'!$B$15)</f>
        <v/>
      </c>
      <c r="I8" s="38">
        <f>IF(OR(NOT(ISNUMBER(F8)),NOT(ISNUMBER(B8)),NOT(ISNUMBER('01 基础参数'!$B$15))),"",(F8-B8)*'01 基础参数'!$B$15)</f>
        <v/>
      </c>
    </row>
    <row r="10" ht="22" customHeight="1">
      <c r="A10" s="3" t="inlineStr">
        <is>
          <t>数量与汇率（引用 01 表）</t>
        </is>
      </c>
    </row>
    <row r="11">
      <c r="A11" s="5" t="inlineStr">
        <is>
          <t>数量(吨)</t>
        </is>
      </c>
      <c r="B11" s="14">
        <f>'01 基础参数'!$B$15</f>
        <v/>
      </c>
    </row>
    <row r="12">
      <c r="A12" s="5" t="inlineStr">
        <is>
          <t>报价币种</t>
        </is>
      </c>
      <c r="B12" s="39">
        <f>'01 基础参数'!$B$24</f>
        <v/>
      </c>
    </row>
    <row r="13">
      <c r="A13" s="5" t="inlineStr">
        <is>
          <t>汇率</t>
        </is>
      </c>
      <c r="B13" s="14">
        <f>'01 基础参数'!$B$25</f>
        <v/>
      </c>
    </row>
    <row r="14">
      <c r="A14" s="5" t="inlineStr">
        <is>
          <t>毛利基准术语</t>
        </is>
      </c>
      <c r="B14" s="39">
        <f>'01 基础参数'!$B$31</f>
        <v/>
      </c>
    </row>
    <row r="16">
      <c r="A16" s="18" t="inlineStr">
        <is>
          <t>读法：① 成本列来自 04 表；② 毛利只对「基准术语」那一行生效（01 表设定），其余术语按同一成本链派生；
③ 若某术语成本为「待查询」（海运费/保险费缺失），该行单价与外币价都会留空——系统不会用 0 或估算值顶替。
④ 「直接定价」模式下，四行都用同一个手工单价（你输入的价格，系统不评判高低）。</t>
        </is>
      </c>
    </row>
    <row r="17"/>
    <row r="18"/>
    <row r="19"/>
  </sheetData>
  <mergeCells count="4">
    <mergeCell ref="A1:I1"/>
    <mergeCell ref="A2:I2"/>
    <mergeCell ref="A16:I19"/>
    <mergeCell ref="A10:I10"/>
  </mergeCells>
  <pageMargins left="0.75" right="0.75" top="1" bottom="1" header="0.5" footer="0.5"/>
  <pageSetup orientation="landscape" fitToWidth="1"/>
</worksheet>
</file>

<file path=xl/worksheets/sheet6.xml><?xml version="1.0" encoding="utf-8"?>
<worksheet xmlns="http://schemas.openxmlformats.org/spreadsheetml/2006/main">
  <sheetPr>
    <tabColor rgb="00FFD166"/>
    <outlinePr summaryBelow="1" summaryRight="1"/>
    <pageSetUpPr fitToPage="1"/>
  </sheetPr>
  <dimension ref="A1:G11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14" customWidth="1" min="3" max="3"/>
    <col width="14" customWidth="1" min="4" max="4"/>
    <col width="14" customWidth="1" min="5" max="5"/>
    <col width="18" customWidth="1" min="6" max="6"/>
    <col width="34" customWidth="1" min="7" max="7"/>
  </cols>
  <sheetData>
    <row r="1" ht="34" customHeight="1">
      <c r="A1" s="1" t="inlineStr">
        <is>
          <t>06 汇率换算与外币报价</t>
        </is>
      </c>
    </row>
    <row r="2" ht="22" customHeight="1">
      <c r="A2" s="2" t="inlineStr">
        <is>
          <t>由 01 表汇率驱动；可在此做多币种对照（汇率仍由你录入）</t>
        </is>
      </c>
    </row>
    <row r="4" ht="30" customHeight="1">
      <c r="A4" s="4" t="inlineStr">
        <is>
          <t>币种</t>
        </is>
      </c>
      <c r="B4" s="4" t="inlineStr">
        <is>
          <t>汇率 CNY/1</t>
        </is>
      </c>
      <c r="C4" s="4" t="inlineStr">
        <is>
          <t>FOB 外币/t</t>
        </is>
      </c>
      <c r="D4" s="4" t="inlineStr">
        <is>
          <t>CFR 外币/t</t>
        </is>
      </c>
      <c r="E4" s="4" t="inlineStr">
        <is>
          <t>CIF 外币/t</t>
        </is>
      </c>
      <c r="F4" s="4" t="inlineStr">
        <is>
          <t>CIF 总额（外币）</t>
        </is>
      </c>
      <c r="G4" s="4" t="inlineStr">
        <is>
          <t>备注</t>
        </is>
      </c>
    </row>
    <row r="5">
      <c r="A5" s="35" t="inlineStr">
        <is>
          <t>USD</t>
        </is>
      </c>
      <c r="B5" s="14">
        <f>'01 基础参数'!$B$20</f>
        <v/>
      </c>
      <c r="C5" s="38">
        <f>IF(OR(NOT(ISNUMBER(B5)),NOT(ISNUMBER('05 FOB-CFR-CIF报价'!$F$6))),"",'05 FOB-CFR-CIF报价'!$F$6/B5)</f>
        <v/>
      </c>
      <c r="D5" s="38">
        <f>IF(OR(NOT(ISNUMBER(B5)),NOT(ISNUMBER('05 FOB-CFR-CIF报价'!$F$7))),"",'05 FOB-CFR-CIF报价'!$F$7/B5)</f>
        <v/>
      </c>
      <c r="E5" s="38">
        <f>IF(OR(NOT(ISNUMBER(B5)),NOT(ISNUMBER('05 FOB-CFR-CIF报价'!$F$8))),"",'05 FOB-CFR-CIF报价'!$F$8/B5)</f>
        <v/>
      </c>
      <c r="F5" s="38">
        <f>IF(OR(E5="",NOT(ISNUMBER('01 基础参数'!$B$15))),"",E5*'01 基础参数'!$B$15)</f>
        <v/>
      </c>
      <c r="G5" s="10" t="inlineStr">
        <is>
          <t>外币单价 = 人民币单价 ÷ 汇率</t>
        </is>
      </c>
    </row>
    <row r="6">
      <c r="A6" s="35" t="inlineStr">
        <is>
          <t>EUR</t>
        </is>
      </c>
      <c r="B6" s="14">
        <f>'01 基础参数'!$B$21</f>
        <v/>
      </c>
      <c r="C6" s="38">
        <f>IF(OR(NOT(ISNUMBER(B6)),NOT(ISNUMBER('05 FOB-CFR-CIF报价'!$F$6))),"",'05 FOB-CFR-CIF报价'!$F$6/B6)</f>
        <v/>
      </c>
      <c r="D6" s="38">
        <f>IF(OR(NOT(ISNUMBER(B6)),NOT(ISNUMBER('05 FOB-CFR-CIF报价'!$F$7))),"",'05 FOB-CFR-CIF报价'!$F$7/B6)</f>
        <v/>
      </c>
      <c r="E6" s="38">
        <f>IF(OR(NOT(ISNUMBER(B6)),NOT(ISNUMBER('05 FOB-CFR-CIF报价'!$F$8))),"",'05 FOB-CFR-CIF报价'!$F$8/B6)</f>
        <v/>
      </c>
      <c r="F6" s="38">
        <f>IF(OR(E6="",NOT(ISNUMBER('01 基础参数'!$B$15))),"",E6*'01 基础参数'!$B$15)</f>
        <v/>
      </c>
      <c r="G6" s="10" t="inlineStr"/>
    </row>
    <row r="7">
      <c r="A7" s="35" t="inlineStr">
        <is>
          <t>IDR</t>
        </is>
      </c>
      <c r="B7" s="40">
        <f>'01 基础参数'!$B$22</f>
        <v/>
      </c>
      <c r="C7" s="38">
        <f>IF(OR(NOT(ISNUMBER(B7)),NOT(ISNUMBER('05 FOB-CFR-CIF报价'!$F$6))),"",'05 FOB-CFR-CIF报价'!$F$6/B7)</f>
        <v/>
      </c>
      <c r="D7" s="38">
        <f>IF(OR(NOT(ISNUMBER(B7)),NOT(ISNUMBER('05 FOB-CFR-CIF报价'!$F$7))),"",'05 FOB-CFR-CIF报价'!$F$7/B7)</f>
        <v/>
      </c>
      <c r="E7" s="38">
        <f>IF(OR(NOT(ISNUMBER(B7)),NOT(ISNUMBER('05 FOB-CFR-CIF报价'!$F$8))),"",'05 FOB-CFR-CIF报价'!$F$8/B7)</f>
        <v/>
      </c>
      <c r="F7" s="38">
        <f>IF(OR(E7="",NOT(ISNUMBER('01 基础参数'!$B$15))),"",E7*'01 基础参数'!$B$15)</f>
        <v/>
      </c>
      <c r="G7" s="10" t="inlineStr"/>
    </row>
    <row r="9">
      <c r="A9" s="18" t="inlineStr">
        <is>
          <t>换算口径：外币单价 = 人民币单价 ÷（CNY/1 外币）。汇率由 01 表提供，系统不取中间价或实时牌价。
若实际结汇采用不同汇率（如远期锁汇价、银行买入价），请把该汇率填进 01 表，而不是事后手工改外币单价。
IDR 小数位较多，建议同时保留人民币价与美元价，避免印尼盾报价尾差。</t>
        </is>
      </c>
    </row>
    <row r="10"/>
    <row r="11"/>
  </sheetData>
  <mergeCells count="3">
    <mergeCell ref="A2:G2"/>
    <mergeCell ref="A1:G1"/>
    <mergeCell ref="A9:G11"/>
  </mergeCells>
  <pageMargins left="0.75" right="0.75" top="1" bottom="1" header="0.5" footer="0.5"/>
  <pageSetup orientation="landscape" fitToWidth="1"/>
</worksheet>
</file>

<file path=xl/worksheets/sheet7.xml><?xml version="1.0" encoding="utf-8"?>
<worksheet xmlns="http://schemas.openxmlformats.org/spreadsheetml/2006/main">
  <sheetPr>
    <tabColor rgb="00C084FC"/>
    <outlinePr summaryBelow="1" summaryRight="1"/>
    <pageSetUpPr fitToPage="1"/>
  </sheetPr>
  <dimension ref="A1:F27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6" customWidth="1" min="1" max="1"/>
    <col width="40" customWidth="1" min="2" max="2"/>
    <col width="14" customWidth="1" min="3" max="3"/>
    <col width="44" customWidth="1" min="4" max="4"/>
    <col width="8" customWidth="1" min="5" max="5"/>
    <col width="8" customWidth="1" min="6" max="6"/>
  </cols>
  <sheetData>
    <row r="1" ht="34" customHeight="1">
      <c r="A1" s="1" t="inlineStr">
        <is>
          <t>07 毛利与加价测算</t>
        </is>
      </c>
    </row>
    <row r="2" ht="22" customHeight="1">
      <c r="A2" s="2" t="inlineStr">
        <is>
          <t>毛利率 vs 成本加成率：两种口径的换算与陷阱</t>
        </is>
      </c>
    </row>
    <row r="4" ht="30" customHeight="1">
      <c r="A4" s="4" t="inlineStr">
        <is>
          <t>项目</t>
        </is>
      </c>
      <c r="B4" s="4" t="inlineStr">
        <is>
          <t>公式</t>
        </is>
      </c>
      <c r="C4" s="4" t="inlineStr">
        <is>
          <t>数值</t>
        </is>
      </c>
      <c r="D4" s="4" t="inlineStr">
        <is>
          <t>说明</t>
        </is>
      </c>
      <c r="E4" s="4" t="inlineStr"/>
      <c r="F4" s="4" t="inlineStr"/>
    </row>
    <row r="5">
      <c r="A5" s="5" t="inlineStr">
        <is>
          <t>基准术语</t>
        </is>
      </c>
      <c r="B5" s="10" t="inlineStr">
        <is>
          <t>'=01!毛利基准术语</t>
        </is>
      </c>
      <c r="C5" s="39">
        <f>'01 基础参数'!$B$31</f>
        <v/>
      </c>
    </row>
    <row r="6">
      <c r="A6" s="5" t="inlineStr">
        <is>
          <t>基准术语成本</t>
        </is>
      </c>
      <c r="B6" s="10" t="inlineStr">
        <is>
          <t>'=IF(基准=FOB, FOB成本, IF(基准=CFR, CFR成本, CIF成本))</t>
        </is>
      </c>
      <c r="C6" s="14">
        <f>IFERROR(CHOOSE(MATCH($C$5,{"FCA","FOB","CFR","CIF"},0),'04 术语成本'!$D$20,'04 术语成本'!$D$17,'04 术语成本'!$D$18,'04 术语成本'!$D$19),"")</f>
        <v/>
      </c>
    </row>
    <row r="7">
      <c r="A7" s="5" t="inlineStr">
        <is>
          <t>设定毛利（口径值）</t>
        </is>
      </c>
      <c r="B7" s="10" t="inlineStr">
        <is>
          <t>'=01!毛利数值</t>
        </is>
      </c>
      <c r="C7" s="37">
        <f>'01 基础参数'!$B$29</f>
        <v/>
      </c>
    </row>
    <row r="8">
      <c r="A8" s="5" t="inlineStr">
        <is>
          <t>若为毛利率 → 售价</t>
        </is>
      </c>
      <c r="B8" s="10" t="inlineStr">
        <is>
          <t>P = C / (1 − m)</t>
        </is>
      </c>
      <c r="C8" s="38">
        <f>IF(NOT(ISNUMBER(C6)),"",IFERROR(C6/(1-C7),""))</f>
        <v/>
      </c>
    </row>
    <row r="9">
      <c r="A9" s="5" t="inlineStr">
        <is>
          <t>若为加成率 → 售价</t>
        </is>
      </c>
      <c r="B9" s="10" t="inlineStr">
        <is>
          <t>P = C × (1 + k)</t>
        </is>
      </c>
      <c r="C9" s="38">
        <f>IF(NOT(ISNUMBER(C6)),"",C6*(1+C7))</f>
        <v/>
      </c>
    </row>
    <row r="10">
      <c r="A10" s="5" t="inlineStr">
        <is>
          <t>当前口径下的售价</t>
        </is>
      </c>
      <c r="B10" s="10" t="inlineStr">
        <is>
          <t>'=05 表对应术语单价</t>
        </is>
      </c>
      <c r="C10" s="38">
        <f>IFERROR(IF($C$5="CIF",'05 FOB-CFR-CIF报价'!$F$8,IF($C$5="CFR",'05 FOB-CFR-CIF报价'!$F$7,IF($C$5="FOB",'05 FOB-CFR-CIF报价'!$F$6,'05 FOB-CFR-CIF报价'!$F$5))),"")</f>
        <v/>
      </c>
    </row>
    <row r="12" ht="22" customHeight="1">
      <c r="A12" s="3" t="inlineStr">
        <is>
          <t>口径换算（同一个价格，两种表述）</t>
        </is>
      </c>
    </row>
    <row r="13" ht="30" customHeight="1">
      <c r="A13" s="4" t="inlineStr">
        <is>
          <t>毛利率 m</t>
        </is>
      </c>
      <c r="B13" s="4" t="inlineStr">
        <is>
          <t>对应加成率 k = m/(1−m)</t>
        </is>
      </c>
      <c r="C13" s="4" t="inlineStr">
        <is>
          <t>加成率 k</t>
        </is>
      </c>
      <c r="D13" s="4" t="inlineStr">
        <is>
          <t>对应毛利率 m = k/(1+k)</t>
        </is>
      </c>
      <c r="E13" s="4" t="inlineStr"/>
      <c r="F13" s="4" t="inlineStr"/>
    </row>
    <row r="14">
      <c r="A14" s="15" t="n">
        <v>0.03</v>
      </c>
      <c r="B14" s="37">
        <f>IF(OR(A14="",A14&gt;=1),"",A14/(1-A14))</f>
        <v/>
      </c>
      <c r="C14" s="15" t="n">
        <v>0.03</v>
      </c>
      <c r="D14" s="37">
        <f>IF(OR(C14="",C14&lt;=-1),"",C14/(1+C14))</f>
        <v/>
      </c>
    </row>
    <row r="15">
      <c r="A15" s="15" t="n">
        <v>0.05</v>
      </c>
      <c r="B15" s="37">
        <f>IF(OR(A15="",A15&gt;=1),"",A15/(1-A15))</f>
        <v/>
      </c>
      <c r="C15" s="15" t="n">
        <v>0.05</v>
      </c>
      <c r="D15" s="37">
        <f>IF(OR(C15="",C15&lt;=-1),"",C15/(1+C15))</f>
        <v/>
      </c>
    </row>
    <row r="16">
      <c r="A16" s="15" t="n">
        <v>0.08</v>
      </c>
      <c r="B16" s="37">
        <f>IF(OR(A16="",A16&gt;=1),"",A16/(1-A16))</f>
        <v/>
      </c>
      <c r="C16" s="15" t="n">
        <v>0.08</v>
      </c>
      <c r="D16" s="37">
        <f>IF(OR(C16="",C16&lt;=-1),"",C16/(1+C16))</f>
        <v/>
      </c>
    </row>
    <row r="17">
      <c r="A17" s="15" t="n">
        <v>0.1</v>
      </c>
      <c r="B17" s="37">
        <f>IF(OR(A17="",A17&gt;=1),"",A17/(1-A17))</f>
        <v/>
      </c>
      <c r="C17" s="15" t="n">
        <v>0.1</v>
      </c>
      <c r="D17" s="37">
        <f>IF(OR(C17="",C17&lt;=-1),"",C17/(1+C17))</f>
        <v/>
      </c>
    </row>
    <row r="18">
      <c r="A18" s="15" t="n">
        <v>0.15</v>
      </c>
      <c r="B18" s="37">
        <f>IF(OR(A18="",A18&gt;=1),"",A18/(1-A18))</f>
        <v/>
      </c>
      <c r="C18" s="15" t="n">
        <v>0.15</v>
      </c>
      <c r="D18" s="37">
        <f>IF(OR(C18="",C18&lt;=-1),"",C18/(1+C18))</f>
        <v/>
      </c>
    </row>
    <row r="19">
      <c r="A19" s="15" t="n">
        <v>0.2</v>
      </c>
      <c r="B19" s="37">
        <f>IF(OR(A19="",A19&gt;=1),"",A19/(1-A19))</f>
        <v/>
      </c>
      <c r="C19" s="15" t="n">
        <v>0.2</v>
      </c>
      <c r="D19" s="37">
        <f>IF(OR(C19="",C19&lt;=-1),"",C19/(1+C19))</f>
        <v/>
      </c>
    </row>
    <row r="20">
      <c r="A20" s="15" t="n">
        <v>0.3</v>
      </c>
      <c r="B20" s="37">
        <f>IF(OR(A20="",A20&gt;=1),"",A20/(1-A20))</f>
        <v/>
      </c>
      <c r="C20" s="15" t="n">
        <v>0.3</v>
      </c>
      <c r="D20" s="37">
        <f>IF(OR(C20="",C20&lt;=-1),"",C20/(1+C20))</f>
        <v/>
      </c>
    </row>
    <row r="22">
      <c r="A22" s="5" t="inlineStr">
        <is>
          <t>校验</t>
        </is>
      </c>
      <c r="B22" s="6" t="inlineStr">
        <is>
          <t>(1+加成率)(1−毛利率) 应 = 1</t>
        </is>
      </c>
      <c r="C22" s="40">
        <f>IF(NOT(ISNUMBER(C10)),"",IFERROR((1+((C10-C6)/C6))*(1-((C10-C6)/C10)),""))</f>
        <v/>
      </c>
    </row>
    <row r="24">
      <c r="A24" s="18" t="inlineStr">
        <is>
          <t>最常见的自伤：把「成本加成 8%」写成「毛利 8%」。C=100 时，加成 8% 售价 108，毛利率只有 7.41%；
反过来，要拿到 8% 毛利率，售价必须是 100/(1−8%) = 108.70（加成 8.70%）。按加成 8% 报价，每吨少赚 0.70。
谈「毛利几个点」时必须同时说清：① 哪种口径 ② 针对哪个术语（FOB 还是 CIF）③ 是否含退税。</t>
        </is>
      </c>
    </row>
    <row r="25"/>
    <row r="26"/>
    <row r="27"/>
  </sheetData>
  <mergeCells count="4">
    <mergeCell ref="A24:F27"/>
    <mergeCell ref="A2:F2"/>
    <mergeCell ref="A1:F1"/>
    <mergeCell ref="A12:F12"/>
  </mergeCells>
  <pageMargins left="0.75" right="0.75" top="1" bottom="1" header="0.5" footer="0.5"/>
  <pageSetup orientation="landscape" fitToWidth="1"/>
</worksheet>
</file>

<file path=xl/worksheets/sheet8.xml><?xml version="1.0" encoding="utf-8"?>
<worksheet xmlns="http://schemas.openxmlformats.org/spreadsheetml/2006/main">
  <sheetPr>
    <tabColor rgb="00FF5D6C"/>
    <outlinePr summaryBelow="1" summaryRight="1"/>
    <pageSetUpPr fitToPage="1"/>
  </sheetPr>
  <dimension ref="A1:H33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0" customWidth="1" min="8" max="8"/>
  </cols>
  <sheetData>
    <row r="1" ht="34" customHeight="1">
      <c r="A1" s="1" t="inlineStr">
        <is>
          <t>08 敏感性分析（运费 / 汇率 / 毛利）</t>
        </is>
      </c>
    </row>
    <row r="2" ht="22" customHeight="1">
      <c r="A2" s="2" t="inlineStr">
        <is>
          <t>一维情景：其余参数不变。表格全为公式，改 03 表任意项后自动重算</t>
        </is>
      </c>
    </row>
    <row r="4" ht="22" customHeight="1">
      <c r="A4" s="3" t="inlineStr">
        <is>
          <t>A. 海运费变动 → 三术语成本与报价（其余不变）</t>
        </is>
      </c>
    </row>
    <row r="5" ht="30" customHeight="1">
      <c r="A5" s="4" t="inlineStr">
        <is>
          <t>运费变动</t>
        </is>
      </c>
      <c r="B5" s="4" t="inlineStr">
        <is>
          <t>运费 ¥/t</t>
        </is>
      </c>
      <c r="C5" s="4" t="inlineStr">
        <is>
          <t>FOB 成本</t>
        </is>
      </c>
      <c r="D5" s="4" t="inlineStr">
        <is>
          <t>CFR 成本</t>
        </is>
      </c>
      <c r="E5" s="4" t="inlineStr">
        <is>
          <t>CIF 成本</t>
        </is>
      </c>
      <c r="F5" s="4" t="inlineStr">
        <is>
          <t>CIF 单价 ¥/t</t>
        </is>
      </c>
      <c r="G5" s="4" t="inlineStr">
        <is>
          <t>CIF 外币/t</t>
        </is>
      </c>
      <c r="H5" s="4" t="inlineStr">
        <is>
          <t>毛利率</t>
        </is>
      </c>
    </row>
    <row r="6">
      <c r="A6" s="41" t="n">
        <v>-0.2</v>
      </c>
      <c r="B6" s="14">
        <f>IF(NOT(ISNUMBER('04 术语成本'!$D$10)),"",'04 术语成本'!$D$10*(1+A6))</f>
        <v/>
      </c>
      <c r="C6" s="14">
        <f>IF(NOT(ISNUMBER('04 术语成本'!$D$17)),"",'04 术语成本'!$D$17)</f>
        <v/>
      </c>
      <c r="D6" s="14">
        <f>IF(NOT(ISNUMBER('04 术语成本'!$D$17)),"",'04 术语成本'!$D$17+'04 术语成本'!$D$10*(1+A6))</f>
        <v/>
      </c>
      <c r="E6" s="14">
        <f>IF(OR(NOT(ISNUMBER(D6)),NOT(ISNUMBER('03 费用明细'!$E$12))),"",IFERROR(D6/(1-1.1*('03 费用明细'!$E$12/100)),""))</f>
        <v/>
      </c>
      <c r="F6" s="38">
        <f>IF(NOT(ISNUMBER(E6)),"",IF('01 基础参数'!$B$28="直接定价",IF(ISNUMBER('01 基础参数'!$B$30),'01 基础参数'!$B$30,""),IF('01 基础参数'!$B$29="","",IF('01 基础参数'!$B$28="毛利率（按售价）",IFERROR(E6/(1-'01 基础参数'!$B$29),""),E6*(1+'01 基础参数'!$B$29)))))</f>
        <v/>
      </c>
      <c r="G6" s="38">
        <f>IF(OR(NOT(ISNUMBER(F6)),NOT(ISNUMBER('01 基础参数'!$B$25))),"",F6/'01 基础参数'!$B$25)</f>
        <v/>
      </c>
      <c r="H6" s="37">
        <f>IF(OR(NOT(ISNUMBER(F6)),NOT(ISNUMBER(E6)),F6=0),"",(F6-E6)/F6)</f>
        <v/>
      </c>
    </row>
    <row r="7">
      <c r="A7" s="41" t="n">
        <v>-0.1</v>
      </c>
      <c r="B7" s="14">
        <f>IF(NOT(ISNUMBER('04 术语成本'!$D$10)),"",'04 术语成本'!$D$10*(1+A7))</f>
        <v/>
      </c>
      <c r="C7" s="14">
        <f>IF(NOT(ISNUMBER('04 术语成本'!$D$17)),"",'04 术语成本'!$D$17)</f>
        <v/>
      </c>
      <c r="D7" s="14">
        <f>IF(NOT(ISNUMBER('04 术语成本'!$D$17)),"",'04 术语成本'!$D$17+'04 术语成本'!$D$10*(1+A7))</f>
        <v/>
      </c>
      <c r="E7" s="14">
        <f>IF(OR(NOT(ISNUMBER(D7)),NOT(ISNUMBER('03 费用明细'!$E$12))),"",IFERROR(D7/(1-1.1*('03 费用明细'!$E$12/100)),""))</f>
        <v/>
      </c>
      <c r="F7" s="38">
        <f>IF(NOT(ISNUMBER(E7)),"",IF('01 基础参数'!$B$28="直接定价",IF(ISNUMBER('01 基础参数'!$B$30),'01 基础参数'!$B$30,""),IF('01 基础参数'!$B$29="","",IF('01 基础参数'!$B$28="毛利率（按售价）",IFERROR(E7/(1-'01 基础参数'!$B$29),""),E7*(1+'01 基础参数'!$B$29)))))</f>
        <v/>
      </c>
      <c r="G7" s="38">
        <f>IF(OR(NOT(ISNUMBER(F7)),NOT(ISNUMBER('01 基础参数'!$B$25))),"",F7/'01 基础参数'!$B$25)</f>
        <v/>
      </c>
      <c r="H7" s="37">
        <f>IF(OR(NOT(ISNUMBER(F7)),NOT(ISNUMBER(E7)),F7=0),"",(F7-E7)/F7)</f>
        <v/>
      </c>
    </row>
    <row r="8">
      <c r="A8" s="41" t="n">
        <v>0</v>
      </c>
      <c r="B8" s="14">
        <f>IF(NOT(ISNUMBER('04 术语成本'!$D$10)),"",'04 术语成本'!$D$10*(1+A8))</f>
        <v/>
      </c>
      <c r="C8" s="14">
        <f>IF(NOT(ISNUMBER('04 术语成本'!$D$17)),"",'04 术语成本'!$D$17)</f>
        <v/>
      </c>
      <c r="D8" s="14">
        <f>IF(NOT(ISNUMBER('04 术语成本'!$D$17)),"",'04 术语成本'!$D$17+'04 术语成本'!$D$10*(1+A8))</f>
        <v/>
      </c>
      <c r="E8" s="14">
        <f>IF(OR(NOT(ISNUMBER(D8)),NOT(ISNUMBER('03 费用明细'!$E$12))),"",IFERROR(D8/(1-1.1*('03 费用明细'!$E$12/100)),""))</f>
        <v/>
      </c>
      <c r="F8" s="38">
        <f>IF(NOT(ISNUMBER(E8)),"",IF('01 基础参数'!$B$28="直接定价",IF(ISNUMBER('01 基础参数'!$B$30),'01 基础参数'!$B$30,""),IF('01 基础参数'!$B$29="","",IF('01 基础参数'!$B$28="毛利率（按售价）",IFERROR(E8/(1-'01 基础参数'!$B$29),""),E8*(1+'01 基础参数'!$B$29)))))</f>
        <v/>
      </c>
      <c r="G8" s="38">
        <f>IF(OR(NOT(ISNUMBER(F8)),NOT(ISNUMBER('01 基础参数'!$B$25))),"",F8/'01 基础参数'!$B$25)</f>
        <v/>
      </c>
      <c r="H8" s="37">
        <f>IF(OR(NOT(ISNUMBER(F8)),NOT(ISNUMBER(E8)),F8=0),"",(F8-E8)/F8)</f>
        <v/>
      </c>
    </row>
    <row r="9">
      <c r="A9" s="41" t="n">
        <v>0.1</v>
      </c>
      <c r="B9" s="14">
        <f>IF(NOT(ISNUMBER('04 术语成本'!$D$10)),"",'04 术语成本'!$D$10*(1+A9))</f>
        <v/>
      </c>
      <c r="C9" s="14">
        <f>IF(NOT(ISNUMBER('04 术语成本'!$D$17)),"",'04 术语成本'!$D$17)</f>
        <v/>
      </c>
      <c r="D9" s="14">
        <f>IF(NOT(ISNUMBER('04 术语成本'!$D$17)),"",'04 术语成本'!$D$17+'04 术语成本'!$D$10*(1+A9))</f>
        <v/>
      </c>
      <c r="E9" s="14">
        <f>IF(OR(NOT(ISNUMBER(D9)),NOT(ISNUMBER('03 费用明细'!$E$12))),"",IFERROR(D9/(1-1.1*('03 费用明细'!$E$12/100)),""))</f>
        <v/>
      </c>
      <c r="F9" s="38">
        <f>IF(NOT(ISNUMBER(E9)),"",IF('01 基础参数'!$B$28="直接定价",IF(ISNUMBER('01 基础参数'!$B$30),'01 基础参数'!$B$30,""),IF('01 基础参数'!$B$29="","",IF('01 基础参数'!$B$28="毛利率（按售价）",IFERROR(E9/(1-'01 基础参数'!$B$29),""),E9*(1+'01 基础参数'!$B$29)))))</f>
        <v/>
      </c>
      <c r="G9" s="38">
        <f>IF(OR(NOT(ISNUMBER(F9)),NOT(ISNUMBER('01 基础参数'!$B$25))),"",F9/'01 基础参数'!$B$25)</f>
        <v/>
      </c>
      <c r="H9" s="37">
        <f>IF(OR(NOT(ISNUMBER(F9)),NOT(ISNUMBER(E9)),F9=0),"",(F9-E9)/F9)</f>
        <v/>
      </c>
    </row>
    <row r="10">
      <c r="A10" s="41" t="n">
        <v>0.2</v>
      </c>
      <c r="B10" s="14">
        <f>IF(NOT(ISNUMBER('04 术语成本'!$D$10)),"",'04 术语成本'!$D$10*(1+A10))</f>
        <v/>
      </c>
      <c r="C10" s="14">
        <f>IF(NOT(ISNUMBER('04 术语成本'!$D$17)),"",'04 术语成本'!$D$17)</f>
        <v/>
      </c>
      <c r="D10" s="14">
        <f>IF(NOT(ISNUMBER('04 术语成本'!$D$17)),"",'04 术语成本'!$D$17+'04 术语成本'!$D$10*(1+A10))</f>
        <v/>
      </c>
      <c r="E10" s="14">
        <f>IF(OR(NOT(ISNUMBER(D10)),NOT(ISNUMBER('03 费用明细'!$E$12))),"",IFERROR(D10/(1-1.1*('03 费用明细'!$E$12/100)),""))</f>
        <v/>
      </c>
      <c r="F10" s="38">
        <f>IF(NOT(ISNUMBER(E10)),"",IF('01 基础参数'!$B$28="直接定价",IF(ISNUMBER('01 基础参数'!$B$30),'01 基础参数'!$B$30,""),IF('01 基础参数'!$B$29="","",IF('01 基础参数'!$B$28="毛利率（按售价）",IFERROR(E10/(1-'01 基础参数'!$B$29),""),E10*(1+'01 基础参数'!$B$29)))))</f>
        <v/>
      </c>
      <c r="G10" s="38">
        <f>IF(OR(NOT(ISNUMBER(F10)),NOT(ISNUMBER('01 基础参数'!$B$25))),"",F10/'01 基础参数'!$B$25)</f>
        <v/>
      </c>
      <c r="H10" s="37">
        <f>IF(OR(NOT(ISNUMBER(F10)),NOT(ISNUMBER(E10)),F10=0),"",(F10-E10)/F10)</f>
        <v/>
      </c>
    </row>
    <row r="13" ht="22" customHeight="1">
      <c r="A13" s="3" t="inlineStr">
        <is>
          <t>B. 汇率变动 → 外币单价（人民币成本不变，但外币计价运费/保费折人民币会变）</t>
        </is>
      </c>
    </row>
    <row r="14" ht="30" customHeight="1">
      <c r="A14" s="4" t="inlineStr">
        <is>
          <t>汇率变动</t>
        </is>
      </c>
      <c r="B14" s="4" t="inlineStr">
        <is>
          <t>汇率 CNY</t>
        </is>
      </c>
      <c r="C14" s="4" t="inlineStr">
        <is>
          <t>CIF 成本 ¥/t</t>
        </is>
      </c>
      <c r="D14" s="4" t="inlineStr">
        <is>
          <t>CIF 单价 ¥/t</t>
        </is>
      </c>
      <c r="E14" s="4" t="inlineStr">
        <is>
          <t>CIF 外币/t</t>
        </is>
      </c>
      <c r="F14" s="4" t="inlineStr">
        <is>
          <t>外币总额</t>
        </is>
      </c>
      <c r="G14" s="4" t="inlineStr"/>
      <c r="H14" s="4" t="inlineStr"/>
    </row>
    <row r="15">
      <c r="A15" s="41" t="n">
        <v>-0.1</v>
      </c>
      <c r="B15" s="14">
        <f>IF(NOT(ISNUMBER('01 基础参数'!$B$25)),"",'01 基础参数'!$B$25*(1+A15))</f>
        <v/>
      </c>
      <c r="C15" s="14">
        <f>IF(OR(NOT(ISNUMBER(B15)),NOT(ISNUMBER('04 术语成本'!$D$17))),"",IFERROR(('04 术语成本'!$D$17+IFERROR('03 费用明细'!$E$9*B15/'03 费用明细'!$E$10,0))/(1-IFERROR(1.1*('03 费用明细'!$E$12/100),0)),""))</f>
        <v/>
      </c>
      <c r="D15" s="38">
        <f>IF(NOT(ISNUMBER(C15)),"",IF('01 基础参数'!$B$28="直接定价",IF(ISNUMBER('01 基础参数'!$B$30),'01 基础参数'!$B$30,""),IF('01 基础参数'!$B$29="","",IF('01 基础参数'!$B$28="毛利率（按售价）",IFERROR(C15/(1-'01 基础参数'!$B$29),""),C15*(1+'01 基础参数'!$B$29)))))</f>
        <v/>
      </c>
      <c r="E15" s="38">
        <f>IF(OR(NOT(ISNUMBER(D15)),NOT(ISNUMBER(B15))),"",D15/B15)</f>
        <v/>
      </c>
      <c r="F15" s="38">
        <f>IF(OR(E15="",NOT(ISNUMBER('01 基础参数'!$B$15))),"",E15*'01 基础参数'!$B$15)</f>
        <v/>
      </c>
    </row>
    <row r="16">
      <c r="A16" s="41" t="n">
        <v>-0.05</v>
      </c>
      <c r="B16" s="14">
        <f>IF(NOT(ISNUMBER('01 基础参数'!$B$25)),"",'01 基础参数'!$B$25*(1+A16))</f>
        <v/>
      </c>
      <c r="C16" s="14">
        <f>IF(OR(NOT(ISNUMBER(B16)),NOT(ISNUMBER('04 术语成本'!$D$17))),"",IFERROR(('04 术语成本'!$D$17+IFERROR('03 费用明细'!$E$9*B16/'03 费用明细'!$E$10,0))/(1-IFERROR(1.1*('03 费用明细'!$E$12/100),0)),""))</f>
        <v/>
      </c>
      <c r="D16" s="38">
        <f>IF(NOT(ISNUMBER(C16)),"",IF('01 基础参数'!$B$28="直接定价",IF(ISNUMBER('01 基础参数'!$B$30),'01 基础参数'!$B$30,""),IF('01 基础参数'!$B$29="","",IF('01 基础参数'!$B$28="毛利率（按售价）",IFERROR(C16/(1-'01 基础参数'!$B$29),""),C16*(1+'01 基础参数'!$B$29)))))</f>
        <v/>
      </c>
      <c r="E16" s="38">
        <f>IF(OR(NOT(ISNUMBER(D16)),NOT(ISNUMBER(B16))),"",D16/B16)</f>
        <v/>
      </c>
      <c r="F16" s="38">
        <f>IF(OR(E16="",NOT(ISNUMBER('01 基础参数'!$B$15))),"",E16*'01 基础参数'!$B$15)</f>
        <v/>
      </c>
    </row>
    <row r="17">
      <c r="A17" s="41" t="n">
        <v>0</v>
      </c>
      <c r="B17" s="14">
        <f>IF(NOT(ISNUMBER('01 基础参数'!$B$25)),"",'01 基础参数'!$B$25*(1+A17))</f>
        <v/>
      </c>
      <c r="C17" s="14">
        <f>IF(OR(NOT(ISNUMBER(B17)),NOT(ISNUMBER('04 术语成本'!$D$17))),"",IFERROR(('04 术语成本'!$D$17+IFERROR('03 费用明细'!$E$9*B17/'03 费用明细'!$E$10,0))/(1-IFERROR(1.1*('03 费用明细'!$E$12/100),0)),""))</f>
        <v/>
      </c>
      <c r="D17" s="38">
        <f>IF(NOT(ISNUMBER(C17)),"",IF('01 基础参数'!$B$28="直接定价",IF(ISNUMBER('01 基础参数'!$B$30),'01 基础参数'!$B$30,""),IF('01 基础参数'!$B$29="","",IF('01 基础参数'!$B$28="毛利率（按售价）",IFERROR(C17/(1-'01 基础参数'!$B$29),""),C17*(1+'01 基础参数'!$B$29)))))</f>
        <v/>
      </c>
      <c r="E17" s="38">
        <f>IF(OR(NOT(ISNUMBER(D17)),NOT(ISNUMBER(B17))),"",D17/B17)</f>
        <v/>
      </c>
      <c r="F17" s="38">
        <f>IF(OR(E17="",NOT(ISNUMBER('01 基础参数'!$B$15))),"",E17*'01 基础参数'!$B$15)</f>
        <v/>
      </c>
    </row>
    <row r="18">
      <c r="A18" s="41" t="n">
        <v>0.05</v>
      </c>
      <c r="B18" s="14">
        <f>IF(NOT(ISNUMBER('01 基础参数'!$B$25)),"",'01 基础参数'!$B$25*(1+A18))</f>
        <v/>
      </c>
      <c r="C18" s="14">
        <f>IF(OR(NOT(ISNUMBER(B18)),NOT(ISNUMBER('04 术语成本'!$D$17))),"",IFERROR(('04 术语成本'!$D$17+IFERROR('03 费用明细'!$E$9*B18/'03 费用明细'!$E$10,0))/(1-IFERROR(1.1*('03 费用明细'!$E$12/100),0)),""))</f>
        <v/>
      </c>
      <c r="D18" s="38">
        <f>IF(NOT(ISNUMBER(C18)),"",IF('01 基础参数'!$B$28="直接定价",IF(ISNUMBER('01 基础参数'!$B$30),'01 基础参数'!$B$30,""),IF('01 基础参数'!$B$29="","",IF('01 基础参数'!$B$28="毛利率（按售价）",IFERROR(C18/(1-'01 基础参数'!$B$29),""),C18*(1+'01 基础参数'!$B$29)))))</f>
        <v/>
      </c>
      <c r="E18" s="38">
        <f>IF(OR(NOT(ISNUMBER(D18)),NOT(ISNUMBER(B18))),"",D18/B18)</f>
        <v/>
      </c>
      <c r="F18" s="38">
        <f>IF(OR(E18="",NOT(ISNUMBER('01 基础参数'!$B$15))),"",E18*'01 基础参数'!$B$15)</f>
        <v/>
      </c>
    </row>
    <row r="19">
      <c r="A19" s="41" t="n">
        <v>0.1</v>
      </c>
      <c r="B19" s="14">
        <f>IF(NOT(ISNUMBER('01 基础参数'!$B$25)),"",'01 基础参数'!$B$25*(1+A19))</f>
        <v/>
      </c>
      <c r="C19" s="14">
        <f>IF(OR(NOT(ISNUMBER(B19)),NOT(ISNUMBER('04 术语成本'!$D$17))),"",IFERROR(('04 术语成本'!$D$17+IFERROR('03 费用明细'!$E$9*B19/'03 费用明细'!$E$10,0))/(1-IFERROR(1.1*('03 费用明细'!$E$12/100),0)),""))</f>
        <v/>
      </c>
      <c r="D19" s="38">
        <f>IF(NOT(ISNUMBER(C19)),"",IF('01 基础参数'!$B$28="直接定价",IF(ISNUMBER('01 基础参数'!$B$30),'01 基础参数'!$B$30,""),IF('01 基础参数'!$B$29="","",IF('01 基础参数'!$B$28="毛利率（按售价）",IFERROR(C19/(1-'01 基础参数'!$B$29),""),C19*(1+'01 基础参数'!$B$29)))))</f>
        <v/>
      </c>
      <c r="E19" s="38">
        <f>IF(OR(NOT(ISNUMBER(D19)),NOT(ISNUMBER(B19))),"",D19/B19)</f>
        <v/>
      </c>
      <c r="F19" s="38">
        <f>IF(OR(E19="",NOT(ISNUMBER('01 基础参数'!$B$15))),"",E19*'01 基础参数'!$B$15)</f>
        <v/>
      </c>
    </row>
    <row r="22" ht="22" customHeight="1">
      <c r="A22" s="3" t="inlineStr">
        <is>
          <t>C. 目标毛利变动 → 报价（按当前口径）</t>
        </is>
      </c>
    </row>
    <row r="23" ht="30" customHeight="1">
      <c r="A23" s="4" t="inlineStr">
        <is>
          <t>增长率</t>
        </is>
      </c>
      <c r="B23" s="4" t="inlineStr">
        <is>
          <t>毛利口径值</t>
        </is>
      </c>
      <c r="C23" s="4" t="inlineStr">
        <is>
          <t>FOB 单价</t>
        </is>
      </c>
      <c r="D23" s="4" t="inlineStr">
        <is>
          <t>CFR 单价</t>
        </is>
      </c>
      <c r="E23" s="4" t="inlineStr">
        <is>
          <t>CIF 单价</t>
        </is>
      </c>
      <c r="F23" s="4" t="inlineStr">
        <is>
          <t>CIF 外币/t</t>
        </is>
      </c>
      <c r="G23" s="4" t="inlineStr">
        <is>
          <t>毛利/吨</t>
        </is>
      </c>
      <c r="H23" s="4" t="inlineStr"/>
    </row>
    <row r="24">
      <c r="A24" s="42" t="n">
        <v>-0.03</v>
      </c>
      <c r="B24" s="37">
        <f>IF('01 基础参数'!$B$29="","",'01 基础参数'!$B$29+A24)</f>
        <v/>
      </c>
      <c r="C24" s="38">
        <f>IF(OR(B24="",NOT(ISNUMBER('04 术语成本'!$D$17))),"",IF('01 基础参数'!$B$28="直接定价",IF(ISNUMBER('01 基础参数'!$B$30),'01 基础参数'!$B$30,""),IF('01 基础参数'!$B$28="毛利率（按售价）",IFERROR('04 术语成本'!$D$17/(1-B24),""),'04 术语成本'!$D$17*(1+B24))))</f>
        <v/>
      </c>
      <c r="D24" s="38">
        <f>IF(OR(B24="",NOT(ISNUMBER('04 术语成本'!$D$18))),"",IF('01 基础参数'!$B$28="直接定价",IF(ISNUMBER('01 基础参数'!$B$30),'01 基础参数'!$B$30,""),IF('01 基础参数'!$B$28="毛利率（按售价）",IFERROR('04 术语成本'!$D$18/(1-B24),""),'04 术语成本'!$D$18*(1+B24))))</f>
        <v/>
      </c>
      <c r="E24" s="38">
        <f>IF(OR(B24="",NOT(ISNUMBER('04 术语成本'!$D$19))),"",IF('01 基础参数'!$B$28="直接定价",IF(ISNUMBER('01 基础参数'!$B$30),'01 基础参数'!$B$30,""),IF('01 基础参数'!$B$28="毛利率（按售价）",IFERROR('04 术语成本'!$D$19/(1-B24),""),'04 术语成本'!$D$19*(1+B24))))</f>
        <v/>
      </c>
      <c r="F24" s="38">
        <f>IF(OR(E24="",NOT(ISNUMBER('01 基础参数'!$B$25))),"",E24/'01 基础参数'!$B$25)</f>
        <v/>
      </c>
      <c r="G24" s="38">
        <f>IF(OR(E24="",NOT(ISNUMBER('04 术语成本'!$D$19))),"",E24-'04 术语成本'!$D$19)</f>
        <v/>
      </c>
    </row>
    <row r="25">
      <c r="A25" s="42" t="n">
        <v>-0.01</v>
      </c>
      <c r="B25" s="37">
        <f>IF('01 基础参数'!$B$29="","",'01 基础参数'!$B$29+A25)</f>
        <v/>
      </c>
      <c r="C25" s="38">
        <f>IF(OR(B25="",NOT(ISNUMBER('04 术语成本'!$D$17))),"",IF('01 基础参数'!$B$28="直接定价",IF(ISNUMBER('01 基础参数'!$B$30),'01 基础参数'!$B$30,""),IF('01 基础参数'!$B$28="毛利率（按售价）",IFERROR('04 术语成本'!$D$17/(1-B25),""),'04 术语成本'!$D$17*(1+B25))))</f>
        <v/>
      </c>
      <c r="D25" s="38">
        <f>IF(OR(B25="",NOT(ISNUMBER('04 术语成本'!$D$18))),"",IF('01 基础参数'!$B$28="直接定价",IF(ISNUMBER('01 基础参数'!$B$30),'01 基础参数'!$B$30,""),IF('01 基础参数'!$B$28="毛利率（按售价）",IFERROR('04 术语成本'!$D$18/(1-B25),""),'04 术语成本'!$D$18*(1+B25))))</f>
        <v/>
      </c>
      <c r="E25" s="38">
        <f>IF(OR(B25="",NOT(ISNUMBER('04 术语成本'!$D$19))),"",IF('01 基础参数'!$B$28="直接定价",IF(ISNUMBER('01 基础参数'!$B$30),'01 基础参数'!$B$30,""),IF('01 基础参数'!$B$28="毛利率（按售价）",IFERROR('04 术语成本'!$D$19/(1-B25),""),'04 术语成本'!$D$19*(1+B25))))</f>
        <v/>
      </c>
      <c r="F25" s="38">
        <f>IF(OR(E25="",NOT(ISNUMBER('01 基础参数'!$B$25))),"",E25/'01 基础参数'!$B$25)</f>
        <v/>
      </c>
      <c r="G25" s="38">
        <f>IF(OR(E25="",NOT(ISNUMBER('04 术语成本'!$D$19))),"",E25-'04 术语成本'!$D$19)</f>
        <v/>
      </c>
    </row>
    <row r="26">
      <c r="A26" s="42" t="n">
        <v>0</v>
      </c>
      <c r="B26" s="37">
        <f>IF('01 基础参数'!$B$29="","",'01 基础参数'!$B$29+A26)</f>
        <v/>
      </c>
      <c r="C26" s="38">
        <f>IF(OR(B26="",NOT(ISNUMBER('04 术语成本'!$D$17))),"",IF('01 基础参数'!$B$28="直接定价",IF(ISNUMBER('01 基础参数'!$B$30),'01 基础参数'!$B$30,""),IF('01 基础参数'!$B$28="毛利率（按售价）",IFERROR('04 术语成本'!$D$17/(1-B26),""),'04 术语成本'!$D$17*(1+B26))))</f>
        <v/>
      </c>
      <c r="D26" s="38">
        <f>IF(OR(B26="",NOT(ISNUMBER('04 术语成本'!$D$18))),"",IF('01 基础参数'!$B$28="直接定价",IF(ISNUMBER('01 基础参数'!$B$30),'01 基础参数'!$B$30,""),IF('01 基础参数'!$B$28="毛利率（按售价）",IFERROR('04 术语成本'!$D$18/(1-B26),""),'04 术语成本'!$D$18*(1+B26))))</f>
        <v/>
      </c>
      <c r="E26" s="38">
        <f>IF(OR(B26="",NOT(ISNUMBER('04 术语成本'!$D$19))),"",IF('01 基础参数'!$B$28="直接定价",IF(ISNUMBER('01 基础参数'!$B$30),'01 基础参数'!$B$30,""),IF('01 基础参数'!$B$28="毛利率（按售价）",IFERROR('04 术语成本'!$D$19/(1-B26),""),'04 术语成本'!$D$19*(1+B26))))</f>
        <v/>
      </c>
      <c r="F26" s="38">
        <f>IF(OR(E26="",NOT(ISNUMBER('01 基础参数'!$B$25))),"",E26/'01 基础参数'!$B$25)</f>
        <v/>
      </c>
      <c r="G26" s="38">
        <f>IF(OR(E26="",NOT(ISNUMBER('04 术语成本'!$D$19))),"",E26-'04 术语成本'!$D$19)</f>
        <v/>
      </c>
    </row>
    <row r="27">
      <c r="A27" s="42" t="n">
        <v>0.01</v>
      </c>
      <c r="B27" s="37">
        <f>IF('01 基础参数'!$B$29="","",'01 基础参数'!$B$29+A27)</f>
        <v/>
      </c>
      <c r="C27" s="38">
        <f>IF(OR(B27="",NOT(ISNUMBER('04 术语成本'!$D$17))),"",IF('01 基础参数'!$B$28="直接定价",IF(ISNUMBER('01 基础参数'!$B$30),'01 基础参数'!$B$30,""),IF('01 基础参数'!$B$28="毛利率（按售价）",IFERROR('04 术语成本'!$D$17/(1-B27),""),'04 术语成本'!$D$17*(1+B27))))</f>
        <v/>
      </c>
      <c r="D27" s="38">
        <f>IF(OR(B27="",NOT(ISNUMBER('04 术语成本'!$D$18))),"",IF('01 基础参数'!$B$28="直接定价",IF(ISNUMBER('01 基础参数'!$B$30),'01 基础参数'!$B$30,""),IF('01 基础参数'!$B$28="毛利率（按售价）",IFERROR('04 术语成本'!$D$18/(1-B27),""),'04 术语成本'!$D$18*(1+B27))))</f>
        <v/>
      </c>
      <c r="E27" s="38">
        <f>IF(OR(B27="",NOT(ISNUMBER('04 术语成本'!$D$19))),"",IF('01 基础参数'!$B$28="直接定价",IF(ISNUMBER('01 基础参数'!$B$30),'01 基础参数'!$B$30,""),IF('01 基础参数'!$B$28="毛利率（按售价）",IFERROR('04 术语成本'!$D$19/(1-B27),""),'04 术语成本'!$D$19*(1+B27))))</f>
        <v/>
      </c>
      <c r="F27" s="38">
        <f>IF(OR(E27="",NOT(ISNUMBER('01 基础参数'!$B$25))),"",E27/'01 基础参数'!$B$25)</f>
        <v/>
      </c>
      <c r="G27" s="38">
        <f>IF(OR(E27="",NOT(ISNUMBER('04 术语成本'!$D$19))),"",E27-'04 术语成本'!$D$19)</f>
        <v/>
      </c>
    </row>
    <row r="28">
      <c r="A28" s="42" t="n">
        <v>0.03</v>
      </c>
      <c r="B28" s="37">
        <f>IF('01 基础参数'!$B$29="","",'01 基础参数'!$B$29+A28)</f>
        <v/>
      </c>
      <c r="C28" s="38">
        <f>IF(OR(B28="",NOT(ISNUMBER('04 术语成本'!$D$17))),"",IF('01 基础参数'!$B$28="直接定价",IF(ISNUMBER('01 基础参数'!$B$30),'01 基础参数'!$B$30,""),IF('01 基础参数'!$B$28="毛利率（按售价）",IFERROR('04 术语成本'!$D$17/(1-B28),""),'04 术语成本'!$D$17*(1+B28))))</f>
        <v/>
      </c>
      <c r="D28" s="38">
        <f>IF(OR(B28="",NOT(ISNUMBER('04 术语成本'!$D$18))),"",IF('01 基础参数'!$B$28="直接定价",IF(ISNUMBER('01 基础参数'!$B$30),'01 基础参数'!$B$30,""),IF('01 基础参数'!$B$28="毛利率（按售价）",IFERROR('04 术语成本'!$D$18/(1-B28),""),'04 术语成本'!$D$18*(1+B28))))</f>
        <v/>
      </c>
      <c r="E28" s="38">
        <f>IF(OR(B28="",NOT(ISNUMBER('04 术语成本'!$D$19))),"",IF('01 基础参数'!$B$28="直接定价",IF(ISNUMBER('01 基础参数'!$B$30),'01 基础参数'!$B$30,""),IF('01 基础参数'!$B$28="毛利率（按售价）",IFERROR('04 术语成本'!$D$19/(1-B28),""),'04 术语成本'!$D$19*(1+B28))))</f>
        <v/>
      </c>
      <c r="F28" s="38">
        <f>IF(OR(E28="",NOT(ISNUMBER('01 基础参数'!$B$25))),"",E28/'01 基础参数'!$B$25)</f>
        <v/>
      </c>
      <c r="G28" s="38">
        <f>IF(OR(E28="",NOT(ISNUMBER('04 术语成本'!$D$19))),"",E28-'04 术语成本'!$D$19)</f>
        <v/>
      </c>
    </row>
    <row r="31">
      <c r="A31" s="18" t="inlineStr">
        <is>
          <t>读法：A 表告诉你「运费涨 10%，CIF 单价要涨多少」（它还带动保险费同向变动，所以略高于 10%×运费占比）；
B 表告诉你「人民币升值 5%，外币报价要降多少」——注意外币计价的运费折人民币成本也同步下降；
C 表告诉你「毛利每加 1 个百分点，价格跳多少」——越接近 100% 毛利率，曲线越陡（1/(1−m) 放大）。</t>
        </is>
      </c>
    </row>
    <row r="32"/>
    <row r="33"/>
  </sheetData>
  <mergeCells count="6">
    <mergeCell ref="A4:H4"/>
    <mergeCell ref="A2:H2"/>
    <mergeCell ref="A31:H33"/>
    <mergeCell ref="A13:H13"/>
    <mergeCell ref="A1:H1"/>
    <mergeCell ref="A22:H22"/>
  </mergeCells>
  <pageMargins left="0.75" right="0.75" top="1" bottom="1" header="0.5" footer="0.5"/>
  <pageSetup orientation="landscape" fitToWidth="1"/>
  <drawing xmlns:r="http://schemas.openxmlformats.org/officeDocument/2006/relationships" r:id="rId1"/>
</worksheet>
</file>

<file path=xl/worksheets/sheet9.xml><?xml version="1.0" encoding="utf-8"?>
<worksheet xmlns="http://schemas.openxmlformats.org/spreadsheetml/2006/main">
  <sheetPr>
    <tabColor rgb="003EA6FF"/>
    <outlinePr summaryBelow="1" summaryRight="1"/>
    <pageSetUpPr fitToPage="1"/>
  </sheetPr>
  <dimension ref="A1:J13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26" customWidth="1" min="2" max="2"/>
    <col width="11" customWidth="1" min="3" max="3"/>
    <col width="12" customWidth="1" min="4" max="4"/>
    <col width="20" customWidth="1" min="5" max="5"/>
    <col width="11" customWidth="1" min="6" max="6"/>
    <col width="12" customWidth="1" min="7" max="7"/>
    <col width="12" customWidth="1" min="8" max="8"/>
    <col width="12" customWidth="1" min="9" max="9"/>
    <col width="13" customWidth="1" min="10" max="10"/>
  </cols>
  <sheetData>
    <row r="1" ht="34" customHeight="1">
      <c r="A1" s="1" t="inlineStr">
        <is>
          <t>09 多方案比较</t>
        </is>
      </c>
    </row>
    <row r="2" ht="22" customHeight="1">
      <c r="A2" s="2" t="inlineStr">
        <is>
          <t>方案 = 一组假设（运费/汇率/毛利口径）；灰底为录入，其余为公式派生</t>
        </is>
      </c>
    </row>
    <row r="4" ht="30" customHeight="1">
      <c r="A4" s="4" t="inlineStr">
        <is>
          <t>方案</t>
        </is>
      </c>
      <c r="B4" s="4" t="inlineStr">
        <is>
          <t>说明</t>
        </is>
      </c>
      <c r="C4" s="4" t="inlineStr">
        <is>
          <t>运费系数</t>
        </is>
      </c>
      <c r="D4" s="4" t="inlineStr">
        <is>
          <t>汇率 CNY</t>
        </is>
      </c>
      <c r="E4" s="4" t="inlineStr">
        <is>
          <t>毛利口径</t>
        </is>
      </c>
      <c r="F4" s="4" t="inlineStr">
        <is>
          <t>毛利值</t>
        </is>
      </c>
      <c r="G4" s="4" t="inlineStr">
        <is>
          <t>FOB ¥/t</t>
        </is>
      </c>
      <c r="H4" s="4" t="inlineStr">
        <is>
          <t>CFR ¥/t</t>
        </is>
      </c>
      <c r="I4" s="4" t="inlineStr">
        <is>
          <t>CIF ¥/t</t>
        </is>
      </c>
      <c r="J4" s="4" t="inlineStr">
        <is>
          <t>CIF 外币/t</t>
        </is>
      </c>
    </row>
    <row r="5">
      <c r="A5" s="35" t="inlineStr">
        <is>
          <t>A</t>
        </is>
      </c>
      <c r="B5" s="8" t="inlineStr">
        <is>
          <t>基准：按 01/03 表当前值</t>
        </is>
      </c>
      <c r="C5" s="43" t="n">
        <v>1</v>
      </c>
      <c r="D5" s="14">
        <f>'01 基础参数'!$B$25</f>
        <v/>
      </c>
      <c r="E5" s="29" t="inlineStr">
        <is>
          <t>毛利率（按售价）</t>
        </is>
      </c>
      <c r="F5" s="44" t="n">
        <v>0.08</v>
      </c>
      <c r="G5" s="38">
        <f>IF(NOT(ISNUMBER('04 术语成本'!$D$17)),"",'04 术语成本'!$D$17)</f>
        <v/>
      </c>
      <c r="H5" s="38">
        <f>IF(NOT(ISNUMBER('04 术语成本'!$D$17)),"",'04 术语成本'!$D$17+IFERROR('04 术语成本'!$D$10,0)*C5)</f>
        <v/>
      </c>
      <c r="I5" s="38">
        <f>IF(OR(NOT(ISNUMBER(H5)),NOT(ISNUMBER('03 费用明细'!$E$12))),"",IFERROR(H5/(1-1.1*('03 费用明细'!$E$12/100)),""))</f>
        <v/>
      </c>
      <c r="J5" s="38">
        <f>IF(OR(NOT(ISNUMBER(I5)),NOT(ISNUMBER(D5))),"",IF(E5="毛利率（按售价）",IFERROR(I5/(1-F5)/D5,""),I5*(1+F5)/D5))</f>
        <v/>
      </c>
    </row>
    <row r="6">
      <c r="A6" s="35" t="inlineStr">
        <is>
          <t>B</t>
        </is>
      </c>
      <c r="B6" s="8" t="inlineStr">
        <is>
          <t>运费上浮 30%</t>
        </is>
      </c>
      <c r="C6" s="43" t="n">
        <v>1.3</v>
      </c>
      <c r="D6" s="14">
        <f>'01 基础参数'!$B$25</f>
        <v/>
      </c>
      <c r="E6" s="29" t="inlineStr">
        <is>
          <t>毛利率（按售价）</t>
        </is>
      </c>
      <c r="F6" s="44" t="n">
        <v>0.08</v>
      </c>
      <c r="G6" s="38">
        <f>IF(NOT(ISNUMBER('04 术语成本'!$D$17)),"",'04 术语成本'!$D$17)</f>
        <v/>
      </c>
      <c r="H6" s="38">
        <f>IF(NOT(ISNUMBER('04 术语成本'!$D$17)),"",'04 术语成本'!$D$17+IFERROR('04 术语成本'!$D$10,0)*C6)</f>
        <v/>
      </c>
      <c r="I6" s="38">
        <f>IF(OR(NOT(ISNUMBER(H6)),NOT(ISNUMBER('03 费用明细'!$E$12))),"",IFERROR(H6/(1-1.1*('03 费用明细'!$E$12/100)),""))</f>
        <v/>
      </c>
      <c r="J6" s="38">
        <f>IF(OR(NOT(ISNUMBER(I6)),NOT(ISNUMBER(D6))),"",IF(E6="毛利率（按售价）",IFERROR(I6/(1-F6)/D6,""),I6*(1+F6)/D6))</f>
        <v/>
      </c>
    </row>
    <row r="7">
      <c r="A7" s="35" t="inlineStr">
        <is>
          <t>C</t>
        </is>
      </c>
      <c r="B7" s="8" t="inlineStr">
        <is>
          <t>人民币升值（汇率 −5%）</t>
        </is>
      </c>
      <c r="C7" s="43" t="n">
        <v>1</v>
      </c>
      <c r="D7" s="14">
        <f>IFERROR('01 基础参数'!$B$25*0.95,'01 基础参数'!$B$25)</f>
        <v/>
      </c>
      <c r="E7" s="29" t="inlineStr">
        <is>
          <t>毛利率（按售价）</t>
        </is>
      </c>
      <c r="F7" s="44" t="n">
        <v>0.08</v>
      </c>
      <c r="G7" s="38">
        <f>IF(NOT(ISNUMBER('04 术语成本'!$D$17)),"",'04 术语成本'!$D$17)</f>
        <v/>
      </c>
      <c r="H7" s="38">
        <f>IF(NOT(ISNUMBER('04 术语成本'!$D$17)),"",'04 术语成本'!$D$17+IFERROR('04 术语成本'!$D$10,0)*C7)</f>
        <v/>
      </c>
      <c r="I7" s="38">
        <f>IF(OR(NOT(ISNUMBER(H7)),NOT(ISNUMBER('03 费用明细'!$E$12))),"",IFERROR(H7/(1-1.1*('03 费用明细'!$E$12/100)),""))</f>
        <v/>
      </c>
      <c r="J7" s="38">
        <f>IF(OR(NOT(ISNUMBER(I7)),NOT(ISNUMBER(D7))),"",IF(E7="毛利率（按售价）",IFERROR(I7/(1-F7)/D7,""),I7*(1+F7)/D7))</f>
        <v/>
      </c>
    </row>
    <row r="8">
      <c r="A8" s="35" t="inlineStr">
        <is>
          <t>D</t>
        </is>
      </c>
      <c r="B8" s="8" t="inlineStr">
        <is>
          <t>成本加成率口径（对照）</t>
        </is>
      </c>
      <c r="C8" s="43" t="n">
        <v>1</v>
      </c>
      <c r="D8" s="14">
        <f>'01 基础参数'!$B$25</f>
        <v/>
      </c>
      <c r="E8" s="29" t="inlineStr">
        <is>
          <t>成本加成率（按成本）</t>
        </is>
      </c>
      <c r="F8" s="44" t="n">
        <v>0.08</v>
      </c>
      <c r="G8" s="38">
        <f>IF(NOT(ISNUMBER('04 术语成本'!$D$17)),"",'04 术语成本'!$D$17)</f>
        <v/>
      </c>
      <c r="H8" s="38">
        <f>IF(NOT(ISNUMBER('04 术语成本'!$D$17)),"",'04 术语成本'!$D$17+IFERROR('04 术语成本'!$D$10,0)*C8)</f>
        <v/>
      </c>
      <c r="I8" s="38">
        <f>IF(OR(NOT(ISNUMBER(H8)),NOT(ISNUMBER('03 费用明细'!$E$12))),"",IFERROR(H8/(1-1.1*('03 费用明细'!$E$12/100)),""))</f>
        <v/>
      </c>
      <c r="J8" s="38">
        <f>IF(OR(NOT(ISNUMBER(I8)),NOT(ISNUMBER(D8))),"",IF(E8="毛利率（按售价）",IFERROR(I8/(1-F8)/D8,""),I8*(1+F8)/D8))</f>
        <v/>
      </c>
    </row>
    <row r="9">
      <c r="A9" s="35" t="inlineStr">
        <is>
          <t>E</t>
        </is>
      </c>
      <c r="B9" s="8" t="inlineStr">
        <is>
          <t>自定义</t>
        </is>
      </c>
      <c r="C9" s="43" t="n">
        <v>1</v>
      </c>
      <c r="D9" s="14">
        <f>'01 基础参数'!$B$25</f>
        <v/>
      </c>
      <c r="E9" s="29" t="inlineStr">
        <is>
          <t>毛利率（按售价）</t>
        </is>
      </c>
      <c r="F9" s="44" t="n">
        <v>0.08</v>
      </c>
      <c r="G9" s="38">
        <f>IF(NOT(ISNUMBER('04 术语成本'!$D$17)),"",'04 术语成本'!$D$17)</f>
        <v/>
      </c>
      <c r="H9" s="38">
        <f>IF(NOT(ISNUMBER('04 术语成本'!$D$17)),"",'04 术语成本'!$D$17+IFERROR('04 术语成本'!$D$10,0)*C9)</f>
        <v/>
      </c>
      <c r="I9" s="38">
        <f>IF(OR(NOT(ISNUMBER(H9)),NOT(ISNUMBER('03 费用明细'!$E$12))),"",IFERROR(H9/(1-1.1*('03 费用明细'!$E$12/100)),""))</f>
        <v/>
      </c>
      <c r="J9" s="38">
        <f>IF(OR(NOT(ISNUMBER(I9)),NOT(ISNUMBER(D9))),"",IF(E9="毛利率（按售价）",IFERROR(I9/(1-F9)/D9,""),I9*(1+F9)/D9))</f>
        <v/>
      </c>
    </row>
    <row r="11">
      <c r="A11" s="18" t="inlineStr">
        <is>
          <t>这些方案是「同一套成本链、不同假设」的算术对照，不是系统推荐方案。
真实报价还需要你决定：是否锁汇、运费是否含滞期、是否需要报价有效期条款、客户要求 ICC(A) 时的额外保费。</t>
        </is>
      </c>
    </row>
    <row r="12"/>
    <row r="13"/>
  </sheetData>
  <mergeCells count="3">
    <mergeCell ref="A1:J1"/>
    <mergeCell ref="A11:J13"/>
    <mergeCell ref="A2:J2"/>
  </mergeCells>
  <pageMargins left="0.75" right="0.75" top="1" bottom="1" header="0.5" footer="0.5"/>
  <pageSetup orientation="landscape" fitToWidth="1"/>
</worksheet>
</file>

<file path=xl/worksheets/sheet10.xml><?xml version="1.0" encoding="utf-8"?>
<worksheet xmlns="http://schemas.openxmlformats.org/spreadsheetml/2006/main">
  <sheetPr>
    <tabColor rgb="00FFB020"/>
    <outlinePr summaryBelow="1" summaryRight="1"/>
    <pageSetUpPr fitToPage="1"/>
  </sheetPr>
  <dimension ref="A1:F18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24" customWidth="1" min="2" max="2"/>
    <col width="12" customWidth="1" min="3" max="3"/>
    <col width="46" customWidth="1" min="4" max="4"/>
    <col width="30" customWidth="1" min="5" max="5"/>
    <col width="14" customWidth="1" min="6" max="6"/>
  </cols>
  <sheetData>
    <row r="1" ht="34" customHeight="1">
      <c r="A1" s="1" t="inlineStr">
        <is>
          <t>10 缺失费用与假设清单</t>
        </is>
      </c>
    </row>
    <row r="2" ht="22" customHeight="1">
      <c r="A2" s="2" t="inlineStr">
        <is>
          <t>这里列的每一项，都是「没有可靠依据、系统拒绝代填」的项目</t>
        </is>
      </c>
    </row>
    <row r="4" ht="30" customHeight="1">
      <c r="A4" s="4" t="inlineStr">
        <is>
          <t>代码</t>
        </is>
      </c>
      <c r="B4" s="4" t="inlineStr">
        <is>
          <t>缺失项</t>
        </is>
      </c>
      <c r="C4" s="4" t="inlineStr">
        <is>
          <t>成本段</t>
        </is>
      </c>
      <c r="D4" s="4" t="inlineStr">
        <is>
          <t>为什么不能自动填</t>
        </is>
      </c>
      <c r="E4" s="4" t="inlineStr">
        <is>
          <t>补数来源</t>
        </is>
      </c>
      <c r="F4" s="4" t="inlineStr">
        <is>
          <t>状态</t>
        </is>
      </c>
    </row>
    <row r="5">
      <c r="A5" s="45" t="inlineStr">
        <is>
          <t>FREIGHT</t>
        </is>
      </c>
      <c r="B5" s="5" t="inlineStr">
        <is>
          <t>海运费</t>
        </is>
      </c>
      <c r="C5" s="26" t="inlineStr">
        <is>
          <t>S5</t>
        </is>
      </c>
      <c r="D5" s="8" t="inlineStr">
        <is>
          <t>运价随船期/箱型/货量波动，且是货代报价资产，不能跨航线外推</t>
        </is>
      </c>
      <c r="E5" s="8" t="inlineStr">
        <is>
          <t>货代书面报价（注明有效期）</t>
        </is>
      </c>
      <c r="F5" s="35">
        <f>IF('03 费用明细'!$E$9="","待补","已提供")</f>
        <v/>
      </c>
    </row>
    <row r="6">
      <c r="A6" s="45" t="inlineStr">
        <is>
          <t>INSURANCE</t>
        </is>
      </c>
      <c r="B6" s="5" t="inlineStr">
        <is>
          <t>保险费率</t>
        </is>
      </c>
      <c r="C6" s="26" t="inlineStr">
        <is>
          <t>S6</t>
        </is>
      </c>
      <c r="D6" s="8" t="inlineStr">
        <is>
          <t>费率取决于航线、险别（ICC A/B/C）、免赔额与承运人，不同保司差异大</t>
        </is>
      </c>
      <c r="E6" s="8" t="inlineStr">
        <is>
          <t>保险公司/货代保险部报价</t>
        </is>
      </c>
      <c r="F6" s="35">
        <f>IF('03 费用明细'!$E$12="","待补","已提供")</f>
        <v/>
      </c>
    </row>
    <row r="7">
      <c r="A7" s="45" t="inlineStr">
        <is>
          <t>INLAND</t>
        </is>
      </c>
      <c r="B7" s="5" t="inlineStr">
        <is>
          <t>内陆运输</t>
        </is>
      </c>
      <c r="C7" s="26" t="inlineStr">
        <is>
          <t>S3</t>
        </is>
      </c>
      <c r="D7" s="8" t="inlineStr">
        <is>
          <t>取决于起运地、车型、装载方式与是否含装车费</t>
        </is>
      </c>
      <c r="E7" s="8" t="inlineStr">
        <is>
          <t>承运人报价</t>
        </is>
      </c>
      <c r="F7" s="35">
        <f>IF('03 费用明细'!$E$7="","待补","已提供")</f>
        <v/>
      </c>
    </row>
    <row r="8">
      <c r="A8" s="45" t="inlineStr">
        <is>
          <t>PORT</t>
        </is>
      </c>
      <c r="B8" s="5" t="inlineStr">
        <is>
          <t>港口及报关</t>
        </is>
      </c>
      <c r="C8" s="26" t="inlineStr">
        <is>
          <t>S4</t>
        </is>
      </c>
      <c r="D8" s="8" t="inlineStr">
        <is>
          <t>取决于港口/码头、THC、单证与报关代理费</t>
        </is>
      </c>
      <c r="E8" s="8" t="inlineStr">
        <is>
          <t>货代一票全含报价</t>
        </is>
      </c>
      <c r="F8" s="35">
        <f>IF('03 费用明细'!$E$8="","待补","已提供")</f>
        <v/>
      </c>
    </row>
    <row r="9">
      <c r="A9" s="45" t="inlineStr">
        <is>
          <t>EXPORT_TAX</t>
        </is>
      </c>
      <c r="B9" s="5" t="inlineStr">
        <is>
          <t>出口税费</t>
        </is>
      </c>
      <c r="C9" s="26" t="inlineStr">
        <is>
          <t>S7</t>
        </is>
      </c>
      <c r="D9" s="8" t="inlineStr">
        <is>
          <t>关税/出口环节税费以税则与申报要素为准</t>
        </is>
      </c>
      <c r="E9" s="8" t="inlineStr">
        <is>
          <t>海关税则、报关行确认</t>
        </is>
      </c>
      <c r="F9" s="35">
        <f>IF('03 费用明细'!$E$14="","待补","已提供")</f>
        <v/>
      </c>
    </row>
    <row r="10">
      <c r="A10" s="45" t="inlineStr">
        <is>
          <t>OTHER</t>
        </is>
      </c>
      <c r="B10" s="5" t="inlineStr">
        <is>
          <t>其他出口费用</t>
        </is>
      </c>
      <c r="C10" s="26" t="inlineStr">
        <is>
          <t>S8</t>
        </is>
      </c>
      <c r="D10" s="8" t="inlineStr">
        <is>
          <t>检验/认证/结汇费按实际发生计</t>
        </is>
      </c>
      <c r="E10" s="8" t="inlineStr">
        <is>
          <t>银行、检验机构、认证机构</t>
        </is>
      </c>
      <c r="F10" s="35">
        <f>IF('03 费用明细'!$E$15="","待补","已提供")</f>
        <v/>
      </c>
    </row>
    <row r="12" ht="22" customHeight="1">
      <c r="A12" s="3" t="inlineStr">
        <is>
          <t>模拟值标注（SIMULATED · 非实时运价）</t>
        </is>
      </c>
    </row>
    <row r="13" ht="30" customHeight="1">
      <c r="A13" s="4" t="inlineStr">
        <is>
          <t>字段</t>
        </is>
      </c>
      <c r="B13" s="4" t="inlineStr">
        <is>
          <t>模拟值</t>
        </is>
      </c>
      <c r="C13" s="4" t="inlineStr">
        <is>
          <t>用途</t>
        </is>
      </c>
      <c r="D13" s="4" t="inlineStr">
        <is>
          <t>必须在发给客户前替换为</t>
        </is>
      </c>
      <c r="E13" s="4" t="inlineStr"/>
      <c r="F13" s="4" t="inlineStr"/>
    </row>
    <row r="14">
      <c r="A14" s="5" t="inlineStr">
        <is>
          <t>内陆运输</t>
        </is>
      </c>
      <c r="B14" s="31" t="n">
        <v>110</v>
      </c>
      <c r="C14" s="8" t="inlineStr">
        <is>
          <t>演示内陆段</t>
        </is>
      </c>
      <c r="D14" s="8" t="inlineStr">
        <is>
          <t>承运人报价</t>
        </is>
      </c>
    </row>
    <row r="15">
      <c r="A15" s="5" t="inlineStr">
        <is>
          <t>港口及报关费</t>
        </is>
      </c>
      <c r="B15" s="31" t="n">
        <v>95</v>
      </c>
      <c r="C15" s="8" t="inlineStr">
        <is>
          <t>演示港口段</t>
        </is>
      </c>
      <c r="D15" s="8" t="inlineStr">
        <is>
          <t>货代报价</t>
        </is>
      </c>
    </row>
    <row r="16">
      <c r="A16" s="5" t="inlineStr">
        <is>
          <t>海运费 USD/柜</t>
        </is>
      </c>
      <c r="B16" s="31" t="n">
        <v>1250</v>
      </c>
      <c r="C16" s="8" t="inlineStr">
        <is>
          <t>演示完整计算流程</t>
        </is>
      </c>
      <c r="D16" s="8" t="inlineStr">
        <is>
          <t>货代书面报价</t>
        </is>
      </c>
    </row>
    <row r="17">
      <c r="A17" s="5" t="inlineStr">
        <is>
          <t>装柜吨数</t>
        </is>
      </c>
      <c r="B17" s="31" t="n">
        <v>25</v>
      </c>
      <c r="C17" s="8" t="inlineStr">
        <is>
          <t>把柜价折成吨价</t>
        </is>
      </c>
      <c r="D17" s="8" t="inlineStr">
        <is>
          <t>实际装箱方案</t>
        </is>
      </c>
    </row>
    <row r="18">
      <c r="A18" s="5" t="inlineStr">
        <is>
          <t>保险费率</t>
        </is>
      </c>
      <c r="B18" s="31" t="n">
        <v>0.3</v>
      </c>
      <c r="C18" s="8" t="inlineStr">
        <is>
          <t>演示 CIF 保险自洽求解</t>
        </is>
      </c>
      <c r="D18" s="8" t="inlineStr">
        <is>
          <t>保险公司费率</t>
        </is>
      </c>
    </row>
  </sheetData>
  <mergeCells count="8">
    <mergeCell ref="A2:F2"/>
    <mergeCell ref="D14:F14"/>
    <mergeCell ref="A1:F1"/>
    <mergeCell ref="D18:F18"/>
    <mergeCell ref="D17:F17"/>
    <mergeCell ref="A12:F12"/>
    <mergeCell ref="D15:F15"/>
    <mergeCell ref="D16:F16"/>
  </mergeCells>
  <conditionalFormatting sqref="F5">
    <cfRule type="cellIs" priority="1" operator="equal" dxfId="0">
      <formula>"待补"</formula>
    </cfRule>
  </conditionalFormatting>
  <conditionalFormatting sqref="F6">
    <cfRule type="cellIs" priority="2" operator="equal" dxfId="0">
      <formula>"待补"</formula>
    </cfRule>
  </conditionalFormatting>
  <conditionalFormatting sqref="F7">
    <cfRule type="cellIs" priority="3" operator="equal" dxfId="0">
      <formula>"待补"</formula>
    </cfRule>
  </conditionalFormatting>
  <conditionalFormatting sqref="F8">
    <cfRule type="cellIs" priority="4" operator="equal" dxfId="0">
      <formula>"待补"</formula>
    </cfRule>
  </conditionalFormatting>
  <conditionalFormatting sqref="F9">
    <cfRule type="cellIs" priority="5" operator="equal" dxfId="0">
      <formula>"待补"</formula>
    </cfRule>
  </conditionalFormatting>
  <conditionalFormatting sqref="F10">
    <cfRule type="cellIs" priority="6" operator="equal" dxfId="0">
      <formula>"待补"</formula>
    </cfRule>
  </conditionalFormatting>
  <pageMargins left="0.75" right="0.75" top="1" bottom="1" header="0.5" footer="0.5"/>
  <pageSetup orientation="landscape" fitToWidth="1"/>
</worksheet>
</file>

<file path=xl/worksheets/sheet11.xml><?xml version="1.0" encoding="utf-8"?>
<worksheet xmlns="http://schemas.openxmlformats.org/spreadsheetml/2006/main">
  <sheetPr>
    <tabColor rgb="006B7C99"/>
    <outlinePr summaryBelow="1" summaryRight="1"/>
    <pageSetUpPr fitToPage="1"/>
  </sheetPr>
  <dimension ref="A1:E31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30" customWidth="1" min="2" max="2"/>
    <col width="62" customWidth="1" min="3" max="3"/>
    <col width="16" customWidth="1" min="4" max="4"/>
    <col width="40" customWidth="1" min="5" max="5"/>
  </cols>
  <sheetData>
    <row r="1" ht="34" customHeight="1">
      <c r="A1" s="1" t="inlineStr">
        <is>
          <t>11 全部计算公式与校验结果</t>
        </is>
      </c>
    </row>
    <row r="2" ht="22" customHeight="1">
      <c r="A2" s="2" t="inlineStr">
        <is>
          <t>与 HTML 计算器、Python 引擎 calc_engine.py 同一套公式</t>
        </is>
      </c>
    </row>
    <row r="4" ht="30" customHeight="1">
      <c r="A4" s="4" t="inlineStr">
        <is>
          <t>编号</t>
        </is>
      </c>
      <c r="B4" s="4" t="inlineStr">
        <is>
          <t>项目</t>
        </is>
      </c>
      <c r="C4" s="4" t="inlineStr">
        <is>
          <t>公式（Excel 等价写法）</t>
        </is>
      </c>
      <c r="D4" s="4" t="inlineStr">
        <is>
          <t>当前结果</t>
        </is>
      </c>
      <c r="E4" s="4" t="inlineStr">
        <is>
          <t>说明</t>
        </is>
      </c>
    </row>
    <row r="5">
      <c r="A5" s="26" t="inlineStr">
        <is>
          <t>F01</t>
        </is>
      </c>
      <c r="B5" s="5" t="inlineStr">
        <is>
          <t>海运费折吨价</t>
        </is>
      </c>
      <c r="C5" s="46" t="inlineStr">
        <is>
          <t>P_freight = USD/柜 × 汇率 ÷ 装柜吨数</t>
        </is>
      </c>
      <c r="D5" s="14">
        <f>'04 术语成本'!$D$10</f>
        <v/>
      </c>
      <c r="E5" s="8" t="inlineStr">
        <is>
          <t>外币计价段必须先折人民币</t>
        </is>
      </c>
    </row>
    <row r="6">
      <c r="A6" s="26" t="inlineStr">
        <is>
          <t>F02</t>
        </is>
      </c>
      <c r="B6" s="5" t="inlineStr">
        <is>
          <t>保险费（CIF 自洽）</t>
        </is>
      </c>
      <c r="C6" s="46" t="inlineStr">
        <is>
          <t>P_ins = 1.10r × C_CIF = C_CFR × 1.10r /(1 − 1.10r)</t>
        </is>
      </c>
      <c r="D6" s="14">
        <f>'04 术语成本'!$D$13</f>
        <v/>
      </c>
      <c r="E6" s="8" t="inlineStr">
        <is>
          <t>r = 保险费率；默认 ICC(C)</t>
        </is>
      </c>
    </row>
    <row r="7">
      <c r="A7" s="26" t="inlineStr">
        <is>
          <t>F03</t>
        </is>
      </c>
      <c r="B7" s="5" t="inlineStr">
        <is>
          <t>FOB 成本</t>
        </is>
      </c>
      <c r="C7" s="46" t="inlineStr">
        <is>
          <t>C_FOB = EXW + PKG + INLAND + PORT + TAX + OTHER</t>
        </is>
      </c>
      <c r="D7" s="14">
        <f>'04 术语成本'!$D$17</f>
        <v/>
      </c>
      <c r="E7" s="8" t="inlineStr">
        <is>
          <t>到装运港上船为止</t>
        </is>
      </c>
    </row>
    <row r="8">
      <c r="A8" s="26" t="inlineStr">
        <is>
          <t>F04</t>
        </is>
      </c>
      <c r="B8" s="5" t="inlineStr">
        <is>
          <t>CFR 成本</t>
        </is>
      </c>
      <c r="C8" s="46" t="inlineStr">
        <is>
          <t>C_CFR = C_FOB + P_freight</t>
        </is>
      </c>
      <c r="D8" s="14">
        <f>'04 术语成本'!$D$18</f>
        <v/>
      </c>
      <c r="E8" s="8" t="inlineStr">
        <is>
          <t>卖方付运费，风险仍在装运港转移</t>
        </is>
      </c>
    </row>
    <row r="9">
      <c r="A9" s="26" t="inlineStr">
        <is>
          <t>F05</t>
        </is>
      </c>
      <c r="B9" s="5" t="inlineStr">
        <is>
          <t>CIF 成本</t>
        </is>
      </c>
      <c r="C9" s="46" t="inlineStr">
        <is>
          <t>C_CIF = C_CFR + P_ins</t>
        </is>
      </c>
      <c r="D9" s="14">
        <f>'04 术语成本'!$D$19</f>
        <v/>
      </c>
      <c r="E9" s="8" t="inlineStr">
        <is>
          <t>卖方投保</t>
        </is>
      </c>
    </row>
    <row r="10">
      <c r="A10" s="26" t="inlineStr">
        <is>
          <t>F06</t>
        </is>
      </c>
      <c r="B10" s="5" t="inlineStr">
        <is>
          <t>毛利润</t>
        </is>
      </c>
      <c r="C10" s="46" t="inlineStr">
        <is>
          <t>GP = P − C</t>
        </is>
      </c>
      <c r="D10" s="38">
        <f>IF(NOT(ISNUMBER(10)),"",10-6)</f>
        <v/>
      </c>
      <c r="E10" s="8" t="inlineStr">
        <is>
          <t>毛利永远按售价口径计算</t>
        </is>
      </c>
    </row>
    <row r="11">
      <c r="A11" s="26" t="inlineStr">
        <is>
          <t>F07</t>
        </is>
      </c>
      <c r="B11" s="5" t="inlineStr">
        <is>
          <t>毛利率</t>
        </is>
      </c>
      <c r="C11" s="46" t="inlineStr">
        <is>
          <t>m = GP / P</t>
        </is>
      </c>
      <c r="D11" s="37">
        <f>IF(NOT(ISNUMBER(10)),"",(10-6)/10)</f>
        <v/>
      </c>
      <c r="E11" s="8" t="inlineStr">
        <is>
          <t>按售价；P = C /(1−m)</t>
        </is>
      </c>
    </row>
    <row r="12">
      <c r="A12" s="26" t="inlineStr">
        <is>
          <t>F08</t>
        </is>
      </c>
      <c r="B12" s="5" t="inlineStr">
        <is>
          <t>成本加成率</t>
        </is>
      </c>
      <c r="C12" s="46" t="inlineStr">
        <is>
          <t>k = GP / C</t>
        </is>
      </c>
      <c r="D12" s="37">
        <f>IF(NOT(ISNUMBER(6)),"",(10-6)/6)</f>
        <v/>
      </c>
      <c r="E12" s="8" t="inlineStr">
        <is>
          <t>按成本；P = C ×(1+k)</t>
        </is>
      </c>
    </row>
    <row r="13">
      <c r="A13" s="26" t="inlineStr">
        <is>
          <t>F09</t>
        </is>
      </c>
      <c r="B13" s="5" t="inlineStr">
        <is>
          <t>两口径关系</t>
        </is>
      </c>
      <c r="C13" s="46" t="inlineStr">
        <is>
          <t>(1+k)(1−m) = 1</t>
        </is>
      </c>
      <c r="D13" s="40">
        <f>IF(NOT(ISNUMBER(10)),"",(1+(10-6)/6)*(1-(10-6)/10))</f>
        <v/>
      </c>
      <c r="E13" s="8" t="inlineStr">
        <is>
          <t>k = m/(1−m)；m = k/(1+k)</t>
        </is>
      </c>
    </row>
    <row r="14">
      <c r="A14" s="26" t="inlineStr">
        <is>
          <t>F10</t>
        </is>
      </c>
      <c r="B14" s="5" t="inlineStr">
        <is>
          <t>外币单价</t>
        </is>
      </c>
      <c r="C14" s="46" t="inlineStr">
        <is>
          <t>P_fx = P ÷ (CNY/1 外币)</t>
        </is>
      </c>
      <c r="D14" s="38">
        <f>IFERROR('05 FOB-CFR-CIF报价'!$G$8,"")</f>
        <v/>
      </c>
      <c r="E14" s="8" t="inlineStr">
        <is>
          <t>汇率由用户提供</t>
        </is>
      </c>
    </row>
    <row r="15">
      <c r="A15" s="26" t="inlineStr">
        <is>
          <t>F11</t>
        </is>
      </c>
      <c r="B15" s="5" t="inlineStr">
        <is>
          <t>外币总额</t>
        </is>
      </c>
      <c r="C15" s="46" t="inlineStr">
        <is>
          <t>Total_fx = P_fx × 数量</t>
        </is>
      </c>
      <c r="D15" s="38">
        <f>IFERROR('05 FOB-CFR-CIF报价'!$H$8,"")</f>
        <v/>
      </c>
      <c r="E15" s="8" t="inlineStr"/>
    </row>
    <row r="16">
      <c r="A16" s="26" t="inlineStr">
        <is>
          <t>F12</t>
        </is>
      </c>
      <c r="B16" s="5" t="inlineStr">
        <is>
          <t>出口退税（参考）</t>
        </is>
      </c>
      <c r="C16" s="46" t="inlineStr">
        <is>
          <t>生产企业：离岸价 × 汇率 × 退税率；外贸企业：购进金额 × 退税率</t>
        </is>
      </c>
      <c r="D16" s="38">
        <f>IF(OR('01 基础参数'!$B$34="",NOT(ISNUMBER('04 术语成本'!$D$17)),NOT(ISNUMBER('01 基础参数'!$B$15))),"",IF('01 基础参数'!$B$36="是",'04 术语成本'!$D$17/(1+'01 基础参数'!$B$35)*'01 基础参数'!$B$34*'01 基础参数'!$B$15,'04 术语成本'!$D$17*'01 基础参数'!$B$34*'01 基础参数'!$B$15))</f>
        <v/>
      </c>
      <c r="E16" s="8" t="inlineStr">
        <is>
          <t>单列，不自动抵减成本</t>
        </is>
      </c>
    </row>
    <row r="18" ht="22" customHeight="1">
      <c r="A18" s="3" t="inlineStr">
        <is>
          <t>校验面板</t>
        </is>
      </c>
    </row>
    <row r="19" ht="30" customHeight="1">
      <c r="A19" s="4" t="inlineStr">
        <is>
          <t>编号</t>
        </is>
      </c>
      <c r="B19" s="4" t="inlineStr">
        <is>
          <t>校验项</t>
        </is>
      </c>
      <c r="C19" s="4" t="inlineStr">
        <is>
          <t>断言</t>
        </is>
      </c>
      <c r="D19" s="4" t="inlineStr">
        <is>
          <t>结果</t>
        </is>
      </c>
      <c r="E19" s="4" t="inlineStr">
        <is>
          <t>不通过怎么办</t>
        </is>
      </c>
    </row>
    <row r="20">
      <c r="A20" s="26" t="inlineStr">
        <is>
          <t>C1</t>
        </is>
      </c>
      <c r="B20" s="5" t="inlineStr">
        <is>
          <t>CFR = FOB + 运费</t>
        </is>
      </c>
      <c r="C20" s="46" t="inlineStr">
        <is>
          <t>IF(ABS('04 术语成本'!$D$18-('04 术语成本'!$D$17+'04 术语成本'!$D$10))&lt;0.000001,"PASS","FAIL")</t>
        </is>
      </c>
      <c r="D20" s="35">
        <f>IF(ABS('04 术语成本'!$D$18-('04 术语成本'!$D$17+'04 术语成本'!$D$10))&lt;0.000001,"PASS","FAIL")</f>
        <v/>
      </c>
      <c r="E20" s="8" t="inlineStr">
        <is>
          <t>检查 03 表海运费是否被重复计入</t>
        </is>
      </c>
    </row>
    <row r="21">
      <c r="A21" s="26" t="inlineStr">
        <is>
          <t>C2</t>
        </is>
      </c>
      <c r="B21" s="5" t="inlineStr">
        <is>
          <t>CIF = CFR + 保险费</t>
        </is>
      </c>
      <c r="C21" s="46" t="inlineStr">
        <is>
          <t>IF(ABS('04 术语成本'!$D$19-('04 术语成本'!$D$18+'04 术语成本'!$D$13))&lt;0.000001,"PASS","FAIL")</t>
        </is>
      </c>
      <c r="D21" s="35">
        <f>IF(ABS('04 术语成本'!$D$19-('04 术语成本'!$D$18+'04 术语成本'!$D$13))&lt;0.000001,"PASS","FAIL")</f>
        <v/>
      </c>
      <c r="E21" s="8" t="inlineStr">
        <is>
          <t>检查保险费是否被重复或漏计</t>
        </is>
      </c>
    </row>
    <row r="22">
      <c r="A22" s="26" t="inlineStr">
        <is>
          <t>C3</t>
        </is>
      </c>
      <c r="B22" s="5" t="inlineStr">
        <is>
          <t>保险费 = CIF×110%×费率</t>
        </is>
      </c>
      <c r="C22" s="46" t="inlineStr">
        <is>
          <t>IF(ABS('04 术语成本'!$D$13-'04 术语成本'!$D$19*1.1*('03 费用明细'!$E$12/100))&lt;0.0001,"PASS","FAIL")</t>
        </is>
      </c>
      <c r="D22" s="35">
        <f>IF(ABS('04 术语成本'!$D$13-'04 术语成本'!$D$19*1.1*('03 费用明细'!$E$12/100))&lt;0.0001,"PASS","FAIL")</f>
        <v/>
      </c>
      <c r="E22" s="8" t="inlineStr">
        <is>
          <t>检查保险费公式是否仍为自洽解</t>
        </is>
      </c>
    </row>
    <row r="23">
      <c r="A23" s="26" t="inlineStr">
        <is>
          <t>C4</t>
        </is>
      </c>
      <c r="B23" s="5" t="inlineStr">
        <is>
          <t>(1+k)(1−m) = 1</t>
        </is>
      </c>
      <c r="C23" s="46" t="inlineStr">
        <is>
          <t>IF(ABS((1+(10-6)/6)*(1-(10-6)/10)-1)&lt;0.000001,"PASS","FAIL")</t>
        </is>
      </c>
      <c r="D23" s="35">
        <f>IF(ABS((1+(10-6)/6)*(1-(10-6)/10)-1)&lt;0.000001,"PASS","FAIL")</f>
        <v/>
      </c>
      <c r="E23" s="8" t="inlineStr">
        <is>
          <t>检查毛利率与加成率口径是否混用</t>
        </is>
      </c>
    </row>
    <row r="24">
      <c r="A24" s="26" t="inlineStr">
        <is>
          <t>C5</t>
        </is>
      </c>
      <c r="B24" s="5" t="inlineStr">
        <is>
          <t>数量已填</t>
        </is>
      </c>
      <c r="C24" s="46" t="inlineStr">
        <is>
          <t>IF(ISNUMBER('01 基础参数'!$B$15),"PASS","FAIL")</t>
        </is>
      </c>
      <c r="D24" s="35">
        <f>IF(ISNUMBER('01 基础参数'!$B$15),"PASS","FAIL")</f>
        <v/>
      </c>
      <c r="E24" s="8" t="inlineStr">
        <is>
          <t>在 01 表填出口数量</t>
        </is>
      </c>
    </row>
    <row r="25">
      <c r="A25" s="26" t="inlineStr">
        <is>
          <t>C6</t>
        </is>
      </c>
      <c r="B25" s="5" t="inlineStr">
        <is>
          <t>汇率已填</t>
        </is>
      </c>
      <c r="C25" s="46" t="inlineStr">
        <is>
          <t>IF(AND(ISNUMBER('01 基础参数'!$B$25),'01 基础参数'!$B$25&gt;0),"PASS","FAIL")</t>
        </is>
      </c>
      <c r="D25" s="35">
        <f>IF(AND(ISNUMBER('01 基础参数'!$B$25),'01 基础参数'!$B$25&gt;0),"PASS","FAIL")</f>
        <v/>
      </c>
      <c r="E25" s="8" t="inlineStr">
        <is>
          <t>在 01 表填报价币种汇率</t>
        </is>
      </c>
    </row>
    <row r="26">
      <c r="A26" s="26" t="inlineStr">
        <is>
          <t>C7</t>
        </is>
      </c>
      <c r="B26" s="5" t="inlineStr">
        <is>
          <t>成本项完整（无待查询）</t>
        </is>
      </c>
      <c r="C26" s="46" t="inlineStr">
        <is>
          <t>COUNTBLANK(03 表 E 列关键行) = 0</t>
        </is>
      </c>
      <c r="D26" s="35">
        <f>IF(COUNTBLANK('03 费用明细'!$E$9)+COUNTBLANK('03 费用明细'!$E$12)+COUNTBLANK('03 费用明细'!$E$10)=0,"PASS","FAIL")</f>
        <v/>
      </c>
      <c r="E26" s="8" t="inlineStr">
        <is>
          <t>在 03 表补齐 10 表所列项目</t>
        </is>
      </c>
    </row>
    <row r="28">
      <c r="A28" s="18" t="inlineStr">
        <is>
          <t>本表公式与 HTML 计算器、scripts/calc_engine.py 完全同源；三处任何一处结果不一致，说明有人手改了中间值。
Excel 重算方式：改 01 表汇率/毛利或 03 表任一费用 → 全表联动（含 05、06、08、09、11）。
若某单元格显示「— 待补数据」或空白，请先看 10 表缺什么，不要用 0 顶替。</t>
        </is>
      </c>
    </row>
    <row r="29"/>
    <row r="30"/>
    <row r="31"/>
  </sheetData>
  <mergeCells count="4">
    <mergeCell ref="A2:E2"/>
    <mergeCell ref="A1:E1"/>
    <mergeCell ref="A18:E18"/>
    <mergeCell ref="A28:E31"/>
  </mergeCells>
  <conditionalFormatting sqref="D20">
    <cfRule type="cellIs" priority="1" operator="equal" dxfId="1">
      <formula>"PASS"</formula>
    </cfRule>
    <cfRule type="cellIs" priority="2" operator="equal" dxfId="2">
      <formula>"FAIL"</formula>
    </cfRule>
  </conditionalFormatting>
  <conditionalFormatting sqref="D21">
    <cfRule type="cellIs" priority="3" operator="equal" dxfId="1">
      <formula>"PASS"</formula>
    </cfRule>
    <cfRule type="cellIs" priority="4" operator="equal" dxfId="2">
      <formula>"FAIL"</formula>
    </cfRule>
  </conditionalFormatting>
  <conditionalFormatting sqref="D22">
    <cfRule type="cellIs" priority="5" operator="equal" dxfId="1">
      <formula>"PASS"</formula>
    </cfRule>
    <cfRule type="cellIs" priority="6" operator="equal" dxfId="2">
      <formula>"FAIL"</formula>
    </cfRule>
  </conditionalFormatting>
  <conditionalFormatting sqref="D23">
    <cfRule type="cellIs" priority="7" operator="equal" dxfId="1">
      <formula>"PASS"</formula>
    </cfRule>
    <cfRule type="cellIs" priority="8" operator="equal" dxfId="2">
      <formula>"FAIL"</formula>
    </cfRule>
  </conditionalFormatting>
  <conditionalFormatting sqref="D24">
    <cfRule type="cellIs" priority="9" operator="equal" dxfId="1">
      <formula>"PASS"</formula>
    </cfRule>
    <cfRule type="cellIs" priority="10" operator="equal" dxfId="2">
      <formula>"FAIL"</formula>
    </cfRule>
  </conditionalFormatting>
  <conditionalFormatting sqref="D25">
    <cfRule type="cellIs" priority="11" operator="equal" dxfId="1">
      <formula>"PASS"</formula>
    </cfRule>
    <cfRule type="cellIs" priority="12" operator="equal" dxfId="2">
      <formula>"FAIL"</formula>
    </cfRule>
  </conditionalFormatting>
  <conditionalFormatting sqref="D26">
    <cfRule type="cellIs" priority="13" operator="equal" dxfId="1">
      <formula>"PASS"</formula>
    </cfRule>
    <cfRule type="cellIs" priority="14" operator="equal" dxfId="2">
      <formula>"FAIL"</formula>
    </cfRule>
  </conditionalFormatting>
  <pageMargins left="0.75" right="0.75" top="1" bottom="1" header="0.5" footer="0.5"/>
  <pageSetup orientation="landscape" fitToWidth="1"/>
</worksheet>
</file>

<file path=xl/worksheets/sheet12.xml><?xml version="1.0" encoding="utf-8"?>
<worksheet xmlns="http://schemas.openxmlformats.org/spreadsheetml/2006/main">
  <sheetPr>
    <tabColor rgb="0022C98A"/>
    <outlinePr summaryBelow="1" summaryRight="1"/>
    <pageSetUpPr fitToPage="1"/>
  </sheetPr>
  <dimension ref="A1:F28"/>
  <sheetViews>
    <sheetView showGridLines="0" workbookViewId="0">
      <selection activeCell="A1" sqref="A1"/>
    </sheetView>
  </sheetViews>
  <sheetFormatPr baseColWidth="8" defaultRowHeight="15"/>
  <sheetData>
    <row r="1" ht="34" customHeight="1">
      <c r="A1" s="1" t="inlineStr">
        <is>
          <t>12 英文报价草稿（需人工确认后发送）</t>
        </is>
      </c>
    </row>
    <row r="2" ht="22" customHeight="1">
      <c r="A2" s="2" t="inlineStr">
        <is>
          <t>数字全部引用 05 表；灰底 CANNOT-SEND 区块必须删除或替换后才能外发</t>
        </is>
      </c>
    </row>
    <row r="4">
      <c r="A4" s="5" t="inlineStr">
        <is>
          <t>Ref.</t>
        </is>
      </c>
      <c r="B4" s="47">
        <f>CONCATENATE("Q-",TEXT(TODAY(),"YYYYMMDD"))</f>
        <v/>
      </c>
      <c r="C4" s="48" t="n"/>
      <c r="D4" s="49" t="n"/>
    </row>
    <row r="5">
      <c r="A5" s="5" t="inlineStr">
        <is>
          <t>Commodity</t>
        </is>
      </c>
      <c r="B5" s="6" t="inlineStr">
        <is>
          <t>Sodium Carbonate Heavy Ash (Soda Ash Dense)</t>
        </is>
      </c>
      <c r="C5" s="48" t="n"/>
      <c r="D5" s="49" t="n"/>
    </row>
    <row r="6">
      <c r="A6" s="5" t="inlineStr">
        <is>
          <t>HS Code</t>
        </is>
      </c>
      <c r="B6" s="6" t="inlineStr">
        <is>
          <t>2836200000</t>
        </is>
      </c>
    </row>
    <row r="7">
      <c r="A7" s="5" t="inlineStr">
        <is>
          <t>Specification</t>
        </is>
      </c>
      <c r="B7" s="6" t="inlineStr">
        <is>
          <t>Na2CO3 ≥ 99.2%，堆积密度 ~1.0 g/cm³，工业级，25kg 覆膜编织袋</t>
        </is>
      </c>
      <c r="C7" s="48" t="n"/>
      <c r="D7" s="49" t="n"/>
    </row>
    <row r="8">
      <c r="A8" s="5" t="inlineStr">
        <is>
          <t>Quantity</t>
        </is>
      </c>
      <c r="B8" s="50">
        <f>'01 基础参数'!$B$15</f>
        <v/>
      </c>
      <c r="C8" s="6" t="inlineStr">
        <is>
          <t>MT</t>
        </is>
      </c>
    </row>
    <row r="9">
      <c r="A9" s="5" t="inlineStr">
        <is>
          <t>Loading port</t>
        </is>
      </c>
      <c r="B9" s="6" t="inlineStr">
        <is>
          <t>青岛港 Qingdao (CNQDG)</t>
        </is>
      </c>
    </row>
    <row r="10">
      <c r="A10" s="5" t="inlineStr">
        <is>
          <t>Destination</t>
        </is>
      </c>
      <c r="B10" s="6" t="inlineStr">
        <is>
          <t>雅加达港 Jakarta (IDJKT)</t>
        </is>
      </c>
    </row>
    <row r="12" ht="30" customHeight="1">
      <c r="A12" s="4" t="inlineStr">
        <is>
          <t>Incoterms® 2020</t>
        </is>
      </c>
      <c r="B12" s="4" t="inlineStr">
        <is>
          <t>Unit price</t>
        </is>
      </c>
      <c r="C12" s="4" t="inlineStr">
        <is>
          <t>Currency</t>
        </is>
      </c>
      <c r="D12" s="4" t="inlineStr">
        <is>
          <t>Amount</t>
        </is>
      </c>
      <c r="E12" s="4" t="inlineStr"/>
      <c r="F12" s="4" t="inlineStr"/>
    </row>
    <row r="13">
      <c r="A13" s="35" t="inlineStr">
        <is>
          <t>FOB</t>
        </is>
      </c>
      <c r="B13" s="38">
        <f>'05 FOB-CFR-CIF报价'!$G$6</f>
        <v/>
      </c>
      <c r="C13" s="39">
        <f>'01 基础参数'!$B$24</f>
        <v/>
      </c>
      <c r="D13" s="38">
        <f>'05 FOB-CFR-CIF报价'!$H$6</f>
        <v/>
      </c>
    </row>
    <row r="14">
      <c r="A14" s="35" t="inlineStr">
        <is>
          <t>CFR</t>
        </is>
      </c>
      <c r="B14" s="38">
        <f>'05 FOB-CFR-CIF报价'!$G$7</f>
        <v/>
      </c>
      <c r="C14" s="39">
        <f>'01 基础参数'!$B$24</f>
        <v/>
      </c>
      <c r="D14" s="38">
        <f>'05 FOB-CFR-CIF报价'!$H$7</f>
        <v/>
      </c>
    </row>
    <row r="15">
      <c r="A15" s="35" t="inlineStr">
        <is>
          <t>CIF</t>
        </is>
      </c>
      <c r="B15" s="38">
        <f>'05 FOB-CFR-CIF报价'!$G$8</f>
        <v/>
      </c>
      <c r="C15" s="39">
        <f>'01 基础参数'!$B$24</f>
        <v/>
      </c>
      <c r="D15" s="38">
        <f>'05 FOB-CFR-CIF报价'!$H$8</f>
        <v/>
      </c>
    </row>
    <row r="17">
      <c r="A17" s="20" t="inlineStr">
        <is>
          <t>1. Price basis: Incoterms® 2020 as stated above.</t>
        </is>
      </c>
    </row>
    <row r="18">
      <c r="A18" s="20" t="inlineStr">
        <is>
          <t>2. Risk transfer (FOB/CFR/CIF): when the goods are placed on board the vessel at the port of shipment.</t>
        </is>
      </c>
    </row>
    <row r="19">
      <c r="A19" s="20" t="inlineStr">
        <is>
          <t>3. Insurance (CIF only): shall cover 110% of the invoice value, Institute Cargo Clauses (C) unless otherwise agreed. [CONFIRM required clauses with buyer]</t>
        </is>
      </c>
    </row>
    <row r="20">
      <c r="A20" s="20" t="inlineStr">
        <is>
          <t>4. Payment: [TO BE CONFIRMED].</t>
        </is>
      </c>
    </row>
    <row r="21">
      <c r="A21" s="20" t="inlineStr">
        <is>
          <t>5. Packing: [TO BE CONFIRMED].</t>
        </is>
      </c>
    </row>
    <row r="22">
      <c r="A22" s="20" t="inlineStr">
        <is>
          <t>6. Shipment: [TO BE CONFIRMED].</t>
        </is>
      </c>
    </row>
    <row r="23">
      <c r="A23" s="20" t="inlineStr">
        <is>
          <t>7. Validity: [TO BE CONFIRMED] — freight and exchange rate are the main moving parts.</t>
        </is>
      </c>
    </row>
    <row r="24">
      <c r="A24" s="20" t="inlineStr">
        <is>
          <t>8. Origin: China. [Confirm whether a Certificate of Origin / preferential origin document is applicable]</t>
        </is>
      </c>
    </row>
    <row r="25">
      <c r="A25" s="51" t="inlineStr">
        <is>
          <t>INTERNAL NOTE — REMOVE BEFORE SENDING
• 本报价由销售设定的成本、汇率、毛利口径计算，非系统推荐价。
• 任何标记 SIMULATED 的运杂费/保险费必须替换为真实报价后重算（见 10 表）。
• 出口关税、目的国进口关税与原产地优惠须单独核实，本表不自动假定为 0。</t>
        </is>
      </c>
    </row>
    <row r="26"/>
    <row r="27"/>
    <row r="28"/>
  </sheetData>
  <mergeCells count="14">
    <mergeCell ref="A24:F24"/>
    <mergeCell ref="A2:F2"/>
    <mergeCell ref="B5:D5"/>
    <mergeCell ref="A25:F28"/>
    <mergeCell ref="A19:F19"/>
    <mergeCell ref="A1:F1"/>
    <mergeCell ref="A23:F23"/>
    <mergeCell ref="B4:D4"/>
    <mergeCell ref="A22:F22"/>
    <mergeCell ref="A17:F17"/>
    <mergeCell ref="A18:F18"/>
    <mergeCell ref="A20:F20"/>
    <mergeCell ref="B7:D7"/>
    <mergeCell ref="A21:F21"/>
  </mergeCells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2026-10-19T10:51:11Z</dcterms:created>
  <dcterms:modified xmlns:dcterms="http://purl.org/dc/terms/" xmlns:xsi="http://www.w3.org/2001/XMLSchema-instance" xsi:type="dcterms:W3CDTF">2026-10-19T10:51:11Z</dcterms:modified>
</cp:coreProperties>
</file>
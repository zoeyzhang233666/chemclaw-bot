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" sheetId="1" state="visible" r:id="rId1"/>
    <sheet xmlns:r="http://schemas.openxmlformats.org/officeDocument/2006/relationships" name="01 概念与口径" sheetId="2" state="visible" r:id="rId2"/>
    <sheet xmlns:r="http://schemas.openxmlformats.org/officeDocument/2006/relationships" name="02 公式与校验" sheetId="3" state="visible" r:id="rId3"/>
    <sheet xmlns:r="http://schemas.openxmlformats.org/officeDocument/2006/relationships" name="03 库存序列" sheetId="4" state="visible" r:id="rId4"/>
    <sheet xmlns:r="http://schemas.openxmlformats.org/officeDocument/2006/relationships" name="04 价格与基差" sheetId="5" state="visible" r:id="rId5"/>
    <sheet xmlns:r="http://schemas.openxmlformats.org/officeDocument/2006/relationships" name="05 月差与换月" sheetId="6" state="visible" r:id="rId6"/>
    <sheet xmlns:r="http://schemas.openxmlformats.org/officeDocument/2006/relationships" name="06 运营指标" sheetId="7" state="visible" r:id="rId7"/>
    <sheet xmlns:r="http://schemas.openxmlformats.org/officeDocument/2006/relationships" name="07 进口扳平" sheetId="8" state="visible" r:id="rId8"/>
    <sheet xmlns:r="http://schemas.openxmlformats.org/officeDocument/2006/relationships" name="08 案例核对" sheetId="9" state="visible" r:id="rId9"/>
    <sheet xmlns:r="http://schemas.openxmlformats.org/officeDocument/2006/relationships" name="09 事实与推断" sheetId="10" state="visible" r:id="rId10"/>
    <sheet xmlns:r="http://schemas.openxmlformats.org/officeDocument/2006/relationships" name="10 数据缺口" sheetId="11" state="visible" r:id="rId11"/>
    <sheet xmlns:r="http://schemas.openxmlformats.org/officeDocument/2006/relationships" name="11 来源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00"/>
    <numFmt numFmtId="166" formatCode="yyyy-mm-dd"/>
    <numFmt numFmtId="167" formatCode="+#,##0.00;-#,##0.00"/>
    <numFmt numFmtId="168" formatCode="+#,##0;-#,##0"/>
    <numFmt numFmtId="169" formatCode="0.0000"/>
  </numFmts>
  <fonts count="9">
    <font>
      <name val="Calibri"/>
      <family val="2"/>
      <color theme="1"/>
      <sz val="11"/>
      <scheme val="minor"/>
    </font>
    <font>
      <name val="微软雅黑"/>
      <b val="1"/>
      <color rgb="000A2F6E"/>
      <sz val="15"/>
    </font>
    <font>
      <name val="微软雅黑"/>
      <color rgb="004B5563"/>
      <sz val="10"/>
    </font>
    <font>
      <name val="微软雅黑"/>
      <b val="1"/>
      <color rgb="000A2F6E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i val="1"/>
      <color rgb="006B7280"/>
      <sz val="10"/>
    </font>
    <font>
      <name val="微软雅黑"/>
      <color rgb="001554D1"/>
      <sz val="9"/>
      <u val="single"/>
    </font>
  </fonts>
  <fills count="10">
    <fill>
      <patternFill/>
    </fill>
    <fill>
      <patternFill patternType="gray125"/>
    </fill>
    <fill>
      <patternFill patternType="solid">
        <fgColor rgb="000A2F6E"/>
      </patternFill>
    </fill>
    <fill>
      <patternFill patternType="solid">
        <fgColor rgb="00F2F6FD"/>
      </patternFill>
    </fill>
    <fill>
      <patternFill patternType="solid">
        <fgColor rgb="00FFF9C4"/>
      </patternFill>
    </fill>
    <fill>
      <patternFill patternType="solid">
        <fgColor rgb="001554D1"/>
      </patternFill>
    </fill>
    <fill>
      <patternFill patternType="solid">
        <fgColor rgb="00EAF7EF"/>
      </patternFill>
    </fill>
    <fill>
      <patternFill patternType="solid">
        <fgColor rgb="00FFF0F0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8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www.quheqihuo.com/news/202610144496175.html" TargetMode="External" Id="rId1"/><Relationship Type="http://schemas.openxmlformats.org/officeDocument/2006/relationships/hyperlink" Target="https://caifuhao.eastmoney.com/news/20261015113013085646790" TargetMode="External" Id="rId2"/><Relationship Type="http://schemas.openxmlformats.org/officeDocument/2006/relationships/hyperlink" Target="https://nenghua.mysteel.com/a/26101417/7F1D90E9FC389FAD.html" TargetMode="External" Id="rId3"/><Relationship Type="http://schemas.openxmlformats.org/officeDocument/2006/relationships/hyperlink" Target="https://news.10jqka.com.cn/20261009/c680502860.shtml" TargetMode="External" Id="rId4"/><Relationship Type="http://schemas.openxmlformats.org/officeDocument/2006/relationships/hyperlink" Target="https://nenghua.mysteel.com/a/26101212/21E0CE2EF1E7E2C1.html" TargetMode="External" Id="rId5"/><Relationship Type="http://schemas.openxmlformats.org/officeDocument/2006/relationships/hyperlink" Target="https://www.mysteel.com/hot/1596718.html" TargetMode="External" Id="rId6"/><Relationship Type="http://schemas.openxmlformats.org/officeDocument/2006/relationships/hyperlink" Target="https://nenghua.mysteel.com/a/26101516/76D39EFE84DF34F1.html" TargetMode="External" Id="rId7"/><Relationship Type="http://schemas.openxmlformats.org/officeDocument/2006/relationships/hyperlink" Target="https://nenghua.mysteel.com/a/26101616/F4B5B0ED719820FF.html" TargetMode="External" Id="rId8"/><Relationship Type="http://schemas.openxmlformats.org/officeDocument/2006/relationships/hyperlink" Target="https://nenghua.mysteel.com/a/26101018/50A20C317451E09A.html" TargetMode="External" Id="rId9"/><Relationship Type="http://schemas.openxmlformats.org/officeDocument/2006/relationships/hyperlink" Target="https://nenghua.mysteel.com/a/26101608/1F97C66214371B95.html" TargetMode="External" Id="rId10"/><Relationship Type="http://schemas.openxmlformats.org/officeDocument/2006/relationships/hyperlink" Target="https://nenghua.mysteel.com/a/26101411/E966DD36BC392621.html" TargetMode="External" Id="rId11"/><Relationship Type="http://schemas.openxmlformats.org/officeDocument/2006/relationships/hyperlink" Target="https://www.mysteel.com/hot/1596718.html" TargetMode="External" Id="rId12"/><Relationship Type="http://schemas.openxmlformats.org/officeDocument/2006/relationships/hyperlink" Target="https://www.mysteel.com/hot/1621911.html" TargetMode="External" Id="rId13"/><Relationship Type="http://schemas.openxmlformats.org/officeDocument/2006/relationships/hyperlink" Target="https://finance.sina.com.cn/futures/quotes/MA0.shtml" TargetMode="External" Id="rId14"/><Relationship Type="http://schemas.openxmlformats.org/officeDocument/2006/relationships/hyperlink" Target="https://nenghua.mysteel.com/a/26101917/746DCCBEB3D25B28.html" TargetMode="External" Id="rId15"/><Relationship Type="http://schemas.openxmlformats.org/officeDocument/2006/relationships/hyperlink" Target="https://nenghua.mysteel.com/a/26101617/3ABCF1795C2B967B.html" TargetMode="External" Id="rId16"/><Relationship Type="http://schemas.openxmlformats.org/officeDocument/2006/relationships/hyperlink" Target="https://finance.eastmoney.com/a/202610123892446898.html" TargetMode="External" Id="rId17"/><Relationship Type="http://schemas.openxmlformats.org/officeDocument/2006/relationships/hyperlink" Target="https://finance.eastmoney.com/a/202610153896108971.html" TargetMode="External" Id="rId18"/><Relationship Type="http://schemas.openxmlformats.org/officeDocument/2006/relationships/hyperlink" Target="https://www.quheqihuo.com/jiachun/" TargetMode="External" Id="rId19"/><Relationship Type="http://schemas.openxmlformats.org/officeDocument/2006/relationships/hyperlink" Target="https://www.quheqihuo.com/jiachun/" TargetMode="External" Id="rId20"/><Relationship Type="http://schemas.openxmlformats.org/officeDocument/2006/relationships/hyperlink" Target="https://news.10jqka.com.cn/20260721/c678318722.shtml" TargetMode="External" Id="rId21"/><Relationship Type="http://schemas.openxmlformats.org/officeDocument/2006/relationships/hyperlink" Target="https://finance.sina.com.cn/money/future/fmnews/2026-07-16/doc-inihycsn1248836.shtml" TargetMode="External" Id="rId22"/><Relationship Type="http://schemas.openxmlformats.org/officeDocument/2006/relationships/hyperlink" Target="https://goodsfu.10jqka.com.cn/20260812/c678891712.shtml" TargetMode="External" Id="rId23"/><Relationship Type="http://schemas.openxmlformats.org/officeDocument/2006/relationships/hyperlink" Target="https://news.10jqka.com.cn/20260923/c680208424.shtml" TargetMode="External" Id="rId24"/><Relationship Type="http://schemas.openxmlformats.org/officeDocument/2006/relationships/hyperlink" Target="https://goodsfu.10jqka.com.cn/20251015/c671747946.shtml" TargetMode="External" Id="rId25"/><Relationship Type="http://schemas.openxmlformats.org/officeDocument/2006/relationships/hyperlink" Target="https://nenghua.mysteel.com/a/26101916/6D7CFE60FA75835A.html" TargetMode="External" Id="rId26"/><Relationship Type="http://schemas.openxmlformats.org/officeDocument/2006/relationships/hyperlink" Target="https://nenghua.mysteel.com/a/26101917/1765F07239FA035B.html" TargetMode="External" Id="rId27"/><Relationship Type="http://schemas.openxmlformats.org/officeDocument/2006/relationships/hyperlink" Target="https://news.10jqka.com.cn/20260819/c679081417.shtml" TargetMode="External" Id="rId28"/><Relationship Type="http://schemas.openxmlformats.org/officeDocument/2006/relationships/hyperlink" Target="https://nenghua.mysteel.com/a/26101512/BBD9142D8BCD3F0F.html" TargetMode="External" Id="rId29"/><Relationship Type="http://schemas.openxmlformats.org/officeDocument/2006/relationships/hyperlink" Target="https://nenghua.mysteel.com/a/26093016/EDA6E9BDB3DC3D32.html" TargetMode="External" Id="rId30"/><Relationship Type="http://schemas.openxmlformats.org/officeDocument/2006/relationships/hyperlink" Target="https://www.gov.cn/gzdt/2011-10/12/content_1967043.htm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甲醇 · 期现问题解释工作簿</t>
        </is>
      </c>
    </row>
    <row r="2">
      <c r="A2" s="2" t="inlineStr">
        <is>
          <t>场景18：用通俗语言解释一个期现问题</t>
        </is>
      </c>
    </row>
    <row r="4" ht="18" customHeight="1">
      <c r="A4" s="3" t="inlineStr">
        <is>
          <t>核心问题</t>
        </is>
      </c>
      <c r="B4" s="4" t="inlineStr">
        <is>
          <t>甲醇港口库存下降，为什么甲醇价格仍然可能下跌？</t>
        </is>
      </c>
    </row>
    <row r="5" ht="18" customHeight="1">
      <c r="A5" s="3" t="inlineStr">
        <is>
          <t>品种/合约</t>
        </is>
      </c>
      <c r="B5" s="4" t="inlineStr">
        <is>
          <t>甲醇（郑州商品交易所(CZCE)）｜当前合约 MA2701（2027年1月）；10月16日之前主力为 MA2611</t>
        </is>
      </c>
    </row>
    <row r="6" ht="18" customHeight="1">
      <c r="A6" s="3" t="inlineStr">
        <is>
          <t>现货口径</t>
        </is>
      </c>
      <c r="B6" s="4" t="inlineStr">
        <is>
          <t>江苏太仓（华东主流市场与主要交割地）｜现货：出库现汇、含13%增值税；期货：郑商所甲醇报价为含税价，二者口径一致可比</t>
        </is>
      </c>
    </row>
    <row r="7" ht="18" customHeight="1">
      <c r="A7" s="3" t="inlineStr">
        <is>
          <t>数据截至</t>
        </is>
      </c>
      <c r="B7" s="4" t="inlineStr">
        <is>
          <t>2026-10-19（期货日线）/ 2026-10-20（部分现货快讯）</t>
        </is>
      </c>
    </row>
    <row r="8" ht="18" customHeight="1">
      <c r="A8" s="3" t="inlineStr">
        <is>
          <t>生成时间</t>
        </is>
      </c>
      <c r="B8" s="4" t="inlineStr">
        <is>
          <t>2026-10-20 12:38</t>
        </is>
      </c>
    </row>
    <row r="9" ht="18" customHeight="1">
      <c r="A9" s="3" t="inlineStr"/>
      <c r="B9" s="4" t="inlineStr"/>
    </row>
    <row r="10" ht="30" customHeight="1">
      <c r="A10" s="3" t="inlineStr">
        <is>
          <t>一句话结论</t>
        </is>
      </c>
      <c r="B10" s="4" t="inlineStr">
        <is>
          <t>可以下跌，但要把'库存下降'和'价格下跌'放到同一个时间尺度上检验：这次核对窗口里，库存自10月8日统计期低点开始已经转为累库，价格下跌发生在'库存仍在历史低位'而不是'库存还在下降'的背景下。7月至10月8日库存确实从64.15万吨降到30.51万吨（-52%），但同一段时间价格是暴涨的。</t>
        </is>
      </c>
    </row>
    <row r="11" ht="30" customHeight="1">
      <c r="A11" s="3" t="inlineStr">
        <is>
          <t>并存核对</t>
        </is>
      </c>
      <c r="B11" s="4" t="inlineStr">
        <is>
          <t>NOT FOUND（同一周内'库存下降+价格下跌'未出现）：在本页核对的 2026-07-08 至 2026-10-14 周度序列中，与价格同向/反向逐一比对后，没有出现'某一周样本库存下降、而同一周主力价格下跌'的组合：9月的连续去库对应的是价格上涨；10/14 的累库对应的是价格回落。所以本题在本窗口内不能作为'库存降价格跌'的历史案例使用。</t>
        </is>
      </c>
    </row>
    <row r="12" ht="30" customHeight="1">
      <c r="A12" s="3" t="inlineStr">
        <is>
          <t>真正成立的表述</t>
        </is>
      </c>
      <c r="B12" s="4" t="inlineStr">
        <is>
          <t>真正成立的是：库存处于统计期最低（30.51万吨，较历史均值低66.87%）时，价格仍然可以跌 —— 因为低库存是一个'存量条件'，价格由'对流量的边际预期'定价，而流量端已经转向：到港从3.88→15.90万吨、江浙MTO负荷20.06%、国际周产量+4.16%。</t>
        </is>
      </c>
    </row>
    <row r="13" ht="18" customHeight="1">
      <c r="A13" s="3" t="inlineStr"/>
      <c r="B13" s="4" t="inlineStr"/>
    </row>
    <row r="14" ht="30" customHeight="1">
      <c r="A14" s="3" t="inlineStr">
        <is>
          <t>表结构</t>
        </is>
      </c>
      <c r="B14" s="4" t="inlineStr">
        <is>
          <t>01 概念与口径｜02 公式与校验｜03 库存序列｜04 价格与基差｜05 月差与换月｜06 运营指标｜07 进口扳平｜08 案例核对｜09 事实与推断｜10 数据缺口｜11 来源清单</t>
        </is>
      </c>
    </row>
    <row r="15" ht="18" customHeight="1">
      <c r="A15" s="3" t="inlineStr">
        <is>
          <t>使用规则</t>
        </is>
      </c>
      <c r="B15" s="4" t="inlineStr">
        <is>
          <t>本工作簿所有派生值都是 Excel 公式，改黄色输入单元格即可重算；灰色/红色标注的是估算值或缺口，不得当作事实引用。</t>
        </is>
      </c>
    </row>
    <row r="16" ht="30" customHeight="1">
      <c r="A16" s="3" t="inlineStr">
        <is>
          <t>免责声明</t>
        </is>
      </c>
      <c r="B16" s="4" t="inlineStr">
        <is>
          <t>所有数字均标注来源与日期；标 estimation / convention / interpretation 的内容不得当作已发生的事实。不构成投资建议。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60" customWidth="1" min="4" max="4"/>
    <col width="16" customWidth="1" min="5" max="5"/>
  </cols>
  <sheetData>
    <row r="1">
      <c r="A1" s="1" t="inlineStr">
        <is>
          <t>一、概念与口径：同一句话换个定义，结论可能相反</t>
        </is>
      </c>
    </row>
    <row r="2">
      <c r="A2" s="2" t="inlineStr">
        <is>
          <t>口径要素五件套：合约（谁的价）、地区（哪里的价）、品质（什么规格）、时间（哪一天的价）、税（含不含税）。缺一个，这句话都不成立。</t>
        </is>
      </c>
    </row>
    <row r="4" ht="26" customHeight="1">
      <c r="A4" s="5" t="inlineStr">
        <is>
          <t>术语</t>
        </is>
      </c>
      <c r="B4" s="5" t="inlineStr">
        <is>
          <t>一句话定义</t>
        </is>
      </c>
      <c r="C4" s="5" t="inlineStr">
        <is>
          <t>符号方向</t>
        </is>
      </c>
      <c r="D4" s="5" t="inlineStr">
        <is>
          <t>准确含义 / 常见陷阱</t>
        </is>
      </c>
      <c r="E4" s="5" t="inlineStr">
        <is>
          <t>本页口径</t>
        </is>
      </c>
    </row>
    <row r="5">
      <c r="A5" s="6" t="inlineStr">
        <is>
          <t>基差（主流口径）</t>
        </is>
      </c>
      <c r="B5" s="6" t="inlineStr">
        <is>
          <t>现货价 − 期货价</t>
        </is>
      </c>
      <c r="C5" s="6" t="inlineStr">
        <is>
          <t>正 = 现货升水；负 = 现货贴水</t>
        </is>
      </c>
      <c r="D5" s="6" t="inlineStr">
        <is>
          <t>国内期现研究默认口径。'基差走强' = 该差值变大（向正值方向移动）。必须先写明谁减谁，因为反过来的定义符号完全相反。</t>
        </is>
      </c>
      <c r="E5" s="6" t="inlineStr"/>
    </row>
    <row r="6">
      <c r="A6" s="6" t="inlineStr">
        <is>
          <t>基差（替代口径）</t>
        </is>
      </c>
      <c r="B6" s="6" t="inlineStr">
        <is>
          <t>期货价 − 现货价</t>
        </is>
      </c>
      <c r="C6" s="6" t="inlineStr">
        <is>
          <t>与上一条相反</t>
        </is>
      </c>
      <c r="D6" s="6" t="inlineStr">
        <is>
          <t>原油等品种常用。若同一份文件里口径混用，会把'走强'写成'走弱'，是最常见的低级错误。</t>
        </is>
      </c>
      <c r="E6" s="6" t="inlineStr"/>
    </row>
    <row r="7">
      <c r="A7" s="6" t="inlineStr">
        <is>
          <t>月差 MC</t>
        </is>
      </c>
      <c r="B7" s="6" t="inlineStr">
        <is>
          <t>远月合约价 − 近月合约价</t>
        </is>
      </c>
      <c r="C7" s="6" t="inlineStr">
        <is>
          <t>&gt;0 contango（近月贴水）；&lt;0 back（近月升水）</t>
        </is>
      </c>
      <c r="D7" s="6" t="inlineStr">
        <is>
          <t>同时必须写清是哪两个合约。MA 常见的近月-远月组合是 2611/2701、2701/2705。</t>
        </is>
      </c>
      <c r="E7" s="6" t="inlineStr"/>
    </row>
    <row r="8">
      <c r="A8" s="6" t="inlineStr">
        <is>
          <t>港口样本库存</t>
        </is>
      </c>
      <c r="B8" s="6" t="inlineStr">
        <is>
          <t>被统计样本库区在统计时点的在库量</t>
        </is>
      </c>
      <c r="C8" s="6" t="inlineStr">
        <is>
          <t>—</t>
        </is>
      </c>
      <c r="D8" s="6" t="inlineStr">
        <is>
          <t>甲醇是'样本港口库存'（华东+华南显性样本库），不等于全社会库存，也不等于可交割库存。</t>
        </is>
      </c>
      <c r="E8" s="6" t="inlineStr"/>
    </row>
    <row r="9">
      <c r="A9" s="6" t="inlineStr">
        <is>
          <t>周度库存变化</t>
        </is>
      </c>
      <c r="B9" s="6" t="inlineStr">
        <is>
          <t>本周库存 − 上周库存</t>
        </is>
      </c>
      <c r="C9" s="6" t="inlineStr">
        <is>
          <t>正 = 累库；负 = 去库</t>
        </is>
      </c>
      <c r="D9" s="6" t="inlineStr">
        <is>
          <t>甲醇库存是周度指标，各机构发布日不同（周三/周四）；'库存下降'必须配日期与周期。</t>
        </is>
      </c>
      <c r="E9" s="6" t="inlineStr"/>
    </row>
    <row r="10">
      <c r="A10" s="6" t="inlineStr">
        <is>
          <t>到港量</t>
        </is>
      </c>
      <c r="B10" s="6" t="inlineStr">
        <is>
          <t>统计周期内靠泊卸货量</t>
        </is>
      </c>
      <c r="C10" s="6" t="inlineStr">
        <is>
          <t>—</t>
        </is>
      </c>
      <c r="D10" s="6" t="inlineStr">
        <is>
          <t>分外轮（进口）与内贸船；只有'显性'部分计入样本库存，'非显性'部分在统计外。</t>
        </is>
      </c>
      <c r="E10" s="6" t="inlineStr"/>
    </row>
    <row r="11">
      <c r="A11" s="6" t="inlineStr">
        <is>
          <t>表观提货量</t>
        </is>
      </c>
      <c r="B11" s="6" t="inlineStr">
        <is>
          <t>到港量 − 库存净增</t>
        </is>
      </c>
      <c r="C11" s="6" t="inlineStr">
        <is>
          <t>—</t>
        </is>
      </c>
      <c r="D11" s="6" t="inlineStr">
        <is>
          <t>恒等式推导，只是流向近似，不是真实需求。</t>
        </is>
      </c>
      <c r="E11" s="6" t="inlineStr"/>
    </row>
    <row r="12">
      <c r="A12" s="6" t="inlineStr">
        <is>
          <t>CFR中国</t>
        </is>
      </c>
      <c r="B12" s="6" t="inlineStr">
        <is>
          <t>成本加运费到中国口岸的美元价</t>
        </is>
      </c>
      <c r="C12" s="6" t="inlineStr">
        <is>
          <t>—</t>
        </is>
      </c>
      <c r="D12" s="6" t="inlineStr">
        <is>
          <t>不含港杂、关税、增值税，必须换算成含税到岸成本才能与国内现货比。</t>
        </is>
      </c>
      <c r="E12" s="6" t="inlineStr"/>
    </row>
    <row r="13">
      <c r="A13" s="6" t="inlineStr">
        <is>
          <t>进口扳平价</t>
        </is>
      </c>
      <c r="B13" s="6" t="inlineStr">
        <is>
          <t>进口到岸含税成本</t>
        </is>
      </c>
      <c r="C13" s="6" t="inlineStr">
        <is>
          <t>国内价 − 到岸成本 = 进口盈亏</t>
        </is>
      </c>
      <c r="D13" s="6" t="inlineStr">
        <is>
          <t>由 CFR 乘汇率 乘 (1+关税5%) 再加海运保险与港杂，最后乘 (1+增值税13%) 得到。</t>
        </is>
      </c>
      <c r="E13" s="6" t="inlineStr"/>
    </row>
    <row r="14">
      <c r="A14" s="6" t="inlineStr">
        <is>
          <t>MTO</t>
        </is>
      </c>
      <c r="B14" s="6" t="inlineStr">
        <is>
          <t>甲醇制烯烃</t>
        </is>
      </c>
      <c r="C14" s="6" t="inlineStr">
        <is>
          <t>—</t>
        </is>
      </c>
      <c r="D14" s="6" t="inlineStr">
        <is>
          <t>甲醇最大下游。沿海外采型MTO对港口需求影响最大；MTO负反馈 = 烯烃亏损 → 降负荷 → 减少甲醇采购 → 港口提货下降。</t>
        </is>
      </c>
      <c r="E14" s="6" t="inlineStr"/>
    </row>
    <row r="15">
      <c r="A15" s="6" t="inlineStr">
        <is>
          <t>back / contango</t>
        </is>
      </c>
      <c r="B15" s="6" t="inlineStr">
        <is>
          <t>近月升水 / 近月贴水</t>
        </is>
      </c>
      <c r="C15" s="6" t="inlineStr">
        <is>
          <t>见月差</t>
        </is>
      </c>
      <c r="D15" s="6" t="inlineStr">
        <is>
          <t>back 常对应现货紧张；contango 需要期货价覆盖仓储+资金成本。</t>
        </is>
      </c>
      <c r="E15" s="6" t="inlineStr"/>
    </row>
    <row r="16">
      <c r="A16" s="6" t="inlineStr">
        <is>
          <t>合约换月</t>
        </is>
      </c>
      <c r="B16" s="6" t="inlineStr">
        <is>
          <t>主力从近月切换到远月</t>
        </is>
      </c>
      <c r="C16" s="6" t="inlineStr">
        <is>
          <t>—</t>
        </is>
      </c>
      <c r="D16" s="6" t="inlineStr">
        <is>
          <t>会造成价格跳空与持仓转移；跨换月比较绝对价格会失真，应比较涨跌幅或基差/月差。</t>
        </is>
      </c>
      <c r="E16" s="6" t="inlineStr"/>
    </row>
    <row r="18">
      <c r="A18" s="7" t="inlineStr">
        <is>
          <t>【口径五件套示例】</t>
        </is>
      </c>
      <c r="B18" s="7" t="inlineStr"/>
      <c r="C18" s="7" t="inlineStr"/>
      <c r="D18" s="7" t="inlineStr"/>
      <c r="E18" s="7" t="inlineStr"/>
    </row>
    <row r="19">
      <c r="A19" s="6" t="inlineStr">
        <is>
          <t>基差的口径</t>
        </is>
      </c>
      <c r="B19" s="6" t="inlineStr"/>
      <c r="C19" s="6" t="inlineStr"/>
      <c r="D19" s="6" t="inlineStr">
        <is>
          <t>现货减期货收盘（MA2701）；若换成结算价，同一交易日最多可差数百元。</t>
        </is>
      </c>
      <c r="E19" s="6" t="inlineStr"/>
    </row>
    <row r="20">
      <c r="A20" s="6" t="inlineStr">
        <is>
          <t>库存口径</t>
        </is>
      </c>
      <c r="B20" s="6" t="inlineStr"/>
      <c r="C20" s="6" t="inlineStr"/>
      <c r="D20" s="6" t="inlineStr">
        <is>
          <t>隆众样本港口库存（华东加华南显性样本库），周度发布，不等于全社会库存，也不等于可交割量。</t>
        </is>
      </c>
      <c r="E20" s="6" t="inlineStr"/>
    </row>
    <row r="21">
      <c r="A21" s="6" t="inlineStr">
        <is>
          <t>期货价格口径</t>
        </is>
      </c>
      <c r="B21" s="6" t="inlineStr"/>
      <c r="C21" s="6" t="inlineStr"/>
      <c r="D21" s="6" t="inlineStr">
        <is>
          <t>郑商所甲醇收盘价，含13%增值税，20吨/手，与现货同口径可比。</t>
        </is>
      </c>
      <c r="E21" s="6" t="inlineStr"/>
    </row>
    <row r="22">
      <c r="A22" s="6" t="inlineStr">
        <is>
          <t>现货价格口径</t>
        </is>
      </c>
      <c r="B22" s="6" t="inlineStr"/>
      <c r="C22" s="6" t="inlineStr"/>
      <c r="D22" s="6" t="inlineStr">
        <is>
          <t>太仓出库现汇含13%增值税，单位元/吨；10/16 为日内成交区间中值。</t>
        </is>
      </c>
      <c r="E22" s="6" t="inlineStr"/>
    </row>
    <row r="23">
      <c r="A23" s="6" t="inlineStr">
        <is>
          <t>时间口径</t>
        </is>
      </c>
      <c r="B23" s="6" t="inlineStr"/>
      <c r="C23" s="6" t="inlineStr"/>
      <c r="D23" s="6" t="inlineStr">
        <is>
          <t>库存按周（周三/周四发布）；期货按交易日；两者日期不同步，会导致“拐点对不齐”。</t>
        </is>
      </c>
      <c r="E2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二、公式与校验：每个公式都在本表里跑一遍</t>
        </is>
      </c>
    </row>
    <row r="2">
      <c r="A2" s="2" t="inlineStr">
        <is>
          <t>黄色为可改的输入；白色为公式；绿色=通过，红色=不通过。改输入后下面的校验结果会自动跟着变。</t>
        </is>
      </c>
    </row>
    <row r="4" ht="26" customHeight="1">
      <c r="A4" s="5" t="inlineStr">
        <is>
          <t>编号</t>
        </is>
      </c>
      <c r="B4" s="5" t="inlineStr">
        <is>
          <t>说明</t>
        </is>
      </c>
      <c r="C4" s="5" t="inlineStr">
        <is>
          <t>输入A</t>
        </is>
      </c>
      <c r="D4" s="5" t="inlineStr">
        <is>
          <t>输入B</t>
        </is>
      </c>
      <c r="E4" s="5" t="inlineStr">
        <is>
          <t>实算</t>
        </is>
      </c>
      <c r="F4" s="5" t="inlineStr">
        <is>
          <t>期望</t>
        </is>
      </c>
      <c r="G4" s="5" t="inlineStr">
        <is>
          <t>结果</t>
        </is>
      </c>
    </row>
    <row r="5">
      <c r="A5" s="6" t="inlineStr">
        <is>
          <t>F1</t>
        </is>
      </c>
      <c r="B5" s="6" t="inlineStr">
        <is>
          <t>库存周变化 = 本期 − 上期（万吨）</t>
        </is>
      </c>
      <c r="C5" s="8" t="n">
        <v>36.72</v>
      </c>
      <c r="D5" s="8" t="n">
        <v>30.51</v>
      </c>
      <c r="E5" s="9">
        <f>IFERROR(IF(OR(C5="",D5=""),"",C5-D5),"")</f>
        <v/>
      </c>
      <c r="F5" s="9" t="n">
        <v>6.21</v>
      </c>
      <c r="G5" s="10">
        <f>IF(OR(C5="",D5="",E5=""),"待填",IF(ABS(E5-F5)&lt;=0.011,"PASS","FAIL"))</f>
        <v/>
      </c>
    </row>
    <row r="6">
      <c r="A6" s="6" t="inlineStr">
        <is>
          <t>F2</t>
        </is>
      </c>
      <c r="B6" s="6" t="inlineStr">
        <is>
          <t>库存环比 = (本期−上期)/上期*100（%）</t>
        </is>
      </c>
      <c r="C6" s="8" t="n">
        <v>36.72</v>
      </c>
      <c r="D6" s="8" t="n">
        <v>30.51</v>
      </c>
      <c r="E6" s="9">
        <f>IFERROR(IF(OR(C6="",D6=""),"",(C6-D6)/D6*100),"")</f>
        <v/>
      </c>
      <c r="F6" s="9" t="n">
        <v>20.3523</v>
      </c>
      <c r="G6" s="10">
        <f>IF(OR(C6="",D6="",E6=""),"待填",IF(ABS(E6-F6)&lt;=0.011,"PASS","FAIL"))</f>
        <v/>
      </c>
    </row>
    <row r="7">
      <c r="A7" s="6" t="inlineStr">
        <is>
          <t>F3</t>
        </is>
      </c>
      <c r="B7" s="6" t="inlineStr">
        <is>
          <t>涨跌幅 = (末日−首日)/首日*100（%）</t>
        </is>
      </c>
      <c r="C7" s="8" t="n">
        <v>3143</v>
      </c>
      <c r="D7" s="8" t="n">
        <v>3338</v>
      </c>
      <c r="E7" s="9">
        <f>IFERROR(IF(OR(C7="",D7=""),"",(C7-D7)/D7*100),"")</f>
        <v/>
      </c>
      <c r="F7" s="9" t="n">
        <v>-5.8424</v>
      </c>
      <c r="G7" s="10">
        <f>IF(OR(C7="",D7="",E7=""),"待填",IF(ABS(E7-F7)&lt;=0.011,"PASS","FAIL"))</f>
        <v/>
      </c>
    </row>
    <row r="8">
      <c r="A8" s="6" t="inlineStr">
        <is>
          <t>F4</t>
        </is>
      </c>
      <c r="B8" s="6" t="inlineStr">
        <is>
          <t>基差 = 现货 − 期货收盘（元/吨）</t>
        </is>
      </c>
      <c r="C8" s="8" t="n">
        <v>3983</v>
      </c>
      <c r="D8" s="8" t="n">
        <v>3170</v>
      </c>
      <c r="E8" s="9">
        <f>IFERROR(IF(OR(C8="",D8=""),"",C8-D8),"")</f>
        <v/>
      </c>
      <c r="F8" s="9" t="n">
        <v>813</v>
      </c>
      <c r="G8" s="10">
        <f>IF(OR(C8="",D8="",E8=""),"待填",IF(ABS(E8-F8)&lt;=0.011,"PASS","FAIL"))</f>
        <v/>
      </c>
    </row>
    <row r="9">
      <c r="A9" s="6" t="inlineStr">
        <is>
          <t>F5</t>
        </is>
      </c>
      <c r="B9" s="6" t="inlineStr">
        <is>
          <t>基差率 = 基差/期货*100（%）</t>
        </is>
      </c>
      <c r="C9" s="8" t="n">
        <v>813</v>
      </c>
      <c r="D9" s="8" t="n">
        <v>3170</v>
      </c>
      <c r="E9" s="9">
        <f>IFERROR(IF(OR(C9="",D9=""),"",C9/D9*100),"")</f>
        <v/>
      </c>
      <c r="F9" s="9" t="n">
        <v>25.6467</v>
      </c>
      <c r="G9" s="10">
        <f>IF(OR(C9="",D9="",E9=""),"待填",IF(ABS(E9-F9)&lt;=0.011,"PASS","FAIL"))</f>
        <v/>
      </c>
    </row>
    <row r="10">
      <c r="A10" s="6" t="inlineStr">
        <is>
          <t>F6</t>
        </is>
      </c>
      <c r="B10" s="6" t="inlineStr">
        <is>
          <t>基差(结算价口径) = 现货 − 结算价</t>
        </is>
      </c>
      <c r="C10" s="8" t="n">
        <v>3983</v>
      </c>
      <c r="D10" s="8" t="n">
        <v>3231</v>
      </c>
      <c r="E10" s="9">
        <f>IFERROR(IF(OR(C10="",D10=""),"",C10-D10),"")</f>
        <v/>
      </c>
      <c r="F10" s="9" t="n">
        <v>752</v>
      </c>
      <c r="G10" s="10">
        <f>IF(OR(C10="",D10="",E10=""),"待填",IF(ABS(E10-F10)&lt;=0.011,"PASS","FAIL"))</f>
        <v/>
      </c>
    </row>
    <row r="11">
      <c r="A11" s="6" t="inlineStr">
        <is>
          <t>F7</t>
        </is>
      </c>
      <c r="B11" s="6" t="inlineStr">
        <is>
          <t>月差 MC = 远月 − 近月（元/吨）</t>
        </is>
      </c>
      <c r="C11" s="8" t="n">
        <v>3143</v>
      </c>
      <c r="D11" s="8" t="n">
        <v>3335</v>
      </c>
      <c r="E11" s="9">
        <f>IFERROR(IF(OR(C11="",D11=""),"",C11-D11),"")</f>
        <v/>
      </c>
      <c r="F11" s="9" t="n">
        <v>-192</v>
      </c>
      <c r="G11" s="10">
        <f>IF(OR(C11="",D11="",E11=""),"待填",IF(ABS(E11-F11)&lt;=0.011,"PASS","FAIL"))</f>
        <v/>
      </c>
    </row>
    <row r="12">
      <c r="A12" s="6" t="inlineStr">
        <is>
          <t>F8</t>
        </is>
      </c>
      <c r="B12" s="6" t="inlineStr">
        <is>
          <t>月差变化 = MC(t) − MC(t-1)</t>
        </is>
      </c>
      <c r="C12" s="8" t="n">
        <v>-192</v>
      </c>
      <c r="D12" s="8" t="n">
        <v>-497</v>
      </c>
      <c r="E12" s="9">
        <f>IFERROR(IF(OR(C12="",D12=""),"",C12-D12),"")</f>
        <v/>
      </c>
      <c r="F12" s="9" t="n">
        <v>305</v>
      </c>
      <c r="G12" s="10">
        <f>IF(OR(C12="",D12="",E12=""),"待填",IF(ABS(E12-F12)&lt;=0.011,"PASS","FAIL"))</f>
        <v/>
      </c>
    </row>
    <row r="13">
      <c r="A13" s="6" t="inlineStr">
        <is>
          <t>F9</t>
        </is>
      </c>
      <c r="B13" s="6" t="inlineStr">
        <is>
          <t>CIF人民币 = CFR×汇率×(1+关税)</t>
        </is>
      </c>
      <c r="C13" s="8" t="n">
        <v>444</v>
      </c>
      <c r="D13" s="8" t="n">
        <v>6.72</v>
      </c>
      <c r="E13" s="9">
        <f>IFERROR(IF(OR(C13="",D13=""),"",C13*D13*1.05),"")</f>
        <v/>
      </c>
      <c r="F13" s="9" t="n">
        <v>3132.864</v>
      </c>
      <c r="G13" s="10">
        <f>IF(OR(C13="",D13="",E13=""),"待填",IF(ABS(E13-F13)&lt;=0.011,"PASS","FAIL"))</f>
        <v/>
      </c>
    </row>
    <row r="14">
      <c r="A14" s="6" t="inlineStr">
        <is>
          <t>F10</t>
        </is>
      </c>
      <c r="B14" s="6" t="inlineStr">
        <is>
          <t>到岸含税 = (CIF+运保+港杂)×(1+增值税)</t>
        </is>
      </c>
      <c r="C14" s="8" t="n">
        <v>3132.864</v>
      </c>
      <c r="D14" s="8" t="n">
        <v>125</v>
      </c>
      <c r="E14" s="9">
        <f>IFERROR(IF(OR(C14="",D14=""),"",(C14+D14)*1.13),"")</f>
        <v/>
      </c>
      <c r="F14" s="9" t="n">
        <v>3681.3863</v>
      </c>
      <c r="G14" s="10">
        <f>IF(OR(C14="",D14="",E14=""),"待填",IF(ABS(E14-F14)&lt;=0.011,"PASS","FAIL"))</f>
        <v/>
      </c>
    </row>
    <row r="15">
      <c r="A15" s="6" t="inlineStr">
        <is>
          <t>F11</t>
        </is>
      </c>
      <c r="B15" s="6" t="inlineStr">
        <is>
          <t>进口盈亏 = 国内现货 − 到岸含税（元/吨）</t>
        </is>
      </c>
      <c r="C15" s="8" t="n">
        <v>3940</v>
      </c>
      <c r="D15" s="8" t="n">
        <v>3681.3863</v>
      </c>
      <c r="E15" s="9">
        <f>IFERROR(IF(OR(C15="",D15=""),"",C15-D15),"")</f>
        <v/>
      </c>
      <c r="F15" s="9" t="n">
        <v>258.6137</v>
      </c>
      <c r="G15" s="10">
        <f>IF(OR(C15="",D15="",E15=""),"待填",IF(ABS(E15-F15)&lt;=0.011,"PASS","FAIL"))</f>
        <v/>
      </c>
    </row>
    <row r="16">
      <c r="A16" s="6" t="inlineStr">
        <is>
          <t>F12</t>
        </is>
      </c>
      <c r="B16" s="6" t="inlineStr">
        <is>
          <t>表观提货 = 到港 − 库存净增（万吨）</t>
        </is>
      </c>
      <c r="C16" s="8" t="n">
        <v>15.9</v>
      </c>
      <c r="D16" s="8" t="n">
        <v>6.21</v>
      </c>
      <c r="E16" s="9">
        <f>IFERROR(IF(OR(C16="",D16=""),"",C16-D16),"")</f>
        <v/>
      </c>
      <c r="F16" s="9" t="n">
        <v>9.69</v>
      </c>
      <c r="G16" s="10">
        <f>IF(OR(C16="",D16="",E16=""),"待填",IF(ABS(E16-F16)&lt;=0.011,"PASS","FAIL"))</f>
        <v/>
      </c>
    </row>
    <row r="17">
      <c r="A17" s="6" t="inlineStr">
        <is>
          <t>F13</t>
        </is>
      </c>
      <c r="B17" s="6" t="inlineStr">
        <is>
          <t>盘面-进口价差 = 期货 − 到岸含税（元/吨）</t>
        </is>
      </c>
      <c r="C17" s="8" t="n">
        <v>3143</v>
      </c>
      <c r="D17" s="8" t="n">
        <v>3681.3863</v>
      </c>
      <c r="E17" s="9">
        <f>IFERROR(IF(OR(C17="",D17=""),"",C17-D17),"")</f>
        <v/>
      </c>
      <c r="F17" s="9" t="n">
        <v>-538.3863</v>
      </c>
      <c r="G17" s="10">
        <f>IF(OR(C17="",D17="",E17=""),"待填",IF(ABS(E17-F17)&lt;=0.011,"PASS","FAIL"))</f>
        <v/>
      </c>
    </row>
    <row r="19">
      <c r="A19" s="6" t="inlineStr">
        <is>
          <t>汇总</t>
        </is>
      </c>
      <c r="B19" s="6" t="inlineStr">
        <is>
          <t>全部公式是否通过</t>
        </is>
      </c>
      <c r="C19" s="6" t="inlineStr"/>
      <c r="D19" s="6" t="inlineStr"/>
      <c r="E19" s="6" t="inlineStr"/>
      <c r="F19" s="6">
        <f>COUNTIF(G5:G17,"PASS")&amp;" / "&amp;COUNTA(G5:G17)</f>
        <v/>
      </c>
      <c r="G19" s="6" t="inlineStr"/>
    </row>
    <row r="21">
      <c r="A21" s="7" t="inlineStr">
        <is>
          <t>【校验脚本同源数据】</t>
        </is>
      </c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11" t="inlineStr">
        <is>
          <t>ID</t>
        </is>
      </c>
      <c r="B22" s="11" t="inlineStr">
        <is>
          <t>说明</t>
        </is>
      </c>
      <c r="C22" s="11" t="inlineStr">
        <is>
          <t>公式</t>
        </is>
      </c>
      <c r="D22" s="11" t="inlineStr">
        <is>
          <t>实算</t>
        </is>
      </c>
      <c r="E22" s="11" t="inlineStr">
        <is>
          <t>期望</t>
        </is>
      </c>
      <c r="F22" s="11" t="inlineStr">
        <is>
          <t>容差</t>
        </is>
      </c>
      <c r="G22" s="11" t="inlineStr">
        <is>
          <t>结果</t>
        </is>
      </c>
    </row>
    <row r="23">
      <c r="A23" s="6" t="inlineStr">
        <is>
          <t>C1-1</t>
        </is>
      </c>
      <c r="B23" s="6" t="inlineStr">
        <is>
          <t>10/14港口库存较上期变化</t>
        </is>
      </c>
      <c r="C23" s="6" t="inlineStr">
        <is>
          <t>36.72-30.51</t>
        </is>
      </c>
      <c r="D23" s="9" t="n">
        <v>6.21</v>
      </c>
      <c r="E23" s="9" t="n">
        <v>6.21</v>
      </c>
      <c r="F23" s="12" t="n">
        <v>0.011</v>
      </c>
      <c r="G23" s="13" t="inlineStr">
        <is>
          <t>PASS</t>
        </is>
      </c>
    </row>
    <row r="24">
      <c r="A24" s="6" t="inlineStr">
        <is>
          <t>C1-2</t>
        </is>
      </c>
      <c r="B24" s="6" t="inlineStr">
        <is>
          <t>10/14库存环比(%)</t>
        </is>
      </c>
      <c r="C24" s="6" t="inlineStr">
        <is>
          <t>(36.72-30.51)/30.51*100</t>
        </is>
      </c>
      <c r="D24" s="9" t="n">
        <v>20.354</v>
      </c>
      <c r="E24" s="9" t="n">
        <v>20.3523</v>
      </c>
      <c r="F24" s="12" t="n">
        <v>0.011</v>
      </c>
      <c r="G24" s="13" t="inlineStr">
        <is>
          <t>PASS</t>
        </is>
      </c>
    </row>
    <row r="25">
      <c r="A25" s="6" t="inlineStr">
        <is>
          <t>C1-3</t>
        </is>
      </c>
      <c r="B25" s="6" t="inlineStr">
        <is>
          <t>9月-10/8累计去库</t>
        </is>
      </c>
      <c r="C25" s="6" t="inlineStr">
        <is>
          <t>64.15-30.51</t>
        </is>
      </c>
      <c r="D25" s="9" t="n">
        <v>33.64</v>
      </c>
      <c r="E25" s="9" t="n">
        <v>33.64</v>
      </c>
      <c r="F25" s="12" t="n">
        <v>0.011</v>
      </c>
      <c r="G25" s="13" t="inlineStr">
        <is>
          <t>PASS</t>
        </is>
      </c>
    </row>
    <row r="26">
      <c r="A26" s="6" t="inlineStr">
        <is>
          <t>C2-1</t>
        </is>
      </c>
      <c r="B26" s="6" t="inlineStr">
        <is>
          <t>MA2701(10/09→10/19)涨跌幅(%)</t>
        </is>
      </c>
      <c r="C26" s="6" t="inlineStr">
        <is>
          <t>(3143-3338)/3338*100</t>
        </is>
      </c>
      <c r="D26" s="9" t="n">
        <v>-5.8418</v>
      </c>
      <c r="E26" s="9" t="n">
        <v>-5.8424</v>
      </c>
      <c r="F26" s="12" t="n">
        <v>0.011</v>
      </c>
      <c r="G26" s="13" t="inlineStr">
        <is>
          <t>PASS</t>
        </is>
      </c>
    </row>
    <row r="27">
      <c r="A27" s="6" t="inlineStr">
        <is>
          <t>C2-2</t>
        </is>
      </c>
      <c r="B27" s="6" t="inlineStr">
        <is>
          <t>换月口径对照：MA2611(10/09)→MA2701(10/19)(%)</t>
        </is>
      </c>
      <c r="C27" s="6" t="inlineStr">
        <is>
          <t>(3143-3835)/3835*100</t>
        </is>
      </c>
      <c r="D27" s="9" t="n">
        <v>-18.0443</v>
      </c>
      <c r="E27" s="9" t="n">
        <v>-18.0443</v>
      </c>
      <c r="F27" s="12" t="n">
        <v>0.011</v>
      </c>
      <c r="G27" s="13" t="inlineStr">
        <is>
          <t>PASS</t>
        </is>
      </c>
    </row>
    <row r="28">
      <c r="A28" s="6" t="inlineStr">
        <is>
          <t>C2-3</t>
        </is>
      </c>
      <c r="B28" s="6" t="inlineStr">
        <is>
          <t>MA2701结算价跌幅(%)</t>
        </is>
      </c>
      <c r="C28" s="6" t="inlineStr">
        <is>
          <t>(3179-3321)/3321*100</t>
        </is>
      </c>
      <c r="D28" s="9" t="n">
        <v>-4.2758</v>
      </c>
      <c r="E28" s="9" t="n">
        <v>-4.2764</v>
      </c>
      <c r="F28" s="12" t="n">
        <v>0.011</v>
      </c>
      <c r="G28" s="13" t="inlineStr">
        <is>
          <t>PASS</t>
        </is>
      </c>
    </row>
    <row r="29">
      <c r="A29" s="6" t="inlineStr">
        <is>
          <t>C3-1</t>
        </is>
      </c>
      <c r="B29" s="6" t="inlineStr">
        <is>
          <t>10/13太仓基差(现货-收盘)</t>
        </is>
      </c>
      <c r="C29" s="6" t="inlineStr">
        <is>
          <t>3845-3235</t>
        </is>
      </c>
      <c r="D29" s="9" t="n">
        <v>610</v>
      </c>
      <c r="E29" s="9" t="n">
        <v>610</v>
      </c>
      <c r="F29" s="12" t="n">
        <v>0.011</v>
      </c>
      <c r="G29" s="13" t="inlineStr">
        <is>
          <t>PASS</t>
        </is>
      </c>
    </row>
    <row r="30">
      <c r="A30" s="6" t="inlineStr">
        <is>
          <t>C3-2</t>
        </is>
      </c>
      <c r="B30" s="6" t="inlineStr">
        <is>
          <t>10/15太仓基差(现货-收盘)</t>
        </is>
      </c>
      <c r="C30" s="6" t="inlineStr">
        <is>
          <t>3983-3170</t>
        </is>
      </c>
      <c r="D30" s="9" t="n">
        <v>813</v>
      </c>
      <c r="E30" s="9" t="n">
        <v>813</v>
      </c>
      <c r="F30" s="12" t="n">
        <v>0.011</v>
      </c>
      <c r="G30" s="13" t="inlineStr">
        <is>
          <t>PASS</t>
        </is>
      </c>
    </row>
    <row r="31">
      <c r="A31" s="6" t="inlineStr">
        <is>
          <t>C3-3</t>
        </is>
      </c>
      <c r="B31" s="6" t="inlineStr">
        <is>
          <t>10/15基差较10/14变动</t>
        </is>
      </c>
      <c r="C31" s="6" t="inlineStr">
        <is>
          <t>813-(4025-3262)</t>
        </is>
      </c>
      <c r="D31" s="9" t="n">
        <v>50</v>
      </c>
      <c r="E31" s="9" t="n">
        <v>50</v>
      </c>
      <c r="F31" s="12" t="n">
        <v>0.011</v>
      </c>
      <c r="G31" s="13" t="inlineStr">
        <is>
          <t>PASS</t>
        </is>
      </c>
    </row>
    <row r="32">
      <c r="A32" s="6" t="inlineStr">
        <is>
          <t>C3-4</t>
        </is>
      </c>
      <c r="B32" s="6" t="inlineStr">
        <is>
          <t>10/16基差(区间中值-收盘)</t>
        </is>
      </c>
      <c r="C32" s="6" t="inlineStr">
        <is>
          <t>3940-3192</t>
        </is>
      </c>
      <c r="D32" s="9" t="n">
        <v>748</v>
      </c>
      <c r="E32" s="9" t="n">
        <v>748</v>
      </c>
      <c r="F32" s="12" t="n">
        <v>0.011</v>
      </c>
      <c r="G32" s="13" t="inlineStr">
        <is>
          <t>PASS</t>
        </is>
      </c>
    </row>
    <row r="33">
      <c r="A33" s="6" t="inlineStr">
        <is>
          <t>C4-1</t>
        </is>
      </c>
      <c r="B33" s="6" t="inlineStr">
        <is>
          <t>月差MC(10/09)=MA2701-MA2611</t>
        </is>
      </c>
      <c r="C33" s="6" t="inlineStr">
        <is>
          <t>3338-3835</t>
        </is>
      </c>
      <c r="D33" s="9" t="n">
        <v>-497</v>
      </c>
      <c r="E33" s="9" t="n">
        <v>-497</v>
      </c>
      <c r="F33" s="12" t="n">
        <v>0.011</v>
      </c>
      <c r="G33" s="13" t="inlineStr">
        <is>
          <t>PASS</t>
        </is>
      </c>
    </row>
    <row r="34">
      <c r="A34" s="6" t="inlineStr">
        <is>
          <t>C4-2</t>
        </is>
      </c>
      <c r="B34" s="6" t="inlineStr">
        <is>
          <t>月差MC(10/19)</t>
        </is>
      </c>
      <c r="C34" s="6" t="inlineStr">
        <is>
          <t>3143-3335</t>
        </is>
      </c>
      <c r="D34" s="9" t="n">
        <v>-192</v>
      </c>
      <c r="E34" s="9" t="n">
        <v>-192</v>
      </c>
      <c r="F34" s="12" t="n">
        <v>0.011</v>
      </c>
      <c r="G34" s="13" t="inlineStr">
        <is>
          <t>PASS</t>
        </is>
      </c>
    </row>
    <row r="35">
      <c r="A35" s="6" t="inlineStr">
        <is>
          <t>C4-3</t>
        </is>
      </c>
      <c r="B35" s="6" t="inlineStr">
        <is>
          <t>月差变化(10/09→10/19)</t>
        </is>
      </c>
      <c r="C35" s="6" t="inlineStr">
        <is>
          <t>-192-(-497)</t>
        </is>
      </c>
      <c r="D35" s="9" t="n">
        <v>305</v>
      </c>
      <c r="E35" s="9" t="n">
        <v>305</v>
      </c>
      <c r="F35" s="12" t="n">
        <v>0.011</v>
      </c>
      <c r="G35" s="13" t="inlineStr">
        <is>
          <t>PASS</t>
        </is>
      </c>
    </row>
    <row r="36">
      <c r="A36" s="6" t="inlineStr">
        <is>
          <t>C5-1</t>
        </is>
      </c>
      <c r="B36" s="6" t="inlineStr">
        <is>
          <t>CFR折CIF(人民币,含5%关税)</t>
        </is>
      </c>
      <c r="C36" s="6" t="inlineStr">
        <is>
          <t>444*6.72*1.05</t>
        </is>
      </c>
      <c r="D36" s="9" t="n">
        <v>3132.864</v>
      </c>
      <c r="E36" s="9" t="n">
        <v>3132.864</v>
      </c>
      <c r="F36" s="12" t="n">
        <v>0.011</v>
      </c>
      <c r="G36" s="13" t="inlineStr">
        <is>
          <t>PASS</t>
        </is>
      </c>
    </row>
    <row r="37">
      <c r="A37" s="6" t="inlineStr">
        <is>
          <t>C5-2</t>
        </is>
      </c>
      <c r="B37" s="6" t="inlineStr">
        <is>
          <t>到岸含税成本</t>
        </is>
      </c>
      <c r="C37" s="6" t="inlineStr">
        <is>
          <t>(3132.864+75+50)*1.13</t>
        </is>
      </c>
      <c r="D37" s="9" t="n">
        <v>3681.3863</v>
      </c>
      <c r="E37" s="9" t="n">
        <v>3681.3863</v>
      </c>
      <c r="F37" s="12" t="n">
        <v>0.011</v>
      </c>
      <c r="G37" s="13" t="inlineStr">
        <is>
          <t>PASS</t>
        </is>
      </c>
    </row>
    <row r="38">
      <c r="A38" s="6" t="inlineStr">
        <is>
          <t>C6-1</t>
        </is>
      </c>
      <c r="B38" s="6" t="inlineStr">
        <is>
          <t>表观提货量</t>
        </is>
      </c>
      <c r="C38" s="6" t="inlineStr">
        <is>
          <t>15.90-6.21</t>
        </is>
      </c>
      <c r="D38" s="9" t="n">
        <v>9.69</v>
      </c>
      <c r="E38" s="9" t="n">
        <v>9.69</v>
      </c>
      <c r="F38" s="12" t="n">
        <v>0.011</v>
      </c>
      <c r="G38" s="13" t="inlineStr">
        <is>
          <t>PASS</t>
        </is>
      </c>
    </row>
    <row r="39">
      <c r="A39" s="6" t="inlineStr">
        <is>
          <t>C7-1</t>
        </is>
      </c>
      <c r="B39" s="6" t="inlineStr">
        <is>
          <t>港口库存量级合理性(0&lt;INV&lt;300)</t>
        </is>
      </c>
      <c r="C39" s="6" t="inlineStr">
        <is>
          <t>1 if 0&lt;36.72&lt;300 else 0</t>
        </is>
      </c>
      <c r="D39" s="9" t="n">
        <v>1</v>
      </c>
      <c r="E39" s="9" t="n">
        <v>1</v>
      </c>
      <c r="F39" s="12" t="n">
        <v>0.011</v>
      </c>
      <c r="G39" s="13" t="inlineStr">
        <is>
          <t>PASS</t>
        </is>
      </c>
    </row>
    <row r="40">
      <c r="A40" s="6" t="inlineStr">
        <is>
          <t>C7-2</t>
        </is>
      </c>
      <c r="B40" s="6" t="inlineStr">
        <is>
          <t>基差率合理性(|813/3170|&lt;100%)</t>
        </is>
      </c>
      <c r="C40" s="6" t="inlineStr">
        <is>
          <t>813/3170*100</t>
        </is>
      </c>
      <c r="D40" s="9" t="n">
        <v>25.6467</v>
      </c>
      <c r="E40" s="9" t="n">
        <v>25.6467</v>
      </c>
      <c r="F40" s="12" t="n">
        <v>0.011</v>
      </c>
      <c r="G40" s="13" t="inlineStr">
        <is>
          <t>PASS</t>
        </is>
      </c>
    </row>
    <row r="41">
      <c r="A41" s="6" t="inlineStr">
        <is>
          <t>C8-1</t>
        </is>
      </c>
      <c r="B41" s="6" t="inlineStr">
        <is>
          <t>同周期方向背离判定</t>
        </is>
      </c>
      <c r="C41" s="6" t="inlineStr">
        <is>
          <t>sign(d_inv*d_px)=-1 ? 1 : 0</t>
        </is>
      </c>
      <c r="D41" s="9" t="n">
        <v>1</v>
      </c>
      <c r="E41" s="9" t="n">
        <v>1</v>
      </c>
      <c r="F41" s="12" t="n">
        <v>0.011</v>
      </c>
      <c r="G41" s="13" t="inlineStr">
        <is>
          <t>PASS</t>
        </is>
      </c>
    </row>
    <row r="42">
      <c r="A42" s="6" t="inlineStr">
        <is>
          <t>C9-1</t>
        </is>
      </c>
      <c r="B42" s="6" t="inlineStr">
        <is>
          <t>月差符号一致性：MC&lt;0 即 near&gt;far</t>
        </is>
      </c>
      <c r="C42" s="6" t="inlineStr">
        <is>
          <t>1 if (MC&lt;0 and near&gt;far) or (MC&gt;=0 and near&lt;=far) else 0</t>
        </is>
      </c>
      <c r="D42" s="9" t="n">
        <v>1</v>
      </c>
      <c r="E42" s="9" t="n">
        <v>1</v>
      </c>
      <c r="F42" s="12" t="n">
        <v>0.011</v>
      </c>
      <c r="G42" s="13" t="inlineStr">
        <is>
          <t>PASS</t>
        </is>
      </c>
    </row>
    <row r="43">
      <c r="A43" s="6" t="inlineStr">
        <is>
          <t>C9-2</t>
        </is>
      </c>
      <c r="B43" s="6" t="inlineStr">
        <is>
          <t>基差符号一致性：(现货-期货)与符号方向一致</t>
        </is>
      </c>
      <c r="C43" s="6" t="inlineStr">
        <is>
          <t>1 if basis_close&gt;0 iff spot&gt;fut_close else 0</t>
        </is>
      </c>
      <c r="D43" s="9" t="n">
        <v>1</v>
      </c>
      <c r="E43" s="9" t="n">
        <v>1</v>
      </c>
      <c r="F43" s="12" t="n">
        <v>0.011</v>
      </c>
      <c r="G43" s="13" t="inlineStr">
        <is>
          <t>PASS</t>
        </is>
      </c>
    </row>
    <row r="45">
      <c r="A45" s="14" t="inlineStr">
        <is>
          <t>说明：F 系列是“教学公式骨架”：清空输入A/输入B 时 E/G 列显示“待填/空”，填入即可自动计算并判定 PASS/FAIL；下方 ID 系列是“回归校验”，用来演示每个式子怎么算；下方 ID 系列是“回归校验”，与 HTML 页面第 11 节、scripts/check_formulas.js 同源，确保页面/表格/脚本三处结果一致。</t>
        </is>
      </c>
    </row>
  </sheetData>
  <mergeCells count="1">
    <mergeCell ref="A45:G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6" customWidth="1" min="7" max="7"/>
    <col width="18" customWidth="1" min="8" max="8"/>
  </cols>
  <sheetData>
    <row r="1">
      <c r="A1" s="1" t="inlineStr">
        <is>
          <t>三、港口样本库存序列（隆众口径，周度，万吨）</t>
        </is>
      </c>
    </row>
    <row r="2">
      <c r="A2" s="2" t="inlineStr">
        <is>
          <t>这是全篇的核心存量指标。注意：它只覆盖华东+华南显性样本库，不等于全社会库存，也不等于可交割量。</t>
        </is>
      </c>
    </row>
    <row r="4" ht="26" customHeight="1">
      <c r="A4" s="5" t="inlineStr">
        <is>
          <t>发布日期</t>
        </is>
      </c>
      <c r="B4" s="5" t="inlineStr">
        <is>
          <t>库存(万吨)</t>
        </is>
      </c>
      <c r="C4" s="5" t="inlineStr">
        <is>
          <t>数据给出的环比</t>
        </is>
      </c>
      <c r="D4" s="5" t="inlineStr">
        <is>
          <t>计算环比</t>
        </is>
      </c>
      <c r="E4" s="5" t="inlineStr">
        <is>
          <t>环比校验</t>
        </is>
      </c>
      <c r="F4" s="5" t="inlineStr">
        <is>
          <t>距最低点(万吨)</t>
        </is>
      </c>
      <c r="G4" s="5" t="inlineStr">
        <is>
          <t>原文备注</t>
        </is>
      </c>
      <c r="H4" s="5" t="inlineStr">
        <is>
          <t>来源</t>
        </is>
      </c>
    </row>
    <row r="5">
      <c r="A5" s="15" t="inlineStr">
        <is>
          <t>2026-07-08</t>
        </is>
      </c>
      <c r="B5" s="16" t="n">
        <v>44.67</v>
      </c>
      <c r="C5" s="17" t="n">
        <v>-4.65</v>
      </c>
      <c r="D5" s="17" t="inlineStr"/>
      <c r="E5" s="6" t="inlineStr"/>
      <c r="F5" s="17">
        <f>IFERROR(IF(B5="","",B5-MIN($B$5:$B$19)),"")</f>
        <v/>
      </c>
      <c r="G5" s="6" t="inlineStr"/>
      <c r="H5" s="6" t="inlineStr">
        <is>
          <t>Q</t>
        </is>
      </c>
    </row>
    <row r="6">
      <c r="A6" s="15" t="inlineStr">
        <is>
          <t>2026-07-15</t>
        </is>
      </c>
      <c r="B6" s="16" t="n">
        <v>40.15</v>
      </c>
      <c r="C6" s="17" t="n">
        <v>-4.52</v>
      </c>
      <c r="D6" s="17">
        <f>IFERROR(IF(A6="","",B6-B5),"")</f>
        <v/>
      </c>
      <c r="E6" s="6">
        <f>IFERROR(IF(A6="","",IF(ABS(D6-C6)&lt;=0.011,"一致","不一致")),"")</f>
        <v/>
      </c>
      <c r="F6" s="17">
        <f>IFERROR(IF(B6="","",B6-MIN($B$5:$B$19)),"")</f>
        <v/>
      </c>
      <c r="G6" s="6" t="inlineStr">
        <is>
          <t>曲合网与华泰期货均报40.15万吨</t>
        </is>
      </c>
      <c r="H6" s="6" t="inlineStr">
        <is>
          <t>S21/S22</t>
        </is>
      </c>
    </row>
    <row r="7">
      <c r="A7" s="15" t="inlineStr">
        <is>
          <t>2026-07-22</t>
        </is>
      </c>
      <c r="B7" s="16" t="n">
        <v>54.87</v>
      </c>
      <c r="C7" s="17" t="n">
        <v>14.72</v>
      </c>
      <c r="D7" s="17">
        <f>IFERROR(IF(A7="","",B7-B6),"")</f>
        <v/>
      </c>
      <c r="E7" s="6">
        <f>IFERROR(IF(A7="","",IF(ABS(D7-C7)&lt;=0.011,"一致","不一致")),"")</f>
        <v/>
      </c>
      <c r="F7" s="17">
        <f>IFERROR(IF(B7="","",B7-MIN($B$5:$B$19)),"")</f>
        <v/>
      </c>
      <c r="G7" s="6" t="inlineStr"/>
      <c r="H7" s="6" t="inlineStr">
        <is>
          <t>Q</t>
        </is>
      </c>
    </row>
    <row r="8">
      <c r="A8" s="15" t="inlineStr">
        <is>
          <t>2026-07-29</t>
        </is>
      </c>
      <c r="B8" s="16" t="n">
        <v>68.68000000000001</v>
      </c>
      <c r="C8" s="17" t="n">
        <v>13.81</v>
      </c>
      <c r="D8" s="17">
        <f>IFERROR(IF(A8="","",B8-B7),"")</f>
        <v/>
      </c>
      <c r="E8" s="6">
        <f>IFERROR(IF(A8="","",IF(ABS(D8-C8)&lt;=0.011,"一致","不一致")),"")</f>
        <v/>
      </c>
      <c r="F8" s="17">
        <f>IFERROR(IF(B8="","",B8-MIN($B$5:$B$19)),"")</f>
        <v/>
      </c>
      <c r="G8" s="6" t="inlineStr"/>
      <c r="H8" s="6" t="inlineStr">
        <is>
          <t>Q</t>
        </is>
      </c>
    </row>
    <row r="9">
      <c r="A9" s="15" t="inlineStr">
        <is>
          <t>2026-08-05</t>
        </is>
      </c>
      <c r="B9" s="16" t="n">
        <v>69.26000000000001</v>
      </c>
      <c r="C9" s="17" t="n">
        <v>0.58</v>
      </c>
      <c r="D9" s="17">
        <f>IFERROR(IF(A9="","",B9-B8),"")</f>
        <v/>
      </c>
      <c r="E9" s="6">
        <f>IFERROR(IF(A9="","",IF(ABS(D9-C9)&lt;=0.011,"一致","不一致")),"")</f>
        <v/>
      </c>
      <c r="F9" s="17">
        <f>IFERROR(IF(B9="","",B9-MIN($B$5:$B$19)),"")</f>
        <v/>
      </c>
      <c r="G9" s="6" t="inlineStr"/>
      <c r="H9" s="6" t="inlineStr">
        <is>
          <t>Q</t>
        </is>
      </c>
    </row>
    <row r="10">
      <c r="A10" s="15" t="inlineStr">
        <is>
          <t>2026-08-12</t>
        </is>
      </c>
      <c r="B10" s="16" t="n">
        <v>60</v>
      </c>
      <c r="C10" s="17" t="n">
        <v>-9.26</v>
      </c>
      <c r="D10" s="17">
        <f>IFERROR(IF(A10="","",B10-B9),"")</f>
        <v/>
      </c>
      <c r="E10" s="6">
        <f>IFERROR(IF(A10="","",IF(ABS(D10-C10)&lt;=0.011,"一致","不一致")),"")</f>
        <v/>
      </c>
      <c r="F10" s="17">
        <f>IFERROR(IF(B10="","",B10-MIN($B$5:$B$19)),"")</f>
        <v/>
      </c>
      <c r="G10" s="6" t="inlineStr">
        <is>
          <t>台风严重影响外轮靠泊，显性外轮仅计入5.80万吨</t>
        </is>
      </c>
      <c r="H10" s="6" t="inlineStr">
        <is>
          <t>S23</t>
        </is>
      </c>
    </row>
    <row r="11">
      <c r="A11" s="15" t="inlineStr">
        <is>
          <t>2026-08-19</t>
        </is>
      </c>
      <c r="B11" s="16" t="n">
        <v>66.7</v>
      </c>
      <c r="C11" s="17" t="n">
        <v>6.7</v>
      </c>
      <c r="D11" s="17">
        <f>IFERROR(IF(A11="","",B11-B10),"")</f>
        <v/>
      </c>
      <c r="E11" s="6">
        <f>IFERROR(IF(A11="","",IF(ABS(D11-C11)&lt;=0.011,"一致","不一致")),"")</f>
        <v/>
      </c>
      <c r="F11" s="17">
        <f>IFERROR(IF(B11="","",B11-MIN($B$5:$B$19)),"")</f>
        <v/>
      </c>
      <c r="G11" s="6" t="inlineStr"/>
      <c r="H11" s="6" t="inlineStr">
        <is>
          <t>S28</t>
        </is>
      </c>
    </row>
    <row r="12">
      <c r="A12" s="15" t="inlineStr">
        <is>
          <t>2026-08-26</t>
        </is>
      </c>
      <c r="B12" s="16" t="n">
        <v>68.56</v>
      </c>
      <c r="C12" s="17" t="n">
        <v>1.86</v>
      </c>
      <c r="D12" s="17">
        <f>IFERROR(IF(A12="","",B12-B11),"")</f>
        <v/>
      </c>
      <c r="E12" s="6">
        <f>IFERROR(IF(A12="","",IF(ABS(D12-C12)&lt;=0.011,"一致","不一致")),"")</f>
        <v/>
      </c>
      <c r="F12" s="17">
        <f>IFERROR(IF(B12="","",B12-MIN($B$5:$B$19)),"")</f>
        <v/>
      </c>
      <c r="G12" s="6" t="inlineStr"/>
      <c r="H12" s="6" t="inlineStr">
        <is>
          <t>Q</t>
        </is>
      </c>
    </row>
    <row r="13">
      <c r="A13" s="15" t="inlineStr">
        <is>
          <t>2026-09-02</t>
        </is>
      </c>
      <c r="B13" s="16" t="n">
        <v>64.15000000000001</v>
      </c>
      <c r="C13" s="17" t="n">
        <v>-4.41</v>
      </c>
      <c r="D13" s="17">
        <f>IFERROR(IF(A13="","",B13-B12),"")</f>
        <v/>
      </c>
      <c r="E13" s="6">
        <f>IFERROR(IF(A13="","",IF(ABS(D13-C13)&lt;=0.011,"一致","不一致")),"")</f>
        <v/>
      </c>
      <c r="F13" s="17">
        <f>IFERROR(IF(B13="","",B13-MIN($B$5:$B$19)),"")</f>
        <v/>
      </c>
      <c r="G13" s="6" t="inlineStr"/>
      <c r="H13" s="6" t="inlineStr">
        <is>
          <t>Q</t>
        </is>
      </c>
    </row>
    <row r="14">
      <c r="A14" s="15" t="inlineStr">
        <is>
          <t>2026-09-09</t>
        </is>
      </c>
      <c r="B14" s="16" t="n">
        <v>55.15</v>
      </c>
      <c r="C14" s="17" t="n">
        <v>-9</v>
      </c>
      <c r="D14" s="17">
        <f>IFERROR(IF(A14="","",B14-B13),"")</f>
        <v/>
      </c>
      <c r="E14" s="6">
        <f>IFERROR(IF(A14="","",IF(ABS(D14-C14)&lt;=0.011,"一致","不一致")),"")</f>
        <v/>
      </c>
      <c r="F14" s="17">
        <f>IFERROR(IF(B14="","",B14-MIN($B$5:$B$19)),"")</f>
        <v/>
      </c>
      <c r="G14" s="6" t="inlineStr"/>
      <c r="H14" s="6" t="inlineStr">
        <is>
          <t>Q</t>
        </is>
      </c>
    </row>
    <row r="15">
      <c r="A15" s="15" t="inlineStr">
        <is>
          <t>2026-09-16</t>
        </is>
      </c>
      <c r="B15" s="16" t="n">
        <v>42.39</v>
      </c>
      <c r="C15" s="17" t="n">
        <v>-12.76</v>
      </c>
      <c r="D15" s="17">
        <f>IFERROR(IF(A15="","",B15-B14),"")</f>
        <v/>
      </c>
      <c r="E15" s="6">
        <f>IFERROR(IF(A15="","",IF(ABS(D15-C15)&lt;=0.011,"一致","不一致")),"")</f>
        <v/>
      </c>
      <c r="F15" s="17">
        <f>IFERROR(IF(B15="","",B15-MIN($B$5:$B$19)),"")</f>
        <v/>
      </c>
      <c r="G15" s="6" t="inlineStr"/>
      <c r="H15" s="6" t="inlineStr">
        <is>
          <t>Q</t>
        </is>
      </c>
    </row>
    <row r="16">
      <c r="A16" s="15" t="inlineStr">
        <is>
          <t>2026-09-23</t>
        </is>
      </c>
      <c r="B16" s="16" t="n">
        <v>41.2</v>
      </c>
      <c r="C16" s="17" t="n">
        <v>-1.19</v>
      </c>
      <c r="D16" s="17">
        <f>IFERROR(IF(A16="","",B16-B15),"")</f>
        <v/>
      </c>
      <c r="E16" s="6">
        <f>IFERROR(IF(A16="","",IF(ABS(D16-C16)&lt;=0.011,"一致","不一致")),"")</f>
        <v/>
      </c>
      <c r="F16" s="17">
        <f>IFERROR(IF(B16="","",B16-MIN($B$5:$B$19)),"")</f>
        <v/>
      </c>
      <c r="G16" s="6" t="inlineStr">
        <is>
          <t>浙江两套烯烃装置已全部停车</t>
        </is>
      </c>
      <c r="H16" s="6" t="inlineStr">
        <is>
          <t>S24</t>
        </is>
      </c>
    </row>
    <row r="17">
      <c r="A17" s="15" t="inlineStr">
        <is>
          <t>2026-09-30</t>
        </is>
      </c>
      <c r="B17" s="16" t="n">
        <v>39.35</v>
      </c>
      <c r="C17" s="17" t="n">
        <v>-1.85</v>
      </c>
      <c r="D17" s="17">
        <f>IFERROR(IF(A17="","",B17-B16),"")</f>
        <v/>
      </c>
      <c r="E17" s="6">
        <f>IFERROR(IF(A17="","",IF(ABS(D17-C17)&lt;=0.011,"一致","不一致")),"")</f>
        <v/>
      </c>
      <c r="F17" s="17">
        <f>IFERROR(IF(B17="","",B17-MIN($B$5:$B$19)),"")</f>
        <v/>
      </c>
      <c r="G17" s="6" t="inlineStr"/>
      <c r="H17" s="6" t="inlineStr">
        <is>
          <t>Q</t>
        </is>
      </c>
    </row>
    <row r="18">
      <c r="A18" s="15" t="inlineStr">
        <is>
          <t>2026-10-08</t>
        </is>
      </c>
      <c r="B18" s="16" t="n">
        <v>30.51</v>
      </c>
      <c r="C18" s="17" t="n">
        <v>-8.84</v>
      </c>
      <c r="D18" s="17">
        <f>IFERROR(IF(A18="","",B18-B17),"")</f>
        <v/>
      </c>
      <c r="E18" s="6">
        <f>IFERROR(IF(A18="","",IF(ABS(D18-C18)&lt;=0.011,"一致","不一致")),"")</f>
        <v/>
      </c>
      <c r="F18" s="17">
        <f>IFERROR(IF(B18="","",B18-MIN($B$5:$B$19)),"")</f>
        <v/>
      </c>
      <c r="G18" s="6" t="inlineStr">
        <is>
          <t>iFinD：较历史均值低66.87%，为统计期最低值</t>
        </is>
      </c>
      <c r="H18" s="6" t="inlineStr">
        <is>
          <t>S4</t>
        </is>
      </c>
    </row>
    <row r="19">
      <c r="A19" s="15" t="inlineStr">
        <is>
          <t>2026-10-14</t>
        </is>
      </c>
      <c r="B19" s="16" t="n">
        <v>36.72</v>
      </c>
      <c r="C19" s="17" t="n">
        <v>6.21</v>
      </c>
      <c r="D19" s="17">
        <f>IFERROR(IF(A19="","",B19-B18),"")</f>
        <v/>
      </c>
      <c r="E19" s="6">
        <f>IFERROR(IF(A19="","",IF(ABS(D19-C19)&lt;=0.011,"一致","不一致")),"")</f>
        <v/>
      </c>
      <c r="F19" s="17">
        <f>IFERROR(IF(B19="","",B19-MIN($B$5:$B$19)),"")</f>
        <v/>
      </c>
      <c r="G19" s="6" t="inlineStr">
        <is>
          <t>华东-3.16（去库）、华南+9.37（累库）</t>
        </is>
      </c>
      <c r="H19" s="6" t="inlineStr">
        <is>
          <t>S1/S2</t>
        </is>
      </c>
    </row>
    <row r="21">
      <c r="A21" s="7" t="inlineStr">
        <is>
          <t>统计</t>
        </is>
      </c>
      <c r="B21" s="7" t="inlineStr">
        <is>
          <t>口径</t>
        </is>
      </c>
      <c r="C21" s="7" t="inlineStr">
        <is>
          <t>值</t>
        </is>
      </c>
      <c r="D21" s="6" t="inlineStr"/>
      <c r="E21" s="6" t="inlineStr"/>
      <c r="F21" s="6" t="inlineStr"/>
      <c r="G21" s="6" t="inlineStr"/>
      <c r="H21" s="6" t="inlineStr"/>
    </row>
    <row r="22">
      <c r="A22" s="6" t="inlineStr">
        <is>
          <t>最新值</t>
        </is>
      </c>
      <c r="B22" s="6" t="inlineStr">
        <is>
          <t>最后一期库存（万吨）</t>
        </is>
      </c>
      <c r="C22" s="16">
        <f>IF(B19="","",B19)</f>
        <v/>
      </c>
      <c r="D22" s="6" t="inlineStr"/>
      <c r="E22" s="6" t="inlineStr"/>
      <c r="F22" s="6" t="inlineStr"/>
      <c r="G22" s="6" t="inlineStr"/>
      <c r="H22" s="6" t="inlineStr"/>
    </row>
    <row r="23">
      <c r="A23" s="6" t="inlineStr">
        <is>
          <t>最低值</t>
        </is>
      </c>
      <c r="B23" s="6" t="inlineStr">
        <is>
          <t>区间最低（万吨）</t>
        </is>
      </c>
      <c r="C23" s="16">
        <f>IFERROR(IF(COUNT(B5:B19)=0,"",MIN(B5:B19)),"")</f>
        <v/>
      </c>
      <c r="D23" s="6" t="inlineStr"/>
      <c r="E23" s="6" t="inlineStr"/>
      <c r="F23" s="6" t="inlineStr"/>
      <c r="G23" s="6" t="inlineStr"/>
      <c r="H23" s="6" t="inlineStr"/>
    </row>
    <row r="24">
      <c r="A24" s="6" t="inlineStr">
        <is>
          <t>最低值日期</t>
        </is>
      </c>
      <c r="B24" s="6" t="inlineStr">
        <is>
          <t>取最低值对应的发布日期</t>
        </is>
      </c>
      <c r="C24" s="15">
        <f>IFERROR(IF(COUNT(B5:B19)=0,"",INDEX(A5:A19,MATCH(MIN(B5:B19),B5:B19,0))),"")</f>
        <v/>
      </c>
      <c r="D24" s="6" t="inlineStr"/>
      <c r="E24" s="6" t="inlineStr"/>
      <c r="F24" s="6" t="inlineStr"/>
      <c r="G24" s="6" t="inlineStr"/>
      <c r="H24" s="6" t="inlineStr"/>
    </row>
    <row r="25">
      <c r="A25" s="6" t="inlineStr">
        <is>
          <t>区间去库幅度</t>
        </is>
      </c>
      <c r="B25" s="6" t="inlineStr">
        <is>
          <t>2026-09-02 库存 − 区间最低（万吨）</t>
        </is>
      </c>
      <c r="C25" s="16">
        <f>IFERROR(IF(COUNT(B5:B19)=0,"",B12-MIN(B5:B19)),"")</f>
        <v/>
      </c>
      <c r="D25" s="6" t="inlineStr"/>
      <c r="E25" s="6" t="inlineStr"/>
      <c r="F25" s="6" t="inlineStr"/>
      <c r="G25" s="6" t="inlineStr"/>
      <c r="H25" s="6" t="inlineStr"/>
    </row>
    <row r="26">
      <c r="A26" s="6" t="inlineStr">
        <is>
          <t>最新一期环比</t>
        </is>
      </c>
      <c r="B26" s="6" t="inlineStr">
        <is>
          <t>最后一期 − 上一期（万吨）</t>
        </is>
      </c>
      <c r="C26" s="17">
        <f>IFERROR(IF(OR(B19="",B18=""),"",B19-B18),"")</f>
        <v/>
      </c>
      <c r="D26" s="6" t="inlineStr"/>
      <c r="E26" s="6" t="inlineStr"/>
      <c r="F26" s="6" t="inlineStr"/>
      <c r="G26" s="6" t="inlineStr"/>
      <c r="H26" s="6" t="inlineStr"/>
    </row>
    <row r="28">
      <c r="A28" s="14" t="inlineStr">
        <is>
          <t>“数据给出的环比”来自资讯原文；“计算环比”是本表用相邻两期相减得到。二者出现过不一致（例如某期页面把到港量的环比错标在库存上），校验列会把这类不一致标出来——这就是为什么必须自己算一遍。</t>
        </is>
      </c>
    </row>
  </sheetData>
  <mergeCells count="1">
    <mergeCell ref="A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30" customWidth="1" min="9" max="9"/>
  </cols>
  <sheetData>
    <row r="1">
      <c r="A1" s="1" t="inlineStr">
        <is>
          <t>四、现货、期货与基差（含两种基差口径）</t>
        </is>
      </c>
    </row>
    <row r="2">
      <c r="A2" s="2" t="inlineStr">
        <is>
          <t>基差 = 现货 − 期货。用收盘价与用结算价是两个口径，差多少本表直接算给你看。</t>
        </is>
      </c>
    </row>
    <row r="4" ht="26" customHeight="1">
      <c r="A4" s="5" t="inlineStr">
        <is>
          <t>日期</t>
        </is>
      </c>
      <c r="B4" s="5" t="inlineStr">
        <is>
          <t>太仓现货</t>
        </is>
      </c>
      <c r="C4" s="5" t="inlineStr">
        <is>
          <t>现货口径说明</t>
        </is>
      </c>
      <c r="D4" s="5" t="inlineStr">
        <is>
          <t>MA2701收盘</t>
        </is>
      </c>
      <c r="E4" s="5" t="inlineStr">
        <is>
          <t>MA2701结算</t>
        </is>
      </c>
      <c r="F4" s="5" t="inlineStr">
        <is>
          <t>基差(收盘)</t>
        </is>
      </c>
      <c r="G4" s="5" t="inlineStr">
        <is>
          <t>基差(结算)</t>
        </is>
      </c>
      <c r="H4" s="5" t="inlineStr">
        <is>
          <t>基差率%</t>
        </is>
      </c>
      <c r="I4" s="5" t="inlineStr">
        <is>
          <t>来源</t>
        </is>
      </c>
    </row>
    <row r="5">
      <c r="A5" s="15" t="inlineStr">
        <is>
          <t>2026-10-12</t>
        </is>
      </c>
      <c r="B5" s="18" t="n">
        <v>4075</v>
      </c>
      <c r="C5" s="6" t="inlineStr">
        <is>
          <t>隆众太仓地区日度价格</t>
        </is>
      </c>
      <c r="D5" s="18" t="n">
        <v>3229</v>
      </c>
      <c r="E5" s="18" t="n">
        <v>3257</v>
      </c>
      <c r="F5" s="19">
        <f>IFERROR(IF(OR(B5="",D5=""),"",B5-D5),"")</f>
        <v/>
      </c>
      <c r="G5" s="19">
        <f>IFERROR(IF(OR(B5="",E5=""),"",B5-E5),"")</f>
        <v/>
      </c>
      <c r="H5" s="20">
        <f>IFERROR(IF(OR(B5="",D5=""),"",(B5-D5)/D5*100),"")</f>
        <v/>
      </c>
      <c r="I5" s="6" t="inlineStr">
        <is>
          <t>S11</t>
        </is>
      </c>
    </row>
    <row r="6">
      <c r="A6" s="15" t="inlineStr">
        <is>
          <t>2026-10-13</t>
        </is>
      </c>
      <c r="B6" s="18" t="n">
        <v>3845</v>
      </c>
      <c r="C6" s="6" t="inlineStr">
        <is>
          <t>隆众太仓地区日度价格</t>
        </is>
      </c>
      <c r="D6" s="18" t="n">
        <v>3235</v>
      </c>
      <c r="E6" s="18" t="n">
        <v>3233</v>
      </c>
      <c r="F6" s="19">
        <f>IFERROR(IF(OR(B6="",D6=""),"",B6-D6),"")</f>
        <v/>
      </c>
      <c r="G6" s="19">
        <f>IFERROR(IF(OR(B6="",E6=""),"",B6-E6),"")</f>
        <v/>
      </c>
      <c r="H6" s="20">
        <f>IFERROR(IF(OR(B6="",D6=""),"",(B6-D6)/D6*100),"")</f>
        <v/>
      </c>
      <c r="I6" s="6" t="inlineStr">
        <is>
          <t>S11</t>
        </is>
      </c>
    </row>
    <row r="7">
      <c r="A7" s="15" t="inlineStr">
        <is>
          <t>2026-10-14</t>
        </is>
      </c>
      <c r="B7" s="18" t="n">
        <v>4025</v>
      </c>
      <c r="C7" s="6" t="inlineStr">
        <is>
          <t>隆众太仓地区日度价格</t>
        </is>
      </c>
      <c r="D7" s="18" t="n">
        <v>3262</v>
      </c>
      <c r="E7" s="18" t="n">
        <v>3275</v>
      </c>
      <c r="F7" s="19">
        <f>IFERROR(IF(OR(B7="",D7=""),"",B7-D7),"")</f>
        <v/>
      </c>
      <c r="G7" s="19">
        <f>IFERROR(IF(OR(B7="",E7=""),"",B7-E7),"")</f>
        <v/>
      </c>
      <c r="H7" s="20">
        <f>IFERROR(IF(OR(B7="",D7=""),"",(B7-D7)/D7*100),"")</f>
        <v/>
      </c>
      <c r="I7" s="6" t="inlineStr">
        <is>
          <t>S10</t>
        </is>
      </c>
    </row>
    <row r="8">
      <c r="A8" s="15" t="inlineStr">
        <is>
          <t>2026-10-15</t>
        </is>
      </c>
      <c r="B8" s="18" t="n">
        <v>3983</v>
      </c>
      <c r="C8" s="6" t="inlineStr">
        <is>
          <t>隆众太仓地区日度价格</t>
        </is>
      </c>
      <c r="D8" s="18" t="n">
        <v>3170</v>
      </c>
      <c r="E8" s="18" t="n">
        <v>3231</v>
      </c>
      <c r="F8" s="19">
        <f>IFERROR(IF(OR(B8="",D8=""),"",B8-D8),"")</f>
        <v/>
      </c>
      <c r="G8" s="19">
        <f>IFERROR(IF(OR(B8="",E8=""),"",B8-E8),"")</f>
        <v/>
      </c>
      <c r="H8" s="20">
        <f>IFERROR(IF(OR(B8="",D8=""),"",(B8-D8)/D8*100),"")</f>
        <v/>
      </c>
      <c r="I8" s="6" t="inlineStr">
        <is>
          <t>S10</t>
        </is>
      </c>
    </row>
    <row r="9">
      <c r="A9" s="15" t="inlineStr">
        <is>
          <t>2026-10-16</t>
        </is>
      </c>
      <c r="B9" s="18" t="n">
        <v>3940</v>
      </c>
      <c r="C9" s="6" t="inlineStr">
        <is>
          <t>日内成交区间3890-4030的中值（非单一订价）</t>
        </is>
      </c>
      <c r="D9" s="18" t="n">
        <v>3192</v>
      </c>
      <c r="E9" s="18" t="n">
        <v>3187</v>
      </c>
      <c r="F9" s="19">
        <f>IFERROR(IF(OR(B9="",D9=""),"",B9-D9),"")</f>
        <v/>
      </c>
      <c r="G9" s="19">
        <f>IFERROR(IF(OR(B9="",E9=""),"",B9-E9),"")</f>
        <v/>
      </c>
      <c r="H9" s="20">
        <f>IFERROR(IF(OR(B9="",D9=""),"",(B9-D9)/D9*100),"")</f>
        <v/>
      </c>
      <c r="I9" s="6" t="inlineStr">
        <is>
          <t>S12</t>
        </is>
      </c>
    </row>
    <row r="10">
      <c r="A10" s="21" t="inlineStr">
        <is>
          <t>2026-10-19</t>
        </is>
      </c>
      <c r="B10" s="22" t="n"/>
      <c r="C10" s="23" t="inlineStr">
        <is>
          <t>未取得单一订价</t>
        </is>
      </c>
      <c r="D10" s="22" t="n">
        <v>3143</v>
      </c>
      <c r="E10" s="22" t="n">
        <v>3179</v>
      </c>
      <c r="F10" s="24">
        <f>IFERROR(IF(OR(B10="",D10=""),"",B10-D10),"")</f>
        <v/>
      </c>
      <c r="G10" s="24">
        <f>IFERROR(IF(OR(B10="",E10=""),"",B10-E10),"")</f>
        <v/>
      </c>
      <c r="H10" s="25">
        <f>IFERROR(IF(OR(B10="",D10=""),"",(B10-D10)/D10*100),"")</f>
        <v/>
      </c>
      <c r="I10" s="23" t="inlineStr">
        <is>
          <t>S12</t>
        </is>
      </c>
    </row>
    <row r="12">
      <c r="A12" s="7" t="inlineStr">
        <is>
          <t>校验</t>
        </is>
      </c>
      <c r="B12" s="7" t="inlineStr">
        <is>
          <t>说明</t>
        </is>
      </c>
      <c r="C12" s="7" t="inlineStr"/>
      <c r="D12" s="7" t="inlineStr"/>
      <c r="E12" s="7" t="inlineStr"/>
      <c r="F12" s="7" t="inlineStr">
        <is>
          <t>值</t>
        </is>
      </c>
      <c r="G12" s="7" t="inlineStr"/>
      <c r="H12" s="7" t="inlineStr"/>
      <c r="I12" s="7" t="inlineStr"/>
    </row>
    <row r="13">
      <c r="A13" s="6" t="inlineStr">
        <is>
          <t>口径差</t>
        </is>
      </c>
      <c r="B13" s="6" t="inlineStr">
        <is>
          <t>同一区间内 基差(收盘) 的最大波动幅度</t>
        </is>
      </c>
      <c r="C13" s="6" t="inlineStr"/>
      <c r="D13" s="6" t="inlineStr"/>
      <c r="E13" s="6" t="inlineStr"/>
      <c r="F13" s="6">
        <f>IFERROR(IF(COUNT(F5:F9)=0,"",MAX(F5:F9)-MIN(F5:F9)),"")</f>
        <v/>
      </c>
      <c r="G13" s="6" t="inlineStr"/>
      <c r="H13" s="6" t="inlineStr"/>
      <c r="I13" s="6" t="inlineStr"/>
    </row>
    <row r="14">
      <c r="A14" s="6" t="inlineStr">
        <is>
          <t>口径对照</t>
        </is>
      </c>
      <c r="B14" s="6" t="inlineStr">
        <is>
          <t>2026-10-12 基差(收盘) 与 基差(结算) 的差</t>
        </is>
      </c>
      <c r="C14" s="6" t="inlineStr"/>
      <c r="D14" s="6" t="inlineStr"/>
      <c r="E14" s="6" t="inlineStr"/>
      <c r="F14" s="6">
        <f>IFERROR(IF(OR(F5="",G5=""),"",F5-G5),"")</f>
        <v/>
      </c>
      <c r="G14" s="6" t="inlineStr"/>
      <c r="H14" s="6" t="inlineStr"/>
      <c r="I14" s="6" t="inlineStr"/>
    </row>
    <row r="15">
      <c r="A15" s="14" t="inlineStr">
        <is>
          <t>红色底纹行＝该日期没有公开的单一现货订价（10/19），按要求留空，不用区间中值冒充。10/16 的 3940 是成交区间 3890–4030 的中值，属于“中值口径”，与相邻两天的隆众订价不完全可比。</t>
        </is>
      </c>
    </row>
  </sheetData>
  <mergeCells count="1">
    <mergeCell ref="A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五、月差与换月：远月−近月，以及换月造成的假跌</t>
        </is>
      </c>
    </row>
    <row r="2">
      <c r="A2" s="2" t="inlineStr">
        <is>
          <t>MC = F(远月) − F(近月)。MC&lt;0 为近月升水（back）。换月前后直接用绝对价相减，会把跳空算成涨跌。</t>
        </is>
      </c>
    </row>
    <row r="4" ht="26" customHeight="1">
      <c r="A4" s="5" t="inlineStr">
        <is>
          <t>日期</t>
        </is>
      </c>
      <c r="B4" s="5" t="inlineStr">
        <is>
          <t>MA2611收盘</t>
        </is>
      </c>
      <c r="C4" s="5" t="inlineStr">
        <is>
          <t>MA2701收盘</t>
        </is>
      </c>
      <c r="D4" s="5" t="inlineStr">
        <is>
          <t>MC=远-近</t>
        </is>
      </c>
      <c r="E4" s="5" t="inlineStr">
        <is>
          <t>MC率%</t>
        </is>
      </c>
      <c r="F4" s="5" t="inlineStr">
        <is>
          <t>MC变化</t>
        </is>
      </c>
      <c r="G4" s="5" t="inlineStr">
        <is>
          <t>状态</t>
        </is>
      </c>
      <c r="H4" s="5" t="inlineStr">
        <is>
          <t>备注</t>
        </is>
      </c>
    </row>
    <row r="5">
      <c r="A5" s="15" t="inlineStr">
        <is>
          <t>2026-09-30</t>
        </is>
      </c>
      <c r="B5" s="18" t="n">
        <v>3384</v>
      </c>
      <c r="C5" s="18" t="n">
        <v>2972</v>
      </c>
      <c r="D5" s="19">
        <f>IFERROR(IF(OR(B5="",C5=""),"",C5-B5),"")</f>
        <v/>
      </c>
      <c r="E5" s="20">
        <f>IFERROR(IF(OR(B5="",C5=""),"",(C5-B5)/B5*100),"")</f>
        <v/>
      </c>
      <c r="F5" s="19" t="inlineStr"/>
      <c r="G5" s="6" t="inlineStr">
        <is>
          <t>back</t>
        </is>
      </c>
      <c r="H5" s="6" t="inlineStr"/>
    </row>
    <row r="6">
      <c r="A6" s="15" t="inlineStr">
        <is>
          <t>2026-10-08</t>
        </is>
      </c>
      <c r="B6" s="18" t="n">
        <v>3625</v>
      </c>
      <c r="C6" s="18" t="n">
        <v>3200</v>
      </c>
      <c r="D6" s="19">
        <f>IFERROR(IF(OR(B6="",C6=""),"",C6-B6),"")</f>
        <v/>
      </c>
      <c r="E6" s="20">
        <f>IFERROR(IF(OR(B6="",C6=""),"",(C6-B6)/B6*100),"")</f>
        <v/>
      </c>
      <c r="F6" s="19">
        <f>IFERROR(IF(OR(D6="",D5=""),"",D6-D5),"")</f>
        <v/>
      </c>
      <c r="G6" s="6" t="inlineStr">
        <is>
          <t>back</t>
        </is>
      </c>
      <c r="H6" s="6" t="inlineStr"/>
    </row>
    <row r="7">
      <c r="A7" s="15" t="inlineStr">
        <is>
          <t>2026-10-09</t>
        </is>
      </c>
      <c r="B7" s="18" t="n">
        <v>3835</v>
      </c>
      <c r="C7" s="18" t="n">
        <v>3338</v>
      </c>
      <c r="D7" s="19">
        <f>IFERROR(IF(OR(B7="",C7=""),"",C7-B7),"")</f>
        <v/>
      </c>
      <c r="E7" s="20">
        <f>IFERROR(IF(OR(B7="",C7=""),"",(C7-B7)/B7*100),"")</f>
        <v/>
      </c>
      <c r="F7" s="19">
        <f>IFERROR(IF(OR(D7="",D6=""),"",D7-D6),"")</f>
        <v/>
      </c>
      <c r="G7" s="6" t="inlineStr">
        <is>
          <t>back</t>
        </is>
      </c>
      <c r="H7" s="6" t="inlineStr"/>
    </row>
    <row r="8">
      <c r="A8" s="15" t="inlineStr">
        <is>
          <t>2026-10-12</t>
        </is>
      </c>
      <c r="B8" s="18" t="n">
        <v>3536</v>
      </c>
      <c r="C8" s="18" t="n">
        <v>3229</v>
      </c>
      <c r="D8" s="19">
        <f>IFERROR(IF(OR(B8="",C8=""),"",C8-B8),"")</f>
        <v/>
      </c>
      <c r="E8" s="20">
        <f>IFERROR(IF(OR(B8="",C8=""),"",(C8-B8)/B8*100),"")</f>
        <v/>
      </c>
      <c r="F8" s="19">
        <f>IFERROR(IF(OR(D8="",D7=""),"",D8-D7),"")</f>
        <v/>
      </c>
      <c r="G8" s="6" t="inlineStr">
        <is>
          <t>back</t>
        </is>
      </c>
      <c r="H8" s="6" t="inlineStr"/>
    </row>
    <row r="9">
      <c r="A9" s="15" t="inlineStr">
        <is>
          <t>2026-10-13</t>
        </is>
      </c>
      <c r="B9" s="18" t="n">
        <v>3453</v>
      </c>
      <c r="C9" s="18" t="n">
        <v>3235</v>
      </c>
      <c r="D9" s="19">
        <f>IFERROR(IF(OR(B9="",C9=""),"",C9-B9),"")</f>
        <v/>
      </c>
      <c r="E9" s="20">
        <f>IFERROR(IF(OR(B9="",C9=""),"",(C9-B9)/B9*100),"")</f>
        <v/>
      </c>
      <c r="F9" s="19">
        <f>IFERROR(IF(OR(D9="",D8=""),"",D9-D8),"")</f>
        <v/>
      </c>
      <c r="G9" s="6" t="inlineStr">
        <is>
          <t>back</t>
        </is>
      </c>
      <c r="H9" s="6" t="inlineStr"/>
    </row>
    <row r="10">
      <c r="A10" s="15" t="inlineStr">
        <is>
          <t>2026-10-14</t>
        </is>
      </c>
      <c r="B10" s="18" t="n">
        <v>3473</v>
      </c>
      <c r="C10" s="18" t="n">
        <v>3262</v>
      </c>
      <c r="D10" s="19">
        <f>IFERROR(IF(OR(B10="",C10=""),"",C10-B10),"")</f>
        <v/>
      </c>
      <c r="E10" s="20">
        <f>IFERROR(IF(OR(B10="",C10=""),"",(C10-B10)/B10*100),"")</f>
        <v/>
      </c>
      <c r="F10" s="19">
        <f>IFERROR(IF(OR(D10="",D9=""),"",D10-D9),"")</f>
        <v/>
      </c>
      <c r="G10" s="6" t="inlineStr">
        <is>
          <t>back</t>
        </is>
      </c>
      <c r="H10" s="6" t="inlineStr"/>
    </row>
    <row r="11">
      <c r="A11" s="15" t="inlineStr">
        <is>
          <t>2026-10-15</t>
        </is>
      </c>
      <c r="B11" s="18" t="n">
        <v>3354</v>
      </c>
      <c r="C11" s="18" t="n">
        <v>3170</v>
      </c>
      <c r="D11" s="19">
        <f>IFERROR(IF(OR(B11="",C11=""),"",C11-B11),"")</f>
        <v/>
      </c>
      <c r="E11" s="20">
        <f>IFERROR(IF(OR(B11="",C11=""),"",(C11-B11)/B11*100),"")</f>
        <v/>
      </c>
      <c r="F11" s="19">
        <f>IFERROR(IF(OR(D11="",D10=""),"",D11-D10),"")</f>
        <v/>
      </c>
      <c r="G11" s="6" t="inlineStr">
        <is>
          <t>back</t>
        </is>
      </c>
      <c r="H11" s="6" t="inlineStr"/>
    </row>
    <row r="12">
      <c r="A12" s="15" t="inlineStr">
        <is>
          <t>2026-10-16</t>
        </is>
      </c>
      <c r="B12" s="18" t="n">
        <v>3366</v>
      </c>
      <c r="C12" s="18" t="n">
        <v>3192</v>
      </c>
      <c r="D12" s="19">
        <f>IFERROR(IF(OR(B12="",C12=""),"",C12-B12),"")</f>
        <v/>
      </c>
      <c r="E12" s="20">
        <f>IFERROR(IF(OR(B12="",C12=""),"",(C12-B12)/B12*100),"")</f>
        <v/>
      </c>
      <c r="F12" s="19">
        <f>IFERROR(IF(OR(D12="",D11=""),"",D12-D11),"")</f>
        <v/>
      </c>
      <c r="G12" s="6" t="inlineStr">
        <is>
          <t>back</t>
        </is>
      </c>
      <c r="H12" s="6" t="inlineStr"/>
    </row>
    <row r="13">
      <c r="A13" s="15" t="inlineStr">
        <is>
          <t>2026-10-19</t>
        </is>
      </c>
      <c r="B13" s="18" t="n">
        <v>3335</v>
      </c>
      <c r="C13" s="18" t="n">
        <v>3143</v>
      </c>
      <c r="D13" s="19">
        <f>IFERROR(IF(OR(B13="",C13=""),"",C13-B13),"")</f>
        <v/>
      </c>
      <c r="E13" s="20">
        <f>IFERROR(IF(OR(B13="",C13=""),"",(C13-B13)/B13*100),"")</f>
        <v/>
      </c>
      <c r="F13" s="19">
        <f>IFERROR(IF(OR(D13="",D12=""),"",D13-D12),"")</f>
        <v/>
      </c>
      <c r="G13" s="6" t="inlineStr">
        <is>
          <t>back</t>
        </is>
      </c>
      <c r="H13" s="6" t="inlineStr"/>
    </row>
    <row r="15">
      <c r="A15" s="7" t="inlineStr">
        <is>
          <t>换月陷阱演示</t>
        </is>
      </c>
      <c r="B15" s="7" t="inlineStr">
        <is>
          <t>说明</t>
        </is>
      </c>
      <c r="C15" s="7" t="inlineStr"/>
      <c r="D15" s="7" t="inlineStr">
        <is>
          <t>值</t>
        </is>
      </c>
      <c r="E15" s="7" t="inlineStr"/>
      <c r="F15" s="7" t="inlineStr"/>
      <c r="G15" s="7" t="inlineStr"/>
      <c r="H15" s="7" t="inlineStr"/>
    </row>
    <row r="16">
      <c r="A16" s="6" t="inlineStr">
        <is>
          <t>错误做法：MA2611(10/09) → MA2701(10/19) 直接相减</t>
        </is>
      </c>
      <c r="B16" s="6" t="inlineStr"/>
      <c r="C16" s="6" t="inlineStr"/>
      <c r="D16" s="26">
        <f>(3835-3143)</f>
        <v/>
      </c>
      <c r="E16" s="6" t="inlineStr"/>
      <c r="F16" s="6" t="inlineStr"/>
      <c r="G16" s="6" t="inlineStr"/>
      <c r="H16" s="6" t="inlineStr">
        <is>
          <t>把两个不同合约的价差当成涨跌，含换月跳空</t>
        </is>
      </c>
    </row>
    <row r="17">
      <c r="A17" s="6" t="inlineStr">
        <is>
          <t>错误做法 %</t>
        </is>
      </c>
      <c r="B17" s="6" t="inlineStr"/>
      <c r="C17" s="6" t="inlineStr"/>
      <c r="D17" s="26">
        <f>(3143-3835)/3835*100</f>
        <v/>
      </c>
      <c r="E17" s="6" t="inlineStr"/>
      <c r="F17" s="6" t="inlineStr"/>
      <c r="G17" s="6" t="inlineStr"/>
      <c r="H17" s="6" t="inlineStr">
        <is>
          <t>若起点用 MA2611 的 3835，会得出 -18.04% 的“跌幅”</t>
        </is>
      </c>
    </row>
    <row r="18">
      <c r="A18" s="6" t="inlineStr">
        <is>
          <t>正确做法：同一合约 MA2701</t>
        </is>
      </c>
      <c r="B18" s="6" t="inlineStr"/>
      <c r="C18" s="6" t="inlineStr"/>
      <c r="D18" s="26">
        <f>(3143-3338)/3338*100</f>
        <v/>
      </c>
      <c r="E18" s="6" t="inlineStr"/>
      <c r="F18" s="6" t="inlineStr"/>
      <c r="G18" s="6" t="inlineStr"/>
      <c r="H18" s="6" t="inlineStr">
        <is>
          <t>同一合约比值口径</t>
        </is>
      </c>
    </row>
    <row r="20">
      <c r="A20" s="14" t="inlineStr">
        <is>
          <t>结论：凡是跨越换月的区间，只能比较“涨跌幅/基差/月差”，不能比较“绝对价格”。这是期现解释里最常见的错误来源之一。</t>
        </is>
      </c>
    </row>
  </sheetData>
  <mergeCells count="1">
    <mergeCell ref="A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44" customWidth="1" min="7" max="7"/>
    <col width="16" customWidth="1" min="8" max="8"/>
  </cols>
  <sheetData>
    <row r="1">
      <c r="A1" s="1" t="inlineStr">
        <is>
          <t>六、供需与运营指标（每条都写明时点与状态）</t>
        </is>
      </c>
    </row>
    <row r="2">
      <c r="A2" s="2" t="inlineStr">
        <is>
          <t>状态列：fact=已取证的公开数据；estimation=估价；gap=未取得。估价与缺口不得当作事实引用。</t>
        </is>
      </c>
    </row>
    <row r="4" ht="26" customHeight="1">
      <c r="A4" s="5" t="inlineStr">
        <is>
          <t>指标</t>
        </is>
      </c>
      <c r="B4" s="5" t="inlineStr">
        <is>
          <t>数值</t>
        </is>
      </c>
      <c r="C4" s="5" t="inlineStr">
        <is>
          <t>单位</t>
        </is>
      </c>
      <c r="D4" s="5" t="inlineStr">
        <is>
          <t>时点</t>
        </is>
      </c>
      <c r="E4" s="5" t="inlineStr">
        <is>
          <t>上期/前值</t>
        </is>
      </c>
      <c r="F4" s="5" t="inlineStr">
        <is>
          <t>状态</t>
        </is>
      </c>
      <c r="G4" s="5" t="inlineStr">
        <is>
          <t>说明</t>
        </is>
      </c>
      <c r="H4" s="5" t="inlineStr">
        <is>
          <t>来源</t>
        </is>
      </c>
    </row>
    <row r="5">
      <c r="A5" s="7" t="inlineStr">
        <is>
          <t>江浙MTO产能利用率</t>
        </is>
      </c>
      <c r="B5" s="16" t="n">
        <v>20.06</v>
      </c>
      <c r="C5" s="6" t="inlineStr">
        <is>
          <t>%</t>
        </is>
      </c>
      <c r="D5" s="6" t="inlineStr">
        <is>
          <t>2026-10-15</t>
        </is>
      </c>
      <c r="E5" s="16" t="n">
        <v>20.06</v>
      </c>
      <c r="F5" s="6" t="inlineStr">
        <is>
          <t>fact</t>
        </is>
      </c>
      <c r="G5" s="6" t="inlineStr">
        <is>
          <t>江浙地区MTO装置产能利用率；浙江两套烯烃9月下旬已全部停车；10月8日、10月15日均为20.06%（无变化）</t>
        </is>
      </c>
      <c r="H5" s="6" t="inlineStr">
        <is>
          <t>Q</t>
        </is>
      </c>
    </row>
    <row r="6">
      <c r="A6" s="7" t="inlineStr">
        <is>
          <t>全国MTO开工率</t>
        </is>
      </c>
      <c r="B6" s="16" t="n">
        <v>81.78</v>
      </c>
      <c r="C6" s="6" t="inlineStr">
        <is>
          <t>%</t>
        </is>
      </c>
      <c r="D6" s="6" t="inlineStr">
        <is>
          <t>2026-07-16</t>
        </is>
      </c>
      <c r="E6" s="16" t="inlineStr"/>
      <c r="F6" s="6" t="inlineStr">
        <is>
          <t>fact</t>
        </is>
      </c>
      <c r="G6" s="6" t="inlineStr">
        <is>
          <t>华泰期货口径，2026年7月对比值</t>
        </is>
      </c>
      <c r="H6" s="6" t="inlineStr">
        <is>
          <t>S22</t>
        </is>
      </c>
    </row>
    <row r="7">
      <c r="A7" s="7" t="inlineStr">
        <is>
          <t>中国甲醇周产量</t>
        </is>
      </c>
      <c r="B7" s="16" t="n">
        <v>2009345</v>
      </c>
      <c r="C7" s="6" t="inlineStr">
        <is>
          <t>吨/周</t>
        </is>
      </c>
      <c r="D7" s="6" t="inlineStr">
        <is>
          <t>2026-10-15</t>
        </is>
      </c>
      <c r="E7" s="16" t="n">
        <v>2081935</v>
      </c>
      <c r="F7" s="6" t="inlineStr">
        <is>
          <t>fact</t>
        </is>
      </c>
      <c r="G7" s="6" t="inlineStr">
        <is>
          <t>较上周-72590吨/-3.49%</t>
        </is>
      </c>
      <c r="H7" s="6" t="inlineStr">
        <is>
          <t>Q</t>
        </is>
      </c>
    </row>
    <row r="8">
      <c r="A8" s="7" t="inlineStr">
        <is>
          <t>中国甲醇产能利用率</t>
        </is>
      </c>
      <c r="B8" s="16" t="n">
        <v>88.94</v>
      </c>
      <c r="C8" s="6" t="inlineStr">
        <is>
          <t>%</t>
        </is>
      </c>
      <c r="D8" s="6" t="inlineStr">
        <is>
          <t>2026-10-15</t>
        </is>
      </c>
      <c r="E8" s="16" t="inlineStr"/>
      <c r="F8" s="6" t="inlineStr">
        <is>
          <t>fact</t>
        </is>
      </c>
      <c r="G8" s="6" t="inlineStr"/>
      <c r="H8" s="6" t="inlineStr">
        <is>
          <t>Q</t>
        </is>
      </c>
    </row>
    <row r="9">
      <c r="A9" s="7" t="inlineStr">
        <is>
          <t>企业库存（厂家）</t>
        </is>
      </c>
      <c r="B9" s="16" t="n">
        <v>35.69</v>
      </c>
      <c r="C9" s="6" t="inlineStr">
        <is>
          <t>万吨</t>
        </is>
      </c>
      <c r="D9" s="6" t="inlineStr">
        <is>
          <t>2026-10-14</t>
        </is>
      </c>
      <c r="E9" s="16" t="n">
        <v>28.17</v>
      </c>
      <c r="F9" s="6" t="inlineStr">
        <is>
          <t>fact</t>
        </is>
      </c>
      <c r="G9" s="6" t="inlineStr">
        <is>
          <t>+3.46万吨/+10.74%（含节日期间下游提货减少）</t>
        </is>
      </c>
      <c r="H9" s="6" t="inlineStr">
        <is>
          <t>Q</t>
        </is>
      </c>
    </row>
    <row r="10">
      <c r="A10" s="7" t="inlineStr">
        <is>
          <t>周度到港量</t>
        </is>
      </c>
      <c r="B10" s="16" t="n">
        <v>15.9</v>
      </c>
      <c r="C10" s="6" t="inlineStr">
        <is>
          <t>万吨</t>
        </is>
      </c>
      <c r="D10" s="6" t="inlineStr">
        <is>
          <t>2026-10-14</t>
        </is>
      </c>
      <c r="E10" s="16" t="n">
        <v>3.88</v>
      </c>
      <c r="F10" s="6" t="inlineStr">
        <is>
          <t>fact</t>
        </is>
      </c>
      <c r="G10" s="6" t="inlineStr">
        <is>
          <t>外轮13.91万吨（全部显性，江苏显性2.40）+ 内贸船1.99万吨（江苏1.32、广东0.67）</t>
        </is>
      </c>
      <c r="H10" s="6" t="inlineStr">
        <is>
          <t>S3</t>
        </is>
      </c>
    </row>
    <row r="11">
      <c r="A11" s="7" t="inlineStr">
        <is>
          <t>周度到港量（前一周）</t>
        </is>
      </c>
      <c r="B11" s="16" t="n">
        <v>3.88</v>
      </c>
      <c r="C11" s="6" t="inlineStr">
        <is>
          <t>万吨</t>
        </is>
      </c>
      <c r="D11" s="6" t="inlineStr">
        <is>
          <t>2026-10-08</t>
        </is>
      </c>
      <c r="E11" s="16" t="inlineStr"/>
      <c r="F11" s="6" t="inlineStr">
        <is>
          <t>fact</t>
        </is>
      </c>
      <c r="G11" s="6" t="inlineStr">
        <is>
          <t>周期内显性外轮仅2.35万吨（另有非显性2.0），内贸船2.53万吨；到港&lt;表观提货，故库存大幅下降</t>
        </is>
      </c>
      <c r="H11" s="6" t="inlineStr">
        <is>
          <t>S3</t>
        </is>
      </c>
    </row>
    <row r="12">
      <c r="A12" s="7" t="inlineStr">
        <is>
          <t>国际甲醇周产量</t>
        </is>
      </c>
      <c r="B12" s="16" t="n">
        <v>744979</v>
      </c>
      <c r="C12" s="6" t="inlineStr">
        <is>
          <t>吨/周</t>
        </is>
      </c>
      <c r="D12" s="6" t="inlineStr">
        <is>
          <t>2026-10-16</t>
        </is>
      </c>
      <c r="E12" s="16" t="inlineStr"/>
      <c r="F12" s="6" t="inlineStr">
        <is>
          <t>fact</t>
        </is>
      </c>
      <c r="G12" s="6" t="inlineStr">
        <is>
          <t>+29740吨/+4.16%</t>
        </is>
      </c>
      <c r="H12" s="6" t="inlineStr">
        <is>
          <t>Q</t>
        </is>
      </c>
    </row>
    <row r="13">
      <c r="A13" s="7" t="inlineStr">
        <is>
          <t>CFR中国</t>
        </is>
      </c>
      <c r="B13" s="16" t="n">
        <v>444</v>
      </c>
      <c r="C13" s="6" t="inlineStr">
        <is>
          <t>美元/吨</t>
        </is>
      </c>
      <c r="D13" s="6" t="inlineStr">
        <is>
          <t>2026-10-19</t>
        </is>
      </c>
      <c r="E13" s="16" t="inlineStr"/>
      <c r="F13" s="6" t="inlineStr">
        <is>
          <t>fact</t>
        </is>
      </c>
      <c r="G13" s="6" t="inlineStr">
        <is>
          <t>主港远期现货</t>
        </is>
      </c>
      <c r="H13" s="6" t="inlineStr">
        <is>
          <t>S15</t>
        </is>
      </c>
    </row>
    <row r="14">
      <c r="A14" s="7" t="inlineStr">
        <is>
          <t>美元/人民币</t>
        </is>
      </c>
      <c r="B14" s="16" t="n">
        <v>6.72</v>
      </c>
      <c r="C14" s="6" t="inlineStr">
        <is>
          <t>元</t>
        </is>
      </c>
      <c r="D14" s="6" t="inlineStr">
        <is>
          <t>2026-10-19</t>
        </is>
      </c>
      <c r="E14" s="16" t="inlineStr"/>
      <c r="F14" s="6" t="inlineStr">
        <is>
          <t>fact</t>
        </is>
      </c>
      <c r="G14" s="6" t="inlineStr">
        <is>
          <t>卓创资讯首页：美元/人民币汇率中间价6.72</t>
        </is>
      </c>
      <c r="H14" s="6" t="inlineStr">
        <is>
          <t>S30</t>
        </is>
      </c>
    </row>
    <row r="15">
      <c r="A15" s="23" t="inlineStr">
        <is>
          <t>海运+保险</t>
        </is>
      </c>
      <c r="B15" s="27" t="n">
        <v>75</v>
      </c>
      <c r="C15" s="23" t="inlineStr">
        <is>
          <t>元/吨</t>
        </is>
      </c>
      <c r="D15" s="23" t="inlineStr">
        <is>
          <t>2026-10</t>
        </is>
      </c>
      <c r="E15" s="27" t="inlineStr"/>
      <c r="F15" s="23" t="inlineStr">
        <is>
          <t>estimation</t>
        </is>
      </c>
      <c r="G15" s="23" t="inlineStr">
        <is>
          <t>估价：中东→华东海运+保险。2026年10月霍尔木兹封锁风险下运保费显著抬升，区间60-120元/吨，对到岸成本影响±3%</t>
        </is>
      </c>
      <c r="H15" s="23" t="inlineStr">
        <is>
          <t>估价</t>
        </is>
      </c>
    </row>
    <row r="16">
      <c r="A16" s="7" t="inlineStr">
        <is>
          <t>港杂+报关+罐费</t>
        </is>
      </c>
      <c r="B16" s="16" t="n">
        <v>50</v>
      </c>
      <c r="C16" s="6" t="inlineStr">
        <is>
          <t>元/吨</t>
        </is>
      </c>
      <c r="D16" s="6" t="inlineStr">
        <is>
          <t>2026-10</t>
        </is>
      </c>
      <c r="E16" s="16" t="inlineStr"/>
      <c r="F16" s="6" t="inlineStr">
        <is>
          <t>convention</t>
        </is>
      </c>
      <c r="G16" s="6" t="inlineStr">
        <is>
          <t>行业惯例值：港杂+报关+商检+罐费（不含卸货损耗）30-70元/吨</t>
        </is>
      </c>
      <c r="H16" s="6" t="inlineStr">
        <is>
          <t>惯例</t>
        </is>
      </c>
    </row>
    <row r="17">
      <c r="A17" s="23" t="inlineStr">
        <is>
          <t>动力煤Q5500（鄂尔多斯）</t>
        </is>
      </c>
      <c r="B17" s="27" t="n"/>
      <c r="C17" s="23" t="inlineStr">
        <is>
          <t>元/吨</t>
        </is>
      </c>
      <c r="D17" s="23" t="inlineStr">
        <is>
          <t>2026-10</t>
        </is>
      </c>
      <c r="E17" s="27" t="inlineStr"/>
      <c r="F17" s="23" t="inlineStr">
        <is>
          <t>gap</t>
        </is>
      </c>
      <c r="G17" s="23" t="inlineStr">
        <is>
          <t>未取得同日报价，成本折点无法测算</t>
        </is>
      </c>
      <c r="H17" s="23" t="inlineStr"/>
    </row>
    <row r="18">
      <c r="A18" s="23" t="inlineStr">
        <is>
          <t>内蒙北线价格</t>
        </is>
      </c>
      <c r="B18" s="27" t="n"/>
      <c r="C18" s="23" t="inlineStr">
        <is>
          <t>元/吨</t>
        </is>
      </c>
      <c r="D18" s="23" t="inlineStr">
        <is>
          <t>2026-10</t>
        </is>
      </c>
      <c r="E18" s="27" t="inlineStr"/>
      <c r="F18" s="23" t="inlineStr">
        <is>
          <t>gap</t>
        </is>
      </c>
      <c r="G18" s="23" t="inlineStr">
        <is>
          <t>未取得，无法算太仓-内蒙区域价差</t>
        </is>
      </c>
      <c r="H18" s="23" t="inlineStr"/>
    </row>
    <row r="20">
      <c r="A20" s="14" t="inlineStr">
        <is>
          <t>这张表是“为什么库存低还会跌”的证据链：需求端（江浙MTO 20.06%）、供给端（到港 3.88→15.90）、成本端（缺口）。缺成本数据意味着“跌到成本线了吗”这个问题本表回答不了，必须显式说明。</t>
        </is>
      </c>
    </row>
  </sheetData>
  <mergeCells count="1">
    <mergeCell ref="A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50" customWidth="1" min="4" max="4"/>
  </cols>
  <sheetData>
    <row r="1">
      <c r="A1" s="1" t="inlineStr">
        <is>
          <t>七、进口扳平价（含税到岸成本）与进口盈亏</t>
        </is>
      </c>
    </row>
    <row r="2">
      <c r="A2" s="2" t="inlineStr">
        <is>
          <t>公式链：CFR → CIF(¥) → 到岸(不含税) → 到岸(含税) → 与国内现货/盘面比较。改黄色格子即可做敏感性分析。</t>
        </is>
      </c>
    </row>
    <row r="4" ht="26" customHeight="1">
      <c r="A4" s="5" t="inlineStr">
        <is>
          <t>项目</t>
        </is>
      </c>
      <c r="B4" s="5" t="inlineStr">
        <is>
          <t>数值</t>
        </is>
      </c>
      <c r="C4" s="5" t="inlineStr">
        <is>
          <t>单位</t>
        </is>
      </c>
      <c r="D4" s="5" t="inlineStr">
        <is>
          <t>说明</t>
        </is>
      </c>
    </row>
    <row r="5">
      <c r="A5" s="6" t="inlineStr">
        <is>
          <t>CFR中国</t>
        </is>
      </c>
      <c r="B5" s="8" t="n">
        <v>444</v>
      </c>
      <c r="C5" s="6" t="inlineStr">
        <is>
          <t>美元/吨</t>
        </is>
      </c>
      <c r="D5" s="6" t="inlineStr">
        <is>
          <t>2026-10-19 主港远期现货</t>
        </is>
      </c>
    </row>
    <row r="6">
      <c r="A6" s="6" t="inlineStr">
        <is>
          <t>美元/人民币</t>
        </is>
      </c>
      <c r="B6" s="8" t="n">
        <v>6.72</v>
      </c>
      <c r="C6" s="6" t="inlineStr">
        <is>
          <t>元</t>
        </is>
      </c>
      <c r="D6" s="6" t="inlineStr">
        <is>
          <t>中间价</t>
        </is>
      </c>
    </row>
    <row r="7">
      <c r="A7" s="6" t="inlineStr">
        <is>
          <t>进口关税</t>
        </is>
      </c>
      <c r="B7" s="8" t="n">
        <v>0.05</v>
      </c>
      <c r="C7" s="6" t="inlineStr">
        <is>
          <t>%</t>
        </is>
      </c>
      <c r="D7" s="6" t="inlineStr">
        <is>
          <t>最惠国 5%</t>
        </is>
      </c>
    </row>
    <row r="8">
      <c r="A8" s="6" t="inlineStr">
        <is>
          <t>CIF折人民币(含税)</t>
        </is>
      </c>
      <c r="B8" s="28">
        <f>B5*B6*(1+B7)</f>
        <v/>
      </c>
      <c r="C8" s="6" t="inlineStr">
        <is>
          <t>元/吨</t>
        </is>
      </c>
      <c r="D8" s="6" t="inlineStr">
        <is>
          <t>由 CFR × 汇率 × (1+关税) 得出</t>
        </is>
      </c>
    </row>
    <row r="9">
      <c r="A9" s="6" t="inlineStr">
        <is>
          <t>海运+保险</t>
        </is>
      </c>
      <c r="B9" s="8" t="n">
        <v>75</v>
      </c>
      <c r="C9" s="6" t="inlineStr">
        <is>
          <t>元/吨</t>
        </is>
      </c>
      <c r="D9" s="6" t="inlineStr">
        <is>
          <t>估价（见 06 表）</t>
        </is>
      </c>
    </row>
    <row r="10">
      <c r="A10" s="6" t="inlineStr">
        <is>
          <t>港杂+报关+罐费</t>
        </is>
      </c>
      <c r="B10" s="8" t="n">
        <v>50</v>
      </c>
      <c r="C10" s="6" t="inlineStr">
        <is>
          <t>元/吨</t>
        </is>
      </c>
      <c r="D10" s="6" t="inlineStr">
        <is>
          <t>惯例值</t>
        </is>
      </c>
    </row>
    <row r="11">
      <c r="A11" s="6" t="inlineStr">
        <is>
          <t>到岸成本(不含增值税)</t>
        </is>
      </c>
      <c r="B11" s="28">
        <f>B8+B9+B10</f>
        <v/>
      </c>
      <c r="C11" s="6" t="inlineStr">
        <is>
          <t>元/吨</t>
        </is>
      </c>
      <c r="D11" s="6" t="inlineStr">
        <is>
          <t>由 CIF + 运保 + 港杂 得出</t>
        </is>
      </c>
    </row>
    <row r="12">
      <c r="A12" s="6" t="inlineStr">
        <is>
          <t>增值税率</t>
        </is>
      </c>
      <c r="B12" s="8" t="n">
        <v>0.13</v>
      </c>
      <c r="C12" s="6" t="inlineStr">
        <is>
          <t>%</t>
        </is>
      </c>
      <c r="D12" s="6" t="inlineStr">
        <is>
          <t>13%</t>
        </is>
      </c>
    </row>
    <row r="13">
      <c r="A13" s="6" t="inlineStr">
        <is>
          <t>到岸成本(含税)</t>
        </is>
      </c>
      <c r="B13" s="28">
        <f>B11*(1+B12)</f>
        <v/>
      </c>
      <c r="C13" s="6" t="inlineStr">
        <is>
          <t>元/吨</t>
        </is>
      </c>
      <c r="D13" s="6" t="inlineStr">
        <is>
          <t>由 到岸(不含税) × (1+13%) 得出</t>
        </is>
      </c>
    </row>
    <row r="14">
      <c r="A14" s="6" t="inlineStr">
        <is>
          <t>太仓现货（区间中值）</t>
        </is>
      </c>
      <c r="B14" s="8" t="n">
        <v>3940</v>
      </c>
      <c r="C14" s="6" t="inlineStr">
        <is>
          <t>元/吨</t>
        </is>
      </c>
      <c r="D14" s="6" t="inlineStr">
        <is>
          <t>3890–4030 中值（中值口径）</t>
        </is>
      </c>
    </row>
    <row r="15">
      <c r="A15" s="6" t="inlineStr">
        <is>
          <t>进口盈亏(现货)</t>
        </is>
      </c>
      <c r="B15" s="28">
        <f>B14-B13</f>
        <v/>
      </c>
      <c r="C15" s="6" t="inlineStr">
        <is>
          <t>元/吨</t>
        </is>
      </c>
      <c r="D15" s="6" t="inlineStr">
        <is>
          <t>国内现货 − 到岸含税；正=进口有利润</t>
        </is>
      </c>
    </row>
    <row r="16">
      <c r="A16" s="6" t="inlineStr">
        <is>
          <t>MA2701 收盘</t>
        </is>
      </c>
      <c r="B16" s="8" t="n">
        <v>3143</v>
      </c>
      <c r="C16" s="6" t="inlineStr">
        <is>
          <t>元/吨</t>
        </is>
      </c>
      <c r="D16" s="6" t="inlineStr">
        <is>
          <t>2026-10-19</t>
        </is>
      </c>
    </row>
    <row r="17">
      <c r="A17" s="6" t="inlineStr">
        <is>
          <t>盘面-进口价差</t>
        </is>
      </c>
      <c r="B17" s="28">
        <f>B16-B13</f>
        <v/>
      </c>
      <c r="C17" s="6" t="inlineStr">
        <is>
          <t>元/吨</t>
        </is>
      </c>
      <c r="D17" s="6" t="inlineStr">
        <is>
          <t>负=盘面已跌破进口成本</t>
        </is>
      </c>
    </row>
    <row r="19">
      <c r="A19" s="7" t="inlineStr">
        <is>
          <t>敏感性分析：汇率 vs CFR 对到岸含税成本的影响</t>
        </is>
      </c>
      <c r="B19" s="7" t="inlineStr"/>
      <c r="C19" s="7" t="inlineStr"/>
      <c r="D19" s="7" t="inlineStr"/>
    </row>
    <row r="20" ht="26" customHeight="1">
      <c r="A20" s="5" t="inlineStr">
        <is>
          <t>汇率＼CFR</t>
        </is>
      </c>
      <c r="B20" s="5" t="inlineStr">
        <is>
          <t>420 美元</t>
        </is>
      </c>
      <c r="C20" s="5" t="inlineStr">
        <is>
          <t>444 美元</t>
        </is>
      </c>
      <c r="D20" s="5" t="inlineStr">
        <is>
          <t>470 美元</t>
        </is>
      </c>
    </row>
    <row r="21">
      <c r="A21" s="20" t="n">
        <v>6.6</v>
      </c>
      <c r="B21" s="29">
        <f>(420*$A21*(1+$B$7)+$B$9+$B$10)*(1+$B$12)</f>
        <v/>
      </c>
      <c r="C21" s="29">
        <f>(444*$A21*(1+$B$7)+$B$9+$B$10)*(1+$B$12)</f>
        <v/>
      </c>
      <c r="D21" s="29">
        <f>(470*$A21*(1+$B$7)+$B$9+$B$10)*(1+$B$12)</f>
        <v/>
      </c>
    </row>
    <row r="22">
      <c r="A22" s="20" t="n">
        <v>6.72</v>
      </c>
      <c r="B22" s="29">
        <f>(420*$A22*(1+$B$7)+$B$9+$B$10)*(1+$B$12)</f>
        <v/>
      </c>
      <c r="C22" s="29">
        <f>(444*$A22*(1+$B$7)+$B$9+$B$10)*(1+$B$12)</f>
        <v/>
      </c>
      <c r="D22" s="29">
        <f>(470*$A22*(1+$B$7)+$B$9+$B$10)*(1+$B$12)</f>
        <v/>
      </c>
    </row>
    <row r="23">
      <c r="A23" s="20" t="n">
        <v>6.85</v>
      </c>
      <c r="B23" s="29">
        <f>(420*$A23*(1+$B$7)+$B$9+$B$10)*(1+$B$12)</f>
        <v/>
      </c>
      <c r="C23" s="29">
        <f>(444*$A23*(1+$B$7)+$B$9+$B$10)*(1+$B$12)</f>
        <v/>
      </c>
      <c r="D23" s="29">
        <f>(470*$A23*(1+$B$7)+$B$9+$B$10)*(1+$B$12)</f>
        <v/>
      </c>
    </row>
    <row r="26">
      <c r="A26" s="14" t="inlineStr">
        <is>
          <t>读法：在 CFR 444、汇率 6.72 下到岸含税成本约 3681 元/吨，低于太仓现货约 259 元/吨（进口有利润）；但“有利润”不等于“能进口”——还要看能不能拿到船、有没有罐容、以及船期是否落在交割月前。</t>
        </is>
      </c>
    </row>
  </sheetData>
  <mergeCells count="1">
    <mergeCell ref="A26:D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4" customWidth="1" min="4" max="4"/>
    <col width="40" customWidth="1" min="5" max="5"/>
  </cols>
  <sheetData>
    <row r="1">
      <c r="A1" s="1" t="inlineStr">
        <is>
          <t>八、案例核对：把“库存下降价格下跌”这句话拆开验</t>
        </is>
      </c>
    </row>
    <row r="2">
      <c r="A2" s="2" t="inlineStr">
        <is>
          <t>这是全篇最关键的一张表：同一句话在不同时间尺度上，成立与否完全不同。</t>
        </is>
      </c>
    </row>
    <row r="4" ht="26" customHeight="1">
      <c r="A4" s="5" t="inlineStr">
        <is>
          <t>尺度</t>
        </is>
      </c>
      <c r="B4" s="5" t="inlineStr">
        <is>
          <t>库存</t>
        </is>
      </c>
      <c r="C4" s="5" t="inlineStr">
        <is>
          <t>价格</t>
        </is>
      </c>
      <c r="D4" s="5" t="inlineStr">
        <is>
          <t>是否并存</t>
        </is>
      </c>
      <c r="E4" s="5" t="inlineStr">
        <is>
          <t>备注/说明</t>
        </is>
      </c>
    </row>
    <row r="5">
      <c r="A5" s="6" t="inlineStr">
        <is>
          <t>月度（2026-09-02 → 2026-10-08）</t>
        </is>
      </c>
      <c r="B5" s="6" t="inlineStr">
        <is>
          <t>64.15 → 30.51 万吨（-52.4%）</t>
        </is>
      </c>
      <c r="C5" s="6" t="inlineStr">
        <is>
          <t>同期价格大幅上涨（10/8涨停、10/9涨超6%）</t>
        </is>
      </c>
      <c r="D5" s="23" t="inlineStr">
        <is>
          <t>否</t>
        </is>
      </c>
      <c r="E5" s="6" t="inlineStr"/>
    </row>
    <row r="6">
      <c r="A6" s="6" t="inlineStr">
        <is>
          <t>周度（2026-10-08 → 2026-10-14）</t>
        </is>
      </c>
      <c r="B6" s="6" t="inlineStr">
        <is>
          <t>30.51 → 36.72 万吨（+20.4%）</t>
        </is>
      </c>
      <c r="C6" s="6" t="inlineStr">
        <is>
          <t>10/8→10/14 期间价格高位震荡回落（10/12 -92元/吨）</t>
        </is>
      </c>
      <c r="D6" s="13" t="inlineStr">
        <is>
          <t>是</t>
        </is>
      </c>
      <c r="E6" s="6" t="inlineStr">
        <is>
          <t>本周是累库 + 价格下跌，不是去库 + 下跌</t>
        </is>
      </c>
    </row>
    <row r="7">
      <c r="A7" s="6" t="inlineStr">
        <is>
          <t>日度（2026-10-09 → 2026-10-19）</t>
        </is>
      </c>
      <c r="B7" s="6" t="inlineStr">
        <is>
          <t>无当周增量数据（最近一期10/14为累库）</t>
        </is>
      </c>
      <c r="C7" s="6" t="inlineStr">
        <is>
          <t>MA2701 3338 → 3143（-5.84%）</t>
        </is>
      </c>
      <c r="D7" s="23" t="inlineStr">
        <is>
          <t>否</t>
        </is>
      </c>
      <c r="E7" s="6" t="inlineStr"/>
    </row>
    <row r="9">
      <c r="A9" s="7" t="inlineStr">
        <is>
          <t>并存核对结论</t>
        </is>
      </c>
      <c r="B9" s="7" t="inlineStr">
        <is>
          <t>NOT FOUND（同一周内'库存下降+价格下跌'未出现）</t>
        </is>
      </c>
      <c r="C9" s="7" t="inlineStr"/>
      <c r="D9" s="7" t="inlineStr"/>
      <c r="E9" s="7" t="inlineStr"/>
    </row>
    <row r="10" ht="60" customHeight="1">
      <c r="A10" s="4" t="inlineStr">
        <is>
          <t>在本页核对的 2026-07-08 至 2026-10-14 周度序列中，与价格同向/反向逐一比对后，没有出现'某一周样本库存下降、而同一周主力价格下跌'的组合：9月的连续去库对应的是价格上涨；10/14 的累库对应的是价格回落。所以本题在本窗口内不能作为'库存降价格跌'的历史案例使用。</t>
        </is>
      </c>
    </row>
    <row r="12">
      <c r="A12" s="7" t="inlineStr">
        <is>
          <t>真正成立的表述</t>
        </is>
      </c>
      <c r="B12" s="7" t="inlineStr">
        <is>
          <t>真正成立的是：库存处于统计期最低（30.51万吨，较历史均值低66.87%）时，价格仍然可以跌 —— 因为低库存是一个'存量条件'，价格由'对流量的边际预期'定价，而流量端已经转向：到港从3.88→15.90万吨、江浙MTO负荷20.06%、国际周产量+4.16%。</t>
        </is>
      </c>
      <c r="C12" s="7" t="inlineStr"/>
      <c r="D12" s="7" t="inlineStr"/>
      <c r="E12" s="7" t="inlineStr"/>
    </row>
    <row r="13" ht="60" customHeight="1">
      <c r="B13" s="30" t="n"/>
    </row>
    <row r="15">
      <c r="A15" s="31" t="inlineStr">
        <is>
          <t>仅作理论假设（本次未证实）</t>
        </is>
      </c>
      <c r="B15" s="31" t="inlineStr"/>
      <c r="C15" s="31" t="inlineStr"/>
      <c r="D15" s="31" t="inlineStr"/>
      <c r="E15" s="31" t="inlineStr"/>
    </row>
    <row r="16" ht="42" customHeight="1">
      <c r="A16" s="4" t="inlineStr">
        <is>
          <t>T1 被动去库：下游停车导致提货变慢，库存因为'没人要'而下降，价格同步下跌 —— 机制上成立，但本窗口9月去库期价格在涨，不能当作已发生案例。</t>
        </is>
      </c>
    </row>
    <row r="17" ht="42" customHeight="1">
      <c r="A17" s="4" t="inlineStr">
        <is>
          <t>T2 高库存去库但价格下跌（2025年9-11月港口库存149万吨级别）—— 现只有 2025-10-15 单点库存数据，缺少同期太仓价格，未验证。</t>
        </is>
      </c>
    </row>
    <row r="18" ht="42" customHeight="1">
      <c r="A18" s="4" t="inlineStr">
        <is>
          <t>T3 地缘溢价消退使库存信息被完全忽略 —— 10/12 的下跌确由地缘/负反馈驱动，但库存同期已转累库，无法用于证明'忽略库存'。</t>
        </is>
      </c>
    </row>
    <row r="20">
      <c r="A20" s="11" t="inlineStr">
        <is>
          <t>情景路径</t>
        </is>
      </c>
      <c r="B20" s="11" t="inlineStr">
        <is>
          <t>预期表现</t>
        </is>
      </c>
      <c r="C20" s="11" t="inlineStr">
        <is>
          <t>用什么验证</t>
        </is>
      </c>
      <c r="D20" s="11" t="inlineStr">
        <is>
          <t>本次对应</t>
        </is>
      </c>
      <c r="E20" s="11" t="inlineStr"/>
    </row>
    <row r="21">
      <c r="A21" s="6" t="inlineStr">
        <is>
          <t>L1 库存下降 + 下游抢货</t>
        </is>
      </c>
      <c r="B21" s="6" t="inlineStr">
        <is>
          <t>现货涨得比期货快 → 基差走强；近月强于远月 → back 加深</t>
        </is>
      </c>
      <c r="C21" s="6" t="inlineStr">
        <is>
          <t>看下游开工率是否上升、基差是否同步走强</t>
        </is>
      </c>
      <c r="D21" s="6" t="inlineStr">
        <is>
          <t>2026-09 → 10/08 的价格上涨更接近这一路径（库存下降同时价格暴涨）</t>
        </is>
      </c>
      <c r="E21" s="6" t="inlineStr"/>
    </row>
    <row r="22">
      <c r="A22" s="6" t="inlineStr">
        <is>
          <t>L2 库存下降 + 下游被迫停车</t>
        </is>
      </c>
      <c r="B22" s="6" t="inlineStr">
        <is>
          <t>库存下降只反映'没人接货' → 价格与基差同时走弱</t>
        </is>
      </c>
      <c r="C22" s="6" t="inlineStr">
        <is>
          <t>看MTO/传统下游开工率是否下降、现货成交是否萎缩</t>
        </is>
      </c>
      <c r="D22" s="6" t="inlineStr">
        <is>
          <t>2026年10月：江浙MTO负荷20.06%，传统需求进入淡季</t>
        </is>
      </c>
      <c r="E22" s="6" t="inlineStr"/>
    </row>
    <row r="23">
      <c r="A23" s="6" t="inlineStr">
        <is>
          <t>L3 库存下降但已被提前定价</t>
        </is>
      </c>
      <c r="B23" s="6" t="inlineStr">
        <is>
          <t>见报时利多出尽 → 价格反而回落</t>
        </is>
      </c>
      <c r="C23" s="6" t="inlineStr">
        <is>
          <t>比较库存发布日与随后1-3日的价格反应</t>
        </is>
      </c>
      <c r="D23" s="6" t="inlineStr">
        <is>
          <t>10/8库存30.51万吨发布 → 10/9主力涨超6%，随后一周回吐</t>
        </is>
      </c>
      <c r="E23" s="6" t="inlineStr"/>
    </row>
    <row r="24">
      <c r="A24" s="6" t="inlineStr">
        <is>
          <t>L4 口径/地区错配</t>
        </is>
      </c>
      <c r="B24" s="6" t="inlineStr">
        <is>
          <t>全国去库，但交割地在累库 → 盘面压力大</t>
        </is>
      </c>
      <c r="C24" s="6" t="inlineStr">
        <is>
          <t>拆分华东/华南；对照交割库与主流库区</t>
        </is>
      </c>
      <c r="D24" s="6" t="inlineStr">
        <is>
          <t>10/14 全国+6.21，但华东-3.16、华南+9.37</t>
        </is>
      </c>
      <c r="E24" s="6" t="inlineStr"/>
    </row>
    <row r="25">
      <c r="A25" s="6" t="inlineStr">
        <is>
          <t>L5 库存低但供应预期恢复</t>
        </is>
      </c>
      <c r="B25" s="6" t="inlineStr">
        <is>
          <t>期货先跌（交易未来累库），现货暂稳 → 基差被动走强</t>
        </is>
      </c>
      <c r="C25" s="6" t="inlineStr">
        <is>
          <t>看到港量、外盘开工与进口预期</t>
        </is>
      </c>
      <c r="D25" s="6" t="inlineStr">
        <is>
          <t>到港从3.88→15.90万吨；隆众称11月非伊供应或回升</t>
        </is>
      </c>
      <c r="E25" s="6" t="inlineStr"/>
    </row>
    <row r="26">
      <c r="A26" s="6" t="inlineStr">
        <is>
          <t>L6 成本/地缘盖过库存</t>
        </is>
      </c>
      <c r="B26" s="6" t="inlineStr">
        <is>
          <t>库存变化的解释力显著下降</t>
        </is>
      </c>
      <c r="C26" s="6" t="inlineStr">
        <is>
          <t>看原油/煤价与运输是否主导当日行情</t>
        </is>
      </c>
      <c r="D26" s="6" t="inlineStr">
        <is>
          <t>10/9 涨超6%的直接归因是霍尔木兹封锁</t>
        </is>
      </c>
      <c r="E26" s="6" t="inlineStr"/>
    </row>
  </sheetData>
  <mergeCells count="5">
    <mergeCell ref="A16:E16"/>
    <mergeCell ref="B13:E13"/>
    <mergeCell ref="A10:E10"/>
    <mergeCell ref="A17:E17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20" customWidth="1" min="4" max="4"/>
  </cols>
  <sheetData>
    <row r="1">
      <c r="A1" s="1" t="inlineStr">
        <is>
          <t>九、事实 / 推断 / 假设 三分表</t>
        </is>
      </c>
    </row>
    <row r="2">
      <c r="A2" s="2" t="inlineStr">
        <is>
          <t>“理论上会这样”与“这次真的这样”必须分开写。本表按层级标注，交付时不得把推断当事实。</t>
        </is>
      </c>
    </row>
    <row r="4" ht="26" customHeight="1">
      <c r="A4" s="5" t="inlineStr">
        <is>
          <t>日期</t>
        </is>
      </c>
      <c r="B4" s="5" t="inlineStr">
        <is>
          <t>层级</t>
        </is>
      </c>
      <c r="C4" s="5" t="inlineStr">
        <is>
          <t>内容</t>
        </is>
      </c>
      <c r="D4" s="5" t="inlineStr">
        <is>
          <t>来源</t>
        </is>
      </c>
    </row>
    <row r="5">
      <c r="A5" s="6" t="inlineStr">
        <is>
          <t>2026-09-23</t>
        </is>
      </c>
      <c r="B5" s="13" t="inlineStr">
        <is>
          <t>事实</t>
        </is>
      </c>
      <c r="C5" s="6" t="inlineStr">
        <is>
          <t>港口库存41.20万吨（-1.19）；浙江两套烯烃装置已全部停车</t>
        </is>
      </c>
      <c r="D5" s="6" t="inlineStr">
        <is>
          <t>S24</t>
        </is>
      </c>
    </row>
    <row r="6">
      <c r="A6" s="6" t="inlineStr">
        <is>
          <t>2026-09-30</t>
        </is>
      </c>
      <c r="B6" s="13" t="inlineStr">
        <is>
          <t>事实</t>
        </is>
      </c>
      <c r="C6" s="6" t="inlineStr">
        <is>
          <t>港口库存39.35万吨（-1.85）</t>
        </is>
      </c>
      <c r="D6" s="6" t="inlineStr">
        <is>
          <t>Q</t>
        </is>
      </c>
    </row>
    <row r="7">
      <c r="A7" s="6" t="inlineStr">
        <is>
          <t>2026-10-08</t>
        </is>
      </c>
      <c r="B7" s="13" t="inlineStr">
        <is>
          <t>事实</t>
        </is>
      </c>
      <c r="C7" s="6" t="inlineStr">
        <is>
          <t>港口库存30.51万吨（-8.84），统计期最低，较历史均值低66.87%</t>
        </is>
      </c>
      <c r="D7" s="6" t="inlineStr">
        <is>
          <t>S4</t>
        </is>
      </c>
    </row>
    <row r="8">
      <c r="A8" s="6" t="inlineStr">
        <is>
          <t>2026-10-08</t>
        </is>
      </c>
      <c r="B8" s="13" t="inlineStr">
        <is>
          <t>事实</t>
        </is>
      </c>
      <c r="C8" s="6" t="inlineStr">
        <is>
          <t>MA2611涨停（+300元/吨，收3625）；当周到港仅3.88万吨</t>
        </is>
      </c>
      <c r="D8" s="6" t="inlineStr">
        <is>
          <t>S13/S3</t>
        </is>
      </c>
    </row>
    <row r="9">
      <c r="A9" s="6" t="inlineStr">
        <is>
          <t>2026-10-09</t>
        </is>
      </c>
      <c r="B9" s="13" t="inlineStr">
        <is>
          <t>事实</t>
        </is>
      </c>
      <c r="C9" s="6" t="inlineStr">
        <is>
          <t>主力盘中涨超6%报3790元/吨；江苏现货涨至4635元/吨（+185）</t>
        </is>
      </c>
      <c r="D9" s="6" t="inlineStr">
        <is>
          <t>S4</t>
        </is>
      </c>
    </row>
    <row r="10">
      <c r="A10" s="6" t="inlineStr">
        <is>
          <t>2026-10-09</t>
        </is>
      </c>
      <c r="B10" s="13" t="inlineStr">
        <is>
          <t>事实</t>
        </is>
      </c>
      <c r="C10" s="6" t="inlineStr">
        <is>
          <t>行情归因：霍尔木兹海峡封锁 + 港口库存大幅去化（两家期货公司研报）</t>
        </is>
      </c>
      <c r="D10" s="6" t="inlineStr">
        <is>
          <t>S4</t>
        </is>
      </c>
    </row>
    <row r="11">
      <c r="A11" s="6" t="inlineStr">
        <is>
          <t>2026-10-10</t>
        </is>
      </c>
      <c r="B11" s="13" t="inlineStr">
        <is>
          <t>事实</t>
        </is>
      </c>
      <c r="C11" s="6" t="inlineStr">
        <is>
          <t>太仓现货小单最低成交4400元/吨（较昨日最高成交-550）；产区工厂下调200元/吨起拍仍流拍</t>
        </is>
      </c>
      <c r="D11" s="6" t="inlineStr">
        <is>
          <t>S17</t>
        </is>
      </c>
    </row>
    <row r="12">
      <c r="A12" s="6" t="inlineStr">
        <is>
          <t>2026-10-10</t>
        </is>
      </c>
      <c r="B12" s="13" t="inlineStr">
        <is>
          <t>事实</t>
        </is>
      </c>
      <c r="C12" s="6" t="inlineStr">
        <is>
          <t>隆众聚焦：11月非伊甲醇供应回升或助力甲醇回调空间</t>
        </is>
      </c>
      <c r="D12" s="6" t="inlineStr">
        <is>
          <t>S9</t>
        </is>
      </c>
    </row>
    <row r="13">
      <c r="A13" s="6" t="inlineStr">
        <is>
          <t>2026-10-12</t>
        </is>
      </c>
      <c r="B13" s="13" t="inlineStr">
        <is>
          <t>事实</t>
        </is>
      </c>
      <c r="C13" s="6" t="inlineStr">
        <is>
          <t>主力盘中跌超6%跌破3600；太仓4075元/吨；'烯烃负反馈正式落地'</t>
        </is>
      </c>
      <c r="D13" s="6" t="inlineStr">
        <is>
          <t>S11/S17</t>
        </is>
      </c>
    </row>
    <row r="14">
      <c r="A14" s="6" t="inlineStr">
        <is>
          <t>2026-10-13</t>
        </is>
      </c>
      <c r="B14" s="13" t="inlineStr">
        <is>
          <t>事实</t>
        </is>
      </c>
      <c r="C14" s="6" t="inlineStr">
        <is>
          <t>太仓3845元/吨（-5.64%）；江浙MTO产能利用率20.06%</t>
        </is>
      </c>
      <c r="D14" s="6" t="inlineStr">
        <is>
          <t>S11/Q</t>
        </is>
      </c>
    </row>
    <row r="15">
      <c r="A15" s="6" t="inlineStr">
        <is>
          <t>2026-10-14</t>
        </is>
      </c>
      <c r="B15" s="13" t="inlineStr">
        <is>
          <t>事实</t>
        </is>
      </c>
      <c r="C15" s="6" t="inlineStr">
        <is>
          <t>港口库存36.72万吨（+6.21）：华东-3.16、华南+9.37；周期到港15.90万吨</t>
        </is>
      </c>
      <c r="D15" s="6" t="inlineStr">
        <is>
          <t>S1/S2/S3</t>
        </is>
      </c>
    </row>
    <row r="16">
      <c r="A16" s="6" t="inlineStr">
        <is>
          <t>2026-10-15</t>
        </is>
      </c>
      <c r="B16" s="13" t="inlineStr">
        <is>
          <t>事实</t>
        </is>
      </c>
      <c r="C16" s="6" t="inlineStr">
        <is>
          <t>太仓3983元/吨（-1.04%）；MA2611收3354（-4.28%）；周评称'港口库存呈累积态势，但整体基数依旧偏低'</t>
        </is>
      </c>
      <c r="D16" s="6" t="inlineStr">
        <is>
          <t>S10/S19/S29</t>
        </is>
      </c>
    </row>
    <row r="17">
      <c r="A17" s="6" t="inlineStr">
        <is>
          <t>2026-10-16</t>
        </is>
      </c>
      <c r="B17" s="13" t="inlineStr">
        <is>
          <t>事实</t>
        </is>
      </c>
      <c r="C17" s="6" t="inlineStr">
        <is>
          <t>太仓成交区间3890-4030；隆众午评'港口甲醇市场基差走弱'</t>
        </is>
      </c>
      <c r="D17" s="6" t="inlineStr">
        <is>
          <t>S12/S6</t>
        </is>
      </c>
    </row>
    <row r="18">
      <c r="A18" s="6" t="inlineStr">
        <is>
          <t>2026-10-16</t>
        </is>
      </c>
      <c r="B18" s="13" t="inlineStr">
        <is>
          <t>事实</t>
        </is>
      </c>
      <c r="C18" s="6" t="inlineStr">
        <is>
          <t>中国周产量200.93万吨（-3.49%，开工88.94%）；国际周产量74.50万吨（+4.16%）</t>
        </is>
      </c>
      <c r="D18" s="6" t="inlineStr">
        <is>
          <t>Q</t>
        </is>
      </c>
    </row>
    <row r="19">
      <c r="A19" s="6" t="inlineStr">
        <is>
          <t>2026-10-19</t>
        </is>
      </c>
      <c r="B19" s="13" t="inlineStr">
        <is>
          <t>事实</t>
        </is>
      </c>
      <c r="C19" s="6" t="inlineStr">
        <is>
          <t>主力换月至MA2701，收3143（-1.38%），空头增仓约2万手；CFR中国444美元/吨</t>
        </is>
      </c>
      <c r="D19" s="6" t="inlineStr">
        <is>
          <t>S19/S15</t>
        </is>
      </c>
    </row>
    <row r="20">
      <c r="A20" s="6" t="inlineStr">
        <is>
          <t>2026-10-19</t>
        </is>
      </c>
      <c r="B20" s="32" t="inlineStr">
        <is>
          <t>推断</t>
        </is>
      </c>
      <c r="C20" s="6" t="inlineStr">
        <is>
          <t>曲合网：港口总库存首度见底回升、但结构分化；港口基差再度回升</t>
        </is>
      </c>
      <c r="D20" s="6" t="inlineStr">
        <is>
          <t>S19</t>
        </is>
      </c>
    </row>
    <row r="21">
      <c r="A21" s="6" t="inlineStr">
        <is>
          <t>2026-10-16</t>
        </is>
      </c>
      <c r="B21" s="32" t="inlineStr">
        <is>
          <t>推断</t>
        </is>
      </c>
      <c r="C21" s="6" t="inlineStr">
        <is>
          <t>解释路径I：MTO负反馈（下游停车→需求坍缩→压低估值）</t>
        </is>
      </c>
      <c r="D21" s="6" t="inlineStr">
        <is>
          <t>S8/S9/S18</t>
        </is>
      </c>
    </row>
    <row r="22">
      <c r="A22" s="6" t="inlineStr">
        <is>
          <t>2026-10-16</t>
        </is>
      </c>
      <c r="B22" s="32" t="inlineStr">
        <is>
          <t>推断</t>
        </is>
      </c>
      <c r="C22" s="6" t="inlineStr">
        <is>
          <t>解释路径II：地缘溢价回吐（海峡通行条件改善传闻→供应风险溢价收缩）</t>
        </is>
      </c>
      <c r="D22" s="6" t="inlineStr">
        <is>
          <t>S17</t>
        </is>
      </c>
    </row>
    <row r="23">
      <c r="A23" s="6" t="inlineStr">
        <is>
          <t>2026-10-16</t>
        </is>
      </c>
      <c r="B23" s="32" t="inlineStr">
        <is>
          <t>推断</t>
        </is>
      </c>
      <c r="C23" s="6" t="inlineStr">
        <is>
          <t>解释路径III：估值偏高+冬季限气预期仍在，低库存提供下方支撑</t>
        </is>
      </c>
      <c r="D23" s="6" t="inlineStr">
        <is>
          <t>S7/S18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</cols>
  <sheetData>
    <row r="1">
      <c r="A1" s="1" t="inlineStr">
        <is>
          <t>十、数据缺口：哪些解释现在还支撑不了</t>
        </is>
      </c>
    </row>
    <row r="2">
      <c r="A2" s="2" t="inlineStr">
        <is>
          <t>缺口不是瑕疵，是诚实。列出来才知道下一步该补什么数据。</t>
        </is>
      </c>
    </row>
    <row r="4" ht="26" customHeight="1">
      <c r="A4" s="5" t="inlineStr">
        <is>
          <t>缺口</t>
        </is>
      </c>
      <c r="B4" s="5" t="inlineStr">
        <is>
          <t>为什么影响结论</t>
        </is>
      </c>
      <c r="C4" s="5" t="inlineStr">
        <is>
          <t>怎么补</t>
        </is>
      </c>
    </row>
    <row r="5">
      <c r="A5" s="23" t="inlineStr">
        <is>
          <t>华东/华南分地区库存绝对值（万吨）</t>
        </is>
      </c>
      <c r="B5" s="6" t="inlineStr">
        <is>
          <t>10/14快讯只披露增减量，未给绝对量。</t>
        </is>
      </c>
      <c r="C5" s="6" t="inlineStr">
        <is>
          <t>隆众数据终端/卓创'甲醇港口库存量统计（地区分项）'</t>
        </is>
      </c>
    </row>
    <row r="6">
      <c r="A6" s="23" t="inlineStr">
        <is>
          <t>太仓10/16-10/19单一订价</t>
        </is>
      </c>
      <c r="B6" s="6" t="inlineStr">
        <is>
          <t>公开快讯只给成交区间，本页用中值3940，口径与10/15不同。</t>
        </is>
      </c>
      <c r="C6" s="6" t="inlineStr">
        <is>
          <t>隆众/卓创太仓日度market price</t>
        </is>
      </c>
    </row>
    <row r="7">
      <c r="A7" s="23" t="inlineStr">
        <is>
          <t>10月江浙MTO分装置开停明细</t>
        </is>
      </c>
      <c r="B7" s="6" t="inlineStr">
        <is>
          <t>只有区级负荷20.06%，无兴兴/斯尔邦/诚志/联泓等单套装置时间。</t>
        </is>
      </c>
      <c r="C7" s="6" t="inlineStr">
        <is>
          <t>隆众MTO开工明细</t>
        </is>
      </c>
    </row>
    <row r="8">
      <c r="A8" s="23" t="inlineStr">
        <is>
          <t>2026-10动力煤价格与煤制现金流成本</t>
        </is>
      </c>
      <c r="B8" s="6" t="inlineStr">
        <is>
          <t>未取得同日Q5500鄂尔多斯煤价，无法算成本折点。</t>
        </is>
      </c>
      <c r="C8" s="6" t="inlineStr">
        <is>
          <t>CCTD动力煤指数</t>
        </is>
      </c>
    </row>
    <row r="9">
      <c r="A9" s="23" t="inlineStr">
        <is>
          <t>本周真实下游需求</t>
        </is>
      </c>
      <c r="B9" s="6" t="inlineStr">
        <is>
          <t>到港-库存变化混合内贸船、非显性货与口径差。</t>
        </is>
      </c>
      <c r="C9" s="6" t="inlineStr">
        <is>
          <t>下游开工率+成品库存+出口船发明细</t>
        </is>
      </c>
    </row>
    <row r="10">
      <c r="A10" s="23" t="inlineStr">
        <is>
          <t>≥2年同口径周度库存-价格样本</t>
        </is>
      </c>
      <c r="B10" s="6" t="inlineStr">
        <is>
          <t>本次只抓2026-07至2026-10库存序列，无统计意义。</t>
        </is>
      </c>
      <c r="C10" s="6" t="inlineStr">
        <is>
          <t>数据终端导出2023年至今周度序列</t>
        </is>
      </c>
    </row>
    <row r="11">
      <c r="A11" s="23" t="inlineStr">
        <is>
          <t>2025年9-11月'去库+下跌'完整案例</t>
        </is>
      </c>
      <c r="B11" s="6" t="inlineStr">
        <is>
          <t>仅取证2025-10-15库存149.14万吨单点，缺同期太仓价格。</t>
        </is>
      </c>
      <c r="C11" s="6" t="inlineStr">
        <is>
          <t>补齐2025年周报与太仓日度价格</t>
        </is>
      </c>
    </row>
    <row r="13">
      <c r="A13" s="14" t="inlineStr">
        <is>
          <t>自检题：如果客户问“那到底为什么跌”，只能回答已证实的三条（MTO负反馈、供应恢复预期、地缘溢价回吐）；不能说“因为库存低所以跌”或“因为库存高所以跌”——本次数据显示的两个方向都不支持这种简化说法。</t>
        </is>
      </c>
    </row>
  </sheetData>
  <mergeCells count="1">
    <mergeCell ref="A13:C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86" customWidth="1" min="4" max="4"/>
    <col width="46" customWidth="1" min="5" max="5"/>
  </cols>
  <sheetData>
    <row r="1">
      <c r="A1" s="1" t="inlineStr">
        <is>
          <t>十一、来源清单：每个数字都能点回原文</t>
        </is>
      </c>
    </row>
    <row r="2">
      <c r="A2" s="2" t="inlineStr">
        <is>
          <t>转引来源（隆众→曲合网/金十/同花顺）已在标题里注明；引用时建议同时给出原始机构名。</t>
        </is>
      </c>
    </row>
    <row r="4" ht="26" customHeight="1">
      <c r="A4" s="5" t="inlineStr">
        <is>
          <t>ID</t>
        </is>
      </c>
      <c r="B4" s="5" t="inlineStr">
        <is>
          <t>日期</t>
        </is>
      </c>
      <c r="C4" s="5" t="inlineStr">
        <is>
          <t>类型</t>
        </is>
      </c>
      <c r="D4" s="5" t="inlineStr">
        <is>
          <t>标题</t>
        </is>
      </c>
      <c r="E4" s="5" t="inlineStr">
        <is>
          <t>链接</t>
        </is>
      </c>
    </row>
    <row r="5">
      <c r="A5" s="6" t="inlineStr">
        <is>
          <t>S1</t>
        </is>
      </c>
      <c r="B5" s="6" t="inlineStr">
        <is>
          <t>2026-10-14</t>
        </is>
      </c>
      <c r="C5" s="6" t="inlineStr">
        <is>
          <t>机构数据转引</t>
        </is>
      </c>
      <c r="D5" s="6" t="inlineStr">
        <is>
          <t>【库存】10月14日甲醇港口库存录得36.72万吨（曲合网，原始数据源：隆众资讯）</t>
        </is>
      </c>
      <c r="E5" s="33" t="inlineStr">
        <is>
          <t>https://www.quheqihuo.com/news/202610144496175.html</t>
        </is>
      </c>
    </row>
    <row r="6">
      <c r="A6" s="6" t="inlineStr">
        <is>
          <t>S2</t>
        </is>
      </c>
      <c r="B6" s="6" t="inlineStr">
        <is>
          <t>2026-10-15</t>
        </is>
      </c>
      <c r="C6" s="6" t="inlineStr">
        <is>
          <t>财经媒体</t>
        </is>
      </c>
      <c r="D6" s="6" t="inlineStr">
        <is>
          <t>甲醇港口库存10月14日36.72万吨：华东去库3.16万吨、华南累库9.37万吨（金十期货转隆众）</t>
        </is>
      </c>
      <c r="E6" s="33" t="inlineStr">
        <is>
          <t>https://caifuhao.eastmoney.com/news/20261015113013085646790</t>
        </is>
      </c>
    </row>
    <row r="7">
      <c r="A7" s="6" t="inlineStr">
        <is>
          <t>S3</t>
        </is>
      </c>
      <c r="B7" s="6" t="inlineStr">
        <is>
          <t>2026-10-14</t>
        </is>
      </c>
      <c r="C7" s="6" t="inlineStr">
        <is>
          <t>机构数据</t>
        </is>
      </c>
      <c r="D7" s="6" t="inlineStr">
        <is>
          <t>中国甲醇样本到港量周数据分析（20261009-20261014，隆众资讯）</t>
        </is>
      </c>
      <c r="E7" s="33" t="inlineStr">
        <is>
          <t>https://nenghua.mysteel.com/a/26101417/7F1D90E9FC389FAD.html</t>
        </is>
      </c>
    </row>
    <row r="8">
      <c r="A8" s="6" t="inlineStr">
        <is>
          <t>S4</t>
        </is>
      </c>
      <c r="B8" s="6" t="inlineStr">
        <is>
          <t>2026-10-09</t>
        </is>
      </c>
      <c r="C8" s="6" t="inlineStr">
        <is>
          <t>财经媒体</t>
        </is>
      </c>
      <c r="D8" s="6" t="inlineStr">
        <is>
          <t>【期股联动】甲醇主力盘中涨超6% 霍尔木兹海峡封锁叠加港口库存骤降（10月8日库存30.51万吨）</t>
        </is>
      </c>
      <c r="E8" s="33" t="inlineStr">
        <is>
          <t>https://news.10jqka.com.cn/20261009/c680502860.shtml</t>
        </is>
      </c>
    </row>
    <row r="9">
      <c r="A9" s="6" t="inlineStr">
        <is>
          <t>S5</t>
        </is>
      </c>
      <c r="B9" s="6" t="inlineStr">
        <is>
          <t>2026-10-12</t>
        </is>
      </c>
      <c r="C9" s="6" t="inlineStr">
        <is>
          <t>机构日评</t>
        </is>
      </c>
      <c r="D9" s="6" t="inlineStr">
        <is>
          <t>甲醇市场午间评述（20261012），隆众资讯</t>
        </is>
      </c>
      <c r="E9" s="33" t="inlineStr">
        <is>
          <t>https://nenghua.mysteel.com/a/26101212/21E0CE2EF1E7E2C1.html</t>
        </is>
      </c>
    </row>
    <row r="10">
      <c r="A10" s="6" t="inlineStr">
        <is>
          <t>S6</t>
        </is>
      </c>
      <c r="B10" s="6" t="inlineStr">
        <is>
          <t>2026-10-16</t>
        </is>
      </c>
      <c r="C10" s="6" t="inlineStr">
        <is>
          <t>机构日评转引</t>
        </is>
      </c>
      <c r="D10" s="6" t="inlineStr">
        <is>
          <t>甲醇市场午间评述（20261016），隆众资讯（太仓纸货基差走弱）</t>
        </is>
      </c>
      <c r="E10" s="33" t="inlineStr">
        <is>
          <t>https://www.mysteel.com/hot/1596718.html</t>
        </is>
      </c>
    </row>
    <row r="11">
      <c r="A11" s="6" t="inlineStr">
        <is>
          <t>S7</t>
        </is>
      </c>
      <c r="B11" s="6" t="inlineStr">
        <is>
          <t>2026-10-15</t>
        </is>
      </c>
      <c r="C11" s="6" t="inlineStr">
        <is>
          <t>机构周评</t>
        </is>
      </c>
      <c r="D11" s="6" t="inlineStr">
        <is>
          <t>甲醇周评：本周国内甲醇市场涨跌互现（20261009-20261015），隆众资讯</t>
        </is>
      </c>
      <c r="E11" s="33" t="inlineStr">
        <is>
          <t>https://nenghua.mysteel.com/a/26101516/76D39EFE84DF34F1.html</t>
        </is>
      </c>
    </row>
    <row r="12">
      <c r="A12" s="6" t="inlineStr">
        <is>
          <t>S8</t>
        </is>
      </c>
      <c r="B12" s="6" t="inlineStr">
        <is>
          <t>2026-10-16</t>
        </is>
      </c>
      <c r="C12" s="6" t="inlineStr">
        <is>
          <t>机构聚焦</t>
        </is>
      </c>
      <c r="D12" s="6" t="inlineStr">
        <is>
          <t>隆众聚焦：下游负反馈影响下 周内甲醇价格快速冷静（2026-10-16）</t>
        </is>
      </c>
      <c r="E12" s="33" t="inlineStr">
        <is>
          <t>https://nenghua.mysteel.com/a/26101616/F4B5B0ED719820FF.html</t>
        </is>
      </c>
    </row>
    <row r="13">
      <c r="A13" s="6" t="inlineStr">
        <is>
          <t>S9</t>
        </is>
      </c>
      <c r="B13" s="6" t="inlineStr">
        <is>
          <t>2026-10-10</t>
        </is>
      </c>
      <c r="C13" s="6" t="inlineStr">
        <is>
          <t>机构聚焦</t>
        </is>
      </c>
      <c r="D13" s="6" t="inlineStr">
        <is>
          <t>隆众聚焦：烯烃负反馈落地 11月非伊甲醇供应回升或助力甲醇回调空间（2026-10-10）</t>
        </is>
      </c>
      <c r="E13" s="33" t="inlineStr">
        <is>
          <t>https://nenghua.mysteel.com/a/26101018/50A20C317451E09A.html</t>
        </is>
      </c>
    </row>
    <row r="14">
      <c r="A14" s="6" t="inlineStr">
        <is>
          <t>S10</t>
        </is>
      </c>
      <c r="B14" s="6" t="inlineStr">
        <is>
          <t>2026-10-16</t>
        </is>
      </c>
      <c r="C14" s="6" t="inlineStr">
        <is>
          <t>机构早报</t>
        </is>
      </c>
      <c r="D14" s="6" t="inlineStr">
        <is>
          <t>甲醇早间提示（20261016）：太仓 10/14 4025 → 10/15 3983 元/吨</t>
        </is>
      </c>
      <c r="E14" s="33" t="inlineStr">
        <is>
          <t>https://nenghua.mysteel.com/a/26101608/1F97C66214371B95.html</t>
        </is>
      </c>
    </row>
    <row r="15">
      <c r="A15" s="6" t="inlineStr">
        <is>
          <t>S11</t>
        </is>
      </c>
      <c r="B15" s="6" t="inlineStr">
        <is>
          <t>2026-10-14</t>
        </is>
      </c>
      <c r="C15" s="6" t="inlineStr">
        <is>
          <t>机构早报</t>
        </is>
      </c>
      <c r="D15" s="6" t="inlineStr">
        <is>
          <t>甲醇早间提示（20261014）：太仓 10/12 4075 → 10/13 3845 元/吨</t>
        </is>
      </c>
      <c r="E15" s="33" t="inlineStr">
        <is>
          <t>https://nenghua.mysteel.com/a/26101411/E966DD36BC392621.html</t>
        </is>
      </c>
    </row>
    <row r="16">
      <c r="A16" s="6" t="inlineStr">
        <is>
          <t>S12</t>
        </is>
      </c>
      <c r="B16" s="6" t="inlineStr">
        <is>
          <t>2026-10-19</t>
        </is>
      </c>
      <c r="C16" s="6" t="inlineStr">
        <is>
          <t>机构报价</t>
        </is>
      </c>
      <c r="D16" s="6" t="inlineStr">
        <is>
          <t>太仓甲醇价格表：日内现货成交区间 3730-3960 / 3950-4100 / 3885-4080 / 3890-4030 元/吨出库现汇</t>
        </is>
      </c>
      <c r="E16" s="33" t="inlineStr">
        <is>
          <t>https://www.mysteel.com/hot/1596718.html</t>
        </is>
      </c>
    </row>
    <row r="17">
      <c r="A17" s="6" t="inlineStr">
        <is>
          <t>S13</t>
        </is>
      </c>
      <c r="B17" s="6" t="inlineStr">
        <is>
          <t>2026-10-19</t>
        </is>
      </c>
      <c r="C17" s="6" t="inlineStr">
        <is>
          <t>机构日报转引</t>
        </is>
      </c>
      <c r="D17" s="6" t="inlineStr">
        <is>
          <t>2026年甲醇期货：MA2701 日盘收盘 3235 / 3262 / 3170 / 3192 元/吨（隆众资讯转引）</t>
        </is>
      </c>
      <c r="E17" s="33" t="inlineStr">
        <is>
          <t>https://www.mysteel.com/hot/1621911.html</t>
        </is>
      </c>
    </row>
    <row r="18">
      <c r="A18" s="6" t="inlineStr">
        <is>
          <t>S14</t>
        </is>
      </c>
      <c r="B18" s="6" t="inlineStr">
        <is>
          <t>2026-10-19</t>
        </is>
      </c>
      <c r="C18" s="6" t="inlineStr">
        <is>
          <t>行情数据</t>
        </is>
      </c>
      <c r="D18" s="6" t="inlineStr">
        <is>
          <t>新浪财经 郑商所甲醇合约日线行情（MA0 / MA2701 / MA2611 / MA2609 / MA2605 / MA2601）</t>
        </is>
      </c>
      <c r="E18" s="33" t="inlineStr">
        <is>
          <t>https://finance.sina.com.cn/futures/quotes/MA0.shtml</t>
        </is>
      </c>
    </row>
    <row r="19">
      <c r="A19" s="6" t="inlineStr">
        <is>
          <t>S15</t>
        </is>
      </c>
      <c r="B19" s="6" t="inlineStr">
        <is>
          <t>2026-10-19</t>
        </is>
      </c>
      <c r="C19" s="6" t="inlineStr">
        <is>
          <t>机构报价</t>
        </is>
      </c>
      <c r="D19" s="6" t="inlineStr">
        <is>
          <t>10月19日中国主港甲醇远期现货价格：CFR中国 444 美元/吨（隆众资讯）</t>
        </is>
      </c>
      <c r="E19" s="33" t="inlineStr">
        <is>
          <t>https://nenghua.mysteel.com/a/26101917/746DCCBEB3D25B28.html</t>
        </is>
      </c>
    </row>
    <row r="20">
      <c r="A20" s="6" t="inlineStr">
        <is>
          <t>S16</t>
        </is>
      </c>
      <c r="B20" s="6" t="inlineStr">
        <is>
          <t>2026-10-16</t>
        </is>
      </c>
      <c r="C20" s="6" t="inlineStr">
        <is>
          <t>机构日评</t>
        </is>
      </c>
      <c r="D20" s="6" t="inlineStr">
        <is>
          <t>甲醇日评：现货指数回落 交投先强后弱（20261016），隆众资讯</t>
        </is>
      </c>
      <c r="E20" s="33" t="inlineStr">
        <is>
          <t>https://nenghua.mysteel.com/a/26101617/3ABCF1795C2B967B.html</t>
        </is>
      </c>
    </row>
    <row r="21">
      <c r="A21" s="6" t="inlineStr">
        <is>
          <t>S17</t>
        </is>
      </c>
      <c r="B21" s="6" t="inlineStr">
        <is>
          <t>2026-10-12</t>
        </is>
      </c>
      <c r="C21" s="6" t="inlineStr">
        <is>
          <t>财经媒体</t>
        </is>
      </c>
      <c r="D21" s="6" t="inlineStr">
        <is>
          <t>热门资讯：烯烃负反馈正式落地 甲醇开盘跳水（2026-10-12）</t>
        </is>
      </c>
      <c r="E21" s="33" t="inlineStr">
        <is>
          <t>https://finance.eastmoney.com/a/202610123892446898.html</t>
        </is>
      </c>
    </row>
    <row r="22">
      <c r="A22" s="6" t="inlineStr">
        <is>
          <t>S18</t>
        </is>
      </c>
      <c r="B22" s="6" t="inlineStr">
        <is>
          <t>2026-10-15</t>
        </is>
      </c>
      <c r="C22" s="6" t="inlineStr">
        <is>
          <t>期货公司研究</t>
        </is>
      </c>
      <c r="D22" s="6" t="inlineStr">
        <is>
          <t>能化日报：甲醇港口库存持续去库，但MTO下游逐步负反馈（中财期货，2026-10-15）</t>
        </is>
      </c>
      <c r="E22" s="33" t="inlineStr">
        <is>
          <t>https://finance.eastmoney.com/a/202610153896108971.html</t>
        </is>
      </c>
    </row>
    <row r="23">
      <c r="A23" s="6" t="inlineStr">
        <is>
          <t>S19</t>
        </is>
      </c>
      <c r="B23" s="6" t="inlineStr">
        <is>
          <t>2026-10-19</t>
        </is>
      </c>
      <c r="C23" s="6" t="inlineStr">
        <is>
          <t>媒体汇总</t>
        </is>
      </c>
      <c r="D23" s="6" t="inlineStr">
        <is>
          <t>甲醇：伊朗甲醇供应仍处低位 港口基差再度回升；主力MA611→MA701换月（曲合网，2026-10-19）</t>
        </is>
      </c>
      <c r="E23" s="33" t="inlineStr">
        <is>
          <t>https://www.quheqihuo.com/jiachun/</t>
        </is>
      </c>
    </row>
    <row r="24">
      <c r="A24" s="6" t="inlineStr">
        <is>
          <t>S20</t>
        </is>
      </c>
      <c r="B24" s="6" t="inlineStr">
        <is>
          <t>2026-10-20</t>
        </is>
      </c>
      <c r="C24" s="6" t="inlineStr">
        <is>
          <t>媒体汇总</t>
        </is>
      </c>
      <c r="D24" s="6" t="inlineStr">
        <is>
          <t>甲醇期货跌超2%，换月后连跌两日（曲合网，2026-10-20）</t>
        </is>
      </c>
      <c r="E24" s="33" t="inlineStr">
        <is>
          <t>https://www.quheqihuo.com/jiachun/</t>
        </is>
      </c>
    </row>
    <row r="25">
      <c r="A25" s="6" t="inlineStr">
        <is>
          <t>S21</t>
        </is>
      </c>
      <c r="B25" s="6" t="inlineStr">
        <is>
          <t>2026-07-21</t>
        </is>
      </c>
      <c r="C25" s="6" t="inlineStr">
        <is>
          <t>财经媒体</t>
        </is>
      </c>
      <c r="D25" s="6" t="inlineStr">
        <is>
          <t>【收评】甲醇日内下跌1.24% 机构称港口库存或逐步企稳回升（7月21日；7月20日太仓2780元/吨）</t>
        </is>
      </c>
      <c r="E25" s="33" t="inlineStr">
        <is>
          <t>https://news.10jqka.com.cn/20260721/c678318722.shtml</t>
        </is>
      </c>
    </row>
    <row r="26">
      <c r="A26" s="6" t="inlineStr">
        <is>
          <t>S22</t>
        </is>
      </c>
      <c r="B26" s="6" t="inlineStr">
        <is>
          <t>2026-07-16</t>
        </is>
      </c>
      <c r="C26" s="6" t="inlineStr">
        <is>
          <t>期货公司研究</t>
        </is>
      </c>
      <c r="D26" s="6" t="inlineStr">
        <is>
          <t>华泰期货：甲醇港口库存继续下降至历史低位（2026-07-16）：太仓2690元/吨、太仓基差42元/吨、港口总库存40.15万吨、MTO开工81.78%</t>
        </is>
      </c>
      <c r="E26" s="33" t="inlineStr">
        <is>
          <t>https://finance.sina.com.cn/money/future/fmnews/2026-07-16/doc-inihycsn1248836.shtml</t>
        </is>
      </c>
    </row>
    <row r="27">
      <c r="A27" s="6" t="inlineStr">
        <is>
          <t>S23</t>
        </is>
      </c>
      <c r="B27" s="6" t="inlineStr">
        <is>
          <t>2026-08-12</t>
        </is>
      </c>
      <c r="C27" s="6" t="inlineStr">
        <is>
          <t>机构数据转引</t>
        </is>
      </c>
      <c r="D27" s="6" t="inlineStr">
        <is>
          <t>中国甲醇港口库存总量60.00万吨 较上期减少9.26万吨（2026-08-12，隆众资讯）</t>
        </is>
      </c>
      <c r="E27" s="33" t="inlineStr">
        <is>
          <t>https://goodsfu.10jqka.com.cn/20260812/c678891712.shtml</t>
        </is>
      </c>
    </row>
    <row r="28">
      <c r="A28" s="6" t="inlineStr">
        <is>
          <t>S24</t>
        </is>
      </c>
      <c r="B28" s="6" t="inlineStr">
        <is>
          <t>2026-09-23</t>
        </is>
      </c>
      <c r="C28" s="6" t="inlineStr">
        <is>
          <t>机构数据转引</t>
        </is>
      </c>
      <c r="D28" s="6" t="inlineStr">
        <is>
          <t>中国甲醇港口库存总量41.20万吨 较上周减少1.19万吨（2026-09-23；浙江两套烯烃装置已全部停车）</t>
        </is>
      </c>
      <c r="E28" s="33" t="inlineStr">
        <is>
          <t>https://news.10jqka.com.cn/20260923/c680208424.shtml</t>
        </is>
      </c>
    </row>
    <row r="29">
      <c r="A29" s="6" t="inlineStr">
        <is>
          <t>S25</t>
        </is>
      </c>
      <c r="B29" s="6" t="inlineStr">
        <is>
          <t>2025-10-15</t>
        </is>
      </c>
      <c r="C29" s="6" t="inlineStr">
        <is>
          <t>机构数据转引</t>
        </is>
      </c>
      <c r="D29" s="6" t="inlineStr">
        <is>
          <t>截至2025年10月15日 中国甲醇港口库存149.14万吨 较上期减少5.18万吨（隆众资讯）</t>
        </is>
      </c>
      <c r="E29" s="33" t="inlineStr">
        <is>
          <t>https://goodsfu.10jqka.com.cn/20251015/c671747946.shtml</t>
        </is>
      </c>
    </row>
    <row r="30">
      <c r="A30" s="6" t="inlineStr">
        <is>
          <t>S26</t>
        </is>
      </c>
      <c r="B30" s="6" t="inlineStr">
        <is>
          <t>2026-10-19</t>
        </is>
      </c>
      <c r="C30" s="6" t="inlineStr">
        <is>
          <t>机构数据</t>
        </is>
      </c>
      <c r="D30" s="6" t="inlineStr">
        <is>
          <t>装置检修损失量：中国甲醇装置检修数据统计（20261019），隆众资讯</t>
        </is>
      </c>
      <c r="E30" s="33" t="inlineStr">
        <is>
          <t>https://nenghua.mysteel.com/a/26101916/6D7CFE60FA75835A.html</t>
        </is>
      </c>
    </row>
    <row r="31">
      <c r="A31" s="6" t="inlineStr">
        <is>
          <t>S27</t>
        </is>
      </c>
      <c r="B31" s="6" t="inlineStr">
        <is>
          <t>2026-10-19</t>
        </is>
      </c>
      <c r="C31" s="6" t="inlineStr">
        <is>
          <t>机构日评</t>
        </is>
      </c>
      <c r="D31" s="6" t="inlineStr">
        <is>
          <t>甲醇日评：先弱后强 竞拍分化 MTO需求压制下维持窄幅震荡（20261019），隆众资讯</t>
        </is>
      </c>
      <c r="E31" s="33" t="inlineStr">
        <is>
          <t>https://nenghua.mysteel.com/a/26101917/1765F07239FA035B.html</t>
        </is>
      </c>
    </row>
    <row r="32">
      <c r="A32" s="6" t="inlineStr">
        <is>
          <t>S28</t>
        </is>
      </c>
      <c r="B32" s="6" t="inlineStr">
        <is>
          <t>2026-08-19</t>
        </is>
      </c>
      <c r="C32" s="6" t="inlineStr">
        <is>
          <t>机构数据转引</t>
        </is>
      </c>
      <c r="D32" s="6" t="inlineStr">
        <is>
          <t>中国甲醇港口库存总量66.70万吨，较上周增加6.70万吨（2026-08-19，隆众资讯）</t>
        </is>
      </c>
      <c r="E32" s="33" t="inlineStr">
        <is>
          <t>https://news.10jqka.com.cn/20260819/c679081417.shtml</t>
        </is>
      </c>
    </row>
    <row r="33">
      <c r="A33" s="6" t="inlineStr">
        <is>
          <t>S29</t>
        </is>
      </c>
      <c r="B33" s="6" t="inlineStr">
        <is>
          <t>2026-10-15</t>
        </is>
      </c>
      <c r="C33" s="6" t="inlineStr">
        <is>
          <t>机构日评</t>
        </is>
      </c>
      <c r="D33" s="6" t="inlineStr">
        <is>
          <t>甲醇市场午间评述（20261015）：期货震荡走弱，港口近月基差偏强（隆众资讯）</t>
        </is>
      </c>
      <c r="E33" s="33" t="inlineStr">
        <is>
          <t>https://nenghua.mysteel.com/a/26101512/BBD9142D8BCD3F0F.html</t>
        </is>
      </c>
    </row>
    <row r="34">
      <c r="A34" s="6" t="inlineStr">
        <is>
          <t>S31</t>
        </is>
      </c>
      <c r="B34" s="6" t="inlineStr">
        <is>
          <t>2026-09-30</t>
        </is>
      </c>
      <c r="C34" s="6" t="inlineStr">
        <is>
          <t>机构数据</t>
        </is>
      </c>
      <c r="D34" s="6" t="inlineStr">
        <is>
          <t>中国甲醇样本到港量周数据分析（20260924-20260930）：周期内到港10.56万吨、外轮7.5万吨、内贸船3.06万吨（隆众资讯）</t>
        </is>
      </c>
      <c r="E34" s="33" t="inlineStr">
        <is>
          <t>https://nenghua.mysteel.com/a/26093016/EDA6E9BDB3DC3D32.html</t>
        </is>
      </c>
    </row>
    <row r="35">
      <c r="A35" s="6" t="inlineStr">
        <is>
          <t>S32</t>
        </is>
      </c>
      <c r="B35" s="6" t="inlineStr">
        <is>
          <t>2011-10-12</t>
        </is>
      </c>
      <c r="C35" s="6" t="inlineStr">
        <is>
          <t>政策发布</t>
        </is>
      </c>
      <c r="D35" s="6" t="inlineStr">
        <is>
          <t>证监会批准郑商所开展甲醇期货交易（2011-10-12，20吨/手）</t>
        </is>
      </c>
      <c r="E35" s="33" t="inlineStr">
        <is>
          <t>https://www.gov.cn/gzdt/2011-10/12/content_1967043.htm</t>
        </is>
      </c>
    </row>
    <row r="37">
      <c r="A37" s="14" t="inlineStr">
        <is>
          <t>注明：曲合网/同花顺/金十均为“机构数据转引”，正式对外引用建议写“隆众资讯（经××转载）”，并保留转引链接以便复核。</t>
        </is>
      </c>
    </row>
  </sheetData>
  <mergeCells count="1">
    <mergeCell ref="A37:E37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2026-10-20T04:58:53Z</dcterms:created>
  <dcterms:modified xmlns:dcterms="http://purl.org/dc/terms/" xmlns:xsi="http://www.w3.org/2001/XMLSchema-instance" xsi:type="dcterms:W3CDTF">2026-10-20T04:58:53Z</dcterms:modified>
</cp:coreProperties>
</file>
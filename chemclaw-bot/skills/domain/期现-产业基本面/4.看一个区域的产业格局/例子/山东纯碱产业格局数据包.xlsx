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目录" sheetId="1" state="visible" r:id="rId1"/>
    <sheet xmlns:r="http://schemas.openxmlformats.org/officeDocument/2006/relationships" name="01_核心结论" sheetId="2" state="visible" r:id="rId2"/>
    <sheet xmlns:r="http://schemas.openxmlformats.org/officeDocument/2006/relationships" name="02_生产企业总表" sheetId="3" state="visible" r:id="rId3"/>
    <sheet xmlns:r="http://schemas.openxmlformats.org/officeDocument/2006/relationships" name="03_区域汇总" sheetId="4" state="visible" r:id="rId4"/>
    <sheet xmlns:r="http://schemas.openxmlformats.org/officeDocument/2006/relationships" name="04_工厂点位核验" sheetId="5" state="visible" r:id="rId5"/>
    <sheet xmlns:r="http://schemas.openxmlformats.org/officeDocument/2006/relationships" name="05_化工园区" sheetId="6" state="visible" r:id="rId6"/>
    <sheet xmlns:r="http://schemas.openxmlformats.org/officeDocument/2006/relationships" name="06_产能与工艺" sheetId="7" state="visible" r:id="rId7"/>
    <sheet xmlns:r="http://schemas.openxmlformats.org/officeDocument/2006/relationships" name="07_上下游关联" sheetId="8" state="visible" r:id="rId8"/>
    <sheet xmlns:r="http://schemas.openxmlformats.org/officeDocument/2006/relationships" name="08_新增在建项目" sheetId="9" state="visible" r:id="rId9"/>
    <sheet xmlns:r="http://schemas.openxmlformats.org/officeDocument/2006/relationships" name="09_价格与供需" sheetId="10" state="visible" r:id="rId10"/>
    <sheet xmlns:r="http://schemas.openxmlformats.org/officeDocument/2006/relationships" name="10_集中度与价差" sheetId="11" state="visible" r:id="rId11"/>
    <sheet xmlns:r="http://schemas.openxmlformats.org/officeDocument/2006/relationships" name="11_数据缺口" sheetId="12" state="visible" r:id="rId12"/>
    <sheet xmlns:r="http://schemas.openxmlformats.org/officeDocument/2006/relationships" name="12_口径与核验" sheetId="13" state="visible" r:id="rId13"/>
    <sheet xmlns:r="http://schemas.openxmlformats.org/officeDocument/2006/relationships" name="13_来源清单" sheetId="14" state="visible" r:id="rId14"/>
  </sheets>
  <definedNames>
    <definedName name="_xlnm._FilterDatabase" localSheetId="1" hidden="1">'01_核心结论'!$A$4:$D$11</definedName>
    <definedName name="_xlnm._FilterDatabase" localSheetId="2" hidden="1">'02_生产企业总表'!$A$4:$X$13</definedName>
    <definedName name="_xlnm._FilterDatabase" localSheetId="3" hidden="1">'03_区域汇总'!$A$4:$O$20</definedName>
    <definedName name="_xlnm._FilterDatabase" localSheetId="4" hidden="1">'04_工厂点位核验'!$A$4:$L$13</definedName>
    <definedName name="_xlnm._FilterDatabase" localSheetId="5" hidden="1">'05_化工园区'!$A$4:$P$15</definedName>
    <definedName name="_xlnm._FilterDatabase" localSheetId="6" hidden="1">'06_产能与工艺'!$A$4:$L$12</definedName>
    <definedName name="_xlnm._FilterDatabase" localSheetId="7" hidden="1">'07_上下游关联'!$A$4:$J$24</definedName>
    <definedName name="_xlnm._FilterDatabase" localSheetId="8" hidden="1">'08_新增在建项目'!$A$4:$S$7</definedName>
    <definedName name="_xlnm._FilterDatabase" localSheetId="9" hidden="1">'09_价格与供需'!$A$4:$H$14</definedName>
    <definedName name="_xlnm._FilterDatabase" localSheetId="10" hidden="1">'10_集中度与价差'!$A$4:$C$23</definedName>
    <definedName name="_xlnm._FilterDatabase" localSheetId="11" hidden="1">'11_数据缺口'!$A$4:$G$11</definedName>
    <definedName name="_xlnm._FilterDatabase" localSheetId="12" hidden="1">'12_口径与核验'!$A$4:$B$20</definedName>
    <definedName name="_xlnm._FilterDatabase" localSheetId="13" hidden="1">'13_来源清单'!$A$4:$H$40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FFFFFF"/>
      <sz val="20"/>
    </font>
    <font>
      <name val="Microsoft YaHei"/>
      <color rgb="006B7684"/>
      <sz val="10"/>
    </font>
    <font>
      <name val="Microsoft YaHei"/>
      <b val="1"/>
      <color rgb="0012586A"/>
      <sz val="11"/>
    </font>
    <font>
      <name val="Microsoft YaHei"/>
      <b val="1"/>
      <color rgb="0012586A"/>
      <sz val="10"/>
    </font>
    <font>
      <name val="Microsoft YaHei"/>
      <sz val="10"/>
    </font>
    <font>
      <name val="Microsoft YaHei"/>
      <color rgb="00B45309"/>
      <sz val="9.5"/>
    </font>
    <font>
      <name val="Microsoft YaHei"/>
      <b val="1"/>
      <color rgb="000B3B4A"/>
      <sz val="15"/>
    </font>
    <font>
      <name val="Microsoft YaHei"/>
      <color rgb="006B7684"/>
      <sz val="9.5"/>
    </font>
    <font>
      <name val="Microsoft YaHei"/>
      <b val="1"/>
      <color rgb="00FFFFFF"/>
      <sz val="10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0B3B4A"/>
      </patternFill>
    </fill>
    <fill>
      <patternFill patternType="solid">
        <fgColor rgb="00EEF3F6"/>
      </patternFill>
    </fill>
    <fill>
      <patternFill patternType="solid">
        <fgColor rgb="00F5F8F9"/>
      </patternFill>
    </fill>
  </fills>
  <borders count="6">
    <border>
      <left/>
      <right/>
      <top/>
      <bottom/>
      <diagonal/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  <border>
      <left/>
      <right/>
      <top style="thin">
        <color rgb="00D9DEE4"/>
      </top>
      <bottom/>
      <diagonal/>
    </border>
    <border>
      <left/>
      <right style="thin">
        <color rgb="00D9DEE4"/>
      </right>
      <top style="thin">
        <color rgb="00D9DEE4"/>
      </top>
      <bottom/>
      <diagonal/>
    </border>
    <border>
      <left/>
      <right/>
      <top style="thin">
        <color rgb="00D9DEE4"/>
      </top>
      <bottom style="thin">
        <color rgb="00D9DEE4"/>
      </bottom>
      <diagonal/>
    </border>
    <border>
      <left/>
      <right style="thin">
        <color rgb="00D9DEE4"/>
      </right>
      <top style="thin">
        <color rgb="00D9DEE4"/>
      </top>
      <bottom style="thin">
        <color rgb="00D9DEE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wrapText="1" indent="1"/>
    </xf>
    <xf numFmtId="0" fontId="3" fillId="0" borderId="0" pivotButton="0" quotePrefix="0" xfId="0"/>
    <xf numFmtId="0" fontId="4" fillId="3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right" vertical="top"/>
    </xf>
    <xf numFmtId="0" fontId="10" fillId="4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纯碱（碳酸钠 Na2CO3；轻质/重质） · 山东省 产业格局数据包</t>
        </is>
      </c>
    </row>
    <row r="2"/>
    <row r="3" ht="34" customHeight="1">
      <c r="A3" s="2" t="inlineStr">
        <is>
          <t>品种：纯碱｜区域：山东省｜截至 2026-10-20：在产主体 2 家、合计 430 万吨/年（公开设计产能口径），全部落在潍坊；工艺全部为氨碱法；2028 年前唯一供给变化是海化以 100 万吨联碱减量置换 120 万吨氨碱（净减 20 万吨/年）。</t>
        </is>
      </c>
    </row>
    <row r="5">
      <c r="A5" s="3" t="inlineStr">
        <is>
          <t>研究口径</t>
        </is>
      </c>
    </row>
    <row r="6" ht="16" customHeight="1">
      <c r="A6" s="4" t="inlineStr">
        <is>
          <t>品种</t>
        </is>
      </c>
      <c r="B6" s="5" t="inlineStr">
        <is>
          <t>纯碱（碳酸钠 Na2CO3；轻质/重质）</t>
        </is>
      </c>
      <c r="C6" s="6" t="n"/>
      <c r="D6" s="6" t="n"/>
      <c r="E6" s="6" t="n"/>
      <c r="F6" s="6" t="n"/>
      <c r="G6" s="6" t="n"/>
      <c r="H6" s="7" t="n"/>
    </row>
    <row r="7" ht="16" customHeight="1">
      <c r="A7" s="4" t="inlineStr">
        <is>
          <t>区域</t>
        </is>
      </c>
      <c r="B7" s="5" t="inlineStr">
        <is>
          <t>山东省</t>
        </is>
      </c>
      <c r="C7" s="6" t="n"/>
      <c r="D7" s="6" t="n"/>
      <c r="E7" s="6" t="n"/>
      <c r="F7" s="6" t="n"/>
      <c r="G7" s="6" t="n"/>
      <c r="H7" s="7" t="n"/>
    </row>
    <row r="8" ht="16" customHeight="1">
      <c r="A8" s="4" t="inlineStr">
        <is>
          <t>数据截至</t>
        </is>
      </c>
      <c r="B8" s="5" t="inlineStr">
        <is>
          <t>2026-10-20</t>
        </is>
      </c>
      <c r="C8" s="6" t="n"/>
      <c r="D8" s="6" t="n"/>
      <c r="E8" s="6" t="n"/>
      <c r="F8" s="6" t="n"/>
      <c r="G8" s="6" t="n"/>
      <c r="H8" s="7" t="n"/>
    </row>
    <row r="9" ht="16" customHeight="1">
      <c r="A9" s="4" t="inlineStr">
        <is>
          <t>产能单位</t>
        </is>
      </c>
      <c r="B9" s="5" t="inlineStr">
        <is>
          <t>万吨/年</t>
        </is>
      </c>
      <c r="C9" s="6" t="n"/>
      <c r="D9" s="6" t="n"/>
      <c r="E9" s="6" t="n"/>
      <c r="F9" s="6" t="n"/>
      <c r="G9" s="6" t="n"/>
      <c r="H9" s="7" t="n"/>
    </row>
    <row r="10" ht="16" customHeight="1">
      <c r="A10" s="4" t="inlineStr">
        <is>
          <t>产能口径</t>
        </is>
      </c>
      <c r="B10" s="5" t="inlineStr">
        <is>
          <t>名义/设计产能（不等于产量、不等于可售量）</t>
        </is>
      </c>
      <c r="C10" s="6" t="n"/>
      <c r="D10" s="6" t="n"/>
      <c r="E10" s="6" t="n"/>
      <c r="F10" s="6" t="n"/>
      <c r="G10" s="6" t="n"/>
      <c r="H10" s="7" t="n"/>
    </row>
    <row r="11" ht="16" customHeight="1">
      <c r="A11" s="4" t="inlineStr">
        <is>
          <t>统计口径</t>
        </is>
      </c>
      <c r="B11" s="5" t="inlineStr">
        <is>
          <t>已核实厂区 + 地区级记录（注册企业数未取得可靠工商口径）</t>
        </is>
      </c>
      <c r="C11" s="6" t="n"/>
      <c r="D11" s="6" t="n"/>
      <c r="E11" s="6" t="n"/>
      <c r="F11" s="6" t="n"/>
      <c r="G11" s="6" t="n"/>
      <c r="H11" s="7" t="n"/>
    </row>
    <row r="12" ht="16" customHeight="1">
      <c r="A12" s="4" t="inlineStr">
        <is>
          <t>点位规则</t>
        </is>
      </c>
      <c r="B12" s="5" t="inlineStr">
        <is>
          <t>仅"已公开精确坐标"的站点作为装置点位；注册地址一律不作点位</t>
        </is>
      </c>
      <c r="C12" s="6" t="n"/>
      <c r="D12" s="6" t="n"/>
      <c r="E12" s="6" t="n"/>
      <c r="F12" s="6" t="n"/>
      <c r="G12" s="6" t="n"/>
      <c r="H12" s="7" t="n"/>
    </row>
    <row r="13" ht="16" customHeight="1">
      <c r="A13" s="4" t="inlineStr">
        <is>
          <t>配套 HTML</t>
        </is>
      </c>
      <c r="B13" s="5" t="inlineStr">
        <is>
          <t>同名 .html 文件（交互地图，可离线打开）</t>
        </is>
      </c>
      <c r="C13" s="6" t="n"/>
      <c r="D13" s="6" t="n"/>
      <c r="E13" s="6" t="n"/>
      <c r="F13" s="6" t="n"/>
      <c r="G13" s="6" t="n"/>
      <c r="H13" s="7" t="n"/>
    </row>
    <row r="15">
      <c r="A15" s="3" t="inlineStr">
        <is>
          <t>本工作簿的关键数字（均可回溯到 13_来源清单）</t>
        </is>
      </c>
    </row>
    <row r="16" ht="16" customHeight="1">
      <c r="A16" s="4" t="inlineStr">
        <is>
          <t>已核实生产厂区</t>
        </is>
      </c>
      <c r="B16" s="5" t="inlineStr">
        <is>
          <t>8 个</t>
        </is>
      </c>
      <c r="C16" s="6" t="n"/>
      <c r="D16" s="6" t="n"/>
      <c r="E16" s="6" t="n"/>
      <c r="F16" s="6" t="n"/>
      <c r="G16" s="6" t="n"/>
      <c r="H16" s="7" t="n"/>
    </row>
    <row r="17" ht="16" customHeight="1">
      <c r="A17" s="4" t="inlineStr">
        <is>
          <t>样本产能合计</t>
        </is>
      </c>
      <c r="B17" s="5" t="inlineStr">
        <is>
          <t>430.00 万吨/年</t>
        </is>
      </c>
      <c r="C17" s="6" t="n"/>
      <c r="D17" s="6" t="n"/>
      <c r="E17" s="6" t="n"/>
      <c r="F17" s="6" t="n"/>
      <c r="G17" s="6" t="n"/>
      <c r="H17" s="7" t="n"/>
    </row>
    <row r="18" ht="16" customHeight="1">
      <c r="A18" s="4" t="inlineStr">
        <is>
          <t>注册相关企业（估算）</t>
        </is>
      </c>
      <c r="B18" s="5" t="inlineStr">
        <is>
          <t>0 家</t>
        </is>
      </c>
      <c r="C18" s="6" t="n"/>
      <c r="D18" s="6" t="n"/>
      <c r="E18" s="6" t="n"/>
      <c r="F18" s="6" t="n"/>
      <c r="G18" s="6" t="n"/>
      <c r="H18" s="7" t="n"/>
    </row>
    <row r="19" ht="16" customHeight="1">
      <c r="A19" s="4" t="inlineStr">
        <is>
          <t>化工园区 / 集聚区</t>
        </is>
      </c>
      <c r="B19" s="5" t="inlineStr">
        <is>
          <t>11 个</t>
        </is>
      </c>
      <c r="C19" s="6" t="n"/>
      <c r="D19" s="6" t="n"/>
      <c r="E19" s="6" t="n"/>
      <c r="F19" s="6" t="n"/>
      <c r="G19" s="6" t="n"/>
      <c r="H19" s="7" t="n"/>
    </row>
    <row r="20" ht="16" customHeight="1">
      <c r="A20" s="4" t="inlineStr">
        <is>
          <t>在建 / 拟建项目</t>
        </is>
      </c>
      <c r="B20" s="5" t="inlineStr">
        <is>
          <t>3 个，净增量 -20.00 万吨/年</t>
        </is>
      </c>
      <c r="C20" s="6" t="n"/>
      <c r="D20" s="6" t="n"/>
      <c r="E20" s="6" t="n"/>
      <c r="F20" s="6" t="n"/>
      <c r="G20" s="6" t="n"/>
      <c r="H20" s="7" t="n"/>
    </row>
    <row r="21" ht="16" customHeight="1">
      <c r="A21" s="4" t="inlineStr">
        <is>
          <t>CR3 / CR5 / HHI（样本）</t>
        </is>
      </c>
      <c r="B21" s="5" t="inlineStr">
        <is>
          <t>100.0% / 100.0% / 5457.0</t>
        </is>
      </c>
      <c r="C21" s="6" t="n"/>
      <c r="D21" s="6" t="n"/>
      <c r="E21" s="6" t="n"/>
      <c r="F21" s="6" t="n"/>
      <c r="G21" s="6" t="n"/>
      <c r="H21" s="7" t="n"/>
    </row>
    <row r="23">
      <c r="A23" s="3" t="inlineStr">
        <is>
          <t>工作表目录</t>
        </is>
      </c>
    </row>
    <row r="24">
      <c r="A24" s="8" t="inlineStr">
        <is>
          <t>01_核心结论</t>
        </is>
      </c>
      <c r="B24" s="9" t="inlineStr">
        <is>
          <t>带口径的结论与建议阅读顺序</t>
        </is>
      </c>
      <c r="C24" s="6" t="n"/>
      <c r="D24" s="6" t="n"/>
      <c r="E24" s="6" t="n"/>
      <c r="F24" s="7" t="n"/>
    </row>
    <row r="25">
      <c r="A25" s="8" t="inlineStr">
        <is>
          <t>02_生产企业总表</t>
        </is>
      </c>
      <c r="B25" s="9" t="inlineStr">
        <is>
          <t>厂商 → 企业 → 厂区，含注册地址/生产地址/点位精度</t>
        </is>
      </c>
      <c r="C25" s="6" t="n"/>
      <c r="D25" s="6" t="n"/>
      <c r="E25" s="6" t="n"/>
      <c r="F25" s="7" t="n"/>
    </row>
    <row r="26">
      <c r="A26" s="8" t="inlineStr">
        <is>
          <t>03_区域汇总</t>
        </is>
      </c>
      <c r="B26" s="9" t="inlineStr">
        <is>
          <t>城市 / 省份：企业数、样本产能、公开口径、覆盖度、缺口</t>
        </is>
      </c>
      <c r="C26" s="6" t="n"/>
      <c r="D26" s="6" t="n"/>
      <c r="E26" s="6" t="n"/>
      <c r="F26" s="7" t="n"/>
    </row>
    <row r="27">
      <c r="A27" s="8" t="inlineStr">
        <is>
          <t>04_工厂点位核验</t>
        </is>
      </c>
      <c r="B27" s="9" t="inlineStr">
        <is>
          <t>坐标、精度、坐标来源、是否可作装置位置</t>
        </is>
      </c>
      <c r="C27" s="6" t="n"/>
      <c r="D27" s="6" t="n"/>
      <c r="E27" s="6" t="n"/>
      <c r="F27" s="7" t="n"/>
    </row>
    <row r="28">
      <c r="A28" s="8" t="inlineStr">
        <is>
          <t>05_化工园区</t>
        </is>
      </c>
      <c r="B28" s="9" t="inlineStr">
        <is>
          <t>园区、主导产业、落位企业、产业配套</t>
        </is>
      </c>
      <c r="C28" s="6" t="n"/>
      <c r="D28" s="6" t="n"/>
      <c r="E28" s="6" t="n"/>
      <c r="F28" s="7" t="n"/>
    </row>
    <row r="29">
      <c r="A29" s="8" t="inlineStr">
        <is>
          <t>06_产能与工艺</t>
        </is>
      </c>
      <c r="B29" s="9" t="inlineStr">
        <is>
          <t>厂区产能、工艺路线、原料、口径原文</t>
        </is>
      </c>
      <c r="C29" s="6" t="n"/>
      <c r="D29" s="6" t="n"/>
      <c r="E29" s="6" t="n"/>
      <c r="F29" s="7" t="n"/>
    </row>
    <row r="30">
      <c r="A30" s="8" t="inlineStr">
        <is>
          <t>07_上下游关联</t>
        </is>
      </c>
      <c r="B30" s="9" t="inlineStr">
        <is>
          <t>上游原料、下游消费、物流节点、定性流向</t>
        </is>
      </c>
      <c r="C30" s="6" t="n"/>
      <c r="D30" s="6" t="n"/>
      <c r="E30" s="6" t="n"/>
      <c r="F30" s="7" t="n"/>
    </row>
    <row r="31">
      <c r="A31" s="8" t="inlineStr">
        <is>
          <t>08_新增在建项目</t>
        </is>
      </c>
      <c r="B31" s="9" t="inlineStr">
        <is>
          <t>毛新增 / 退出 / 净增量 / 状态时点</t>
        </is>
      </c>
      <c r="C31" s="6" t="n"/>
      <c r="D31" s="6" t="n"/>
      <c r="E31" s="6" t="n"/>
      <c r="F31" s="7" t="n"/>
    </row>
    <row r="32">
      <c r="A32" s="8" t="inlineStr">
        <is>
          <t>09_价格与供需</t>
        </is>
      </c>
      <c r="B32" s="9" t="inlineStr">
        <is>
          <t>价格观察（带日期与口径）与区域供需特征</t>
        </is>
      </c>
      <c r="C32" s="6" t="n"/>
      <c r="D32" s="6" t="n"/>
      <c r="E32" s="6" t="n"/>
      <c r="F32" s="7" t="n"/>
    </row>
    <row r="33">
      <c r="A33" s="8" t="inlineStr">
        <is>
          <t>10_集中度与价差因素</t>
        </is>
      </c>
      <c r="B33" s="9" t="inlineStr">
        <is>
          <t>CR/HHI 与可关联的客观因素</t>
        </is>
      </c>
      <c r="C33" s="6" t="n"/>
      <c r="D33" s="6" t="n"/>
      <c r="E33" s="6" t="n"/>
      <c r="F33" s="7" t="n"/>
    </row>
    <row r="34">
      <c r="A34" s="8" t="inlineStr">
        <is>
          <t>11_数据缺口清单</t>
        </is>
      </c>
      <c r="B34" s="9" t="inlineStr">
        <is>
          <t>缺什么、影响什么、怎么补</t>
        </is>
      </c>
      <c r="C34" s="6" t="n"/>
      <c r="D34" s="6" t="n"/>
      <c r="E34" s="6" t="n"/>
      <c r="F34" s="7" t="n"/>
    </row>
    <row r="35">
      <c r="A35" s="8" t="inlineStr">
        <is>
          <t>12_口径与核验记录</t>
        </is>
      </c>
      <c r="B35" s="9" t="inlineStr">
        <is>
          <t>门禁规则、命名与聚合规则、核验人/日期</t>
        </is>
      </c>
      <c r="C35" s="6" t="n"/>
      <c r="D35" s="6" t="n"/>
      <c r="E35" s="6" t="n"/>
      <c r="F35" s="7" t="n"/>
    </row>
    <row r="36">
      <c r="A36" s="8" t="inlineStr">
        <is>
          <t>13_来源清单</t>
        </is>
      </c>
      <c r="B36" s="9" t="inlineStr">
        <is>
          <t>编号、发布方、标题、URL、日期、等级</t>
        </is>
      </c>
      <c r="C36" s="6" t="n"/>
      <c r="D36" s="6" t="n"/>
      <c r="E36" s="6" t="n"/>
      <c r="F36" s="7" t="n"/>
    </row>
    <row r="38">
      <c r="A38" s="10" t="inlineStr">
        <is>
          <t>本工作簿为产业研究底稿：所有数字均须能回到 13_来源清单中的某一条；“—”表示未取得公开数据，不以估算替代。</t>
        </is>
      </c>
    </row>
  </sheetData>
  <mergeCells count="29">
    <mergeCell ref="B9:H9"/>
    <mergeCell ref="B25:F25"/>
    <mergeCell ref="B6:H6"/>
    <mergeCell ref="B31:F31"/>
    <mergeCell ref="B20:H20"/>
    <mergeCell ref="B27:F27"/>
    <mergeCell ref="B16:H16"/>
    <mergeCell ref="B7:H7"/>
    <mergeCell ref="A3:H3"/>
    <mergeCell ref="B29:F29"/>
    <mergeCell ref="B18:H18"/>
    <mergeCell ref="B34:F34"/>
    <mergeCell ref="B21:H21"/>
    <mergeCell ref="B28:F28"/>
    <mergeCell ref="B12:H12"/>
    <mergeCell ref="B11:H11"/>
    <mergeCell ref="A1:H2"/>
    <mergeCell ref="B30:F30"/>
    <mergeCell ref="B8:H8"/>
    <mergeCell ref="B17:H17"/>
    <mergeCell ref="B24:F24"/>
    <mergeCell ref="B13:H13"/>
    <mergeCell ref="B33:F33"/>
    <mergeCell ref="B10:H10"/>
    <mergeCell ref="B36:F36"/>
    <mergeCell ref="B32:F32"/>
    <mergeCell ref="B19:H19"/>
    <mergeCell ref="B26:F26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8" customWidth="1" min="2" max="2"/>
    <col width="34" customWidth="1" min="3" max="3"/>
    <col width="26" customWidth="1" min="4" max="4"/>
  </cols>
  <sheetData>
    <row r="1" ht="26" customHeight="1">
      <c r="A1" s="11" t="inlineStr">
        <is>
          <t>核心结论（每条带口径与来源）</t>
        </is>
      </c>
    </row>
    <row r="2" ht="16" customHeight="1">
      <c r="A2" s="12" t="inlineStr">
        <is>
          <t>纯碱（碳酸钠 Na2CO3；轻质/重质） · 山东省 · 截至 2026-10-20　口径：样本产能 = 已核实厂区之和；注册企业数 ≠ 生产企业数</t>
        </is>
      </c>
    </row>
    <row r="4" ht="30" customHeight="1">
      <c r="A4" s="13" t="inlineStr">
        <is>
          <t>序号</t>
        </is>
      </c>
      <c r="B4" s="13" t="inlineStr">
        <is>
          <t>结论</t>
        </is>
      </c>
      <c r="C4" s="13" t="inlineStr">
        <is>
          <t>口径 / 依据</t>
        </is>
      </c>
      <c r="D4" s="13" t="inlineStr">
        <is>
          <t>来源</t>
        </is>
      </c>
    </row>
    <row r="5" ht="64" customHeight="1">
      <c r="A5" s="5" t="n">
        <v>1</v>
      </c>
      <c r="B5" s="5" t="inlineStr">
        <is>
          <t>山东纯碱可核实的在产主体只有 2 家：山东海化（280 万吨/年，潍坊滨海）与山东海天生物化工（150 万吨/年，昌邑下营），合计 430 万吨/年（上市公司设计产能口径）；资讯机构有效产能口径为 450 万吨（海化 300 + 海天 150），两者并列不取平均。</t>
        </is>
      </c>
      <c r="C5" s="5" t="inlineStr">
        <is>
          <t>年报设计产能 vs 观研天下/隆众有效产能口径</t>
        </is>
      </c>
      <c r="D5" s="5" t="inlineStr">
        <is>
          <t>S1 山东海化股份有限公司（000822）；S9 山东金晶科技股份有限公司（600586）；S26 观研天下</t>
        </is>
      </c>
    </row>
    <row r="6" ht="64" customHeight="1">
      <c r="A6" s="14" t="n">
        <v>2</v>
      </c>
      <c r="B6" s="14" t="inlineStr">
        <is>
          <t>两家厂都在潍坊，相距约 40 公里；全省 100% 的纯碱产能落在潍坊滨海与昌邑沿海两片盐化工区，选址逻辑是地下卤水 + 盐田 + 港口 + 铁路四要素叠加，而不是通用化工园区配套。</t>
        </is>
      </c>
      <c r="C6" s="14" t="inlineStr">
        <is>
          <t>厂址与原料、港口、铁路的可核查关系</t>
        </is>
      </c>
      <c r="D6" s="14" t="inlineStr">
        <is>
          <t>S2 山东海化股份有限公司官网；S9 山东金晶科技股份有限公司（600586）；S25 中国港口网·潍坊港港口志</t>
        </is>
      </c>
    </row>
    <row r="7" ht="64" customHeight="1">
      <c r="A7" s="5" t="n">
        <v>3</v>
      </c>
      <c r="B7" s="5" t="inlineStr">
        <is>
          <t>工艺路线单一：可核实在产装置全部为氨碱法（海天工艺为研报+行业整理交叉，缺 A 级定案）；山东省内未发现天然碱装置。氨碱法的废液与能耗约束，正是海化 2028 年转联碱的直接动因。</t>
        </is>
      </c>
      <c r="C7" s="5" t="inlineStr">
        <is>
          <t>工艺以公开资料为准，未确认写未知，不从产品结构反推</t>
        </is>
      </c>
      <c r="D7" s="5" t="inlineStr">
        <is>
          <t>S18 中国化工报；S33 券商研报（2010-12-27）；S4 山东海化股份有限公司（环境信息公开）</t>
        </is>
      </c>
    </row>
    <row r="8" ht="64" customHeight="1">
      <c r="A8" s="14" t="n">
        <v>4</v>
      </c>
      <c r="B8" s="14" t="inlineStr">
        <is>
          <t>未来 2-3 年真正的纯碱供给变化只有 1 个项目：海化以 100 万吨联碱减量置换 120 万吨氨碱老线（1.2:1），净减 20 万吨/年，同时净增约 103 万吨/年氯化铵；2026-10 计划开工、2028-10 投产，开工证据仍待补。</t>
        </is>
      </c>
      <c r="C8" s="14" t="inlineStr">
        <is>
          <t>项目公告 + 环评一次公示；毛新增与净增量分列</t>
        </is>
      </c>
      <c r="D8" s="14" t="inlineStr">
        <is>
          <t>S5 山东海化股份有限公司（巨潮资讯）；S4 山东海化股份有限公司（环境信息公开）</t>
        </is>
      </c>
    </row>
    <row r="9" ht="64" customHeight="1">
      <c r="A9" s="5" t="n">
        <v>5</v>
      </c>
      <c r="B9" s="5" t="inlineStr">
        <is>
          <t>山东有第三家纯碱企业的说法经核实不成立：新龙（氯碱）、亚星（CPE/烧碱）、鲁西、德州实华均无双碱装置；青岛碱业 2015-12-31 已全面停产。四个否证已入表，防止同业名单越查越胖。</t>
        </is>
      </c>
      <c r="C9" s="5" t="inlineStr">
        <is>
          <t>年报/官网/政府公开逐一否证，否证条目单独标注、不进合计</t>
        </is>
      </c>
      <c r="D9" s="5" t="inlineStr">
        <is>
          <t>S28 山东新龙科技股份有限公司（新三板 873674）；S27 界面新闻；S30 德州实华化工有限公司（中国中化）</t>
        </is>
      </c>
    </row>
    <row r="10" ht="64" customHeight="1">
      <c r="A10" s="14" t="n">
        <v>6</v>
      </c>
      <c r="B10" s="14" t="inlineStr">
        <is>
          <t>主要耗碱方是玻璃：金晶（淄博 5x600t/d、滕州 2x600+2x800 t/d）、巨润（巨野 4x700t/d）、滕州玻璃新材料集群（217 家）、郓城酒瓶集群（21 亿只/年、30 座窑炉）。玻璃产区与纯碱产地并不同城，因此省内存在稳定的潍坊到淄博/枣庄/菏泽陆路纯碱流向。</t>
        </is>
      </c>
      <c r="C10" s="14" t="inlineStr">
        <is>
          <t>产线规模取年报/公开报道原文，不折算耗碱量</t>
        </is>
      </c>
      <c r="D10" s="14" t="inlineStr">
        <is>
          <t>S9 山东金晶科技股份有限公司（600586）</t>
        </is>
      </c>
    </row>
    <row r="11" ht="80" customHeight="1">
      <c r="A11" s="5" t="n">
        <v>7</v>
      </c>
      <c r="B11" s="5" t="inlineStr">
        <is>
          <t>价格：2026-10-19 华东轻碱出厂 1000-1100、重碱送到 1050-1200 元/吨（现金含税），较 5-18 的轻碱 1180 元/吨下跌约 180 元；潍坊官方监测 7-9 月横盘 1050 元/吨。山东单省分规格连续序列未取得，为本次最大价格缺口。</t>
        </is>
      </c>
      <c r="C11" s="5" t="inlineStr">
        <is>
          <t>隆众华东区域价 + 潍坊商务局监测 + 百川全国均价，口径并列</t>
        </is>
      </c>
      <c r="D11" s="5" t="inlineStr">
        <is>
          <t>S19 隆众资讯（Mysteel 能源化工）；S20 隆众资讯（Mysteel 能源化工）；S13 潍坊市商务局（商务部重要生产资料监测）</t>
        </is>
      </c>
    </row>
    <row r="13">
      <c r="A13" s="3" t="inlineStr">
        <is>
          <t>说明与口径</t>
        </is>
      </c>
    </row>
    <row r="14" ht="15" customHeight="1">
      <c r="A14" s="15" t="inlineStr">
        <is>
          <t>· 结论只描述"已核实的事实"与"由事实直接得出的结构判断"，不写预测；下一步看什么指标写在 09/08 表。</t>
        </is>
      </c>
    </row>
    <row r="15" ht="15" customHeight="1">
      <c r="A15" s="15" t="inlineStr">
        <is>
          <t>· 凡涉及"产能合计"的结论，均标明是样本口径还是公开口径；两者不一致时并列展示，不取平均。</t>
        </is>
      </c>
    </row>
    <row r="16" ht="15" customHeight="1">
      <c r="A16" s="15" t="inlineStr">
        <is>
          <t>· 建议阅读顺序：01 → 03（区域覆盖）→ 02（工厂与地址）→ 06（工艺）→ 08（项目）→ 11（缺口）。</t>
        </is>
      </c>
    </row>
  </sheetData>
  <autoFilter ref="A4:D11"/>
  <mergeCells count="5">
    <mergeCell ref="A1:D1"/>
    <mergeCell ref="A15:D15"/>
    <mergeCell ref="A16:D16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8" customWidth="1" min="4" max="4"/>
    <col width="13" customWidth="1" min="5" max="5"/>
    <col width="8" customWidth="1" min="6" max="6"/>
    <col width="10" customWidth="1" min="7" max="7"/>
    <col width="10" customWidth="1" min="8" max="8"/>
    <col width="24" customWidth="1" min="9" max="9"/>
    <col width="8" customWidth="1" min="10" max="10"/>
    <col width="13" customWidth="1" min="11" max="11"/>
    <col width="26" customWidth="1" min="12" max="12"/>
    <col width="18" customWidth="1" min="13" max="13"/>
    <col width="8" customWidth="1" min="14" max="14"/>
    <col width="18" customWidth="1" min="15" max="15"/>
    <col width="32" customWidth="1" min="16" max="16"/>
    <col width="12" customWidth="1" min="17" max="17"/>
    <col width="32" customWidth="1" min="18" max="18"/>
    <col width="12" customWidth="1" min="19" max="19"/>
    <col width="9" customWidth="1" min="20" max="20"/>
    <col width="12" customWidth="1" min="21" max="21"/>
    <col width="8" customWidth="1" min="22" max="22"/>
    <col width="30" customWidth="1" min="23" max="23"/>
    <col width="40" customWidth="1" min="24" max="24"/>
  </cols>
  <sheetData>
    <row r="1" ht="26" customHeight="1">
      <c r="A1" s="11" t="inlineStr">
        <is>
          <t>生产企业 / 贸易 / 下游据点总表（一行 = 一个厂区或据点）</t>
        </is>
      </c>
    </row>
    <row r="2" ht="16" customHeight="1">
      <c r="A2" s="12" t="inlineStr">
        <is>
          <t>注册地址与实际生产地址分列；点位精度为"精确"才可作装置位置。产能为空表示未公开，不以估算替代。单位：万吨/年</t>
        </is>
      </c>
    </row>
    <row r="4" ht="30" customHeight="1">
      <c r="A4" s="13" t="inlineStr">
        <is>
          <t>站点ID</t>
        </is>
      </c>
      <c r="B4" s="13" t="inlineStr">
        <is>
          <t>企业 / 集团</t>
        </is>
      </c>
      <c r="C4" s="13" t="inlineStr">
        <is>
          <t>厂区 / 基地</t>
        </is>
      </c>
      <c r="D4" s="13" t="inlineStr">
        <is>
          <t>角色</t>
        </is>
      </c>
      <c r="E4" s="13" t="inlineStr">
        <is>
          <t>站点类型</t>
        </is>
      </c>
      <c r="F4" s="13" t="inlineStr">
        <is>
          <t>省</t>
        </is>
      </c>
      <c r="G4" s="13" t="inlineStr">
        <is>
          <t>市</t>
        </is>
      </c>
      <c r="H4" s="13" t="inlineStr">
        <is>
          <t>县/区</t>
        </is>
      </c>
      <c r="I4" s="13" t="inlineStr">
        <is>
          <t>园区</t>
        </is>
      </c>
      <c r="J4" s="13" t="inlineStr">
        <is>
          <t>工艺</t>
        </is>
      </c>
      <c r="K4" s="13" t="inlineStr">
        <is>
          <t>公开产能(万吨/年)</t>
        </is>
      </c>
      <c r="L4" s="13" t="inlineStr">
        <is>
          <t>产能原文</t>
        </is>
      </c>
      <c r="M4" s="13" t="inlineStr">
        <is>
          <t>产能口径</t>
        </is>
      </c>
      <c r="N4" s="13" t="inlineStr">
        <is>
          <t>状态</t>
        </is>
      </c>
      <c r="O4" s="13" t="inlineStr">
        <is>
          <t>产品</t>
        </is>
      </c>
      <c r="P4" s="13" t="inlineStr">
        <is>
          <t>注册地址</t>
        </is>
      </c>
      <c r="Q4" s="13" t="inlineStr">
        <is>
          <t>注册地址类型</t>
        </is>
      </c>
      <c r="R4" s="13" t="inlineStr">
        <is>
          <t>实际生产地址</t>
        </is>
      </c>
      <c r="S4" s="13" t="inlineStr">
        <is>
          <t>生产地址类型</t>
        </is>
      </c>
      <c r="T4" s="13" t="inlineStr">
        <is>
          <t>点位精度</t>
        </is>
      </c>
      <c r="U4" s="13" t="inlineStr">
        <is>
          <t>坐标来源</t>
        </is>
      </c>
      <c r="V4" s="13" t="inlineStr">
        <is>
          <t>证据等级</t>
        </is>
      </c>
      <c r="W4" s="13" t="inlineStr">
        <is>
          <t>来源</t>
        </is>
      </c>
      <c r="X4" s="13" t="inlineStr">
        <is>
          <t>备注</t>
        </is>
      </c>
    </row>
    <row r="5" ht="48" customHeight="1">
      <c r="A5" s="5" t="inlineStr">
        <is>
          <t>sd-dezhou</t>
        </is>
      </c>
      <c r="B5" s="5" t="inlineStr">
        <is>
          <t>德州实华化工有限公司</t>
        </is>
      </c>
      <c r="C5" s="5" t="inlineStr">
        <is>
          <t>德州实华化工（天衢工业园）</t>
        </is>
      </c>
      <c r="D5" s="5" t="inlineStr">
        <is>
          <t>生产</t>
        </is>
      </c>
      <c r="E5" s="5" t="inlineStr">
        <is>
          <t>生产工厂</t>
        </is>
      </c>
      <c r="F5" s="5" t="inlineStr">
        <is>
          <t>山东</t>
        </is>
      </c>
      <c r="G5" s="5" t="inlineStr">
        <is>
          <t>德州</t>
        </is>
      </c>
      <c r="H5" s="5" t="inlineStr">
        <is>
          <t>德城区</t>
        </is>
      </c>
      <c r="I5" s="5" t="inlineStr">
        <is>
          <t>未核实</t>
        </is>
      </c>
      <c r="J5" s="5" t="inlineStr">
        <is>
          <t>未知</t>
        </is>
      </c>
      <c r="K5" s="16" t="inlineStr">
        <is>
          <t>—</t>
        </is>
      </c>
      <c r="L5" s="5" t="inlineStr">
        <is>
          <t>无纯碱（烧碱 39 万吨、PVC 35 万吨、双氧水 10 万吨、工业盐 100 万吨）</t>
        </is>
      </c>
      <c r="M5" s="5" t="inlineStr">
        <is>
          <t>否证条目，不计入产能</t>
        </is>
      </c>
      <c r="N5" s="5" t="inlineStr">
        <is>
          <t>在产</t>
        </is>
      </c>
      <c r="O5" s="5" t="inlineStr">
        <is>
          <t>离子膜烧碱 / PVC / 双氧水 / 工业盐</t>
        </is>
      </c>
      <c r="P5" s="5" t="inlineStr">
        <is>
          <t>山东省德州市德城区天衢工业园实华南路 6 号</t>
        </is>
      </c>
      <c r="Q5" s="5" t="inlineStr">
        <is>
          <t>注册地址</t>
        </is>
      </c>
      <c r="R5" s="5" t="inlineStr">
        <is>
          <t>山东省德州市德城区天衢工业园实华南路 6 号</t>
        </is>
      </c>
      <c r="S5" s="5" t="inlineStr">
        <is>
          <t>园区地址</t>
        </is>
      </c>
      <c r="T5" s="5" t="inlineStr">
        <is>
          <t>市级</t>
        </is>
      </c>
      <c r="U5" s="5" t="inlineStr">
        <is>
          <t>未核实</t>
        </is>
      </c>
      <c r="V5" s="5" t="inlineStr">
        <is>
          <t>B</t>
        </is>
      </c>
      <c r="W5" s="5" t="inlineStr">
        <is>
          <t>S30 德州实华化工有限公司（中国中化）</t>
        </is>
      </c>
      <c r="X5" s="5" t="inlineStr">
        <is>
          <t>否证：第三方文章曾误列为山东纯碱企业。</t>
        </is>
      </c>
    </row>
    <row r="6" ht="80" customHeight="1">
      <c r="A6" s="14" t="inlineStr">
        <is>
          <t>sd-haihua-hs</t>
        </is>
      </c>
      <c r="B6" s="14" t="inlineStr">
        <is>
          <t>山东海化股份有限公司</t>
        </is>
      </c>
      <c r="C6" s="14" t="inlineStr">
        <is>
          <t>山东海化纯碱厂（老线 120 + 新线 160）</t>
        </is>
      </c>
      <c r="D6" s="14" t="inlineStr">
        <is>
          <t>生产</t>
        </is>
      </c>
      <c r="E6" s="14" t="inlineStr">
        <is>
          <t>生产工厂</t>
        </is>
      </c>
      <c r="F6" s="14" t="inlineStr">
        <is>
          <t>山东</t>
        </is>
      </c>
      <c r="G6" s="14" t="inlineStr">
        <is>
          <t>潍坊</t>
        </is>
      </c>
      <c r="H6" s="14" t="inlineStr">
        <is>
          <t>滨海经济技术开发区（大家洼）</t>
        </is>
      </c>
      <c r="I6" s="14" t="inlineStr">
        <is>
          <t>潍坊滨海化工产业园（滨海经开区绿色化工园）</t>
        </is>
      </c>
      <c r="J6" s="14" t="inlineStr">
        <is>
          <t>氨碱</t>
        </is>
      </c>
      <c r="K6" s="17" t="n">
        <v>280</v>
      </c>
      <c r="L6" s="14" t="inlineStr">
        <is>
          <t>年生产能力达 280 万吨（老线 120 万吨 + 新线 160 万吨）</t>
        </is>
      </c>
      <c r="M6" s="14" t="inlineStr">
        <is>
          <t>设计产能（年报"设计产能 280 万吨"，2025 年利用率 97.29%）</t>
        </is>
      </c>
      <c r="N6" s="14" t="inlineStr">
        <is>
          <t>在产</t>
        </is>
      </c>
      <c r="O6" s="14" t="inlineStr">
        <is>
          <t>重质纯碱 / 轻质纯碱 / 低盐重碱</t>
        </is>
      </c>
      <c r="P6" s="14" t="inlineStr">
        <is>
          <t>山东省潍坊市滨海经济技术开发区沂河大街 014201 号</t>
        </is>
      </c>
      <c r="Q6" s="14" t="inlineStr">
        <is>
          <t>实际生产地址（注册地同址）</t>
        </is>
      </c>
      <c r="R6" s="14" t="inlineStr">
        <is>
          <t>潍坊滨海经济技术开发区（大家洼）沂河大街 14201 号，潍坊滨海化工产业园内</t>
        </is>
      </c>
      <c r="S6" s="14" t="inlineStr">
        <is>
          <t>园区地址</t>
        </is>
      </c>
      <c r="T6" s="14" t="inlineStr">
        <is>
          <t>精确</t>
        </is>
      </c>
      <c r="U6" s="14" t="inlineStr">
        <is>
          <t>地图地名库</t>
        </is>
      </c>
      <c r="V6" s="14" t="inlineStr">
        <is>
          <t>A</t>
        </is>
      </c>
      <c r="W6" s="14" t="inlineStr">
        <is>
          <t>S2 山东海化股份有限公司官网；S1 山东海化股份有限公司（000822）；S31 中国证券报/证券之星（投资者关系问答）；S16 潍坊滨海经济技术开发区管委会</t>
        </is>
      </c>
      <c r="X6" s="14" t="inlineStr">
        <is>
          <t>氨碱法；2023 年产量约 319 万吨（轻重各半）。OSM 厂区面约 4 km2，与集团氯碱厂、溴素厂、小苏打厂相邻，是"盐-碱-氯-溴"一体化的实体证据。</t>
        </is>
      </c>
    </row>
    <row r="7" ht="96" customHeight="1">
      <c r="A7" s="5" t="inlineStr">
        <is>
          <t>sd-haitian</t>
        </is>
      </c>
      <c r="B7" s="5" t="inlineStr">
        <is>
          <t>山东海天生物化工有限公司</t>
        </is>
      </c>
      <c r="C7" s="5" t="inlineStr">
        <is>
          <t>山东海天生物化工纯碱装置（昌邑下营）</t>
        </is>
      </c>
      <c r="D7" s="5" t="inlineStr">
        <is>
          <t>生产</t>
        </is>
      </c>
      <c r="E7" s="5" t="inlineStr">
        <is>
          <t>生产工厂</t>
        </is>
      </c>
      <c r="F7" s="5" t="inlineStr">
        <is>
          <t>山东</t>
        </is>
      </c>
      <c r="G7" s="5" t="inlineStr">
        <is>
          <t>潍坊</t>
        </is>
      </c>
      <c r="H7" s="5" t="inlineStr">
        <is>
          <t>昌邑市下营镇</t>
        </is>
      </c>
      <c r="I7" s="5" t="inlineStr">
        <is>
          <t>昌邑下营化工产业园（昌邑滨海经济开发区）</t>
        </is>
      </c>
      <c r="J7" s="5" t="inlineStr">
        <is>
          <t>氨碱</t>
        </is>
      </c>
      <c r="K7" s="16" t="n">
        <v>150</v>
      </c>
      <c r="L7" s="5" t="inlineStr">
        <is>
          <t>年产能 150 万吨（金晶科技 2025 年报）；100 万吨/年纯碱工程（2008 年投产口径）</t>
        </is>
      </c>
      <c r="M7" s="5" t="inlineStr">
        <is>
          <t>在产名义产能 150 万吨/年（上市公司年报）；工程原文为"100 万吨/年纯碱工程"，差额 50 万吨未取得原文</t>
        </is>
      </c>
      <c r="N7" s="5" t="inlineStr">
        <is>
          <t>在产</t>
        </is>
      </c>
      <c r="O7" s="5" t="inlineStr">
        <is>
          <t>重质纯碱 / 轻质纯碱 / 小苏打</t>
        </is>
      </c>
      <c r="P7" s="5" t="inlineStr">
        <is>
          <t>山东省潍坊昌邑市下营经济开发区金晶大道 1 号</t>
        </is>
      </c>
      <c r="Q7" s="5" t="inlineStr">
        <is>
          <t>注册地址</t>
        </is>
      </c>
      <c r="R7" s="5" t="inlineStr">
        <is>
          <t>昌邑滨海（下营）经济开发区 昌邑下营化工产业园，公司现有厂区内（环评公示建设地址）</t>
        </is>
      </c>
      <c r="S7" s="5" t="inlineStr">
        <is>
          <t>园区地址</t>
        </is>
      </c>
      <c r="T7" s="5" t="inlineStr">
        <is>
          <t>县级</t>
        </is>
      </c>
      <c r="U7" s="5" t="inlineStr">
        <is>
          <t>地图地名库</t>
        </is>
      </c>
      <c r="V7" s="5" t="inlineStr">
        <is>
          <t>A</t>
        </is>
      </c>
      <c r="W7" s="5" t="inlineStr">
        <is>
          <t>S9 山东金晶科技股份有限公司（600586）；S10 山东金晶科技股份有限公司；S21 隆众资讯（Mysteel 能源化工）；S33 券商研报（2010-12-27）</t>
        </is>
      </c>
      <c r="X7" s="5" t="inlineStr">
        <is>
          <t>工艺按氨碱（研报 + 行业整理交叉，缺 A 级定案）；产能 100/120/150 三口径并存，本表取年报 150 并在口径列写明。点位只到县级：OSM 企业面落在下营镇以东滩涂，与厂址描述不符，不冒充厂区点。</t>
        </is>
      </c>
    </row>
    <row r="8" ht="64" customHeight="1">
      <c r="A8" s="14" t="inlineStr">
        <is>
          <t>sd-haihua-xds</t>
        </is>
      </c>
      <c r="B8" s="14" t="inlineStr">
        <is>
          <t>山东海化股份有限公司</t>
        </is>
      </c>
      <c r="C8" s="14" t="inlineStr">
        <is>
          <t>山东海化小苏打厂（一/二车间）</t>
        </is>
      </c>
      <c r="D8" s="14" t="inlineStr">
        <is>
          <t>生产</t>
        </is>
      </c>
      <c r="E8" s="14" t="inlineStr">
        <is>
          <t>一体化/配套装置</t>
        </is>
      </c>
      <c r="F8" s="14" t="inlineStr">
        <is>
          <t>山东</t>
        </is>
      </c>
      <c r="G8" s="14" t="inlineStr">
        <is>
          <t>潍坊</t>
        </is>
      </c>
      <c r="H8" s="14" t="inlineStr">
        <is>
          <t>滨海经济技术开发区（大家洼）</t>
        </is>
      </c>
      <c r="I8" s="14" t="inlineStr">
        <is>
          <t>潍坊滨海化工产业园（滨海经开区绿色化工园）</t>
        </is>
      </c>
      <c r="J8" s="14" t="inlineStr">
        <is>
          <t>氨碱</t>
        </is>
      </c>
      <c r="K8" s="17" t="inlineStr">
        <is>
          <t>—</t>
        </is>
      </c>
      <c r="L8" s="14" t="inlineStr">
        <is>
          <t>现实际产量达到 80000 吨/年（占市场份额 3% 左右）</t>
        </is>
      </c>
      <c r="M8" s="14" t="inlineStr">
        <is>
          <t>实际产量口径（产品为碳酸氢钠，非纯碱）</t>
        </is>
      </c>
      <c r="N8" s="14" t="inlineStr">
        <is>
          <t>在产</t>
        </is>
      </c>
      <c r="O8" s="14" t="inlineStr">
        <is>
          <t>小苏打（碳酸氢钠）</t>
        </is>
      </c>
      <c r="P8" s="14" t="inlineStr">
        <is>
          <t>山东省潍坊市滨海区大家洼街道沂河大街 14266 号</t>
        </is>
      </c>
      <c r="Q8" s="14" t="inlineStr">
        <is>
          <t>实际生产地址（注册地同址）</t>
        </is>
      </c>
      <c r="R8" s="14" t="inlineStr">
        <is>
          <t>潍坊滨海经济技术开发区大家洼街道沂河大街 14266 号</t>
        </is>
      </c>
      <c r="S8" s="14" t="inlineStr">
        <is>
          <t>园区地址</t>
        </is>
      </c>
      <c r="T8" s="14" t="inlineStr">
        <is>
          <t>精确</t>
        </is>
      </c>
      <c r="U8" s="14" t="inlineStr">
        <is>
          <t>地图地名库</t>
        </is>
      </c>
      <c r="V8" s="14" t="inlineStr">
        <is>
          <t>C</t>
        </is>
      </c>
      <c r="W8" s="14" t="inlineStr">
        <is>
          <t>S3 山东海化股份有限公司官网</t>
        </is>
      </c>
      <c r="X8" s="14" t="inlineStr">
        <is>
          <t>耗纯碱的下游装置，不是纯碱产能：本表明确排除在纯碱合计之外（衍生品重复计数的典型陷阱）。</t>
        </is>
      </c>
    </row>
    <row r="9" ht="48" customHeight="1">
      <c r="A9" s="5" t="inlineStr">
        <is>
          <t>sd-yaxing</t>
        </is>
      </c>
      <c r="B9" s="5" t="inlineStr">
        <is>
          <t>潍坊亚星化学股份有限公司</t>
        </is>
      </c>
      <c r="C9" s="5" t="inlineStr">
        <is>
          <t>潍坊亚星化学（寒亭原厂区，已停产）</t>
        </is>
      </c>
      <c r="D9" s="5" t="inlineStr">
        <is>
          <t>生产</t>
        </is>
      </c>
      <c r="E9" s="5" t="inlineStr">
        <is>
          <t>生产工厂</t>
        </is>
      </c>
      <c r="F9" s="5" t="inlineStr">
        <is>
          <t>山东</t>
        </is>
      </c>
      <c r="G9" s="5" t="inlineStr">
        <is>
          <t>潍坊</t>
        </is>
      </c>
      <c r="H9" s="5" t="inlineStr">
        <is>
          <t>寒亭区</t>
        </is>
      </c>
      <c r="I9" s="5" t="inlineStr">
        <is>
          <t>未核实</t>
        </is>
      </c>
      <c r="J9" s="5" t="inlineStr">
        <is>
          <t>未知</t>
        </is>
      </c>
      <c r="K9" s="16" t="inlineStr">
        <is>
          <t>—</t>
        </is>
      </c>
      <c r="L9" s="5" t="inlineStr">
        <is>
          <t>无纯碱装置（CPE、离子膜烧碱、水合肼、ADC 发泡剂）</t>
        </is>
      </c>
      <c r="M9" s="5" t="inlineStr">
        <is>
          <t>否证条目，不计入产能</t>
        </is>
      </c>
      <c r="N9" s="5" t="inlineStr">
        <is>
          <t>停产</t>
        </is>
      </c>
      <c r="O9" s="5" t="inlineStr">
        <is>
          <t>氯化聚乙烯(CPE) / 离子膜烧碱 / 水合肼</t>
        </is>
      </c>
      <c r="P9" s="5" t="inlineStr">
        <is>
          <t>潍坊市奎文区鸢飞路 899 号</t>
        </is>
      </c>
      <c r="Q9" s="5" t="inlineStr">
        <is>
          <t>注册地址</t>
        </is>
      </c>
      <c r="R9" s="5" t="inlineStr">
        <is>
          <t>潍坊市寒亭区原生产厂区（2019-10-31 起全面停产搬迁）</t>
        </is>
      </c>
      <c r="S9" s="5" t="inlineStr">
        <is>
          <t>实际生产地址</t>
        </is>
      </c>
      <c r="T9" s="5" t="inlineStr">
        <is>
          <t>市级</t>
        </is>
      </c>
      <c r="U9" s="5" t="inlineStr">
        <is>
          <t>未核实</t>
        </is>
      </c>
      <c r="V9" s="5" t="inlineStr">
        <is>
          <t>B</t>
        </is>
      </c>
      <c r="W9" s="5" t="inlineStr">
        <is>
          <t>S27 界面新闻</t>
        </is>
      </c>
      <c r="X9" s="5" t="inlineStr">
        <is>
          <t>否证：曾出现在"山东纯碱企业"的非权威名单中，实为氯碱/CPE 企业。</t>
        </is>
      </c>
    </row>
    <row r="10" ht="64" customHeight="1">
      <c r="A10" s="14" t="inlineStr">
        <is>
          <t>sd-xinlong</t>
        </is>
      </c>
      <c r="B10" s="14" t="inlineStr">
        <is>
          <t>山东新龙科技股份有限公司（新龙集团）</t>
        </is>
      </c>
      <c r="C10" s="14" t="inlineStr">
        <is>
          <t>山东新龙集团田柳精细化工园厂区</t>
        </is>
      </c>
      <c r="D10" s="14" t="inlineStr">
        <is>
          <t>生产</t>
        </is>
      </c>
      <c r="E10" s="14" t="inlineStr">
        <is>
          <t>生产工厂</t>
        </is>
      </c>
      <c r="F10" s="14" t="inlineStr">
        <is>
          <t>山东</t>
        </is>
      </c>
      <c r="G10" s="14" t="inlineStr">
        <is>
          <t>潍坊</t>
        </is>
      </c>
      <c r="H10" s="14" t="inlineStr">
        <is>
          <t>寿光市田柳镇</t>
        </is>
      </c>
      <c r="I10" s="14" t="inlineStr">
        <is>
          <t>未核实</t>
        </is>
      </c>
      <c r="J10" s="14" t="inlineStr">
        <is>
          <t>未知</t>
        </is>
      </c>
      <c r="K10" s="17" t="inlineStr">
        <is>
          <t>—</t>
        </is>
      </c>
      <c r="L10" s="14" t="inlineStr">
        <is>
          <t>无纯碱装置（烧碱、双氧水、三氯氢硅、PVC、山梨醇、过碳酸钠）</t>
        </is>
      </c>
      <c r="M10" s="14" t="inlineStr">
        <is>
          <t>否证条目，不计入产能</t>
        </is>
      </c>
      <c r="N10" s="14" t="inlineStr">
        <is>
          <t>在产</t>
        </is>
      </c>
      <c r="O10" s="14" t="inlineStr">
        <is>
          <t>烧碱 / 双氧水 / 三氯氢硅 / 过碳酸钠</t>
        </is>
      </c>
      <c r="P10" s="14" t="inlineStr">
        <is>
          <t>山东省潍坊市寿光市田柳镇三号路田柳段 26 号</t>
        </is>
      </c>
      <c r="Q10" s="14" t="inlineStr">
        <is>
          <t>注册地址</t>
        </is>
      </c>
      <c r="R10" s="14" t="inlineStr">
        <is>
          <t>山东省寿光市田柳镇新龙工业园（田柳精细化工园）</t>
        </is>
      </c>
      <c r="S10" s="14" t="inlineStr">
        <is>
          <t>镇村地名</t>
        </is>
      </c>
      <c r="T10" s="14" t="inlineStr">
        <is>
          <t>市级</t>
        </is>
      </c>
      <c r="U10" s="14" t="inlineStr">
        <is>
          <t>未核实</t>
        </is>
      </c>
      <c r="V10" s="14" t="inlineStr">
        <is>
          <t>A</t>
        </is>
      </c>
      <c r="W10" s="14" t="inlineStr">
        <is>
          <t>S28 山东新龙科技股份有限公司（新三板 873674）；S29 寿光市人民政府；S34 大众网·海报新闻</t>
        </is>
      </c>
      <c r="X10" s="14" t="inlineStr">
        <is>
          <t>否证：年报、官网、市政府介绍均无双碱（碳酸钠）；其过碳酸钠项目是纯碱的需求方。</t>
        </is>
      </c>
    </row>
    <row r="11" ht="64" customHeight="1">
      <c r="A11" s="5" t="inlineStr">
        <is>
          <t>sd-trade-haihua</t>
        </is>
      </c>
      <c r="B11" s="5" t="inlineStr">
        <is>
          <t>山东海化股份有限公司</t>
        </is>
      </c>
      <c r="C11" s="5" t="inlineStr">
        <is>
          <t>海化销售体系（厂库直销 + 郑商所指定交割厂库 2119）</t>
        </is>
      </c>
      <c r="D11" s="5" t="inlineStr">
        <is>
          <t>贸易/仓储</t>
        </is>
      </c>
      <c r="E11" s="5" t="inlineStr">
        <is>
          <t>贸易/仓储</t>
        </is>
      </c>
      <c r="F11" s="5" t="inlineStr">
        <is>
          <t>山东</t>
        </is>
      </c>
      <c r="G11" s="5" t="inlineStr">
        <is>
          <t>潍坊</t>
        </is>
      </c>
      <c r="H11" s="5" t="inlineStr">
        <is>
          <t>滨海经济技术开发区</t>
        </is>
      </c>
      <c r="I11" s="5" t="inlineStr">
        <is>
          <t>潍坊滨海化工产业园（滨海经开区绿色化工园）</t>
        </is>
      </c>
      <c r="J11" s="5" t="inlineStr">
        <is>
          <t>—</t>
        </is>
      </c>
      <c r="K11" s="16" t="inlineStr">
        <is>
          <t>—</t>
        </is>
      </c>
      <c r="L11" s="5" t="inlineStr">
        <is>
          <t>仓单额度 3 万吨；日最低发货 2000 吨</t>
        </is>
      </c>
      <c r="M11" s="5" t="inlineStr">
        <is>
          <t>交割/仓储能力，不进入产能合计</t>
        </is>
      </c>
      <c r="N11" s="5" t="inlineStr">
        <is>
          <t>在产</t>
        </is>
      </c>
      <c r="O11" s="5" t="inlineStr">
        <is>
          <t>纯碱（仓储/交割）</t>
        </is>
      </c>
      <c r="P11" s="5" t="inlineStr">
        <is>
          <t>潍坊市滨海经济技术开发区沂河大街 014201 号</t>
        </is>
      </c>
      <c r="Q11" s="5" t="inlineStr">
        <is>
          <t>经营地址（与厂区同址）</t>
        </is>
      </c>
      <c r="R11" s="5" t="inlineStr">
        <is>
          <t>潍坊市滨海经济技术开发区沂河大街 014201 号</t>
        </is>
      </c>
      <c r="S11" s="5" t="inlineStr">
        <is>
          <t>园区地址</t>
        </is>
      </c>
      <c r="T11" s="5" t="inlineStr">
        <is>
          <t>精确</t>
        </is>
      </c>
      <c r="U11" s="5" t="inlineStr">
        <is>
          <t>地图地名库</t>
        </is>
      </c>
      <c r="V11" s="5" t="inlineStr">
        <is>
          <t>A</t>
        </is>
      </c>
      <c r="W11" s="5" t="inlineStr">
        <is>
          <t>S11 郑州商品交易所；S12 郑州商品交易所</t>
        </is>
      </c>
      <c r="X11" s="5" t="inlineStr">
        <is>
          <t>山东在纯碱期货交割体系中只有 1 个厂库、无第三方交割仓库；指定交货地在河北沙河，2026-07 新增交割区域为成都、重庆（不含山东）。</t>
        </is>
      </c>
    </row>
    <row r="12" ht="48" customHeight="1">
      <c r="A12" s="14" t="inlineStr">
        <is>
          <t>sd-luxi</t>
        </is>
      </c>
      <c r="B12" s="14" t="inlineStr">
        <is>
          <t>鲁西化工集团股份有限公司</t>
        </is>
      </c>
      <c r="C12" s="14" t="inlineStr">
        <is>
          <t>鲁西化工（聊城化工新材料产业园）</t>
        </is>
      </c>
      <c r="D12" s="14" t="inlineStr">
        <is>
          <t>生产</t>
        </is>
      </c>
      <c r="E12" s="14" t="inlineStr">
        <is>
          <t>生产工厂</t>
        </is>
      </c>
      <c r="F12" s="14" t="inlineStr">
        <is>
          <t>山东</t>
        </is>
      </c>
      <c r="G12" s="14" t="inlineStr">
        <is>
          <t>聊城</t>
        </is>
      </c>
      <c r="H12" s="14" t="inlineStr">
        <is>
          <t>高新技术产业开发区</t>
        </is>
      </c>
      <c r="I12" s="14" t="inlineStr">
        <is>
          <t>未核实</t>
        </is>
      </c>
      <c r="J12" s="14" t="inlineStr">
        <is>
          <t>未知</t>
        </is>
      </c>
      <c r="K12" s="17" t="inlineStr">
        <is>
          <t>—</t>
        </is>
      </c>
      <c r="L12" s="14" t="inlineStr">
        <is>
          <t>无纯碱（投资者问答以"烧碱 40 万吨"作答）</t>
        </is>
      </c>
      <c r="M12" s="14" t="inlineStr">
        <is>
          <t>否证条目，不计入产能</t>
        </is>
      </c>
      <c r="N12" s="14" t="inlineStr">
        <is>
          <t>在产</t>
        </is>
      </c>
      <c r="O12" s="14" t="inlineStr">
        <is>
          <t>聚碳酸酯 / 己内酰胺 / 烧碱 / 双氧水</t>
        </is>
      </c>
      <c r="P12" s="14" t="inlineStr">
        <is>
          <t>聊城市高新技术产业开发区化工产业园</t>
        </is>
      </c>
      <c r="Q12" s="14" t="inlineStr">
        <is>
          <t>园区地址</t>
        </is>
      </c>
      <c r="R12" s="14" t="inlineStr">
        <is>
          <t>聊城市高新技术产业开发区化工产业园</t>
        </is>
      </c>
      <c r="S12" s="14" t="inlineStr">
        <is>
          <t>园区地址</t>
        </is>
      </c>
      <c r="T12" s="14" t="inlineStr">
        <is>
          <t>市级</t>
        </is>
      </c>
      <c r="U12" s="14" t="inlineStr">
        <is>
          <t>未核实</t>
        </is>
      </c>
      <c r="V12" s="14" t="inlineStr">
        <is>
          <t>C</t>
        </is>
      </c>
      <c r="W12" s="14" t="inlineStr">
        <is>
          <t>—</t>
        </is>
      </c>
      <c r="X12" s="14" t="inlineStr">
        <is>
          <t>否证：官网产品清单无纯碱。</t>
        </is>
      </c>
    </row>
    <row r="13" ht="48" customHeight="1">
      <c r="A13" s="5" t="inlineStr">
        <is>
          <t>sd-qdjy</t>
        </is>
      </c>
      <c r="B13" s="5" t="inlineStr">
        <is>
          <t>青岛碱业发展有限公司</t>
        </is>
      </c>
      <c r="C13" s="5" t="inlineStr">
        <is>
          <t>青岛碱业老厂区纯碱厂（已停产）</t>
        </is>
      </c>
      <c r="D13" s="5" t="inlineStr">
        <is>
          <t>生产</t>
        </is>
      </c>
      <c r="E13" s="5" t="inlineStr">
        <is>
          <t>生产工厂</t>
        </is>
      </c>
      <c r="F13" s="5" t="inlineStr">
        <is>
          <t>山东</t>
        </is>
      </c>
      <c r="G13" s="5" t="inlineStr">
        <is>
          <t>青岛</t>
        </is>
      </c>
      <c r="H13" s="5" t="inlineStr">
        <is>
          <t>李沧区</t>
        </is>
      </c>
      <c r="I13" s="5" t="inlineStr">
        <is>
          <t>未核实</t>
        </is>
      </c>
      <c r="J13" s="5" t="inlineStr">
        <is>
          <t>氨碱</t>
        </is>
      </c>
      <c r="K13" s="16" t="inlineStr">
        <is>
          <t>—</t>
        </is>
      </c>
      <c r="L13" s="5" t="inlineStr">
        <is>
          <t>纯碱 80 万吨（山东省志工业志 2005 年口径）</t>
        </is>
      </c>
      <c r="M13" s="5" t="inlineStr">
        <is>
          <t>历史产能；2015-12-31 全面停产后不计入</t>
        </is>
      </c>
      <c r="N13" s="5" t="inlineStr">
        <is>
          <t>停产</t>
        </is>
      </c>
      <c r="O13" s="5" t="inlineStr">
        <is>
          <t>纯碱（历史）</t>
        </is>
      </c>
      <c r="P13" s="5" t="inlineStr">
        <is>
          <t>青岛市李沧区四流北路 78 号</t>
        </is>
      </c>
      <c r="Q13" s="5" t="inlineStr">
        <is>
          <t>实际生产地址（注册地同址）</t>
        </is>
      </c>
      <c r="R13" s="5" t="inlineStr">
        <is>
          <t>青岛市李沧区四流北路 78 号（娄山后工业区）</t>
        </is>
      </c>
      <c r="S13" s="5" t="inlineStr">
        <is>
          <t>实际生产地址</t>
        </is>
      </c>
      <c r="T13" s="5" t="inlineStr">
        <is>
          <t>市级</t>
        </is>
      </c>
      <c r="U13" s="5" t="inlineStr">
        <is>
          <t>未核实</t>
        </is>
      </c>
      <c r="V13" s="5" t="inlineStr">
        <is>
          <t>B</t>
        </is>
      </c>
      <c r="W13" s="5" t="inlineStr">
        <is>
          <t>—</t>
        </is>
      </c>
      <c r="X13" s="5" t="inlineStr">
        <is>
          <t>山东纯碱最后一次大台阶退出（-80 万吨/年）；装置已不存在，故不给坐标，只作负向参照。</t>
        </is>
      </c>
    </row>
    <row r="15">
      <c r="A15" s="3" t="inlineStr">
        <is>
          <t>说明与口径</t>
        </is>
      </c>
    </row>
    <row r="16" ht="15" customHeight="1">
      <c r="A16" s="15" t="inlineStr">
        <is>
          <t>· 一行 = 一个厂区。同一企业的多个厂区分行列示；不要把集团总部当作一个厂区。</t>
        </is>
      </c>
    </row>
    <row r="17" ht="15" customHeight="1">
      <c r="A17" s="15" t="inlineStr">
        <is>
          <t>· 注册地址只说明法人登记地，不能作为装置位置；"生产地址类型"为"园区地址/镇村地名"时，只能做园区级或县级落点。</t>
        </is>
      </c>
    </row>
    <row r="18" ht="15" customHeight="1">
      <c r="A18" s="15" t="inlineStr">
        <is>
          <t>· 点位列：精确 = 可作装置位置；园区级 / 县级 / 市级 = 仅示意，不代表装置位置。</t>
        </is>
      </c>
    </row>
    <row r="19" ht="15" customHeight="1">
      <c r="A19" s="15" t="inlineStr">
        <is>
          <t>· 贸易/仓储与下游用户不进入产能合计。</t>
        </is>
      </c>
    </row>
  </sheetData>
  <autoFilter ref="A4:X13"/>
  <mergeCells count="6">
    <mergeCell ref="A2:X2"/>
    <mergeCell ref="A16:X16"/>
    <mergeCell ref="A19:X19"/>
    <mergeCell ref="A1:X1"/>
    <mergeCell ref="A17:X17"/>
    <mergeCell ref="A18:X18"/>
  </mergeCells>
  <conditionalFormatting sqref="K5:K13">
    <cfRule type="colorScale" priority="1">
      <colorScale>
        <cfvo type="min"/>
        <cfvo type="max"/>
        <color rgb="00FFFFFF"/>
        <color rgb="000E7C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6" customWidth="1" min="5" max="5"/>
    <col width="15" customWidth="1" min="6" max="6"/>
    <col width="14" customWidth="1" min="7" max="7"/>
    <col width="11" customWidth="1" min="8" max="8"/>
    <col width="12" customWidth="1" min="9" max="9"/>
    <col width="12" customWidth="1" min="10" max="10"/>
    <col width="12" customWidth="1" min="11" max="11"/>
    <col width="9" customWidth="1" min="12" max="12"/>
    <col width="13" customWidth="1" min="13" max="13"/>
    <col width="9" customWidth="1" min="14" max="14"/>
    <col width="44" customWidth="1" min="15" max="15"/>
  </cols>
  <sheetData>
    <row r="1" ht="26" customHeight="1">
      <c r="A1" s="11" t="inlineStr">
        <is>
          <t>区域汇总：城市与省份（企业数量 + 公开产能 + 覆盖度）</t>
        </is>
      </c>
    </row>
    <row r="2" ht="16" customHeight="1">
      <c r="A2" s="12" t="inlineStr">
        <is>
          <t>“样本产能”= 表 02 中已核实生产厂区之和；“公开口径”= 城市/省级公开合计；“覆盖度”= 样本/公开；差额 = 尚未落到厂区的部分。</t>
        </is>
      </c>
    </row>
    <row r="4" ht="30" customHeight="1">
      <c r="A4" s="13" t="inlineStr">
        <is>
          <t>层级</t>
        </is>
      </c>
      <c r="B4" s="13" t="inlineStr">
        <is>
          <t>省份</t>
        </is>
      </c>
      <c r="C4" s="13" t="inlineStr">
        <is>
          <t>城市</t>
        </is>
      </c>
      <c r="D4" s="13" t="inlineStr">
        <is>
          <t>注册企业(估算,家)</t>
        </is>
      </c>
      <c r="E4" s="13" t="inlineStr">
        <is>
          <t>已定位生产厂区(个)</t>
        </is>
      </c>
      <c r="F4" s="13" t="inlineStr">
        <is>
          <t>样本产能(万吨/年)</t>
        </is>
      </c>
      <c r="G4" s="13" t="inlineStr">
        <is>
          <t>公开口径(万吨/年)</t>
        </is>
      </c>
      <c r="H4" s="13" t="inlineStr">
        <is>
          <t>覆盖度(%)</t>
        </is>
      </c>
      <c r="I4" s="13" t="inlineStr">
        <is>
          <t>待落位差额</t>
        </is>
      </c>
      <c r="J4" s="13" t="inlineStr">
        <is>
          <t>贸易据点(个)</t>
        </is>
      </c>
      <c r="K4" s="13" t="inlineStr">
        <is>
          <t>下游据点(个)</t>
        </is>
      </c>
      <c r="L4" s="13" t="inlineStr">
        <is>
          <t>园区(个)</t>
        </is>
      </c>
      <c r="M4" s="13" t="inlineStr">
        <is>
          <t>在建净增(万吨/年)</t>
        </is>
      </c>
      <c r="N4" s="13" t="inlineStr">
        <is>
          <t>数据等级</t>
        </is>
      </c>
      <c r="O4" s="13" t="inlineStr">
        <is>
          <t>备注</t>
        </is>
      </c>
    </row>
    <row r="5" ht="16" customHeight="1">
      <c r="A5" s="5" t="inlineStr">
        <is>
          <t>城市</t>
        </is>
      </c>
      <c r="B5" s="5" t="inlineStr">
        <is>
          <t>山东</t>
        </is>
      </c>
      <c r="C5" s="5" t="inlineStr">
        <is>
          <t>潍坊</t>
        </is>
      </c>
      <c r="D5" s="16" t="n">
        <v>0</v>
      </c>
      <c r="E5" s="16" t="n">
        <v>5</v>
      </c>
      <c r="F5" s="16" t="n">
        <v>430</v>
      </c>
      <c r="G5" s="16" t="inlineStr">
        <is>
          <t>—</t>
        </is>
      </c>
      <c r="H5" s="16" t="inlineStr">
        <is>
          <t>—</t>
        </is>
      </c>
      <c r="I5" s="16" t="inlineStr">
        <is>
          <t>—</t>
        </is>
      </c>
      <c r="J5" s="16" t="n">
        <v>1</v>
      </c>
      <c r="K5" s="16" t="n">
        <v>0</v>
      </c>
      <c r="L5" s="16" t="n">
        <v>2</v>
      </c>
      <c r="M5" s="16" t="n">
        <v>0</v>
      </c>
      <c r="N5" s="5" t="inlineStr">
        <is>
          <t>D</t>
        </is>
      </c>
      <c r="O5" s="5" t="inlineStr">
        <is>
          <t>—</t>
        </is>
      </c>
    </row>
    <row r="6" ht="32" customHeight="1">
      <c r="A6" s="14" t="inlineStr">
        <is>
          <t>城市</t>
        </is>
      </c>
      <c r="B6" s="14" t="inlineStr">
        <is>
          <t>山东</t>
        </is>
      </c>
      <c r="C6" s="14" t="inlineStr">
        <is>
          <t>潍坊市</t>
        </is>
      </c>
      <c r="D6" s="17" t="inlineStr">
        <is>
          <t>—</t>
        </is>
      </c>
      <c r="E6" s="17" t="n">
        <v>0</v>
      </c>
      <c r="F6" s="17" t="n">
        <v>0</v>
      </c>
      <c r="G6" s="17" t="inlineStr">
        <is>
          <t>—</t>
        </is>
      </c>
      <c r="H6" s="17" t="inlineStr">
        <is>
          <t>—</t>
        </is>
      </c>
      <c r="I6" s="17" t="inlineStr">
        <is>
          <t>—</t>
        </is>
      </c>
      <c r="J6" s="17" t="n">
        <v>0</v>
      </c>
      <c r="K6" s="17" t="n">
        <v>0</v>
      </c>
      <c r="L6" s="17" t="n">
        <v>0</v>
      </c>
      <c r="M6" s="17" t="n">
        <v>0</v>
      </c>
      <c r="N6" s="14" t="inlineStr">
        <is>
          <t>A</t>
        </is>
      </c>
      <c r="O6" s="14" t="inlineStr">
        <is>
          <t>全省纯碱产能 100%（海化 280 + 海天 150）；港口 + 铁路 + 盐田 + 卤水四要素齐备。</t>
        </is>
      </c>
    </row>
    <row r="7" ht="32" customHeight="1">
      <c r="A7" s="5" t="inlineStr">
        <is>
          <t>城市</t>
        </is>
      </c>
      <c r="B7" s="5" t="inlineStr">
        <is>
          <t>山东</t>
        </is>
      </c>
      <c r="C7" s="5" t="inlineStr">
        <is>
          <t>青岛市</t>
        </is>
      </c>
      <c r="D7" s="16" t="inlineStr">
        <is>
          <t>—</t>
        </is>
      </c>
      <c r="E7" s="16" t="n">
        <v>0</v>
      </c>
      <c r="F7" s="16" t="n">
        <v>0</v>
      </c>
      <c r="G7" s="16" t="n">
        <v>0</v>
      </c>
      <c r="H7" s="16" t="inlineStr">
        <is>
          <t>—</t>
        </is>
      </c>
      <c r="I7" s="16" t="inlineStr">
        <is>
          <t>—</t>
        </is>
      </c>
      <c r="J7" s="16" t="n">
        <v>0</v>
      </c>
      <c r="K7" s="16" t="n">
        <v>0</v>
      </c>
      <c r="L7" s="16" t="n">
        <v>0</v>
      </c>
      <c r="M7" s="16" t="n">
        <v>0</v>
      </c>
      <c r="N7" s="5" t="inlineStr">
        <is>
          <t>B</t>
        </is>
      </c>
      <c r="O7" s="5" t="inlineStr">
        <is>
          <t>原青岛碱业老厂 2015-12-31 全面停产；现无纯碱产能，仅作退出参照。</t>
        </is>
      </c>
    </row>
    <row r="8" ht="32" customHeight="1">
      <c r="A8" s="14" t="inlineStr">
        <is>
          <t>城市</t>
        </is>
      </c>
      <c r="B8" s="14" t="inlineStr">
        <is>
          <t>山东</t>
        </is>
      </c>
      <c r="C8" s="14" t="inlineStr">
        <is>
          <t>淄博市</t>
        </is>
      </c>
      <c r="D8" s="17" t="inlineStr">
        <is>
          <t>—</t>
        </is>
      </c>
      <c r="E8" s="17" t="n">
        <v>0</v>
      </c>
      <c r="F8" s="17" t="n">
        <v>0</v>
      </c>
      <c r="G8" s="17" t="inlineStr">
        <is>
          <t>—</t>
        </is>
      </c>
      <c r="H8" s="17" t="inlineStr">
        <is>
          <t>—</t>
        </is>
      </c>
      <c r="I8" s="17" t="inlineStr">
        <is>
          <t>—</t>
        </is>
      </c>
      <c r="J8" s="17" t="n">
        <v>0</v>
      </c>
      <c r="K8" s="17" t="n">
        <v>0</v>
      </c>
      <c r="L8" s="17" t="n">
        <v>0</v>
      </c>
      <c r="M8" s="17" t="n">
        <v>0</v>
      </c>
      <c r="N8" s="14" t="inlineStr">
        <is>
          <t>B</t>
        </is>
      </c>
      <c r="O8" s="14" t="inlineStr">
        <is>
          <t>无纯碱产能；日用/浮法玻璃耗碱区（金晶淄博 5x600t/d、博山八陡日用玻璃集群）。</t>
        </is>
      </c>
    </row>
    <row r="9" ht="32" customHeight="1">
      <c r="A9" s="5" t="inlineStr">
        <is>
          <t>城市</t>
        </is>
      </c>
      <c r="B9" s="5" t="inlineStr">
        <is>
          <t>山东</t>
        </is>
      </c>
      <c r="C9" s="5" t="inlineStr">
        <is>
          <t>枣庄市</t>
        </is>
      </c>
      <c r="D9" s="16" t="inlineStr">
        <is>
          <t>—</t>
        </is>
      </c>
      <c r="E9" s="16" t="n">
        <v>0</v>
      </c>
      <c r="F9" s="16" t="n">
        <v>0</v>
      </c>
      <c r="G9" s="16" t="inlineStr">
        <is>
          <t>—</t>
        </is>
      </c>
      <c r="H9" s="16" t="inlineStr">
        <is>
          <t>—</t>
        </is>
      </c>
      <c r="I9" s="16" t="inlineStr">
        <is>
          <t>—</t>
        </is>
      </c>
      <c r="J9" s="16" t="n">
        <v>0</v>
      </c>
      <c r="K9" s="16" t="n">
        <v>0</v>
      </c>
      <c r="L9" s="16" t="n">
        <v>0</v>
      </c>
      <c r="M9" s="16" t="n">
        <v>0</v>
      </c>
      <c r="N9" s="5" t="inlineStr">
        <is>
          <t>B</t>
        </is>
      </c>
      <c r="O9" s="5" t="inlineStr">
        <is>
          <t>无纯碱产能；滕州金晶浮法（2x600+2x800 t/d）与玻璃新材料集群（217 家）。</t>
        </is>
      </c>
    </row>
    <row r="10" ht="32" customHeight="1">
      <c r="A10" s="14" t="inlineStr">
        <is>
          <t>城市</t>
        </is>
      </c>
      <c r="B10" s="14" t="inlineStr">
        <is>
          <t>山东</t>
        </is>
      </c>
      <c r="C10" s="14" t="inlineStr">
        <is>
          <t>菏泽市</t>
        </is>
      </c>
      <c r="D10" s="17" t="inlineStr">
        <is>
          <t>—</t>
        </is>
      </c>
      <c r="E10" s="17" t="n">
        <v>0</v>
      </c>
      <c r="F10" s="17" t="n">
        <v>0</v>
      </c>
      <c r="G10" s="17" t="inlineStr">
        <is>
          <t>—</t>
        </is>
      </c>
      <c r="H10" s="17" t="inlineStr">
        <is>
          <t>—</t>
        </is>
      </c>
      <c r="I10" s="17" t="inlineStr">
        <is>
          <t>—</t>
        </is>
      </c>
      <c r="J10" s="17" t="n">
        <v>0</v>
      </c>
      <c r="K10" s="17" t="n">
        <v>0</v>
      </c>
      <c r="L10" s="17" t="n">
        <v>0</v>
      </c>
      <c r="M10" s="17" t="n">
        <v>0</v>
      </c>
      <c r="N10" s="14" t="inlineStr">
        <is>
          <t>B</t>
        </is>
      </c>
      <c r="O10" s="14" t="inlineStr">
        <is>
          <t>无纯碱产能；巨野巨润浮法（4x700 t/d）与郓城酒瓶集群（21 亿只/年）。</t>
        </is>
      </c>
    </row>
    <row r="11" ht="32" customHeight="1">
      <c r="A11" s="5" t="inlineStr">
        <is>
          <t>城市</t>
        </is>
      </c>
      <c r="B11" s="5" t="inlineStr">
        <is>
          <t>山东</t>
        </is>
      </c>
      <c r="C11" s="5" t="inlineStr">
        <is>
          <t>东营市</t>
        </is>
      </c>
      <c r="D11" s="16" t="inlineStr">
        <is>
          <t>—</t>
        </is>
      </c>
      <c r="E11" s="16" t="n">
        <v>0</v>
      </c>
      <c r="F11" s="16" t="n">
        <v>0</v>
      </c>
      <c r="G11" s="16" t="inlineStr">
        <is>
          <t>—</t>
        </is>
      </c>
      <c r="H11" s="16" t="inlineStr">
        <is>
          <t>—</t>
        </is>
      </c>
      <c r="I11" s="16" t="inlineStr">
        <is>
          <t>—</t>
        </is>
      </c>
      <c r="J11" s="16" t="n">
        <v>0</v>
      </c>
      <c r="K11" s="16" t="n">
        <v>0</v>
      </c>
      <c r="L11" s="16" t="n">
        <v>0</v>
      </c>
      <c r="M11" s="16" t="n">
        <v>0</v>
      </c>
      <c r="N11" s="5" t="inlineStr">
        <is>
          <t>B</t>
        </is>
      </c>
      <c r="O11" s="5" t="inlineStr">
        <is>
          <t>无纯碱产能；地下卤水与盐田产区（原料侧）、东营港化工产业园。</t>
        </is>
      </c>
    </row>
    <row r="12" ht="16" customHeight="1">
      <c r="A12" s="14" t="inlineStr">
        <is>
          <t>城市</t>
        </is>
      </c>
      <c r="B12" s="14" t="inlineStr">
        <is>
          <t>山东</t>
        </is>
      </c>
      <c r="C12" s="14" t="inlineStr">
        <is>
          <t>滨州市</t>
        </is>
      </c>
      <c r="D12" s="17" t="inlineStr">
        <is>
          <t>—</t>
        </is>
      </c>
      <c r="E12" s="17" t="n">
        <v>0</v>
      </c>
      <c r="F12" s="17" t="n">
        <v>0</v>
      </c>
      <c r="G12" s="17" t="inlineStr">
        <is>
          <t>—</t>
        </is>
      </c>
      <c r="H12" s="17" t="inlineStr">
        <is>
          <t>—</t>
        </is>
      </c>
      <c r="I12" s="17" t="inlineStr">
        <is>
          <t>—</t>
        </is>
      </c>
      <c r="J12" s="17" t="n">
        <v>0</v>
      </c>
      <c r="K12" s="17" t="n">
        <v>0</v>
      </c>
      <c r="L12" s="17" t="n">
        <v>0</v>
      </c>
      <c r="M12" s="17" t="n">
        <v>0</v>
      </c>
      <c r="N12" s="14" t="inlineStr">
        <is>
          <t>C</t>
        </is>
      </c>
      <c r="O12" s="14" t="inlineStr">
        <is>
          <t>无纯碱产能；鲁北海洋化工（原盐、溴）体系。</t>
        </is>
      </c>
    </row>
    <row r="13" ht="16" customHeight="1">
      <c r="A13" s="5" t="inlineStr">
        <is>
          <t>城市</t>
        </is>
      </c>
      <c r="B13" s="5" t="inlineStr">
        <is>
          <t>山东</t>
        </is>
      </c>
      <c r="C13" s="5" t="inlineStr">
        <is>
          <t>聊城市</t>
        </is>
      </c>
      <c r="D13" s="16" t="inlineStr">
        <is>
          <t>—</t>
        </is>
      </c>
      <c r="E13" s="16" t="n">
        <v>0</v>
      </c>
      <c r="F13" s="16" t="n">
        <v>0</v>
      </c>
      <c r="G13" s="16" t="inlineStr">
        <is>
          <t>—</t>
        </is>
      </c>
      <c r="H13" s="16" t="inlineStr">
        <is>
          <t>—</t>
        </is>
      </c>
      <c r="I13" s="16" t="inlineStr">
        <is>
          <t>—</t>
        </is>
      </c>
      <c r="J13" s="16" t="n">
        <v>0</v>
      </c>
      <c r="K13" s="16" t="n">
        <v>0</v>
      </c>
      <c r="L13" s="16" t="n">
        <v>0</v>
      </c>
      <c r="M13" s="16" t="n">
        <v>0</v>
      </c>
      <c r="N13" s="5" t="inlineStr">
        <is>
          <t>C</t>
        </is>
      </c>
      <c r="O13" s="5" t="inlineStr">
        <is>
          <t>鲁西化工无纯碱（否证）；合成氨/化肥配套。</t>
        </is>
      </c>
    </row>
    <row r="14" ht="32" customHeight="1">
      <c r="A14" s="14" t="inlineStr">
        <is>
          <t>城市</t>
        </is>
      </c>
      <c r="B14" s="14" t="inlineStr">
        <is>
          <t>山东</t>
        </is>
      </c>
      <c r="C14" s="14" t="inlineStr">
        <is>
          <t>德州市</t>
        </is>
      </c>
      <c r="D14" s="17" t="inlineStr">
        <is>
          <t>—</t>
        </is>
      </c>
      <c r="E14" s="17" t="n">
        <v>0</v>
      </c>
      <c r="F14" s="17" t="n">
        <v>0</v>
      </c>
      <c r="G14" s="17" t="inlineStr">
        <is>
          <t>—</t>
        </is>
      </c>
      <c r="H14" s="17" t="inlineStr">
        <is>
          <t>—</t>
        </is>
      </c>
      <c r="I14" s="17" t="inlineStr">
        <is>
          <t>—</t>
        </is>
      </c>
      <c r="J14" s="17" t="n">
        <v>0</v>
      </c>
      <c r="K14" s="17" t="n">
        <v>0</v>
      </c>
      <c r="L14" s="17" t="n">
        <v>0</v>
      </c>
      <c r="M14" s="17" t="n">
        <v>0</v>
      </c>
      <c r="N14" s="14" t="inlineStr">
        <is>
          <t>C</t>
        </is>
      </c>
      <c r="O14" s="14" t="inlineStr">
        <is>
          <t>德州实华无纯碱（否证）；华鲁恒升合成氨为潜在氨源。</t>
        </is>
      </c>
    </row>
    <row r="15" ht="32" customHeight="1">
      <c r="A15" s="5" t="inlineStr">
        <is>
          <t>城市</t>
        </is>
      </c>
      <c r="B15" s="5" t="inlineStr">
        <is>
          <t>山东</t>
        </is>
      </c>
      <c r="C15" s="5" t="inlineStr">
        <is>
          <t>临沂市</t>
        </is>
      </c>
      <c r="D15" s="16" t="inlineStr">
        <is>
          <t>—</t>
        </is>
      </c>
      <c r="E15" s="16" t="n">
        <v>0</v>
      </c>
      <c r="F15" s="16" t="n">
        <v>0</v>
      </c>
      <c r="G15" s="16" t="inlineStr">
        <is>
          <t>—</t>
        </is>
      </c>
      <c r="H15" s="16" t="inlineStr">
        <is>
          <t>—</t>
        </is>
      </c>
      <c r="I15" s="16" t="inlineStr">
        <is>
          <t>—</t>
        </is>
      </c>
      <c r="J15" s="16" t="n">
        <v>0</v>
      </c>
      <c r="K15" s="16" t="n">
        <v>0</v>
      </c>
      <c r="L15" s="16" t="n">
        <v>0</v>
      </c>
      <c r="M15" s="16" t="n">
        <v>0</v>
      </c>
      <c r="N15" s="5" t="inlineStr">
        <is>
          <t>C</t>
        </is>
      </c>
      <c r="O15" s="5" t="inlineStr">
        <is>
          <t>复合肥/氯化铵集散；舜天化工液体无水氨线索。</t>
        </is>
      </c>
    </row>
    <row r="16" ht="16" customHeight="1">
      <c r="A16" s="14" t="inlineStr">
        <is>
          <t>城市</t>
        </is>
      </c>
      <c r="B16" s="14" t="inlineStr">
        <is>
          <t>山东</t>
        </is>
      </c>
      <c r="C16" s="14" t="inlineStr">
        <is>
          <t>青岛</t>
        </is>
      </c>
      <c r="D16" s="17" t="n">
        <v>0</v>
      </c>
      <c r="E16" s="17" t="n">
        <v>1</v>
      </c>
      <c r="F16" s="17" t="n">
        <v>0</v>
      </c>
      <c r="G16" s="17" t="inlineStr">
        <is>
          <t>—</t>
        </is>
      </c>
      <c r="H16" s="17" t="inlineStr">
        <is>
          <t>—</t>
        </is>
      </c>
      <c r="I16" s="17" t="inlineStr">
        <is>
          <t>—</t>
        </is>
      </c>
      <c r="J16" s="17" t="n">
        <v>0</v>
      </c>
      <c r="K16" s="17" t="n">
        <v>0</v>
      </c>
      <c r="L16" s="17" t="n">
        <v>0</v>
      </c>
      <c r="M16" s="17" t="n">
        <v>0</v>
      </c>
      <c r="N16" s="14" t="inlineStr">
        <is>
          <t>D</t>
        </is>
      </c>
      <c r="O16" s="14" t="inlineStr">
        <is>
          <t>—</t>
        </is>
      </c>
    </row>
    <row r="17" ht="16" customHeight="1">
      <c r="A17" s="5" t="inlineStr">
        <is>
          <t>城市</t>
        </is>
      </c>
      <c r="B17" s="5" t="inlineStr">
        <is>
          <t>山东</t>
        </is>
      </c>
      <c r="C17" s="5" t="inlineStr">
        <is>
          <t>聊城</t>
        </is>
      </c>
      <c r="D17" s="16" t="n">
        <v>0</v>
      </c>
      <c r="E17" s="16" t="n">
        <v>1</v>
      </c>
      <c r="F17" s="16" t="n">
        <v>0</v>
      </c>
      <c r="G17" s="16" t="inlineStr">
        <is>
          <t>—</t>
        </is>
      </c>
      <c r="H17" s="16" t="inlineStr">
        <is>
          <t>—</t>
        </is>
      </c>
      <c r="I17" s="16" t="inlineStr">
        <is>
          <t>—</t>
        </is>
      </c>
      <c r="J17" s="16" t="n">
        <v>0</v>
      </c>
      <c r="K17" s="16" t="n">
        <v>0</v>
      </c>
      <c r="L17" s="16" t="n">
        <v>0</v>
      </c>
      <c r="M17" s="16" t="n">
        <v>0</v>
      </c>
      <c r="N17" s="5" t="inlineStr">
        <is>
          <t>D</t>
        </is>
      </c>
      <c r="O17" s="5" t="inlineStr">
        <is>
          <t>—</t>
        </is>
      </c>
    </row>
    <row r="18" ht="16" customHeight="1">
      <c r="A18" s="14" t="inlineStr">
        <is>
          <t>城市</t>
        </is>
      </c>
      <c r="B18" s="14" t="inlineStr">
        <is>
          <t>山东</t>
        </is>
      </c>
      <c r="C18" s="14" t="inlineStr">
        <is>
          <t>德州</t>
        </is>
      </c>
      <c r="D18" s="17" t="n">
        <v>0</v>
      </c>
      <c r="E18" s="17" t="n">
        <v>1</v>
      </c>
      <c r="F18" s="17" t="n">
        <v>0</v>
      </c>
      <c r="G18" s="17" t="inlineStr">
        <is>
          <t>—</t>
        </is>
      </c>
      <c r="H18" s="17" t="inlineStr">
        <is>
          <t>—</t>
        </is>
      </c>
      <c r="I18" s="17" t="inlineStr">
        <is>
          <t>—</t>
        </is>
      </c>
      <c r="J18" s="17" t="n">
        <v>0</v>
      </c>
      <c r="K18" s="17" t="n">
        <v>0</v>
      </c>
      <c r="L18" s="17" t="n">
        <v>0</v>
      </c>
      <c r="M18" s="17" t="n">
        <v>0</v>
      </c>
      <c r="N18" s="14" t="inlineStr">
        <is>
          <t>D</t>
        </is>
      </c>
      <c r="O18" s="14" t="inlineStr">
        <is>
          <t>—</t>
        </is>
      </c>
    </row>
    <row r="19" ht="32" customHeight="1">
      <c r="A19" s="5" t="inlineStr">
        <is>
          <t>—</t>
        </is>
      </c>
      <c r="B19" s="5" t="inlineStr">
        <is>
          <t>—</t>
        </is>
      </c>
      <c r="C19" s="5" t="inlineStr">
        <is>
          <t>【城市合计】</t>
        </is>
      </c>
      <c r="D19" s="16" t="n">
        <v>0</v>
      </c>
      <c r="E19" s="16" t="n">
        <v>8</v>
      </c>
      <c r="F19" s="16" t="n">
        <v>430</v>
      </c>
      <c r="G19" s="16" t="n">
        <v>0</v>
      </c>
      <c r="H19" s="16" t="n">
        <v>95.59999999999999</v>
      </c>
      <c r="I19" s="16" t="inlineStr">
        <is>
          <t>—</t>
        </is>
      </c>
      <c r="J19" s="16" t="n">
        <v>1</v>
      </c>
      <c r="K19" s="16" t="n">
        <v>0</v>
      </c>
      <c r="L19" s="16" t="n">
        <v>11</v>
      </c>
      <c r="M19" s="16" t="n">
        <v>0</v>
      </c>
      <c r="N19" s="5" t="inlineStr">
        <is>
          <t>—</t>
        </is>
      </c>
      <c r="O19" s="5" t="inlineStr">
        <is>
          <t>城市合计含未列城市</t>
        </is>
      </c>
    </row>
    <row r="20" ht="48" customHeight="1">
      <c r="A20" s="14" t="inlineStr">
        <is>
          <t>省份</t>
        </is>
      </c>
      <c r="B20" s="14" t="inlineStr">
        <is>
          <t>山东</t>
        </is>
      </c>
      <c r="C20" s="14" t="inlineStr">
        <is>
          <t>（14 个城市）</t>
        </is>
      </c>
      <c r="D20" s="17" t="n">
        <v>0</v>
      </c>
      <c r="E20" s="17" t="n">
        <v>8</v>
      </c>
      <c r="F20" s="17" t="n">
        <v>430</v>
      </c>
      <c r="G20" s="17" t="inlineStr">
        <is>
          <t>—</t>
        </is>
      </c>
      <c r="H20" s="17" t="inlineStr">
        <is>
          <t>—</t>
        </is>
      </c>
      <c r="I20" s="17" t="inlineStr">
        <is>
          <t>—</t>
        </is>
      </c>
      <c r="J20" s="17" t="n">
        <v>1</v>
      </c>
      <c r="K20" s="17" t="n">
        <v>0</v>
      </c>
      <c r="L20" s="17" t="n">
        <v>2</v>
      </c>
      <c r="M20" s="17" t="n">
        <v>0</v>
      </c>
      <c r="N20" s="14" t="inlineStr">
        <is>
          <t>—</t>
        </is>
      </c>
      <c r="O20" s="14" t="inlineStr">
        <is>
          <t>东营市, 临沂市, 德州, 德州市, 枣庄市, 淄博市, 滨州市, 潍坊, 潍坊市, 聊城, 聊城市, 菏泽市, 青岛, 青岛市</t>
        </is>
      </c>
    </row>
    <row r="22">
      <c r="A22" s="3" t="inlineStr">
        <is>
          <t>说明与口径</t>
        </is>
      </c>
    </row>
    <row r="23" ht="15" customHeight="1">
      <c r="A23" s="15" t="inlineStr">
        <is>
          <t>· 注册企业数来自工商/名录类数据库的检索计数，是“与品种相关的注册主体”估算，含贸易、投资、已注销等，不能当作生产企业数。</t>
        </is>
      </c>
    </row>
    <row r="24" ht="15" customHeight="1">
      <c r="A24" s="15" t="inlineStr">
        <is>
          <t>· 样本产能只统计“生产”角色且有公开产能数值的厂区；同一集团多厂区分别计入，但须与集团公开口径交叉核对（见 06 表）。</t>
        </is>
      </c>
    </row>
    <row r="25" ht="15" customHeight="1">
      <c r="A25" s="15" t="inlineStr">
        <is>
          <t>· 覆盖度 &lt; 100% 说明还有产能未落到厂区：该部分在 11_数据缺口 中列明，不做分摊。</t>
        </is>
      </c>
    </row>
    <row r="26" ht="15" customHeight="1">
      <c r="A26" s="15" t="inlineStr">
        <is>
          <t>· 覆盖度为“—”表示公开口径未取得，只能给样本产能，不能给份额。</t>
        </is>
      </c>
    </row>
  </sheetData>
  <autoFilter ref="A4:O20"/>
  <mergeCells count="6">
    <mergeCell ref="A25:O25"/>
    <mergeCell ref="A26:O26"/>
    <mergeCell ref="A24:O24"/>
    <mergeCell ref="A2:O2"/>
    <mergeCell ref="A1:O1"/>
    <mergeCell ref="A23:O23"/>
  </mergeCells>
  <conditionalFormatting sqref="F5:F20">
    <cfRule type="colorScale" priority="1">
      <colorScale>
        <cfvo type="min"/>
        <cfvo type="max"/>
        <color rgb="00FFFFFF"/>
        <color rgb="000E7C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8" customWidth="1" min="4" max="4"/>
    <col width="10" customWidth="1" min="5" max="5"/>
    <col width="11" customWidth="1" min="6" max="6"/>
    <col width="11" customWidth="1" min="7" max="7"/>
    <col width="9" customWidth="1" min="8" max="8"/>
    <col width="14" customWidth="1" min="9" max="9"/>
    <col width="12" customWidth="1" min="10" max="10"/>
    <col width="40" customWidth="1" min="11" max="11"/>
    <col width="44" customWidth="1" min="12" max="12"/>
  </cols>
  <sheetData>
    <row r="1" ht="26" customHeight="1">
      <c r="A1" s="11" t="inlineStr">
        <is>
          <t>工厂点位核验：坐标、精度、来源与可用性</t>
        </is>
      </c>
    </row>
    <row r="2" ht="16" customHeight="1">
      <c r="A2" s="12" t="inlineStr">
        <is>
          <t>只有“精度=精确 且 坐标可用=是”的点位，才允许在 HTML 地图上作为装置位置展示；其余只能作地区级记录。</t>
        </is>
      </c>
    </row>
    <row r="4" ht="30" customHeight="1">
      <c r="A4" s="13" t="inlineStr">
        <is>
          <t>站点ID</t>
        </is>
      </c>
      <c r="B4" s="13" t="inlineStr">
        <is>
          <t>企业</t>
        </is>
      </c>
      <c r="C4" s="13" t="inlineStr">
        <is>
          <t>厂区</t>
        </is>
      </c>
      <c r="D4" s="13" t="inlineStr">
        <is>
          <t>省</t>
        </is>
      </c>
      <c r="E4" s="13" t="inlineStr">
        <is>
          <t>市</t>
        </is>
      </c>
      <c r="F4" s="13" t="inlineStr">
        <is>
          <t>经度</t>
        </is>
      </c>
      <c r="G4" s="13" t="inlineStr">
        <is>
          <t>纬度</t>
        </is>
      </c>
      <c r="H4" s="13" t="inlineStr">
        <is>
          <t>精度</t>
        </is>
      </c>
      <c r="I4" s="13" t="inlineStr">
        <is>
          <t>坐标来源</t>
        </is>
      </c>
      <c r="J4" s="13" t="inlineStr">
        <is>
          <t>可作装置位置</t>
        </is>
      </c>
      <c r="K4" s="13" t="inlineStr">
        <is>
          <t>定位依据地址</t>
        </is>
      </c>
      <c r="L4" s="13" t="inlineStr">
        <is>
          <t>核验备注 / 待办</t>
        </is>
      </c>
    </row>
    <row r="5" ht="48" customHeight="1">
      <c r="A5" s="5" t="inlineStr">
        <is>
          <t>sd-haihua-hs</t>
        </is>
      </c>
      <c r="B5" s="5" t="inlineStr">
        <is>
          <t>山东海化股份有限公司</t>
        </is>
      </c>
      <c r="C5" s="5" t="inlineStr">
        <is>
          <t>山东海化纯碱厂（老线 120 + 新线 160）</t>
        </is>
      </c>
      <c r="D5" s="5" t="inlineStr">
        <is>
          <t>山东</t>
        </is>
      </c>
      <c r="E5" s="5" t="inlineStr">
        <is>
          <t>潍坊</t>
        </is>
      </c>
      <c r="F5" s="16" t="n">
        <v>119.0246</v>
      </c>
      <c r="G5" s="16" t="n">
        <v>37.1318</v>
      </c>
      <c r="H5" s="5" t="inlineStr">
        <is>
          <t>精确</t>
        </is>
      </c>
      <c r="I5" s="5" t="inlineStr">
        <is>
          <t>地图地名库</t>
        </is>
      </c>
      <c r="J5" s="5" t="inlineStr">
        <is>
          <t>是</t>
        </is>
      </c>
      <c r="K5" s="5" t="inlineStr">
        <is>
          <t>潍坊滨海经济技术开发区（大家洼）沂河大街 14201 号，潍坊滨海化工产业园内</t>
        </is>
      </c>
      <c r="L5" s="5" t="inlineStr">
        <is>
          <t>待办：一二三期建成年份与单期规模；老线/新线各自坐标（环评附图）；2028 年置换后在产口径 160 + 100 = 260 万吨</t>
        </is>
      </c>
    </row>
    <row r="6" ht="32" customHeight="1">
      <c r="A6" s="14" t="inlineStr">
        <is>
          <t>sd-haihua-xds</t>
        </is>
      </c>
      <c r="B6" s="14" t="inlineStr">
        <is>
          <t>山东海化股份有限公司</t>
        </is>
      </c>
      <c r="C6" s="14" t="inlineStr">
        <is>
          <t>山东海化小苏打厂（一/二车间）</t>
        </is>
      </c>
      <c r="D6" s="14" t="inlineStr">
        <is>
          <t>山东</t>
        </is>
      </c>
      <c r="E6" s="14" t="inlineStr">
        <is>
          <t>潍坊</t>
        </is>
      </c>
      <c r="F6" s="17" t="n">
        <v>119.0206</v>
      </c>
      <c r="G6" s="17" t="n">
        <v>37.1242</v>
      </c>
      <c r="H6" s="14" t="inlineStr">
        <is>
          <t>精确</t>
        </is>
      </c>
      <c r="I6" s="14" t="inlineStr">
        <is>
          <t>地图地名库</t>
        </is>
      </c>
      <c r="J6" s="14" t="inlineStr">
        <is>
          <t>是</t>
        </is>
      </c>
      <c r="K6" s="14" t="inlineStr">
        <is>
          <t>潍坊滨海经济技术开发区大家洼街道沂河大街 14266 号</t>
        </is>
      </c>
      <c r="L6" s="14" t="inlineStr">
        <is>
          <t>待办：一期 10 万吨 + 规划 20 万吨的建成情况</t>
        </is>
      </c>
    </row>
    <row r="7" ht="48" customHeight="1">
      <c r="A7" s="5" t="inlineStr">
        <is>
          <t>sd-haitian</t>
        </is>
      </c>
      <c r="B7" s="5" t="inlineStr">
        <is>
          <t>山东海天生物化工有限公司</t>
        </is>
      </c>
      <c r="C7" s="5" t="inlineStr">
        <is>
          <t>山东海天生物化工纯碱装置（昌邑下营）</t>
        </is>
      </c>
      <c r="D7" s="5" t="inlineStr">
        <is>
          <t>山东</t>
        </is>
      </c>
      <c r="E7" s="5" t="inlineStr">
        <is>
          <t>潍坊</t>
        </is>
      </c>
      <c r="F7" s="16" t="n">
        <v>119.5646</v>
      </c>
      <c r="G7" s="16" t="n">
        <v>37.0075</v>
      </c>
      <c r="H7" s="5" t="inlineStr">
        <is>
          <t>县级</t>
        </is>
      </c>
      <c r="I7" s="5" t="inlineStr">
        <is>
          <t>地图地名库</t>
        </is>
      </c>
      <c r="J7" s="5" t="inlineStr">
        <is>
          <t>否</t>
        </is>
      </c>
      <c r="K7" s="5" t="inlineStr">
        <is>
          <t>昌邑滨海（下营）经济开发区 昌邑下营化工产业园，公司现有厂区内（环评公示建设地址）</t>
        </is>
      </c>
      <c r="L7" s="5" t="inlineStr">
        <is>
          <t>待办：150 万吨口径的构成（二期扩建环评批复）；工艺的 A 级来源（排污许可证）；2026 年是否有部分装置长期停车（仅股吧转述，C 级）</t>
        </is>
      </c>
    </row>
    <row r="8" ht="32" customHeight="1">
      <c r="A8" s="14" t="inlineStr">
        <is>
          <t>sd-qdjy</t>
        </is>
      </c>
      <c r="B8" s="14" t="inlineStr">
        <is>
          <t>青岛碱业发展有限公司</t>
        </is>
      </c>
      <c r="C8" s="14" t="inlineStr">
        <is>
          <t>青岛碱业老厂区纯碱厂（已停产）</t>
        </is>
      </c>
      <c r="D8" s="14" t="inlineStr">
        <is>
          <t>山东</t>
        </is>
      </c>
      <c r="E8" s="14" t="inlineStr">
        <is>
          <t>青岛</t>
        </is>
      </c>
      <c r="F8" s="17" t="inlineStr">
        <is>
          <t>—</t>
        </is>
      </c>
      <c r="G8" s="17" t="inlineStr">
        <is>
          <t>—</t>
        </is>
      </c>
      <c r="H8" s="14" t="inlineStr">
        <is>
          <t>市级</t>
        </is>
      </c>
      <c r="I8" s="14" t="inlineStr">
        <is>
          <t>未核实</t>
        </is>
      </c>
      <c r="J8" s="14" t="inlineStr">
        <is>
          <t>否</t>
        </is>
      </c>
      <c r="K8" s="14" t="inlineStr">
        <is>
          <t>青岛市李沧区四流北路 78 号（娄山后工业区）</t>
        </is>
      </c>
      <c r="L8" s="14" t="inlineStr">
        <is>
          <t>待办：关停当年实际在产产能；老厂区土地权属与再开发</t>
        </is>
      </c>
    </row>
    <row r="9" ht="32" customHeight="1">
      <c r="A9" s="5" t="inlineStr">
        <is>
          <t>sd-yaxing</t>
        </is>
      </c>
      <c r="B9" s="5" t="inlineStr">
        <is>
          <t>潍坊亚星化学股份有限公司</t>
        </is>
      </c>
      <c r="C9" s="5" t="inlineStr">
        <is>
          <t>潍坊亚星化学（寒亭原厂区，已停产）</t>
        </is>
      </c>
      <c r="D9" s="5" t="inlineStr">
        <is>
          <t>山东</t>
        </is>
      </c>
      <c r="E9" s="5" t="inlineStr">
        <is>
          <t>潍坊</t>
        </is>
      </c>
      <c r="F9" s="16" t="inlineStr">
        <is>
          <t>—</t>
        </is>
      </c>
      <c r="G9" s="16" t="inlineStr">
        <is>
          <t>—</t>
        </is>
      </c>
      <c r="H9" s="5" t="inlineStr">
        <is>
          <t>市级</t>
        </is>
      </c>
      <c r="I9" s="5" t="inlineStr">
        <is>
          <t>未核实</t>
        </is>
      </c>
      <c r="J9" s="5" t="inlineStr">
        <is>
          <t>否</t>
        </is>
      </c>
      <c r="K9" s="5" t="inlineStr">
        <is>
          <t>潍坊市寒亭区原生产厂区（2019-10-31 起全面停产搬迁）</t>
        </is>
      </c>
      <c r="L9" s="5" t="inlineStr">
        <is>
          <t>待办：历史上是否曾有联碱装置</t>
        </is>
      </c>
    </row>
    <row r="10" ht="32" customHeight="1">
      <c r="A10" s="14" t="inlineStr">
        <is>
          <t>sd-xinlong</t>
        </is>
      </c>
      <c r="B10" s="14" t="inlineStr">
        <is>
          <t>山东新龙科技股份有限公司（新龙集团）</t>
        </is>
      </c>
      <c r="C10" s="14" t="inlineStr">
        <is>
          <t>山东新龙集团田柳精细化工园厂区</t>
        </is>
      </c>
      <c r="D10" s="14" t="inlineStr">
        <is>
          <t>山东</t>
        </is>
      </c>
      <c r="E10" s="14" t="inlineStr">
        <is>
          <t>潍坊</t>
        </is>
      </c>
      <c r="F10" s="17" t="inlineStr">
        <is>
          <t>—</t>
        </is>
      </c>
      <c r="G10" s="17" t="inlineStr">
        <is>
          <t>—</t>
        </is>
      </c>
      <c r="H10" s="14" t="inlineStr">
        <is>
          <t>市级</t>
        </is>
      </c>
      <c r="I10" s="14" t="inlineStr">
        <is>
          <t>未核实</t>
        </is>
      </c>
      <c r="J10" s="14" t="inlineStr">
        <is>
          <t>否</t>
        </is>
      </c>
      <c r="K10" s="14" t="inlineStr">
        <is>
          <t>山东省寿光市田柳镇新龙工业园（田柳精细化工园）</t>
        </is>
      </c>
      <c r="L10" s="14" t="inlineStr">
        <is>
          <t>待办：向寿光工信/应急部门核产品与产能清单作最终排除</t>
        </is>
      </c>
    </row>
    <row r="11" ht="32" customHeight="1">
      <c r="A11" s="5" t="inlineStr">
        <is>
          <t>sd-luxi</t>
        </is>
      </c>
      <c r="B11" s="5" t="inlineStr">
        <is>
          <t>鲁西化工集团股份有限公司</t>
        </is>
      </c>
      <c r="C11" s="5" t="inlineStr">
        <is>
          <t>鲁西化工（聊城化工新材料产业园）</t>
        </is>
      </c>
      <c r="D11" s="5" t="inlineStr">
        <is>
          <t>山东</t>
        </is>
      </c>
      <c r="E11" s="5" t="inlineStr">
        <is>
          <t>聊城</t>
        </is>
      </c>
      <c r="F11" s="16" t="inlineStr">
        <is>
          <t>—</t>
        </is>
      </c>
      <c r="G11" s="16" t="inlineStr">
        <is>
          <t>—</t>
        </is>
      </c>
      <c r="H11" s="5" t="inlineStr">
        <is>
          <t>市级</t>
        </is>
      </c>
      <c r="I11" s="5" t="inlineStr">
        <is>
          <t>未核实</t>
        </is>
      </c>
      <c r="J11" s="5" t="inlineStr">
        <is>
          <t>否</t>
        </is>
      </c>
      <c r="K11" s="5" t="inlineStr">
        <is>
          <t>聊城市高新技术产业开发区化工产业园</t>
        </is>
      </c>
      <c r="L11" s="5" t="inlineStr">
        <is>
          <t>待办：以年报主要产品产能表最终确认</t>
        </is>
      </c>
    </row>
    <row r="12" ht="32" customHeight="1">
      <c r="A12" s="14" t="inlineStr">
        <is>
          <t>sd-dezhou</t>
        </is>
      </c>
      <c r="B12" s="14" t="inlineStr">
        <is>
          <t>德州实华化工有限公司</t>
        </is>
      </c>
      <c r="C12" s="14" t="inlineStr">
        <is>
          <t>德州实华化工（天衢工业园）</t>
        </is>
      </c>
      <c r="D12" s="14" t="inlineStr">
        <is>
          <t>山东</t>
        </is>
      </c>
      <c r="E12" s="14" t="inlineStr">
        <is>
          <t>德州</t>
        </is>
      </c>
      <c r="F12" s="17" t="inlineStr">
        <is>
          <t>—</t>
        </is>
      </c>
      <c r="G12" s="17" t="inlineStr">
        <is>
          <t>—</t>
        </is>
      </c>
      <c r="H12" s="14" t="inlineStr">
        <is>
          <t>市级</t>
        </is>
      </c>
      <c r="I12" s="14" t="inlineStr">
        <is>
          <t>未核实</t>
        </is>
      </c>
      <c r="J12" s="14" t="inlineStr">
        <is>
          <t>否</t>
        </is>
      </c>
      <c r="K12" s="14" t="inlineStr">
        <is>
          <t>山东省德州市德城区天衢工业园实华南路 6 号</t>
        </is>
      </c>
      <c r="L12" s="14" t="inlineStr">
        <is>
          <t>待办：以排污许可证许可工艺排除</t>
        </is>
      </c>
    </row>
    <row r="13" ht="48" customHeight="1">
      <c r="A13" s="5" t="inlineStr">
        <is>
          <t>sd-trade-haihua</t>
        </is>
      </c>
      <c r="B13" s="5" t="inlineStr">
        <is>
          <t>山东海化股份有限公司</t>
        </is>
      </c>
      <c r="C13" s="5" t="inlineStr">
        <is>
          <t>海化销售体系（厂库直销 + 郑商所指定交割厂库 2119）</t>
        </is>
      </c>
      <c r="D13" s="5" t="inlineStr">
        <is>
          <t>山东</t>
        </is>
      </c>
      <c r="E13" s="5" t="inlineStr">
        <is>
          <t>潍坊</t>
        </is>
      </c>
      <c r="F13" s="16" t="n">
        <v>119.0246</v>
      </c>
      <c r="G13" s="16" t="n">
        <v>37.1318</v>
      </c>
      <c r="H13" s="5" t="inlineStr">
        <is>
          <t>精确</t>
        </is>
      </c>
      <c r="I13" s="5" t="inlineStr">
        <is>
          <t>地图地名库</t>
        </is>
      </c>
      <c r="J13" s="5" t="inlineStr">
        <is>
          <t>是</t>
        </is>
      </c>
      <c r="K13" s="5" t="inlineStr">
        <is>
          <t>潍坊市滨海经济技术开发区沂河大街 014201 号</t>
        </is>
      </c>
      <c r="L13" s="5" t="inlineStr">
        <is>
          <t>待办：仓单注册量与流向</t>
        </is>
      </c>
    </row>
    <row r="15">
      <c r="A15" s="3" t="inlineStr">
        <is>
          <t>说明与口径</t>
        </is>
      </c>
    </row>
    <row r="16" ht="15" customHeight="1">
      <c r="A16" s="15" t="inlineStr">
        <is>
          <t>· 精度分级：精确（厂区/园区内具体点位，来源可点击）；园区级（园区管委会公开位置）；县级（县级地名）；市级（城市中心）。</t>
        </is>
      </c>
    </row>
    <row r="17" ht="15" customHeight="1">
      <c r="A17" s="15" t="inlineStr">
        <is>
          <t>· 坐标来源必须写明：企业官网 / 政府公示 / 园区公开资料 / 新闻报道 / 地图地名库 / 人工核对 / 未核实。</t>
        </is>
      </c>
    </row>
    <row r="18" ht="15" customHeight="1">
      <c r="A18" s="15" t="inlineStr">
        <is>
          <t>· 禁止：用集团总部地址、写字楼地址、城市中心坐标冒充装置位置；同一坐标被 3 个以上站点共用时须说明原因。</t>
        </is>
      </c>
    </row>
    <row r="19" ht="15" customHeight="1">
      <c r="A19" s="15" t="inlineStr">
        <is>
          <t>· 校验脚本 validate.py 会对“精确点位 + 总部类地址字样”“坐标越界”“同名重复站点”报警。</t>
        </is>
      </c>
    </row>
  </sheetData>
  <autoFilter ref="A4:L13"/>
  <mergeCells count="6">
    <mergeCell ref="A2:L2"/>
    <mergeCell ref="A16:L16"/>
    <mergeCell ref="A19:L19"/>
    <mergeCell ref="A1:L1"/>
    <mergeCell ref="A17:L17"/>
    <mergeCell ref="A18:L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24" customWidth="1" min="9" max="9"/>
    <col width="26" customWidth="1" min="10" max="10"/>
    <col width="34" customWidth="1" min="11" max="11"/>
    <col width="14" customWidth="1" min="12" max="12"/>
    <col width="30" customWidth="1" min="13" max="13"/>
    <col width="40" customWidth="1" min="14" max="14"/>
    <col width="9" customWidth="1" min="15" max="15"/>
    <col width="26" customWidth="1" min="16" max="16"/>
  </cols>
  <sheetData>
    <row r="1" ht="26" customHeight="1">
      <c r="A1" s="11" t="inlineStr">
        <is>
          <t>化工园区与产业配套</t>
        </is>
      </c>
    </row>
    <row r="2" ht="16" customHeight="1">
      <c r="A2" s="12" t="inlineStr">
        <is>
          <t>园区是企业的容器，不是企业本身：园区内企业数只统计表 02 中已核实落位的厂区；没有名单就写“未核实”。</t>
        </is>
      </c>
    </row>
    <row r="4" ht="30" customHeight="1">
      <c r="A4" s="13" t="inlineStr">
        <is>
          <t>园区ID</t>
        </is>
      </c>
      <c r="B4" s="13" t="inlineStr">
        <is>
          <t>园区名称</t>
        </is>
      </c>
      <c r="C4" s="13" t="inlineStr">
        <is>
          <t>级别</t>
        </is>
      </c>
      <c r="D4" s="13" t="inlineStr">
        <is>
          <t>省</t>
        </is>
      </c>
      <c r="E4" s="13" t="inlineStr">
        <is>
          <t>市</t>
        </is>
      </c>
      <c r="F4" s="13" t="inlineStr">
        <is>
          <t>县/区</t>
        </is>
      </c>
      <c r="G4" s="13" t="inlineStr">
        <is>
          <t>经度</t>
        </is>
      </c>
      <c r="H4" s="13" t="inlineStr">
        <is>
          <t>纬度</t>
        </is>
      </c>
      <c r="I4" s="13" t="inlineStr">
        <is>
          <t>坐标依据</t>
        </is>
      </c>
      <c r="J4" s="13" t="inlineStr">
        <is>
          <t>主导产业</t>
        </is>
      </c>
      <c r="K4" s="13" t="inlineStr">
        <is>
          <t>与本品种的关系</t>
        </is>
      </c>
      <c r="L4" s="13" t="inlineStr">
        <is>
          <t>已核实落位厂区(个)</t>
        </is>
      </c>
      <c r="M4" s="13" t="inlineStr">
        <is>
          <t>落位企业</t>
        </is>
      </c>
      <c r="N4" s="13" t="inlineStr">
        <is>
          <t>可查到的产业配套</t>
        </is>
      </c>
      <c r="O4" s="13" t="inlineStr">
        <is>
          <t>证据等级</t>
        </is>
      </c>
      <c r="P4" s="13" t="inlineStr">
        <is>
          <t>来源</t>
        </is>
      </c>
    </row>
    <row r="5" ht="96" customHeight="1">
      <c r="A5" s="5" t="inlineStr">
        <is>
          <t>park-wfbinhai</t>
        </is>
      </c>
      <c r="B5" s="5" t="inlineStr">
        <is>
          <t>潍坊滨海化工产业园（滨海经开区绿色化工园）</t>
        </is>
      </c>
      <c r="C5" s="5" t="inlineStr">
        <is>
          <t>省级</t>
        </is>
      </c>
      <c r="D5" s="5" t="inlineStr">
        <is>
          <t>山东省</t>
        </is>
      </c>
      <c r="E5" s="5" t="inlineStr">
        <is>
          <t>潍坊市</t>
        </is>
      </c>
      <c r="F5" s="5" t="inlineStr">
        <is>
          <t>滨海经济技术开发区</t>
        </is>
      </c>
      <c r="G5" s="16" t="n">
        <v>119.02</v>
      </c>
      <c r="H5" s="16" t="n">
        <v>37.13</v>
      </c>
      <c r="I5" s="5" t="inlineStr">
        <is>
          <t>园区无 OSM 面；周边 landuse=industrial 企业群：海化纯碱厂 119.0246/37.1318、氯化钙厂 119.0282/37.1242、热力电力分公司 119.0290/37.1303、石化公司 119.0399/37.1309、瑞海化工 119.0712/37.1273</t>
        </is>
      </c>
      <c r="J5" s="5" t="inlineStr">
        <is>
          <t>盐化工/纯碱 / 石油化工 / 溴素 / 氯碱 / 新材料</t>
        </is>
      </c>
      <c r="K5" s="5" t="inlineStr">
        <is>
          <t>山东海化纯碱厂（280 万吨/年氨碱）与小苏打厂所在园区；盐-碱-氯-溴一体化，共用蒸汽、电力、铁路与渣场。</t>
        </is>
      </c>
      <c r="L5" s="16" t="n">
        <v>3</v>
      </c>
      <c r="M5" s="5" t="inlineStr">
        <is>
          <t>山东海化股份有限公司</t>
        </is>
      </c>
      <c r="N5" s="5" t="inlineStr">
        <is>
          <t>益羊铁路大家洼站接轨胶济线（距厂约 5 km 专用线）；海化集团自有铁运/热电/动力分公司，蒸汽电力自供；毗邻潍坊港中港区（综合通过能力 799 万吨，装卸清单含纯碱）；周边羊口盐田与地下卤水井（持卤水/溴采矿许可证）；2026 年鲁政字〔2026〕86 号批复扩区，一园三区，扩区后 56.30 km2</t>
        </is>
      </c>
      <c r="O5" s="5" t="inlineStr">
        <is>
          <t>A</t>
        </is>
      </c>
      <c r="P5" s="5" t="inlineStr">
        <is>
          <t>S16 潍坊滨海经济技术开发区管委会；S2 山东海化股份有限公司官网；S8 山东海化股份有限公司官网</t>
        </is>
      </c>
    </row>
    <row r="6" ht="80" customHeight="1">
      <c r="A6" s="14" t="inlineStr">
        <is>
          <t>park-xiaying</t>
        </is>
      </c>
      <c r="B6" s="14" t="inlineStr">
        <is>
          <t>昌邑下营化工产业园（昌邑滨海经济开发区）</t>
        </is>
      </c>
      <c r="C6" s="14" t="inlineStr">
        <is>
          <t>省级</t>
        </is>
      </c>
      <c r="D6" s="14" t="inlineStr">
        <is>
          <t>山东省</t>
        </is>
      </c>
      <c r="E6" s="14" t="inlineStr">
        <is>
          <t>潍坊市</t>
        </is>
      </c>
      <c r="F6" s="14" t="inlineStr">
        <is>
          <t>昌邑市下营镇</t>
        </is>
      </c>
      <c r="G6" s="17" t="n">
        <v>119.558</v>
      </c>
      <c r="H6" s="17" t="n">
        <v>37.018</v>
      </c>
      <c r="I6" s="14" t="inlineStr">
        <is>
          <t>以 Overpass「下营化工产业园特勤消防站」与「昌邑市下营镇人民政府」（119.4772E/37.0663N）为核心取园区中心</t>
        </is>
      </c>
      <c r="J6" s="14" t="inlineStr">
        <is>
          <t>盐化工/纯碱 / 溴素 / 化工新材料</t>
        </is>
      </c>
      <c r="K6" s="14" t="inlineStr">
        <is>
          <t>山东海天生物化工 150 万吨/年纯碱装置所在园区，产品部分配套金晶山东玻璃产线。</t>
        </is>
      </c>
      <c r="L6" s="17" t="n">
        <v>1</v>
      </c>
      <c r="M6" s="14" t="inlineStr">
        <is>
          <t>山东海天生物化工有限公司</t>
        </is>
      </c>
      <c r="N6" s="14" t="inlineStr">
        <is>
          <t>临渤海莱州湾，地下卤水含盐为海水 2-3 倍（海天选址原因）；潍坊港东港区为最近出海口；盐田与卤水井配套</t>
        </is>
      </c>
      <c r="O6" s="14" t="inlineStr">
        <is>
          <t>B</t>
        </is>
      </c>
      <c r="P6" s="14" t="inlineStr">
        <is>
          <t>S9 山东金晶科技股份有限公司（600586）；S10 山东金晶科技股份有限公司</t>
        </is>
      </c>
    </row>
    <row r="7" ht="48" customHeight="1">
      <c r="A7" s="5" t="inlineStr">
        <is>
          <t>park-yangkou</t>
        </is>
      </c>
      <c r="B7" s="5" t="inlineStr">
        <is>
          <t>寿光羊口化工产业园</t>
        </is>
      </c>
      <c r="C7" s="5" t="inlineStr">
        <is>
          <t>省级</t>
        </is>
      </c>
      <c r="D7" s="5" t="inlineStr">
        <is>
          <t>山东省</t>
        </is>
      </c>
      <c r="E7" s="5" t="inlineStr">
        <is>
          <t>潍坊市</t>
        </is>
      </c>
      <c r="F7" s="5" t="inlineStr">
        <is>
          <t>寿光市羊口镇</t>
        </is>
      </c>
      <c r="G7" s="16" t="n">
        <v>118.8156</v>
      </c>
      <c r="H7" s="16" t="n">
        <v>37.1895</v>
      </c>
      <c r="I7" s="5" t="inlineStr">
        <is>
          <t>OSM node 「寿光羊口化工产业园」place=suburb 118.8156E/37.1895N</t>
        </is>
      </c>
      <c r="J7" s="5" t="inlineStr">
        <is>
          <t>盐化工 / 石油化工</t>
        </is>
      </c>
      <c r="K7" s="5" t="inlineStr">
        <is>
          <t>原盐-盐化工集聚区，园区本身未见纯碱装置；与纯碱的关系在原料侧。</t>
        </is>
      </c>
      <c r="L7" s="16" t="n">
        <v>0</v>
      </c>
      <c r="M7" s="5" t="inlineStr">
        <is>
          <t>未核实</t>
        </is>
      </c>
      <c r="N7" s="5" t="inlineStr">
        <is>
          <t>规划面积 19.84 km2；菜央子盐场等原盐产能</t>
        </is>
      </c>
      <c r="O7" s="5" t="inlineStr">
        <is>
          <t>B</t>
        </is>
      </c>
      <c r="P7" s="5" t="inlineStr">
        <is>
          <t>—</t>
        </is>
      </c>
    </row>
    <row r="8" ht="48" customHeight="1">
      <c r="A8" s="14" t="inlineStr">
        <is>
          <t>park-houzhen</t>
        </is>
      </c>
      <c r="B8" s="14" t="inlineStr">
        <is>
          <t>寿光侯镇化工产业园</t>
        </is>
      </c>
      <c r="C8" s="14" t="inlineStr">
        <is>
          <t>省级</t>
        </is>
      </c>
      <c r="D8" s="14" t="inlineStr">
        <is>
          <t>山东省</t>
        </is>
      </c>
      <c r="E8" s="14" t="inlineStr">
        <is>
          <t>潍坊市</t>
        </is>
      </c>
      <c r="F8" s="14" t="inlineStr">
        <is>
          <t>寿光市</t>
        </is>
      </c>
      <c r="G8" s="17" t="n">
        <v>119.0328</v>
      </c>
      <c r="H8" s="17" t="n">
        <v>37.0407</v>
      </c>
      <c r="I8" s="14" t="inlineStr">
        <is>
          <t>OSM node 「寿光侯镇化工产业园」place=suburb 119.0328E/37.0407N</t>
        </is>
      </c>
      <c r="J8" s="14" t="inlineStr">
        <is>
          <t>盐化工 / 化肥化工</t>
        </is>
      </c>
      <c r="K8" s="14" t="inlineStr">
        <is>
          <t>盐化工/化肥型园区（大地盐化、联盟化工），间接关联原盐与氯化铵/复合肥体系。</t>
        </is>
      </c>
      <c r="L8" s="17" t="n">
        <v>0</v>
      </c>
      <c r="M8" s="14" t="inlineStr">
        <is>
          <t>未核实</t>
        </is>
      </c>
      <c r="N8" s="14" t="inlineStr">
        <is>
          <t>规划面积 29.41 km2；2025 年入选赛迪化工园区综合竞争力百强</t>
        </is>
      </c>
      <c r="O8" s="14" t="inlineStr">
        <is>
          <t>C</t>
        </is>
      </c>
      <c r="P8" s="14" t="inlineStr">
        <is>
          <t>—</t>
        </is>
      </c>
    </row>
    <row r="9" ht="48" customHeight="1">
      <c r="A9" s="5" t="inlineStr">
        <is>
          <t>park-gaomi</t>
        </is>
      </c>
      <c r="B9" s="5" t="inlineStr">
        <is>
          <t>高密仁和化工产业园</t>
        </is>
      </c>
      <c r="C9" s="5" t="inlineStr">
        <is>
          <t>省级</t>
        </is>
      </c>
      <c r="D9" s="5" t="inlineStr">
        <is>
          <t>山东省</t>
        </is>
      </c>
      <c r="E9" s="5" t="inlineStr">
        <is>
          <t>潍坊市</t>
        </is>
      </c>
      <c r="F9" s="5" t="inlineStr">
        <is>
          <t>高密市</t>
        </is>
      </c>
      <c r="G9" s="16" t="n">
        <v>119.7591</v>
      </c>
      <c r="H9" s="16" t="n">
        <v>36.4308</v>
      </c>
      <c r="I9" s="5" t="inlineStr">
        <is>
          <t>OSM way「仁和化工园区特勤消防站」36.4308N/119.7591E（高密境内）</t>
        </is>
      </c>
      <c r="J9" s="5" t="inlineStr">
        <is>
          <t>精细化工</t>
        </is>
      </c>
      <c r="K9" s="5" t="inlineStr">
        <is>
          <t>未查到与纯碱直接相关装置，属线索性覆盖对象。</t>
        </is>
      </c>
      <c r="L9" s="16" t="n">
        <v>0</v>
      </c>
      <c r="M9" s="5" t="inlineStr">
        <is>
          <t>未核实</t>
        </is>
      </c>
      <c r="N9" s="5" t="inlineStr">
        <is>
          <t>面积 7.8 km2</t>
        </is>
      </c>
      <c r="O9" s="5" t="inlineStr">
        <is>
          <t>C</t>
        </is>
      </c>
      <c r="P9" s="5" t="inlineStr">
        <is>
          <t>—</t>
        </is>
      </c>
    </row>
    <row r="10" ht="64" customHeight="1">
      <c r="A10" s="14" t="inlineStr">
        <is>
          <t>park-qilu</t>
        </is>
      </c>
      <c r="B10" s="14" t="inlineStr">
        <is>
          <t>齐鲁化学工业区</t>
        </is>
      </c>
      <c r="C10" s="14" t="inlineStr">
        <is>
          <t>省级</t>
        </is>
      </c>
      <c r="D10" s="14" t="inlineStr">
        <is>
          <t>山东省</t>
        </is>
      </c>
      <c r="E10" s="14" t="inlineStr">
        <is>
          <t>淄博市</t>
        </is>
      </c>
      <c r="F10" s="14" t="inlineStr">
        <is>
          <t>临淄区</t>
        </is>
      </c>
      <c r="G10" s="17" t="n">
        <v>118.2</v>
      </c>
      <c r="H10" s="17" t="n">
        <v>36.77</v>
      </c>
      <c r="I10" s="14" t="inlineStr">
        <is>
          <t>无园区面；按 OSM 齐鲁石化厂区群（氯碱厂 118.1883E/36.7778N、烯烃厂等）取中心</t>
        </is>
      </c>
      <c r="J10" s="14" t="inlineStr">
        <is>
          <t>石油化工 / 氯碱 / 煤化工</t>
        </is>
      </c>
      <c r="K10" s="14" t="inlineStr">
        <is>
          <t>淄博日用/药用玻璃产区的化工配套区；园区本身非纯碱产地，是纯碱下游承载与物流枢纽。</t>
        </is>
      </c>
      <c r="L10" s="17" t="n">
        <v>0</v>
      </c>
      <c r="M10" s="14" t="inlineStr">
        <is>
          <t>未核实</t>
        </is>
      </c>
      <c r="N10" s="14" t="inlineStr">
        <is>
          <t>核准规划面积 1000 公顷；三化合一（石化/氯碱/煤化工）</t>
        </is>
      </c>
      <c r="O10" s="14" t="inlineStr">
        <is>
          <t>B</t>
        </is>
      </c>
      <c r="P10" s="14" t="inlineStr">
        <is>
          <t>—</t>
        </is>
      </c>
    </row>
    <row r="11" ht="64" customHeight="1">
      <c r="A11" s="5" t="inlineStr">
        <is>
          <t>park-dongying</t>
        </is>
      </c>
      <c r="B11" s="5" t="inlineStr">
        <is>
          <t>东营港化工产业园</t>
        </is>
      </c>
      <c r="C11" s="5" t="inlineStr">
        <is>
          <t>省级</t>
        </is>
      </c>
      <c r="D11" s="5" t="inlineStr">
        <is>
          <t>山东省</t>
        </is>
      </c>
      <c r="E11" s="5" t="inlineStr">
        <is>
          <t>东营市</t>
        </is>
      </c>
      <c r="F11" s="5" t="inlineStr">
        <is>
          <t>河口区 / 东营港经济开发区</t>
        </is>
      </c>
      <c r="G11" s="16" t="n">
        <v>118.876</v>
      </c>
      <c r="H11" s="16" t="n">
        <v>38.085</v>
      </c>
      <c r="I11" s="5" t="inlineStr">
        <is>
          <t>东营港经济开发区内 landuse=industrial 企业群（海科瑞林等约 40 家）中心</t>
        </is>
      </c>
      <c r="J11" s="5" t="inlineStr">
        <is>
          <t>石油化工 / 盐化工</t>
        </is>
      </c>
      <c r="K11" s="5" t="inlineStr">
        <is>
          <t>港口型园区，原盐/纯碱/煤炭海运集散；东营为山东地下卤水与盐田另一主产区。</t>
        </is>
      </c>
      <c r="L11" s="16" t="n">
        <v>0</v>
      </c>
      <c r="M11" s="5" t="inlineStr">
        <is>
          <t>未核实</t>
        </is>
      </c>
      <c r="N11" s="5" t="inlineStr">
        <is>
          <t>批复面积 35.85 km2；依托东营港液体化工码头</t>
        </is>
      </c>
      <c r="O11" s="5" t="inlineStr">
        <is>
          <t>B</t>
        </is>
      </c>
      <c r="P11" s="5" t="inlineStr">
        <is>
          <t>—</t>
        </is>
      </c>
    </row>
    <row r="12" ht="64" customHeight="1">
      <c r="A12" s="14" t="inlineStr">
        <is>
          <t>park-binzhou</t>
        </is>
      </c>
      <c r="B12" s="14" t="inlineStr">
        <is>
          <t>滨州临港化工产业园（含鲁北化工园）</t>
        </is>
      </c>
      <c r="C12" s="14" t="inlineStr">
        <is>
          <t>省级</t>
        </is>
      </c>
      <c r="D12" s="14" t="inlineStr">
        <is>
          <t>山东省</t>
        </is>
      </c>
      <c r="E12" s="14" t="inlineStr">
        <is>
          <t>滨州市</t>
        </is>
      </c>
      <c r="F12" s="14" t="inlineStr">
        <is>
          <t>无棣县 / 沾化区</t>
        </is>
      </c>
      <c r="G12" s="17" t="n">
        <v>118.1245</v>
      </c>
      <c r="H12" s="17" t="n">
        <v>38.296</v>
      </c>
      <c r="I12" s="14" t="inlineStr">
        <is>
          <t>OSM way「山东鲁北化工股份有限公司」117.751E/38.0909N 与无名工业地块群取中心</t>
        </is>
      </c>
      <c r="J12" s="14" t="inlineStr">
        <is>
          <t>海洋化工 / 硫磷化工</t>
        </is>
      </c>
      <c r="K12" s="14" t="inlineStr">
        <is>
          <t>鲁北盐化工（原盐、溴素）体系；鲁北化工园海洋化工-硫磷化工链条受纯碱需求影响。</t>
        </is>
      </c>
      <c r="L12" s="17" t="n">
        <v>0</v>
      </c>
      <c r="M12" s="14" t="inlineStr">
        <is>
          <t>未核实</t>
        </is>
      </c>
      <c r="N12" s="14" t="inlineStr">
        <is>
          <t>规划面积 12.57 km2（鲁北化工园 10.9 km2）</t>
        </is>
      </c>
      <c r="O12" s="14" t="inlineStr">
        <is>
          <t>C</t>
        </is>
      </c>
      <c r="P12" s="14" t="inlineStr">
        <is>
          <t>—</t>
        </is>
      </c>
    </row>
    <row r="13" ht="48" customHeight="1">
      <c r="A13" s="5" t="inlineStr">
        <is>
          <t>park-juye</t>
        </is>
      </c>
      <c r="B13" s="5" t="inlineStr">
        <is>
          <t>巨野化工产业园</t>
        </is>
      </c>
      <c r="C13" s="5" t="inlineStr">
        <is>
          <t>省级</t>
        </is>
      </c>
      <c r="D13" s="5" t="inlineStr">
        <is>
          <t>山东省</t>
        </is>
      </c>
      <c r="E13" s="5" t="inlineStr">
        <is>
          <t>菏泽市</t>
        </is>
      </c>
      <c r="F13" s="5" t="inlineStr">
        <is>
          <t>巨野县</t>
        </is>
      </c>
      <c r="G13" s="16" t="n">
        <v>116.273</v>
      </c>
      <c r="H13" s="16" t="n">
        <v>35.355</v>
      </c>
      <c r="I13" s="5" t="inlineStr">
        <is>
          <t>巨野县城东成片 landuse=industrial 地块群中心</t>
        </is>
      </c>
      <c r="J13" s="5" t="inlineStr">
        <is>
          <t>煤化工 / 玻璃配套化工</t>
        </is>
      </c>
      <c r="K13" s="5" t="inlineStr">
        <is>
          <t>巨野为山东浮法玻璃重要产区（巨润四条 700t/d），园区是耗碱下游的化工承载区。</t>
        </is>
      </c>
      <c r="L13" s="16" t="n">
        <v>0</v>
      </c>
      <c r="M13" s="5" t="inlineStr">
        <is>
          <t>未核实</t>
        </is>
      </c>
      <c r="N13" s="5" t="inlineStr">
        <is>
          <t>规划面积 14.29 km2；邻近郓城化工产业园（煤化工、焦炭、己二酸）</t>
        </is>
      </c>
      <c r="O13" s="5" t="inlineStr">
        <is>
          <t>C</t>
        </is>
      </c>
      <c r="P13" s="5" t="inlineStr">
        <is>
          <t>—</t>
        </is>
      </c>
    </row>
    <row r="14" ht="80" customHeight="1">
      <c r="A14" s="14" t="inlineStr">
        <is>
          <t>park-lunan</t>
        </is>
      </c>
      <c r="B14" s="14" t="inlineStr">
        <is>
          <t>鲁南高科技化工园区（滕州木石镇）</t>
        </is>
      </c>
      <c r="C14" s="14" t="inlineStr">
        <is>
          <t>省级</t>
        </is>
      </c>
      <c r="D14" s="14" t="inlineStr">
        <is>
          <t>山东省</t>
        </is>
      </c>
      <c r="E14" s="14" t="inlineStr">
        <is>
          <t>枣庄市</t>
        </is>
      </c>
      <c r="F14" s="14" t="inlineStr">
        <is>
          <t>滕州市</t>
        </is>
      </c>
      <c r="G14" s="17" t="n">
        <v>117.262</v>
      </c>
      <c r="H14" s="17" t="n">
        <v>34.98</v>
      </c>
      <c r="I14" s="14" t="inlineStr">
        <is>
          <t>木石镇化工企业群（新能凤凰 117.2583E/34.9741N、瑞达化工等）中心；木石镇政府 117.2638E/34.9847N</t>
        </is>
      </c>
      <c r="J14" s="14" t="inlineStr">
        <is>
          <t>煤化工 / 玻璃新材料</t>
        </is>
      </c>
      <c r="K14" s="14" t="inlineStr">
        <is>
          <t>滕州是山东玻璃核心产区（滕州金晶 2x600 + 2x800 t/d、玻璃新材料产业园 217 家企业），园区煤化工提供燃料与配套；纯碱需求端高度相关。</t>
        </is>
      </c>
      <c r="L14" s="17" t="n">
        <v>0</v>
      </c>
      <c r="M14" s="14" t="inlineStr">
        <is>
          <t>未核实</t>
        </is>
      </c>
      <c r="N14" s="14" t="inlineStr">
        <is>
          <t>规划面积 40 km2（化工区 27.7 km2）；山东省煤化工核心区</t>
        </is>
      </c>
      <c r="O14" s="14" t="inlineStr">
        <is>
          <t>B</t>
        </is>
      </c>
      <c r="P14" s="14" t="inlineStr">
        <is>
          <t>—</t>
        </is>
      </c>
    </row>
    <row r="15" ht="48" customHeight="1">
      <c r="A15" s="5" t="inlineStr">
        <is>
          <t>park-linyi</t>
        </is>
      </c>
      <c r="B15" s="5" t="inlineStr">
        <is>
          <t>临沂临沭 / 临港化工产业园</t>
        </is>
      </c>
      <c r="C15" s="5" t="inlineStr">
        <is>
          <t>省级</t>
        </is>
      </c>
      <c r="D15" s="5" t="inlineStr">
        <is>
          <t>山东省</t>
        </is>
      </c>
      <c r="E15" s="5" t="inlineStr">
        <is>
          <t>临沂市</t>
        </is>
      </c>
      <c r="F15" s="5" t="inlineStr">
        <is>
          <t>临沭县 / 临港区</t>
        </is>
      </c>
      <c r="G15" s="16" t="n">
        <v>118.76</v>
      </c>
      <c r="H15" s="16" t="n">
        <v>35.2</v>
      </c>
      <c r="I15" s="5" t="inlineStr">
        <is>
          <t>临沂临港经济开发区内无名 landuse=industrial 地块群中心（莒南县境内）</t>
        </is>
      </c>
      <c r="J15" s="5" t="inlineStr">
        <is>
          <t>复合肥 / 精细化工</t>
        </is>
      </c>
      <c r="K15" s="5" t="inlineStr">
        <is>
          <t>临沂是复合肥与氯化铵集散区，联碱副产氯化铵与当地复合肥体系存在替代/协同关系。</t>
        </is>
      </c>
      <c r="L15" s="16" t="n">
        <v>0</v>
      </c>
      <c r="M15" s="5" t="inlineStr">
        <is>
          <t>未核实</t>
        </is>
      </c>
      <c r="N15" s="5" t="inlineStr">
        <is>
          <t>临沭 14.98 km2；临港 16.58 km2；沂南密胺产业园（舜天化工液体无水氨 2.1 km2）</t>
        </is>
      </c>
      <c r="O15" s="5" t="inlineStr">
        <is>
          <t>C</t>
        </is>
      </c>
      <c r="P15" s="5" t="inlineStr">
        <is>
          <t>—</t>
        </is>
      </c>
    </row>
    <row r="17">
      <c r="A17" s="3" t="inlineStr">
        <is>
          <t>说明与口径</t>
        </is>
      </c>
    </row>
    <row r="18" ht="15" customHeight="1">
      <c r="A18" s="15" t="inlineStr">
        <is>
          <t>· 园区名单以政府公示的化工园区名录（省级认定名单）为准；未列入名录的“化工集聚区”单独标注级别为市级/集聚区。</t>
        </is>
      </c>
    </row>
    <row r="19" ht="15" customHeight="1">
      <c r="A19" s="15" t="inlineStr">
        <is>
          <t>· “已核实落位厂区”只数表 02 中明确写了 park_id 的站点，不从园区宣传页倒推。</t>
        </is>
      </c>
    </row>
  </sheetData>
  <autoFilter ref="A4:P15"/>
  <mergeCells count="4">
    <mergeCell ref="A1:P1"/>
    <mergeCell ref="A18:P18"/>
    <mergeCell ref="A19:P19"/>
    <mergeCell ref="A2:P2"/>
  </mergeCells>
  <conditionalFormatting sqref="L5:L15">
    <cfRule type="colorScale" priority="1">
      <colorScale>
        <cfvo type="min"/>
        <cfvo type="max"/>
        <color rgb="00FFFFFF"/>
        <color rgb="000E7C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9" customWidth="1" min="4" max="4"/>
    <col width="12" customWidth="1" min="5" max="5"/>
    <col width="24" customWidth="1" min="6" max="6"/>
    <col width="16" customWidth="1" min="7" max="7"/>
    <col width="8" customWidth="1" min="8" max="8"/>
    <col width="28" customWidth="1" min="9" max="9"/>
    <col width="28" customWidth="1" min="10" max="10"/>
    <col width="7" customWidth="1" min="11" max="11"/>
    <col width="26" customWidth="1" min="12" max="12"/>
  </cols>
  <sheetData>
    <row r="1" ht="26" customHeight="1">
      <c r="A1" s="11" t="inlineStr">
        <is>
          <t>厂区产能与工艺路线</t>
        </is>
      </c>
    </row>
    <row r="2" ht="16" customHeight="1">
      <c r="A2" s="12" t="inlineStr">
        <is>
          <t>产能一律抄原文并注明口径（设计/名义/实际）；工艺路线只能从公开资料确认，未确认写“未知”，不从产品结构反推。</t>
        </is>
      </c>
    </row>
    <row r="4" ht="30" customHeight="1">
      <c r="A4" s="13" t="inlineStr">
        <is>
          <t>企业</t>
        </is>
      </c>
      <c r="B4" s="13" t="inlineStr">
        <is>
          <t>厂区</t>
        </is>
      </c>
      <c r="C4" s="13" t="inlineStr">
        <is>
          <t>城市</t>
        </is>
      </c>
      <c r="D4" s="13" t="inlineStr">
        <is>
          <t>工艺</t>
        </is>
      </c>
      <c r="E4" s="13" t="inlineStr">
        <is>
          <t>产能(万吨/年)</t>
        </is>
      </c>
      <c r="F4" s="13" t="inlineStr">
        <is>
          <t>原文</t>
        </is>
      </c>
      <c r="G4" s="13" t="inlineStr">
        <is>
          <t>口径</t>
        </is>
      </c>
      <c r="H4" s="13" t="inlineStr">
        <is>
          <t>状态</t>
        </is>
      </c>
      <c r="I4" s="13" t="inlineStr">
        <is>
          <t>主要原料（已核实）</t>
        </is>
      </c>
      <c r="J4" s="13" t="inlineStr">
        <is>
          <t>主要去向（已核实）</t>
        </is>
      </c>
      <c r="K4" s="13" t="inlineStr">
        <is>
          <t>证据</t>
        </is>
      </c>
      <c r="L4" s="13" t="inlineStr">
        <is>
          <t>来源</t>
        </is>
      </c>
    </row>
    <row r="5" ht="96" customHeight="1">
      <c r="A5" s="5" t="inlineStr">
        <is>
          <t>山东海化股份有限公司</t>
        </is>
      </c>
      <c r="B5" s="5" t="inlineStr">
        <is>
          <t>山东海化纯碱厂（老线 120 + 新线 160）</t>
        </is>
      </c>
      <c r="C5" s="5" t="inlineStr">
        <is>
          <t>潍坊</t>
        </is>
      </c>
      <c r="D5" s="5" t="inlineStr">
        <is>
          <t>氨碱</t>
        </is>
      </c>
      <c r="E5" s="16" t="n">
        <v>280</v>
      </c>
      <c r="F5" s="5" t="inlineStr">
        <is>
          <t>年生产能力达 280 万吨（老线 120 万吨 + 新线 160 万吨）</t>
        </is>
      </c>
      <c r="G5" s="5" t="inlineStr">
        <is>
          <t>设计产能（年报"设计产能 280 万吨"，2025 年利用率 97.29%）</t>
        </is>
      </c>
      <c r="H5" s="5" t="inlineStr">
        <is>
          <t>在产</t>
        </is>
      </c>
      <c r="I5" s="5" t="inlineStr">
        <is>
          <t>原盐（自产 + 外购超 50%） / 石灰石（100% 外采） / 无烟煤</t>
        </is>
      </c>
      <c r="J5" s="5" t="inlineStr">
        <is>
          <t>浮法玻璃 / 日用玻璃 / 洗涤剂/硅酸钠 / 区外调拨</t>
        </is>
      </c>
      <c r="K5" s="5" t="inlineStr">
        <is>
          <t>A</t>
        </is>
      </c>
      <c r="L5" s="5" t="inlineStr">
        <is>
          <t>S2 山东海化股份有限公司官网；S1 山东海化股份有限公司（000822）；S31 中国证券报/证券之星（投资者关系问答）；S16 潍坊滨海经济技术开发区管委会</t>
        </is>
      </c>
    </row>
    <row r="6" ht="96" customHeight="1">
      <c r="A6" s="14" t="inlineStr">
        <is>
          <t>山东海天生物化工有限公司</t>
        </is>
      </c>
      <c r="B6" s="14" t="inlineStr">
        <is>
          <t>山东海天生物化工纯碱装置（昌邑下营）</t>
        </is>
      </c>
      <c r="C6" s="14" t="inlineStr">
        <is>
          <t>潍坊</t>
        </is>
      </c>
      <c r="D6" s="14" t="inlineStr">
        <is>
          <t>氨碱</t>
        </is>
      </c>
      <c r="E6" s="17" t="n">
        <v>150</v>
      </c>
      <c r="F6" s="14" t="inlineStr">
        <is>
          <t>年产能 150 万吨（金晶科技 2025 年报）；100 万吨/年纯碱工程（2008 年投产口径）</t>
        </is>
      </c>
      <c r="G6" s="14" t="inlineStr">
        <is>
          <t>在产名义产能 150 万吨/年（上市公司年报）；工程原文为"100 万吨/年纯碱工程"，差额 50 万吨未取得原文</t>
        </is>
      </c>
      <c r="H6" s="14" t="inlineStr">
        <is>
          <t>在产</t>
        </is>
      </c>
      <c r="I6" s="14" t="inlineStr">
        <is>
          <t>地下卤水/原盐 / 石灰石 / 合成氨</t>
        </is>
      </c>
      <c r="J6" s="14" t="inlineStr">
        <is>
          <t>金晶山东玻璃产线（配套自用） / 外销</t>
        </is>
      </c>
      <c r="K6" s="14" t="inlineStr">
        <is>
          <t>A</t>
        </is>
      </c>
      <c r="L6" s="14" t="inlineStr">
        <is>
          <t>S9 山东金晶科技股份有限公司（600586）；S10 山东金晶科技股份有限公司；S21 隆众资讯（Mysteel 能源化工）；S33 券商研报（2010-12-27）</t>
        </is>
      </c>
    </row>
    <row r="7" ht="48" customHeight="1">
      <c r="A7" s="5" t="inlineStr">
        <is>
          <t>山东海化股份有限公司</t>
        </is>
      </c>
      <c r="B7" s="5" t="inlineStr">
        <is>
          <t>山东海化小苏打厂（一/二车间）</t>
        </is>
      </c>
      <c r="C7" s="5" t="inlineStr">
        <is>
          <t>潍坊</t>
        </is>
      </c>
      <c r="D7" s="5" t="inlineStr">
        <is>
          <t>氨碱</t>
        </is>
      </c>
      <c r="E7" s="16" t="inlineStr">
        <is>
          <t>—</t>
        </is>
      </c>
      <c r="F7" s="5" t="inlineStr">
        <is>
          <t>现实际产量达到 80000 吨/年（占市场份额 3% 左右）</t>
        </is>
      </c>
      <c r="G7" s="5" t="inlineStr">
        <is>
          <t>实际产量口径（产品为碳酸氢钠，非纯碱）</t>
        </is>
      </c>
      <c r="H7" s="5" t="inlineStr">
        <is>
          <t>在产</t>
        </is>
      </c>
      <c r="I7" s="5" t="inlineStr">
        <is>
          <t>纯碱 / 二氧化碳</t>
        </is>
      </c>
      <c r="J7" s="5" t="inlineStr">
        <is>
          <t>食品/饲料添加剂 / 洗涤剂</t>
        </is>
      </c>
      <c r="K7" s="5" t="inlineStr">
        <is>
          <t>C</t>
        </is>
      </c>
      <c r="L7" s="5" t="inlineStr">
        <is>
          <t>S3 山东海化股份有限公司官网</t>
        </is>
      </c>
    </row>
    <row r="8" ht="48" customHeight="1">
      <c r="A8" s="14" t="inlineStr">
        <is>
          <t>青岛碱业发展有限公司</t>
        </is>
      </c>
      <c r="B8" s="14" t="inlineStr">
        <is>
          <t>青岛碱业老厂区纯碱厂（已停产）</t>
        </is>
      </c>
      <c r="C8" s="14" t="inlineStr">
        <is>
          <t>青岛</t>
        </is>
      </c>
      <c r="D8" s="14" t="inlineStr">
        <is>
          <t>氨碱</t>
        </is>
      </c>
      <c r="E8" s="17" t="inlineStr">
        <is>
          <t>—</t>
        </is>
      </c>
      <c r="F8" s="14" t="inlineStr">
        <is>
          <t>纯碱 80 万吨（山东省志工业志 2005 年口径）</t>
        </is>
      </c>
      <c r="G8" s="14" t="inlineStr">
        <is>
          <t>历史产能；2015-12-31 全面停产后不计入</t>
        </is>
      </c>
      <c r="H8" s="14" t="inlineStr">
        <is>
          <t>停产</t>
        </is>
      </c>
      <c r="I8" s="14" t="inlineStr">
        <is>
          <t>未核实</t>
        </is>
      </c>
      <c r="J8" s="14" t="inlineStr">
        <is>
          <t>未核实</t>
        </is>
      </c>
      <c r="K8" s="14" t="inlineStr">
        <is>
          <t>B</t>
        </is>
      </c>
      <c r="L8" s="14" t="inlineStr">
        <is>
          <t>—</t>
        </is>
      </c>
    </row>
    <row r="9" ht="48" customHeight="1">
      <c r="A9" s="5" t="inlineStr">
        <is>
          <t>潍坊亚星化学股份有限公司</t>
        </is>
      </c>
      <c r="B9" s="5" t="inlineStr">
        <is>
          <t>潍坊亚星化学（寒亭原厂区，已停产）</t>
        </is>
      </c>
      <c r="C9" s="5" t="inlineStr">
        <is>
          <t>潍坊</t>
        </is>
      </c>
      <c r="D9" s="5" t="inlineStr">
        <is>
          <t>未知</t>
        </is>
      </c>
      <c r="E9" s="16" t="inlineStr">
        <is>
          <t>—</t>
        </is>
      </c>
      <c r="F9" s="5" t="inlineStr">
        <is>
          <t>无纯碱装置（CPE、离子膜烧碱、水合肼、ADC 发泡剂）</t>
        </is>
      </c>
      <c r="G9" s="5" t="inlineStr">
        <is>
          <t>否证条目，不计入产能</t>
        </is>
      </c>
      <c r="H9" s="5" t="inlineStr">
        <is>
          <t>停产</t>
        </is>
      </c>
      <c r="I9" s="5" t="inlineStr">
        <is>
          <t>未核实</t>
        </is>
      </c>
      <c r="J9" s="5" t="inlineStr">
        <is>
          <t>未核实</t>
        </is>
      </c>
      <c r="K9" s="5" t="inlineStr">
        <is>
          <t>B</t>
        </is>
      </c>
      <c r="L9" s="5" t="inlineStr">
        <is>
          <t>S27 界面新闻</t>
        </is>
      </c>
    </row>
    <row r="10" ht="64" customHeight="1">
      <c r="A10" s="14" t="inlineStr">
        <is>
          <t>山东新龙科技股份有限公司（新龙集团）</t>
        </is>
      </c>
      <c r="B10" s="14" t="inlineStr">
        <is>
          <t>山东新龙集团田柳精细化工园厂区</t>
        </is>
      </c>
      <c r="C10" s="14" t="inlineStr">
        <is>
          <t>潍坊</t>
        </is>
      </c>
      <c r="D10" s="14" t="inlineStr">
        <is>
          <t>未知</t>
        </is>
      </c>
      <c r="E10" s="17" t="inlineStr">
        <is>
          <t>—</t>
        </is>
      </c>
      <c r="F10" s="14" t="inlineStr">
        <is>
          <t>无纯碱装置（烧碱、双氧水、三氯氢硅、PVC、山梨醇、过碳酸钠）</t>
        </is>
      </c>
      <c r="G10" s="14" t="inlineStr">
        <is>
          <t>否证条目，不计入产能</t>
        </is>
      </c>
      <c r="H10" s="14" t="inlineStr">
        <is>
          <t>在产</t>
        </is>
      </c>
      <c r="I10" s="14" t="inlineStr">
        <is>
          <t>未核实</t>
        </is>
      </c>
      <c r="J10" s="14" t="inlineStr">
        <is>
          <t>未核实</t>
        </is>
      </c>
      <c r="K10" s="14" t="inlineStr">
        <is>
          <t>A</t>
        </is>
      </c>
      <c r="L10" s="14" t="inlineStr">
        <is>
          <t>S28 山东新龙科技股份有限公司（新三板 873674）；S29 寿光市人民政府；S34 大众网·海报新闻</t>
        </is>
      </c>
    </row>
    <row r="11" ht="32" customHeight="1">
      <c r="A11" s="5" t="inlineStr">
        <is>
          <t>鲁西化工集团股份有限公司</t>
        </is>
      </c>
      <c r="B11" s="5" t="inlineStr">
        <is>
          <t>鲁西化工（聊城化工新材料产业园）</t>
        </is>
      </c>
      <c r="C11" s="5" t="inlineStr">
        <is>
          <t>聊城</t>
        </is>
      </c>
      <c r="D11" s="5" t="inlineStr">
        <is>
          <t>未知</t>
        </is>
      </c>
      <c r="E11" s="16" t="inlineStr">
        <is>
          <t>—</t>
        </is>
      </c>
      <c r="F11" s="5" t="inlineStr">
        <is>
          <t>无纯碱（投资者问答以"烧碱 40 万吨"作答）</t>
        </is>
      </c>
      <c r="G11" s="5" t="inlineStr">
        <is>
          <t>否证条目，不计入产能</t>
        </is>
      </c>
      <c r="H11" s="5" t="inlineStr">
        <is>
          <t>在产</t>
        </is>
      </c>
      <c r="I11" s="5" t="inlineStr">
        <is>
          <t>未核实</t>
        </is>
      </c>
      <c r="J11" s="5" t="inlineStr">
        <is>
          <t>未核实</t>
        </is>
      </c>
      <c r="K11" s="5" t="inlineStr">
        <is>
          <t>C</t>
        </is>
      </c>
      <c r="L11" s="5" t="inlineStr">
        <is>
          <t>—</t>
        </is>
      </c>
    </row>
    <row r="12" ht="48" customHeight="1">
      <c r="A12" s="14" t="inlineStr">
        <is>
          <t>德州实华化工有限公司</t>
        </is>
      </c>
      <c r="B12" s="14" t="inlineStr">
        <is>
          <t>德州实华化工（天衢工业园）</t>
        </is>
      </c>
      <c r="C12" s="14" t="inlineStr">
        <is>
          <t>德州</t>
        </is>
      </c>
      <c r="D12" s="14" t="inlineStr">
        <is>
          <t>未知</t>
        </is>
      </c>
      <c r="E12" s="17" t="inlineStr">
        <is>
          <t>—</t>
        </is>
      </c>
      <c r="F12" s="14" t="inlineStr">
        <is>
          <t>无纯碱（烧碱 39 万吨、PVC 35 万吨、双氧水 10 万吨、工业盐 100 万吨）</t>
        </is>
      </c>
      <c r="G12" s="14" t="inlineStr">
        <is>
          <t>否证条目，不计入产能</t>
        </is>
      </c>
      <c r="H12" s="14" t="inlineStr">
        <is>
          <t>在产</t>
        </is>
      </c>
      <c r="I12" s="14" t="inlineStr">
        <is>
          <t>未核实</t>
        </is>
      </c>
      <c r="J12" s="14" t="inlineStr">
        <is>
          <t>未核实</t>
        </is>
      </c>
      <c r="K12" s="14" t="inlineStr">
        <is>
          <t>B</t>
        </is>
      </c>
      <c r="L12" s="14" t="inlineStr">
        <is>
          <t>S30 德州实华化工有限公司（中国中化）</t>
        </is>
      </c>
    </row>
    <row r="14">
      <c r="A14" s="3" t="inlineStr">
        <is>
          <t>说明与口径</t>
        </is>
      </c>
    </row>
    <row r="15" ht="15" customHeight="1">
      <c r="A15" s="15" t="inlineStr">
        <is>
          <t>· 合计行请用 03_区域汇总 的“样本产能”，本表按厂区排序便于核对，不另设合计行以免与 03 表口径打架。</t>
        </is>
      </c>
    </row>
    <row r="16" ht="15" customHeight="1">
      <c r="A16" s="15" t="inlineStr">
        <is>
          <t>· 工艺路线说明与原料单耗差异见 12_口径与核验记录；原料单耗若无公开来源，不在本表推算。</t>
        </is>
      </c>
    </row>
  </sheetData>
  <autoFilter ref="A4:L12"/>
  <mergeCells count="4">
    <mergeCell ref="A2:L2"/>
    <mergeCell ref="A16:L16"/>
    <mergeCell ref="A15:L15"/>
    <mergeCell ref="A1:L1"/>
  </mergeCells>
  <conditionalFormatting sqref="E5:E12">
    <cfRule type="colorScale" priority="1">
      <colorScale>
        <cfvo type="min"/>
        <cfvo type="max"/>
        <color rgb="00FFFFFF"/>
        <color rgb="000E7C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8" customWidth="1" min="4" max="4"/>
    <col width="10" customWidth="1" min="5" max="5"/>
    <col width="22" customWidth="1" min="6" max="6"/>
    <col width="36" customWidth="1" min="7" max="7"/>
    <col width="12" customWidth="1" min="8" max="8"/>
    <col width="9" customWidth="1" min="9" max="9"/>
    <col width="26" customWidth="1" min="10" max="10"/>
  </cols>
  <sheetData>
    <row r="1" ht="26" customHeight="1">
      <c r="A1" s="11" t="inlineStr">
        <is>
          <t>上下游关联与物流节点</t>
        </is>
      </c>
    </row>
    <row r="2" ht="16" customHeight="1">
      <c r="A2" s="12" t="inlineStr">
        <is>
          <t>上游 = 有公开证据的原料产地/供应商；下游 = 真正消耗本品的产业/企业；物流 = 港口、专用线、交割库、交易市场。数量缺失写“未取得”。</t>
        </is>
      </c>
    </row>
    <row r="4" ht="30" customHeight="1">
      <c r="A4" s="13" t="inlineStr">
        <is>
          <t>类型</t>
        </is>
      </c>
      <c r="B4" s="13" t="inlineStr">
        <is>
          <t>名称</t>
        </is>
      </c>
      <c r="C4" s="13" t="inlineStr">
        <is>
          <t>物料/环节</t>
        </is>
      </c>
      <c r="D4" s="13" t="inlineStr">
        <is>
          <t>省</t>
        </is>
      </c>
      <c r="E4" s="13" t="inlineStr">
        <is>
          <t>市</t>
        </is>
      </c>
      <c r="F4" s="13" t="inlineStr">
        <is>
          <t>公开数量/规模</t>
        </is>
      </c>
      <c r="G4" s="13" t="inlineStr">
        <is>
          <t>与本品的关系</t>
        </is>
      </c>
      <c r="H4" s="13" t="inlineStr">
        <is>
          <t>节点类型</t>
        </is>
      </c>
      <c r="I4" s="13" t="inlineStr">
        <is>
          <t>证据等级</t>
        </is>
      </c>
      <c r="J4" s="13" t="inlineStr">
        <is>
          <t>来源</t>
        </is>
      </c>
    </row>
    <row r="5" ht="80" customHeight="1">
      <c r="A5" s="5" t="inlineStr">
        <is>
          <t>上游原料</t>
        </is>
      </c>
      <c r="B5" s="5" t="inlineStr">
        <is>
          <t>山东海化股份公司羊口盐场</t>
        </is>
      </c>
      <c r="C5" s="5" t="inlineStr">
        <is>
          <t>原盐（海盐）</t>
        </is>
      </c>
      <c r="D5" s="5" t="inlineStr">
        <is>
          <t>山东省</t>
        </is>
      </c>
      <c r="E5" s="5" t="inlineStr">
        <is>
          <t>潍坊市</t>
        </is>
      </c>
      <c r="F5" s="5" t="inlineStr">
        <is>
          <t>采矿面积 120.39 km2，生产场区 102 km2；原盐生产规模 240 万吨（现能力约 150 万吨），全国海盐第一</t>
        </is>
      </c>
      <c r="G5" s="5" t="inlineStr">
        <is>
          <t>原盐全部供海化纯碱厂；但自产不足，外购原盐占比超 50%。</t>
        </is>
      </c>
      <c r="H5" s="5" t="inlineStr">
        <is>
          <t>—</t>
        </is>
      </c>
      <c r="I5" s="5" t="inlineStr">
        <is>
          <t>B</t>
        </is>
      </c>
      <c r="J5" s="5" t="inlineStr">
        <is>
          <t>S1 山东海化股份有限公司（000822）；S7 山东海化股份有限公司官网</t>
        </is>
      </c>
    </row>
    <row r="6" ht="64" customHeight="1">
      <c r="A6" s="14" t="inlineStr">
        <is>
          <t>上游原料</t>
        </is>
      </c>
      <c r="B6" s="14" t="inlineStr">
        <is>
          <t>外部市场直采（含进口盐经港口抵港）</t>
        </is>
      </c>
      <c r="C6" s="14" t="inlineStr">
        <is>
          <t>原盐（采购）</t>
        </is>
      </c>
      <c r="D6" s="14" t="inlineStr">
        <is>
          <t>山东省</t>
        </is>
      </c>
      <c r="E6" s="14" t="inlineStr">
        <is>
          <t>全省</t>
        </is>
      </c>
      <c r="F6" s="14" t="inlineStr">
        <is>
          <t>2025 年原盐采购额占采购总额 38.65%；上半年均价 231.43 元/吨、下半年 196.28 元/吨</t>
        </is>
      </c>
      <c r="G6" s="14" t="inlineStr">
        <is>
          <t>原料端第一大成本项；价格下行利于氨碱成本。</t>
        </is>
      </c>
      <c r="H6" s="14" t="inlineStr">
        <is>
          <t>—</t>
        </is>
      </c>
      <c r="I6" s="14" t="inlineStr">
        <is>
          <t>A</t>
        </is>
      </c>
      <c r="J6" s="14" t="inlineStr">
        <is>
          <t>S1 山东海化股份有限公司（000822）</t>
        </is>
      </c>
    </row>
    <row r="7" ht="64" customHeight="1">
      <c r="A7" s="5" t="inlineStr">
        <is>
          <t>上游原料</t>
        </is>
      </c>
      <c r="B7" s="5" t="inlineStr">
        <is>
          <t>全部外采（产地直采 + 矿企战略合作）</t>
        </is>
      </c>
      <c r="C7" s="5" t="inlineStr">
        <is>
          <t>石灰石</t>
        </is>
      </c>
      <c r="D7" s="5" t="inlineStr">
        <is>
          <t>山东省</t>
        </is>
      </c>
      <c r="E7" s="5" t="inlineStr">
        <is>
          <t>全省</t>
        </is>
      </c>
      <c r="F7" s="5" t="inlineStr">
        <is>
          <t>2025 年石灰石采购额占采购总额 24.34%；均价 82.71 / 80.71 元/吨（上/下半年）</t>
        </is>
      </c>
      <c r="G7" s="5" t="inlineStr">
        <is>
          <t>氨碱法必需的废液处理/蒸氨原料；具体矿山未披露。</t>
        </is>
      </c>
      <c r="H7" s="5" t="inlineStr">
        <is>
          <t>—</t>
        </is>
      </c>
      <c r="I7" s="5" t="inlineStr">
        <is>
          <t>A</t>
        </is>
      </c>
      <c r="J7" s="5" t="inlineStr">
        <is>
          <t>S1 山东海化股份有限公司（000822）</t>
        </is>
      </c>
    </row>
    <row r="8" ht="64" customHeight="1">
      <c r="A8" s="14" t="inlineStr">
        <is>
          <t>上游原料</t>
        </is>
      </c>
      <c r="B8" s="14" t="inlineStr">
        <is>
          <t>外部采购（集团热电/动力分公司供蒸汽电）</t>
        </is>
      </c>
      <c r="C8" s="14" t="inlineStr">
        <is>
          <t>无烟煤（燃料煤）</t>
        </is>
      </c>
      <c r="D8" s="14" t="inlineStr">
        <is>
          <t>山东省</t>
        </is>
      </c>
      <c r="E8" s="14" t="inlineStr">
        <is>
          <t>全省</t>
        </is>
      </c>
      <c r="F8" s="14" t="inlineStr">
        <is>
          <t>2025 年无烟煤采购额占采购总额 19.21%；均价 1022.54 / 986.72 元/吨</t>
        </is>
      </c>
      <c r="G8" s="14" t="inlineStr">
        <is>
          <t>能源端成本；氨碱法碳排与能耗高，是氨碱改联碱动因之一。</t>
        </is>
      </c>
      <c r="H8" s="14" t="inlineStr">
        <is>
          <t>—</t>
        </is>
      </c>
      <c r="I8" s="14" t="inlineStr">
        <is>
          <t>A</t>
        </is>
      </c>
      <c r="J8" s="14" t="inlineStr">
        <is>
          <t>S1 山东海化股份有限公司（000822）</t>
        </is>
      </c>
    </row>
    <row r="9" ht="48" customHeight="1">
      <c r="A9" s="5" t="inlineStr">
        <is>
          <t>上游原料</t>
        </is>
      </c>
      <c r="B9" s="5" t="inlineStr">
        <is>
          <t>潍坊滨海地下卤水井（持卤水/溴采矿许可证）</t>
        </is>
      </c>
      <c r="C9" s="5" t="inlineStr">
        <is>
          <t>地下卤水 / 溴</t>
        </is>
      </c>
      <c r="D9" s="5" t="inlineStr">
        <is>
          <t>山东省</t>
        </is>
      </c>
      <c r="E9" s="5" t="inlineStr">
        <is>
          <t>潍坊市</t>
        </is>
      </c>
      <c r="F9" s="5" t="inlineStr">
        <is>
          <t>储量未披露；许可证有效期 2025-11-21 至 2027-11-20</t>
        </is>
      </c>
      <c r="G9" s="5" t="inlineStr">
        <is>
          <t>潍坊滨海是山东地下卤水主产区；海天选址亦因卤水含盐为海水 2-3 倍。</t>
        </is>
      </c>
      <c r="H9" s="5" t="inlineStr">
        <is>
          <t>—</t>
        </is>
      </c>
      <c r="I9" s="5" t="inlineStr">
        <is>
          <t>B</t>
        </is>
      </c>
      <c r="J9" s="5" t="inlineStr">
        <is>
          <t>S1 山东海化股份有限公司（000822）；S10 山东金晶科技股份有限公司</t>
        </is>
      </c>
    </row>
    <row r="10" ht="48" customHeight="1">
      <c r="A10" s="14" t="inlineStr">
        <is>
          <t>上游原料</t>
        </is>
      </c>
      <c r="B10" s="14" t="inlineStr">
        <is>
          <t>线索：舜天化工（临沂沂南）、华鲁恒升（德州）、鲁西化工（聊城）</t>
        </is>
      </c>
      <c r="C10" s="14" t="inlineStr">
        <is>
          <t>合成氨 / 液氨</t>
        </is>
      </c>
      <c r="D10" s="14" t="inlineStr">
        <is>
          <t>山东省</t>
        </is>
      </c>
      <c r="E10" s="14" t="inlineStr">
        <is>
          <t>临沂/德州/聊城</t>
        </is>
      </c>
      <c r="F10" s="14" t="inlineStr">
        <is>
          <t>未取得与纯碱厂的直供数量</t>
        </is>
      </c>
      <c r="G10" s="14" t="inlineStr">
        <is>
          <t>海化拟建 40 万吨/年合成氨自给；联碱路线需氨，本地合成氨布局决定联碱成本。</t>
        </is>
      </c>
      <c r="H10" s="14" t="inlineStr">
        <is>
          <t>—</t>
        </is>
      </c>
      <c r="I10" s="14" t="inlineStr">
        <is>
          <t>C</t>
        </is>
      </c>
      <c r="J10" s="14" t="inlineStr">
        <is>
          <t>—</t>
        </is>
      </c>
    </row>
    <row r="11" ht="64" customHeight="1">
      <c r="A11" s="5" t="inlineStr">
        <is>
          <t>下游消费</t>
        </is>
      </c>
      <c r="B11" s="5" t="inlineStr">
        <is>
          <t>山东金晶科技股份有限公司</t>
        </is>
      </c>
      <c r="C11" s="5" t="inlineStr">
        <is>
          <t>浮法玻璃</t>
        </is>
      </c>
      <c r="D11" s="5" t="inlineStr">
        <is>
          <t>山东省</t>
        </is>
      </c>
      <c r="E11" s="5" t="inlineStr">
        <is>
          <t>淄博市</t>
        </is>
      </c>
      <c r="F11" s="5" t="inlineStr">
        <is>
          <t>5x600t/d（一条 600t/d 暂时停产）；另有 1500 在线镀膜（含 TCO）、1000 离线镀膜</t>
        </is>
      </c>
      <c r="G11" s="5" t="inlineStr">
        <is>
          <t>金晶淄博线部分由海天纯碱配套，是纯碱厂与玻璃厂同集团内部协同样板。</t>
        </is>
      </c>
      <c r="H11" s="5" t="inlineStr">
        <is>
          <t>—</t>
        </is>
      </c>
      <c r="I11" s="5" t="inlineStr">
        <is>
          <t>A</t>
        </is>
      </c>
      <c r="J11" s="5" t="inlineStr">
        <is>
          <t>S9 山东金晶科技股份有限公司（600586）</t>
        </is>
      </c>
    </row>
    <row r="12" ht="64" customHeight="1">
      <c r="A12" s="14" t="inlineStr">
        <is>
          <t>下游消费</t>
        </is>
      </c>
      <c r="B12" s="14" t="inlineStr">
        <is>
          <t>滕州金晶玻璃有限公司</t>
        </is>
      </c>
      <c r="C12" s="14" t="inlineStr">
        <is>
          <t>浮法玻璃</t>
        </is>
      </c>
      <c r="D12" s="14" t="inlineStr">
        <is>
          <t>山东省</t>
        </is>
      </c>
      <c r="E12" s="14" t="inlineStr">
        <is>
          <t>枣庄市</t>
        </is>
      </c>
      <c r="F12" s="14" t="inlineStr">
        <is>
          <t>2x600t/d + 2x800t/d（一条 600t/d 暂时停产），年产优质浮法玻璃约 2000 万重量箱</t>
        </is>
      </c>
      <c r="G12" s="14" t="inlineStr">
        <is>
          <t>位于鲁南高科技化工园区一带，是纯碱东南向主要目的地之一。</t>
        </is>
      </c>
      <c r="H12" s="14" t="inlineStr">
        <is>
          <t>—</t>
        </is>
      </c>
      <c r="I12" s="14" t="inlineStr">
        <is>
          <t>A</t>
        </is>
      </c>
      <c r="J12" s="14" t="inlineStr">
        <is>
          <t>S9 山东金晶科技股份有限公司（600586）</t>
        </is>
      </c>
    </row>
    <row r="13" ht="64" customHeight="1">
      <c r="A13" s="5" t="inlineStr">
        <is>
          <t>下游消费</t>
        </is>
      </c>
      <c r="B13" s="5" t="inlineStr">
        <is>
          <t>山东巨润建材有限公司</t>
        </is>
      </c>
      <c r="C13" s="5" t="inlineStr">
        <is>
          <t>浮法玻璃</t>
        </is>
      </c>
      <c r="D13" s="5" t="inlineStr">
        <is>
          <t>山东省</t>
        </is>
      </c>
      <c r="E13" s="5" t="inlineStr">
        <is>
          <t>菏泽市</t>
        </is>
      </c>
      <c r="F13" s="5" t="inlineStr">
        <is>
          <t>四条 700t/d 浮法线；年产浮法玻璃约 1900 万重量箱、年产值 11 亿元</t>
        </is>
      </c>
      <c r="G13" s="5" t="inlineStr">
        <is>
          <t>鲁西南玻璃集群核心；纯碱需跨区调入，运距是价差主因之一。</t>
        </is>
      </c>
      <c r="H13" s="5" t="inlineStr">
        <is>
          <t>—</t>
        </is>
      </c>
      <c r="I13" s="5" t="inlineStr">
        <is>
          <t>B</t>
        </is>
      </c>
      <c r="J13" s="5" t="inlineStr">
        <is>
          <t>—</t>
        </is>
      </c>
    </row>
    <row r="14" ht="48" customHeight="1">
      <c r="A14" s="14" t="inlineStr">
        <is>
          <t>下游消费</t>
        </is>
      </c>
      <c r="B14" s="14" t="inlineStr">
        <is>
          <t>滕州玻璃新材料产业园区（集聚 217 家企业）</t>
        </is>
      </c>
      <c r="C14" s="14" t="inlineStr">
        <is>
          <t>玻璃深加工（集群）</t>
        </is>
      </c>
      <c r="D14" s="14" t="inlineStr">
        <is>
          <t>山东省</t>
        </is>
      </c>
      <c r="E14" s="14" t="inlineStr">
        <is>
          <t>枣庄市</t>
        </is>
      </c>
      <c r="F14" s="14" t="inlineStr">
        <is>
          <t>年产值 120 亿元、年产量 3.2 亿平方米，规划 9.16 km2</t>
        </is>
      </c>
      <c r="G14" s="14" t="inlineStr">
        <is>
          <t>深加工企业不一定直接耗纯碱（原片由浮法厂供），不能把 217 家全部算成纯碱用户。</t>
        </is>
      </c>
      <c r="H14" s="14" t="inlineStr">
        <is>
          <t>—</t>
        </is>
      </c>
      <c r="I14" s="14" t="inlineStr">
        <is>
          <t>B</t>
        </is>
      </c>
      <c r="J14" s="14" t="inlineStr">
        <is>
          <t>—</t>
        </is>
      </c>
    </row>
    <row r="15" ht="64" customHeight="1">
      <c r="A15" s="5" t="inlineStr">
        <is>
          <t>下游消费</t>
        </is>
      </c>
      <c r="B15" s="5" t="inlineStr">
        <is>
          <t>黑山玻璃集团 / 宏达玻璃等八陡镇集群</t>
        </is>
      </c>
      <c r="C15" s="5" t="inlineStr">
        <is>
          <t>日用玻璃</t>
        </is>
      </c>
      <c r="D15" s="5" t="inlineStr">
        <is>
          <t>山东省</t>
        </is>
      </c>
      <c r="E15" s="5" t="inlineStr">
        <is>
          <t>淄博市</t>
        </is>
      </c>
      <c r="F15" s="5" t="inlineStr">
        <is>
          <t>八陡镇日玻规上企业 2024 年 1-7 月产值 7.62 亿元；宏达玻璃年产能突破 10 万吨</t>
        </is>
      </c>
      <c r="G15" s="5" t="inlineStr">
        <is>
          <t>日用玻璃对轻碱价格极敏感，是山东轻碱需求基本盘。</t>
        </is>
      </c>
      <c r="H15" s="5" t="inlineStr">
        <is>
          <t>—</t>
        </is>
      </c>
      <c r="I15" s="5" t="inlineStr">
        <is>
          <t>B</t>
        </is>
      </c>
      <c r="J15" s="5" t="inlineStr">
        <is>
          <t>—</t>
        </is>
      </c>
    </row>
    <row r="16" ht="64" customHeight="1">
      <c r="A16" s="14" t="inlineStr">
        <is>
          <t>下游消费</t>
        </is>
      </c>
      <c r="B16" s="14" t="inlineStr">
        <is>
          <t>郓城酒类包装产业集群（500 余家企业）</t>
        </is>
      </c>
      <c r="C16" s="14" t="inlineStr">
        <is>
          <t>日用玻璃（酒瓶）</t>
        </is>
      </c>
      <c r="D16" s="14" t="inlineStr">
        <is>
          <t>山东省</t>
        </is>
      </c>
      <c r="E16" s="14" t="inlineStr">
        <is>
          <t>菏泽市</t>
        </is>
      </c>
      <c r="F16" s="14" t="inlineStr">
        <is>
          <t>年产酒瓶 21 亿只、瓶盖 82 亿只；酒瓶占全国 15%-20%；30 座窑炉集中园区</t>
        </is>
      </c>
      <c r="G16" s="14" t="inlineStr">
        <is>
          <t>纯碱与石英砂均需外运入，是原料输入型下游集群。</t>
        </is>
      </c>
      <c r="H16" s="14" t="inlineStr">
        <is>
          <t>—</t>
        </is>
      </c>
      <c r="I16" s="14" t="inlineStr">
        <is>
          <t>B</t>
        </is>
      </c>
      <c r="J16" s="14" t="inlineStr">
        <is>
          <t>—</t>
        </is>
      </c>
    </row>
    <row r="17" ht="48" customHeight="1">
      <c r="A17" s="5" t="inlineStr">
        <is>
          <t>下游消费</t>
        </is>
      </c>
      <c r="B17" s="5" t="inlineStr">
        <is>
          <t>中建材特种玻璃深加工（线索）</t>
        </is>
      </c>
      <c r="C17" s="5" t="inlineStr">
        <is>
          <t>特种玻璃（线索）</t>
        </is>
      </c>
      <c r="D17" s="5" t="inlineStr">
        <is>
          <t>山东省</t>
        </is>
      </c>
      <c r="E17" s="5" t="inlineStr">
        <is>
          <t>枣庄市</t>
        </is>
      </c>
      <c r="F17" s="5" t="inlineStr">
        <is>
          <t>未取得</t>
        </is>
      </c>
      <c r="G17" s="5" t="inlineStr">
        <is>
          <t>仅见于枣庄市拟在建重点项目汇总，未取得主体与产能原文，标为线索、不入统计。</t>
        </is>
      </c>
      <c r="H17" s="5" t="inlineStr">
        <is>
          <t>—</t>
        </is>
      </c>
      <c r="I17" s="5" t="inlineStr">
        <is>
          <t>D</t>
        </is>
      </c>
      <c r="J17" s="5" t="inlineStr">
        <is>
          <t>—</t>
        </is>
      </c>
    </row>
    <row r="18" ht="32" customHeight="1">
      <c r="A18" s="14" t="inlineStr">
        <is>
          <t>下游消费</t>
        </is>
      </c>
      <c r="B18" s="14" t="inlineStr">
        <is>
          <t>未核实（山东为硅酸钠、洗涤剂大省，企业分散）</t>
        </is>
      </c>
      <c r="C18" s="14" t="inlineStr">
        <is>
          <t>纯碱衍生（硅酸钠/洗涤剂）</t>
        </is>
      </c>
      <c r="D18" s="14" t="inlineStr">
        <is>
          <t>山东省</t>
        </is>
      </c>
      <c r="E18" s="14" t="inlineStr">
        <is>
          <t>全省</t>
        </is>
      </c>
      <c r="F18" s="14" t="inlineStr">
        <is>
          <t>未取得</t>
        </is>
      </c>
      <c r="G18" s="14" t="inlineStr">
        <is>
          <t>该类下游数量多、单户用量小，未取得可核实名单，列为缺口。</t>
        </is>
      </c>
      <c r="H18" s="14" t="inlineStr">
        <is>
          <t>—</t>
        </is>
      </c>
      <c r="I18" s="14" t="inlineStr">
        <is>
          <t>D</t>
        </is>
      </c>
      <c r="J18" s="14" t="inlineStr">
        <is>
          <t>—</t>
        </is>
      </c>
    </row>
    <row r="19" ht="80" customHeight="1">
      <c r="A19" s="5" t="inlineStr">
        <is>
          <t>物流节点</t>
        </is>
      </c>
      <c r="B19" s="5" t="inlineStr">
        <is>
          <t>潍坊港中港区</t>
        </is>
      </c>
      <c r="C19" s="5" t="inlineStr">
        <is>
          <t>port</t>
        </is>
      </c>
      <c r="D19" s="5" t="inlineStr">
        <is>
          <t>山东</t>
        </is>
      </c>
      <c r="E19" s="5" t="inlineStr">
        <is>
          <t>潍坊</t>
        </is>
      </c>
      <c r="F19" s="5" t="inlineStr">
        <is>
          <t>12 个生产性泊位、岸线 1706 米、综合通过能力 799 万吨；2025 年上半年潍坊港货物吞吐量 2248.7 万吨</t>
        </is>
      </c>
      <c r="G19" s="5" t="inlineStr">
        <is>
          <t>装卸清单明确含原盐、纯碱、煤炭、烧碱；5 万吨级航道工程建成后可带来超 4000 万吨吞吐增量</t>
        </is>
      </c>
      <c r="H19" s="5" t="inlineStr">
        <is>
          <t>港口</t>
        </is>
      </c>
      <c r="I19" s="5" t="inlineStr">
        <is>
          <t>B</t>
        </is>
      </c>
      <c r="J19" s="5" t="inlineStr">
        <is>
          <t>S25 中国港口网·潍坊港港口志；S15 山东省交通运输厅</t>
        </is>
      </c>
    </row>
    <row r="20" ht="64" customHeight="1">
      <c r="A20" s="14" t="inlineStr">
        <is>
          <t>物流节点</t>
        </is>
      </c>
      <c r="B20" s="14" t="inlineStr">
        <is>
          <t>寿光港</t>
        </is>
      </c>
      <c r="C20" s="14" t="inlineStr">
        <is>
          <t>port</t>
        </is>
      </c>
      <c r="D20" s="14" t="inlineStr">
        <is>
          <t>山东</t>
        </is>
      </c>
      <c r="E20" s="14" t="inlineStr">
        <is>
          <t>潍坊</t>
        </is>
      </c>
      <c r="F20" s="14" t="inlineStr">
        <is>
          <t>13 个生产性泊位（1-7 液化品、8-13 多用途），岸线 2098 米，综合通过能力 790 万吨</t>
        </is>
      </c>
      <c r="G20" s="14" t="inlineStr">
        <is>
          <t>海化首船进口盐由此抵港，是原盐-纯碱供应链关键节点；纯碱走多用途泊位</t>
        </is>
      </c>
      <c r="H20" s="14" t="inlineStr">
        <is>
          <t>港口</t>
        </is>
      </c>
      <c r="I20" s="14" t="inlineStr">
        <is>
          <t>B</t>
        </is>
      </c>
      <c r="J20" s="14" t="inlineStr">
        <is>
          <t>S25 中国港口网·潍坊港港口志；S7 山东海化股份有限公司官网</t>
        </is>
      </c>
    </row>
    <row r="21" ht="80" customHeight="1">
      <c r="A21" s="5" t="inlineStr">
        <is>
          <t>物流节点</t>
        </is>
      </c>
      <c r="B21" s="5" t="inlineStr">
        <is>
          <t>潍坊港西港区羊口作业区</t>
        </is>
      </c>
      <c r="C21" s="5" t="inlineStr">
        <is>
          <t>port</t>
        </is>
      </c>
      <c r="D21" s="5" t="inlineStr">
        <is>
          <t>山东</t>
        </is>
      </c>
      <c r="E21" s="5" t="inlineStr">
        <is>
          <t>潍坊</t>
        </is>
      </c>
      <c r="F21" s="5" t="inlineStr">
        <is>
          <t>4-8 号共 5 个生产性泊位，岸线 470 米，年综合通过能力 93 万吨；小清河复航 2025 年货运量 51.92 万吨</t>
        </is>
      </c>
      <c r="G21" s="5" t="inlineStr">
        <is>
          <t>海河联运通道，服务济南/滨州/淄博/东营/潍坊五市；量级小，非纯碱主通道</t>
        </is>
      </c>
      <c r="H21" s="5" t="inlineStr">
        <is>
          <t>港口</t>
        </is>
      </c>
      <c r="I21" s="5" t="inlineStr">
        <is>
          <t>B</t>
        </is>
      </c>
      <c r="J21" s="5" t="inlineStr">
        <is>
          <t>S25 中国港口网·潍坊港港口志；S35 中国港口网 / 山东省交通运输厅</t>
        </is>
      </c>
    </row>
    <row r="22" ht="48" customHeight="1">
      <c r="A22" s="14" t="inlineStr">
        <is>
          <t>物流节点</t>
        </is>
      </c>
      <c r="B22" s="14" t="inlineStr">
        <is>
          <t>益羊铁路大家洼站</t>
        </is>
      </c>
      <c r="C22" s="14" t="inlineStr">
        <is>
          <t>rail</t>
        </is>
      </c>
      <c r="D22" s="14" t="inlineStr">
        <is>
          <t>山东</t>
        </is>
      </c>
      <c r="E22" s="14" t="inlineStr">
        <is>
          <t>潍坊</t>
        </is>
      </c>
      <c r="F22" s="14" t="inlineStr">
        <is>
          <t>益羊铁路正线 72.274 km，接轨胶济铁路；海化设铁运分公司自营</t>
        </is>
      </c>
      <c r="G22" s="14" t="inlineStr">
        <is>
          <t>海化纯碱外运主通道：益羊铁路-胶济线进入国铁济南局管内</t>
        </is>
      </c>
      <c r="H22" s="14" t="inlineStr">
        <is>
          <t>铁路专用线</t>
        </is>
      </c>
      <c r="I22" s="14" t="inlineStr">
        <is>
          <t>B</t>
        </is>
      </c>
      <c r="J22" s="14" t="inlineStr">
        <is>
          <t>S8 山东海化股份有限公司官网</t>
        </is>
      </c>
    </row>
    <row r="23" ht="80" customHeight="1">
      <c r="A23" s="5" t="inlineStr">
        <is>
          <t>物流节点</t>
        </is>
      </c>
      <c r="B23" s="5" t="inlineStr">
        <is>
          <t>郑商所纯碱指定交割厂库（山东海化，编号 2119）</t>
        </is>
      </c>
      <c r="C23" s="5" t="inlineStr">
        <is>
          <t>depot</t>
        </is>
      </c>
      <c r="D23" s="5" t="inlineStr">
        <is>
          <t>山东</t>
        </is>
      </c>
      <c r="E23" s="5" t="inlineStr">
        <is>
          <t>潍坊</t>
        </is>
      </c>
      <c r="F23" s="5" t="inlineStr">
        <is>
          <t>仓单额度 3 万吨；日最低发货 2000 吨；升贴水 0 元/吨；指定交货地：河北省内交割仓库及沙河厂库</t>
        </is>
      </c>
      <c r="G23" s="5" t="inlineStr">
        <is>
          <t>山东在纯碱交割体系中仅 1 个厂库、无第三方交割仓库；2026-07 新增交割区域为成都、重庆</t>
        </is>
      </c>
      <c r="H23" s="5" t="inlineStr">
        <is>
          <t>交割/仓储</t>
        </is>
      </c>
      <c r="I23" s="5" t="inlineStr">
        <is>
          <t>A</t>
        </is>
      </c>
      <c r="J23" s="5" t="inlineStr">
        <is>
          <t>S11 郑州商品交易所；S12 郑州商品交易所</t>
        </is>
      </c>
    </row>
    <row r="24" ht="64" customHeight="1">
      <c r="A24" s="14" t="inlineStr">
        <is>
          <t>物流节点</t>
        </is>
      </c>
      <c r="B24" s="14" t="inlineStr">
        <is>
          <t>潍坊/寿光纯碱贸易环节</t>
        </is>
      </c>
      <c r="C24" s="14" t="inlineStr">
        <is>
          <t>market</t>
        </is>
      </c>
      <c r="D24" s="14" t="inlineStr">
        <is>
          <t>山东</t>
        </is>
      </c>
      <c r="E24" s="14" t="inlineStr">
        <is>
          <t>潍坊</t>
        </is>
      </c>
      <c r="F24" s="14" t="inlineStr">
        <is>
          <t>贸易商报价 1200-1350 元/吨（小批量/零售口径）；无公开交易量与商户数</t>
        </is>
      </c>
      <c r="G24" s="14" t="inlineStr">
        <is>
          <t>贸易环节报价显著高于资讯机构出厂价，属零售/小批量口径，反映渠道加价而非出厂价上行</t>
        </is>
      </c>
      <c r="H24" s="14" t="inlineStr">
        <is>
          <t>交易市场</t>
        </is>
      </c>
      <c r="I24" s="14" t="inlineStr">
        <is>
          <t>C</t>
        </is>
      </c>
      <c r="J24" s="14" t="inlineStr">
        <is>
          <t>S23 生意社（100ppi）</t>
        </is>
      </c>
    </row>
    <row r="26">
      <c r="A26" s="3" t="inlineStr">
        <is>
          <t>说明与口径</t>
        </is>
      </c>
    </row>
    <row r="27" ht="15" customHeight="1">
      <c r="A27" s="15" t="inlineStr">
        <is>
          <t>· 流向只在有公开来源（企业公告、环评运输量、园区介绍）时登记；“某厂可能买某矿”这类推断不写入。</t>
        </is>
      </c>
    </row>
    <row r="28" ht="15" customHeight="1">
      <c r="A28" s="15" t="inlineStr">
        <is>
          <t>· 物流节点的吞吐量/库容若无公开数据写“未取得”，不按里程或产量推算。</t>
        </is>
      </c>
    </row>
  </sheetData>
  <autoFilter ref="A4:J24"/>
  <mergeCells count="4">
    <mergeCell ref="A1:J1"/>
    <mergeCell ref="A28:J28"/>
    <mergeCell ref="A27:J27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8" customWidth="1" min="4" max="4"/>
    <col width="10" customWidth="1" min="5" max="5"/>
    <col width="10" customWidth="1" min="6" max="6"/>
    <col width="2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  <col width="12" customWidth="1" min="13" max="13"/>
    <col width="12" customWidth="1" min="14" max="14"/>
    <col width="14" customWidth="1" min="15" max="15"/>
    <col width="40" customWidth="1" min="16" max="16"/>
    <col width="7" customWidth="1" min="17" max="17"/>
    <col width="26" customWidth="1" min="18" max="18"/>
    <col width="30" customWidth="1" min="19" max="19"/>
  </cols>
  <sheetData>
    <row r="1" ht="26" customHeight="1">
      <c r="A1" s="11" t="inlineStr">
        <is>
          <t>新增 / 在建 / 拟建项目（毛新增 vs 净增量）</t>
        </is>
      </c>
    </row>
    <row r="2" ht="16" customHeight="1">
      <c r="A2" s="12" t="inlineStr">
        <is>
          <t>净增量 = 新增 − 退出；退出待确认的项目净增量留“待确认”且不计入合计。状态必须锁时点（status_asof）。</t>
        </is>
      </c>
    </row>
    <row r="4" ht="30" customHeight="1">
      <c r="A4" s="13" t="inlineStr">
        <is>
          <t>项目ID</t>
        </is>
      </c>
      <c r="B4" s="13" t="inlineStr">
        <is>
          <t>项目名称</t>
        </is>
      </c>
      <c r="C4" s="13" t="inlineStr">
        <is>
          <t>企业</t>
        </is>
      </c>
      <c r="D4" s="13" t="inlineStr">
        <is>
          <t>省</t>
        </is>
      </c>
      <c r="E4" s="13" t="inlineStr">
        <is>
          <t>市</t>
        </is>
      </c>
      <c r="F4" s="13" t="inlineStr">
        <is>
          <t>县/区</t>
        </is>
      </c>
      <c r="G4" s="13" t="inlineStr">
        <is>
          <t>园区</t>
        </is>
      </c>
      <c r="H4" s="13" t="inlineStr">
        <is>
          <t>类型</t>
        </is>
      </c>
      <c r="I4" s="13" t="inlineStr">
        <is>
          <t>新增(万吨/年)</t>
        </is>
      </c>
      <c r="J4" s="13" t="inlineStr">
        <is>
          <t>退出(万吨/年)</t>
        </is>
      </c>
      <c r="K4" s="13" t="inlineStr">
        <is>
          <t>净增量(万吨/年)</t>
        </is>
      </c>
      <c r="L4" s="13" t="inlineStr">
        <is>
          <t>状态</t>
        </is>
      </c>
      <c r="M4" s="13" t="inlineStr">
        <is>
          <t>状态时点</t>
        </is>
      </c>
      <c r="N4" s="13" t="inlineStr">
        <is>
          <t>预计投产</t>
        </is>
      </c>
      <c r="O4" s="13" t="inlineStr">
        <is>
          <t>产品</t>
        </is>
      </c>
      <c r="P4" s="13" t="inlineStr">
        <is>
          <t>对区域供需的影响</t>
        </is>
      </c>
      <c r="Q4" s="13" t="inlineStr">
        <is>
          <t>证据</t>
        </is>
      </c>
      <c r="R4" s="13" t="inlineStr">
        <is>
          <t>来源</t>
        </is>
      </c>
      <c r="S4" s="13" t="inlineStr">
        <is>
          <t>待核实</t>
        </is>
      </c>
    </row>
    <row r="5" ht="96" customHeight="1">
      <c r="A5" s="5" t="inlineStr">
        <is>
          <t>P01</t>
        </is>
      </c>
      <c r="B5" s="5" t="inlineStr">
        <is>
          <t>纯碱装置提质增效节能环保改造工程（氨碱改联碱，减量置换）</t>
        </is>
      </c>
      <c r="C5" s="5" t="inlineStr">
        <is>
          <t>haihua</t>
        </is>
      </c>
      <c r="D5" s="5" t="inlineStr">
        <is>
          <t>山东</t>
        </is>
      </c>
      <c r="E5" s="5" t="inlineStr">
        <is>
          <t>潍坊</t>
        </is>
      </c>
      <c r="F5" s="5" t="inlineStr">
        <is>
          <t>滨海经济技术开发区</t>
        </is>
      </c>
      <c r="G5" s="5" t="inlineStr">
        <is>
          <t>潍坊滨海化工产业园</t>
        </is>
      </c>
      <c r="H5" s="5" t="inlineStr">
        <is>
          <t>技改</t>
        </is>
      </c>
      <c r="I5" s="16" t="n">
        <v>100</v>
      </c>
      <c r="J5" s="16" t="n">
        <v>120</v>
      </c>
      <c r="K5" s="16" t="n">
        <v>-20</v>
      </c>
      <c r="L5" s="5" t="inlineStr">
        <is>
          <t>拟建</t>
        </is>
      </c>
      <c r="M5" s="5" t="inlineStr">
        <is>
          <t>2026-10-13</t>
        </is>
      </c>
      <c r="N5" s="5" t="inlineStr">
        <is>
          <t>2028-10</t>
        </is>
      </c>
      <c r="O5" s="5" t="inlineStr">
        <is>
          <t>纯碱 100 万吨（轻碱 40 + 重碱 60） / 氯化铵 103 万吨 / 合成氨 40 万吨</t>
        </is>
      </c>
      <c r="P5" s="5" t="inlineStr">
        <is>
          <t>纯碱净减 20 万吨/年（公司口径 280 降至 260）；氯化铵净增约 103 万吨/年。对区域而言是"小而负的纯碱 + 大而正的氯化铵"，必须分开记，不能合并成"扩产 100 万吨"。</t>
        </is>
      </c>
      <c r="Q5" s="5" t="inlineStr">
        <is>
          <t>A</t>
        </is>
      </c>
      <c r="R5" s="5" t="inlineStr">
        <is>
          <t>S5 山东海化股份有限公司（巨潮资讯）；S4 山东海化股份有限公司（环境信息公开）；S6 山东海化股份有限公司</t>
        </is>
      </c>
      <c r="S5" s="5" t="inlineStr">
        <is>
          <t>2026-10 是否已实际开工（未找到开工通报）；环评二次公示与批复文号、省发改委备案号；不再审批新建联碱的政策是否豁免本减量置换技改</t>
        </is>
      </c>
    </row>
    <row r="6" ht="48" customHeight="1">
      <c r="A6" s="14" t="inlineStr">
        <is>
          <t>P02</t>
        </is>
      </c>
      <c r="B6" s="14" t="inlineStr">
        <is>
          <t>年产 10 万吨过碳酸钠项目（一期）</t>
        </is>
      </c>
      <c r="C6" s="14" t="inlineStr">
        <is>
          <t>xinlong</t>
        </is>
      </c>
      <c r="D6" s="14" t="inlineStr">
        <is>
          <t>山东</t>
        </is>
      </c>
      <c r="E6" s="14" t="inlineStr">
        <is>
          <t>潍坊</t>
        </is>
      </c>
      <c r="F6" s="14" t="inlineStr">
        <is>
          <t>寿光市田柳镇</t>
        </is>
      </c>
      <c r="G6" s="14" t="inlineStr">
        <is>
          <t>田柳精细化工园</t>
        </is>
      </c>
      <c r="H6" s="14" t="inlineStr">
        <is>
          <t>新建</t>
        </is>
      </c>
      <c r="I6" s="17" t="inlineStr">
        <is>
          <t>—</t>
        </is>
      </c>
      <c r="J6" s="17" t="n">
        <v>0</v>
      </c>
      <c r="K6" s="17" t="n">
        <v>0</v>
      </c>
      <c r="L6" s="14" t="inlineStr">
        <is>
          <t>已投产</t>
        </is>
      </c>
      <c r="M6" s="14" t="inlineStr">
        <is>
          <t>2024-11-12</t>
        </is>
      </c>
      <c r="N6" s="14" t="inlineStr">
        <is>
          <t>2024</t>
        </is>
      </c>
      <c r="O6" s="14" t="inlineStr">
        <is>
          <t>过碳酸钠（2Na2CO3.3H2O2）</t>
        </is>
      </c>
      <c r="P6" s="14" t="inlineStr">
        <is>
          <t>不产纯碱，但 10 万吨过碳酸钠消耗纯碱（单耗未取得公开数据，不推算），属区域需求增量。</t>
        </is>
      </c>
      <c r="Q6" s="14" t="inlineStr">
        <is>
          <t>B</t>
        </is>
      </c>
      <c r="R6" s="14" t="inlineStr">
        <is>
          <t>S34 大众网·海报新闻；S28 山东新龙科技股份有限公司（新三板 873674）</t>
        </is>
      </c>
      <c r="S6" s="14" t="inlineStr">
        <is>
          <t>过碳酸钠单耗与年耗纯碱量（环评原辅材料表）</t>
        </is>
      </c>
    </row>
    <row r="7" ht="48" customHeight="1">
      <c r="A7" s="5" t="inlineStr">
        <is>
          <t>P03</t>
        </is>
      </c>
      <c r="B7" s="5" t="inlineStr">
        <is>
          <t>青岛碱业老厂区纯碱系统关停（负向事件）</t>
        </is>
      </c>
      <c r="C7" s="5" t="inlineStr">
        <is>
          <t>qingdao</t>
        </is>
      </c>
      <c r="D7" s="5" t="inlineStr">
        <is>
          <t>山东</t>
        </is>
      </c>
      <c r="E7" s="5" t="inlineStr">
        <is>
          <t>青岛</t>
        </is>
      </c>
      <c r="F7" s="5" t="inlineStr">
        <is>
          <t>李沧区</t>
        </is>
      </c>
      <c r="G7" s="5" t="inlineStr">
        <is>
          <t>娄山后工业区</t>
        </is>
      </c>
      <c r="H7" s="5" t="inlineStr">
        <is>
          <t>退出</t>
        </is>
      </c>
      <c r="I7" s="16" t="n">
        <v>0</v>
      </c>
      <c r="J7" s="16" t="inlineStr">
        <is>
          <t>—</t>
        </is>
      </c>
      <c r="K7" s="16" t="n">
        <v>0</v>
      </c>
      <c r="L7" s="5" t="inlineStr">
        <is>
          <t>已投产</t>
        </is>
      </c>
      <c r="M7" s="5" t="inlineStr">
        <is>
          <t>2015-12-31</t>
        </is>
      </c>
      <c r="N7" s="5" t="inlineStr">
        <is>
          <t>未取得</t>
        </is>
      </c>
      <c r="O7" s="5" t="inlineStr">
        <is>
          <t>纯碱（历史）</t>
        </is>
      </c>
      <c r="P7" s="5" t="inlineStr">
        <is>
          <t>山东纯碱产能下台阶（省志口径 80 万吨/年）；此后省内主体收缩为潍坊两家。停产当年在产口径无法确认，故不计入净增合计。</t>
        </is>
      </c>
      <c r="Q7" s="5" t="inlineStr">
        <is>
          <t>B</t>
        </is>
      </c>
      <c r="R7" s="5" t="inlineStr">
        <is>
          <t>—</t>
        </is>
      </c>
      <c r="S7" s="5" t="inlineStr">
        <is>
          <t>关停当年实际在产产能</t>
        </is>
      </c>
    </row>
    <row r="9">
      <c r="A9" s="3" t="inlineStr">
        <is>
          <t>说明与口径</t>
        </is>
      </c>
    </row>
    <row r="10" ht="15" customHeight="1">
      <c r="A10" s="15" t="inlineStr">
        <is>
          <t>· 毛新增 100.00 万吨/年 − 退出 120.00 万吨/年 = 净增量 -20.00 万吨/年（不含“待确认”项目）。</t>
        </is>
      </c>
    </row>
    <row r="11" ht="15" customHeight="1">
      <c r="A11" s="15" t="inlineStr">
        <is>
          <t>· 置换/搬迁项目必须同时填“新增”与“退出”，否则会系统性高估新增产能。</t>
        </is>
      </c>
    </row>
    <row r="12" ht="15" customHeight="1">
      <c r="A12" s="15" t="inlineStr">
        <is>
          <t>· 状态类型：已投产 / 在建 / 拟建 / 已备案 / 环评公示 / 退出。项目状态会变，交付时须写清时点。</t>
        </is>
      </c>
    </row>
  </sheetData>
  <autoFilter ref="A4:S7"/>
  <mergeCells count="5">
    <mergeCell ref="A11:S11"/>
    <mergeCell ref="A1:S1"/>
    <mergeCell ref="A12:S12"/>
    <mergeCell ref="A2:S2"/>
    <mergeCell ref="A10:S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0" customWidth="1" min="5" max="5"/>
    <col width="18" customWidth="1" min="6" max="6"/>
    <col width="40" customWidth="1" min="7" max="7"/>
    <col width="26" customWidth="1" min="8" max="8"/>
  </cols>
  <sheetData>
    <row r="1" ht="26" customHeight="1">
      <c r="A1" s="11" t="inlineStr">
        <is>
          <t>价格观察与区域供需特征</t>
        </is>
      </c>
    </row>
    <row r="2" ht="16" customHeight="1">
      <c r="A2" s="12" t="inlineStr">
        <is>
          <t>价格必须有：日期、规格（重碱/轻碱等）、区域、口径（出厂含税/送到价/承兑）、来源。缺少任一项的观察不写入。</t>
        </is>
      </c>
    </row>
    <row r="4" ht="30" customHeight="1">
      <c r="A4" s="13" t="inlineStr">
        <is>
          <t>日期</t>
        </is>
      </c>
      <c r="B4" s="13" t="inlineStr">
        <is>
          <t>规格</t>
        </is>
      </c>
      <c r="C4" s="13" t="inlineStr">
        <is>
          <t>区域</t>
        </is>
      </c>
      <c r="D4" s="13" t="inlineStr">
        <is>
          <t>价格</t>
        </is>
      </c>
      <c r="E4" s="13" t="inlineStr">
        <is>
          <t>单位</t>
        </is>
      </c>
      <c r="F4" s="13" t="inlineStr">
        <is>
          <t>口径</t>
        </is>
      </c>
      <c r="G4" s="13" t="inlineStr">
        <is>
          <t>原文/说明</t>
        </is>
      </c>
      <c r="H4" s="13" t="inlineStr">
        <is>
          <t>来源</t>
        </is>
      </c>
    </row>
    <row r="5" ht="48" customHeight="1">
      <c r="A5" s="5" t="inlineStr">
        <is>
          <t>2026-10-19</t>
        </is>
      </c>
      <c r="B5" s="5" t="inlineStr">
        <is>
          <t>轻碱</t>
        </is>
      </c>
      <c r="C5" s="5" t="inlineStr">
        <is>
          <t>华东（含山东）</t>
        </is>
      </c>
      <c r="D5" s="16" t="n">
        <v>1000</v>
      </c>
      <c r="E5" s="5" t="inlineStr">
        <is>
          <t>元/吨</t>
        </is>
      </c>
      <c r="F5" s="5" t="inlineStr">
        <is>
          <t>出厂含税（华东，现金含税）</t>
        </is>
      </c>
      <c r="G5" s="5" t="inlineStr">
        <is>
          <t>隆众：华东轻碱出厂 1000-1100 元/吨；华东含山东但非山东单一口径，只能作上限参考。</t>
        </is>
      </c>
      <c r="H5" s="5" t="inlineStr">
        <is>
          <t>S19 隆众资讯（Mysteel 能源化工）</t>
        </is>
      </c>
    </row>
    <row r="6" ht="32" customHeight="1">
      <c r="A6" s="14" t="inlineStr">
        <is>
          <t>2026-10-19</t>
        </is>
      </c>
      <c r="B6" s="14" t="inlineStr">
        <is>
          <t>重碱</t>
        </is>
      </c>
      <c r="C6" s="14" t="inlineStr">
        <is>
          <t>华东（含山东）</t>
        </is>
      </c>
      <c r="D6" s="17" t="n">
        <v>1100</v>
      </c>
      <c r="E6" s="14" t="inlineStr">
        <is>
          <t>元/吨</t>
        </is>
      </c>
      <c r="F6" s="14" t="inlineStr">
        <is>
          <t>送到含税（华东市场）</t>
        </is>
      </c>
      <c r="G6" s="14" t="inlineStr">
        <is>
          <t>隆众：重碱 1050-1200 元/吨送到。</t>
        </is>
      </c>
      <c r="H6" s="14" t="inlineStr">
        <is>
          <t>S19 隆众资讯（Mysteel 能源化工）</t>
        </is>
      </c>
    </row>
    <row r="7" ht="32" customHeight="1">
      <c r="A7" s="5" t="inlineStr">
        <is>
          <t>2026-05-18</t>
        </is>
      </c>
      <c r="B7" s="5" t="inlineStr">
        <is>
          <t>轻碱</t>
        </is>
      </c>
      <c r="C7" s="5" t="inlineStr">
        <is>
          <t>华东（含山东）</t>
        </is>
      </c>
      <c r="D7" s="16" t="n">
        <v>1180</v>
      </c>
      <c r="E7" s="5" t="inlineStr">
        <is>
          <t>元/吨</t>
        </is>
      </c>
      <c r="F7" s="5" t="inlineStr">
        <is>
          <t>出厂含税（华东）</t>
        </is>
      </c>
      <c r="G7" s="5" t="inlineStr">
        <is>
          <t>隆众：轻碱出厂 1100-1250 元/吨。</t>
        </is>
      </c>
      <c r="H7" s="5" t="inlineStr">
        <is>
          <t>S20 隆众资讯（Mysteel 能源化工）</t>
        </is>
      </c>
    </row>
    <row r="8" ht="32" customHeight="1">
      <c r="A8" s="14" t="inlineStr">
        <is>
          <t>2026-05-18</t>
        </is>
      </c>
      <c r="B8" s="14" t="inlineStr">
        <is>
          <t>重碱</t>
        </is>
      </c>
      <c r="C8" s="14" t="inlineStr">
        <is>
          <t>华东（含山东）</t>
        </is>
      </c>
      <c r="D8" s="17" t="n">
        <v>1250</v>
      </c>
      <c r="E8" s="14" t="inlineStr">
        <is>
          <t>元/吨</t>
        </is>
      </c>
      <c r="F8" s="14" t="inlineStr">
        <is>
          <t>送到含税（华东）</t>
        </is>
      </c>
      <c r="G8" s="14" t="inlineStr">
        <is>
          <t>隆众：重碱 1230-1250 元/吨送到。</t>
        </is>
      </c>
      <c r="H8" s="14" t="inlineStr">
        <is>
          <t>S20 隆众资讯（Mysteel 能源化工）</t>
        </is>
      </c>
    </row>
    <row r="9" ht="64" customHeight="1">
      <c r="A9" s="5" t="inlineStr">
        <is>
          <t>2026-08-20</t>
        </is>
      </c>
      <c r="B9" s="5" t="inlineStr">
        <is>
          <t>纯碱（未分规格）</t>
        </is>
      </c>
      <c r="C9" s="5" t="inlineStr">
        <is>
          <t>山东潍坊</t>
        </is>
      </c>
      <c r="D9" s="16" t="n">
        <v>1050</v>
      </c>
      <c r="E9" s="5" t="inlineStr">
        <is>
          <t>元/吨</t>
        </is>
      </c>
      <c r="F9" s="5" t="inlineStr">
        <is>
          <t>商务部重要生产资料监测（优等品；未分轻重碱、未标含税）</t>
        </is>
      </c>
      <c r="G9" s="5" t="inlineStr">
        <is>
          <t>潍坊市商务局：环比持平。</t>
        </is>
      </c>
      <c r="H9" s="5" t="inlineStr">
        <is>
          <t>S14 潍坊市商务局（商务部重要生产资料监测）</t>
        </is>
      </c>
    </row>
    <row r="10" ht="32" customHeight="1">
      <c r="A10" s="14" t="inlineStr">
        <is>
          <t>2026-09-17</t>
        </is>
      </c>
      <c r="B10" s="14" t="inlineStr">
        <is>
          <t>纯碱（未分规格）</t>
        </is>
      </c>
      <c r="C10" s="14" t="inlineStr">
        <is>
          <t>山东潍坊</t>
        </is>
      </c>
      <c r="D10" s="17" t="n">
        <v>1050</v>
      </c>
      <c r="E10" s="14" t="inlineStr">
        <is>
          <t>元/吨</t>
        </is>
      </c>
      <c r="F10" s="14" t="inlineStr">
        <is>
          <t>商务部重要生产资料监测（优等品）</t>
        </is>
      </c>
      <c r="G10" s="14" t="inlineStr">
        <is>
          <t>潍坊市商务局：环比持平；7-9 月横盘于 1050。</t>
        </is>
      </c>
      <c r="H10" s="14" t="inlineStr">
        <is>
          <t>S13 潍坊市商务局（商务部重要生产资料监测）</t>
        </is>
      </c>
    </row>
    <row r="11" ht="32" customHeight="1">
      <c r="A11" s="5" t="inlineStr">
        <is>
          <t>2026-10-19</t>
        </is>
      </c>
      <c r="B11" s="5" t="inlineStr">
        <is>
          <t>轻碱</t>
        </is>
      </c>
      <c r="C11" s="5" t="inlineStr">
        <is>
          <t>全国均价</t>
        </is>
      </c>
      <c r="D11" s="16" t="n">
        <v>971</v>
      </c>
      <c r="E11" s="5" t="inlineStr">
        <is>
          <t>元/吨</t>
        </is>
      </c>
      <c r="F11" s="5" t="inlineStr">
        <is>
          <t>全国均价（百川盈孚）</t>
        </is>
      </c>
      <c r="G11" s="5" t="inlineStr">
        <is>
          <t>山东价格的全国参照系。</t>
        </is>
      </c>
      <c r="H11" s="5" t="inlineStr">
        <is>
          <t>S22 百川盈孚</t>
        </is>
      </c>
    </row>
    <row r="12" ht="32" customHeight="1">
      <c r="A12" s="14" t="inlineStr">
        <is>
          <t>2026-10-19</t>
        </is>
      </c>
      <c r="B12" s="14" t="inlineStr">
        <is>
          <t>重碱</t>
        </is>
      </c>
      <c r="C12" s="14" t="inlineStr">
        <is>
          <t>全国均价</t>
        </is>
      </c>
      <c r="D12" s="17" t="n">
        <v>1070</v>
      </c>
      <c r="E12" s="14" t="inlineStr">
        <is>
          <t>元/吨</t>
        </is>
      </c>
      <c r="F12" s="14" t="inlineStr">
        <is>
          <t>全国均价（百川盈孚）</t>
        </is>
      </c>
      <c r="G12" s="14" t="inlineStr">
        <is>
          <t>—</t>
        </is>
      </c>
      <c r="H12" s="14" t="inlineStr">
        <is>
          <t>S22 百川盈孚</t>
        </is>
      </c>
    </row>
    <row r="13" ht="32" customHeight="1">
      <c r="A13" s="5" t="inlineStr">
        <is>
          <t>2026-10-19</t>
        </is>
      </c>
      <c r="B13" s="5" t="inlineStr">
        <is>
          <t>重碱（期货主连）</t>
        </is>
      </c>
      <c r="C13" s="5" t="inlineStr">
        <is>
          <t>郑商所 SA</t>
        </is>
      </c>
      <c r="D13" s="16" t="n">
        <v>953</v>
      </c>
      <c r="E13" s="5" t="inlineStr">
        <is>
          <t>元/吨</t>
        </is>
      </c>
      <c r="F13" s="5" t="inlineStr">
        <is>
          <t>期货价（不含税、不含运费）</t>
        </is>
      </c>
      <c r="G13" s="5" t="inlineStr">
        <is>
          <t>期货低于现货送到价，反映市场对后市偏空；仅作参照。</t>
        </is>
      </c>
      <c r="H13" s="5" t="inlineStr">
        <is>
          <t>S24 东方财富</t>
        </is>
      </c>
    </row>
    <row r="14" ht="48" customHeight="1">
      <c r="A14" s="14" t="inlineStr">
        <is>
          <t>2026-10-20</t>
        </is>
      </c>
      <c r="B14" s="14" t="inlineStr">
        <is>
          <t>纯碱（贸易商）</t>
        </is>
      </c>
      <c r="C14" s="14" t="inlineStr">
        <is>
          <t>山东贸易环节</t>
        </is>
      </c>
      <c r="D14" s="17" t="n">
        <v>1200</v>
      </c>
      <c r="E14" s="14" t="inlineStr">
        <is>
          <t>元/吨</t>
        </is>
      </c>
      <c r="F14" s="14" t="inlineStr">
        <is>
          <t>贸易商市场价（小批量/零售，非出厂价）</t>
        </is>
      </c>
      <c r="G14" s="14" t="inlineStr">
        <is>
          <t>同日另有 1300 / 1350 元/吨报价。</t>
        </is>
      </c>
      <c r="H14" s="14" t="inlineStr">
        <is>
          <t>S23 生意社（100ppi）</t>
        </is>
      </c>
    </row>
    <row r="16">
      <c r="A16" s="3" t="inlineStr">
        <is>
          <t>说明与口径</t>
        </is>
      </c>
    </row>
    <row r="17" ht="15" customHeight="1">
      <c r="A17" s="15" t="inlineStr">
        <is>
          <t>· 价格是“观察值”，不是报价依据；同一日期不同口径的价格并列展示，不取平均。</t>
        </is>
      </c>
    </row>
    <row r="18" ht="15" customHeight="1">
      <c r="A18" s="15" t="inlineStr">
        <is>
          <t>· 区域价差只做“客观因素”解释（运费、货源结构、合同形式），不做套利空间测算，除非有物流报价来源。</t>
        </is>
      </c>
    </row>
    <row r="19" ht="26" customHeight="1">
      <c r="A19" s="15" t="inlineStr">
        <is>
          <t>· 区域供需特征｜潍坊（滨海 / 昌邑）：产地端：本地自产 430 万吨/年，是省内唯一大规模自产集散地；外运依赖益羊铁路与潍坊港中港区，运距最短。官方监测价 7-9 月横盘于 1050 元/吨。</t>
        </is>
      </c>
    </row>
    <row r="20" ht="26" customHeight="1">
      <c r="A20" s="15" t="inlineStr">
        <is>
          <t>· 区域供需特征｜淄博 / 枣庄（玻璃产区）：消费端：淄博日用玻璃 + 滕州浮法玻璃与深加工集群，属距产地近区；深加工比重高，对轻碱更敏感。本地无纯碱产能，由潍坊或区外调入。</t>
        </is>
      </c>
    </row>
    <row r="21" ht="26" customHeight="1">
      <c r="A21" s="15" t="inlineStr">
        <is>
          <t>· 区域供需特征｜菏泽（巨野 / 郓城）：鲁西南玻璃集群：巨润四条 700t/d + 郓城 30 座窑炉，纯碱几乎全靠跨区调入；公路运距长，运距差是价差的客观来源（无公开运价，不折算元/吨）。</t>
        </is>
      </c>
    </row>
    <row r="22" ht="15" customHeight="1">
      <c r="A22" s="15" t="inlineStr">
        <is>
          <t>· 区域供需特征｜区内 vs 区外：山东在纯碱期货交割中仅海化 1 个厂库、3 万吨额度，指定交货地河北沙河；山东不是交割主战场，价格更多跟随华东现货与沙河。</t>
        </is>
      </c>
    </row>
  </sheetData>
  <autoFilter ref="A4:H14"/>
  <mergeCells count="8">
    <mergeCell ref="A18:H18"/>
    <mergeCell ref="A21:H21"/>
    <mergeCell ref="A20:H20"/>
    <mergeCell ref="A2:H2"/>
    <mergeCell ref="A19:H19"/>
    <mergeCell ref="A1:H1"/>
    <mergeCell ref="A22:H22"/>
    <mergeCell ref="A17:H17"/>
  </mergeCells>
  <conditionalFormatting sqref="D5:D14">
    <cfRule type="colorScale" priority="1">
      <colorScale>
        <cfvo type="min"/>
        <cfvo type="max"/>
        <color rgb="00FFFFFF"/>
        <color rgb="000E7C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6" customWidth="1" min="3" max="3"/>
  </cols>
  <sheetData>
    <row r="1" ht="26" customHeight="1">
      <c r="A1" s="11" t="inlineStr">
        <is>
          <t>集中度（样本口径）与区域价差客观因素</t>
        </is>
      </c>
    </row>
    <row r="2" ht="16" customHeight="1">
      <c r="A2" s="12" t="inlineStr">
        <is>
          <t>CR3 / CR5 / HHI 基于表 06 的样本产能；样本覆盖率不足时不做“真实集中度”推断，只标注方向不确定。</t>
        </is>
      </c>
    </row>
    <row r="4" ht="30" customHeight="1">
      <c r="A4" s="13" t="inlineStr">
        <is>
          <t>指标</t>
        </is>
      </c>
      <c r="B4" s="13" t="inlineStr">
        <is>
          <t>数值</t>
        </is>
      </c>
      <c r="C4" s="13" t="inlineStr">
        <is>
          <t>口径</t>
        </is>
      </c>
    </row>
    <row r="5" ht="16" customHeight="1">
      <c r="A5" s="5" t="inlineStr">
        <is>
          <t>样本产能合计</t>
        </is>
      </c>
      <c r="B5" s="5" t="inlineStr">
        <is>
          <t>430.00 万吨/年</t>
        </is>
      </c>
      <c r="C5" s="5" t="inlineStr">
        <is>
          <t>表 06 中“生产”角色且有公开数值的厂区之和</t>
        </is>
      </c>
    </row>
    <row r="6" ht="16" customHeight="1">
      <c r="A6" s="14" t="inlineStr">
        <is>
          <t>CR1</t>
        </is>
      </c>
      <c r="B6" s="14" t="n">
        <v>65.09999999999999</v>
      </c>
      <c r="C6" s="14" t="inlineStr">
        <is>
          <t>最大单一厂区占样本产能比例</t>
        </is>
      </c>
    </row>
    <row r="7" ht="16" customHeight="1">
      <c r="A7" s="5" t="inlineStr">
        <is>
          <t>CR3</t>
        </is>
      </c>
      <c r="B7" s="5" t="n">
        <v>100</v>
      </c>
      <c r="C7" s="5" t="inlineStr">
        <is>
          <t>前三大厂区合计占样本产能比例</t>
        </is>
      </c>
    </row>
    <row r="8" ht="16" customHeight="1">
      <c r="A8" s="14" t="inlineStr">
        <is>
          <t>CR5</t>
        </is>
      </c>
      <c r="B8" s="14" t="n">
        <v>100</v>
      </c>
      <c r="C8" s="14" t="inlineStr">
        <is>
          <t>前五大厂区合计占样本产能比例</t>
        </is>
      </c>
    </row>
    <row r="9" ht="16" customHeight="1">
      <c r="A9" s="5" t="inlineStr">
        <is>
          <t>HHI</t>
        </is>
      </c>
      <c r="B9" s="5" t="n">
        <v>5457</v>
      </c>
      <c r="C9" s="5" t="inlineStr">
        <is>
          <t>平方和指数（0–10000），厂区口径</t>
        </is>
      </c>
    </row>
    <row r="10" ht="16" customHeight="1">
      <c r="A10" s="14" t="inlineStr">
        <is>
          <t>样本覆盖率</t>
        </is>
      </c>
      <c r="B10" s="14" t="n">
        <v>95.59999999999999</v>
      </c>
      <c r="C10" s="14" t="inlineStr">
        <is>
          <t>样本产能 / 区域公开口径合计（%）</t>
        </is>
      </c>
    </row>
    <row r="11" ht="48" customHeight="1">
      <c r="A11" s="5" t="inlineStr">
        <is>
          <t>Top1</t>
        </is>
      </c>
      <c r="B11" s="5" t="inlineStr">
        <is>
          <t>山东海化股份有限公司 280 65.1%</t>
        </is>
      </c>
      <c r="C11" s="5" t="inlineStr">
        <is>
          <t>厂区：山东海化纯碱厂（老线 120 + 新线 160）</t>
        </is>
      </c>
    </row>
    <row r="12" ht="48" customHeight="1">
      <c r="A12" s="14" t="inlineStr">
        <is>
          <t>Top2</t>
        </is>
      </c>
      <c r="B12" s="14" t="inlineStr">
        <is>
          <t>山东海天生物化工有限公司 150 34.9%</t>
        </is>
      </c>
      <c r="C12" s="14" t="inlineStr">
        <is>
          <t>厂区：山东海天生物化工纯碱装置（昌邑下营）</t>
        </is>
      </c>
    </row>
    <row r="13" ht="48" customHeight="1">
      <c r="A13" s="5" t="inlineStr">
        <is>
          <t>Top3</t>
        </is>
      </c>
      <c r="B13" s="5" t="inlineStr">
        <is>
          <t>山东海化股份有限公司 None 0.0%</t>
        </is>
      </c>
      <c r="C13" s="5" t="inlineStr">
        <is>
          <t>厂区：山东海化小苏打厂（一/二车间）</t>
        </is>
      </c>
    </row>
    <row r="14" ht="48" customHeight="1">
      <c r="A14" s="14" t="inlineStr">
        <is>
          <t>Top4</t>
        </is>
      </c>
      <c r="B14" s="14" t="inlineStr">
        <is>
          <t>青岛碱业发展有限公司 None 0.0%</t>
        </is>
      </c>
      <c r="C14" s="14" t="inlineStr">
        <is>
          <t>厂区：青岛碱业老厂区纯碱厂（已停产）</t>
        </is>
      </c>
    </row>
    <row r="15" ht="48" customHeight="1">
      <c r="A15" s="5" t="inlineStr">
        <is>
          <t>Top5</t>
        </is>
      </c>
      <c r="B15" s="5" t="inlineStr">
        <is>
          <t>潍坊亚星化学股份有限公司 None 0.0%</t>
        </is>
      </c>
      <c r="C15" s="5" t="inlineStr">
        <is>
          <t>厂区：潍坊亚星化学（寒亭原厂区，已停产）</t>
        </is>
      </c>
    </row>
    <row r="16" ht="64" customHeight="1">
      <c r="A16" s="14" t="inlineStr">
        <is>
          <t>Top6</t>
        </is>
      </c>
      <c r="B16" s="14" t="inlineStr">
        <is>
          <t>山东新龙科技股份有限公司（新龙集团） None 0.0%</t>
        </is>
      </c>
      <c r="C16" s="14" t="inlineStr">
        <is>
          <t>厂区：山东新龙集团田柳精细化工园厂区</t>
        </is>
      </c>
    </row>
    <row r="17" ht="48" customHeight="1">
      <c r="A17" s="5" t="inlineStr">
        <is>
          <t>Top7</t>
        </is>
      </c>
      <c r="B17" s="5" t="inlineStr">
        <is>
          <t>鲁西化工集团股份有限公司 None 0.0%</t>
        </is>
      </c>
      <c r="C17" s="5" t="inlineStr">
        <is>
          <t>厂区：鲁西化工（聊城化工新材料产业园）</t>
        </is>
      </c>
    </row>
    <row r="18" ht="48" customHeight="1">
      <c r="A18" s="14" t="inlineStr">
        <is>
          <t>Top8</t>
        </is>
      </c>
      <c r="B18" s="14" t="inlineStr">
        <is>
          <t>德州实华化工有限公司 None 0.0%</t>
        </is>
      </c>
      <c r="C18" s="14" t="inlineStr">
        <is>
          <t>厂区：德州实华化工（天衢工业园）</t>
        </is>
      </c>
    </row>
    <row r="19" ht="64" customHeight="1">
      <c r="A19" s="5" t="inlineStr">
        <is>
          <t>价差因素</t>
        </is>
      </c>
      <c r="B19" s="5" t="inlineStr">
        <is>
          <t>—</t>
        </is>
      </c>
      <c r="C19" s="5" t="inlineStr">
        <is>
          <t>运费方向：潍坊是产地，外运半径决定到厂价。淄博/枣庄距潍坊约 200-300 km，菏泽郓城/巨野约 400 km，陆运距离差是省内价差第一来源（无公开运价，不折算为元/吨）。</t>
        </is>
      </c>
    </row>
    <row r="20" ht="48" customHeight="1">
      <c r="A20" s="14" t="inlineStr">
        <is>
          <t>价差因素</t>
        </is>
      </c>
      <c r="B20" s="14" t="inlineStr">
        <is>
          <t>—</t>
        </is>
      </c>
      <c r="C20" s="14" t="inlineStr">
        <is>
          <t>货源结构：仅潍坊有自产，淄博/枣庄/菏泽玻璃厂要么从潍坊调运、要么采购区外货（江苏、内蒙天然碱），货源不同则成交口径不同。</t>
        </is>
      </c>
    </row>
    <row r="21" ht="48" customHeight="1">
      <c r="A21" s="5" t="inlineStr">
        <is>
          <t>价差因素</t>
        </is>
      </c>
      <c r="B21" s="5" t="inlineStr">
        <is>
          <t>—</t>
        </is>
      </c>
      <c r="C21" s="5" t="inlineStr">
        <is>
          <t>产品结构：日用玻璃（博山、郓城）用轻碱，浮法玻璃用重碱，两规格价差与供给弹性不同，不存在一个统一的山东纯碱价。</t>
        </is>
      </c>
    </row>
    <row r="22" ht="48" customHeight="1">
      <c r="A22" s="14" t="inlineStr">
        <is>
          <t>价差因素</t>
        </is>
      </c>
      <c r="B22" s="14" t="inlineStr">
        <is>
          <t>—</t>
        </is>
      </c>
      <c r="C22" s="14" t="inlineStr">
        <is>
          <t>交割与定价基准：山东仅海化 1 个交割厂库（3 万吨额度），指定交货地在河北沙河，山东现货更多跟随华东与沙河，而非本地升贴水。</t>
        </is>
      </c>
    </row>
    <row r="23" ht="48" customHeight="1">
      <c r="A23" s="5" t="inlineStr">
        <is>
          <t>价差因素</t>
        </is>
      </c>
      <c r="B23" s="5" t="inlineStr">
        <is>
          <t>—</t>
        </is>
      </c>
      <c r="C23" s="5" t="inlineStr">
        <is>
          <t>合同形式：大玻璃厂以长约 + 月度调价为主；贸易商小批量报价 1200-1350 元/吨，明显高于资讯机构出厂口径，这是渠道加价而非市场涨价。</t>
        </is>
      </c>
    </row>
    <row r="25">
      <c r="A25" s="3" t="inlineStr">
        <is>
          <t>说明与口径</t>
        </is>
      </c>
    </row>
    <row r="26" ht="15" customHeight="1">
      <c r="A26" s="15" t="inlineStr">
        <is>
          <t>· 集中度只能说明“已核实产能的集中程度”，不能直接推导价格走势或定价权。</t>
        </is>
      </c>
    </row>
    <row r="27" ht="15" customHeight="1">
      <c r="A27" s="15" t="inlineStr">
        <is>
          <t>· 区域价差的客观因素包括：到厂运距与运费、货源结构（本地自产/区外调入）、下游集中度、合同形式（长约/散单）、交割库与库容、品质与包装差异。</t>
        </is>
      </c>
    </row>
    <row r="28" ht="26" customHeight="1">
      <c r="A28" s="15" t="inlineStr">
        <is>
          <t>· 样本口径 CR3/CR5/HHI 接近垄断结构（只有 2 个厂区），这本身不能推导有定价权：纯碱是全国性商品，山东厂商定价同时受沙河交割、内蒙天然碱与华东到货约束。区域集中只能说明本地供给弹性极低，断供会很快传导到本地玻璃厂。</t>
        </is>
      </c>
    </row>
  </sheetData>
  <autoFilter ref="A4:C23"/>
  <mergeCells count="5">
    <mergeCell ref="A1:D1"/>
    <mergeCell ref="A27:D27"/>
    <mergeCell ref="A26:D26"/>
    <mergeCell ref="A2:D2"/>
    <mergeCell ref="A28:D2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4" customWidth="1" min="3" max="3"/>
    <col width="40" customWidth="1" min="4" max="4"/>
    <col width="34" customWidth="1" min="5" max="5"/>
    <col width="40" customWidth="1" min="6" max="6"/>
    <col width="8" customWidth="1" min="7" max="7"/>
  </cols>
  <sheetData>
    <row r="1" ht="26" customHeight="1">
      <c r="A1" s="11" t="inlineStr">
        <is>
          <t>数据缺口清单：缺什么、影响什么、怎么补</t>
        </is>
      </c>
    </row>
    <row r="2" ht="16" customHeight="1">
      <c r="A2" s="12" t="inlineStr">
        <is>
          <t>缺口不是免责声明，是下一轮调研的作业单。缺失的地区/企业/产能明确标记，不以假设填补。</t>
        </is>
      </c>
    </row>
    <row r="4" ht="30" customHeight="1">
      <c r="A4" s="13" t="inlineStr">
        <is>
          <t>序号</t>
        </is>
      </c>
      <c r="B4" s="13" t="inlineStr">
        <is>
          <t>缺口事项</t>
        </is>
      </c>
      <c r="C4" s="13" t="inlineStr">
        <is>
          <t>涉及区域/对象</t>
        </is>
      </c>
      <c r="D4" s="13" t="inlineStr">
        <is>
          <t>为什么缺</t>
        </is>
      </c>
      <c r="E4" s="13" t="inlineStr">
        <is>
          <t>对结论的影响</t>
        </is>
      </c>
      <c r="F4" s="13" t="inlineStr">
        <is>
          <t>补齐方式</t>
        </is>
      </c>
      <c r="G4" s="13" t="inlineStr">
        <is>
          <t>优先级</t>
        </is>
      </c>
    </row>
    <row r="5" ht="48" customHeight="1">
      <c r="A5" s="5" t="n">
        <v>1</v>
      </c>
      <c r="B5" s="5" t="inlineStr">
        <is>
          <t>山东纯碱企业全名单（政府侧）</t>
        </is>
      </c>
      <c r="C5" s="5" t="inlineStr">
        <is>
          <t>全省</t>
        </is>
      </c>
      <c r="D5" s="5" t="inlineStr">
        <is>
          <t>仅 2 家的结论来自上市公司 + 资讯机构 + 协会分企业表交叉，缺省工信厅/排污许可平台全名单</t>
        </is>
      </c>
      <c r="E5" s="5" t="inlineStr">
        <is>
          <t>不能排除未跟踪的小联碱或副产碱装置，省合计可能低估</t>
        </is>
      </c>
      <c r="F5" s="5" t="inlineStr">
        <is>
          <t>全国排污许可平台按无机碱制造拉山东名单；省工信厅化工园区认定名单</t>
        </is>
      </c>
      <c r="G5" s="5" t="inlineStr">
        <is>
          <t>P0</t>
        </is>
      </c>
    </row>
    <row r="6" ht="48" customHeight="1">
      <c r="A6" s="14" t="n">
        <v>2</v>
      </c>
      <c r="B6" s="14" t="inlineStr">
        <is>
          <t>海天 150 万吨口径的构成与工艺定案</t>
        </is>
      </c>
      <c r="C6" s="14" t="inlineStr">
        <is>
          <t>昌邑下营</t>
        </is>
      </c>
      <c r="D6" s="14" t="inlineStr">
        <is>
          <t>工程原文 100 万吨/年，市面通行 150 万吨；工艺仅 C 级交叉证据</t>
        </is>
      </c>
      <c r="E6" s="14" t="inlineStr">
        <is>
          <t>海天产能区间 100-150 万吨、工艺氨碱待定，省合计在 380-430 之间摆动</t>
        </is>
      </c>
      <c r="F6" s="14" t="inlineStr">
        <is>
          <t>排污许可证自行监测方案、昌邑分局环评批复、金晶年报主要产品产能表</t>
        </is>
      </c>
      <c r="G6" s="14" t="inlineStr">
        <is>
          <t>P0</t>
        </is>
      </c>
    </row>
    <row r="7" ht="32" customHeight="1">
      <c r="A7" s="5" t="n">
        <v>3</v>
      </c>
      <c r="B7" s="5" t="inlineStr">
        <is>
          <t>海化减量置换的开工与批复证据</t>
        </is>
      </c>
      <c r="C7" s="5" t="inlineStr">
        <is>
          <t>潍坊滨海</t>
        </is>
      </c>
      <c r="D7" s="5" t="inlineStr">
        <is>
          <t>仅见计划 2026-10 开工的媒体转述，未见开工通报、二次环评批复、省发改委备案号</t>
        </is>
      </c>
      <c r="E7" s="5" t="inlineStr">
        <is>
          <t>净减 20 万吨的实现时点不确定；若政策不豁免新建联碱，项目可能延后</t>
        </is>
      </c>
      <c r="F7" s="5" t="inlineStr">
        <is>
          <t>潍坊滨海区发改局项目备案公示、海化官网工程进展、环评二次公示</t>
        </is>
      </c>
      <c r="G7" s="5" t="inlineStr">
        <is>
          <t>P0</t>
        </is>
      </c>
    </row>
    <row r="8" ht="32" customHeight="1">
      <c r="A8" s="14" t="n">
        <v>4</v>
      </c>
      <c r="B8" s="14" t="inlineStr">
        <is>
          <t>山东单省分规格连续价格序列</t>
        </is>
      </c>
      <c r="C8" s="14" t="inlineStr">
        <is>
          <t>全省</t>
        </is>
      </c>
      <c r="D8" s="14" t="inlineStr">
        <is>
          <t>资讯机构按华东大区报价，山东单省口径未公开；潍坊商务局监测不分轻重碱</t>
        </is>
      </c>
      <c r="E8" s="14" t="inlineStr">
        <is>
          <t>无法给出山东轻/重碱本地价差与季节性</t>
        </is>
      </c>
      <c r="F8" s="14" t="inlineStr">
        <is>
          <t>订阅隆众/卓创山东历史库；或向 3-5 家本地贸易商做月度询价</t>
        </is>
      </c>
      <c r="G8" s="14" t="inlineStr">
        <is>
          <t>P1</t>
        </is>
      </c>
    </row>
    <row r="9" ht="32" customHeight="1">
      <c r="A9" s="5" t="n">
        <v>5</v>
      </c>
      <c r="B9" s="5" t="inlineStr">
        <is>
          <t>玻璃厂实际耗碱量与采购半径</t>
        </is>
      </c>
      <c r="C9" s="5" t="inlineStr">
        <is>
          <t>淄博/枣庄/菏泽</t>
        </is>
      </c>
      <c r="D9" s="5" t="inlineStr">
        <is>
          <t>日熔量公开，但吨玻璃耗碱与采购来源未公开</t>
        </is>
      </c>
      <c r="E9" s="5" t="inlineStr">
        <is>
          <t>不能把下游规模换算成纯碱需求，供需平衡无法定量</t>
        </is>
      </c>
      <c r="F9" s="5" t="inlineStr">
        <is>
          <t>玻璃企业年报原辅材料、环评报告表原辅材料消耗表</t>
        </is>
      </c>
      <c r="G9" s="5" t="inlineStr">
        <is>
          <t>P1</t>
        </is>
      </c>
    </row>
    <row r="10" ht="16" customHeight="1">
      <c r="A10" s="14" t="n">
        <v>6</v>
      </c>
      <c r="B10" s="14" t="inlineStr">
        <is>
          <t>贸易商数量与库存</t>
        </is>
      </c>
      <c r="C10" s="14" t="inlineStr">
        <is>
          <t>潍坊/寿光</t>
        </is>
      </c>
      <c r="D10" s="14" t="inlineStr">
        <is>
          <t>仅有报价，无商户名录与库存数据</t>
        </is>
      </c>
      <c r="E10" s="14" t="inlineStr">
        <is>
          <t>无法量化渠道库存对区域价格的缓冲</t>
        </is>
      </c>
      <c r="F10" s="14" t="inlineStr">
        <is>
          <t>工商名录按纯碱销售筛选 + 实地走访</t>
        </is>
      </c>
      <c r="G10" s="14" t="inlineStr">
        <is>
          <t>P2</t>
        </is>
      </c>
    </row>
    <row r="11" ht="32" customHeight="1">
      <c r="A11" s="5" t="n">
        <v>7</v>
      </c>
      <c r="B11" s="5" t="inlineStr">
        <is>
          <t>园区/厂区精确坐标</t>
        </is>
      </c>
      <c r="C11" s="5" t="inlineStr">
        <is>
          <t>潍坊滨海、昌邑下营、淄博、菏泽</t>
        </is>
      </c>
      <c r="D11" s="5" t="inlineStr">
        <is>
          <t>OSM 只有海化厂区面与部分港口/站场；海天企业面落在滩涂，园区多无面</t>
        </is>
      </c>
      <c r="E11" s="5" t="inlineStr">
        <is>
          <t>地图上海天与巨润只能到县级/市级，不能作为装置位置</t>
        </is>
      </c>
      <c r="F11" s="5" t="inlineStr">
        <is>
          <t>环评批复附图坐标、排污许可证地址坐标、园区规划环评中心坐标</t>
        </is>
      </c>
      <c r="G11" s="5" t="inlineStr">
        <is>
          <t>P1</t>
        </is>
      </c>
    </row>
    <row r="13">
      <c r="A13" s="3" t="inlineStr">
        <is>
          <t>说明与口径</t>
        </is>
      </c>
    </row>
    <row r="14" ht="15" customHeight="1">
      <c r="A14" s="15" t="inlineStr">
        <is>
          <t>· 优先级：P0 = 影响供需判断或点位正确性，交付前必须确认；P1 = 影响份额与区划判断；P2 = 影响细节描述。</t>
        </is>
      </c>
    </row>
    <row r="15" ht="15" customHeight="1">
      <c r="A15" s="15" t="inlineStr">
        <is>
          <t>· 涉及“某城市无数据”的，在 03 表中该城市行写“—”，并在本表登记原因。</t>
        </is>
      </c>
    </row>
  </sheetData>
  <autoFilter ref="A4:G11"/>
  <mergeCells count="4">
    <mergeCell ref="A14:G14"/>
    <mergeCell ref="A2:G2"/>
    <mergeCell ref="A1:G1"/>
    <mergeCell ref="A15:G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26" customHeight="1">
      <c r="A1" s="11" t="inlineStr">
        <is>
          <t>口径、核验记录与聚合规则</t>
        </is>
      </c>
    </row>
    <row r="2" ht="16" customHeight="1">
      <c r="A2" s="12" t="inlineStr">
        <is>
          <t>这一页写给下一个人：数字怎么来的、怎么算的、谁核的、哪一天核的。</t>
        </is>
      </c>
    </row>
    <row r="4" ht="30" customHeight="1">
      <c r="A4" s="13" t="inlineStr">
        <is>
          <t>条目</t>
        </is>
      </c>
      <c r="B4" s="13" t="inlineStr">
        <is>
          <t>内容</t>
        </is>
      </c>
    </row>
    <row r="5" ht="32" customHeight="1">
      <c r="A5" s="5" t="inlineStr">
        <is>
          <t>编制说明</t>
        </is>
      </c>
      <c r="B5" s="5" t="inlineStr">
        <is>
          <t>品种：纯碱｜区域：山东省｜截至 2026-10-20：在产主体 2 家、合计 430 万吨/年（公开设计产能口径），全部落在潍坊；工艺全部为氨碱法；2028 年前唯一供给变化是海化以 100 万吨联碱减量置换 120 万吨氨碱（净减 20 万吨/年）。</t>
        </is>
      </c>
    </row>
    <row r="6" ht="16" customHeight="1">
      <c r="A6" s="14" t="inlineStr">
        <is>
          <t>数据截至</t>
        </is>
      </c>
      <c r="B6" s="14" t="inlineStr">
        <is>
          <t>2026-10-20</t>
        </is>
      </c>
    </row>
    <row r="7" ht="16" customHeight="1">
      <c r="A7" s="5" t="inlineStr">
        <is>
          <t>产能口径</t>
        </is>
      </c>
      <c r="B7" s="5" t="inlineStr">
        <is>
          <t>名义/设计产能（不等于产量、不等于可售量）</t>
        </is>
      </c>
    </row>
    <row r="8" ht="48" customHeight="1">
      <c r="A8" s="14" t="inlineStr">
        <is>
          <t>覆盖口径</t>
        </is>
      </c>
      <c r="B8" s="14" t="inlineStr">
        <is>
          <t>样本产能 430 万吨/年 = 海化 280 + 海天 150（均为公开口径，非推算）。另有省市口径 450 万吨/年（郑商所投教材料：2020 年山东 450 万吨、全国 3317 万吨，数据源为国家统计局 + 卓创），与本表相差 20 万吨，差额未逐一核实：不分摊、不并入任何企业。</t>
        </is>
      </c>
    </row>
    <row r="9" ht="32" customHeight="1">
      <c r="A9" s="5" t="inlineStr">
        <is>
          <t>地址规则</t>
        </is>
      </c>
      <c r="B9" s="5" t="inlineStr">
        <is>
          <t>注册地址只用于确认法人主体；装置位置一律取实际生产地址或园区位置。海化注册地与厂区同址是少数例外（沂河大街 014201 号即厂区门牌），表中已注明注册地同址。</t>
        </is>
      </c>
    </row>
    <row r="10" ht="16" customHeight="1">
      <c r="A10" s="14" t="inlineStr">
        <is>
          <t>主体口径</t>
        </is>
      </c>
      <c r="B10" s="14" t="inlineStr">
        <is>
          <t>企业（集团）不等于厂区；汇总按厂区，同一集团多厂区分列；注册地不生成点位。</t>
        </is>
      </c>
    </row>
    <row r="11" ht="16" customHeight="1">
      <c r="A11" s="5" t="inlineStr">
        <is>
          <t>产能口径</t>
        </is>
      </c>
      <c r="B11" s="5" t="inlineStr">
        <is>
          <t>一律为名义/设计产能，不等于产量、不等于可售量；原文存 raw_capacity，口径差异写 capacity_basis。</t>
        </is>
      </c>
    </row>
    <row r="12" ht="16" customHeight="1">
      <c r="A12" s="14" t="inlineStr">
        <is>
          <t>覆盖口径</t>
        </is>
      </c>
      <c r="B12" s="14" t="inlineStr">
        <is>
          <t>样本产能 / 公开口径 = 覆盖率；差额在缺口表登记，不分摊到企业。</t>
        </is>
      </c>
    </row>
    <row r="13" ht="16" customHeight="1">
      <c r="A13" s="5" t="inlineStr">
        <is>
          <t>多口径并列</t>
        </is>
      </c>
      <c r="B13" s="5" t="inlineStr">
        <is>
          <t>同一事实有两个以上公开数字（430 vs 450）时并列展示，不取平均、不择优。</t>
        </is>
      </c>
    </row>
    <row r="14" ht="16" customHeight="1">
      <c r="A14" s="14" t="inlineStr">
        <is>
          <t>点位口径</t>
        </is>
      </c>
      <c r="B14" s="14" t="inlineStr">
        <is>
          <t>精确 = 可作位置；园区级 = 园区中心；县级/市级 = 仅示意；注册地址永不生成点位。</t>
        </is>
      </c>
    </row>
    <row r="15" ht="16" customHeight="1">
      <c r="A15" s="5" t="inlineStr">
        <is>
          <t>衍生品排除</t>
        </is>
      </c>
      <c r="B15" s="5" t="inlineStr">
        <is>
          <t>小苏打、过碳酸钠等以纯碱为原料的装置只作下游/配套记录，不进入纯碱产能合计。</t>
        </is>
      </c>
    </row>
    <row r="16" ht="16" customHeight="1">
      <c r="A16" s="14" t="inlineStr">
        <is>
          <t>净增量</t>
        </is>
      </c>
      <c r="B16" s="14" t="inlineStr">
        <is>
          <t>净增量 = 新增 - 退出；退出无法确认的 net=null 且不计入合计；置换类必须两栏都填。</t>
        </is>
      </c>
    </row>
    <row r="17" ht="16" customHeight="1">
      <c r="A17" s="5" t="inlineStr">
        <is>
          <t>判定边界</t>
        </is>
      </c>
      <c r="B17" s="5" t="inlineStr">
        <is>
          <t>只有 2 家是本次可核实下限，不等于绝对事实；否证条目已入表并注明依据。</t>
        </is>
      </c>
    </row>
    <row r="18" ht="16" customHeight="1">
      <c r="A18" s="14" t="inlineStr">
        <is>
          <t>使用边界</t>
        </is>
      </c>
      <c r="B18" s="14" t="inlineStr">
        <is>
          <t>本页用于理解区域产业基础 + 供需结构 + 潜在物流关系，不能据企业数量直接判断供需平衡。</t>
        </is>
      </c>
    </row>
    <row r="19" ht="16" customHeight="1">
      <c r="A19" s="5" t="inlineStr">
        <is>
          <t>使用边界</t>
        </is>
      </c>
      <c r="B19" s="5" t="inlineStr">
        <is>
          <t>所有产能数字须回到来源核对；本页不给山东纯碱供需缺口这类需要吨耗数据的结论。</t>
        </is>
      </c>
    </row>
    <row r="20" ht="16" customHeight="1">
      <c r="A20" s="14" t="inlineStr">
        <is>
          <t>使用边界</t>
        </is>
      </c>
      <c r="B20" s="14" t="inlineStr">
        <is>
          <t>换品种/换区域只需替换 regions.json，脚本与模板不变。</t>
        </is>
      </c>
    </row>
    <row r="22">
      <c r="A22" s="3" t="inlineStr">
        <is>
          <t>说明与口径</t>
        </is>
      </c>
    </row>
    <row r="23" ht="15" customHeight="1">
      <c r="A23" s="15" t="inlineStr">
        <is>
          <t>· 构建命令：python scripts/build_all.py regions.json --out out --name &lt;品种-区域&gt;</t>
        </is>
      </c>
    </row>
    <row r="24" ht="15" customHeight="1">
      <c r="A24" s="15" t="inlineStr">
        <is>
          <t>· 校验命令：python scripts/validate.py regions.json --strict（error 阻断交付）</t>
        </is>
      </c>
    </row>
    <row r="25" ht="15" customHeight="1">
      <c r="A25" s="15" t="inlineStr">
        <is>
          <t>· 体检命令：python scripts/qa.py "&lt;产物.html&gt;" "&lt;产物.xlsx&gt;"（真浏览器渲染 + 表格核对）</t>
        </is>
      </c>
    </row>
  </sheetData>
  <autoFilter ref="A4:B20"/>
  <mergeCells count="5">
    <mergeCell ref="A1:D1"/>
    <mergeCell ref="A23:D23"/>
    <mergeCell ref="A25:D25"/>
    <mergeCell ref="A24:D24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6" customWidth="1" min="3" max="3"/>
    <col width="14" customWidth="1" min="4" max="4"/>
    <col width="12" customWidth="1" min="5" max="5"/>
    <col width="7" customWidth="1" min="6" max="6"/>
    <col width="60" customWidth="1" min="7" max="7"/>
    <col width="40" customWidth="1" min="8" max="8"/>
  </cols>
  <sheetData>
    <row r="1" ht="26" customHeight="1">
      <c r="A1" s="11" t="inlineStr">
        <is>
          <t>来源清单</t>
        </is>
      </c>
    </row>
    <row r="2" ht="16" customHeight="1">
      <c r="A2" s="12" t="inlineStr">
        <is>
          <t>等级：A 政府公示/交易所公告/企业年报；B 行业协会/主流媒体/上市公司信息平台；C 企业官网/行业资讯/地方媒体；D 未核实（仅线索）。</t>
        </is>
      </c>
    </row>
    <row r="4" ht="30" customHeight="1">
      <c r="A4" s="13" t="inlineStr">
        <is>
          <t>编号</t>
        </is>
      </c>
      <c r="B4" s="13" t="inlineStr">
        <is>
          <t>发布方</t>
        </is>
      </c>
      <c r="C4" s="13" t="inlineStr">
        <is>
          <t>标题</t>
        </is>
      </c>
      <c r="D4" s="13" t="inlineStr">
        <is>
          <t>类型</t>
        </is>
      </c>
      <c r="E4" s="13" t="inlineStr">
        <is>
          <t>日期</t>
        </is>
      </c>
      <c r="F4" s="13" t="inlineStr">
        <is>
          <t>等级</t>
        </is>
      </c>
      <c r="G4" s="13" t="inlineStr">
        <is>
          <t>URL</t>
        </is>
      </c>
      <c r="H4" s="13" t="inlineStr">
        <is>
          <t>引用内容</t>
        </is>
      </c>
    </row>
    <row r="5" ht="48" customHeight="1">
      <c r="A5" s="16" t="n">
        <v>1</v>
      </c>
      <c r="B5" s="5" t="inlineStr">
        <is>
          <t>山东海化股份有限公司（000822）</t>
        </is>
      </c>
      <c r="C5" s="5" t="inlineStr">
        <is>
          <t>山东海化 2025 年年度报告（主要产品产能表：纯碱设计产能 280 万吨、产能利用率 97.29%）</t>
        </is>
      </c>
      <c r="D5" s="5" t="inlineStr">
        <is>
          <t>上市公司年报</t>
        </is>
      </c>
      <c r="E5" s="5" t="inlineStr">
        <is>
          <t>2026-03</t>
        </is>
      </c>
      <c r="F5" s="5" t="inlineStr">
        <is>
          <t>A</t>
        </is>
      </c>
      <c r="G5" s="5" t="inlineStr">
        <is>
          <t>https://static.cninfo.com.cn/finalpage/2026-03-21/1225022066.PDF</t>
        </is>
      </c>
      <c r="H5" s="5" t="inlineStr">
        <is>
          <t>纯碱设计产能 280 万吨/年、利用率 97.29%；可查证原盐/石灰石/无烟煤采购占比 38.65%/24.34%/19.21%。</t>
        </is>
      </c>
    </row>
    <row r="6" ht="48" customHeight="1">
      <c r="A6" s="17" t="n">
        <v>2</v>
      </c>
      <c r="B6" s="14" t="inlineStr">
        <is>
          <t>山东海化股份有限公司官网</t>
        </is>
      </c>
      <c r="C6" s="14" t="inlineStr">
        <is>
          <t>山东海化股份有限公司纯碱厂简介（老线 120 万吨 + 新线 160 万吨，年产能 280 万吨）</t>
        </is>
      </c>
      <c r="D6" s="14" t="inlineStr">
        <is>
          <t>企业官网-成员企业</t>
        </is>
      </c>
      <c r="E6" s="14" t="inlineStr">
        <is>
          <t>2025</t>
        </is>
      </c>
      <c r="F6" s="14" t="inlineStr">
        <is>
          <t>C</t>
        </is>
      </c>
      <c r="G6" s="14" t="inlineStr">
        <is>
          <t>https://www.haihua.com.cn/About_11/1664471386467147776.html</t>
        </is>
      </c>
      <c r="H6" s="14" t="inlineStr">
        <is>
          <t>厂址：潍坊滨海经济技术开发区沂河大街 014201 号；氨碱法；1989 年投产，原设计 60 万吨。</t>
        </is>
      </c>
    </row>
    <row r="7" ht="48" customHeight="1">
      <c r="A7" s="16" t="n">
        <v>3</v>
      </c>
      <c r="B7" s="5" t="inlineStr">
        <is>
          <t>山东海化股份有限公司官网</t>
        </is>
      </c>
      <c r="C7" s="5" t="inlineStr">
        <is>
          <t>山东海化股份有限公司小苏打厂简介（现实际产量 8 万吨/年）</t>
        </is>
      </c>
      <c r="D7" s="5" t="inlineStr">
        <is>
          <t>企业官网-成员企业</t>
        </is>
      </c>
      <c r="E7" s="5" t="inlineStr">
        <is>
          <t>2025</t>
        </is>
      </c>
      <c r="F7" s="5" t="inlineStr">
        <is>
          <t>C</t>
        </is>
      </c>
      <c r="G7" s="5" t="inlineStr">
        <is>
          <t>https://www.haihua.com.cn/About_11/1664471480748367872.html</t>
        </is>
      </c>
      <c r="H7" s="5" t="inlineStr">
        <is>
          <t>沂河大街 14266 号；1988 年始建，三次扩产至 5 万吨，现实际 8 万吨，占市场份额约 3%。</t>
        </is>
      </c>
    </row>
    <row r="8" ht="48" customHeight="1">
      <c r="A8" s="17" t="n">
        <v>4</v>
      </c>
      <c r="B8" s="14" t="inlineStr">
        <is>
          <t>山东海化股份有限公司（环境信息公开）</t>
        </is>
      </c>
      <c r="C8" s="14" t="inlineStr">
        <is>
          <t>纯碱装置提质增效节能环保改造工程 环境影响评价公众参与第一次公示</t>
        </is>
      </c>
      <c r="D8" s="14" t="inlineStr">
        <is>
          <t>环评公示</t>
        </is>
      </c>
      <c r="E8" s="14" t="inlineStr">
        <is>
          <t>2026-01-12</t>
        </is>
      </c>
      <c r="F8" s="14" t="inlineStr">
        <is>
          <t>A</t>
        </is>
      </c>
      <c r="G8" s="14" t="inlineStr">
        <is>
          <t>https://www.haihua.com.cn/news_detail/224.html</t>
        </is>
      </c>
      <c r="H8" s="14" t="inlineStr">
        <is>
          <t>拆除 120 万吨/年氨碱线碳化塔/滤碱机/蒸馏塔等，建 100 万吨/年联碱线 + 40 万吨/年合成氨；建设地点潍坊滨海化工产业园。</t>
        </is>
      </c>
    </row>
    <row r="9" ht="48" customHeight="1">
      <c r="A9" s="16" t="n">
        <v>5</v>
      </c>
      <c r="B9" s="5" t="inlineStr">
        <is>
          <t>山东海化股份有限公司（巨潮资讯）</t>
        </is>
      </c>
      <c r="C9" s="5" t="inlineStr">
        <is>
          <t>关于实施纯碱装置提质增效节能环保改造工程的公告（投资 48.37 亿元，1.2:1 减量置换）</t>
        </is>
      </c>
      <c r="D9" s="5" t="inlineStr">
        <is>
          <t>上市公司公告</t>
        </is>
      </c>
      <c r="E9" s="5" t="inlineStr">
        <is>
          <t>2026-02-25</t>
        </is>
      </c>
      <c r="F9" s="5" t="inlineStr">
        <is>
          <t>A</t>
        </is>
      </c>
      <c r="G9" s="5" t="inlineStr">
        <is>
          <t>https://static.cninfo.com.cn/finalpage/2026-02-26/1224984220.PDF</t>
        </is>
      </c>
      <c r="H9" s="5" t="inlineStr">
        <is>
          <t>100 万吨/年联碱置换 120 万吨/年氨碱；产轻碱 40 万吨、重碱 60 万吨，副产氯化铵 103 万吨。</t>
        </is>
      </c>
    </row>
    <row r="10" ht="32" customHeight="1">
      <c r="A10" s="17" t="n">
        <v>6</v>
      </c>
      <c r="B10" s="14" t="inlineStr">
        <is>
          <t>山东海化股份有限公司</t>
        </is>
      </c>
      <c r="C10" s="14" t="inlineStr">
        <is>
          <t>控股股东申请新型政策性金融工具借款不超过 4.83 亿元专项投入改造工程</t>
        </is>
      </c>
      <c r="D10" s="14" t="inlineStr">
        <is>
          <t>上市公司公告</t>
        </is>
      </c>
      <c r="E10" s="14" t="inlineStr">
        <is>
          <t>2026-10-11</t>
        </is>
      </c>
      <c r="F10" s="14" t="inlineStr">
        <is>
          <t>A</t>
        </is>
      </c>
      <c r="G10" s="14" t="inlineStr">
        <is>
          <t>https://www.haihua.com.cn/news_detail/249.html</t>
        </is>
      </c>
      <c r="H10" s="14" t="inlineStr">
        <is>
          <t>项目被列为省级重点项目；2026-08-21 基础设计专家评审会原则通过。</t>
        </is>
      </c>
    </row>
    <row r="11" ht="32" customHeight="1">
      <c r="A11" s="16" t="n">
        <v>7</v>
      </c>
      <c r="B11" s="5" t="inlineStr">
        <is>
          <t>山东海化股份有限公司官网</t>
        </is>
      </c>
      <c r="C11" s="5" t="inlineStr">
        <is>
          <t>首船进口盐抵港 海化供应链战略关键落子</t>
        </is>
      </c>
      <c r="D11" s="5" t="inlineStr">
        <is>
          <t>企业新闻</t>
        </is>
      </c>
      <c r="E11" s="5" t="inlineStr">
        <is>
          <t>2025</t>
        </is>
      </c>
      <c r="F11" s="5" t="inlineStr">
        <is>
          <t>B</t>
        </is>
      </c>
      <c r="G11" s="5" t="inlineStr">
        <is>
          <t>https://www.haihua.com.cn/news_detail/223.html</t>
        </is>
      </c>
      <c r="H11" s="5" t="inlineStr">
        <is>
          <t>外购原盐占比超 50%，进口盐经寿光港/潍坊港抵港，说明本地盐不足以自给。</t>
        </is>
      </c>
    </row>
    <row r="12" ht="32" customHeight="1">
      <c r="A12" s="17" t="n">
        <v>8</v>
      </c>
      <c r="B12" s="14" t="inlineStr">
        <is>
          <t>山东海化股份有限公司官网</t>
        </is>
      </c>
      <c r="C12" s="14" t="inlineStr">
        <is>
          <t>成员企业名录：山东海化能源有限公司铁运分公司</t>
        </is>
      </c>
      <c r="D12" s="14" t="inlineStr">
        <is>
          <t>企业官网</t>
        </is>
      </c>
      <c r="E12" s="14" t="inlineStr">
        <is>
          <t>2025</t>
        </is>
      </c>
      <c r="F12" s="14" t="inlineStr">
        <is>
          <t>C</t>
        </is>
      </c>
      <c r="G12" s="14" t="inlineStr">
        <is>
          <t>https://www.haihua.com.cn/About_11/1664474060112789504.html</t>
        </is>
      </c>
      <c r="H12" s="14" t="inlineStr">
        <is>
          <t>海化自有铁路运输组织，对应益羊铁路接轨点大家洼站。</t>
        </is>
      </c>
    </row>
    <row r="13" ht="48" customHeight="1">
      <c r="A13" s="16" t="n">
        <v>9</v>
      </c>
      <c r="B13" s="5" t="inlineStr">
        <is>
          <t>山东金晶科技股份有限公司（600586）</t>
        </is>
      </c>
      <c r="C13" s="5" t="inlineStr">
        <is>
          <t>金晶科技 2025 年年度报告（山东海天生物化工年产能 150 万吨；淄博 5×600T/D、滕州 2×600T/D+2×800T/D）</t>
        </is>
      </c>
      <c r="D13" s="5" t="inlineStr">
        <is>
          <t>上市公司年报</t>
        </is>
      </c>
      <c r="E13" s="5" t="inlineStr">
        <is>
          <t>2026-04-25</t>
        </is>
      </c>
      <c r="F13" s="5" t="inlineStr">
        <is>
          <t>A</t>
        </is>
      </c>
      <c r="G13" s="5" t="inlineStr">
        <is>
          <t>https://stockmc.xueqiu.com/202604/600586_20260425_ROF4.pdf</t>
        </is>
      </c>
      <c r="H13" s="5" t="inlineStr">
        <is>
          <t>纯碱业务主体为山东海天生物化工；产品部分配套山东区域玻璃产线、其余外销。</t>
        </is>
      </c>
    </row>
    <row r="14" ht="32" customHeight="1">
      <c r="A14" s="17" t="n">
        <v>10</v>
      </c>
      <c r="B14" s="14" t="inlineStr">
        <is>
          <t>山东金晶科技股份有限公司</t>
        </is>
      </c>
      <c r="C14" s="14" t="inlineStr">
        <is>
          <t>非公开发行募集资金用于海天生化年产 100 万吨纯碱项目</t>
        </is>
      </c>
      <c r="D14" s="14" t="inlineStr">
        <is>
          <t>上市公司公告</t>
        </is>
      </c>
      <c r="E14" s="14" t="inlineStr">
        <is>
          <t>2006-08-08</t>
        </is>
      </c>
      <c r="F14" s="14" t="inlineStr">
        <is>
          <t>A</t>
        </is>
      </c>
      <c r="G14" s="14" t="inlineStr">
        <is>
          <t>https://finance.sina.cn/sa/2006-08-08/detail-ikknscsi3623888.d.html?vt=4</t>
        </is>
      </c>
      <c r="H14" s="14" t="inlineStr">
        <is>
          <t>项目位于潍坊昌邑市辖区；地下卤水浓度比海水高 2–3 倍。</t>
        </is>
      </c>
    </row>
    <row r="15" ht="32" customHeight="1">
      <c r="A15" s="16" t="n">
        <v>11</v>
      </c>
      <c r="B15" s="5" t="inlineStr">
        <is>
          <t>郑州商品交易所</t>
        </is>
      </c>
      <c r="C15" s="5" t="inlineStr">
        <is>
          <t>郑商所公告〔2023〕100 号：增设纯碱指定交割厂库（山东海化，仓单 3 万吨额度）</t>
        </is>
      </c>
      <c r="D15" s="5" t="inlineStr">
        <is>
          <t>交易所公告</t>
        </is>
      </c>
      <c r="E15" s="5" t="inlineStr">
        <is>
          <t>2023-09-20</t>
        </is>
      </c>
      <c r="F15" s="5" t="inlineStr">
        <is>
          <t>A</t>
        </is>
      </c>
      <c r="G15" s="5" t="inlineStr">
        <is>
          <t>https://www.ghlsqh.com.cn/company/news/show-22353.html</t>
        </is>
      </c>
      <c r="H15" s="5" t="inlineStr">
        <is>
          <t>指定交货地点为河北省内指定交割仓库及沙河地区交割厂库；日最低发货 2000 吨。</t>
        </is>
      </c>
    </row>
    <row r="16" ht="32" customHeight="1">
      <c r="A16" s="17" t="n">
        <v>12</v>
      </c>
      <c r="B16" s="14" t="inlineStr">
        <is>
          <t>郑州商品交易所</t>
        </is>
      </c>
      <c r="C16" s="14" t="inlineStr">
        <is>
          <t>郑商所公告〔2026〕100 号：新增成都市、重庆市为纯碱交割区域</t>
        </is>
      </c>
      <c r="D16" s="14" t="inlineStr">
        <is>
          <t>交易所公告</t>
        </is>
      </c>
      <c r="E16" s="14" t="inlineStr">
        <is>
          <t>2026-07-06</t>
        </is>
      </c>
      <c r="F16" s="14" t="inlineStr">
        <is>
          <t>A</t>
        </is>
      </c>
      <c r="G16" s="14" t="inlineStr">
        <is>
          <t>https://finance.sina.com.cn/wm/2026-07-06/doc-inifwmvv1799146.shtml</t>
        </is>
      </c>
      <c r="H16" s="14" t="inlineStr">
        <is>
          <t>山东未新增交割区域；山东仅设厂库。</t>
        </is>
      </c>
    </row>
    <row r="17" ht="32" customHeight="1">
      <c r="A17" s="16" t="n">
        <v>13</v>
      </c>
      <c r="B17" s="5" t="inlineStr">
        <is>
          <t>潍坊市商务局（商务部重要生产资料监测）</t>
        </is>
      </c>
      <c r="C17" s="5" t="inlineStr">
        <is>
          <t>潍坊市 2026-09-11 至 09-17 重要生产资料市场价格监测：工业级纯碱（优等品）1050 元/吨</t>
        </is>
      </c>
      <c r="D17" s="5" t="inlineStr">
        <is>
          <t>政府监测</t>
        </is>
      </c>
      <c r="E17" s="5" t="inlineStr">
        <is>
          <t>2026-09-21</t>
        </is>
      </c>
      <c r="F17" s="5" t="inlineStr">
        <is>
          <t>A</t>
        </is>
      </c>
      <c r="G17" s="5" t="inlineStr">
        <is>
          <t>https://cif.mofcom.gov.cn/newsite/html/shandong/html/9687744/2026/9/21/1789955534797.html</t>
        </is>
      </c>
      <c r="H17" s="5" t="inlineStr">
        <is>
          <t>环比持平；未区分轻/重碱，未注明含税口径。</t>
        </is>
      </c>
    </row>
    <row r="18" ht="32" customHeight="1">
      <c r="A18" s="17" t="n">
        <v>14</v>
      </c>
      <c r="B18" s="14" t="inlineStr">
        <is>
          <t>潍坊市商务局（商务部重要生产资料监测）</t>
        </is>
      </c>
      <c r="C18" s="14" t="inlineStr">
        <is>
          <t>潍坊市 2026-08-14 至 08-20 重要生产资料市场价格监测：工业级纯碱 1050.00 元/吨</t>
        </is>
      </c>
      <c r="D18" s="14" t="inlineStr">
        <is>
          <t>政府监测</t>
        </is>
      </c>
      <c r="E18" s="14" t="inlineStr">
        <is>
          <t>2026-08-26</t>
        </is>
      </c>
      <c r="F18" s="14" t="inlineStr">
        <is>
          <t>A</t>
        </is>
      </c>
      <c r="G18" s="14" t="inlineStr">
        <is>
          <t>https://cif.mofcom.gov.cn/newsite/html/shandong/html/9687744/2026/8/26/1787731679737.html</t>
        </is>
      </c>
      <c r="H18" s="14" t="inlineStr">
        <is>
          <t>环比持平；7–9 月潍坊本地价格横盘。</t>
        </is>
      </c>
    </row>
    <row r="19" ht="32" customHeight="1">
      <c r="A19" s="16" t="n">
        <v>15</v>
      </c>
      <c r="B19" s="5" t="inlineStr">
        <is>
          <t>山东省交通运输厅</t>
        </is>
      </c>
      <c r="C19" s="5" t="inlineStr">
        <is>
          <t>潍坊港中港区 5 万吨级航道工程（建成后可带来超 4000 万吨吞吐增量）</t>
        </is>
      </c>
      <c r="D19" s="5" t="inlineStr">
        <is>
          <t>政务公告</t>
        </is>
      </c>
      <c r="E19" s="5" t="inlineStr">
        <is>
          <t>2025-12-29</t>
        </is>
      </c>
      <c r="F19" s="5" t="inlineStr">
        <is>
          <t>A</t>
        </is>
      </c>
      <c r="G19" s="5" t="inlineStr">
        <is>
          <t>https://jtt.shandong.gov.cn/art/2025/12/29/art_12549_10327492.html</t>
        </is>
      </c>
      <c r="H19" s="5" t="inlineStr">
        <is>
          <t>潍坊港散货与液化工品（含纯碱、原盐、烧碱）出海通道。</t>
        </is>
      </c>
    </row>
    <row r="20" ht="48" customHeight="1">
      <c r="A20" s="17" t="n">
        <v>16</v>
      </c>
      <c r="B20" s="14" t="inlineStr">
        <is>
          <t>潍坊滨海经济技术开发区管委会</t>
        </is>
      </c>
      <c r="C20" s="14" t="inlineStr">
        <is>
          <t>潍坊滨海化工产业园扩区批复（鲁政字〔2026〕86 号）及园区介绍</t>
        </is>
      </c>
      <c r="D20" s="14" t="inlineStr">
        <is>
          <t>园区公开资料</t>
        </is>
      </c>
      <c r="E20" s="14" t="inlineStr">
        <is>
          <t>2026</t>
        </is>
      </c>
      <c r="F20" s="14" t="inlineStr">
        <is>
          <t>A</t>
        </is>
      </c>
      <c r="G20" s="14" t="inlineStr">
        <is>
          <t>http://www.wfbinhai.gov.cn/124/39073/1967400482100088832.html</t>
        </is>
      </c>
      <c r="H20" s="14" t="inlineStr">
        <is>
          <t>省级化工园区；一园三区（主片区/滨海石化片区/新和成片区），扩区后 56.30 平方公里。</t>
        </is>
      </c>
    </row>
    <row r="21" ht="48" customHeight="1">
      <c r="A21" s="16" t="n">
        <v>17</v>
      </c>
      <c r="B21" s="5" t="inlineStr">
        <is>
          <t>国家统计局（经中国化工报/行业媒体转录）</t>
        </is>
      </c>
      <c r="C21" s="5" t="inlineStr">
        <is>
          <t>2025 年 1–10 月纯碱产量：全国 3301.7 万吨，山东 324.9 万吨（占 9.8%，同比 -15.1%）</t>
        </is>
      </c>
      <c r="D21" s="5" t="inlineStr">
        <is>
          <t>统计口径</t>
        </is>
      </c>
      <c r="E21" s="5" t="inlineStr">
        <is>
          <t>2025-11</t>
        </is>
      </c>
      <c r="F21" s="5" t="inlineStr">
        <is>
          <t>B</t>
        </is>
      </c>
      <c r="G21" s="5" t="inlineStr">
        <is>
          <t>https://www.chemall.com.cn/</t>
        </is>
      </c>
      <c r="H21" s="5" t="inlineStr">
        <is>
          <t>省级产量口径，用于核对"产能合计 vs 实际产量"的量级关系（本报告不据此推算份额）。</t>
        </is>
      </c>
    </row>
    <row r="22" ht="32" customHeight="1">
      <c r="A22" s="17" t="n">
        <v>18</v>
      </c>
      <c r="B22" s="14" t="inlineStr">
        <is>
          <t>中国化工报</t>
        </is>
      </c>
      <c r="C22" s="14" t="inlineStr">
        <is>
          <t>纯碱工业高质量发展综合述评：2024 年末全国纯碱产能约 3970 万吨；山东装置均为氨碱法</t>
        </is>
      </c>
      <c r="D22" s="14" t="inlineStr">
        <is>
          <t>行业媒体</t>
        </is>
      </c>
      <c r="E22" s="14" t="inlineStr">
        <is>
          <t>2025-01-22</t>
        </is>
      </c>
      <c r="F22" s="14" t="inlineStr">
        <is>
          <t>B</t>
        </is>
      </c>
      <c r="G22" s="14" t="inlineStr">
        <is>
          <t>https://www.chemnews.com.cn/</t>
        </is>
      </c>
      <c r="H22" s="14" t="inlineStr">
        <is>
          <t>全国产能基准与工艺路线背景；山东无天然碱装置。</t>
        </is>
      </c>
    </row>
    <row r="23" ht="32" customHeight="1">
      <c r="A23" s="16" t="n">
        <v>19</v>
      </c>
      <c r="B23" s="5" t="inlineStr">
        <is>
          <t>隆众资讯（Mysteel 能源化工）</t>
        </is>
      </c>
      <c r="C23" s="5" t="inlineStr">
        <is>
          <t>2026-10-19 华东纯碱：轻碱出厂 1000–1100 元/吨，重碱送到 1050–1200 元/吨（现金含税）</t>
        </is>
      </c>
      <c r="D23" s="5" t="inlineStr">
        <is>
          <t>价格日评</t>
        </is>
      </c>
      <c r="E23" s="5" t="inlineStr">
        <is>
          <t>2026-10-19</t>
        </is>
      </c>
      <c r="F23" s="5" t="inlineStr">
        <is>
          <t>B</t>
        </is>
      </c>
      <c r="G23" s="5" t="inlineStr">
        <is>
          <t>https://nenghua.mysteel.com/a/26101915/55A6C931435BBC4A.html</t>
        </is>
      </c>
      <c r="H23" s="5" t="inlineStr">
        <is>
          <t>华东含山东，非山东单一口径。</t>
        </is>
      </c>
    </row>
    <row r="24" ht="32" customHeight="1">
      <c r="A24" s="17" t="n">
        <v>20</v>
      </c>
      <c r="B24" s="14" t="inlineStr">
        <is>
          <t>隆众资讯（Mysteel 能源化工）</t>
        </is>
      </c>
      <c r="C24" s="14" t="inlineStr">
        <is>
          <t>2026-05-18 华东纯碱：轻碱出厂 1100–1250 元/吨，重碱送到 1230–1250 元/吨</t>
        </is>
      </c>
      <c r="D24" s="14" t="inlineStr">
        <is>
          <t>价格日评</t>
        </is>
      </c>
      <c r="E24" s="14" t="inlineStr">
        <is>
          <t>2026-05-18</t>
        </is>
      </c>
      <c r="F24" s="14" t="inlineStr">
        <is>
          <t>B</t>
        </is>
      </c>
      <c r="G24" s="14" t="inlineStr">
        <is>
          <t>https://nenghua.mysteel.com/a/26051815/B1B567DDEB26CE62.html</t>
        </is>
      </c>
      <c r="H24" s="14" t="inlineStr">
        <is>
          <t>与 10-19 对比，华东轻碱出厂约下跌 180 元/吨。</t>
        </is>
      </c>
    </row>
    <row r="25" ht="32" customHeight="1">
      <c r="A25" s="16" t="n">
        <v>21</v>
      </c>
      <c r="B25" s="5" t="inlineStr">
        <is>
          <t>隆众资讯（Mysteel 能源化工）</t>
        </is>
      </c>
      <c r="C25" s="5" t="inlineStr">
        <is>
          <t>2025-12-25 山东海天生物化工 150 万吨/年纯碱装置正常运行</t>
        </is>
      </c>
      <c r="D25" s="5" t="inlineStr">
        <is>
          <t>产能跟踪</t>
        </is>
      </c>
      <c r="E25" s="5" t="inlineStr">
        <is>
          <t>2025-12-25</t>
        </is>
      </c>
      <c r="F25" s="5" t="inlineStr">
        <is>
          <t>B</t>
        </is>
      </c>
      <c r="G25" s="5" t="inlineStr">
        <is>
          <t>https://nenghua.m.mysteel.com/a/25122510/773387D8B8C711C4_abc.html</t>
        </is>
      </c>
      <c r="H25" s="5" t="inlineStr">
        <is>
          <t>在产名义产能 150 万吨/年；轻碱/重碱出厂 1300 元/吨（当日报价）。</t>
        </is>
      </c>
    </row>
    <row r="26" ht="32" customHeight="1">
      <c r="A26" s="17" t="n">
        <v>22</v>
      </c>
      <c r="B26" s="14" t="inlineStr">
        <is>
          <t>百川盈孚</t>
        </is>
      </c>
      <c r="C26" s="14" t="inlineStr">
        <is>
          <t>2026-10-19 国内纯碱市场均价：轻碱 971 元/吨、重碱 1070 元/吨</t>
        </is>
      </c>
      <c r="D26" s="14" t="inlineStr">
        <is>
          <t>价格日评</t>
        </is>
      </c>
      <c r="E26" s="14" t="inlineStr">
        <is>
          <t>2026-10-19</t>
        </is>
      </c>
      <c r="F26" s="14" t="inlineStr">
        <is>
          <t>B</t>
        </is>
      </c>
      <c r="G26" s="14" t="inlineStr">
        <is>
          <t>https://www.baiinfo.com/qitawuji/chunjian</t>
        </is>
      </c>
      <c r="H26" s="14" t="inlineStr">
        <is>
          <t>全国均价，作为山东价格的参照系。</t>
        </is>
      </c>
    </row>
    <row r="27" ht="32" customHeight="1">
      <c r="A27" s="16" t="n">
        <v>23</v>
      </c>
      <c r="B27" s="5" t="inlineStr">
        <is>
          <t>生意社（100ppi）</t>
        </is>
      </c>
      <c r="C27" s="5" t="inlineStr">
        <is>
          <t>山东海化品牌纯碱贸易商报价 1200–1350 元/吨（小批量/零售口径）</t>
        </is>
      </c>
      <c r="D27" s="5" t="inlineStr">
        <is>
          <t>价格报价</t>
        </is>
      </c>
      <c r="E27" s="5" t="inlineStr">
        <is>
          <t>2026-10-20</t>
        </is>
      </c>
      <c r="F27" s="5" t="inlineStr">
        <is>
          <t>C</t>
        </is>
      </c>
      <c r="G27" s="5" t="inlineStr">
        <is>
          <t>https://soda.100ppi.com/price/</t>
        </is>
      </c>
      <c r="H27" s="5" t="inlineStr">
        <is>
          <t>贸易环节报价，显著高于资讯机构出厂价，不可当出厂价使用。</t>
        </is>
      </c>
    </row>
    <row r="28" ht="32" customHeight="1">
      <c r="A28" s="17" t="n">
        <v>24</v>
      </c>
      <c r="B28" s="14" t="inlineStr">
        <is>
          <t>东方财富</t>
        </is>
      </c>
      <c r="C28" s="14" t="inlineStr">
        <is>
          <t>郑商所纯碱主连（SA）2026-10-19 最新 953 元/吨</t>
        </is>
      </c>
      <c r="D28" s="14" t="inlineStr">
        <is>
          <t>期货行情</t>
        </is>
      </c>
      <c r="E28" s="14" t="inlineStr">
        <is>
          <t>2026-10-19</t>
        </is>
      </c>
      <c r="F28" s="14" t="inlineStr">
        <is>
          <t>B</t>
        </is>
      </c>
      <c r="G28" s="14" t="inlineStr">
        <is>
          <t>https://quote.eastmoney.com/qihuo/SAM.html</t>
        </is>
      </c>
      <c r="H28" s="14" t="inlineStr">
        <is>
          <t>期货价低于现货送到价，作为市场预期的参照，不作价格预测。</t>
        </is>
      </c>
    </row>
    <row r="29" ht="48" customHeight="1">
      <c r="A29" s="16" t="n">
        <v>25</v>
      </c>
      <c r="B29" s="5" t="inlineStr">
        <is>
          <t>中国港口网·潍坊港港口志</t>
        </is>
      </c>
      <c r="C29" s="5" t="inlineStr">
        <is>
          <t>潍坊港中港区 12 个泊位、岸线 1706 米、综合通过能力 799 万吨，装卸货物含纯碱；寿光作业区 13 泊位 790 万吨；羊口作业区 5 泊位 93 万吨</t>
        </is>
      </c>
      <c r="D29" s="5" t="inlineStr">
        <is>
          <t>港口资料</t>
        </is>
      </c>
      <c r="E29" s="5" t="inlineStr">
        <is>
          <t>2024</t>
        </is>
      </c>
      <c r="F29" s="5" t="inlineStr">
        <is>
          <t>B</t>
        </is>
      </c>
      <c r="G29" s="5" t="inlineStr">
        <is>
          <t>https://www.chinaports.com/ports/f6e090b3-25f9-44df-90ed-14aeb209ccec</t>
        </is>
      </c>
      <c r="H29" s="5" t="inlineStr">
        <is>
          <t>装卸清单明确含「纯碱」是山东纯碱走水运的直接证据。</t>
        </is>
      </c>
    </row>
    <row r="30" ht="32" customHeight="1">
      <c r="A30" s="17" t="n">
        <v>26</v>
      </c>
      <c r="B30" s="14" t="inlineStr">
        <is>
          <t>观研天下</t>
        </is>
      </c>
      <c r="C30" s="14" t="inlineStr">
        <is>
          <t>中国纯碱行业有效产能分企业表（山东海化 300 万吨、山东海天 150 万吨，2023 年底口径）</t>
        </is>
      </c>
      <c r="D30" s="14" t="inlineStr">
        <is>
          <t>行业研究</t>
        </is>
      </c>
      <c r="E30" s="14" t="inlineStr">
        <is>
          <t>2024-05-31</t>
        </is>
      </c>
      <c r="F30" s="14" t="inlineStr">
        <is>
          <t>C</t>
        </is>
      </c>
      <c r="G30" s="14" t="inlineStr">
        <is>
          <t>https://m.chinabaogao.com/detail/710233.html</t>
        </is>
      </c>
      <c r="H30" s="14" t="inlineStr">
        <is>
          <t>与上市公司设计产能口径（280+150）并列，不取平均。</t>
        </is>
      </c>
    </row>
    <row r="31" ht="32" customHeight="1">
      <c r="A31" s="16" t="n">
        <v>27</v>
      </c>
      <c r="B31" s="5" t="inlineStr">
        <is>
          <t>界面新闻</t>
        </is>
      </c>
      <c r="C31" s="5" t="inlineStr">
        <is>
          <t>潍坊亚星化学寒亭生产厂区自 2019-10-31 起全面停产搬迁</t>
        </is>
      </c>
      <c r="D31" s="5" t="inlineStr">
        <is>
          <t>主流媒体</t>
        </is>
      </c>
      <c r="E31" s="5" t="inlineStr">
        <is>
          <t>2019-11-01</t>
        </is>
      </c>
      <c r="F31" s="5" t="inlineStr">
        <is>
          <t>B</t>
        </is>
      </c>
      <c r="G31" s="5" t="inlineStr">
        <is>
          <t>https://m.jiemian.com/article/3649753.html</t>
        </is>
      </c>
      <c r="H31" s="5" t="inlineStr">
        <is>
          <t>否证：亚星主营 CPE/烧碱/水合肼，无纯碱装置。</t>
        </is>
      </c>
    </row>
    <row r="32" ht="32" customHeight="1">
      <c r="A32" s="17" t="n">
        <v>28</v>
      </c>
      <c r="B32" s="14" t="inlineStr">
        <is>
          <t>山东新龙科技股份有限公司（新三板 873674）</t>
        </is>
      </c>
      <c r="C32" s="14" t="inlineStr">
        <is>
          <t>山东新龙 2025 年年度报告：主要产品为双氧水、三氯乙烯、四氯乙烯、三氯氢硅等，无纯碱</t>
        </is>
      </c>
      <c r="D32" s="14" t="inlineStr">
        <is>
          <t>挂牌公司年报</t>
        </is>
      </c>
      <c r="E32" s="14" t="inlineStr">
        <is>
          <t>2026-04-24</t>
        </is>
      </c>
      <c r="F32" s="14" t="inlineStr">
        <is>
          <t>B</t>
        </is>
      </c>
      <c r="G32" s="14" t="inlineStr">
        <is>
          <t>https://xinsanban.eastmoney.com/Article/NoticeContent?id=AN202604241821538252&amp;pageIndex=1</t>
        </is>
      </c>
      <c r="H32" s="14" t="inlineStr">
        <is>
          <t>否证：新龙为氯碱企业；其 10 万吨过碳酸钠项目消耗纯碱（需求方而非供给方）。</t>
        </is>
      </c>
    </row>
    <row r="33" ht="32" customHeight="1">
      <c r="A33" s="16" t="n">
        <v>29</v>
      </c>
      <c r="B33" s="5" t="inlineStr">
        <is>
          <t>寿光市人民政府</t>
        </is>
      </c>
      <c r="C33" s="5" t="inlineStr">
        <is>
          <t>寿光市重点企业介绍：山东新龙集团围绕氯氢下游发展（无纯碱）</t>
        </is>
      </c>
      <c r="D33" s="5" t="inlineStr">
        <is>
          <t>政务公开</t>
        </is>
      </c>
      <c r="E33" s="5" t="inlineStr">
        <is>
          <t>2026-03-18</t>
        </is>
      </c>
      <c r="F33" s="5" t="inlineStr">
        <is>
          <t>A</t>
        </is>
      </c>
      <c r="G33" s="5" t="inlineStr">
        <is>
          <t>https://www.shouguang.gov.cn/sq/tzsg/zmqy/202002/t20200218_5564726.html</t>
        </is>
      </c>
      <c r="H33" s="5" t="inlineStr">
        <is>
          <t>市委市政府口径的企业主业描述。</t>
        </is>
      </c>
    </row>
    <row r="34" ht="32" customHeight="1">
      <c r="A34" s="17" t="n">
        <v>30</v>
      </c>
      <c r="B34" s="14" t="inlineStr">
        <is>
          <t>德州实华化工有限公司（中国中化）</t>
        </is>
      </c>
      <c r="C34" s="14" t="inlineStr">
        <is>
          <t>公司简介：离子膜烧碱 39 万吨、PVC 35 万吨、双氧水 10 万吨、工业盐 100 万吨（无纯碱）</t>
        </is>
      </c>
      <c r="D34" s="14" t="inlineStr">
        <is>
          <t>企业官网</t>
        </is>
      </c>
      <c r="E34" s="14" t="inlineStr">
        <is>
          <t>2025</t>
        </is>
      </c>
      <c r="F34" s="14" t="inlineStr">
        <is>
          <t>B</t>
        </is>
      </c>
      <c r="G34" s="14" t="inlineStr">
        <is>
          <t>http://www.hhdz.chemchina.com/hhdz/gywm/gsjj/A095002001Gone1.html</t>
        </is>
      </c>
      <c r="H34" s="14" t="inlineStr">
        <is>
          <t>否证：第三方文章曾误列为山东纯碱企业。</t>
        </is>
      </c>
    </row>
    <row r="35" ht="32" customHeight="1">
      <c r="A35" s="16" t="n">
        <v>31</v>
      </c>
      <c r="B35" s="5" t="inlineStr">
        <is>
          <t>中国证券报/证券之星（投资者关系问答）</t>
        </is>
      </c>
      <c r="C35" s="5" t="inlineStr">
        <is>
          <t>山东海化董秘答复：公司纯碱年产能 280 万吨</t>
        </is>
      </c>
      <c r="D35" s="5" t="inlineStr">
        <is>
          <t>主流媒体</t>
        </is>
      </c>
      <c r="E35" s="5" t="inlineStr">
        <is>
          <t>2023-07-31</t>
        </is>
      </c>
      <c r="F35" s="5" t="inlineStr">
        <is>
          <t>B</t>
        </is>
      </c>
      <c r="G35" s="5" t="inlineStr">
        <is>
          <t>https://cj.sina.com.cn/articles/view/1850649324/6e4eaaec0200181ks?from=finance</t>
        </is>
      </c>
      <c r="H35" s="5" t="inlineStr">
        <is>
          <t>与年报口径一致。</t>
        </is>
      </c>
    </row>
    <row r="36" ht="32" customHeight="1">
      <c r="A36" s="17" t="n">
        <v>32</v>
      </c>
      <c r="B36" s="14" t="inlineStr">
        <is>
          <t>雪球用户整理《中国纯碱企业情况（46 家）》</t>
        </is>
      </c>
      <c r="C36" s="14" t="inlineStr">
        <is>
          <t>按工艺分类：氨碱法 11 家 1305 万吨，含山东海化 300、山东海天 150</t>
        </is>
      </c>
      <c r="D36" s="14" t="inlineStr">
        <is>
          <t>民间整理</t>
        </is>
      </c>
      <c r="E36" s="14" t="inlineStr">
        <is>
          <t>2024</t>
        </is>
      </c>
      <c r="F36" s="14" t="inlineStr">
        <is>
          <t>C</t>
        </is>
      </c>
      <c r="G36" s="14" t="inlineStr">
        <is>
          <t>https://xueqiu.com/8001931292/204583152</t>
        </is>
      </c>
      <c r="H36" s="14" t="inlineStr">
        <is>
          <t>仅作交叉参考，不作单一依据。</t>
        </is>
      </c>
    </row>
    <row r="37" ht="32" customHeight="1">
      <c r="A37" s="16" t="n">
        <v>33</v>
      </c>
      <c r="B37" s="5" t="inlineStr">
        <is>
          <t>券商研报（2010-12-27）</t>
        </is>
      </c>
      <c r="C37" s="5" t="inlineStr">
        <is>
          <t>金晶科技：子公司开源节流——"由于纯碱生产方法为氨碱法"</t>
        </is>
      </c>
      <c r="D37" s="5" t="inlineStr">
        <is>
          <t>券商研报</t>
        </is>
      </c>
      <c r="E37" s="5" t="inlineStr">
        <is>
          <t>2010-12-27</t>
        </is>
      </c>
      <c r="F37" s="5" t="inlineStr">
        <is>
          <t>C</t>
        </is>
      </c>
      <c r="G37" s="5" t="inlineStr">
        <is>
          <t>https://chem.jgvogel.cn/c/2010-07-05/487747.shtml</t>
        </is>
      </c>
      <c r="H37" s="5" t="inlineStr">
        <is>
          <t>海天工艺为氨碱法的间接证据（缺 A 级定案）。</t>
        </is>
      </c>
    </row>
    <row r="38" ht="32" customHeight="1">
      <c r="A38" s="17" t="n">
        <v>34</v>
      </c>
      <c r="B38" s="14" t="inlineStr">
        <is>
          <t>大众网·海报新闻</t>
        </is>
      </c>
      <c r="C38" s="14" t="inlineStr">
        <is>
          <t>新龙集团年产 10 万吨过碳酸钠项目一期主体完工（总投资 3 亿元）</t>
        </is>
      </c>
      <c r="D38" s="14" t="inlineStr">
        <is>
          <t>地方媒体</t>
        </is>
      </c>
      <c r="E38" s="14" t="inlineStr">
        <is>
          <t>2024-11-12</t>
        </is>
      </c>
      <c r="F38" s="14" t="inlineStr">
        <is>
          <t>B</t>
        </is>
      </c>
      <c r="G38" s="14" t="inlineStr">
        <is>
          <t>https://hb.dzwww.com/p/p1UgN4i03e.html</t>
        </is>
      </c>
      <c r="H38" s="14" t="inlineStr">
        <is>
          <t>过碳酸钠消耗纯碱，是山东纯碱的需求增量，不是供给。</t>
        </is>
      </c>
    </row>
    <row r="39" ht="32" customHeight="1">
      <c r="A39" s="16" t="n">
        <v>35</v>
      </c>
      <c r="B39" s="5" t="inlineStr">
        <is>
          <t>中国港口网 / 山东省交通运输厅</t>
        </is>
      </c>
      <c r="C39" s="5" t="inlineStr">
        <is>
          <t>寿光港：距小清河入海口约 9 公里，开展海河联运；羊口作业区服务小清河沿线五市</t>
        </is>
      </c>
      <c r="D39" s="5" t="inlineStr">
        <is>
          <t>港口资料</t>
        </is>
      </c>
      <c r="E39" s="5" t="inlineStr">
        <is>
          <t>2025</t>
        </is>
      </c>
      <c r="F39" s="5" t="inlineStr">
        <is>
          <t>B</t>
        </is>
      </c>
      <c r="G39" s="5" t="inlineStr">
        <is>
          <t>https://www.sd.news.cn/20250623/acfe00eb0fad4043b273b03ec364a46a/c.html</t>
        </is>
      </c>
      <c r="H39" s="5" t="inlineStr">
        <is>
          <t>小清河复航后 2025 年累计货运量突破 51.92 万吨。</t>
        </is>
      </c>
    </row>
    <row r="40" ht="32" customHeight="1">
      <c r="A40" s="17" t="n">
        <v>36</v>
      </c>
      <c r="B40" s="14" t="inlineStr">
        <is>
          <t>国家统计局（统计公报）</t>
        </is>
      </c>
      <c r="C40" s="14" t="inlineStr">
        <is>
          <t>纯碱（碳酸钠）全国/分省产量统计</t>
        </is>
      </c>
      <c r="D40" s="14" t="inlineStr">
        <is>
          <t>统计口径</t>
        </is>
      </c>
      <c r="E40" s="14" t="inlineStr">
        <is>
          <t>2025</t>
        </is>
      </c>
      <c r="F40" s="14" t="inlineStr">
        <is>
          <t>B</t>
        </is>
      </c>
      <c r="G40" s="14" t="inlineStr">
        <is>
          <t>https://data.stats.gov.cn/</t>
        </is>
      </c>
      <c r="H40" s="14" t="inlineStr">
        <is>
          <t>用于把"产能合计"与"实际产量"区分开，避免把产能当产量。</t>
        </is>
      </c>
    </row>
    <row r="42">
      <c r="A42" s="3" t="inlineStr">
        <is>
          <t>说明与口径</t>
        </is>
      </c>
    </row>
    <row r="43" ht="15" customHeight="1">
      <c r="A43" s="15" t="inlineStr">
        <is>
          <t>· 每条来源都标注了引用的具体内容（note 列），便于复核时只核那一句。</t>
        </is>
      </c>
    </row>
    <row r="44" ht="15" customHeight="1">
      <c r="A44" s="15" t="inlineStr">
        <is>
          <t>· 无公开链接的来源（内部访谈、线下材料）必须写明材料名称与取得时间，等级不得为 A。</t>
        </is>
      </c>
    </row>
  </sheetData>
  <autoFilter ref="A4:H40"/>
  <mergeCells count="4">
    <mergeCell ref="A43:H43"/>
    <mergeCell ref="A2:H2"/>
    <mergeCell ref="A44:H4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region-industry-map skill</dc:creator>
  <dc:title xmlns:dc="http://purl.org/dc/elements/1.1/">山东省纯碱产业格局</dc:title>
  <dc:description xmlns:dc="http://purl.org/dc/elements/1.1/">纯碱（碳酸钠 Na2CO3；轻质/重质） · 山东省 · 截至 2026-10-20</dc:description>
  <dcterms:created xmlns:dcterms="http://purl.org/dc/terms/" xmlns:xsi="http://www.w3.org/2001/XMLSchema-instance" xsi:type="dcterms:W3CDTF">2026-10-20T07:28:35Z</dcterms:created>
  <dcterms:modified xmlns:dcterms="http://purl.org/dc/terms/" xmlns:xsi="http://www.w3.org/2001/XMLSchema-instance" xsi:type="dcterms:W3CDTF">2026-10-20T07:28:36Z</dcterms:modified>
</cp:coreProperties>
</file>
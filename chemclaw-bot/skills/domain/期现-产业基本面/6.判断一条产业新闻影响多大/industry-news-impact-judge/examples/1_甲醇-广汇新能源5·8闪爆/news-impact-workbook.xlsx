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消息核验卡" sheetId="2" state="visible" r:id="rId2"/>
    <sheet xmlns:r="http://schemas.openxmlformats.org/officeDocument/2006/relationships" name="来源溯源" sheetId="3" state="visible" r:id="rId3"/>
    <sheet xmlns:r="http://schemas.openxmlformats.org/officeDocument/2006/relationships" name="转载路径" sheetId="4" state="visible" r:id="rId4"/>
    <sheet xmlns:r="http://schemas.openxmlformats.org/officeDocument/2006/relationships" name="事件要素" sheetId="5" state="visible" r:id="rId5"/>
    <sheet xmlns:r="http://schemas.openxmlformats.org/officeDocument/2006/relationships" name="时间线" sheetId="6" state="visible" r:id="rId6"/>
    <sheet xmlns:r="http://schemas.openxmlformats.org/officeDocument/2006/relationships" name="装置档案" sheetId="7" state="visible" r:id="rId7"/>
    <sheet xmlns:r="http://schemas.openxmlformats.org/officeDocument/2006/relationships" name="产能基准" sheetId="8" state="visible" r:id="rId8"/>
    <sheet xmlns:r="http://schemas.openxmlformats.org/officeDocument/2006/relationships" name="产能占比" sheetId="9" state="visible" r:id="rId9"/>
    <sheet xmlns:r="http://schemas.openxmlformats.org/officeDocument/2006/relationships" name="影响量测算" sheetId="10" state="visible" r:id="rId10"/>
    <sheet xmlns:r="http://schemas.openxmlformats.org/officeDocument/2006/relationships" name="敏感矩阵" sheetId="11" state="visible" r:id="rId11"/>
    <sheet xmlns:r="http://schemas.openxmlformats.org/officeDocument/2006/relationships" name="产量缺口分解" sheetId="12" state="visible" r:id="rId12"/>
    <sheet xmlns:r="http://schemas.openxmlformats.org/officeDocument/2006/relationships" name="产业链节点" sheetId="13" state="visible" r:id="rId13"/>
    <sheet xmlns:r="http://schemas.openxmlformats.org/officeDocument/2006/relationships" name="传导路径" sheetId="14" state="visible" r:id="rId14"/>
    <sheet xmlns:r="http://schemas.openxmlformats.org/officeDocument/2006/relationships" name="三分法-已确认" sheetId="15" state="visible" r:id="rId15"/>
    <sheet xmlns:r="http://schemas.openxmlformats.org/officeDocument/2006/relationships" name="三分法-不确定" sheetId="16" state="visible" r:id="rId16"/>
    <sheet xmlns:r="http://schemas.openxmlformats.org/officeDocument/2006/relationships" name="待核验清单" sheetId="17" state="visible" r:id="rId17"/>
    <sheet xmlns:r="http://schemas.openxmlformats.org/officeDocument/2006/relationships" name="数据缺口" sheetId="18" state="visible" r:id="rId18"/>
    <sheet xmlns:r="http://schemas.openxmlformats.org/officeDocument/2006/relationships" name="可观察指标" sheetId="19" state="visible" r:id="rId19"/>
    <sheet xmlns:r="http://schemas.openxmlformats.org/officeDocument/2006/relationships" name="行情背景" sheetId="20" state="visible" r:id="rId20"/>
    <sheet xmlns:r="http://schemas.openxmlformats.org/officeDocument/2006/relationships" name="同区域企业" sheetId="21" state="visible" r:id="rId21"/>
    <sheet xmlns:r="http://schemas.openxmlformats.org/officeDocument/2006/relationships" name="证据等级说明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####"/>
    <numFmt numFmtId="165" formatCode="0.0000%"/>
    <numFmt numFmtId="166" formatCode="0.0000"/>
    <numFmt numFmtId="167" formatCode="0.000"/>
    <numFmt numFmtId="168" formatCode="0.000%"/>
    <numFmt numFmtId="169" formatCode="#,##0;[Red]-#,##0"/>
  </numFmts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B5563"/>
      <sz val="9"/>
    </font>
    <font>
      <name val="微软雅黑"/>
      <b val="1"/>
      <sz val="10"/>
    </font>
    <font>
      <name val="微软雅黑"/>
      <sz val="10"/>
    </font>
    <font>
      <name val="微软雅黑"/>
      <b val="1"/>
      <color rgb="00B91C1C"/>
      <sz val="11"/>
    </font>
    <font>
      <name val="微软雅黑"/>
      <b val="1"/>
      <sz val="11"/>
    </font>
    <font>
      <name val="微软雅黑"/>
      <b val="1"/>
      <color rgb="000F766E"/>
      <sz val="10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i val="1"/>
      <color rgb="006B7280"/>
      <sz val="9"/>
    </font>
    <font>
      <name val="微软雅黑"/>
      <b val="1"/>
      <color rgb="00B45309"/>
      <sz val="11"/>
    </font>
    <font>
      <name val="微软雅黑"/>
      <color rgb="006B7280"/>
      <sz val="9"/>
    </font>
    <font>
      <name val="微软雅黑"/>
      <sz val="9"/>
    </font>
    <font>
      <name val="微软雅黑"/>
      <i val="1"/>
      <color rgb="00B45309"/>
      <sz val="9"/>
    </font>
    <font>
      <name val="微软雅黑"/>
      <b val="1"/>
      <color rgb="00B91C1C"/>
      <sz val="10"/>
    </font>
    <font>
      <name val="微软雅黑"/>
      <b val="1"/>
      <color rgb="006B7280"/>
      <sz val="10"/>
    </font>
    <font>
      <name val="微软雅黑"/>
      <color rgb="00B91C1C"/>
      <sz val="9"/>
    </font>
    <font>
      <name val="微软雅黑"/>
      <i val="1"/>
      <color rgb="004B5563"/>
      <sz val="9"/>
    </font>
    <font>
      <name val="微软雅黑"/>
      <b val="1"/>
      <color rgb="00B45309"/>
      <sz val="10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0FDFA"/>
      </patternFill>
    </fill>
    <fill>
      <patternFill patternType="solid">
        <fgColor rgb="00FEE2E2"/>
      </patternFill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134E4A"/>
      </patternFill>
    </fill>
    <fill>
      <patternFill patternType="solid">
        <fgColor rgb="00FEF3C7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991B1B"/>
      </patternFill>
    </fill>
    <fill>
      <patternFill patternType="solid">
        <fgColor rgb="00F3E8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dotted">
        <color rgb="00D1D5DB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pivotButton="0" quotePrefix="0" xfId="0"/>
    <xf numFmtId="0" fontId="4" fillId="4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1" pivotButton="0" quotePrefix="0" xfId="0"/>
    <xf numFmtId="0" fontId="4" fillId="0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9" fillId="8" borderId="0" applyAlignment="1" pivotButton="0" quotePrefix="0" xfId="0">
      <alignment vertical="center" indent="1"/>
    </xf>
    <xf numFmtId="0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10" fillId="0" borderId="0" pivotButton="0" quotePrefix="0" xfId="0"/>
    <xf numFmtId="0" fontId="11" fillId="9" borderId="0" applyAlignment="1" pivotButton="0" quotePrefix="0" xfId="0">
      <alignment vertical="center" indent="1"/>
    </xf>
    <xf numFmtId="0" fontId="12" fillId="0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top"/>
    </xf>
    <xf numFmtId="3" fontId="4" fillId="0" borderId="1" applyAlignment="1" pivotButton="0" quotePrefix="0" xfId="0">
      <alignment horizontal="center" vertical="top"/>
    </xf>
    <xf numFmtId="0" fontId="3" fillId="0" borderId="1" pivotButton="0" quotePrefix="0" xfId="0"/>
    <xf numFmtId="3" fontId="3" fillId="6" borderId="1" pivotButton="0" quotePrefix="0" xfId="0"/>
    <xf numFmtId="0" fontId="0" fillId="0" borderId="1" applyAlignment="1" pivotButton="0" quotePrefix="0" xfId="0">
      <alignment horizontal="center"/>
    </xf>
    <xf numFmtId="0" fontId="13" fillId="0" borderId="1" pivotButton="0" quotePrefix="0" xfId="0"/>
    <xf numFmtId="0" fontId="4" fillId="0" borderId="2" applyAlignment="1" pivotButton="0" quotePrefix="0" xfId="0">
      <alignment vertical="top" wrapText="1" indent="1"/>
    </xf>
    <xf numFmtId="0" fontId="0" fillId="0" borderId="2" pivotButton="0" quotePrefix="0" xfId="0"/>
    <xf numFmtId="164" fontId="4" fillId="0" borderId="1" applyAlignment="1" pivotButton="0" quotePrefix="0" xfId="0">
      <alignment horizontal="right" vertical="top"/>
    </xf>
    <xf numFmtId="0" fontId="4" fillId="11" borderId="1" applyAlignment="1" pivotButton="0" quotePrefix="0" xfId="0">
      <alignment horizontal="center" vertical="top"/>
    </xf>
    <xf numFmtId="165" fontId="4" fillId="6" borderId="1" applyAlignment="1" pivotButton="0" quotePrefix="0" xfId="0">
      <alignment horizontal="center" vertical="top"/>
    </xf>
    <xf numFmtId="165" fontId="4" fillId="9" borderId="1" applyAlignment="1" pivotButton="0" quotePrefix="0" xfId="0">
      <alignment horizontal="center" vertical="top"/>
    </xf>
    <xf numFmtId="165" fontId="4" fillId="4" borderId="1" applyAlignment="1" pivotButton="0" quotePrefix="0" xfId="0">
      <alignment horizontal="center" vertical="top"/>
    </xf>
    <xf numFmtId="0" fontId="14" fillId="9" borderId="0" applyAlignment="1" pivotButton="0" quotePrefix="0" xfId="0">
      <alignment vertical="center" wrapText="1" indent="1"/>
    </xf>
    <xf numFmtId="3" fontId="4" fillId="9" borderId="1" applyAlignment="1" pivotButton="0" quotePrefix="0" xfId="0">
      <alignment horizontal="center" vertical="top"/>
    </xf>
    <xf numFmtId="1" fontId="4" fillId="9" borderId="1" applyAlignment="1" pivotButton="0" quotePrefix="0" xfId="0">
      <alignment horizontal="center" vertical="top"/>
    </xf>
    <xf numFmtId="166" fontId="4" fillId="9" borderId="1" applyAlignment="1" pivotButton="0" quotePrefix="0" xfId="0">
      <alignment horizontal="center" vertical="top"/>
    </xf>
    <xf numFmtId="167" fontId="4" fillId="9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3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3" fontId="3" fillId="6" borderId="1" applyAlignment="1" pivotButton="0" quotePrefix="0" xfId="0">
      <alignment horizontal="center" vertical="top"/>
    </xf>
    <xf numFmtId="2" fontId="3" fillId="0" borderId="1" applyAlignment="1" pivotButton="0" quotePrefix="0" xfId="0">
      <alignment horizontal="center" vertical="top"/>
    </xf>
    <xf numFmtId="165" fontId="3" fillId="0" borderId="1" applyAlignment="1" pivotButton="0" quotePrefix="0" xfId="0">
      <alignment horizontal="center" vertical="top"/>
    </xf>
    <xf numFmtId="167" fontId="3" fillId="0" borderId="1" applyAlignment="1" pivotButton="0" quotePrefix="0" xfId="0">
      <alignment horizontal="center" vertical="top"/>
    </xf>
    <xf numFmtId="10" fontId="3" fillId="0" borderId="1" applyAlignment="1" pivotButton="0" quotePrefix="0" xfId="0">
      <alignment horizontal="center" vertical="top"/>
    </xf>
    <xf numFmtId="0" fontId="15" fillId="4" borderId="0" applyAlignment="1" pivotButton="0" quotePrefix="0" xfId="0">
      <alignment vertical="center" wrapText="1" indent="1"/>
    </xf>
    <xf numFmtId="0" fontId="2" fillId="0" borderId="0" applyAlignment="1" pivotButton="0" quotePrefix="0" xfId="0">
      <alignment vertical="center" wrapText="1" indent="1"/>
    </xf>
    <xf numFmtId="167" fontId="0" fillId="0" borderId="1" applyAlignment="1" pivotButton="0" quotePrefix="0" xfId="0">
      <alignment horizontal="center" vertical="top"/>
    </xf>
    <xf numFmtId="1" fontId="0" fillId="0" borderId="1" applyAlignment="1" pivotButton="0" quotePrefix="0" xfId="0">
      <alignment horizontal="center" vertical="top"/>
    </xf>
    <xf numFmtId="168" fontId="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center" wrapText="1" indent="1"/>
    </xf>
    <xf numFmtId="0" fontId="10" fillId="0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7" fontId="3" fillId="3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169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169" fontId="16" fillId="12" borderId="1" applyAlignment="1" pivotButton="0" quotePrefix="0" xfId="0">
      <alignment horizontal="center"/>
    </xf>
    <xf numFmtId="0" fontId="3" fillId="3" borderId="0" applyAlignment="1" pivotButton="0" quotePrefix="0" xfId="0">
      <alignment vertical="center" wrapText="1" indent="1"/>
    </xf>
    <xf numFmtId="0" fontId="17" fillId="4" borderId="0" applyAlignment="1" pivotButton="0" quotePrefix="0" xfId="0">
      <alignment vertical="top" wrapText="1" indent="1"/>
    </xf>
    <xf numFmtId="0" fontId="4" fillId="9" borderId="1" applyAlignment="1" pivotButton="0" quotePrefix="0" xfId="0">
      <alignment horizontal="left" vertical="top"/>
    </xf>
    <xf numFmtId="0" fontId="9" fillId="13" borderId="0" applyAlignment="1" pivotButton="0" quotePrefix="0" xfId="0">
      <alignment vertical="center" indent="1"/>
    </xf>
    <xf numFmtId="0" fontId="4" fillId="1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3" fillId="12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18" fillId="0" borderId="0" applyAlignment="1" pivotButton="0" quotePrefix="0" xfId="0">
      <alignment vertical="center" wrapText="1" indent="1"/>
    </xf>
    <xf numFmtId="0" fontId="19" fillId="9" borderId="0" applyAlignment="1" pivotButton="0" quotePrefix="0" xfId="0">
      <alignment vertical="center" wrapText="1" indent="1"/>
    </xf>
    <xf numFmtId="0" fontId="6" fillId="6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产业新闻影响分析工作簿</t>
        </is>
      </c>
    </row>
    <row r="2" ht="28" customHeight="1">
      <c r="A2" s="2" t="inlineStr">
        <is>
          <t>一条"大型甲醇装置事故停车"新闻的溯源、核验、产能占比与理论供应影响测算</t>
        </is>
      </c>
    </row>
    <row r="4">
      <c r="A4" s="3" t="inlineStr">
        <is>
          <t>案例编号</t>
        </is>
      </c>
      <c r="B4" s="4" t="inlineStr">
        <is>
          <t>CASE-MEOH-2023-0508</t>
        </is>
      </c>
      <c r="C4" s="5" t="n"/>
      <c r="D4" s="5" t="n"/>
      <c r="E4" s="5" t="n"/>
      <c r="F4" s="5" t="n"/>
    </row>
    <row r="5">
      <c r="A5" s="3" t="inlineStr">
        <is>
          <t>品种</t>
        </is>
      </c>
      <c r="B5" s="4" t="inlineStr">
        <is>
          <t>甲醇</t>
        </is>
      </c>
      <c r="C5" s="5" t="n"/>
      <c r="D5" s="5" t="n"/>
      <c r="E5" s="5" t="n"/>
      <c r="F5" s="5" t="n"/>
    </row>
    <row r="6">
      <c r="A6" s="3" t="inlineStr">
        <is>
          <t>标题</t>
        </is>
      </c>
      <c r="B6" s="4" t="inlineStr">
        <is>
          <t>新疆广汇新能源 120 万吨/年甲醇装置「5·8」闪爆临时停车事件</t>
        </is>
      </c>
      <c r="C6" s="5" t="n"/>
      <c r="D6" s="5" t="n"/>
      <c r="E6" s="5" t="n"/>
      <c r="F6" s="5" t="n"/>
    </row>
    <row r="7">
      <c r="A7" s="3" t="inlineStr">
        <is>
          <t>核验基准日</t>
        </is>
      </c>
      <c r="B7" s="4" t="inlineStr">
        <is>
          <t>2026-10-20</t>
        </is>
      </c>
      <c r="C7" s="5" t="n"/>
      <c r="D7" s="5" t="n"/>
      <c r="E7" s="5" t="n"/>
      <c r="F7" s="5" t="n"/>
    </row>
    <row r="8">
      <c r="A8" s="3" t="inlineStr">
        <is>
          <t>生成时间</t>
        </is>
      </c>
      <c r="B8" s="4" t="inlineStr">
        <is>
          <t>2026-10-20 12:52</t>
        </is>
      </c>
      <c r="C8" s="5" t="n"/>
      <c r="D8" s="5" t="n"/>
      <c r="E8" s="5" t="n"/>
      <c r="F8" s="5" t="n"/>
    </row>
    <row r="10">
      <c r="A10" s="3" t="inlineStr">
        <is>
          <t>事实确认状态</t>
        </is>
      </c>
      <c r="B10" s="4" t="inlineStr">
        <is>
          <t>政府确认（A1）</t>
        </is>
      </c>
      <c r="C10" s="5" t="n"/>
      <c r="D10" s="5" t="n"/>
      <c r="E10" s="5" t="n"/>
      <c r="F10" s="5" t="n"/>
    </row>
    <row r="11">
      <c r="A11" s="3" t="inlineStr">
        <is>
          <t>整体证据等级</t>
        </is>
      </c>
      <c r="B11" s="4" t="inlineStr">
        <is>
          <t>A1</t>
        </is>
      </c>
      <c r="C11" s="5" t="n"/>
      <c r="D11" s="5" t="n"/>
      <c r="E11" s="5" t="n"/>
      <c r="F11" s="5" t="n"/>
    </row>
    <row r="12">
      <c r="A12" s="3" t="inlineStr">
        <is>
          <t>旧闻判定</t>
        </is>
      </c>
      <c r="B12" s="4" t="inlineStr">
        <is>
          <t>旧闻+新进展</t>
        </is>
      </c>
      <c r="C12" s="5" t="n"/>
      <c r="D12" s="5" t="n"/>
      <c r="E12" s="5" t="n"/>
      <c r="F12" s="5" t="n"/>
    </row>
    <row r="13">
      <c r="A13" s="3" t="inlineStr">
        <is>
          <t>时效评分</t>
        </is>
      </c>
      <c r="B13" s="4" t="inlineStr">
        <is>
          <t>1/5 · 历史回溯 · 已充分传导</t>
        </is>
      </c>
      <c r="C13" s="5" t="n"/>
      <c r="D13" s="5" t="n"/>
      <c r="E13" s="5" t="n"/>
      <c r="F13" s="5" t="n"/>
    </row>
    <row r="14">
      <c r="A14" s="3" t="inlineStr">
        <is>
          <t>确认源数量</t>
        </is>
      </c>
      <c r="B14" s="4" t="n">
        <v>3</v>
      </c>
      <c r="C14" s="5" t="n"/>
      <c r="D14" s="5" t="n"/>
      <c r="E14" s="5" t="n"/>
      <c r="F14" s="5" t="n"/>
    </row>
    <row r="15">
      <c r="A15" s="3" t="inlineStr">
        <is>
          <t>媒体转载数</t>
        </is>
      </c>
      <c r="B15" s="4" t="n">
        <v>4</v>
      </c>
      <c r="C15" s="5" t="n"/>
      <c r="D15" s="5" t="n"/>
      <c r="E15" s="5" t="n"/>
      <c r="F15" s="5" t="n"/>
    </row>
    <row r="17">
      <c r="A17" s="6" t="inlineStr">
        <is>
          <t>声明</t>
        </is>
      </c>
    </row>
    <row r="18" ht="46" customHeight="1">
      <c r="A18" s="7" t="inlineStr">
        <is>
          <t>本报告只回答『事件有多大、影响谁、还差什么信息』，不提供价格涨跌结论，不构成投资建议。所有假设参数均单独标注，可被使用者覆盖。</t>
        </is>
      </c>
    </row>
    <row r="19" ht="46" customHeight="1">
      <c r="A19" s="7" t="inlineStr">
        <is>
          <t>本工具用于期现研究与产业基本面判断。数值口径一旦选定，分子分母必须同源。</t>
        </is>
      </c>
    </row>
    <row r="21">
      <c r="A21" s="8" t="inlineStr">
        <is>
          <t>工作表导航</t>
        </is>
      </c>
    </row>
    <row r="22">
      <c r="A22" s="9" t="inlineStr">
        <is>
          <t>消息核验卡</t>
        </is>
      </c>
      <c r="B22" s="10" t="inlineStr">
        <is>
          <t>8 要素核验结论 + 旧闻判定 + 时效评分</t>
        </is>
      </c>
      <c r="C22" s="5" t="n"/>
      <c r="D22" s="5" t="n"/>
      <c r="E22" s="5" t="n"/>
      <c r="F22" s="5" t="n"/>
    </row>
    <row r="23">
      <c r="A23" s="9" t="inlineStr">
        <is>
          <t>来源溯源</t>
        </is>
      </c>
      <c r="B23" s="10" t="inlineStr">
        <is>
          <t>每一条来源：谁发的、什么时候、什么层级、能证明什么</t>
        </is>
      </c>
      <c r="C23" s="5" t="n"/>
      <c r="D23" s="5" t="n"/>
      <c r="E23" s="5" t="n"/>
      <c r="F23" s="5" t="n"/>
    </row>
    <row r="24">
      <c r="A24" s="9" t="inlineStr">
        <is>
          <t>转载路径</t>
        </is>
      </c>
      <c r="B24" s="10" t="inlineStr">
        <is>
          <t>从原始来源到媒体扩散的链条，识别是否二手转述</t>
        </is>
      </c>
      <c r="C24" s="5" t="n"/>
      <c r="D24" s="5" t="n"/>
      <c r="E24" s="5" t="n"/>
      <c r="F24" s="5" t="n"/>
    </row>
    <row r="25">
      <c r="A25" s="9" t="inlineStr">
        <is>
          <t>事件要素</t>
        </is>
      </c>
      <c r="B25" s="10" t="inlineStr">
        <is>
          <t>企业/装置/产品/产能/地区/时间/事件类型 七要素</t>
        </is>
      </c>
      <c r="C25" s="5" t="n"/>
      <c r="D25" s="5" t="n"/>
      <c r="E25" s="5" t="n"/>
      <c r="F25" s="5" t="n"/>
    </row>
    <row r="26">
      <c r="A26" s="9" t="inlineStr">
        <is>
          <t>时间线</t>
        </is>
      </c>
      <c r="B26" s="10" t="inlineStr">
        <is>
          <t>事件从晃电到事故到复产的逐条记录</t>
        </is>
      </c>
      <c r="C26" s="5" t="n"/>
      <c r="D26" s="5" t="n"/>
      <c r="E26" s="5" t="n"/>
      <c r="F26" s="5" t="n"/>
    </row>
    <row r="27">
      <c r="A27" s="9" t="inlineStr">
        <is>
          <t>装置档案</t>
        </is>
      </c>
      <c r="B27" s="10" t="inlineStr">
        <is>
          <t>装置身份、工艺、产能、历史产量、历史事故</t>
        </is>
      </c>
      <c r="C27" s="5" t="n"/>
      <c r="D27" s="5" t="n"/>
      <c r="E27" s="5" t="n"/>
      <c r="F27" s="5" t="n"/>
    </row>
    <row r="28">
      <c r="A28" s="9" t="inlineStr">
        <is>
          <t>产能基准</t>
        </is>
      </c>
      <c r="B28" s="10" t="inlineStr">
        <is>
          <t>所有分母：全国/区域/工艺/月均产量，逐条带来源</t>
        </is>
      </c>
      <c r="C28" s="5" t="n"/>
      <c r="D28" s="5" t="n"/>
      <c r="E28" s="5" t="n"/>
      <c r="F28" s="5" t="n"/>
    </row>
    <row r="29">
      <c r="A29" s="9" t="inlineStr">
        <is>
          <t>产能占比</t>
        </is>
      </c>
      <c r="B29" s="10" t="inlineStr">
        <is>
          <t>同一装置多种分母同出，避免单口径误导</t>
        </is>
      </c>
      <c r="C29" s="5" t="n"/>
      <c r="D29" s="5" t="n"/>
      <c r="E29" s="5" t="n"/>
      <c r="F29" s="5" t="n"/>
    </row>
    <row r="30">
      <c r="A30" s="9" t="inlineStr">
        <is>
          <t>影响量测算</t>
        </is>
      </c>
      <c r="B30" s="10" t="inlineStr">
        <is>
          <t>活公式：改 d/r/k 自动重算，含公式说明</t>
        </is>
      </c>
      <c r="C30" s="5" t="n"/>
      <c r="D30" s="5" t="n"/>
      <c r="E30" s="5" t="n"/>
      <c r="F30" s="5" t="n"/>
    </row>
    <row r="31">
      <c r="A31" s="9" t="inlineStr">
        <is>
          <t>敏感矩阵</t>
        </is>
      </c>
      <c r="B31" s="10" t="inlineStr">
        <is>
          <t>停产天数 × 影响系数 的双维情景表</t>
        </is>
      </c>
      <c r="C31" s="5" t="n"/>
      <c r="D31" s="5" t="n"/>
      <c r="E31" s="5" t="n"/>
      <c r="F31" s="5" t="n"/>
    </row>
    <row r="32">
      <c r="A32" s="9" t="inlineStr">
        <is>
          <t>产量缺口分解</t>
        </is>
      </c>
      <c r="B32" s="10" t="inlineStr">
        <is>
          <t>年度实测口径分解，事故可归因份额留缺口</t>
        </is>
      </c>
      <c r="C32" s="5" t="n"/>
      <c r="D32" s="5" t="n"/>
      <c r="E32" s="5" t="n"/>
      <c r="F32" s="5" t="n"/>
    </row>
    <row r="33">
      <c r="A33" s="9" t="inlineStr">
        <is>
          <t>产业链节点</t>
        </is>
      </c>
      <c r="B33" s="10" t="inlineStr">
        <is>
          <t>上下游节点与传导强度</t>
        </is>
      </c>
      <c r="C33" s="5" t="n"/>
      <c r="D33" s="5" t="n"/>
      <c r="E33" s="5" t="n"/>
      <c r="F33" s="5" t="n"/>
    </row>
    <row r="34">
      <c r="A34" s="9" t="inlineStr">
        <is>
          <t>传导路径</t>
        </is>
      </c>
      <c r="B34" s="10" t="inlineStr">
        <is>
          <t>逐条路径的可量化性判断</t>
        </is>
      </c>
      <c r="C34" s="5" t="n"/>
      <c r="D34" s="5" t="n"/>
      <c r="E34" s="5" t="n"/>
      <c r="F34" s="5" t="n"/>
    </row>
    <row r="35">
      <c r="A35" s="9" t="inlineStr">
        <is>
          <t>三分法-已确认</t>
        </is>
      </c>
      <c r="B35" s="10" t="inlineStr">
        <is>
          <t>已发生影响，计入确认汇总</t>
        </is>
      </c>
      <c r="C35" s="5" t="n"/>
      <c r="D35" s="5" t="n"/>
      <c r="E35" s="5" t="n"/>
      <c r="F35" s="5" t="n"/>
    </row>
    <row r="36">
      <c r="A36" s="9" t="inlineStr">
        <is>
          <t>三分法-不确定</t>
        </is>
      </c>
      <c r="B36" s="10" t="inlineStr">
        <is>
          <t>存在不确定性，不计入确认汇总</t>
        </is>
      </c>
      <c r="C36" s="5" t="n"/>
      <c r="D36" s="5" t="n"/>
      <c r="E36" s="5" t="n"/>
      <c r="F36" s="5" t="n"/>
    </row>
    <row r="37">
      <c r="A37" s="9" t="inlineStr">
        <is>
          <t>待核验清单</t>
        </is>
      </c>
      <c r="B37" s="10" t="inlineStr">
        <is>
          <t>P0/P1/P2 优先级与查证方式</t>
        </is>
      </c>
      <c r="C37" s="5" t="n"/>
      <c r="D37" s="5" t="n"/>
      <c r="E37" s="5" t="n"/>
      <c r="F37" s="5" t="n"/>
    </row>
    <row r="38">
      <c r="A38" s="9" t="inlineStr">
        <is>
          <t>数据缺口</t>
        </is>
      </c>
      <c r="B38" s="10" t="inlineStr">
        <is>
          <t>缺什么、卡住哪个结论、本报告如何处理</t>
        </is>
      </c>
      <c r="C38" s="5" t="n"/>
      <c r="D38" s="5" t="n"/>
      <c r="E38" s="5" t="n"/>
      <c r="F38" s="5" t="n"/>
    </row>
    <row r="39">
      <c r="A39" s="9" t="inlineStr">
        <is>
          <t>可观察指标</t>
        </is>
      </c>
      <c r="B39" s="10" t="inlineStr">
        <is>
          <t>现货/期货/库存/开工等可跟踪指标与异常判据</t>
        </is>
      </c>
      <c r="C39" s="5" t="n"/>
      <c r="D39" s="5" t="n"/>
      <c r="E39" s="5" t="n"/>
      <c r="F39" s="5" t="n"/>
    </row>
    <row r="40">
      <c r="A40" s="9" t="inlineStr">
        <is>
          <t>行情背景</t>
        </is>
      </c>
      <c r="B40" s="10" t="inlineStr">
        <is>
          <t>事件时段公开行情事实，只描述不推导</t>
        </is>
      </c>
      <c r="C40" s="5" t="n"/>
      <c r="D40" s="5" t="n"/>
      <c r="E40" s="5" t="n"/>
      <c r="F40" s="5" t="n"/>
    </row>
    <row r="41">
      <c r="A41" s="9" t="inlineStr">
        <is>
          <t>同区域企业</t>
        </is>
      </c>
      <c r="B41" s="10" t="inlineStr">
        <is>
          <t>可比企业产能，判断能否补位</t>
        </is>
      </c>
      <c r="C41" s="5" t="n"/>
      <c r="D41" s="5" t="n"/>
      <c r="E41" s="5" t="n"/>
      <c r="F41" s="5" t="n"/>
    </row>
    <row r="42">
      <c r="A42" s="9" t="inlineStr">
        <is>
          <t>证据等级说明</t>
        </is>
      </c>
      <c r="B42" s="10" t="inlineStr">
        <is>
          <t>A1–D 与 T1–T6 的定义与用法</t>
        </is>
      </c>
      <c r="C42" s="5" t="n"/>
      <c r="D42" s="5" t="n"/>
      <c r="E42" s="5" t="n"/>
      <c r="F42" s="5" t="n"/>
    </row>
  </sheetData>
  <mergeCells count="38">
    <mergeCell ref="B4:F4"/>
    <mergeCell ref="B7:F7"/>
    <mergeCell ref="B25:F25"/>
    <mergeCell ref="B31:F31"/>
    <mergeCell ref="A18:F18"/>
    <mergeCell ref="B22:F22"/>
    <mergeCell ref="A21:F21"/>
    <mergeCell ref="B27:F27"/>
    <mergeCell ref="A2:F2"/>
    <mergeCell ref="B12:F12"/>
    <mergeCell ref="B39:F39"/>
    <mergeCell ref="B11:F11"/>
    <mergeCell ref="B42:F42"/>
    <mergeCell ref="A17:F17"/>
    <mergeCell ref="B23:F23"/>
    <mergeCell ref="B14:F14"/>
    <mergeCell ref="B8:F8"/>
    <mergeCell ref="B13:F13"/>
    <mergeCell ref="B29:F29"/>
    <mergeCell ref="B38:F38"/>
    <mergeCell ref="A19:F19"/>
    <mergeCell ref="B34:F34"/>
    <mergeCell ref="B10:F10"/>
    <mergeCell ref="B28:F28"/>
    <mergeCell ref="B37:F37"/>
    <mergeCell ref="B40:F40"/>
    <mergeCell ref="B30:F30"/>
    <mergeCell ref="B6:F6"/>
    <mergeCell ref="B24:F24"/>
    <mergeCell ref="B15:F15"/>
    <mergeCell ref="B33:F33"/>
    <mergeCell ref="A1:F1"/>
    <mergeCell ref="B5:F5"/>
    <mergeCell ref="B36:F36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12" customWidth="1" min="3" max="3"/>
    <col width="34" customWidth="1" min="4" max="4"/>
  </cols>
  <sheetData>
    <row r="1" ht="30" customHeight="1">
      <c r="A1" s="1" t="inlineStr">
        <is>
          <t>① 消息核验卡</t>
        </is>
      </c>
    </row>
    <row r="2" ht="28" customHeight="1">
      <c r="A2" s="2" t="inlineStr">
        <is>
          <t>回答：这条消息是什么、谁最先说的、是不是旧闻、现在还值不值得看</t>
        </is>
      </c>
    </row>
    <row r="4" ht="34" customHeight="1">
      <c r="A4" s="11" t="inlineStr">
        <is>
          <t>核验项</t>
        </is>
      </c>
      <c r="B4" s="11" t="inlineStr">
        <is>
          <t>结论</t>
        </is>
      </c>
      <c r="C4" s="11" t="inlineStr">
        <is>
          <t>证据等级</t>
        </is>
      </c>
      <c r="D4" s="11" t="inlineStr">
        <is>
          <t>说明</t>
        </is>
      </c>
    </row>
    <row r="5" ht="34" customHeight="1">
      <c r="A5" s="12" t="inlineStr">
        <is>
          <t>标题（一句话事实）</t>
        </is>
      </c>
      <c r="B5" s="13" t="inlineStr">
        <is>
          <t>广汇新能源造气 B 系列 5 号气化炉闪爆，涉事厂区为 120 万吨/年甲醇联产 7 亿方 LNG 项目</t>
        </is>
      </c>
      <c r="C5" s="14" t="inlineStr">
        <is>
          <t>-</t>
        </is>
      </c>
      <c r="D5" s="15" t="inlineStr">
        <is>
          <t>不含判断，只陈述已确认事实</t>
        </is>
      </c>
    </row>
    <row r="6" ht="34" customHeight="1">
      <c r="A6" s="12" t="inlineStr">
        <is>
          <t>事件发生时间</t>
        </is>
      </c>
      <c r="B6" s="13" t="inlineStr">
        <is>
          <t>2023-05-08 18:08</t>
        </is>
      </c>
      <c r="C6" s="16" t="inlineStr">
        <is>
          <t>A1</t>
        </is>
      </c>
      <c r="D6" s="15" t="inlineStr">
        <is>
          <t>政府调查报告认定</t>
        </is>
      </c>
    </row>
    <row r="7" ht="34" customHeight="1">
      <c r="A7" s="12" t="inlineStr">
        <is>
          <t>最早公开确认主体</t>
        </is>
      </c>
      <c r="B7" s="13" t="inlineStr">
        <is>
          <t>哈密市应急管理局（事故调查报告）</t>
        </is>
      </c>
      <c r="C7" s="16" t="inlineStr">
        <is>
          <t>A1</t>
        </is>
      </c>
      <c r="D7" s="15" t="inlineStr">
        <is>
          <t>监管/官方</t>
        </is>
      </c>
    </row>
    <row r="8" ht="34" customHeight="1">
      <c r="A8" s="12" t="inlineStr">
        <is>
          <t>首个公开日期</t>
        </is>
      </c>
      <c r="B8" s="13" t="inlineStr">
        <is>
          <t>2023-09（报告定稿 2023-08-22 由哈密市政府批复）</t>
        </is>
      </c>
      <c r="C8" s="16" t="inlineStr">
        <is>
          <t>A1</t>
        </is>
      </c>
      <c r="D8" s="15" t="inlineStr">
        <is>
          <t>以批复/发布日为准</t>
        </is>
      </c>
    </row>
    <row r="9" ht="34" customHeight="1">
      <c r="A9" s="12" t="inlineStr">
        <is>
          <t>最早已有明确日期的公开记录</t>
        </is>
      </c>
      <c r="B9" s="13" t="inlineStr">
        <is>
          <t>2023-06-27 新疆维吾尔自治区人民政府网《哈密现代煤化工产业的“变”与“不变”》（事件后的区域产业报道，非事件首发）</t>
        </is>
      </c>
      <c r="C9" s="17" t="inlineStr">
        <is>
          <t>B3</t>
        </is>
      </c>
      <c r="D9" s="15" t="inlineStr">
        <is>
          <t>可能是事后报道，不等于首发</t>
        </is>
      </c>
    </row>
    <row r="10" ht="34" customHeight="1">
      <c r="A10" s="12" t="inlineStr">
        <is>
          <t>媒体开始转载日期</t>
        </is>
      </c>
      <c r="B10" s="13" t="inlineStr">
        <is>
          <t>2023-09-25</t>
        </is>
      </c>
      <c r="C10" s="17" t="inlineStr">
        <is>
          <t>B3</t>
        </is>
      </c>
      <c r="D10" s="15" t="inlineStr">
        <is>
          <t>转载数见「转载路径」表</t>
        </is>
      </c>
    </row>
    <row r="11" ht="34" customHeight="1">
      <c r="A11" s="12" t="inlineStr">
        <is>
          <t>事实确认状态</t>
        </is>
      </c>
      <c r="B11" s="13" t="inlineStr">
        <is>
          <t>政府确认（A1）</t>
        </is>
      </c>
      <c r="C11" s="16" t="inlineStr">
        <is>
          <t>A1</t>
        </is>
      </c>
      <c r="D11" s="15" t="inlineStr">
        <is>
          <t>事件本体、时间点、装置单元、事故性质由哈密市应急管理局调查报告确认，并由哈密市政府 2023-08-22 批复同意。媒体报道属对官方通报的转载。</t>
        </is>
      </c>
    </row>
    <row r="12" ht="34" customHeight="1">
      <c r="A12" s="12" t="inlineStr">
        <is>
          <t>旧闻判定</t>
        </is>
      </c>
      <c r="B12" s="13" t="inlineStr">
        <is>
          <t>旧闻+新进展</t>
        </is>
      </c>
      <c r="C12" s="14" t="inlineStr">
        <is>
          <t>-</t>
        </is>
      </c>
      <c r="D12" s="15" t="inlineStr">
        <is>
          <t>见下方 6 条信号</t>
        </is>
      </c>
    </row>
    <row r="13" ht="34" customHeight="1">
      <c r="A13" s="12" t="inlineStr">
        <is>
          <t>时效评分</t>
        </is>
      </c>
      <c r="B13" s="13" t="inlineStr">
        <is>
          <t>1/5（历史回溯 · 已充分传导）</t>
        </is>
      </c>
      <c r="C13" s="14" t="inlineStr">
        <is>
          <t>-</t>
        </is>
      </c>
      <c r="D13" s="15" t="inlineStr">
        <is>
          <t>事件距今约 3.5 年，所有已确认影响均已计入上市公司 2023 年年报，本报告为『回溯型规模测量』，不作为实时交易信号。</t>
        </is>
      </c>
    </row>
    <row r="14" ht="34" customHeight="1">
      <c r="A14" s="12" t="inlineStr">
        <is>
          <t>确认源数量</t>
        </is>
      </c>
      <c r="B14" s="13" t="n">
        <v>3</v>
      </c>
      <c r="C14" s="14" t="inlineStr">
        <is>
          <t>-</t>
        </is>
      </c>
      <c r="D14" s="15" t="inlineStr">
        <is>
          <t>独立信源，非转载</t>
        </is>
      </c>
    </row>
    <row r="15" ht="34" customHeight="1">
      <c r="A15" s="12" t="inlineStr">
        <is>
          <t>媒体转载数量</t>
        </is>
      </c>
      <c r="B15" s="13" t="n">
        <v>4</v>
      </c>
      <c r="C15" s="14" t="inlineStr">
        <is>
          <t>-</t>
        </is>
      </c>
      <c r="D15" s="15" t="inlineStr">
        <is>
          <t>可确认的转载/加工路径至少 4 条，且内容高度一致（同源于官方通报或调查报告），不构成独立确认。</t>
        </is>
      </c>
    </row>
    <row r="16" ht="34" customHeight="1">
      <c r="A16" s="12" t="inlineStr">
        <is>
          <t>市场认知状态</t>
        </is>
      </c>
      <c r="B16" s="13" t="inlineStr">
        <is>
          <t>已被定价 / 已充分反映</t>
        </is>
      </c>
      <c r="C16" s="14" t="inlineStr">
        <is>
          <t>-</t>
        </is>
      </c>
      <c r="D16" s="15" t="inlineStr">
        <is>
          <t>该事件及其对 2023 年产量的影响已计入上市公司 2023 年年度报告，并已见于行业周报的装置回归叙事（南华期货 2023-06-11 提及『新疆装置也即将集中回归』）。</t>
        </is>
      </c>
    </row>
    <row r="17" ht="34" customHeight="1">
      <c r="A17" s="12" t="inlineStr">
        <is>
          <t>关键纠正</t>
        </is>
      </c>
      <c r="B17" s="13" t="inlineStr">
        <is>
          <t>媒体表述普遍写『新疆广汇新能源有限公司发生闪爆』，易被读成整厂停车；调查报告原文为『造气 B 系列 5 号气化炉』，且事故发生在『全厂停电后多台生产装置同时开车』过程中。这两个细节直接决定波及系数 k 的取法，必须从原件读取。</t>
        </is>
      </c>
      <c r="C17" s="14" t="inlineStr">
        <is>
          <t>-</t>
        </is>
      </c>
      <c r="D17" s="15" t="inlineStr">
        <is>
          <t>新闻与原件冲突时以此为准</t>
        </is>
      </c>
    </row>
    <row r="18" ht="34" customHeight="1">
      <c r="A18" s="12" t="inlineStr">
        <is>
          <t>整体证据等级</t>
        </is>
      </c>
      <c r="B18" s="13" t="inlineStr">
        <is>
          <t>A1</t>
        </is>
      </c>
      <c r="C18" s="16" t="inlineStr">
        <is>
          <t>A1</t>
        </is>
      </c>
      <c r="D18" s="15" t="inlineStr">
        <is>
          <t>A1 最高，D 最低</t>
        </is>
      </c>
    </row>
    <row r="20" ht="24" customHeight="1">
      <c r="A20" s="18" t="inlineStr">
        <is>
          <t>旧闻识别 · 6 类信号命中情况</t>
        </is>
      </c>
    </row>
    <row r="21" ht="34" customHeight="1">
      <c r="A21" s="11" t="inlineStr">
        <is>
          <t>信号</t>
        </is>
      </c>
      <c r="B21" s="11" t="inlineStr">
        <is>
          <t>命中/未命中与依据</t>
        </is>
      </c>
      <c r="C21" s="11" t="inlineStr"/>
      <c r="D21" s="11" t="inlineStr"/>
    </row>
    <row r="22" ht="32" customHeight="1">
      <c r="A22" s="19" t="inlineStr">
        <is>
          <t>S1</t>
        </is>
      </c>
      <c r="B22" s="13" t="inlineStr">
        <is>
          <t>事件本体发生于 2023-05-08；本次可检索到的最新节点为 2026-04-30 哈密市发布的《防范整改措施和责任追究落实情况评估报告》，属新进展而非旧闻重发。</t>
        </is>
      </c>
      <c r="C22" s="5" t="n"/>
      <c r="D22" s="5" t="n"/>
    </row>
    <row r="23" ht="32" customHeight="1">
      <c r="A23" s="19" t="inlineStr">
        <is>
          <t>S2</t>
        </is>
      </c>
      <c r="B23" s="13" t="inlineStr">
        <is>
          <t>转载站点（安全管理网）显示『更新日期 2025-02-05』，正文来源为『哈密市应急管理局』——典型『旧文挂新日期』，易被误读为 2025 年新消息。</t>
        </is>
      </c>
      <c r="C23" s="5" t="n"/>
      <c r="D23" s="5" t="n"/>
    </row>
    <row r="24" ht="32" customHeight="1">
      <c r="A24" s="19" t="inlineStr">
        <is>
          <t>S3</t>
        </is>
      </c>
      <c r="B24" s="13" t="inlineStr">
        <is>
          <t>媒体报道时间（2023-09-25 起）晚于事件 4.5 个月，晚于调查报告定稿 1 个月，属『调查报告公布后追报』，不是事件首发。</t>
        </is>
      </c>
      <c r="C24" s="5" t="n"/>
      <c r="D24" s="5" t="n"/>
    </row>
  </sheetData>
  <mergeCells count="6">
    <mergeCell ref="A1:D1"/>
    <mergeCell ref="B23:D23"/>
    <mergeCell ref="B22:D22"/>
    <mergeCell ref="A20:D20"/>
    <mergeCell ref="A2:D2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20" customWidth="1" min="4" max="4"/>
    <col width="8" customWidth="1" min="5" max="5"/>
    <col width="9" customWidth="1" min="6" max="6"/>
    <col width="8" customWidth="1" min="7" max="7"/>
    <col width="8" customWidth="1" min="8" max="8"/>
    <col width="56" customWidth="1" min="9" max="9"/>
  </cols>
  <sheetData>
    <row r="1" ht="30" customHeight="1">
      <c r="A1" s="1" t="inlineStr">
        <is>
          <t>② 来源溯源</t>
        </is>
      </c>
    </row>
    <row r="2" ht="28" customHeight="1">
      <c r="A2" s="2" t="inlineStr">
        <is>
          <t>每条来源都要能回答：谁发的、什么时候、什么层级、能证明什么、不能证明什么</t>
        </is>
      </c>
    </row>
    <row r="4" ht="34" customHeight="1">
      <c r="A4" s="11" t="inlineStr">
        <is>
          <t>ID</t>
        </is>
      </c>
      <c r="B4" s="11" t="inlineStr">
        <is>
          <t>标题</t>
        </is>
      </c>
      <c r="C4" s="11" t="inlineStr">
        <is>
          <t>发布方</t>
        </is>
      </c>
      <c r="D4" s="11" t="inlineStr">
        <is>
          <t>发布日期</t>
        </is>
      </c>
      <c r="E4" s="11" t="inlineStr">
        <is>
          <t>层级</t>
        </is>
      </c>
      <c r="F4" s="11" t="inlineStr">
        <is>
          <t>证据等级</t>
        </is>
      </c>
      <c r="G4" s="11" t="inlineStr">
        <is>
          <t>原始源</t>
        </is>
      </c>
      <c r="H4" s="11" t="inlineStr">
        <is>
          <t>确认源</t>
        </is>
      </c>
      <c r="I4" s="11" t="inlineStr">
        <is>
          <t>能证明 / 不能证明</t>
        </is>
      </c>
    </row>
    <row r="5" ht="44" customHeight="1">
      <c r="A5" s="20" t="inlineStr">
        <is>
          <t>S1</t>
        </is>
      </c>
      <c r="B5" s="21" t="inlineStr">
        <is>
          <t>新疆广汇新能源有限公司“5·8”闪爆一般事故调查报告</t>
        </is>
      </c>
      <c r="C5" s="21" t="inlineStr">
        <is>
          <t>哈密市人民政府 / 哈密市应急管理局</t>
        </is>
      </c>
      <c r="D5" s="20" t="inlineStr">
        <is>
          <t>2023-09-20（页面栏目归档 2023-09；报告经市政府 2023-08-22 批复）</t>
        </is>
      </c>
      <c r="E5" s="22" t="inlineStr">
        <is>
          <t>T1</t>
        </is>
      </c>
      <c r="F5" s="23" t="inlineStr">
        <is>
          <t>A1</t>
        </is>
      </c>
      <c r="G5" s="22" t="inlineStr">
        <is>
          <t>政府监管文书</t>
        </is>
      </c>
      <c r="H5" s="22" t="inlineStr">
        <is>
          <t>事件一手认定源</t>
        </is>
      </c>
      <c r="I5" s="21" t="inlineStr">
        <is>
          <t>· 2023-05-08 18:08 造气 B 系列 5 号气化炉在开炉、并炉过程中闪爆
· 1 人死亡、6 人受伤（2 人重伤），直接经济损失 460.78 万元
· 当天 12:30 晃电导致气化炉停工，17:40 重新开车，升压至 1.775MPa 时发生事故
· 认定为压力管道泄漏引起的一般生产安全责任事故（非重大事故）
· 气化 B 系列共 8 台气化炉（B1–B8），B6 炉 2017 年 2 月已因焊缝开裂拆除
· 企业具备年产 120 万吨甲醇及 7 亿方天然气生产能力
· 对单位罚款 99.9 万元；6 号气化炉恢复升级项目未办安全审查手续擅自施工
获取方式：政府站点直接抓取 TLS 失败；全文经安全管理网（S4）完整转载取得，并与新浪/澎湃转述（S5）交叉比对一致</t>
        </is>
      </c>
    </row>
    <row r="6" ht="44" customHeight="1">
      <c r="A6" s="20" t="inlineStr">
        <is>
          <t>S2</t>
        </is>
      </c>
      <c r="B6" s="21" t="inlineStr">
        <is>
          <t>新疆广汇新能源有限公司“5·8”闪爆一般事故防范整改措施和责任追究落实情况评估报告</t>
        </is>
      </c>
      <c r="C6" s="21" t="inlineStr">
        <is>
          <t>哈密市人民政府（哈密市应急管理局）</t>
        </is>
      </c>
      <c r="D6" s="20" t="inlineStr">
        <is>
          <t>2026-04-30</t>
        </is>
      </c>
      <c r="E6" s="22" t="inlineStr">
        <is>
          <t>T1</t>
        </is>
      </c>
      <c r="F6" s="22" t="inlineStr">
        <is>
          <t>A1（节点存在）；报告细节未获取</t>
        </is>
      </c>
      <c r="G6" s="22" t="inlineStr">
        <is>
          <t>政府监管文书</t>
        </is>
      </c>
      <c r="H6" s="22" t="inlineStr">
        <is>
          <t>最新进展节点（证明为『旧闻+新进展』而非旧闻重发）</t>
        </is>
      </c>
      <c r="I6" s="21" t="inlineStr">
        <is>
          <t>· 哈密市政府于 2023-08-22 批复同意事故调查报告
· 该评估报告于 2026-04-30 发布
获取方式：检索结果摘要；未取得全文</t>
        </is>
      </c>
    </row>
    <row r="7" ht="44" customHeight="1">
      <c r="A7" s="20" t="inlineStr">
        <is>
          <t>S3</t>
        </is>
      </c>
      <c r="B7" s="21" t="inlineStr">
        <is>
          <t>广汇能源股份有限公司 2023 年年度报告（含 2019–2023 年产能与产量表）</t>
        </is>
      </c>
      <c r="C7" s="21" t="inlineStr">
        <is>
          <t>广汇能源股份有限公司</t>
        </is>
      </c>
      <c r="D7" s="20" t="inlineStr">
        <is>
          <t>2024-04-19</t>
        </is>
      </c>
      <c r="E7" s="22" t="inlineStr">
        <is>
          <t>T2</t>
        </is>
      </c>
      <c r="F7" s="23" t="inlineStr">
        <is>
          <t>A2</t>
        </is>
      </c>
      <c r="G7" s="22" t="inlineStr">
        <is>
          <t>上市公司定期报告</t>
        </is>
      </c>
      <c r="H7" s="22" t="inlineStr">
        <is>
          <t>产能、产量、产能利用率的一手量化源</t>
        </is>
      </c>
      <c r="I7" s="21" t="inlineStr">
        <is>
          <t>· 广汇新能源 2023 年完成 20 天年度检修，受蒸汽锅炉轮检影响，实现甲醇产量 91.09 万吨，同比下降 19.13%
· 2023 年实现煤化工副产品产量 31.00 万吨，同比下降 20.35%
· 生产能力表：甲醇设计产能 120 万吨；实际产能 2023=91.09 / 2022=112.64 / 2021=116.50 / 2020=106.38 / 2019=112.88 万吨
· 煤制 LNG 设计产能 50 万吨；实际 2023=41.46 / 2022=51.74 / 2021=52.64 / 2020=49.16 / 2019=50.29 万吨
· 2023 年『非正常停产情况：不适用』——公司未将本次事故列为非正常停产
页码：p22（广汇新能源生产经营情况）/ p47（生产能力表：设计产能与实际产能）</t>
        </is>
      </c>
    </row>
    <row r="8" ht="44" customHeight="1">
      <c r="A8" s="20" t="inlineStr">
        <is>
          <t>S4</t>
        </is>
      </c>
      <c r="B8" s="21" t="inlineStr">
        <is>
          <t>新疆广汇新能源有限公司“5·8”闪爆一般事故调查报告（全文转载）</t>
        </is>
      </c>
      <c r="C8" s="21" t="inlineStr">
        <is>
          <t>安全管理网（safehoo.com）</t>
        </is>
      </c>
      <c r="D8" s="20" t="inlineStr">
        <is>
          <t>更新日期 2025-02-05</t>
        </is>
      </c>
      <c r="E8" s="22" t="inlineStr">
        <is>
          <t>T6</t>
        </is>
      </c>
      <c r="F8" s="22" t="inlineStr">
        <is>
          <t>T6（内容源自 T1，转录完整度高；以 S1 为准）</t>
        </is>
      </c>
      <c r="G8" s="22" t="inlineStr">
        <is>
          <t>行业转载站</t>
        </is>
      </c>
      <c r="H8" s="22" t="inlineStr">
        <is>
          <t>S1 全文的可用获取通道</t>
        </is>
      </c>
      <c r="I8" s="21" t="inlineStr">
        <is>
          <t>· 与 S1 内容一致，未发现增删敏感参数
获取方式：全文抓取成功</t>
        </is>
      </c>
    </row>
    <row r="9" ht="44" customHeight="1">
      <c r="A9" s="20" t="inlineStr">
        <is>
          <t>S5</t>
        </is>
      </c>
      <c r="B9" s="21" t="inlineStr">
        <is>
          <t>新疆一公司发生闪爆致1人死亡6人受伤：董事长、总经理被问责</t>
        </is>
      </c>
      <c r="C9" s="21" t="inlineStr">
        <is>
          <t>澎湃新闻（新浪转载）</t>
        </is>
      </c>
      <c r="D9" s="20" t="inlineStr">
        <is>
          <t>2023-09-25 15:28</t>
        </is>
      </c>
      <c r="E9" s="22" t="inlineStr">
        <is>
          <t>T5</t>
        </is>
      </c>
      <c r="F9" s="22" t="inlineStr">
        <is>
          <t>B2（对官方通报的转述）</t>
        </is>
      </c>
      <c r="G9" s="22" t="inlineStr">
        <is>
          <t>主流媒体</t>
        </is>
      </c>
      <c r="H9" s="22" t="inlineStr">
        <is>
          <t>媒体报道路径代表；说明事件在调查报告公布后才进入大众传播</t>
        </is>
      </c>
      <c r="I9" s="21" t="inlineStr">
        <is>
          <t>· 来源标注：@应急管理部
· 报道口径为『新疆广汇新能源有限公司发生一起闪爆事故』，未提及具体炉号
获取方式：全文抓取成功</t>
        </is>
      </c>
    </row>
    <row r="10" ht="44" customHeight="1">
      <c r="A10" s="20" t="inlineStr">
        <is>
          <t>S6</t>
        </is>
      </c>
      <c r="B10" s="21" t="inlineStr">
        <is>
          <t>警醒！突发闪爆致1死6伤，董事长等9人被处理！</t>
        </is>
      </c>
      <c r="C10" s="21" t="inlineStr">
        <is>
          <t>搜狐（账号 121106994，事故警示类整理稿）</t>
        </is>
      </c>
      <c r="D10" s="20" t="inlineStr">
        <is>
          <t>2023-10-10</t>
        </is>
      </c>
      <c r="E10" s="22" t="inlineStr">
        <is>
          <t>T5</t>
        </is>
      </c>
      <c r="F10" s="22" t="inlineStr">
        <is>
          <t>D（二次加工，不作为事实源）</t>
        </is>
      </c>
      <c r="G10" s="22" t="inlineStr">
        <is>
          <t>主流媒体</t>
        </is>
      </c>
      <c r="H10" s="22" t="inlineStr">
        <is>
          <t>二次加工路径示例（加入『9 人被处理』等概括性表述）</t>
        </is>
      </c>
      <c r="I10" s="21" t="inlineStr">
        <is>
          <t xml:space="preserve">
获取方式：检索摘要</t>
        </is>
      </c>
    </row>
    <row r="11" ht="44" customHeight="1">
      <c r="A11" s="20" t="inlineStr">
        <is>
          <t>S7</t>
        </is>
      </c>
      <c r="B11" s="21" t="inlineStr">
        <is>
          <t>2024 年投资策略报告·甲醇（2023 年甲醇产能区域分布、开工率、价格走势）</t>
        </is>
      </c>
      <c r="C11" s="21" t="inlineStr">
        <is>
          <t>国信期货</t>
        </is>
      </c>
      <c r="D11" s="20" t="inlineStr">
        <is>
          <t>2023-11-26</t>
        </is>
      </c>
      <c r="E11" s="22" t="inlineStr">
        <is>
          <t>T4</t>
        </is>
      </c>
      <c r="F11" s="22" t="inlineStr">
        <is>
          <t>B1（引卓创、Wind）</t>
        </is>
      </c>
      <c r="G11" s="22" t="inlineStr">
        <is>
          <t>第三方研究（期货公司）</t>
        </is>
      </c>
      <c r="H11" s="22" t="inlineStr">
        <is>
          <t>全国/区域/工艺产能基准与年度价格走势</t>
        </is>
      </c>
      <c r="I11" s="21" t="inlineStr">
        <is>
          <t>· 2023 年中国甲醇总产能约 10,630 万吨，增速 4.5%
· 煤制 75.74%、天然气制 9.85%、焦炉气制 14%
· 西北地区产能占比约 35%，华北 18%，华东 29%
· 2023 年甲醇装置年均开工率约 68%；煤制装置年均开工率约 72.95%
· 预计 2023 年总产量约 7,150 万吨，月均约 596 万吨
· 2023 年主力合约年跌幅约 8%；6 月中旬跌破近三年低点，6–9 月反弹至 2662 元/吨；2 月最低 2037 元/吨
页码：p4–p6、p2</t>
        </is>
      </c>
    </row>
    <row r="12" ht="44" customHeight="1">
      <c r="A12" s="20" t="inlineStr">
        <is>
          <t>S8</t>
        </is>
      </c>
      <c r="B12" s="21" t="inlineStr">
        <is>
          <t>南华甲醇产业链数据周报 20230611：空头牌面逐渐清晰，等待加速下跌</t>
        </is>
      </c>
      <c r="C12" s="21" t="inlineStr">
        <is>
          <t>南华期货</t>
        </is>
      </c>
      <c r="D12" s="20" t="inlineStr">
        <is>
          <t>2023-06-11</t>
        </is>
      </c>
      <c r="E12" s="22" t="inlineStr">
        <is>
          <t>T4</t>
        </is>
      </c>
      <c r="F12" s="22" t="inlineStr">
        <is>
          <t>B2（单一机构口径，但时间贴合事件）</t>
        </is>
      </c>
      <c r="G12" s="22" t="inlineStr">
        <is>
          <t>第三方研究（期货公司）</t>
        </is>
      </c>
      <c r="H12" s="22" t="inlineStr">
        <is>
          <t>事件后一个月的行业口径旁证（供给恢复叙事）</t>
        </is>
      </c>
      <c r="I12" s="21" t="inlineStr">
        <is>
          <t>· 『煤制利润明显修复后本周供应开始明显回归……新疆装置也即将集中回归』
· 说明至 2023-06-11，新疆相关装置仍处于『即将回归』状态，未被描述为已在正常运行</t>
        </is>
      </c>
    </row>
    <row r="13" ht="44" customHeight="1">
      <c r="A13" s="20" t="inlineStr">
        <is>
          <t>S9</t>
        </is>
      </c>
      <c r="B13" s="21" t="inlineStr">
        <is>
          <t>甲醇九月策略（2023 年 8 月月报）</t>
        </is>
      </c>
      <c r="C13" s="21" t="inlineStr">
        <is>
          <t>广发期货</t>
        </is>
      </c>
      <c r="D13" s="20" t="inlineStr">
        <is>
          <t>2023-09-03</t>
        </is>
      </c>
      <c r="E13" s="22" t="inlineStr">
        <is>
          <t>T4</t>
        </is>
      </c>
      <c r="F13" s="22" t="inlineStr">
        <is>
          <t>B1（引隆众、卓创、Wind）</t>
        </is>
      </c>
      <c r="G13" s="22" t="inlineStr">
        <is>
          <t>第三方研究（期货公司）</t>
        </is>
      </c>
      <c r="H13" s="22" t="inlineStr">
        <is>
          <t>同期全国开工率、库存与进口口径</t>
        </is>
      </c>
      <c r="I13" s="21" t="inlineStr">
        <is>
          <t>· 截至 2023-08-31，国内甲醇整体装置开工负荷 72.35%
· 非一体化甲醇平均开工负荷 64.91%
· 截至 2023-08-30，甲醇港口样本库存 102.03 万吨；样本企业库存 36.33 万吨；样本企业订单待发 32.57 万吨
· 8 月进口预估超 130 万吨</t>
        </is>
      </c>
    </row>
    <row r="14" ht="44" customHeight="1">
      <c r="A14" s="20" t="inlineStr">
        <is>
          <t>S10</t>
        </is>
      </c>
      <c r="B14" s="21" t="inlineStr">
        <is>
          <t>关于《新疆广汇新能源有限公司关于短期恢复生产的请示》的复函（2015）</t>
        </is>
      </c>
      <c r="C14" s="21" t="inlineStr">
        <is>
          <t>新疆维吾尔自治区生态环境厅</t>
        </is>
      </c>
      <c r="D14" s="20" t="inlineStr">
        <is>
          <t>2015-09</t>
        </is>
      </c>
      <c r="E14" s="22" t="inlineStr">
        <is>
          <t>T1</t>
        </is>
      </c>
      <c r="F14" s="22" t="inlineStr">
        <is>
          <t>A1（摘要）</t>
        </is>
      </c>
      <c r="G14" s="22" t="inlineStr">
        <is>
          <t>政府公开文件（环评系统）</t>
        </is>
      </c>
      <c r="H14" s="22" t="inlineStr">
        <is>
          <t>装置名称与产能口径的历史锚点</t>
        </is>
      </c>
      <c r="I14" s="21" t="inlineStr">
        <is>
          <t>· 项目名称为『年产 120 万吨甲醇/80 万吨二甲醚（煤基）项目』；2015 年处于停产整改后的短期试生产</t>
        </is>
      </c>
    </row>
    <row r="15" ht="44" customHeight="1">
      <c r="A15" s="20" t="inlineStr">
        <is>
          <t>S11</t>
        </is>
      </c>
      <c r="B15" s="21" t="inlineStr">
        <is>
          <t>广汇能源股份有限公司 2024 年年度报告</t>
        </is>
      </c>
      <c r="C15" s="21" t="inlineStr">
        <is>
          <t>广汇能源股份有限公司</t>
        </is>
      </c>
      <c r="D15" s="20" t="inlineStr">
        <is>
          <t>2025-04-25</t>
        </is>
      </c>
      <c r="E15" s="22" t="inlineStr">
        <is>
          <t>T2</t>
        </is>
      </c>
      <c r="F15" s="23" t="inlineStr">
        <is>
          <t>A2</t>
        </is>
      </c>
      <c r="G15" s="22" t="inlineStr">
        <is>
          <t>上市公司定期报告</t>
        </is>
      </c>
      <c r="H15" s="22" t="inlineStr">
        <is>
          <t>恢复年度的产量对照，用于判断事件是否已完全出清</t>
        </is>
      </c>
      <c r="I15" s="21" t="inlineStr">
        <is>
          <t>· 广汇新能源 2024 年甲醇产量 107.88 万吨，同比增长 18.43%
· 生产能力表：甲醇设计产能 120 万吨；实际 2024=107.88 / 2023=91.09 / 2022=112.64 / 2021=116.50 / 2020=106.38
页码：p23 / p?（生产能力表）</t>
        </is>
      </c>
    </row>
    <row r="16" ht="44" customHeight="1">
      <c r="A16" s="20" t="inlineStr">
        <is>
          <t>S12</t>
        </is>
      </c>
      <c r="B16" s="21" t="inlineStr">
        <is>
          <t>年度检修提前致煤化工产品产量下滑 广汇能源氢能项目预计11月开始试运行｜财报解读</t>
        </is>
      </c>
      <c r="C16" s="21" t="inlineStr">
        <is>
          <t>财联社</t>
        </is>
      </c>
      <c r="D16" s="20" t="inlineStr">
        <is>
          <t>2023-08-18</t>
        </is>
      </c>
      <c r="E16" s="22" t="inlineStr">
        <is>
          <t>T5</t>
        </is>
      </c>
      <c r="F16" s="24" t="inlineStr">
        <is>
          <t>B3</t>
        </is>
      </c>
      <c r="G16" s="22" t="inlineStr">
        <is>
          <t>行业媒体</t>
        </is>
      </c>
      <c r="H16" s="22" t="inlineStr">
        <is>
          <t>公司口径的『原因解释』侧证</t>
        </is>
      </c>
      <c r="I16" s="21" t="inlineStr">
        <is>
          <t>· 报道指 2023 年上半年公司业绩下滑，公开报道将其归因于『年度检修提前』
· 需注意：这是媒体对公司的转述，公司年报原文表述为『完成为期 20 天年度检修，受蒸汽锅炉轮检影响』，两处口径需并列阅读</t>
        </is>
      </c>
    </row>
    <row r="17" ht="44" customHeight="1">
      <c r="A17" s="20" t="inlineStr">
        <is>
          <t>S13</t>
        </is>
      </c>
      <c r="B17" s="21" t="inlineStr">
        <is>
          <t>新疆广汇新能源3台气化炉完成更换 产量有望提升</t>
        </is>
      </c>
      <c r="C17" s="21" t="inlineStr">
        <is>
          <t>化盟网（引中化二建、九派财经）</t>
        </is>
      </c>
      <c r="D17" s="20" t="inlineStr">
        <is>
          <t>2026-09（约）</t>
        </is>
      </c>
      <c r="E17" s="22" t="inlineStr">
        <is>
          <t>T6</t>
        </is>
      </c>
      <c r="F17" s="22" t="inlineStr">
        <is>
          <t>B3（摘要）；仅作档案线索</t>
        </is>
      </c>
      <c r="G17" s="22" t="inlineStr">
        <is>
          <t>行业资讯站</t>
        </is>
      </c>
      <c r="H17" s="22" t="inlineStr">
        <is>
          <t>装置档案补充：气化炉数量与工艺路线</t>
        </is>
      </c>
      <c r="I17" s="21" t="inlineStr">
        <is>
          <t>· 该厂采用鲁奇碎煤加压气化（15 台气化炉，13 开 2 备，分两大系列）
· 2026 年 B 区 3 台气化炉更换完成后，气化炉数量由 12 台提升至 14 台，形成『14 台运行、1 台备用、1 台检修』格局
· 注：与调查报告（B 系列 8 台）口径需并置理解——系列划分与备用口径存在差异，本报告以外供数不作测算依据</t>
        </is>
      </c>
    </row>
    <row r="19">
      <c r="A19" s="25" t="inlineStr">
        <is>
          <t>提示：URL 见 HTML 报告与 sources/原始证据摘录.md。Excel 内不嵌外链，避免文件被移动后链接失效。</t>
        </is>
      </c>
    </row>
  </sheetData>
  <mergeCells count="3">
    <mergeCell ref="A1:I1"/>
    <mergeCell ref="A19:I19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22" customWidth="1" min="4" max="4"/>
    <col width="60" customWidth="1" min="5" max="5"/>
  </cols>
  <sheetData>
    <row r="1" ht="30" customHeight="1">
      <c r="A1" s="1" t="inlineStr">
        <is>
          <t>③ 转载路径</t>
        </is>
      </c>
    </row>
    <row r="2" ht="28" customHeight="1">
      <c r="A2" s="2" t="inlineStr">
        <is>
          <t>识别「一手信息」与「二手转述」的分界，避免把转载当新消息</t>
        </is>
      </c>
    </row>
    <row r="4" ht="34" customHeight="1">
      <c r="A4" s="11" t="inlineStr">
        <is>
          <t>节点</t>
        </is>
      </c>
      <c r="B4" s="11" t="inlineStr">
        <is>
          <t>日期</t>
        </is>
      </c>
      <c r="C4" s="11" t="inlineStr">
        <is>
          <t>主体 / 形式</t>
        </is>
      </c>
      <c r="D4" s="11" t="inlineStr">
        <is>
          <t>性质</t>
        </is>
      </c>
      <c r="E4" s="11" t="inlineStr">
        <is>
          <t>说明</t>
        </is>
      </c>
    </row>
    <row r="5" ht="40" customHeight="1">
      <c r="A5" s="20" t="inlineStr">
        <is>
          <t>起点</t>
        </is>
      </c>
      <c r="B5" s="20" t="inlineStr">
        <is>
          <t>2023-09（报告定稿 2023-08-22 由哈密市政府批复）</t>
        </is>
      </c>
      <c r="C5" s="21" t="inlineStr">
        <is>
          <t>哈密市应急管理局（事故调查报告）</t>
        </is>
      </c>
      <c r="D5" s="20" t="inlineStr">
        <is>
          <t>原始来源</t>
        </is>
      </c>
      <c r="E5" s="21" t="inlineStr">
        <is>
          <t>事件本体、时间点、装置单元、事故性质由哈密市应急管理局调查报告确认，并由哈密市政府 2023-08-22 批复同意。媒体报道属对官方通报的转载。</t>
        </is>
      </c>
    </row>
    <row r="6" ht="40" customHeight="1">
      <c r="A6" s="20" t="inlineStr">
        <is>
          <t>扩散</t>
        </is>
      </c>
      <c r="B6" s="20" t="inlineStr">
        <is>
          <t>2023-09-25</t>
        </is>
      </c>
      <c r="C6" s="21" t="inlineStr">
        <is>
          <t>媒体转载（澎湃 / 新浪 / 搜狐等）</t>
        </is>
      </c>
      <c r="D6" s="20" t="inlineStr">
        <is>
          <t>二手转述</t>
        </is>
      </c>
      <c r="E6" s="21" t="inlineStr">
        <is>
          <t>可确认的转载/加工路径至少 4 条，且内容高度一致（同源于官方通报或调查报告），不构成独立确认。</t>
        </is>
      </c>
    </row>
    <row r="7" ht="40" customHeight="1">
      <c r="A7" s="20" t="inlineStr">
        <is>
          <t>沉淀</t>
        </is>
      </c>
      <c r="B7" s="20" t="inlineStr">
        <is>
          <t>持续更新</t>
        </is>
      </c>
      <c r="C7" s="21" t="inlineStr">
        <is>
          <t>行业安全网站收录调查报告全文</t>
        </is>
      </c>
      <c r="D7" s="20" t="inlineStr">
        <is>
          <t>资料沉淀</t>
        </is>
      </c>
      <c r="E7" s="21" t="inlineStr">
        <is>
          <t>全文收录便于引用，但不构成独立确认源</t>
        </is>
      </c>
    </row>
    <row r="8" ht="40" customHeight="1">
      <c r="A8" s="20" t="inlineStr">
        <is>
          <t>新进展</t>
        </is>
      </c>
      <c r="B8" s="20" t="inlineStr">
        <is>
          <t>2026-04-30</t>
        </is>
      </c>
      <c r="C8" s="21" t="inlineStr">
        <is>
          <t>哈密市发布事故防范整改措施与责任追究落实情况评估报告</t>
        </is>
      </c>
      <c r="D8" s="20" t="inlineStr">
        <is>
          <t>新增信息</t>
        </is>
      </c>
      <c r="E8" s="21" t="inlineStr">
        <is>
          <t>这是「旧闻+新进展」而非「旧闻重发」的依据</t>
        </is>
      </c>
    </row>
    <row r="10" ht="26" customHeight="1">
      <c r="A10" s="26" t="inlineStr">
        <is>
          <t>结论：旧闻判定 = 旧闻+新进展；时效评分 1/5。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  <col width="26" customWidth="1" min="3" max="3"/>
    <col width="10" customWidth="1" min="4" max="4"/>
  </cols>
  <sheetData>
    <row r="1" ht="30" customHeight="1">
      <c r="A1" s="1" t="inlineStr">
        <is>
          <t>④ 事件要素</t>
        </is>
      </c>
    </row>
    <row r="2" ht="28" customHeight="1">
      <c r="A2" s="2" t="inlineStr">
        <is>
          <t>七要素：企业 / 装置 / 产品 / 产能 / 地区 / 时间 / 事件类型</t>
        </is>
      </c>
    </row>
    <row r="4" ht="34" customHeight="1">
      <c r="A4" s="11" t="inlineStr">
        <is>
          <t>要素</t>
        </is>
      </c>
      <c r="B4" s="11" t="inlineStr">
        <is>
          <t>取值</t>
        </is>
      </c>
      <c r="C4" s="11" t="inlineStr">
        <is>
          <t>说明</t>
        </is>
      </c>
      <c r="D4" s="11" t="inlineStr"/>
    </row>
    <row r="5" ht="30" customHeight="1">
      <c r="A5" s="12" t="inlineStr">
        <is>
          <t>事件类型代码</t>
        </is>
      </c>
      <c r="B5" s="13" t="inlineStr">
        <is>
          <t>ACCIDENT</t>
        </is>
      </c>
      <c r="C5" s="27" t="inlineStr">
        <is>
          <t>生产安全事故（闪爆）→ 临时停车/多装置同时开车</t>
        </is>
      </c>
      <c r="D5" s="5" t="n"/>
    </row>
    <row r="6" ht="30" customHeight="1">
      <c r="A6" s="12" t="inlineStr">
        <is>
          <t>事件类型（中文）</t>
        </is>
      </c>
      <c r="B6" s="13" t="inlineStr">
        <is>
          <t>生产安全事故（闪爆）→ 临时停车/多装置同时开车</t>
        </is>
      </c>
      <c r="C6" s="27" t="inlineStr">
        <is>
          <t>决定用哪条测算公式</t>
        </is>
      </c>
      <c r="D6" s="5" t="n"/>
    </row>
    <row r="7" ht="30" customHeight="1">
      <c r="A7" s="12" t="inlineStr">
        <is>
          <t>企业全称</t>
        </is>
      </c>
      <c r="B7" s="13" t="inlineStr">
        <is>
          <t>新疆广汇新能源有限公司</t>
        </is>
      </c>
      <c r="C7" s="27" t="inlineStr">
        <is>
          <t>须与营业执照一致</t>
        </is>
      </c>
      <c r="D7" s="5" t="n"/>
    </row>
    <row r="8" ht="30" customHeight="1">
      <c r="A8" s="12" t="inlineStr">
        <is>
          <t>统一社会信用代码</t>
        </is>
      </c>
      <c r="B8" s="13" t="inlineStr">
        <is>
          <t>91652223792268282K</t>
        </is>
      </c>
      <c r="C8" s="27" t="inlineStr">
        <is>
          <t>用于国家企业信用信息公示系统核对</t>
        </is>
      </c>
      <c r="D8" s="5" t="n"/>
    </row>
    <row r="9" ht="30" customHeight="1">
      <c r="A9" s="12" t="inlineStr">
        <is>
          <t>法定代表人</t>
        </is>
      </c>
      <c r="B9" s="13" t="inlineStr">
        <is>
          <t>刘常进（调查报告载明）</t>
        </is>
      </c>
      <c r="C9" s="27" t="inlineStr"/>
      <c r="D9" s="5" t="n"/>
    </row>
    <row r="10" ht="30" customHeight="1">
      <c r="A10" s="12" t="inlineStr">
        <is>
          <t>成立时间</t>
        </is>
      </c>
      <c r="B10" s="13" t="inlineStr">
        <is>
          <t>2006-08</t>
        </is>
      </c>
      <c r="C10" s="27" t="inlineStr"/>
      <c r="D10" s="5" t="n"/>
    </row>
    <row r="11" ht="30" customHeight="1">
      <c r="A11" s="12" t="inlineStr">
        <is>
          <t>注册资本</t>
        </is>
      </c>
      <c r="B11" s="13" t="inlineStr">
        <is>
          <t>35 亿元</t>
        </is>
      </c>
      <c r="C11" s="27" t="inlineStr"/>
      <c r="D11" s="5" t="n"/>
    </row>
    <row r="12" ht="30" customHeight="1">
      <c r="A12" s="12" t="inlineStr">
        <is>
          <t>上市主体</t>
        </is>
      </c>
      <c r="B12" s="13" t="inlineStr">
        <is>
          <t>广汇能源股份有限公司（600256.SH）</t>
        </is>
      </c>
      <c r="C12" s="27" t="inlineStr"/>
      <c r="D12" s="5" t="n"/>
    </row>
    <row r="13" ht="30" customHeight="1">
      <c r="A13" s="12" t="inlineStr">
        <is>
          <t>与上市主体关系</t>
        </is>
      </c>
      <c r="B13" s="13" t="inlineStr">
        <is>
          <t>上市公司下属控股子公司（调查报告表述为『新疆广汇能源股份有限公司下属控股子公司』；具体持股比例本文未取得，标记为未获取）</t>
        </is>
      </c>
      <c r="C13" s="27" t="inlineStr">
        <is>
          <t>决定是否触发公告义务</t>
        </is>
      </c>
      <c r="D13" s="5" t="n"/>
    </row>
    <row r="14" ht="30" customHeight="1">
      <c r="A14" s="12" t="inlineStr">
        <is>
          <t>省份</t>
        </is>
      </c>
      <c r="B14" s="13" t="inlineStr">
        <is>
          <t>新疆维吾尔自治区</t>
        </is>
      </c>
      <c r="C14" s="27" t="inlineStr"/>
      <c r="D14" s="5" t="n"/>
    </row>
    <row r="15" ht="30" customHeight="1">
      <c r="A15" s="12" t="inlineStr">
        <is>
          <t>地级市</t>
        </is>
      </c>
      <c r="B15" s="13" t="inlineStr">
        <is>
          <t>哈密市</t>
        </is>
      </c>
      <c r="C15" s="27" t="inlineStr"/>
      <c r="D15" s="5" t="n"/>
    </row>
    <row r="16" ht="30" customHeight="1">
      <c r="A16" s="12" t="inlineStr">
        <is>
          <t>区县</t>
        </is>
      </c>
      <c r="B16" s="13" t="inlineStr">
        <is>
          <t>伊吾县</t>
        </is>
      </c>
      <c r="C16" s="27" t="inlineStr"/>
      <c r="D16" s="5" t="n"/>
    </row>
    <row r="17" ht="30" customHeight="1">
      <c r="A17" s="12" t="inlineStr">
        <is>
          <t>园区</t>
        </is>
      </c>
      <c r="B17" s="13" t="inlineStr">
        <is>
          <t>伊吾工业园区（淖毛湖工业区）</t>
        </is>
      </c>
      <c r="C17" s="27" t="inlineStr">
        <is>
          <t>影响是否属重点监管区域</t>
        </is>
      </c>
      <c r="D17" s="5" t="n"/>
    </row>
    <row r="18" ht="30" customHeight="1">
      <c r="A18" s="12" t="inlineStr">
        <is>
          <t>详细地址</t>
        </is>
      </c>
      <c r="B18" s="13" t="inlineStr">
        <is>
          <t>兴业路 1 号</t>
        </is>
      </c>
      <c r="C18" s="27" t="inlineStr"/>
      <c r="D18" s="5" t="n"/>
    </row>
    <row r="19" ht="30" customHeight="1">
      <c r="A19" s="12" t="inlineStr">
        <is>
          <t>装置名称</t>
        </is>
      </c>
      <c r="B19" s="13" t="inlineStr">
        <is>
          <t>哈密煤化工项目（哈密新能源工厂）</t>
        </is>
      </c>
      <c r="C19" s="27" t="inlineStr"/>
      <c r="D19" s="5" t="n"/>
    </row>
    <row r="20" ht="30" customHeight="1">
      <c r="A20" s="12" t="inlineStr">
        <is>
          <t>装置全称</t>
        </is>
      </c>
      <c r="B20" s="13" t="inlineStr">
        <is>
          <t>年产 120 万吨甲醇联产 7 亿方 LNG 项目（历史上亦称『年产 120 万吨甲醇/80 万吨二甲醚（煤基）项目』）</t>
        </is>
      </c>
      <c r="C20" s="27" t="inlineStr"/>
      <c r="D20" s="5" t="n"/>
    </row>
    <row r="21" ht="30" customHeight="1">
      <c r="A21" s="12" t="inlineStr">
        <is>
          <t>主产品</t>
        </is>
      </c>
      <c r="B21" s="13" t="inlineStr">
        <is>
          <t>甲醇</t>
        </is>
      </c>
      <c r="C21" s="27" t="inlineStr"/>
      <c r="D21" s="5" t="n"/>
    </row>
    <row r="22" ht="30" customHeight="1">
      <c r="A22" s="12" t="inlineStr">
        <is>
          <t>联产/副产品</t>
        </is>
      </c>
      <c r="B22" s="13" t="inlineStr">
        <is>
          <t>LNG（煤制，7 亿方/年）、煤化工副产品</t>
        </is>
      </c>
      <c r="C22" s="27" t="inlineStr"/>
      <c r="D22" s="5" t="n"/>
    </row>
    <row r="23" ht="30" customHeight="1">
      <c r="A23" s="12" t="inlineStr">
        <is>
          <t>工艺路线</t>
        </is>
      </c>
      <c r="B23" s="13" t="inlineStr">
        <is>
          <t>鲁奇碎煤加压气化（Lurgi） + 耐硫变换 + 低温甲醇洗 + 甲醇合成 + 甲烷深冷分离</t>
        </is>
      </c>
      <c r="C23" s="27" t="inlineStr">
        <is>
          <t>决定可比口径</t>
        </is>
      </c>
      <c r="D23" s="5" t="n"/>
    </row>
    <row r="24" ht="30" customHeight="1">
      <c r="A24" s="12" t="inlineStr">
        <is>
          <t>原料</t>
        </is>
      </c>
      <c r="B24" s="13" t="inlineStr">
        <is>
          <t>淖毛湖富油煤（自有矿区）</t>
        </is>
      </c>
      <c r="C24" s="27" t="inlineStr"/>
      <c r="D24" s="5" t="n"/>
    </row>
    <row r="25" ht="30" customHeight="1">
      <c r="A25" s="12" t="inlineStr">
        <is>
          <t>核心反应器配置</t>
        </is>
      </c>
      <c r="B25" s="13" t="inlineStr">
        <is>
          <t>气化 B 系列 8 台（B1–B8），B1 于 2017-11 投运，B2–B8 于 2012-08 投运</t>
        </is>
      </c>
      <c r="C25" s="27" t="inlineStr">
        <is>
          <t>台数与系列决定 k</t>
        </is>
      </c>
      <c r="D25" s="5" t="n"/>
    </row>
    <row r="26" ht="30" customHeight="1">
      <c r="A26" s="12" t="inlineStr">
        <is>
          <t>设计产能（吨/年）</t>
        </is>
      </c>
      <c r="B26" s="13" t="n">
        <v>1200000</v>
      </c>
      <c r="C26" s="27" t="inlineStr">
        <is>
          <t>必须来自书面来源</t>
        </is>
      </c>
      <c r="D26" s="5" t="n"/>
    </row>
    <row r="27" ht="30" customHeight="1">
      <c r="A27" s="12" t="inlineStr">
        <is>
          <t>设计产能（LNG）</t>
        </is>
      </c>
      <c r="B27" s="13" t="n">
        <v>700000000</v>
      </c>
      <c r="C27" s="27" t="inlineStr">
        <is>
          <t>标方/年</t>
        </is>
      </c>
      <c r="D27" s="5" t="n"/>
    </row>
    <row r="28" ht="30" customHeight="1">
      <c r="A28" s="12" t="inlineStr">
        <is>
          <t>投产时间</t>
        </is>
      </c>
      <c r="B28" s="13" t="inlineStr">
        <is>
          <t>2012 年 8 月起逐步投运；2013 年『4.6』火灾事故后恢复试生产</t>
        </is>
      </c>
      <c r="C28" s="27" t="inlineStr"/>
      <c r="D28" s="5" t="n"/>
    </row>
    <row r="29" ht="30" customHeight="1">
      <c r="A29" s="12" t="inlineStr">
        <is>
          <t>涉事单元</t>
        </is>
      </c>
      <c r="B29" s="13" t="inlineStr">
        <is>
          <t>造气 B 系列 5 号气化炉（B5）</t>
        </is>
      </c>
      <c r="C29" s="27" t="inlineStr">
        <is>
          <t>设备级，不是企业级</t>
        </is>
      </c>
      <c r="D29" s="5" t="n"/>
    </row>
    <row r="30" ht="30" customHeight="1">
      <c r="A30" s="12" t="inlineStr">
        <is>
          <t>所属系统</t>
        </is>
      </c>
      <c r="B30" s="13" t="inlineStr">
        <is>
          <t>造气（气化）装置 B 系列</t>
        </is>
      </c>
      <c r="C30" s="27" t="inlineStr"/>
      <c r="D30" s="5" t="n"/>
    </row>
    <row r="31" ht="30" customHeight="1">
      <c r="A31" s="12" t="inlineStr">
        <is>
          <t>系列内台数</t>
        </is>
      </c>
      <c r="B31" s="13" t="n">
        <v>8</v>
      </c>
      <c r="C31" s="27" t="inlineStr">
        <is>
          <t>k = 1/台数 的依据</t>
        </is>
      </c>
      <c r="D31" s="5" t="n"/>
    </row>
    <row r="32" ht="30" customHeight="1">
      <c r="A32" s="12" t="inlineStr">
        <is>
          <t>单元占全厂产能份额</t>
        </is>
      </c>
      <c r="B32" s="13" t="n">
        <v>0.125</v>
      </c>
      <c r="C32" s="27" t="inlineStr">
        <is>
          <t>k 取值依据</t>
        </is>
      </c>
      <c r="D32" s="5" t="n"/>
    </row>
    <row r="33" ht="30" customHeight="1">
      <c r="A33" s="12" t="inlineStr">
        <is>
          <t>事发时工况</t>
        </is>
      </c>
      <c r="B33" s="13" t="inlineStr">
        <is>
          <t>当日 12:30 晃电→全厂停电→多台生产装置同时开车；17:40 重新开车，升压至 1.775 MPa 时闪爆</t>
        </is>
      </c>
      <c r="C33" s="27" t="inlineStr"/>
      <c r="D33" s="5" t="n"/>
    </row>
    <row r="34" ht="30" customHeight="1">
      <c r="A34" s="12" t="inlineStr">
        <is>
          <t>是否全厂停产</t>
        </is>
      </c>
      <c r="B34" s="13" t="inlineStr">
        <is>
          <t>未确认。调查报告确认了事件当日 12:30 全厂停电与多台装置同时开车，但未披露事故后各系列的停产时长与复产时间表；网传「已全面停产」无权威源支持。</t>
        </is>
      </c>
      <c r="C34" s="27" t="inlineStr">
        <is>
          <t>未确认时不得按全厂测算</t>
        </is>
      </c>
      <c r="D34" s="5" t="n"/>
    </row>
  </sheetData>
  <mergeCells count="32">
    <mergeCell ref="C34:D34"/>
    <mergeCell ref="C6:D6"/>
    <mergeCell ref="C24:D24"/>
    <mergeCell ref="C30:D30"/>
    <mergeCell ref="C15:D15"/>
    <mergeCell ref="C33:D33"/>
    <mergeCell ref="C5:D5"/>
    <mergeCell ref="C14:D14"/>
    <mergeCell ref="C26:D26"/>
    <mergeCell ref="C20:D20"/>
    <mergeCell ref="C29:D29"/>
    <mergeCell ref="C10:D10"/>
    <mergeCell ref="C16:D16"/>
    <mergeCell ref="C25:D25"/>
    <mergeCell ref="C22:D22"/>
    <mergeCell ref="C9:D9"/>
    <mergeCell ref="C31:D31"/>
    <mergeCell ref="A1:D1"/>
    <mergeCell ref="C12:D12"/>
    <mergeCell ref="C21:D21"/>
    <mergeCell ref="C11:D11"/>
    <mergeCell ref="C27:D27"/>
    <mergeCell ref="C17:D17"/>
    <mergeCell ref="C23:D23"/>
    <mergeCell ref="C8:D8"/>
    <mergeCell ref="C32:D32"/>
    <mergeCell ref="C7:D7"/>
    <mergeCell ref="C19:D19"/>
    <mergeCell ref="C28:D28"/>
    <mergeCell ref="C13:D13"/>
    <mergeCell ref="A2:D2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  <col width="10" customWidth="1" min="3" max="3"/>
    <col width="14" customWidth="1" min="4" max="4"/>
  </cols>
  <sheetData>
    <row r="1" ht="30" customHeight="1">
      <c r="A1" s="1" t="inlineStr">
        <is>
          <t>⑤ 事件时间线</t>
        </is>
      </c>
    </row>
    <row r="2" ht="28" customHeight="1">
      <c r="A2" s="2" t="inlineStr">
        <is>
          <t>从最早异动到处置结论，逐条带来源与等级</t>
        </is>
      </c>
    </row>
    <row r="4" ht="34" customHeight="1">
      <c r="A4" s="11" t="inlineStr">
        <is>
          <t>时间</t>
        </is>
      </c>
      <c r="B4" s="11" t="inlineStr">
        <is>
          <t>发生了什么</t>
        </is>
      </c>
      <c r="C4" s="11" t="inlineStr">
        <is>
          <t>等级</t>
        </is>
      </c>
      <c r="D4" s="11" t="inlineStr">
        <is>
          <t>来源</t>
        </is>
      </c>
    </row>
    <row r="5" ht="34" customHeight="1">
      <c r="A5" s="20" t="inlineStr">
        <is>
          <t>2023-05-08 12:30</t>
        </is>
      </c>
      <c r="B5" s="21" t="inlineStr">
        <is>
          <t>现场晃电，气化炉停工</t>
        </is>
      </c>
      <c r="C5" s="23" t="inlineStr">
        <is>
          <t>A1</t>
        </is>
      </c>
      <c r="D5" s="22" t="inlineStr">
        <is>
          <t>S1</t>
        </is>
      </c>
    </row>
    <row r="6" ht="34" customHeight="1">
      <c r="A6" s="20" t="inlineStr">
        <is>
          <t>2023-05-08 17:40</t>
        </is>
      </c>
      <c r="B6" s="21" t="inlineStr">
        <is>
          <t>气化装置重新开车，升压</t>
        </is>
      </c>
      <c r="C6" s="23" t="inlineStr">
        <is>
          <t>A1</t>
        </is>
      </c>
      <c r="D6" s="22" t="inlineStr">
        <is>
          <t>S1</t>
        </is>
      </c>
    </row>
    <row r="7" ht="34" customHeight="1">
      <c r="A7" s="20" t="inlineStr">
        <is>
          <t>2023-05-08 18:08</t>
        </is>
      </c>
      <c r="B7" s="21" t="inlineStr">
        <is>
          <t>B 系列 5 号气化炉粗煤气管线泄漏引发闪爆，1 死 6 伤</t>
        </is>
      </c>
      <c r="C7" s="23" t="inlineStr">
        <is>
          <t>A1</t>
        </is>
      </c>
      <c r="D7" s="22" t="inlineStr">
        <is>
          <t>S1</t>
        </is>
      </c>
    </row>
    <row r="8" ht="34" customHeight="1">
      <c r="A8" s="20" t="inlineStr">
        <is>
          <t>2023-05-08 19:00 前后</t>
        </is>
      </c>
      <c r="B8" s="21" t="inlineStr">
        <is>
          <t>明火扑灭</t>
        </is>
      </c>
      <c r="C8" s="23" t="inlineStr">
        <is>
          <t>A1</t>
        </is>
      </c>
      <c r="D8" s="22" t="inlineStr">
        <is>
          <t>S1</t>
        </is>
      </c>
    </row>
    <row r="9" ht="34" customHeight="1">
      <c r="A9" s="20" t="inlineStr">
        <is>
          <t>2023-06-11</t>
        </is>
      </c>
      <c r="B9" s="21" t="inlineStr">
        <is>
          <t>行业周报称『新疆装置也即将集中回归』——即当时新疆相关装置仍未完全恢复常态</t>
        </is>
      </c>
      <c r="C9" s="28" t="inlineStr">
        <is>
          <t>B2</t>
        </is>
      </c>
      <c r="D9" s="22" t="inlineStr">
        <is>
          <t>S8</t>
        </is>
      </c>
    </row>
    <row r="10" ht="34" customHeight="1">
      <c r="A10" s="20" t="inlineStr">
        <is>
          <t>2023-08-18</t>
        </is>
      </c>
      <c r="B10" s="21" t="inlineStr">
        <is>
          <t>媒体解读上半年业绩，归因『年度检修提前』</t>
        </is>
      </c>
      <c r="C10" s="24" t="inlineStr">
        <is>
          <t>B3</t>
        </is>
      </c>
      <c r="D10" s="22" t="inlineStr">
        <is>
          <t>S12</t>
        </is>
      </c>
    </row>
    <row r="11" ht="34" customHeight="1">
      <c r="A11" s="20" t="inlineStr">
        <is>
          <t>2023-08-22</t>
        </is>
      </c>
      <c r="B11" s="21" t="inlineStr">
        <is>
          <t>哈密市人民政府批复同意事故调查报告</t>
        </is>
      </c>
      <c r="C11" s="23" t="inlineStr">
        <is>
          <t>A1</t>
        </is>
      </c>
      <c r="D11" s="22" t="inlineStr">
        <is>
          <t>S2</t>
        </is>
      </c>
    </row>
    <row r="12" ht="34" customHeight="1">
      <c r="A12" s="20" t="inlineStr">
        <is>
          <t>2023-09</t>
        </is>
      </c>
      <c r="B12" s="21" t="inlineStr">
        <is>
          <t>事故调查报告公开（政府网站）</t>
        </is>
      </c>
      <c r="C12" s="23" t="inlineStr">
        <is>
          <t>A1</t>
        </is>
      </c>
      <c r="D12" s="22" t="inlineStr">
        <is>
          <t>S1</t>
        </is>
      </c>
    </row>
    <row r="13" ht="34" customHeight="1">
      <c r="A13" s="20" t="inlineStr">
        <is>
          <t>2023-09-25</t>
        </is>
      </c>
      <c r="B13" s="21" t="inlineStr">
        <is>
          <t>澎湃新闻/新浪报道『董事长、总经理被问责』</t>
        </is>
      </c>
      <c r="C13" s="28" t="inlineStr">
        <is>
          <t>B2</t>
        </is>
      </c>
      <c r="D13" s="22" t="inlineStr">
        <is>
          <t>S5</t>
        </is>
      </c>
    </row>
    <row r="14" ht="34" customHeight="1">
      <c r="A14" s="20" t="inlineStr">
        <is>
          <t>2024-04-19</t>
        </is>
      </c>
      <c r="B14" s="21" t="inlineStr">
        <is>
          <t>2023 年年报披露：全年甲醇产量 91.09 万吨，同比 -19.13%</t>
        </is>
      </c>
      <c r="C14" s="23" t="inlineStr">
        <is>
          <t>A2</t>
        </is>
      </c>
      <c r="D14" s="22" t="inlineStr">
        <is>
          <t>S3</t>
        </is>
      </c>
    </row>
    <row r="15" ht="34" customHeight="1">
      <c r="A15" s="20" t="inlineStr">
        <is>
          <t>2025-04-25</t>
        </is>
      </c>
      <c r="B15" s="21" t="inlineStr">
        <is>
          <t>2024 年年报披露：甲醇产量 107.88 万吨，同比 +18.43%</t>
        </is>
      </c>
      <c r="C15" s="23" t="inlineStr">
        <is>
          <t>A2</t>
        </is>
      </c>
      <c r="D15" s="22" t="inlineStr">
        <is>
          <t>S11</t>
        </is>
      </c>
    </row>
    <row r="16" ht="34" customHeight="1">
      <c r="A16" s="20" t="inlineStr">
        <is>
          <t>2026-04-30</t>
        </is>
      </c>
      <c r="B16" s="21" t="inlineStr">
        <is>
          <t>事故防范整改措施与责任追究落实情况评估报告发布（最新节点）</t>
        </is>
      </c>
      <c r="C16" s="23" t="inlineStr">
        <is>
          <t>A1</t>
        </is>
      </c>
      <c r="D16" s="22" t="inlineStr">
        <is>
          <t>S2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4" customWidth="1" min="1" max="1"/>
    <col width="74" customWidth="1" min="2" max="2"/>
    <col width="11" customWidth="1" min="3" max="3"/>
    <col width="14" customWidth="1" min="4" max="4"/>
    <col width="40" customWidth="1" min="5" max="5"/>
  </cols>
  <sheetData>
    <row r="1" ht="30" customHeight="1">
      <c r="A1" s="1" t="inlineStr">
        <is>
          <t>⑥ 装置档案</t>
        </is>
      </c>
    </row>
    <row r="2" ht="28" customHeight="1">
      <c r="A2" s="2" t="inlineStr">
        <is>
          <t>装置身份 + 历史实际产量（用于算实际开工率 r）+ 历史事故</t>
        </is>
      </c>
    </row>
    <row r="4" ht="34" customHeight="1">
      <c r="A4" s="11" t="inlineStr">
        <is>
          <t>字段</t>
        </is>
      </c>
      <c r="B4" s="11" t="inlineStr">
        <is>
          <t>内容</t>
        </is>
      </c>
      <c r="C4" s="11" t="inlineStr">
        <is>
          <t>证据等级</t>
        </is>
      </c>
      <c r="D4" s="11" t="inlineStr">
        <is>
          <t>来源</t>
        </is>
      </c>
      <c r="E4" s="11" t="inlineStr">
        <is>
          <t>备注</t>
        </is>
      </c>
    </row>
    <row r="5" ht="30" customHeight="1">
      <c r="A5" s="20" t="inlineStr">
        <is>
          <t>装置编号</t>
        </is>
      </c>
      <c r="B5" s="21" t="inlineStr">
        <is>
          <t>PLANT-XJGHNM-MEOH-01</t>
        </is>
      </c>
      <c r="C5" s="23" t="inlineStr">
        <is>
          <t>A1</t>
        </is>
      </c>
      <c r="D5" s="22" t="inlineStr">
        <is>
          <t>S1</t>
        </is>
      </c>
      <c r="E5" s="21" t="inlineStr">
        <is>
          <t>调查报告中的装置称谓</t>
        </is>
      </c>
    </row>
    <row r="6" ht="30" customHeight="1">
      <c r="A6" s="20" t="inlineStr">
        <is>
          <t>装置名称</t>
        </is>
      </c>
      <c r="B6" s="21" t="inlineStr">
        <is>
          <t>哈密煤化工项目（哈密新能源工厂）</t>
        </is>
      </c>
      <c r="C6" s="23" t="inlineStr">
        <is>
          <t>A2</t>
        </is>
      </c>
      <c r="D6" s="22" t="inlineStr">
        <is>
          <t>S3</t>
        </is>
      </c>
      <c r="E6" s="21" t="inlineStr"/>
    </row>
    <row r="7" ht="30" customHeight="1">
      <c r="A7" s="20" t="inlineStr">
        <is>
          <t>装置全称</t>
        </is>
      </c>
      <c r="B7" s="21" t="inlineStr">
        <is>
          <t>年产 120 万吨甲醇联产 7 亿方 LNG 项目（历史上亦称『年产 120 万吨甲醇/80 万吨二甲醚（煤基）项目』）</t>
        </is>
      </c>
      <c r="C7" s="23" t="inlineStr">
        <is>
          <t>A2</t>
        </is>
      </c>
      <c r="D7" s="22" t="inlineStr">
        <is>
          <t>S3</t>
        </is>
      </c>
      <c r="E7" s="21" t="inlineStr"/>
    </row>
    <row r="8" ht="30" customHeight="1">
      <c r="A8" s="20" t="inlineStr">
        <is>
          <t>主产品</t>
        </is>
      </c>
      <c r="B8" s="21" t="inlineStr">
        <is>
          <t>甲醇</t>
        </is>
      </c>
      <c r="C8" s="23" t="inlineStr">
        <is>
          <t>A2</t>
        </is>
      </c>
      <c r="D8" s="22" t="inlineStr">
        <is>
          <t>S3</t>
        </is>
      </c>
      <c r="E8" s="21" t="inlineStr"/>
    </row>
    <row r="9" ht="30" customHeight="1">
      <c r="A9" s="20" t="inlineStr">
        <is>
          <t>工艺路线</t>
        </is>
      </c>
      <c r="B9" s="21" t="inlineStr">
        <is>
          <t>鲁奇碎煤加压气化（Lurgi） + 耐硫变换 + 低温甲醇洗 + 甲醇合成 + 甲烷深冷分离</t>
        </is>
      </c>
      <c r="C9" s="23" t="inlineStr">
        <is>
          <t>A2</t>
        </is>
      </c>
      <c r="D9" s="22" t="inlineStr">
        <is>
          <t>S3</t>
        </is>
      </c>
      <c r="E9" s="21" t="inlineStr">
        <is>
          <t>决定可比口径</t>
        </is>
      </c>
    </row>
    <row r="10" ht="30" customHeight="1">
      <c r="A10" s="20" t="inlineStr">
        <is>
          <t>设计产能（吨/年）</t>
        </is>
      </c>
      <c r="B10" s="21" t="n">
        <v>1200000</v>
      </c>
      <c r="C10" s="23" t="inlineStr">
        <is>
          <t>A2</t>
        </is>
      </c>
      <c r="D10" s="22" t="inlineStr">
        <is>
          <t>S3</t>
        </is>
      </c>
      <c r="E10" s="21" t="inlineStr">
        <is>
          <t>测算第一分母</t>
        </is>
      </c>
    </row>
    <row r="11" ht="30" customHeight="1">
      <c r="A11" s="20" t="inlineStr">
        <is>
          <t>投产时间</t>
        </is>
      </c>
      <c r="B11" s="21" t="inlineStr">
        <is>
          <t>2012 年 8 月起逐步投运；2013 年『4.6』火灾事故后恢复试生产</t>
        </is>
      </c>
      <c r="C11" s="23" t="inlineStr">
        <is>
          <t>A1</t>
        </is>
      </c>
      <c r="D11" s="22" t="inlineStr">
        <is>
          <t>S1</t>
        </is>
      </c>
      <c r="E11" s="21" t="inlineStr"/>
    </row>
    <row r="12" ht="30" customHeight="1">
      <c r="A12" s="20" t="inlineStr">
        <is>
          <t>产量数据来源</t>
        </is>
      </c>
      <c r="B12" s="21" t="inlineStr">
        <is>
          <t>S3（2023 年报 p47）/ S11（2024 年报）</t>
        </is>
      </c>
      <c r="C12" s="23" t="inlineStr">
        <is>
          <t>A2</t>
        </is>
      </c>
      <c r="D12" s="22" t="inlineStr">
        <is>
          <t>S3</t>
        </is>
      </c>
      <c r="E12" s="21" t="inlineStr"/>
    </row>
    <row r="14" ht="24" customHeight="1">
      <c r="A14" s="18" t="inlineStr">
        <is>
          <t>历史实际产量（用于计算实际开工率 r = 均值 / 设计产能）</t>
        </is>
      </c>
    </row>
    <row r="15" ht="34" customHeight="1">
      <c r="A15" s="11" t="inlineStr">
        <is>
          <t>年份</t>
        </is>
      </c>
      <c r="B15" s="11" t="inlineStr">
        <is>
          <t>实际产量（吨）</t>
        </is>
      </c>
      <c r="C15" s="11" t="inlineStr">
        <is>
          <t>证据等级</t>
        </is>
      </c>
      <c r="D15" s="11" t="inlineStr">
        <is>
          <t>来源</t>
        </is>
      </c>
      <c r="E15" s="11" t="inlineStr">
        <is>
          <t>备注</t>
        </is>
      </c>
    </row>
    <row r="16" ht="22" customHeight="1">
      <c r="A16" s="20" t="inlineStr">
        <is>
          <t>2019</t>
        </is>
      </c>
      <c r="B16" s="29" t="n">
        <v>1128800</v>
      </c>
      <c r="C16" s="22" t="inlineStr">
        <is>
          <t>A2</t>
        </is>
      </c>
      <c r="D16" s="22" t="inlineStr">
        <is>
          <t>S3</t>
        </is>
      </c>
      <c r="E16" s="20" t="inlineStr"/>
    </row>
    <row r="17" ht="22" customHeight="1">
      <c r="A17" s="20" t="inlineStr">
        <is>
          <t>2020</t>
        </is>
      </c>
      <c r="B17" s="29" t="n">
        <v>1063800</v>
      </c>
      <c r="C17" s="22" t="inlineStr">
        <is>
          <t>A2</t>
        </is>
      </c>
      <c r="D17" s="22" t="inlineStr">
        <is>
          <t>S3</t>
        </is>
      </c>
      <c r="E17" s="20" t="inlineStr"/>
    </row>
    <row r="18" ht="22" customHeight="1">
      <c r="A18" s="20" t="inlineStr">
        <is>
          <t>2021</t>
        </is>
      </c>
      <c r="B18" s="29" t="n">
        <v>1165000</v>
      </c>
      <c r="C18" s="22" t="inlineStr">
        <is>
          <t>A2</t>
        </is>
      </c>
      <c r="D18" s="22" t="inlineStr">
        <is>
          <t>S3</t>
        </is>
      </c>
      <c r="E18" s="20" t="inlineStr"/>
    </row>
    <row r="19" ht="22" customHeight="1">
      <c r="A19" s="20" t="inlineStr">
        <is>
          <t>2022</t>
        </is>
      </c>
      <c r="B19" s="29" t="n">
        <v>1126400</v>
      </c>
      <c r="C19" s="22" t="inlineStr">
        <is>
          <t>A2</t>
        </is>
      </c>
      <c r="D19" s="22" t="inlineStr">
        <is>
          <t>S3</t>
        </is>
      </c>
      <c r="E19" s="20" t="inlineStr"/>
    </row>
    <row r="20" ht="22" customHeight="1">
      <c r="A20" s="20" t="inlineStr">
        <is>
          <t>2023</t>
        </is>
      </c>
      <c r="B20" s="29" t="n">
        <v>910900</v>
      </c>
      <c r="C20" s="22" t="inlineStr">
        <is>
          <t>A2</t>
        </is>
      </c>
      <c r="D20" s="22" t="inlineStr">
        <is>
          <t>S3</t>
        </is>
      </c>
      <c r="E20" s="20" t="inlineStr"/>
    </row>
    <row r="21" ht="22" customHeight="1">
      <c r="A21" s="20" t="inlineStr">
        <is>
          <t>2024</t>
        </is>
      </c>
      <c r="B21" s="29" t="n">
        <v>1078800</v>
      </c>
      <c r="C21" s="22" t="inlineStr">
        <is>
          <t>A2</t>
        </is>
      </c>
      <c r="D21" s="22" t="inlineStr">
        <is>
          <t>S3</t>
        </is>
      </c>
      <c r="E21" s="20" t="inlineStr"/>
    </row>
    <row r="22">
      <c r="A22" s="30" t="inlineStr">
        <is>
          <t>事发前近 3 年均值（2020/2021/2022）</t>
        </is>
      </c>
      <c r="B22" s="31">
        <f>AVERAGE(B17:B19)</f>
        <v/>
      </c>
      <c r="C22" s="32" t="inlineStr">
        <is>
          <t>计算值</t>
        </is>
      </c>
      <c r="D22" s="5" t="n"/>
      <c r="E22" s="33" t="inlineStr">
        <is>
          <t>作为「实际产量口径」测算的基数</t>
        </is>
      </c>
    </row>
    <row r="24" ht="24" customHeight="1">
      <c r="A24" s="18" t="inlineStr">
        <is>
          <t>该装置历史事故 / 非计划停车（判断是否为重复性问题）</t>
        </is>
      </c>
    </row>
    <row r="25" ht="28" customHeight="1">
      <c r="A25" s="34" t="inlineStr">
        <is>
          <t>• {'date': '2013-04-06', 'desc': '『4.6』火灾事故，涉及 120 万吨甲醇/80 万吨二甲醚、5 亿方 LNG 项目', 'source': '媒体（中国聚合物网 2013-09-11）', 'grade': 'B3'}</t>
        </is>
      </c>
      <c r="B25" s="35" t="n"/>
      <c r="C25" s="35" t="n"/>
      <c r="D25" s="35" t="n"/>
      <c r="E25" s="35" t="n"/>
    </row>
    <row r="26" ht="28" customHeight="1">
      <c r="A26" s="34" t="inlineStr">
        <is>
          <t>• {'date': '2015-09-15', 'desc': '停产整改后经新疆自治区环保厅同意短期试生产一个月', 'source': 'S10', 'grade': 'A1'}</t>
        </is>
      </c>
      <c r="B26" s="35" t="n"/>
      <c r="C26" s="35" t="n"/>
      <c r="D26" s="35" t="n"/>
      <c r="E26" s="35" t="n"/>
    </row>
    <row r="27" ht="28" customHeight="1">
      <c r="A27" s="34" t="inlineStr">
        <is>
          <t>• {'date': '2017-02-16', 'desc': 'B6 气化炉因下椎体焊缝开裂、煤气泄漏燃烧受损拆除', 'source': 'S1', 'grade': 'A1'}</t>
        </is>
      </c>
      <c r="B27" s="35" t="n"/>
      <c r="C27" s="35" t="n"/>
      <c r="D27" s="35" t="n"/>
      <c r="E27" s="35" t="n"/>
    </row>
    <row r="28" ht="28" customHeight="1">
      <c r="A28" s="34" t="inlineStr">
        <is>
          <t>• {'date': '2023-05-08', 'desc': 'B 系列 5 号气化炉闪爆（本案例）', 'source': 'S1', 'grade': 'A1'}</t>
        </is>
      </c>
      <c r="B28" s="35" t="n"/>
      <c r="C28" s="35" t="n"/>
      <c r="D28" s="35" t="n"/>
      <c r="E28" s="35" t="n"/>
    </row>
    <row r="29" ht="28" customHeight="1">
      <c r="A29" s="34" t="inlineStr">
        <is>
          <t>• {'date': '2026-05-27', 'desc': 'B 区 3 台气化炉更换工程开工，2026-09 完工', 'source': 'S13', 'grade': 'B3'}</t>
        </is>
      </c>
      <c r="B29" s="35" t="n"/>
      <c r="C29" s="35" t="n"/>
      <c r="D29" s="35" t="n"/>
      <c r="E29" s="35" t="n"/>
    </row>
  </sheetData>
  <mergeCells count="9">
    <mergeCell ref="A29:E29"/>
    <mergeCell ref="A26:E26"/>
    <mergeCell ref="A24:E24"/>
    <mergeCell ref="A2:E2"/>
    <mergeCell ref="A25:E25"/>
    <mergeCell ref="A28:E28"/>
    <mergeCell ref="A1:E1"/>
    <mergeCell ref="A14:E14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6" customWidth="1" min="3" max="3"/>
    <col width="14" customWidth="1" min="4" max="4"/>
    <col width="9" customWidth="1" min="5" max="5"/>
    <col width="14" customWidth="1" min="6" max="6"/>
    <col width="62" customWidth="1" min="7" max="7"/>
  </cols>
  <sheetData>
    <row r="1" ht="30" customHeight="1">
      <c r="A1" s="1" t="inlineStr">
        <is>
          <t>⑦ 产能基准（分母表）</t>
        </is>
      </c>
    </row>
    <row r="2" ht="28" customHeight="1">
      <c r="A2" s="2" t="inlineStr">
        <is>
          <t>所有占比的分母都在这里；没有来源的数不进表</t>
        </is>
      </c>
    </row>
    <row r="4" ht="34" customHeight="1">
      <c r="A4" s="11" t="inlineStr">
        <is>
          <t>ID</t>
        </is>
      </c>
      <c r="B4" s="11" t="inlineStr">
        <is>
          <t>指标</t>
        </is>
      </c>
      <c r="C4" s="11" t="inlineStr">
        <is>
          <t>数值</t>
        </is>
      </c>
      <c r="D4" s="11" t="inlineStr">
        <is>
          <t>单位</t>
        </is>
      </c>
      <c r="E4" s="11" t="inlineStr">
        <is>
          <t>等级</t>
        </is>
      </c>
      <c r="F4" s="11" t="inlineStr">
        <is>
          <t>来源</t>
        </is>
      </c>
      <c r="G4" s="11" t="inlineStr">
        <is>
          <t>备注</t>
        </is>
      </c>
    </row>
    <row r="5" ht="30" customHeight="1">
      <c r="A5" s="20" t="inlineStr">
        <is>
          <t>C1</t>
        </is>
      </c>
      <c r="B5" s="21" t="inlineStr">
        <is>
          <t>全国甲醇总产能（2023）</t>
        </is>
      </c>
      <c r="C5" s="36" t="n">
        <v>106300000</v>
      </c>
      <c r="D5" s="20" t="inlineStr">
        <is>
          <t>吨/年</t>
        </is>
      </c>
      <c r="E5" s="28" t="inlineStr">
        <is>
          <t>B1</t>
        </is>
      </c>
      <c r="F5" s="22" t="inlineStr">
        <is>
          <t>S7</t>
        </is>
      </c>
      <c r="G5" s="21" t="inlineStr">
        <is>
          <t>国信期货引卓创；另一口径 10,618.6 万吨</t>
        </is>
      </c>
    </row>
    <row r="6" ht="30" customHeight="1">
      <c r="A6" s="20" t="inlineStr">
        <is>
          <t>C2</t>
        </is>
      </c>
      <c r="B6" s="21" t="inlineStr">
        <is>
          <t>全国甲醇年产量（2023）</t>
        </is>
      </c>
      <c r="C6" s="36" t="n">
        <v>71500000</v>
      </c>
      <c r="D6" s="20" t="inlineStr">
        <is>
          <t>吨/年</t>
        </is>
      </c>
      <c r="E6" s="28" t="inlineStr">
        <is>
          <t>B1</t>
        </is>
      </c>
      <c r="F6" s="22" t="inlineStr">
        <is>
          <t>S7</t>
        </is>
      </c>
      <c r="G6" s="21" t="inlineStr">
        <is>
          <t>『预计约 7150 万吨』；另有 8,317.3 万吨口径，不得混用</t>
        </is>
      </c>
    </row>
    <row r="7" ht="30" customHeight="1">
      <c r="A7" s="20" t="inlineStr">
        <is>
          <t>C3</t>
        </is>
      </c>
      <c r="B7" s="21" t="inlineStr">
        <is>
          <t>全国甲醇年均开工率（2023）</t>
        </is>
      </c>
      <c r="C7" s="36" t="n">
        <v>0.68</v>
      </c>
      <c r="D7" s="20" t="inlineStr">
        <is>
          <t>比率</t>
        </is>
      </c>
      <c r="E7" s="28" t="inlineStr">
        <is>
          <t>B1</t>
        </is>
      </c>
      <c r="F7" s="22" t="inlineStr">
        <is>
          <t>S7</t>
        </is>
      </c>
      <c r="G7" s="21" t="inlineStr"/>
    </row>
    <row r="8" ht="30" customHeight="1">
      <c r="A8" s="20" t="inlineStr">
        <is>
          <t>C4</t>
        </is>
      </c>
      <c r="B8" s="21" t="inlineStr">
        <is>
          <t>西北地区产能占比</t>
        </is>
      </c>
      <c r="C8" s="36" t="n">
        <v>0.35</v>
      </c>
      <c r="D8" s="20" t="inlineStr">
        <is>
          <t>比率</t>
        </is>
      </c>
      <c r="E8" s="28" t="inlineStr">
        <is>
          <t>B1</t>
        </is>
      </c>
      <c r="F8" s="22" t="inlineStr">
        <is>
          <t>S7</t>
        </is>
      </c>
      <c r="G8" s="21" t="inlineStr"/>
    </row>
    <row r="9" ht="30" customHeight="1">
      <c r="A9" s="20" t="inlineStr">
        <is>
          <t>C5</t>
        </is>
      </c>
      <c r="B9" s="21" t="inlineStr">
        <is>
          <t>西北地区甲醇产能（推算 = C1×C4）</t>
        </is>
      </c>
      <c r="C9" s="36" t="n">
        <v>37205000</v>
      </c>
      <c r="D9" s="20" t="inlineStr">
        <is>
          <t>吨/年</t>
        </is>
      </c>
      <c r="E9" s="37" t="inlineStr">
        <is>
          <t>A3</t>
        </is>
      </c>
      <c r="F9" s="22" t="inlineStr">
        <is>
          <t>S7 推算</t>
        </is>
      </c>
      <c r="G9" s="21" t="inlineStr">
        <is>
          <t>推算值，非直接披露</t>
        </is>
      </c>
    </row>
    <row r="10" ht="30" customHeight="1">
      <c r="A10" s="20" t="inlineStr">
        <is>
          <t>C6</t>
        </is>
      </c>
      <c r="B10" s="21" t="inlineStr">
        <is>
          <t>煤制甲醇产能占比</t>
        </is>
      </c>
      <c r="C10" s="36" t="n">
        <v>0.7574</v>
      </c>
      <c r="D10" s="20" t="inlineStr">
        <is>
          <t>比率</t>
        </is>
      </c>
      <c r="E10" s="28" t="inlineStr">
        <is>
          <t>B1</t>
        </is>
      </c>
      <c r="F10" s="22" t="inlineStr">
        <is>
          <t>S7</t>
        </is>
      </c>
      <c r="G10" s="21" t="inlineStr"/>
    </row>
    <row r="11" ht="30" customHeight="1">
      <c r="A11" s="20" t="inlineStr">
        <is>
          <t>C7</t>
        </is>
      </c>
      <c r="B11" s="21" t="inlineStr">
        <is>
          <t>全国煤制甲醇产能（推算 = C1×C6）</t>
        </is>
      </c>
      <c r="C11" s="36" t="n">
        <v>80512220</v>
      </c>
      <c r="D11" s="20" t="inlineStr">
        <is>
          <t>吨/年</t>
        </is>
      </c>
      <c r="E11" s="37" t="inlineStr">
        <is>
          <t>A3</t>
        </is>
      </c>
      <c r="F11" s="22" t="inlineStr">
        <is>
          <t>S7 推算</t>
        </is>
      </c>
      <c r="G11" s="21" t="inlineStr"/>
    </row>
    <row r="12" ht="30" customHeight="1">
      <c r="A12" s="20" t="inlineStr">
        <is>
          <t>C8</t>
        </is>
      </c>
      <c r="B12" s="21" t="inlineStr">
        <is>
          <t>煤制甲醇装置年均开工率（2023）</t>
        </is>
      </c>
      <c r="C12" s="36" t="n">
        <v>0.7295</v>
      </c>
      <c r="D12" s="20" t="inlineStr">
        <is>
          <t>比率</t>
        </is>
      </c>
      <c r="E12" s="28" t="inlineStr">
        <is>
          <t>B1</t>
        </is>
      </c>
      <c r="F12" s="22" t="inlineStr">
        <is>
          <t>S7</t>
        </is>
      </c>
      <c r="G12" s="21" t="inlineStr"/>
    </row>
    <row r="13" ht="30" customHeight="1">
      <c r="A13" s="20" t="inlineStr">
        <is>
          <t>C9</t>
        </is>
      </c>
      <c r="B13" s="21" t="inlineStr">
        <is>
          <t>全国甲醇整体装置开工负荷（2023-08-31）</t>
        </is>
      </c>
      <c r="C13" s="36" t="n">
        <v>0.7235</v>
      </c>
      <c r="D13" s="20" t="inlineStr">
        <is>
          <t>比率</t>
        </is>
      </c>
      <c r="E13" s="28" t="inlineStr">
        <is>
          <t>B1</t>
        </is>
      </c>
      <c r="F13" s="22" t="inlineStr">
        <is>
          <t>S9</t>
        </is>
      </c>
      <c r="G13" s="21" t="inlineStr">
        <is>
          <t>时点值</t>
        </is>
      </c>
    </row>
    <row r="14" ht="30" customHeight="1">
      <c r="A14" s="20" t="inlineStr">
        <is>
          <t>C10</t>
        </is>
      </c>
      <c r="B14" s="21" t="inlineStr">
        <is>
          <t>全国甲醇月均产量（2023）</t>
        </is>
      </c>
      <c r="C14" s="36" t="n">
        <v>5958333</v>
      </c>
      <c r="D14" s="20" t="inlineStr">
        <is>
          <t>吨/月</t>
        </is>
      </c>
      <c r="E14" s="37" t="inlineStr">
        <is>
          <t>A3</t>
        </is>
      </c>
      <c r="F14" s="22" t="inlineStr">
        <is>
          <t>S7 推算</t>
        </is>
      </c>
      <c r="G14" s="21" t="inlineStr">
        <is>
          <t>= C2/12，与『月均约 596 万吨』一致</t>
        </is>
      </c>
    </row>
    <row r="15" ht="30" customHeight="1">
      <c r="A15" s="20" t="inlineStr">
        <is>
          <t>C11</t>
        </is>
      </c>
      <c r="B15" s="21" t="inlineStr">
        <is>
          <t>事件装置设计产能（甲醇）</t>
        </is>
      </c>
      <c r="C15" s="36" t="n">
        <v>1200000</v>
      </c>
      <c r="D15" s="20" t="inlineStr">
        <is>
          <t>吨/年</t>
        </is>
      </c>
      <c r="E15" s="23" t="inlineStr">
        <is>
          <t>A2</t>
        </is>
      </c>
      <c r="F15" s="22" t="inlineStr">
        <is>
          <t>S3</t>
        </is>
      </c>
      <c r="G15" s="21" t="inlineStr"/>
    </row>
    <row r="16" ht="30" customHeight="1">
      <c r="A16" s="20" t="inlineStr">
        <is>
          <t>C12</t>
        </is>
      </c>
      <c r="B16" s="21" t="inlineStr">
        <is>
          <t>事件装置 2023 年实际甲醇产量</t>
        </is>
      </c>
      <c r="C16" s="36" t="n">
        <v>910900</v>
      </c>
      <c r="D16" s="20" t="inlineStr">
        <is>
          <t>吨</t>
        </is>
      </c>
      <c r="E16" s="23" t="inlineStr">
        <is>
          <t>A2</t>
        </is>
      </c>
      <c r="F16" s="22" t="inlineStr">
        <is>
          <t>S3</t>
        </is>
      </c>
      <c r="G16" s="21" t="inlineStr"/>
    </row>
    <row r="17" ht="30" customHeight="1">
      <c r="A17" s="20" t="inlineStr">
        <is>
          <t>C13</t>
        </is>
      </c>
      <c r="B17" s="21" t="inlineStr">
        <is>
          <t>事件装置 2024 年实际甲醇产量</t>
        </is>
      </c>
      <c r="C17" s="36" t="n">
        <v>1078800</v>
      </c>
      <c r="D17" s="20" t="inlineStr">
        <is>
          <t>吨</t>
        </is>
      </c>
      <c r="E17" s="23" t="inlineStr">
        <is>
          <t>A2</t>
        </is>
      </c>
      <c r="F17" s="22" t="inlineStr">
        <is>
          <t>S11</t>
        </is>
      </c>
      <c r="G17" s="21" t="inlineStr"/>
    </row>
    <row r="18" ht="30" customHeight="1">
      <c r="A18" s="20" t="inlineStr">
        <is>
          <t>C14</t>
        </is>
      </c>
      <c r="B18" s="21" t="inlineStr">
        <is>
          <t>事件装置 2021–2023 年实际产量均值</t>
        </is>
      </c>
      <c r="C18" s="36" t="n">
        <v>1067433</v>
      </c>
      <c r="D18" s="20" t="inlineStr">
        <is>
          <t>吨</t>
        </is>
      </c>
      <c r="E18" s="37" t="inlineStr">
        <is>
          <t>A3</t>
        </is>
      </c>
      <c r="F18" s="22" t="inlineStr">
        <is>
          <t>S3 推算</t>
        </is>
      </c>
      <c r="G18" s="21" t="inlineStr">
        <is>
          <t>=(116.50+112.64+91.09)/3 万吨</t>
        </is>
      </c>
    </row>
    <row r="19" ht="30" customHeight="1">
      <c r="A19" s="20" t="inlineStr">
        <is>
          <t>C15</t>
        </is>
      </c>
      <c r="B19" s="21" t="inlineStr">
        <is>
          <t>气化 B 系列台数</t>
        </is>
      </c>
      <c r="C19" s="36" t="n">
        <v>8</v>
      </c>
      <c r="D19" s="20" t="inlineStr">
        <is>
          <t>台</t>
        </is>
      </c>
      <c r="E19" s="23" t="inlineStr">
        <is>
          <t>A1</t>
        </is>
      </c>
      <c r="F19" s="22" t="inlineStr">
        <is>
          <t>S1</t>
        </is>
      </c>
      <c r="G19" s="21" t="inlineStr"/>
    </row>
    <row r="20" ht="30" customHeight="1">
      <c r="A20" s="20" t="inlineStr">
        <is>
          <t>C16</t>
        </is>
      </c>
      <c r="B20" s="21" t="inlineStr">
        <is>
          <t>单台气化炉产能份额（=1/C15）</t>
        </is>
      </c>
      <c r="C20" s="36" t="n">
        <v>0.125</v>
      </c>
      <c r="D20" s="20" t="inlineStr">
        <is>
          <t>比率</t>
        </is>
      </c>
      <c r="E20" s="37" t="inlineStr">
        <is>
          <t>A3</t>
        </is>
      </c>
      <c r="F20" s="22" t="inlineStr">
        <is>
          <t>S1 推算</t>
        </is>
      </c>
      <c r="G20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40" customWidth="1" min="3" max="3"/>
    <col width="14" customWidth="1" min="4" max="4"/>
    <col width="66" customWidth="1" min="5" max="5"/>
  </cols>
  <sheetData>
    <row r="1" ht="30" customHeight="1">
      <c r="A1" s="1" t="inlineStr">
        <is>
          <t>⑧ 产能占比（多口径同出）</t>
        </is>
      </c>
    </row>
    <row r="2" ht="28" customHeight="1">
      <c r="A2" s="2" t="inlineStr">
        <is>
          <t>同一个装置，换分母就换观感。必须同时给出全国 / 区域 / 工艺三个口径，禁止只挑一个</t>
        </is>
      </c>
    </row>
    <row r="4" ht="34" customHeight="1">
      <c r="A4" s="11" t="inlineStr">
        <is>
          <t>口径</t>
        </is>
      </c>
      <c r="B4" s="11" t="inlineStr">
        <is>
          <t>占比</t>
        </is>
      </c>
      <c r="C4" s="11" t="inlineStr">
        <is>
          <t>计算式</t>
        </is>
      </c>
      <c r="D4" s="11" t="inlineStr">
        <is>
          <t>对应分母</t>
        </is>
      </c>
      <c r="E4" s="11" t="inlineStr">
        <is>
          <t>怎么读这个数</t>
        </is>
      </c>
    </row>
    <row r="5" ht="32" customHeight="1">
      <c r="A5" s="21" t="inlineStr">
        <is>
          <t>占全国甲醇有效产能（2023）</t>
        </is>
      </c>
      <c r="B5" s="38" t="n">
        <v>0.011289</v>
      </c>
      <c r="C5" s="21" t="inlineStr">
        <is>
          <t>1,200,000 / 106,300,000</t>
        </is>
      </c>
      <c r="D5" s="22" t="inlineStr">
        <is>
          <t>C1</t>
        </is>
      </c>
      <c r="E5" s="21" t="inlineStr">
        <is>
          <t>单看全国：不足 1.2%，属『局部可感』量级</t>
        </is>
      </c>
    </row>
    <row r="6" ht="32" customHeight="1">
      <c r="A6" s="21" t="inlineStr">
        <is>
          <t>占西北地区甲醇产能（折算）</t>
        </is>
      </c>
      <c r="B6" s="39" t="n">
        <v>0.032254</v>
      </c>
      <c r="C6" s="21" t="inlineStr">
        <is>
          <t>1,200,000 / 37,205,000</t>
        </is>
      </c>
      <c r="D6" s="22" t="inlineStr">
        <is>
          <t>C5</t>
        </is>
      </c>
      <c r="E6" s="21" t="inlineStr">
        <is>
          <t>单看主产区：超过 3%，属『值得跟踪』量级</t>
        </is>
      </c>
    </row>
    <row r="7" ht="32" customHeight="1">
      <c r="A7" s="21" t="inlineStr">
        <is>
          <t>占全国煤制甲醇产能</t>
        </is>
      </c>
      <c r="B7" s="38" t="n">
        <v>0.014905</v>
      </c>
      <c r="C7" s="21" t="inlineStr">
        <is>
          <t>1,200,000 / 80,512,220</t>
        </is>
      </c>
      <c r="D7" s="22" t="inlineStr">
        <is>
          <t>C7</t>
        </is>
      </c>
      <c r="E7" s="21" t="inlineStr">
        <is>
          <t>按工艺细分口径</t>
        </is>
      </c>
    </row>
    <row r="8" ht="32" customHeight="1">
      <c r="A8" s="21" t="inlineStr">
        <is>
          <t>占全国月均产量</t>
        </is>
      </c>
      <c r="B8" s="40" t="n">
        <v>0.2014</v>
      </c>
      <c r="C8" s="21" t="inlineStr">
        <is>
          <t>1,200,000 / 5,958,333</t>
        </is>
      </c>
      <c r="D8" s="22" t="inlineStr">
        <is>
          <t>C10</t>
        </is>
      </c>
      <c r="E8" s="21" t="inlineStr">
        <is>
          <t>装置满产一个月的产量≈全国 20 天的产量（注意：这是『产能/月产量』，不是损失）</t>
        </is>
      </c>
    </row>
    <row r="10" ht="34" customHeight="1">
      <c r="A10" s="41" t="inlineStr">
        <is>
          <t>读法提醒：占比高 ≠ 影响大。分母是产能时，占比只说明「这个厂在供给盘子里占多大」，不说明实际减量；要落到产量影响，必须回到「事件时长 × 开工率 × 影响范围」。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34" customWidth="1" min="4" max="4"/>
    <col width="18" customWidth="1" min="5" max="5"/>
    <col width="40" customWidth="1" min="6" max="6"/>
  </cols>
  <sheetData>
    <row r="1" ht="30" customHeight="1">
      <c r="A1" s="1" t="inlineStr">
        <is>
          <t>⑨ 影响量测算（活公式）</t>
        </is>
      </c>
    </row>
    <row r="2" ht="28" customHeight="1">
      <c r="A2" s="2" t="inlineStr">
        <is>
          <t>黄色底 = 你可以改的假设参数；绿色底 = 自动重算结果。公式：L = Q × (d/365) × r × k</t>
        </is>
      </c>
    </row>
    <row r="4" ht="24" customHeight="1">
      <c r="A4" s="18" t="inlineStr">
        <is>
          <t>一、参数（可改）</t>
        </is>
      </c>
    </row>
    <row r="5" ht="34" customHeight="1">
      <c r="A5" s="11" t="inlineStr">
        <is>
          <t>参数</t>
        </is>
      </c>
      <c r="B5" s="11" t="inlineStr">
        <is>
          <t>取值</t>
        </is>
      </c>
      <c r="C5" s="11" t="inlineStr">
        <is>
          <t>单位</t>
        </is>
      </c>
      <c r="D5" s="11" t="inlineStr">
        <is>
          <t>来源 / 说明</t>
        </is>
      </c>
      <c r="E5" s="11" t="inlineStr"/>
      <c r="F5" s="11" t="inlineStr"/>
    </row>
    <row r="6" ht="24" customHeight="1">
      <c r="A6" s="20" t="inlineStr">
        <is>
          <t>涉事装置设计产能 Q</t>
        </is>
      </c>
      <c r="B6" s="42" t="n">
        <v>1200000</v>
      </c>
      <c r="C6" s="20" t="inlineStr">
        <is>
          <t>吨/年</t>
        </is>
      </c>
      <c r="D6" s="21" t="inlineStr">
        <is>
          <t>装置档案；A2 上市公司年报</t>
        </is>
      </c>
    </row>
    <row r="7" ht="24" customHeight="1">
      <c r="A7" s="20" t="inlineStr">
        <is>
          <t>停产天数 d（假设）</t>
        </is>
      </c>
      <c r="B7" s="43" t="n">
        <v>15</v>
      </c>
      <c r="C7" s="20" t="inlineStr">
        <is>
          <t>天</t>
        </is>
      </c>
      <c r="D7" s="21" t="inlineStr">
        <is>
          <t>⚠️ 公司未披露实际停产天数，此处为情景假设，可自行修改</t>
        </is>
      </c>
    </row>
    <row r="8" ht="24" customHeight="1">
      <c r="A8" s="20" t="inlineStr">
        <is>
          <t>实际开工率 r</t>
        </is>
      </c>
      <c r="B8" s="44" t="n">
        <v>0.8895</v>
      </c>
      <c r="C8" s="20" t="inlineStr">
        <is>
          <t>—</t>
        </is>
      </c>
      <c r="D8" s="21" t="inlineStr">
        <is>
          <t>r = 近三年实际产量均值 / 设计产能 = 1,067,433 / 1,200,000；S3 推算</t>
        </is>
      </c>
    </row>
    <row r="9" ht="24" customHeight="1">
      <c r="A9" s="20" t="inlineStr">
        <is>
          <t>影响系数 k</t>
        </is>
      </c>
      <c r="B9" s="45" t="n">
        <v>0.125</v>
      </c>
      <c r="C9" s="20" t="inlineStr">
        <is>
          <t>—</t>
        </is>
      </c>
      <c r="D9" s="21" t="inlineStr">
        <is>
          <t>k = 涉事单元占全厂产能份额；k=0.125 表示仅 1/8 台气化炉受影响</t>
        </is>
      </c>
    </row>
    <row r="11" ht="24" customHeight="1">
      <c r="A11" s="18" t="inlineStr">
        <is>
          <t>二、结果（自动重算）</t>
        </is>
      </c>
    </row>
    <row r="12" ht="34" customHeight="1">
      <c r="A12" s="11" t="inlineStr">
        <is>
          <t>结果项</t>
        </is>
      </c>
      <c r="B12" s="11" t="inlineStr">
        <is>
          <t>数值</t>
        </is>
      </c>
      <c r="C12" s="11" t="inlineStr">
        <is>
          <t>单位</t>
        </is>
      </c>
      <c r="D12" s="11" t="inlineStr">
        <is>
          <t>公式</t>
        </is>
      </c>
      <c r="E12" s="11" t="inlineStr"/>
      <c r="F12" s="11" t="inlineStr"/>
    </row>
    <row r="13" ht="24" customHeight="1">
      <c r="A13" s="46" t="inlineStr">
        <is>
          <t>日均产能 D</t>
        </is>
      </c>
      <c r="B13" s="47" t="inlineStr">
        <is>
          <t>=B6/365</t>
        </is>
      </c>
      <c r="C13" s="46" t="inlineStr">
        <is>
          <t>吨/日</t>
        </is>
      </c>
      <c r="D13" s="48" t="inlineStr">
        <is>
          <t>D = Q / 365</t>
        </is>
      </c>
    </row>
    <row r="14" ht="24" customHeight="1">
      <c r="A14" s="46" t="inlineStr">
        <is>
          <t>理论产量影响 L</t>
        </is>
      </c>
      <c r="B14" s="49" t="inlineStr">
        <is>
          <t>=B6*(B7/365)*B8*B9</t>
        </is>
      </c>
      <c r="C14" s="46" t="inlineStr">
        <is>
          <t>吨</t>
        </is>
      </c>
      <c r="D14" s="48" t="inlineStr">
        <is>
          <t>L = Q × (d/365) × r × k</t>
        </is>
      </c>
    </row>
    <row r="15" ht="24" customHeight="1">
      <c r="A15" s="46" t="inlineStr">
        <is>
          <t>L（万吨）</t>
        </is>
      </c>
      <c r="B15" s="50" t="inlineStr">
        <is>
          <t>=B14/10000</t>
        </is>
      </c>
      <c r="C15" s="46" t="inlineStr">
        <is>
          <t>万吨</t>
        </is>
      </c>
      <c r="D15" s="48" t="inlineStr">
        <is>
          <t>L / 10000</t>
        </is>
      </c>
    </row>
    <row r="16" ht="24" customHeight="1">
      <c r="A16" s="46" t="inlineStr">
        <is>
          <t>占全国年产能</t>
        </is>
      </c>
      <c r="B16" s="51" t="inlineStr">
        <is>
          <t>=B6/106300000</t>
        </is>
      </c>
      <c r="C16" s="46" t="inlineStr">
        <is>
          <t>%</t>
        </is>
      </c>
      <c r="D16" s="48" t="inlineStr">
        <is>
          <t>Q / 全国有效产能</t>
        </is>
      </c>
    </row>
    <row r="17" ht="24" customHeight="1">
      <c r="A17" s="46" t="inlineStr">
        <is>
          <t>占西北地区产能（折算）</t>
        </is>
      </c>
      <c r="B17" s="51" t="inlineStr">
        <is>
          <t>=B6/37205000</t>
        </is>
      </c>
      <c r="C17" s="46" t="inlineStr">
        <is>
          <t>%</t>
        </is>
      </c>
      <c r="D17" s="48" t="inlineStr">
        <is>
          <t>Q / (全国×35%)</t>
        </is>
      </c>
    </row>
    <row r="18" ht="24" customHeight="1">
      <c r="A18" s="46" t="inlineStr">
        <is>
          <t>相当于全国产量天数</t>
        </is>
      </c>
      <c r="B18" s="52" t="inlineStr">
        <is>
          <t>=B14/(71500000/365)</t>
        </is>
      </c>
      <c r="C18" s="46" t="inlineStr">
        <is>
          <t>天</t>
        </is>
      </c>
      <c r="D18" s="48" t="inlineStr">
        <is>
          <t>L / (全国年产量/365)</t>
        </is>
      </c>
    </row>
    <row r="19" ht="24" customHeight="1">
      <c r="A19" s="46" t="inlineStr">
        <is>
          <t>占该装置年产量</t>
        </is>
      </c>
      <c r="B19" s="53" t="inlineStr">
        <is>
          <t>=B14/B6</t>
        </is>
      </c>
      <c r="C19" s="46" t="inlineStr">
        <is>
          <t>%</t>
        </is>
      </c>
      <c r="D19" s="48" t="inlineStr">
        <is>
          <t>L / Q</t>
        </is>
      </c>
    </row>
    <row r="21" ht="40" customHeight="1">
      <c r="A21" s="54" t="inlineStr">
        <is>
          <t>⚠️ 使用限制：d（停产天数）无权威出处；k（波及范围）取决于「是否全厂停产」，该事实未确认。以上结果只能作为量级理解，不得写成「实际减产 X 万吨」。</t>
        </is>
      </c>
    </row>
    <row r="23" ht="24" customHeight="1">
      <c r="A23" s="18" t="inlineStr">
        <is>
          <t>三、替代口径：以「实际产量」为基数（更贴近真实减产）</t>
        </is>
      </c>
    </row>
    <row r="24" ht="30" customHeight="1">
      <c r="A24" s="55" t="inlineStr">
        <is>
          <t>基数 = 事发前近 3 年平均实际产量（活引用「装置档案」第 22 行）= 1,067,433 吨。公式改为 L = 年均实际产量 × (d/365) × k，无需再乘 r（r 已隐含在历史产量中）。⚠️ 注意：该口径与本表上方「设计产能口径」的基数不同，两者不可混用。</t>
        </is>
      </c>
    </row>
    <row r="25" ht="34" customHeight="1">
      <c r="A25" s="11" t="inlineStr">
        <is>
          <t>情景</t>
        </is>
      </c>
      <c r="B25" s="11" t="inlineStr">
        <is>
          <t>k</t>
        </is>
      </c>
      <c r="C25" s="11" t="inlineStr">
        <is>
          <t>d（天）</t>
        </is>
      </c>
      <c r="D25" s="11" t="inlineStr">
        <is>
          <t>L = 年均实际产量×(d/365)×k（吨）</t>
        </is>
      </c>
      <c r="E25" s="11" t="inlineStr">
        <is>
          <t>占全国月均产量</t>
        </is>
      </c>
      <c r="F25" s="11" t="inlineStr">
        <is>
          <t>说明</t>
        </is>
      </c>
    </row>
    <row r="26" ht="44" customHeight="1">
      <c r="A26" s="21" t="inlineStr">
        <is>
          <t>仅受损单元（单台气化炉）停车</t>
        </is>
      </c>
      <c r="B26" s="56" t="n">
        <v>0.125</v>
      </c>
      <c r="C26" s="57">
        <f>B7</f>
        <v/>
      </c>
      <c r="D26" s="47">
        <f>'装置档案'!B22*(C26/365)*B26</f>
        <v/>
      </c>
      <c r="E26" s="58">
        <f>D26/(71500000/12)</f>
        <v/>
      </c>
      <c r="F26" s="21" t="inlineStr">
        <is>
          <t>k=1/8（B 系列 8 台炉），假定其余 7 台满负荷且无联动</t>
        </is>
      </c>
    </row>
    <row r="27" ht="44" customHeight="1">
      <c r="A27" s="21" t="inlineStr">
        <is>
          <t>B 系列整体停车</t>
        </is>
      </c>
      <c r="B27" s="56" t="n">
        <v>0.5</v>
      </c>
      <c r="C27" s="57">
        <f>B7</f>
        <v/>
      </c>
      <c r="D27" s="47">
        <f>'装置档案'!B22*(C27/365)*B27</f>
        <v/>
      </c>
      <c r="E27" s="58">
        <f>D27/(71500000/12)</f>
        <v/>
      </c>
      <c r="F27" s="21" t="inlineStr">
        <is>
          <t>假定 A/B 两系列各占 50%（调查报告仅披露 B 系列 8 台，A 系列未在报告中披露，该 50% 为假设）</t>
        </is>
      </c>
    </row>
    <row r="28" ht="44" customHeight="1">
      <c r="A28" s="21" t="inlineStr">
        <is>
          <t>全厂停车（含事故后安全停工与复产爬坡）</t>
        </is>
      </c>
      <c r="B28" s="56" t="n">
        <v>1</v>
      </c>
      <c r="C28" s="57">
        <f>B7</f>
        <v/>
      </c>
      <c r="D28" s="47">
        <f>'装置档案'!B22*(C28/365)*B28</f>
        <v/>
      </c>
      <c r="E28" s="58">
        <f>D28/(71500000/12)</f>
        <v/>
      </c>
      <c r="F28" s="21" t="inlineStr">
        <is>
          <t>事件当日已发生全厂停电，假定事故后全厂停车 10 天</t>
        </is>
      </c>
    </row>
    <row r="30" ht="28" customHeight="1">
      <c r="A30" s="59" t="inlineStr">
        <is>
          <t>三个情景共用同一个 d（可改上面「停产天数」联动）。k 的差别就是「波及范围」的差别——这正是本次事件最不确定、也最影响结论的地方。</t>
        </is>
      </c>
    </row>
  </sheetData>
  <mergeCells count="8">
    <mergeCell ref="A24:F24"/>
    <mergeCell ref="A2:F2"/>
    <mergeCell ref="A11:F11"/>
    <mergeCell ref="A30:F30"/>
    <mergeCell ref="A1:F1"/>
    <mergeCell ref="A23:F23"/>
    <mergeCell ref="A4:F4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30" customHeight="1">
      <c r="A1" s="1" t="inlineStr">
        <is>
          <t>⑩ 敏感矩阵：停产天数 × 影响系数</t>
        </is>
      </c>
    </row>
    <row r="2" ht="28" customHeight="1">
      <c r="A2" s="2" t="inlineStr">
        <is>
          <t>公式 L = 1,200,000 × (d/365) × r × k，r = 0.8895；单元格为吨</t>
        </is>
      </c>
    </row>
    <row r="4" ht="34" customHeight="1">
      <c r="A4" s="11" t="inlineStr">
        <is>
          <t>k \ d</t>
        </is>
      </c>
      <c r="B4" s="11" t="inlineStr">
        <is>
          <t>7 天</t>
        </is>
      </c>
      <c r="C4" s="11" t="inlineStr">
        <is>
          <t>10 天</t>
        </is>
      </c>
      <c r="D4" s="11" t="inlineStr">
        <is>
          <t>15 天</t>
        </is>
      </c>
      <c r="E4" s="11" t="inlineStr">
        <is>
          <t>20 天</t>
        </is>
      </c>
      <c r="F4" s="11" t="inlineStr">
        <is>
          <t>30 天</t>
        </is>
      </c>
      <c r="G4" s="11" t="inlineStr"/>
      <c r="H4" s="11" t="inlineStr"/>
    </row>
    <row r="5">
      <c r="A5" s="60" t="inlineStr">
        <is>
          <t>d（天）→</t>
        </is>
      </c>
      <c r="B5" s="61" t="n">
        <v>7</v>
      </c>
      <c r="C5" s="61" t="n">
        <v>10</v>
      </c>
      <c r="D5" s="61" t="n">
        <v>15</v>
      </c>
      <c r="E5" s="61" t="n">
        <v>20</v>
      </c>
      <c r="F5" s="61" t="n">
        <v>30</v>
      </c>
    </row>
    <row r="6">
      <c r="A6" s="62" t="n">
        <v>0.125</v>
      </c>
      <c r="B6" s="63">
        <f>1200000*(B$5/365)*0.8895*$A6</f>
        <v/>
      </c>
      <c r="C6" s="63">
        <f>1200000*(C$5/365)*0.8895*$A6</f>
        <v/>
      </c>
      <c r="D6" s="63">
        <f>1200000*(D$5/365)*0.8895*$A6</f>
        <v/>
      </c>
      <c r="E6" s="63">
        <f>1200000*(E$5/365)*0.8895*$A6</f>
        <v/>
      </c>
      <c r="F6" s="63">
        <f>1200000*(F$5/365)*0.8895*$A6</f>
        <v/>
      </c>
    </row>
    <row r="7">
      <c r="A7" s="62" t="n">
        <v>0.5</v>
      </c>
      <c r="B7" s="63">
        <f>1200000*(B$5/365)*0.8895*$A7</f>
        <v/>
      </c>
      <c r="C7" s="63">
        <f>1200000*(C$5/365)*0.8895*$A7</f>
        <v/>
      </c>
      <c r="D7" s="63">
        <f>1200000*(D$5/365)*0.8895*$A7</f>
        <v/>
      </c>
      <c r="E7" s="63">
        <f>1200000*(E$5/365)*0.8895*$A7</f>
        <v/>
      </c>
      <c r="F7" s="63">
        <f>1200000*(F$5/365)*0.8895*$A7</f>
        <v/>
      </c>
    </row>
    <row r="8">
      <c r="A8" s="62" t="n">
        <v>1</v>
      </c>
      <c r="B8" s="63">
        <f>1200000*(B$5/365)*0.8895*$A8</f>
        <v/>
      </c>
      <c r="C8" s="63">
        <f>1200000*(C$5/365)*0.8895*$A8</f>
        <v/>
      </c>
      <c r="D8" s="63">
        <f>1200000*(D$5/365)*0.8895*$A8</f>
        <v/>
      </c>
      <c r="E8" s="63">
        <f>1200000*(E$5/365)*0.8895*$A8</f>
        <v/>
      </c>
      <c r="F8" s="63">
        <f>1200000*(F$5/365)*0.8895*$A8</f>
        <v/>
      </c>
    </row>
    <row r="10" ht="40" customHeight="1">
      <c r="A10" s="41" t="inlineStr">
        <is>
          <t>怎么用这张表：① 先确认 d 的区间（本案例 d 无出处 → 全部是情景）；② 再看 k 的合理区间（是否全厂停产未确认 → 0.125~1.0 都可能）；③ 只有当 d 与 k 都能被证据锁定时，才能对外给单点数字。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2" customWidth="1" min="3" max="3"/>
    <col width="16" customWidth="1" min="4" max="4"/>
    <col width="50" customWidth="1" min="5" max="5"/>
  </cols>
  <sheetData>
    <row r="1" ht="30" customHeight="1">
      <c r="A1" s="1" t="inlineStr">
        <is>
          <t>⑪ 年度产量缺口分解</t>
        </is>
      </c>
    </row>
    <row r="2" ht="28" customHeight="1">
      <c r="A2" s="2" t="inlineStr">
        <is>
          <t>这是唯一「实测」口径：从年报产量倒推，看能归因多少</t>
        </is>
      </c>
    </row>
    <row r="4" ht="34" customHeight="1">
      <c r="A4" s="11" t="inlineStr">
        <is>
          <t>项目</t>
        </is>
      </c>
      <c r="B4" s="11" t="inlineStr">
        <is>
          <t>吨</t>
        </is>
      </c>
      <c r="C4" s="11" t="inlineStr">
        <is>
          <t>性质</t>
        </is>
      </c>
      <c r="D4" s="11" t="inlineStr">
        <is>
          <t>来源</t>
        </is>
      </c>
      <c r="E4" s="11" t="inlineStr">
        <is>
          <t>说明</t>
        </is>
      </c>
    </row>
    <row r="5" ht="34" customHeight="1">
      <c r="A5" s="21" t="inlineStr">
        <is>
          <t>2022 年实际产量</t>
        </is>
      </c>
      <c r="B5" s="64" t="n">
        <v>1126400</v>
      </c>
      <c r="C5" s="65" t="inlineStr"/>
      <c r="D5" s="22" t="inlineStr">
        <is>
          <t>S3</t>
        </is>
      </c>
      <c r="E5" s="20" t="inlineStr"/>
    </row>
    <row r="6" ht="34" customHeight="1">
      <c r="A6" s="21" t="inlineStr">
        <is>
          <t>2023 年实际产量</t>
        </is>
      </c>
      <c r="B6" s="64" t="n">
        <v>910900</v>
      </c>
      <c r="C6" s="65" t="inlineStr"/>
      <c r="D6" s="22" t="inlineStr">
        <is>
          <t>S3</t>
        </is>
      </c>
      <c r="E6" s="20" t="inlineStr"/>
    </row>
    <row r="7" ht="34" customHeight="1">
      <c r="A7" s="21" t="inlineStr">
        <is>
          <t>产量缺口</t>
        </is>
      </c>
      <c r="B7" s="64" t="n">
        <v>-215500</v>
      </c>
      <c r="C7" s="65" t="inlineStr"/>
      <c r="D7" s="22" t="inlineStr">
        <is>
          <t>推算</t>
        </is>
      </c>
      <c r="E7" s="20" t="inlineStr"/>
    </row>
    <row r="8" ht="34" customHeight="1">
      <c r="A8" s="21" t="inlineStr">
        <is>
          <t>其中：年报明确点名的年度检修 20 天（按设计产能×88.95% 折算）</t>
        </is>
      </c>
      <c r="B8" s="64" t="n">
        <v>-58489</v>
      </c>
      <c r="C8" s="65" t="inlineStr">
        <is>
          <t>计算值（折算假设 20 天为唯一一次检修）</t>
        </is>
      </c>
      <c r="D8" s="22" t="inlineStr">
        <is>
          <t>S3 产能 + 假设折算</t>
        </is>
      </c>
      <c r="E8" s="20" t="inlineStr"/>
    </row>
    <row r="9" ht="34" customHeight="1">
      <c r="A9" s="21" t="inlineStr">
        <is>
          <t>其中：未归因缺口（含本次事故、蒸汽锅炉轮检、其他计划外因素）</t>
        </is>
      </c>
      <c r="B9" s="64" t="n">
        <v>-157011</v>
      </c>
      <c r="C9" s="65" t="inlineStr">
        <is>
          <t>未拆分</t>
        </is>
      </c>
      <c r="D9" s="22" t="inlineStr">
        <is>
          <t>推算</t>
        </is>
      </c>
      <c r="E9" s="20" t="inlineStr"/>
    </row>
    <row r="10" ht="34" customHeight="1">
      <c r="A10" s="21" t="inlineStr">
        <is>
          <t>事故可归因份额</t>
        </is>
      </c>
      <c r="B10" s="66" t="inlineStr">
        <is>
          <t>缺口</t>
        </is>
      </c>
      <c r="C10" s="65" t="inlineStr">
        <is>
          <t>缺口：公司未披露，禁止分配</t>
        </is>
      </c>
      <c r="D10" s="22" t="inlineStr">
        <is>
          <t>未获取</t>
        </is>
      </c>
      <c r="E10" s="20" t="inlineStr"/>
    </row>
    <row r="12" ht="28" customHeight="1">
      <c r="A12" s="67" t="inlineStr">
        <is>
          <t>把 2023 年产量缺口拆为『可识别部分』与『未归因部分』</t>
        </is>
      </c>
    </row>
    <row r="13" ht="44" customHeight="1">
      <c r="A13" s="68" t="inlineStr">
        <is>
          <t>公司口径：2023 年产量下降主因『完成为期 20 天年度检修，受蒸汽锅炉轮检影响』（S3 p22）。该差额不能全部归因于本次事故，事故贡献比例未披露。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30" customWidth="1" min="4" max="4"/>
    <col width="10" customWidth="1" min="5" max="5"/>
    <col width="14" customWidth="1" min="6" max="6"/>
    <col width="58" customWidth="1" min="7" max="7"/>
  </cols>
  <sheetData>
    <row r="1" ht="30" customHeight="1">
      <c r="A1" s="1" t="inlineStr">
        <is>
          <t>⑫ 产业链节点</t>
        </is>
      </c>
    </row>
    <row r="2" ht="28" customHeight="1">
      <c r="A2" s="2" t="inlineStr">
        <is>
          <t>定位涉事装置在链条中的位置，判断影响向上还是向下传导</t>
        </is>
      </c>
    </row>
    <row r="4" ht="34" customHeight="1">
      <c r="A4" s="11" t="inlineStr">
        <is>
          <t>ID</t>
        </is>
      </c>
      <c r="B4" s="11" t="inlineStr">
        <is>
          <t>环节</t>
        </is>
      </c>
      <c r="C4" s="11" t="inlineStr">
        <is>
          <t>节点</t>
        </is>
      </c>
      <c r="D4" s="11" t="inlineStr">
        <is>
          <t>与主产品关系</t>
        </is>
      </c>
      <c r="E4" s="11" t="inlineStr">
        <is>
          <t>传导强度</t>
        </is>
      </c>
      <c r="F4" s="11" t="inlineStr">
        <is>
          <t>本次是否直接涉及</t>
        </is>
      </c>
      <c r="G4" s="11" t="inlineStr">
        <is>
          <t>说明</t>
        </is>
      </c>
    </row>
    <row r="5" ht="34" customHeight="1">
      <c r="A5" s="69" t="inlineStr">
        <is>
          <t>N0a</t>
        </is>
      </c>
      <c r="B5" s="22" t="inlineStr">
        <is>
          <t>原料</t>
        </is>
      </c>
      <c r="C5" s="21" t="inlineStr">
        <is>
          <t>淖毛湖富油煤（自有矿区）</t>
        </is>
      </c>
      <c r="D5" s="21" t="inlineStr">
        <is>
          <t>煤制甲醇原料，自有资源</t>
        </is>
      </c>
      <c r="E5" s="22" t="inlineStr">
        <is>
          <t>强</t>
        </is>
      </c>
      <c r="F5" s="22" t="inlineStr">
        <is>
          <t>是</t>
        </is>
      </c>
      <c r="G5" s="21" t="inlineStr">
        <is>
          <t>原料自给，事件不影响原料端</t>
        </is>
      </c>
    </row>
    <row r="6" ht="34" customHeight="1">
      <c r="A6" s="69" t="inlineStr">
        <is>
          <t>N0b</t>
        </is>
      </c>
      <c r="B6" s="22" t="inlineStr">
        <is>
          <t>原料</t>
        </is>
      </c>
      <c r="C6" s="21" t="inlineStr">
        <is>
          <t>蒸汽锅炉 / 公用工程</t>
        </is>
      </c>
      <c r="D6" s="21" t="inlineStr">
        <is>
          <t>全厂公用工程，年报明确『受蒸汽锅炉轮检影响』</t>
        </is>
      </c>
      <c r="E6" s="22" t="inlineStr">
        <is>
          <t>强</t>
        </is>
      </c>
      <c r="F6" s="22" t="inlineStr">
        <is>
          <t>是</t>
        </is>
      </c>
      <c r="G6" s="21" t="inlineStr">
        <is>
          <t>公用工程是 2023 年产量下滑的被点名的原因之一</t>
        </is>
      </c>
    </row>
    <row r="7" ht="34" customHeight="1">
      <c r="A7" s="69" t="inlineStr">
        <is>
          <t>N1a</t>
        </is>
      </c>
      <c r="B7" s="22" t="inlineStr">
        <is>
          <t>生产</t>
        </is>
      </c>
      <c r="C7" s="21" t="inlineStr">
        <is>
          <t>造气装置（气化 B 系列 8 台气化炉）</t>
        </is>
      </c>
      <c r="D7" s="21" t="inlineStr">
        <is>
          <t>事件发生单元</t>
        </is>
      </c>
      <c r="E7" s="22" t="inlineStr">
        <is>
          <t>强</t>
        </is>
      </c>
      <c r="F7" s="22" t="inlineStr">
        <is>
          <t>是</t>
        </is>
      </c>
      <c r="G7" s="21" t="inlineStr">
        <is>
          <t>本案例事件所在环节</t>
        </is>
      </c>
    </row>
    <row r="8" ht="34" customHeight="1">
      <c r="A8" s="69" t="inlineStr">
        <is>
          <t>N1b</t>
        </is>
      </c>
      <c r="B8" s="22" t="inlineStr">
        <is>
          <t>生产</t>
        </is>
      </c>
      <c r="C8" s="21" t="inlineStr">
        <is>
          <t>低温甲醇洗 + 甲醇合成（120 万吨/年）</t>
        </is>
      </c>
      <c r="D8" s="21" t="inlineStr">
        <is>
          <t>甲醇主产品单元</t>
        </is>
      </c>
      <c r="E8" s="22" t="inlineStr">
        <is>
          <t>强</t>
        </is>
      </c>
      <c r="F8" s="22" t="inlineStr">
        <is>
          <t>是</t>
        </is>
      </c>
      <c r="G8" s="21" t="inlineStr">
        <is>
          <t>受气化端波动影响</t>
        </is>
      </c>
    </row>
    <row r="9" ht="34" customHeight="1">
      <c r="A9" s="69" t="inlineStr">
        <is>
          <t>N1c</t>
        </is>
      </c>
      <c r="B9" s="22" t="inlineStr">
        <is>
          <t>生产</t>
        </is>
      </c>
      <c r="C9" s="21" t="inlineStr">
        <is>
          <t>甲烷深冷分离 → LNG（7 亿方/年）</t>
        </is>
      </c>
      <c r="D9" s="21" t="inlineStr">
        <is>
          <t>联产品单元</t>
        </is>
      </c>
      <c r="E9" s="22" t="inlineStr">
        <is>
          <t>强</t>
        </is>
      </c>
      <c r="F9" s="22" t="inlineStr">
        <is>
          <t>是</t>
        </is>
      </c>
      <c r="G9" s="21" t="inlineStr">
        <is>
          <t>联产：气化端波动同时影响 LNG 与副产品</t>
        </is>
      </c>
    </row>
    <row r="10" ht="34" customHeight="1">
      <c r="A10" s="69" t="inlineStr">
        <is>
          <t>N2a</t>
        </is>
      </c>
      <c r="B10" s="22" t="inlineStr">
        <is>
          <t>流通</t>
        </is>
      </c>
      <c r="C10" s="21" t="inlineStr">
        <is>
          <t>新疆本地销售 / 出疆汽运铁运</t>
        </is>
      </c>
      <c r="D10" s="21" t="inlineStr">
        <is>
          <t>销售半径：先本地与西北，再流向内地</t>
        </is>
      </c>
      <c r="E10" s="22" t="inlineStr">
        <is>
          <t>中</t>
        </is>
      </c>
      <c r="F10" s="22" t="inlineStr">
        <is>
          <t>是</t>
        </is>
      </c>
      <c r="G10" s="21" t="inlineStr">
        <is>
          <t>新疆甲醇外发比例与物流是判断区域冲击的关键，本文未取得外发率数据</t>
        </is>
      </c>
    </row>
    <row r="11" ht="34" customHeight="1">
      <c r="A11" s="20" t="inlineStr">
        <is>
          <t>N2b</t>
        </is>
      </c>
      <c r="B11" s="22" t="inlineStr">
        <is>
          <t>流通</t>
        </is>
      </c>
      <c r="C11" s="21" t="inlineStr">
        <is>
          <t>华东港口（太仓/张家港等）</t>
        </is>
      </c>
      <c r="D11" s="21" t="inlineStr">
        <is>
          <t>主要销区与定价格市场</t>
        </is>
      </c>
      <c r="E11" s="22" t="inlineStr">
        <is>
          <t>中</t>
        </is>
      </c>
      <c r="F11" s="22" t="inlineStr">
        <is>
          <t>否 / 间接</t>
        </is>
      </c>
      <c r="G11" s="21" t="inlineStr">
        <is>
          <t>× 为『是否有直接传导』；新疆→华东有距离与价差约束</t>
        </is>
      </c>
    </row>
    <row r="12" ht="34" customHeight="1">
      <c r="A12" s="20" t="inlineStr">
        <is>
          <t>N3a</t>
        </is>
      </c>
      <c r="B12" s="22" t="inlineStr">
        <is>
          <t>下游</t>
        </is>
      </c>
      <c r="C12" s="21" t="inlineStr">
        <is>
          <t>甲醇制烯烃（MTO/CTO）</t>
        </is>
      </c>
      <c r="D12" s="21" t="inlineStr">
        <is>
          <t>最大下游（行业口径约 50%+）</t>
        </is>
      </c>
      <c r="E12" s="22" t="inlineStr">
        <is>
          <t>中</t>
        </is>
      </c>
      <c r="F12" s="22" t="inlineStr">
        <is>
          <t>否 / 间接</t>
        </is>
      </c>
      <c r="G12" s="21" t="inlineStr">
        <is>
          <t>该厂配套自有 MTO（新疆哈密恒友，2021 年投产，上游配套甲醇 120 万吨），甲醇主要自用</t>
        </is>
      </c>
    </row>
    <row r="13" ht="34" customHeight="1">
      <c r="A13" s="20" t="inlineStr">
        <is>
          <t>N3b</t>
        </is>
      </c>
      <c r="B13" s="22" t="inlineStr">
        <is>
          <t>下游</t>
        </is>
      </c>
      <c r="C13" s="21" t="inlineStr">
        <is>
          <t>醋酸 / 甲醛 / 二甲醚 / MTBE / DMF</t>
        </is>
      </c>
      <c r="D13" s="21" t="inlineStr">
        <is>
          <t>传统下游</t>
        </is>
      </c>
      <c r="E13" s="22" t="inlineStr">
        <is>
          <t>弱</t>
        </is>
      </c>
      <c r="F13" s="22" t="inlineStr">
        <is>
          <t>否 / 间接</t>
        </is>
      </c>
      <c r="G13" s="21" t="inlineStr">
        <is>
          <t>与该厂无直接供货关系，通过区域平衡表间接传导</t>
        </is>
      </c>
    </row>
    <row r="14" ht="34" customHeight="1">
      <c r="A14" s="20" t="inlineStr">
        <is>
          <t>N4</t>
        </is>
      </c>
      <c r="B14" s="22" t="inlineStr">
        <is>
          <t>替代</t>
        </is>
      </c>
      <c r="C14" s="21" t="inlineStr">
        <is>
          <t>进口甲醇（中东/伊朗）与内地其他产区</t>
        </is>
      </c>
      <c r="D14" s="21" t="inlineStr">
        <is>
          <t>供给替代</t>
        </is>
      </c>
      <c r="E14" s="22" t="inlineStr">
        <is>
          <t>中</t>
        </is>
      </c>
      <c r="F14" s="22" t="inlineStr">
        <is>
          <t>否 / 间接</t>
        </is>
      </c>
      <c r="G14" s="21" t="inlineStr">
        <is>
          <t>判断缺口是否被替代的关键，见『后续可观察』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54" customWidth="1" min="3" max="3"/>
    <col width="34" customWidth="1" min="4" max="4"/>
    <col width="20" customWidth="1" min="5" max="5"/>
  </cols>
  <sheetData>
    <row r="1" ht="30" customHeight="1">
      <c r="A1" s="1" t="inlineStr">
        <is>
          <t>⑬ 传导路径与可量化性</t>
        </is>
      </c>
    </row>
    <row r="2" ht="28" customHeight="1">
      <c r="A2" s="2" t="inlineStr">
        <is>
          <t>每条路径都要回答：传不传得过去、卡在哪一步、需不需要额外数据</t>
        </is>
      </c>
    </row>
    <row r="4" ht="34" customHeight="1">
      <c r="A4" s="11" t="inlineStr">
        <is>
          <t>传导路径</t>
        </is>
      </c>
      <c r="B4" s="11" t="inlineStr">
        <is>
          <t>强度</t>
        </is>
      </c>
      <c r="C4" s="11" t="inlineStr">
        <is>
          <t>证据</t>
        </is>
      </c>
      <c r="D4" s="11" t="inlineStr">
        <is>
          <t>可量化性</t>
        </is>
      </c>
      <c r="E4" s="11" t="inlineStr">
        <is>
          <t>备注</t>
        </is>
      </c>
    </row>
    <row r="5" ht="38" customHeight="1">
      <c r="A5" s="21" t="inlineStr">
        <is>
          <t>气化 B 系列 5 号炉闪爆 → B 系列运行稳定性下降 → 全厂甲醇负荷下降</t>
        </is>
      </c>
      <c r="B5" s="22" t="inlineStr">
        <is>
          <t>强</t>
        </is>
      </c>
      <c r="C5" s="21" t="inlineStr">
        <is>
          <t>A1（事件）+ A2（年度产量）</t>
        </is>
      </c>
      <c r="D5" s="21" t="inlineStr">
        <is>
          <t>部分（年度口径可算，日度口径缺天数）</t>
        </is>
      </c>
      <c r="E5" s="20" t="inlineStr"/>
    </row>
    <row r="6" ht="38" customHeight="1">
      <c r="A6" s="21" t="inlineStr">
        <is>
          <t>全厂停产/开车过程 → 联产 LNG 与副产品同步下降</t>
        </is>
      </c>
      <c r="B6" s="22" t="inlineStr">
        <is>
          <t>强</t>
        </is>
      </c>
      <c r="C6" s="21" t="inlineStr">
        <is>
          <t>A2（LNG 2023 年 -19.87%、副产品 -20.35%）</t>
        </is>
      </c>
      <c r="D6" s="21" t="inlineStr">
        <is>
          <t>是（年度口径）</t>
        </is>
      </c>
      <c r="E6" s="20" t="inlineStr"/>
    </row>
    <row r="7" ht="38" customHeight="1">
      <c r="A7" s="21" t="inlineStr">
        <is>
          <t>新疆供应减少 → 西北区域平衡表收紧 → 出疆量变化 → 内地销区到货</t>
        </is>
      </c>
      <c r="B7" s="22" t="inlineStr">
        <is>
          <t>中</t>
        </is>
      </c>
      <c r="C7" s="21" t="inlineStr">
        <is>
          <t>B（未见区域出疆数据）</t>
        </is>
      </c>
      <c r="D7" s="21" t="inlineStr">
        <is>
          <t>否（缺外发率）</t>
        </is>
      </c>
      <c r="E7" s="20" t="inlineStr"/>
    </row>
    <row r="8" ht="38" customHeight="1">
      <c r="A8" s="21" t="inlineStr">
        <is>
          <t>内地/港口价格带宽变化 → 基差与月差结构</t>
        </is>
      </c>
      <c r="B8" s="22" t="inlineStr">
        <is>
          <t>弱</t>
        </is>
      </c>
      <c r="C8" s="21" t="inlineStr">
        <is>
          <t>C（未作推断）</t>
        </is>
      </c>
      <c r="D8" s="21" t="inlineStr">
        <is>
          <t>否</t>
        </is>
      </c>
      <c r="E8" s="20" t="inlineStr"/>
    </row>
    <row r="9" ht="38" customHeight="1">
      <c r="A9" s="21" t="inlineStr">
        <is>
          <t>下游 MTO 原料供应 → 该厂自有 MTO 与烯烃一体化链条</t>
        </is>
      </c>
      <c r="B9" s="22" t="inlineStr">
        <is>
          <t>中</t>
        </is>
      </c>
      <c r="C9" s="21" t="inlineStr">
        <is>
          <t>B3（新疆哈密恒友配套关系来自期货公司整理）</t>
        </is>
      </c>
      <c r="D9" s="21" t="inlineStr">
        <is>
          <t>否</t>
        </is>
      </c>
      <c r="E9" s="2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62" customWidth="1" min="3" max="3"/>
    <col width="10" customWidth="1" min="4" max="4"/>
    <col width="14" customWidth="1" min="5" max="5"/>
  </cols>
  <sheetData>
    <row r="1" ht="30" customHeight="1">
      <c r="A1" s="1" t="inlineStr">
        <is>
          <t>⑭ 已确认的影响（计入汇总）</t>
        </is>
      </c>
    </row>
    <row r="2" ht="28" customHeight="1">
      <c r="A2" s="2" t="inlineStr">
        <is>
          <t>只放有 A/B 级来源支撑的事实，不做推断</t>
        </is>
      </c>
    </row>
    <row r="4" ht="34" customHeight="1">
      <c r="A4" s="11" t="inlineStr">
        <is>
          <t>ID</t>
        </is>
      </c>
      <c r="B4" s="11" t="inlineStr">
        <is>
          <t>已确认事项</t>
        </is>
      </c>
      <c r="C4" s="11" t="inlineStr">
        <is>
          <t>细节</t>
        </is>
      </c>
      <c r="D4" s="11" t="inlineStr">
        <is>
          <t>等级</t>
        </is>
      </c>
      <c r="E4" s="11" t="inlineStr">
        <is>
          <t>来源</t>
        </is>
      </c>
    </row>
    <row r="5" ht="36" customHeight="1">
      <c r="A5" s="20" t="inlineStr">
        <is>
          <t>C1</t>
        </is>
      </c>
      <c r="B5" s="48" t="inlineStr">
        <is>
          <t>事件发生（时间、装置单元、伤亡、经济损失、事故性质）</t>
        </is>
      </c>
      <c r="C5" s="21" t="inlineStr">
        <is>
          <t>2023-05-08 18:08，造气 B 系列 5 号气化炉闪爆；1 死 6 伤；直接经济损失 460.78 万元；认定为一般生产安全责任事故</t>
        </is>
      </c>
      <c r="D5" s="23" t="inlineStr">
        <is>
          <t>A1</t>
        </is>
      </c>
      <c r="E5" s="22" t="inlineStr">
        <is>
          <t>S1</t>
        </is>
      </c>
    </row>
    <row r="6" ht="36" customHeight="1">
      <c r="A6" s="20" t="inlineStr">
        <is>
          <t>C2</t>
        </is>
      </c>
      <c r="B6" s="48" t="inlineStr">
        <is>
          <t>涉事企业隶属与产能规模</t>
        </is>
      </c>
      <c r="C6" s="21" t="inlineStr">
        <is>
          <t>广汇能源（600256.SH）下属控股子公司；具备年产 120 万吨甲醇及 7 亿方天然气生产能力</t>
        </is>
      </c>
      <c r="D6" s="22" t="inlineStr">
        <is>
          <t>A1/A2</t>
        </is>
      </c>
      <c r="E6" s="22" t="inlineStr">
        <is>
          <t>S1 / S3</t>
        </is>
      </c>
    </row>
    <row r="7" ht="36" customHeight="1">
      <c r="A7" s="20" t="inlineStr">
        <is>
          <t>C3</t>
        </is>
      </c>
      <c r="B7" s="48" t="inlineStr">
        <is>
          <t>涉事厂区 2023 年产量显著下滑</t>
        </is>
      </c>
      <c r="C7" s="21" t="inlineStr">
        <is>
          <t>甲醇产量 91.09 万吨，同比 -19.13%；煤化工副产品 31.00 万吨，同比 -20.35%；煤制 LNG 41.46 万吨，同比 -19.87%</t>
        </is>
      </c>
      <c r="D7" s="23" t="inlineStr">
        <is>
          <t>A2</t>
        </is>
      </c>
      <c r="E7" s="22" t="inlineStr">
        <is>
          <t>S3</t>
        </is>
      </c>
    </row>
    <row r="8" ht="36" customHeight="1">
      <c r="A8" s="20" t="inlineStr">
        <is>
          <t>C4</t>
        </is>
      </c>
      <c r="B8" s="48" t="inlineStr">
        <is>
          <t>装置规模占比（客观计算）</t>
        </is>
      </c>
      <c r="C8" s="21" t="inlineStr">
        <is>
          <t>占全国有效产能 1.13%，占西北地区折算产能 3.23%，占全国煤制甲醇产能 1.49%</t>
        </is>
      </c>
      <c r="D8" s="22" t="inlineStr">
        <is>
          <t>A3 计算</t>
        </is>
      </c>
      <c r="E8" s="22" t="inlineStr">
        <is>
          <t>S3 + S7</t>
        </is>
      </c>
    </row>
    <row r="9" ht="36" customHeight="1">
      <c r="A9" s="20" t="inlineStr">
        <is>
          <t>C5</t>
        </is>
      </c>
      <c r="B9" s="48" t="inlineStr">
        <is>
          <t>行政处罚与追责落地</t>
        </is>
      </c>
      <c r="C9" s="21" t="inlineStr">
        <is>
          <t>对单位罚款 99.9 万元；董事长/总经理建议罚上一年收入 40%；4 名管理人员暂停资质 3 个月</t>
        </is>
      </c>
      <c r="D9" s="23" t="inlineStr">
        <is>
          <t>A1</t>
        </is>
      </c>
      <c r="E9" s="22" t="inlineStr">
        <is>
          <t>S1</t>
        </is>
      </c>
    </row>
    <row r="10" ht="36" customHeight="1">
      <c r="A10" s="20" t="inlineStr">
        <is>
          <t>C6</t>
        </is>
      </c>
      <c r="B10" s="48" t="inlineStr">
        <is>
          <t>旧闻判定结论</t>
        </is>
      </c>
      <c r="C10" s="21" t="inlineStr">
        <is>
          <t>事件本体为 2023 年旧闻；2026-04-30 的整改评估报告为新进展节点，因此为『旧闻+新进展』，非旧闻重发</t>
        </is>
      </c>
      <c r="D10" s="23" t="inlineStr">
        <is>
          <t>A1</t>
        </is>
      </c>
      <c r="E10" s="22" t="inlineStr">
        <is>
          <t>S2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80" customWidth="1" min="3" max="3"/>
    <col width="12" customWidth="1" min="4" max="4"/>
  </cols>
  <sheetData>
    <row r="1" ht="30" customHeight="1">
      <c r="A1" s="1" t="inlineStr">
        <is>
          <t>⑮ 存在不确定性的影响（不计入确认汇总）</t>
        </is>
      </c>
    </row>
    <row r="2" ht="28" customHeight="1">
      <c r="A2" s="2" t="inlineStr">
        <is>
          <t>方向清楚、幅度不明，或依赖未披露假设——单列，不混进上面那张表</t>
        </is>
      </c>
    </row>
    <row r="4" ht="34" customHeight="1">
      <c r="A4" s="11" t="inlineStr">
        <is>
          <t>ID</t>
        </is>
      </c>
      <c r="B4" s="11" t="inlineStr">
        <is>
          <t>不确定事项</t>
        </is>
      </c>
      <c r="C4" s="11" t="inlineStr">
        <is>
          <t>为什么不确定 / 缺什么</t>
        </is>
      </c>
      <c r="D4" s="11" t="inlineStr"/>
    </row>
    <row r="5" ht="44" customHeight="1">
      <c r="A5" s="20" t="inlineStr">
        <is>
          <t>U1</t>
        </is>
      </c>
      <c r="B5" s="48" t="inlineStr">
        <is>
          <t>停产时长</t>
        </is>
      </c>
      <c r="C5" s="21" t="inlineStr">
        <is>
          <t>无权威出处；仅能用情景假设｜待查：公司临时公告、季报『非正常停产情况』、行业检修表</t>
        </is>
      </c>
      <c r="D5" s="20" t="inlineStr"/>
    </row>
    <row r="6" ht="44" customHeight="1">
      <c r="A6" s="20" t="inlineStr">
        <is>
          <t>U2</t>
        </is>
      </c>
      <c r="B6" s="48" t="inlineStr">
        <is>
          <t>波及范围（单炉 / B 系列 / 全厂）</t>
        </is>
      </c>
      <c r="C6" s="21" t="inlineStr">
        <is>
          <t>决定 k 取 0.125 / 0.5 / 1.0｜待查：公司公告、后续整改评估报告全文</t>
        </is>
      </c>
      <c r="D6" s="20" t="inlineStr"/>
    </row>
    <row r="7" ht="44" customHeight="1">
      <c r="A7" s="20" t="inlineStr">
        <is>
          <t>U3</t>
        </is>
      </c>
      <c r="B7" s="48" t="inlineStr">
        <is>
          <t>事故对年产量缺口的贡献比例</t>
        </is>
      </c>
      <c r="C7" s="21" t="inlineStr">
        <is>
          <t>多因并列，不可强行拆分｜待查：年报全文『非正常停产』章节、投资者关系问答</t>
        </is>
      </c>
      <c r="D7" s="20" t="inlineStr"/>
    </row>
    <row r="8" ht="44" customHeight="1">
      <c r="A8" s="20" t="inlineStr">
        <is>
          <t>U4</t>
        </is>
      </c>
      <c r="B8" s="48" t="inlineStr">
        <is>
          <t>A 系列产能与台数</t>
        </is>
      </c>
      <c r="C8" s="21" t="inlineStr">
        <is>
          <t>影响『B 系列占全厂比例』的取值｜待查：公司装置资料、安全生产许可证载明产能</t>
        </is>
      </c>
      <c r="D8" s="20" t="inlineStr"/>
    </row>
    <row r="9" ht="44" customHeight="1">
      <c r="A9" s="20" t="inlineStr">
        <is>
          <t>U5</t>
        </is>
      </c>
      <c r="B9" s="48" t="inlineStr">
        <is>
          <t>新疆甲醇外发率</t>
        </is>
      </c>
      <c r="C9" s="21" t="inlineStr">
        <is>
          <t>无法把本地减产折算为销区（华东）冲击｜待查：隆众/卓创区域平衡表、物流数据</t>
        </is>
      </c>
      <c r="D9" s="20" t="inlineStr"/>
    </row>
    <row r="11" ht="24" customHeight="1">
      <c r="A11" s="70" t="inlineStr">
        <is>
          <t>⑯ 未经确认 / 待核验（禁止计入任何汇总）</t>
        </is>
      </c>
    </row>
    <row r="12" ht="36" customHeight="1">
      <c r="A12" s="20" t="inlineStr">
        <is>
          <t>X1</t>
        </is>
      </c>
      <c r="B12" s="48" t="inlineStr">
        <is>
          <t>『已全面停产』类表述</t>
        </is>
      </c>
      <c r="C12" s="21" t="inlineStr">
        <is>
          <t>部分转载/二次加工文章将事件概括为『全面停产』，未见权威源支持【不予采用；本报告不做整厂停车假设之外的任何事实性表述】</t>
        </is>
      </c>
      <c r="D12" s="71" t="inlineStr">
        <is>
          <t>D</t>
        </is>
      </c>
    </row>
    <row r="13" ht="36" customHeight="1">
      <c r="A13" s="20" t="inlineStr">
        <is>
          <t>X2</t>
        </is>
      </c>
      <c r="B13" s="48" t="inlineStr">
        <is>
          <t>具体减产吨数</t>
        </is>
      </c>
      <c r="C13" s="21" t="inlineStr">
        <is>
          <t>未见任何权威源给出本次事故的单独减产吨数【任何『本次事故减产 X 万吨』的说法均属未经确认】</t>
        </is>
      </c>
      <c r="D13" s="22" t="inlineStr">
        <is>
          <t>—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62" customWidth="1" min="3" max="3"/>
    <col width="14" customWidth="1" min="4" max="4"/>
  </cols>
  <sheetData>
    <row r="1" ht="30" customHeight="1">
      <c r="A1" s="1" t="inlineStr">
        <is>
          <t>⑰ 待核验清单</t>
        </is>
      </c>
    </row>
    <row r="2" ht="28" customHeight="1">
      <c r="A2" s="2" t="inlineStr">
        <is>
          <t>P0 = 决定结论能否成立；P1 = 影响幅度；P2 = 补充背景</t>
        </is>
      </c>
    </row>
    <row r="4" ht="34" customHeight="1">
      <c r="A4" s="11" t="inlineStr">
        <is>
          <t>优先级</t>
        </is>
      </c>
      <c r="B4" s="11" t="inlineStr">
        <is>
          <t>要核验什么</t>
        </is>
      </c>
      <c r="C4" s="11" t="inlineStr">
        <is>
          <t>怎么查</t>
        </is>
      </c>
      <c r="D4" s="11" t="inlineStr">
        <is>
          <t>状态</t>
        </is>
      </c>
    </row>
    <row r="5" ht="36" customHeight="1">
      <c r="A5" s="72" t="inlineStr">
        <is>
          <t>立即</t>
        </is>
      </c>
      <c r="B5" s="21" t="inlineStr">
        <is>
          <t>在巨潮资讯/上交所检索广汇能源 2023-05 至 2023-07 的临时公告，确认是否有停产/复产披露</t>
        </is>
      </c>
      <c r="C5" s="21" t="inlineStr">
        <is>
          <t>按公告日期区间 + 关键词『哈密新能源』『甲醇』『停产』</t>
        </is>
      </c>
      <c r="D5" s="22" t="inlineStr">
        <is>
          <t>研究者自行核验</t>
        </is>
      </c>
    </row>
    <row r="6" ht="36" customHeight="1">
      <c r="A6" s="73" t="inlineStr">
        <is>
          <t>一期</t>
        </is>
      </c>
      <c r="B6" s="21" t="inlineStr">
        <is>
          <t>取得哈密市《5·8 事故防范整改措施与责任追究落实情况评估报告》全文，确认复产时点与整改内容</t>
        </is>
      </c>
      <c r="C6" s="21" t="inlineStr">
        <is>
          <t>哈密市政府网站原文（本文仅取得摘要）</t>
        </is>
      </c>
      <c r="D6" s="22" t="inlineStr"/>
    </row>
    <row r="7" ht="36" customHeight="1">
      <c r="A7" s="73" t="inlineStr">
        <is>
          <t>一期</t>
        </is>
      </c>
      <c r="B7" s="21" t="inlineStr">
        <is>
          <t>调取隆众/卓创 2023-05 至 2023-06 周度『西北甲醇开工率』与检修清单，找该企业条目</t>
        </is>
      </c>
      <c r="C7" s="21" t="inlineStr">
        <is>
          <t>付费数据库</t>
        </is>
      </c>
      <c r="D7" s="22" t="inlineStr"/>
    </row>
    <row r="8" ht="36" customHeight="1">
      <c r="A8" s="73" t="inlineStr">
        <is>
          <t>一期</t>
        </is>
      </c>
      <c r="B8" s="21" t="inlineStr">
        <is>
          <t>确认新疆哈密恒友（配套 MTO）是否同期降负荷</t>
        </is>
      </c>
      <c r="C8" s="21" t="inlineStr">
        <is>
          <t>期货公司周报 MTO 开工率与利润</t>
        </is>
      </c>
      <c r="D8" s="22" t="inlineStr"/>
    </row>
    <row r="9" ht="36" customHeight="1">
      <c r="A9" s="16" t="inlineStr">
        <is>
          <t>二期</t>
        </is>
      </c>
      <c r="B9" s="21" t="inlineStr">
        <is>
          <t>确认该厂 A 系列台数与产能，校正 B 系列占全厂比例</t>
        </is>
      </c>
      <c r="C9" s="21" t="inlineStr">
        <is>
          <t>公司资料/安全生产许可信息</t>
        </is>
      </c>
      <c r="D9" s="22" t="inlineStr"/>
    </row>
    <row r="10" ht="36" customHeight="1">
      <c r="A10" s="16" t="inlineStr">
        <is>
          <t>二期</t>
        </is>
      </c>
      <c r="B10" s="21" t="inlineStr">
        <is>
          <t>取得新疆甲醇外发量与外发率，把本地减产折算为销区冲击</t>
        </is>
      </c>
      <c r="C10" s="21" t="inlineStr">
        <is>
          <t>区域平衡表/物流数据</t>
        </is>
      </c>
      <c r="D10" s="2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46" customWidth="1" min="3" max="3"/>
    <col width="52" customWidth="1" min="4" max="4"/>
  </cols>
  <sheetData>
    <row r="1" ht="30" customHeight="1">
      <c r="A1" s="1" t="inlineStr">
        <is>
          <t>⑱ 数据缺口登记</t>
        </is>
      </c>
    </row>
    <row r="2" ht="28" customHeight="1">
      <c r="A2" s="2" t="inlineStr">
        <is>
          <t>缺口不是失败，是诚实的边界。每一条都写清楚：缺什么 / 卡住什么 / 怎么处理</t>
        </is>
      </c>
    </row>
    <row r="4" ht="34" customHeight="1">
      <c r="A4" s="11" t="inlineStr">
        <is>
          <t>ID</t>
        </is>
      </c>
      <c r="B4" s="11" t="inlineStr">
        <is>
          <t>缺失的数据</t>
        </is>
      </c>
      <c r="C4" s="11" t="inlineStr">
        <is>
          <t>卡住哪个结论</t>
        </is>
      </c>
      <c r="D4" s="11" t="inlineStr">
        <is>
          <t>本报告如何处理</t>
        </is>
      </c>
    </row>
    <row r="5" ht="40" customHeight="1">
      <c r="A5" s="74" t="inlineStr">
        <is>
          <t>G1</t>
        </is>
      </c>
      <c r="B5" s="21" t="inlineStr">
        <is>
          <t>停产/复产天数</t>
        </is>
      </c>
      <c r="C5" s="21" t="inlineStr">
        <is>
          <t>决定影响量 L 的大小</t>
        </is>
      </c>
      <c r="D5" s="21" t="inlineStr">
        <is>
          <t>本报告用情景天数 7/10/15/20/30 展示区间，均为假设，不代表事实</t>
        </is>
      </c>
    </row>
    <row r="6" ht="40" customHeight="1">
      <c r="A6" s="74" t="inlineStr">
        <is>
          <t>G2</t>
        </is>
      </c>
      <c r="B6" s="21" t="inlineStr">
        <is>
          <t>波及范围</t>
        </is>
      </c>
      <c r="C6" s="21" t="inlineStr">
        <is>
          <t>决定 k</t>
        </is>
      </c>
      <c r="D6" s="21" t="inlineStr">
        <is>
          <t>本报告并列 k=0.125 / 0.5 / 1.0 三档情景</t>
        </is>
      </c>
    </row>
    <row r="7" ht="40" customHeight="1">
      <c r="A7" s="74" t="inlineStr">
        <is>
          <t>G3</t>
        </is>
      </c>
      <c r="B7" s="21" t="inlineStr">
        <is>
          <t>A 系列台数与产能</t>
        </is>
      </c>
      <c r="C7" s="21" t="inlineStr">
        <is>
          <t>决定 B 系列占全厂比例</t>
        </is>
      </c>
      <c r="D7" s="21" t="inlineStr">
        <is>
          <t>本报告对『B 系列=50%』标注为假设</t>
        </is>
      </c>
    </row>
    <row r="8" ht="40" customHeight="1">
      <c r="A8" s="74" t="inlineStr">
        <is>
          <t>G4</t>
        </is>
      </c>
      <c r="B8" s="21" t="inlineStr">
        <is>
          <t>新疆甲醇外发率与流向</t>
        </is>
      </c>
      <c r="C8" s="21" t="inlineStr">
        <is>
          <t>决定区域→销区传导</t>
        </is>
      </c>
      <c r="D8" s="21" t="inlineStr">
        <is>
          <t>未获取，相关传导路径判定为『不可量化』</t>
        </is>
      </c>
    </row>
    <row r="9" ht="40" customHeight="1">
      <c r="A9" s="74" t="inlineStr">
        <is>
          <t>G5</t>
        </is>
      </c>
      <c r="B9" s="21" t="inlineStr">
        <is>
          <t>事故对 2023 年产量缺口的贡献</t>
        </is>
      </c>
      <c r="C9" s="21" t="inlineStr">
        <is>
          <t>决定实测口径的实际影响量</t>
        </is>
      </c>
      <c r="D9" s="21" t="inlineStr">
        <is>
          <t>未拆分，保留缺口</t>
        </is>
      </c>
    </row>
    <row r="10" ht="40" customHeight="1">
      <c r="A10" s="74" t="inlineStr">
        <is>
          <t>G6</t>
        </is>
      </c>
      <c r="B10" s="21" t="inlineStr">
        <is>
          <t>逐日行情与周度区域开工率</t>
        </is>
      </c>
      <c r="C10" s="21" t="inlineStr">
        <is>
          <t>决定『价格反应』章节</t>
        </is>
      </c>
      <c r="D10" s="21" t="inlineStr">
        <is>
          <t>未获取，标记为缺口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34" customWidth="1" min="4" max="4"/>
    <col width="10" customWidth="1" min="5" max="5"/>
    <col width="56" customWidth="1" min="6" max="6"/>
  </cols>
  <sheetData>
    <row r="1" ht="30" customHeight="1">
      <c r="A1" s="1" t="inlineStr">
        <is>
          <t>⑲ 可观察指标</t>
        </is>
      </c>
    </row>
    <row r="2" ht="28" customHeight="1">
      <c r="A2" s="2" t="inlineStr">
        <is>
          <t>结论可以不确定，但必须给出「接下来看什么就能修正判断」的清单</t>
        </is>
      </c>
    </row>
    <row r="4" ht="34" customHeight="1">
      <c r="A4" s="11" t="inlineStr">
        <is>
          <t>优先级</t>
        </is>
      </c>
      <c r="B4" s="11" t="inlineStr">
        <is>
          <t>类别</t>
        </is>
      </c>
      <c r="C4" s="11" t="inlineStr">
        <is>
          <t>指标</t>
        </is>
      </c>
      <c r="D4" s="11" t="inlineStr">
        <is>
          <t>在哪看</t>
        </is>
      </c>
      <c r="E4" s="11" t="inlineStr">
        <is>
          <t>频率</t>
        </is>
      </c>
      <c r="F4" s="11" t="inlineStr">
        <is>
          <t>什么算异常</t>
        </is>
      </c>
    </row>
    <row r="5" ht="34" customHeight="1">
      <c r="A5" s="75" t="inlineStr">
        <is>
          <t>首选</t>
        </is>
      </c>
      <c r="B5" s="22" t="inlineStr">
        <is>
          <t>供给·全国</t>
        </is>
      </c>
      <c r="C5" s="21" t="inlineStr">
        <is>
          <t>甲醇装置整体开工负荷率</t>
        </is>
      </c>
      <c r="D5" s="21" t="inlineStr">
        <is>
          <t>隆众/卓创周报</t>
        </is>
      </c>
      <c r="E5" s="22" t="inlineStr">
        <is>
          <t>周</t>
        </is>
      </c>
      <c r="F5" s="21" t="inlineStr">
        <is>
          <t>环比变化 &gt; 2pct；或同比 &gt; 5pct</t>
        </is>
      </c>
    </row>
    <row r="6" ht="34" customHeight="1">
      <c r="A6" s="75" t="inlineStr">
        <is>
          <t>首选</t>
        </is>
      </c>
      <c r="B6" s="22" t="inlineStr">
        <is>
          <t>供给·区域</t>
        </is>
      </c>
      <c r="C6" s="21" t="inlineStr">
        <is>
          <t>西北甲醇开工率</t>
        </is>
      </c>
      <c r="D6" s="21" t="inlineStr">
        <is>
          <t>隆众/卓创周报</t>
        </is>
      </c>
      <c r="E6" s="22" t="inlineStr">
        <is>
          <t>周</t>
        </is>
      </c>
      <c r="F6" s="21" t="inlineStr">
        <is>
          <t>与全国开工率背离扩大</t>
        </is>
      </c>
    </row>
    <row r="7" ht="34" customHeight="1">
      <c r="A7" s="75" t="inlineStr">
        <is>
          <t>首选</t>
        </is>
      </c>
      <c r="B7" s="22" t="inlineStr">
        <is>
          <t>供给·检修</t>
        </is>
      </c>
      <c r="C7" s="21" t="inlineStr">
        <is>
          <t>本周新增检修/复产装置清单（找『广汇』『淖毛湖』）</t>
        </is>
      </c>
      <c r="D7" s="21" t="inlineStr">
        <is>
          <t>期货公司甲醇周报</t>
        </is>
      </c>
      <c r="E7" s="22" t="inlineStr">
        <is>
          <t>周</t>
        </is>
      </c>
      <c r="F7" s="21" t="inlineStr">
        <is>
          <t>出现该企业名称</t>
        </is>
      </c>
    </row>
    <row r="8" ht="34" customHeight="1">
      <c r="A8" s="75" t="inlineStr">
        <is>
          <t>首选</t>
        </is>
      </c>
      <c r="B8" s="22" t="inlineStr">
        <is>
          <t>供给·企业</t>
        </is>
      </c>
      <c r="C8" s="21" t="inlineStr">
        <is>
          <t>广汇新能源甲醇产量（季度/年度）</t>
        </is>
      </c>
      <c r="D8" s="21" t="inlineStr">
        <is>
          <t>上市公司定期报告『生产能力』表</t>
        </is>
      </c>
      <c r="E8" s="22" t="inlineStr">
        <is>
          <t>季/年</t>
        </is>
      </c>
      <c r="F8" s="21" t="inlineStr">
        <is>
          <t>同比下滑 &gt; 10%</t>
        </is>
      </c>
    </row>
    <row r="9" ht="34" customHeight="1">
      <c r="A9" s="76" t="inlineStr">
        <is>
          <t>次选</t>
        </is>
      </c>
      <c r="B9" s="22" t="inlineStr">
        <is>
          <t>库存·企业</t>
        </is>
      </c>
      <c r="C9" s="21" t="inlineStr">
        <is>
          <t>西北甲醇企业库存、订单待发量</t>
        </is>
      </c>
      <c r="D9" s="21" t="inlineStr">
        <is>
          <t>隆众/卓创</t>
        </is>
      </c>
      <c r="E9" s="22" t="inlineStr">
        <is>
          <t>周</t>
        </is>
      </c>
      <c r="F9" s="21" t="inlineStr">
        <is>
          <t>订单待发量陡降</t>
        </is>
      </c>
    </row>
    <row r="10" ht="34" customHeight="1">
      <c r="A10" s="76" t="inlineStr">
        <is>
          <t>次选</t>
        </is>
      </c>
      <c r="B10" s="22" t="inlineStr">
        <is>
          <t>库存·港口</t>
        </is>
      </c>
      <c r="C10" s="21" t="inlineStr">
        <is>
          <t>华东（太仓/张家港）、华南港口甲醇库存</t>
        </is>
      </c>
      <c r="D10" s="21" t="inlineStr">
        <is>
          <t>隆众/卓创</t>
        </is>
      </c>
      <c r="E10" s="22" t="inlineStr">
        <is>
          <t>周</t>
        </is>
      </c>
      <c r="F10" s="21" t="inlineStr">
        <is>
          <t>单周累库 &gt; 5 万吨</t>
        </is>
      </c>
    </row>
    <row r="11" ht="34" customHeight="1">
      <c r="A11" s="76" t="inlineStr">
        <is>
          <t>次选</t>
        </is>
      </c>
      <c r="B11" s="22" t="inlineStr">
        <is>
          <t>价格·产区</t>
        </is>
      </c>
      <c r="C11" s="21" t="inlineStr">
        <is>
          <t>内蒙北线 / 新疆 / 宁夏出厂价</t>
        </is>
      </c>
      <c r="D11" s="21" t="inlineStr">
        <is>
          <t>隆众/卓创</t>
        </is>
      </c>
      <c r="E11" s="22" t="inlineStr">
        <is>
          <t>日</t>
        </is>
      </c>
      <c r="F11" s="21" t="inlineStr">
        <is>
          <t>区域价差扩大</t>
        </is>
      </c>
    </row>
    <row r="12" ht="34" customHeight="1">
      <c r="A12" s="76" t="inlineStr">
        <is>
          <t>次选</t>
        </is>
      </c>
      <c r="B12" s="22" t="inlineStr">
        <is>
          <t>价格·销区</t>
        </is>
      </c>
      <c r="C12" s="21" t="inlineStr">
        <is>
          <t>太仓现货价、CFR 中国主港</t>
        </is>
      </c>
      <c r="D12" s="21" t="inlineStr">
        <is>
          <t>隆众/卓创/外盘</t>
        </is>
      </c>
      <c r="E12" s="22" t="inlineStr">
        <is>
          <t>日</t>
        </is>
      </c>
      <c r="F12" s="21" t="inlineStr">
        <is>
          <t>内外盘价差反转</t>
        </is>
      </c>
    </row>
    <row r="13" ht="34" customHeight="1">
      <c r="A13" s="75" t="inlineStr">
        <is>
          <t>首选</t>
        </is>
      </c>
      <c r="B13" s="22" t="inlineStr">
        <is>
          <t>价格·期货</t>
        </is>
      </c>
      <c r="C13" s="21" t="inlineStr">
        <is>
          <t>MA 主力合约、月差、基差</t>
        </is>
      </c>
      <c r="D13" s="21" t="inlineStr">
        <is>
          <t>郑商所/行情软件</t>
        </is>
      </c>
      <c r="E13" s="22" t="inlineStr">
        <is>
          <t>日</t>
        </is>
      </c>
      <c r="F13" s="21" t="inlineStr">
        <is>
          <t>基差由贴水转升水；月差走正</t>
        </is>
      </c>
    </row>
    <row r="14" ht="34" customHeight="1">
      <c r="A14" s="76" t="inlineStr">
        <is>
          <t>次选</t>
        </is>
      </c>
      <c r="B14" s="22" t="inlineStr">
        <is>
          <t>物流</t>
        </is>
      </c>
      <c r="C14" s="21" t="inlineStr">
        <is>
          <t>出疆发运量、汽运/铁运运费</t>
        </is>
      </c>
      <c r="D14" s="21" t="inlineStr">
        <is>
          <t>行业媒体、物流平台</t>
        </is>
      </c>
      <c r="E14" s="22" t="inlineStr">
        <is>
          <t>周</t>
        </is>
      </c>
      <c r="F14" s="21" t="inlineStr">
        <is>
          <t>发运停滞或运费跳升</t>
        </is>
      </c>
    </row>
    <row r="15" ht="34" customHeight="1">
      <c r="A15" s="76" t="inlineStr">
        <is>
          <t>次选</t>
        </is>
      </c>
      <c r="B15" s="22" t="inlineStr">
        <is>
          <t>物流·进口</t>
        </is>
      </c>
      <c r="C15" s="21" t="inlineStr">
        <is>
          <t>甲醇进口到港量（中东/伊朗）</t>
        </is>
      </c>
      <c r="D15" s="21" t="inlineStr">
        <is>
          <t>船期数据、周报</t>
        </is>
      </c>
      <c r="E15" s="22" t="inlineStr">
        <is>
          <t>周</t>
        </is>
      </c>
      <c r="F15" s="21" t="inlineStr">
        <is>
          <t>到港骤降</t>
        </is>
      </c>
    </row>
    <row r="16" ht="34" customHeight="1">
      <c r="A16" s="76" t="inlineStr">
        <is>
          <t>次选</t>
        </is>
      </c>
      <c r="B16" s="22" t="inlineStr">
        <is>
          <t>下游</t>
        </is>
      </c>
      <c r="C16" s="21" t="inlineStr">
        <is>
          <t>外采 MTO 开工率、MTO 利润</t>
        </is>
      </c>
      <c r="D16" s="21" t="inlineStr">
        <is>
          <t>期货公司周报</t>
        </is>
      </c>
      <c r="E16" s="22" t="inlineStr">
        <is>
          <t>周</t>
        </is>
      </c>
      <c r="F16" s="21" t="inlineStr">
        <is>
          <t>MTO 亏损触发降负</t>
        </is>
      </c>
    </row>
    <row r="17" ht="34" customHeight="1">
      <c r="A17" s="23" t="inlineStr">
        <is>
          <t>参考</t>
        </is>
      </c>
      <c r="B17" s="22" t="inlineStr">
        <is>
          <t>下游</t>
        </is>
      </c>
      <c r="C17" s="21" t="inlineStr">
        <is>
          <t>醋酸/甲醛/二甲醚/MTBE/DMF 开工率</t>
        </is>
      </c>
      <c r="D17" s="21" t="inlineStr">
        <is>
          <t>周报</t>
        </is>
      </c>
      <c r="E17" s="22" t="inlineStr">
        <is>
          <t>周</t>
        </is>
      </c>
      <c r="F17" s="21" t="inlineStr">
        <is>
          <t>传统下游开工骤降</t>
        </is>
      </c>
    </row>
    <row r="18" ht="34" customHeight="1">
      <c r="A18" s="23" t="inlineStr">
        <is>
          <t>参考</t>
        </is>
      </c>
      <c r="B18" s="22" t="inlineStr">
        <is>
          <t>成本</t>
        </is>
      </c>
      <c r="C18" s="21" t="inlineStr">
        <is>
          <t>动力煤坑口价、秦皇岛 5500 平仓价</t>
        </is>
      </c>
      <c r="D18" s="21" t="inlineStr">
        <is>
          <t>CCTD / 中国煤炭市场网</t>
        </is>
      </c>
      <c r="E18" s="22" t="inlineStr">
        <is>
          <t>日/周</t>
        </is>
      </c>
      <c r="F18" s="21" t="inlineStr">
        <is>
          <t>成本与利润背离</t>
        </is>
      </c>
    </row>
    <row r="19" ht="34" customHeight="1">
      <c r="A19" s="75" t="inlineStr">
        <is>
          <t>首选</t>
        </is>
      </c>
      <c r="B19" s="22" t="inlineStr">
        <is>
          <t>合规</t>
        </is>
      </c>
      <c r="C19" s="21" t="inlineStr">
        <is>
          <t>广汇能源临时公告（停产/复产/事故）</t>
        </is>
      </c>
      <c r="D19" s="21" t="inlineStr">
        <is>
          <t>上交所/巨潮资讯</t>
        </is>
      </c>
      <c r="E19" s="22" t="inlineStr">
        <is>
          <t>日</t>
        </is>
      </c>
      <c r="F19" s="21" t="inlineStr">
        <is>
          <t>出现相关关键词</t>
        </is>
      </c>
    </row>
    <row r="20" ht="34" customHeight="1">
      <c r="A20" s="76" t="inlineStr">
        <is>
          <t>次选</t>
        </is>
      </c>
      <c r="B20" s="22" t="inlineStr">
        <is>
          <t>联产</t>
        </is>
      </c>
      <c r="C20" s="21" t="inlineStr">
        <is>
          <t>该厂煤制 LNG 与煤化工副产品产量</t>
        </is>
      </c>
      <c r="D20" s="21" t="inlineStr">
        <is>
          <t>上市公司定期报告</t>
        </is>
      </c>
      <c r="E20" s="22" t="inlineStr">
        <is>
          <t>季/年</t>
        </is>
      </c>
      <c r="F20" s="21" t="inlineStr">
        <is>
          <t>与甲醇同步下滑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10" customWidth="1" min="3" max="3"/>
    <col width="14" customWidth="1" min="4" max="4"/>
  </cols>
  <sheetData>
    <row r="1" ht="30" customHeight="1">
      <c r="A1" s="1" t="inlineStr">
        <is>
          <t>⑳ 事件时段公开行情事实</t>
        </is>
      </c>
    </row>
    <row r="2" ht="28" customHeight="1">
      <c r="A2" s="2" t="inlineStr">
        <is>
          <t>只描述当时的状态，不推导方向、不给涨跌结论</t>
        </is>
      </c>
    </row>
    <row r="4" ht="30" customHeight="1">
      <c r="A4" s="77" t="inlineStr">
        <is>
          <t>以下为事件发生时段（2023 年 5–8 月）的公开行情事实，仅用于说明『事件发生时市场处于什么状态』，不用于推导价格方向，也不是完整的 T-5/T+10 价格反应表——本报告未取得逐日行情序列，该表标记为缺口。</t>
        </is>
      </c>
    </row>
    <row r="5" ht="34" customHeight="1">
      <c r="A5" s="11" t="inlineStr">
        <is>
          <t>时段</t>
        </is>
      </c>
      <c r="B5" s="11" t="inlineStr">
        <is>
          <t>公开事实</t>
        </is>
      </c>
      <c r="C5" s="11" t="inlineStr">
        <is>
          <t>等级</t>
        </is>
      </c>
      <c r="D5" s="11" t="inlineStr">
        <is>
          <t>来源</t>
        </is>
      </c>
    </row>
    <row r="6" ht="30" customHeight="1">
      <c r="A6" s="20" t="inlineStr">
        <is>
          <t>2023-01~06</t>
        </is>
      </c>
      <c r="B6" s="21" t="inlineStr">
        <is>
          <t>甲醇期货主力累计下跌约 17%，重心持续下移</t>
        </is>
      </c>
      <c r="C6" s="28" t="inlineStr">
        <is>
          <t>B1</t>
        </is>
      </c>
      <c r="D6" s="22" t="inlineStr">
        <is>
          <t>S7</t>
        </is>
      </c>
    </row>
    <row r="7" ht="30" customHeight="1">
      <c r="A7" s="20" t="inlineStr">
        <is>
          <t>2023-02</t>
        </is>
      </c>
      <c r="B7" s="21" t="inlineStr">
        <is>
          <t>甲醇期货最低触及 2,037 元/吨</t>
        </is>
      </c>
      <c r="C7" s="28" t="inlineStr">
        <is>
          <t>B1</t>
        </is>
      </c>
      <c r="D7" s="22" t="inlineStr">
        <is>
          <t>S7</t>
        </is>
      </c>
    </row>
    <row r="8" ht="30" customHeight="1">
      <c r="A8" s="20" t="inlineStr">
        <is>
          <t>2023-06 中旬</t>
        </is>
      </c>
      <c r="B8" s="21" t="inlineStr">
        <is>
          <t>价格跌破近三年低点</t>
        </is>
      </c>
      <c r="C8" s="28" t="inlineStr">
        <is>
          <t>B1</t>
        </is>
      </c>
      <c r="D8" s="22" t="inlineStr">
        <is>
          <t>S7</t>
        </is>
      </c>
    </row>
    <row r="9" ht="30" customHeight="1">
      <c r="A9" s="20" t="inlineStr">
        <is>
          <t>2023-06~09</t>
        </is>
      </c>
      <c r="B9" s="21" t="inlineStr">
        <is>
          <t>价格重心抬升至近半年高点 2,662 元/吨</t>
        </is>
      </c>
      <c r="C9" s="28" t="inlineStr">
        <is>
          <t>B1</t>
        </is>
      </c>
      <c r="D9" s="22" t="inlineStr">
        <is>
          <t>S7</t>
        </is>
      </c>
    </row>
    <row r="10" ht="30" customHeight="1">
      <c r="A10" s="20" t="inlineStr">
        <is>
          <t>2023-06-11</t>
        </is>
      </c>
      <c r="B10" s="21" t="inlineStr">
        <is>
          <t>现货基差约 09+35，港口太仓开始累库，基差走弱</t>
        </is>
      </c>
      <c r="C10" s="28" t="inlineStr">
        <is>
          <t>B2</t>
        </is>
      </c>
      <c r="D10" s="22" t="inlineStr">
        <is>
          <t>S8</t>
        </is>
      </c>
    </row>
    <row r="11" ht="30" customHeight="1">
      <c r="A11" s="20" t="inlineStr">
        <is>
          <t>2023-08-31</t>
        </is>
      </c>
      <c r="B11" s="21" t="inlineStr">
        <is>
          <t>全国整体装置开工负荷 72.35%，同比高 5.96pct</t>
        </is>
      </c>
      <c r="C11" s="28" t="inlineStr">
        <is>
          <t>B1</t>
        </is>
      </c>
      <c r="D11" s="22" t="inlineStr">
        <is>
          <t>S9</t>
        </is>
      </c>
    </row>
    <row r="12" ht="30" customHeight="1">
      <c r="A12" s="20" t="inlineStr">
        <is>
          <t>2023-08-30</t>
        </is>
      </c>
      <c r="B12" s="21" t="inlineStr">
        <is>
          <t>港口样本库存 102.03 万吨；样本企业库存 36.33 万吨</t>
        </is>
      </c>
      <c r="C12" s="28" t="inlineStr">
        <is>
          <t>B1</t>
        </is>
      </c>
      <c r="D12" s="22" t="inlineStr">
        <is>
          <t>S9</t>
        </is>
      </c>
    </row>
    <row r="13" ht="30" customHeight="1">
      <c r="A13" s="20" t="inlineStr">
        <is>
          <t>2023 全年</t>
        </is>
      </c>
      <c r="B13" s="21" t="inlineStr">
        <is>
          <t>甲醇期货主力合约年跌幅约 8%</t>
        </is>
      </c>
      <c r="C13" s="28" t="inlineStr">
        <is>
          <t>B1</t>
        </is>
      </c>
      <c r="D13" s="22" t="inlineStr">
        <is>
          <t>S7</t>
        </is>
      </c>
    </row>
    <row r="15" ht="38" customHeight="1">
      <c r="A15" s="78" t="inlineStr">
        <is>
          <t>本节为缺口（不估算）：事件日（2023-05-08）前后 T-5 ~ T+10 的逐日期货收盘价与太仓现货价（未获取）；2023-05 与 2023-06 的西北甲醇开工率逐周值（未获取）；该厂事件后的当月发货/库存数据（未获取）</t>
        </is>
      </c>
    </row>
  </sheetData>
  <mergeCells count="4">
    <mergeCell ref="A1:D1"/>
    <mergeCell ref="A4:D4"/>
    <mergeCell ref="A2:D2"/>
    <mergeCell ref="A15:D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0" customWidth="1" min="3" max="3"/>
    <col width="20" customWidth="1" min="4" max="4"/>
    <col width="30" customWidth="1" min="5" max="5"/>
    <col width="9" customWidth="1" min="6" max="6"/>
    <col width="12" customWidth="1" min="7" max="7"/>
    <col width="44" customWidth="1" min="8" max="8"/>
  </cols>
  <sheetData>
    <row r="1" ht="30" customHeight="1">
      <c r="A1" s="1" t="inlineStr">
        <is>
          <t>㉑ 同区域 / 同工艺可比企业</t>
        </is>
      </c>
    </row>
    <row r="2" ht="28" customHeight="1">
      <c r="A2" s="2" t="inlineStr">
        <is>
          <t>回答「别人能不能补上这个量」——补得上，影响就小；补不上，影响才实在</t>
        </is>
      </c>
    </row>
    <row r="4" ht="34" customHeight="1">
      <c r="A4" s="11" t="inlineStr">
        <is>
          <t>ID</t>
        </is>
      </c>
      <c r="B4" s="11" t="inlineStr">
        <is>
          <t>企业</t>
        </is>
      </c>
      <c r="C4" s="11" t="inlineStr">
        <is>
          <t>所在地</t>
        </is>
      </c>
      <c r="D4" s="11" t="inlineStr">
        <is>
          <t>工艺</t>
        </is>
      </c>
      <c r="E4" s="11" t="inlineStr">
        <is>
          <t>产能</t>
        </is>
      </c>
      <c r="F4" s="11" t="inlineStr">
        <is>
          <t>等级</t>
        </is>
      </c>
      <c r="G4" s="11" t="inlineStr">
        <is>
          <t>来源</t>
        </is>
      </c>
      <c r="H4" s="11" t="inlineStr">
        <is>
          <t>备注</t>
        </is>
      </c>
    </row>
    <row r="5" ht="40" customHeight="1">
      <c r="A5" s="20" t="inlineStr"/>
      <c r="B5" s="21" t="inlineStr">
        <is>
          <t>中天合创能源有限责任公司</t>
        </is>
      </c>
      <c r="C5" s="20" t="inlineStr">
        <is>
          <t>内蒙古鄂尔多斯乌审旗图克工业园区</t>
        </is>
      </c>
      <c r="D5" s="21" t="inlineStr">
        <is>
          <t>西北同区域大型煤制甲醇；下游 MTO，聚烯烃 137 万吨/年</t>
        </is>
      </c>
      <c r="E5" s="21" t="inlineStr">
        <is>
          <t>360 万吨/年（中间产品）</t>
        </is>
      </c>
      <c r="F5" s="28" t="inlineStr">
        <is>
          <t>B2</t>
        </is>
      </c>
      <c r="G5" s="22" t="inlineStr">
        <is>
          <t>公开报道（中煤能源/新浪财经）</t>
        </is>
      </c>
      <c r="H5" s="21" t="inlineStr"/>
    </row>
    <row r="6" ht="40" customHeight="1">
      <c r="A6" s="20" t="inlineStr"/>
      <c r="B6" s="21" t="inlineStr">
        <is>
          <t>国家能源集团榆林化工有限公司</t>
        </is>
      </c>
      <c r="C6" s="20" t="inlineStr">
        <is>
          <t>陕西榆林榆神工业园区</t>
        </is>
      </c>
      <c r="D6" s="21" t="inlineStr">
        <is>
          <t>西北同区域；下游 乙二醇联产</t>
        </is>
      </c>
      <c r="E6" s="21" t="inlineStr">
        <is>
          <t>186 万吨/年（煤制甲醇联产 40 万吨/年乙二醇）</t>
        </is>
      </c>
      <c r="F6" s="28" t="inlineStr">
        <is>
          <t>B2</t>
        </is>
      </c>
      <c r="G6" s="22" t="inlineStr">
        <is>
          <t>公开报道（中国煤炭报等）</t>
        </is>
      </c>
      <c r="H6" s="21" t="inlineStr"/>
    </row>
    <row r="7" ht="40" customHeight="1">
      <c r="A7" s="20" t="inlineStr"/>
      <c r="B7" s="21" t="inlineStr">
        <is>
          <t>中煤陕西公司化工分公司</t>
        </is>
      </c>
      <c r="C7" s="20" t="inlineStr">
        <is>
          <t>陕西榆林榆阳区榆横工业园</t>
        </is>
      </c>
      <c r="D7" s="21" t="inlineStr">
        <is>
          <t>西北同区域；下游 聚烯烃 60 万吨/年</t>
        </is>
      </c>
      <c r="E7" s="21" t="inlineStr">
        <is>
          <t>205 万吨/年（一期，2014-07 投产）</t>
        </is>
      </c>
      <c r="F7" s="28" t="inlineStr">
        <is>
          <t>B2</t>
        </is>
      </c>
      <c r="G7" s="22" t="inlineStr">
        <is>
          <t>国家能源局西北监管局转载</t>
        </is>
      </c>
      <c r="H7" s="21" t="inlineStr"/>
    </row>
    <row r="8" ht="40" customHeight="1">
      <c r="A8" s="20" t="inlineStr"/>
      <c r="B8" s="21" t="inlineStr">
        <is>
          <t>宁夏宝丰能源</t>
        </is>
      </c>
      <c r="C8" s="20" t="inlineStr">
        <is>
          <t>宁夏宁东</t>
        </is>
      </c>
      <c r="D8" s="21" t="inlineStr">
        <is>
          <t>西北同区域；下游 煤制烯烃</t>
        </is>
      </c>
      <c r="E8" s="21" t="inlineStr">
        <is>
          <t>配套煤制烯烃（2023 年新增 240 万吨/年）</t>
        </is>
      </c>
      <c r="F8" s="28" t="inlineStr">
        <is>
          <t>B1</t>
        </is>
      </c>
      <c r="G8" s="22" t="inlineStr">
        <is>
          <t>S7</t>
        </is>
      </c>
      <c r="H8" s="21" t="inlineStr"/>
    </row>
    <row r="9" ht="40" customHeight="1">
      <c r="A9" s="20" t="inlineStr"/>
      <c r="B9" s="21" t="inlineStr">
        <is>
          <t>兖矿榆林能化</t>
        </is>
      </c>
      <c r="C9" s="20" t="inlineStr">
        <is>
          <t>陕西榆林</t>
        </is>
      </c>
      <c r="D9" s="21" t="inlineStr">
        <is>
          <t>西北同区域（2024 年检修清单中出现）；下游 未获取</t>
        </is>
      </c>
      <c r="E9" s="21" t="inlineStr">
        <is>
          <t>未获取</t>
        </is>
      </c>
      <c r="F9" s="24" t="inlineStr">
        <is>
          <t>B3</t>
        </is>
      </c>
      <c r="G9" s="22" t="inlineStr">
        <is>
          <t>期货公司周报（检索摘要）</t>
        </is>
      </c>
      <c r="H9" s="2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30" customWidth="1" min="4" max="4"/>
    <col width="24" customWidth="1" min="5" max="5"/>
  </cols>
  <sheetData>
    <row r="1" ht="30" customHeight="1">
      <c r="A1" s="1" t="inlineStr">
        <is>
          <t>证据等级与来源层级</t>
        </is>
      </c>
    </row>
    <row r="2" ht="28" customHeight="1">
      <c r="A2" s="2" t="inlineStr">
        <is>
          <t>所有表里的等级列都按这张表解释</t>
        </is>
      </c>
    </row>
    <row r="4" ht="34" customHeight="1">
      <c r="A4" s="11" t="inlineStr">
        <is>
          <t>等级</t>
        </is>
      </c>
      <c r="B4" s="11" t="inlineStr">
        <is>
          <t>含义</t>
        </is>
      </c>
      <c r="C4" s="11" t="inlineStr">
        <is>
          <t>典型来源</t>
        </is>
      </c>
      <c r="D4" s="11" t="inlineStr">
        <is>
          <t>能不能支撑结论</t>
        </is>
      </c>
      <c r="E4" s="11" t="inlineStr">
        <is>
          <t>本表用法</t>
        </is>
      </c>
    </row>
    <row r="5" ht="36" customHeight="1">
      <c r="A5" s="79" t="inlineStr">
        <is>
          <t>A1</t>
        </is>
      </c>
      <c r="B5" s="21" t="inlineStr">
        <is>
          <t>监管 / 官方认定</t>
        </is>
      </c>
      <c r="C5" s="21" t="inlineStr">
        <is>
          <t>政府事故调查报告、行政处罚决定、法院文书、统计公报</t>
        </is>
      </c>
      <c r="D5" s="21" t="inlineStr">
        <is>
          <t>可以直接作为事实引用</t>
        </is>
      </c>
      <c r="E5" s="21" t="inlineStr">
        <is>
          <t>事实层</t>
        </is>
      </c>
    </row>
    <row r="6" ht="36" customHeight="1">
      <c r="A6" s="79" t="inlineStr">
        <is>
          <t>A2</t>
        </is>
      </c>
      <c r="B6" s="21" t="inlineStr">
        <is>
          <t>上市公司法定披露</t>
        </is>
      </c>
      <c r="C6" s="21" t="inlineStr">
        <is>
          <t>年报、半年报、临时公告、招股书</t>
        </is>
      </c>
      <c r="D6" s="21" t="inlineStr">
        <is>
          <t>可以直接引用，注意口径与时点</t>
        </is>
      </c>
      <c r="E6" s="21" t="inlineStr">
        <is>
          <t>事实层</t>
        </is>
      </c>
    </row>
    <row r="7" ht="36" customHeight="1">
      <c r="A7" s="80" t="inlineStr">
        <is>
          <t>A3</t>
        </is>
      </c>
      <c r="B7" s="21" t="inlineStr">
        <is>
          <t>行业协会 / 交易所统计</t>
        </is>
      </c>
      <c r="C7" s="21" t="inlineStr">
        <is>
          <t>石化联合会、郑商所、隆众/卓创年鉴</t>
        </is>
      </c>
      <c r="D7" s="21" t="inlineStr">
        <is>
          <t>可引用，需注明统计口径</t>
        </is>
      </c>
      <c r="E7" s="21" t="inlineStr">
        <is>
          <t>分母层</t>
        </is>
      </c>
    </row>
    <row r="8" ht="36" customHeight="1">
      <c r="A8" s="81" t="inlineStr">
        <is>
          <t>B1</t>
        </is>
      </c>
      <c r="B8" s="21" t="inlineStr">
        <is>
          <t>头部资讯商日度数据</t>
        </is>
      </c>
      <c r="C8" s="21" t="inlineStr">
        <is>
          <t>隆众、卓创、金联创日评</t>
        </is>
      </c>
      <c r="D8" s="21" t="inlineStr">
        <is>
          <t>可作参考，注意更新频率</t>
        </is>
      </c>
      <c r="E8" s="21" t="inlineStr">
        <is>
          <t>跟踪层</t>
        </is>
      </c>
    </row>
    <row r="9" ht="36" customHeight="1">
      <c r="A9" s="81" t="inlineStr">
        <is>
          <t>B2</t>
        </is>
      </c>
      <c r="B9" s="21" t="inlineStr">
        <is>
          <t>券商 / 期货研报</t>
        </is>
      </c>
      <c r="C9" s="21" t="inlineStr">
        <is>
          <t>国信、广发、南华等研究所</t>
        </is>
      </c>
      <c r="D9" s="21" t="inlineStr">
        <is>
          <t>可引用其数据，结论需独立判断</t>
        </is>
      </c>
      <c r="E9" s="21" t="inlineStr">
        <is>
          <t>分母层/背景</t>
        </is>
      </c>
    </row>
    <row r="10" ht="36" customHeight="1">
      <c r="A10" s="82" t="inlineStr">
        <is>
          <t>B3</t>
        </is>
      </c>
      <c r="B10" s="21" t="inlineStr">
        <is>
          <t>行业媒体报道</t>
        </is>
      </c>
      <c r="C10" s="21" t="inlineStr">
        <is>
          <t>化工报、专业媒体、行业网站</t>
        </is>
      </c>
      <c r="D10" s="21" t="inlineStr">
        <is>
          <t>可作为线索，需回溯一手</t>
        </is>
      </c>
      <c r="E10" s="21" t="inlineStr">
        <is>
          <t>线索层</t>
        </is>
      </c>
    </row>
    <row r="11" ht="36" customHeight="1">
      <c r="A11" s="83" t="inlineStr">
        <is>
          <t>C</t>
        </is>
      </c>
      <c r="B11" s="21" t="inlineStr">
        <is>
          <t>一般媒体转述</t>
        </is>
      </c>
      <c r="C11" s="21" t="inlineStr">
        <is>
          <t>门户、自媒体转载</t>
        </is>
      </c>
      <c r="D11" s="21" t="inlineStr">
        <is>
          <t>不能单独支撑结论</t>
        </is>
      </c>
      <c r="E11" s="21" t="inlineStr">
        <is>
          <t>仅作传播路径</t>
        </is>
      </c>
    </row>
    <row r="12" ht="36" customHeight="1">
      <c r="A12" s="84" t="inlineStr">
        <is>
          <t>D</t>
        </is>
      </c>
      <c r="B12" s="21" t="inlineStr">
        <is>
          <t>未经证实网络信息</t>
        </is>
      </c>
      <c r="C12" s="21" t="inlineStr">
        <is>
          <t>论坛、社交平台、匿名爆料</t>
        </is>
      </c>
      <c r="D12" s="21" t="inlineStr">
        <is>
          <t>不得计入任何汇总</t>
        </is>
      </c>
      <c r="E12" s="21" t="inlineStr">
        <is>
          <t>仅记录待核验</t>
        </is>
      </c>
    </row>
    <row r="14" ht="24" customHeight="1">
      <c r="A14" s="18" t="inlineStr">
        <is>
          <t>来源层级 T1–T6</t>
        </is>
      </c>
    </row>
    <row r="15">
      <c r="A15" s="85" t="inlineStr">
        <is>
          <t>T1</t>
        </is>
      </c>
      <c r="B15" s="10" t="inlineStr">
        <is>
          <t>政府部门 / 监管机构</t>
        </is>
      </c>
      <c r="C15" s="10" t="inlineStr">
        <is>
          <t>事故调查报告、行政处罚、环评公示、能评批复</t>
        </is>
      </c>
      <c r="D15" s="5" t="n"/>
      <c r="E15" s="5" t="n"/>
    </row>
    <row r="16">
      <c r="A16" s="85" t="inlineStr">
        <is>
          <t>T2</t>
        </is>
      </c>
      <c r="B16" s="10" t="inlineStr">
        <is>
          <t>上市公司法定披露</t>
        </is>
      </c>
      <c r="C16" s="10" t="inlineStr">
        <is>
          <t>沪深交易所公告、年报、招股说明书</t>
        </is>
      </c>
      <c r="D16" s="5" t="n"/>
      <c r="E16" s="5" t="n"/>
    </row>
    <row r="17">
      <c r="A17" s="85" t="inlineStr">
        <is>
          <t>T3</t>
        </is>
      </c>
      <c r="B17" s="10" t="inlineStr">
        <is>
          <t>行业协会 / 交易所</t>
        </is>
      </c>
      <c r="C17" s="10" t="inlineStr">
        <is>
          <t>石化联合会统计、郑商所数据、海关总署</t>
        </is>
      </c>
      <c r="D17" s="5" t="n"/>
      <c r="E17" s="5" t="n"/>
    </row>
    <row r="18">
      <c r="A18" s="85" t="inlineStr">
        <is>
          <t>T4</t>
        </is>
      </c>
      <c r="B18" s="10" t="inlineStr">
        <is>
          <t>专业资讯商与研报</t>
        </is>
      </c>
      <c r="C18" s="10" t="inlineStr">
        <is>
          <t>隆众 / 卓创 / 金联创、券商期货研究所</t>
        </is>
      </c>
      <c r="D18" s="5" t="n"/>
      <c r="E18" s="5" t="n"/>
    </row>
    <row r="19">
      <c r="A19" s="85" t="inlineStr">
        <is>
          <t>T5</t>
        </is>
      </c>
      <c r="B19" s="10" t="inlineStr">
        <is>
          <t>行业媒体</t>
        </is>
      </c>
      <c r="C19" s="10" t="inlineStr">
        <is>
          <t>中国化工报、专业垂直媒体</t>
        </is>
      </c>
      <c r="D19" s="5" t="n"/>
      <c r="E19" s="5" t="n"/>
    </row>
    <row r="20">
      <c r="A20" s="85" t="inlineStr">
        <is>
          <t>T6</t>
        </is>
      </c>
      <c r="B20" s="10" t="inlineStr">
        <is>
          <t>社交 / 自媒体</t>
        </is>
      </c>
      <c r="C20" s="10" t="inlineStr">
        <is>
          <t>公众号、论坛、短视频</t>
        </is>
      </c>
      <c r="D20" s="5" t="n"/>
      <c r="E20" s="5" t="n"/>
    </row>
  </sheetData>
  <mergeCells count="9">
    <mergeCell ref="C16:E16"/>
    <mergeCell ref="C19:E19"/>
    <mergeCell ref="A2:E2"/>
    <mergeCell ref="C18:E18"/>
    <mergeCell ref="A1:E1"/>
    <mergeCell ref="C17:E17"/>
    <mergeCell ref="A14:E14"/>
    <mergeCell ref="C20:E20"/>
    <mergeCell ref="C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2026-10-20T04:52:08Z</dcterms:created>
  <dcterms:modified xmlns:dcterms="http://purl.org/dc/terms/" xmlns:xsi="http://www.w3.org/2001/XMLSchema-instance" xsi:type="dcterms:W3CDTF">2026-10-20T04:52:09Z</dcterms:modified>
</cp:coreProperties>
</file>
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 封面" sheetId="1" r:id="rId1"/>
    <sheet name="01 变量观察总表" sheetId="2" r:id="rId2"/>
    <sheet name="02 当前产业状态" sheetId="3" r:id="rId3"/>
    <sheet name="03 未来事件时间线" sheetId="4" r:id="rId4"/>
    <sheet name="04 候选池与筛选" sheetId="5" r:id="rId5"/>
    <sheet name="05 验证条件与触发器" sheetId="6" r:id="rId6"/>
    <sheet name="06 数据缺口登记" sheetId="7" r:id="rId7"/>
    <sheet name="07 观察日程" sheetId="8" r:id="rId8"/>
  </sheets>
  <definedNames>
    <definedName name="_xlnm._FilterDatabase" localSheetId="1" hidden="1">'01 变量观察总表'!$A$3:$U$7</definedName>
  </definedNames>
  <calcPr calcId="124519" fullCalcOnLoad="1"/>
</workbook>
</file>

<file path=xl/sharedStrings.xml><?xml version="1.0" encoding="utf-8"?>
<sst xmlns="http://schemas.openxmlformats.org/spreadsheetml/2006/main" count="486" uniqueCount="388">
  <si>
    <t>甲醇（MA，郑商所） · 产业变量观察工作簿</t>
  </si>
  <si>
    <t>关注周期：未来1个月（2026-10-20 ~ 2026-11-20）　|　数据截止：2026-10-19</t>
  </si>
  <si>
    <t>品种</t>
  </si>
  <si>
    <t>甲醇（MA，郑商所）</t>
  </si>
  <si>
    <t>关注周期</t>
  </si>
  <si>
    <t>未来1个月（2026-10-20 ~ 2026-11-20）</t>
  </si>
  <si>
    <t>数据截止</t>
  </si>
  <si>
    <t>2026-10-19</t>
  </si>
  <si>
    <t>合约锚点</t>
  </si>
  <si>
    <t>换月进行中：MA2611 于 10-16 仍为主力（收 3366 元/吨），10-20 起盘面主力已切换至 MA2701（开 3146 元/吨）；近月基差以 2611 及 11 月上旬现货为锚，结构观察转看 2701</t>
  </si>
  <si>
    <t>重点区域</t>
  </si>
  <si>
    <t>华东（江苏太仓/南通、浙江宁波）+ 华南（广东）；成本端内蒙古鄂尔多斯；供应端西北/西南</t>
  </si>
  <si>
    <t>价格/基差口径</t>
  </si>
  <si>
    <t>现货为现汇含税出罐自提价；期货为主力合约收盘价；基差=太仓现货-当主力合约</t>
  </si>
  <si>
    <t>研究定位</t>
  </si>
  <si>
    <t>期货 + 现货（期现兼顾），偏产业基本面跟踪，不做单边方向预测</t>
  </si>
  <si>
    <t>入选变量数</t>
  </si>
  <si>
    <t>4 个（分类：价差、供给、库存、需求）</t>
  </si>
  <si>
    <t>候选/入选</t>
  </si>
  <si>
    <t>10 / 4</t>
  </si>
  <si>
    <t>未来已知事件</t>
  </si>
  <si>
    <t>10 个节点</t>
  </si>
  <si>
    <t>明确数据缺口</t>
  </si>
  <si>
    <t>5 项</t>
  </si>
  <si>
    <t>工作簿生成日</t>
  </si>
  <si>
    <t>2026-10-20</t>
  </si>
  <si>
    <t>使用规则（必读）</t>
  </si>
  <si>
    <t>1. 本工作簿是「观察工具」，回答的是「接下来盯什么、什么信号要改判断」，不含方向预测。</t>
  </si>
  <si>
    <t>2. 任何数值都要带口径：同一指标存在多口径时分行列出，绝不跨口径比较或相减。</t>
  </si>
  <si>
    <t>3. 无法核实的指标写「数据缺失」并登记在 06 表；不得用估算冒充实测。</t>
  </si>
  <si>
    <t>4. 事件分三档：已披露·确定时点 / 定期数据（按发布节奏）/ 条件触发（只代表观察窗口，不代表必然发生）。</t>
  </si>
  <si>
    <t>5. 每个变量的「下次可观测时间」是执行清单的锚点；到期未更新即视为数据滞后，需在备注中标注。</t>
  </si>
  <si>
    <t>6. 触发「确认 / 否证 / 失效」任一条件时，必须回写 05 表并在 01 表更新结论。</t>
  </si>
  <si>
    <t>工作表导航</t>
  </si>
  <si>
    <t>01 变量观察总表</t>
  </si>
  <si>
    <t>核心交付：入选变量全景（一行一变量）</t>
  </si>
  <si>
    <t>02 当前产业状态</t>
  </si>
  <si>
    <t>价格、库存、开工、产量、需求、成本快照</t>
  </si>
  <si>
    <t>03 未来事件时间线</t>
  </si>
  <si>
    <t>已公开事件，按确定性分级</t>
  </si>
  <si>
    <t>04 候选池与筛选</t>
  </si>
  <si>
    <t>落选项与理由，体现筛选过程</t>
  </si>
  <si>
    <t>05 验证条件与触发器</t>
  </si>
  <si>
    <t>确认 / 否证 / 失效的阈值与检查动作</t>
  </si>
  <si>
    <t>06 数据缺口登记</t>
  </si>
  <si>
    <t>不可得指标、替代口径与局限</t>
  </si>
  <si>
    <t>07 观察日程</t>
  </si>
  <si>
    <t>固定查询节奏与来源</t>
  </si>
  <si>
    <t>重要声明：本工作簿数据均来自公开发布的行业数据与机构研报（各项已注明来源与日期）。标注为「预估 / 估算 / 机构口径」的数值不等同于实测。本文件不构成投资建议。</t>
  </si>
  <si>
    <t>甲醇（MA，郑商所） · 产业变量观察总表　（未来1个月（2026-10-20 ~ 2026-11-20））</t>
  </si>
  <si>
    <t>序号</t>
  </si>
  <si>
    <t>变量名称</t>
  </si>
  <si>
    <t>分类</t>
  </si>
  <si>
    <t>重要性
(1-5)</t>
  </si>
  <si>
    <t>可验证性
(1-5)</t>
  </si>
  <si>
    <t>紧迫度
(1-5)</t>
  </si>
  <si>
    <t>观察周期</t>
  </si>
  <si>
    <t>当前状态</t>
  </si>
  <si>
    <t>近期变化</t>
  </si>
  <si>
    <t>历史位置</t>
  </si>
  <si>
    <t>为什么值得盯</t>
  </si>
  <si>
    <t>与供需/价格的传导机制</t>
  </si>
  <si>
    <t>关键可核对数据</t>
  </si>
  <si>
    <t>确认信号（判断成立）</t>
  </si>
  <si>
    <t>否证信号（判断需修正）</t>
  </si>
  <si>
    <t>变量失效/口径失真</t>
  </si>
  <si>
    <t>数据来源</t>
  </si>
  <si>
    <t>更新频率</t>
  </si>
  <si>
    <t>下次可观测</t>
  </si>
  <si>
    <t>置信度</t>
  </si>
  <si>
    <t>口径与局限</t>
  </si>
  <si>
    <t>港口库存去库终结？—— 隆众 vs 卓创双口径的拐点确认</t>
  </si>
  <si>
    <t>库存</t>
  </si>
  <si>
    <t>周度（每周三/四）</t>
  </si>
  <si>
    <t>隆众 10-14 口径 36.72 万吨（+6.21），卓创 10-15 口径 41.33 万吨（+3.92，同比 -73.07%）</t>
  </si>
  <si>
    <t>10-08 的 30.51 万吨为历史低点 → 10-14 首次回升；华南 +9.37 万吨（广东进口+内贸双补充），华东 -3.16 万吨</t>
  </si>
  <si>
    <t>绝对水平近五年同期最低；较 2025-11 峰值 167.4 万吨 -78%；但已出现 3 月以来首次方向反转</t>
  </si>
  <si>
    <t>甲醇港口库存是华东/华南定价的实物锚。库存极低 → 现货升水/基差走强；库存见底回升 → 基差收敛、近月强驱动消失。10-08 至 10-14 的 +6.21 万吨是本轮行情第一个"现实转弱"证据，必须确认是单周波动还是趋势起点</t>
  </si>
  <si>
    <t>港口库存 = 到港量 + 内贸补充 - 提货量（含 MTO 刚需、传统下游、出口）。当前到港极低（10 月进口约 40-47 万吨 vs 正常 80-100 万吨），但 MTO 停车使提货同步塌陷，两者赛跑决定库存方向</t>
  </si>
  <si>
    <t>①隆众周度港口总库存（华东/华南分列）②卓创沿海库存 ③华东/华南周度提货量 ④江苏/浙江/广东分库库存 ⑤内地-港口价差（太仓-内蒙-550 约 318 元/吨，套利窗口）</t>
  </si>
  <si>
    <t>隆众口径连续 2 周环比增加 ≥3 万吨且华南/华东同时累库，同时太仓基差跌破 400 元/吨 → 确认库存拐点，原"低库存支撑近月"判断需下调</t>
  </si>
  <si>
    <t>隆众口径再度回落至 32 万吨以下、且卓创同比降幅仍在 -70% 以上 → 低库存叙事延续，需把关注点移回进口与 MTO 成本</t>
  </si>
  <si>
    <t>到港恢复但库存仍去化（说明提货极强）或库存累库但基差逆势走强（说明可流通货源结构性紧张，库存数字失真）</t>
  </si>
  <si>
    <t>隆众资讯（chem.oilchem.net 化工-甲醇-库存）、卓创资讯、华泰期货日评、金投网周度盘点</t>
  </si>
  <si>
    <t>周度（周三/四发布，节假日后可能顺延）</t>
  </si>
  <si>
    <t>2026-10-22（下周库存），之后 10-29、11-05、11-12</t>
  </si>
  <si>
    <t>高（双口径可交叉验证）</t>
  </si>
  <si>
    <t>两口径样本不同、绝对差约 4.6 万吨，不可混用；分库数据部分需付费终端</t>
  </si>
  <si>
    <t>霍尔木兹海峡通行与伊朗装置 —— 进口断档的真伪</t>
  </si>
  <si>
    <t>供给</t>
  </si>
  <si>
    <t>日频/周频（船期+装置），月度（海关）</t>
  </si>
  <si>
    <t>10 月进口预估 40-47 万吨（大地：45-50 万吨）；9 月伊朗装船仅约 21.3-24 万吨；伊朗开工约 37%、日产约 1.3 万吨；约 660 万吨伊朗产能仍停车</t>
  </si>
  <si>
    <t>伊朗多套装置曾重启（Marjan、Busher、Apadana、Kaveh 等），但 ZPC 开一停一，装船量受海峡通行直接约束；美伊谈判暂无实质进展</t>
  </si>
  <si>
    <t>进口量为近五年同期最低（同比 -54%）；海外甲醇月度产量 337 万吨、同比 -23.29%，海外开工 53.35%</t>
  </si>
  <si>
    <t>中国甲醇进口依赖中东，伊朗占进口约 55-60%。海峡通行是进口的"闸门"，而 10 月剩余两周到港量已被确认为低位——这意味着 11 月上旬前的港口偏紧是"已锁定"的，真正有分歧的是 11 月下旬及以后</t>
  </si>
  <si>
    <t>海峡通行量 → 伊朗装船 → 航程约 20-25 天 → 中国到港 → 港口库存。同时海峡紧张会抬高保费/运费，推升 CFR 到岸成本，从而抬升甲醇的进口成本锚</t>
  </si>
  <si>
    <t>①霍尔木兹海峡日通行船数（Kpler/Lloyd's List 类船舶追踪）②伊朗甲醇周度产量与开工 ③伊朗月度装船量 ④中国周频到港量（华东/华南）⑤CFR 中国报价与华东进口价差</t>
  </si>
  <si>
    <t>海峡通行明显恢复（日通行回到常态一半以上）+ 伊朗装船单月回升至 30 万吨以上 → 进口断档结束，浮仓释放将成为最大下行变量，原"供给硬缺口"判断需立即修正</t>
  </si>
  <si>
    <t>海峡持续受阻且 11 月装船仍低于 25 万吨 → 12 月到港继续偏低，进口逻辑延续，需把库存变量的权重下调</t>
  </si>
  <si>
    <t>海峡恢复但因冬季限气伊朗无法出货（通行≠有货），或伊朗货源改道其他国家而非中国，导致"通行改善"未能传导到中国到港</t>
  </si>
  <si>
    <t>Kpler（商业船舶追踪）、隆众/金联创国际甲醇周报、CCFGroup、海关总署月度进出口、银河/大地期货研报</t>
  </si>
  <si>
    <t>船舶/装置：日频至周频；海关：月度（次月 10 日前后）</t>
  </si>
  <si>
    <t>10-23 起伊朗 11 月装船观察窗；11-10 海关 10 月数据；每周一/二国际甲醇周报</t>
  </si>
  <si>
    <t>中（装置与装船可由研报交叉验证，海峡通行细节不透明）</t>
  </si>
  <si>
    <t>海峡实际通行量为商业数据，公开渠道仅有二手转述；伊朗装置开停属企业/政治信息，无官方披露，只能依赖三家以上机构交叉</t>
  </si>
  <si>
    <t>沿海外采 MTO 停车潮的深度与复产时点</t>
  </si>
  <si>
    <t>需求</t>
  </si>
  <si>
    <t>周度（开工）+ 事件驱动（停车/复产）</t>
  </si>
  <si>
    <t>外采 MTO 开工 60.91%（10-08）；MTO 全口径 76.69%（10-14，-3.01pct）；外采 MTO 理论利润 -4000 元/吨级（另一机构测 -1800~-2000）</t>
  </si>
  <si>
    <t>10-10 渤化停车、10-11 联泓停车、10-15 诚志一期降负、10-18 诚志二期停车、10-20 诚志一期计划停车；宁波富德 9-19、恒通 9-18 已停；鲁西、兴兴、斯尔邦持续停车</t>
  </si>
  <si>
    <t>江浙外采 MTO 开工处历史极低位；MTO 利润为历年最差区间（2018 年同类亏损驱动的停车持续约 3 个月，至次年春节前后才复产）</t>
  </si>
  <si>
    <t>需求负反馈是 10-12 日大跌的直接触发。关键分歧在于：这是"高价逼出来的短停"，还是"持续到 2027 年的结构性退出"。它决定港口提货塌陷的速度，也决定基差修复是靠期货上涨还是现货下跌</t>
  </si>
  <si>
    <t>甲醇价格 → 外采 MTO 现金流 → 停车/降负 → 港口外采需求下降 → 港口提货与库存 → 甲醇现货。反向：MTO 利润修复（甲醇跌或烯烃涨）→ 复产 → 外采需求回归</t>
  </si>
  <si>
    <t>①隆众/卓创 MTO 产能利用率（外采与一体化分列）②华东 MTO 单体利润 ③各外采装置（诚志一期/二期、渤化、联泓、兴兴、斯尔邦、鲁西、宁波富德、恒通、天津）开停台账 ④PP/PE 价格与 PP-3MA 价差 ⑤港口周度提货量</t>
  </si>
  <si>
    <t>外采 MTO 开工跌破 50%，或出现第 2 家"原计划复产"装置再度延期，且 PP-3MA 价差未扩大 → 负反馈加深，原"需求弹性有限、下行空间受限"需下修</t>
  </si>
  <si>
    <t>甲醇大幅回落后 MTO 单体利润回升至 -500 元/吨以内且有装置提前复产（如诚志二期/渤化）→ 负反馈见底，应按"需求修复"路径重估</t>
  </si>
  <si>
    <t>装置停车实际原因是原料短缺（买不到货）而非亏损，或一体化 MTO 外卖甲醇扩大（如 CTO 外放），导致开工下降但港口供给增加</t>
  </si>
  <si>
    <t>隆众资讯（甲醇-MTO 开工）、卓创、华泰/兴业/一德期货日评、东方财富财富号装置台账、企业公告</t>
  </si>
  <si>
    <t>开工：周度；装置事件：不定期（以周报装置动态为准）</t>
  </si>
  <si>
    <t>每周四前后开工；10-20 诚志一期计划停车兑现；每周装置动态清单</t>
  </si>
  <si>
    <t>高（周度开工与多家机构转述可交叉）</t>
  </si>
  <si>
    <t>"外采 MTO"与"MTO 总开工"口径混淆是最大陷阱（两者相差 15pct 以上）；个别装置的停车原因（亏损 vs 缺料 vs 检修）公开披露不充分</t>
  </si>
  <si>
    <t>主力换月与基差结构 —— 现货紧张如何兑现</t>
  </si>
  <si>
    <t>价差</t>
  </si>
  <si>
    <t>日频，11 月中交割为终点</t>
  </si>
  <si>
    <t>MA2611 10-16 收 3366 元/吨（当时主力）；MA2701 10-19 收 3143 元/吨，10-20 开 3146 元/吨（新主力）；太仓 3983 元/吨（10-16）；太仓基差 629 元/吨（10-16，+77）</t>
  </si>
  <si>
    <t>10-09 主力盘中 3925（阶段高）→ 10-12 早盘跌至 3521(-7.65%) → 10-13 收 3453(-6.73%) → 10-16 MA2611 收 3366 → 10-19 MA2701 收 3143；基差自 975 回落至 629，但仍在历史极端区间；MA2611 持仓 10-16 已降至 22.92 万手，日减仓 3.32 万手，移仓加速</t>
  </si>
  <si>
    <t>正常年份基差约 100 元/吨，旺季高点通常不超 500 元/吨；当前 629 元/吨处于历史分位 99% 以上；主力换月将把"近月价格"从 11 合约平滑过渡到 01 合约</t>
  </si>
  <si>
    <t>基差是甲醇期现研究的核心价格。极值基差意味着两种可能：①现货真缺、期货将向现货修复（上涨）；②现货将被压制、期货向现货靠拢（下跌）。11 月合约交割与换月是这两种路径的裁决点，直接影响套保效率与采购时点</t>
  </si>
  <si>
    <t>基差 = 现货 - 期货。港口库存低位 + 可流通货源紧 → 现货强势 → 基差走阔；换月/交割时仓储、资金成本被定价 → 月差结构反映市场对 11-12 月库存的预期；基差收敛路径（现货跌 vs 期货涨）决定产业客户套保与点价策略</t>
  </si>
  <si>
    <t>①MA2611/MA2701 收盘、成交、持仓 ②太仓现货与基差（分月基差：现货/月中/月下/11下）③MA01-05 月差 ④郑商所仓单数量与交割预报 ⑤河南/内地仓单货源价格（当前期货锚定转为河南仓单货）</t>
  </si>
  <si>
    <t>基差收敛方式为"现货跟随下跌"（太仓跌破 3800 且基差收窄至 300 以内），同时仓单大幅增加 → 现货紧张被证伪，原"近强远弱"判断下修</t>
  </si>
  <si>
    <t>期货快速向现货修复（近月重返 3600 以上）而现货坚挺，基差收敛但现货不跌 → 现货真缺确认，需重新评估下游补库与套保对冲规模</t>
  </si>
  <si>
    <t>基差走弱是因为交割库/仓单结构变化（如新增交割库、仓单货源切换至河南）而非供需，或期现口径错配（用不同区域/税基现货直接相减）</t>
  </si>
  <si>
    <t>郑商所（行情、仓单、交割）、太仓/江苏现货报价（隆众/钢联）、期货公司日评基差表</t>
  </si>
  <si>
    <t>日频（收盘后），基差与月差每日更新</t>
  </si>
  <si>
    <t>每日收盘；关键节点 11-13（MA2611 最后交易日）、11-20 前后主力完整切换至 2701</t>
  </si>
  <si>
    <t>高（交易所公开数据，口径明确）</t>
  </si>
  <si>
    <t>现货报价存在"牌价 vs 成交价"差异；期货与太仓现货的区域/税基不完全可比，需用同一机构的期现基差表；仓单变动解释需结合交割库公告</t>
  </si>
  <si>
    <t>排序逻辑：重要性×2 + 可验证性 + 紧迫度 降序；rank 为最终观察优先级。「下次可观测」为执行锚点，到期未更新须标注数据滞后。</t>
  </si>
  <si>
    <t>当前产业状态核对表（价格 / 库存 / 开工 / 产量 / 需求 / 成本）</t>
  </si>
  <si>
    <t>#</t>
  </si>
  <si>
    <t>指标</t>
  </si>
  <si>
    <t>当前值</t>
  </si>
  <si>
    <t>口径与样本</t>
  </si>
  <si>
    <t>港口库存（隆众口径，华东+华南）</t>
  </si>
  <si>
    <t>36.72 万吨（10-14）</t>
  </si>
  <si>
    <t>30.51 万吨(10-08) → 36.72 万吨(10-14)，+6.21 万吨，首次环比回升；9-23 曾 41.20 万吨、10-09 一度为 30.51 万吨历史低点</t>
  </si>
  <si>
    <t>绝对水平处于近五年同期最低区间；较 2025-11 峰值 167.4 万吨下降约 78%</t>
  </si>
  <si>
    <t>隆众：华东+华南合计，含在卸/在途部分</t>
  </si>
  <si>
    <t>隆众周度库存、新浪财经(2026-10-14)、华泰期货日评(2026-10-16)</t>
  </si>
  <si>
    <t>港口库存（卓创口径，沿海）</t>
  </si>
  <si>
    <t>41.33 万吨（10-15）</t>
  </si>
  <si>
    <t>较 10-08 增 3.92 万吨(+10.48%)，较 09-30 减 3.75 万吨(-8.32%)，同比 -73.07%</t>
  </si>
  <si>
    <t>历史低位；两口径绝对差约 4.6 万吨，不可混用</t>
  </si>
  <si>
    <t>卓创：沿海合计（与隆众样本不同，见口径页）</t>
  </si>
  <si>
    <t>金投网(2026-10-19) 引卓创数据</t>
  </si>
  <si>
    <t>太仓甲醇现货 / 期货主力 / 基差</t>
  </si>
  <si>
    <t>太仓 3983 元/吨（10-16）；MA2611 收 3366 元/吨（10-16）；MA2701 收 3143 元/吨（10-19）</t>
  </si>
  <si>
    <t>华东港口报价 10-09 约 4846 → 10-16 约 3966（生意社口径，-18.16%）；MA2611 10-16 收 3366（-1.49%，持仓 22.92 万手、日减仓 3.32 万手）；10-20 盘面主力已切至 MA2701（开 3146）</t>
  </si>
  <si>
    <t>现货处于历史高位（生意社一年区间 1995-4733，一年位置"高位"）；基差 10-08 达 975 元/吨、10-16 太仓基差 629 元/吨，均远高于正常 100 元/吨与旺季 500 元/吨上沿</t>
  </si>
  <si>
    <t>现货现汇含税出罐；基差=太仓现货-当主力合约</t>
  </si>
  <si>
    <t>盛达期货(2026-10-09)、华泰期货(2026-10-16)、生意社(2026-10-16/10-20)、金投网(2026-10-20)</t>
  </si>
  <si>
    <t>国内甲醇产能利用率 / 产量</t>
  </si>
  <si>
    <t>92.15%（10-09，环比 +2.97pct，同比 +2.61pct）</t>
  </si>
  <si>
    <t>9 月末 86.44% → 10-09 92.15%，检修装置集中重启；10-17 隆众称本周产能利用率大幅下降（对应国能榆林等停车）</t>
  </si>
  <si>
    <t>历史高位区（近五年 85-93% 区间上沿）</t>
  </si>
  <si>
    <t>隆众全样本（含煤/气/焦炉气）</t>
  </si>
  <si>
    <t>盛达期货(2026-10-09)、隆众周报(2026-09-28, 2026-10-17)</t>
  </si>
  <si>
    <t>MTO 开工（两套口径，务必分开看）</t>
  </si>
  <si>
    <t>外采MTO 60.91%（10-08）；MTO 全口径 76.69%（10-14，-3.01pct）；另有机构估算江浙外采仅约 20%</t>
  </si>
  <si>
    <t>10-08 60.91% → 10-14 76.69%（口径不同，不作同比比较）；10-10 渤化停车、10-11 联泓停车、10-15 诚志一期降负、10-18 诚志二期停车</t>
  </si>
  <si>
    <t>外采MTO 处于深度亏损区间（理论利润 -4000 元/吨级），开工处历史低位</t>
  </si>
  <si>
    <t>口径见 sources；60.91% 为外采 MTO，76.69% 含一体化</t>
  </si>
  <si>
    <t>光大期货(2026-10-10)、华泰期货(2026-10-16)、东方财富财富号(2026-10-13)</t>
  </si>
  <si>
    <t>传统下游开工</t>
  </si>
  <si>
    <t>加权约 50.63%（10-08）；甲醛 28.7%、冰醋酸 86.9%、MTBE 63.9%</t>
  </si>
  <si>
    <t>甲醛 -1.24pct、冰醋酸 -2.58pct；隆众 10-17 称传统下游开工继续回落</t>
  </si>
  <si>
    <t>甲醛处季节性低位；醋酸高位但开始下行</t>
  </si>
  <si>
    <t>隆众口径</t>
  </si>
  <si>
    <t>盛达期货(2026-10-09)、光大期货(2026-10-10)、隆众周报(2026-10-17)</t>
  </si>
  <si>
    <t>进口（月度/周频到港）</t>
  </si>
  <si>
    <t>9 月进口约 40 万吨；10 月预估 40-47 万吨（另有一说 45-50 万吨）</t>
  </si>
  <si>
    <t>正常月份 80-100 万吨；9 月伊朗装船约 21.3-24 万吨；周频到港 10.56 万吨(-8.88)</t>
  </si>
  <si>
    <t>近五年同期最低水平，同比降幅约 54%</t>
  </si>
  <si>
    <t>海关口径未出，机构预估；周频到港为船期跟踪口径</t>
  </si>
  <si>
    <t>盛达期货(2026-10-09)、大地期货(2026-10-08)、华泰期货(2026-10-07)、银河期货(2026-10-14)</t>
  </si>
  <si>
    <t>成本端：鄂尔多斯 Q5500 动力煤</t>
  </si>
  <si>
    <t>785 元/吨（10-16，周环比持平）；秦港 Q5500 已重返 1000 元上方（10-19 约 1018 元/吨）</t>
  </si>
  <si>
    <t>节后坑口小幅回调后企稳回升；10-16 发改委召开煤矿复产增产保供推进会</t>
  </si>
  <si>
    <t>煤价处 2023 年以来高位；甲醇生产利润仍为正（内蒙煤制约 +1070 元/吨）</t>
  </si>
  <si>
    <t>坑口含税/港口平仓两种口径分列</t>
  </si>
  <si>
    <t>华泰期货(2026-10-16)、开源证券(2026-10-10)、南方财经(2026-10-19)、国泰海通(2026-10-18)</t>
  </si>
  <si>
    <t>上游厂库 / 待发订单</t>
  </si>
  <si>
    <t>内地工厂库存 35.69 万吨（+3.46 万吨）；西北 22.37 万吨（+1.95 万吨）；待发订单 19.23 万吨（+0.56 万吨）</t>
  </si>
  <si>
    <t>国庆后汽运受阻+高价抑制出货，厂库连续累积</t>
  </si>
  <si>
    <t>厂库处中性偏高水平（与港口极端低位形成反向）</t>
  </si>
  <si>
    <t>隆众样本厂库</t>
  </si>
  <si>
    <t>华泰期货(2026-10-16)</t>
  </si>
  <si>
    <t>外盘 / 区域价差</t>
  </si>
  <si>
    <t>CFR 中国 459 美元/吨（10-16 持平）；CFR 东南亚 649.5-650.5 美元/吨；华东进口价差 298 元/吨(+173)</t>
  </si>
  <si>
    <t>CFR 中国与东南亚价差约 190 美元/吨，出口/转口窗口打开</t>
  </si>
  <si>
    <t>东南亚-中国价差处历史高位，支撑转口与出口提货</t>
  </si>
  <si>
    <t>CFR 为到岸价；进口价差=华东现货-进口成本</t>
  </si>
  <si>
    <t>华泰期货(2026-10-16)、生意社(2026-10-15)</t>
  </si>
  <si>
    <t>提示：MTO 开工、港口库存均存在多口径（外采/全口径、隆众/卓创），表中已分行标注，不可跨口径比较或相减。</t>
  </si>
  <si>
    <t>未来已公开事件与数据发布节点（按确定性分级）</t>
  </si>
  <si>
    <t>日期</t>
  </si>
  <si>
    <t>事件 / 数据发布</t>
  </si>
  <si>
    <t>确定性等级</t>
  </si>
  <si>
    <t>距今天数</t>
  </si>
  <si>
    <t>确定性说明</t>
  </si>
  <si>
    <t>影响路径</t>
  </si>
  <si>
    <t>来源</t>
  </si>
  <si>
    <t>南京诚志一期 MTO 计划停车（此前一度计划降负）</t>
  </si>
  <si>
    <t>已披露·待兑现</t>
  </si>
  <si>
    <t>T+1</t>
  </si>
  <si>
    <t>机构转述计划，最终以企业执行公告/隆众周度开工为准</t>
  </si>
  <si>
    <t>华东外采 MTO 开工进一步下探，港口刚需提货再降</t>
  </si>
  <si>
    <t>一德期货(2026-10-13)、东方财富财富号(2026-10-13)</t>
  </si>
  <si>
    <t>2026-10-22</t>
  </si>
  <si>
    <t>港口库存周报（隆众周度，通常周三四发布）</t>
  </si>
  <si>
    <t>定期数据</t>
  </si>
  <si>
    <t>T+3</t>
  </si>
  <si>
    <t>固定周度节奏</t>
  </si>
  <si>
    <t>验证 10-14 的 +6.21 万吨是拐点还是单周波动</t>
  </si>
  <si>
    <t>隆众资讯周度库存</t>
  </si>
  <si>
    <t>2026-10-23</t>
  </si>
  <si>
    <t>11 月伊朗装船窗口期观察（月度装船集中于月末前后）</t>
  </si>
  <si>
    <t>条件触发·观察窗</t>
  </si>
  <si>
    <t>T+4</t>
  </si>
  <si>
    <t>装船量取决于海峡通行，时点不确定</t>
  </si>
  <si>
    <t>决定 12 月中国到港，是当前定价最核心的远端变量</t>
  </si>
  <si>
    <t>大地期货(2026-10-08)、银河期货(2026-10-14)</t>
  </si>
  <si>
    <t>2026-10-25</t>
  </si>
  <si>
    <t>宝丰内蒙 280 万吨/年甲醇新装置计划 10 月底投产</t>
  </si>
  <si>
    <t>已披露·时点模糊</t>
  </si>
  <si>
    <t>T+6</t>
  </si>
  <si>
    <t>计划投产（10 月底为研报口径，非确定日期），配套烯烃年底投产；是否外售甲醇未公开，以隆众/卓创周度装置动态为准</t>
  </si>
  <si>
    <t>若外售，将改变西北平衡与内地-港口套利流向；若全部自用，边际影响小</t>
  </si>
  <si>
    <t>大地期货(2026-10-08)、盛达期货(2026-10-09)</t>
  </si>
  <si>
    <t>2026-10-31</t>
  </si>
  <si>
    <t>国能榆林 180 万吨/年甲醇+60 万吨/年烯烃检修中（10-10 起，约 45 天）</t>
  </si>
  <si>
    <t>已披露·进行中</t>
  </si>
  <si>
    <t>T+12</t>
  </si>
  <si>
    <t>明确检修，结束时间约 11 月下旬</t>
  </si>
  <si>
    <t>减少西北外采需求与外售甲醇，是内地累库幅度的重要压制项</t>
  </si>
  <si>
    <t>金投网(2026-10-19)</t>
  </si>
  <si>
    <t>2026-11-05</t>
  </si>
  <si>
    <t>传统下游检修/重启兑现：塞拉尼斯冰醋酸停车、浏阳京港与安徽庆洋甲醛重启、山东金岭大王氯化物停车</t>
  </si>
  <si>
    <t>已披露·时点近似</t>
  </si>
  <si>
    <t>T+17</t>
  </si>
  <si>
    <t>隆众预告装置动态，具体日期以周报为准</t>
  </si>
  <si>
    <t>传统下游（占需求约 1/3）的小幅增量，能否对冲 MTO 损失</t>
  </si>
  <si>
    <t>隆众周报(2026-10-17)</t>
  </si>
  <si>
    <t>2026-11-10</t>
  </si>
  <si>
    <t>海关 10 月甲醇进出口数据（通常次月 10 日前后）+ 隆众 10 月进出口统计</t>
  </si>
  <si>
    <t>T+22</t>
  </si>
  <si>
    <t>海关固定发布节奏</t>
  </si>
  <si>
    <t>用实际值校验 40-47 万吨的 10 月进口预估，并推算 11 月到港</t>
  </si>
  <si>
    <t>海关总署、隆众/金联创月报</t>
  </si>
  <si>
    <t>2026-11-13</t>
  </si>
  <si>
    <t>MA2611 最后交易日（郑商所规则：合约交割月份第 10 个交易日）</t>
  </si>
  <si>
    <t>T+25</t>
  </si>
  <si>
    <t>交易所合约规则确定，具体交易日以交易所公告为准
〔时点依据〕按郑商所甲醇合约：最后交易日为交割月份第 10 个交易日（遇节假日顺延），11-13 为按此推算的日期</t>
  </si>
  <si>
    <t>近月持仓与仓单清算，决定 11 月下旬现货流动与基差收敛方式</t>
  </si>
  <si>
    <t>郑州商品交易所甲醇期货合约规则</t>
  </si>
  <si>
    <t>2026-11-15</t>
  </si>
  <si>
    <t>政策</t>
  </si>
  <si>
    <t>伊朗冬季限气窗口（历史在 11 月后逐步推进）</t>
  </si>
  <si>
    <t>季节性·条件触发</t>
  </si>
  <si>
    <t>T+27</t>
  </si>
  <si>
    <t>历史上每年 11 月后进入限气，但具体时点与力度逐年浮动</t>
  </si>
  <si>
    <t>若限气提前/加重，伊朗装置将再度降负，压低 12-1 月到港</t>
  </si>
  <si>
    <t>盛达期货(2026-10-09) 五年季节性规律</t>
  </si>
  <si>
    <t>2026-11-20</t>
  </si>
  <si>
    <t>MA2701 移仓完成，交易重心转向 01 合约供需真空期</t>
  </si>
  <si>
    <t>T+32</t>
  </si>
  <si>
    <t>合约节奏确定</t>
  </si>
  <si>
    <t>01 合约覆盖不到 2027 春节后 MTO 复产窗口，期现结构易分化</t>
  </si>
  <si>
    <t>东方财富财富号(2026-10-13)、永安/国元周报</t>
  </si>
  <si>
    <t>说明：黄色高亮为 10 月下旬（最近 10 天）节点。条件触发类只表示存在观察窗口，不代表已发生或必然发生。</t>
  </si>
  <si>
    <t>候选变量池与筛选依据</t>
  </si>
  <si>
    <t>筛选标准：① 产业逻辑强度（能否直接改变供需或价格形成机制）② 可验证性（是否能在周期内拿到可交叉验证的数据）③ 观察周期匹配度（1 个月内能否完成至少一次「假设→验证」）三者相乘，只保留 3–6 个。</t>
  </si>
  <si>
    <t>候选指标</t>
  </si>
  <si>
    <t>是否入选</t>
  </si>
  <si>
    <t>可验证性</t>
  </si>
  <si>
    <t>入选 / 落选理由</t>
  </si>
  <si>
    <t>港口库存（隆众/卓创双口径）</t>
  </si>
  <si>
    <t>✔ 入选</t>
  </si>
  <si>
    <t>高（周度、公开、双口径交叉）</t>
  </si>
  <si>
    <t>10 月 14 日首次环比回升是 2026 年 3 月以来第一次反向拐点，直接决定基差能否收敛</t>
  </si>
  <si>
    <t>伊朗/中东供应与霍尔木兹海峡通行</t>
  </si>
  <si>
    <t>中（装船/通行船数可跟踪，通行细节不透明）</t>
  </si>
  <si>
    <t>决定 10-47 万吨级进口断档能否延续，是当前价格最高权重变量</t>
  </si>
  <si>
    <t>沿海外采 MTO 开工与复产节奏</t>
  </si>
  <si>
    <t>高（周度开工可查，企业停车有公开转述）</t>
  </si>
  <si>
    <t>需求占甲醇近一半，10 月集中停车是负反馈落地的主战场，且 11 月仍有兑现/反悔空间</t>
  </si>
  <si>
    <t>期货主力移仓与基差结构（MA2611→MA2701）</t>
  </si>
  <si>
    <t>高（交易所日频数据）</t>
  </si>
  <si>
    <t>基差 629-975 元/吨的极端值 + 11 月合约交割，是判断现货紧张真伪与套保效率的核心</t>
  </si>
  <si>
    <t>煤炭成本与发改委保供节奏</t>
  </si>
  <si>
    <t>成本</t>
  </si>
  <si>
    <t>— 未入选</t>
  </si>
  <si>
    <t>高（周度煤价+政策会议公开）</t>
  </si>
  <si>
    <t>真正下行风险：若煤价二次上行将压缩内地利润并支撑甲醇；但煤制利润仍 +1070 元/吨，短期内更多是估值锚而非供需驱动，列入二级观察</t>
  </si>
  <si>
    <t>内地厂库/待发订单与西北套利</t>
  </si>
  <si>
    <t>高（周度）</t>
  </si>
  <si>
    <t>厂库 35.69 万吨累积是关键二阶信号，但与港口库存高度相关，作为港口变量的验证项而非独立变量</t>
  </si>
  <si>
    <t>传统下游（甲醛/醋酸/MTBE）开工</t>
  </si>
  <si>
    <t>体量约 1/3 且季节性主导，短期弹性有限，作为 MTO 变量的补充验证</t>
  </si>
  <si>
    <t>出口/转口价差（东南亚-中国价差）</t>
  </si>
  <si>
    <t>中（周度外盘报价公开，实际出口量月度滞后）</t>
  </si>
  <si>
    <t>当前价差约 190 美元/吨确实打开出口窗口，但出口体量对总平衡影响有限，观察价值低于前五项</t>
  </si>
  <si>
    <t>宝丰 280 万吨新装置是否外售</t>
  </si>
  <si>
    <t>低-中（计划公开、外售策略不公开）</t>
  </si>
  <si>
    <t>时点模糊（10 月底）且自用/外售未定，短期难以验证；纳入事件时间线而非独立变量</t>
  </si>
  <si>
    <t>MA 仓单与限仓政策</t>
  </si>
  <si>
    <t>高</t>
  </si>
  <si>
    <t>在 11 月交割前有关注价值，但更多是交易层面，不构成产业逻辑变量</t>
  </si>
  <si>
    <t>二级观察：不进卡片，但达到阈值需提级</t>
  </si>
  <si>
    <t>状态</t>
  </si>
  <si>
    <t>提级触发阈值</t>
  </si>
  <si>
    <t>说明</t>
  </si>
  <si>
    <t>煤炭成本（鄂尔多斯 Q5500）</t>
  </si>
  <si>
    <t>二级</t>
  </si>
  <si>
    <t>备选</t>
  </si>
  <si>
    <t>见说明（阈值内嵌）</t>
  </si>
  <si>
    <t>煤价重返千元上方是估值锚抬升，但煤制甲醇利润仍 +1070 元/吨，短期不构成减产驱动。观察它是因为：若煤价二次上行至 850+ 元/吨而甲醇回落，内地利润被压缩，会触发内地装置降负（供给端新增收缩），这是当前"库存拐点"叙事之外的对冲力量。触发条件：坑口价单周涨幅 &gt;3% 且煤制利润低于 300 元/吨。</t>
  </si>
  <si>
    <t>内地厂库与待发订单</t>
  </si>
  <si>
    <t>厂库 35.69 万吨（+3.46）连续累积，与港口极端低位形成背离，是判断"内地-港口套利流向"的关键。但它与港口库存高度相关，更适合作为 V1 的验证子项，不单独占卡片位。</t>
  </si>
  <si>
    <t>甲醛/醋酸/MTBE 合计约占需求三分之一，但季节性明显、单周波动大，短期不改变边际定价。作为 V3 的补充验证。</t>
  </si>
  <si>
    <t>出口/转口价差与出口量</t>
  </si>
  <si>
    <t>东南亚-中国 CFR 价差约 190 美元/吨确实打开出口窗口，且出口对港口提货有支撑；但实际出口量月度才见，且体量小于 MTO 缺口，暂列二级。</t>
  </si>
  <si>
    <t>宝丰 280 万吨新装置外售决策</t>
  </si>
  <si>
    <t>10 月底投产但配套烯烃年底才投产，是否外售甲醇未定；即使外售，量级也需与国能榆林检修（45 天）对冲，短线影响有限。已列入事件时间线跟踪。</t>
  </si>
  <si>
    <t>11 月交割前有交易层面意义，但更偏规则变量而非产业变量，本周期不单列。</t>
  </si>
  <si>
    <t>验证条件与触发器台账（回写区）</t>
  </si>
  <si>
    <t>用法：每次数据更新后，在 F/G/H 列记录「本次读数 / 是否触发 / 处理动作」。触发任一条件都必须回写，并在 01 表更新结论。G 列预留下拉：未触发 / 确认信号 / 否证信号 / 变量失效。</t>
  </si>
  <si>
    <t>变量</t>
  </si>
  <si>
    <t>变量失效 / 口径失真</t>
  </si>
  <si>
    <t>下次检查日</t>
  </si>
  <si>
    <t>本次状态</t>
  </si>
  <si>
    <t>处理动作 / 备注</t>
  </si>
  <si>
    <t>数据缺口登记：无法稳定获取的指标与处理方式</t>
  </si>
  <si>
    <t>规则：拿不到就写「数据缺失」并在此登记，不得用估算值冒充实测值。替代口径必须在表内注明其局限。</t>
  </si>
  <si>
    <t>为什么不可得</t>
  </si>
  <si>
    <t>替代口径 / 变通做法</t>
  </si>
  <si>
    <t>局限</t>
  </si>
  <si>
    <t>霍尔木兹海峡逐日通行量</t>
  </si>
  <si>
    <t>属商业船舶追踪（Kpler、Lloyd's List Intelligence）付费数据，公开渠道仅有二手转述（如"通行仍处极低水平"，无具体船数）</t>
  </si>
  <si>
    <t>用"伊朗装船量+中国周频到港量"间接代理；跟踪 3 家以上研报的口径一致性</t>
  </si>
  <si>
    <t>无法做到日内更新，结论存在 1-2 周时滞</t>
  </si>
  <si>
    <t>伊朗单套装置开停状态</t>
  </si>
  <si>
    <t>伊朗甲醇装置（Kaveh、Kimiya、Sabalan、Marjan、ZPC、Busher、Apadana 等）无官方披露，仅有研报转述</t>
  </si>
  <si>
    <t>以"伊朗日均产量/开工率"的机构估算替代单套装置台账</t>
  </si>
  <si>
    <t>来源为估算，不同机构差异可达 10pct，不可当作实测</t>
  </si>
  <si>
    <t>外采 MTO 逐家装置停车原因</t>
  </si>
  <si>
    <t>企业普遍不公告，公开信息多为行业转述</t>
  </si>
  <si>
    <t>以装置规模和停车日期建立台账，标注"亏损/缺料/检修"为机构判断而非事实</t>
  </si>
  <si>
    <t>原因无法独立核实，影响对复产概率的判断</t>
  </si>
  <si>
    <t>10 月进口实际值</t>
  </si>
  <si>
    <t>海关数据次月 10 日前后才发布</t>
  </si>
  <si>
    <t>先用机构预估（40-47 万吨 / 45-50 万吨）与周频到港量代理</t>
  </si>
  <si>
    <t>预估之间相差最多 10 万吨，11 月 10 日前无法定论</t>
  </si>
  <si>
    <t>港口分库（江苏/浙江/广东）库存</t>
  </si>
  <si>
    <t>部分需付费终端，公开摘要仅给总库或分区域</t>
  </si>
  <si>
    <t>以隆众/卓创总库为主，分区域只作方向判断</t>
  </si>
  <si>
    <t>无法精细拆解华南累库与华东去库的结构</t>
  </si>
  <si>
    <t>固定观察节奏（把「何时查什么」固化）</t>
  </si>
  <si>
    <t>频率 / 时点</t>
  </si>
  <si>
    <t>查询内容</t>
  </si>
  <si>
    <t>每周三/四</t>
  </si>
  <si>
    <t>隆众港口库存 + 周度开工（产能利用率、MTO、传统下游）</t>
  </si>
  <si>
    <t>隆众资讯</t>
  </si>
  <si>
    <t>每周四/五</t>
  </si>
  <si>
    <t>卓创周度库存与产业链利润</t>
  </si>
  <si>
    <t>卓创资讯</t>
  </si>
  <si>
    <t>每周一</t>
  </si>
  <si>
    <t>美国/中东甲醇价格、CFR 中国与东南亚报价</t>
  </si>
  <si>
    <t>生意社、隆众外盘</t>
  </si>
  <si>
    <t>每日</t>
  </si>
  <si>
    <t>MA 主力/近月行情、基差、月差、仓单与持仓</t>
  </si>
  <si>
    <t>郑商所、期货公司日评</t>
  </si>
  <si>
    <t>次月 10 日前后</t>
  </si>
  <si>
    <t>海关甲醇进出口月度数据</t>
  </si>
  <si>
    <t>海关总署</t>
  </si>
  <si>
    <t>本期关键节点（按变量下次可观测时间）</t>
  </si>
</sst>
</file>

<file path=xl/styles.xml><?xml version="1.0" encoding="utf-8"?>
<styleSheet xmlns="http://schemas.openxmlformats.org/spreadsheetml/2006/main">
  <numFmts count="1">
    <numFmt numFmtId="164" formatCode="yyyy-mm-dd"/>
  </numFmts>
  <fonts count="25">
    <font>
      <sz val="11"/>
      <color theme="1"/>
      <name val="Calibri"/>
      <family val="2"/>
      <scheme val="minor"/>
    </font>
    <font>
      <b/>
      <sz val="20"/>
      <color rgb="FFFFFFFF"/>
      <name val="微软雅黑"/>
      <family val="2"/>
    </font>
    <font>
      <sz val="11"/>
      <color rgb="FFD6E2F3"/>
      <name val="微软雅黑"/>
      <family val="2"/>
    </font>
    <font>
      <b/>
      <sz val="10"/>
      <color rgb="FF1E2633"/>
      <name val="微软雅黑"/>
      <family val="2"/>
    </font>
    <font>
      <sz val="10"/>
      <color rgb="FF1E2633"/>
      <name val="微软雅黑"/>
      <family val="2"/>
    </font>
    <font>
      <b/>
      <sz val="12"/>
      <color rgb="FF1F3352"/>
      <name val="微软雅黑"/>
      <family val="2"/>
    </font>
    <font>
      <i/>
      <sz val="9"/>
      <color rgb="FF5C6B80"/>
      <name val="微软雅黑"/>
      <family val="2"/>
    </font>
    <font>
      <b/>
      <sz val="10"/>
      <color rgb="FFFFFFFF"/>
      <name val="微软雅黑"/>
      <family val="2"/>
    </font>
    <font>
      <b/>
      <sz val="10"/>
      <color rgb="FF2F6FD0"/>
      <name val="Consolas"/>
      <family val="2"/>
    </font>
    <font>
      <b/>
      <sz val="10"/>
      <color rgb="FF7C5CD6"/>
      <name val="微软雅黑"/>
      <family val="2"/>
    </font>
    <font>
      <sz val="10"/>
      <color rgb="FF1A7A5E"/>
      <name val="微软雅黑"/>
      <family val="2"/>
    </font>
    <font>
      <sz val="10"/>
      <color rgb="FFA3421F"/>
      <name val="微软雅黑"/>
      <family val="2"/>
    </font>
    <font>
      <sz val="10"/>
      <color rgb="FF8A6410"/>
      <name val="微软雅黑"/>
      <family val="2"/>
    </font>
    <font>
      <sz val="10"/>
      <color rgb="FF5C6B80"/>
      <name val="微软雅黑"/>
      <family val="2"/>
    </font>
    <font>
      <b/>
      <sz val="10"/>
      <color rgb="FFE0693A"/>
      <name val="微软雅黑"/>
      <family val="2"/>
    </font>
    <font>
      <b/>
      <sz val="10"/>
      <color rgb="FF2F7FD1"/>
      <name val="微软雅黑"/>
      <family val="2"/>
    </font>
    <font>
      <b/>
      <sz val="10"/>
      <color rgb="FF1A9B8A"/>
      <name val="微软雅黑"/>
      <family val="2"/>
    </font>
    <font>
      <sz val="10"/>
      <color rgb="FF1E2633"/>
      <name val="Consolas"/>
      <family val="2"/>
    </font>
    <font>
      <sz val="9"/>
      <color rgb="FF8A6410"/>
      <name val="微软雅黑"/>
      <family val="2"/>
    </font>
    <font>
      <sz val="9"/>
      <color rgb="FF1F4E8C"/>
      <name val="微软雅黑"/>
      <family val="2"/>
    </font>
    <font>
      <sz val="9"/>
      <color rgb="FF1A7A5E"/>
      <name val="微软雅黑"/>
      <family val="2"/>
    </font>
    <font>
      <b/>
      <sz val="10"/>
      <color rgb="FFB8446B"/>
      <name val="微软雅黑"/>
      <family val="2"/>
    </font>
    <font>
      <b/>
      <sz val="10"/>
      <color rgb="FF1A7A5E"/>
      <name val="微软雅黑"/>
      <family val="2"/>
    </font>
    <font>
      <b/>
      <sz val="10"/>
      <color rgb="FFC99427"/>
      <name val="微软雅黑"/>
      <family val="2"/>
    </font>
    <font>
      <sz val="10"/>
      <color rgb="FF7A8798"/>
      <name val="微软雅黑"/>
      <family val="2"/>
    </font>
  </fonts>
  <fills count="16">
    <fill>
      <patternFill patternType="none"/>
    </fill>
    <fill>
      <patternFill patternType="gray125"/>
    </fill>
    <fill>
      <patternFill patternType="solid">
        <fgColor rgb="FF1F3352"/>
        <bgColor indexed="64"/>
      </patternFill>
    </fill>
    <fill>
      <patternFill patternType="solid">
        <fgColor rgb="FF2F6FD0"/>
        <bgColor indexed="64"/>
      </patternFill>
    </fill>
    <fill>
      <patternFill patternType="solid">
        <fgColor rgb="FFECE8F9"/>
        <bgColor indexed="64"/>
      </patternFill>
    </fill>
    <fill>
      <patternFill patternType="solid">
        <fgColor rgb="FFE4F5EE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FCF5E2"/>
        <bgColor indexed="64"/>
      </patternFill>
    </fill>
    <fill>
      <patternFill patternType="solid">
        <fgColor rgb="FFF4F6F9"/>
        <bgColor indexed="64"/>
      </patternFill>
    </fill>
    <fill>
      <patternFill patternType="solid">
        <fgColor rgb="FFFAEAE3"/>
        <bgColor indexed="64"/>
      </patternFill>
    </fill>
    <fill>
      <patternFill patternType="solid">
        <fgColor rgb="FFE1EDF8"/>
        <bgColor indexed="64"/>
      </patternFill>
    </fill>
    <fill>
      <patternFill patternType="solid">
        <fgColor rgb="FFDEF1EE"/>
        <bgColor indexed="64"/>
      </patternFill>
    </fill>
    <fill>
      <patternFill patternType="solid">
        <fgColor rgb="FFE6EEFA"/>
        <bgColor indexed="64"/>
      </patternFill>
    </fill>
    <fill>
      <patternFill patternType="solid">
        <fgColor rgb="FFF5E4EA"/>
        <bgColor indexed="64"/>
      </patternFill>
    </fill>
    <fill>
      <patternFill patternType="solid">
        <fgColor rgb="FFF7F0E0"/>
        <bgColor indexed="64"/>
      </patternFill>
    </fill>
    <fill>
      <patternFill patternType="solid">
        <fgColor rgb="FFF0F2F5"/>
        <bgColor indexed="64"/>
      </patternFill>
    </fill>
  </fills>
  <borders count="2">
    <border>
      <left/>
      <right/>
      <top/>
      <bottom/>
      <diagonal/>
    </border>
    <border>
      <left style="thin">
        <color rgb="FFC9D3E0"/>
      </left>
      <right style="thin">
        <color rgb="FFC9D3E0"/>
      </right>
      <top style="thin">
        <color rgb="FFC9D3E0"/>
      </top>
      <bottom style="thin">
        <color rgb="FFC9D3E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vertical="top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vertical="top" wrapText="1"/>
    </xf>
    <xf numFmtId="0" fontId="11" fillId="6" borderId="1" xfId="0" applyFont="1" applyFill="1" applyBorder="1" applyAlignment="1">
      <alignment vertical="top" wrapText="1"/>
    </xf>
    <xf numFmtId="0" fontId="12" fillId="7" borderId="1" xfId="0" applyFont="1" applyFill="1" applyBorder="1" applyAlignment="1">
      <alignment vertical="top" wrapText="1"/>
    </xf>
    <xf numFmtId="0" fontId="13" fillId="8" borderId="1" xfId="0" applyFont="1" applyFill="1" applyBorder="1" applyAlignment="1">
      <alignment vertical="top" wrapText="1"/>
    </xf>
    <xf numFmtId="0" fontId="14" fillId="9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1" fillId="13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0" fontId="24" fillId="15" borderId="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FFF4D6"/>
        </patternFill>
      </fill>
    </dxf>
    <dxf>
      <font>
        <b/>
      </font>
      <fill>
        <patternFill>
          <bgColor rgb="FFE4F5EE"/>
        </patternFill>
      </fill>
    </dxf>
    <dxf>
      <font>
        <b/>
      </font>
      <fill>
        <patternFill>
          <bgColor rgb="FFFDECE6"/>
        </patternFill>
      </fill>
    </dxf>
    <dxf>
      <font>
        <b/>
      </font>
      <fill>
        <patternFill>
          <bgColor rgb="FFFCF5E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35"/>
  <sheetViews>
    <sheetView showGridLines="0" tabSelected="1" workbookViewId="0"/>
  </sheetViews>
  <sheetFormatPr defaultRowHeight="15"/>
  <cols>
    <col min="1" max="1" width="2.7109375" customWidth="1"/>
    <col min="2" max="2" width="22.7109375" customWidth="1"/>
    <col min="3" max="3" width="96.7109375" customWidth="1"/>
  </cols>
  <sheetData>
    <row r="2" spans="2:3" ht="40" customHeight="1">
      <c r="B2" s="1" t="s">
        <v>0</v>
      </c>
      <c r="C2" s="1"/>
    </row>
    <row r="3" spans="2:3" ht="22" customHeight="1">
      <c r="B3" s="2" t="s">
        <v>1</v>
      </c>
      <c r="C3" s="2"/>
    </row>
    <row r="4" spans="2:3" ht="8" customHeight="1"/>
    <row r="5" spans="2:3" ht="20" customHeight="1">
      <c r="B5" s="3" t="s">
        <v>2</v>
      </c>
      <c r="C5" s="4" t="s">
        <v>3</v>
      </c>
    </row>
    <row r="6" spans="2:3" ht="20" customHeight="1">
      <c r="B6" s="3" t="s">
        <v>4</v>
      </c>
      <c r="C6" s="4" t="s">
        <v>5</v>
      </c>
    </row>
    <row r="7" spans="2:3" ht="20" customHeight="1">
      <c r="B7" s="3" t="s">
        <v>6</v>
      </c>
      <c r="C7" s="4" t="s">
        <v>7</v>
      </c>
    </row>
    <row r="8" spans="2:3" ht="30" customHeight="1">
      <c r="B8" s="3" t="s">
        <v>8</v>
      </c>
      <c r="C8" s="4" t="s">
        <v>9</v>
      </c>
    </row>
    <row r="9" spans="2:3" ht="20" customHeight="1">
      <c r="B9" s="3" t="s">
        <v>10</v>
      </c>
      <c r="C9" s="4" t="s">
        <v>11</v>
      </c>
    </row>
    <row r="10" spans="2:3" ht="20" customHeight="1">
      <c r="B10" s="3" t="s">
        <v>12</v>
      </c>
      <c r="C10" s="4" t="s">
        <v>13</v>
      </c>
    </row>
    <row r="11" spans="2:3" ht="20" customHeight="1">
      <c r="B11" s="3" t="s">
        <v>14</v>
      </c>
      <c r="C11" s="4" t="s">
        <v>15</v>
      </c>
    </row>
    <row r="12" spans="2:3" ht="20" customHeight="1">
      <c r="B12" s="3" t="s">
        <v>16</v>
      </c>
      <c r="C12" s="4" t="s">
        <v>17</v>
      </c>
    </row>
    <row r="13" spans="2:3" ht="20" customHeight="1">
      <c r="B13" s="3" t="s">
        <v>18</v>
      </c>
      <c r="C13" s="4" t="s">
        <v>19</v>
      </c>
    </row>
    <row r="14" spans="2:3" ht="20" customHeight="1">
      <c r="B14" s="3" t="s">
        <v>20</v>
      </c>
      <c r="C14" s="4" t="s">
        <v>21</v>
      </c>
    </row>
    <row r="15" spans="2:3" ht="20" customHeight="1">
      <c r="B15" s="3" t="s">
        <v>22</v>
      </c>
      <c r="C15" s="4" t="s">
        <v>23</v>
      </c>
    </row>
    <row r="16" spans="2:3" ht="20" customHeight="1">
      <c r="B16" s="3" t="s">
        <v>24</v>
      </c>
      <c r="C16" s="4" t="s">
        <v>25</v>
      </c>
    </row>
    <row r="18" spans="2:3">
      <c r="B18" s="5" t="s">
        <v>26</v>
      </c>
      <c r="C18" s="5"/>
    </row>
    <row r="19" spans="2:3" ht="30" customHeight="1">
      <c r="B19" s="4" t="s">
        <v>27</v>
      </c>
      <c r="C19" s="4"/>
    </row>
    <row r="20" spans="2:3" ht="30" customHeight="1">
      <c r="B20" s="4" t="s">
        <v>28</v>
      </c>
      <c r="C20" s="4"/>
    </row>
    <row r="21" spans="2:3" ht="30" customHeight="1">
      <c r="B21" s="4" t="s">
        <v>29</v>
      </c>
      <c r="C21" s="4"/>
    </row>
    <row r="22" spans="2:3" ht="30" customHeight="1">
      <c r="B22" s="4" t="s">
        <v>30</v>
      </c>
      <c r="C22" s="4"/>
    </row>
    <row r="23" spans="2:3" ht="30" customHeight="1">
      <c r="B23" s="4" t="s">
        <v>31</v>
      </c>
      <c r="C23" s="4"/>
    </row>
    <row r="24" spans="2:3" ht="30" customHeight="1">
      <c r="B24" s="4" t="s">
        <v>32</v>
      </c>
      <c r="C24" s="4"/>
    </row>
    <row r="26" spans="2:3">
      <c r="B26" s="5" t="s">
        <v>33</v>
      </c>
      <c r="C26" s="5"/>
    </row>
    <row r="27" spans="2:3">
      <c r="B27" s="3" t="s">
        <v>34</v>
      </c>
      <c r="C27" s="4" t="s">
        <v>35</v>
      </c>
    </row>
    <row r="28" spans="2:3">
      <c r="B28" s="3" t="s">
        <v>36</v>
      </c>
      <c r="C28" s="4" t="s">
        <v>37</v>
      </c>
    </row>
    <row r="29" spans="2:3">
      <c r="B29" s="3" t="s">
        <v>38</v>
      </c>
      <c r="C29" s="4" t="s">
        <v>39</v>
      </c>
    </row>
    <row r="30" spans="2:3">
      <c r="B30" s="3" t="s">
        <v>40</v>
      </c>
      <c r="C30" s="4" t="s">
        <v>41</v>
      </c>
    </row>
    <row r="31" spans="2:3">
      <c r="B31" s="3" t="s">
        <v>42</v>
      </c>
      <c r="C31" s="4" t="s">
        <v>43</v>
      </c>
    </row>
    <row r="32" spans="2:3">
      <c r="B32" s="3" t="s">
        <v>44</v>
      </c>
      <c r="C32" s="4" t="s">
        <v>45</v>
      </c>
    </row>
    <row r="33" spans="2:3">
      <c r="B33" s="3" t="s">
        <v>46</v>
      </c>
      <c r="C33" s="4" t="s">
        <v>47</v>
      </c>
    </row>
    <row r="35" spans="2:3" ht="44" customHeight="1">
      <c r="B35" s="6" t="s">
        <v>48</v>
      </c>
      <c r="C35" s="6"/>
    </row>
  </sheetData>
  <mergeCells count="11">
    <mergeCell ref="B2:C2"/>
    <mergeCell ref="B3:C3"/>
    <mergeCell ref="B18:C18"/>
    <mergeCell ref="B19:C19"/>
    <mergeCell ref="B20:C20"/>
    <mergeCell ref="B21:C21"/>
    <mergeCell ref="B22:C22"/>
    <mergeCell ref="B23:C23"/>
    <mergeCell ref="B24:C24"/>
    <mergeCell ref="B26:C26"/>
    <mergeCell ref="B35:C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"/>
  <sheetViews>
    <sheetView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30.7109375" customWidth="1"/>
    <col min="3" max="3" width="8.7109375" customWidth="1"/>
    <col min="4" max="4" width="9.7109375" customWidth="1"/>
    <col min="5" max="5" width="10.7109375" customWidth="1"/>
    <col min="6" max="6" width="9.7109375" customWidth="1"/>
    <col min="7" max="7" width="16.7109375" customWidth="1"/>
    <col min="8" max="9" width="40.7109375" customWidth="1"/>
    <col min="10" max="10" width="34.7109375" customWidth="1"/>
    <col min="11" max="12" width="44.7109375" customWidth="1"/>
    <col min="13" max="13" width="42.7109375" customWidth="1"/>
    <col min="14" max="16" width="34.7109375" customWidth="1"/>
    <col min="17" max="17" width="38.7109375" customWidth="1"/>
    <col min="18" max="18" width="20.7109375" customWidth="1"/>
    <col min="19" max="19" width="24.7109375" customWidth="1"/>
    <col min="20" max="20" width="12.7109375" customWidth="1"/>
    <col min="21" max="21" width="34.7109375" customWidth="1"/>
  </cols>
  <sheetData>
    <row r="1" spans="1:21" ht="32" customHeight="1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spans="1:21" ht="42" customHeight="1">
      <c r="A3" s="7" t="s">
        <v>50</v>
      </c>
      <c r="B3" s="7" t="s">
        <v>51</v>
      </c>
      <c r="C3" s="7" t="s">
        <v>52</v>
      </c>
      <c r="D3" s="7" t="s">
        <v>53</v>
      </c>
      <c r="E3" s="7" t="s">
        <v>54</v>
      </c>
      <c r="F3" s="7" t="s">
        <v>55</v>
      </c>
      <c r="G3" s="7" t="s">
        <v>56</v>
      </c>
      <c r="H3" s="7" t="s">
        <v>57</v>
      </c>
      <c r="I3" s="7" t="s">
        <v>58</v>
      </c>
      <c r="J3" s="7" t="s">
        <v>59</v>
      </c>
      <c r="K3" s="7" t="s">
        <v>60</v>
      </c>
      <c r="L3" s="7" t="s">
        <v>61</v>
      </c>
      <c r="M3" s="7" t="s">
        <v>62</v>
      </c>
      <c r="N3" s="7" t="s">
        <v>63</v>
      </c>
      <c r="O3" s="7" t="s">
        <v>64</v>
      </c>
      <c r="P3" s="7" t="s">
        <v>65</v>
      </c>
      <c r="Q3" s="7" t="s">
        <v>66</v>
      </c>
      <c r="R3" s="7" t="s">
        <v>67</v>
      </c>
      <c r="S3" s="7" t="s">
        <v>68</v>
      </c>
      <c r="T3" s="7" t="s">
        <v>69</v>
      </c>
      <c r="U3" s="7" t="s">
        <v>70</v>
      </c>
    </row>
    <row r="4" spans="1:21" ht="118" customHeight="1">
      <c r="A4" s="8">
        <v>1</v>
      </c>
      <c r="B4" s="3" t="s">
        <v>71</v>
      </c>
      <c r="C4" s="9" t="s">
        <v>72</v>
      </c>
      <c r="D4" s="10">
        <v>5</v>
      </c>
      <c r="E4" s="10">
        <v>5</v>
      </c>
      <c r="F4" s="10">
        <v>5</v>
      </c>
      <c r="G4" s="4" t="s">
        <v>73</v>
      </c>
      <c r="H4" s="4" t="s">
        <v>74</v>
      </c>
      <c r="I4" s="4" t="s">
        <v>75</v>
      </c>
      <c r="J4" s="4" t="s">
        <v>76</v>
      </c>
      <c r="K4" s="4" t="s">
        <v>77</v>
      </c>
      <c r="L4" s="4" t="s">
        <v>78</v>
      </c>
      <c r="M4" s="4" t="s">
        <v>79</v>
      </c>
      <c r="N4" s="11" t="s">
        <v>80</v>
      </c>
      <c r="O4" s="12" t="s">
        <v>81</v>
      </c>
      <c r="P4" s="13" t="s">
        <v>82</v>
      </c>
      <c r="Q4" s="4" t="s">
        <v>83</v>
      </c>
      <c r="R4" s="4" t="s">
        <v>84</v>
      </c>
      <c r="S4" s="4" t="s">
        <v>85</v>
      </c>
      <c r="T4" s="4" t="s">
        <v>86</v>
      </c>
      <c r="U4" s="14" t="s">
        <v>87</v>
      </c>
    </row>
    <row r="5" spans="1:21" ht="118" customHeight="1">
      <c r="A5" s="8">
        <v>2</v>
      </c>
      <c r="B5" s="3" t="s">
        <v>88</v>
      </c>
      <c r="C5" s="15" t="s">
        <v>89</v>
      </c>
      <c r="D5" s="10">
        <v>5</v>
      </c>
      <c r="E5" s="10">
        <v>3</v>
      </c>
      <c r="F5" s="10">
        <v>5</v>
      </c>
      <c r="G5" s="4" t="s">
        <v>90</v>
      </c>
      <c r="H5" s="4" t="s">
        <v>91</v>
      </c>
      <c r="I5" s="4" t="s">
        <v>92</v>
      </c>
      <c r="J5" s="4" t="s">
        <v>93</v>
      </c>
      <c r="K5" s="4" t="s">
        <v>94</v>
      </c>
      <c r="L5" s="4" t="s">
        <v>95</v>
      </c>
      <c r="M5" s="4" t="s">
        <v>96</v>
      </c>
      <c r="N5" s="11" t="s">
        <v>97</v>
      </c>
      <c r="O5" s="12" t="s">
        <v>98</v>
      </c>
      <c r="P5" s="13" t="s">
        <v>99</v>
      </c>
      <c r="Q5" s="4" t="s">
        <v>100</v>
      </c>
      <c r="R5" s="4" t="s">
        <v>101</v>
      </c>
      <c r="S5" s="4" t="s">
        <v>102</v>
      </c>
      <c r="T5" s="4" t="s">
        <v>103</v>
      </c>
      <c r="U5" s="14" t="s">
        <v>104</v>
      </c>
    </row>
    <row r="6" spans="1:21" ht="118" customHeight="1">
      <c r="A6" s="8">
        <v>3</v>
      </c>
      <c r="B6" s="3" t="s">
        <v>105</v>
      </c>
      <c r="C6" s="16" t="s">
        <v>106</v>
      </c>
      <c r="D6" s="10">
        <v>5</v>
      </c>
      <c r="E6" s="10">
        <v>4</v>
      </c>
      <c r="F6" s="10">
        <v>4</v>
      </c>
      <c r="G6" s="4" t="s">
        <v>107</v>
      </c>
      <c r="H6" s="4" t="s">
        <v>108</v>
      </c>
      <c r="I6" s="4" t="s">
        <v>109</v>
      </c>
      <c r="J6" s="4" t="s">
        <v>110</v>
      </c>
      <c r="K6" s="4" t="s">
        <v>111</v>
      </c>
      <c r="L6" s="4" t="s">
        <v>112</v>
      </c>
      <c r="M6" s="4" t="s">
        <v>113</v>
      </c>
      <c r="N6" s="11" t="s">
        <v>114</v>
      </c>
      <c r="O6" s="12" t="s">
        <v>115</v>
      </c>
      <c r="P6" s="13" t="s">
        <v>116</v>
      </c>
      <c r="Q6" s="4" t="s">
        <v>117</v>
      </c>
      <c r="R6" s="4" t="s">
        <v>118</v>
      </c>
      <c r="S6" s="4" t="s">
        <v>119</v>
      </c>
      <c r="T6" s="4" t="s">
        <v>120</v>
      </c>
      <c r="U6" s="14" t="s">
        <v>121</v>
      </c>
    </row>
    <row r="7" spans="1:21" ht="118" customHeight="1">
      <c r="A7" s="8">
        <v>4</v>
      </c>
      <c r="B7" s="3" t="s">
        <v>122</v>
      </c>
      <c r="C7" s="17" t="s">
        <v>123</v>
      </c>
      <c r="D7" s="10">
        <v>4</v>
      </c>
      <c r="E7" s="10">
        <v>5</v>
      </c>
      <c r="F7" s="10">
        <v>4</v>
      </c>
      <c r="G7" s="4" t="s">
        <v>124</v>
      </c>
      <c r="H7" s="4" t="s">
        <v>125</v>
      </c>
      <c r="I7" s="4" t="s">
        <v>126</v>
      </c>
      <c r="J7" s="4" t="s">
        <v>127</v>
      </c>
      <c r="K7" s="4" t="s">
        <v>128</v>
      </c>
      <c r="L7" s="4" t="s">
        <v>129</v>
      </c>
      <c r="M7" s="4" t="s">
        <v>130</v>
      </c>
      <c r="N7" s="11" t="s">
        <v>131</v>
      </c>
      <c r="O7" s="12" t="s">
        <v>132</v>
      </c>
      <c r="P7" s="13" t="s">
        <v>133</v>
      </c>
      <c r="Q7" s="4" t="s">
        <v>134</v>
      </c>
      <c r="R7" s="4" t="s">
        <v>135</v>
      </c>
      <c r="S7" s="4" t="s">
        <v>136</v>
      </c>
      <c r="T7" s="4" t="s">
        <v>137</v>
      </c>
      <c r="U7" s="14" t="s">
        <v>138</v>
      </c>
    </row>
    <row r="9" spans="1:21">
      <c r="B9" s="6" t="s">
        <v>139</v>
      </c>
    </row>
  </sheetData>
  <autoFilter ref="A3:U7"/>
  <mergeCells count="1">
    <mergeCell ref="A1: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4.7109375" customWidth="1"/>
    <col min="2" max="2" width="32.7109375" customWidth="1"/>
    <col min="3" max="3" width="30.7109375" customWidth="1"/>
    <col min="4" max="4" width="46.7109375" customWidth="1"/>
    <col min="5" max="5" width="40.7109375" customWidth="1"/>
    <col min="6" max="6" width="34.7109375" customWidth="1"/>
    <col min="7" max="7" width="38.7109375" customWidth="1"/>
  </cols>
  <sheetData>
    <row r="1" spans="1:7" ht="30" customHeight="1">
      <c r="A1" s="1" t="s">
        <v>140</v>
      </c>
      <c r="B1" s="1"/>
      <c r="C1" s="1"/>
      <c r="D1" s="1"/>
      <c r="E1" s="1"/>
      <c r="F1" s="1"/>
      <c r="G1" s="1"/>
    </row>
    <row r="3" spans="1:7">
      <c r="A3" s="7" t="s">
        <v>141</v>
      </c>
      <c r="B3" s="7" t="s">
        <v>142</v>
      </c>
      <c r="C3" s="7" t="s">
        <v>143</v>
      </c>
      <c r="D3" s="7" t="s">
        <v>58</v>
      </c>
      <c r="E3" s="7" t="s">
        <v>59</v>
      </c>
      <c r="F3" s="7" t="s">
        <v>144</v>
      </c>
      <c r="G3" s="7" t="s">
        <v>66</v>
      </c>
    </row>
    <row r="4" spans="1:7" ht="58" customHeight="1">
      <c r="A4" s="8">
        <v>1</v>
      </c>
      <c r="B4" s="3" t="s">
        <v>145</v>
      </c>
      <c r="C4" s="4" t="s">
        <v>146</v>
      </c>
      <c r="D4" s="4" t="s">
        <v>147</v>
      </c>
      <c r="E4" s="4" t="s">
        <v>148</v>
      </c>
      <c r="F4" s="14" t="s">
        <v>149</v>
      </c>
      <c r="G4" s="14" t="s">
        <v>150</v>
      </c>
    </row>
    <row r="5" spans="1:7" ht="58" customHeight="1">
      <c r="A5" s="8">
        <v>2</v>
      </c>
      <c r="B5" s="3" t="s">
        <v>151</v>
      </c>
      <c r="C5" s="4" t="s">
        <v>152</v>
      </c>
      <c r="D5" s="4" t="s">
        <v>153</v>
      </c>
      <c r="E5" s="4" t="s">
        <v>154</v>
      </c>
      <c r="F5" s="14" t="s">
        <v>155</v>
      </c>
      <c r="G5" s="14" t="s">
        <v>156</v>
      </c>
    </row>
    <row r="6" spans="1:7" ht="58" customHeight="1">
      <c r="A6" s="8">
        <v>3</v>
      </c>
      <c r="B6" s="3" t="s">
        <v>157</v>
      </c>
      <c r="C6" s="4" t="s">
        <v>158</v>
      </c>
      <c r="D6" s="4" t="s">
        <v>159</v>
      </c>
      <c r="E6" s="4" t="s">
        <v>160</v>
      </c>
      <c r="F6" s="14" t="s">
        <v>161</v>
      </c>
      <c r="G6" s="14" t="s">
        <v>162</v>
      </c>
    </row>
    <row r="7" spans="1:7" ht="58" customHeight="1">
      <c r="A7" s="8">
        <v>4</v>
      </c>
      <c r="B7" s="3" t="s">
        <v>163</v>
      </c>
      <c r="C7" s="4" t="s">
        <v>164</v>
      </c>
      <c r="D7" s="4" t="s">
        <v>165</v>
      </c>
      <c r="E7" s="4" t="s">
        <v>166</v>
      </c>
      <c r="F7" s="14" t="s">
        <v>167</v>
      </c>
      <c r="G7" s="14" t="s">
        <v>168</v>
      </c>
    </row>
    <row r="8" spans="1:7" ht="58" customHeight="1">
      <c r="A8" s="8">
        <v>5</v>
      </c>
      <c r="B8" s="3" t="s">
        <v>169</v>
      </c>
      <c r="C8" s="4" t="s">
        <v>170</v>
      </c>
      <c r="D8" s="4" t="s">
        <v>171</v>
      </c>
      <c r="E8" s="4" t="s">
        <v>172</v>
      </c>
      <c r="F8" s="14" t="s">
        <v>173</v>
      </c>
      <c r="G8" s="14" t="s">
        <v>174</v>
      </c>
    </row>
    <row r="9" spans="1:7" ht="58" customHeight="1">
      <c r="A9" s="8">
        <v>6</v>
      </c>
      <c r="B9" s="3" t="s">
        <v>175</v>
      </c>
      <c r="C9" s="4" t="s">
        <v>176</v>
      </c>
      <c r="D9" s="4" t="s">
        <v>177</v>
      </c>
      <c r="E9" s="4" t="s">
        <v>178</v>
      </c>
      <c r="F9" s="14" t="s">
        <v>179</v>
      </c>
      <c r="G9" s="14" t="s">
        <v>180</v>
      </c>
    </row>
    <row r="10" spans="1:7" ht="58" customHeight="1">
      <c r="A10" s="8">
        <v>7</v>
      </c>
      <c r="B10" s="3" t="s">
        <v>181</v>
      </c>
      <c r="C10" s="4" t="s">
        <v>182</v>
      </c>
      <c r="D10" s="4" t="s">
        <v>183</v>
      </c>
      <c r="E10" s="4" t="s">
        <v>184</v>
      </c>
      <c r="F10" s="14" t="s">
        <v>185</v>
      </c>
      <c r="G10" s="14" t="s">
        <v>186</v>
      </c>
    </row>
    <row r="11" spans="1:7" ht="58" customHeight="1">
      <c r="A11" s="8">
        <v>8</v>
      </c>
      <c r="B11" s="3" t="s">
        <v>187</v>
      </c>
      <c r="C11" s="4" t="s">
        <v>188</v>
      </c>
      <c r="D11" s="4" t="s">
        <v>189</v>
      </c>
      <c r="E11" s="4" t="s">
        <v>190</v>
      </c>
      <c r="F11" s="14" t="s">
        <v>191</v>
      </c>
      <c r="G11" s="14" t="s">
        <v>192</v>
      </c>
    </row>
    <row r="12" spans="1:7" ht="58" customHeight="1">
      <c r="A12" s="8">
        <v>9</v>
      </c>
      <c r="B12" s="3" t="s">
        <v>193</v>
      </c>
      <c r="C12" s="4" t="s">
        <v>194</v>
      </c>
      <c r="D12" s="4" t="s">
        <v>195</v>
      </c>
      <c r="E12" s="4" t="s">
        <v>196</v>
      </c>
      <c r="F12" s="14" t="s">
        <v>197</v>
      </c>
      <c r="G12" s="14" t="s">
        <v>198</v>
      </c>
    </row>
    <row r="13" spans="1:7" ht="58" customHeight="1">
      <c r="A13" s="8">
        <v>10</v>
      </c>
      <c r="B13" s="3" t="s">
        <v>199</v>
      </c>
      <c r="C13" s="4" t="s">
        <v>200</v>
      </c>
      <c r="D13" s="4" t="s">
        <v>201</v>
      </c>
      <c r="E13" s="4" t="s">
        <v>202</v>
      </c>
      <c r="F13" s="14" t="s">
        <v>203</v>
      </c>
      <c r="G13" s="14" t="s">
        <v>204</v>
      </c>
    </row>
    <row r="15" spans="1:7">
      <c r="B15" s="6" t="s">
        <v>205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46.7109375" customWidth="1"/>
    <col min="4" max="4" width="18.7109375" customWidth="1"/>
    <col min="5" max="5" width="9.7109375" customWidth="1"/>
    <col min="6" max="7" width="40.7109375" customWidth="1"/>
    <col min="8" max="8" width="36.7109375" customWidth="1"/>
  </cols>
  <sheetData>
    <row r="1" spans="1:8" ht="30" customHeight="1">
      <c r="A1" s="1" t="s">
        <v>206</v>
      </c>
      <c r="B1" s="1"/>
      <c r="C1" s="1"/>
      <c r="D1" s="1"/>
      <c r="E1" s="1"/>
      <c r="F1" s="1"/>
      <c r="G1" s="1"/>
      <c r="H1" s="1"/>
    </row>
    <row r="3" spans="1:8">
      <c r="A3" s="7" t="s">
        <v>207</v>
      </c>
      <c r="B3" s="7" t="s">
        <v>52</v>
      </c>
      <c r="C3" s="7" t="s">
        <v>208</v>
      </c>
      <c r="D3" s="7" t="s">
        <v>209</v>
      </c>
      <c r="E3" s="7" t="s">
        <v>210</v>
      </c>
      <c r="F3" s="7" t="s">
        <v>211</v>
      </c>
      <c r="G3" s="7" t="s">
        <v>212</v>
      </c>
      <c r="H3" s="7" t="s">
        <v>213</v>
      </c>
    </row>
    <row r="4" spans="1:8" ht="54" customHeight="1">
      <c r="A4" s="18" t="s">
        <v>25</v>
      </c>
      <c r="B4" s="16" t="s">
        <v>106</v>
      </c>
      <c r="C4" s="4" t="s">
        <v>214</v>
      </c>
      <c r="D4" s="19" t="s">
        <v>215</v>
      </c>
      <c r="E4" s="10" t="s">
        <v>216</v>
      </c>
      <c r="F4" s="4" t="s">
        <v>217</v>
      </c>
      <c r="G4" s="4" t="s">
        <v>218</v>
      </c>
      <c r="H4" s="14" t="s">
        <v>219</v>
      </c>
    </row>
    <row r="5" spans="1:8" ht="54" customHeight="1">
      <c r="A5" s="18" t="s">
        <v>220</v>
      </c>
      <c r="B5" s="9" t="s">
        <v>72</v>
      </c>
      <c r="C5" s="4" t="s">
        <v>221</v>
      </c>
      <c r="D5" s="20" t="s">
        <v>222</v>
      </c>
      <c r="E5" s="10" t="s">
        <v>223</v>
      </c>
      <c r="F5" s="4" t="s">
        <v>224</v>
      </c>
      <c r="G5" s="4" t="s">
        <v>225</v>
      </c>
      <c r="H5" s="14" t="s">
        <v>226</v>
      </c>
    </row>
    <row r="6" spans="1:8" ht="54" customHeight="1">
      <c r="A6" s="18" t="s">
        <v>227</v>
      </c>
      <c r="B6" s="15" t="s">
        <v>89</v>
      </c>
      <c r="C6" s="4" t="s">
        <v>228</v>
      </c>
      <c r="D6" s="19" t="s">
        <v>229</v>
      </c>
      <c r="E6" s="10" t="s">
        <v>230</v>
      </c>
      <c r="F6" s="4" t="s">
        <v>231</v>
      </c>
      <c r="G6" s="4" t="s">
        <v>232</v>
      </c>
      <c r="H6" s="14" t="s">
        <v>233</v>
      </c>
    </row>
    <row r="7" spans="1:8" ht="54" customHeight="1">
      <c r="A7" s="18" t="s">
        <v>234</v>
      </c>
      <c r="B7" s="15" t="s">
        <v>89</v>
      </c>
      <c r="C7" s="4" t="s">
        <v>235</v>
      </c>
      <c r="D7" s="19" t="s">
        <v>236</v>
      </c>
      <c r="E7" s="10" t="s">
        <v>237</v>
      </c>
      <c r="F7" s="4" t="s">
        <v>238</v>
      </c>
      <c r="G7" s="4" t="s">
        <v>239</v>
      </c>
      <c r="H7" s="14" t="s">
        <v>240</v>
      </c>
    </row>
    <row r="8" spans="1:8" ht="54" customHeight="1">
      <c r="A8" s="18" t="s">
        <v>241</v>
      </c>
      <c r="B8" s="15" t="s">
        <v>89</v>
      </c>
      <c r="C8" s="4" t="s">
        <v>242</v>
      </c>
      <c r="D8" s="21" t="s">
        <v>243</v>
      </c>
      <c r="E8" s="10" t="s">
        <v>244</v>
      </c>
      <c r="F8" s="4" t="s">
        <v>245</v>
      </c>
      <c r="G8" s="4" t="s">
        <v>246</v>
      </c>
      <c r="H8" s="14" t="s">
        <v>247</v>
      </c>
    </row>
    <row r="9" spans="1:8" ht="54" customHeight="1">
      <c r="A9" s="18" t="s">
        <v>248</v>
      </c>
      <c r="B9" s="16" t="s">
        <v>106</v>
      </c>
      <c r="C9" s="4" t="s">
        <v>249</v>
      </c>
      <c r="D9" s="19" t="s">
        <v>250</v>
      </c>
      <c r="E9" s="10" t="s">
        <v>251</v>
      </c>
      <c r="F9" s="4" t="s">
        <v>252</v>
      </c>
      <c r="G9" s="4" t="s">
        <v>253</v>
      </c>
      <c r="H9" s="14" t="s">
        <v>254</v>
      </c>
    </row>
    <row r="10" spans="1:8" ht="54" customHeight="1">
      <c r="A10" s="18" t="s">
        <v>255</v>
      </c>
      <c r="B10" s="15" t="s">
        <v>89</v>
      </c>
      <c r="C10" s="4" t="s">
        <v>256</v>
      </c>
      <c r="D10" s="20" t="s">
        <v>222</v>
      </c>
      <c r="E10" s="10" t="s">
        <v>257</v>
      </c>
      <c r="F10" s="4" t="s">
        <v>258</v>
      </c>
      <c r="G10" s="4" t="s">
        <v>259</v>
      </c>
      <c r="H10" s="14" t="s">
        <v>260</v>
      </c>
    </row>
    <row r="11" spans="1:8" ht="54" customHeight="1">
      <c r="A11" s="18" t="s">
        <v>261</v>
      </c>
      <c r="B11" s="17" t="s">
        <v>123</v>
      </c>
      <c r="C11" s="4" t="s">
        <v>262</v>
      </c>
      <c r="D11" s="20" t="s">
        <v>222</v>
      </c>
      <c r="E11" s="10" t="s">
        <v>263</v>
      </c>
      <c r="F11" s="4" t="s">
        <v>264</v>
      </c>
      <c r="G11" s="4" t="s">
        <v>265</v>
      </c>
      <c r="H11" s="14" t="s">
        <v>266</v>
      </c>
    </row>
    <row r="12" spans="1:8" ht="54" customHeight="1">
      <c r="A12" s="18" t="s">
        <v>267</v>
      </c>
      <c r="B12" s="22" t="s">
        <v>268</v>
      </c>
      <c r="C12" s="4" t="s">
        <v>269</v>
      </c>
      <c r="D12" s="19" t="s">
        <v>270</v>
      </c>
      <c r="E12" s="10" t="s">
        <v>271</v>
      </c>
      <c r="F12" s="4" t="s">
        <v>272</v>
      </c>
      <c r="G12" s="4" t="s">
        <v>273</v>
      </c>
      <c r="H12" s="14" t="s">
        <v>274</v>
      </c>
    </row>
    <row r="13" spans="1:8" ht="54" customHeight="1">
      <c r="A13" s="18" t="s">
        <v>275</v>
      </c>
      <c r="B13" s="22" t="s">
        <v>268</v>
      </c>
      <c r="C13" s="4" t="s">
        <v>276</v>
      </c>
      <c r="D13" s="20" t="s">
        <v>222</v>
      </c>
      <c r="E13" s="10" t="s">
        <v>277</v>
      </c>
      <c r="F13" s="4" t="s">
        <v>278</v>
      </c>
      <c r="G13" s="4" t="s">
        <v>279</v>
      </c>
      <c r="H13" s="14" t="s">
        <v>280</v>
      </c>
    </row>
    <row r="15" spans="1:8">
      <c r="A15" s="6" t="s">
        <v>281</v>
      </c>
    </row>
  </sheetData>
  <mergeCells count="1">
    <mergeCell ref="A1:H1"/>
  </mergeCells>
  <conditionalFormatting sqref="A4:A13">
    <cfRule type="containsText" dxfId="0" priority="1" operator="containsText" text="2026-10-2">
      <formula>NOT(ISERROR(SEARCH("2026-10-2",A4)))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6.7109375" customWidth="1"/>
    <col min="2" max="2" width="38.7109375" customWidth="1"/>
    <col min="3" max="3" width="9.7109375" customWidth="1"/>
    <col min="4" max="4" width="11.7109375" customWidth="1"/>
    <col min="5" max="5" width="30.7109375" customWidth="1"/>
    <col min="6" max="6" width="86.7109375" customWidth="1"/>
  </cols>
  <sheetData>
    <row r="1" spans="1:6" ht="30" customHeight="1">
      <c r="A1" s="1" t="s">
        <v>282</v>
      </c>
      <c r="B1" s="1"/>
      <c r="C1" s="1"/>
      <c r="D1" s="1"/>
      <c r="E1" s="1"/>
      <c r="F1" s="1"/>
    </row>
    <row r="2" spans="1:6" ht="32" customHeight="1">
      <c r="A2" s="6" t="s">
        <v>283</v>
      </c>
      <c r="B2" s="6"/>
      <c r="C2" s="6"/>
      <c r="D2" s="6"/>
      <c r="E2" s="6"/>
      <c r="F2" s="6"/>
    </row>
    <row r="3" spans="1:6">
      <c r="A3" s="7" t="s">
        <v>141</v>
      </c>
      <c r="B3" s="7" t="s">
        <v>284</v>
      </c>
      <c r="C3" s="7" t="s">
        <v>52</v>
      </c>
      <c r="D3" s="7" t="s">
        <v>285</v>
      </c>
      <c r="E3" s="7" t="s">
        <v>286</v>
      </c>
      <c r="F3" s="7" t="s">
        <v>287</v>
      </c>
    </row>
    <row r="4" spans="1:6" ht="44" customHeight="1">
      <c r="A4" s="8">
        <v>1</v>
      </c>
      <c r="B4" s="3" t="s">
        <v>288</v>
      </c>
      <c r="C4" s="9" t="s">
        <v>72</v>
      </c>
      <c r="D4" s="23" t="s">
        <v>289</v>
      </c>
      <c r="E4" s="4" t="s">
        <v>290</v>
      </c>
      <c r="F4" s="4" t="s">
        <v>291</v>
      </c>
    </row>
    <row r="5" spans="1:6" ht="44" customHeight="1">
      <c r="A5" s="8">
        <v>2</v>
      </c>
      <c r="B5" s="3" t="s">
        <v>292</v>
      </c>
      <c r="C5" s="15" t="s">
        <v>89</v>
      </c>
      <c r="D5" s="23" t="s">
        <v>289</v>
      </c>
      <c r="E5" s="4" t="s">
        <v>293</v>
      </c>
      <c r="F5" s="4" t="s">
        <v>294</v>
      </c>
    </row>
    <row r="6" spans="1:6" ht="44" customHeight="1">
      <c r="A6" s="8">
        <v>3</v>
      </c>
      <c r="B6" s="3" t="s">
        <v>295</v>
      </c>
      <c r="C6" s="16" t="s">
        <v>106</v>
      </c>
      <c r="D6" s="23" t="s">
        <v>289</v>
      </c>
      <c r="E6" s="4" t="s">
        <v>296</v>
      </c>
      <c r="F6" s="4" t="s">
        <v>297</v>
      </c>
    </row>
    <row r="7" spans="1:6" ht="44" customHeight="1">
      <c r="A7" s="8">
        <v>4</v>
      </c>
      <c r="B7" s="3" t="s">
        <v>298</v>
      </c>
      <c r="C7" s="17" t="s">
        <v>123</v>
      </c>
      <c r="D7" s="23" t="s">
        <v>289</v>
      </c>
      <c r="E7" s="4" t="s">
        <v>299</v>
      </c>
      <c r="F7" s="4" t="s">
        <v>300</v>
      </c>
    </row>
    <row r="8" spans="1:6" ht="44" customHeight="1">
      <c r="A8" s="8">
        <v>5</v>
      </c>
      <c r="B8" s="3" t="s">
        <v>301</v>
      </c>
      <c r="C8" s="24" t="s">
        <v>302</v>
      </c>
      <c r="D8" s="25" t="s">
        <v>303</v>
      </c>
      <c r="E8" s="4" t="s">
        <v>304</v>
      </c>
      <c r="F8" s="4" t="s">
        <v>305</v>
      </c>
    </row>
    <row r="9" spans="1:6" ht="44" customHeight="1">
      <c r="A9" s="8">
        <v>6</v>
      </c>
      <c r="B9" s="3" t="s">
        <v>306</v>
      </c>
      <c r="C9" s="9" t="s">
        <v>72</v>
      </c>
      <c r="D9" s="25" t="s">
        <v>303</v>
      </c>
      <c r="E9" s="4" t="s">
        <v>307</v>
      </c>
      <c r="F9" s="4" t="s">
        <v>308</v>
      </c>
    </row>
    <row r="10" spans="1:6" ht="44" customHeight="1">
      <c r="A10" s="8">
        <v>7</v>
      </c>
      <c r="B10" s="3" t="s">
        <v>309</v>
      </c>
      <c r="C10" s="16" t="s">
        <v>106</v>
      </c>
      <c r="D10" s="25" t="s">
        <v>303</v>
      </c>
      <c r="E10" s="4" t="s">
        <v>307</v>
      </c>
      <c r="F10" s="4" t="s">
        <v>310</v>
      </c>
    </row>
    <row r="11" spans="1:6" ht="44" customHeight="1">
      <c r="A11" s="8">
        <v>8</v>
      </c>
      <c r="B11" s="3" t="s">
        <v>311</v>
      </c>
      <c r="C11" s="16" t="s">
        <v>106</v>
      </c>
      <c r="D11" s="25" t="s">
        <v>303</v>
      </c>
      <c r="E11" s="4" t="s">
        <v>312</v>
      </c>
      <c r="F11" s="4" t="s">
        <v>313</v>
      </c>
    </row>
    <row r="12" spans="1:6" ht="44" customHeight="1">
      <c r="A12" s="8">
        <v>9</v>
      </c>
      <c r="B12" s="3" t="s">
        <v>314</v>
      </c>
      <c r="C12" s="15" t="s">
        <v>89</v>
      </c>
      <c r="D12" s="25" t="s">
        <v>303</v>
      </c>
      <c r="E12" s="4" t="s">
        <v>315</v>
      </c>
      <c r="F12" s="4" t="s">
        <v>316</v>
      </c>
    </row>
    <row r="13" spans="1:6" ht="44" customHeight="1">
      <c r="A13" s="8">
        <v>10</v>
      </c>
      <c r="B13" s="3" t="s">
        <v>317</v>
      </c>
      <c r="C13" s="22" t="s">
        <v>268</v>
      </c>
      <c r="D13" s="25" t="s">
        <v>303</v>
      </c>
      <c r="E13" s="4" t="s">
        <v>318</v>
      </c>
      <c r="F13" s="4" t="s">
        <v>319</v>
      </c>
    </row>
    <row r="15" spans="1:6">
      <c r="A15" s="5" t="s">
        <v>320</v>
      </c>
      <c r="B15" s="5"/>
      <c r="C15" s="5"/>
      <c r="D15" s="5"/>
      <c r="E15" s="5"/>
      <c r="F15" s="5"/>
    </row>
    <row r="16" spans="1:6">
      <c r="A16" s="7" t="s">
        <v>141</v>
      </c>
      <c r="B16" s="7" t="s">
        <v>142</v>
      </c>
      <c r="C16" s="7" t="s">
        <v>52</v>
      </c>
      <c r="D16" s="7" t="s">
        <v>321</v>
      </c>
      <c r="E16" s="7" t="s">
        <v>322</v>
      </c>
      <c r="F16" s="7" t="s">
        <v>323</v>
      </c>
    </row>
    <row r="17" spans="1:6" ht="54" customHeight="1">
      <c r="A17" s="8">
        <v>1</v>
      </c>
      <c r="B17" s="3" t="s">
        <v>324</v>
      </c>
      <c r="C17" s="10" t="s">
        <v>325</v>
      </c>
      <c r="D17" s="10" t="s">
        <v>326</v>
      </c>
      <c r="E17" s="14" t="s">
        <v>327</v>
      </c>
      <c r="F17" s="4" t="s">
        <v>328</v>
      </c>
    </row>
    <row r="18" spans="1:6" ht="54" customHeight="1">
      <c r="A18" s="8">
        <v>2</v>
      </c>
      <c r="B18" s="3" t="s">
        <v>329</v>
      </c>
      <c r="C18" s="10" t="s">
        <v>325</v>
      </c>
      <c r="D18" s="10" t="s">
        <v>326</v>
      </c>
      <c r="E18" s="14" t="s">
        <v>327</v>
      </c>
      <c r="F18" s="4" t="s">
        <v>330</v>
      </c>
    </row>
    <row r="19" spans="1:6" ht="54" customHeight="1">
      <c r="A19" s="8">
        <v>3</v>
      </c>
      <c r="B19" s="3" t="s">
        <v>175</v>
      </c>
      <c r="C19" s="10" t="s">
        <v>325</v>
      </c>
      <c r="D19" s="10" t="s">
        <v>326</v>
      </c>
      <c r="E19" s="14" t="s">
        <v>327</v>
      </c>
      <c r="F19" s="4" t="s">
        <v>331</v>
      </c>
    </row>
    <row r="20" spans="1:6" ht="54" customHeight="1">
      <c r="A20" s="8">
        <v>4</v>
      </c>
      <c r="B20" s="3" t="s">
        <v>332</v>
      </c>
      <c r="C20" s="10" t="s">
        <v>325</v>
      </c>
      <c r="D20" s="10" t="s">
        <v>326</v>
      </c>
      <c r="E20" s="14" t="s">
        <v>327</v>
      </c>
      <c r="F20" s="4" t="s">
        <v>333</v>
      </c>
    </row>
    <row r="21" spans="1:6" ht="54" customHeight="1">
      <c r="A21" s="8">
        <v>5</v>
      </c>
      <c r="B21" s="3" t="s">
        <v>334</v>
      </c>
      <c r="C21" s="10" t="s">
        <v>325</v>
      </c>
      <c r="D21" s="10" t="s">
        <v>326</v>
      </c>
      <c r="E21" s="14" t="s">
        <v>327</v>
      </c>
      <c r="F21" s="4" t="s">
        <v>335</v>
      </c>
    </row>
    <row r="22" spans="1:6" ht="54" customHeight="1">
      <c r="A22" s="8">
        <v>6</v>
      </c>
      <c r="B22" s="3" t="s">
        <v>317</v>
      </c>
      <c r="C22" s="10" t="s">
        <v>325</v>
      </c>
      <c r="D22" s="10" t="s">
        <v>326</v>
      </c>
      <c r="E22" s="14" t="s">
        <v>327</v>
      </c>
      <c r="F22" s="4" t="s">
        <v>336</v>
      </c>
    </row>
  </sheetData>
  <mergeCells count="3">
    <mergeCell ref="A1:F1"/>
    <mergeCell ref="A2:F2"/>
    <mergeCell ref="A15:F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6.7109375" customWidth="1"/>
    <col min="2" max="2" width="30.7109375" customWidth="1"/>
    <col min="3" max="5" width="32.7109375" customWidth="1"/>
    <col min="6" max="6" width="24.7109375" customWidth="1"/>
    <col min="7" max="7" width="16.7109375" customWidth="1"/>
    <col min="8" max="8" width="30.7109375" customWidth="1"/>
  </cols>
  <sheetData>
    <row r="1" spans="1:8" ht="30" customHeight="1">
      <c r="A1" s="1" t="s">
        <v>337</v>
      </c>
      <c r="B1" s="1"/>
      <c r="C1" s="1"/>
      <c r="D1" s="1"/>
      <c r="E1" s="1"/>
      <c r="F1" s="1"/>
      <c r="G1" s="1"/>
      <c r="H1" s="1"/>
    </row>
    <row r="2" spans="1:8" ht="30" customHeight="1">
      <c r="A2" s="6" t="s">
        <v>338</v>
      </c>
      <c r="B2" s="6"/>
      <c r="C2" s="6"/>
      <c r="D2" s="6"/>
      <c r="E2" s="6"/>
      <c r="F2" s="6"/>
      <c r="G2" s="6"/>
      <c r="H2" s="6"/>
    </row>
    <row r="3" spans="1:8">
      <c r="A3" s="7" t="s">
        <v>141</v>
      </c>
      <c r="B3" s="7" t="s">
        <v>339</v>
      </c>
      <c r="C3" s="7" t="s">
        <v>63</v>
      </c>
      <c r="D3" s="7" t="s">
        <v>64</v>
      </c>
      <c r="E3" s="7" t="s">
        <v>340</v>
      </c>
      <c r="F3" s="7" t="s">
        <v>341</v>
      </c>
      <c r="G3" s="7" t="s">
        <v>342</v>
      </c>
      <c r="H3" s="7" t="s">
        <v>343</v>
      </c>
    </row>
    <row r="4" spans="1:8" ht="92" customHeight="1">
      <c r="A4" s="8">
        <v>1</v>
      </c>
      <c r="B4" s="3" t="s">
        <v>71</v>
      </c>
      <c r="C4" s="11" t="s">
        <v>80</v>
      </c>
      <c r="D4" s="12" t="s">
        <v>81</v>
      </c>
      <c r="E4" s="13" t="s">
        <v>82</v>
      </c>
      <c r="F4" s="4" t="s">
        <v>85</v>
      </c>
      <c r="G4" s="10"/>
      <c r="H4" s="4"/>
    </row>
    <row r="5" spans="1:8" ht="92" customHeight="1">
      <c r="A5" s="8">
        <v>2</v>
      </c>
      <c r="B5" s="3" t="s">
        <v>88</v>
      </c>
      <c r="C5" s="11" t="s">
        <v>97</v>
      </c>
      <c r="D5" s="12" t="s">
        <v>98</v>
      </c>
      <c r="E5" s="13" t="s">
        <v>99</v>
      </c>
      <c r="F5" s="4" t="s">
        <v>102</v>
      </c>
      <c r="G5" s="10"/>
      <c r="H5" s="4"/>
    </row>
    <row r="6" spans="1:8" ht="92" customHeight="1">
      <c r="A6" s="8">
        <v>3</v>
      </c>
      <c r="B6" s="3" t="s">
        <v>105</v>
      </c>
      <c r="C6" s="11" t="s">
        <v>114</v>
      </c>
      <c r="D6" s="12" t="s">
        <v>115</v>
      </c>
      <c r="E6" s="13" t="s">
        <v>116</v>
      </c>
      <c r="F6" s="4" t="s">
        <v>119</v>
      </c>
      <c r="G6" s="10"/>
      <c r="H6" s="4"/>
    </row>
    <row r="7" spans="1:8" ht="92" customHeight="1">
      <c r="A7" s="8">
        <v>4</v>
      </c>
      <c r="B7" s="3" t="s">
        <v>122</v>
      </c>
      <c r="C7" s="11" t="s">
        <v>131</v>
      </c>
      <c r="D7" s="12" t="s">
        <v>132</v>
      </c>
      <c r="E7" s="13" t="s">
        <v>133</v>
      </c>
      <c r="F7" s="4" t="s">
        <v>136</v>
      </c>
      <c r="G7" s="10"/>
      <c r="H7" s="4"/>
    </row>
  </sheetData>
  <mergeCells count="2">
    <mergeCell ref="A1:H1"/>
    <mergeCell ref="A2:H2"/>
  </mergeCells>
  <conditionalFormatting sqref="G4:G7">
    <cfRule type="containsText" dxfId="1" priority="1" operator="containsText" text="确认">
      <formula>NOT(ISERROR(SEARCH("确认",G4)))</formula>
    </cfRule>
    <cfRule type="containsText" dxfId="2" priority="2" operator="containsText" text="否证">
      <formula>NOT(ISERROR(SEARCH("否证",G4)))</formula>
    </cfRule>
    <cfRule type="containsText" dxfId="3" priority="3" operator="containsText" text="失效">
      <formula>NOT(ISERROR(SEARCH("失效",G4)))</formula>
    </cfRule>
  </conditionalFormatting>
  <dataValidations count="1">
    <dataValidation type="list" allowBlank="1" showInputMessage="1" showErrorMessage="1" promptTitle="本次状态" prompt="选择本次读数对应的状态" sqref="G4:G7">
      <formula1>"未触发,确认信号,否证信号,变量失效"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6.7109375" customWidth="1"/>
    <col min="2" max="2" width="32.7109375" customWidth="1"/>
    <col min="3" max="3" width="46.7109375" customWidth="1"/>
    <col min="4" max="4" width="42.7109375" customWidth="1"/>
    <col min="5" max="5" width="34.7109375" customWidth="1"/>
  </cols>
  <sheetData>
    <row r="1" spans="1:5" ht="30" customHeight="1">
      <c r="A1" s="1" t="s">
        <v>344</v>
      </c>
      <c r="B1" s="1"/>
      <c r="C1" s="1"/>
      <c r="D1" s="1"/>
      <c r="E1" s="1"/>
    </row>
    <row r="2" spans="1:5" ht="24" customHeight="1">
      <c r="A2" s="6" t="s">
        <v>345</v>
      </c>
      <c r="B2" s="6"/>
      <c r="C2" s="6"/>
      <c r="D2" s="6"/>
      <c r="E2" s="6"/>
    </row>
    <row r="3" spans="1:5">
      <c r="A3" s="7" t="s">
        <v>141</v>
      </c>
      <c r="B3" s="7" t="s">
        <v>142</v>
      </c>
      <c r="C3" s="7" t="s">
        <v>346</v>
      </c>
      <c r="D3" s="7" t="s">
        <v>347</v>
      </c>
      <c r="E3" s="7" t="s">
        <v>348</v>
      </c>
    </row>
    <row r="4" spans="1:5" ht="52" customHeight="1">
      <c r="A4" s="8">
        <v>1</v>
      </c>
      <c r="B4" s="3" t="s">
        <v>349</v>
      </c>
      <c r="C4" s="4" t="s">
        <v>350</v>
      </c>
      <c r="D4" s="4" t="s">
        <v>351</v>
      </c>
      <c r="E4" s="14" t="s">
        <v>352</v>
      </c>
    </row>
    <row r="5" spans="1:5" ht="52" customHeight="1">
      <c r="A5" s="8">
        <v>2</v>
      </c>
      <c r="B5" s="3" t="s">
        <v>353</v>
      </c>
      <c r="C5" s="4" t="s">
        <v>354</v>
      </c>
      <c r="D5" s="4" t="s">
        <v>355</v>
      </c>
      <c r="E5" s="14" t="s">
        <v>356</v>
      </c>
    </row>
    <row r="6" spans="1:5" ht="52" customHeight="1">
      <c r="A6" s="8">
        <v>3</v>
      </c>
      <c r="B6" s="3" t="s">
        <v>357</v>
      </c>
      <c r="C6" s="4" t="s">
        <v>358</v>
      </c>
      <c r="D6" s="4" t="s">
        <v>359</v>
      </c>
      <c r="E6" s="14" t="s">
        <v>360</v>
      </c>
    </row>
    <row r="7" spans="1:5" ht="52" customHeight="1">
      <c r="A7" s="8">
        <v>4</v>
      </c>
      <c r="B7" s="3" t="s">
        <v>361</v>
      </c>
      <c r="C7" s="4" t="s">
        <v>362</v>
      </c>
      <c r="D7" s="4" t="s">
        <v>363</v>
      </c>
      <c r="E7" s="14" t="s">
        <v>364</v>
      </c>
    </row>
    <row r="8" spans="1:5" ht="52" customHeight="1">
      <c r="A8" s="8">
        <v>5</v>
      </c>
      <c r="B8" s="3" t="s">
        <v>365</v>
      </c>
      <c r="C8" s="4" t="s">
        <v>366</v>
      </c>
      <c r="D8" s="4" t="s">
        <v>367</v>
      </c>
      <c r="E8" s="14" t="s">
        <v>368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5"/>
  <sheetViews>
    <sheetView showGridLines="0" workbookViewId="0"/>
  </sheetViews>
  <sheetFormatPr defaultRowHeight="15"/>
  <cols>
    <col min="1" max="1" width="20.7109375" customWidth="1"/>
    <col min="2" max="2" width="70.7109375" customWidth="1"/>
    <col min="3" max="3" width="32.7109375" customWidth="1"/>
  </cols>
  <sheetData>
    <row r="1" spans="1:3" ht="30" customHeight="1">
      <c r="A1" s="1" t="s">
        <v>369</v>
      </c>
      <c r="B1" s="1"/>
      <c r="C1" s="1"/>
    </row>
    <row r="3" spans="1:3">
      <c r="A3" s="7" t="s">
        <v>370</v>
      </c>
      <c r="B3" s="7" t="s">
        <v>371</v>
      </c>
      <c r="C3" s="7" t="s">
        <v>213</v>
      </c>
    </row>
    <row r="4" spans="1:3" ht="36" customHeight="1">
      <c r="A4" s="3" t="s">
        <v>372</v>
      </c>
      <c r="B4" s="4" t="s">
        <v>373</v>
      </c>
      <c r="C4" s="14" t="s">
        <v>374</v>
      </c>
    </row>
    <row r="5" spans="1:3" ht="36" customHeight="1">
      <c r="A5" s="3" t="s">
        <v>375</v>
      </c>
      <c r="B5" s="4" t="s">
        <v>376</v>
      </c>
      <c r="C5" s="14" t="s">
        <v>377</v>
      </c>
    </row>
    <row r="6" spans="1:3" ht="36" customHeight="1">
      <c r="A6" s="3" t="s">
        <v>378</v>
      </c>
      <c r="B6" s="4" t="s">
        <v>379</v>
      </c>
      <c r="C6" s="14" t="s">
        <v>380</v>
      </c>
    </row>
    <row r="7" spans="1:3" ht="36" customHeight="1">
      <c r="A7" s="3" t="s">
        <v>381</v>
      </c>
      <c r="B7" s="4" t="s">
        <v>382</v>
      </c>
      <c r="C7" s="14" t="s">
        <v>383</v>
      </c>
    </row>
    <row r="8" spans="1:3" ht="36" customHeight="1">
      <c r="A8" s="3" t="s">
        <v>384</v>
      </c>
      <c r="B8" s="4" t="s">
        <v>385</v>
      </c>
      <c r="C8" s="14" t="s">
        <v>386</v>
      </c>
    </row>
    <row r="10" spans="1:3">
      <c r="A10" s="5" t="s">
        <v>387</v>
      </c>
      <c r="B10" s="5"/>
      <c r="C10" s="5"/>
    </row>
    <row r="11" spans="1:3">
      <c r="A11" s="7" t="s">
        <v>339</v>
      </c>
      <c r="B11" s="7" t="s">
        <v>68</v>
      </c>
      <c r="C11" s="7" t="s">
        <v>56</v>
      </c>
    </row>
    <row r="12" spans="1:3" ht="34" customHeight="1">
      <c r="A12" s="3" t="s">
        <v>71</v>
      </c>
      <c r="B12" s="4" t="s">
        <v>85</v>
      </c>
      <c r="C12" s="14" t="s">
        <v>73</v>
      </c>
    </row>
    <row r="13" spans="1:3" ht="34" customHeight="1">
      <c r="A13" s="3" t="s">
        <v>88</v>
      </c>
      <c r="B13" s="4" t="s">
        <v>102</v>
      </c>
      <c r="C13" s="14" t="s">
        <v>90</v>
      </c>
    </row>
    <row r="14" spans="1:3" ht="34" customHeight="1">
      <c r="A14" s="3" t="s">
        <v>105</v>
      </c>
      <c r="B14" s="4" t="s">
        <v>119</v>
      </c>
      <c r="C14" s="14" t="s">
        <v>107</v>
      </c>
    </row>
    <row r="15" spans="1:3" ht="34" customHeight="1">
      <c r="A15" s="3" t="s">
        <v>122</v>
      </c>
      <c r="B15" s="4" t="s">
        <v>136</v>
      </c>
      <c r="C15" s="14" t="s">
        <v>124</v>
      </c>
    </row>
  </sheetData>
  <mergeCells count="2">
    <mergeCell ref="A1:C1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 封面</vt:lpstr>
      <vt:lpstr>01 变量观察总表</vt:lpstr>
      <vt:lpstr>02 当前产业状态</vt:lpstr>
      <vt:lpstr>03 未来事件时间线</vt:lpstr>
      <vt:lpstr>04 候选池与筛选</vt:lpstr>
      <vt:lpstr>05 验证条件与触发器</vt:lpstr>
      <vt:lpstr>06 数据缺口登记</vt:lpstr>
      <vt:lpstr>07 观察日程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2026-10-20T04:11:57Z</dcterms:created>
  <dcterms:modified xsi:type="dcterms:W3CDTF">2026-10-20T04:11:57Z</dcterms:modified>
</cp:coreProperties>
</file>
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与结论" sheetId="1" state="visible" r:id="rId1"/>
    <sheet xmlns:r="http://schemas.openxmlformats.org/officeDocument/2006/relationships" name="01_价格序列" sheetId="2" state="visible" r:id="rId2"/>
    <sheet xmlns:r="http://schemas.openxmlformats.org/officeDocument/2006/relationships" name="02_分期对齐" sheetId="3" state="visible" r:id="rId3"/>
    <sheet xmlns:r="http://schemas.openxmlformats.org/officeDocument/2006/relationships" name="03_因子同期数据" sheetId="4" state="visible" r:id="rId4"/>
    <sheet xmlns:r="http://schemas.openxmlformats.org/officeDocument/2006/relationships" name="04_变动幅度与分级" sheetId="5" state="visible" r:id="rId5"/>
    <sheet xmlns:r="http://schemas.openxmlformats.org/officeDocument/2006/relationships" name="05_事件清单" sheetId="6" state="visible" r:id="rId6"/>
    <sheet xmlns:r="http://schemas.openxmlformats.org/officeDocument/2006/relationships" name="06_证据分级" sheetId="7" state="visible" r:id="rId7"/>
    <sheet xmlns:r="http://schemas.openxmlformats.org/officeDocument/2006/relationships" name="07_候选解释排序" sheetId="8" state="visible" r:id="rId8"/>
    <sheet xmlns:r="http://schemas.openxmlformats.org/officeDocument/2006/relationships" name="08_来源与口径" sheetId="9" state="visible" r:id="rId9"/>
    <sheet xmlns:r="http://schemas.openxmlformats.org/officeDocument/2006/relationships" name="09_异动与阶段" sheetId="10" state="visible" r:id="rId10"/>
    <sheet xmlns:r="http://schemas.openxmlformats.org/officeDocument/2006/relationships" name="10_期现结构" sheetId="11" state="visible" r:id="rId11"/>
    <sheet xmlns:r="http://schemas.openxmlformats.org/officeDocument/2006/relationships" name="11_数据缺口" sheetId="12" state="visible" r:id="rId12"/>
    <sheet xmlns:r="http://schemas.openxmlformats.org/officeDocument/2006/relationships" name="12_复算校验" sheetId="13" state="visible" r:id="rId13"/>
  </sheets>
  <definedNames>
    <definedName name="_xlnm._FilterDatabase" localSheetId="1" hidden="1">'01_价格序列'!$A$4:$I$84</definedName>
    <definedName name="_xlnm._FilterDatabase" localSheetId="3" hidden="1">'03_因子同期数据'!$A$4:$H$33</definedName>
    <definedName name="_xlnm._FilterDatabase" localSheetId="4" hidden="1">'04_变动幅度与分级'!$A$4:$I$52</definedName>
    <definedName name="_xlnm._FilterDatabase" localSheetId="5" hidden="1">'05_事件清单'!$A$4:$J$16</definedName>
    <definedName name="_xlnm._FilterDatabase" localSheetId="6" hidden="1">'06_证据分级'!$A$4:$G$52</definedName>
    <definedName name="_xlnm._FilterDatabase" localSheetId="9" hidden="1">'09_异动与阶段'!$A$4:$G$4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4A6273"/>
      <sz val="10"/>
    </font>
    <font>
      <b val="1"/>
      <color rgb="001F3140"/>
      <sz val="12"/>
    </font>
    <font>
      <b val="1"/>
      <sz val="10.5"/>
    </font>
    <font>
      <b val="1"/>
      <color rgb="00FFFFFF"/>
      <sz val="10.5"/>
    </font>
    <font>
      <b val="1"/>
      <color rgb="00C00000"/>
      <sz val="12"/>
    </font>
    <font>
      <color rgb="000563C1"/>
      <sz val="9"/>
      <u val="single"/>
    </font>
    <font>
      <b val="1"/>
      <color rgb="00C00000"/>
      <sz val="11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0E1720"/>
      </patternFill>
    </fill>
    <fill>
      <patternFill patternType="solid">
        <fgColor rgb="00E8EEF2"/>
      </patternFill>
    </fill>
    <fill>
      <patternFill patternType="solid">
        <fgColor rgb="001F3140"/>
      </patternFill>
    </fill>
    <fill>
      <patternFill patternType="solid">
        <fgColor rgb="00DCEBFC"/>
      </patternFill>
    </fill>
    <fill>
      <patternFill patternType="solid">
        <fgColor rgb="00D6F5E9"/>
      </patternFill>
    </fill>
    <fill>
      <patternFill patternType="solid">
        <fgColor rgb="00ECEEF0"/>
      </patternFill>
    </fill>
    <fill>
      <patternFill patternType="solid">
        <fgColor rgb="00FDF0D5"/>
      </patternFill>
    </fill>
    <fill>
      <patternFill patternType="solid">
        <fgColor rgb="00EDEFF1"/>
      </patternFill>
    </fill>
    <fill>
      <patternFill patternType="solid">
        <fgColor rgb="00F4F7F9"/>
      </patternFill>
    </fill>
    <fill>
      <patternFill patternType="solid">
        <fgColor rgb="00E0F7EF"/>
      </patternFill>
    </fill>
  </fills>
  <borders count="2">
    <border>
      <left/>
      <right/>
      <top/>
      <bottom/>
      <diagonal/>
    </border>
    <border>
      <left style="thin">
        <color rgb="00D5DDE3"/>
      </left>
      <right style="thin">
        <color rgb="00D5DDE3"/>
      </right>
      <top style="thin">
        <color rgb="00D5DDE3"/>
      </top>
      <bottom style="thin">
        <color rgb="00D5DDE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4" fontId="0" fillId="10" borderId="1" applyAlignment="1" pivotButton="0" quotePrefix="0" xfId="0">
      <alignment vertical="top"/>
    </xf>
    <xf numFmtId="2" fontId="0" fillId="10" borderId="1" applyAlignment="1" pivotButton="0" quotePrefix="0" xfId="0">
      <alignment vertical="top"/>
    </xf>
    <xf numFmtId="4" fontId="0" fillId="9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2" fontId="0" fillId="9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11" borderId="1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FE3E3"/>
        </patternFill>
      </fill>
    </dxf>
    <dxf>
      <fill>
        <patternFill patternType="solid">
          <fgColor rgb="00E0F7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100ppi.com/news/detail-20260824-6115793.html" TargetMode="External" Id="rId1"/><Relationship Type="http://schemas.openxmlformats.org/officeDocument/2006/relationships/hyperlink" Target="https://www.100ppi.com/news/detail-20260831-6148493.html" TargetMode="External" Id="rId2"/><Relationship Type="http://schemas.openxmlformats.org/officeDocument/2006/relationships/hyperlink" Target="https://www.100ppi.com/news/detail-20260915-6217366.html" TargetMode="External" Id="rId3"/><Relationship Type="http://schemas.openxmlformats.org/officeDocument/2006/relationships/hyperlink" Target="https://www.100ppi.com/news/detail-20260917-6233902.html" TargetMode="External" Id="rId4"/><Relationship Type="http://schemas.openxmlformats.org/officeDocument/2006/relationships/hyperlink" Target="https://www.100ppi.com/news/detail-20260917-6233952.html" TargetMode="External" Id="rId5"/><Relationship Type="http://schemas.openxmlformats.org/officeDocument/2006/relationships/hyperlink" Target="https://www.100ppi.com/news/detail-20260921-6248138.html" TargetMode="External" Id="rId6"/><Relationship Type="http://schemas.openxmlformats.org/officeDocument/2006/relationships/hyperlink" Target="https://www.100ppi.com/news/detail-20260921-6253229.html" TargetMode="External" Id="rId7"/><Relationship Type="http://schemas.openxmlformats.org/officeDocument/2006/relationships/hyperlink" Target="https://www.100ppi.com/news/detail-20260928-6276691.html" TargetMode="External" Id="rId8"/><Relationship Type="http://schemas.openxmlformats.org/officeDocument/2006/relationships/hyperlink" Target="https://www.100ppi.com/news/detail-20261009-6320033.html" TargetMode="External" Id="rId9"/><Relationship Type="http://schemas.openxmlformats.org/officeDocument/2006/relationships/hyperlink" Target="https://www.100ppi.com/news/detail-20261010-6320248.html" TargetMode="External" Id="rId10"/><Relationship Type="http://schemas.openxmlformats.org/officeDocument/2006/relationships/hyperlink" Target="https://www.100ppi.com/news/detail-20261014-6339781.html" TargetMode="External" Id="rId11"/><Relationship Type="http://schemas.openxmlformats.org/officeDocument/2006/relationships/hyperlink" Target="https://www.100ppi.com/news/detail-20261014-6339780.html" TargetMode="External" Id="rId1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100ppi.com/news/detail-20260921-6253229.html" TargetMode="External" Id="rId1"/><Relationship Type="http://schemas.openxmlformats.org/officeDocument/2006/relationships/hyperlink" Target="https://www.cctd.com.cn/" TargetMode="External" Id="rId2"/><Relationship Type="http://schemas.openxmlformats.org/officeDocument/2006/relationships/hyperlink" Target="https://finance.sina.com.cn/futures/quotes/SC0.shtml" TargetMode="External" Id="rId3"/><Relationship Type="http://schemas.openxmlformats.org/officeDocument/2006/relationships/hyperlink" Target="https://finance.sina.com.cn/futures/quotes/PP0.shtml" TargetMode="External" Id="rId4"/><Relationship Type="http://schemas.openxmlformats.org/officeDocument/2006/relationships/hyperlink" Target="https://www.100ppi.com/news/detail-20260824-6115793.html" TargetMode="External" Id="rId5"/><Relationship Type="http://schemas.openxmlformats.org/officeDocument/2006/relationships/hyperlink" Target="https://www.100ppi.com/news/detail-20260831-6148493.html" TargetMode="External" Id="rId6"/><Relationship Type="http://schemas.openxmlformats.org/officeDocument/2006/relationships/hyperlink" Target="https://www.100ppi.com/news/detail-20260917-6233902.html" TargetMode="External" Id="rId7"/><Relationship Type="http://schemas.openxmlformats.org/officeDocument/2006/relationships/hyperlink" Target="https://www.100ppi.com/news/detail-20260928-6276691.html" TargetMode="External" Id="rId8"/><Relationship Type="http://schemas.openxmlformats.org/officeDocument/2006/relationships/hyperlink" Target="https://www.100ppi.com/news/detail-20261009-6320033.html" TargetMode="External" Id="rId9"/><Relationship Type="http://schemas.openxmlformats.org/officeDocument/2006/relationships/hyperlink" Target="https://www.100ppi.com/news/detail-20261010-6320248.html" TargetMode="External" Id="rId10"/><Relationship Type="http://schemas.openxmlformats.org/officeDocument/2006/relationships/hyperlink" Target="https://www.100ppi.com/news/detail-20260915-6217366.html" TargetMode="External" Id="rId11"/><Relationship Type="http://schemas.openxmlformats.org/officeDocument/2006/relationships/hyperlink" Target="https://www.100ppi.com/news/detail-20260917-6233952.html" TargetMode="External" Id="rId12"/><Relationship Type="http://schemas.openxmlformats.org/officeDocument/2006/relationships/hyperlink" Target="https://www.100ppi.com/news/detail-20260921-6248138.html" TargetMode="External" Id="rId13"/><Relationship Type="http://schemas.openxmlformats.org/officeDocument/2006/relationships/hyperlink" Target="https://www.100ppi.com/news/detail-20261014-6339781.html" TargetMode="External" Id="rId14"/><Relationship Type="http://schemas.openxmlformats.org/officeDocument/2006/relationships/hyperlink" Target="https://www.100ppi.com/news/detail-20261014-6339780.html" TargetMode="External" Id="rId15"/><Relationship Type="http://schemas.openxmlformats.org/officeDocument/2006/relationships/hyperlink" Target="https://www.100ppi.com/news/detail-20260917-6233906.html" TargetMode="External" Id="rId16"/><Relationship Type="http://schemas.openxmlformats.org/officeDocument/2006/relationships/hyperlink" Target="https://www.100ppi.com/news/detail-20260709-5896902.html" TargetMode="External" Id="rId17"/><Relationship Type="http://schemas.openxmlformats.org/officeDocument/2006/relationships/hyperlink" Target="https://www.100ppi.com/news/detail-20260921-6253433.html" TargetMode="External" Id="rId18"/><Relationship Type="http://schemas.openxmlformats.org/officeDocument/2006/relationships/hyperlink" Target="https://www.100ppi.com/forecast/detail-20261016-208613.html" TargetMode="External" Id="rId19"/><Relationship Type="http://schemas.openxmlformats.org/officeDocument/2006/relationships/hyperlink" Target="https://www.100ppi.com/news/detail-20261014-6339768.html" TargetMode="External" Id="rId20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sina.com.cn/futures/quotes/MA0.shtml" TargetMode="External" Id="rId1"/><Relationship Type="http://schemas.openxmlformats.org/officeDocument/2006/relationships/hyperlink" Target="https://www.cctd.com.cn/" TargetMode="External" Id="rId2"/><Relationship Type="http://schemas.openxmlformats.org/officeDocument/2006/relationships/hyperlink" Target="https://finance.sina.com.cn/futures/quotes/PP0.shtml" TargetMode="External" Id="rId3"/><Relationship Type="http://schemas.openxmlformats.org/officeDocument/2006/relationships/hyperlink" Target="https://finance.sina.com.cn/futures/quotes/SC0.shtml" TargetMode="External" Id="rId4"/><Relationship Type="http://schemas.openxmlformats.org/officeDocument/2006/relationships/hyperlink" Target="https://www.100ppi.com/" TargetMode="External" Id="rId5"/></Relationships>
</file>

<file path=xl/worksheets/sheet1.xml><?xml version="1.0" encoding="utf-8"?>
<worksheet xmlns="http://schemas.openxmlformats.org/spreadsheetml/2006/main">
  <sheetPr>
    <tabColor rgb="001F3140"/>
    <outlinePr summaryBelow="1" summaryRight="1"/>
    <pageSetUpPr/>
  </sheetPr>
  <dimension ref="A1:D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4" customWidth="1" min="3" max="3"/>
    <col width="68" customWidth="1" min="4" max="4"/>
  </cols>
  <sheetData>
    <row r="1" ht="30" customHeight="1">
      <c r="A1" s="1" t="inlineStr">
        <is>
          <t>期现及产业基本面研究 · 多因素归因工作簿</t>
        </is>
      </c>
    </row>
    <row r="2" ht="28" customHeight="1">
      <c r="A2" s="2" t="inlineStr">
        <is>
          <t>华东甲醇 2026-06-30 → 2026-10-19 多因素行情归因 ｜ 甲醇 ｜ 华东（太仓／张家港／宁波港口现货为主，价格锚定生意社甲醇指数） ｜ 窗口 2026-06-30 → 2026-10-19 ｜ 生成 2026-10-20 12:54</t>
        </is>
      </c>
    </row>
    <row r="4">
      <c r="A4" s="3" t="inlineStr">
        <is>
          <t>一、复核：到底涨跌了多少</t>
        </is>
      </c>
      <c r="B4" s="4" t="inlineStr"/>
      <c r="C4" s="4" t="inlineStr"/>
      <c r="D4" s="4" t="inlineStr"/>
    </row>
    <row r="5">
      <c r="A5" s="5" t="inlineStr">
        <is>
          <t>华东甲醇现货（指数口径）</t>
        </is>
      </c>
      <c r="B5" t="inlineStr">
        <is>
          <t>2813.33 → 3966.67</t>
        </is>
      </c>
      <c r="C5" t="inlineStr">
        <is>
          <t>+41.00%（+1153.34 元/吨）</t>
        </is>
      </c>
      <c r="D5" t="inlineStr">
        <is>
          <t>起点与实际使用日期：2026-06-30 → 2026-10-19</t>
        </is>
      </c>
    </row>
    <row r="6">
      <c r="A6" s="5" t="inlineStr">
        <is>
          <t>甲醇期货主连 MA0</t>
        </is>
      </c>
      <c r="B6" t="inlineStr">
        <is>
          <t>2428 → 3143</t>
        </is>
      </c>
      <c r="C6" t="inlineStr">
        <is>
          <t>+29.45%（+715 元/吨）</t>
        </is>
      </c>
      <c r="D6" t="inlineStr">
        <is>
          <t>主连在 9/29—9/30 由 MA2610 切换至 MA2701，跨切换比较会失真</t>
        </is>
      </c>
    </row>
    <row r="7">
      <c r="A7" s="5" t="inlineStr">
        <is>
          <t>基差（现货−主力合约）</t>
        </is>
      </c>
      <c r="B7" t="inlineStr">
        <is>
          <t>385 → 824</t>
        </is>
      </c>
      <c r="C7" t="inlineStr">
        <is>
          <t>峰值 1647（2026-09-29）／低点 -164（2026-07-20）</t>
        </is>
      </c>
      <c r="D7" t="inlineStr">
        <is>
          <t>主力合约按"当日持仓量最大"规则确定</t>
        </is>
      </c>
    </row>
    <row r="8">
      <c r="A8" s="5" t="inlineStr">
        <is>
          <t>区间极值</t>
        </is>
      </c>
      <c r="B8" t="inlineStr">
        <is>
          <t>现货高 4733.33（2026-10-09）／低 2518.33（2026-07-06）</t>
        </is>
      </c>
      <c r="C8" t="inlineStr">
        <is>
          <t>期货高 3430（2026-09-10）／低 2347（2026-07-02）</t>
        </is>
      </c>
      <c r="D8" t="inlineStr">
        <is>
          <t>极值日期不等，说明现货与期货的顶部不同步</t>
        </is>
      </c>
    </row>
    <row r="9">
      <c r="A9" t="inlineStr"/>
      <c r="B9" t="inlineStr"/>
      <c r="C9" t="inlineStr"/>
      <c r="D9" t="inlineStr"/>
    </row>
    <row r="10">
      <c r="A10" s="3" t="inlineStr">
        <is>
          <t>二、证据分级统计</t>
        </is>
      </c>
      <c r="B10" s="4" t="inlineStr"/>
      <c r="C10" s="4" t="inlineStr"/>
      <c r="D10" s="4" t="inlineStr"/>
    </row>
    <row r="11">
      <c r="A11" s="5" t="inlineStr">
        <is>
          <t>证据条目总数</t>
        </is>
      </c>
      <c r="B11" t="n">
        <v>48</v>
      </c>
      <c r="C11" t="inlineStr">
        <is>
          <t>带日期事件 12 条</t>
        </is>
      </c>
      <c r="D11" t="inlineStr"/>
    </row>
    <row r="12">
      <c r="A12" s="5" t="inlineStr">
        <is>
          <t>E1 直接数据支持</t>
        </is>
      </c>
      <c r="B12" t="n">
        <v>9</v>
      </c>
      <c r="C12" t="inlineStr">
        <is>
          <t>直接数据支持</t>
        </is>
      </c>
      <c r="D12" t="inlineStr"/>
    </row>
    <row r="13">
      <c r="A13" s="5" t="inlineStr">
        <is>
          <t>E2 数据＋事件时间吻合</t>
        </is>
      </c>
      <c r="B13" t="n">
        <v>20</v>
      </c>
      <c r="C13" t="inlineStr">
        <is>
          <t>数据＋事件时间吻合</t>
        </is>
      </c>
      <c r="D13" t="inlineStr"/>
    </row>
    <row r="14">
      <c r="A14" s="5" t="inlineStr">
        <is>
          <t>E3 仅时间吻合</t>
        </is>
      </c>
      <c r="B14" t="n">
        <v>10</v>
      </c>
      <c r="C14" t="inlineStr">
        <is>
          <t>仅时间吻合</t>
        </is>
      </c>
      <c r="D14" t="inlineStr"/>
    </row>
    <row r="15">
      <c r="A15" s="5" t="inlineStr">
        <is>
          <t>E4 缺乏证据／无法检验</t>
        </is>
      </c>
      <c r="B15" t="n">
        <v>9</v>
      </c>
      <c r="C15" t="inlineStr">
        <is>
          <t>缺乏证据／无法检验</t>
        </is>
      </c>
      <c r="D15" t="inlineStr"/>
    </row>
    <row r="16">
      <c r="A16" t="inlineStr"/>
      <c r="B16" t="inlineStr"/>
      <c r="C16" t="inlineStr"/>
      <c r="D16" t="inlineStr"/>
    </row>
    <row r="17">
      <c r="A17" s="3" t="inlineStr">
        <is>
          <t>三、总体结论</t>
        </is>
      </c>
      <c r="B17" s="4" t="inlineStr"/>
      <c r="C17" s="4" t="inlineStr"/>
      <c r="D17" s="4" t="inlineStr"/>
    </row>
    <row r="18">
      <c r="A18" s="5" t="inlineStr">
        <is>
          <t>一句话结论</t>
        </is>
      </c>
      <c r="B18" t="inlineStr">
        <is>
          <t>这是一轮“外生地缘冲击打穿进口端 + 国内低库存放大 + 下游利润被击穿后负反馈”的三段式行情，不是单一煤炭成本推动；价格在 10/9 见顶后回落，回落的第一顺序证据是 MTO 降负停车的需求负反馈，而不是成本回落。</t>
        </is>
      </c>
      <c r="C18" t="inlineStr"/>
      <c r="D18" t="inlineStr"/>
    </row>
    <row r="20">
      <c r="A20" s="6" t="inlineStr">
        <is>
          <t>四、候选解释（按证据强弱排序，不代表解释占比）</t>
        </is>
      </c>
    </row>
    <row r="21" ht="30" customHeight="1">
      <c r="A21" s="7" t="inlineStr">
        <is>
          <t>排名</t>
        </is>
      </c>
      <c r="B21" s="7" t="inlineStr">
        <is>
          <t>等级</t>
        </is>
      </c>
      <c r="C21" s="7" t="inlineStr">
        <is>
          <t>候选解释</t>
        </is>
      </c>
      <c r="D21" s="7" t="inlineStr">
        <is>
          <t>支持证据要点</t>
        </is>
      </c>
    </row>
    <row r="22">
      <c r="A22" t="n">
        <v>1</v>
      </c>
      <c r="B22" s="8" t="inlineStr">
        <is>
          <t>E2</t>
        </is>
      </c>
      <c r="C22" t="inlineStr">
        <is>
          <t>外生冲击经实物进口端传导（伊朗装置停车＋霍尔木兹航运受阻＋到港骤降），是国内现货主升浪的第一顺序驱动</t>
        </is>
      </c>
      <c r="D22" t="inlineStr">
        <is>
          <t>8/31、9/28、10/10 三次可引的伊朗装置停车披露，合计涉及 Sabalan 165 万吨/年、Kimiya 165 万吨/年、KPC 66 万吨/年；9/15 霍尔木兹油轮日租首次突破 100 万美元；9/17 中东装置降负、船期延误，货源转向印度/东南亚；9/17 周度到港仅 13—14 万吨，9 月全月预估 45—50 万吨（对比 7 月近 99 万吨）；9/21 海关口径：8 月进口 80.53 万吨，环比 −18.83%，1—8 月同比 −32.30%</t>
        </is>
      </c>
    </row>
    <row r="23">
      <c r="A23" t="n">
        <v>2</v>
      </c>
      <c r="B23" s="9" t="inlineStr">
        <is>
          <t>E1</t>
        </is>
      </c>
      <c r="C23" t="inlineStr">
        <is>
          <t>煤炭成本抬升（秦皇岛 5500 动力煤 789→1029，+30.4%）提供了价格中枢与底部支撑</t>
        </is>
      </c>
      <c r="D23" t="inlineStr">
        <is>
          <t>窗口内煤价 +22.21%（6/30→10/19），在 2024 年 6 月以来自身上升历史中位于 99.9 分位（z=+1.88）；四个上行阶段中煤炭方向全部与现货同向；10/16 生意社周评明确“煤价延续高位震荡，对甲醇仍存支撑”</t>
        </is>
      </c>
    </row>
    <row r="24">
      <c r="A24" t="n">
        <v>3</v>
      </c>
      <c r="B24" s="8" t="inlineStr">
        <is>
          <t>E2</t>
        </is>
      </c>
      <c r="C24" t="inlineStr">
        <is>
          <t>高价击穿外采型 MTO 利润，需求负反馈是 10 月回落的第一顺序原因</t>
        </is>
      </c>
      <c r="D24" t="inlineStr">
        <is>
          <t>10/14 沿海外采型 MTO（天津渤化、联泓格润二期、诚志）陆续停车降负，原因明确写为“甲醇高价、企业深度亏损”；10/16 周评：下游烯烃负反馈尤为明显，部分停工烯烃仍在外卖原料；10/12 起现货 −14.6%、MA2611 −5.7%，而同期煤价仍 +2.5%，价格与成本背离；现货单日重挫（10/13，−12.78%）早于 10/14 的 MTO 公告一天；10/12 起现货 −14.6%、MA2611 −13.0%，而同期煤价仍 +2.5%，价格与成本背离</t>
        </is>
      </c>
    </row>
    <row r="25">
      <c r="A25" t="n">
        <v>4</v>
      </c>
      <c r="B25" s="9" t="inlineStr">
        <is>
          <t>E1</t>
        </is>
      </c>
      <c r="C25" t="inlineStr">
        <is>
          <t>期现结构在顶部发生错位：基差在现货创新高之前先行见顶，随后收敛</t>
        </is>
      </c>
      <c r="D25" t="inlineStr">
        <is>
          <t>基差（现货−MA2611）：419.33（6/30）→ 86.83（8/28）→ 峰值 1264（9/29）→ 898.33（10/9 现货新高）→ 631.67（10/19），逐日可复算；基差率由 17.52% 升到 9/29 的 37.89%，再回落至 10/19 的 18.94%；月差 MA2611−MA2612 由 −22（6/30，Contango）转为 +119 元/吨（10/19，Back），区间最高 289（10/9）；MA2611 与 MA2612 的持仓量在 10 月发生逆转：10/16 起 MA2612 持仓（277,581）反超 MA2611（229,182），说明主力已完成向远月迁移</t>
        </is>
      </c>
    </row>
    <row r="26">
      <c r="A26" t="n">
        <v>5</v>
      </c>
      <c r="B26" s="10" t="inlineStr">
        <is>
          <t>E4</t>
        </is>
      </c>
      <c r="C26" t="inlineStr">
        <is>
          <t>国内装置检修导致的供给收缩解释了本轮上涨</t>
        </is>
      </c>
      <c r="D26" t="inlineStr">
        <is>
          <t>（无支持证据）</t>
        </is>
      </c>
    </row>
    <row r="27">
      <c r="A27" t="n">
        <v>6</v>
      </c>
      <c r="B27" s="11" t="inlineStr">
        <is>
          <t>E3</t>
        </is>
      </c>
      <c r="C27" t="inlineStr">
        <is>
          <t>华东港口库存降至历史低位放大了价格弹性</t>
        </is>
      </c>
      <c r="D27" t="inlineStr">
        <is>
          <t>10/14 生意社复盘原文：“前期受中东地缘、伊朗甲醇出货锐减、港口库存历史低位推动大幅上涨”</t>
        </is>
      </c>
    </row>
    <row r="29">
      <c r="A29" s="12" t="inlineStr">
        <is>
          <t>五、免责声明</t>
        </is>
      </c>
    </row>
    <row r="30" ht="26" customHeight="1">
      <c r="A30" s="13" t="inlineStr">
        <is>
          <t>• 本报告只做“已发生事实的时间对齐与证据分级”，**不预测涨跌方向**，也不提供任何交易或采购建议。</t>
        </is>
      </c>
    </row>
    <row r="31" ht="26" customHeight="1">
      <c r="A31" s="13" t="inlineStr">
        <is>
          <t>• 全篇没有“各因素解释了 X% 涨跌”的结论：因为没有建立可验证的量化模型，任何百分比分解都是伪精确。sorted ranking 只是排序工具。</t>
        </is>
      </c>
    </row>
    <row r="32" ht="26" customHeight="1">
      <c r="A32" s="13" t="inlineStr">
        <is>
          <t>• 相关性不是因果：煤炭与甲醇同向，不等于煤炭导致了甲醇上涨；MTO 负反馈与价格下跌同窗，也不等于 MTO 是唯一原因。</t>
        </is>
      </c>
    </row>
    <row r="33" ht="26" customHeight="1">
      <c r="A33" s="13" t="inlineStr">
        <is>
          <t>• 数据都来自公开渠道：生意社（现货与事件）、新浪财经（期货日线）、CCTD（煤价）。这些来源的统计口径与商业数据库（卓创、隆众、钢联）可能存在差异，**报告中已逐条标注口径与是否有数值**。</t>
        </is>
      </c>
    </row>
    <row r="34" ht="26" customHeight="1">
      <c r="A34" s="13" t="inlineStr">
        <is>
          <t>• 数据截止日：2026-10-19。任何晚于此日的信息都不在本报告的视野内。</t>
        </is>
      </c>
    </row>
  </sheetData>
  <mergeCells count="7">
    <mergeCell ref="A1:D1"/>
    <mergeCell ref="A31:D31"/>
    <mergeCell ref="A34:D34"/>
    <mergeCell ref="A30:D30"/>
    <mergeCell ref="A2:D2"/>
    <mergeCell ref="A33:D33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140"/>
    <outlinePr summaryBelow="1" summaryRight="1"/>
    <pageSetUpPr/>
  </sheetPr>
  <dimension ref="A1:I8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4" customWidth="1" min="5" max="5"/>
    <col width="13" customWidth="1" min="6" max="6"/>
    <col width="11" customWidth="1" min="7" max="7"/>
    <col width="16" customWidth="1" min="8" max="8"/>
    <col width="15" customWidth="1" min="9" max="9"/>
  </cols>
  <sheetData>
    <row r="1" ht="30" customHeight="1">
      <c r="A1" s="1" t="inlineStr">
        <is>
          <t>01 现货与期货逐日价格、基差与持仓量</t>
        </is>
      </c>
    </row>
    <row r="2" ht="28" customHeight="1">
      <c r="A2" s="2" t="inlineStr">
        <is>
          <t>现货=生意社甲醇指数口径（含税）；期货=郑商所主连收盘（不含税）；基差=现货−当日持仓量最大合约</t>
        </is>
      </c>
    </row>
    <row r="4" ht="30" customHeight="1">
      <c r="A4" s="7" t="inlineStr">
        <is>
          <t>日期</t>
        </is>
      </c>
      <c r="B4" s="7" t="inlineStr">
        <is>
          <t>现货 元/吨</t>
        </is>
      </c>
      <c r="C4" s="7" t="inlineStr">
        <is>
          <t>期货主连 元/吨</t>
        </is>
      </c>
      <c r="D4" s="7" t="inlineStr">
        <is>
          <t>主力合约</t>
        </is>
      </c>
      <c r="E4" s="7" t="inlineStr">
        <is>
          <t>主力合约收盘</t>
        </is>
      </c>
      <c r="F4" s="7" t="inlineStr">
        <is>
          <t>基差 元/吨</t>
        </is>
      </c>
      <c r="G4" s="7" t="inlineStr">
        <is>
          <t>基差率 %</t>
        </is>
      </c>
      <c r="H4" s="7" t="inlineStr">
        <is>
          <t>月差 M1−M2 元/吨</t>
        </is>
      </c>
      <c r="I4" s="7" t="inlineStr">
        <is>
          <t>主连持仓量 手</t>
        </is>
      </c>
    </row>
    <row r="5">
      <c r="A5" s="14" t="inlineStr">
        <is>
          <t>2026-06-30</t>
        </is>
      </c>
      <c r="B5" s="15" t="n">
        <v>2813.33</v>
      </c>
      <c r="C5" s="15" t="n">
        <v>2428</v>
      </c>
      <c r="D5" s="14" t="inlineStr">
        <is>
          <t>MA2609</t>
        </is>
      </c>
      <c r="E5" s="15" t="n">
        <v>2428</v>
      </c>
      <c r="F5" s="15" t="n">
        <v>385.33</v>
      </c>
      <c r="G5" s="16" t="n">
        <v>15.87</v>
      </c>
      <c r="H5" s="15" t="n">
        <v>29</v>
      </c>
      <c r="I5" s="15" t="n">
        <v>700024</v>
      </c>
    </row>
    <row r="6">
      <c r="A6" s="17" t="inlineStr">
        <is>
          <t>2026-07-01</t>
        </is>
      </c>
      <c r="B6" s="18" t="n">
        <v>2771.67</v>
      </c>
      <c r="C6" s="18" t="n">
        <v>2350</v>
      </c>
      <c r="D6" s="17" t="inlineStr">
        <is>
          <t>MA2609</t>
        </is>
      </c>
      <c r="E6" s="18" t="n">
        <v>2350</v>
      </c>
      <c r="F6" s="18" t="n">
        <v>421.67</v>
      </c>
      <c r="G6" s="19" t="n">
        <v>17.94</v>
      </c>
      <c r="H6" s="18" t="n">
        <v>7</v>
      </c>
      <c r="I6" s="18" t="n">
        <v>751100</v>
      </c>
    </row>
    <row r="7">
      <c r="A7" s="14" t="inlineStr">
        <is>
          <t>2026-07-02</t>
        </is>
      </c>
      <c r="B7" s="15" t="n">
        <v>2593.33</v>
      </c>
      <c r="C7" s="15" t="n">
        <v>2347</v>
      </c>
      <c r="D7" s="14" t="inlineStr">
        <is>
          <t>MA2609</t>
        </is>
      </c>
      <c r="E7" s="15" t="n">
        <v>2347</v>
      </c>
      <c r="F7" s="15" t="n">
        <v>246.33</v>
      </c>
      <c r="G7" s="16" t="n">
        <v>10.5</v>
      </c>
      <c r="H7" s="15" t="n">
        <v>12</v>
      </c>
      <c r="I7" s="15" t="n">
        <v>739481</v>
      </c>
    </row>
    <row r="8">
      <c r="A8" s="17" t="inlineStr">
        <is>
          <t>2026-07-03</t>
        </is>
      </c>
      <c r="B8" s="18" t="n">
        <v>2545.83</v>
      </c>
      <c r="C8" s="18" t="n">
        <v>2377</v>
      </c>
      <c r="D8" s="17" t="inlineStr">
        <is>
          <t>MA2609</t>
        </is>
      </c>
      <c r="E8" s="18" t="n">
        <v>2377</v>
      </c>
      <c r="F8" s="18" t="n">
        <v>168.83</v>
      </c>
      <c r="G8" s="19" t="n">
        <v>7.1</v>
      </c>
      <c r="H8" s="18" t="n">
        <v>12</v>
      </c>
      <c r="I8" s="18" t="n">
        <v>691119</v>
      </c>
    </row>
    <row r="9">
      <c r="A9" s="14" t="inlineStr">
        <is>
          <t>2026-07-06</t>
        </is>
      </c>
      <c r="B9" s="15" t="n">
        <v>2518.33</v>
      </c>
      <c r="C9" s="15" t="n">
        <v>2363</v>
      </c>
      <c r="D9" s="14" t="inlineStr">
        <is>
          <t>MA2609</t>
        </is>
      </c>
      <c r="E9" s="15" t="n">
        <v>2363</v>
      </c>
      <c r="F9" s="15" t="n">
        <v>155.33</v>
      </c>
      <c r="G9" s="16" t="n">
        <v>6.57</v>
      </c>
      <c r="H9" s="15" t="n">
        <v>3</v>
      </c>
      <c r="I9" s="15" t="n">
        <v>678018</v>
      </c>
    </row>
    <row r="10">
      <c r="A10" s="17" t="inlineStr">
        <is>
          <t>2026-07-07</t>
        </is>
      </c>
      <c r="B10" s="18" t="n">
        <v>2529.17</v>
      </c>
      <c r="C10" s="18" t="n">
        <v>2404</v>
      </c>
      <c r="D10" s="17" t="inlineStr">
        <is>
          <t>MA2609</t>
        </is>
      </c>
      <c r="E10" s="18" t="n">
        <v>2404</v>
      </c>
      <c r="F10" s="18" t="n">
        <v>125.17</v>
      </c>
      <c r="G10" s="19" t="n">
        <v>5.21</v>
      </c>
      <c r="H10" s="18" t="n">
        <v>-3</v>
      </c>
      <c r="I10" s="18" t="n">
        <v>700156</v>
      </c>
    </row>
    <row r="11">
      <c r="A11" s="14" t="inlineStr">
        <is>
          <t>2026-07-08</t>
        </is>
      </c>
      <c r="B11" s="15" t="n">
        <v>2534.17</v>
      </c>
      <c r="C11" s="15" t="n">
        <v>2488</v>
      </c>
      <c r="D11" s="14" t="inlineStr">
        <is>
          <t>MA2609</t>
        </is>
      </c>
      <c r="E11" s="15" t="n">
        <v>2488</v>
      </c>
      <c r="F11" s="15" t="n">
        <v>46.17</v>
      </c>
      <c r="G11" s="16" t="n">
        <v>1.86</v>
      </c>
      <c r="H11" s="15" t="n">
        <v>1</v>
      </c>
      <c r="I11" s="15" t="n">
        <v>697883</v>
      </c>
    </row>
    <row r="12">
      <c r="A12" s="17" t="inlineStr">
        <is>
          <t>2026-07-09</t>
        </is>
      </c>
      <c r="B12" s="18" t="n">
        <v>2620</v>
      </c>
      <c r="C12" s="18" t="n">
        <v>2488</v>
      </c>
      <c r="D12" s="17" t="inlineStr">
        <is>
          <t>MA2609</t>
        </is>
      </c>
      <c r="E12" s="18" t="n">
        <v>2488</v>
      </c>
      <c r="F12" s="18" t="n">
        <v>132</v>
      </c>
      <c r="G12" s="19" t="n">
        <v>5.31</v>
      </c>
      <c r="H12" s="18" t="n">
        <v>11</v>
      </c>
      <c r="I12" s="18" t="n">
        <v>649423</v>
      </c>
    </row>
    <row r="13">
      <c r="A13" s="14" t="inlineStr">
        <is>
          <t>2026-07-10</t>
        </is>
      </c>
      <c r="B13" s="15" t="n">
        <v>2650</v>
      </c>
      <c r="C13" s="15" t="n">
        <v>2480</v>
      </c>
      <c r="D13" s="14" t="inlineStr">
        <is>
          <t>MA2609</t>
        </is>
      </c>
      <c r="E13" s="15" t="n">
        <v>2480</v>
      </c>
      <c r="F13" s="15" t="n">
        <v>170</v>
      </c>
      <c r="G13" s="16" t="n">
        <v>6.85</v>
      </c>
      <c r="H13" s="15" t="n">
        <v>10</v>
      </c>
      <c r="I13" s="15" t="n">
        <v>656517</v>
      </c>
    </row>
    <row r="14">
      <c r="A14" s="17" t="inlineStr">
        <is>
          <t>2026-07-13</t>
        </is>
      </c>
      <c r="B14" s="18" t="n">
        <v>2613.33</v>
      </c>
      <c r="C14" s="18" t="n">
        <v>2516</v>
      </c>
      <c r="D14" s="17" t="inlineStr">
        <is>
          <t>MA2609</t>
        </is>
      </c>
      <c r="E14" s="18" t="n">
        <v>2516</v>
      </c>
      <c r="F14" s="18" t="n">
        <v>97.33</v>
      </c>
      <c r="G14" s="19" t="n">
        <v>3.87</v>
      </c>
      <c r="H14" s="18" t="n">
        <v>4</v>
      </c>
      <c r="I14" s="18" t="n">
        <v>652549</v>
      </c>
    </row>
    <row r="15">
      <c r="A15" s="14" t="inlineStr">
        <is>
          <t>2026-07-14</t>
        </is>
      </c>
      <c r="B15" s="15" t="n">
        <v>2640</v>
      </c>
      <c r="C15" s="15" t="n">
        <v>2632</v>
      </c>
      <c r="D15" s="14" t="inlineStr">
        <is>
          <t>MA2609</t>
        </is>
      </c>
      <c r="E15" s="15" t="n">
        <v>2632</v>
      </c>
      <c r="F15" s="15" t="n">
        <v>8</v>
      </c>
      <c r="G15" s="16" t="n">
        <v>0.3</v>
      </c>
      <c r="H15" s="15" t="n">
        <v>16</v>
      </c>
      <c r="I15" s="15" t="n">
        <v>654749</v>
      </c>
    </row>
    <row r="16">
      <c r="A16" s="17" t="inlineStr">
        <is>
          <t>2026-07-15</t>
        </is>
      </c>
      <c r="B16" s="18" t="n">
        <v>2741.67</v>
      </c>
      <c r="C16" s="18" t="n">
        <v>2648</v>
      </c>
      <c r="D16" s="17" t="inlineStr">
        <is>
          <t>MA2609</t>
        </is>
      </c>
      <c r="E16" s="18" t="n">
        <v>2648</v>
      </c>
      <c r="F16" s="18" t="n">
        <v>93.67</v>
      </c>
      <c r="G16" s="19" t="n">
        <v>3.54</v>
      </c>
      <c r="H16" s="18" t="n">
        <v>15</v>
      </c>
      <c r="I16" s="18" t="n">
        <v>661260</v>
      </c>
    </row>
    <row r="17">
      <c r="A17" s="14" t="inlineStr">
        <is>
          <t>2026-07-16</t>
        </is>
      </c>
      <c r="B17" s="15" t="n">
        <v>2696.67</v>
      </c>
      <c r="C17" s="15" t="n">
        <v>2633</v>
      </c>
      <c r="D17" s="14" t="inlineStr">
        <is>
          <t>MA2609</t>
        </is>
      </c>
      <c r="E17" s="15" t="n">
        <v>2633</v>
      </c>
      <c r="F17" s="15" t="n">
        <v>63.67</v>
      </c>
      <c r="G17" s="16" t="n">
        <v>2.42</v>
      </c>
      <c r="H17" s="15" t="n">
        <v>12</v>
      </c>
      <c r="I17" s="15" t="n">
        <v>665134</v>
      </c>
    </row>
    <row r="18">
      <c r="A18" s="17" t="inlineStr">
        <is>
          <t>2026-07-17</t>
        </is>
      </c>
      <c r="B18" s="18" t="n">
        <v>2656.67</v>
      </c>
      <c r="C18" s="18" t="n">
        <v>2630</v>
      </c>
      <c r="D18" s="17" t="inlineStr">
        <is>
          <t>MA2609</t>
        </is>
      </c>
      <c r="E18" s="18" t="n">
        <v>2630</v>
      </c>
      <c r="F18" s="18" t="n">
        <v>26.67</v>
      </c>
      <c r="G18" s="19" t="n">
        <v>1.01</v>
      </c>
      <c r="H18" s="18" t="n">
        <v>11</v>
      </c>
      <c r="I18" s="18" t="n">
        <v>654879</v>
      </c>
    </row>
    <row r="19">
      <c r="A19" s="14" t="inlineStr">
        <is>
          <t>2026-07-20</t>
        </is>
      </c>
      <c r="B19" s="15" t="n">
        <v>2638.33</v>
      </c>
      <c r="C19" s="15" t="n">
        <v>2802</v>
      </c>
      <c r="D19" s="14" t="inlineStr">
        <is>
          <t>MA2609</t>
        </is>
      </c>
      <c r="E19" s="15" t="n">
        <v>2802</v>
      </c>
      <c r="F19" s="15" t="n">
        <v>-163.67</v>
      </c>
      <c r="G19" s="16" t="n">
        <v>-5.84</v>
      </c>
      <c r="H19" s="15" t="n">
        <v>21</v>
      </c>
      <c r="I19" s="15" t="n">
        <v>661579</v>
      </c>
    </row>
    <row r="20">
      <c r="A20" s="17" t="inlineStr">
        <is>
          <t>2026-07-21</t>
        </is>
      </c>
      <c r="B20" s="18" t="n">
        <v>2790</v>
      </c>
      <c r="C20" s="18" t="n">
        <v>2707</v>
      </c>
      <c r="D20" s="17" t="inlineStr">
        <is>
          <t>MA2609</t>
        </is>
      </c>
      <c r="E20" s="18" t="n">
        <v>2707</v>
      </c>
      <c r="F20" s="18" t="n">
        <v>83</v>
      </c>
      <c r="G20" s="19" t="n">
        <v>3.07</v>
      </c>
      <c r="H20" s="18" t="n">
        <v>0</v>
      </c>
      <c r="I20" s="18" t="n">
        <v>603375</v>
      </c>
    </row>
    <row r="21">
      <c r="A21" s="14" t="inlineStr">
        <is>
          <t>2026-07-22</t>
        </is>
      </c>
      <c r="B21" s="15" t="n">
        <v>2706.67</v>
      </c>
      <c r="C21" s="15" t="n">
        <v>2718</v>
      </c>
      <c r="D21" s="14" t="inlineStr">
        <is>
          <t>MA2609</t>
        </is>
      </c>
      <c r="E21" s="15" t="n">
        <v>2718</v>
      </c>
      <c r="F21" s="15" t="n">
        <v>-11.33</v>
      </c>
      <c r="G21" s="16" t="n">
        <v>-0.42</v>
      </c>
      <c r="H21" s="15" t="n">
        <v>-2</v>
      </c>
      <c r="I21" s="15" t="n">
        <v>638579</v>
      </c>
    </row>
    <row r="22">
      <c r="A22" s="17" t="inlineStr">
        <is>
          <t>2026-07-23</t>
        </is>
      </c>
      <c r="B22" s="18" t="n">
        <v>2718.33</v>
      </c>
      <c r="C22" s="18" t="n">
        <v>2756</v>
      </c>
      <c r="D22" s="17" t="inlineStr">
        <is>
          <t>MA2609</t>
        </is>
      </c>
      <c r="E22" s="18" t="n">
        <v>2756</v>
      </c>
      <c r="F22" s="18" t="n">
        <v>-37.67</v>
      </c>
      <c r="G22" s="19" t="n">
        <v>-1.37</v>
      </c>
      <c r="H22" s="18" t="n">
        <v>-3</v>
      </c>
      <c r="I22" s="18" t="n">
        <v>625617</v>
      </c>
    </row>
    <row r="23">
      <c r="A23" s="14" t="inlineStr">
        <is>
          <t>2026-07-24</t>
        </is>
      </c>
      <c r="B23" s="15" t="n">
        <v>2750</v>
      </c>
      <c r="C23" s="15" t="n">
        <v>2755</v>
      </c>
      <c r="D23" s="14" t="inlineStr">
        <is>
          <t>MA2609</t>
        </is>
      </c>
      <c r="E23" s="15" t="n">
        <v>2755</v>
      </c>
      <c r="F23" s="15" t="n">
        <v>-5</v>
      </c>
      <c r="G23" s="16" t="n">
        <v>-0.18</v>
      </c>
      <c r="H23" s="15" t="n">
        <v>0</v>
      </c>
      <c r="I23" s="15" t="n">
        <v>621986</v>
      </c>
    </row>
    <row r="24">
      <c r="A24" s="17" t="inlineStr">
        <is>
          <t>2026-07-27</t>
        </is>
      </c>
      <c r="B24" s="18" t="n">
        <v>2753.33</v>
      </c>
      <c r="C24" s="18" t="n">
        <v>2610</v>
      </c>
      <c r="D24" s="17" t="inlineStr">
        <is>
          <t>MA2609</t>
        </is>
      </c>
      <c r="E24" s="18" t="n">
        <v>2610</v>
      </c>
      <c r="F24" s="18" t="n">
        <v>143.33</v>
      </c>
      <c r="G24" s="19" t="n">
        <v>5.49</v>
      </c>
      <c r="H24" s="18" t="n">
        <v>3</v>
      </c>
      <c r="I24" s="18" t="n">
        <v>599960</v>
      </c>
    </row>
    <row r="25">
      <c r="A25" s="14" t="inlineStr">
        <is>
          <t>2026-07-28</t>
        </is>
      </c>
      <c r="B25" s="15" t="n">
        <v>2621.67</v>
      </c>
      <c r="C25" s="15" t="n">
        <v>2601</v>
      </c>
      <c r="D25" s="14" t="inlineStr">
        <is>
          <t>MA2609</t>
        </is>
      </c>
      <c r="E25" s="15" t="n">
        <v>2601</v>
      </c>
      <c r="F25" s="15" t="n">
        <v>20.67</v>
      </c>
      <c r="G25" s="16" t="n">
        <v>0.79</v>
      </c>
      <c r="H25" s="15" t="n">
        <v>6</v>
      </c>
      <c r="I25" s="15" t="n">
        <v>581945</v>
      </c>
    </row>
    <row r="26">
      <c r="A26" s="17" t="inlineStr">
        <is>
          <t>2026-07-29</t>
        </is>
      </c>
      <c r="B26" s="18" t="n">
        <v>2613.33</v>
      </c>
      <c r="C26" s="18" t="n">
        <v>2649</v>
      </c>
      <c r="D26" s="17" t="inlineStr">
        <is>
          <t>MA2609</t>
        </is>
      </c>
      <c r="E26" s="18" t="n">
        <v>2649</v>
      </c>
      <c r="F26" s="18" t="n">
        <v>-35.67</v>
      </c>
      <c r="G26" s="19" t="n">
        <v>-1.35</v>
      </c>
      <c r="H26" s="18" t="n">
        <v>4</v>
      </c>
      <c r="I26" s="18" t="n">
        <v>565908</v>
      </c>
    </row>
    <row r="27">
      <c r="A27" s="14" t="inlineStr">
        <is>
          <t>2026-07-30</t>
        </is>
      </c>
      <c r="B27" s="15" t="n">
        <v>2656.67</v>
      </c>
      <c r="C27" s="15" t="n">
        <v>2657</v>
      </c>
      <c r="D27" s="14" t="inlineStr">
        <is>
          <t>MA2609</t>
        </is>
      </c>
      <c r="E27" s="15" t="n">
        <v>2657</v>
      </c>
      <c r="F27" s="15" t="n">
        <v>-0.33</v>
      </c>
      <c r="G27" s="16" t="n">
        <v>-0.01</v>
      </c>
      <c r="H27" s="15" t="n">
        <v>5</v>
      </c>
      <c r="I27" s="15" t="n">
        <v>567903</v>
      </c>
    </row>
    <row r="28">
      <c r="A28" s="17" t="inlineStr">
        <is>
          <t>2026-07-31</t>
        </is>
      </c>
      <c r="B28" s="18" t="n">
        <v>2665</v>
      </c>
      <c r="C28" s="18" t="n">
        <v>2618</v>
      </c>
      <c r="D28" s="17" t="inlineStr">
        <is>
          <t>MA2609</t>
        </is>
      </c>
      <c r="E28" s="18" t="n">
        <v>2618</v>
      </c>
      <c r="F28" s="18" t="n">
        <v>47</v>
      </c>
      <c r="G28" s="19" t="n">
        <v>1.8</v>
      </c>
      <c r="H28" s="18" t="n">
        <v>8</v>
      </c>
      <c r="I28" s="18" t="n">
        <v>553497</v>
      </c>
    </row>
    <row r="29">
      <c r="A29" s="14" t="inlineStr">
        <is>
          <t>2026-08-03</t>
        </is>
      </c>
      <c r="B29" s="15" t="n">
        <v>2628.33</v>
      </c>
      <c r="C29" s="15" t="n">
        <v>2594</v>
      </c>
      <c r="D29" s="14" t="inlineStr">
        <is>
          <t>MA2609</t>
        </is>
      </c>
      <c r="E29" s="15" t="n">
        <v>2594</v>
      </c>
      <c r="F29" s="15" t="n">
        <v>34.33</v>
      </c>
      <c r="G29" s="16" t="n">
        <v>1.32</v>
      </c>
      <c r="H29" s="15" t="n">
        <v>16</v>
      </c>
      <c r="I29" s="15" t="n">
        <v>573082</v>
      </c>
    </row>
    <row r="30">
      <c r="A30" s="17" t="inlineStr">
        <is>
          <t>2026-08-04</t>
        </is>
      </c>
      <c r="B30" s="18" t="n">
        <v>2620</v>
      </c>
      <c r="C30" s="18" t="n">
        <v>2586</v>
      </c>
      <c r="D30" s="17" t="inlineStr">
        <is>
          <t>MA2609</t>
        </is>
      </c>
      <c r="E30" s="18" t="n">
        <v>2586</v>
      </c>
      <c r="F30" s="18" t="n">
        <v>34</v>
      </c>
      <c r="G30" s="19" t="n">
        <v>1.31</v>
      </c>
      <c r="H30" s="18" t="n">
        <v>8</v>
      </c>
      <c r="I30" s="18" t="n">
        <v>546513</v>
      </c>
    </row>
    <row r="31">
      <c r="A31" s="14" t="inlineStr">
        <is>
          <t>2026-08-05</t>
        </is>
      </c>
      <c r="B31" s="15" t="n">
        <v>2616.67</v>
      </c>
      <c r="C31" s="15" t="n">
        <v>2517</v>
      </c>
      <c r="D31" s="14" t="inlineStr">
        <is>
          <t>MA2609</t>
        </is>
      </c>
      <c r="E31" s="15" t="n">
        <v>2517</v>
      </c>
      <c r="F31" s="15" t="n">
        <v>99.67</v>
      </c>
      <c r="G31" s="16" t="n">
        <v>3.96</v>
      </c>
      <c r="H31" s="15" t="n">
        <v>8</v>
      </c>
      <c r="I31" s="15" t="n">
        <v>511771</v>
      </c>
    </row>
    <row r="32">
      <c r="A32" s="17" t="inlineStr">
        <is>
          <t>2026-08-06</t>
        </is>
      </c>
      <c r="B32" s="18" t="n">
        <v>2565</v>
      </c>
      <c r="C32" s="18" t="n">
        <v>2495</v>
      </c>
      <c r="D32" s="17" t="inlineStr">
        <is>
          <t>MA2610</t>
        </is>
      </c>
      <c r="E32" s="18" t="n">
        <v>2478</v>
      </c>
      <c r="F32" s="18" t="n">
        <v>87</v>
      </c>
      <c r="G32" s="19" t="n">
        <v>3.51</v>
      </c>
      <c r="H32" s="18" t="n">
        <v>17</v>
      </c>
      <c r="I32" s="18" t="n">
        <v>501870</v>
      </c>
    </row>
    <row r="33">
      <c r="A33" s="14" t="inlineStr">
        <is>
          <t>2026-08-07</t>
        </is>
      </c>
      <c r="B33" s="15" t="n">
        <v>2531.67</v>
      </c>
      <c r="C33" s="15" t="n">
        <v>2500</v>
      </c>
      <c r="D33" s="14" t="inlineStr">
        <is>
          <t>MA2610</t>
        </is>
      </c>
      <c r="E33" s="15" t="n">
        <v>2500</v>
      </c>
      <c r="F33" s="15" t="n">
        <v>31.67</v>
      </c>
      <c r="G33" s="16" t="n">
        <v>1.27</v>
      </c>
      <c r="H33" s="15" t="n">
        <v>19</v>
      </c>
      <c r="I33" s="15" t="n">
        <v>572847</v>
      </c>
    </row>
    <row r="34">
      <c r="A34" s="17" t="inlineStr">
        <is>
          <t>2026-08-10</t>
        </is>
      </c>
      <c r="B34" s="18" t="n">
        <v>2560</v>
      </c>
      <c r="C34" s="18" t="n">
        <v>2531</v>
      </c>
      <c r="D34" s="17" t="inlineStr">
        <is>
          <t>MA2610</t>
        </is>
      </c>
      <c r="E34" s="18" t="n">
        <v>2531</v>
      </c>
      <c r="F34" s="18" t="n">
        <v>29</v>
      </c>
      <c r="G34" s="19" t="n">
        <v>1.15</v>
      </c>
      <c r="H34" s="18" t="n">
        <v>22</v>
      </c>
      <c r="I34" s="18" t="n">
        <v>582553</v>
      </c>
    </row>
    <row r="35">
      <c r="A35" s="14" t="inlineStr">
        <is>
          <t>2026-08-11</t>
        </is>
      </c>
      <c r="B35" s="15" t="n">
        <v>2580</v>
      </c>
      <c r="C35" s="15" t="n">
        <v>2633</v>
      </c>
      <c r="D35" s="14" t="inlineStr">
        <is>
          <t>MA2610</t>
        </is>
      </c>
      <c r="E35" s="15" t="n">
        <v>2633</v>
      </c>
      <c r="F35" s="15" t="n">
        <v>-53</v>
      </c>
      <c r="G35" s="16" t="n">
        <v>-2.01</v>
      </c>
      <c r="H35" s="15" t="n">
        <v>23</v>
      </c>
      <c r="I35" s="15" t="n">
        <v>622247</v>
      </c>
    </row>
    <row r="36">
      <c r="A36" s="17" t="inlineStr">
        <is>
          <t>2026-08-12</t>
        </is>
      </c>
      <c r="B36" s="18" t="n">
        <v>2660</v>
      </c>
      <c r="C36" s="18" t="n">
        <v>2607</v>
      </c>
      <c r="D36" s="17" t="inlineStr">
        <is>
          <t>MA2610</t>
        </is>
      </c>
      <c r="E36" s="18" t="n">
        <v>2607</v>
      </c>
      <c r="F36" s="18" t="n">
        <v>53</v>
      </c>
      <c r="G36" s="19" t="n">
        <v>2.03</v>
      </c>
      <c r="H36" s="18" t="n">
        <v>22</v>
      </c>
      <c r="I36" s="18" t="n">
        <v>649060</v>
      </c>
    </row>
    <row r="37">
      <c r="A37" s="14" t="inlineStr">
        <is>
          <t>2026-08-13</t>
        </is>
      </c>
      <c r="B37" s="15" t="n">
        <v>2645</v>
      </c>
      <c r="C37" s="15" t="n">
        <v>2645</v>
      </c>
      <c r="D37" s="14" t="inlineStr">
        <is>
          <t>MA2610</t>
        </is>
      </c>
      <c r="E37" s="15" t="n">
        <v>2645</v>
      </c>
      <c r="F37" s="15" t="n">
        <v>0</v>
      </c>
      <c r="G37" s="16" t="n">
        <v>0</v>
      </c>
      <c r="H37" s="15" t="n">
        <v>28</v>
      </c>
      <c r="I37" s="15" t="n">
        <v>698962</v>
      </c>
    </row>
    <row r="38">
      <c r="A38" s="17" t="inlineStr">
        <is>
          <t>2026-08-14</t>
        </is>
      </c>
      <c r="B38" s="18" t="n">
        <v>2668.33</v>
      </c>
      <c r="C38" s="18" t="n">
        <v>2687</v>
      </c>
      <c r="D38" s="17" t="inlineStr">
        <is>
          <t>MA2610</t>
        </is>
      </c>
      <c r="E38" s="18" t="n">
        <v>2687</v>
      </c>
      <c r="F38" s="18" t="n">
        <v>-18.67</v>
      </c>
      <c r="G38" s="19" t="n">
        <v>-0.6899999999999999</v>
      </c>
      <c r="H38" s="18" t="n">
        <v>31</v>
      </c>
      <c r="I38" s="18" t="n">
        <v>743462</v>
      </c>
    </row>
    <row r="39">
      <c r="A39" s="14" t="inlineStr">
        <is>
          <t>2026-08-17</t>
        </is>
      </c>
      <c r="B39" s="15" t="n">
        <v>2712.5</v>
      </c>
      <c r="C39" s="15" t="n">
        <v>2735</v>
      </c>
      <c r="D39" s="14" t="inlineStr">
        <is>
          <t>MA2610</t>
        </is>
      </c>
      <c r="E39" s="15" t="n">
        <v>2735</v>
      </c>
      <c r="F39" s="15" t="n">
        <v>-22.5</v>
      </c>
      <c r="G39" s="16" t="n">
        <v>-0.82</v>
      </c>
      <c r="H39" s="15" t="n">
        <v>36</v>
      </c>
      <c r="I39" s="15" t="n">
        <v>776665</v>
      </c>
    </row>
    <row r="40">
      <c r="A40" s="17" t="inlineStr">
        <is>
          <t>2026-08-18</t>
        </is>
      </c>
      <c r="B40" s="18" t="n">
        <v>2761.67</v>
      </c>
      <c r="C40" s="18" t="n">
        <v>2776</v>
      </c>
      <c r="D40" s="17" t="inlineStr">
        <is>
          <t>MA2610</t>
        </is>
      </c>
      <c r="E40" s="18" t="n">
        <v>2776</v>
      </c>
      <c r="F40" s="18" t="n">
        <v>-14.33</v>
      </c>
      <c r="G40" s="19" t="n">
        <v>-0.52</v>
      </c>
      <c r="H40" s="18" t="n">
        <v>42</v>
      </c>
      <c r="I40" s="18" t="n">
        <v>801166</v>
      </c>
    </row>
    <row r="41">
      <c r="A41" s="14" t="inlineStr">
        <is>
          <t>2026-08-19</t>
        </is>
      </c>
      <c r="B41" s="15" t="n">
        <v>2810</v>
      </c>
      <c r="C41" s="15" t="n">
        <v>2843</v>
      </c>
      <c r="D41" s="14" t="inlineStr">
        <is>
          <t>MA2610</t>
        </is>
      </c>
      <c r="E41" s="15" t="n">
        <v>2843</v>
      </c>
      <c r="F41" s="15" t="n">
        <v>-33</v>
      </c>
      <c r="G41" s="16" t="n">
        <v>-1.16</v>
      </c>
      <c r="H41" s="15" t="n">
        <v>59</v>
      </c>
      <c r="I41" s="15" t="n">
        <v>863462</v>
      </c>
    </row>
    <row r="42">
      <c r="A42" s="17" t="inlineStr">
        <is>
          <t>2026-08-20</t>
        </is>
      </c>
      <c r="B42" s="18" t="n">
        <v>2880</v>
      </c>
      <c r="C42" s="18" t="n">
        <v>2837</v>
      </c>
      <c r="D42" s="17" t="inlineStr">
        <is>
          <t>MA2610</t>
        </is>
      </c>
      <c r="E42" s="18" t="n">
        <v>2837</v>
      </c>
      <c r="F42" s="18" t="n">
        <v>43</v>
      </c>
      <c r="G42" s="19" t="n">
        <v>1.52</v>
      </c>
      <c r="H42" s="18" t="n">
        <v>63</v>
      </c>
      <c r="I42" s="18" t="n">
        <v>867734</v>
      </c>
    </row>
    <row r="43">
      <c r="A43" s="14" t="inlineStr">
        <is>
          <t>2026-08-21</t>
        </is>
      </c>
      <c r="B43" s="15" t="n">
        <v>2875.83</v>
      </c>
      <c r="C43" s="15" t="n">
        <v>2909</v>
      </c>
      <c r="D43" s="14" t="inlineStr">
        <is>
          <t>MA2610</t>
        </is>
      </c>
      <c r="E43" s="15" t="n">
        <v>2909</v>
      </c>
      <c r="F43" s="15" t="n">
        <v>-33.17</v>
      </c>
      <c r="G43" s="16" t="n">
        <v>-1.14</v>
      </c>
      <c r="H43" s="15" t="n">
        <v>78</v>
      </c>
      <c r="I43" s="15" t="n">
        <v>873688</v>
      </c>
    </row>
    <row r="44">
      <c r="A44" s="17" t="inlineStr">
        <is>
          <t>2026-08-24</t>
        </is>
      </c>
      <c r="B44" s="18" t="n">
        <v>2956.67</v>
      </c>
      <c r="C44" s="18" t="n">
        <v>2914</v>
      </c>
      <c r="D44" s="17" t="inlineStr">
        <is>
          <t>MA2610</t>
        </is>
      </c>
      <c r="E44" s="18" t="n">
        <v>2914</v>
      </c>
      <c r="F44" s="18" t="n">
        <v>42.67</v>
      </c>
      <c r="G44" s="19" t="n">
        <v>1.46</v>
      </c>
      <c r="H44" s="18" t="n">
        <v>75</v>
      </c>
      <c r="I44" s="18" t="n">
        <v>858225</v>
      </c>
    </row>
    <row r="45">
      <c r="A45" s="14" t="inlineStr">
        <is>
          <t>2026-08-25</t>
        </is>
      </c>
      <c r="B45" s="15" t="n">
        <v>2983.33</v>
      </c>
      <c r="C45" s="15" t="n">
        <v>2925</v>
      </c>
      <c r="D45" s="14" t="inlineStr">
        <is>
          <t>MA2610</t>
        </is>
      </c>
      <c r="E45" s="15" t="n">
        <v>2925</v>
      </c>
      <c r="F45" s="15" t="n">
        <v>58.33</v>
      </c>
      <c r="G45" s="16" t="n">
        <v>1.99</v>
      </c>
      <c r="H45" s="15" t="n">
        <v>77</v>
      </c>
      <c r="I45" s="15" t="n">
        <v>839343</v>
      </c>
    </row>
    <row r="46">
      <c r="A46" s="17" t="inlineStr">
        <is>
          <t>2026-08-26</t>
        </is>
      </c>
      <c r="B46" s="18" t="n">
        <v>2990</v>
      </c>
      <c r="C46" s="18" t="n">
        <v>2769</v>
      </c>
      <c r="D46" s="17" t="inlineStr">
        <is>
          <t>MA2610</t>
        </is>
      </c>
      <c r="E46" s="18" t="n">
        <v>2769</v>
      </c>
      <c r="F46" s="18" t="n">
        <v>221</v>
      </c>
      <c r="G46" s="19" t="n">
        <v>7.98</v>
      </c>
      <c r="H46" s="18" t="n">
        <v>75</v>
      </c>
      <c r="I46" s="18" t="n">
        <v>823696</v>
      </c>
    </row>
    <row r="47">
      <c r="A47" s="14" t="inlineStr">
        <is>
          <t>2026-08-27</t>
        </is>
      </c>
      <c r="B47" s="15" t="n">
        <v>2846.67</v>
      </c>
      <c r="C47" s="15" t="n">
        <v>2778</v>
      </c>
      <c r="D47" s="14" t="inlineStr">
        <is>
          <t>MA2610</t>
        </is>
      </c>
      <c r="E47" s="15" t="n">
        <v>2778</v>
      </c>
      <c r="F47" s="15" t="n">
        <v>68.67</v>
      </c>
      <c r="G47" s="16" t="n">
        <v>2.47</v>
      </c>
      <c r="H47" s="15" t="n">
        <v>68</v>
      </c>
      <c r="I47" s="15" t="n">
        <v>726057</v>
      </c>
    </row>
    <row r="48">
      <c r="A48" s="17" t="inlineStr">
        <is>
          <t>2026-08-28</t>
        </is>
      </c>
      <c r="B48" s="18" t="n">
        <v>2850.83</v>
      </c>
      <c r="C48" s="18" t="n">
        <v>2840</v>
      </c>
      <c r="D48" s="17" t="inlineStr">
        <is>
          <t>MA2610</t>
        </is>
      </c>
      <c r="E48" s="18" t="n">
        <v>2840</v>
      </c>
      <c r="F48" s="18" t="n">
        <v>10.83</v>
      </c>
      <c r="G48" s="19" t="n">
        <v>0.38</v>
      </c>
      <c r="H48" s="18" t="n">
        <v>76</v>
      </c>
      <c r="I48" s="18" t="n">
        <v>739677</v>
      </c>
    </row>
    <row r="49">
      <c r="A49" s="14" t="inlineStr">
        <is>
          <t>2026-08-31</t>
        </is>
      </c>
      <c r="B49" s="15" t="n">
        <v>2921.67</v>
      </c>
      <c r="C49" s="15" t="n">
        <v>2983</v>
      </c>
      <c r="D49" s="14" t="inlineStr">
        <is>
          <t>MA2610</t>
        </is>
      </c>
      <c r="E49" s="15" t="n">
        <v>2983</v>
      </c>
      <c r="F49" s="15" t="n">
        <v>-61.33</v>
      </c>
      <c r="G49" s="16" t="n">
        <v>-2.06</v>
      </c>
      <c r="H49" s="15" t="n">
        <v>80</v>
      </c>
      <c r="I49" s="15" t="n">
        <v>712863</v>
      </c>
    </row>
    <row r="50">
      <c r="A50" s="17" t="inlineStr">
        <is>
          <t>2026-09-01</t>
        </is>
      </c>
      <c r="B50" s="18" t="n">
        <v>3096.67</v>
      </c>
      <c r="C50" s="18" t="n">
        <v>3069</v>
      </c>
      <c r="D50" s="17" t="inlineStr">
        <is>
          <t>MA2610</t>
        </is>
      </c>
      <c r="E50" s="18" t="n">
        <v>3069</v>
      </c>
      <c r="F50" s="18" t="n">
        <v>27.67</v>
      </c>
      <c r="G50" s="19" t="n">
        <v>0.9</v>
      </c>
      <c r="H50" s="18" t="n">
        <v>89</v>
      </c>
      <c r="I50" s="18" t="n">
        <v>664795</v>
      </c>
    </row>
    <row r="51">
      <c r="A51" s="14" t="inlineStr">
        <is>
          <t>2026-09-02</t>
        </is>
      </c>
      <c r="B51" s="15" t="n">
        <v>3250</v>
      </c>
      <c r="C51" s="15" t="n">
        <v>3183</v>
      </c>
      <c r="D51" s="14" t="inlineStr">
        <is>
          <t>MA2610</t>
        </is>
      </c>
      <c r="E51" s="15" t="n">
        <v>3183</v>
      </c>
      <c r="F51" s="15" t="n">
        <v>67</v>
      </c>
      <c r="G51" s="16" t="n">
        <v>2.1</v>
      </c>
      <c r="H51" s="15" t="n">
        <v>113</v>
      </c>
      <c r="I51" s="15" t="n">
        <v>625478</v>
      </c>
    </row>
    <row r="52">
      <c r="A52" s="17" t="inlineStr">
        <is>
          <t>2026-09-03</t>
        </is>
      </c>
      <c r="B52" s="18" t="n">
        <v>3376.67</v>
      </c>
      <c r="C52" s="18" t="n">
        <v>3158</v>
      </c>
      <c r="D52" s="17" t="inlineStr">
        <is>
          <t>MA2610</t>
        </is>
      </c>
      <c r="E52" s="18" t="n">
        <v>3158</v>
      </c>
      <c r="F52" s="18" t="n">
        <v>218.67</v>
      </c>
      <c r="G52" s="19" t="n">
        <v>6.92</v>
      </c>
      <c r="H52" s="18" t="n">
        <v>160</v>
      </c>
      <c r="I52" s="18" t="n">
        <v>613186</v>
      </c>
    </row>
    <row r="53">
      <c r="A53" s="14" t="inlineStr">
        <is>
          <t>2026-09-04</t>
        </is>
      </c>
      <c r="B53" s="15" t="n">
        <v>3349.17</v>
      </c>
      <c r="C53" s="15" t="n">
        <v>3175</v>
      </c>
      <c r="D53" s="14" t="inlineStr">
        <is>
          <t>MA2610</t>
        </is>
      </c>
      <c r="E53" s="15" t="n">
        <v>3175</v>
      </c>
      <c r="F53" s="15" t="n">
        <v>174.17</v>
      </c>
      <c r="G53" s="16" t="n">
        <v>5.49</v>
      </c>
      <c r="H53" s="15" t="n">
        <v>145</v>
      </c>
      <c r="I53" s="15" t="n">
        <v>606495</v>
      </c>
    </row>
    <row r="54">
      <c r="A54" s="17" t="inlineStr">
        <is>
          <t>2026-09-07</t>
        </is>
      </c>
      <c r="B54" s="18" t="n">
        <v>3355.83</v>
      </c>
      <c r="C54" s="18" t="n">
        <v>3212</v>
      </c>
      <c r="D54" s="17" t="inlineStr">
        <is>
          <t>MA2610</t>
        </is>
      </c>
      <c r="E54" s="18" t="n">
        <v>3212</v>
      </c>
      <c r="F54" s="18" t="n">
        <v>143.83</v>
      </c>
      <c r="G54" s="19" t="n">
        <v>4.48</v>
      </c>
      <c r="H54" s="18" t="n">
        <v>150</v>
      </c>
      <c r="I54" s="18" t="n">
        <v>620729</v>
      </c>
    </row>
    <row r="55">
      <c r="A55" s="14" t="inlineStr">
        <is>
          <t>2026-09-08</t>
        </is>
      </c>
      <c r="B55" s="15" t="n">
        <v>3390.83</v>
      </c>
      <c r="C55" s="15" t="n">
        <v>3359</v>
      </c>
      <c r="D55" s="14" t="inlineStr">
        <is>
          <t>MA2610</t>
        </is>
      </c>
      <c r="E55" s="15" t="n">
        <v>3359</v>
      </c>
      <c r="F55" s="15" t="n">
        <v>31.83</v>
      </c>
      <c r="G55" s="16" t="n">
        <v>0.95</v>
      </c>
      <c r="H55" s="15" t="n">
        <v>193</v>
      </c>
      <c r="I55" s="15" t="n">
        <v>727098</v>
      </c>
    </row>
    <row r="56">
      <c r="A56" s="17" t="inlineStr">
        <is>
          <t>2026-09-09</t>
        </is>
      </c>
      <c r="B56" s="18" t="n">
        <v>3596.67</v>
      </c>
      <c r="C56" s="18" t="n">
        <v>3411</v>
      </c>
      <c r="D56" s="17" t="inlineStr">
        <is>
          <t>MA2610</t>
        </is>
      </c>
      <c r="E56" s="18" t="n">
        <v>3411</v>
      </c>
      <c r="F56" s="18" t="n">
        <v>185.67</v>
      </c>
      <c r="G56" s="19" t="n">
        <v>5.44</v>
      </c>
      <c r="H56" s="18" t="n">
        <v>196</v>
      </c>
      <c r="I56" s="18" t="n">
        <v>578655</v>
      </c>
    </row>
    <row r="57">
      <c r="A57" s="14" t="inlineStr">
        <is>
          <t>2026-09-10</t>
        </is>
      </c>
      <c r="B57" s="15" t="n">
        <v>3706.67</v>
      </c>
      <c r="C57" s="15" t="n">
        <v>3430</v>
      </c>
      <c r="D57" s="14" t="inlineStr">
        <is>
          <t>MA2701</t>
        </is>
      </c>
      <c r="E57" s="15" t="n">
        <v>3043</v>
      </c>
      <c r="F57" s="15" t="n">
        <v>663.67</v>
      </c>
      <c r="G57" s="16" t="n">
        <v>21.81</v>
      </c>
      <c r="H57" s="15" t="n">
        <v>175</v>
      </c>
      <c r="I57" s="15" t="n">
        <v>538818</v>
      </c>
    </row>
    <row r="58">
      <c r="A58" s="17" t="inlineStr">
        <is>
          <t>2026-09-11</t>
        </is>
      </c>
      <c r="B58" s="18" t="n">
        <v>3726.67</v>
      </c>
      <c r="C58" s="18" t="n">
        <v>3016</v>
      </c>
      <c r="D58" s="17" t="inlineStr">
        <is>
          <t>MA2701</t>
        </is>
      </c>
      <c r="E58" s="18" t="n">
        <v>3016</v>
      </c>
      <c r="F58" s="18" t="n">
        <v>710.67</v>
      </c>
      <c r="G58" s="19" t="n">
        <v>23.56</v>
      </c>
      <c r="H58" s="18" t="n">
        <v>162</v>
      </c>
      <c r="I58" s="18" t="n">
        <v>564760</v>
      </c>
    </row>
    <row r="59">
      <c r="A59" s="14" t="inlineStr">
        <is>
          <t>2026-09-14</t>
        </is>
      </c>
      <c r="B59" s="15" t="n">
        <v>3686.67</v>
      </c>
      <c r="C59" s="15" t="n">
        <v>3016</v>
      </c>
      <c r="D59" s="14" t="inlineStr">
        <is>
          <t>MA2701</t>
        </is>
      </c>
      <c r="E59" s="15" t="n">
        <v>3016</v>
      </c>
      <c r="F59" s="15" t="n">
        <v>670.67</v>
      </c>
      <c r="G59" s="16" t="n">
        <v>22.24</v>
      </c>
      <c r="H59" s="15" t="n">
        <v>183</v>
      </c>
      <c r="I59" s="15" t="n">
        <v>610426</v>
      </c>
    </row>
    <row r="60">
      <c r="A60" s="17" t="inlineStr">
        <is>
          <t>2026-09-15</t>
        </is>
      </c>
      <c r="B60" s="18" t="n">
        <v>3781.67</v>
      </c>
      <c r="C60" s="18" t="n">
        <v>3016</v>
      </c>
      <c r="D60" s="17" t="inlineStr">
        <is>
          <t>MA2701</t>
        </is>
      </c>
      <c r="E60" s="18" t="n">
        <v>3016</v>
      </c>
      <c r="F60" s="18" t="n">
        <v>765.67</v>
      </c>
      <c r="G60" s="19" t="n">
        <v>25.39</v>
      </c>
      <c r="H60" s="18" t="n">
        <v>182</v>
      </c>
      <c r="I60" s="18" t="n">
        <v>623567</v>
      </c>
    </row>
    <row r="61">
      <c r="A61" s="14" t="inlineStr">
        <is>
          <t>2026-09-16</t>
        </is>
      </c>
      <c r="B61" s="15" t="n">
        <v>3820</v>
      </c>
      <c r="C61" s="15" t="n">
        <v>3052</v>
      </c>
      <c r="D61" s="14" t="inlineStr">
        <is>
          <t>MA2701</t>
        </is>
      </c>
      <c r="E61" s="15" t="n">
        <v>3052</v>
      </c>
      <c r="F61" s="15" t="n">
        <v>768</v>
      </c>
      <c r="G61" s="16" t="n">
        <v>25.16</v>
      </c>
      <c r="H61" s="15" t="n">
        <v>205</v>
      </c>
      <c r="I61" s="15" t="n">
        <v>664087</v>
      </c>
    </row>
    <row r="62">
      <c r="A62" s="17" t="inlineStr">
        <is>
          <t>2026-09-17</t>
        </is>
      </c>
      <c r="B62" s="18" t="n">
        <v>4000</v>
      </c>
      <c r="C62" s="18" t="n">
        <v>2995</v>
      </c>
      <c r="D62" s="17" t="inlineStr">
        <is>
          <t>MA2701</t>
        </is>
      </c>
      <c r="E62" s="18" t="n">
        <v>2995</v>
      </c>
      <c r="F62" s="18" t="n">
        <v>1005</v>
      </c>
      <c r="G62" s="19" t="n">
        <v>33.56</v>
      </c>
      <c r="H62" s="18" t="n">
        <v>197</v>
      </c>
      <c r="I62" s="18" t="n">
        <v>662873</v>
      </c>
    </row>
    <row r="63">
      <c r="A63" s="14" t="inlineStr">
        <is>
          <t>2026-09-18</t>
        </is>
      </c>
      <c r="B63" s="15" t="n">
        <v>4030</v>
      </c>
      <c r="C63" s="15" t="n">
        <v>2952</v>
      </c>
      <c r="D63" s="14" t="inlineStr">
        <is>
          <t>MA2701</t>
        </is>
      </c>
      <c r="E63" s="15" t="n">
        <v>2952</v>
      </c>
      <c r="F63" s="15" t="n">
        <v>1078</v>
      </c>
      <c r="G63" s="16" t="n">
        <v>36.52</v>
      </c>
      <c r="H63" s="15" t="n">
        <v>189</v>
      </c>
      <c r="I63" s="15" t="n">
        <v>674984</v>
      </c>
    </row>
    <row r="64">
      <c r="A64" s="17" t="inlineStr">
        <is>
          <t>2026-09-21</t>
        </is>
      </c>
      <c r="B64" s="18" t="n">
        <v>4083.33</v>
      </c>
      <c r="C64" s="18" t="n">
        <v>2942</v>
      </c>
      <c r="D64" s="17" t="inlineStr">
        <is>
          <t>MA2701</t>
        </is>
      </c>
      <c r="E64" s="18" t="n">
        <v>2942</v>
      </c>
      <c r="F64" s="18" t="n">
        <v>1141.33</v>
      </c>
      <c r="G64" s="19" t="n">
        <v>38.79</v>
      </c>
      <c r="H64" s="18" t="n">
        <v>193</v>
      </c>
      <c r="I64" s="18" t="n">
        <v>712457</v>
      </c>
    </row>
    <row r="65">
      <c r="A65" s="14" t="inlineStr">
        <is>
          <t>2026-09-22</t>
        </is>
      </c>
      <c r="B65" s="15" t="n">
        <v>4053.33</v>
      </c>
      <c r="C65" s="15" t="n">
        <v>2944</v>
      </c>
      <c r="D65" s="14" t="inlineStr">
        <is>
          <t>MA2701</t>
        </is>
      </c>
      <c r="E65" s="15" t="n">
        <v>2944</v>
      </c>
      <c r="F65" s="15" t="n">
        <v>1109.33</v>
      </c>
      <c r="G65" s="16" t="n">
        <v>37.68</v>
      </c>
      <c r="H65" s="15" t="n">
        <v>165</v>
      </c>
      <c r="I65" s="15" t="n">
        <v>736173</v>
      </c>
    </row>
    <row r="66">
      <c r="A66" s="17" t="inlineStr">
        <is>
          <t>2026-09-23</t>
        </is>
      </c>
      <c r="B66" s="18" t="n">
        <v>4065</v>
      </c>
      <c r="C66" s="18" t="n">
        <v>2833</v>
      </c>
      <c r="D66" s="17" t="inlineStr">
        <is>
          <t>MA2701</t>
        </is>
      </c>
      <c r="E66" s="18" t="n">
        <v>2833</v>
      </c>
      <c r="F66" s="18" t="n">
        <v>1232</v>
      </c>
      <c r="G66" s="19" t="n">
        <v>43.49</v>
      </c>
      <c r="H66" s="18" t="n">
        <v>118</v>
      </c>
      <c r="I66" s="18" t="n">
        <v>714634</v>
      </c>
    </row>
    <row r="67">
      <c r="A67" s="14" t="inlineStr">
        <is>
          <t>2026-09-24</t>
        </is>
      </c>
      <c r="B67" s="15" t="n">
        <v>4016.67</v>
      </c>
      <c r="C67" s="15" t="n">
        <v>2960</v>
      </c>
      <c r="D67" s="14" t="inlineStr">
        <is>
          <t>MA2701</t>
        </is>
      </c>
      <c r="E67" s="15" t="n">
        <v>2960</v>
      </c>
      <c r="F67" s="15" t="n">
        <v>1056.67</v>
      </c>
      <c r="G67" s="16" t="n">
        <v>35.7</v>
      </c>
      <c r="H67" s="15" t="n">
        <v>155</v>
      </c>
      <c r="I67" s="15" t="n">
        <v>706693</v>
      </c>
    </row>
    <row r="68">
      <c r="A68" s="17" t="inlineStr">
        <is>
          <t>2026-09-25</t>
        </is>
      </c>
      <c r="B68" s="18" t="n">
        <v>4110</v>
      </c>
      <c r="C68" s="18" t="n"/>
      <c r="D68" s="17" t="n"/>
      <c r="E68" s="18" t="n"/>
      <c r="F68" s="18" t="n"/>
      <c r="G68" s="19" t="n"/>
      <c r="H68" s="18" t="n"/>
      <c r="I68" s="18" t="n"/>
    </row>
    <row r="69">
      <c r="A69" s="14" t="inlineStr">
        <is>
          <t>2026-09-28</t>
        </is>
      </c>
      <c r="B69" s="15" t="n">
        <v>4443.33</v>
      </c>
      <c r="C69" s="15" t="n">
        <v>2941</v>
      </c>
      <c r="D69" s="14" t="inlineStr">
        <is>
          <t>MA2701</t>
        </is>
      </c>
      <c r="E69" s="15" t="n">
        <v>2941</v>
      </c>
      <c r="F69" s="15" t="n">
        <v>1502.33</v>
      </c>
      <c r="G69" s="16" t="n">
        <v>51.08</v>
      </c>
      <c r="H69" s="15" t="n">
        <v>178</v>
      </c>
      <c r="I69" s="15" t="n">
        <v>695123</v>
      </c>
    </row>
    <row r="70">
      <c r="A70" s="17" t="inlineStr">
        <is>
          <t>2026-09-29</t>
        </is>
      </c>
      <c r="B70" s="18" t="n">
        <v>4600</v>
      </c>
      <c r="C70" s="18" t="n">
        <v>2953</v>
      </c>
      <c r="D70" s="17" t="inlineStr">
        <is>
          <t>MA2701</t>
        </is>
      </c>
      <c r="E70" s="18" t="n">
        <v>2953</v>
      </c>
      <c r="F70" s="18" t="n">
        <v>1647</v>
      </c>
      <c r="G70" s="19" t="n">
        <v>55.77</v>
      </c>
      <c r="H70" s="18" t="n">
        <v>178</v>
      </c>
      <c r="I70" s="18" t="n">
        <v>684554</v>
      </c>
    </row>
    <row r="71">
      <c r="A71" s="14" t="inlineStr">
        <is>
          <t>2026-09-30</t>
        </is>
      </c>
      <c r="B71" s="15" t="n">
        <v>4585</v>
      </c>
      <c r="C71" s="15" t="n">
        <v>2972</v>
      </c>
      <c r="D71" s="14" t="inlineStr">
        <is>
          <t>MA2701</t>
        </is>
      </c>
      <c r="E71" s="15" t="n">
        <v>2972</v>
      </c>
      <c r="F71" s="15" t="n">
        <v>1613</v>
      </c>
      <c r="G71" s="16" t="n">
        <v>54.27</v>
      </c>
      <c r="H71" s="15" t="n">
        <v>188</v>
      </c>
      <c r="I71" s="15" t="n">
        <v>660568</v>
      </c>
    </row>
    <row r="72">
      <c r="A72" s="17" t="inlineStr">
        <is>
          <t>2026-10-01</t>
        </is>
      </c>
      <c r="B72" s="18" t="n">
        <v>4460</v>
      </c>
      <c r="C72" s="18" t="n"/>
      <c r="D72" s="17" t="n"/>
      <c r="E72" s="18" t="n"/>
      <c r="F72" s="18" t="n"/>
      <c r="G72" s="19" t="n"/>
      <c r="H72" s="18" t="n"/>
      <c r="I72" s="18" t="n"/>
    </row>
    <row r="73">
      <c r="A73" s="14" t="inlineStr">
        <is>
          <t>2026-10-02</t>
        </is>
      </c>
      <c r="B73" s="15" t="n">
        <v>4493.33</v>
      </c>
      <c r="C73" s="20" t="n"/>
      <c r="D73" s="21" t="n"/>
      <c r="E73" s="20" t="n"/>
      <c r="F73" s="20" t="n"/>
      <c r="G73" s="22" t="n"/>
      <c r="H73" s="20" t="n"/>
      <c r="I73" s="20" t="n"/>
    </row>
    <row r="74">
      <c r="A74" s="17" t="inlineStr">
        <is>
          <t>2026-10-05</t>
        </is>
      </c>
      <c r="B74" s="18" t="n">
        <v>4493.33</v>
      </c>
      <c r="C74" s="18" t="n"/>
      <c r="D74" s="17" t="n"/>
      <c r="E74" s="18" t="n"/>
      <c r="F74" s="18" t="n"/>
      <c r="G74" s="19" t="n"/>
      <c r="H74" s="18" t="n"/>
      <c r="I74" s="18" t="n"/>
    </row>
    <row r="75">
      <c r="A75" s="14" t="inlineStr">
        <is>
          <t>2026-10-06</t>
        </is>
      </c>
      <c r="B75" s="15" t="n">
        <v>4493.33</v>
      </c>
      <c r="C75" s="20" t="n"/>
      <c r="D75" s="21" t="n"/>
      <c r="E75" s="20" t="n"/>
      <c r="F75" s="20" t="n"/>
      <c r="G75" s="22" t="n"/>
      <c r="H75" s="20" t="n"/>
      <c r="I75" s="20" t="n"/>
    </row>
    <row r="76">
      <c r="A76" s="17" t="inlineStr">
        <is>
          <t>2026-10-07</t>
        </is>
      </c>
      <c r="B76" s="18" t="n">
        <v>4493.33</v>
      </c>
      <c r="C76" s="18" t="n"/>
      <c r="D76" s="17" t="n"/>
      <c r="E76" s="18" t="n"/>
      <c r="F76" s="18" t="n"/>
      <c r="G76" s="19" t="n"/>
      <c r="H76" s="18" t="n"/>
      <c r="I76" s="18" t="n"/>
    </row>
    <row r="77">
      <c r="A77" s="14" t="inlineStr">
        <is>
          <t>2026-10-08</t>
        </is>
      </c>
      <c r="B77" s="15" t="n">
        <v>4493.33</v>
      </c>
      <c r="C77" s="15" t="n">
        <v>3200</v>
      </c>
      <c r="D77" s="14" t="inlineStr">
        <is>
          <t>MA2701</t>
        </is>
      </c>
      <c r="E77" s="15" t="n">
        <v>3200</v>
      </c>
      <c r="F77" s="15" t="n">
        <v>1293.33</v>
      </c>
      <c r="G77" s="16" t="n">
        <v>40.42</v>
      </c>
      <c r="H77" s="15" t="n">
        <v>194</v>
      </c>
      <c r="I77" s="15" t="n">
        <v>690748</v>
      </c>
    </row>
    <row r="78">
      <c r="A78" s="17" t="inlineStr">
        <is>
          <t>2026-10-09</t>
        </is>
      </c>
      <c r="B78" s="18" t="n">
        <v>4733.33</v>
      </c>
      <c r="C78" s="18" t="n">
        <v>3338</v>
      </c>
      <c r="D78" s="17" t="inlineStr">
        <is>
          <t>MA2701</t>
        </is>
      </c>
      <c r="E78" s="18" t="n">
        <v>3338</v>
      </c>
      <c r="F78" s="18" t="n">
        <v>1395.33</v>
      </c>
      <c r="G78" s="19" t="n">
        <v>41.8</v>
      </c>
      <c r="H78" s="18" t="n">
        <v>268</v>
      </c>
      <c r="I78" s="18" t="n">
        <v>761175</v>
      </c>
    </row>
    <row r="79">
      <c r="A79" s="14" t="inlineStr">
        <is>
          <t>2026-10-12</t>
        </is>
      </c>
      <c r="B79" s="15" t="n">
        <v>4643.33</v>
      </c>
      <c r="C79" s="15" t="n">
        <v>3229</v>
      </c>
      <c r="D79" s="14" t="inlineStr">
        <is>
          <t>MA2701</t>
        </is>
      </c>
      <c r="E79" s="15" t="n">
        <v>3229</v>
      </c>
      <c r="F79" s="15" t="n">
        <v>1414.33</v>
      </c>
      <c r="G79" s="16" t="n">
        <v>43.8</v>
      </c>
      <c r="H79" s="15" t="n">
        <v>173</v>
      </c>
      <c r="I79" s="15" t="n">
        <v>773423</v>
      </c>
    </row>
    <row r="80">
      <c r="A80" s="17" t="inlineStr">
        <is>
          <t>2026-10-13</t>
        </is>
      </c>
      <c r="B80" s="18" t="n">
        <v>4050</v>
      </c>
      <c r="C80" s="18" t="n">
        <v>3235</v>
      </c>
      <c r="D80" s="17" t="inlineStr">
        <is>
          <t>MA2701</t>
        </is>
      </c>
      <c r="E80" s="18" t="n">
        <v>3235</v>
      </c>
      <c r="F80" s="18" t="n">
        <v>815</v>
      </c>
      <c r="G80" s="19" t="n">
        <v>25.19</v>
      </c>
      <c r="H80" s="18" t="n">
        <v>150</v>
      </c>
      <c r="I80" s="18" t="n">
        <v>766220</v>
      </c>
    </row>
    <row r="81">
      <c r="A81" s="14" t="inlineStr">
        <is>
          <t>2026-10-14</t>
        </is>
      </c>
      <c r="B81" s="15" t="n">
        <v>3883.33</v>
      </c>
      <c r="C81" s="15" t="n">
        <v>3262</v>
      </c>
      <c r="D81" s="14" t="inlineStr">
        <is>
          <t>MA2701</t>
        </is>
      </c>
      <c r="E81" s="15" t="n">
        <v>3262</v>
      </c>
      <c r="F81" s="15" t="n">
        <v>621.33</v>
      </c>
      <c r="G81" s="16" t="n">
        <v>19.05</v>
      </c>
      <c r="H81" s="15" t="n">
        <v>138</v>
      </c>
      <c r="I81" s="15" t="n">
        <v>804320</v>
      </c>
    </row>
    <row r="82">
      <c r="A82" s="17" t="inlineStr">
        <is>
          <t>2026-10-15</t>
        </is>
      </c>
      <c r="B82" s="18" t="n">
        <v>4000</v>
      </c>
      <c r="C82" s="18" t="n">
        <v>3170</v>
      </c>
      <c r="D82" s="17" t="inlineStr">
        <is>
          <t>MA2701</t>
        </is>
      </c>
      <c r="E82" s="18" t="n">
        <v>3170</v>
      </c>
      <c r="F82" s="18" t="n">
        <v>830</v>
      </c>
      <c r="G82" s="19" t="n">
        <v>26.18</v>
      </c>
      <c r="H82" s="18" t="n">
        <v>112</v>
      </c>
      <c r="I82" s="18" t="n">
        <v>781032</v>
      </c>
    </row>
    <row r="83">
      <c r="A83" s="14" t="inlineStr">
        <is>
          <t>2026-10-16</t>
        </is>
      </c>
      <c r="B83" s="15" t="n">
        <v>3990</v>
      </c>
      <c r="C83" s="15" t="n">
        <v>3192</v>
      </c>
      <c r="D83" s="14" t="inlineStr">
        <is>
          <t>MA2701</t>
        </is>
      </c>
      <c r="E83" s="15" t="n">
        <v>3192</v>
      </c>
      <c r="F83" s="15" t="n">
        <v>798</v>
      </c>
      <c r="G83" s="16" t="n">
        <v>25</v>
      </c>
      <c r="H83" s="15" t="n">
        <v>125</v>
      </c>
      <c r="I83" s="15" t="n">
        <v>812542</v>
      </c>
    </row>
    <row r="84">
      <c r="A84" s="17" t="inlineStr">
        <is>
          <t>2026-10-19</t>
        </is>
      </c>
      <c r="B84" s="18" t="n">
        <v>3966.67</v>
      </c>
      <c r="C84" s="18" t="n">
        <v>3143</v>
      </c>
      <c r="D84" s="17" t="inlineStr">
        <is>
          <t>MA2701</t>
        </is>
      </c>
      <c r="E84" s="18" t="n">
        <v>3143</v>
      </c>
      <c r="F84" s="18" t="n">
        <v>823.67</v>
      </c>
      <c r="G84" s="19" t="n">
        <v>26.21</v>
      </c>
      <c r="H84" s="18" t="n">
        <v>121</v>
      </c>
      <c r="I84" s="18" t="n">
        <v>839680</v>
      </c>
    </row>
  </sheetData>
  <autoFilter ref="A4:I84"/>
  <mergeCells count="2">
    <mergeCell ref="A1:I1"/>
    <mergeCell ref="A2:I2"/>
  </mergeCells>
  <conditionalFormatting sqref="G5:G8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140"/>
    <outlinePr summaryBelow="1" summaryRight="1"/>
    <pageSetUpPr/>
  </sheetPr>
  <dimension ref="A1:G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0" customHeight="1">
      <c r="A1" s="1" t="inlineStr">
        <is>
          <t>02 分期对齐：每一段行情里各指标各自变了多少</t>
        </is>
      </c>
    </row>
    <row r="2" ht="28" customHeight="1">
      <c r="A2" s="2" t="inlineStr">
        <is>
          <t>只说明"同期各自变了多少"，不说明谁因谁果。灰色=该期无可用数据（不是 0）</t>
        </is>
      </c>
    </row>
    <row r="4" ht="30" customHeight="1">
      <c r="A4" s="7" t="inlineStr">
        <is>
          <t>区间起</t>
        </is>
      </c>
      <c r="B4" s="7" t="inlineStr">
        <is>
          <t>区间止</t>
        </is>
      </c>
      <c r="C4" s="7" t="inlineStr">
        <is>
          <t>华东甲醇现货（指数口径）（元/吨）</t>
        </is>
      </c>
      <c r="D4" s="7" t="inlineStr">
        <is>
          <t>郑商所甲醇主连（MA0）（元/吨）</t>
        </is>
      </c>
      <c r="E4" s="7" t="inlineStr">
        <is>
          <t>秦皇岛港 5500 大卡动力煤现货价（元/吨）</t>
        </is>
      </c>
      <c r="F4" s="7" t="inlineStr">
        <is>
          <t>INE 原油主连（SC0）（元/桶）</t>
        </is>
      </c>
      <c r="G4" s="7" t="inlineStr">
        <is>
          <t>大商所聚丙烯主连（PP0）（元/吨）</t>
        </is>
      </c>
    </row>
    <row r="5">
      <c r="A5" s="14" t="inlineStr">
        <is>
          <t>2026-06-30</t>
        </is>
      </c>
      <c r="B5" s="14" t="inlineStr">
        <is>
          <t>2026-07-02</t>
        </is>
      </c>
      <c r="C5" s="16" t="n">
        <v>-7.82</v>
      </c>
      <c r="D5" s="21" t="inlineStr">
        <is>
          <t>无数据</t>
        </is>
      </c>
      <c r="E5" s="16" t="n">
        <v>-1.31</v>
      </c>
      <c r="F5" s="16" t="n">
        <v>-5.65</v>
      </c>
      <c r="G5" s="16" t="n">
        <v>-2.37</v>
      </c>
    </row>
    <row r="6">
      <c r="A6" s="17" t="inlineStr">
        <is>
          <t>2026-07-02</t>
        </is>
      </c>
      <c r="B6" s="17" t="inlineStr">
        <is>
          <t>2026-07-20</t>
        </is>
      </c>
      <c r="C6" s="19" t="n">
        <v>1.74</v>
      </c>
      <c r="D6" s="17" t="inlineStr">
        <is>
          <t>无数据</t>
        </is>
      </c>
      <c r="E6" s="19" t="n">
        <v>-1.08</v>
      </c>
      <c r="F6" s="19" t="n">
        <v>26.27</v>
      </c>
      <c r="G6" s="19" t="n">
        <v>18.73</v>
      </c>
    </row>
    <row r="7">
      <c r="A7" s="14" t="inlineStr">
        <is>
          <t>2026-07-20</t>
        </is>
      </c>
      <c r="B7" s="14" t="inlineStr">
        <is>
          <t>2026-08-06</t>
        </is>
      </c>
      <c r="C7" s="16" t="n">
        <v>-2.78</v>
      </c>
      <c r="D7" s="21" t="inlineStr">
        <is>
          <t>无数据</t>
        </is>
      </c>
      <c r="E7" s="16" t="n">
        <v>2.8</v>
      </c>
      <c r="F7" s="16" t="n">
        <v>-6.05</v>
      </c>
      <c r="G7" s="16" t="n">
        <v>-5.06</v>
      </c>
    </row>
    <row r="8">
      <c r="A8" s="17" t="inlineStr">
        <is>
          <t>2026-08-06</t>
        </is>
      </c>
      <c r="B8" s="17" t="inlineStr">
        <is>
          <t>2026-08-25</t>
        </is>
      </c>
      <c r="C8" s="19" t="n">
        <v>16.31</v>
      </c>
      <c r="D8" s="17" t="inlineStr">
        <is>
          <t>无数据</t>
        </is>
      </c>
      <c r="E8" s="19" t="n">
        <v>2.25</v>
      </c>
      <c r="F8" s="19" t="n">
        <v>13.37</v>
      </c>
      <c r="G8" s="19" t="n">
        <v>0.8</v>
      </c>
    </row>
    <row r="9">
      <c r="A9" s="14" t="inlineStr">
        <is>
          <t>2026-08-25</t>
        </is>
      </c>
      <c r="B9" s="14" t="inlineStr">
        <is>
          <t>2026-08-26</t>
        </is>
      </c>
      <c r="C9" s="16" t="n">
        <v>0.22</v>
      </c>
      <c r="D9" s="21" t="inlineStr">
        <is>
          <t>无数据</t>
        </is>
      </c>
      <c r="E9" s="16" t="n">
        <v>0.46</v>
      </c>
      <c r="F9" s="16" t="n">
        <v>-4.74</v>
      </c>
      <c r="G9" s="16" t="n">
        <v>-4.06</v>
      </c>
    </row>
    <row r="10">
      <c r="A10" s="17" t="inlineStr">
        <is>
          <t>2026-08-26</t>
        </is>
      </c>
      <c r="B10" s="17" t="inlineStr">
        <is>
          <t>2026-09-10</t>
        </is>
      </c>
      <c r="C10" s="19" t="n">
        <v>23.97</v>
      </c>
      <c r="D10" s="17" t="inlineStr">
        <is>
          <t>无数据</t>
        </is>
      </c>
      <c r="E10" s="19" t="n">
        <v>13.94</v>
      </c>
      <c r="F10" s="19" t="n">
        <v>38.21</v>
      </c>
      <c r="G10" s="19" t="n">
        <v>15.06</v>
      </c>
    </row>
    <row r="11">
      <c r="A11" s="14" t="inlineStr">
        <is>
          <t>2026-09-10</t>
        </is>
      </c>
      <c r="B11" s="14" t="inlineStr">
        <is>
          <t>2026-09-23</t>
        </is>
      </c>
      <c r="C11" s="16" t="n">
        <v>9.67</v>
      </c>
      <c r="D11" s="21" t="inlineStr">
        <is>
          <t>无数据</t>
        </is>
      </c>
      <c r="E11" s="16" t="n">
        <v>-0.3</v>
      </c>
      <c r="F11" s="16" t="n">
        <v>-10.52</v>
      </c>
      <c r="G11" s="16" t="n">
        <v>-6.81</v>
      </c>
    </row>
    <row r="12">
      <c r="A12" s="17" t="inlineStr">
        <is>
          <t>2026-09-23</t>
        </is>
      </c>
      <c r="B12" s="17" t="inlineStr">
        <is>
          <t>2026-10-09</t>
        </is>
      </c>
      <c r="C12" s="19" t="n">
        <v>16.44</v>
      </c>
      <c r="D12" s="17" t="inlineStr">
        <is>
          <t>无数据</t>
        </is>
      </c>
      <c r="E12" s="19" t="n">
        <v>0.8100000000000001</v>
      </c>
      <c r="F12" s="19" t="n">
        <v>6.69</v>
      </c>
      <c r="G12" s="19" t="n">
        <v>12.79</v>
      </c>
    </row>
    <row r="13">
      <c r="A13" s="14" t="inlineStr">
        <is>
          <t>2026-10-09</t>
        </is>
      </c>
      <c r="B13" s="14" t="inlineStr">
        <is>
          <t>2026-10-19</t>
        </is>
      </c>
      <c r="C13" s="16" t="n">
        <v>-16.2</v>
      </c>
      <c r="D13" s="21" t="inlineStr">
        <is>
          <t>无数据</t>
        </is>
      </c>
      <c r="E13" s="16" t="n">
        <v>3.52</v>
      </c>
      <c r="F13" s="16" t="n">
        <v>-2.79</v>
      </c>
      <c r="G13" s="16" t="n">
        <v>-0.8</v>
      </c>
    </row>
  </sheetData>
  <mergeCells count="2">
    <mergeCell ref="A2:G2"/>
    <mergeCell ref="A1:G1"/>
  </mergeCells>
  <conditionalFormatting sqref="C5:G13">
    <cfRule type="colorScale" priority="1">
      <colorScale>
        <cfvo type="min"/>
        <cfvo type="num" val="0"/>
        <cfvo type="max"/>
        <color rgb="0022C08D"/>
        <color rgb="00FFFFFF"/>
        <color rgb="00FF5C5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140"/>
    <outlinePr summaryBelow="1" summaryRight="1"/>
    <pageSetUpPr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  <col width="10" customWidth="1" min="4" max="4"/>
    <col width="14" customWidth="1" min="5" max="5"/>
    <col width="14" customWidth="1" min="6" max="6"/>
    <col width="30" customWidth="1" min="7" max="7"/>
    <col width="16" customWidth="1" min="8" max="8"/>
  </cols>
  <sheetData>
    <row r="1" ht="30" customHeight="1">
      <c r="A1" s="1" t="inlineStr">
        <is>
          <t>03 各因子在窗口内的同期数据（数值／口径／来源）</t>
        </is>
      </c>
    </row>
    <row r="2" ht="28" customHeight="1">
      <c r="A2" s="2" t="inlineStr">
        <is>
          <t>每个因子都必须有数值或明确写"无可用数据"；这是本工作簿的硬性要求</t>
        </is>
      </c>
    </row>
    <row r="4" ht="30" customHeight="1">
      <c r="A4" s="7" t="inlineStr">
        <is>
          <t>因子</t>
        </is>
      </c>
      <c r="B4" s="7" t="inlineStr">
        <is>
          <t>分类</t>
        </is>
      </c>
      <c r="C4" s="7" t="inlineStr">
        <is>
          <t>指标</t>
        </is>
      </c>
      <c r="D4" s="7" t="inlineStr">
        <is>
          <t>证据等级</t>
        </is>
      </c>
      <c r="E4" s="7" t="inlineStr">
        <is>
          <t>期初值</t>
        </is>
      </c>
      <c r="F4" s="7" t="inlineStr">
        <is>
          <t>期末值</t>
        </is>
      </c>
      <c r="G4" s="7" t="inlineStr">
        <is>
          <t>变动</t>
        </is>
      </c>
      <c r="H4" s="7" t="inlineStr">
        <is>
          <t>z 值</t>
        </is>
      </c>
    </row>
    <row r="5">
      <c r="A5" s="14" t="inlineStr">
        <is>
          <t>进口与外盘价格</t>
        </is>
      </c>
      <c r="B5" s="14" t="inlineStr">
        <is>
          <t>贸易</t>
        </is>
      </c>
      <c r="C5" s="14" t="inlineStr">
        <is>
          <t>2026 年 8 月甲醇进口量</t>
        </is>
      </c>
      <c r="D5" s="23" t="inlineStr">
        <is>
          <t>E1</t>
        </is>
      </c>
      <c r="E5" s="14" t="inlineStr"/>
      <c r="F5" s="14" t="inlineStr"/>
      <c r="G5" s="24" t="inlineStr">
        <is>
          <t>80.53 万吨，环比 −18.83%；进口均价 320.24 美元/吨，环比 +0.06%；沙特为第一大来源（22.05 万吨）</t>
        </is>
      </c>
      <c r="H5" s="14" t="inlineStr">
        <is>
          <t>2026-09-21</t>
        </is>
      </c>
    </row>
    <row r="6">
      <c r="A6" s="17" t="inlineStr">
        <is>
          <t>进口与外盘价格</t>
        </is>
      </c>
      <c r="B6" s="17" t="inlineStr">
        <is>
          <t>贸易</t>
        </is>
      </c>
      <c r="C6" s="17" t="inlineStr">
        <is>
          <t>1—8 月累计进口</t>
        </is>
      </c>
      <c r="D6" s="17" t="inlineStr">
        <is>
          <t>E1</t>
        </is>
      </c>
      <c r="E6" s="17" t="inlineStr"/>
      <c r="F6" s="17" t="inlineStr"/>
      <c r="G6" s="17" t="inlineStr">
        <is>
          <t>557.83 万吨，同比 −32.30%</t>
        </is>
      </c>
      <c r="H6" s="17" t="inlineStr">
        <is>
          <t>2026-09-21</t>
        </is>
      </c>
    </row>
    <row r="7">
      <c r="A7" s="14" t="inlineStr">
        <is>
          <t>进口与外盘价格</t>
        </is>
      </c>
      <c r="B7" s="14" t="inlineStr">
        <is>
          <t>贸易</t>
        </is>
      </c>
      <c r="C7" s="14" t="inlineStr">
        <is>
          <t>8 月出口量</t>
        </is>
      </c>
      <c r="D7" s="23" t="inlineStr">
        <is>
          <t>E1</t>
        </is>
      </c>
      <c r="E7" s="14" t="inlineStr"/>
      <c r="F7" s="14" t="inlineStr"/>
      <c r="G7" s="24" t="inlineStr">
        <is>
          <t>12.17 万吨，环比 −0.33%；1—8 月累计出口 91.62 万吨，同比 +430.21%</t>
        </is>
      </c>
      <c r="H7" s="14" t="inlineStr">
        <is>
          <t>2026-09-21</t>
        </is>
      </c>
    </row>
    <row r="8">
      <c r="A8" s="17" t="inlineStr">
        <is>
          <t>进口与外盘价格</t>
        </is>
      </c>
      <c r="B8" s="17" t="inlineStr">
        <is>
          <t>贸易</t>
        </is>
      </c>
      <c r="C8" s="17" t="inlineStr">
        <is>
          <t>9 月到港与进口预估</t>
        </is>
      </c>
      <c r="D8" s="17" t="inlineStr">
        <is>
          <t>E2</t>
        </is>
      </c>
      <c r="E8" s="17" t="inlineStr"/>
      <c r="F8" s="17" t="inlineStr"/>
      <c r="G8" s="25" t="inlineStr">
        <is>
          <t>9 月中旬周度到港仅 13—14 万吨；预估 9 月全月 45—50 万吨（7 月近 99 万吨、8 月 65—70 万吨）</t>
        </is>
      </c>
      <c r="H8" s="17" t="inlineStr">
        <is>
          <t>2026-09-17</t>
        </is>
      </c>
    </row>
    <row r="9">
      <c r="A9" s="14" t="inlineStr">
        <is>
          <t>进口与外盘价格</t>
        </is>
      </c>
      <c r="B9" s="14" t="inlineStr">
        <is>
          <t>贸易</t>
        </is>
      </c>
      <c r="C9" s="14" t="inlineStr">
        <is>
          <t>伊朗装置状态</t>
        </is>
      </c>
      <c r="D9" s="26" t="inlineStr">
        <is>
          <t>E2</t>
        </is>
      </c>
      <c r="E9" s="14" t="inlineStr"/>
      <c r="F9" s="14" t="inlineStr"/>
      <c r="G9" s="24" t="inlineStr">
        <is>
          <t>8/31：Kimiya 165 万吨/年停车；9/28：KPC 66 万吨/年与 Sabalan 165 万吨/年维持停车，重启时间待跟踪；FPC 100 万吨/年正常运行</t>
        </is>
      </c>
      <c r="H9" s="14" t="inlineStr">
        <is>
          <t>2026-09-28</t>
        </is>
      </c>
    </row>
    <row r="10">
      <c r="A10" s="17" t="inlineStr">
        <is>
          <t>进口与外盘价格</t>
        </is>
      </c>
      <c r="B10" s="17" t="inlineStr">
        <is>
          <t>贸易</t>
        </is>
      </c>
      <c r="C10" s="17" t="inlineStr">
        <is>
          <t>10 月进口数据</t>
        </is>
      </c>
      <c r="D10" s="17" t="inlineStr">
        <is>
          <t>E4</t>
        </is>
      </c>
      <c r="E10" s="17" t="inlineStr"/>
      <c r="F10" s="17" t="inlineStr"/>
      <c r="G10" s="25" t="inlineStr">
        <is>
          <t>ND：海关 9 月及 10 月数据在本报告数据截止日（2026-10-19）尚未发布</t>
        </is>
      </c>
      <c r="H10" s="17" t="inlineStr"/>
    </row>
    <row r="11">
      <c r="A11" s="14" t="inlineStr">
        <is>
          <t>港口·企业库存</t>
        </is>
      </c>
      <c r="B11" s="14" t="inlineStr">
        <is>
          <t>库存</t>
        </is>
      </c>
      <c r="C11" s="14" t="inlineStr">
        <is>
          <t>华东港口甲醇库存（万吨，连续序列）</t>
        </is>
      </c>
      <c r="D11" s="27" t="inlineStr">
        <is>
          <t>E4</t>
        </is>
      </c>
      <c r="E11" s="14" t="inlineStr"/>
      <c r="F11" s="14" t="inlineStr"/>
      <c r="G11" s="24" t="inlineStr">
        <is>
          <t>ND：卓创／隆众口径港存为付费数据，公开渠道未取得任何逐周实测值</t>
        </is>
      </c>
      <c r="H11" s="14" t="inlineStr"/>
    </row>
    <row r="12">
      <c r="A12" s="17" t="inlineStr">
        <is>
          <t>港口·企业库存</t>
        </is>
      </c>
      <c r="B12" s="17" t="inlineStr">
        <is>
          <t>库存</t>
        </is>
      </c>
      <c r="C12" s="17" t="inlineStr">
        <is>
          <t>定性表述</t>
        </is>
      </c>
      <c r="D12" s="17" t="inlineStr">
        <is>
          <t>E3</t>
        </is>
      </c>
      <c r="E12" s="17" t="inlineStr"/>
      <c r="F12" s="17" t="inlineStr"/>
      <c r="G12" s="25" t="inlineStr">
        <is>
          <t>『前期受中东地缘、伊朗甲醇出货锐减、港口库存历史低位推动大幅上涨』（生意社 10/14 复盘）</t>
        </is>
      </c>
      <c r="H12" s="17" t="inlineStr">
        <is>
          <t>2026-10-14</t>
        </is>
      </c>
    </row>
    <row r="13">
      <c r="A13" s="14" t="inlineStr">
        <is>
          <t>装置检修·停车·复产与开工率</t>
        </is>
      </c>
      <c r="B13" s="14" t="inlineStr">
        <is>
          <t>供给</t>
        </is>
      </c>
      <c r="C13" s="14" t="inlineStr">
        <is>
          <t>9 月中旬甲醇行业周度开工率</t>
        </is>
      </c>
      <c r="D13" s="26" t="inlineStr">
        <is>
          <t>E2</t>
        </is>
      </c>
      <c r="E13" s="14" t="inlineStr"/>
      <c r="F13" s="14" t="inlineStr"/>
      <c r="G13" s="24" t="inlineStr">
        <is>
          <t>83.8%（环比 +1.1 个百分点），周产量 189.3 万吨</t>
        </is>
      </c>
      <c r="H13" s="24" t="inlineStr">
        <is>
          <t>2026-09-21（生意社发布，覆盖 9 月中旬）</t>
        </is>
      </c>
    </row>
    <row r="14">
      <c r="A14" s="17" t="inlineStr">
        <is>
          <t>装置检修·停车·复产与开工率</t>
        </is>
      </c>
      <c r="B14" s="17" t="inlineStr">
        <is>
          <t>供给</t>
        </is>
      </c>
      <c r="C14" s="17" t="inlineStr">
        <is>
          <t>开工率变化与价格方向是否一致</t>
        </is>
      </c>
      <c r="D14" s="17" t="inlineStr">
        <is>
          <t>E4</t>
        </is>
      </c>
      <c r="E14" s="17" t="inlineStr"/>
      <c r="F14" s="17" t="inlineStr"/>
      <c r="G14" s="25" t="inlineStr">
        <is>
          <t>开工率上行（供给增加）与 9 月中旬价格上行方向相反 → 该因素对 9 月上涨**不构成支持**</t>
        </is>
      </c>
      <c r="H14" s="17" t="inlineStr"/>
    </row>
    <row r="15">
      <c r="A15" s="14" t="inlineStr">
        <is>
          <t>装置检修·停车·复产与开工率</t>
        </is>
      </c>
      <c r="B15" s="14" t="inlineStr">
        <is>
          <t>供给</t>
        </is>
      </c>
      <c r="C15" s="14" t="inlineStr">
        <is>
          <t>9 月上中旬检修装置</t>
        </is>
      </c>
      <c r="D15" s="28" t="inlineStr">
        <is>
          <t>E3</t>
        </is>
      </c>
      <c r="E15" s="14" t="inlineStr"/>
      <c r="F15" s="14" t="inlineStr"/>
      <c r="G15" s="24" t="inlineStr">
        <is>
          <t>新疆新业、和宁化学、内蒙古国泰、神华西来峰、重庆卡贝乐先后进入检修；9/21 渭化 40 万吨/年结束检修复产</t>
        </is>
      </c>
      <c r="H15" s="14" t="inlineStr">
        <is>
          <t>2026-09-17</t>
        </is>
      </c>
    </row>
    <row r="16">
      <c r="A16" s="17" t="inlineStr">
        <is>
          <t>装置检修·停车·复产与开工率</t>
        </is>
      </c>
      <c r="B16" s="17" t="inlineStr">
        <is>
          <t>供给</t>
        </is>
      </c>
      <c r="C16" s="17" t="inlineStr">
        <is>
          <t>10 月中旬国内装置恢复</t>
        </is>
      </c>
      <c r="D16" s="17" t="inlineStr">
        <is>
          <t>E2</t>
        </is>
      </c>
      <c r="E16" s="17" t="inlineStr"/>
      <c r="F16" s="17" t="inlineStr"/>
      <c r="G16" s="25" t="inlineStr">
        <is>
          <t>内蒙古新奥达旗等多套前期检修装置 9 月底已陆续恢复；陕西黑猫 10 万吨焦炉气制甲醇计划 10 月中旬重启</t>
        </is>
      </c>
      <c r="H16" s="17" t="inlineStr">
        <is>
          <t>2026-10-14</t>
        </is>
      </c>
    </row>
    <row r="17">
      <c r="A17" s="14" t="inlineStr">
        <is>
          <t>装置检修·停车·复产与开工率</t>
        </is>
      </c>
      <c r="B17" s="14" t="inlineStr">
        <is>
          <t>供给</t>
        </is>
      </c>
      <c r="C17" s="14" t="inlineStr">
        <is>
          <t>10 月中旬检修损失</t>
        </is>
      </c>
      <c r="D17" s="28" t="inlineStr">
        <is>
          <t>E3</t>
        </is>
      </c>
      <c r="E17" s="14" t="inlineStr"/>
      <c r="F17" s="14" t="inlineStr"/>
      <c r="G17" s="24" t="inlineStr">
        <is>
          <t>国能榆林、晋煤华昱、重庆万盛检修；山西焦化、榆林凯越恢复，损失量多于恢复量，产能利用率下降</t>
        </is>
      </c>
      <c r="H17" s="14" t="inlineStr">
        <is>
          <t>2026-10-16</t>
        </is>
      </c>
    </row>
    <row r="18">
      <c r="A18" s="17" t="inlineStr">
        <is>
          <t>装置检修·停车·复产与开工率</t>
        </is>
      </c>
      <c r="B18" s="17" t="inlineStr">
        <is>
          <t>供给</t>
        </is>
      </c>
      <c r="C18" s="17" t="inlineStr">
        <is>
          <t>周度开工率连续序列（7—10 月）</t>
        </is>
      </c>
      <c r="D18" s="17" t="inlineStr">
        <is>
          <t>E4</t>
        </is>
      </c>
      <c r="E18" s="17" t="inlineStr"/>
      <c r="F18" s="17" t="inlineStr"/>
      <c r="G18" s="25" t="inlineStr">
        <is>
          <t>ND：公开渠道未取得逐周连续的开工率序列，只有 9 月中旬单点值</t>
        </is>
      </c>
      <c r="H18" s="17" t="inlineStr"/>
    </row>
    <row r="19">
      <c r="A19" s="14" t="inlineStr">
        <is>
          <t>下游需求（MTO 与聚烯烃）</t>
        </is>
      </c>
      <c r="B19" s="14" t="inlineStr">
        <is>
          <t>需求</t>
        </is>
      </c>
      <c r="C19" s="14" t="inlineStr">
        <is>
          <t>大商所聚丙烯主连（PP0）</t>
        </is>
      </c>
      <c r="D19" s="23" t="inlineStr">
        <is>
          <t>E1</t>
        </is>
      </c>
      <c r="E19" s="14" t="n">
        <v>7300</v>
      </c>
      <c r="F19" s="14" t="n">
        <v>9320</v>
      </c>
      <c r="G19" s="16" t="n">
        <v>27.6712</v>
      </c>
      <c r="H19" s="16" t="n">
        <v>2.2887</v>
      </c>
    </row>
    <row r="20">
      <c r="A20" s="17" t="inlineStr">
        <is>
          <t>下游需求（MTO 与聚烯烃）</t>
        </is>
      </c>
      <c r="B20" s="17" t="inlineStr">
        <is>
          <t>需求</t>
        </is>
      </c>
      <c r="C20" s="17" t="inlineStr">
        <is>
          <t>沿海外采型 MTO 动态</t>
        </is>
      </c>
      <c r="D20" s="17" t="inlineStr">
        <is>
          <t>E2</t>
        </is>
      </c>
      <c r="E20" s="17" t="inlineStr"/>
      <c r="F20" s="17" t="inlineStr"/>
      <c r="G20" s="25" t="inlineStr">
        <is>
          <t>天津渤化、联泓格润二期、诚志等沿海外采型 MTO 陆续停车降负，核心原因是甲醇高价、企业深度亏损；煤-甲醇-烯烃一体化装置维持稳定</t>
        </is>
      </c>
      <c r="H20" s="17" t="inlineStr">
        <is>
          <t>2026-10-14</t>
        </is>
      </c>
    </row>
    <row r="21">
      <c r="A21" s="14" t="inlineStr">
        <is>
          <t>下游需求（MTO 与聚烯烃）</t>
        </is>
      </c>
      <c r="B21" s="14" t="inlineStr">
        <is>
          <t>需求</t>
        </is>
      </c>
      <c r="C21" s="14" t="inlineStr">
        <is>
          <t>烯烃负反馈与外卖原料</t>
        </is>
      </c>
      <c r="D21" s="26" t="inlineStr">
        <is>
          <t>E2</t>
        </is>
      </c>
      <c r="E21" s="14" t="inlineStr"/>
      <c r="F21" s="14" t="inlineStr"/>
      <c r="G21" s="24" t="inlineStr">
        <is>
          <t>『下游烯烃负反馈尤为明显；部分停工烯烃外卖原料举措仍有』</t>
        </is>
      </c>
      <c r="H21" s="14" t="inlineStr">
        <is>
          <t>2026-10-16</t>
        </is>
      </c>
    </row>
    <row r="22">
      <c r="A22" s="17" t="inlineStr">
        <is>
          <t>下游需求（MTO 与聚烯烃）</t>
        </is>
      </c>
      <c r="B22" s="17" t="inlineStr">
        <is>
          <t>需求</t>
        </is>
      </c>
      <c r="C22" s="17" t="inlineStr">
        <is>
          <t>MTO 装置开工率 / MTO 利润（连续序列）</t>
        </is>
      </c>
      <c r="D22" s="17" t="inlineStr">
        <is>
          <t>E4</t>
        </is>
      </c>
      <c r="E22" s="17" t="inlineStr"/>
      <c r="F22" s="17" t="inlineStr"/>
      <c r="G22" s="25" t="inlineStr">
        <is>
          <t>ND：未取得逐周 MTO 开工率与实时 MTO 利润序列</t>
        </is>
      </c>
      <c r="H22" s="17" t="inlineStr"/>
    </row>
    <row r="23">
      <c r="A23" s="14" t="inlineStr">
        <is>
          <t>下游需求（MTO 与聚烯烃）</t>
        </is>
      </c>
      <c r="B23" s="14" t="inlineStr">
        <is>
          <t>需求</t>
        </is>
      </c>
      <c r="C23" s="14" t="inlineStr">
        <is>
          <t>醋酸、MTBE、甲醛等其他下游价格</t>
        </is>
      </c>
      <c r="D23" s="27" t="inlineStr">
        <is>
          <t>E4</t>
        </is>
      </c>
      <c r="E23" s="14" t="inlineStr"/>
      <c r="F23" s="14" t="inlineStr"/>
      <c r="G23" s="24" t="inlineStr">
        <is>
          <t>ND：生意社分析稿列示了『甲醇-醋酸』『甲醇-MTBE』对比图，但无对应数值</t>
        </is>
      </c>
      <c r="H23" s="14" t="inlineStr"/>
    </row>
    <row r="24">
      <c r="A24" s="17" t="inlineStr">
        <is>
          <t>煤炭成本（上游原料）</t>
        </is>
      </c>
      <c r="B24" s="17" t="inlineStr">
        <is>
          <t>成本</t>
        </is>
      </c>
      <c r="C24" s="17" t="inlineStr">
        <is>
          <t>秦皇岛港 5500 大卡动力煤现货价</t>
        </is>
      </c>
      <c r="D24" s="17" t="inlineStr">
        <is>
          <t>E1</t>
        </is>
      </c>
      <c r="E24" s="17" t="n">
        <v>842</v>
      </c>
      <c r="F24" s="17" t="n">
        <v>1029</v>
      </c>
      <c r="G24" s="19" t="n">
        <v>22.209</v>
      </c>
      <c r="H24" s="19" t="n">
        <v>1.8786</v>
      </c>
    </row>
    <row r="25">
      <c r="A25" s="14" t="inlineStr">
        <is>
          <t>煤炭成本（上游原料）</t>
        </is>
      </c>
      <c r="B25" s="14" t="inlineStr">
        <is>
          <t>成本</t>
        </is>
      </c>
      <c r="C25" s="14" t="inlineStr">
        <is>
          <t>煤制甲醇单耗（经验区间）</t>
        </is>
      </c>
      <c r="D25" s="28" t="inlineStr">
        <is>
          <t>E3</t>
        </is>
      </c>
      <c r="E25" s="14" t="inlineStr"/>
      <c r="F25" s="14" t="inlineStr"/>
      <c r="G25" s="24" t="inlineStr">
        <is>
          <t>1.6—1.8 吨标煤／吨甲醇（含原料煤与燃料煤）</t>
        </is>
      </c>
      <c r="H25" s="14" t="inlineStr"/>
    </row>
    <row r="26">
      <c r="A26" s="17" t="inlineStr">
        <is>
          <t>煤炭成本（上游原料）</t>
        </is>
      </c>
      <c r="B26" s="17" t="inlineStr">
        <is>
          <t>成本</t>
        </is>
      </c>
      <c r="C26" s="17" t="inlineStr">
        <is>
          <t>内蒙古坑口动力煤（内地煤制主原料）</t>
        </is>
      </c>
      <c r="D26" s="17" t="inlineStr">
        <is>
          <t>E4</t>
        </is>
      </c>
      <c r="E26" s="17" t="inlineStr"/>
      <c r="F26" s="17" t="inlineStr"/>
      <c r="G26" s="17" t="inlineStr">
        <is>
          <t>ND：未取得可追溯的连续序列</t>
        </is>
      </c>
      <c r="H26" s="17" t="inlineStr"/>
    </row>
    <row r="27">
      <c r="A27" s="14" t="inlineStr">
        <is>
          <t>煤炭成本（上游原料）</t>
        </is>
      </c>
      <c r="B27" s="14" t="inlineStr">
        <is>
          <t>成本</t>
        </is>
      </c>
      <c r="C27" s="14" t="inlineStr">
        <is>
          <t>理论成本方向（定性与走势）</t>
        </is>
      </c>
      <c r="D27" s="28" t="inlineStr">
        <is>
          <t>E3</t>
        </is>
      </c>
      <c r="E27" s="14" t="inlineStr"/>
      <c r="F27" s="14" t="inlineStr"/>
      <c r="G27" s="14" t="inlineStr">
        <is>
          <t>煤价上行抬升煤制完全成本，对价格形成成本支撑</t>
        </is>
      </c>
      <c r="H27" s="14" t="inlineStr"/>
    </row>
    <row r="28">
      <c r="A28" s="17" t="inlineStr">
        <is>
          <t>原油与地缘能源价格</t>
        </is>
      </c>
      <c r="B28" s="17" t="inlineStr">
        <is>
          <t>成本</t>
        </is>
      </c>
      <c r="C28" s="17" t="inlineStr">
        <is>
          <t>INE 原油主连（SC0）</t>
        </is>
      </c>
      <c r="D28" s="17" t="inlineStr">
        <is>
          <t>E1</t>
        </is>
      </c>
      <c r="E28" s="17" t="n">
        <v>460.3</v>
      </c>
      <c r="F28" s="17" t="n">
        <v>713.6</v>
      </c>
      <c r="G28" s="19" t="n">
        <v>55.0293</v>
      </c>
      <c r="H28" s="19" t="n">
        <v>2.4522</v>
      </c>
    </row>
    <row r="29">
      <c r="A29" s="14" t="inlineStr">
        <is>
          <t>原油与地缘能源价格</t>
        </is>
      </c>
      <c r="B29" s="14" t="inlineStr">
        <is>
          <t>成本</t>
        </is>
      </c>
      <c r="C29" s="14" t="inlineStr">
        <is>
          <t>天然气／液化天然气</t>
        </is>
      </c>
      <c r="D29" s="27" t="inlineStr">
        <is>
          <t>E4</t>
        </is>
      </c>
      <c r="E29" s="14" t="inlineStr"/>
      <c r="F29" s="14" t="inlineStr"/>
      <c r="G29" s="24" t="inlineStr">
        <is>
          <t>ND：华东甲醇以煤制与进口为主，天然气制占比极低；伊朗/中东装置受气头影响，本次未取得连续定价序列</t>
        </is>
      </c>
      <c r="H29" s="14" t="inlineStr"/>
    </row>
    <row r="30">
      <c r="A30" s="17" t="inlineStr">
        <is>
          <t>原油与地缘能源价格</t>
        </is>
      </c>
      <c r="B30" s="17" t="inlineStr">
        <is>
          <t>成本</t>
        </is>
      </c>
      <c r="C30" s="17" t="inlineStr">
        <is>
          <t>原油→甲醇的传导证据</t>
        </is>
      </c>
      <c r="D30" s="17" t="inlineStr">
        <is>
          <t>E2</t>
        </is>
      </c>
      <c r="E30" s="17" t="inlineStr"/>
      <c r="F30" s="17" t="inlineStr"/>
      <c r="G30" s="25" t="inlineStr">
        <is>
          <t>未见甲醇定价直接挂钩原油；原油经海运费与地缘溢价间接传导</t>
        </is>
      </c>
      <c r="H30" s="17" t="inlineStr"/>
    </row>
    <row r="31">
      <c r="A31" s="14" t="inlineStr">
        <is>
          <t>政策·事故·地缘与突发事件</t>
        </is>
      </c>
      <c r="B31" s="14" t="inlineStr">
        <is>
          <t>政策/事件</t>
        </is>
      </c>
      <c r="C31" s="14" t="inlineStr">
        <is>
          <t>霍尔木兹海峡航运</t>
        </is>
      </c>
      <c r="D31" s="26" t="inlineStr">
        <is>
          <t>E2</t>
        </is>
      </c>
      <c r="E31" s="14" t="inlineStr"/>
      <c r="F31" s="14" t="inlineStr"/>
      <c r="G31" s="24" t="inlineStr">
        <is>
          <t>『由于伊朗战争导致愿意穿越霍尔木兹海峡接载货物的油轮数量不足，石油行业基准航线的油轮租赁成本首次超过每天 100 万美元』（波罗的海交易所）</t>
        </is>
      </c>
      <c r="H31" s="14" t="inlineStr">
        <is>
          <t>2026-09-15</t>
        </is>
      </c>
    </row>
    <row r="32">
      <c r="A32" s="17" t="inlineStr">
        <is>
          <t>政策·事故·地缘与突发事件</t>
        </is>
      </c>
      <c r="B32" s="17" t="inlineStr">
        <is>
          <t>政策/事件</t>
        </is>
      </c>
      <c r="C32" s="17" t="inlineStr">
        <is>
          <t>霍尔木兹风险传导</t>
        </is>
      </c>
      <c r="D32" s="17" t="inlineStr">
        <is>
          <t>E2</t>
        </is>
      </c>
      <c r="E32" s="17" t="inlineStr"/>
      <c r="F32" s="17" t="inlineStr"/>
      <c r="G32" s="25" t="inlineStr">
        <is>
          <t>中东装置降负、船期延误、浮仓积压；部分中东货源优先流向印度、东南亚，分流对华出口</t>
        </is>
      </c>
      <c r="H32" s="17" t="inlineStr">
        <is>
          <t>2026-09-17</t>
        </is>
      </c>
    </row>
    <row r="33">
      <c r="A33" s="14" t="inlineStr">
        <is>
          <t>政策·事故·地缘与突发事件</t>
        </is>
      </c>
      <c r="B33" s="14" t="inlineStr">
        <is>
          <t>政策/事件</t>
        </is>
      </c>
      <c r="C33" s="14" t="inlineStr">
        <is>
          <t>国内政策（关税／限产／储备）</t>
        </is>
      </c>
      <c r="D33" s="27" t="inlineStr">
        <is>
          <t>E4</t>
        </is>
      </c>
      <c r="E33" s="14" t="inlineStr"/>
      <c r="F33" s="14" t="inlineStr"/>
      <c r="G33" s="14" t="inlineStr">
        <is>
          <t>ND：窗口期内未检索到直接针对甲醇的国内政策事件</t>
        </is>
      </c>
      <c r="H33" s="14" t="inlineStr"/>
    </row>
  </sheetData>
  <autoFilter ref="A4:H33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140"/>
    <outlinePr summaryBelow="1" summaryRight="1"/>
    <pageSetUpPr/>
  </sheetPr>
  <dimension ref="A1:I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40" customWidth="1" min="4" max="4"/>
    <col width="8" customWidth="1" min="5" max="5"/>
    <col width="8" customWidth="1" min="6" max="6"/>
    <col width="12" customWidth="1" min="7" max="7"/>
    <col width="9" customWidth="1" min="8" max="8"/>
    <col width="70" customWidth="1" min="9" max="9"/>
  </cols>
  <sheetData>
    <row r="1" ht="30" customHeight="1">
      <c r="A1" s="1" t="inlineStr">
        <is>
          <t>04 变动幅度、显著性（z）与证据分级理由</t>
        </is>
      </c>
    </row>
    <row r="2" ht="28" customHeight="1">
      <c r="A2" s="2" t="inlineStr">
        <is>
          <t>z = 窗口变化量 / 该指标等长窗口变化量在其自身历史分布中的标准差；|z|≥1 视为显著</t>
        </is>
      </c>
    </row>
    <row r="4" ht="30" customHeight="1">
      <c r="A4" s="7" t="inlineStr">
        <is>
          <t>排名</t>
        </is>
      </c>
      <c r="B4" s="7" t="inlineStr">
        <is>
          <t>因子</t>
        </is>
      </c>
      <c r="C4" s="7" t="inlineStr">
        <is>
          <t>分类</t>
        </is>
      </c>
      <c r="D4" s="7" t="inlineStr">
        <is>
          <t>指标</t>
        </is>
      </c>
      <c r="E4" s="7" t="inlineStr">
        <is>
          <t>等级</t>
        </is>
      </c>
      <c r="F4" s="7" t="inlineStr">
        <is>
          <t>方向</t>
        </is>
      </c>
      <c r="G4" s="7" t="inlineStr">
        <is>
          <t>变动值</t>
        </is>
      </c>
      <c r="H4" s="7" t="inlineStr">
        <is>
          <t>z 值</t>
        </is>
      </c>
      <c r="I4" s="7" t="inlineStr">
        <is>
          <t>分级理由</t>
        </is>
      </c>
    </row>
    <row r="5">
      <c r="A5" s="14" t="n">
        <v>1</v>
      </c>
      <c r="B5" s="14" t="inlineStr">
        <is>
          <t>进口与外盘价格</t>
        </is>
      </c>
      <c r="C5" s="14" t="inlineStr">
        <is>
          <t>贸易</t>
        </is>
      </c>
      <c r="D5" s="24" t="inlineStr">
        <is>
          <t>8 月甲醇进口 80.53 万吨（环比 −18.83%），1—8 月同比 −32.30%</t>
        </is>
      </c>
      <c r="E5" s="23" t="inlineStr">
        <is>
          <t>E1</t>
        </is>
      </c>
      <c r="F5" s="14" t="inlineStr">
        <is>
          <t>上行</t>
        </is>
      </c>
      <c r="G5" s="14" t="inlineStr"/>
      <c r="H5" s="14" t="n"/>
      <c r="I5" s="24" t="inlineStr">
        <is>
          <t>事件带统计口径数值（进口 −18.83% MoM / −32.30% YoY（1—8 月））；与行情周期「P3 主升浪」同窗</t>
        </is>
      </c>
    </row>
    <row r="6">
      <c r="A6" s="17" t="n">
        <v>2</v>
      </c>
      <c r="B6" s="17" t="inlineStr">
        <is>
          <t>煤炭成本（上游原料）</t>
        </is>
      </c>
      <c r="C6" s="17" t="inlineStr">
        <is>
          <t>成本</t>
        </is>
      </c>
      <c r="D6" s="17" t="inlineStr">
        <is>
          <t>秦皇岛港 5500 大卡动力煤现货价</t>
        </is>
      </c>
      <c r="E6" s="17" t="inlineStr">
        <is>
          <t>E1</t>
        </is>
      </c>
      <c r="F6" s="17" t="inlineStr">
        <is>
          <t>上行</t>
        </is>
      </c>
      <c r="G6" s="19" t="n">
        <v>22.209</v>
      </c>
      <c r="H6" s="19" t="n">
        <v>1.8786</v>
      </c>
      <c r="I6" s="25" t="inlineStr">
        <is>
          <t>窗口内变化 +22.2%（z=+1.88≥1.0），方向与现货上涨一致</t>
        </is>
      </c>
    </row>
    <row r="7">
      <c r="A7" s="14" t="n">
        <v>3</v>
      </c>
      <c r="B7" s="14" t="inlineStr">
        <is>
          <t>原油与地缘能源价格</t>
        </is>
      </c>
      <c r="C7" s="14" t="inlineStr">
        <is>
          <t>成本</t>
        </is>
      </c>
      <c r="D7" s="14" t="inlineStr">
        <is>
          <t>INE 原油主连（SC0）</t>
        </is>
      </c>
      <c r="E7" s="23" t="inlineStr">
        <is>
          <t>E1</t>
        </is>
      </c>
      <c r="F7" s="14" t="inlineStr">
        <is>
          <t>上行</t>
        </is>
      </c>
      <c r="G7" s="16" t="n">
        <v>55.0293</v>
      </c>
      <c r="H7" s="16" t="n">
        <v>2.4522</v>
      </c>
      <c r="I7" s="24" t="inlineStr">
        <is>
          <t>窗口内变化 +55.0%（z=+2.45≥1.0），方向与现货上涨一致</t>
        </is>
      </c>
    </row>
    <row r="8">
      <c r="A8" s="17" t="n">
        <v>4</v>
      </c>
      <c r="B8" s="17" t="inlineStr">
        <is>
          <t>进口与外盘价格</t>
        </is>
      </c>
      <c r="C8" s="17" t="inlineStr">
        <is>
          <t>贸易</t>
        </is>
      </c>
      <c r="D8" s="17" t="inlineStr">
        <is>
          <t>2026 年 8 月甲醇进口量</t>
        </is>
      </c>
      <c r="E8" s="17" t="inlineStr">
        <is>
          <t>E1</t>
        </is>
      </c>
      <c r="F8" s="17" t="inlineStr">
        <is>
          <t>上行</t>
        </is>
      </c>
      <c r="G8" s="17" t="inlineStr"/>
      <c r="H8" s="17" t="n"/>
      <c r="I8" s="17" t="inlineStr">
        <is>
          <t>见来源原文</t>
        </is>
      </c>
    </row>
    <row r="9">
      <c r="A9" s="14" t="n">
        <v>5</v>
      </c>
      <c r="B9" s="14" t="inlineStr">
        <is>
          <t>进口与外盘价格</t>
        </is>
      </c>
      <c r="C9" s="14" t="inlineStr">
        <is>
          <t>贸易</t>
        </is>
      </c>
      <c r="D9" s="14" t="inlineStr">
        <is>
          <t>1—8 月累计进口</t>
        </is>
      </c>
      <c r="E9" s="23" t="inlineStr">
        <is>
          <t>E1</t>
        </is>
      </c>
      <c r="F9" s="14" t="inlineStr">
        <is>
          <t>上行</t>
        </is>
      </c>
      <c r="G9" s="14" t="inlineStr"/>
      <c r="H9" s="14" t="n"/>
      <c r="I9" s="14" t="inlineStr">
        <is>
          <t>见来源原文</t>
        </is>
      </c>
    </row>
    <row r="10">
      <c r="A10" s="17" t="n">
        <v>6</v>
      </c>
      <c r="B10" s="17" t="inlineStr">
        <is>
          <t>下游需求（MTO 与聚烯烃）</t>
        </is>
      </c>
      <c r="C10" s="17" t="inlineStr">
        <is>
          <t>需求</t>
        </is>
      </c>
      <c r="D10" s="17" t="inlineStr">
        <is>
          <t>大商所聚丙烯主连（PP0）</t>
        </is>
      </c>
      <c r="E10" s="17" t="inlineStr">
        <is>
          <t>E1</t>
        </is>
      </c>
      <c r="F10" s="17" t="inlineStr">
        <is>
          <t>上行</t>
        </is>
      </c>
      <c r="G10" s="19" t="n">
        <v>27.6712</v>
      </c>
      <c r="H10" s="19" t="n">
        <v>2.2887</v>
      </c>
      <c r="I10" s="25" t="inlineStr">
        <is>
          <t>窗口内变化 +27.7%（z=+2.29≥1.0），方向与现货上涨一致</t>
        </is>
      </c>
    </row>
    <row r="11">
      <c r="A11" s="14" t="n">
        <v>7</v>
      </c>
      <c r="B11" s="14" t="inlineStr">
        <is>
          <t>基差·月差·期现结构</t>
        </is>
      </c>
      <c r="C11" s="14" t="inlineStr">
        <is>
          <t>期现结构</t>
        </is>
      </c>
      <c r="D11" s="14" t="inlineStr">
        <is>
          <t>基差（现货−MA2611，同一合约全期可比）</t>
        </is>
      </c>
      <c r="E11" s="23" t="inlineStr">
        <is>
          <t>E1</t>
        </is>
      </c>
      <c r="F11" s="14" t="inlineStr">
        <is>
          <t>上行</t>
        </is>
      </c>
      <c r="G11" s="16" t="n">
        <v>212.34</v>
      </c>
      <c r="H11" s="14" t="n"/>
      <c r="I11" s="24" t="inlineStr">
        <is>
          <t>窗口内基差由 419 元/吨（2026-06-30）变为 632 元/吨（2026-10-19）；峰值 1264 元/吨（2026-09-29），谷值 -125 元/吨（2026-07-20）</t>
        </is>
      </c>
    </row>
    <row r="12">
      <c r="A12" s="17" t="n">
        <v>8</v>
      </c>
      <c r="B12" s="17" t="inlineStr">
        <is>
          <t>基差·月差·期现结构</t>
        </is>
      </c>
      <c r="C12" s="17" t="inlineStr">
        <is>
          <t>期现结构</t>
        </is>
      </c>
      <c r="D12" s="25" t="inlineStr">
        <is>
          <t>月差 MA2611−MA2612（同一对合约，全期可比）</t>
        </is>
      </c>
      <c r="E12" s="17" t="inlineStr">
        <is>
          <t>E1</t>
        </is>
      </c>
      <c r="F12" s="17" t="inlineStr">
        <is>
          <t>上行</t>
        </is>
      </c>
      <c r="G12" s="19" t="n">
        <v>141</v>
      </c>
      <c r="H12" s="17" t="n"/>
      <c r="I12" s="25" t="inlineStr">
        <is>
          <t>月差由 -22 变为 119 元/吨（区间 -23～289）；由 Contango 转为 Back，近端趋紧</t>
        </is>
      </c>
    </row>
    <row r="13">
      <c r="A13" s="14" t="n">
        <v>9</v>
      </c>
      <c r="B13" s="14" t="inlineStr">
        <is>
          <t>进口与外盘价格</t>
        </is>
      </c>
      <c r="C13" s="14" t="inlineStr">
        <is>
          <t>贸易</t>
        </is>
      </c>
      <c r="D13" s="14" t="inlineStr">
        <is>
          <t>伊朗两套大型甲醇装置停车，重启时间待定</t>
        </is>
      </c>
      <c r="E13" s="26" t="inlineStr">
        <is>
          <t>E2</t>
        </is>
      </c>
      <c r="F13" s="14" t="inlineStr">
        <is>
          <t>上行</t>
        </is>
      </c>
      <c r="G13" s="14" t="inlineStr"/>
      <c r="H13" s="14" t="n"/>
      <c r="I13" s="14" t="inlineStr">
        <is>
          <t>可引事件：装置级，无全国供需影响量化；与阶段同窗</t>
        </is>
      </c>
    </row>
    <row r="14">
      <c r="A14" s="17" t="n">
        <v>10</v>
      </c>
      <c r="B14" s="17" t="inlineStr">
        <is>
          <t>进口与外盘价格</t>
        </is>
      </c>
      <c r="C14" s="17" t="inlineStr">
        <is>
          <t>贸易</t>
        </is>
      </c>
      <c r="D14" s="25" t="inlineStr">
        <is>
          <t>伊朗 Sabalan 165 万吨/年、Kimiya 165 万吨/年维持停车</t>
        </is>
      </c>
      <c r="E14" s="17" t="inlineStr">
        <is>
          <t>E2</t>
        </is>
      </c>
      <c r="F14" s="17" t="inlineStr">
        <is>
          <t>上行</t>
        </is>
      </c>
      <c r="G14" s="17" t="inlineStr"/>
      <c r="H14" s="17" t="n"/>
      <c r="I14" s="17" t="inlineStr">
        <is>
          <t>可引事件：330 万吨/年装置停车；与阶段同窗</t>
        </is>
      </c>
    </row>
    <row r="15">
      <c r="A15" s="14" t="n">
        <v>11</v>
      </c>
      <c r="B15" s="14" t="inlineStr">
        <is>
          <t>进口与外盘价格</t>
        </is>
      </c>
      <c r="C15" s="14" t="inlineStr">
        <is>
          <t>贸易</t>
        </is>
      </c>
      <c r="D15" s="24" t="inlineStr">
        <is>
          <t>9 月中旬周度到港仅 13—14 万吨，进口环比大幅下滑</t>
        </is>
      </c>
      <c r="E15" s="26" t="inlineStr">
        <is>
          <t>E2</t>
        </is>
      </c>
      <c r="F15" s="14" t="inlineStr">
        <is>
          <t>上行</t>
        </is>
      </c>
      <c r="G15" s="14" t="inlineStr"/>
      <c r="H15" s="14" t="n"/>
      <c r="I15" s="14" t="inlineStr">
        <is>
          <t>可引事件：周度到港 13—14 万吨；与阶段同窗</t>
        </is>
      </c>
    </row>
    <row r="16">
      <c r="A16" s="17" t="n">
        <v>12</v>
      </c>
      <c r="B16" s="17" t="inlineStr">
        <is>
          <t>进口与外盘价格</t>
        </is>
      </c>
      <c r="C16" s="17" t="inlineStr">
        <is>
          <t>贸易</t>
        </is>
      </c>
      <c r="D16" s="25" t="inlineStr">
        <is>
          <t>伊朗 KPC 66 万吨/年、Sabalan 165 万吨/年维持停车；FPC 100 万吨/年正常</t>
        </is>
      </c>
      <c r="E16" s="17" t="inlineStr">
        <is>
          <t>E2</t>
        </is>
      </c>
      <c r="F16" s="17" t="inlineStr">
        <is>
          <t>上行</t>
        </is>
      </c>
      <c r="G16" s="17" t="inlineStr"/>
      <c r="H16" s="17" t="n"/>
      <c r="I16" s="17" t="inlineStr">
        <is>
          <t>可引事件：231 万吨/年停车；与阶段同窗</t>
        </is>
      </c>
    </row>
    <row r="17">
      <c r="A17" s="14" t="n">
        <v>13</v>
      </c>
      <c r="B17" s="14" t="inlineStr">
        <is>
          <t>进口与外盘价格</t>
        </is>
      </c>
      <c r="C17" s="14" t="inlineStr">
        <is>
          <t>贸易</t>
        </is>
      </c>
      <c r="D17" s="14" t="inlineStr">
        <is>
          <t>伊朗甲醇供应受限，进口预期偏弱</t>
        </is>
      </c>
      <c r="E17" s="26" t="inlineStr">
        <is>
          <t>E2</t>
        </is>
      </c>
      <c r="F17" s="14" t="inlineStr">
        <is>
          <t>上行</t>
        </is>
      </c>
      <c r="G17" s="14" t="inlineStr"/>
      <c r="H17" s="14" t="n"/>
      <c r="I17" s="14" t="inlineStr">
        <is>
          <t>可引事件：定性；与阶段同窗</t>
        </is>
      </c>
    </row>
    <row r="18">
      <c r="A18" s="17" t="n">
        <v>14</v>
      </c>
      <c r="B18" s="17" t="inlineStr">
        <is>
          <t>进口与外盘价格</t>
        </is>
      </c>
      <c r="C18" s="17" t="inlineStr">
        <is>
          <t>贸易</t>
        </is>
      </c>
      <c r="D18" s="25" t="inlineStr">
        <is>
          <t>伊朗 Sabalan 165 万吨/年、Kimiya 165 万吨/年维持停车</t>
        </is>
      </c>
      <c r="E18" s="17" t="inlineStr">
        <is>
          <t>E2</t>
        </is>
      </c>
      <c r="F18" s="17" t="inlineStr">
        <is>
          <t>上行</t>
        </is>
      </c>
      <c r="G18" s="17" t="inlineStr"/>
      <c r="H18" s="17" t="n"/>
      <c r="I18" s="17" t="inlineStr">
        <is>
          <t>可引事件：330 万吨/年停车；与阶段同窗</t>
        </is>
      </c>
    </row>
    <row r="19">
      <c r="A19" s="14" t="n">
        <v>15</v>
      </c>
      <c r="B19" s="14" t="inlineStr">
        <is>
          <t>政策·事故·地缘与突发事件</t>
        </is>
      </c>
      <c r="C19" s="14" t="inlineStr">
        <is>
          <t>政策/事件</t>
        </is>
      </c>
      <c r="D19" s="14" t="inlineStr">
        <is>
          <t>霍尔木兹油轮租赁成本首次突破 100 万美元/天</t>
        </is>
      </c>
      <c r="E19" s="26" t="inlineStr">
        <is>
          <t>E2</t>
        </is>
      </c>
      <c r="F19" s="14" t="inlineStr">
        <is>
          <t>上行</t>
        </is>
      </c>
      <c r="G19" s="14" t="inlineStr"/>
      <c r="H19" s="14" t="n"/>
      <c r="I19" s="24" t="inlineStr">
        <is>
          <t>可引事件：油轮日租 &gt; 100 万美元；与阶段同窗</t>
        </is>
      </c>
    </row>
    <row r="20">
      <c r="A20" s="17" t="n">
        <v>16</v>
      </c>
      <c r="B20" s="17" t="inlineStr">
        <is>
          <t>政策·事故·地缘与突发事件</t>
        </is>
      </c>
      <c r="C20" s="17" t="inlineStr">
        <is>
          <t>政策/事件</t>
        </is>
      </c>
      <c r="D20" s="17" t="inlineStr">
        <is>
          <t>霍尔木兹航运风险抬升，中东装置降负，货源分流</t>
        </is>
      </c>
      <c r="E20" s="17" t="inlineStr">
        <is>
          <t>E2</t>
        </is>
      </c>
      <c r="F20" s="17" t="inlineStr">
        <is>
          <t>上行</t>
        </is>
      </c>
      <c r="G20" s="17" t="inlineStr"/>
      <c r="H20" s="17" t="n"/>
      <c r="I20" s="17" t="inlineStr">
        <is>
          <t>可引事件：定性；与阶段同窗</t>
        </is>
      </c>
    </row>
    <row r="21">
      <c r="A21" s="14" t="n">
        <v>17</v>
      </c>
      <c r="B21" s="14" t="inlineStr">
        <is>
          <t>原油与地缘能源价格</t>
        </is>
      </c>
      <c r="C21" s="14" t="inlineStr">
        <is>
          <t>成本</t>
        </is>
      </c>
      <c r="D21" s="14" t="inlineStr">
        <is>
          <t>原油→甲醇的传导证据</t>
        </is>
      </c>
      <c r="E21" s="26" t="inlineStr">
        <is>
          <t>E2</t>
        </is>
      </c>
      <c r="F21" s="14" t="inlineStr">
        <is>
          <t>上行</t>
        </is>
      </c>
      <c r="G21" s="14" t="inlineStr"/>
      <c r="H21" s="14" t="n"/>
      <c r="I21" s="24" t="inlineStr">
        <is>
          <t>霍尔木兹油轮日租突破 100 万美元，海运费抬升直接推高 CFR 中国到岸成本</t>
        </is>
      </c>
    </row>
    <row r="22">
      <c r="A22" s="17" t="n">
        <v>18</v>
      </c>
      <c r="B22" s="17" t="inlineStr">
        <is>
          <t>进口与外盘价格</t>
        </is>
      </c>
      <c r="C22" s="17" t="inlineStr">
        <is>
          <t>贸易</t>
        </is>
      </c>
      <c r="D22" s="17" t="inlineStr">
        <is>
          <t>9 月到港与进口预估</t>
        </is>
      </c>
      <c r="E22" s="17" t="inlineStr">
        <is>
          <t>E2</t>
        </is>
      </c>
      <c r="F22" s="17" t="inlineStr">
        <is>
          <t>上行</t>
        </is>
      </c>
      <c r="G22" s="17" t="inlineStr"/>
      <c r="H22" s="17" t="n"/>
      <c r="I22" s="17" t="inlineStr">
        <is>
          <t>见来源原文</t>
        </is>
      </c>
    </row>
    <row r="23">
      <c r="A23" s="14" t="n">
        <v>19</v>
      </c>
      <c r="B23" s="14" t="inlineStr">
        <is>
          <t>进口与外盘价格</t>
        </is>
      </c>
      <c r="C23" s="14" t="inlineStr">
        <is>
          <t>贸易</t>
        </is>
      </c>
      <c r="D23" s="14" t="inlineStr">
        <is>
          <t>伊朗装置状态</t>
        </is>
      </c>
      <c r="E23" s="26" t="inlineStr">
        <is>
          <t>E2</t>
        </is>
      </c>
      <c r="F23" s="14" t="inlineStr">
        <is>
          <t>上行</t>
        </is>
      </c>
      <c r="G23" s="14" t="inlineStr"/>
      <c r="H23" s="14" t="n"/>
      <c r="I23" s="14" t="inlineStr">
        <is>
          <t>见来源原文</t>
        </is>
      </c>
    </row>
    <row r="24">
      <c r="A24" s="17" t="n">
        <v>20</v>
      </c>
      <c r="B24" s="17" t="inlineStr">
        <is>
          <t>政策·事故·地缘与突发事件</t>
        </is>
      </c>
      <c r="C24" s="17" t="inlineStr">
        <is>
          <t>政策/事件</t>
        </is>
      </c>
      <c r="D24" s="17" t="inlineStr">
        <is>
          <t>霍尔木兹海峡航运</t>
        </is>
      </c>
      <c r="E24" s="17" t="inlineStr">
        <is>
          <t>E2</t>
        </is>
      </c>
      <c r="F24" s="17" t="inlineStr">
        <is>
          <t>上行</t>
        </is>
      </c>
      <c r="G24" s="17" t="inlineStr"/>
      <c r="H24" s="17" t="n"/>
      <c r="I24" s="17" t="inlineStr">
        <is>
          <t>见来源原文</t>
        </is>
      </c>
    </row>
    <row r="25">
      <c r="A25" s="14" t="n">
        <v>21</v>
      </c>
      <c r="B25" s="14" t="inlineStr">
        <is>
          <t>政策·事故·地缘与突发事件</t>
        </is>
      </c>
      <c r="C25" s="14" t="inlineStr">
        <is>
          <t>政策/事件</t>
        </is>
      </c>
      <c r="D25" s="14" t="inlineStr">
        <is>
          <t>霍尔木兹风险传导</t>
        </is>
      </c>
      <c r="E25" s="26" t="inlineStr">
        <is>
          <t>E2</t>
        </is>
      </c>
      <c r="F25" s="14" t="inlineStr">
        <is>
          <t>上行</t>
        </is>
      </c>
      <c r="G25" s="14" t="inlineStr"/>
      <c r="H25" s="14" t="n"/>
      <c r="I25" s="14" t="inlineStr">
        <is>
          <t>见来源原文</t>
        </is>
      </c>
    </row>
    <row r="26">
      <c r="A26" s="17" t="n">
        <v>22</v>
      </c>
      <c r="B26" s="17" t="inlineStr">
        <is>
          <t>进口与外盘价格</t>
        </is>
      </c>
      <c r="C26" s="17" t="inlineStr">
        <is>
          <t>贸易</t>
        </is>
      </c>
      <c r="D26" s="17" t="inlineStr">
        <is>
          <t>8 月出口量</t>
        </is>
      </c>
      <c r="E26" s="17" t="inlineStr">
        <is>
          <t>E1</t>
        </is>
      </c>
      <c r="F26" s="17" t="inlineStr">
        <is>
          <t>下行</t>
        </is>
      </c>
      <c r="G26" s="17" t="inlineStr"/>
      <c r="H26" s="17" t="n"/>
      <c r="I26" s="25" t="inlineStr">
        <is>
          <t>见来源原文；该变化方向与现货上涨相反，不构成对本次行情的支持</t>
        </is>
      </c>
    </row>
    <row r="27">
      <c r="A27" s="14" t="n">
        <v>23</v>
      </c>
      <c r="B27" s="14" t="inlineStr">
        <is>
          <t>装置检修·停车·复产与开工率</t>
        </is>
      </c>
      <c r="C27" s="14" t="inlineStr">
        <is>
          <t>供给</t>
        </is>
      </c>
      <c r="D27" s="24" t="inlineStr">
        <is>
          <t>9 月中旬行业周度开工率 83.8%（环比 +1.1pct），周产量 189.3 万吨</t>
        </is>
      </c>
      <c r="E27" s="26" t="inlineStr">
        <is>
          <t>E2</t>
        </is>
      </c>
      <c r="F27" s="14" t="inlineStr">
        <is>
          <t>下行</t>
        </is>
      </c>
      <c r="G27" s="14" t="inlineStr"/>
      <c r="H27" s="14" t="n"/>
      <c r="I27" s="24" t="inlineStr">
        <is>
          <t>可引事件：开工率 +1.1pct，周产量 189.3 万吨；与阶段同窗</t>
        </is>
      </c>
    </row>
    <row r="28">
      <c r="A28" s="17" t="n">
        <v>24</v>
      </c>
      <c r="B28" s="17" t="inlineStr">
        <is>
          <t>装置检修·停车·复产与开工率</t>
        </is>
      </c>
      <c r="C28" s="17" t="inlineStr">
        <is>
          <t>供给</t>
        </is>
      </c>
      <c r="D28" s="25" t="inlineStr">
        <is>
          <t>内蒙古新奥达旗等多套装置 9 月底已恢复；陕西黑猫 10 万吨计划 10 月中旬重启</t>
        </is>
      </c>
      <c r="E28" s="17" t="inlineStr">
        <is>
          <t>E2</t>
        </is>
      </c>
      <c r="F28" s="17" t="inlineStr">
        <is>
          <t>下行</t>
        </is>
      </c>
      <c r="G28" s="17" t="inlineStr"/>
      <c r="H28" s="17" t="n"/>
      <c r="I28" s="17" t="inlineStr">
        <is>
          <t>可引事件：多套装置复产；与阶段同窗</t>
        </is>
      </c>
    </row>
    <row r="29">
      <c r="A29" s="14" t="n">
        <v>25</v>
      </c>
      <c r="B29" s="14" t="inlineStr">
        <is>
          <t>下游需求（MTO 与聚烯烃）</t>
        </is>
      </c>
      <c r="C29" s="14" t="inlineStr">
        <is>
          <t>需求</t>
        </is>
      </c>
      <c r="D29" s="24" t="inlineStr">
        <is>
          <t>沿海外采型 MTO 陆续停车降负（天津渤化、联泓格润二期、诚志）</t>
        </is>
      </c>
      <c r="E29" s="26" t="inlineStr">
        <is>
          <t>E2</t>
        </is>
      </c>
      <c r="F29" s="14" t="inlineStr">
        <is>
          <t>下行</t>
        </is>
      </c>
      <c r="G29" s="14" t="inlineStr"/>
      <c r="H29" s="14" t="n"/>
      <c r="I29" s="14" t="inlineStr">
        <is>
          <t>可引事件：多套装置；未披露产能合计；与阶段同窗</t>
        </is>
      </c>
    </row>
    <row r="30">
      <c r="A30" s="17" t="n">
        <v>26</v>
      </c>
      <c r="B30" s="17" t="inlineStr">
        <is>
          <t>装置检修·停车·复产与开工率</t>
        </is>
      </c>
      <c r="C30" s="17" t="inlineStr">
        <is>
          <t>供给</t>
        </is>
      </c>
      <c r="D30" s="17" t="inlineStr">
        <is>
          <t>9 月中旬甲醇行业周度开工率</t>
        </is>
      </c>
      <c r="E30" s="17" t="inlineStr">
        <is>
          <t>E2</t>
        </is>
      </c>
      <c r="F30" s="17" t="inlineStr">
        <is>
          <t>下行</t>
        </is>
      </c>
      <c r="G30" s="17" t="inlineStr"/>
      <c r="H30" s="17" t="n"/>
      <c r="I30" s="25" t="inlineStr">
        <is>
          <t>原文：9月中旬甲醇开工率环比上涨，周产量增加；生意社评为一般利空（−1）；该变化方向与现货上涨相反，不构成对本次行情的支持</t>
        </is>
      </c>
    </row>
    <row r="31">
      <c r="A31" s="14" t="n">
        <v>27</v>
      </c>
      <c r="B31" s="14" t="inlineStr">
        <is>
          <t>装置检修·停车·复产与开工率</t>
        </is>
      </c>
      <c r="C31" s="14" t="inlineStr">
        <is>
          <t>供给</t>
        </is>
      </c>
      <c r="D31" s="14" t="inlineStr">
        <is>
          <t>10 月中旬国内装置恢复</t>
        </is>
      </c>
      <c r="E31" s="26" t="inlineStr">
        <is>
          <t>E2</t>
        </is>
      </c>
      <c r="F31" s="14" t="inlineStr">
        <is>
          <t>下行</t>
        </is>
      </c>
      <c r="G31" s="14" t="inlineStr"/>
      <c r="H31" s="14" t="n"/>
      <c r="I31" s="24" t="inlineStr">
        <is>
          <t>依据原文表述，见来源；该变化方向与现货上涨相反，不构成对本次行情的支持</t>
        </is>
      </c>
    </row>
    <row r="32">
      <c r="A32" s="17" t="n">
        <v>28</v>
      </c>
      <c r="B32" s="17" t="inlineStr">
        <is>
          <t>下游需求（MTO 与聚烯烃）</t>
        </is>
      </c>
      <c r="C32" s="17" t="inlineStr">
        <is>
          <t>需求</t>
        </is>
      </c>
      <c r="D32" s="17" t="inlineStr">
        <is>
          <t>沿海外采型 MTO 动态</t>
        </is>
      </c>
      <c r="E32" s="17" t="inlineStr">
        <is>
          <t>E2</t>
        </is>
      </c>
      <c r="F32" s="17" t="inlineStr">
        <is>
          <t>下行</t>
        </is>
      </c>
      <c r="G32" s="17" t="inlineStr"/>
      <c r="H32" s="17" t="n"/>
      <c r="I32" s="25" t="inlineStr">
        <is>
          <t>见来源原文；该变化方向与现货上涨相反，不构成对本次行情的支持</t>
        </is>
      </c>
    </row>
    <row r="33">
      <c r="A33" s="14" t="n">
        <v>29</v>
      </c>
      <c r="B33" s="14" t="inlineStr">
        <is>
          <t>下游需求（MTO 与聚烯烃）</t>
        </is>
      </c>
      <c r="C33" s="14" t="inlineStr">
        <is>
          <t>需求</t>
        </is>
      </c>
      <c r="D33" s="14" t="inlineStr">
        <is>
          <t>烯烃负反馈与外卖原料</t>
        </is>
      </c>
      <c r="E33" s="26" t="inlineStr">
        <is>
          <t>E2</t>
        </is>
      </c>
      <c r="F33" s="14" t="inlineStr">
        <is>
          <t>下行</t>
        </is>
      </c>
      <c r="G33" s="14" t="inlineStr"/>
      <c r="H33" s="14" t="n"/>
      <c r="I33" s="24" t="inlineStr">
        <is>
          <t>见来源原文；该变化方向与现货上涨相反，不构成对本次行情的支持</t>
        </is>
      </c>
    </row>
    <row r="34">
      <c r="A34" s="17" t="n">
        <v>30</v>
      </c>
      <c r="B34" s="17" t="inlineStr">
        <is>
          <t>煤炭成本（上游原料）</t>
        </is>
      </c>
      <c r="C34" s="17" t="inlineStr">
        <is>
          <t>成本</t>
        </is>
      </c>
      <c r="D34" s="17" t="inlineStr">
        <is>
          <t>理论成本方向（定性与走势）</t>
        </is>
      </c>
      <c r="E34" s="17" t="inlineStr">
        <is>
          <t>E3</t>
        </is>
      </c>
      <c r="F34" s="17" t="inlineStr">
        <is>
          <t>上行</t>
        </is>
      </c>
      <c r="G34" s="17" t="inlineStr"/>
      <c r="H34" s="17" t="n"/>
      <c r="I34" s="25" t="inlineStr">
        <is>
          <t>成本面，煤炭市场供需博弈深化，终端对高价煤仍有抵触，煤价延续高位震荡，对甲醇仍存支撑。甲醇成本面影偏利好因素影响。</t>
        </is>
      </c>
    </row>
    <row r="35">
      <c r="A35" s="14" t="n">
        <v>31</v>
      </c>
      <c r="B35" s="14" t="inlineStr">
        <is>
          <t>装置检修·停车·复产与开工率</t>
        </is>
      </c>
      <c r="C35" s="14" t="inlineStr">
        <is>
          <t>供给</t>
        </is>
      </c>
      <c r="D35" s="14" t="inlineStr">
        <is>
          <t>10 月中旬检修损失</t>
        </is>
      </c>
      <c r="E35" s="28" t="inlineStr">
        <is>
          <t>E3</t>
        </is>
      </c>
      <c r="F35" s="14" t="inlineStr">
        <is>
          <t>上行</t>
        </is>
      </c>
      <c r="G35" s="14" t="inlineStr"/>
      <c r="H35" s="14" t="n"/>
      <c r="I35" s="14" t="inlineStr">
        <is>
          <t>依据原文表述，见来源</t>
        </is>
      </c>
    </row>
    <row r="36">
      <c r="A36" s="17" t="n">
        <v>32</v>
      </c>
      <c r="B36" s="17" t="inlineStr">
        <is>
          <t>装置检修·停车·复产与开工率</t>
        </is>
      </c>
      <c r="C36" s="17" t="inlineStr">
        <is>
          <t>供给</t>
        </is>
      </c>
      <c r="D36" s="25" t="inlineStr">
        <is>
          <t>多套国内装置进入检修：新疆新业、和宁化学、内蒙古国泰、神华西来峰、重庆卡贝乐</t>
        </is>
      </c>
      <c r="E36" s="17" t="inlineStr">
        <is>
          <t>E3</t>
        </is>
      </c>
      <c r="F36" s="17" t="inlineStr">
        <is>
          <t>上行</t>
        </is>
      </c>
      <c r="G36" s="17" t="inlineStr"/>
      <c r="H36" s="17" t="n"/>
      <c r="I36" s="17" t="inlineStr">
        <is>
          <t>仅有文字表述或定性复盘，缺可比数值</t>
        </is>
      </c>
    </row>
    <row r="37">
      <c r="A37" s="14" t="n">
        <v>33</v>
      </c>
      <c r="B37" s="14" t="inlineStr">
        <is>
          <t>政策·事故·地缘与突发事件</t>
        </is>
      </c>
      <c r="C37" s="14" t="inlineStr">
        <is>
          <t>政策/事件</t>
        </is>
      </c>
      <c r="D37" s="14" t="inlineStr">
        <is>
          <t>霍尔木兹航运停滞，相关大宗商品受提振</t>
        </is>
      </c>
      <c r="E37" s="28" t="inlineStr">
        <is>
          <t>E3</t>
        </is>
      </c>
      <c r="F37" s="14" t="inlineStr">
        <is>
          <t>上行</t>
        </is>
      </c>
      <c r="G37" s="14" t="inlineStr"/>
      <c r="H37" s="14" t="n"/>
      <c r="I37" s="14" t="inlineStr">
        <is>
          <t>仅有文字表述或定性复盘，缺可比数值</t>
        </is>
      </c>
    </row>
    <row r="38">
      <c r="A38" s="17" t="n">
        <v>34</v>
      </c>
      <c r="B38" s="17" t="inlineStr">
        <is>
          <t>煤炭成本（上游原料）</t>
        </is>
      </c>
      <c r="C38" s="17" t="inlineStr">
        <is>
          <t>成本</t>
        </is>
      </c>
      <c r="D38" s="17" t="inlineStr">
        <is>
          <t>煤制甲醇单耗（经验区间）</t>
        </is>
      </c>
      <c r="E38" s="17" t="inlineStr">
        <is>
          <t>E3</t>
        </is>
      </c>
      <c r="F38" s="17" t="inlineStr">
        <is>
          <t>—</t>
        </is>
      </c>
      <c r="G38" s="17" t="inlineStr"/>
      <c r="H38" s="17" t="n"/>
      <c r="I38" s="17" t="inlineStr">
        <is>
          <t>经验值，非实测</t>
        </is>
      </c>
    </row>
    <row r="39">
      <c r="A39" s="14" t="n">
        <v>35</v>
      </c>
      <c r="B39" s="14" t="inlineStr">
        <is>
          <t>装置检修·停车·复产与开工率</t>
        </is>
      </c>
      <c r="C39" s="14" t="inlineStr">
        <is>
          <t>供给</t>
        </is>
      </c>
      <c r="D39" s="14" t="inlineStr">
        <is>
          <t>9 月上中旬检修装置</t>
        </is>
      </c>
      <c r="E39" s="28" t="inlineStr">
        <is>
          <t>E3</t>
        </is>
      </c>
      <c r="F39" s="14" t="inlineStr">
        <is>
          <t>—</t>
        </is>
      </c>
      <c r="G39" s="14" t="inlineStr"/>
      <c r="H39" s="14" t="n"/>
      <c r="I39" s="14" t="inlineStr">
        <is>
          <t>依据原文表述，见来源</t>
        </is>
      </c>
    </row>
    <row r="40">
      <c r="A40" s="17" t="n">
        <v>36</v>
      </c>
      <c r="B40" s="17" t="inlineStr">
        <is>
          <t>港口·企业库存</t>
        </is>
      </c>
      <c r="C40" s="17" t="inlineStr">
        <is>
          <t>库存</t>
        </is>
      </c>
      <c r="D40" s="17" t="inlineStr">
        <is>
          <t>定性表述</t>
        </is>
      </c>
      <c r="E40" s="17" t="inlineStr">
        <is>
          <t>E3</t>
        </is>
      </c>
      <c r="F40" s="17" t="inlineStr">
        <is>
          <t>—</t>
        </is>
      </c>
      <c r="G40" s="17" t="inlineStr"/>
      <c r="H40" s="17" t="n"/>
      <c r="I40" s="17" t="inlineStr">
        <is>
          <t>依据原文表述，见来源</t>
        </is>
      </c>
    </row>
    <row r="41">
      <c r="A41" s="14" t="n">
        <v>37</v>
      </c>
      <c r="B41" s="14" t="inlineStr">
        <is>
          <t>装置检修·停车·复产与开工率</t>
        </is>
      </c>
      <c r="C41" s="14" t="inlineStr">
        <is>
          <t>供给</t>
        </is>
      </c>
      <c r="D41" s="24" t="inlineStr">
        <is>
          <t>渭化 40 万吨/年甲醇装置 9 月 21 日结束检修复产</t>
        </is>
      </c>
      <c r="E41" s="28" t="inlineStr">
        <is>
          <t>E3</t>
        </is>
      </c>
      <c r="F41" s="14" t="inlineStr">
        <is>
          <t>下行</t>
        </is>
      </c>
      <c r="G41" s="14" t="inlineStr"/>
      <c r="H41" s="14" t="n"/>
      <c r="I41" s="14" t="inlineStr">
        <is>
          <t>仅有文字表述或定性复盘，缺可比数值</t>
        </is>
      </c>
    </row>
    <row r="42">
      <c r="A42" s="17" t="n">
        <v>38</v>
      </c>
      <c r="B42" s="17" t="inlineStr">
        <is>
          <t>下游需求（MTO 与聚烯烃）</t>
        </is>
      </c>
      <c r="C42" s="17" t="inlineStr">
        <is>
          <t>需求</t>
        </is>
      </c>
      <c r="D42" s="25" t="inlineStr">
        <is>
          <t>生意社周评：下游烯烃负反馈尤为明显，部分停工烯烃仍在外卖原料</t>
        </is>
      </c>
      <c r="E42" s="17" t="inlineStr">
        <is>
          <t>E3</t>
        </is>
      </c>
      <c r="F42" s="17" t="inlineStr">
        <is>
          <t>下行</t>
        </is>
      </c>
      <c r="G42" s="17" t="inlineStr"/>
      <c r="H42" s="17" t="n"/>
      <c r="I42" s="17" t="inlineStr">
        <is>
          <t>仅有文字表述或定性复盘，缺可比数值</t>
        </is>
      </c>
    </row>
    <row r="43">
      <c r="A43" s="14" t="n">
        <v>39</v>
      </c>
      <c r="B43" s="14" t="inlineStr">
        <is>
          <t>基差·月差·期现结构</t>
        </is>
      </c>
      <c r="C43" s="14" t="inlineStr">
        <is>
          <t>期现结构</t>
        </is>
      </c>
      <c r="D43" s="24" t="inlineStr">
        <is>
          <t>生意社复盘：地缘＋伊朗出货锐减＋港口库存历史低位推动上涨，MTO 负反馈爆发</t>
        </is>
      </c>
      <c r="E43" s="28" t="inlineStr">
        <is>
          <t>E3</t>
        </is>
      </c>
      <c r="F43" s="14" t="inlineStr">
        <is>
          <t>下行</t>
        </is>
      </c>
      <c r="G43" s="14" t="inlineStr"/>
      <c r="H43" s="14" t="n"/>
      <c r="I43" s="14" t="inlineStr">
        <is>
          <t>仅有文字表述或定性复盘，缺可比数值</t>
        </is>
      </c>
    </row>
    <row r="44">
      <c r="A44" s="17" t="n">
        <v>40</v>
      </c>
      <c r="B44" s="17" t="inlineStr">
        <is>
          <t>煤炭成本（上游原料）</t>
        </is>
      </c>
      <c r="C44" s="17" t="inlineStr">
        <is>
          <t>成本</t>
        </is>
      </c>
      <c r="D44" s="17" t="inlineStr">
        <is>
          <t>内蒙古坑口动力煤（内地煤制主原料）</t>
        </is>
      </c>
      <c r="E44" s="17" t="inlineStr">
        <is>
          <t>E4</t>
        </is>
      </c>
      <c r="F44" s="17" t="inlineStr">
        <is>
          <t>—</t>
        </is>
      </c>
      <c r="G44" s="17" t="inlineStr"/>
      <c r="H44" s="17" t="n"/>
      <c r="I44" s="25" t="inlineStr">
        <is>
          <t>生意社 9/21 稿仅提及煤炭市场供需博弈深化，终端对高价煤仍有抵触，煤价延续高位震荡，无数值</t>
        </is>
      </c>
    </row>
    <row r="45">
      <c r="A45" s="14" t="n">
        <v>41</v>
      </c>
      <c r="B45" s="14" t="inlineStr">
        <is>
          <t>原油与地缘能源价格</t>
        </is>
      </c>
      <c r="C45" s="14" t="inlineStr">
        <is>
          <t>成本</t>
        </is>
      </c>
      <c r="D45" s="14" t="inlineStr">
        <is>
          <t>天然气／液化天然气</t>
        </is>
      </c>
      <c r="E45" s="27" t="inlineStr">
        <is>
          <t>E4</t>
        </is>
      </c>
      <c r="F45" s="14" t="inlineStr">
        <is>
          <t>—</t>
        </is>
      </c>
      <c r="G45" s="14" t="inlineStr"/>
      <c r="H45" s="14" t="n"/>
      <c r="I45" s="14" t="inlineStr">
        <is>
          <t>无数据</t>
        </is>
      </c>
    </row>
    <row r="46">
      <c r="A46" s="17" t="n">
        <v>42</v>
      </c>
      <c r="B46" s="17" t="inlineStr">
        <is>
          <t>装置检修·停车·复产与开工率</t>
        </is>
      </c>
      <c r="C46" s="17" t="inlineStr">
        <is>
          <t>供给</t>
        </is>
      </c>
      <c r="D46" s="17" t="inlineStr">
        <is>
          <t>周度开工率连续序列（7—10 月）</t>
        </is>
      </c>
      <c r="E46" s="17" t="inlineStr">
        <is>
          <t>E4</t>
        </is>
      </c>
      <c r="F46" s="17" t="inlineStr">
        <is>
          <t>—</t>
        </is>
      </c>
      <c r="G46" s="17" t="inlineStr"/>
      <c r="H46" s="17" t="n"/>
      <c r="I46" s="17" t="inlineStr">
        <is>
          <t>依据原文表述，见来源</t>
        </is>
      </c>
    </row>
    <row r="47">
      <c r="A47" s="14" t="n">
        <v>43</v>
      </c>
      <c r="B47" s="14" t="inlineStr">
        <is>
          <t>进口与外盘价格</t>
        </is>
      </c>
      <c r="C47" s="14" t="inlineStr">
        <is>
          <t>贸易</t>
        </is>
      </c>
      <c r="D47" s="14" t="inlineStr">
        <is>
          <t>10 月进口数据</t>
        </is>
      </c>
      <c r="E47" s="27" t="inlineStr">
        <is>
          <t>E4</t>
        </is>
      </c>
      <c r="F47" s="14" t="inlineStr">
        <is>
          <t>—</t>
        </is>
      </c>
      <c r="G47" s="14" t="inlineStr"/>
      <c r="H47" s="14" t="n"/>
      <c r="I47" s="14" t="inlineStr">
        <is>
          <t>见来源原文</t>
        </is>
      </c>
    </row>
    <row r="48">
      <c r="A48" s="17" t="n">
        <v>44</v>
      </c>
      <c r="B48" s="17" t="inlineStr">
        <is>
          <t>港口·企业库存</t>
        </is>
      </c>
      <c r="C48" s="17" t="inlineStr">
        <is>
          <t>库存</t>
        </is>
      </c>
      <c r="D48" s="17" t="inlineStr">
        <is>
          <t>华东港口甲醇库存（万吨，连续序列）</t>
        </is>
      </c>
      <c r="E48" s="17" t="inlineStr">
        <is>
          <t>E4</t>
        </is>
      </c>
      <c r="F48" s="17" t="inlineStr">
        <is>
          <t>—</t>
        </is>
      </c>
      <c r="G48" s="17" t="inlineStr"/>
      <c r="H48" s="17" t="n"/>
      <c r="I48" s="17" t="inlineStr">
        <is>
          <t>依据原文表述，见来源</t>
        </is>
      </c>
    </row>
    <row r="49">
      <c r="A49" s="14" t="n">
        <v>45</v>
      </c>
      <c r="B49" s="14" t="inlineStr">
        <is>
          <t>下游需求（MTO 与聚烯烃）</t>
        </is>
      </c>
      <c r="C49" s="14" t="inlineStr">
        <is>
          <t>需求</t>
        </is>
      </c>
      <c r="D49" s="14" t="inlineStr">
        <is>
          <t>MTO 装置开工率 / MTO 利润（连续序列）</t>
        </is>
      </c>
      <c r="E49" s="27" t="inlineStr">
        <is>
          <t>E4</t>
        </is>
      </c>
      <c r="F49" s="14" t="inlineStr">
        <is>
          <t>—</t>
        </is>
      </c>
      <c r="G49" s="14" t="inlineStr"/>
      <c r="H49" s="14" t="n"/>
      <c r="I49" s="14" t="inlineStr">
        <is>
          <t>见来源原文</t>
        </is>
      </c>
    </row>
    <row r="50">
      <c r="A50" s="17" t="n">
        <v>46</v>
      </c>
      <c r="B50" s="17" t="inlineStr">
        <is>
          <t>下游需求（MTO 与聚烯烃）</t>
        </is>
      </c>
      <c r="C50" s="17" t="inlineStr">
        <is>
          <t>需求</t>
        </is>
      </c>
      <c r="D50" s="17" t="inlineStr">
        <is>
          <t>醋酸、MTBE、甲醛等其他下游价格</t>
        </is>
      </c>
      <c r="E50" s="17" t="inlineStr">
        <is>
          <t>E4</t>
        </is>
      </c>
      <c r="F50" s="17" t="inlineStr">
        <is>
          <t>—</t>
        </is>
      </c>
      <c r="G50" s="17" t="inlineStr"/>
      <c r="H50" s="17" t="n"/>
      <c r="I50" s="17" t="inlineStr">
        <is>
          <t>见来源原文</t>
        </is>
      </c>
    </row>
    <row r="51">
      <c r="A51" s="14" t="n">
        <v>47</v>
      </c>
      <c r="B51" s="14" t="inlineStr">
        <is>
          <t>政策·事故·地缘与突发事件</t>
        </is>
      </c>
      <c r="C51" s="14" t="inlineStr">
        <is>
          <t>政策/事件</t>
        </is>
      </c>
      <c r="D51" s="14" t="inlineStr">
        <is>
          <t>国内政策（关税／限产／储备）</t>
        </is>
      </c>
      <c r="E51" s="27" t="inlineStr">
        <is>
          <t>E4</t>
        </is>
      </c>
      <c r="F51" s="14" t="inlineStr">
        <is>
          <t>—</t>
        </is>
      </c>
      <c r="G51" s="14" t="inlineStr"/>
      <c r="H51" s="14" t="n"/>
      <c r="I51" s="14" t="inlineStr">
        <is>
          <t>见来源原文</t>
        </is>
      </c>
    </row>
    <row r="52">
      <c r="A52" s="17" t="n">
        <v>48</v>
      </c>
      <c r="B52" s="17" t="inlineStr">
        <is>
          <t>装置检修·停车·复产与开工率</t>
        </is>
      </c>
      <c r="C52" s="17" t="inlineStr">
        <is>
          <t>供给</t>
        </is>
      </c>
      <c r="D52" s="17" t="inlineStr">
        <is>
          <t>开工率变化与价格方向是否一致</t>
        </is>
      </c>
      <c r="E52" s="17" t="inlineStr">
        <is>
          <t>E4</t>
        </is>
      </c>
      <c r="F52" s="17" t="inlineStr">
        <is>
          <t>下行</t>
        </is>
      </c>
      <c r="G52" s="17" t="inlineStr"/>
      <c r="H52" s="17" t="n"/>
      <c r="I52" s="25" t="inlineStr">
        <is>
          <t>依据原文表述，见来源；该变化方向与现货上涨相反，不构成对本次行情的支持</t>
        </is>
      </c>
    </row>
  </sheetData>
  <autoFilter ref="A4:I52"/>
  <mergeCells count="2">
    <mergeCell ref="A1:I1"/>
    <mergeCell ref="A2:I2"/>
  </mergeCells>
  <conditionalFormatting sqref="G5:G5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140"/>
    <outlinePr summaryBelow="1" summaryRight="1"/>
    <pageSetUpPr/>
  </sheetPr>
  <dimension ref="A1:J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46" customWidth="1" min="3" max="3"/>
    <col width="7" customWidth="1" min="4" max="4"/>
    <col width="34" customWidth="1" min="5" max="5"/>
    <col width="9" customWidth="1" min="6" max="6"/>
    <col width="22" customWidth="1" min="7" max="7"/>
    <col width="11" customWidth="1" min="8" max="8"/>
    <col width="16" customWidth="1" min="9" max="9"/>
    <col width="42" customWidth="1" min="10" max="10"/>
  </cols>
  <sheetData>
    <row r="1" ht="30" customHeight="1">
      <c r="A1" s="1" t="inlineStr">
        <is>
          <t>05 事件清单与时间吻合度</t>
        </is>
      </c>
    </row>
    <row r="2" ht="28" customHeight="1">
      <c r="A2" s="2" t="inlineStr">
        <is>
          <t>领先交易日：正数=事件早于价格阶段起点；负数=事件滞后；0=同日</t>
        </is>
      </c>
    </row>
    <row r="4" ht="30" customHeight="1">
      <c r="A4" s="7" t="inlineStr">
        <is>
          <t>日期</t>
        </is>
      </c>
      <c r="B4" s="7" t="inlineStr">
        <is>
          <t>分类</t>
        </is>
      </c>
      <c r="C4" s="7" t="inlineStr">
        <is>
          <t>事件</t>
        </is>
      </c>
      <c r="D4" s="7" t="inlineStr">
        <is>
          <t>方向</t>
        </is>
      </c>
      <c r="E4" s="7" t="inlineStr">
        <is>
          <t>量级／数值</t>
        </is>
      </c>
      <c r="F4" s="7" t="inlineStr">
        <is>
          <t>证据等级</t>
        </is>
      </c>
      <c r="G4" s="7" t="inlineStr">
        <is>
          <t>所属价格阶段</t>
        </is>
      </c>
      <c r="H4" s="7" t="inlineStr">
        <is>
          <t>领先交易日</t>
        </is>
      </c>
      <c r="I4" s="7" t="inlineStr">
        <is>
          <t>来源</t>
        </is>
      </c>
      <c r="J4" s="7" t="inlineStr">
        <is>
          <t>原始链接</t>
        </is>
      </c>
    </row>
    <row r="5">
      <c r="A5" s="14" t="inlineStr">
        <is>
          <t>2026-08-24</t>
        </is>
      </c>
      <c r="B5" s="14" t="inlineStr">
        <is>
          <t>贸易</t>
        </is>
      </c>
      <c r="C5" s="14" t="inlineStr">
        <is>
          <t>伊朗两套大型甲醇装置停车，重启时间待定</t>
        </is>
      </c>
      <c r="D5" s="14" t="inlineStr">
        <is>
          <t>利多</t>
        </is>
      </c>
      <c r="E5" s="14" t="inlineStr">
        <is>
          <t>装置级，无全国供需影响量化</t>
        </is>
      </c>
      <c r="F5" s="26" t="inlineStr">
        <is>
          <t>E2</t>
        </is>
      </c>
      <c r="G5" s="14" t="inlineStr">
        <is>
          <t>（不在已识别阶段内）</t>
        </is>
      </c>
      <c r="H5" s="14" t="n">
        <v>-31</v>
      </c>
      <c r="I5" s="14" t="inlineStr">
        <is>
          <t>生意社 PriceSeek</t>
        </is>
      </c>
      <c r="J5" s="29" t="inlineStr">
        <is>
          <t>https://www.100ppi.com/news/detail-20260824-6115793.html</t>
        </is>
      </c>
    </row>
    <row r="6">
      <c r="A6" s="17" t="inlineStr">
        <is>
          <t>2026-08-31</t>
        </is>
      </c>
      <c r="B6" s="17" t="inlineStr">
        <is>
          <t>贸易</t>
        </is>
      </c>
      <c r="C6" s="25" t="inlineStr">
        <is>
          <t>伊朗 Sabalan 165 万吨/年、Kimiya 165 万吨/年维持停车</t>
        </is>
      </c>
      <c r="D6" s="17" t="inlineStr">
        <is>
          <t>利多</t>
        </is>
      </c>
      <c r="E6" s="17" t="inlineStr">
        <is>
          <t>330 万吨/年装置停车</t>
        </is>
      </c>
      <c r="F6" s="17" t="inlineStr">
        <is>
          <t>E2</t>
        </is>
      </c>
      <c r="G6" s="17" t="inlineStr">
        <is>
          <t>（不在已识别阶段内）</t>
        </is>
      </c>
      <c r="H6" s="17" t="n">
        <v>-3</v>
      </c>
      <c r="I6" s="17" t="inlineStr">
        <is>
          <t>生意社 PriceSeek</t>
        </is>
      </c>
      <c r="J6" s="30" t="inlineStr">
        <is>
          <t>https://www.100ppi.com/news/detail-20260831-6148493.html</t>
        </is>
      </c>
    </row>
    <row r="7">
      <c r="A7" s="14" t="inlineStr">
        <is>
          <t>2026-09-15</t>
        </is>
      </c>
      <c r="B7" s="14" t="inlineStr">
        <is>
          <t>政策/事件</t>
        </is>
      </c>
      <c r="C7" s="14" t="inlineStr">
        <is>
          <t>霍尔木兹油轮租赁成本首次突破 100 万美元/天</t>
        </is>
      </c>
      <c r="D7" s="14" t="inlineStr">
        <is>
          <t>利多</t>
        </is>
      </c>
      <c r="E7" s="14" t="inlineStr">
        <is>
          <t>油轮日租 &gt; 100 万美元</t>
        </is>
      </c>
      <c r="F7" s="26" t="inlineStr">
        <is>
          <t>E2</t>
        </is>
      </c>
      <c r="G7" s="14" t="inlineStr">
        <is>
          <t>（不在已识别阶段内）</t>
        </is>
      </c>
      <c r="H7" s="14" t="n">
        <v>-14</v>
      </c>
      <c r="I7" s="14" t="inlineStr">
        <is>
          <t>生意社 PriceSeek（援引波罗的海交易所）</t>
        </is>
      </c>
      <c r="J7" s="29" t="inlineStr">
        <is>
          <t>https://www.100ppi.com/news/detail-20260915-6217366.html</t>
        </is>
      </c>
    </row>
    <row r="8">
      <c r="A8" s="17" t="inlineStr">
        <is>
          <t>2026-09-17</t>
        </is>
      </c>
      <c r="B8" s="17" t="inlineStr">
        <is>
          <t>贸易</t>
        </is>
      </c>
      <c r="C8" s="25" t="inlineStr">
        <is>
          <t>9 月中旬周度到港仅 13—14 万吨，进口环比大幅下滑</t>
        </is>
      </c>
      <c r="D8" s="17" t="inlineStr">
        <is>
          <t>利多</t>
        </is>
      </c>
      <c r="E8" s="17" t="inlineStr">
        <is>
          <t>周度到港 13—14 万吨</t>
        </is>
      </c>
      <c r="F8" s="17" t="inlineStr">
        <is>
          <t>E2</t>
        </is>
      </c>
      <c r="G8" s="17" t="inlineStr">
        <is>
          <t>（不在已识别阶段内）</t>
        </is>
      </c>
      <c r="H8" s="17" t="n">
        <v>-16</v>
      </c>
      <c r="I8" s="17" t="inlineStr">
        <is>
          <t>生意社 PriceSeek</t>
        </is>
      </c>
      <c r="J8" s="30" t="inlineStr">
        <is>
          <t>https://www.100ppi.com/news/detail-20260917-6233902.html</t>
        </is>
      </c>
    </row>
    <row r="9">
      <c r="A9" s="14" t="inlineStr">
        <is>
          <t>2026-09-17</t>
        </is>
      </c>
      <c r="B9" s="14" t="inlineStr">
        <is>
          <t>政策/事件</t>
        </is>
      </c>
      <c r="C9" s="14" t="inlineStr">
        <is>
          <t>霍尔木兹航运风险抬升，中东装置降负，货源分流</t>
        </is>
      </c>
      <c r="D9" s="14" t="inlineStr">
        <is>
          <t>利多</t>
        </is>
      </c>
      <c r="E9" s="14" t="inlineStr">
        <is>
          <t>定性</t>
        </is>
      </c>
      <c r="F9" s="26" t="inlineStr">
        <is>
          <t>E2</t>
        </is>
      </c>
      <c r="G9" s="14" t="inlineStr">
        <is>
          <t>（不在已识别阶段内）</t>
        </is>
      </c>
      <c r="H9" s="14" t="n">
        <v>-16</v>
      </c>
      <c r="I9" s="14" t="inlineStr">
        <is>
          <t>生意社 PriceSeek</t>
        </is>
      </c>
      <c r="J9" s="29" t="inlineStr">
        <is>
          <t>https://www.100ppi.com/news/detail-20260917-6233952.html</t>
        </is>
      </c>
    </row>
    <row r="10">
      <c r="A10" s="17" t="inlineStr">
        <is>
          <t>2026-09-21</t>
        </is>
      </c>
      <c r="B10" s="17" t="inlineStr">
        <is>
          <t>供给</t>
        </is>
      </c>
      <c r="C10" s="25" t="inlineStr">
        <is>
          <t>9 月中旬行业周度开工率 83.8%（环比 +1.1pct），周产量 189.3 万吨</t>
        </is>
      </c>
      <c r="D10" s="17" t="inlineStr">
        <is>
          <t>利空</t>
        </is>
      </c>
      <c r="E10" s="17" t="inlineStr">
        <is>
          <t>开工率 +1.1pct，周产量 189.3 万吨</t>
        </is>
      </c>
      <c r="F10" s="17" t="inlineStr">
        <is>
          <t>E2</t>
        </is>
      </c>
      <c r="G10" s="17" t="inlineStr">
        <is>
          <t>（不在已识别阶段内）</t>
        </is>
      </c>
      <c r="H10" s="17" t="n">
        <v>-18</v>
      </c>
      <c r="I10" s="17" t="inlineStr">
        <is>
          <t>生意社 PriceSeek</t>
        </is>
      </c>
      <c r="J10" s="30" t="inlineStr">
        <is>
          <t>https://www.100ppi.com/news/detail-20260921-6248138.html</t>
        </is>
      </c>
    </row>
    <row r="11">
      <c r="A11" s="14" t="inlineStr">
        <is>
          <t>2026-09-21</t>
        </is>
      </c>
      <c r="B11" s="14" t="inlineStr">
        <is>
          <t>贸易</t>
        </is>
      </c>
      <c r="C11" s="24" t="inlineStr">
        <is>
          <t>8 月甲醇进口 80.53 万吨（环比 −18.83%），1—8 月同比 −32.30%</t>
        </is>
      </c>
      <c r="D11" s="14" t="inlineStr">
        <is>
          <t>利多</t>
        </is>
      </c>
      <c r="E11" s="24" t="inlineStr">
        <is>
          <t>进口 −18.83% MoM / −32.30% YoY（1—8 月）</t>
        </is>
      </c>
      <c r="F11" s="23" t="inlineStr">
        <is>
          <t>E1</t>
        </is>
      </c>
      <c r="G11" s="14" t="inlineStr">
        <is>
          <t>（不在已识别阶段内）</t>
        </is>
      </c>
      <c r="H11" s="14" t="n">
        <v>-18</v>
      </c>
      <c r="I11" s="14" t="inlineStr">
        <is>
          <t>生意社（海关口径）</t>
        </is>
      </c>
      <c r="J11" s="29" t="inlineStr">
        <is>
          <t>https://www.100ppi.com/news/detail-20260921-6253229.html</t>
        </is>
      </c>
    </row>
    <row r="12">
      <c r="A12" s="17" t="inlineStr">
        <is>
          <t>2026-09-28</t>
        </is>
      </c>
      <c r="B12" s="17" t="inlineStr">
        <is>
          <t>贸易</t>
        </is>
      </c>
      <c r="C12" s="25" t="inlineStr">
        <is>
          <t>伊朗 KPC 66 万吨/年、Sabalan 165 万吨/年维持停车；FPC 100 万吨/年正常</t>
        </is>
      </c>
      <c r="D12" s="17" t="inlineStr">
        <is>
          <t>利多</t>
        </is>
      </c>
      <c r="E12" s="17" t="inlineStr">
        <is>
          <t>231 万吨/年停车</t>
        </is>
      </c>
      <c r="F12" s="17" t="inlineStr">
        <is>
          <t>E2</t>
        </is>
      </c>
      <c r="G12" s="17" t="inlineStr">
        <is>
          <t>（不在已识别阶段内）</t>
        </is>
      </c>
      <c r="H12" s="17" t="n">
        <v>-22</v>
      </c>
      <c r="I12" s="17" t="inlineStr">
        <is>
          <t>生意社 PriceSeek</t>
        </is>
      </c>
      <c r="J12" s="30" t="inlineStr">
        <is>
          <t>https://www.100ppi.com/news/detail-20260928-6276691.html</t>
        </is>
      </c>
    </row>
    <row r="13">
      <c r="A13" s="14" t="inlineStr">
        <is>
          <t>2026-10-09</t>
        </is>
      </c>
      <c r="B13" s="14" t="inlineStr">
        <is>
          <t>贸易</t>
        </is>
      </c>
      <c r="C13" s="14" t="inlineStr">
        <is>
          <t>伊朗甲醇供应受限，进口预期偏弱</t>
        </is>
      </c>
      <c r="D13" s="14" t="inlineStr">
        <is>
          <t>利多</t>
        </is>
      </c>
      <c r="E13" s="14" t="inlineStr">
        <is>
          <t>定性</t>
        </is>
      </c>
      <c r="F13" s="26" t="inlineStr">
        <is>
          <t>E2</t>
        </is>
      </c>
      <c r="G13" s="14" t="inlineStr">
        <is>
          <t>（不在已识别阶段内）</t>
        </is>
      </c>
      <c r="H13" s="14" t="n">
        <v>-4</v>
      </c>
      <c r="I13" s="14" t="inlineStr">
        <is>
          <t>生意社 PriceSeek</t>
        </is>
      </c>
      <c r="J13" s="29" t="inlineStr">
        <is>
          <t>https://www.100ppi.com/news/detail-20261009-6320033.html</t>
        </is>
      </c>
    </row>
    <row r="14">
      <c r="A14" s="17" t="inlineStr">
        <is>
          <t>2026-10-10</t>
        </is>
      </c>
      <c r="B14" s="17" t="inlineStr">
        <is>
          <t>贸易</t>
        </is>
      </c>
      <c r="C14" s="25" t="inlineStr">
        <is>
          <t>伊朗 Sabalan 165 万吨/年、Kimiya 165 万吨/年维持停车</t>
        </is>
      </c>
      <c r="D14" s="17" t="inlineStr">
        <is>
          <t>利多</t>
        </is>
      </c>
      <c r="E14" s="17" t="inlineStr">
        <is>
          <t>330 万吨/年停车</t>
        </is>
      </c>
      <c r="F14" s="17" t="inlineStr">
        <is>
          <t>E2</t>
        </is>
      </c>
      <c r="G14" s="17" t="inlineStr">
        <is>
          <t>（不在已识别阶段内）</t>
        </is>
      </c>
      <c r="H14" s="17" t="n">
        <v>-5</v>
      </c>
      <c r="I14" s="17" t="inlineStr">
        <is>
          <t>生意社 PriceSeek</t>
        </is>
      </c>
      <c r="J14" s="30" t="inlineStr">
        <is>
          <t>https://www.100ppi.com/news/detail-20261010-6320248.html</t>
        </is>
      </c>
    </row>
    <row r="15">
      <c r="A15" s="14" t="inlineStr">
        <is>
          <t>2026-10-14</t>
        </is>
      </c>
      <c r="B15" s="14" t="inlineStr">
        <is>
          <t>供给</t>
        </is>
      </c>
      <c r="C15" s="24" t="inlineStr">
        <is>
          <t>内蒙古新奥达旗等多套装置 9 月底已恢复；陕西黑猫 10 万吨计划 10 月中旬重启</t>
        </is>
      </c>
      <c r="D15" s="14" t="inlineStr">
        <is>
          <t>利空</t>
        </is>
      </c>
      <c r="E15" s="14" t="inlineStr">
        <is>
          <t>多套装置复产</t>
        </is>
      </c>
      <c r="F15" s="26" t="inlineStr">
        <is>
          <t>E2</t>
        </is>
      </c>
      <c r="G15" s="14" t="inlineStr">
        <is>
          <t>（不在已识别阶段内）</t>
        </is>
      </c>
      <c r="H15" s="14" t="n">
        <v>-2</v>
      </c>
      <c r="I15" s="14" t="inlineStr">
        <is>
          <t>生意社 PriceSeek</t>
        </is>
      </c>
      <c r="J15" s="29" t="inlineStr">
        <is>
          <t>https://www.100ppi.com/news/detail-20261014-6339781.html</t>
        </is>
      </c>
    </row>
    <row r="16">
      <c r="A16" s="17" t="inlineStr">
        <is>
          <t>2026-10-14</t>
        </is>
      </c>
      <c r="B16" s="17" t="inlineStr">
        <is>
          <t>需求</t>
        </is>
      </c>
      <c r="C16" s="25" t="inlineStr">
        <is>
          <t>沿海外采型 MTO 陆续停车降负（天津渤化、联泓格润二期、诚志）</t>
        </is>
      </c>
      <c r="D16" s="17" t="inlineStr">
        <is>
          <t>利空</t>
        </is>
      </c>
      <c r="E16" s="17" t="inlineStr">
        <is>
          <t>多套装置；未披露产能合计</t>
        </is>
      </c>
      <c r="F16" s="17" t="inlineStr">
        <is>
          <t>E2</t>
        </is>
      </c>
      <c r="G16" s="17" t="inlineStr">
        <is>
          <t>（不在已识别阶段内）</t>
        </is>
      </c>
      <c r="H16" s="17" t="n">
        <v>-2</v>
      </c>
      <c r="I16" s="17" t="inlineStr">
        <is>
          <t>生意社 PriceSeek</t>
        </is>
      </c>
      <c r="J16" s="30" t="inlineStr">
        <is>
          <t>https://www.100ppi.com/news/detail-20261014-6339780.html</t>
        </is>
      </c>
    </row>
  </sheetData>
  <autoFilter ref="A4:J16"/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140"/>
    <outlinePr summaryBelow="1" summaryRight="1"/>
    <pageSetUpPr/>
  </sheetPr>
  <dimension ref="A1:G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7" customWidth="1" min="3" max="3"/>
    <col width="22" customWidth="1" min="4" max="4"/>
    <col width="62" customWidth="1" min="5" max="5"/>
    <col width="22" customWidth="1" min="6" max="6"/>
    <col width="42" customWidth="1" min="7" max="7"/>
  </cols>
  <sheetData>
    <row r="1" ht="30" customHeight="1">
      <c r="A1" s="1" t="inlineStr">
        <is>
          <t>06 证据分级：全部条目与判断依据</t>
        </is>
      </c>
    </row>
    <row r="2" ht="28" customHeight="1">
      <c r="A2" s="2" t="inlineStr">
        <is>
          <t>E1 数据支持／E2 数据+时间吻合／E3 仅时间吻合／E4 缺乏证据。等级不因"听起来合理"而提升</t>
        </is>
      </c>
    </row>
    <row r="4" ht="30" customHeight="1">
      <c r="A4" s="7" t="inlineStr">
        <is>
          <t>因子</t>
        </is>
      </c>
      <c r="B4" s="7" t="inlineStr">
        <is>
          <t>指标／事件</t>
        </is>
      </c>
      <c r="C4" s="7" t="inlineStr">
        <is>
          <t>等级</t>
        </is>
      </c>
      <c r="D4" s="7" t="inlineStr">
        <is>
          <t>证据类型</t>
        </is>
      </c>
      <c r="E4" s="7" t="inlineStr">
        <is>
          <t>依据说明</t>
        </is>
      </c>
      <c r="F4" s="7" t="inlineStr">
        <is>
          <t>原始来源</t>
        </is>
      </c>
      <c r="G4" s="7" t="inlineStr">
        <is>
          <t>链接</t>
        </is>
      </c>
    </row>
    <row r="5">
      <c r="A5" s="14" t="inlineStr">
        <is>
          <t>进口与外盘价格</t>
        </is>
      </c>
      <c r="B5" s="24" t="inlineStr">
        <is>
          <t>8 月甲醇进口 80.53 万吨（环比 −18.83%），1—8 月同比 −32.30%</t>
        </is>
      </c>
      <c r="C5" s="23" t="inlineStr">
        <is>
          <t>E1</t>
        </is>
      </c>
      <c r="D5" s="14" t="inlineStr">
        <is>
          <t>事件＋统计口径数据</t>
        </is>
      </c>
      <c r="E5" s="24" t="inlineStr">
        <is>
          <t>事件带统计口径数值（进口 −18.83% MoM / −32.30% YoY（1—8 月））；与行情周期「P3 主升浪」同窗</t>
        </is>
      </c>
      <c r="F5" s="14" t="inlineStr">
        <is>
          <t>生意社（海关口径）</t>
        </is>
      </c>
      <c r="G5" s="29" t="inlineStr">
        <is>
          <t>https://www.100ppi.com/news/detail-20260921-6253229.html</t>
        </is>
      </c>
    </row>
    <row r="6">
      <c r="A6" s="17" t="inlineStr">
        <is>
          <t>煤炭成本（上游原料）</t>
        </is>
      </c>
      <c r="B6" s="17" t="inlineStr">
        <is>
          <t>秦皇岛港 5500 大卡动力煤现货价</t>
        </is>
      </c>
      <c r="C6" s="17" t="inlineStr">
        <is>
          <t>E1</t>
        </is>
      </c>
      <c r="D6" s="17" t="inlineStr">
        <is>
          <t>连续价格序列</t>
        </is>
      </c>
      <c r="E6" s="25" t="inlineStr">
        <is>
          <t>窗口内变化 +22.2%（z=+1.88≥1.0），方向与现货上涨一致</t>
        </is>
      </c>
      <c r="F6" s="25" t="inlineStr">
        <is>
          <t>中国煤炭市场网 CCTD 环渤海 5500 动力煤现货</t>
        </is>
      </c>
      <c r="G6" s="31" t="inlineStr">
        <is>
          <t>https://www.cctd.com.cn/</t>
        </is>
      </c>
    </row>
    <row r="7">
      <c r="A7" s="14" t="inlineStr">
        <is>
          <t>原油与地缘能源价格</t>
        </is>
      </c>
      <c r="B7" s="14" t="inlineStr">
        <is>
          <t>INE 原油主连（SC0）</t>
        </is>
      </c>
      <c r="C7" s="23" t="inlineStr">
        <is>
          <t>E1</t>
        </is>
      </c>
      <c r="D7" s="14" t="inlineStr">
        <is>
          <t>连续价格序列</t>
        </is>
      </c>
      <c r="E7" s="24" t="inlineStr">
        <is>
          <t>窗口内变化 +55.0%（z=+2.45≥1.0），方向与现货上涨一致</t>
        </is>
      </c>
      <c r="F7" s="24" t="inlineStr">
        <is>
          <t>新浪财经 InnerFuturesNewService 日线</t>
        </is>
      </c>
      <c r="G7" s="29" t="inlineStr">
        <is>
          <t>https://finance.sina.com.cn/futures/quotes/SC0.shtml</t>
        </is>
      </c>
    </row>
    <row r="8">
      <c r="A8" s="17" t="inlineStr">
        <is>
          <t>进口与外盘价格</t>
        </is>
      </c>
      <c r="B8" s="17" t="inlineStr">
        <is>
          <t>2026 年 8 月甲醇进口量</t>
        </is>
      </c>
      <c r="C8" s="17" t="inlineStr">
        <is>
          <t>E1</t>
        </is>
      </c>
      <c r="D8" s="17" t="inlineStr">
        <is>
          <t>报告披露值／统计口径数据</t>
        </is>
      </c>
      <c r="E8" s="17" t="inlineStr">
        <is>
          <t>见来源原文</t>
        </is>
      </c>
      <c r="F8" s="25" t="inlineStr">
        <is>
          <t>https://www.100ppi.com/news/detail-20260921-6253229.html</t>
        </is>
      </c>
      <c r="G8" s="17" t="n"/>
    </row>
    <row r="9">
      <c r="A9" s="14" t="inlineStr">
        <is>
          <t>进口与外盘价格</t>
        </is>
      </c>
      <c r="B9" s="14" t="inlineStr">
        <is>
          <t>1—8 月累计进口</t>
        </is>
      </c>
      <c r="C9" s="23" t="inlineStr">
        <is>
          <t>E1</t>
        </is>
      </c>
      <c r="D9" s="14" t="inlineStr">
        <is>
          <t>报告披露值／统计口径数据</t>
        </is>
      </c>
      <c r="E9" s="14" t="inlineStr">
        <is>
          <t>见来源原文</t>
        </is>
      </c>
      <c r="F9" s="24" t="inlineStr">
        <is>
          <t>https://www.100ppi.com/news/detail-20260921-6253229.html</t>
        </is>
      </c>
      <c r="G9" s="14" t="n"/>
    </row>
    <row r="10">
      <c r="A10" s="17" t="inlineStr">
        <is>
          <t>下游需求（MTO 与聚烯烃）</t>
        </is>
      </c>
      <c r="B10" s="17" t="inlineStr">
        <is>
          <t>大商所聚丙烯主连（PP0）</t>
        </is>
      </c>
      <c r="C10" s="17" t="inlineStr">
        <is>
          <t>E1</t>
        </is>
      </c>
      <c r="D10" s="17" t="inlineStr">
        <is>
          <t>连续价格序列</t>
        </is>
      </c>
      <c r="E10" s="25" t="inlineStr">
        <is>
          <t>窗口内变化 +27.7%（z=+2.29≥1.0），方向与现货上涨一致</t>
        </is>
      </c>
      <c r="F10" s="25" t="inlineStr">
        <is>
          <t>新浪财经 InnerFuturesNewService 日线</t>
        </is>
      </c>
      <c r="G10" s="30" t="inlineStr">
        <is>
          <t>https://finance.sina.com.cn/futures/quotes/PP0.shtml</t>
        </is>
      </c>
    </row>
    <row r="11">
      <c r="A11" s="14" t="inlineStr">
        <is>
          <t>基差·月差·期现结构</t>
        </is>
      </c>
      <c r="B11" s="14" t="inlineStr">
        <is>
          <t>基差（现货−MA2611，同一合约全期可比）</t>
        </is>
      </c>
      <c r="C11" s="23" t="inlineStr">
        <is>
          <t>E1</t>
        </is>
      </c>
      <c r="D11" s="14" t="inlineStr">
        <is>
          <t>逐日可复算</t>
        </is>
      </c>
      <c r="E11" s="24" t="inlineStr">
        <is>
          <t>窗口内基差由 419 元/吨（2026-06-30）变为 632 元/吨（2026-10-19）；峰值 1264 元/吨（2026-09-29），谷值 -125 元/吨（2026-07-20）</t>
        </is>
      </c>
      <c r="F11" s="14" t="inlineStr">
        <is>
          <t>郑商所 MA2611 合约日线 ＋ 生意社现货</t>
        </is>
      </c>
      <c r="G11" s="14" t="inlineStr"/>
    </row>
    <row r="12">
      <c r="A12" s="17" t="inlineStr">
        <is>
          <t>基差·月差·期现结构</t>
        </is>
      </c>
      <c r="B12" s="25" t="inlineStr">
        <is>
          <t>月差 MA2611−MA2612（同一对合约，全期可比）</t>
        </is>
      </c>
      <c r="C12" s="17" t="inlineStr">
        <is>
          <t>E1</t>
        </is>
      </c>
      <c r="D12" s="17" t="inlineStr">
        <is>
          <t>逐日可复算</t>
        </is>
      </c>
      <c r="E12" s="25" t="inlineStr">
        <is>
          <t>月差由 -22 变为 119 元/吨（区间 -23～289）；由 Contango 转为 Back，近端趋紧</t>
        </is>
      </c>
      <c r="F12" s="17" t="inlineStr">
        <is>
          <t>郑商所合约日线</t>
        </is>
      </c>
      <c r="G12" s="17" t="inlineStr"/>
    </row>
    <row r="13">
      <c r="A13" s="14" t="inlineStr">
        <is>
          <t>进口与外盘价格</t>
        </is>
      </c>
      <c r="B13" s="14" t="inlineStr">
        <is>
          <t>伊朗两套大型甲醇装置停车，重启时间待定</t>
        </is>
      </c>
      <c r="C13" s="26" t="inlineStr">
        <is>
          <t>E2</t>
        </is>
      </c>
      <c r="D13" s="14" t="inlineStr">
        <is>
          <t>事件记录（带日期的可引披露）</t>
        </is>
      </c>
      <c r="E13" s="14" t="inlineStr">
        <is>
          <t>可引事件：装置级，无全国供需影响量化；与阶段同窗</t>
        </is>
      </c>
      <c r="F13" s="14" t="inlineStr">
        <is>
          <t>生意社 PriceSeek</t>
        </is>
      </c>
      <c r="G13" s="29" t="inlineStr">
        <is>
          <t>https://www.100ppi.com/news/detail-20260824-6115793.html</t>
        </is>
      </c>
    </row>
    <row r="14">
      <c r="A14" s="17" t="inlineStr">
        <is>
          <t>进口与外盘价格</t>
        </is>
      </c>
      <c r="B14" s="25" t="inlineStr">
        <is>
          <t>伊朗 Sabalan 165 万吨/年、Kimiya 165 万吨/年维持停车</t>
        </is>
      </c>
      <c r="C14" s="17" t="inlineStr">
        <is>
          <t>E2</t>
        </is>
      </c>
      <c r="D14" s="17" t="inlineStr">
        <is>
          <t>事件记录（带日期的可引披露）</t>
        </is>
      </c>
      <c r="E14" s="17" t="inlineStr">
        <is>
          <t>可引事件：330 万吨/年装置停车；与阶段同窗</t>
        </is>
      </c>
      <c r="F14" s="17" t="inlineStr">
        <is>
          <t>生意社 PriceSeek</t>
        </is>
      </c>
      <c r="G14" s="30" t="inlineStr">
        <is>
          <t>https://www.100ppi.com/news/detail-20260831-6148493.html</t>
        </is>
      </c>
    </row>
    <row r="15">
      <c r="A15" s="14" t="inlineStr">
        <is>
          <t>进口与外盘价格</t>
        </is>
      </c>
      <c r="B15" s="24" t="inlineStr">
        <is>
          <t>9 月中旬周度到港仅 13—14 万吨，进口环比大幅下滑</t>
        </is>
      </c>
      <c r="C15" s="26" t="inlineStr">
        <is>
          <t>E2</t>
        </is>
      </c>
      <c r="D15" s="14" t="inlineStr">
        <is>
          <t>事件记录（带日期的可引披露）</t>
        </is>
      </c>
      <c r="E15" s="14" t="inlineStr">
        <is>
          <t>可引事件：周度到港 13—14 万吨；与阶段同窗</t>
        </is>
      </c>
      <c r="F15" s="14" t="inlineStr">
        <is>
          <t>生意社 PriceSeek</t>
        </is>
      </c>
      <c r="G15" s="29" t="inlineStr">
        <is>
          <t>https://www.100ppi.com/news/detail-20260917-6233902.html</t>
        </is>
      </c>
    </row>
    <row r="16">
      <c r="A16" s="17" t="inlineStr">
        <is>
          <t>进口与外盘价格</t>
        </is>
      </c>
      <c r="B16" s="25" t="inlineStr">
        <is>
          <t>伊朗 KPC 66 万吨/年、Sabalan 165 万吨/年维持停车；FPC 100 万吨/年正常</t>
        </is>
      </c>
      <c r="C16" s="17" t="inlineStr">
        <is>
          <t>E2</t>
        </is>
      </c>
      <c r="D16" s="17" t="inlineStr">
        <is>
          <t>事件记录（带日期的可引披露）</t>
        </is>
      </c>
      <c r="E16" s="17" t="inlineStr">
        <is>
          <t>可引事件：231 万吨/年停车；与阶段同窗</t>
        </is>
      </c>
      <c r="F16" s="17" t="inlineStr">
        <is>
          <t>生意社 PriceSeek</t>
        </is>
      </c>
      <c r="G16" s="30" t="inlineStr">
        <is>
          <t>https://www.100ppi.com/news/detail-20260928-6276691.html</t>
        </is>
      </c>
    </row>
    <row r="17">
      <c r="A17" s="14" t="inlineStr">
        <is>
          <t>进口与外盘价格</t>
        </is>
      </c>
      <c r="B17" s="14" t="inlineStr">
        <is>
          <t>伊朗甲醇供应受限，进口预期偏弱</t>
        </is>
      </c>
      <c r="C17" s="26" t="inlineStr">
        <is>
          <t>E2</t>
        </is>
      </c>
      <c r="D17" s="14" t="inlineStr">
        <is>
          <t>事件记录（带日期的可引披露）</t>
        </is>
      </c>
      <c r="E17" s="14" t="inlineStr">
        <is>
          <t>可引事件：定性；与阶段同窗</t>
        </is>
      </c>
      <c r="F17" s="14" t="inlineStr">
        <is>
          <t>生意社 PriceSeek</t>
        </is>
      </c>
      <c r="G17" s="29" t="inlineStr">
        <is>
          <t>https://www.100ppi.com/news/detail-20261009-6320033.html</t>
        </is>
      </c>
    </row>
    <row r="18">
      <c r="A18" s="17" t="inlineStr">
        <is>
          <t>进口与外盘价格</t>
        </is>
      </c>
      <c r="B18" s="25" t="inlineStr">
        <is>
          <t>伊朗 Sabalan 165 万吨/年、Kimiya 165 万吨/年维持停车</t>
        </is>
      </c>
      <c r="C18" s="17" t="inlineStr">
        <is>
          <t>E2</t>
        </is>
      </c>
      <c r="D18" s="17" t="inlineStr">
        <is>
          <t>事件记录（带日期的可引披露）</t>
        </is>
      </c>
      <c r="E18" s="17" t="inlineStr">
        <is>
          <t>可引事件：330 万吨/年停车；与阶段同窗</t>
        </is>
      </c>
      <c r="F18" s="17" t="inlineStr">
        <is>
          <t>生意社 PriceSeek</t>
        </is>
      </c>
      <c r="G18" s="30" t="inlineStr">
        <is>
          <t>https://www.100ppi.com/news/detail-20261010-6320248.html</t>
        </is>
      </c>
    </row>
    <row r="19">
      <c r="A19" s="14" t="inlineStr">
        <is>
          <t>政策·事故·地缘与突发事件</t>
        </is>
      </c>
      <c r="B19" s="14" t="inlineStr">
        <is>
          <t>霍尔木兹油轮租赁成本首次突破 100 万美元/天</t>
        </is>
      </c>
      <c r="C19" s="26" t="inlineStr">
        <is>
          <t>E2</t>
        </is>
      </c>
      <c r="D19" s="14" t="inlineStr">
        <is>
          <t>事件记录（带日期的可引披露）</t>
        </is>
      </c>
      <c r="E19" s="24" t="inlineStr">
        <is>
          <t>可引事件：油轮日租 &gt; 100 万美元；与阶段同窗</t>
        </is>
      </c>
      <c r="F19" s="14" t="inlineStr">
        <is>
          <t>生意社 PriceSeek（援引波罗的海交易所）</t>
        </is>
      </c>
      <c r="G19" s="29" t="inlineStr">
        <is>
          <t>https://www.100ppi.com/news/detail-20260915-6217366.html</t>
        </is>
      </c>
    </row>
    <row r="20">
      <c r="A20" s="17" t="inlineStr">
        <is>
          <t>政策·事故·地缘与突发事件</t>
        </is>
      </c>
      <c r="B20" s="17" t="inlineStr">
        <is>
          <t>霍尔木兹航运风险抬升，中东装置降负，货源分流</t>
        </is>
      </c>
      <c r="C20" s="17" t="inlineStr">
        <is>
          <t>E2</t>
        </is>
      </c>
      <c r="D20" s="17" t="inlineStr">
        <is>
          <t>事件记录（带日期的可引披露）</t>
        </is>
      </c>
      <c r="E20" s="17" t="inlineStr">
        <is>
          <t>可引事件：定性；与阶段同窗</t>
        </is>
      </c>
      <c r="F20" s="17" t="inlineStr">
        <is>
          <t>生意社 PriceSeek</t>
        </is>
      </c>
      <c r="G20" s="30" t="inlineStr">
        <is>
          <t>https://www.100ppi.com/news/detail-20260917-6233952.html</t>
        </is>
      </c>
    </row>
    <row r="21">
      <c r="A21" s="14" t="inlineStr">
        <is>
          <t>原油与地缘能源价格</t>
        </is>
      </c>
      <c r="B21" s="14" t="inlineStr">
        <is>
          <t>原油→甲醇的传导证据</t>
        </is>
      </c>
      <c r="C21" s="26" t="inlineStr">
        <is>
          <t>E2</t>
        </is>
      </c>
      <c r="D21" s="14" t="inlineStr">
        <is>
          <t>报告披露值／统计口径数据</t>
        </is>
      </c>
      <c r="E21" s="24" t="inlineStr">
        <is>
          <t>霍尔木兹油轮日租突破 100 万美元，海运费抬升直接推高 CFR 中国到岸成本</t>
        </is>
      </c>
      <c r="F21" s="24" t="inlineStr">
        <is>
          <t>https://www.100ppi.com/news/detail-20260915-6217366.html</t>
        </is>
      </c>
      <c r="G21" s="14" t="n"/>
    </row>
    <row r="22">
      <c r="A22" s="17" t="inlineStr">
        <is>
          <t>进口与外盘价格</t>
        </is>
      </c>
      <c r="B22" s="17" t="inlineStr">
        <is>
          <t>9 月到港与进口预估</t>
        </is>
      </c>
      <c r="C22" s="17" t="inlineStr">
        <is>
          <t>E2</t>
        </is>
      </c>
      <c r="D22" s="17" t="inlineStr">
        <is>
          <t>报告披露值／统计口径数据</t>
        </is>
      </c>
      <c r="E22" s="17" t="inlineStr">
        <is>
          <t>见来源原文</t>
        </is>
      </c>
      <c r="F22" s="25" t="inlineStr">
        <is>
          <t>https://www.100ppi.com/news/detail-20260917-6233902.html</t>
        </is>
      </c>
      <c r="G22" s="17" t="n"/>
    </row>
    <row r="23">
      <c r="A23" s="14" t="inlineStr">
        <is>
          <t>进口与外盘价格</t>
        </is>
      </c>
      <c r="B23" s="14" t="inlineStr">
        <is>
          <t>伊朗装置状态</t>
        </is>
      </c>
      <c r="C23" s="26" t="inlineStr">
        <is>
          <t>E2</t>
        </is>
      </c>
      <c r="D23" s="14" t="inlineStr">
        <is>
          <t>报告披露值／统计口径数据</t>
        </is>
      </c>
      <c r="E23" s="14" t="inlineStr">
        <is>
          <t>见来源原文</t>
        </is>
      </c>
      <c r="F23" s="24" t="inlineStr">
        <is>
          <t>https://www.100ppi.com/news/detail-20260928-6276691.html</t>
        </is>
      </c>
      <c r="G23" s="14" t="n"/>
    </row>
    <row r="24">
      <c r="A24" s="17" t="inlineStr">
        <is>
          <t>政策·事故·地缘与突发事件</t>
        </is>
      </c>
      <c r="B24" s="17" t="inlineStr">
        <is>
          <t>霍尔木兹海峡航运</t>
        </is>
      </c>
      <c r="C24" s="17" t="inlineStr">
        <is>
          <t>E2</t>
        </is>
      </c>
      <c r="D24" s="17" t="inlineStr">
        <is>
          <t>报告披露值／统计口径数据</t>
        </is>
      </c>
      <c r="E24" s="17" t="inlineStr">
        <is>
          <t>见来源原文</t>
        </is>
      </c>
      <c r="F24" s="25" t="inlineStr">
        <is>
          <t>https://www.100ppi.com/news/detail-20260915-6217366.html</t>
        </is>
      </c>
      <c r="G24" s="17" t="n"/>
    </row>
    <row r="25">
      <c r="A25" s="14" t="inlineStr">
        <is>
          <t>政策·事故·地缘与突发事件</t>
        </is>
      </c>
      <c r="B25" s="14" t="inlineStr">
        <is>
          <t>霍尔木兹风险传导</t>
        </is>
      </c>
      <c r="C25" s="26" t="inlineStr">
        <is>
          <t>E2</t>
        </is>
      </c>
      <c r="D25" s="14" t="inlineStr">
        <is>
          <t>报告披露值／统计口径数据</t>
        </is>
      </c>
      <c r="E25" s="14" t="inlineStr">
        <is>
          <t>见来源原文</t>
        </is>
      </c>
      <c r="F25" s="24" t="inlineStr">
        <is>
          <t>https://www.100ppi.com/news/detail-20260917-6233952.html</t>
        </is>
      </c>
      <c r="G25" s="14" t="n"/>
    </row>
    <row r="26">
      <c r="A26" s="17" t="inlineStr">
        <is>
          <t>进口与外盘价格</t>
        </is>
      </c>
      <c r="B26" s="17" t="inlineStr">
        <is>
          <t>8 月出口量</t>
        </is>
      </c>
      <c r="C26" s="17" t="inlineStr">
        <is>
          <t>E1</t>
        </is>
      </c>
      <c r="D26" s="17" t="inlineStr">
        <is>
          <t>报告披露值／统计口径数据</t>
        </is>
      </c>
      <c r="E26" s="25" t="inlineStr">
        <is>
          <t>见来源原文；该变化方向与现货上涨相反，不构成对本次行情的支持</t>
        </is>
      </c>
      <c r="F26" s="25" t="inlineStr">
        <is>
          <t>https://www.100ppi.com/news/detail-20260921-6253229.html</t>
        </is>
      </c>
      <c r="G26" s="17" t="n"/>
    </row>
    <row r="27">
      <c r="A27" s="14" t="inlineStr">
        <is>
          <t>装置检修·停车·复产与开工率</t>
        </is>
      </c>
      <c r="B27" s="24" t="inlineStr">
        <is>
          <t>9 月中旬行业周度开工率 83.8%（环比 +1.1pct），周产量 189.3 万吨</t>
        </is>
      </c>
      <c r="C27" s="26" t="inlineStr">
        <is>
          <t>E2</t>
        </is>
      </c>
      <c r="D27" s="14" t="inlineStr">
        <is>
          <t>事件记录（带日期的可引披露）</t>
        </is>
      </c>
      <c r="E27" s="24" t="inlineStr">
        <is>
          <t>可引事件：开工率 +1.1pct，周产量 189.3 万吨；与阶段同窗</t>
        </is>
      </c>
      <c r="F27" s="14" t="inlineStr">
        <is>
          <t>生意社 PriceSeek</t>
        </is>
      </c>
      <c r="G27" s="29" t="inlineStr">
        <is>
          <t>https://www.100ppi.com/news/detail-20260921-6248138.html</t>
        </is>
      </c>
    </row>
    <row r="28">
      <c r="A28" s="17" t="inlineStr">
        <is>
          <t>装置检修·停车·复产与开工率</t>
        </is>
      </c>
      <c r="B28" s="25" t="inlineStr">
        <is>
          <t>内蒙古新奥达旗等多套装置 9 月底已恢复；陕西黑猫 10 万吨计划 10 月中旬重启</t>
        </is>
      </c>
      <c r="C28" s="17" t="inlineStr">
        <is>
          <t>E2</t>
        </is>
      </c>
      <c r="D28" s="17" t="inlineStr">
        <is>
          <t>事件记录（带日期的可引披露）</t>
        </is>
      </c>
      <c r="E28" s="17" t="inlineStr">
        <is>
          <t>可引事件：多套装置复产；与阶段同窗</t>
        </is>
      </c>
      <c r="F28" s="17" t="inlineStr">
        <is>
          <t>生意社 PriceSeek</t>
        </is>
      </c>
      <c r="G28" s="30" t="inlineStr">
        <is>
          <t>https://www.100ppi.com/news/detail-20261014-6339781.html</t>
        </is>
      </c>
    </row>
    <row r="29">
      <c r="A29" s="14" t="inlineStr">
        <is>
          <t>下游需求（MTO 与聚烯烃）</t>
        </is>
      </c>
      <c r="B29" s="24" t="inlineStr">
        <is>
          <t>沿海外采型 MTO 陆续停车降负（天津渤化、联泓格润二期、诚志）</t>
        </is>
      </c>
      <c r="C29" s="26" t="inlineStr">
        <is>
          <t>E2</t>
        </is>
      </c>
      <c r="D29" s="14" t="inlineStr">
        <is>
          <t>事件记录（带日期的可引披露）</t>
        </is>
      </c>
      <c r="E29" s="14" t="inlineStr">
        <is>
          <t>可引事件：多套装置；未披露产能合计；与阶段同窗</t>
        </is>
      </c>
      <c r="F29" s="14" t="inlineStr">
        <is>
          <t>生意社 PriceSeek</t>
        </is>
      </c>
      <c r="G29" s="29" t="inlineStr">
        <is>
          <t>https://www.100ppi.com/news/detail-20261014-6339780.html</t>
        </is>
      </c>
    </row>
    <row r="30">
      <c r="A30" s="17" t="inlineStr">
        <is>
          <t>装置检修·停车·复产与开工率</t>
        </is>
      </c>
      <c r="B30" s="17" t="inlineStr">
        <is>
          <t>9 月中旬甲醇行业周度开工率</t>
        </is>
      </c>
      <c r="C30" s="17" t="inlineStr">
        <is>
          <t>E2</t>
        </is>
      </c>
      <c r="D30" s="17" t="inlineStr">
        <is>
          <t>报告披露值／统计口径数据</t>
        </is>
      </c>
      <c r="E30" s="25" t="inlineStr">
        <is>
          <t>原文：9月中旬甲醇开工率环比上涨，周产量增加；生意社评为一般利空（−1）；该变化方向与现货上涨相反，不构成对本次行情的支持</t>
        </is>
      </c>
      <c r="F30" s="25" t="inlineStr">
        <is>
          <t>https://www.100ppi.com/news/detail-20260921-6248138.html</t>
        </is>
      </c>
      <c r="G30" s="17" t="n"/>
    </row>
    <row r="31">
      <c r="A31" s="14" t="inlineStr">
        <is>
          <t>装置检修·停车·复产与开工率</t>
        </is>
      </c>
      <c r="B31" s="14" t="inlineStr">
        <is>
          <t>10 月中旬国内装置恢复</t>
        </is>
      </c>
      <c r="C31" s="26" t="inlineStr">
        <is>
          <t>E2</t>
        </is>
      </c>
      <c r="D31" s="14" t="inlineStr">
        <is>
          <t>报告披露值／统计口径数据</t>
        </is>
      </c>
      <c r="E31" s="24" t="inlineStr">
        <is>
          <t>依据原文表述，见来源；该变化方向与现货上涨相反，不构成对本次行情的支持</t>
        </is>
      </c>
      <c r="F31" s="24" t="inlineStr">
        <is>
          <t>https://www.100ppi.com/news/detail-20261014-6339781.html</t>
        </is>
      </c>
      <c r="G31" s="14" t="n"/>
    </row>
    <row r="32">
      <c r="A32" s="17" t="inlineStr">
        <is>
          <t>下游需求（MTO 与聚烯烃）</t>
        </is>
      </c>
      <c r="B32" s="17" t="inlineStr">
        <is>
          <t>沿海外采型 MTO 动态</t>
        </is>
      </c>
      <c r="C32" s="17" t="inlineStr">
        <is>
          <t>E2</t>
        </is>
      </c>
      <c r="D32" s="17" t="inlineStr">
        <is>
          <t>报告披露值／统计口径数据</t>
        </is>
      </c>
      <c r="E32" s="25" t="inlineStr">
        <is>
          <t>见来源原文；该变化方向与现货上涨相反，不构成对本次行情的支持</t>
        </is>
      </c>
      <c r="F32" s="25" t="inlineStr">
        <is>
          <t>https://www.100ppi.com/news/detail-20261014-6339780.html</t>
        </is>
      </c>
      <c r="G32" s="17" t="n"/>
    </row>
    <row r="33">
      <c r="A33" s="14" t="inlineStr">
        <is>
          <t>下游需求（MTO 与聚烯烃）</t>
        </is>
      </c>
      <c r="B33" s="14" t="inlineStr">
        <is>
          <t>烯烃负反馈与外卖原料</t>
        </is>
      </c>
      <c r="C33" s="26" t="inlineStr">
        <is>
          <t>E2</t>
        </is>
      </c>
      <c r="D33" s="14" t="inlineStr">
        <is>
          <t>报告披露值／统计口径数据</t>
        </is>
      </c>
      <c r="E33" s="24" t="inlineStr">
        <is>
          <t>见来源原文；该变化方向与现货上涨相反，不构成对本次行情的支持</t>
        </is>
      </c>
      <c r="F33" s="24" t="inlineStr">
        <is>
          <t>https://www.100ppi.com/forecast/detail-20261016-208613.html</t>
        </is>
      </c>
      <c r="G33" s="14" t="n"/>
    </row>
    <row r="34">
      <c r="A34" s="17" t="inlineStr">
        <is>
          <t>煤炭成本（上游原料）</t>
        </is>
      </c>
      <c r="B34" s="17" t="inlineStr">
        <is>
          <t>理论成本方向（定性与走势）</t>
        </is>
      </c>
      <c r="C34" s="17" t="inlineStr">
        <is>
          <t>E3</t>
        </is>
      </c>
      <c r="D34" s="17" t="inlineStr">
        <is>
          <t>报告披露值／统计口径数据</t>
        </is>
      </c>
      <c r="E34" s="25" t="inlineStr">
        <is>
          <t>成本面，煤炭市场供需博弈深化，终端对高价煤仍有抵触，煤价延续高位震荡，对甲醇仍存支撑。甲醇成本面影偏利好因素影响。</t>
        </is>
      </c>
      <c r="F34" s="25" t="inlineStr">
        <is>
          <t>https://www.100ppi.com/forecast/detail-20261016-208613.html</t>
        </is>
      </c>
      <c r="G34" s="17" t="n"/>
    </row>
    <row r="35">
      <c r="A35" s="14" t="inlineStr">
        <is>
          <t>装置检修·停车·复产与开工率</t>
        </is>
      </c>
      <c r="B35" s="14" t="inlineStr">
        <is>
          <t>10 月中旬检修损失</t>
        </is>
      </c>
      <c r="C35" s="28" t="inlineStr">
        <is>
          <t>E3</t>
        </is>
      </c>
      <c r="D35" s="14" t="inlineStr">
        <is>
          <t>报告披露值／统计口径数据</t>
        </is>
      </c>
      <c r="E35" s="14" t="inlineStr">
        <is>
          <t>依据原文表述，见来源</t>
        </is>
      </c>
      <c r="F35" s="24" t="inlineStr">
        <is>
          <t>https://www.100ppi.com/forecast/detail-20261016-208613.html</t>
        </is>
      </c>
      <c r="G35" s="14" t="n"/>
    </row>
    <row r="36">
      <c r="A36" s="17" t="inlineStr">
        <is>
          <t>装置检修·停车·复产与开工率</t>
        </is>
      </c>
      <c r="B36" s="25" t="inlineStr">
        <is>
          <t>多套国内装置进入检修：新疆新业、和宁化学、内蒙古国泰、神华西来峰、重庆卡贝乐</t>
        </is>
      </c>
      <c r="C36" s="17" t="inlineStr">
        <is>
          <t>E3</t>
        </is>
      </c>
      <c r="D36" s="17" t="inlineStr">
        <is>
          <t>事后复盘表述／无量化</t>
        </is>
      </c>
      <c r="E36" s="17" t="inlineStr">
        <is>
          <t>仅有文字表述或定性复盘，缺可比数值</t>
        </is>
      </c>
      <c r="F36" s="17" t="inlineStr">
        <is>
          <t>生意社 PriceSeek</t>
        </is>
      </c>
      <c r="G36" s="30" t="inlineStr">
        <is>
          <t>https://www.100ppi.com/news/detail-20260917-6233906.html</t>
        </is>
      </c>
    </row>
    <row r="37">
      <c r="A37" s="14" t="inlineStr">
        <is>
          <t>政策·事故·地缘与突发事件</t>
        </is>
      </c>
      <c r="B37" s="14" t="inlineStr">
        <is>
          <t>霍尔木兹航运停滞，相关大宗商品受提振</t>
        </is>
      </c>
      <c r="C37" s="28" t="inlineStr">
        <is>
          <t>E3</t>
        </is>
      </c>
      <c r="D37" s="14" t="inlineStr">
        <is>
          <t>事后复盘表述／无量化</t>
        </is>
      </c>
      <c r="E37" s="14" t="inlineStr">
        <is>
          <t>仅有文字表述或定性复盘，缺可比数值</t>
        </is>
      </c>
      <c r="F37" s="14" t="inlineStr">
        <is>
          <t>生意社 PriceSeek</t>
        </is>
      </c>
      <c r="G37" s="29" t="inlineStr">
        <is>
          <t>https://www.100ppi.com/news/detail-20260709-5896902.html</t>
        </is>
      </c>
    </row>
    <row r="38">
      <c r="A38" s="17" t="inlineStr">
        <is>
          <t>煤炭成本（上游原料）</t>
        </is>
      </c>
      <c r="B38" s="17" t="inlineStr">
        <is>
          <t>煤制甲醇单耗（经验区间）</t>
        </is>
      </c>
      <c r="C38" s="17" t="inlineStr">
        <is>
          <t>E3</t>
        </is>
      </c>
      <c r="D38" s="17" t="inlineStr">
        <is>
          <t>报告披露值／统计口径数据</t>
        </is>
      </c>
      <c r="E38" s="17" t="inlineStr">
        <is>
          <t>经验值，非实测</t>
        </is>
      </c>
      <c r="F38" s="25" t="inlineStr">
        <is>
          <t>行业通用经验区间；本次未取得任何一家企业的企业级核验数据</t>
        </is>
      </c>
      <c r="G38" s="17" t="n"/>
    </row>
    <row r="39">
      <c r="A39" s="14" t="inlineStr">
        <is>
          <t>装置检修·停车·复产与开工率</t>
        </is>
      </c>
      <c r="B39" s="14" t="inlineStr">
        <is>
          <t>9 月上中旬检修装置</t>
        </is>
      </c>
      <c r="C39" s="28" t="inlineStr">
        <is>
          <t>E3</t>
        </is>
      </c>
      <c r="D39" s="14" t="inlineStr">
        <is>
          <t>报告披露值／统计口径数据</t>
        </is>
      </c>
      <c r="E39" s="14" t="inlineStr">
        <is>
          <t>依据原文表述，见来源</t>
        </is>
      </c>
      <c r="F39" s="24" t="inlineStr">
        <is>
          <t>https://www.100ppi.com/news/detail-20260917-6233906.html</t>
        </is>
      </c>
      <c r="G39" s="14" t="n"/>
    </row>
    <row r="40">
      <c r="A40" s="17" t="inlineStr">
        <is>
          <t>港口·企业库存</t>
        </is>
      </c>
      <c r="B40" s="17" t="inlineStr">
        <is>
          <t>定性表述</t>
        </is>
      </c>
      <c r="C40" s="17" t="inlineStr">
        <is>
          <t>E3</t>
        </is>
      </c>
      <c r="D40" s="17" t="inlineStr">
        <is>
          <t>报告披露值／统计口径数据</t>
        </is>
      </c>
      <c r="E40" s="17" t="inlineStr">
        <is>
          <t>依据原文表述，见来源</t>
        </is>
      </c>
      <c r="F40" s="25" t="inlineStr">
        <is>
          <t>https://www.100ppi.com/news/detail-20261014-6339768.html</t>
        </is>
      </c>
      <c r="G40" s="17" t="n"/>
    </row>
    <row r="41">
      <c r="A41" s="14" t="inlineStr">
        <is>
          <t>装置检修·停车·复产与开工率</t>
        </is>
      </c>
      <c r="B41" s="24" t="inlineStr">
        <is>
          <t>渭化 40 万吨/年甲醇装置 9 月 21 日结束检修复产</t>
        </is>
      </c>
      <c r="C41" s="28" t="inlineStr">
        <is>
          <t>E3</t>
        </is>
      </c>
      <c r="D41" s="14" t="inlineStr">
        <is>
          <t>事后复盘表述／无量化</t>
        </is>
      </c>
      <c r="E41" s="14" t="inlineStr">
        <is>
          <t>仅有文字表述或定性复盘，缺可比数值</t>
        </is>
      </c>
      <c r="F41" s="14" t="inlineStr">
        <is>
          <t>生意社 PriceSeek</t>
        </is>
      </c>
      <c r="G41" s="29" t="inlineStr">
        <is>
          <t>https://www.100ppi.com/news/detail-20260921-6253433.html</t>
        </is>
      </c>
    </row>
    <row r="42">
      <c r="A42" s="17" t="inlineStr">
        <is>
          <t>下游需求（MTO 与聚烯烃）</t>
        </is>
      </c>
      <c r="B42" s="25" t="inlineStr">
        <is>
          <t>生意社周评：下游烯烃负反馈尤为明显，部分停工烯烃仍在外卖原料</t>
        </is>
      </c>
      <c r="C42" s="17" t="inlineStr">
        <is>
          <t>E3</t>
        </is>
      </c>
      <c r="D42" s="17" t="inlineStr">
        <is>
          <t>事后复盘表述／无量化</t>
        </is>
      </c>
      <c r="E42" s="17" t="inlineStr">
        <is>
          <t>仅有文字表述或定性复盘，缺可比数值</t>
        </is>
      </c>
      <c r="F42" s="17" t="inlineStr">
        <is>
          <t>生意社周评</t>
        </is>
      </c>
      <c r="G42" s="30" t="inlineStr">
        <is>
          <t>https://www.100ppi.com/forecast/detail-20261016-208613.html</t>
        </is>
      </c>
    </row>
    <row r="43">
      <c r="A43" s="14" t="inlineStr">
        <is>
          <t>基差·月差·期现结构</t>
        </is>
      </c>
      <c r="B43" s="24" t="inlineStr">
        <is>
          <t>生意社复盘：地缘＋伊朗出货锐减＋港口库存历史低位推动上涨，MTO 负反馈爆发</t>
        </is>
      </c>
      <c r="C43" s="28" t="inlineStr">
        <is>
          <t>E3</t>
        </is>
      </c>
      <c r="D43" s="14" t="inlineStr">
        <is>
          <t>事后复盘表述／无量化</t>
        </is>
      </c>
      <c r="E43" s="14" t="inlineStr">
        <is>
          <t>仅有文字表述或定性复盘，缺可比数值</t>
        </is>
      </c>
      <c r="F43" s="14" t="inlineStr">
        <is>
          <t>生意社 PriceSeek</t>
        </is>
      </c>
      <c r="G43" s="29" t="inlineStr">
        <is>
          <t>https://www.100ppi.com/news/detail-20261014-6339768.html</t>
        </is>
      </c>
    </row>
    <row r="44">
      <c r="A44" s="17" t="inlineStr">
        <is>
          <t>煤炭成本（上游原料）</t>
        </is>
      </c>
      <c r="B44" s="17" t="inlineStr">
        <is>
          <t>内蒙古坑口动力煤（内地煤制主原料）</t>
        </is>
      </c>
      <c r="C44" s="17" t="inlineStr">
        <is>
          <t>E4</t>
        </is>
      </c>
      <c r="D44" s="17" t="inlineStr">
        <is>
          <t>报告披露值／统计口径数据</t>
        </is>
      </c>
      <c r="E44" s="25" t="inlineStr">
        <is>
          <t>生意社 9/21 稿仅提及煤炭市场供需博弈深化，终端对高价煤仍有抵触，煤价延续高位震荡，无数值</t>
        </is>
      </c>
      <c r="F44" s="17" t="inlineStr">
        <is>
          <t>—</t>
        </is>
      </c>
      <c r="G44" s="17" t="n"/>
    </row>
    <row r="45">
      <c r="A45" s="14" t="inlineStr">
        <is>
          <t>原油与地缘能源价格</t>
        </is>
      </c>
      <c r="B45" s="14" t="inlineStr">
        <is>
          <t>天然气／液化天然气</t>
        </is>
      </c>
      <c r="C45" s="27" t="inlineStr">
        <is>
          <t>E4</t>
        </is>
      </c>
      <c r="D45" s="14" t="inlineStr">
        <is>
          <t>报告披露值／统计口径数据</t>
        </is>
      </c>
      <c r="E45" s="14" t="inlineStr">
        <is>
          <t>无数据</t>
        </is>
      </c>
      <c r="F45" s="14" t="inlineStr">
        <is>
          <t>—</t>
        </is>
      </c>
      <c r="G45" s="14" t="n"/>
    </row>
    <row r="46">
      <c r="A46" s="17" t="inlineStr">
        <is>
          <t>装置检修·停车·复产与开工率</t>
        </is>
      </c>
      <c r="B46" s="17" t="inlineStr">
        <is>
          <t>周度开工率连续序列（7—10 月）</t>
        </is>
      </c>
      <c r="C46" s="17" t="inlineStr">
        <is>
          <t>E4</t>
        </is>
      </c>
      <c r="D46" s="17" t="inlineStr">
        <is>
          <t>报告披露值／统计口径数据</t>
        </is>
      </c>
      <c r="E46" s="17" t="inlineStr">
        <is>
          <t>依据原文表述，见来源</t>
        </is>
      </c>
      <c r="F46" s="17" t="inlineStr">
        <is>
          <t>—</t>
        </is>
      </c>
      <c r="G46" s="17" t="n"/>
    </row>
    <row r="47">
      <c r="A47" s="14" t="inlineStr">
        <is>
          <t>进口与外盘价格</t>
        </is>
      </c>
      <c r="B47" s="14" t="inlineStr">
        <is>
          <t>10 月进口数据</t>
        </is>
      </c>
      <c r="C47" s="27" t="inlineStr">
        <is>
          <t>E4</t>
        </is>
      </c>
      <c r="D47" s="14" t="inlineStr">
        <is>
          <t>报告披露值／统计口径数据</t>
        </is>
      </c>
      <c r="E47" s="14" t="inlineStr">
        <is>
          <t>见来源原文</t>
        </is>
      </c>
      <c r="F47" s="14" t="inlineStr">
        <is>
          <t>—</t>
        </is>
      </c>
      <c r="G47" s="14" t="n"/>
    </row>
    <row r="48">
      <c r="A48" s="17" t="inlineStr">
        <is>
          <t>港口·企业库存</t>
        </is>
      </c>
      <c r="B48" s="17" t="inlineStr">
        <is>
          <t>华东港口甲醇库存（万吨，连续序列）</t>
        </is>
      </c>
      <c r="C48" s="17" t="inlineStr">
        <is>
          <t>E4</t>
        </is>
      </c>
      <c r="D48" s="17" t="inlineStr">
        <is>
          <t>报告披露值／统计口径数据</t>
        </is>
      </c>
      <c r="E48" s="17" t="inlineStr">
        <is>
          <t>依据原文表述，见来源</t>
        </is>
      </c>
      <c r="F48" s="17" t="inlineStr">
        <is>
          <t>—</t>
        </is>
      </c>
      <c r="G48" s="17" t="n"/>
    </row>
    <row r="49">
      <c r="A49" s="14" t="inlineStr">
        <is>
          <t>下游需求（MTO 与聚烯烃）</t>
        </is>
      </c>
      <c r="B49" s="14" t="inlineStr">
        <is>
          <t>MTO 装置开工率 / MTO 利润（连续序列）</t>
        </is>
      </c>
      <c r="C49" s="27" t="inlineStr">
        <is>
          <t>E4</t>
        </is>
      </c>
      <c r="D49" s="14" t="inlineStr">
        <is>
          <t>报告披露值／统计口径数据</t>
        </is>
      </c>
      <c r="E49" s="14" t="inlineStr">
        <is>
          <t>见来源原文</t>
        </is>
      </c>
      <c r="F49" s="14" t="inlineStr">
        <is>
          <t>—</t>
        </is>
      </c>
      <c r="G49" s="14" t="n"/>
    </row>
    <row r="50">
      <c r="A50" s="17" t="inlineStr">
        <is>
          <t>下游需求（MTO 与聚烯烃）</t>
        </is>
      </c>
      <c r="B50" s="17" t="inlineStr">
        <is>
          <t>醋酸、MTBE、甲醛等其他下游价格</t>
        </is>
      </c>
      <c r="C50" s="17" t="inlineStr">
        <is>
          <t>E4</t>
        </is>
      </c>
      <c r="D50" s="17" t="inlineStr">
        <is>
          <t>报告披露值／统计口径数据</t>
        </is>
      </c>
      <c r="E50" s="17" t="inlineStr">
        <is>
          <t>见来源原文</t>
        </is>
      </c>
      <c r="F50" s="25" t="inlineStr">
        <is>
          <t>https://www.100ppi.com/forecast/detail-20261016-208613.html</t>
        </is>
      </c>
      <c r="G50" s="17" t="n"/>
    </row>
    <row r="51">
      <c r="A51" s="14" t="inlineStr">
        <is>
          <t>政策·事故·地缘与突发事件</t>
        </is>
      </c>
      <c r="B51" s="14" t="inlineStr">
        <is>
          <t>国内政策（关税／限产／储备）</t>
        </is>
      </c>
      <c r="C51" s="27" t="inlineStr">
        <is>
          <t>E4</t>
        </is>
      </c>
      <c r="D51" s="14" t="inlineStr">
        <is>
          <t>报告披露值／统计口径数据</t>
        </is>
      </c>
      <c r="E51" s="14" t="inlineStr">
        <is>
          <t>见来源原文</t>
        </is>
      </c>
      <c r="F51" s="14" t="inlineStr">
        <is>
          <t>—</t>
        </is>
      </c>
      <c r="G51" s="14" t="n"/>
    </row>
    <row r="52">
      <c r="A52" s="17" t="inlineStr">
        <is>
          <t>装置检修·停车·复产与开工率</t>
        </is>
      </c>
      <c r="B52" s="17" t="inlineStr">
        <is>
          <t>开工率变化与价格方向是否一致</t>
        </is>
      </c>
      <c r="C52" s="17" t="inlineStr">
        <is>
          <t>E4</t>
        </is>
      </c>
      <c r="D52" s="17" t="inlineStr">
        <is>
          <t>报告披露值／统计口径数据</t>
        </is>
      </c>
      <c r="E52" s="25" t="inlineStr">
        <is>
          <t>依据原文表述，见来源；该变化方向与现货上涨相反，不构成对本次行情的支持</t>
        </is>
      </c>
      <c r="F52" s="17" t="inlineStr">
        <is>
          <t>本文计算</t>
        </is>
      </c>
      <c r="G52" s="17" t="n"/>
    </row>
  </sheetData>
  <autoFilter ref="A4:G52"/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10" r:id="rId4"/>
    <hyperlink xmlns:r="http://schemas.openxmlformats.org/officeDocument/2006/relationships" ref="G13" r:id="rId5"/>
    <hyperlink xmlns:r="http://schemas.openxmlformats.org/officeDocument/2006/relationships" ref="G14" r:id="rId6"/>
    <hyperlink xmlns:r="http://schemas.openxmlformats.org/officeDocument/2006/relationships" ref="G15" r:id="rId7"/>
    <hyperlink xmlns:r="http://schemas.openxmlformats.org/officeDocument/2006/relationships" ref="G16" r:id="rId8"/>
    <hyperlink xmlns:r="http://schemas.openxmlformats.org/officeDocument/2006/relationships" ref="G17" r:id="rId9"/>
    <hyperlink xmlns:r="http://schemas.openxmlformats.org/officeDocument/2006/relationships" ref="G18" r:id="rId10"/>
    <hyperlink xmlns:r="http://schemas.openxmlformats.org/officeDocument/2006/relationships" ref="G19" r:id="rId11"/>
    <hyperlink xmlns:r="http://schemas.openxmlformats.org/officeDocument/2006/relationships" ref="G20" r:id="rId12"/>
    <hyperlink xmlns:r="http://schemas.openxmlformats.org/officeDocument/2006/relationships" ref="G27" r:id="rId13"/>
    <hyperlink xmlns:r="http://schemas.openxmlformats.org/officeDocument/2006/relationships" ref="G28" r:id="rId14"/>
    <hyperlink xmlns:r="http://schemas.openxmlformats.org/officeDocument/2006/relationships" ref="G29" r:id="rId15"/>
    <hyperlink xmlns:r="http://schemas.openxmlformats.org/officeDocument/2006/relationships" ref="G36" r:id="rId16"/>
    <hyperlink xmlns:r="http://schemas.openxmlformats.org/officeDocument/2006/relationships" ref="G37" r:id="rId17"/>
    <hyperlink xmlns:r="http://schemas.openxmlformats.org/officeDocument/2006/relationships" ref="G41" r:id="rId18"/>
    <hyperlink xmlns:r="http://schemas.openxmlformats.org/officeDocument/2006/relationships" ref="G42" r:id="rId19"/>
    <hyperlink xmlns:r="http://schemas.openxmlformats.org/officeDocument/2006/relationships" ref="G43" r:id="rId2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140"/>
    <outlinePr summaryBelow="1" summaryRight="1"/>
    <pageSetUpPr/>
  </sheetPr>
  <dimension ref="A1:F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46" customWidth="1" min="3" max="3"/>
    <col width="60" customWidth="1" min="4" max="4"/>
    <col width="60" customWidth="1" min="5" max="5"/>
    <col width="24" customWidth="1" min="6" max="6"/>
  </cols>
  <sheetData>
    <row r="1" ht="30" customHeight="1">
      <c r="A1" s="1" t="inlineStr">
        <is>
          <t>07 候选解释排序（含"它不能证明什么"）</t>
        </is>
      </c>
    </row>
    <row r="2" ht="28" customHeight="1">
      <c r="A2" s="2" t="inlineStr">
        <is>
          <t>排序分只用于排序，绝不等于"该因素解释了 X% 的涨跌"</t>
        </is>
      </c>
    </row>
    <row r="4" ht="30" customHeight="1">
      <c r="A4" s="7" t="inlineStr">
        <is>
          <t>排名</t>
        </is>
      </c>
      <c r="B4" s="7" t="inlineStr">
        <is>
          <t>等级</t>
        </is>
      </c>
      <c r="C4" s="7" t="inlineStr">
        <is>
          <t>候选解释</t>
        </is>
      </c>
      <c r="D4" s="7" t="inlineStr">
        <is>
          <t>支持它的证据</t>
        </is>
      </c>
      <c r="E4" s="7" t="inlineStr">
        <is>
          <t>它不能证明什么／反证</t>
        </is>
      </c>
      <c r="F4" s="7" t="inlineStr">
        <is>
          <t>是否可用于对外解释</t>
        </is>
      </c>
    </row>
    <row r="5" ht="110" customHeight="1">
      <c r="A5" s="14" t="n">
        <v>1</v>
      </c>
      <c r="B5" s="26" t="inlineStr">
        <is>
          <t>E2</t>
        </is>
      </c>
      <c r="C5" s="24" t="inlineStr">
        <is>
          <t>外生冲击经实物进口端传导（伊朗装置停车＋霍尔木兹航运受阻＋到港骤降），是国内现货主升浪的第一顺序驱动</t>
        </is>
      </c>
      <c r="D5" s="24" t="inlineStr">
        <is>
          <t>• 8/31、9/28、10/10 三次可引的伊朗装置停车披露，合计涉及 Sabalan 165 万吨/年、Kimiya 165 万吨/年、KPC 66 万吨/年
• 9/15 霍尔木兹油轮日租首次突破 100 万美元；9/17 中东装置降负、船期延误，货源转向印度/东南亚
• 9/17 周度到港仅 13—14 万吨，9 月全月预估 45—50 万吨（对比 7 月近 99 万吨）
• 9/21 海关口径：8 月进口 80.53 万吨，环比 −18.83%，1—8 月同比 −32.30%</t>
        </is>
      </c>
      <c r="E5" s="24" t="inlineStr">
        <is>
          <t>• **到港数据是“预估”，不是海关发布值**；9 月与 10 月海关数据在 10/19 前未发布，无法核实“骤降”的确切幅度
• 没有逐周华东港口库存序列，因此“低库存放大冲击”这一步只有事后定性表述，无法量化
• 外国装置停车与到中国货量之间存在 30—45 天的船期时滞，事件日期与到港减少不能一一对应</t>
        </is>
      </c>
      <c r="F5" s="14" t="inlineStr">
        <is>
          <t>谨慎可用（说明缺量化验证）</t>
        </is>
      </c>
    </row>
    <row r="6" ht="110" customHeight="1">
      <c r="A6" s="14" t="n">
        <v>2</v>
      </c>
      <c r="B6" s="23" t="inlineStr">
        <is>
          <t>E1</t>
        </is>
      </c>
      <c r="C6" s="24" t="inlineStr">
        <is>
          <t>煤炭成本抬升（秦皇岛 5500 动力煤 789→1029，+30.4%）提供了价格中枢与底部支撑</t>
        </is>
      </c>
      <c r="D6" s="24" t="inlineStr">
        <is>
          <t>• 窗口内煤价 +22.21%（6/30→10/19），在 2024 年 6 月以来自身上升历史中位于 99.9 分位（z=+1.88）
• 四个上行阶段中煤炭方向全部与现货同向
• 10/16 生意社周评明确“煤价延续高位震荡，对甲醇仍存支撑”</t>
        </is>
      </c>
      <c r="E6" s="24" t="inlineStr">
        <is>
          <t>• **方向一致 ≠ 数量匹配**：主升浪 P3 现货 +56.1%，煤价只 +13.2%
• 用的是秦皇岛港口价，不是内地坑口价；煤制甲醇成本主体在内蒙/宁夏坑口煤，港口的传导比例无法从公开数据确定
• 单耗 1.6—1.8 吨标煤/吨甲醇是行业经验区间，没拿到任何一家企业的企业级核验数据，因此**本报告不计算“煤制甲醇完全成本”，也不做成本线判断**</t>
        </is>
      </c>
      <c r="F6" s="14" t="inlineStr">
        <is>
          <t>可用（须同时说明局限）</t>
        </is>
      </c>
    </row>
    <row r="7" ht="110" customHeight="1">
      <c r="A7" s="14" t="n">
        <v>3</v>
      </c>
      <c r="B7" s="26" t="inlineStr">
        <is>
          <t>E2</t>
        </is>
      </c>
      <c r="C7" s="24" t="inlineStr">
        <is>
          <t>高价击穿外采型 MTO 利润，需求负反馈是 10 月回落的第一顺序原因</t>
        </is>
      </c>
      <c r="D7" s="24" t="inlineStr">
        <is>
          <t>• 10/14 沿海外采型 MTO（天津渤化、联泓格润二期、诚志）陆续停车降负，原因明确写为“甲醇高价、企业深度亏损”
• 10/16 周评：下游烯烃负反馈尤为明显，部分停工烯烃仍在外卖原料
• 10/12 起现货 −14.6%、MA2611 −5.7%，而同期煤价仍 +2.5%，价格与成本背离；现货单日重挫（10/13，−12.78%）早于 10/14 的 MTO 公告一天
• 10/12 起现货 −14.6%、MA2611 −13.0%，而同期煤价仍 +2.5%，价格与成本背离</t>
        </is>
      </c>
      <c r="E7" s="24" t="inlineStr">
        <is>
          <t>• **没有 MTO 装置开工率与 MTO 实时利润序列**，无法量化“深度亏损”到什么程度、降负多少万吨需求
• 未披露停车/降负装置的产能合计，无法换算成月度甲醇需求损失
• 事件（10/14）晚于盘面顶部（10/9）与现货单日暴跌（10/13），属于“事后确认”而非“提前预警”；因此不能用它解释下跌的**起点**，只能解释下跌的**延续**</t>
        </is>
      </c>
      <c r="F7" s="14" t="inlineStr">
        <is>
          <t>谨慎可用（说明缺量化验证）</t>
        </is>
      </c>
    </row>
    <row r="8" ht="110" customHeight="1">
      <c r="A8" s="14" t="n">
        <v>4</v>
      </c>
      <c r="B8" s="23" t="inlineStr">
        <is>
          <t>E1</t>
        </is>
      </c>
      <c r="C8" s="24" t="inlineStr">
        <is>
          <t>期现结构在顶部发生错位：基差在现货创新高之前先行见顶，随后收敛</t>
        </is>
      </c>
      <c r="D8" s="24" t="inlineStr">
        <is>
          <t>• 基差（现货−MA2611）：419.33（6/30）→ 86.83（8/28）→ 峰值 1264（9/29）→ 898.33（10/9 现货新高）→ 631.67（10/19），逐日可复算
• 基差率由 17.52% 升到 9/29 的 37.89%，再回落至 10/19 的 18.94%
• 月差 MA2611−MA2612 由 −22（6/30，Contango）转为 +119 元/吨（10/19，Back），区间最高 289（10/9）
• MA2611 与 MA2612 的持仓量在 10 月发生逆转：10/16 起 MA2612 持仓（277,581）反超 MA2611（229,182），说明主力已完成向远月迁移</t>
        </is>
      </c>
      <c r="E8" s="24" t="inlineStr">
        <is>
          <t>• 基差与月差都是**结果变量**，不是原因：基差高只说明“现货比盘面紧”，不能反推“基差高所以会涨或跌”
• 月差在区间内从 −22 到 289 的大幅摆动，既有真实近端紧张，也有换月与主力迁移的机械效应，两者无法从公开数据中完全分离
• 9/29—9/30 主连切换造成的名义价（9/30 主连 2972 vs MA2611 3384）意味着：**任何人用主连计算基差，都会在切换日得到 1613 元/吨这种失真值**；本报告一律用单一合约口径</t>
        </is>
      </c>
      <c r="F8" s="14" t="inlineStr">
        <is>
          <t>可用（须同时说明局限）</t>
        </is>
      </c>
    </row>
    <row r="9" ht="110" customHeight="1">
      <c r="A9" s="14" t="n">
        <v>5</v>
      </c>
      <c r="B9" s="27" t="inlineStr">
        <is>
          <t>E4</t>
        </is>
      </c>
      <c r="C9" s="14" t="inlineStr">
        <is>
          <t>国内装置检修导致的供给收缩解释了本轮上涨</t>
        </is>
      </c>
      <c r="D9" s="14" t="inlineStr">
        <is>
          <t>（无）</t>
        </is>
      </c>
      <c r="E9" s="24" t="inlineStr">
        <is>
          <t>• **方向相反**：9/21 周度开工率 83.8%，环比 +1.1pct，周产量 189.3 万吨，供给在增加；生意社当时自评“供应面偏利好”但评分仅 +1，且与开工率数据相矛盾
• 10/14 明确“内蒙古新奥达旗等多套前期检修装置 9 月底已陆续恢复”
• 9 月中旬检修（新疆新业、和宁化学、内蒙古国泰、神华西来峰、重庆卡贝乐）都是装置级披露，没有产能权重与损失量
• 结论：**该假说在本窗口不成立**，本地装置检修不构成主升浪的解释</t>
        </is>
      </c>
      <c r="F9" s="14" t="inlineStr">
        <is>
          <t>不可用（该假说不成立或无法检验）</t>
        </is>
      </c>
    </row>
    <row r="10" ht="110" customHeight="1">
      <c r="A10" s="14" t="n">
        <v>6</v>
      </c>
      <c r="B10" s="28" t="inlineStr">
        <is>
          <t>E3</t>
        </is>
      </c>
      <c r="C10" s="14" t="inlineStr">
        <is>
          <t>华东港口库存降至历史低位放大了价格弹性</t>
        </is>
      </c>
      <c r="D10" s="24" t="inlineStr">
        <is>
          <t>• 10/14 生意社复盘原文：“前期受中东地缘、伊朗甲醇出货锐减、港口库存历史低位推动大幅上涨”</t>
        </is>
      </c>
      <c r="E10" s="24" t="inlineStr">
        <is>
          <t>• **没有任何可供披露的华东港口库存数值**：卓创/隆众口径的周度港存是付费数据，公开渠道未取得任何一周的实测值
• “历史低位”是定性的形容词，无法判断是 30 万吨还是 15 万吨，也无法对齐到具体日期
• 本报告**拒绝**用“港存环比下降 XX 万吨”这类编造数字补位；该因素只能在“定性支持”一档出现</t>
        </is>
      </c>
      <c r="F10" s="14" t="inlineStr">
        <is>
          <t>不建议单独使用（仅可作背景）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140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20" customWidth="1" min="4" max="4"/>
    <col width="12" customWidth="1" min="5" max="5"/>
    <col width="14" customWidth="1" min="6" max="6"/>
    <col width="9" customWidth="1" min="7" max="7"/>
    <col width="46" customWidth="1" min="8" max="8"/>
  </cols>
  <sheetData>
    <row r="1" ht="30" customHeight="1">
      <c r="A1" s="1" t="inlineStr">
        <is>
          <t>08 来源与口径（六项口径：名称/规格/区域/含税/交货/单位）</t>
        </is>
      </c>
    </row>
    <row r="2" ht="28" customHeight="1">
      <c r="A2" s="2" t="inlineStr">
        <is>
          <t>每一行都必须能追到原始出处；口径不完整的数据不得进入结论</t>
        </is>
      </c>
    </row>
    <row r="4" ht="30" customHeight="1">
      <c r="A4" s="7" t="inlineStr">
        <is>
          <t>数据项</t>
        </is>
      </c>
      <c r="B4" s="7" t="inlineStr">
        <is>
          <t>名称</t>
        </is>
      </c>
      <c r="C4" s="7" t="inlineStr">
        <is>
          <t>规格</t>
        </is>
      </c>
      <c r="D4" s="7" t="inlineStr">
        <is>
          <t>区域</t>
        </is>
      </c>
      <c r="E4" s="7" t="inlineStr">
        <is>
          <t>含税/不含税</t>
        </is>
      </c>
      <c r="F4" s="7" t="inlineStr">
        <is>
          <t>交货方式</t>
        </is>
      </c>
      <c r="G4" s="7" t="inlineStr">
        <is>
          <t>单位</t>
        </is>
      </c>
      <c r="H4" s="7" t="inlineStr">
        <is>
          <t>来源与链接</t>
        </is>
      </c>
    </row>
    <row r="5">
      <c r="A5" s="14" t="inlineStr">
        <is>
          <t>现货价格</t>
        </is>
      </c>
      <c r="B5" s="14" t="inlineStr">
        <is>
          <t>华东甲醇现货（指数口径）</t>
        </is>
      </c>
      <c r="C5" s="14" t="inlineStr">
        <is>
          <t>国标一等品，现货参考价（甲醇指数）</t>
        </is>
      </c>
      <c r="D5" s="14" t="inlineStr">
        <is>
          <t>华东港口为主，指数口径覆盖全国主流产销区</t>
        </is>
      </c>
      <c r="E5" s="14" t="inlineStr">
        <is>
          <t>含税</t>
        </is>
      </c>
      <c r="F5" s="14" t="inlineStr">
        <is>
          <t>现汇／参考价</t>
        </is>
      </c>
      <c r="G5" s="14" t="inlineStr">
        <is>
          <t>元/吨</t>
        </is>
      </c>
      <c r="H5" s="24" t="inlineStr">
        <is>
          <t>生意社《M月D日生意社甲醇基准价为…元/吨》日更稿（每条附原文 URL，见 Excel『08_来源与口径』） https://me.100ppi.com/</t>
        </is>
      </c>
    </row>
    <row r="6">
      <c r="A6" s="17" t="inlineStr">
        <is>
          <t>期货价格</t>
        </is>
      </c>
      <c r="B6" s="17" t="inlineStr">
        <is>
          <t>郑商所甲醇主连（MA0）</t>
        </is>
      </c>
      <c r="C6" s="25" t="inlineStr">
        <is>
          <t>主连；主连在 9/29—9/30 由 MA2610 切换至 MA2701，9/30 主连收 2972 为无成交量的切换价（MA2611 同日 3384），跨切换日比较主连会失真，故基差/月差改用『持仓量最大合约』。</t>
        </is>
      </c>
      <c r="D6" s="17" t="inlineStr">
        <is>
          <t>郑商所</t>
        </is>
      </c>
      <c r="E6" s="17" t="inlineStr">
        <is>
          <t>不含税</t>
        </is>
      </c>
      <c r="F6" s="17" t="inlineStr">
        <is>
          <t>期货结算/收盘</t>
        </is>
      </c>
      <c r="G6" s="17" t="inlineStr">
        <is>
          <t>元/吨</t>
        </is>
      </c>
      <c r="H6" s="30" t="inlineStr">
        <is>
          <t>https://finance.sina.com.cn/futures/quotes/MA0.shtml</t>
        </is>
      </c>
    </row>
    <row r="7">
      <c r="A7" s="14" t="inlineStr">
        <is>
          <t>煤炭价格</t>
        </is>
      </c>
      <c r="B7" s="14" t="inlineStr">
        <is>
          <t>秦皇岛港 5500 大卡动力煤现货</t>
        </is>
      </c>
      <c r="C7" s="14" t="inlineStr">
        <is>
          <t>动力煤 5500 大卡</t>
        </is>
      </c>
      <c r="D7" s="14" t="inlineStr">
        <is>
          <t>秦皇岛港</t>
        </is>
      </c>
      <c r="E7" s="14" t="inlineStr">
        <is>
          <t>含税</t>
        </is>
      </c>
      <c r="F7" s="14" t="inlineStr">
        <is>
          <t>港口现货</t>
        </is>
      </c>
      <c r="G7" s="14" t="inlineStr">
        <is>
          <t>元/吨</t>
        </is>
      </c>
      <c r="H7" s="32" t="inlineStr">
        <is>
          <t>https://www.cctd.com.cn/</t>
        </is>
      </c>
    </row>
    <row r="8">
      <c r="A8" s="17" t="inlineStr">
        <is>
          <t>下游价格</t>
        </is>
      </c>
      <c r="B8" s="17" t="inlineStr">
        <is>
          <t>大商所聚丙烯主连 PP0</t>
        </is>
      </c>
      <c r="C8" s="17" t="inlineStr">
        <is>
          <t>PP 拉丝基准</t>
        </is>
      </c>
      <c r="D8" s="17" t="inlineStr">
        <is>
          <t>大连商品交易所</t>
        </is>
      </c>
      <c r="E8" s="17" t="inlineStr">
        <is>
          <t>不含税</t>
        </is>
      </c>
      <c r="F8" s="17" t="inlineStr">
        <is>
          <t>期货</t>
        </is>
      </c>
      <c r="G8" s="17" t="inlineStr">
        <is>
          <t>元/吨</t>
        </is>
      </c>
      <c r="H8" s="30" t="inlineStr">
        <is>
          <t>https://finance.sina.com.cn/futures/quotes/PP0.shtml</t>
        </is>
      </c>
    </row>
    <row r="9">
      <c r="A9" s="14" t="inlineStr">
        <is>
          <t>能源价格</t>
        </is>
      </c>
      <c r="B9" s="14" t="inlineStr">
        <is>
          <t>INE 原油主连 SC0</t>
        </is>
      </c>
      <c r="C9" s="14" t="inlineStr">
        <is>
          <t>中质含硫原油</t>
        </is>
      </c>
      <c r="D9" s="14" t="inlineStr">
        <is>
          <t>上海国际能源交易中心</t>
        </is>
      </c>
      <c r="E9" s="14" t="inlineStr">
        <is>
          <t>不含税</t>
        </is>
      </c>
      <c r="F9" s="14" t="inlineStr">
        <is>
          <t>期货</t>
        </is>
      </c>
      <c r="G9" s="14" t="inlineStr">
        <is>
          <t>元/桶</t>
        </is>
      </c>
      <c r="H9" s="29" t="inlineStr">
        <is>
          <t>https://finance.sina.com.cn/futures/quotes/SC0.shtml</t>
        </is>
      </c>
    </row>
    <row r="10">
      <c r="A10" s="17" t="inlineStr">
        <is>
          <t>事件与月度数据</t>
        </is>
      </c>
      <c r="B10" s="17" t="inlineStr">
        <is>
          <t>生意社 PriceSeek／周评／月度统计</t>
        </is>
      </c>
      <c r="C10" s="17" t="inlineStr">
        <is>
          <t>报告披露值</t>
        </is>
      </c>
      <c r="D10" s="17" t="inlineStr">
        <is>
          <t>全国/华东</t>
        </is>
      </c>
      <c r="E10" s="17" t="inlineStr">
        <is>
          <t>—</t>
        </is>
      </c>
      <c r="F10" s="17" t="inlineStr">
        <is>
          <t>—</t>
        </is>
      </c>
      <c r="G10" s="17" t="inlineStr">
        <is>
          <t>—</t>
        </is>
      </c>
      <c r="H10" s="31" t="inlineStr">
        <is>
          <t>https://www.100ppi.com/</t>
        </is>
      </c>
    </row>
    <row r="12">
      <c r="A12" s="33" t="inlineStr">
        <is>
          <t>口径注意事项（必须与结论一并陈述）</t>
        </is>
      </c>
    </row>
    <row r="13" ht="30" customHeight="1">
      <c r="A13" s="13" t="inlineStr">
        <is>
          <t>• 现货为生意社甲醇指数口径，不是单一库区出罐价；对外报价须改用当日实际库区成交价并注明批量与付款方式。</t>
        </is>
      </c>
    </row>
    <row r="14" ht="30" customHeight="1">
      <c r="A14" s="13" t="inlineStr">
        <is>
          <t>• 生意社"基准价"与"参考价"是两条同源发布链：直接同日匹配仅 5/64，平移 1 个交易日后 59/64；只能用于交叉核对录入错误，不能算作两个独立信息源。</t>
        </is>
      </c>
    </row>
    <row r="15" ht="30" customHeight="1">
      <c r="A15" s="13" t="inlineStr">
        <is>
          <t>• 期货主连在 9/29—9/30 由 MA2610 切换至 MA2701，切换日出现无成交量的名义价（9/30 主连 2972 vs MA2611 3384），故基差与月差一律用"当日持仓量最大合约"。</t>
        </is>
      </c>
    </row>
    <row r="16" ht="30" customHeight="1">
      <c r="A16" s="13" t="inlineStr">
        <is>
          <t>• 煤制甲醇单耗 1.6—1.8 吨标煤/吨为行业经验区间，未取得企业级核验数据，故本工作簿不计算"煤制完全成本"，也不做成本线判断。</t>
        </is>
      </c>
    </row>
  </sheetData>
  <mergeCells count="6">
    <mergeCell ref="A15:H15"/>
    <mergeCell ref="A2:H2"/>
    <mergeCell ref="A16:H16"/>
    <mergeCell ref="A13:H13"/>
    <mergeCell ref="A14:H14"/>
    <mergeCell ref="A1:H1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140"/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0" customWidth="1" min="4" max="4"/>
    <col width="13" customWidth="1" min="5" max="5"/>
    <col width="11" customWidth="1" min="6" max="6"/>
    <col width="10" customWidth="1" min="7" max="7"/>
  </cols>
  <sheetData>
    <row r="1" ht="30" customHeight="1">
      <c r="A1" s="1" t="inlineStr">
        <is>
          <t>09 价格异动识别与阶段切分（可复算）</t>
        </is>
      </c>
    </row>
    <row r="2" ht="28" customHeight="1">
      <c r="A2" s="2" t="inlineStr">
        <is>
          <t>异动日 = |日收益 z|≥2.0 且 成交量为能 z≥1.5；阶段 = 摆动高低点法（最小反转 3%）</t>
        </is>
      </c>
    </row>
    <row r="4" ht="30" customHeight="1">
      <c r="A4" s="7" t="inlineStr">
        <is>
          <t>日期</t>
        </is>
      </c>
      <c r="B4" s="7" t="inlineStr">
        <is>
          <t>收盘</t>
        </is>
      </c>
      <c r="C4" s="7" t="inlineStr">
        <is>
          <t>日收益 %</t>
        </is>
      </c>
      <c r="D4" s="7" t="inlineStr">
        <is>
          <t>收益 z</t>
        </is>
      </c>
      <c r="E4" s="7" t="inlineStr">
        <is>
          <t>成交量</t>
        </is>
      </c>
      <c r="F4" s="7" t="inlineStr">
        <is>
          <t>成交量 z</t>
        </is>
      </c>
      <c r="G4" s="7" t="inlineStr">
        <is>
          <t>是否异动</t>
        </is>
      </c>
    </row>
    <row r="6">
      <c r="A6" s="34" t="inlineStr">
        <is>
          <t>价格阶段（摆动高低点法）</t>
        </is>
      </c>
    </row>
    <row r="7" ht="30" customHeight="1">
      <c r="A7" s="7" t="inlineStr">
        <is>
          <t>起</t>
        </is>
      </c>
      <c r="B7" s="7" t="inlineStr">
        <is>
          <t>止</t>
        </is>
      </c>
      <c r="C7" s="7" t="inlineStr">
        <is>
          <t>期初</t>
        </is>
      </c>
      <c r="D7" s="7" t="inlineStr">
        <is>
          <t>期末</t>
        </is>
      </c>
      <c r="E7" s="7" t="inlineStr">
        <is>
          <t>涨跌幅 %</t>
        </is>
      </c>
      <c r="F7" s="7" t="inlineStr">
        <is>
          <t>天数</t>
        </is>
      </c>
      <c r="G7" s="7" t="inlineStr">
        <is>
          <t>日波动率 %</t>
        </is>
      </c>
    </row>
    <row r="8">
      <c r="A8" t="inlineStr">
        <is>
          <t>2026-06-30</t>
        </is>
      </c>
      <c r="B8" t="inlineStr">
        <is>
          <t>2026-07-02</t>
        </is>
      </c>
      <c r="C8" t="n">
        <v>2428</v>
      </c>
      <c r="D8" t="n">
        <v>2347</v>
      </c>
      <c r="E8" s="35" t="n">
        <v>-3.3361</v>
      </c>
      <c r="F8" t="n">
        <v>3</v>
      </c>
      <c r="G8" s="35" t="n">
        <v>1.5424</v>
      </c>
    </row>
    <row r="9">
      <c r="A9" t="inlineStr">
        <is>
          <t>2026-07-02</t>
        </is>
      </c>
      <c r="B9" t="inlineStr">
        <is>
          <t>2026-07-20</t>
        </is>
      </c>
      <c r="C9" t="n">
        <v>2347</v>
      </c>
      <c r="D9" t="n">
        <v>2802</v>
      </c>
      <c r="E9" s="35" t="n">
        <v>19.3865</v>
      </c>
      <c r="F9" t="n">
        <v>13</v>
      </c>
      <c r="G9" s="35" t="n">
        <v>2.1749</v>
      </c>
    </row>
    <row r="10">
      <c r="A10" t="inlineStr">
        <is>
          <t>2026-07-20</t>
        </is>
      </c>
      <c r="B10" t="inlineStr">
        <is>
          <t>2026-08-06</t>
        </is>
      </c>
      <c r="C10" t="n">
        <v>2802</v>
      </c>
      <c r="D10" t="n">
        <v>2495</v>
      </c>
      <c r="E10" s="35" t="n">
        <v>-10.9565</v>
      </c>
      <c r="F10" t="n">
        <v>14</v>
      </c>
      <c r="G10" s="35" t="n">
        <v>1.8822</v>
      </c>
    </row>
    <row r="11">
      <c r="A11" t="inlineStr">
        <is>
          <t>2026-08-06</t>
        </is>
      </c>
      <c r="B11" t="inlineStr">
        <is>
          <t>2026-08-25</t>
        </is>
      </c>
      <c r="C11" t="n">
        <v>2495</v>
      </c>
      <c r="D11" t="n">
        <v>2925</v>
      </c>
      <c r="E11" s="35" t="n">
        <v>17.2345</v>
      </c>
      <c r="F11" t="n">
        <v>14</v>
      </c>
      <c r="G11" s="35" t="n">
        <v>1.2834</v>
      </c>
    </row>
    <row r="12">
      <c r="A12" t="inlineStr">
        <is>
          <t>2026-08-25</t>
        </is>
      </c>
      <c r="B12" t="inlineStr">
        <is>
          <t>2026-08-26</t>
        </is>
      </c>
      <c r="C12" t="n">
        <v>2925</v>
      </c>
      <c r="D12" t="n">
        <v>2769</v>
      </c>
      <c r="E12" s="35" t="n">
        <v>-5.3333</v>
      </c>
      <c r="F12" t="n">
        <v>2</v>
      </c>
    </row>
    <row r="13">
      <c r="A13" t="inlineStr">
        <is>
          <t>2026-08-26</t>
        </is>
      </c>
      <c r="B13" t="inlineStr">
        <is>
          <t>2026-09-10</t>
        </is>
      </c>
      <c r="C13" t="n">
        <v>2769</v>
      </c>
      <c r="D13" t="n">
        <v>3430</v>
      </c>
      <c r="E13" s="35" t="n">
        <v>23.8714</v>
      </c>
      <c r="F13" t="n">
        <v>12</v>
      </c>
      <c r="G13" s="35" t="n">
        <v>1.7915</v>
      </c>
    </row>
    <row r="14">
      <c r="A14" t="inlineStr">
        <is>
          <t>2026-09-10</t>
        </is>
      </c>
      <c r="B14" t="inlineStr">
        <is>
          <t>2026-09-23</t>
        </is>
      </c>
      <c r="C14" t="n">
        <v>3430</v>
      </c>
      <c r="D14" t="n">
        <v>2833</v>
      </c>
      <c r="E14" s="35" t="n">
        <v>-17.4052</v>
      </c>
      <c r="F14" t="n">
        <v>10</v>
      </c>
      <c r="G14" s="35" t="n">
        <v>3.8021</v>
      </c>
    </row>
    <row r="15">
      <c r="A15" t="inlineStr">
        <is>
          <t>2026-09-23</t>
        </is>
      </c>
      <c r="B15" t="inlineStr">
        <is>
          <t>2026-10-09</t>
        </is>
      </c>
      <c r="C15" t="n">
        <v>2833</v>
      </c>
      <c r="D15" t="n">
        <v>3338</v>
      </c>
      <c r="E15" s="35" t="n">
        <v>17.8256</v>
      </c>
      <c r="F15" t="n">
        <v>7</v>
      </c>
      <c r="G15" s="35" t="n">
        <v>2.9175</v>
      </c>
    </row>
    <row r="16">
      <c r="A16" t="inlineStr">
        <is>
          <t>2026-10-09</t>
        </is>
      </c>
      <c r="B16" t="inlineStr">
        <is>
          <t>2026-10-19</t>
        </is>
      </c>
      <c r="C16" t="n">
        <v>3338</v>
      </c>
      <c r="D16" t="n">
        <v>3143</v>
      </c>
      <c r="E16" s="35" t="n">
        <v>-5.8418</v>
      </c>
      <c r="F16" t="n">
        <v>7</v>
      </c>
      <c r="G16" s="35" t="n">
        <v>1.6519</v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140"/>
    <outlinePr summaryBelow="1" summaryRight="1"/>
    <pageSetUpPr/>
  </sheetPr>
  <dimension ref="A1:I8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6" customWidth="1" min="4" max="4"/>
    <col width="10" customWidth="1" min="5" max="5"/>
    <col width="13" customWidth="1" min="6" max="6"/>
    <col width="12" customWidth="1" min="7" max="7"/>
    <col width="11" customWidth="1" min="8" max="8"/>
    <col width="22" customWidth="1" min="9" max="9"/>
  </cols>
  <sheetData>
    <row r="1" ht="30" customHeight="1">
      <c r="A1" s="1" t="inlineStr">
        <is>
          <t>10 期现结构：基差与月差（逐日，单一合约口径）</t>
        </is>
      </c>
    </row>
    <row r="2" ht="28" customHeight="1">
      <c r="A2" s="2" t="inlineStr">
        <is>
          <t>基差=现货−MA2611（同一合约全期可比，避免主连换月造成假跳变）；月差=MA2611−MA2612（同一对合约）</t>
        </is>
      </c>
    </row>
    <row r="4" ht="30" customHeight="1">
      <c r="A4" s="7" t="inlineStr">
        <is>
          <t>日期</t>
        </is>
      </c>
      <c r="B4" s="7" t="inlineStr">
        <is>
          <t>现货</t>
        </is>
      </c>
      <c r="C4" s="7" t="inlineStr">
        <is>
          <t>MA2611 收盘</t>
        </is>
      </c>
      <c r="D4" s="7" t="inlineStr">
        <is>
          <t>基差（现货−MA2611）</t>
        </is>
      </c>
      <c r="E4" s="7" t="inlineStr">
        <is>
          <t>基差率 %</t>
        </is>
      </c>
      <c r="F4" s="7" t="inlineStr">
        <is>
          <t>月差 MA2611−MA2612</t>
        </is>
      </c>
      <c r="G4" s="7" t="inlineStr">
        <is>
          <t>主力合约</t>
        </is>
      </c>
      <c r="H4" s="7" t="inlineStr">
        <is>
          <t>主力收盘</t>
        </is>
      </c>
      <c r="I4" s="7" t="inlineStr">
        <is>
          <t>基差（现货−主力，仅观察）</t>
        </is>
      </c>
    </row>
    <row r="5">
      <c r="A5" s="14" t="inlineStr">
        <is>
          <t>2026-06-30</t>
        </is>
      </c>
      <c r="B5" s="15" t="n">
        <v>2813.33</v>
      </c>
      <c r="C5" s="15" t="n">
        <v>2394</v>
      </c>
      <c r="D5" s="15" t="n">
        <v>419.33</v>
      </c>
      <c r="E5" s="16" t="n">
        <v>17.51587301587302</v>
      </c>
      <c r="F5" s="15" t="n">
        <v>-22</v>
      </c>
      <c r="G5" s="14" t="inlineStr">
        <is>
          <t>MA2609</t>
        </is>
      </c>
      <c r="H5" s="15" t="n">
        <v>2428</v>
      </c>
      <c r="I5" s="15" t="n">
        <v>385.33</v>
      </c>
    </row>
    <row r="6">
      <c r="A6" s="17" t="inlineStr">
        <is>
          <t>2026-07-01</t>
        </is>
      </c>
      <c r="B6" s="18" t="n">
        <v>2771.67</v>
      </c>
      <c r="C6" s="18" t="n">
        <v>2344</v>
      </c>
      <c r="D6" s="18" t="n">
        <v>427.67</v>
      </c>
      <c r="E6" s="19" t="n">
        <v>18.2453071672355</v>
      </c>
      <c r="F6" s="18" t="n">
        <v>-23</v>
      </c>
      <c r="G6" s="17" t="inlineStr">
        <is>
          <t>MA2609</t>
        </is>
      </c>
      <c r="H6" s="18" t="n">
        <v>2350</v>
      </c>
      <c r="I6" s="18" t="n">
        <v>421.67</v>
      </c>
    </row>
    <row r="7">
      <c r="A7" s="14" t="inlineStr">
        <is>
          <t>2026-07-02</t>
        </is>
      </c>
      <c r="B7" s="15" t="n">
        <v>2593.33</v>
      </c>
      <c r="C7" s="15" t="n">
        <v>2340</v>
      </c>
      <c r="D7" s="15" t="n">
        <v>253.33</v>
      </c>
      <c r="E7" s="16" t="n">
        <v>10.82606837606838</v>
      </c>
      <c r="F7" s="15" t="n">
        <v>-19</v>
      </c>
      <c r="G7" s="14" t="inlineStr">
        <is>
          <t>MA2609</t>
        </is>
      </c>
      <c r="H7" s="15" t="n">
        <v>2347</v>
      </c>
      <c r="I7" s="15" t="n">
        <v>246.33</v>
      </c>
    </row>
    <row r="8">
      <c r="A8" s="17" t="inlineStr">
        <is>
          <t>2026-07-03</t>
        </is>
      </c>
      <c r="B8" s="18" t="n">
        <v>2545.83</v>
      </c>
      <c r="C8" s="18" t="n">
        <v>2365</v>
      </c>
      <c r="D8" s="18" t="n">
        <v>180.83</v>
      </c>
      <c r="E8" s="19" t="n">
        <v>7.646088794926005</v>
      </c>
      <c r="F8" s="18" t="n">
        <v>-17</v>
      </c>
      <c r="G8" s="17" t="inlineStr">
        <is>
          <t>MA2609</t>
        </is>
      </c>
      <c r="H8" s="18" t="n">
        <v>2377</v>
      </c>
      <c r="I8" s="18" t="n">
        <v>168.83</v>
      </c>
    </row>
    <row r="9">
      <c r="A9" s="14" t="inlineStr">
        <is>
          <t>2026-07-06</t>
        </is>
      </c>
      <c r="B9" s="15" t="n">
        <v>2518.33</v>
      </c>
      <c r="C9" s="15" t="n">
        <v>2360</v>
      </c>
      <c r="D9" s="15" t="n">
        <v>158.33</v>
      </c>
      <c r="E9" s="16" t="n">
        <v>6.708898305084745</v>
      </c>
      <c r="F9" s="15" t="n">
        <v>-17</v>
      </c>
      <c r="G9" s="14" t="inlineStr">
        <is>
          <t>MA2609</t>
        </is>
      </c>
      <c r="H9" s="15" t="n">
        <v>2363</v>
      </c>
      <c r="I9" s="15" t="n">
        <v>155.33</v>
      </c>
    </row>
    <row r="10">
      <c r="A10" s="17" t="inlineStr">
        <is>
          <t>2026-07-07</t>
        </is>
      </c>
      <c r="B10" s="18" t="n">
        <v>2529.17</v>
      </c>
      <c r="C10" s="18" t="n">
        <v>2405</v>
      </c>
      <c r="D10" s="18" t="n">
        <v>124.17</v>
      </c>
      <c r="E10" s="19" t="n">
        <v>5.162993762993763</v>
      </c>
      <c r="F10" s="18" t="n">
        <v>-15</v>
      </c>
      <c r="G10" s="17" t="inlineStr">
        <is>
          <t>MA2609</t>
        </is>
      </c>
      <c r="H10" s="18" t="n">
        <v>2404</v>
      </c>
      <c r="I10" s="18" t="n">
        <v>125.17</v>
      </c>
    </row>
    <row r="11">
      <c r="A11" s="14" t="inlineStr">
        <is>
          <t>2026-07-08</t>
        </is>
      </c>
      <c r="B11" s="15" t="n">
        <v>2534.17</v>
      </c>
      <c r="C11" s="15" t="n">
        <v>2484</v>
      </c>
      <c r="D11" s="15" t="n">
        <v>50.17</v>
      </c>
      <c r="E11" s="16" t="n">
        <v>2.019726247987117</v>
      </c>
      <c r="F11" s="15" t="n">
        <v>-3</v>
      </c>
      <c r="G11" s="14" t="inlineStr">
        <is>
          <t>MA2609</t>
        </is>
      </c>
      <c r="H11" s="15" t="n">
        <v>2488</v>
      </c>
      <c r="I11" s="15" t="n">
        <v>46.17</v>
      </c>
    </row>
    <row r="12">
      <c r="A12" s="17" t="inlineStr">
        <is>
          <t>2026-07-09</t>
        </is>
      </c>
      <c r="B12" s="18" t="n">
        <v>2620</v>
      </c>
      <c r="C12" s="18" t="n">
        <v>2469</v>
      </c>
      <c r="D12" s="18" t="n">
        <v>151</v>
      </c>
      <c r="E12" s="19" t="n">
        <v>6.115836371000405</v>
      </c>
      <c r="F12" s="18" t="n">
        <v>-1</v>
      </c>
      <c r="G12" s="17" t="inlineStr">
        <is>
          <t>MA2609</t>
        </is>
      </c>
      <c r="H12" s="18" t="n">
        <v>2488</v>
      </c>
      <c r="I12" s="18" t="n">
        <v>132</v>
      </c>
    </row>
    <row r="13">
      <c r="A13" s="14" t="inlineStr">
        <is>
          <t>2026-07-10</t>
        </is>
      </c>
      <c r="B13" s="15" t="n">
        <v>2650</v>
      </c>
      <c r="C13" s="15" t="n">
        <v>2466</v>
      </c>
      <c r="D13" s="15" t="n">
        <v>184</v>
      </c>
      <c r="E13" s="16" t="n">
        <v>7.461476074614761</v>
      </c>
      <c r="F13" s="15" t="n">
        <v>-5</v>
      </c>
      <c r="G13" s="14" t="inlineStr">
        <is>
          <t>MA2609</t>
        </is>
      </c>
      <c r="H13" s="15" t="n">
        <v>2480</v>
      </c>
      <c r="I13" s="15" t="n">
        <v>170</v>
      </c>
    </row>
    <row r="14">
      <c r="A14" s="17" t="inlineStr">
        <is>
          <t>2026-07-13</t>
        </is>
      </c>
      <c r="B14" s="18" t="n">
        <v>2613.33</v>
      </c>
      <c r="C14" s="18" t="n">
        <v>2504</v>
      </c>
      <c r="D14" s="18" t="n">
        <v>109.33</v>
      </c>
      <c r="E14" s="19" t="n">
        <v>4.366214057507987</v>
      </c>
      <c r="F14" s="18" t="n">
        <v>2</v>
      </c>
      <c r="G14" s="17" t="inlineStr">
        <is>
          <t>MA2609</t>
        </is>
      </c>
      <c r="H14" s="18" t="n">
        <v>2516</v>
      </c>
      <c r="I14" s="18" t="n">
        <v>97.33</v>
      </c>
    </row>
    <row r="15">
      <c r="A15" s="14" t="inlineStr">
        <is>
          <t>2026-07-14</t>
        </is>
      </c>
      <c r="B15" s="15" t="n">
        <v>2640</v>
      </c>
      <c r="C15" s="15" t="n">
        <v>2597</v>
      </c>
      <c r="D15" s="15" t="n">
        <v>43</v>
      </c>
      <c r="E15" s="16" t="n">
        <v>1.655756642279553</v>
      </c>
      <c r="F15" s="15" t="n">
        <v>13</v>
      </c>
      <c r="G15" s="14" t="inlineStr">
        <is>
          <t>MA2609</t>
        </is>
      </c>
      <c r="H15" s="15" t="n">
        <v>2632</v>
      </c>
      <c r="I15" s="15" t="n">
        <v>8</v>
      </c>
    </row>
    <row r="16">
      <c r="A16" s="17" t="inlineStr">
        <is>
          <t>2026-07-15</t>
        </is>
      </c>
      <c r="B16" s="18" t="n">
        <v>2741.67</v>
      </c>
      <c r="C16" s="18" t="n">
        <v>2610</v>
      </c>
      <c r="D16" s="18" t="n">
        <v>131.67</v>
      </c>
      <c r="E16" s="19" t="n">
        <v>5.044827586206896</v>
      </c>
      <c r="F16" s="18" t="n">
        <v>11</v>
      </c>
      <c r="G16" s="17" t="inlineStr">
        <is>
          <t>MA2609</t>
        </is>
      </c>
      <c r="H16" s="18" t="n">
        <v>2648</v>
      </c>
      <c r="I16" s="18" t="n">
        <v>93.67</v>
      </c>
    </row>
    <row r="17">
      <c r="A17" s="14" t="inlineStr">
        <is>
          <t>2026-07-16</t>
        </is>
      </c>
      <c r="B17" s="15" t="n">
        <v>2696.67</v>
      </c>
      <c r="C17" s="15" t="n">
        <v>2602</v>
      </c>
      <c r="D17" s="15" t="n">
        <v>94.67</v>
      </c>
      <c r="E17" s="16" t="n">
        <v>3.638355111452729</v>
      </c>
      <c r="F17" s="15" t="n">
        <v>6</v>
      </c>
      <c r="G17" s="14" t="inlineStr">
        <is>
          <t>MA2609</t>
        </is>
      </c>
      <c r="H17" s="15" t="n">
        <v>2633</v>
      </c>
      <c r="I17" s="15" t="n">
        <v>63.67</v>
      </c>
    </row>
    <row r="18">
      <c r="A18" s="17" t="inlineStr">
        <is>
          <t>2026-07-17</t>
        </is>
      </c>
      <c r="B18" s="18" t="n">
        <v>2656.67</v>
      </c>
      <c r="C18" s="18" t="n">
        <v>2600</v>
      </c>
      <c r="D18" s="18" t="n">
        <v>56.67</v>
      </c>
      <c r="E18" s="19" t="n">
        <v>2.179615384615385</v>
      </c>
      <c r="F18" s="18" t="n">
        <v>10</v>
      </c>
      <c r="G18" s="17" t="inlineStr">
        <is>
          <t>MA2609</t>
        </is>
      </c>
      <c r="H18" s="18" t="n">
        <v>2630</v>
      </c>
      <c r="I18" s="18" t="n">
        <v>26.67</v>
      </c>
    </row>
    <row r="19">
      <c r="A19" s="14" t="inlineStr">
        <is>
          <t>2026-07-20</t>
        </is>
      </c>
      <c r="B19" s="15" t="n">
        <v>2638.33</v>
      </c>
      <c r="C19" s="15" t="n">
        <v>2763</v>
      </c>
      <c r="D19" s="15" t="n">
        <v>-124.67</v>
      </c>
      <c r="E19" s="16" t="n">
        <v>-4.512124502352515</v>
      </c>
      <c r="F19" s="15" t="n">
        <v>20</v>
      </c>
      <c r="G19" s="14" t="inlineStr">
        <is>
          <t>MA2609</t>
        </is>
      </c>
      <c r="H19" s="15" t="n">
        <v>2802</v>
      </c>
      <c r="I19" s="15" t="n">
        <v>-163.67</v>
      </c>
    </row>
    <row r="20">
      <c r="A20" s="17" t="inlineStr">
        <is>
          <t>2026-07-21</t>
        </is>
      </c>
      <c r="B20" s="18" t="n">
        <v>2790</v>
      </c>
      <c r="C20" s="18" t="n">
        <v>2683</v>
      </c>
      <c r="D20" s="18" t="n">
        <v>107</v>
      </c>
      <c r="E20" s="19" t="n">
        <v>3.988073052553112</v>
      </c>
      <c r="F20" s="18" t="n">
        <v>19</v>
      </c>
      <c r="G20" s="17" t="inlineStr">
        <is>
          <t>MA2609</t>
        </is>
      </c>
      <c r="H20" s="18" t="n">
        <v>2707</v>
      </c>
      <c r="I20" s="18" t="n">
        <v>83</v>
      </c>
    </row>
    <row r="21">
      <c r="A21" s="14" t="inlineStr">
        <is>
          <t>2026-07-22</t>
        </is>
      </c>
      <c r="B21" s="15" t="n">
        <v>2706.67</v>
      </c>
      <c r="C21" s="15" t="n">
        <v>2697</v>
      </c>
      <c r="D21" s="15" t="n">
        <v>9.67</v>
      </c>
      <c r="E21" s="16" t="n">
        <v>0.3585465331850204</v>
      </c>
      <c r="F21" s="15" t="n">
        <v>14</v>
      </c>
      <c r="G21" s="14" t="inlineStr">
        <is>
          <t>MA2609</t>
        </is>
      </c>
      <c r="H21" s="15" t="n">
        <v>2718</v>
      </c>
      <c r="I21" s="15" t="n">
        <v>-11.33</v>
      </c>
    </row>
    <row r="22">
      <c r="A22" s="17" t="inlineStr">
        <is>
          <t>2026-07-23</t>
        </is>
      </c>
      <c r="B22" s="18" t="n">
        <v>2718.33</v>
      </c>
      <c r="C22" s="18" t="n">
        <v>2735</v>
      </c>
      <c r="D22" s="18" t="n">
        <v>-16.67</v>
      </c>
      <c r="E22" s="19" t="n">
        <v>-0.6095063985374771</v>
      </c>
      <c r="F22" s="18" t="n">
        <v>13</v>
      </c>
      <c r="G22" s="17" t="inlineStr">
        <is>
          <t>MA2609</t>
        </is>
      </c>
      <c r="H22" s="18" t="n">
        <v>2756</v>
      </c>
      <c r="I22" s="18" t="n">
        <v>-37.67</v>
      </c>
    </row>
    <row r="23">
      <c r="A23" s="14" t="inlineStr">
        <is>
          <t>2026-07-24</t>
        </is>
      </c>
      <c r="B23" s="15" t="n">
        <v>2750</v>
      </c>
      <c r="C23" s="15" t="n">
        <v>2732</v>
      </c>
      <c r="D23" s="15" t="n">
        <v>18</v>
      </c>
      <c r="E23" s="16" t="n">
        <v>0.6588579795021963</v>
      </c>
      <c r="F23" s="15" t="n">
        <v>14</v>
      </c>
      <c r="G23" s="14" t="inlineStr">
        <is>
          <t>MA2609</t>
        </is>
      </c>
      <c r="H23" s="15" t="n">
        <v>2755</v>
      </c>
      <c r="I23" s="15" t="n">
        <v>-5</v>
      </c>
    </row>
    <row r="24">
      <c r="A24" s="17" t="inlineStr">
        <is>
          <t>2026-07-27</t>
        </is>
      </c>
      <c r="B24" s="18" t="n">
        <v>2753.33</v>
      </c>
      <c r="C24" s="18" t="n">
        <v>2589</v>
      </c>
      <c r="D24" s="18" t="n">
        <v>164.33</v>
      </c>
      <c r="E24" s="19" t="n">
        <v>6.347238315952105</v>
      </c>
      <c r="F24" s="18" t="n">
        <v>6</v>
      </c>
      <c r="G24" s="17" t="inlineStr">
        <is>
          <t>MA2609</t>
        </is>
      </c>
      <c r="H24" s="18" t="n">
        <v>2610</v>
      </c>
      <c r="I24" s="18" t="n">
        <v>143.33</v>
      </c>
    </row>
    <row r="25">
      <c r="A25" s="14" t="inlineStr">
        <is>
          <t>2026-07-28</t>
        </is>
      </c>
      <c r="B25" s="15" t="n">
        <v>2621.67</v>
      </c>
      <c r="C25" s="15" t="n">
        <v>2581</v>
      </c>
      <c r="D25" s="15" t="n">
        <v>40.67</v>
      </c>
      <c r="E25" s="16" t="n">
        <v>1.575745834947694</v>
      </c>
      <c r="F25" s="15" t="n">
        <v>3</v>
      </c>
      <c r="G25" s="14" t="inlineStr">
        <is>
          <t>MA2609</t>
        </is>
      </c>
      <c r="H25" s="15" t="n">
        <v>2601</v>
      </c>
      <c r="I25" s="15" t="n">
        <v>20.67</v>
      </c>
    </row>
    <row r="26">
      <c r="A26" s="17" t="inlineStr">
        <is>
          <t>2026-07-29</t>
        </is>
      </c>
      <c r="B26" s="18" t="n">
        <v>2613.33</v>
      </c>
      <c r="C26" s="18" t="n">
        <v>2626</v>
      </c>
      <c r="D26" s="18" t="n">
        <v>-12.67</v>
      </c>
      <c r="E26" s="19" t="n">
        <v>-0.4824828636709824</v>
      </c>
      <c r="F26" s="18" t="n">
        <v>8</v>
      </c>
      <c r="G26" s="17" t="inlineStr">
        <is>
          <t>MA2609</t>
        </is>
      </c>
      <c r="H26" s="18" t="n">
        <v>2649</v>
      </c>
      <c r="I26" s="18" t="n">
        <v>-35.67</v>
      </c>
    </row>
    <row r="27">
      <c r="A27" s="14" t="inlineStr">
        <is>
          <t>2026-07-30</t>
        </is>
      </c>
      <c r="B27" s="15" t="n">
        <v>2656.67</v>
      </c>
      <c r="C27" s="15" t="n">
        <v>2638</v>
      </c>
      <c r="D27" s="15" t="n">
        <v>18.67</v>
      </c>
      <c r="E27" s="16" t="n">
        <v>0.7077331311599697</v>
      </c>
      <c r="F27" s="15" t="n">
        <v>6</v>
      </c>
      <c r="G27" s="14" t="inlineStr">
        <is>
          <t>MA2609</t>
        </is>
      </c>
      <c r="H27" s="15" t="n">
        <v>2657</v>
      </c>
      <c r="I27" s="15" t="n">
        <v>-0.33</v>
      </c>
    </row>
    <row r="28">
      <c r="A28" s="17" t="inlineStr">
        <is>
          <t>2026-07-31</t>
        </is>
      </c>
      <c r="B28" s="18" t="n">
        <v>2665</v>
      </c>
      <c r="C28" s="18" t="n">
        <v>2596</v>
      </c>
      <c r="D28" s="18" t="n">
        <v>69</v>
      </c>
      <c r="E28" s="19" t="n">
        <v>2.657935285053929</v>
      </c>
      <c r="F28" s="18" t="n">
        <v>9</v>
      </c>
      <c r="G28" s="17" t="inlineStr">
        <is>
          <t>MA2609</t>
        </is>
      </c>
      <c r="H28" s="18" t="n">
        <v>2618</v>
      </c>
      <c r="I28" s="18" t="n">
        <v>47</v>
      </c>
    </row>
    <row r="29">
      <c r="A29" s="14" t="inlineStr">
        <is>
          <t>2026-08-03</t>
        </is>
      </c>
      <c r="B29" s="15" t="n">
        <v>2628.33</v>
      </c>
      <c r="C29" s="15" t="n">
        <v>2560</v>
      </c>
      <c r="D29" s="15" t="n">
        <v>68.33</v>
      </c>
      <c r="E29" s="16" t="n">
        <v>2.669140625</v>
      </c>
      <c r="F29" s="15" t="n">
        <v>12</v>
      </c>
      <c r="G29" s="14" t="inlineStr">
        <is>
          <t>MA2609</t>
        </is>
      </c>
      <c r="H29" s="15" t="n">
        <v>2594</v>
      </c>
      <c r="I29" s="15" t="n">
        <v>34.33</v>
      </c>
    </row>
    <row r="30">
      <c r="A30" s="17" t="inlineStr">
        <is>
          <t>2026-08-04</t>
        </is>
      </c>
      <c r="B30" s="18" t="n">
        <v>2620</v>
      </c>
      <c r="C30" s="18" t="n">
        <v>2564</v>
      </c>
      <c r="D30" s="18" t="n">
        <v>56</v>
      </c>
      <c r="E30" s="19" t="n">
        <v>2.18408736349454</v>
      </c>
      <c r="F30" s="18" t="n">
        <v>13</v>
      </c>
      <c r="G30" s="17" t="inlineStr">
        <is>
          <t>MA2609</t>
        </is>
      </c>
      <c r="H30" s="18" t="n">
        <v>2586</v>
      </c>
      <c r="I30" s="18" t="n">
        <v>34</v>
      </c>
    </row>
    <row r="31">
      <c r="A31" s="14" t="inlineStr">
        <is>
          <t>2026-08-05</t>
        </is>
      </c>
      <c r="B31" s="15" t="n">
        <v>2616.67</v>
      </c>
      <c r="C31" s="15" t="n">
        <v>2495</v>
      </c>
      <c r="D31" s="15" t="n">
        <v>121.67</v>
      </c>
      <c r="E31" s="16" t="n">
        <v>4.876553106212425</v>
      </c>
      <c r="F31" s="15" t="n">
        <v>10</v>
      </c>
      <c r="G31" s="14" t="inlineStr">
        <is>
          <t>MA2609</t>
        </is>
      </c>
      <c r="H31" s="15" t="n">
        <v>2517</v>
      </c>
      <c r="I31" s="15" t="n">
        <v>99.67</v>
      </c>
    </row>
    <row r="32">
      <c r="A32" s="17" t="inlineStr">
        <is>
          <t>2026-08-06</t>
        </is>
      </c>
      <c r="B32" s="18" t="n">
        <v>2565</v>
      </c>
      <c r="C32" s="18" t="n">
        <v>2461</v>
      </c>
      <c r="D32" s="18" t="n">
        <v>104</v>
      </c>
      <c r="E32" s="19" t="n">
        <v>4.225924420967086</v>
      </c>
      <c r="F32" s="18" t="n">
        <v>12</v>
      </c>
      <c r="G32" s="17" t="inlineStr">
        <is>
          <t>MA2610</t>
        </is>
      </c>
      <c r="H32" s="18" t="n">
        <v>2478</v>
      </c>
      <c r="I32" s="18" t="n">
        <v>87</v>
      </c>
    </row>
    <row r="33">
      <c r="A33" s="14" t="inlineStr">
        <is>
          <t>2026-08-07</t>
        </is>
      </c>
      <c r="B33" s="15" t="n">
        <v>2531.67</v>
      </c>
      <c r="C33" s="15" t="n">
        <v>2481</v>
      </c>
      <c r="D33" s="15" t="n">
        <v>50.67</v>
      </c>
      <c r="E33" s="16" t="n">
        <v>2.042321644498186</v>
      </c>
      <c r="F33" s="15" t="n">
        <v>12</v>
      </c>
      <c r="G33" s="14" t="inlineStr">
        <is>
          <t>MA2610</t>
        </is>
      </c>
      <c r="H33" s="15" t="n">
        <v>2500</v>
      </c>
      <c r="I33" s="15" t="n">
        <v>31.67</v>
      </c>
    </row>
    <row r="34">
      <c r="A34" s="17" t="inlineStr">
        <is>
          <t>2026-08-10</t>
        </is>
      </c>
      <c r="B34" s="18" t="n">
        <v>2560</v>
      </c>
      <c r="C34" s="18" t="n">
        <v>2509</v>
      </c>
      <c r="D34" s="18" t="n">
        <v>51</v>
      </c>
      <c r="E34" s="19" t="n">
        <v>2.032682343563172</v>
      </c>
      <c r="F34" s="18" t="n">
        <v>18</v>
      </c>
      <c r="G34" s="17" t="inlineStr">
        <is>
          <t>MA2610</t>
        </is>
      </c>
      <c r="H34" s="18" t="n">
        <v>2531</v>
      </c>
      <c r="I34" s="18" t="n">
        <v>29</v>
      </c>
    </row>
    <row r="35">
      <c r="A35" s="14" t="inlineStr">
        <is>
          <t>2026-08-11</t>
        </is>
      </c>
      <c r="B35" s="15" t="n">
        <v>2580</v>
      </c>
      <c r="C35" s="15" t="n">
        <v>2610</v>
      </c>
      <c r="D35" s="15" t="n">
        <v>-30</v>
      </c>
      <c r="E35" s="16" t="n">
        <v>-1.149425287356322</v>
      </c>
      <c r="F35" s="15" t="n">
        <v>21</v>
      </c>
      <c r="G35" s="14" t="inlineStr">
        <is>
          <t>MA2610</t>
        </is>
      </c>
      <c r="H35" s="15" t="n">
        <v>2633</v>
      </c>
      <c r="I35" s="15" t="n">
        <v>-53</v>
      </c>
    </row>
    <row r="36">
      <c r="A36" s="17" t="inlineStr">
        <is>
          <t>2026-08-12</t>
        </is>
      </c>
      <c r="B36" s="18" t="n">
        <v>2660</v>
      </c>
      <c r="C36" s="18" t="n">
        <v>2585</v>
      </c>
      <c r="D36" s="18" t="n">
        <v>75</v>
      </c>
      <c r="E36" s="19" t="n">
        <v>2.901353965183752</v>
      </c>
      <c r="F36" s="18" t="n">
        <v>19</v>
      </c>
      <c r="G36" s="17" t="inlineStr">
        <is>
          <t>MA2610</t>
        </is>
      </c>
      <c r="H36" s="18" t="n">
        <v>2607</v>
      </c>
      <c r="I36" s="18" t="n">
        <v>53</v>
      </c>
    </row>
    <row r="37">
      <c r="A37" s="14" t="inlineStr">
        <is>
          <t>2026-08-13</t>
        </is>
      </c>
      <c r="B37" s="15" t="n">
        <v>2645</v>
      </c>
      <c r="C37" s="15" t="n">
        <v>2617</v>
      </c>
      <c r="D37" s="15" t="n">
        <v>28</v>
      </c>
      <c r="E37" s="16" t="n">
        <v>1.069927397783722</v>
      </c>
      <c r="F37" s="15" t="n">
        <v>24</v>
      </c>
      <c r="G37" s="14" t="inlineStr">
        <is>
          <t>MA2610</t>
        </is>
      </c>
      <c r="H37" s="15" t="n">
        <v>2645</v>
      </c>
      <c r="I37" s="15" t="n">
        <v>0</v>
      </c>
    </row>
    <row r="38">
      <c r="A38" s="17" t="inlineStr">
        <is>
          <t>2026-08-14</t>
        </is>
      </c>
      <c r="B38" s="18" t="n">
        <v>2668.33</v>
      </c>
      <c r="C38" s="18" t="n">
        <v>2656</v>
      </c>
      <c r="D38" s="18" t="n">
        <v>12.33</v>
      </c>
      <c r="E38" s="19" t="n">
        <v>0.4642319277108434</v>
      </c>
      <c r="F38" s="18" t="n">
        <v>26</v>
      </c>
      <c r="G38" s="17" t="inlineStr">
        <is>
          <t>MA2610</t>
        </is>
      </c>
      <c r="H38" s="18" t="n">
        <v>2687</v>
      </c>
      <c r="I38" s="18" t="n">
        <v>-18.67</v>
      </c>
    </row>
    <row r="39">
      <c r="A39" s="14" t="inlineStr">
        <is>
          <t>2026-08-17</t>
        </is>
      </c>
      <c r="B39" s="15" t="n">
        <v>2712.5</v>
      </c>
      <c r="C39" s="15" t="n">
        <v>2699</v>
      </c>
      <c r="D39" s="15" t="n">
        <v>13.5</v>
      </c>
      <c r="E39" s="16" t="n">
        <v>0.5001852537977028</v>
      </c>
      <c r="F39" s="15" t="n">
        <v>32</v>
      </c>
      <c r="G39" s="14" t="inlineStr">
        <is>
          <t>MA2610</t>
        </is>
      </c>
      <c r="H39" s="15" t="n">
        <v>2735</v>
      </c>
      <c r="I39" s="15" t="n">
        <v>-22.5</v>
      </c>
    </row>
    <row r="40">
      <c r="A40" s="17" t="inlineStr">
        <is>
          <t>2026-08-18</t>
        </is>
      </c>
      <c r="B40" s="18" t="n">
        <v>2761.67</v>
      </c>
      <c r="C40" s="18" t="n">
        <v>2734</v>
      </c>
      <c r="D40" s="18" t="n">
        <v>27.67</v>
      </c>
      <c r="E40" s="19" t="n">
        <v>1.012070226773958</v>
      </c>
      <c r="F40" s="18" t="n">
        <v>31</v>
      </c>
      <c r="G40" s="17" t="inlineStr">
        <is>
          <t>MA2610</t>
        </is>
      </c>
      <c r="H40" s="18" t="n">
        <v>2776</v>
      </c>
      <c r="I40" s="18" t="n">
        <v>-14.33</v>
      </c>
    </row>
    <row r="41">
      <c r="A41" s="14" t="inlineStr">
        <is>
          <t>2026-08-19</t>
        </is>
      </c>
      <c r="B41" s="15" t="n">
        <v>2810</v>
      </c>
      <c r="C41" s="15" t="n">
        <v>2784</v>
      </c>
      <c r="D41" s="15" t="n">
        <v>26</v>
      </c>
      <c r="E41" s="16" t="n">
        <v>0.9339080459770116</v>
      </c>
      <c r="F41" s="15" t="n">
        <v>52</v>
      </c>
      <c r="G41" s="14" t="inlineStr">
        <is>
          <t>MA2610</t>
        </is>
      </c>
      <c r="H41" s="15" t="n">
        <v>2843</v>
      </c>
      <c r="I41" s="15" t="n">
        <v>-33</v>
      </c>
    </row>
    <row r="42">
      <c r="A42" s="17" t="inlineStr">
        <is>
          <t>2026-08-20</t>
        </is>
      </c>
      <c r="B42" s="18" t="n">
        <v>2880</v>
      </c>
      <c r="C42" s="18" t="n">
        <v>2774</v>
      </c>
      <c r="D42" s="18" t="n">
        <v>106</v>
      </c>
      <c r="E42" s="19" t="n">
        <v>3.821196827685652</v>
      </c>
      <c r="F42" s="18" t="n">
        <v>50</v>
      </c>
      <c r="G42" s="17" t="inlineStr">
        <is>
          <t>MA2610</t>
        </is>
      </c>
      <c r="H42" s="18" t="n">
        <v>2837</v>
      </c>
      <c r="I42" s="18" t="n">
        <v>43</v>
      </c>
    </row>
    <row r="43">
      <c r="A43" s="14" t="inlineStr">
        <is>
          <t>2026-08-21</t>
        </is>
      </c>
      <c r="B43" s="15" t="n">
        <v>2875.83</v>
      </c>
      <c r="C43" s="15" t="n">
        <v>2831</v>
      </c>
      <c r="D43" s="15" t="n">
        <v>44.83</v>
      </c>
      <c r="E43" s="16" t="n">
        <v>1.583539385376192</v>
      </c>
      <c r="F43" s="15" t="n">
        <v>52</v>
      </c>
      <c r="G43" s="14" t="inlineStr">
        <is>
          <t>MA2610</t>
        </is>
      </c>
      <c r="H43" s="15" t="n">
        <v>2909</v>
      </c>
      <c r="I43" s="15" t="n">
        <v>-33.17</v>
      </c>
    </row>
    <row r="44">
      <c r="A44" s="17" t="inlineStr">
        <is>
          <t>2026-08-24</t>
        </is>
      </c>
      <c r="B44" s="18" t="n">
        <v>2956.67</v>
      </c>
      <c r="C44" s="18" t="n">
        <v>2839</v>
      </c>
      <c r="D44" s="18" t="n">
        <v>117.67</v>
      </c>
      <c r="E44" s="19" t="n">
        <v>4.144769284959493</v>
      </c>
      <c r="F44" s="18" t="n">
        <v>60</v>
      </c>
      <c r="G44" s="17" t="inlineStr">
        <is>
          <t>MA2610</t>
        </is>
      </c>
      <c r="H44" s="18" t="n">
        <v>2914</v>
      </c>
      <c r="I44" s="18" t="n">
        <v>42.67</v>
      </c>
    </row>
    <row r="45">
      <c r="A45" s="14" t="inlineStr">
        <is>
          <t>2026-08-25</t>
        </is>
      </c>
      <c r="B45" s="15" t="n">
        <v>2983.33</v>
      </c>
      <c r="C45" s="15" t="n">
        <v>2848</v>
      </c>
      <c r="D45" s="15" t="n">
        <v>135.33</v>
      </c>
      <c r="E45" s="16" t="n">
        <v>4.751755617977529</v>
      </c>
      <c r="F45" s="15" t="n">
        <v>56</v>
      </c>
      <c r="G45" s="14" t="inlineStr">
        <is>
          <t>MA2610</t>
        </is>
      </c>
      <c r="H45" s="15" t="n">
        <v>2925</v>
      </c>
      <c r="I45" s="15" t="n">
        <v>58.33</v>
      </c>
    </row>
    <row r="46">
      <c r="A46" s="17" t="inlineStr">
        <is>
          <t>2026-08-26</t>
        </is>
      </c>
      <c r="B46" s="18" t="n">
        <v>2990</v>
      </c>
      <c r="C46" s="18" t="n">
        <v>2694</v>
      </c>
      <c r="D46" s="18" t="n">
        <v>296</v>
      </c>
      <c r="E46" s="19" t="n">
        <v>10.98737936154417</v>
      </c>
      <c r="F46" s="18" t="n">
        <v>52</v>
      </c>
      <c r="G46" s="17" t="inlineStr">
        <is>
          <t>MA2610</t>
        </is>
      </c>
      <c r="H46" s="18" t="n">
        <v>2769</v>
      </c>
      <c r="I46" s="18" t="n">
        <v>221</v>
      </c>
    </row>
    <row r="47">
      <c r="A47" s="14" t="inlineStr">
        <is>
          <t>2026-08-27</t>
        </is>
      </c>
      <c r="B47" s="15" t="n">
        <v>2846.67</v>
      </c>
      <c r="C47" s="15" t="n">
        <v>2710</v>
      </c>
      <c r="D47" s="15" t="n">
        <v>136.67</v>
      </c>
      <c r="E47" s="16" t="n">
        <v>5.043173431734317</v>
      </c>
      <c r="F47" s="15" t="n">
        <v>40</v>
      </c>
      <c r="G47" s="14" t="inlineStr">
        <is>
          <t>MA2610</t>
        </is>
      </c>
      <c r="H47" s="15" t="n">
        <v>2778</v>
      </c>
      <c r="I47" s="15" t="n">
        <v>68.67</v>
      </c>
    </row>
    <row r="48">
      <c r="A48" s="17" t="inlineStr">
        <is>
          <t>2026-08-28</t>
        </is>
      </c>
      <c r="B48" s="18" t="n">
        <v>2850.83</v>
      </c>
      <c r="C48" s="18" t="n">
        <v>2764</v>
      </c>
      <c r="D48" s="18" t="n">
        <v>86.83</v>
      </c>
      <c r="E48" s="19" t="n">
        <v>3.141461649782924</v>
      </c>
      <c r="F48" s="18" t="n">
        <v>41</v>
      </c>
      <c r="G48" s="17" t="inlineStr">
        <is>
          <t>MA2610</t>
        </is>
      </c>
      <c r="H48" s="18" t="n">
        <v>2840</v>
      </c>
      <c r="I48" s="18" t="n">
        <v>10.83</v>
      </c>
    </row>
    <row r="49">
      <c r="A49" s="14" t="inlineStr">
        <is>
          <t>2026-08-31</t>
        </is>
      </c>
      <c r="B49" s="15" t="n">
        <v>2921.67</v>
      </c>
      <c r="C49" s="15" t="n">
        <v>2903</v>
      </c>
      <c r="D49" s="15" t="n">
        <v>18.67</v>
      </c>
      <c r="E49" s="16" t="n">
        <v>0.6431277988287978</v>
      </c>
      <c r="F49" s="15" t="n">
        <v>48</v>
      </c>
      <c r="G49" s="14" t="inlineStr">
        <is>
          <t>MA2610</t>
        </is>
      </c>
      <c r="H49" s="15" t="n">
        <v>2983</v>
      </c>
      <c r="I49" s="15" t="n">
        <v>-61.33</v>
      </c>
    </row>
    <row r="50">
      <c r="A50" s="17" t="inlineStr">
        <is>
          <t>2026-09-01</t>
        </is>
      </c>
      <c r="B50" s="18" t="n">
        <v>3096.67</v>
      </c>
      <c r="C50" s="18" t="n">
        <v>2980</v>
      </c>
      <c r="D50" s="18" t="n">
        <v>116.67</v>
      </c>
      <c r="E50" s="19" t="n">
        <v>3.91510067114094</v>
      </c>
      <c r="F50" s="18" t="n">
        <v>71</v>
      </c>
      <c r="G50" s="17" t="inlineStr">
        <is>
          <t>MA2610</t>
        </is>
      </c>
      <c r="H50" s="18" t="n">
        <v>3069</v>
      </c>
      <c r="I50" s="18" t="n">
        <v>27.67</v>
      </c>
    </row>
    <row r="51">
      <c r="A51" s="14" t="inlineStr">
        <is>
          <t>2026-09-02</t>
        </is>
      </c>
      <c r="B51" s="15" t="n">
        <v>3250</v>
      </c>
      <c r="C51" s="15" t="n">
        <v>3070</v>
      </c>
      <c r="D51" s="15" t="n">
        <v>180</v>
      </c>
      <c r="E51" s="16" t="n">
        <v>5.863192182410423</v>
      </c>
      <c r="F51" s="15" t="n">
        <v>81</v>
      </c>
      <c r="G51" s="14" t="inlineStr">
        <is>
          <t>MA2610</t>
        </is>
      </c>
      <c r="H51" s="15" t="n">
        <v>3183</v>
      </c>
      <c r="I51" s="15" t="n">
        <v>67</v>
      </c>
    </row>
    <row r="52">
      <c r="A52" s="17" t="inlineStr">
        <is>
          <t>2026-09-03</t>
        </is>
      </c>
      <c r="B52" s="18" t="n">
        <v>3376.67</v>
      </c>
      <c r="C52" s="18" t="n">
        <v>2998</v>
      </c>
      <c r="D52" s="18" t="n">
        <v>378.67</v>
      </c>
      <c r="E52" s="19" t="n">
        <v>12.63075383589059</v>
      </c>
      <c r="F52" s="18" t="n">
        <v>94</v>
      </c>
      <c r="G52" s="17" t="inlineStr">
        <is>
          <t>MA2610</t>
        </is>
      </c>
      <c r="H52" s="18" t="n">
        <v>3158</v>
      </c>
      <c r="I52" s="18" t="n">
        <v>218.67</v>
      </c>
    </row>
    <row r="53">
      <c r="A53" s="14" t="inlineStr">
        <is>
          <t>2026-09-04</t>
        </is>
      </c>
      <c r="B53" s="15" t="n">
        <v>3349.17</v>
      </c>
      <c r="C53" s="15" t="n">
        <v>3030</v>
      </c>
      <c r="D53" s="15" t="n">
        <v>319.17</v>
      </c>
      <c r="E53" s="16" t="n">
        <v>10.53366336633663</v>
      </c>
      <c r="F53" s="15" t="n">
        <v>80</v>
      </c>
      <c r="G53" s="14" t="inlineStr">
        <is>
          <t>MA2610</t>
        </is>
      </c>
      <c r="H53" s="15" t="n">
        <v>3175</v>
      </c>
      <c r="I53" s="15" t="n">
        <v>174.17</v>
      </c>
    </row>
    <row r="54">
      <c r="A54" s="17" t="inlineStr">
        <is>
          <t>2026-09-07</t>
        </is>
      </c>
      <c r="B54" s="18" t="n">
        <v>3355.83</v>
      </c>
      <c r="C54" s="18" t="n">
        <v>3062</v>
      </c>
      <c r="D54" s="18" t="n">
        <v>293.83</v>
      </c>
      <c r="E54" s="19" t="n">
        <v>9.59601567602874</v>
      </c>
      <c r="F54" s="18" t="n">
        <v>78</v>
      </c>
      <c r="G54" s="17" t="inlineStr">
        <is>
          <t>MA2610</t>
        </is>
      </c>
      <c r="H54" s="18" t="n">
        <v>3212</v>
      </c>
      <c r="I54" s="18" t="n">
        <v>143.83</v>
      </c>
    </row>
    <row r="55">
      <c r="A55" s="14" t="inlineStr">
        <is>
          <t>2026-09-08</t>
        </is>
      </c>
      <c r="B55" s="15" t="n">
        <v>3390.83</v>
      </c>
      <c r="C55" s="15" t="n">
        <v>3166</v>
      </c>
      <c r="D55" s="15" t="n">
        <v>224.83</v>
      </c>
      <c r="E55" s="16" t="n">
        <v>7.101389766266583</v>
      </c>
      <c r="F55" s="15" t="n">
        <v>108</v>
      </c>
      <c r="G55" s="14" t="inlineStr">
        <is>
          <t>MA2610</t>
        </is>
      </c>
      <c r="H55" s="15" t="n">
        <v>3359</v>
      </c>
      <c r="I55" s="15" t="n">
        <v>31.83</v>
      </c>
    </row>
    <row r="56">
      <c r="A56" s="17" t="inlineStr">
        <is>
          <t>2026-09-09</t>
        </is>
      </c>
      <c r="B56" s="18" t="n">
        <v>3596.67</v>
      </c>
      <c r="C56" s="18" t="n">
        <v>3215</v>
      </c>
      <c r="D56" s="18" t="n">
        <v>381.67</v>
      </c>
      <c r="E56" s="19" t="n">
        <v>11.87153965785381</v>
      </c>
      <c r="F56" s="18" t="n">
        <v>119</v>
      </c>
      <c r="G56" s="17" t="inlineStr">
        <is>
          <t>MA2610</t>
        </is>
      </c>
      <c r="H56" s="18" t="n">
        <v>3411</v>
      </c>
      <c r="I56" s="18" t="n">
        <v>185.67</v>
      </c>
    </row>
    <row r="57">
      <c r="A57" s="14" t="inlineStr">
        <is>
          <t>2026-09-10</t>
        </is>
      </c>
      <c r="B57" s="15" t="n">
        <v>3706.67</v>
      </c>
      <c r="C57" s="15" t="n">
        <v>3261</v>
      </c>
      <c r="D57" s="15" t="n">
        <v>445.67</v>
      </c>
      <c r="E57" s="16" t="n">
        <v>13.66666666666667</v>
      </c>
      <c r="F57" s="15" t="n">
        <v>115</v>
      </c>
      <c r="G57" s="14" t="inlineStr">
        <is>
          <t>MA2701</t>
        </is>
      </c>
      <c r="H57" s="15" t="n">
        <v>3043</v>
      </c>
      <c r="I57" s="15" t="n">
        <v>663.67</v>
      </c>
    </row>
    <row r="58">
      <c r="A58" s="17" t="inlineStr">
        <is>
          <t>2026-09-11</t>
        </is>
      </c>
      <c r="B58" s="18" t="n">
        <v>3726.67</v>
      </c>
      <c r="C58" s="18" t="n">
        <v>3214</v>
      </c>
      <c r="D58" s="18" t="n">
        <v>512.67</v>
      </c>
      <c r="E58" s="19" t="n">
        <v>15.95115121344119</v>
      </c>
      <c r="F58" s="18" t="n">
        <v>107</v>
      </c>
      <c r="G58" s="17" t="inlineStr">
        <is>
          <t>MA2701</t>
        </is>
      </c>
      <c r="H58" s="18" t="n">
        <v>3016</v>
      </c>
      <c r="I58" s="18" t="n">
        <v>710.67</v>
      </c>
    </row>
    <row r="59">
      <c r="A59" s="14" t="inlineStr">
        <is>
          <t>2026-09-14</t>
        </is>
      </c>
      <c r="B59" s="15" t="n">
        <v>3686.67</v>
      </c>
      <c r="C59" s="15" t="n">
        <v>3246</v>
      </c>
      <c r="D59" s="15" t="n">
        <v>440.67</v>
      </c>
      <c r="E59" s="16" t="n">
        <v>13.57578558225508</v>
      </c>
      <c r="F59" s="15" t="n">
        <v>124</v>
      </c>
      <c r="G59" s="14" t="inlineStr">
        <is>
          <t>MA2701</t>
        </is>
      </c>
      <c r="H59" s="15" t="n">
        <v>3016</v>
      </c>
      <c r="I59" s="15" t="n">
        <v>670.67</v>
      </c>
    </row>
    <row r="60">
      <c r="A60" s="17" t="inlineStr">
        <is>
          <t>2026-09-15</t>
        </is>
      </c>
      <c r="B60" s="18" t="n">
        <v>3781.67</v>
      </c>
      <c r="C60" s="18" t="n">
        <v>3239</v>
      </c>
      <c r="D60" s="18" t="n">
        <v>542.67</v>
      </c>
      <c r="E60" s="19" t="n">
        <v>16.75424513738808</v>
      </c>
      <c r="F60" s="18" t="n">
        <v>121</v>
      </c>
      <c r="G60" s="17" t="inlineStr">
        <is>
          <t>MA2701</t>
        </is>
      </c>
      <c r="H60" s="18" t="n">
        <v>3016</v>
      </c>
      <c r="I60" s="18" t="n">
        <v>765.67</v>
      </c>
    </row>
    <row r="61">
      <c r="A61" s="14" t="inlineStr">
        <is>
          <t>2026-09-16</t>
        </is>
      </c>
      <c r="B61" s="15" t="n">
        <v>3820</v>
      </c>
      <c r="C61" s="15" t="n">
        <v>3318</v>
      </c>
      <c r="D61" s="15" t="n">
        <v>502</v>
      </c>
      <c r="E61" s="16" t="n">
        <v>15.12959614225437</v>
      </c>
      <c r="F61" s="15" t="n">
        <v>149</v>
      </c>
      <c r="G61" s="14" t="inlineStr">
        <is>
          <t>MA2701</t>
        </is>
      </c>
      <c r="H61" s="15" t="n">
        <v>3052</v>
      </c>
      <c r="I61" s="15" t="n">
        <v>768</v>
      </c>
    </row>
    <row r="62">
      <c r="A62" s="17" t="inlineStr">
        <is>
          <t>2026-09-17</t>
        </is>
      </c>
      <c r="B62" s="18" t="n">
        <v>4000</v>
      </c>
      <c r="C62" s="18" t="n">
        <v>3233</v>
      </c>
      <c r="D62" s="18" t="n">
        <v>767</v>
      </c>
      <c r="E62" s="19" t="n">
        <v>23.72409526755336</v>
      </c>
      <c r="F62" s="18" t="n">
        <v>132</v>
      </c>
      <c r="G62" s="17" t="inlineStr">
        <is>
          <t>MA2701</t>
        </is>
      </c>
      <c r="H62" s="18" t="n">
        <v>2995</v>
      </c>
      <c r="I62" s="18" t="n">
        <v>1005</v>
      </c>
    </row>
    <row r="63">
      <c r="A63" s="14" t="inlineStr">
        <is>
          <t>2026-09-18</t>
        </is>
      </c>
      <c r="B63" s="15" t="n">
        <v>4030</v>
      </c>
      <c r="C63" s="15" t="n">
        <v>3196</v>
      </c>
      <c r="D63" s="15" t="n">
        <v>834</v>
      </c>
      <c r="E63" s="16" t="n">
        <v>26.09511889862328</v>
      </c>
      <c r="F63" s="15" t="n">
        <v>138</v>
      </c>
      <c r="G63" s="14" t="inlineStr">
        <is>
          <t>MA2701</t>
        </is>
      </c>
      <c r="H63" s="15" t="n">
        <v>2952</v>
      </c>
      <c r="I63" s="15" t="n">
        <v>1078</v>
      </c>
    </row>
    <row r="64">
      <c r="A64" s="17" t="inlineStr">
        <is>
          <t>2026-09-21</t>
        </is>
      </c>
      <c r="B64" s="18" t="n">
        <v>4083.33</v>
      </c>
      <c r="C64" s="18" t="n">
        <v>3201</v>
      </c>
      <c r="D64" s="18" t="n">
        <v>882.33</v>
      </c>
      <c r="E64" s="19" t="n">
        <v>27.56419868791003</v>
      </c>
      <c r="F64" s="18" t="n">
        <v>150</v>
      </c>
      <c r="G64" s="17" t="inlineStr">
        <is>
          <t>MA2701</t>
        </is>
      </c>
      <c r="H64" s="18" t="n">
        <v>2942</v>
      </c>
      <c r="I64" s="18" t="n">
        <v>1141.33</v>
      </c>
    </row>
    <row r="65">
      <c r="A65" s="14" t="inlineStr">
        <is>
          <t>2026-09-22</t>
        </is>
      </c>
      <c r="B65" s="15" t="n">
        <v>4053.33</v>
      </c>
      <c r="C65" s="15" t="n">
        <v>3183</v>
      </c>
      <c r="D65" s="15" t="n">
        <v>870.33</v>
      </c>
      <c r="E65" s="16" t="n">
        <v>27.3430725730443</v>
      </c>
      <c r="F65" s="15" t="n">
        <v>148</v>
      </c>
      <c r="G65" s="14" t="inlineStr">
        <is>
          <t>MA2701</t>
        </is>
      </c>
      <c r="H65" s="15" t="n">
        <v>2944</v>
      </c>
      <c r="I65" s="15" t="n">
        <v>1109.33</v>
      </c>
    </row>
    <row r="66">
      <c r="A66" s="17" t="inlineStr">
        <is>
          <t>2026-09-23</t>
        </is>
      </c>
      <c r="B66" s="18" t="n">
        <v>4065</v>
      </c>
      <c r="C66" s="18" t="n">
        <v>3015</v>
      </c>
      <c r="D66" s="18" t="n">
        <v>1050</v>
      </c>
      <c r="E66" s="19" t="n">
        <v>34.82587064676617</v>
      </c>
      <c r="F66" s="18" t="n">
        <v>124</v>
      </c>
      <c r="G66" s="17" t="inlineStr">
        <is>
          <t>MA2701</t>
        </is>
      </c>
      <c r="H66" s="18" t="n">
        <v>2833</v>
      </c>
      <c r="I66" s="18" t="n">
        <v>1232</v>
      </c>
    </row>
    <row r="67">
      <c r="A67" s="14" t="inlineStr">
        <is>
          <t>2026-09-24</t>
        </is>
      </c>
      <c r="B67" s="15" t="n">
        <v>4016.67</v>
      </c>
      <c r="C67" s="15" t="n">
        <v>3191</v>
      </c>
      <c r="D67" s="15" t="n">
        <v>825.67</v>
      </c>
      <c r="E67" s="16" t="n">
        <v>25.87496082732685</v>
      </c>
      <c r="F67" s="15" t="n">
        <v>149</v>
      </c>
      <c r="G67" s="14" t="inlineStr">
        <is>
          <t>MA2701</t>
        </is>
      </c>
      <c r="H67" s="15" t="n">
        <v>2960</v>
      </c>
      <c r="I67" s="15" t="n">
        <v>1056.67</v>
      </c>
    </row>
    <row r="68">
      <c r="A68" s="17" t="inlineStr">
        <is>
          <t>2026-09-28</t>
        </is>
      </c>
      <c r="B68" s="18" t="n">
        <v>4443.33</v>
      </c>
      <c r="C68" s="18" t="n">
        <v>3249</v>
      </c>
      <c r="D68" s="18" t="n">
        <v>1194.33</v>
      </c>
      <c r="E68" s="19" t="n">
        <v>36.75992613111727</v>
      </c>
      <c r="F68" s="18" t="n">
        <v>189</v>
      </c>
      <c r="G68" s="17" t="inlineStr">
        <is>
          <t>MA2701</t>
        </is>
      </c>
      <c r="H68" s="18" t="n">
        <v>2941</v>
      </c>
      <c r="I68" s="18" t="n">
        <v>1502.33</v>
      </c>
    </row>
    <row r="69">
      <c r="A69" s="14" t="inlineStr">
        <is>
          <t>2026-09-29</t>
        </is>
      </c>
      <c r="B69" s="15" t="n">
        <v>4600</v>
      </c>
      <c r="C69" s="15" t="n">
        <v>3336</v>
      </c>
      <c r="D69" s="15" t="n">
        <v>1264</v>
      </c>
      <c r="E69" s="16" t="n">
        <v>37.88968824940048</v>
      </c>
      <c r="F69" s="15" t="n">
        <v>228</v>
      </c>
      <c r="G69" s="14" t="inlineStr">
        <is>
          <t>MA2701</t>
        </is>
      </c>
      <c r="H69" s="15" t="n">
        <v>2953</v>
      </c>
      <c r="I69" s="15" t="n">
        <v>1647</v>
      </c>
    </row>
    <row r="70">
      <c r="A70" s="17" t="inlineStr">
        <is>
          <t>2026-09-30</t>
        </is>
      </c>
      <c r="B70" s="18" t="n">
        <v>4585</v>
      </c>
      <c r="C70" s="18" t="n">
        <v>3384</v>
      </c>
      <c r="D70" s="18" t="n">
        <v>1201</v>
      </c>
      <c r="E70" s="19" t="n">
        <v>35.49054373522459</v>
      </c>
      <c r="F70" s="18" t="n">
        <v>256</v>
      </c>
      <c r="G70" s="17" t="inlineStr">
        <is>
          <t>MA2701</t>
        </is>
      </c>
      <c r="H70" s="18" t="n">
        <v>2972</v>
      </c>
      <c r="I70" s="18" t="n">
        <v>1613</v>
      </c>
    </row>
    <row r="71">
      <c r="A71" s="14" t="inlineStr">
        <is>
          <t>2026-10-08</t>
        </is>
      </c>
      <c r="B71" s="15" t="n">
        <v>4493.33</v>
      </c>
      <c r="C71" s="15" t="n">
        <v>3625</v>
      </c>
      <c r="D71" s="15" t="n">
        <v>868.33</v>
      </c>
      <c r="E71" s="16" t="n">
        <v>23.95393103448276</v>
      </c>
      <c r="F71" s="15" t="n">
        <v>250</v>
      </c>
      <c r="G71" s="14" t="inlineStr">
        <is>
          <t>MA2701</t>
        </is>
      </c>
      <c r="H71" s="15" t="n">
        <v>3200</v>
      </c>
      <c r="I71" s="15" t="n">
        <v>1293.33</v>
      </c>
    </row>
    <row r="72">
      <c r="A72" s="17" t="inlineStr">
        <is>
          <t>2026-10-09</t>
        </is>
      </c>
      <c r="B72" s="18" t="n">
        <v>4733.33</v>
      </c>
      <c r="C72" s="18" t="n">
        <v>3835</v>
      </c>
      <c r="D72" s="18" t="n">
        <v>898.33</v>
      </c>
      <c r="E72" s="19" t="n">
        <v>23.4245110821382</v>
      </c>
      <c r="F72" s="18" t="n">
        <v>289</v>
      </c>
      <c r="G72" s="17" t="inlineStr">
        <is>
          <t>MA2701</t>
        </is>
      </c>
      <c r="H72" s="18" t="n">
        <v>3338</v>
      </c>
      <c r="I72" s="18" t="n">
        <v>1395.33</v>
      </c>
    </row>
    <row r="73">
      <c r="A73" s="14" t="inlineStr">
        <is>
          <t>2026-10-12</t>
        </is>
      </c>
      <c r="B73" s="15" t="n">
        <v>4643.33</v>
      </c>
      <c r="C73" s="15" t="n">
        <v>3536</v>
      </c>
      <c r="D73" s="15" t="n">
        <v>1107.33</v>
      </c>
      <c r="E73" s="16" t="n">
        <v>31.31589366515837</v>
      </c>
      <c r="F73" s="15" t="n">
        <v>184</v>
      </c>
      <c r="G73" s="14" t="inlineStr">
        <is>
          <t>MA2701</t>
        </is>
      </c>
      <c r="H73" s="15" t="n">
        <v>3229</v>
      </c>
      <c r="I73" s="15" t="n">
        <v>1414.33</v>
      </c>
    </row>
    <row r="74">
      <c r="A74" s="17" t="inlineStr">
        <is>
          <t>2026-10-13</t>
        </is>
      </c>
      <c r="B74" s="18" t="n">
        <v>4050</v>
      </c>
      <c r="C74" s="18" t="n">
        <v>3453</v>
      </c>
      <c r="D74" s="18" t="n">
        <v>597</v>
      </c>
      <c r="E74" s="19" t="n">
        <v>17.28931364031277</v>
      </c>
      <c r="F74" s="18" t="n">
        <v>131</v>
      </c>
      <c r="G74" s="17" t="inlineStr">
        <is>
          <t>MA2701</t>
        </is>
      </c>
      <c r="H74" s="18" t="n">
        <v>3235</v>
      </c>
      <c r="I74" s="18" t="n">
        <v>815</v>
      </c>
    </row>
    <row r="75">
      <c r="A75" s="14" t="inlineStr">
        <is>
          <t>2026-10-14</t>
        </is>
      </c>
      <c r="B75" s="15" t="n">
        <v>3883.33</v>
      </c>
      <c r="C75" s="15" t="n">
        <v>3473</v>
      </c>
      <c r="D75" s="15" t="n">
        <v>410.33</v>
      </c>
      <c r="E75" s="16" t="n">
        <v>11.81485747192629</v>
      </c>
      <c r="F75" s="15" t="n">
        <v>122</v>
      </c>
      <c r="G75" s="14" t="inlineStr">
        <is>
          <t>MA2701</t>
        </is>
      </c>
      <c r="H75" s="15" t="n">
        <v>3262</v>
      </c>
      <c r="I75" s="15" t="n">
        <v>621.33</v>
      </c>
    </row>
    <row r="76">
      <c r="A76" s="17" t="inlineStr">
        <is>
          <t>2026-10-15</t>
        </is>
      </c>
      <c r="B76" s="18" t="n">
        <v>4000</v>
      </c>
      <c r="C76" s="18" t="n">
        <v>3354</v>
      </c>
      <c r="D76" s="18" t="n">
        <v>646</v>
      </c>
      <c r="E76" s="19" t="n">
        <v>19.26058437686345</v>
      </c>
      <c r="F76" s="18" t="n">
        <v>107</v>
      </c>
      <c r="G76" s="17" t="inlineStr">
        <is>
          <t>MA2701</t>
        </is>
      </c>
      <c r="H76" s="18" t="n">
        <v>3170</v>
      </c>
      <c r="I76" s="18" t="n">
        <v>830</v>
      </c>
    </row>
    <row r="77">
      <c r="A77" s="14" t="inlineStr">
        <is>
          <t>2026-10-16</t>
        </is>
      </c>
      <c r="B77" s="15" t="n">
        <v>3990</v>
      </c>
      <c r="C77" s="15" t="n">
        <v>3366</v>
      </c>
      <c r="D77" s="15" t="n">
        <v>624</v>
      </c>
      <c r="E77" s="16" t="n">
        <v>18.53832442067736</v>
      </c>
      <c r="F77" s="15" t="n">
        <v>100</v>
      </c>
      <c r="G77" s="14" t="inlineStr">
        <is>
          <t>MA2701</t>
        </is>
      </c>
      <c r="H77" s="15" t="n">
        <v>3192</v>
      </c>
      <c r="I77" s="15" t="n">
        <v>798</v>
      </c>
    </row>
    <row r="78">
      <c r="A78" s="17" t="inlineStr">
        <is>
          <t>2026-10-19</t>
        </is>
      </c>
      <c r="B78" s="18" t="n">
        <v>3966.67</v>
      </c>
      <c r="C78" s="18" t="n">
        <v>3335</v>
      </c>
      <c r="D78" s="18" t="n">
        <v>631.67</v>
      </c>
      <c r="E78" s="19" t="n">
        <v>18.94062968515742</v>
      </c>
      <c r="F78" s="18" t="n">
        <v>119</v>
      </c>
      <c r="G78" s="17" t="inlineStr">
        <is>
          <t>MA2701</t>
        </is>
      </c>
      <c r="H78" s="18" t="n">
        <v>3143</v>
      </c>
      <c r="I78" s="18" t="n">
        <v>823.67</v>
      </c>
    </row>
    <row r="80">
      <c r="A80" s="36" t="inlineStr">
        <is>
          <t>为什么不用"主连"算基差：主连在 9/29—9/30 由 MA2610 切换至 MA2701，9/30 主连报 2972（当日 MA2611 报 3384），</t>
        </is>
      </c>
    </row>
    <row r="81">
      <c r="A81" s="36" t="inlineStr">
        <is>
          <t>切换日基差会被算成 1613 元/吨，比真实值高约 400 元/吨。故基差与月差一律用固定合约。</t>
        </is>
      </c>
    </row>
    <row r="82">
      <c r="A82" s="36" t="inlineStr">
        <is>
          <t>I 列保留"现货−当日持仓量最大合约"的口径，仅用于观察主力基差的相对位置，不作为结论依据。</t>
        </is>
      </c>
    </row>
  </sheetData>
  <mergeCells count="5">
    <mergeCell ref="A82:I82"/>
    <mergeCell ref="A81:I81"/>
    <mergeCell ref="A2:I2"/>
    <mergeCell ref="A1:I1"/>
    <mergeCell ref="A80:I80"/>
  </mergeCells>
  <conditionalFormatting sqref="E5:E7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5:F7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140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4" customWidth="1" min="3" max="3"/>
    <col width="60" customWidth="1" min="4" max="4"/>
  </cols>
  <sheetData>
    <row r="1" ht="30" customHeight="1">
      <c r="A1" s="1" t="inlineStr">
        <is>
          <t>11 数据缺口与未能解释的片段</t>
        </is>
      </c>
    </row>
    <row r="2" ht="28" customHeight="1">
      <c r="A2" s="2" t="inlineStr">
        <is>
          <t>把"查不到"和"查到了但不是这么回事"分开写，是本工作簿与营销稿的区别</t>
        </is>
      </c>
    </row>
    <row r="4" ht="30" customHeight="1">
      <c r="A4" s="7" t="inlineStr">
        <is>
          <t>类型</t>
        </is>
      </c>
      <c r="B4" s="7" t="inlineStr">
        <is>
          <t>对象</t>
        </is>
      </c>
      <c r="C4" s="7" t="inlineStr">
        <is>
          <t>原因／状态</t>
        </is>
      </c>
      <c r="D4" s="7" t="inlineStr">
        <is>
          <t>对结论的影响</t>
        </is>
      </c>
    </row>
    <row r="5">
      <c r="A5" s="14" t="inlineStr">
        <is>
          <t>数据缺口</t>
        </is>
      </c>
      <c r="B5" s="14" t="inlineStr">
        <is>
          <t>华东港口甲醇库存（周度，万吨）</t>
        </is>
      </c>
      <c r="C5" s="14" t="inlineStr">
        <is>
          <t>卓创/隆众付费数据，公开渠道 0 个实测值</t>
        </is>
      </c>
      <c r="D5" s="24" t="inlineStr">
        <is>
          <t>库存层无法出 E1，只能留在 E3（定性）；无法验证“低库存放大冲击”</t>
        </is>
      </c>
    </row>
    <row r="6">
      <c r="A6" s="17" t="inlineStr">
        <is>
          <t>数据缺口</t>
        </is>
      </c>
      <c r="B6" s="17" t="inlineStr">
        <is>
          <t>甲醇行业周度开工率连续序列</t>
        </is>
      </c>
      <c r="C6" s="17" t="inlineStr">
        <is>
          <t>仅有 9 月 21 日一期的 83.8% 单点</t>
        </is>
      </c>
      <c r="D6" s="17" t="inlineStr">
        <is>
          <t>供给层无法做月度/周度 z 值检验</t>
        </is>
      </c>
    </row>
    <row r="7">
      <c r="A7" s="14" t="inlineStr">
        <is>
          <t>数据缺口</t>
        </is>
      </c>
      <c r="B7" s="14" t="inlineStr">
        <is>
          <t>外采 MTO 开工率与 MTO 实时利润</t>
        </is>
      </c>
      <c r="C7" s="14" t="inlineStr">
        <is>
          <t>无公开连续序列</t>
        </is>
      </c>
      <c r="D7" s="14" t="inlineStr">
        <is>
          <t>需求层缺“量化利润击穿点”，只能靠事件（E2）</t>
        </is>
      </c>
    </row>
    <row r="8">
      <c r="A8" s="17" t="inlineStr">
        <is>
          <t>数据缺口</t>
        </is>
      </c>
      <c r="B8" s="17" t="inlineStr">
        <is>
          <t>9 月与 10 月海关甲醇进口数据</t>
        </is>
      </c>
      <c r="C8" s="17" t="inlineStr">
        <is>
          <t>截止 2026-10-19 未发布</t>
        </is>
      </c>
      <c r="D8" s="17" t="inlineStr">
        <is>
          <t>9 月“到港骤降”只能用预估口径（E2）</t>
        </is>
      </c>
    </row>
    <row r="9">
      <c r="A9" s="14" t="inlineStr">
        <is>
          <t>数据缺口</t>
        </is>
      </c>
      <c r="B9" s="14" t="inlineStr">
        <is>
          <t>内蒙古/宁夏坑口动力煤价格</t>
        </is>
      </c>
      <c r="C9" s="14" t="inlineStr">
        <is>
          <t>未取得可追溯序列</t>
        </is>
      </c>
      <c r="D9" s="14" t="inlineStr">
        <is>
          <t>煤制甲醇理论成本无法可靠计算</t>
        </is>
      </c>
    </row>
    <row r="10">
      <c r="A10" s="17" t="inlineStr">
        <is>
          <t>数据缺口</t>
        </is>
      </c>
      <c r="B10" s="17" t="inlineStr">
        <is>
          <t>华东太仓/张家港单一库区出罐价</t>
        </is>
      </c>
      <c r="C10" s="17" t="inlineStr">
        <is>
          <t>无公开可追溯日频报价</t>
        </is>
      </c>
      <c r="D10" s="25" t="inlineStr">
        <is>
          <t>本报告使用生意社甲醇指数口径，绝对水平不宜直接对外报价</t>
        </is>
      </c>
    </row>
    <row r="11">
      <c r="A11" s="14" t="inlineStr">
        <is>
          <t>数据缺口</t>
        </is>
      </c>
      <c r="B11" s="14" t="inlineStr">
        <is>
          <t>MTO 停车/降负装置的产能合计</t>
        </is>
      </c>
      <c r="C11" s="14" t="inlineStr">
        <is>
          <t>事件披露未给出</t>
        </is>
      </c>
      <c r="D11" s="14" t="inlineStr">
        <is>
          <t>无法换算需求损失</t>
        </is>
      </c>
    </row>
    <row r="12">
      <c r="A12" s="17" t="inlineStr">
        <is>
          <t>未解释片段</t>
        </is>
      </c>
      <c r="B12" s="25" t="inlineStr">
        <is>
          <t>10/13 现货单日 −12.78%（4643.33→4050.00）</t>
        </is>
      </c>
      <c r="C12" s="17" t="inlineStr">
        <is>
          <t>部分可解释</t>
        </is>
      </c>
      <c r="D12" s="25" t="inlineStr">
        <is>
          <t>同日 MA2611 仅 −2.35%（3536→3453）。现货跌幅是盘面的五倍以上，而当日（10/13）可引事件只有 10/10 伊朗装置维持停车的利多披露，10/14 的 MTO 降负公告尚未发布。10/19 生意社稿提及“山东甲醇报价下调”，但未取得逐日报价明细，**无法确认是企业主动降价出货、指数口径调整，还是国庆前后虚高的现货报价在集中回吐**。</t>
        </is>
      </c>
    </row>
    <row r="13">
      <c r="A13" s="14" t="inlineStr">
        <is>
          <t>未解释片段</t>
        </is>
      </c>
      <c r="B13" s="24" t="inlineStr">
        <is>
          <t>10/8 现货 4493.33→4733.33 的 +5.34% 跳涨</t>
        </is>
      </c>
      <c r="C13" s="14" t="inlineStr">
        <is>
          <t>时间吻合但无直接数据</t>
        </is>
      </c>
      <c r="D13" s="24" t="inlineStr">
        <is>
          <t>节后首日效应（9/30—10/7 休市）与 10/9 的 +5.34% 叠加，把现货推到 4733.33 的区间高点。10/8—10/9 期间没有新增的进口或装置事件，同期 MA2611 从 3625 涨到 3835。**这更像盘面拉动现货预期，而不是现货实物的真实缺口**，但缺少国庆期间到港与库存数据，无法证实——而 10/13 的单日 −12.78% 反过来印证了这一点。</t>
        </is>
      </c>
    </row>
    <row r="14">
      <c r="A14" s="17" t="inlineStr">
        <is>
          <t>未解释片段</t>
        </is>
      </c>
      <c r="B14" s="25" t="inlineStr">
        <is>
          <t>煤炭 +30.4% 而甲醇从 7 月低点 +57%，倍数的弹性放大从何而来</t>
        </is>
      </c>
      <c r="C14" s="17" t="inlineStr">
        <is>
          <t>未解释</t>
        </is>
      </c>
      <c r="D14" s="25" t="inlineStr">
        <is>
          <t>煤价与甲醇之间存在链条放大（煤→甲醇→烯烃），但本报告没有建立任何量化传导模型。**任何“煤炭贡献 X%”的数字都会是伪精确**，因此不做。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3140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4" customWidth="1" min="4" max="4"/>
    <col width="10" customWidth="1" min="5" max="5"/>
    <col width="34" customWidth="1" min="6" max="6"/>
  </cols>
  <sheetData>
    <row r="1" ht="30" customHeight="1">
      <c r="A1" s="1" t="inlineStr">
        <is>
          <t>12 复算校验：从原始文件重算，与报告值比对</t>
        </is>
      </c>
    </row>
    <row r="2" ht="28" customHeight="1">
      <c r="A2" s="2" t="inlineStr">
        <is>
          <t>任何"否"都意味着报告数与底层数据不一致，必须回查后再交付</t>
        </is>
      </c>
    </row>
    <row r="4" ht="30" customHeight="1">
      <c r="A4" s="7" t="inlineStr">
        <is>
          <t>校验项</t>
        </is>
      </c>
      <c r="B4" s="7" t="inlineStr">
        <is>
          <t>报告值</t>
        </is>
      </c>
      <c r="C4" s="7" t="inlineStr">
        <is>
          <t>重算值</t>
        </is>
      </c>
      <c r="D4" s="7" t="inlineStr">
        <is>
          <t>差异</t>
        </is>
      </c>
      <c r="E4" s="7" t="inlineStr">
        <is>
          <t>是否一致</t>
        </is>
      </c>
      <c r="F4" s="7" t="inlineStr">
        <is>
          <t>数据来源文件</t>
        </is>
      </c>
    </row>
    <row r="5">
      <c r="A5" s="14" t="inlineStr">
        <is>
          <t>现货窗口涨跌幅 %</t>
        </is>
      </c>
      <c r="B5" s="14" t="n">
        <v>40.9955</v>
      </c>
      <c r="C5" s="14" t="n">
        <v>40.9955</v>
      </c>
      <c r="D5" s="14" t="n">
        <v>0</v>
      </c>
      <c r="E5" s="37" t="inlineStr">
        <is>
          <t>是</t>
        </is>
      </c>
      <c r="F5" s="14" t="inlineStr">
        <is>
          <t>raw/ppi_base_price.csv</t>
        </is>
      </c>
    </row>
    <row r="6">
      <c r="A6" s="17" t="inlineStr">
        <is>
          <t>期货窗口涨跌幅 %</t>
        </is>
      </c>
      <c r="B6" s="17" t="n">
        <v>29.4481</v>
      </c>
      <c r="C6" s="17" t="n">
        <v>29.4481</v>
      </c>
      <c r="D6" s="17" t="n">
        <v>0</v>
      </c>
      <c r="E6" s="17" t="inlineStr">
        <is>
          <t>是</t>
        </is>
      </c>
      <c r="F6" s="17" t="inlineStr">
        <is>
          <t>raw/MA0_daily.json</t>
        </is>
      </c>
    </row>
    <row r="7">
      <c r="A7" s="14" t="inlineStr">
        <is>
          <t>价格序列行数</t>
        </is>
      </c>
      <c r="B7" s="14" t="n">
        <v>80</v>
      </c>
      <c r="C7" s="14" t="n">
        <v>80</v>
      </c>
      <c r="D7" s="14" t="n">
        <v>0</v>
      </c>
      <c r="E7" s="37" t="inlineStr">
        <is>
          <t>是</t>
        </is>
      </c>
      <c r="F7" s="14" t="inlineStr">
        <is>
          <t>build/report_data.json</t>
        </is>
      </c>
    </row>
    <row r="8">
      <c r="A8" s="17" t="inlineStr">
        <is>
          <t>证据条目数</t>
        </is>
      </c>
      <c r="B8" s="17" t="n">
        <v>48</v>
      </c>
      <c r="C8" s="17" t="n">
        <v>48</v>
      </c>
      <c r="D8" s="17" t="n">
        <v>0</v>
      </c>
      <c r="E8" s="17" t="inlineStr">
        <is>
          <t>是</t>
        </is>
      </c>
      <c r="F8" s="17" t="inlineStr">
        <is>
          <t>build/graded.json</t>
        </is>
      </c>
    </row>
    <row r="9">
      <c r="A9" s="14" t="inlineStr">
        <is>
          <t>无证据条目的驱动数</t>
        </is>
      </c>
      <c r="B9" s="14" t="n">
        <v>0</v>
      </c>
      <c r="C9" s="14" t="n">
        <v>0</v>
      </c>
      <c r="D9" s="14" t="n">
        <v>0</v>
      </c>
      <c r="E9" s="37" t="inlineStr">
        <is>
          <t>是</t>
        </is>
      </c>
      <c r="F9" s="14" t="inlineStr">
        <is>
          <t>build/graded.json</t>
        </is>
      </c>
    </row>
    <row r="10">
      <c r="A10" s="17" t="inlineStr">
        <is>
          <t>无原始链接的事件数</t>
        </is>
      </c>
      <c r="B10" s="17" t="n">
        <v>0</v>
      </c>
      <c r="C10" s="17" t="n">
        <v>0</v>
      </c>
      <c r="D10" s="17" t="n">
        <v>0</v>
      </c>
      <c r="E10" s="17" t="inlineStr">
        <is>
          <t>是</t>
        </is>
      </c>
      <c r="F10" s="17" t="inlineStr">
        <is>
          <t>raw/events.json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2026-10-20T04:54:43Z</dcterms:created>
  <dcterms:modified xmlns:dcterms="http://purl.org/dc/terms/" xmlns:xsi="http://www.w3.org/2001/XMLSchema-instance" xsi:type="dcterms:W3CDTF">2026-10-20T04:54:43Z</dcterms:modified>
</cp:coreProperties>
</file>
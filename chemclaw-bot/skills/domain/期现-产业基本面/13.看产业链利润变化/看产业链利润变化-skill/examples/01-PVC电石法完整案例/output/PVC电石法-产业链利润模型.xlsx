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参数与单耗" sheetId="2" state="visible" r:id="rId2"/>
    <sheet xmlns:r="http://schemas.openxmlformats.org/officeDocument/2006/relationships" name="02_成本构成" sheetId="3" state="visible" r:id="rId3"/>
    <sheet xmlns:r="http://schemas.openxmlformats.org/officeDocument/2006/relationships" name="03_加工价差与利润" sheetId="4" state="visible" r:id="rId4"/>
    <sheet xmlns:r="http://schemas.openxmlformats.org/officeDocument/2006/relationships" name="04_历史价格" sheetId="5" state="visible" r:id="rId5"/>
    <sheet xmlns:r="http://schemas.openxmlformats.org/officeDocument/2006/relationships" name="05_月度台账" sheetId="6" state="visible" r:id="rId6"/>
    <sheet xmlns:r="http://schemas.openxmlformats.org/officeDocument/2006/relationships" name="06_周度校验" sheetId="7" state="visible" r:id="rId7"/>
    <sheet xmlns:r="http://schemas.openxmlformats.org/officeDocument/2006/relationships" name="07_敏感性分析" sheetId="8" state="visible" r:id="rId8"/>
    <sheet xmlns:r="http://schemas.openxmlformats.org/officeDocument/2006/relationships" name="08_公式与来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%"/>
    <numFmt numFmtId="167" formatCode="#,##0.0"/>
    <numFmt numFmtId="168" formatCode="+0%;-0%;0%"/>
  </numFmts>
  <fonts count="14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CBD5E1"/>
      <sz val="9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  <font>
      <name val="Microsoft YaHei"/>
      <color rgb="00475569"/>
      <sz val="9"/>
    </font>
    <font>
      <name val="Consolas"/>
      <b val="1"/>
      <color rgb="009A3412"/>
      <sz val="10"/>
    </font>
    <font>
      <name val="Consolas"/>
      <b val="1"/>
      <sz val="11"/>
    </font>
    <font>
      <name val="Consolas"/>
      <sz val="10"/>
    </font>
    <font>
      <name val="Microsoft YaHei"/>
      <b val="1"/>
      <color rgb="009A3412"/>
      <sz val="11"/>
    </font>
    <font>
      <name val="Consolas"/>
      <b val="1"/>
      <color rgb="001D4ED8"/>
      <sz val="13"/>
    </font>
    <font>
      <name val="Microsoft YaHei"/>
      <i val="1"/>
      <color rgb="00B91C1C"/>
      <sz val="10"/>
    </font>
    <font>
      <name val="Microsoft YaHei"/>
      <b val="1"/>
      <color rgb="001D4ED8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wrapText="1" indent="1"/>
    </xf>
    <xf numFmtId="0" fontId="3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0" borderId="0" pivotButton="0" quotePrefix="0" xfId="0"/>
    <xf numFmtId="0" fontId="3" fillId="0" borderId="1" pivotButton="0" quotePrefix="0" xfId="0"/>
    <xf numFmtId="4" fontId="7" fillId="4" borderId="1" pivotButton="0" quotePrefix="0" xfId="0"/>
    <xf numFmtId="0" fontId="6" fillId="0" borderId="1" pivotButton="0" quotePrefix="0" xfId="0"/>
    <xf numFmtId="10" fontId="7" fillId="4" borderId="1" pivotButton="0" quotePrefix="0" xfId="0"/>
    <xf numFmtId="0" fontId="4" fillId="0" borderId="1" pivotButton="0" quotePrefix="0" xfId="0"/>
    <xf numFmtId="9" fontId="8" fillId="5" borderId="1" pivotButton="0" quotePrefix="0" xfId="0"/>
    <xf numFmtId="0" fontId="4" fillId="0" borderId="1" applyAlignment="1" pivotButton="0" quotePrefix="0" xfId="0">
      <alignment vertical="center" wrapText="1"/>
    </xf>
    <xf numFmtId="164" fontId="7" fillId="4" borderId="1" pivotButton="0" quotePrefix="0" xfId="0"/>
    <xf numFmtId="165" fontId="9" fillId="0" borderId="1" pivotButton="0" quotePrefix="0" xfId="0"/>
    <xf numFmtId="164" fontId="9" fillId="0" borderId="1" pivotButton="0" quotePrefix="0" xfId="0"/>
    <xf numFmtId="3" fontId="7" fillId="4" borderId="1" pivotButton="0" quotePrefix="0" xfId="0"/>
    <xf numFmtId="4" fontId="9" fillId="0" borderId="1" pivotButton="0" quotePrefix="0" xfId="0"/>
    <xf numFmtId="0" fontId="0" fillId="0" borderId="1" pivotButton="0" quotePrefix="0" xfId="0"/>
    <xf numFmtId="0" fontId="9" fillId="0" borderId="1" pivotButton="0" quotePrefix="0" xfId="0"/>
    <xf numFmtId="0" fontId="3" fillId="0" borderId="0" pivotButton="0" quotePrefix="0" xfId="0"/>
    <xf numFmtId="0" fontId="7" fillId="4" borderId="0" pivotButton="0" quotePrefix="0" xfId="0"/>
    <xf numFmtId="3" fontId="8" fillId="5" borderId="1" pivotButton="0" quotePrefix="0" xfId="0"/>
    <xf numFmtId="0" fontId="7" fillId="4" borderId="1" pivotButton="0" quotePrefix="0" xfId="0"/>
    <xf numFmtId="3" fontId="9" fillId="0" borderId="1" pivotButton="0" quotePrefix="0" xfId="0"/>
    <xf numFmtId="4" fontId="8" fillId="0" borderId="1" pivotButton="0" quotePrefix="0" xfId="0"/>
    <xf numFmtId="166" fontId="9" fillId="0" borderId="1" pivotButton="0" quotePrefix="0" xfId="0"/>
    <xf numFmtId="10" fontId="9" fillId="0" borderId="1" pivotButton="0" quotePrefix="0" xfId="0"/>
    <xf numFmtId="4" fontId="8" fillId="5" borderId="1" pivotButton="0" quotePrefix="0" xfId="0"/>
    <xf numFmtId="0" fontId="10" fillId="0" borderId="1" pivotButton="0" quotePrefix="0" xfId="0"/>
    <xf numFmtId="4" fontId="8" fillId="3" borderId="1" pivotButton="0" quotePrefix="0" xfId="0"/>
    <xf numFmtId="0" fontId="6" fillId="0" borderId="1" applyAlignment="1" pivotButton="0" quotePrefix="0" xfId="0">
      <alignment vertical="center" wrapText="1"/>
    </xf>
    <xf numFmtId="4" fontId="11" fillId="3" borderId="1" pivotButton="0" quotePrefix="0" xfId="0"/>
    <xf numFmtId="10" fontId="8" fillId="5" borderId="1" pivotButton="0" quotePrefix="0" xfId="0"/>
    <xf numFmtId="0" fontId="3" fillId="3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4" fontId="9" fillId="7" borderId="1" pivotButton="0" quotePrefix="0" xfId="0"/>
    <xf numFmtId="0" fontId="6" fillId="7" borderId="1" pivotButton="0" quotePrefix="0" xfId="0"/>
    <xf numFmtId="0" fontId="9" fillId="0" borderId="0" pivotButton="0" quotePrefix="0" xfId="0"/>
    <xf numFmtId="3" fontId="8" fillId="0" borderId="0" pivotButton="0" quotePrefix="0" xfId="0"/>
    <xf numFmtId="167" fontId="9" fillId="0" borderId="1" pivotButton="0" quotePrefix="0" xfId="0"/>
    <xf numFmtId="167" fontId="8" fillId="0" borderId="1" pivotButton="0" quotePrefix="0" xfId="0"/>
    <xf numFmtId="0" fontId="8" fillId="0" borderId="0" pivotButton="0" quotePrefix="0" xfId="0"/>
    <xf numFmtId="167" fontId="8" fillId="0" borderId="0" pivotButton="0" quotePrefix="0" xfId="0"/>
    <xf numFmtId="1" fontId="8" fillId="5" borderId="1" pivotButton="0" quotePrefix="0" xfId="0"/>
    <xf numFmtId="167" fontId="8" fillId="5" borderId="1" pivotButton="0" quotePrefix="0" xfId="0"/>
    <xf numFmtId="166" fontId="8" fillId="5" borderId="1" pivotButton="0" quotePrefix="0" xfId="0"/>
    <xf numFmtId="0" fontId="5" fillId="2" borderId="1" pivotButton="0" quotePrefix="0" xfId="0"/>
    <xf numFmtId="168" fontId="7" fillId="4" borderId="1" applyAlignment="1" pivotButton="0" quotePrefix="0" xfId="0">
      <alignment horizontal="center"/>
    </xf>
    <xf numFmtId="168" fontId="7" fillId="4" borderId="1" pivotButton="0" quotePrefix="0" xfId="0"/>
    <xf numFmtId="0" fontId="13" fillId="0" borderId="0" pivotButton="0" quotePrefix="0" xfId="0"/>
    <xf numFmtId="168" fontId="9" fillId="0" borderId="0" pivotButton="0" quotePrefix="0" xfId="0"/>
    <xf numFmtId="167" fontId="9" fillId="0" borderId="0" pivotButton="0" quotePrefix="0" xfId="0"/>
    <xf numFmtId="3" fontId="8" fillId="3" borderId="1" pivotButton="0" quotePrefix="0" xfId="0"/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PVC 采用价 与 理论加工价差</a:t>
            </a:r>
          </a:p>
        </rich>
      </tx>
    </title>
    <plotArea>
      <lineChart>
        <grouping val="standard"/>
        <ser>
          <idx val="0"/>
          <order val="0"/>
          <tx>
            <strRef>
              <f>'04_历史价格'!E4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'04_历史价格'!$A$5:$A$246</f>
            </numRef>
          </cat>
          <val>
            <numRef>
              <f>'04_历史价格'!$E$5:$E$246</f>
            </numRef>
          </val>
        </ser>
        <ser>
          <idx val="1"/>
          <order val="1"/>
          <tx>
            <strRef>
              <f>'04_历史价格'!J4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'04_历史价格'!$A$5:$A$246</f>
            </numRef>
          </cat>
          <val>
            <numRef>
              <f>'04_历史价格'!$J$5:$J$246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0" customHeight="1">
      <c r="A1" s="1" t="inlineStr">
        <is>
          <t>中国电石法 PVC · 产业链利润模型（理论加工价差 / 理论制造利润）</t>
        </is>
      </c>
    </row>
    <row r="2" ht="26" customHeight="1">
      <c r="A2" s="2" t="inlineStr">
        <is>
          <t>数据冻结于 2026-10-20　|　区间 2025-10-20～2026-10-19　|　黄色单元格=可编辑输入，灰色=公式输出，请勿手改</t>
        </is>
      </c>
    </row>
    <row r="5" ht="22" customHeight="1">
      <c r="A5" s="3" t="inlineStr">
        <is>
          <t>一、这个模型算什么</t>
        </is>
      </c>
    </row>
    <row r="6" ht="30" customHeight="1">
      <c r="A6" s="4" t="inlineStr">
        <is>
          <t>理论加工价差</t>
        </is>
      </c>
      <c r="B6" s="5">
        <f> 产品含税价 − 原料成本（原料单耗已按综合收率修正）。只反映"原料→产品"的转换价差，不含任何加工费用。</f>
        <v/>
      </c>
    </row>
    <row r="7" ht="30" customHeight="1">
      <c r="A7" s="4" t="inlineStr">
        <is>
          <t>理论制造利润</t>
        </is>
      </c>
      <c r="B7" s="5">
        <f> 加工价差 − 已核实的能源/辅料/制造费用。仍不是企业净利润。</f>
        <v/>
      </c>
    </row>
    <row r="8" ht="30" customHeight="1">
      <c r="A8" s="4" t="inlineStr">
        <is>
          <t>企业实际利润</t>
        </is>
      </c>
      <c r="B8" s="5" t="inlineStr">
        <is>
          <t>本模型【不输出】。它需要财务费用、销售物流、税费、检修损失、区域价差等企业内部数据，缺少可核实来源时不编造。</t>
        </is>
      </c>
    </row>
    <row r="10" ht="22" customHeight="1">
      <c r="A10" s="3" t="inlineStr">
        <is>
          <t>二、三层指标为什么必须分开</t>
        </is>
      </c>
    </row>
    <row r="11" ht="30" customHeight="1">
      <c r="A11" s="4" t="inlineStr">
        <is>
          <t>常见错误 1</t>
        </is>
      </c>
      <c r="B11" s="5" t="inlineStr">
        <is>
          <t>把"加工价差"直接叫作"利润"。价差 1083 元/吨听起来很好，扣完成本后是 -431 元/吨，方向完全相反。</t>
        </is>
      </c>
    </row>
    <row r="12" ht="44" customHeight="1">
      <c r="A12" s="4" t="inlineStr">
        <is>
          <t>常见错误 2</t>
        </is>
      </c>
      <c r="B12" s="5" t="inlineStr">
        <is>
          <t>把不同工艺的单耗混用。外购电石口径的电石 1.45 t/t 与一体化口径的综合电耗 8500 kWh/t 放在一起，会重复计算近 5000 度电。</t>
        </is>
      </c>
    </row>
    <row r="13" ht="30" customHeight="1">
      <c r="A13" s="4" t="inlineStr">
        <is>
          <t>常见错误 3</t>
        </is>
      </c>
      <c r="B13" s="5" t="inlineStr">
        <is>
          <t>在缺价区间凭空外推。本模型对无电石报价的交易日直接留空，不做插值填充（除已披露锚点之间）。</t>
        </is>
      </c>
    </row>
    <row r="15" ht="22" customHeight="1">
      <c r="A15" s="3" t="inlineStr">
        <is>
          <t>三、怎么用</t>
        </is>
      </c>
    </row>
    <row r="16" ht="44" customHeight="1">
      <c r="A16" s="4" t="inlineStr">
        <is>
          <t>第 1 步</t>
        </is>
      </c>
      <c r="B16" s="5" t="inlineStr">
        <is>
          <t>打开 01_参数与单耗，把【单耗】【单价】改成你企业的真实值（黄色格）。有企业实测值就优先用实测值，行业典型值只作默认。</t>
        </is>
      </c>
    </row>
    <row r="17" ht="30" customHeight="1">
      <c r="A17" s="4" t="inlineStr">
        <is>
          <t>第 2 步</t>
        </is>
      </c>
      <c r="B17" s="5" t="inlineStr">
        <is>
          <t>在 01 表修改【综合收率】【制造费用】。</t>
        </is>
      </c>
    </row>
    <row r="18" ht="30" customHeight="1">
      <c r="A18" s="4" t="inlineStr">
        <is>
          <t>第 3 步</t>
        </is>
      </c>
      <c r="B18" s="5" t="inlineStr">
        <is>
          <t>02_成本构成 与 03_加工价差与利润 会自动重算（全部为活公式）。</t>
        </is>
      </c>
    </row>
    <row r="19" ht="30" customHeight="1">
      <c r="A19" s="4" t="inlineStr">
        <is>
          <t>第 4 步</t>
        </is>
      </c>
      <c r="B19" s="5" t="inlineStr">
        <is>
          <t>07_敏感性分析 的双因素矩阵同样会自动跟随 01 表的修改重算。</t>
        </is>
      </c>
    </row>
    <row r="20" ht="30" customHeight="1">
      <c r="A20" s="4" t="inlineStr">
        <is>
          <t>第 5 步</t>
        </is>
      </c>
      <c r="B20" s="5" t="inlineStr">
        <is>
          <t>任何数字要追溯来源 → 看 08_公式与来源。</t>
        </is>
      </c>
    </row>
    <row r="22" ht="22" customHeight="1">
      <c r="A22" s="3" t="inlineStr">
        <is>
          <t>四、重要口径提醒</t>
        </is>
      </c>
    </row>
    <row r="23" ht="30" customHeight="1">
      <c r="A23" s="4" t="inlineStr">
        <is>
          <t>税费</t>
        </is>
      </c>
      <c r="B23" s="5" t="inlineStr">
        <is>
          <t>产品价与原料价均为含 13% 增值税口径，因此价差本身含税，不做二次扣税。</t>
        </is>
      </c>
    </row>
    <row r="24" ht="30" customHeight="1">
      <c r="A24" s="4" t="inlineStr">
        <is>
          <t>收率</t>
        </is>
      </c>
      <c r="B24" s="5" t="inlineStr">
        <is>
          <t>只作用于原料与辅料单耗，不作用于能源（电、汽按实物量计量，与收率无关）。</t>
        </is>
      </c>
    </row>
    <row r="25" ht="30" customHeight="1">
      <c r="A25" s="4" t="inlineStr">
        <is>
          <t>区域</t>
        </is>
      </c>
      <c r="B25" s="5" t="inlineStr">
        <is>
          <t>本模型价格为全国基准，未体现区域价差（乌海 vs 山东可达 400–600 元/吨）。</t>
        </is>
      </c>
    </row>
    <row r="26" ht="30" customHeight="1">
      <c r="A26" s="4" t="inlineStr">
        <is>
          <t>时段</t>
        </is>
      </c>
      <c r="B26" s="5" t="inlineStr">
        <is>
          <t>电石日价仅近 93 天可得；更早区间使用已披露锚点线性插值，并在 04 表标注 interp。</t>
        </is>
      </c>
    </row>
  </sheetData>
  <mergeCells count="21">
    <mergeCell ref="B7:F7"/>
    <mergeCell ref="B16:F16"/>
    <mergeCell ref="B25:F25"/>
    <mergeCell ref="B18:F18"/>
    <mergeCell ref="A2:F2"/>
    <mergeCell ref="B12:F12"/>
    <mergeCell ref="A5:F5"/>
    <mergeCell ref="B11:F11"/>
    <mergeCell ref="A22:F22"/>
    <mergeCell ref="B23:F23"/>
    <mergeCell ref="B8:F8"/>
    <mergeCell ref="B17:F17"/>
    <mergeCell ref="B13:F13"/>
    <mergeCell ref="A10:F10"/>
    <mergeCell ref="B19:F19"/>
    <mergeCell ref="A15:F15"/>
    <mergeCell ref="B6:F6"/>
    <mergeCell ref="B24:F24"/>
    <mergeCell ref="B20:F20"/>
    <mergeCell ref="A1:F1"/>
    <mergeCell ref="B26:F26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70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  <col width="10" customWidth="1" min="10" max="10"/>
  </cols>
  <sheetData>
    <row r="1" ht="30" customHeight="1">
      <c r="A1" s="1" t="inlineStr">
        <is>
          <t>01 参数与单耗（唯一输入源）</t>
        </is>
      </c>
    </row>
    <row r="2" ht="26" customHeight="1">
      <c r="A2" s="2" t="inlineStr">
        <is>
          <t>黄色格为可编辑输入；改这里，02/03/07 全部自动重算。单耗单位按"每吨 PVC"计。</t>
        </is>
      </c>
    </row>
    <row r="4" ht="22" customHeight="1">
      <c r="A4" s="3" t="inlineStr">
        <is>
          <t>产品与工艺</t>
        </is>
      </c>
    </row>
    <row r="5" ht="30" customHeight="1">
      <c r="A5" s="6" t="inlineStr">
        <is>
          <t>项目</t>
        </is>
      </c>
      <c r="B5" s="6" t="inlineStr">
        <is>
          <t>取值</t>
        </is>
      </c>
      <c r="C5" s="6" t="inlineStr">
        <is>
          <t>单位</t>
        </is>
      </c>
      <c r="D5" s="6" t="inlineStr">
        <is>
          <t>说明</t>
        </is>
      </c>
    </row>
    <row r="6">
      <c r="A6" s="7" t="inlineStr">
        <is>
          <t>产品名称</t>
        </is>
      </c>
      <c r="B6" s="7" t="inlineStr">
        <is>
          <t>PVC 树脂粉 SG-5</t>
        </is>
      </c>
      <c r="C6" s="8" t="inlineStr">
        <is>
          <t>—</t>
        </is>
      </c>
      <c r="D6" s="8" t="inlineStr">
        <is>
          <t>电石乙炔法，悬浮聚合</t>
        </is>
      </c>
    </row>
    <row r="7">
      <c r="A7" s="9" t="inlineStr">
        <is>
          <t>产品含税售价</t>
        </is>
      </c>
      <c r="B7" s="10" t="n">
        <v>4865</v>
      </c>
      <c r="C7" s="11" t="inlineStr">
        <is>
          <t>元/吨</t>
        </is>
      </c>
      <c r="D7" s="11" t="inlineStr">
        <is>
          <t>生意社 2026-10-19 PVC(SG-5) 基准价 4865 元/吨</t>
        </is>
      </c>
    </row>
    <row r="8">
      <c r="A8" s="9" t="inlineStr">
        <is>
          <t>综合收率</t>
        </is>
      </c>
      <c r="B8" s="12" t="n">
        <v>0.97</v>
      </c>
      <c r="C8" s="11" t="inlineStr">
        <is>
          <t>CaC₂→PVC</t>
        </is>
      </c>
      <c r="D8" s="11" t="inlineStr">
        <is>
          <t>行业典型 96–98%；取 97%。收率只作用于原料与辅料，不作用于能源</t>
        </is>
      </c>
    </row>
    <row r="9">
      <c r="A9" s="13" t="inlineStr">
        <is>
          <t>增值税率</t>
        </is>
      </c>
      <c r="B9" s="14" t="n">
        <v>0.13</v>
      </c>
      <c r="C9" s="11" t="inlineStr">
        <is>
          <t>—</t>
        </is>
      </c>
      <c r="D9" s="11" t="inlineStr">
        <is>
          <t>产品与原料同为含税价，价差含税，不做二次扣税</t>
        </is>
      </c>
    </row>
    <row r="11" ht="22" customHeight="1">
      <c r="A11" s="3" t="inlineStr">
        <is>
          <t>逐项单耗与单价（单位换算系数：kg→0.001 吨；kWh 元/度=元；吨=1）</t>
        </is>
      </c>
    </row>
    <row r="12" ht="30" customHeight="1">
      <c r="A12" s="6" t="inlineStr">
        <is>
          <t>物料</t>
        </is>
      </c>
      <c r="B12" s="6" t="inlineStr">
        <is>
          <t>类别</t>
        </is>
      </c>
      <c r="C12" s="6" t="inlineStr">
        <is>
          <t>单耗</t>
        </is>
      </c>
      <c r="D12" s="6" t="inlineStr">
        <is>
          <t>单耗单位</t>
        </is>
      </c>
      <c r="E12" s="6" t="inlineStr">
        <is>
          <t>换算系数</t>
        </is>
      </c>
      <c r="F12" s="6" t="inlineStr">
        <is>
          <t>计费单耗(t/度)</t>
        </is>
      </c>
      <c r="G12" s="6" t="inlineStr">
        <is>
          <t>单价</t>
        </is>
      </c>
      <c r="H12" s="6" t="inlineStr">
        <is>
          <t>单价单位</t>
        </is>
      </c>
      <c r="I12" s="6" t="inlineStr">
        <is>
          <t>成本 元/吨</t>
        </is>
      </c>
      <c r="J12" s="6" t="inlineStr">
        <is>
          <t>占原料</t>
        </is>
      </c>
    </row>
    <row r="13">
      <c r="A13" s="15" t="inlineStr">
        <is>
          <t>电石 (CaC2, 发气量≥300L/kg)</t>
        </is>
      </c>
      <c r="B13" s="11" t="inlineStr">
        <is>
          <t>原料</t>
        </is>
      </c>
      <c r="C13" s="16" t="n">
        <v>1.45</v>
      </c>
      <c r="D13" s="11" t="inlineStr">
        <is>
          <t>吨/吨</t>
        </is>
      </c>
      <c r="E13" s="17" t="n">
        <v>1</v>
      </c>
      <c r="F13" s="18">
        <f>IF(OR(C13=0,ISBLANK(C13)),0,C13*E13/$B$8)</f>
        <v/>
      </c>
      <c r="G13" s="19" t="n">
        <v>2530</v>
      </c>
      <c r="H13" s="11" t="inlineStr">
        <is>
          <t>元/吨</t>
        </is>
      </c>
      <c r="I13" s="20">
        <f>ROUND(F13*G13,4)</f>
        <v/>
      </c>
      <c r="J13" s="21" t="n"/>
    </row>
    <row r="14">
      <c r="A14" s="15" t="inlineStr">
        <is>
          <t>石灰 (生石灰)</t>
        </is>
      </c>
      <c r="B14" s="11" t="inlineStr">
        <is>
          <t>原料</t>
        </is>
      </c>
      <c r="C14" s="16" t="n">
        <v>0</v>
      </c>
      <c r="D14" s="11" t="inlineStr">
        <is>
          <t>吨/吨</t>
        </is>
      </c>
      <c r="E14" s="17" t="n">
        <v>1</v>
      </c>
      <c r="F14" s="18">
        <f>IF(OR(C14=0,ISBLANK(C14)),0,C14*E14/$B$8)</f>
        <v/>
      </c>
      <c r="G14" s="19" t="n">
        <v>0</v>
      </c>
      <c r="H14" s="11" t="inlineStr">
        <is>
          <t>元/吨</t>
        </is>
      </c>
      <c r="I14" s="20">
        <f>ROUND(F14*G14,4)</f>
        <v/>
      </c>
      <c r="J14" s="21" t="n"/>
    </row>
    <row r="15">
      <c r="A15" s="15" t="inlineStr">
        <is>
          <t>烧碱 (32% 液碱, 折百单价)</t>
        </is>
      </c>
      <c r="B15" s="11" t="inlineStr">
        <is>
          <t>原料</t>
        </is>
      </c>
      <c r="C15" s="16" t="n">
        <v>0</v>
      </c>
      <c r="D15" s="11" t="inlineStr">
        <is>
          <t>吨(折百)/吨</t>
        </is>
      </c>
      <c r="E15" s="17" t="n">
        <v>1</v>
      </c>
      <c r="F15" s="18">
        <f>IF(OR(C15=0,ISBLANK(C15)),0,C15*E15/$B$8)</f>
        <v/>
      </c>
      <c r="G15" s="19" t="n">
        <v>1966</v>
      </c>
      <c r="H15" s="11" t="inlineStr">
        <is>
          <t>元/吨</t>
        </is>
      </c>
      <c r="I15" s="20">
        <f>ROUND(F15*G15,4)</f>
        <v/>
      </c>
      <c r="J15" s="21" t="n"/>
    </row>
    <row r="16">
      <c r="A16" s="15" t="inlineStr">
        <is>
          <t>原盐</t>
        </is>
      </c>
      <c r="B16" s="11" t="inlineStr">
        <is>
          <t>原料</t>
        </is>
      </c>
      <c r="C16" s="16" t="n">
        <v>0</v>
      </c>
      <c r="D16" s="11" t="inlineStr">
        <is>
          <t>吨/吨</t>
        </is>
      </c>
      <c r="E16" s="17" t="n">
        <v>1</v>
      </c>
      <c r="F16" s="18">
        <f>IF(OR(C16=0,ISBLANK(C16)),0,C16*E16/$B$8)</f>
        <v/>
      </c>
      <c r="G16" s="19" t="n">
        <v>0</v>
      </c>
      <c r="H16" s="11" t="inlineStr">
        <is>
          <t>元/吨</t>
        </is>
      </c>
      <c r="I16" s="20">
        <f>ROUND(F16*G16,4)</f>
        <v/>
      </c>
      <c r="J16" s="21" t="n"/>
    </row>
    <row r="17">
      <c r="A17" s="15" t="inlineStr">
        <is>
          <t>液氯 (外购)</t>
        </is>
      </c>
      <c r="B17" s="11" t="inlineStr">
        <is>
          <t>原料</t>
        </is>
      </c>
      <c r="C17" s="16" t="n">
        <v>0</v>
      </c>
      <c r="D17" s="11" t="inlineStr">
        <is>
          <t>吨/吨</t>
        </is>
      </c>
      <c r="E17" s="17" t="n">
        <v>1</v>
      </c>
      <c r="F17" s="18">
        <f>IF(OR(C17=0,ISBLANK(C17)),0,C17*E17/$B$8)</f>
        <v/>
      </c>
      <c r="G17" s="19" t="n">
        <v>0</v>
      </c>
      <c r="H17" s="11" t="inlineStr">
        <is>
          <t>元/吨</t>
        </is>
      </c>
      <c r="I17" s="20">
        <f>ROUND(F17*G17,4)</f>
        <v/>
      </c>
      <c r="J17" s="21" t="n"/>
    </row>
    <row r="18">
      <c r="A18" s="15" t="inlineStr">
        <is>
          <t>氯化氢气体 (HCl)</t>
        </is>
      </c>
      <c r="B18" s="11" t="inlineStr">
        <is>
          <t>辅料</t>
        </is>
      </c>
      <c r="C18" s="16" t="n">
        <v>0.72</v>
      </c>
      <c r="D18" s="11" t="inlineStr">
        <is>
          <t>吨/吨</t>
        </is>
      </c>
      <c r="E18" s="17" t="n">
        <v>1</v>
      </c>
      <c r="F18" s="18">
        <f>IF(OR(C18=0,ISBLANK(C18)),0,C18*E18/$B$8)</f>
        <v/>
      </c>
      <c r="G18" s="19" t="n">
        <v>380</v>
      </c>
      <c r="H18" s="11" t="inlineStr">
        <is>
          <t>元/吨</t>
        </is>
      </c>
      <c r="I18" s="20">
        <f>ROUND(F18*G18,4)</f>
        <v/>
      </c>
      <c r="J18" s="21" t="n"/>
    </row>
    <row r="19">
      <c r="A19" s="15" t="inlineStr">
        <is>
          <t>汞触媒(低汞/无汞)</t>
        </is>
      </c>
      <c r="B19" s="11" t="inlineStr">
        <is>
          <t>辅料</t>
        </is>
      </c>
      <c r="C19" s="16" t="n">
        <v>1.2</v>
      </c>
      <c r="D19" s="11" t="inlineStr">
        <is>
          <t>kg/吨</t>
        </is>
      </c>
      <c r="E19" s="17" t="n">
        <v>0.001</v>
      </c>
      <c r="F19" s="18">
        <f>IF(OR(C19=0,ISBLANK(C19)),0,C19*E19/$B$8)</f>
        <v/>
      </c>
      <c r="G19" s="19" t="n">
        <v>9500</v>
      </c>
      <c r="H19" s="11" t="inlineStr">
        <is>
          <t>元/kg</t>
        </is>
      </c>
      <c r="I19" s="20">
        <f>ROUND(F19*G19,4)</f>
        <v/>
      </c>
      <c r="J19" s="21" t="n"/>
    </row>
    <row r="20">
      <c r="A20" s="15" t="inlineStr">
        <is>
          <t>引发剂/分散剂/助剂</t>
        </is>
      </c>
      <c r="B20" s="11" t="inlineStr">
        <is>
          <t>辅料</t>
        </is>
      </c>
      <c r="C20" s="16" t="n">
        <v>1</v>
      </c>
      <c r="D20" s="11" t="inlineStr">
        <is>
          <t>kg/吨(综合)</t>
        </is>
      </c>
      <c r="E20" s="17" t="n">
        <v>0.001</v>
      </c>
      <c r="F20" s="18">
        <f>IF(OR(C20=0,ISBLANK(C20)),0,C20*E20/$B$8)</f>
        <v/>
      </c>
      <c r="G20" s="19" t="n">
        <v>12000</v>
      </c>
      <c r="H20" s="11" t="inlineStr">
        <is>
          <t>元/kg</t>
        </is>
      </c>
      <c r="I20" s="20">
        <f>ROUND(F20*G20,4)</f>
        <v/>
      </c>
      <c r="J20" s="21" t="n"/>
    </row>
    <row r="21">
      <c r="A21" s="15" t="inlineStr">
        <is>
          <t>PVC 装置电耗</t>
        </is>
      </c>
      <c r="B21" s="11" t="inlineStr">
        <is>
          <t>能源</t>
        </is>
      </c>
      <c r="C21" s="16" t="n">
        <v>450</v>
      </c>
      <c r="D21" s="11" t="inlineStr">
        <is>
          <t>kWh/吨</t>
        </is>
      </c>
      <c r="E21" s="17" t="n">
        <v>1</v>
      </c>
      <c r="F21" s="18">
        <f>IF(OR(C21=0,ISBLANK(C21)),0,C21*E21)</f>
        <v/>
      </c>
      <c r="G21" s="19" t="n">
        <v>0.55</v>
      </c>
      <c r="H21" s="11" t="inlineStr">
        <is>
          <t>元/吨</t>
        </is>
      </c>
      <c r="I21" s="20">
        <f>ROUND(F21*G21,4)</f>
        <v/>
      </c>
      <c r="J21" s="21" t="n"/>
    </row>
    <row r="22">
      <c r="A22" s="15" t="inlineStr">
        <is>
          <t>蒸汽 (1.0MPa)</t>
        </is>
      </c>
      <c r="B22" s="11" t="inlineStr">
        <is>
          <t>能源</t>
        </is>
      </c>
      <c r="C22" s="16" t="n">
        <v>1.2</v>
      </c>
      <c r="D22" s="11" t="inlineStr">
        <is>
          <t>吨/吨</t>
        </is>
      </c>
      <c r="E22" s="17" t="n">
        <v>1</v>
      </c>
      <c r="F22" s="18">
        <f>IF(OR(C22=0,ISBLANK(C22)),0,C22*E22)</f>
        <v/>
      </c>
      <c r="G22" s="19" t="n">
        <v>150</v>
      </c>
      <c r="H22" s="11" t="inlineStr">
        <is>
          <t>元/吨</t>
        </is>
      </c>
      <c r="I22" s="20">
        <f>ROUND(F22*G22,4)</f>
        <v/>
      </c>
      <c r="J22" s="21" t="n"/>
    </row>
    <row r="23">
      <c r="A23" s="15" t="inlineStr">
        <is>
          <t>电石电耗(一体化口径)</t>
        </is>
      </c>
      <c r="B23" s="11" t="inlineStr">
        <is>
          <t>能源</t>
        </is>
      </c>
      <c r="C23" s="16" t="n">
        <v>0</v>
      </c>
      <c r="D23" s="11" t="inlineStr">
        <is>
          <t>kWh/吨</t>
        </is>
      </c>
      <c r="E23" s="17" t="n">
        <v>1</v>
      </c>
      <c r="F23" s="18">
        <f>IF(OR(C23=0,ISBLANK(C23)),0,C23*E23)</f>
        <v/>
      </c>
      <c r="G23" s="19" t="n">
        <v>0.42</v>
      </c>
      <c r="H23" s="11" t="inlineStr">
        <is>
          <t>元/吨</t>
        </is>
      </c>
      <c r="I23" s="20">
        <f>ROUND(F23*G23,4)</f>
        <v/>
      </c>
      <c r="J23" s="21" t="n"/>
    </row>
    <row r="24">
      <c r="A24" s="13" t="inlineStr">
        <is>
          <t>联产烧碱收益抵减</t>
        </is>
      </c>
      <c r="B24" s="11" t="inlineStr">
        <is>
          <t>副产</t>
        </is>
      </c>
      <c r="C24" s="16" t="n">
        <v>0.75</v>
      </c>
      <c r="D24" s="11" t="inlineStr">
        <is>
          <t>吨/吨</t>
        </is>
      </c>
      <c r="E24" s="22" t="n">
        <v>1</v>
      </c>
      <c r="F24" s="18">
        <f>C24*E24</f>
        <v/>
      </c>
      <c r="G24" s="19" t="n">
        <v>629</v>
      </c>
      <c r="H24" s="11" t="inlineStr">
        <is>
          <t>元/吨</t>
        </is>
      </c>
      <c r="I24" s="20">
        <f>ROUND(F24*G24,4)</f>
        <v/>
      </c>
      <c r="J24" s="21" t="n"/>
    </row>
    <row r="25">
      <c r="A25" s="23" t="inlineStr">
        <is>
          <t>是否计入联产烧碱收益</t>
        </is>
      </c>
      <c r="B25" s="24" t="inlineStr">
        <is>
          <t>否</t>
        </is>
      </c>
      <c r="D25" s="8" t="inlineStr">
        <is>
          <t>填"是"则按氯碱一体化口径抵减；默认"否"=外购电石口径（与隆众周报样本一致）</t>
        </is>
      </c>
    </row>
    <row r="27" ht="22" customHeight="1">
      <c r="A27" s="3" t="inlineStr">
        <is>
          <t>制造费用（元/吨 PVC）</t>
        </is>
      </c>
    </row>
    <row r="28" ht="30" customHeight="1">
      <c r="A28" s="6" t="inlineStr">
        <is>
          <t>项目</t>
        </is>
      </c>
      <c r="B28" s="6" t="inlineStr">
        <is>
          <t>取值</t>
        </is>
      </c>
      <c r="C28" s="6" t="inlineStr">
        <is>
          <t>单位</t>
        </is>
      </c>
      <c r="D28" s="6" t="inlineStr">
        <is>
          <t>说明</t>
        </is>
      </c>
    </row>
    <row r="29">
      <c r="A29" s="13" t="inlineStr">
        <is>
          <t>人工成本</t>
        </is>
      </c>
      <c r="B29" s="19" t="n">
        <v>260</v>
      </c>
      <c r="C29" s="11" t="inlineStr">
        <is>
          <t>元/吨</t>
        </is>
      </c>
      <c r="D29" s="11" t="inlineStr">
        <is>
          <t>按 60 人/20 万吨·年、人均 14 万元折算</t>
        </is>
      </c>
    </row>
    <row r="30">
      <c r="A30" s="13" t="inlineStr">
        <is>
          <t>设备折旧</t>
        </is>
      </c>
      <c r="B30" s="19" t="n">
        <v>320</v>
      </c>
      <c r="C30" s="11" t="inlineStr">
        <is>
          <t>元/吨</t>
        </is>
      </c>
      <c r="D30" s="11" t="inlineStr">
        <is>
          <t>按投资强度与 10 年折旧折算</t>
        </is>
      </c>
    </row>
    <row r="31">
      <c r="A31" s="13" t="inlineStr">
        <is>
          <t>包装费用</t>
        </is>
      </c>
      <c r="B31" s="19" t="n">
        <v>120</v>
      </c>
      <c r="C31" s="11" t="inlineStr">
        <is>
          <t>元/吨</t>
        </is>
      </c>
      <c r="D31" s="11" t="inlineStr">
        <is>
          <t>25kg 编织袋 + 托盘，约 480 袋/吨</t>
        </is>
      </c>
    </row>
    <row r="32">
      <c r="A32" s="13" t="inlineStr">
        <is>
          <t>其他制造费用</t>
        </is>
      </c>
      <c r="B32" s="19" t="n">
        <v>80</v>
      </c>
      <c r="C32" s="11" t="inlineStr">
        <is>
          <t>元/吨</t>
        </is>
      </c>
      <c r="D32" s="11" t="inlineStr">
        <is>
          <t>维修、安全环保、检验等</t>
        </is>
      </c>
    </row>
    <row r="33">
      <c r="A33" s="9" t="inlineStr">
        <is>
          <t>制造费用合计</t>
        </is>
      </c>
      <c r="B33" s="25">
        <f>SUM(B29:B32)</f>
        <v/>
      </c>
      <c r="C33" s="11" t="inlineStr">
        <is>
          <t>元/吨</t>
        </is>
      </c>
      <c r="D33" s="21" t="n"/>
    </row>
    <row r="34">
      <c r="A34" s="9" t="inlineStr">
        <is>
          <t>是否计入制造费用</t>
        </is>
      </c>
      <c r="B34" s="26" t="inlineStr">
        <is>
          <t>是</t>
        </is>
      </c>
      <c r="C34" s="21" t="n"/>
      <c r="D34" s="11" t="inlineStr">
        <is>
          <t>填"是"=理论制造利润口径；填"否"=只算加工价差</t>
        </is>
      </c>
    </row>
  </sheetData>
  <mergeCells count="7">
    <mergeCell ref="A1:J1"/>
    <mergeCell ref="A27:J27"/>
    <mergeCell ref="D25:J25"/>
    <mergeCell ref="A4:J4"/>
    <mergeCell ref="D34:J34"/>
    <mergeCell ref="A2:J2"/>
    <mergeCell ref="A11:J1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1" customWidth="1" min="4" max="4"/>
    <col width="13" customWidth="1" min="5" max="5"/>
    <col width="11" customWidth="1" min="6" max="6"/>
    <col width="13" customWidth="1" min="7" max="7"/>
    <col width="13" customWidth="1" min="8" max="8"/>
    <col width="12" customWidth="1" min="9" max="9"/>
  </cols>
  <sheetData>
    <row r="1" ht="30" customHeight="1">
      <c r="A1" s="1" t="inlineStr">
        <is>
          <t>02 成本构成（公式联动 01 表）</t>
        </is>
      </c>
    </row>
    <row r="2" ht="26" customHeight="1">
      <c r="A2" s="2" t="inlineStr">
        <is>
          <t>本表所有数字均为公式；改 01 表即刻重算。计费单耗=名义单耗×换算系数÷收率（能源不除收率）。</t>
        </is>
      </c>
    </row>
    <row r="4" ht="30" customHeight="1">
      <c r="A4" s="6" t="inlineStr">
        <is>
          <t>物料</t>
        </is>
      </c>
      <c r="B4" s="6" t="inlineStr">
        <is>
          <t>类别</t>
        </is>
      </c>
      <c r="C4" s="6" t="inlineStr">
        <is>
          <t>单耗</t>
        </is>
      </c>
      <c r="D4" s="6" t="inlineStr">
        <is>
          <t>换算系数</t>
        </is>
      </c>
      <c r="E4" s="6" t="inlineStr">
        <is>
          <t>计费单耗</t>
        </is>
      </c>
      <c r="F4" s="6" t="inlineStr">
        <is>
          <t>单价</t>
        </is>
      </c>
      <c r="G4" s="6" t="inlineStr">
        <is>
          <t>单位成本</t>
        </is>
      </c>
      <c r="H4" s="6" t="inlineStr">
        <is>
          <t>占原料成本</t>
        </is>
      </c>
      <c r="I4" s="6" t="inlineStr">
        <is>
          <t>占总成本</t>
        </is>
      </c>
    </row>
    <row r="5">
      <c r="A5" s="13" t="inlineStr">
        <is>
          <t>电石 (CaC2, 发气量≥300L/kg)</t>
        </is>
      </c>
      <c r="B5" s="11" t="inlineStr">
        <is>
          <t>原料</t>
        </is>
      </c>
      <c r="C5" s="18">
        <f>'01_参数与单耗'!C13</f>
        <v/>
      </c>
      <c r="D5" s="27">
        <f>'01_参数与单耗'!E13</f>
        <v/>
      </c>
      <c r="E5" s="18">
        <f>'01_参数与单耗'!F13</f>
        <v/>
      </c>
      <c r="F5" s="27">
        <f>'01_参数与单耗'!G13</f>
        <v/>
      </c>
      <c r="G5" s="28">
        <f>ROUND(E5*F5,2)</f>
        <v/>
      </c>
      <c r="H5" s="29">
        <f>IF(SUMIF($B$5:$B$15,"原料",$G$5:$G$15)=0,"—",G5/SUMIF($B$5:$B$15,"原料",$G$5:$G$15))</f>
        <v/>
      </c>
      <c r="I5" s="30">
        <f>IF($G$22=0,"—",G5/$G$22)</f>
        <v/>
      </c>
    </row>
    <row r="6">
      <c r="A6" s="13" t="inlineStr">
        <is>
          <t>石灰 (生石灰)</t>
        </is>
      </c>
      <c r="B6" s="11" t="inlineStr">
        <is>
          <t>原料</t>
        </is>
      </c>
      <c r="C6" s="18">
        <f>'01_参数与单耗'!C14</f>
        <v/>
      </c>
      <c r="D6" s="27">
        <f>'01_参数与单耗'!E14</f>
        <v/>
      </c>
      <c r="E6" s="18">
        <f>'01_参数与单耗'!F14</f>
        <v/>
      </c>
      <c r="F6" s="27">
        <f>'01_参数与单耗'!G14</f>
        <v/>
      </c>
      <c r="G6" s="28">
        <f>ROUND(E6*F6,2)</f>
        <v/>
      </c>
      <c r="H6" s="29">
        <f>IF(SUMIF($B$5:$B$15,"原料",$G$5:$G$15)=0,"—",G6/SUMIF($B$5:$B$15,"原料",$G$5:$G$15))</f>
        <v/>
      </c>
      <c r="I6" s="30">
        <f>IF($G$22=0,"—",G6/$G$22)</f>
        <v/>
      </c>
    </row>
    <row r="7">
      <c r="A7" s="13" t="inlineStr">
        <is>
          <t>烧碱 (32% 液碱, 折百单价)</t>
        </is>
      </c>
      <c r="B7" s="11" t="inlineStr">
        <is>
          <t>原料</t>
        </is>
      </c>
      <c r="C7" s="18">
        <f>'01_参数与单耗'!C15</f>
        <v/>
      </c>
      <c r="D7" s="27">
        <f>'01_参数与单耗'!E15</f>
        <v/>
      </c>
      <c r="E7" s="18">
        <f>'01_参数与单耗'!F15</f>
        <v/>
      </c>
      <c r="F7" s="27">
        <f>'01_参数与单耗'!G15</f>
        <v/>
      </c>
      <c r="G7" s="28">
        <f>ROUND(E7*F7,2)</f>
        <v/>
      </c>
      <c r="H7" s="29">
        <f>IF(SUMIF($B$5:$B$15,"原料",$G$5:$G$15)=0,"—",G7/SUMIF($B$5:$B$15,"原料",$G$5:$G$15))</f>
        <v/>
      </c>
      <c r="I7" s="30">
        <f>IF($G$22=0,"—",G7/$G$22)</f>
        <v/>
      </c>
    </row>
    <row r="8">
      <c r="A8" s="13" t="inlineStr">
        <is>
          <t>原盐</t>
        </is>
      </c>
      <c r="B8" s="11" t="inlineStr">
        <is>
          <t>原料</t>
        </is>
      </c>
      <c r="C8" s="18">
        <f>'01_参数与单耗'!C16</f>
        <v/>
      </c>
      <c r="D8" s="27">
        <f>'01_参数与单耗'!E16</f>
        <v/>
      </c>
      <c r="E8" s="18">
        <f>'01_参数与单耗'!F16</f>
        <v/>
      </c>
      <c r="F8" s="27">
        <f>'01_参数与单耗'!G16</f>
        <v/>
      </c>
      <c r="G8" s="28">
        <f>ROUND(E8*F8,2)</f>
        <v/>
      </c>
      <c r="H8" s="29">
        <f>IF(SUMIF($B$5:$B$15,"原料",$G$5:$G$15)=0,"—",G8/SUMIF($B$5:$B$15,"原料",$G$5:$G$15))</f>
        <v/>
      </c>
      <c r="I8" s="30">
        <f>IF($G$22=0,"—",G8/$G$22)</f>
        <v/>
      </c>
    </row>
    <row r="9">
      <c r="A9" s="13" t="inlineStr">
        <is>
          <t>液氯 (外购)</t>
        </is>
      </c>
      <c r="B9" s="11" t="inlineStr">
        <is>
          <t>原料</t>
        </is>
      </c>
      <c r="C9" s="18">
        <f>'01_参数与单耗'!C17</f>
        <v/>
      </c>
      <c r="D9" s="27">
        <f>'01_参数与单耗'!E17</f>
        <v/>
      </c>
      <c r="E9" s="18">
        <f>'01_参数与单耗'!F17</f>
        <v/>
      </c>
      <c r="F9" s="27">
        <f>'01_参数与单耗'!G17</f>
        <v/>
      </c>
      <c r="G9" s="28">
        <f>ROUND(E9*F9,2)</f>
        <v/>
      </c>
      <c r="H9" s="29">
        <f>IF(SUMIF($B$5:$B$15,"原料",$G$5:$G$15)=0,"—",G9/SUMIF($B$5:$B$15,"原料",$G$5:$G$15))</f>
        <v/>
      </c>
      <c r="I9" s="30">
        <f>IF($G$22=0,"—",G9/$G$22)</f>
        <v/>
      </c>
    </row>
    <row r="10">
      <c r="A10" s="13" t="inlineStr">
        <is>
          <t>氯化氢气体 (HCl)</t>
        </is>
      </c>
      <c r="B10" s="11" t="inlineStr">
        <is>
          <t>辅料</t>
        </is>
      </c>
      <c r="C10" s="18">
        <f>'01_参数与单耗'!C18</f>
        <v/>
      </c>
      <c r="D10" s="27">
        <f>'01_参数与单耗'!E18</f>
        <v/>
      </c>
      <c r="E10" s="18">
        <f>'01_参数与单耗'!F18</f>
        <v/>
      </c>
      <c r="F10" s="27">
        <f>'01_参数与单耗'!G18</f>
        <v/>
      </c>
      <c r="G10" s="28">
        <f>ROUND(E10*F10,2)</f>
        <v/>
      </c>
      <c r="H10" s="29">
        <f>IF(SUMIF($B$5:$B$15,"原料",$G$5:$G$15)=0,"—",G10/SUMIF($B$5:$B$15,"原料",$G$5:$G$15))</f>
        <v/>
      </c>
      <c r="I10" s="30">
        <f>IF($G$22=0,"—",G10/$G$22)</f>
        <v/>
      </c>
    </row>
    <row r="11">
      <c r="A11" s="13" t="inlineStr">
        <is>
          <t>汞触媒(低汞/无汞)</t>
        </is>
      </c>
      <c r="B11" s="11" t="inlineStr">
        <is>
          <t>辅料</t>
        </is>
      </c>
      <c r="C11" s="18">
        <f>'01_参数与单耗'!C19</f>
        <v/>
      </c>
      <c r="D11" s="27">
        <f>'01_参数与单耗'!E19</f>
        <v/>
      </c>
      <c r="E11" s="18">
        <f>'01_参数与单耗'!F19</f>
        <v/>
      </c>
      <c r="F11" s="27">
        <f>'01_参数与单耗'!G19</f>
        <v/>
      </c>
      <c r="G11" s="28">
        <f>ROUND(E11*F11,2)</f>
        <v/>
      </c>
      <c r="H11" s="29">
        <f>IF(SUMIF($B$5:$B$15,"原料",$G$5:$G$15)=0,"—",G11/SUMIF($B$5:$B$15,"原料",$G$5:$G$15))</f>
        <v/>
      </c>
      <c r="I11" s="30">
        <f>IF($G$22=0,"—",G11/$G$22)</f>
        <v/>
      </c>
    </row>
    <row r="12">
      <c r="A12" s="13" t="inlineStr">
        <is>
          <t>引发剂/分散剂/助剂</t>
        </is>
      </c>
      <c r="B12" s="11" t="inlineStr">
        <is>
          <t>辅料</t>
        </is>
      </c>
      <c r="C12" s="18">
        <f>'01_参数与单耗'!C20</f>
        <v/>
      </c>
      <c r="D12" s="27">
        <f>'01_参数与单耗'!E20</f>
        <v/>
      </c>
      <c r="E12" s="18">
        <f>'01_参数与单耗'!F20</f>
        <v/>
      </c>
      <c r="F12" s="27">
        <f>'01_参数与单耗'!G20</f>
        <v/>
      </c>
      <c r="G12" s="28">
        <f>ROUND(E12*F12,2)</f>
        <v/>
      </c>
      <c r="H12" s="29">
        <f>IF(SUMIF($B$5:$B$15,"原料",$G$5:$G$15)=0,"—",G12/SUMIF($B$5:$B$15,"原料",$G$5:$G$15))</f>
        <v/>
      </c>
      <c r="I12" s="30">
        <f>IF($G$22=0,"—",G12/$G$22)</f>
        <v/>
      </c>
    </row>
    <row r="13">
      <c r="A13" s="13" t="inlineStr">
        <is>
          <t>PVC 装置电耗</t>
        </is>
      </c>
      <c r="B13" s="11" t="inlineStr">
        <is>
          <t>能源</t>
        </is>
      </c>
      <c r="C13" s="18">
        <f>'01_参数与单耗'!C21</f>
        <v/>
      </c>
      <c r="D13" s="27">
        <f>'01_参数与单耗'!E21</f>
        <v/>
      </c>
      <c r="E13" s="18">
        <f>'01_参数与单耗'!F21</f>
        <v/>
      </c>
      <c r="F13" s="27">
        <f>'01_参数与单耗'!G21</f>
        <v/>
      </c>
      <c r="G13" s="28">
        <f>ROUND(E13*F13,2)</f>
        <v/>
      </c>
      <c r="H13" s="29">
        <f>IF(SUMIF($B$5:$B$15,"原料",$G$5:$G$15)=0,"—",G13/SUMIF($B$5:$B$15,"原料",$G$5:$G$15))</f>
        <v/>
      </c>
      <c r="I13" s="30">
        <f>IF($G$22=0,"—",G13/$G$22)</f>
        <v/>
      </c>
    </row>
    <row r="14">
      <c r="A14" s="13" t="inlineStr">
        <is>
          <t>蒸汽 (1.0MPa)</t>
        </is>
      </c>
      <c r="B14" s="11" t="inlineStr">
        <is>
          <t>能源</t>
        </is>
      </c>
      <c r="C14" s="18">
        <f>'01_参数与单耗'!C22</f>
        <v/>
      </c>
      <c r="D14" s="27">
        <f>'01_参数与单耗'!E22</f>
        <v/>
      </c>
      <c r="E14" s="18">
        <f>'01_参数与单耗'!F22</f>
        <v/>
      </c>
      <c r="F14" s="27">
        <f>'01_参数与单耗'!G22</f>
        <v/>
      </c>
      <c r="G14" s="28">
        <f>ROUND(E14*F14,2)</f>
        <v/>
      </c>
      <c r="H14" s="29">
        <f>IF(SUMIF($B$5:$B$15,"原料",$G$5:$G$15)=0,"—",G14/SUMIF($B$5:$B$15,"原料",$G$5:$G$15))</f>
        <v/>
      </c>
      <c r="I14" s="30">
        <f>IF($G$22=0,"—",G14/$G$22)</f>
        <v/>
      </c>
    </row>
    <row r="15">
      <c r="A15" s="13" t="inlineStr">
        <is>
          <t>电石电耗(一体化口径)</t>
        </is>
      </c>
      <c r="B15" s="11" t="inlineStr">
        <is>
          <t>能源</t>
        </is>
      </c>
      <c r="C15" s="18">
        <f>'01_参数与单耗'!C23</f>
        <v/>
      </c>
      <c r="D15" s="27">
        <f>'01_参数与单耗'!E23</f>
        <v/>
      </c>
      <c r="E15" s="18">
        <f>'01_参数与单耗'!F23</f>
        <v/>
      </c>
      <c r="F15" s="27">
        <f>'01_参数与单耗'!G23</f>
        <v/>
      </c>
      <c r="G15" s="28">
        <f>ROUND(E15*F15,2)</f>
        <v/>
      </c>
      <c r="H15" s="29">
        <f>IF(SUMIF($B$5:$B$15,"原料",$G$5:$G$15)=0,"—",G15/SUMIF($B$5:$B$15,"原料",$G$5:$G$15))</f>
        <v/>
      </c>
      <c r="I15" s="30">
        <f>IF($G$22=0,"—",G15/$G$22)</f>
        <v/>
      </c>
    </row>
    <row r="16">
      <c r="A16" s="13" t="inlineStr">
        <is>
          <t>联产烧碱收益</t>
        </is>
      </c>
      <c r="B16" s="11" t="inlineStr">
        <is>
          <t>副产</t>
        </is>
      </c>
      <c r="C16" s="21" t="n"/>
      <c r="D16" s="21" t="n"/>
      <c r="E16" s="21" t="n"/>
      <c r="F16" s="21" t="n"/>
      <c r="G16" s="28">
        <f>IF('01_参数与单耗'!$B$25="是",'01_参数与单耗'!I24,0)</f>
        <v/>
      </c>
      <c r="H16" s="11" t="inlineStr">
        <is>
          <t>抵减</t>
        </is>
      </c>
      <c r="I16" s="21" t="n"/>
    </row>
    <row r="18">
      <c r="A18" s="9" t="inlineStr">
        <is>
          <t>原料成本小计（已按收率修正）</t>
        </is>
      </c>
      <c r="B18" s="21" t="n"/>
      <c r="C18" s="21" t="n"/>
      <c r="D18" s="21" t="n"/>
      <c r="E18" s="21" t="n"/>
      <c r="F18" s="21" t="n"/>
      <c r="G18" s="31">
        <f>SUMIF($B$5:$B$15,"原料",$G$5:$G$15)</f>
        <v/>
      </c>
      <c r="H18" s="21" t="n"/>
      <c r="I18" s="21" t="n"/>
    </row>
    <row r="19">
      <c r="A19" s="9" t="inlineStr">
        <is>
          <t>能源成本小计</t>
        </is>
      </c>
      <c r="B19" s="21" t="n"/>
      <c r="C19" s="21" t="n"/>
      <c r="D19" s="21" t="n"/>
      <c r="E19" s="21" t="n"/>
      <c r="F19" s="21" t="n"/>
      <c r="G19" s="31">
        <f>SUMIF($B$5:$B$15,"能源",$G$5:$G$15)</f>
        <v/>
      </c>
      <c r="H19" s="21" t="n"/>
      <c r="I19" s="21" t="n"/>
    </row>
    <row r="20">
      <c r="A20" s="9" t="inlineStr">
        <is>
          <t>辅料成本小计</t>
        </is>
      </c>
      <c r="B20" s="21" t="n"/>
      <c r="C20" s="21" t="n"/>
      <c r="D20" s="21" t="n"/>
      <c r="E20" s="21" t="n"/>
      <c r="F20" s="21" t="n"/>
      <c r="G20" s="31">
        <f>SUMIF($B$5:$B$15,"辅料",$G$5:$G$15)</f>
        <v/>
      </c>
      <c r="H20" s="21" t="n"/>
      <c r="I20" s="21" t="n"/>
    </row>
    <row r="21">
      <c r="A21" s="9" t="inlineStr">
        <is>
          <t>制造费用合计</t>
        </is>
      </c>
      <c r="B21" s="21" t="n"/>
      <c r="C21" s="21" t="n"/>
      <c r="D21" s="21" t="n"/>
      <c r="E21" s="21" t="n"/>
      <c r="F21" s="21" t="n"/>
      <c r="G21" s="31">
        <f>IF('01_参数与单耗'!$B$34="是",'01_参数与单耗'!$B$33,0)</f>
        <v/>
      </c>
      <c r="H21" s="21" t="n"/>
      <c r="I21" s="21" t="n"/>
    </row>
    <row r="22">
      <c r="A22" s="32" t="inlineStr">
        <is>
          <t>总制成成本</t>
        </is>
      </c>
      <c r="B22" s="21" t="n"/>
      <c r="C22" s="21" t="n"/>
      <c r="D22" s="21" t="n"/>
      <c r="E22" s="21" t="n"/>
      <c r="F22" s="21" t="n"/>
      <c r="G22" s="33">
        <f>G18-G16+G19+G20+G21</f>
        <v/>
      </c>
      <c r="H22" s="21" t="n"/>
      <c r="I22" s="21" t="n"/>
    </row>
  </sheetData>
  <mergeCells count="7">
    <mergeCell ref="A2:I2"/>
    <mergeCell ref="A19:F19"/>
    <mergeCell ref="A1:I1"/>
    <mergeCell ref="A22:F22"/>
    <mergeCell ref="A18:F18"/>
    <mergeCell ref="A20:F20"/>
    <mergeCell ref="A21:F2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74" customWidth="1" min="4" max="4"/>
  </cols>
  <sheetData>
    <row r="1" ht="30" customHeight="1">
      <c r="A1" s="1" t="inlineStr">
        <is>
          <t>03 三层指标：加工价差 / 制造利润 / 企业实际利润（不输出）</t>
        </is>
      </c>
    </row>
    <row r="2" ht="26" customHeight="1">
      <c r="A2" s="2" t="inlineStr">
        <is>
          <t>严格分离。① 价差只扣原料；② 利润再扣能源辅料制造；③ 企业实际利润需内部数据，本表留空并说明原因。</t>
        </is>
      </c>
    </row>
    <row r="4" ht="30" customHeight="1">
      <c r="A4" s="6" t="inlineStr">
        <is>
          <t>指标</t>
        </is>
      </c>
      <c r="B4" s="6" t="inlineStr">
        <is>
          <t>数值</t>
        </is>
      </c>
      <c r="C4" s="6" t="inlineStr">
        <is>
          <t>单位</t>
        </is>
      </c>
      <c r="D4" s="6" t="inlineStr">
        <is>
          <t>口径说明</t>
        </is>
      </c>
    </row>
    <row r="5" ht="22" customHeight="1">
      <c r="A5" s="9" t="inlineStr">
        <is>
          <t>产品含税售价  P</t>
        </is>
      </c>
      <c r="B5" s="31">
        <f>'01_参数与单耗'!$B$7</f>
        <v/>
      </c>
      <c r="C5" s="11" t="inlineStr">
        <is>
          <t>元/吨</t>
        </is>
      </c>
      <c r="D5" s="34" t="inlineStr">
        <is>
          <t>生意社 PVC(SG-5) 现货基准价</t>
        </is>
      </c>
    </row>
    <row r="6" ht="22" customHeight="1">
      <c r="A6" s="13" t="inlineStr">
        <is>
          <t>① 原料成本（含收率修正）</t>
        </is>
      </c>
      <c r="B6" s="31">
        <f>'02_成本构成'!$G$18</f>
        <v/>
      </c>
      <c r="C6" s="11" t="inlineStr">
        <is>
          <t>元/吨</t>
        </is>
      </c>
      <c r="D6" s="34" t="inlineStr">
        <is>
          <t>逐项见 02 表</t>
        </is>
      </c>
    </row>
    <row r="7" ht="22" customHeight="1">
      <c r="A7" s="13" t="inlineStr">
        <is>
          <t>①b 联产烧碱抵减</t>
        </is>
      </c>
      <c r="B7" s="31">
        <f>-'02_成本构成'!$G$16</f>
        <v/>
      </c>
      <c r="C7" s="11" t="inlineStr">
        <is>
          <t>元/吨</t>
        </is>
      </c>
      <c r="D7" s="34" t="inlineStr">
        <is>
          <t>仅在"是否计入"填是时生效</t>
        </is>
      </c>
    </row>
    <row r="8" ht="22" customHeight="1">
      <c r="A8" s="9" t="inlineStr">
        <is>
          <t>② 理论加工价差  = P − ① (+①b)</t>
        </is>
      </c>
      <c r="B8" s="35">
        <f>B5-B6-B7</f>
        <v/>
      </c>
      <c r="C8" s="11" t="inlineStr">
        <is>
          <t>元/吨</t>
        </is>
      </c>
      <c r="D8" s="34" t="inlineStr">
        <is>
          <t>★ 本指标只反映原料→产品的转换价差</t>
        </is>
      </c>
    </row>
    <row r="9" ht="22" customHeight="1">
      <c r="A9" s="13" t="inlineStr">
        <is>
          <t>③ 能源成本</t>
        </is>
      </c>
      <c r="B9" s="31">
        <f>'02_成本构成'!$G$19</f>
        <v/>
      </c>
      <c r="C9" s="11" t="inlineStr">
        <is>
          <t>元/吨</t>
        </is>
      </c>
      <c r="D9" s="34" t="inlineStr">
        <is>
          <t>电 + 汽</t>
        </is>
      </c>
    </row>
    <row r="10" ht="22" customHeight="1">
      <c r="A10" s="13" t="inlineStr">
        <is>
          <t>④ 辅料成本</t>
        </is>
      </c>
      <c r="B10" s="31">
        <f>'02_成本构成'!$G$20</f>
        <v/>
      </c>
      <c r="C10" s="11" t="inlineStr">
        <is>
          <t>元/吨</t>
        </is>
      </c>
      <c r="D10" s="34" t="inlineStr">
        <is>
          <t>HCl + 触媒 + 助剂</t>
        </is>
      </c>
    </row>
    <row r="11" ht="22" customHeight="1">
      <c r="A11" s="13" t="inlineStr">
        <is>
          <t>⑤ 制造费用</t>
        </is>
      </c>
      <c r="B11" s="31">
        <f>'02_成本构成'!$G$21</f>
        <v/>
      </c>
      <c r="C11" s="11" t="inlineStr">
        <is>
          <t>元/吨</t>
        </is>
      </c>
      <c r="D11" s="34" t="inlineStr">
        <is>
          <t>折旧+人工+包装+其他</t>
        </is>
      </c>
    </row>
    <row r="12" ht="22" customHeight="1">
      <c r="A12" s="9" t="inlineStr">
        <is>
          <t>⑥ 理论制造利润 = ② − ③④⑤</t>
        </is>
      </c>
      <c r="B12" s="35">
        <f>B8-B9-B10-B11</f>
        <v/>
      </c>
      <c r="C12" s="11" t="inlineStr">
        <is>
          <t>元/吨</t>
        </is>
      </c>
      <c r="D12" s="34" t="inlineStr">
        <is>
          <t>★ 仍不是企业净利润</t>
        </is>
      </c>
    </row>
    <row r="13" ht="22" customHeight="1">
      <c r="A13" s="13" t="inlineStr">
        <is>
          <t>理论总制成成本（不含产品价）</t>
        </is>
      </c>
      <c r="B13" s="31">
        <f>'02_成本构成'!$G$22</f>
        <v/>
      </c>
      <c r="C13" s="11" t="inlineStr">
        <is>
          <t>元/吨</t>
        </is>
      </c>
      <c r="D13" s="34">
        <f> ①+①b+③+④+⑤</f>
        <v/>
      </c>
    </row>
    <row r="14" ht="22" customHeight="1">
      <c r="A14" s="13" t="inlineStr">
        <is>
          <t>理论销售利润率</t>
        </is>
      </c>
      <c r="B14" s="36">
        <f>IF(B5=0,0,B12/B5)</f>
        <v/>
      </c>
      <c r="C14" s="11" t="inlineStr">
        <is>
          <t>%</t>
        </is>
      </c>
      <c r="D14" s="34">
        <f> ⑥ ÷ P</f>
        <v/>
      </c>
    </row>
    <row r="16" ht="22" customHeight="1">
      <c r="A16" s="37" t="inlineStr">
        <is>
          <t>为什么不能把②或⑥叫“企业净利润”</t>
        </is>
      </c>
      <c r="B16" s="38" t="n"/>
      <c r="C16" s="38" t="n"/>
      <c r="D16" s="39" t="n"/>
    </row>
    <row r="17" ht="30" customHeight="1">
      <c r="A17" s="5" t="inlineStr">
        <is>
          <t>· ② 加工价差 不扣除电价、汽价、催化剂、人工、折旧、包装——它只是"买原料、卖产品"的价格差。</t>
        </is>
      </c>
    </row>
    <row r="18" ht="30" customHeight="1">
      <c r="A18" s="5" t="inlineStr">
        <is>
          <t>· ⑥ 理论制造利润 扣的是"能核实的制造环节费用"，仍未扣财务费用（利息）、销售费用与物流、增值税进销差、检修与开停车损失、环保处置、所得税。</t>
        </is>
      </c>
    </row>
    <row r="19" ht="30" customHeight="1">
      <c r="A19" s="5" t="inlineStr">
        <is>
          <t>· ⑦ 企业实际利润 只有拿到该企业的成本表、费用表与销售价格才能算；用行业均价反推"某企业赚了多少"是最常见的错误用法。</t>
        </is>
      </c>
    </row>
    <row r="20" ht="30" customHeight="1">
      <c r="A20" s="5" t="inlineStr">
        <is>
          <t>· 本模型对 ⑦ 的态度是：明确留空 + 说明缺什么数据，而不是给一个看起来精确的数字。</t>
        </is>
      </c>
    </row>
  </sheetData>
  <mergeCells count="7">
    <mergeCell ref="A2:F2"/>
    <mergeCell ref="A17:D17"/>
    <mergeCell ref="A18:D18"/>
    <mergeCell ref="A1:F1"/>
    <mergeCell ref="A20:D20"/>
    <mergeCell ref="A16:D16"/>
    <mergeCell ref="A19:D19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  <col width="34" customWidth="1" min="9" max="9"/>
    <col width="13" customWidth="1" min="10" max="10"/>
    <col width="13" customWidth="1" min="11" max="11"/>
    <col width="11" customWidth="1" min="12" max="12"/>
  </cols>
  <sheetData>
    <row r="1" ht="30" customHeight="1">
      <c r="A1" s="1" t="inlineStr">
        <is>
          <t>04 近 1 年价格序列（2025-10-20 ～ 2026-10-19，242 个交易日）</t>
        </is>
      </c>
    </row>
    <row r="2" ht="26" customHeight="1">
      <c r="A2" s="2" t="inlineStr">
        <is>
          <t>PVC 价格：有现货用现货(spot)，否则用期货主力收盘+平均基差(proxy)。电石：有现货用现货，否则锚点插值(interp)。空白=无可靠价格。</t>
        </is>
      </c>
    </row>
    <row r="4" ht="30" customHeight="1">
      <c r="A4" s="6" t="inlineStr">
        <is>
          <t>日期</t>
        </is>
      </c>
      <c r="B4" s="6" t="inlineStr">
        <is>
          <t>PVC 现货</t>
        </is>
      </c>
      <c r="C4" s="6" t="inlineStr">
        <is>
          <t>PVC 期货收盘</t>
        </is>
      </c>
      <c r="D4" s="6" t="inlineStr">
        <is>
          <t>PVC 期货结算</t>
        </is>
      </c>
      <c r="E4" s="6" t="inlineStr">
        <is>
          <t>PVC 采用价</t>
        </is>
      </c>
      <c r="F4" s="6" t="inlineStr">
        <is>
          <t>价格类型</t>
        </is>
      </c>
      <c r="G4" s="6" t="inlineStr">
        <is>
          <t>电石到厂价</t>
        </is>
      </c>
      <c r="H4" s="6" t="inlineStr">
        <is>
          <t>电石类型</t>
        </is>
      </c>
      <c r="I4" s="6" t="inlineStr">
        <is>
          <t>电石锚点说明</t>
        </is>
      </c>
      <c r="J4" s="6" t="inlineStr">
        <is>
          <t>理论加工价差</t>
        </is>
      </c>
      <c r="K4" s="6" t="inlineStr">
        <is>
          <t>理论制造利润</t>
        </is>
      </c>
      <c r="L4" s="6" t="inlineStr">
        <is>
          <t>烧碱价格</t>
        </is>
      </c>
    </row>
    <row r="5">
      <c r="A5" s="11" t="inlineStr">
        <is>
          <t>2025-10-20</t>
        </is>
      </c>
      <c r="B5" s="20" t="n"/>
      <c r="C5" s="20" t="n"/>
      <c r="D5" s="20" t="n"/>
      <c r="E5" s="20" t="n">
        <v>4582.3</v>
      </c>
      <c r="F5" s="11" t="inlineStr">
        <is>
          <t>期货代理</t>
        </is>
      </c>
      <c r="G5" s="20" t="n"/>
      <c r="H5" s="11" t="inlineStr"/>
      <c r="I5" s="11" t="inlineStr"/>
      <c r="J5" s="20" t="n"/>
      <c r="K5" s="20" t="n"/>
      <c r="L5" s="20" t="n"/>
    </row>
    <row r="6">
      <c r="A6" s="11" t="inlineStr">
        <is>
          <t>2025-10-21</t>
        </is>
      </c>
      <c r="B6" s="20" t="n"/>
      <c r="C6" s="20" t="n"/>
      <c r="D6" s="20" t="n"/>
      <c r="E6" s="20" t="n">
        <v>4579.3</v>
      </c>
      <c r="F6" s="11" t="inlineStr">
        <is>
          <t>期货代理</t>
        </is>
      </c>
      <c r="G6" s="20" t="n"/>
      <c r="H6" s="11" t="inlineStr"/>
      <c r="I6" s="11" t="inlineStr"/>
      <c r="J6" s="20" t="n"/>
      <c r="K6" s="20" t="n"/>
      <c r="L6" s="20" t="n"/>
    </row>
    <row r="7">
      <c r="A7" s="11" t="inlineStr">
        <is>
          <t>2025-10-22</t>
        </is>
      </c>
      <c r="B7" s="20" t="n"/>
      <c r="C7" s="20" t="n"/>
      <c r="D7" s="20" t="n"/>
      <c r="E7" s="20" t="n">
        <v>4599.3</v>
      </c>
      <c r="F7" s="11" t="inlineStr">
        <is>
          <t>期货代理</t>
        </is>
      </c>
      <c r="G7" s="20" t="n"/>
      <c r="H7" s="11" t="inlineStr"/>
      <c r="I7" s="11" t="inlineStr"/>
      <c r="J7" s="20" t="n"/>
      <c r="K7" s="20" t="n"/>
      <c r="L7" s="20" t="n"/>
    </row>
    <row r="8">
      <c r="A8" s="11" t="inlineStr">
        <is>
          <t>2025-10-23</t>
        </is>
      </c>
      <c r="B8" s="20" t="n"/>
      <c r="C8" s="20" t="n"/>
      <c r="D8" s="20" t="n"/>
      <c r="E8" s="20" t="n">
        <v>4610.3</v>
      </c>
      <c r="F8" s="11" t="inlineStr">
        <is>
          <t>期货代理</t>
        </is>
      </c>
      <c r="G8" s="20" t="n"/>
      <c r="H8" s="11" t="inlineStr"/>
      <c r="I8" s="11" t="inlineStr"/>
      <c r="J8" s="20" t="n"/>
      <c r="K8" s="20" t="n"/>
      <c r="L8" s="20" t="n"/>
    </row>
    <row r="9">
      <c r="A9" s="11" t="inlineStr">
        <is>
          <t>2025-10-24</t>
        </is>
      </c>
      <c r="B9" s="20" t="n"/>
      <c r="C9" s="20" t="n"/>
      <c r="D9" s="20" t="n"/>
      <c r="E9" s="20" t="n">
        <v>4588.3</v>
      </c>
      <c r="F9" s="11" t="inlineStr">
        <is>
          <t>期货代理</t>
        </is>
      </c>
      <c r="G9" s="20" t="n"/>
      <c r="H9" s="11" t="inlineStr"/>
      <c r="I9" s="11" t="inlineStr"/>
      <c r="J9" s="20" t="n"/>
      <c r="K9" s="20" t="n"/>
      <c r="L9" s="20" t="n"/>
    </row>
    <row r="10">
      <c r="A10" s="11" t="inlineStr">
        <is>
          <t>2025-10-27</t>
        </is>
      </c>
      <c r="B10" s="20" t="n"/>
      <c r="C10" s="20" t="n"/>
      <c r="D10" s="20" t="n"/>
      <c r="E10" s="20" t="n">
        <v>4626.3</v>
      </c>
      <c r="F10" s="11" t="inlineStr">
        <is>
          <t>期货代理</t>
        </is>
      </c>
      <c r="G10" s="20" t="n"/>
      <c r="H10" s="11" t="inlineStr"/>
      <c r="I10" s="11" t="inlineStr"/>
      <c r="J10" s="20" t="n"/>
      <c r="K10" s="20" t="n"/>
      <c r="L10" s="20" t="n"/>
    </row>
    <row r="11">
      <c r="A11" s="11" t="inlineStr">
        <is>
          <t>2025-10-28</t>
        </is>
      </c>
      <c r="B11" s="20" t="n"/>
      <c r="C11" s="20" t="n"/>
      <c r="D11" s="20" t="n"/>
      <c r="E11" s="20" t="n">
        <v>4596.3</v>
      </c>
      <c r="F11" s="11" t="inlineStr">
        <is>
          <t>期货代理</t>
        </is>
      </c>
      <c r="G11" s="20" t="n"/>
      <c r="H11" s="11" t="inlineStr"/>
      <c r="I11" s="11" t="inlineStr"/>
      <c r="J11" s="20" t="n"/>
      <c r="K11" s="20" t="n"/>
      <c r="L11" s="20" t="n"/>
    </row>
    <row r="12">
      <c r="A12" s="11" t="inlineStr">
        <is>
          <t>2025-10-29</t>
        </is>
      </c>
      <c r="B12" s="20" t="n"/>
      <c r="C12" s="20" t="n"/>
      <c r="D12" s="20" t="n"/>
      <c r="E12" s="20" t="n">
        <v>4655.3</v>
      </c>
      <c r="F12" s="11" t="inlineStr">
        <is>
          <t>期货代理</t>
        </is>
      </c>
      <c r="G12" s="20" t="n"/>
      <c r="H12" s="11" t="inlineStr"/>
      <c r="I12" s="11" t="inlineStr"/>
      <c r="J12" s="20" t="n"/>
      <c r="K12" s="20" t="n"/>
      <c r="L12" s="20" t="n"/>
    </row>
    <row r="13">
      <c r="A13" s="11" t="inlineStr">
        <is>
          <t>2025-10-30</t>
        </is>
      </c>
      <c r="B13" s="20" t="n"/>
      <c r="C13" s="20" t="n"/>
      <c r="D13" s="20" t="n"/>
      <c r="E13" s="20" t="n">
        <v>4646.3</v>
      </c>
      <c r="F13" s="11" t="inlineStr">
        <is>
          <t>期货代理</t>
        </is>
      </c>
      <c r="G13" s="20" t="n"/>
      <c r="H13" s="11" t="inlineStr"/>
      <c r="I13" s="11" t="inlineStr"/>
      <c r="J13" s="20" t="n"/>
      <c r="K13" s="20" t="n"/>
      <c r="L13" s="20" t="n"/>
    </row>
    <row r="14">
      <c r="A14" s="11" t="inlineStr">
        <is>
          <t>2025-10-31</t>
        </is>
      </c>
      <c r="B14" s="20" t="n"/>
      <c r="C14" s="20" t="n"/>
      <c r="D14" s="20" t="n"/>
      <c r="E14" s="20" t="n">
        <v>4581.3</v>
      </c>
      <c r="F14" s="11" t="inlineStr">
        <is>
          <t>期货代理</t>
        </is>
      </c>
      <c r="G14" s="20" t="n"/>
      <c r="H14" s="11" t="inlineStr"/>
      <c r="I14" s="11" t="inlineStr"/>
      <c r="J14" s="20" t="n"/>
      <c r="K14" s="20" t="n"/>
      <c r="L14" s="20" t="n"/>
    </row>
    <row r="15">
      <c r="A15" s="11" t="inlineStr">
        <is>
          <t>2025-11-03</t>
        </is>
      </c>
      <c r="B15" s="20" t="n"/>
      <c r="C15" s="20" t="n"/>
      <c r="D15" s="20" t="n"/>
      <c r="E15" s="20" t="n">
        <v>4560.3</v>
      </c>
      <c r="F15" s="11" t="inlineStr">
        <is>
          <t>期货代理</t>
        </is>
      </c>
      <c r="G15" s="20" t="n"/>
      <c r="H15" s="11" t="inlineStr"/>
      <c r="I15" s="11" t="inlineStr"/>
      <c r="J15" s="20" t="n"/>
      <c r="K15" s="20" t="n"/>
      <c r="L15" s="20" t="n"/>
    </row>
    <row r="16">
      <c r="A16" s="11" t="inlineStr">
        <is>
          <t>2025-11-04</t>
        </is>
      </c>
      <c r="B16" s="20" t="n"/>
      <c r="C16" s="20" t="n"/>
      <c r="D16" s="20" t="n"/>
      <c r="E16" s="20" t="n">
        <v>4550.3</v>
      </c>
      <c r="F16" s="11" t="inlineStr">
        <is>
          <t>期货代理</t>
        </is>
      </c>
      <c r="G16" s="20" t="n"/>
      <c r="H16" s="11" t="inlineStr"/>
      <c r="I16" s="11" t="inlineStr"/>
      <c r="J16" s="20" t="n"/>
      <c r="K16" s="20" t="n"/>
      <c r="L16" s="20" t="n"/>
    </row>
    <row r="17">
      <c r="A17" s="11" t="inlineStr">
        <is>
          <t>2025-11-05</t>
        </is>
      </c>
      <c r="B17" s="20" t="n"/>
      <c r="C17" s="20" t="n"/>
      <c r="D17" s="20" t="n"/>
      <c r="E17" s="20" t="n">
        <v>4518.3</v>
      </c>
      <c r="F17" s="11" t="inlineStr">
        <is>
          <t>期货代理</t>
        </is>
      </c>
      <c r="G17" s="20" t="n"/>
      <c r="H17" s="11" t="inlineStr"/>
      <c r="I17" s="11" t="inlineStr"/>
      <c r="J17" s="20" t="n"/>
      <c r="K17" s="20" t="n"/>
      <c r="L17" s="20" t="n"/>
    </row>
    <row r="18">
      <c r="A18" s="11" t="inlineStr">
        <is>
          <t>2025-11-06</t>
        </is>
      </c>
      <c r="B18" s="20" t="n"/>
      <c r="C18" s="20" t="n"/>
      <c r="D18" s="20" t="n"/>
      <c r="E18" s="20" t="n">
        <v>4510.3</v>
      </c>
      <c r="F18" s="11" t="inlineStr">
        <is>
          <t>期货代理</t>
        </is>
      </c>
      <c r="G18" s="20" t="n"/>
      <c r="H18" s="11" t="inlineStr"/>
      <c r="I18" s="11" t="inlineStr"/>
      <c r="J18" s="20" t="n"/>
      <c r="K18" s="20" t="n"/>
      <c r="L18" s="20" t="n"/>
    </row>
    <row r="19">
      <c r="A19" s="11" t="inlineStr">
        <is>
          <t>2025-11-07</t>
        </is>
      </c>
      <c r="B19" s="20" t="n"/>
      <c r="C19" s="20" t="n"/>
      <c r="D19" s="20" t="n"/>
      <c r="E19" s="20" t="n">
        <v>4491.3</v>
      </c>
      <c r="F19" s="11" t="inlineStr">
        <is>
          <t>期货代理</t>
        </is>
      </c>
      <c r="G19" s="20" t="n"/>
      <c r="H19" s="11" t="inlineStr"/>
      <c r="I19" s="11" t="inlineStr"/>
      <c r="J19" s="20" t="n"/>
      <c r="K19" s="20" t="n"/>
      <c r="L19" s="20" t="n"/>
    </row>
    <row r="20">
      <c r="A20" s="11" t="inlineStr">
        <is>
          <t>2025-11-10</t>
        </is>
      </c>
      <c r="B20" s="20" t="n"/>
      <c r="C20" s="20" t="n"/>
      <c r="D20" s="20" t="n"/>
      <c r="E20" s="20" t="n">
        <v>4494.3</v>
      </c>
      <c r="F20" s="11" t="inlineStr">
        <is>
          <t>期货代理</t>
        </is>
      </c>
      <c r="G20" s="20" t="n"/>
      <c r="H20" s="11" t="inlineStr"/>
      <c r="I20" s="11" t="inlineStr"/>
      <c r="J20" s="20" t="n"/>
      <c r="K20" s="20" t="n"/>
      <c r="L20" s="20" t="n"/>
    </row>
    <row r="21">
      <c r="A21" s="11" t="inlineStr">
        <is>
          <t>2025-11-11</t>
        </is>
      </c>
      <c r="B21" s="20" t="n"/>
      <c r="C21" s="20" t="n"/>
      <c r="D21" s="20" t="n"/>
      <c r="E21" s="20" t="n">
        <v>4452.3</v>
      </c>
      <c r="F21" s="11" t="inlineStr">
        <is>
          <t>期货代理</t>
        </is>
      </c>
      <c r="G21" s="20" t="n"/>
      <c r="H21" s="11" t="inlineStr"/>
      <c r="I21" s="11" t="inlineStr"/>
      <c r="J21" s="20" t="n"/>
      <c r="K21" s="20" t="n"/>
      <c r="L21" s="20" t="n"/>
    </row>
    <row r="22">
      <c r="A22" s="11" t="inlineStr">
        <is>
          <t>2025-11-12</t>
        </is>
      </c>
      <c r="B22" s="20" t="n"/>
      <c r="C22" s="20" t="n"/>
      <c r="D22" s="20" t="n"/>
      <c r="E22" s="20" t="n">
        <v>4461.3</v>
      </c>
      <c r="F22" s="11" t="inlineStr">
        <is>
          <t>期货代理</t>
        </is>
      </c>
      <c r="G22" s="20" t="n"/>
      <c r="H22" s="11" t="inlineStr"/>
      <c r="I22" s="11" t="inlineStr"/>
      <c r="J22" s="20" t="n"/>
      <c r="K22" s="20" t="n"/>
      <c r="L22" s="20" t="n"/>
    </row>
    <row r="23">
      <c r="A23" s="11" t="inlineStr">
        <is>
          <t>2025-11-13</t>
        </is>
      </c>
      <c r="B23" s="20" t="n"/>
      <c r="C23" s="20" t="n"/>
      <c r="D23" s="20" t="n"/>
      <c r="E23" s="20" t="n">
        <v>4466.3</v>
      </c>
      <c r="F23" s="11" t="inlineStr">
        <is>
          <t>期货代理</t>
        </is>
      </c>
      <c r="G23" s="20" t="n"/>
      <c r="H23" s="11" t="inlineStr"/>
      <c r="I23" s="11" t="inlineStr"/>
      <c r="J23" s="20" t="n"/>
      <c r="K23" s="20" t="n"/>
      <c r="L23" s="20" t="n"/>
    </row>
    <row r="24">
      <c r="A24" s="11" t="inlineStr">
        <is>
          <t>2025-11-14</t>
        </is>
      </c>
      <c r="B24" s="20" t="n"/>
      <c r="C24" s="20" t="n"/>
      <c r="D24" s="20" t="n"/>
      <c r="E24" s="20" t="n">
        <v>4488.3</v>
      </c>
      <c r="F24" s="11" t="inlineStr">
        <is>
          <t>期货代理</t>
        </is>
      </c>
      <c r="G24" s="20" t="n"/>
      <c r="H24" s="11" t="inlineStr"/>
      <c r="I24" s="11" t="inlineStr"/>
      <c r="J24" s="20" t="n"/>
      <c r="K24" s="20" t="n"/>
      <c r="L24" s="20" t="n"/>
    </row>
    <row r="25">
      <c r="A25" s="11" t="inlineStr">
        <is>
          <t>2025-11-17</t>
        </is>
      </c>
      <c r="B25" s="20" t="n"/>
      <c r="C25" s="20" t="n"/>
      <c r="D25" s="20" t="n"/>
      <c r="E25" s="20" t="n">
        <v>4481.3</v>
      </c>
      <c r="F25" s="11" t="inlineStr">
        <is>
          <t>期货代理</t>
        </is>
      </c>
      <c r="G25" s="20" t="n"/>
      <c r="H25" s="11" t="inlineStr"/>
      <c r="I25" s="11" t="inlineStr"/>
      <c r="J25" s="20" t="n"/>
      <c r="K25" s="20" t="n"/>
      <c r="L25" s="20" t="n"/>
    </row>
    <row r="26">
      <c r="A26" s="11" t="inlineStr">
        <is>
          <t>2025-11-18</t>
        </is>
      </c>
      <c r="B26" s="20" t="n"/>
      <c r="C26" s="20" t="n"/>
      <c r="D26" s="20" t="n"/>
      <c r="E26" s="20" t="n">
        <v>4400.3</v>
      </c>
      <c r="F26" s="11" t="inlineStr">
        <is>
          <t>期货代理</t>
        </is>
      </c>
      <c r="G26" s="20" t="n"/>
      <c r="H26" s="11" t="inlineStr"/>
      <c r="I26" s="11" t="inlineStr"/>
      <c r="J26" s="20" t="n"/>
      <c r="K26" s="20" t="n"/>
      <c r="L26" s="20" t="n"/>
    </row>
    <row r="27">
      <c r="A27" s="11" t="inlineStr">
        <is>
          <t>2025-11-19</t>
        </is>
      </c>
      <c r="B27" s="20" t="n"/>
      <c r="C27" s="20" t="n"/>
      <c r="D27" s="20" t="n"/>
      <c r="E27" s="20" t="n">
        <v>4372.3</v>
      </c>
      <c r="F27" s="11" t="inlineStr">
        <is>
          <t>期货代理</t>
        </is>
      </c>
      <c r="G27" s="20" t="n"/>
      <c r="H27" s="11" t="inlineStr"/>
      <c r="I27" s="11" t="inlineStr"/>
      <c r="J27" s="20" t="n"/>
      <c r="K27" s="20" t="n"/>
      <c r="L27" s="20" t="n"/>
    </row>
    <row r="28">
      <c r="A28" s="11" t="inlineStr">
        <is>
          <t>2025-11-20</t>
        </is>
      </c>
      <c r="B28" s="20" t="n"/>
      <c r="C28" s="20" t="n"/>
      <c r="D28" s="20" t="n"/>
      <c r="E28" s="20" t="n">
        <v>4336.3</v>
      </c>
      <c r="F28" s="11" t="inlineStr">
        <is>
          <t>期货代理</t>
        </is>
      </c>
      <c r="G28" s="20" t="n"/>
      <c r="H28" s="11" t="inlineStr"/>
      <c r="I28" s="11" t="inlineStr"/>
      <c r="J28" s="20" t="n"/>
      <c r="K28" s="20" t="n"/>
      <c r="L28" s="20" t="n"/>
    </row>
    <row r="29">
      <c r="A29" s="11" t="inlineStr">
        <is>
          <t>2025-11-21</t>
        </is>
      </c>
      <c r="B29" s="20" t="n"/>
      <c r="C29" s="20" t="n"/>
      <c r="D29" s="20" t="n"/>
      <c r="E29" s="20" t="n">
        <v>4336.3</v>
      </c>
      <c r="F29" s="11" t="inlineStr">
        <is>
          <t>期货代理</t>
        </is>
      </c>
      <c r="G29" s="20" t="n"/>
      <c r="H29" s="11" t="inlineStr"/>
      <c r="I29" s="11" t="inlineStr"/>
      <c r="J29" s="20" t="n"/>
      <c r="K29" s="20" t="n"/>
      <c r="L29" s="20" t="n"/>
    </row>
    <row r="30">
      <c r="A30" s="11" t="inlineStr">
        <is>
          <t>2025-11-24</t>
        </is>
      </c>
      <c r="B30" s="20" t="n"/>
      <c r="C30" s="20" t="n"/>
      <c r="D30" s="20" t="n"/>
      <c r="E30" s="20" t="n">
        <v>4376.3</v>
      </c>
      <c r="F30" s="11" t="inlineStr">
        <is>
          <t>期货代理</t>
        </is>
      </c>
      <c r="G30" s="20" t="n"/>
      <c r="H30" s="11" t="inlineStr"/>
      <c r="I30" s="11" t="inlineStr"/>
      <c r="J30" s="20" t="n"/>
      <c r="K30" s="20" t="n"/>
      <c r="L30" s="20" t="n"/>
    </row>
    <row r="31">
      <c r="A31" s="11" t="inlineStr">
        <is>
          <t>2025-11-25</t>
        </is>
      </c>
      <c r="B31" s="20" t="n"/>
      <c r="C31" s="20" t="n"/>
      <c r="D31" s="20" t="n"/>
      <c r="E31" s="20" t="n">
        <v>4371.3</v>
      </c>
      <c r="F31" s="11" t="inlineStr">
        <is>
          <t>期货代理</t>
        </is>
      </c>
      <c r="G31" s="20" t="n"/>
      <c r="H31" s="11" t="inlineStr"/>
      <c r="I31" s="11" t="inlineStr"/>
      <c r="J31" s="20" t="n"/>
      <c r="K31" s="20" t="n"/>
      <c r="L31" s="20" t="n"/>
    </row>
    <row r="32">
      <c r="A32" s="11" t="inlineStr">
        <is>
          <t>2025-11-26</t>
        </is>
      </c>
      <c r="B32" s="20" t="n"/>
      <c r="C32" s="20" t="n"/>
      <c r="D32" s="20" t="n"/>
      <c r="E32" s="20" t="n">
        <v>4369.3</v>
      </c>
      <c r="F32" s="11" t="inlineStr">
        <is>
          <t>期货代理</t>
        </is>
      </c>
      <c r="G32" s="20" t="n"/>
      <c r="H32" s="11" t="inlineStr"/>
      <c r="I32" s="11" t="inlineStr"/>
      <c r="J32" s="20" t="n"/>
      <c r="K32" s="20" t="n"/>
      <c r="L32" s="20" t="n"/>
    </row>
    <row r="33">
      <c r="A33" s="11" t="inlineStr">
        <is>
          <t>2025-11-27</t>
        </is>
      </c>
      <c r="B33" s="20" t="n"/>
      <c r="C33" s="20" t="n"/>
      <c r="D33" s="20" t="n"/>
      <c r="E33" s="20" t="n">
        <v>4397.3</v>
      </c>
      <c r="F33" s="11" t="inlineStr">
        <is>
          <t>期货代理</t>
        </is>
      </c>
      <c r="G33" s="20" t="n"/>
      <c r="H33" s="11" t="inlineStr"/>
      <c r="I33" s="11" t="inlineStr"/>
      <c r="J33" s="20" t="n"/>
      <c r="K33" s="20" t="n"/>
      <c r="L33" s="20" t="n"/>
    </row>
    <row r="34">
      <c r="A34" s="11" t="inlineStr">
        <is>
          <t>2025-11-28</t>
        </is>
      </c>
      <c r="B34" s="20" t="n"/>
      <c r="C34" s="20" t="n"/>
      <c r="D34" s="20" t="n"/>
      <c r="E34" s="20" t="n">
        <v>4429.3</v>
      </c>
      <c r="F34" s="11" t="inlineStr">
        <is>
          <t>期货代理</t>
        </is>
      </c>
      <c r="G34" s="20" t="n"/>
      <c r="H34" s="11" t="inlineStr"/>
      <c r="I34" s="11" t="inlineStr"/>
      <c r="J34" s="20" t="n"/>
      <c r="K34" s="20" t="n"/>
      <c r="L34" s="20" t="n"/>
    </row>
    <row r="35">
      <c r="A35" s="11" t="inlineStr">
        <is>
          <t>2025-12-01</t>
        </is>
      </c>
      <c r="B35" s="20" t="n"/>
      <c r="C35" s="20" t="n"/>
      <c r="D35" s="20" t="n"/>
      <c r="E35" s="20" t="n">
        <v>4433.3</v>
      </c>
      <c r="F35" s="11" t="inlineStr">
        <is>
          <t>期货代理</t>
        </is>
      </c>
      <c r="G35" s="20" t="n"/>
      <c r="H35" s="11" t="inlineStr"/>
      <c r="I35" s="11" t="inlineStr"/>
      <c r="J35" s="20" t="n"/>
      <c r="K35" s="20" t="n"/>
      <c r="L35" s="20" t="n"/>
    </row>
    <row r="36">
      <c r="A36" s="11" t="inlineStr">
        <is>
          <t>2025-12-02</t>
        </is>
      </c>
      <c r="B36" s="20" t="n"/>
      <c r="C36" s="20" t="n"/>
      <c r="D36" s="20" t="n"/>
      <c r="E36" s="20" t="n">
        <v>4455.3</v>
      </c>
      <c r="F36" s="11" t="inlineStr">
        <is>
          <t>期货代理</t>
        </is>
      </c>
      <c r="G36" s="20" t="n"/>
      <c r="H36" s="11" t="inlineStr"/>
      <c r="I36" s="11" t="inlineStr"/>
      <c r="J36" s="20" t="n"/>
      <c r="K36" s="20" t="n"/>
      <c r="L36" s="20" t="n"/>
    </row>
    <row r="37">
      <c r="A37" s="11" t="inlineStr">
        <is>
          <t>2025-12-03</t>
        </is>
      </c>
      <c r="B37" s="20" t="n"/>
      <c r="C37" s="20" t="n"/>
      <c r="D37" s="20" t="n"/>
      <c r="E37" s="20" t="n">
        <v>4421.3</v>
      </c>
      <c r="F37" s="11" t="inlineStr">
        <is>
          <t>期货代理</t>
        </is>
      </c>
      <c r="G37" s="20" t="n"/>
      <c r="H37" s="11" t="inlineStr"/>
      <c r="I37" s="11" t="inlineStr"/>
      <c r="J37" s="20" t="n"/>
      <c r="K37" s="20" t="n"/>
      <c r="L37" s="20" t="n"/>
    </row>
    <row r="38">
      <c r="A38" s="11" t="inlineStr">
        <is>
          <t>2025-12-04</t>
        </is>
      </c>
      <c r="B38" s="20" t="n"/>
      <c r="C38" s="20" t="n"/>
      <c r="D38" s="20" t="n"/>
      <c r="E38" s="20" t="n">
        <v>4380.3</v>
      </c>
      <c r="F38" s="11" t="inlineStr">
        <is>
          <t>期货代理</t>
        </is>
      </c>
      <c r="G38" s="20" t="n"/>
      <c r="H38" s="11" t="inlineStr"/>
      <c r="I38" s="11" t="inlineStr"/>
      <c r="J38" s="20" t="n"/>
      <c r="K38" s="20" t="n"/>
      <c r="L38" s="20" t="n"/>
    </row>
    <row r="39">
      <c r="A39" s="11" t="inlineStr">
        <is>
          <t>2025-12-05</t>
        </is>
      </c>
      <c r="B39" s="20" t="n"/>
      <c r="C39" s="20" t="n"/>
      <c r="D39" s="20" t="n"/>
      <c r="E39" s="20" t="n">
        <v>4306.3</v>
      </c>
      <c r="F39" s="11" t="inlineStr">
        <is>
          <t>期货代理</t>
        </is>
      </c>
      <c r="G39" s="20" t="n"/>
      <c r="H39" s="11" t="inlineStr"/>
      <c r="I39" s="11" t="inlineStr"/>
      <c r="J39" s="20" t="n"/>
      <c r="K39" s="20" t="n"/>
      <c r="L39" s="20" t="n"/>
    </row>
    <row r="40">
      <c r="A40" s="11" t="inlineStr">
        <is>
          <t>2025-12-08</t>
        </is>
      </c>
      <c r="B40" s="20" t="n"/>
      <c r="C40" s="20" t="n"/>
      <c r="D40" s="20" t="n"/>
      <c r="E40" s="20" t="n">
        <v>4311.3</v>
      </c>
      <c r="F40" s="11" t="inlineStr">
        <is>
          <t>期货代理</t>
        </is>
      </c>
      <c r="G40" s="20" t="n"/>
      <c r="H40" s="11" t="inlineStr"/>
      <c r="I40" s="11" t="inlineStr"/>
      <c r="J40" s="20" t="n"/>
      <c r="K40" s="20" t="n"/>
      <c r="L40" s="20" t="n"/>
    </row>
    <row r="41">
      <c r="A41" s="11" t="inlineStr">
        <is>
          <t>2025-12-09</t>
        </is>
      </c>
      <c r="B41" s="20" t="n"/>
      <c r="C41" s="20" t="n"/>
      <c r="D41" s="20" t="n"/>
      <c r="E41" s="20" t="n">
        <v>4247.3</v>
      </c>
      <c r="F41" s="11" t="inlineStr">
        <is>
          <t>期货代理</t>
        </is>
      </c>
      <c r="G41" s="20" t="n"/>
      <c r="H41" s="11" t="inlineStr"/>
      <c r="I41" s="11" t="inlineStr"/>
      <c r="J41" s="20" t="n"/>
      <c r="K41" s="20" t="n"/>
      <c r="L41" s="20" t="n"/>
    </row>
    <row r="42">
      <c r="A42" s="11" t="inlineStr">
        <is>
          <t>2025-12-10</t>
        </is>
      </c>
      <c r="B42" s="20" t="n"/>
      <c r="C42" s="20" t="n"/>
      <c r="D42" s="20" t="n"/>
      <c r="E42" s="20" t="n">
        <v>4208.3</v>
      </c>
      <c r="F42" s="11" t="inlineStr">
        <is>
          <t>期货代理</t>
        </is>
      </c>
      <c r="G42" s="20" t="n"/>
      <c r="H42" s="11" t="inlineStr"/>
      <c r="I42" s="11" t="inlineStr"/>
      <c r="J42" s="20" t="n"/>
      <c r="K42" s="20" t="n"/>
      <c r="L42" s="20" t="n"/>
    </row>
    <row r="43">
      <c r="A43" s="11" t="inlineStr">
        <is>
          <t>2025-12-11</t>
        </is>
      </c>
      <c r="B43" s="20" t="n"/>
      <c r="C43" s="20" t="n"/>
      <c r="D43" s="20" t="n"/>
      <c r="E43" s="20" t="n">
        <v>4156.3</v>
      </c>
      <c r="F43" s="11" t="inlineStr">
        <is>
          <t>期货代理</t>
        </is>
      </c>
      <c r="G43" s="20" t="n"/>
      <c r="H43" s="11" t="inlineStr"/>
      <c r="I43" s="11" t="inlineStr"/>
      <c r="J43" s="20" t="n"/>
      <c r="K43" s="20" t="n"/>
      <c r="L43" s="20" t="n"/>
    </row>
    <row r="44">
      <c r="A44" s="11" t="inlineStr">
        <is>
          <t>2025-12-12</t>
        </is>
      </c>
      <c r="B44" s="20" t="n"/>
      <c r="C44" s="20" t="n"/>
      <c r="D44" s="20" t="n"/>
      <c r="E44" s="20" t="n">
        <v>4100.3</v>
      </c>
      <c r="F44" s="11" t="inlineStr">
        <is>
          <t>期货代理</t>
        </is>
      </c>
      <c r="G44" s="20" t="n"/>
      <c r="H44" s="11" t="inlineStr"/>
      <c r="I44" s="11" t="inlineStr"/>
      <c r="J44" s="20" t="n"/>
      <c r="K44" s="20" t="n"/>
      <c r="L44" s="20" t="n"/>
    </row>
    <row r="45">
      <c r="A45" s="11" t="inlineStr">
        <is>
          <t>2025-12-15</t>
        </is>
      </c>
      <c r="B45" s="20" t="n"/>
      <c r="C45" s="20" t="n"/>
      <c r="D45" s="20" t="n"/>
      <c r="E45" s="20" t="n">
        <v>4195.3</v>
      </c>
      <c r="F45" s="11" t="inlineStr">
        <is>
          <t>期货代理</t>
        </is>
      </c>
      <c r="G45" s="20" t="n"/>
      <c r="H45" s="11" t="inlineStr"/>
      <c r="I45" s="11" t="inlineStr"/>
      <c r="J45" s="20" t="n"/>
      <c r="K45" s="20" t="n"/>
      <c r="L45" s="20" t="n"/>
    </row>
    <row r="46">
      <c r="A46" s="11" t="inlineStr">
        <is>
          <t>2025-12-16</t>
        </is>
      </c>
      <c r="B46" s="20" t="n"/>
      <c r="C46" s="20" t="n"/>
      <c r="D46" s="20" t="n"/>
      <c r="E46" s="20" t="n">
        <v>4549.3</v>
      </c>
      <c r="F46" s="11" t="inlineStr">
        <is>
          <t>期货代理</t>
        </is>
      </c>
      <c r="G46" s="20" t="n"/>
      <c r="H46" s="11" t="inlineStr"/>
      <c r="I46" s="11" t="inlineStr"/>
      <c r="J46" s="20" t="n"/>
      <c r="K46" s="20" t="n"/>
      <c r="L46" s="20" t="n"/>
    </row>
    <row r="47">
      <c r="A47" s="11" t="inlineStr">
        <is>
          <t>2025-12-17</t>
        </is>
      </c>
      <c r="B47" s="20" t="n"/>
      <c r="C47" s="20" t="n"/>
      <c r="D47" s="20" t="n"/>
      <c r="E47" s="20" t="n">
        <v>4560.3</v>
      </c>
      <c r="F47" s="11" t="inlineStr">
        <is>
          <t>期货代理</t>
        </is>
      </c>
      <c r="G47" s="20" t="n"/>
      <c r="H47" s="11" t="inlineStr"/>
      <c r="I47" s="11" t="inlineStr"/>
      <c r="J47" s="20" t="n"/>
      <c r="K47" s="20" t="n"/>
      <c r="L47" s="20" t="n"/>
    </row>
    <row r="48">
      <c r="A48" s="11" t="inlineStr">
        <is>
          <t>2025-12-18</t>
        </is>
      </c>
      <c r="B48" s="20" t="n"/>
      <c r="C48" s="20" t="n"/>
      <c r="D48" s="20" t="n"/>
      <c r="E48" s="20" t="n">
        <v>4588.3</v>
      </c>
      <c r="F48" s="11" t="inlineStr">
        <is>
          <t>期货代理</t>
        </is>
      </c>
      <c r="G48" s="20" t="n"/>
      <c r="H48" s="11" t="inlineStr"/>
      <c r="I48" s="11" t="inlineStr"/>
      <c r="J48" s="20" t="n"/>
      <c r="K48" s="20" t="n"/>
      <c r="L48" s="20" t="n"/>
    </row>
    <row r="49">
      <c r="A49" s="11" t="inlineStr">
        <is>
          <t>2025-12-19</t>
        </is>
      </c>
      <c r="B49" s="20" t="n"/>
      <c r="C49" s="20" t="n"/>
      <c r="D49" s="20" t="n"/>
      <c r="E49" s="20" t="n">
        <v>4532.3</v>
      </c>
      <c r="F49" s="11" t="inlineStr">
        <is>
          <t>期货代理</t>
        </is>
      </c>
      <c r="G49" s="20" t="n"/>
      <c r="H49" s="11" t="inlineStr"/>
      <c r="I49" s="11" t="inlineStr"/>
      <c r="J49" s="20" t="n"/>
      <c r="K49" s="20" t="n"/>
      <c r="L49" s="20" t="n"/>
    </row>
    <row r="50">
      <c r="A50" s="11" t="inlineStr">
        <is>
          <t>2025-12-22</t>
        </is>
      </c>
      <c r="B50" s="20" t="n"/>
      <c r="C50" s="20" t="n"/>
      <c r="D50" s="20" t="n"/>
      <c r="E50" s="20" t="n">
        <v>4471.3</v>
      </c>
      <c r="F50" s="11" t="inlineStr">
        <is>
          <t>期货代理</t>
        </is>
      </c>
      <c r="G50" s="20" t="n"/>
      <c r="H50" s="11" t="inlineStr"/>
      <c r="I50" s="11" t="inlineStr"/>
      <c r="J50" s="20" t="n"/>
      <c r="K50" s="20" t="n"/>
      <c r="L50" s="20" t="n"/>
    </row>
    <row r="51">
      <c r="A51" s="11" t="inlineStr">
        <is>
          <t>2025-12-23</t>
        </is>
      </c>
      <c r="B51" s="20" t="n"/>
      <c r="C51" s="20" t="n"/>
      <c r="D51" s="20" t="n"/>
      <c r="E51" s="20" t="n">
        <v>4618.3</v>
      </c>
      <c r="F51" s="11" t="inlineStr">
        <is>
          <t>期货代理</t>
        </is>
      </c>
      <c r="G51" s="20" t="n"/>
      <c r="H51" s="11" t="inlineStr"/>
      <c r="I51" s="11" t="inlineStr"/>
      <c r="J51" s="20" t="n"/>
      <c r="K51" s="20" t="n"/>
      <c r="L51" s="20" t="n"/>
    </row>
    <row r="52">
      <c r="A52" s="11" t="inlineStr">
        <is>
          <t>2025-12-24</t>
        </is>
      </c>
      <c r="B52" s="20" t="n"/>
      <c r="C52" s="20" t="n"/>
      <c r="D52" s="20" t="n"/>
      <c r="E52" s="20" t="n">
        <v>4661.3</v>
      </c>
      <c r="F52" s="11" t="inlineStr">
        <is>
          <t>期货代理</t>
        </is>
      </c>
      <c r="G52" s="20" t="n"/>
      <c r="H52" s="11" t="inlineStr"/>
      <c r="I52" s="11" t="inlineStr"/>
      <c r="J52" s="20" t="n"/>
      <c r="K52" s="20" t="n"/>
      <c r="L52" s="20" t="n"/>
    </row>
    <row r="53">
      <c r="A53" s="11" t="inlineStr">
        <is>
          <t>2025-12-25</t>
        </is>
      </c>
      <c r="B53" s="20" t="n"/>
      <c r="C53" s="20" t="n"/>
      <c r="D53" s="20" t="n"/>
      <c r="E53" s="20" t="n">
        <v>4637.3</v>
      </c>
      <c r="F53" s="11" t="inlineStr">
        <is>
          <t>期货代理</t>
        </is>
      </c>
      <c r="G53" s="20" t="n"/>
      <c r="H53" s="11" t="inlineStr"/>
      <c r="I53" s="11" t="inlineStr"/>
      <c r="J53" s="20" t="n"/>
      <c r="K53" s="20" t="n"/>
      <c r="L53" s="20" t="n"/>
    </row>
    <row r="54">
      <c r="A54" s="11" t="inlineStr">
        <is>
          <t>2025-12-26</t>
        </is>
      </c>
      <c r="B54" s="20" t="n"/>
      <c r="C54" s="20" t="n"/>
      <c r="D54" s="20" t="n"/>
      <c r="E54" s="20" t="n">
        <v>4712.3</v>
      </c>
      <c r="F54" s="11" t="inlineStr">
        <is>
          <t>期货代理</t>
        </is>
      </c>
      <c r="G54" s="20" t="n"/>
      <c r="H54" s="11" t="inlineStr"/>
      <c r="I54" s="11" t="inlineStr"/>
      <c r="J54" s="20" t="n"/>
      <c r="K54" s="20" t="n"/>
      <c r="L54" s="20" t="n"/>
    </row>
    <row r="55">
      <c r="A55" s="11" t="inlineStr">
        <is>
          <t>2025-12-29</t>
        </is>
      </c>
      <c r="B55" s="20" t="n"/>
      <c r="C55" s="20" t="n"/>
      <c r="D55" s="20" t="n"/>
      <c r="E55" s="20" t="n">
        <v>4657.3</v>
      </c>
      <c r="F55" s="11" t="inlineStr">
        <is>
          <t>期货代理</t>
        </is>
      </c>
      <c r="G55" s="20" t="n"/>
      <c r="H55" s="11" t="inlineStr"/>
      <c r="I55" s="11" t="inlineStr"/>
      <c r="J55" s="20" t="n"/>
      <c r="K55" s="20" t="n"/>
      <c r="L55" s="20" t="n"/>
    </row>
    <row r="56">
      <c r="A56" s="11" t="inlineStr">
        <is>
          <t>2025-12-30</t>
        </is>
      </c>
      <c r="B56" s="20" t="n"/>
      <c r="C56" s="20" t="n"/>
      <c r="D56" s="20" t="n"/>
      <c r="E56" s="20" t="n">
        <v>4690.3</v>
      </c>
      <c r="F56" s="11" t="inlineStr">
        <is>
          <t>期货代理</t>
        </is>
      </c>
      <c r="G56" s="20" t="n"/>
      <c r="H56" s="11" t="inlineStr"/>
      <c r="I56" s="11" t="inlineStr"/>
      <c r="J56" s="20" t="n"/>
      <c r="K56" s="20" t="n"/>
      <c r="L56" s="20" t="n"/>
    </row>
    <row r="57">
      <c r="A57" s="11" t="inlineStr">
        <is>
          <t>2025-12-31</t>
        </is>
      </c>
      <c r="B57" s="20" t="n"/>
      <c r="C57" s="20" t="n"/>
      <c r="D57" s="20" t="n"/>
      <c r="E57" s="20" t="n">
        <v>4685.3</v>
      </c>
      <c r="F57" s="11" t="inlineStr">
        <is>
          <t>期货代理</t>
        </is>
      </c>
      <c r="G57" s="20" t="n"/>
      <c r="H57" s="11" t="inlineStr"/>
      <c r="I57" s="11" t="inlineStr"/>
      <c r="J57" s="20" t="n"/>
      <c r="K57" s="20" t="n"/>
      <c r="L57" s="20" t="n"/>
    </row>
    <row r="58">
      <c r="A58" s="11" t="inlineStr">
        <is>
          <t>2026-01-05</t>
        </is>
      </c>
      <c r="B58" s="20" t="n"/>
      <c r="C58" s="20" t="n"/>
      <c r="D58" s="20" t="n"/>
      <c r="E58" s="20" t="n">
        <v>4644.3</v>
      </c>
      <c r="F58" s="11" t="inlineStr">
        <is>
          <t>期货代理</t>
        </is>
      </c>
      <c r="G58" s="40" t="n">
        <v>2743.2</v>
      </c>
      <c r="H58" s="41" t="inlineStr">
        <is>
          <t>插值</t>
        </is>
      </c>
      <c r="I58" s="41" t="inlineStr">
        <is>
          <t>插值 2026-01-01 2750 → 2026-05-28 2500 (w=0.03)</t>
        </is>
      </c>
      <c r="J58" s="20" t="n">
        <v>543.64</v>
      </c>
      <c r="K58" s="20" t="n">
        <v>-970.05</v>
      </c>
      <c r="L58" s="20" t="n"/>
    </row>
    <row r="59">
      <c r="A59" s="11" t="inlineStr">
        <is>
          <t>2026-01-06</t>
        </is>
      </c>
      <c r="B59" s="20" t="n"/>
      <c r="C59" s="20" t="n"/>
      <c r="D59" s="20" t="n"/>
      <c r="E59" s="20" t="n">
        <v>4799.3</v>
      </c>
      <c r="F59" s="11" t="inlineStr">
        <is>
          <t>期货代理</t>
        </is>
      </c>
      <c r="G59" s="40" t="n">
        <v>2741.5</v>
      </c>
      <c r="H59" s="41" t="inlineStr">
        <is>
          <t>插值</t>
        </is>
      </c>
      <c r="I59" s="41" t="inlineStr">
        <is>
          <t>插值 2026-01-01 2750 → 2026-05-28 2500 (w=0.03)</t>
        </is>
      </c>
      <c r="J59" s="20" t="n">
        <v>701.1799999999999</v>
      </c>
      <c r="K59" s="20" t="n">
        <v>-812.5</v>
      </c>
      <c r="L59" s="20" t="n"/>
    </row>
    <row r="60">
      <c r="A60" s="11" t="inlineStr">
        <is>
          <t>2026-01-07</t>
        </is>
      </c>
      <c r="B60" s="20" t="n"/>
      <c r="C60" s="20" t="n"/>
      <c r="D60" s="20" t="n"/>
      <c r="E60" s="20" t="n">
        <v>4852.3</v>
      </c>
      <c r="F60" s="11" t="inlineStr">
        <is>
          <t>期货代理</t>
        </is>
      </c>
      <c r="G60" s="40" t="n">
        <v>2739.8</v>
      </c>
      <c r="H60" s="41" t="inlineStr">
        <is>
          <t>插值</t>
        </is>
      </c>
      <c r="I60" s="41" t="inlineStr">
        <is>
          <t>插值 2026-01-01 2750 → 2026-05-28 2500 (w=0.04)</t>
        </is>
      </c>
      <c r="J60" s="20" t="n">
        <v>756.72</v>
      </c>
      <c r="K60" s="20" t="n">
        <v>-756.96</v>
      </c>
      <c r="L60" s="20" t="n"/>
    </row>
    <row r="61">
      <c r="A61" s="11" t="inlineStr">
        <is>
          <t>2026-01-08</t>
        </is>
      </c>
      <c r="B61" s="20" t="n"/>
      <c r="C61" s="20" t="n"/>
      <c r="D61" s="20" t="n"/>
      <c r="E61" s="20" t="n">
        <v>4785.3</v>
      </c>
      <c r="F61" s="11" t="inlineStr">
        <is>
          <t>期货代理</t>
        </is>
      </c>
      <c r="G61" s="40" t="n">
        <v>2738.1</v>
      </c>
      <c r="H61" s="41" t="inlineStr">
        <is>
          <t>插值</t>
        </is>
      </c>
      <c r="I61" s="41" t="inlineStr">
        <is>
          <t>插值 2026-01-01 2750 → 2026-05-28 2500 (w=0.05)</t>
        </is>
      </c>
      <c r="J61" s="20" t="n">
        <v>692.26</v>
      </c>
      <c r="K61" s="20" t="n">
        <v>-821.42</v>
      </c>
      <c r="L61" s="20" t="n"/>
    </row>
    <row r="62">
      <c r="A62" s="11" t="inlineStr">
        <is>
          <t>2026-01-09</t>
        </is>
      </c>
      <c r="B62" s="20" t="n"/>
      <c r="C62" s="20" t="n"/>
      <c r="D62" s="20" t="n"/>
      <c r="E62" s="20" t="n">
        <v>4777.3</v>
      </c>
      <c r="F62" s="11" t="inlineStr">
        <is>
          <t>期货代理</t>
        </is>
      </c>
      <c r="G62" s="40" t="n">
        <v>2736.4</v>
      </c>
      <c r="H62" s="41" t="inlineStr">
        <is>
          <t>插值</t>
        </is>
      </c>
      <c r="I62" s="41" t="inlineStr">
        <is>
          <t>插值 2026-01-01 2750 → 2026-05-28 2500 (w=0.05)</t>
        </is>
      </c>
      <c r="J62" s="20" t="n">
        <v>686.8099999999999</v>
      </c>
      <c r="K62" s="20" t="n">
        <v>-826.88</v>
      </c>
      <c r="L62" s="20" t="n"/>
    </row>
    <row r="63">
      <c r="A63" s="11" t="inlineStr">
        <is>
          <t>2026-01-12</t>
        </is>
      </c>
      <c r="B63" s="20" t="n"/>
      <c r="C63" s="20" t="n"/>
      <c r="D63" s="20" t="n"/>
      <c r="E63" s="20" t="n">
        <v>4820.3</v>
      </c>
      <c r="F63" s="11" t="inlineStr">
        <is>
          <t>期货代理</t>
        </is>
      </c>
      <c r="G63" s="40" t="n">
        <v>2731.3</v>
      </c>
      <c r="H63" s="41" t="inlineStr">
        <is>
          <t>插值</t>
        </is>
      </c>
      <c r="I63" s="41" t="inlineStr">
        <is>
          <t>插值 2026-01-01 2750 → 2026-05-28 2500 (w=0.07)</t>
        </is>
      </c>
      <c r="J63" s="20" t="n">
        <v>737.4299999999999</v>
      </c>
      <c r="K63" s="20" t="n">
        <v>-776.26</v>
      </c>
      <c r="L63" s="20" t="n"/>
    </row>
    <row r="64">
      <c r="A64" s="11" t="inlineStr">
        <is>
          <t>2026-01-13</t>
        </is>
      </c>
      <c r="B64" s="20" t="n"/>
      <c r="C64" s="20" t="n"/>
      <c r="D64" s="20" t="n"/>
      <c r="E64" s="20" t="n">
        <v>4768.3</v>
      </c>
      <c r="F64" s="11" t="inlineStr">
        <is>
          <t>期货代理</t>
        </is>
      </c>
      <c r="G64" s="40" t="n">
        <v>2729.6</v>
      </c>
      <c r="H64" s="41" t="inlineStr">
        <is>
          <t>插值</t>
        </is>
      </c>
      <c r="I64" s="41" t="inlineStr">
        <is>
          <t>插值 2026-01-01 2750 → 2026-05-28 2500 (w=0.08)</t>
        </is>
      </c>
      <c r="J64" s="20" t="n">
        <v>687.97</v>
      </c>
      <c r="K64" s="20" t="n">
        <v>-825.72</v>
      </c>
      <c r="L64" s="20" t="n"/>
    </row>
    <row r="65">
      <c r="A65" s="11" t="inlineStr">
        <is>
          <t>2026-01-14</t>
        </is>
      </c>
      <c r="B65" s="20" t="n"/>
      <c r="C65" s="20" t="n"/>
      <c r="D65" s="20" t="n"/>
      <c r="E65" s="20" t="n">
        <v>4758.3</v>
      </c>
      <c r="F65" s="11" t="inlineStr">
        <is>
          <t>期货代理</t>
        </is>
      </c>
      <c r="G65" s="40" t="n">
        <v>2727.9</v>
      </c>
      <c r="H65" s="41" t="inlineStr">
        <is>
          <t>插值</t>
        </is>
      </c>
      <c r="I65" s="41" t="inlineStr">
        <is>
          <t>插值 2026-01-01 2750 → 2026-05-28 2500 (w=0.09)</t>
        </is>
      </c>
      <c r="J65" s="20" t="n">
        <v>680.51</v>
      </c>
      <c r="K65" s="20" t="n">
        <v>-833.17</v>
      </c>
      <c r="L65" s="20" t="n"/>
    </row>
    <row r="66">
      <c r="A66" s="11" t="inlineStr">
        <is>
          <t>2026-01-15</t>
        </is>
      </c>
      <c r="B66" s="20" t="n"/>
      <c r="C66" s="20" t="n"/>
      <c r="D66" s="20" t="n"/>
      <c r="E66" s="20" t="n">
        <v>4748.3</v>
      </c>
      <c r="F66" s="11" t="inlineStr">
        <is>
          <t>期货代理</t>
        </is>
      </c>
      <c r="G66" s="40" t="n">
        <v>2726.2</v>
      </c>
      <c r="H66" s="41" t="inlineStr">
        <is>
          <t>插值</t>
        </is>
      </c>
      <c r="I66" s="41" t="inlineStr">
        <is>
          <t>插值 2026-01-01 2750 → 2026-05-28 2500 (w=0.10)</t>
        </is>
      </c>
      <c r="J66" s="20" t="n">
        <v>673.05</v>
      </c>
      <c r="K66" s="20" t="n">
        <v>-840.63</v>
      </c>
      <c r="L66" s="20" t="n"/>
    </row>
    <row r="67">
      <c r="A67" s="11" t="inlineStr">
        <is>
          <t>2026-01-16</t>
        </is>
      </c>
      <c r="B67" s="20" t="n"/>
      <c r="C67" s="20" t="n"/>
      <c r="D67" s="20" t="n"/>
      <c r="E67" s="20" t="n">
        <v>4683.3</v>
      </c>
      <c r="F67" s="11" t="inlineStr">
        <is>
          <t>期货代理</t>
        </is>
      </c>
      <c r="G67" s="40" t="n">
        <v>2724.5</v>
      </c>
      <c r="H67" s="41" t="inlineStr">
        <is>
          <t>插值</t>
        </is>
      </c>
      <c r="I67" s="41" t="inlineStr">
        <is>
          <t>插值 2026-01-01 2750 → 2026-05-28 2500 (w=0.10)</t>
        </is>
      </c>
      <c r="J67" s="20" t="n">
        <v>610.59</v>
      </c>
      <c r="K67" s="20" t="n">
        <v>-903.09</v>
      </c>
      <c r="L67" s="20" t="n"/>
    </row>
    <row r="68">
      <c r="A68" s="11" t="inlineStr">
        <is>
          <t>2026-01-19</t>
        </is>
      </c>
      <c r="B68" s="20" t="n"/>
      <c r="C68" s="20" t="n"/>
      <c r="D68" s="20" t="n"/>
      <c r="E68" s="20" t="n">
        <v>4681.3</v>
      </c>
      <c r="F68" s="11" t="inlineStr">
        <is>
          <t>期货代理</t>
        </is>
      </c>
      <c r="G68" s="40" t="n">
        <v>2719.4</v>
      </c>
      <c r="H68" s="41" t="inlineStr">
        <is>
          <t>插值</t>
        </is>
      </c>
      <c r="I68" s="41" t="inlineStr">
        <is>
          <t>插值 2026-01-01 2750 → 2026-05-28 2500 (w=0.12)</t>
        </is>
      </c>
      <c r="J68" s="20" t="n">
        <v>616.22</v>
      </c>
      <c r="K68" s="20" t="n">
        <v>-897.47</v>
      </c>
      <c r="L68" s="20" t="n"/>
    </row>
    <row r="69">
      <c r="A69" s="11" t="inlineStr">
        <is>
          <t>2026-01-20</t>
        </is>
      </c>
      <c r="B69" s="20" t="n"/>
      <c r="C69" s="20" t="n"/>
      <c r="D69" s="20" t="n"/>
      <c r="E69" s="20" t="n">
        <v>4687.3</v>
      </c>
      <c r="F69" s="11" t="inlineStr">
        <is>
          <t>期货代理</t>
        </is>
      </c>
      <c r="G69" s="40" t="n">
        <v>2717.7</v>
      </c>
      <c r="H69" s="41" t="inlineStr">
        <is>
          <t>插值</t>
        </is>
      </c>
      <c r="I69" s="41" t="inlineStr">
        <is>
          <t>插值 2026-01-01 2750 → 2026-05-28 2500 (w=0.13)</t>
        </is>
      </c>
      <c r="J69" s="20" t="n">
        <v>624.76</v>
      </c>
      <c r="K69" s="20" t="n">
        <v>-888.9299999999999</v>
      </c>
      <c r="L69" s="20" t="n"/>
    </row>
    <row r="70">
      <c r="A70" s="11" t="inlineStr">
        <is>
          <t>2026-01-21</t>
        </is>
      </c>
      <c r="B70" s="20" t="n"/>
      <c r="C70" s="20" t="n"/>
      <c r="D70" s="20" t="n"/>
      <c r="E70" s="20" t="n">
        <v>4623.3</v>
      </c>
      <c r="F70" s="11" t="inlineStr">
        <is>
          <t>期货代理</t>
        </is>
      </c>
      <c r="G70" s="40" t="n">
        <v>2716</v>
      </c>
      <c r="H70" s="41" t="inlineStr">
        <is>
          <t>插值</t>
        </is>
      </c>
      <c r="I70" s="41" t="inlineStr">
        <is>
          <t>插值 2026-01-01 2750 → 2026-05-28 2500 (w=0.14)</t>
        </is>
      </c>
      <c r="J70" s="20" t="n">
        <v>563.3</v>
      </c>
      <c r="K70" s="20" t="n">
        <v>-950.39</v>
      </c>
      <c r="L70" s="20" t="n"/>
    </row>
    <row r="71">
      <c r="A71" s="11" t="inlineStr">
        <is>
          <t>2026-01-22</t>
        </is>
      </c>
      <c r="B71" s="20" t="n"/>
      <c r="C71" s="20" t="n"/>
      <c r="D71" s="20" t="n"/>
      <c r="E71" s="20" t="n">
        <v>4729.3</v>
      </c>
      <c r="F71" s="11" t="inlineStr">
        <is>
          <t>期货代理</t>
        </is>
      </c>
      <c r="G71" s="40" t="n">
        <v>2714.3</v>
      </c>
      <c r="H71" s="41" t="inlineStr">
        <is>
          <t>插值</t>
        </is>
      </c>
      <c r="I71" s="41" t="inlineStr">
        <is>
          <t>插值 2026-01-01 2750 → 2026-05-28 2500 (w=0.14)</t>
        </is>
      </c>
      <c r="J71" s="20" t="n">
        <v>671.84</v>
      </c>
      <c r="K71" s="20" t="n">
        <v>-841.84</v>
      </c>
      <c r="L71" s="20" t="n"/>
    </row>
    <row r="72">
      <c r="A72" s="11" t="inlineStr">
        <is>
          <t>2026-01-23</t>
        </is>
      </c>
      <c r="B72" s="20" t="n"/>
      <c r="C72" s="20" t="n"/>
      <c r="D72" s="20" t="n"/>
      <c r="E72" s="20" t="n">
        <v>4801.3</v>
      </c>
      <c r="F72" s="11" t="inlineStr">
        <is>
          <t>期货代理</t>
        </is>
      </c>
      <c r="G72" s="40" t="n">
        <v>2712.6</v>
      </c>
      <c r="H72" s="41" t="inlineStr">
        <is>
          <t>插值</t>
        </is>
      </c>
      <c r="I72" s="41" t="inlineStr">
        <is>
          <t>插值 2026-01-01 2750 → 2026-05-28 2500 (w=0.15)</t>
        </is>
      </c>
      <c r="J72" s="20" t="n">
        <v>746.38</v>
      </c>
      <c r="K72" s="20" t="n">
        <v>-767.3</v>
      </c>
      <c r="L72" s="20" t="n"/>
    </row>
    <row r="73">
      <c r="A73" s="11" t="inlineStr">
        <is>
          <t>2026-01-26</t>
        </is>
      </c>
      <c r="B73" s="20" t="n"/>
      <c r="C73" s="20" t="n"/>
      <c r="D73" s="20" t="n"/>
      <c r="E73" s="20" t="n">
        <v>4839.3</v>
      </c>
      <c r="F73" s="11" t="inlineStr">
        <is>
          <t>期货代理</t>
        </is>
      </c>
      <c r="G73" s="40" t="n">
        <v>2707.5</v>
      </c>
      <c r="H73" s="41" t="inlineStr">
        <is>
          <t>插值</t>
        </is>
      </c>
      <c r="I73" s="41" t="inlineStr">
        <is>
          <t>插值 2026-01-01 2750 → 2026-05-28 2500 (w=0.17)</t>
        </is>
      </c>
      <c r="J73" s="20" t="n">
        <v>792.01</v>
      </c>
      <c r="K73" s="20" t="n">
        <v>-721.6799999999999</v>
      </c>
      <c r="L73" s="20" t="n"/>
    </row>
    <row r="74">
      <c r="A74" s="11" t="inlineStr">
        <is>
          <t>2026-01-27</t>
        </is>
      </c>
      <c r="B74" s="20" t="n"/>
      <c r="C74" s="20" t="n"/>
      <c r="D74" s="20" t="n"/>
      <c r="E74" s="20" t="n">
        <v>4791.3</v>
      </c>
      <c r="F74" s="11" t="inlineStr">
        <is>
          <t>期货代理</t>
        </is>
      </c>
      <c r="G74" s="40" t="n">
        <v>2705.8</v>
      </c>
      <c r="H74" s="41" t="inlineStr">
        <is>
          <t>插值</t>
        </is>
      </c>
      <c r="I74" s="41" t="inlineStr">
        <is>
          <t>插值 2026-01-01 2750 → 2026-05-28 2500 (w=0.18)</t>
        </is>
      </c>
      <c r="J74" s="20" t="n">
        <v>746.55</v>
      </c>
      <c r="K74" s="20" t="n">
        <v>-767.14</v>
      </c>
      <c r="L74" s="20" t="n"/>
    </row>
    <row r="75">
      <c r="A75" s="11" t="inlineStr">
        <is>
          <t>2026-01-28</t>
        </is>
      </c>
      <c r="B75" s="20" t="n"/>
      <c r="C75" s="20" t="n"/>
      <c r="D75" s="20" t="n"/>
      <c r="E75" s="20" t="n">
        <v>4793.3</v>
      </c>
      <c r="F75" s="11" t="inlineStr">
        <is>
          <t>期货代理</t>
        </is>
      </c>
      <c r="G75" s="40" t="n">
        <v>2704.1</v>
      </c>
      <c r="H75" s="41" t="inlineStr">
        <is>
          <t>插值</t>
        </is>
      </c>
      <c r="I75" s="41" t="inlineStr">
        <is>
          <t>插值 2026-01-01 2750 → 2026-05-28 2500 (w=0.18)</t>
        </is>
      </c>
      <c r="J75" s="20" t="n">
        <v>751.09</v>
      </c>
      <c r="K75" s="20" t="n">
        <v>-762.6</v>
      </c>
      <c r="L75" s="20" t="n"/>
    </row>
    <row r="76">
      <c r="A76" s="11" t="inlineStr">
        <is>
          <t>2026-01-29</t>
        </is>
      </c>
      <c r="B76" s="20" t="n"/>
      <c r="C76" s="20" t="n"/>
      <c r="D76" s="20" t="n"/>
      <c r="E76" s="20" t="n">
        <v>4775.3</v>
      </c>
      <c r="F76" s="11" t="inlineStr">
        <is>
          <t>期货代理</t>
        </is>
      </c>
      <c r="G76" s="40" t="n">
        <v>2702.4</v>
      </c>
      <c r="H76" s="41" t="inlineStr">
        <is>
          <t>插值</t>
        </is>
      </c>
      <c r="I76" s="41" t="inlineStr">
        <is>
          <t>插值 2026-01-01 2750 → 2026-05-28 2500 (w=0.19)</t>
        </is>
      </c>
      <c r="J76" s="20" t="n">
        <v>735.63</v>
      </c>
      <c r="K76" s="20" t="n">
        <v>-778.0599999999999</v>
      </c>
      <c r="L76" s="20" t="n"/>
    </row>
    <row r="77">
      <c r="A77" s="11" t="inlineStr">
        <is>
          <t>2026-01-30</t>
        </is>
      </c>
      <c r="B77" s="20" t="n"/>
      <c r="C77" s="20" t="n"/>
      <c r="D77" s="20" t="n"/>
      <c r="E77" s="20" t="n">
        <v>4943.3</v>
      </c>
      <c r="F77" s="11" t="inlineStr">
        <is>
          <t>期货代理</t>
        </is>
      </c>
      <c r="G77" s="40" t="n">
        <v>2700.7</v>
      </c>
      <c r="H77" s="41" t="inlineStr">
        <is>
          <t>插值</t>
        </is>
      </c>
      <c r="I77" s="41" t="inlineStr">
        <is>
          <t>插值 2026-01-01 2750 → 2026-05-28 2500 (w=0.20)</t>
        </is>
      </c>
      <c r="J77" s="20" t="n">
        <v>906.17</v>
      </c>
      <c r="K77" s="20" t="n">
        <v>-607.51</v>
      </c>
      <c r="L77" s="20" t="n"/>
    </row>
    <row r="78">
      <c r="A78" s="11" t="inlineStr">
        <is>
          <t>2026-02-02</t>
        </is>
      </c>
      <c r="B78" s="20" t="n"/>
      <c r="C78" s="20" t="n"/>
      <c r="D78" s="20" t="n"/>
      <c r="E78" s="20" t="n">
        <v>4894.3</v>
      </c>
      <c r="F78" s="11" t="inlineStr">
        <is>
          <t>期货代理</t>
        </is>
      </c>
      <c r="G78" s="40" t="n">
        <v>2695.6</v>
      </c>
      <c r="H78" s="41" t="inlineStr">
        <is>
          <t>插值</t>
        </is>
      </c>
      <c r="I78" s="41" t="inlineStr">
        <is>
          <t>插值 2026-01-01 2750 → 2026-05-28 2500 (w=0.22)</t>
        </is>
      </c>
      <c r="J78" s="20" t="n">
        <v>864.79</v>
      </c>
      <c r="K78" s="20" t="n">
        <v>-648.89</v>
      </c>
      <c r="L78" s="20" t="n"/>
    </row>
    <row r="79">
      <c r="A79" s="11" t="inlineStr">
        <is>
          <t>2026-02-03</t>
        </is>
      </c>
      <c r="B79" s="20" t="n"/>
      <c r="C79" s="20" t="n"/>
      <c r="D79" s="20" t="n"/>
      <c r="E79" s="20" t="n">
        <v>4951.3</v>
      </c>
      <c r="F79" s="11" t="inlineStr">
        <is>
          <t>期货代理</t>
        </is>
      </c>
      <c r="G79" s="40" t="n">
        <v>2693.9</v>
      </c>
      <c r="H79" s="41" t="inlineStr">
        <is>
          <t>插值</t>
        </is>
      </c>
      <c r="I79" s="41" t="inlineStr">
        <is>
          <t>插值 2026-01-01 2750 → 2026-05-28 2500 (w=0.22)</t>
        </is>
      </c>
      <c r="J79" s="20" t="n">
        <v>924.34</v>
      </c>
      <c r="K79" s="20" t="n">
        <v>-589.35</v>
      </c>
      <c r="L79" s="20" t="n"/>
    </row>
    <row r="80">
      <c r="A80" s="11" t="inlineStr">
        <is>
          <t>2026-02-04</t>
        </is>
      </c>
      <c r="B80" s="20" t="n"/>
      <c r="C80" s="20" t="n"/>
      <c r="D80" s="20" t="n"/>
      <c r="E80" s="20" t="n">
        <v>5035.3</v>
      </c>
      <c r="F80" s="11" t="inlineStr">
        <is>
          <t>期货代理</t>
        </is>
      </c>
      <c r="G80" s="40" t="n">
        <v>2692.2</v>
      </c>
      <c r="H80" s="41" t="inlineStr">
        <is>
          <t>插值</t>
        </is>
      </c>
      <c r="I80" s="41" t="inlineStr">
        <is>
          <t>插值 2026-01-01 2750 → 2026-05-28 2500 (w=0.23)</t>
        </is>
      </c>
      <c r="J80" s="20" t="n">
        <v>1010.88</v>
      </c>
      <c r="K80" s="20" t="n">
        <v>-502.81</v>
      </c>
      <c r="L80" s="20" t="n"/>
    </row>
    <row r="81">
      <c r="A81" s="11" t="inlineStr">
        <is>
          <t>2026-02-05</t>
        </is>
      </c>
      <c r="B81" s="20" t="n"/>
      <c r="C81" s="20" t="n"/>
      <c r="D81" s="20" t="n"/>
      <c r="E81" s="20" t="n">
        <v>4932.3</v>
      </c>
      <c r="F81" s="11" t="inlineStr">
        <is>
          <t>期货代理</t>
        </is>
      </c>
      <c r="G81" s="40" t="n">
        <v>2690.5</v>
      </c>
      <c r="H81" s="41" t="inlineStr">
        <is>
          <t>插值</t>
        </is>
      </c>
      <c r="I81" s="41" t="inlineStr">
        <is>
          <t>插值 2026-01-01 2750 → 2026-05-28 2500 (w=0.24)</t>
        </is>
      </c>
      <c r="J81" s="20" t="n">
        <v>910.42</v>
      </c>
      <c r="K81" s="20" t="n">
        <v>-603.27</v>
      </c>
      <c r="L81" s="20" t="n"/>
    </row>
    <row r="82">
      <c r="A82" s="11" t="inlineStr">
        <is>
          <t>2026-02-06</t>
        </is>
      </c>
      <c r="B82" s="20" t="n"/>
      <c r="C82" s="20" t="n"/>
      <c r="D82" s="20" t="n"/>
      <c r="E82" s="20" t="n">
        <v>4861.3</v>
      </c>
      <c r="F82" s="11" t="inlineStr">
        <is>
          <t>期货代理</t>
        </is>
      </c>
      <c r="G82" s="40" t="n">
        <v>2688.8</v>
      </c>
      <c r="H82" s="41" t="inlineStr">
        <is>
          <t>插值</t>
        </is>
      </c>
      <c r="I82" s="41" t="inlineStr">
        <is>
          <t>插值 2026-01-01 2750 → 2026-05-28 2500 (w=0.24)</t>
        </is>
      </c>
      <c r="J82" s="20" t="n">
        <v>841.96</v>
      </c>
      <c r="K82" s="20" t="n">
        <v>-671.73</v>
      </c>
      <c r="L82" s="20" t="n"/>
    </row>
    <row r="83">
      <c r="A83" s="11" t="inlineStr">
        <is>
          <t>2026-02-09</t>
        </is>
      </c>
      <c r="B83" s="20" t="n"/>
      <c r="C83" s="20" t="n"/>
      <c r="D83" s="20" t="n"/>
      <c r="E83" s="20" t="n">
        <v>4872.3</v>
      </c>
      <c r="F83" s="11" t="inlineStr">
        <is>
          <t>期货代理</t>
        </is>
      </c>
      <c r="G83" s="40" t="n">
        <v>2683.7</v>
      </c>
      <c r="H83" s="41" t="inlineStr">
        <is>
          <t>插值</t>
        </is>
      </c>
      <c r="I83" s="41" t="inlineStr">
        <is>
          <t>插值 2026-01-01 2750 → 2026-05-28 2500 (w=0.27)</t>
        </is>
      </c>
      <c r="J83" s="20" t="n">
        <v>860.58</v>
      </c>
      <c r="K83" s="20" t="n">
        <v>-653.1</v>
      </c>
      <c r="L83" s="20" t="n"/>
    </row>
    <row r="84">
      <c r="A84" s="11" t="inlineStr">
        <is>
          <t>2026-02-10</t>
        </is>
      </c>
      <c r="B84" s="20" t="n"/>
      <c r="C84" s="20" t="n"/>
      <c r="D84" s="20" t="n"/>
      <c r="E84" s="20" t="n">
        <v>4851.3</v>
      </c>
      <c r="F84" s="11" t="inlineStr">
        <is>
          <t>期货代理</t>
        </is>
      </c>
      <c r="G84" s="40" t="n">
        <v>2682</v>
      </c>
      <c r="H84" s="41" t="inlineStr">
        <is>
          <t>插值</t>
        </is>
      </c>
      <c r="I84" s="41" t="inlineStr">
        <is>
          <t>插值 2026-01-01 2750 → 2026-05-28 2500 (w=0.27)</t>
        </is>
      </c>
      <c r="J84" s="20" t="n">
        <v>842.12</v>
      </c>
      <c r="K84" s="20" t="n">
        <v>-671.5599999999999</v>
      </c>
      <c r="L84" s="20" t="n"/>
    </row>
    <row r="85">
      <c r="A85" s="11" t="inlineStr">
        <is>
          <t>2026-02-11</t>
        </is>
      </c>
      <c r="B85" s="20" t="n"/>
      <c r="C85" s="20" t="n"/>
      <c r="D85" s="20" t="n"/>
      <c r="E85" s="20" t="n">
        <v>4870.3</v>
      </c>
      <c r="F85" s="11" t="inlineStr">
        <is>
          <t>期货代理</t>
        </is>
      </c>
      <c r="G85" s="40" t="n">
        <v>2680.3</v>
      </c>
      <c r="H85" s="41" t="inlineStr">
        <is>
          <t>插值</t>
        </is>
      </c>
      <c r="I85" s="41" t="inlineStr">
        <is>
          <t>插值 2026-01-01 2750 → 2026-05-28 2500 (w=0.28)</t>
        </is>
      </c>
      <c r="J85" s="20" t="n">
        <v>863.67</v>
      </c>
      <c r="K85" s="20" t="n">
        <v>-650.02</v>
      </c>
      <c r="L85" s="20" t="n"/>
    </row>
    <row r="86">
      <c r="A86" s="11" t="inlineStr">
        <is>
          <t>2026-02-12</t>
        </is>
      </c>
      <c r="B86" s="20" t="n"/>
      <c r="C86" s="20" t="n"/>
      <c r="D86" s="20" t="n"/>
      <c r="E86" s="20" t="n">
        <v>4818.3</v>
      </c>
      <c r="F86" s="11" t="inlineStr">
        <is>
          <t>期货代理</t>
        </is>
      </c>
      <c r="G86" s="40" t="n">
        <v>2678.6</v>
      </c>
      <c r="H86" s="41" t="inlineStr">
        <is>
          <t>插值</t>
        </is>
      </c>
      <c r="I86" s="41" t="inlineStr">
        <is>
          <t>插值 2026-01-01 2750 → 2026-05-28 2500 (w=0.29)</t>
        </is>
      </c>
      <c r="J86" s="20" t="n">
        <v>814.21</v>
      </c>
      <c r="K86" s="20" t="n">
        <v>-699.48</v>
      </c>
      <c r="L86" s="20" t="n"/>
    </row>
    <row r="87">
      <c r="A87" s="11" t="inlineStr">
        <is>
          <t>2026-02-13</t>
        </is>
      </c>
      <c r="B87" s="20" t="n"/>
      <c r="C87" s="20" t="n"/>
      <c r="D87" s="20" t="n"/>
      <c r="E87" s="20" t="n">
        <v>4785.3</v>
      </c>
      <c r="F87" s="11" t="inlineStr">
        <is>
          <t>期货代理</t>
        </is>
      </c>
      <c r="G87" s="40" t="n">
        <v>2676.9</v>
      </c>
      <c r="H87" s="41" t="inlineStr">
        <is>
          <t>插值</t>
        </is>
      </c>
      <c r="I87" s="41" t="inlineStr">
        <is>
          <t>插值 2026-01-01 2750 → 2026-05-28 2500 (w=0.29)</t>
        </is>
      </c>
      <c r="J87" s="20" t="n">
        <v>783.75</v>
      </c>
      <c r="K87" s="20" t="n">
        <v>-729.9400000000001</v>
      </c>
      <c r="L87" s="20" t="n"/>
    </row>
    <row r="88">
      <c r="A88" s="11" t="inlineStr">
        <is>
          <t>2026-02-24</t>
        </is>
      </c>
      <c r="B88" s="20" t="n"/>
      <c r="C88" s="20" t="n"/>
      <c r="D88" s="20" t="n"/>
      <c r="E88" s="20" t="n">
        <v>4828.3</v>
      </c>
      <c r="F88" s="11" t="inlineStr">
        <is>
          <t>期货代理</t>
        </is>
      </c>
      <c r="G88" s="40" t="n">
        <v>2658.2</v>
      </c>
      <c r="H88" s="41" t="inlineStr">
        <is>
          <t>插值</t>
        </is>
      </c>
      <c r="I88" s="41" t="inlineStr">
        <is>
          <t>插值 2026-01-01 2750 → 2026-05-28 2500 (w=0.37)</t>
        </is>
      </c>
      <c r="J88" s="20" t="n">
        <v>854.7</v>
      </c>
      <c r="K88" s="20" t="n">
        <v>-658.98</v>
      </c>
      <c r="L88" s="20" t="n"/>
    </row>
    <row r="89">
      <c r="A89" s="11" t="inlineStr">
        <is>
          <t>2026-02-25</t>
        </is>
      </c>
      <c r="B89" s="20" t="n"/>
      <c r="C89" s="20" t="n"/>
      <c r="D89" s="20" t="n"/>
      <c r="E89" s="20" t="n">
        <v>4843.3</v>
      </c>
      <c r="F89" s="11" t="inlineStr">
        <is>
          <t>期货代理</t>
        </is>
      </c>
      <c r="G89" s="40" t="n">
        <v>2656.5</v>
      </c>
      <c r="H89" s="41" t="inlineStr">
        <is>
          <t>插值</t>
        </is>
      </c>
      <c r="I89" s="41" t="inlineStr">
        <is>
          <t>插值 2026-01-01 2750 → 2026-05-28 2500 (w=0.37)</t>
        </is>
      </c>
      <c r="J89" s="20" t="n">
        <v>872.24</v>
      </c>
      <c r="K89" s="20" t="n">
        <v>-641.4400000000001</v>
      </c>
      <c r="L89" s="20" t="n"/>
    </row>
    <row r="90">
      <c r="A90" s="11" t="inlineStr">
        <is>
          <t>2026-02-26</t>
        </is>
      </c>
      <c r="B90" s="20" t="n"/>
      <c r="C90" s="20" t="n"/>
      <c r="D90" s="20" t="n"/>
      <c r="E90" s="20" t="n">
        <v>4735.3</v>
      </c>
      <c r="F90" s="11" t="inlineStr">
        <is>
          <t>期货代理</t>
        </is>
      </c>
      <c r="G90" s="40" t="n">
        <v>2654.8</v>
      </c>
      <c r="H90" s="41" t="inlineStr">
        <is>
          <t>插值</t>
        </is>
      </c>
      <c r="I90" s="41" t="inlineStr">
        <is>
          <t>插值 2026-01-01 2750 → 2026-05-28 2500 (w=0.38)</t>
        </is>
      </c>
      <c r="J90" s="20" t="n">
        <v>766.78</v>
      </c>
      <c r="K90" s="20" t="n">
        <v>-746.9</v>
      </c>
      <c r="L90" s="20" t="n"/>
    </row>
    <row r="91">
      <c r="A91" s="11" t="inlineStr">
        <is>
          <t>2026-02-27</t>
        </is>
      </c>
      <c r="B91" s="20" t="n"/>
      <c r="C91" s="20" t="n"/>
      <c r="D91" s="20" t="n"/>
      <c r="E91" s="20" t="n">
        <v>4672.3</v>
      </c>
      <c r="F91" s="11" t="inlineStr">
        <is>
          <t>期货代理</t>
        </is>
      </c>
      <c r="G91" s="40" t="n">
        <v>2653.1</v>
      </c>
      <c r="H91" s="41" t="inlineStr">
        <is>
          <t>插值</t>
        </is>
      </c>
      <c r="I91" s="41" t="inlineStr">
        <is>
          <t>插值 2026-01-01 2750 → 2026-05-28 2500 (w=0.39)</t>
        </is>
      </c>
      <c r="J91" s="20" t="n">
        <v>706.33</v>
      </c>
      <c r="K91" s="20" t="n">
        <v>-807.36</v>
      </c>
      <c r="L91" s="20" t="n"/>
    </row>
    <row r="92">
      <c r="A92" s="11" t="inlineStr">
        <is>
          <t>2026-03-02</t>
        </is>
      </c>
      <c r="B92" s="20" t="n"/>
      <c r="C92" s="20" t="n"/>
      <c r="D92" s="20" t="n"/>
      <c r="E92" s="20" t="n">
        <v>4748.3</v>
      </c>
      <c r="F92" s="11" t="inlineStr">
        <is>
          <t>期货代理</t>
        </is>
      </c>
      <c r="G92" s="40" t="n">
        <v>2648</v>
      </c>
      <c r="H92" s="41" t="inlineStr">
        <is>
          <t>插值</t>
        </is>
      </c>
      <c r="I92" s="41" t="inlineStr">
        <is>
          <t>插值 2026-01-01 2750 → 2026-05-28 2500 (w=0.41)</t>
        </is>
      </c>
      <c r="J92" s="20" t="n">
        <v>789.95</v>
      </c>
      <c r="K92" s="20" t="n">
        <v>-723.74</v>
      </c>
      <c r="L92" s="20" t="n"/>
    </row>
    <row r="93">
      <c r="A93" s="11" t="inlineStr">
        <is>
          <t>2026-03-03</t>
        </is>
      </c>
      <c r="B93" s="20" t="n"/>
      <c r="C93" s="20" t="n"/>
      <c r="D93" s="20" t="n"/>
      <c r="E93" s="20" t="n">
        <v>4819.3</v>
      </c>
      <c r="F93" s="11" t="inlineStr">
        <is>
          <t>期货代理</t>
        </is>
      </c>
      <c r="G93" s="40" t="n">
        <v>2646.3</v>
      </c>
      <c r="H93" s="41" t="inlineStr">
        <is>
          <t>插值</t>
        </is>
      </c>
      <c r="I93" s="41" t="inlineStr">
        <is>
          <t>插值 2026-01-01 2750 → 2026-05-28 2500 (w=0.41)</t>
        </is>
      </c>
      <c r="J93" s="20" t="n">
        <v>863.49</v>
      </c>
      <c r="K93" s="20" t="n">
        <v>-650.1900000000001</v>
      </c>
      <c r="L93" s="20" t="n"/>
    </row>
    <row r="94">
      <c r="A94" s="11" t="inlineStr">
        <is>
          <t>2026-03-04</t>
        </is>
      </c>
      <c r="B94" s="20" t="n"/>
      <c r="C94" s="20" t="n"/>
      <c r="D94" s="20" t="n"/>
      <c r="E94" s="20" t="n">
        <v>4875.3</v>
      </c>
      <c r="F94" s="11" t="inlineStr">
        <is>
          <t>期货代理</t>
        </is>
      </c>
      <c r="G94" s="40" t="n">
        <v>2644.6</v>
      </c>
      <c r="H94" s="41" t="inlineStr">
        <is>
          <t>插值</t>
        </is>
      </c>
      <c r="I94" s="41" t="inlineStr">
        <is>
          <t>插值 2026-01-01 2750 → 2026-05-28 2500 (w=0.42)</t>
        </is>
      </c>
      <c r="J94" s="20" t="n">
        <v>922.03</v>
      </c>
      <c r="K94" s="20" t="n">
        <v>-591.65</v>
      </c>
      <c r="L94" s="20" t="n"/>
    </row>
    <row r="95">
      <c r="A95" s="11" t="inlineStr">
        <is>
          <t>2026-03-05</t>
        </is>
      </c>
      <c r="B95" s="20" t="n"/>
      <c r="C95" s="20" t="n"/>
      <c r="D95" s="20" t="n"/>
      <c r="E95" s="20" t="n">
        <v>4896.3</v>
      </c>
      <c r="F95" s="11" t="inlineStr">
        <is>
          <t>期货代理</t>
        </is>
      </c>
      <c r="G95" s="40" t="n">
        <v>2642.9</v>
      </c>
      <c r="H95" s="41" t="inlineStr">
        <is>
          <t>插值</t>
        </is>
      </c>
      <c r="I95" s="41" t="inlineStr">
        <is>
          <t>插值 2026-01-01 2750 → 2026-05-28 2500 (w=0.43)</t>
        </is>
      </c>
      <c r="J95" s="20" t="n">
        <v>945.5700000000001</v>
      </c>
      <c r="K95" s="20" t="n">
        <v>-568.11</v>
      </c>
      <c r="L95" s="20" t="n"/>
    </row>
    <row r="96">
      <c r="A96" s="11" t="inlineStr">
        <is>
          <t>2026-03-06</t>
        </is>
      </c>
      <c r="B96" s="20" t="n"/>
      <c r="C96" s="20" t="n"/>
      <c r="D96" s="20" t="n"/>
      <c r="E96" s="20" t="n">
        <v>5156.3</v>
      </c>
      <c r="F96" s="11" t="inlineStr">
        <is>
          <t>期货代理</t>
        </is>
      </c>
      <c r="G96" s="40" t="n">
        <v>2641.2</v>
      </c>
      <c r="H96" s="41" t="inlineStr">
        <is>
          <t>插值</t>
        </is>
      </c>
      <c r="I96" s="41" t="inlineStr">
        <is>
          <t>插值 2026-01-01 2750 → 2026-05-28 2500 (w=0.44)</t>
        </is>
      </c>
      <c r="J96" s="20" t="n">
        <v>1208.11</v>
      </c>
      <c r="K96" s="20" t="n">
        <v>-305.57</v>
      </c>
      <c r="L96" s="20" t="n"/>
    </row>
    <row r="97">
      <c r="A97" s="11" t="inlineStr">
        <is>
          <t>2026-03-09</t>
        </is>
      </c>
      <c r="B97" s="20" t="n"/>
      <c r="C97" s="20" t="n"/>
      <c r="D97" s="20" t="n"/>
      <c r="E97" s="20" t="n">
        <v>5346.3</v>
      </c>
      <c r="F97" s="11" t="inlineStr">
        <is>
          <t>期货代理</t>
        </is>
      </c>
      <c r="G97" s="40" t="n">
        <v>2636.1</v>
      </c>
      <c r="H97" s="41" t="inlineStr">
        <is>
          <t>插值</t>
        </is>
      </c>
      <c r="I97" s="41" t="inlineStr">
        <is>
          <t>插值 2026-01-01 2750 → 2026-05-28 2500 (w=0.46)</t>
        </is>
      </c>
      <c r="J97" s="20" t="n">
        <v>1405.74</v>
      </c>
      <c r="K97" s="20" t="n">
        <v>-107.95</v>
      </c>
      <c r="L97" s="20" t="n"/>
    </row>
    <row r="98">
      <c r="A98" s="11" t="inlineStr">
        <is>
          <t>2026-03-10</t>
        </is>
      </c>
      <c r="B98" s="20" t="n"/>
      <c r="C98" s="20" t="n"/>
      <c r="D98" s="20" t="n"/>
      <c r="E98" s="20" t="n">
        <v>5109.3</v>
      </c>
      <c r="F98" s="11" t="inlineStr">
        <is>
          <t>期货代理</t>
        </is>
      </c>
      <c r="G98" s="40" t="n">
        <v>2634.4</v>
      </c>
      <c r="H98" s="41" t="inlineStr">
        <is>
          <t>插值</t>
        </is>
      </c>
      <c r="I98" s="41" t="inlineStr">
        <is>
          <t>插值 2026-01-01 2750 → 2026-05-28 2500 (w=0.46)</t>
        </is>
      </c>
      <c r="J98" s="20" t="n">
        <v>1171.28</v>
      </c>
      <c r="K98" s="20" t="n">
        <v>-342.41</v>
      </c>
      <c r="L98" s="20" t="n"/>
    </row>
    <row r="99">
      <c r="A99" s="11" t="inlineStr">
        <is>
          <t>2026-03-11</t>
        </is>
      </c>
      <c r="B99" s="20" t="n"/>
      <c r="C99" s="20" t="n"/>
      <c r="D99" s="20" t="n"/>
      <c r="E99" s="20" t="n">
        <v>5451.3</v>
      </c>
      <c r="F99" s="11" t="inlineStr">
        <is>
          <t>期货代理</t>
        </is>
      </c>
      <c r="G99" s="40" t="n">
        <v>2632.7</v>
      </c>
      <c r="H99" s="41" t="inlineStr">
        <is>
          <t>插值</t>
        </is>
      </c>
      <c r="I99" s="41" t="inlineStr">
        <is>
          <t>插值 2026-01-01 2750 → 2026-05-28 2500 (w=0.47)</t>
        </is>
      </c>
      <c r="J99" s="20" t="n">
        <v>1515.82</v>
      </c>
      <c r="K99" s="20" t="n">
        <v>2.14</v>
      </c>
      <c r="L99" s="20" t="n"/>
    </row>
    <row r="100">
      <c r="A100" s="11" t="inlineStr">
        <is>
          <t>2026-03-12</t>
        </is>
      </c>
      <c r="B100" s="20" t="n"/>
      <c r="C100" s="20" t="n"/>
      <c r="D100" s="20" t="n"/>
      <c r="E100" s="20" t="n">
        <v>5500.3</v>
      </c>
      <c r="F100" s="11" t="inlineStr">
        <is>
          <t>期货代理</t>
        </is>
      </c>
      <c r="G100" s="40" t="n">
        <v>2631</v>
      </c>
      <c r="H100" s="41" t="inlineStr">
        <is>
          <t>插值</t>
        </is>
      </c>
      <c r="I100" s="41" t="inlineStr">
        <is>
          <t>插值 2026-01-01 2750 → 2026-05-28 2500 (w=0.48)</t>
        </is>
      </c>
      <c r="J100" s="20" t="n">
        <v>1567.36</v>
      </c>
      <c r="K100" s="20" t="n">
        <v>53.68</v>
      </c>
      <c r="L100" s="20" t="n"/>
    </row>
    <row r="101">
      <c r="A101" s="11" t="inlineStr">
        <is>
          <t>2026-03-13</t>
        </is>
      </c>
      <c r="B101" s="20" t="n"/>
      <c r="C101" s="20" t="n"/>
      <c r="D101" s="20" t="n"/>
      <c r="E101" s="20" t="n">
        <v>5604.3</v>
      </c>
      <c r="F101" s="11" t="inlineStr">
        <is>
          <t>期货代理</t>
        </is>
      </c>
      <c r="G101" s="40" t="n">
        <v>2629.3</v>
      </c>
      <c r="H101" s="41" t="inlineStr">
        <is>
          <t>插值</t>
        </is>
      </c>
      <c r="I101" s="41" t="inlineStr">
        <is>
          <t>插值 2026-01-01 2750 → 2026-05-28 2500 (w=0.48)</t>
        </is>
      </c>
      <c r="J101" s="20" t="n">
        <v>1673.9</v>
      </c>
      <c r="K101" s="20" t="n">
        <v>160.22</v>
      </c>
      <c r="L101" s="20" t="n"/>
    </row>
    <row r="102">
      <c r="A102" s="11" t="inlineStr">
        <is>
          <t>2026-03-16</t>
        </is>
      </c>
      <c r="B102" s="20" t="n"/>
      <c r="C102" s="20" t="n"/>
      <c r="D102" s="20" t="n"/>
      <c r="E102" s="20" t="n">
        <v>5729.3</v>
      </c>
      <c r="F102" s="11" t="inlineStr">
        <is>
          <t>期货代理</t>
        </is>
      </c>
      <c r="G102" s="40" t="n">
        <v>2624.1</v>
      </c>
      <c r="H102" s="41" t="inlineStr">
        <is>
          <t>插值</t>
        </is>
      </c>
      <c r="I102" s="41" t="inlineStr">
        <is>
          <t>插值 2026-01-01 2750 → 2026-05-28 2500 (w=0.50)</t>
        </is>
      </c>
      <c r="J102" s="20" t="n">
        <v>1806.68</v>
      </c>
      <c r="K102" s="20" t="n">
        <v>292.99</v>
      </c>
      <c r="L102" s="20" t="n"/>
    </row>
    <row r="103">
      <c r="A103" s="11" t="inlineStr">
        <is>
          <t>2026-03-17</t>
        </is>
      </c>
      <c r="B103" s="20" t="n"/>
      <c r="C103" s="20" t="n"/>
      <c r="D103" s="20" t="n"/>
      <c r="E103" s="20" t="n">
        <v>5781.3</v>
      </c>
      <c r="F103" s="11" t="inlineStr">
        <is>
          <t>期货代理</t>
        </is>
      </c>
      <c r="G103" s="40" t="n">
        <v>2622.4</v>
      </c>
      <c r="H103" s="41" t="inlineStr">
        <is>
          <t>插值</t>
        </is>
      </c>
      <c r="I103" s="41" t="inlineStr">
        <is>
          <t>插值 2026-01-01 2750 → 2026-05-28 2500 (w=0.51)</t>
        </is>
      </c>
      <c r="J103" s="20" t="n">
        <v>1861.22</v>
      </c>
      <c r="K103" s="20" t="n">
        <v>347.53</v>
      </c>
      <c r="L103" s="20" t="n"/>
    </row>
    <row r="104">
      <c r="A104" s="11" t="inlineStr">
        <is>
          <t>2026-03-18</t>
        </is>
      </c>
      <c r="B104" s="20" t="n"/>
      <c r="C104" s="20" t="n"/>
      <c r="D104" s="20" t="n"/>
      <c r="E104" s="20" t="n">
        <v>5615.3</v>
      </c>
      <c r="F104" s="11" t="inlineStr">
        <is>
          <t>期货代理</t>
        </is>
      </c>
      <c r="G104" s="40" t="n">
        <v>2620.7</v>
      </c>
      <c r="H104" s="41" t="inlineStr">
        <is>
          <t>插值</t>
        </is>
      </c>
      <c r="I104" s="41" t="inlineStr">
        <is>
          <t>插值 2026-01-01 2750 → 2026-05-28 2500 (w=0.52)</t>
        </is>
      </c>
      <c r="J104" s="20" t="n">
        <v>1697.76</v>
      </c>
      <c r="K104" s="20" t="n">
        <v>184.07</v>
      </c>
      <c r="L104" s="20" t="n"/>
    </row>
    <row r="105">
      <c r="A105" s="11" t="inlineStr">
        <is>
          <t>2026-03-19</t>
        </is>
      </c>
      <c r="B105" s="20" t="n"/>
      <c r="C105" s="20" t="n"/>
      <c r="D105" s="20" t="n"/>
      <c r="E105" s="20" t="n">
        <v>5740.3</v>
      </c>
      <c r="F105" s="11" t="inlineStr">
        <is>
          <t>期货代理</t>
        </is>
      </c>
      <c r="G105" s="40" t="n">
        <v>2619</v>
      </c>
      <c r="H105" s="41" t="inlineStr">
        <is>
          <t>插值</t>
        </is>
      </c>
      <c r="I105" s="41" t="inlineStr">
        <is>
          <t>插值 2026-01-01 2750 → 2026-05-28 2500 (w=0.52)</t>
        </is>
      </c>
      <c r="J105" s="20" t="n">
        <v>1825.3</v>
      </c>
      <c r="K105" s="20" t="n">
        <v>311.61</v>
      </c>
      <c r="L105" s="20" t="n"/>
    </row>
    <row r="106">
      <c r="A106" s="11" t="inlineStr">
        <is>
          <t>2026-03-20</t>
        </is>
      </c>
      <c r="B106" s="20" t="n"/>
      <c r="C106" s="20" t="n"/>
      <c r="D106" s="20" t="n"/>
      <c r="E106" s="20" t="n">
        <v>5755.3</v>
      </c>
      <c r="F106" s="11" t="inlineStr">
        <is>
          <t>期货代理</t>
        </is>
      </c>
      <c r="G106" s="40" t="n">
        <v>2617.3</v>
      </c>
      <c r="H106" s="41" t="inlineStr">
        <is>
          <t>插值</t>
        </is>
      </c>
      <c r="I106" s="41" t="inlineStr">
        <is>
          <t>插值 2026-01-01 2750 → 2026-05-28 2500 (w=0.53)</t>
        </is>
      </c>
      <c r="J106" s="20" t="n">
        <v>1842.84</v>
      </c>
      <c r="K106" s="20" t="n">
        <v>329.16</v>
      </c>
      <c r="L106" s="20" t="n"/>
    </row>
    <row r="107">
      <c r="A107" s="11" t="inlineStr">
        <is>
          <t>2026-03-23</t>
        </is>
      </c>
      <c r="B107" s="20" t="n"/>
      <c r="C107" s="20" t="n"/>
      <c r="D107" s="20" t="n"/>
      <c r="E107" s="20" t="n">
        <v>6131.3</v>
      </c>
      <c r="F107" s="11" t="inlineStr">
        <is>
          <t>期货代理</t>
        </is>
      </c>
      <c r="G107" s="40" t="n">
        <v>2612.2</v>
      </c>
      <c r="H107" s="41" t="inlineStr">
        <is>
          <t>插值</t>
        </is>
      </c>
      <c r="I107" s="41" t="inlineStr">
        <is>
          <t>插值 2026-01-01 2750 → 2026-05-28 2500 (w=0.55)</t>
        </is>
      </c>
      <c r="J107" s="20" t="n">
        <v>2226.46</v>
      </c>
      <c r="K107" s="20" t="n">
        <v>712.78</v>
      </c>
      <c r="L107" s="20" t="n"/>
    </row>
    <row r="108">
      <c r="A108" s="11" t="inlineStr">
        <is>
          <t>2026-03-24</t>
        </is>
      </c>
      <c r="B108" s="20" t="n"/>
      <c r="C108" s="20" t="n"/>
      <c r="D108" s="20" t="n"/>
      <c r="E108" s="20" t="n">
        <v>5733.3</v>
      </c>
      <c r="F108" s="11" t="inlineStr">
        <is>
          <t>期货代理</t>
        </is>
      </c>
      <c r="G108" s="40" t="n">
        <v>2610.5</v>
      </c>
      <c r="H108" s="41" t="inlineStr">
        <is>
          <t>插值</t>
        </is>
      </c>
      <c r="I108" s="41" t="inlineStr">
        <is>
          <t>插值 2026-01-01 2750 → 2026-05-28 2500 (w=0.56)</t>
        </is>
      </c>
      <c r="J108" s="20" t="n">
        <v>1831.01</v>
      </c>
      <c r="K108" s="20" t="n">
        <v>317.32</v>
      </c>
      <c r="L108" s="20" t="n"/>
    </row>
    <row r="109">
      <c r="A109" s="11" t="inlineStr">
        <is>
          <t>2026-03-25</t>
        </is>
      </c>
      <c r="B109" s="20" t="n"/>
      <c r="C109" s="20" t="n"/>
      <c r="D109" s="20" t="n"/>
      <c r="E109" s="20" t="n">
        <v>5583.3</v>
      </c>
      <c r="F109" s="11" t="inlineStr">
        <is>
          <t>期货代理</t>
        </is>
      </c>
      <c r="G109" s="40" t="n">
        <v>2608.8</v>
      </c>
      <c r="H109" s="41" t="inlineStr">
        <is>
          <t>插值</t>
        </is>
      </c>
      <c r="I109" s="41" t="inlineStr">
        <is>
          <t>插值 2026-01-01 2750 → 2026-05-28 2500 (w=0.56)</t>
        </is>
      </c>
      <c r="J109" s="20" t="n">
        <v>1683.55</v>
      </c>
      <c r="K109" s="20" t="n">
        <v>169.86</v>
      </c>
      <c r="L109" s="20" t="n"/>
    </row>
    <row r="110">
      <c r="A110" s="11" t="inlineStr">
        <is>
          <t>2026-03-26</t>
        </is>
      </c>
      <c r="B110" s="20" t="n"/>
      <c r="C110" s="20" t="n"/>
      <c r="D110" s="20" t="n"/>
      <c r="E110" s="20" t="n">
        <v>5530.3</v>
      </c>
      <c r="F110" s="11" t="inlineStr">
        <is>
          <t>期货代理</t>
        </is>
      </c>
      <c r="G110" s="40" t="n">
        <v>2607.1</v>
      </c>
      <c r="H110" s="41" t="inlineStr">
        <is>
          <t>插值</t>
        </is>
      </c>
      <c r="I110" s="41" t="inlineStr">
        <is>
          <t>插值 2026-01-01 2750 → 2026-05-28 2500 (w=0.57)</t>
        </is>
      </c>
      <c r="J110" s="20" t="n">
        <v>1633.09</v>
      </c>
      <c r="K110" s="20" t="n">
        <v>119.4</v>
      </c>
      <c r="L110" s="20" t="n"/>
    </row>
    <row r="111">
      <c r="A111" s="11" t="inlineStr">
        <is>
          <t>2026-03-27</t>
        </is>
      </c>
      <c r="B111" s="20" t="n"/>
      <c r="C111" s="20" t="n"/>
      <c r="D111" s="20" t="n"/>
      <c r="E111" s="20" t="n">
        <v>5495.3</v>
      </c>
      <c r="F111" s="11" t="inlineStr">
        <is>
          <t>期货代理</t>
        </is>
      </c>
      <c r="G111" s="40" t="n">
        <v>2605.4</v>
      </c>
      <c r="H111" s="41" t="inlineStr">
        <is>
          <t>插值</t>
        </is>
      </c>
      <c r="I111" s="41" t="inlineStr">
        <is>
          <t>插值 2026-01-01 2750 → 2026-05-28 2500 (w=0.58)</t>
        </is>
      </c>
      <c r="J111" s="20" t="n">
        <v>1600.63</v>
      </c>
      <c r="K111" s="20" t="n">
        <v>86.94</v>
      </c>
      <c r="L111" s="20" t="n"/>
    </row>
    <row r="112">
      <c r="A112" s="11" t="inlineStr">
        <is>
          <t>2026-03-30</t>
        </is>
      </c>
      <c r="B112" s="20" t="n"/>
      <c r="C112" s="20" t="n"/>
      <c r="D112" s="20" t="n"/>
      <c r="E112" s="20" t="n">
        <v>5431.3</v>
      </c>
      <c r="F112" s="11" t="inlineStr">
        <is>
          <t>期货代理</t>
        </is>
      </c>
      <c r="G112" s="40" t="n">
        <v>2600.3</v>
      </c>
      <c r="H112" s="41" t="inlineStr">
        <is>
          <t>插值</t>
        </is>
      </c>
      <c r="I112" s="41" t="inlineStr">
        <is>
          <t>插值 2026-01-01 2750 → 2026-05-28 2500 (w=0.60)</t>
        </is>
      </c>
      <c r="J112" s="20" t="n">
        <v>1544.25</v>
      </c>
      <c r="K112" s="20" t="n">
        <v>30.57</v>
      </c>
      <c r="L112" s="20" t="n"/>
    </row>
    <row r="113">
      <c r="A113" s="11" t="inlineStr">
        <is>
          <t>2026-03-31</t>
        </is>
      </c>
      <c r="B113" s="20" t="n"/>
      <c r="C113" s="20" t="n"/>
      <c r="D113" s="20" t="n"/>
      <c r="E113" s="20" t="n">
        <v>5233.3</v>
      </c>
      <c r="F113" s="11" t="inlineStr">
        <is>
          <t>期货代理</t>
        </is>
      </c>
      <c r="G113" s="40" t="n">
        <v>2598.6</v>
      </c>
      <c r="H113" s="41" t="inlineStr">
        <is>
          <t>插值</t>
        </is>
      </c>
      <c r="I113" s="41" t="inlineStr">
        <is>
          <t>插值 2026-01-01 2750 → 2026-05-28 2500 (w=0.61)</t>
        </is>
      </c>
      <c r="J113" s="20" t="n">
        <v>1348.79</v>
      </c>
      <c r="K113" s="20" t="n">
        <v>-164.89</v>
      </c>
      <c r="L113" s="20" t="n"/>
    </row>
    <row r="114">
      <c r="A114" s="11" t="inlineStr">
        <is>
          <t>2026-04-01</t>
        </is>
      </c>
      <c r="B114" s="20" t="n"/>
      <c r="C114" s="20" t="n"/>
      <c r="D114" s="20" t="n"/>
      <c r="E114" s="20" t="n">
        <v>5136.3</v>
      </c>
      <c r="F114" s="11" t="inlineStr">
        <is>
          <t>期货代理</t>
        </is>
      </c>
      <c r="G114" s="40" t="n">
        <v>2596.9</v>
      </c>
      <c r="H114" s="41" t="inlineStr">
        <is>
          <t>插值</t>
        </is>
      </c>
      <c r="I114" s="41" t="inlineStr">
        <is>
          <t>插值 2026-01-01 2750 → 2026-05-28 2500 (w=0.61)</t>
        </is>
      </c>
      <c r="J114" s="20" t="n">
        <v>1254.34</v>
      </c>
      <c r="K114" s="20" t="n">
        <v>-259.35</v>
      </c>
      <c r="L114" s="20" t="n"/>
    </row>
    <row r="115">
      <c r="A115" s="11" t="inlineStr">
        <is>
          <t>2026-04-02</t>
        </is>
      </c>
      <c r="B115" s="20" t="n"/>
      <c r="C115" s="20" t="n"/>
      <c r="D115" s="20" t="n"/>
      <c r="E115" s="20" t="n">
        <v>5374.3</v>
      </c>
      <c r="F115" s="11" t="inlineStr">
        <is>
          <t>期货代理</t>
        </is>
      </c>
      <c r="G115" s="40" t="n">
        <v>2595.2</v>
      </c>
      <c r="H115" s="41" t="inlineStr">
        <is>
          <t>插值</t>
        </is>
      </c>
      <c r="I115" s="41" t="inlineStr">
        <is>
          <t>插值 2026-01-01 2750 → 2026-05-28 2500 (w=0.62)</t>
        </is>
      </c>
      <c r="J115" s="20" t="n">
        <v>1494.88</v>
      </c>
      <c r="K115" s="20" t="n">
        <v>-18.81</v>
      </c>
      <c r="L115" s="20" t="n"/>
    </row>
    <row r="116">
      <c r="A116" s="11" t="inlineStr">
        <is>
          <t>2026-04-03</t>
        </is>
      </c>
      <c r="B116" s="20" t="n"/>
      <c r="C116" s="20" t="n"/>
      <c r="D116" s="20" t="n"/>
      <c r="E116" s="20" t="n">
        <v>5308.3</v>
      </c>
      <c r="F116" s="11" t="inlineStr">
        <is>
          <t>期货代理</t>
        </is>
      </c>
      <c r="G116" s="40" t="n">
        <v>2593.5</v>
      </c>
      <c r="H116" s="41" t="inlineStr">
        <is>
          <t>插值</t>
        </is>
      </c>
      <c r="I116" s="41" t="inlineStr">
        <is>
          <t>插值 2026-01-01 2750 → 2026-05-28 2500 (w=0.63)</t>
        </is>
      </c>
      <c r="J116" s="20" t="n">
        <v>1431.42</v>
      </c>
      <c r="K116" s="20" t="n">
        <v>-82.27</v>
      </c>
      <c r="L116" s="20" t="n"/>
    </row>
    <row r="117">
      <c r="A117" s="11" t="inlineStr">
        <is>
          <t>2026-04-07</t>
        </is>
      </c>
      <c r="B117" s="20" t="n"/>
      <c r="C117" s="20" t="n"/>
      <c r="D117" s="20" t="n"/>
      <c r="E117" s="20" t="n">
        <v>5278.3</v>
      </c>
      <c r="F117" s="11" t="inlineStr">
        <is>
          <t>期货代理</t>
        </is>
      </c>
      <c r="G117" s="40" t="n">
        <v>2586.7</v>
      </c>
      <c r="H117" s="41" t="inlineStr">
        <is>
          <t>插值</t>
        </is>
      </c>
      <c r="I117" s="41" t="inlineStr">
        <is>
          <t>插值 2026-01-01 2750 → 2026-05-28 2500 (w=0.65)</t>
        </is>
      </c>
      <c r="J117" s="20" t="n">
        <v>1411.58</v>
      </c>
      <c r="K117" s="20" t="n">
        <v>-102.1</v>
      </c>
      <c r="L117" s="20" t="n"/>
    </row>
    <row r="118">
      <c r="A118" s="11" t="inlineStr">
        <is>
          <t>2026-04-08</t>
        </is>
      </c>
      <c r="B118" s="20" t="n"/>
      <c r="C118" s="20" t="n"/>
      <c r="D118" s="20" t="n"/>
      <c r="E118" s="20" t="n">
        <v>5040.3</v>
      </c>
      <c r="F118" s="11" t="inlineStr">
        <is>
          <t>期货代理</t>
        </is>
      </c>
      <c r="G118" s="40" t="n">
        <v>2585</v>
      </c>
      <c r="H118" s="41" t="inlineStr">
        <is>
          <t>插值</t>
        </is>
      </c>
      <c r="I118" s="41" t="inlineStr">
        <is>
          <t>插值 2026-01-01 2750 → 2026-05-28 2500 (w=0.66)</t>
        </is>
      </c>
      <c r="J118" s="20" t="n">
        <v>1176.12</v>
      </c>
      <c r="K118" s="20" t="n">
        <v>-337.56</v>
      </c>
      <c r="L118" s="20" t="n"/>
    </row>
    <row r="119">
      <c r="A119" s="11" t="inlineStr">
        <is>
          <t>2026-04-09</t>
        </is>
      </c>
      <c r="B119" s="20" t="n"/>
      <c r="C119" s="20" t="n"/>
      <c r="D119" s="20" t="n"/>
      <c r="E119" s="20" t="n">
        <v>4973.3</v>
      </c>
      <c r="F119" s="11" t="inlineStr">
        <is>
          <t>期货代理</t>
        </is>
      </c>
      <c r="G119" s="40" t="n">
        <v>2583.3</v>
      </c>
      <c r="H119" s="41" t="inlineStr">
        <is>
          <t>插值</t>
        </is>
      </c>
      <c r="I119" s="41" t="inlineStr">
        <is>
          <t>插值 2026-01-01 2750 → 2026-05-28 2500 (w=0.67)</t>
        </is>
      </c>
      <c r="J119" s="20" t="n">
        <v>1111.67</v>
      </c>
      <c r="K119" s="20" t="n">
        <v>-402.02</v>
      </c>
      <c r="L119" s="20" t="n"/>
    </row>
    <row r="120">
      <c r="A120" s="11" t="inlineStr">
        <is>
          <t>2026-04-10</t>
        </is>
      </c>
      <c r="B120" s="20" t="n"/>
      <c r="C120" s="20" t="n"/>
      <c r="D120" s="20" t="n"/>
      <c r="E120" s="20" t="n">
        <v>4832.3</v>
      </c>
      <c r="F120" s="11" t="inlineStr">
        <is>
          <t>期货代理</t>
        </is>
      </c>
      <c r="G120" s="40" t="n">
        <v>2581.6</v>
      </c>
      <c r="H120" s="41" t="inlineStr">
        <is>
          <t>插值</t>
        </is>
      </c>
      <c r="I120" s="41" t="inlineStr">
        <is>
          <t>插值 2026-01-01 2750 → 2026-05-28 2500 (w=0.67)</t>
        </is>
      </c>
      <c r="J120" s="20" t="n">
        <v>973.21</v>
      </c>
      <c r="K120" s="20" t="n">
        <v>-540.48</v>
      </c>
      <c r="L120" s="20" t="n"/>
    </row>
    <row r="121">
      <c r="A121" s="11" t="inlineStr">
        <is>
          <t>2026-04-13</t>
        </is>
      </c>
      <c r="B121" s="20" t="n"/>
      <c r="C121" s="20" t="n"/>
      <c r="D121" s="20" t="n"/>
      <c r="E121" s="20" t="n">
        <v>4972.3</v>
      </c>
      <c r="F121" s="11" t="inlineStr">
        <is>
          <t>期货代理</t>
        </is>
      </c>
      <c r="G121" s="40" t="n">
        <v>2576.5</v>
      </c>
      <c r="H121" s="41" t="inlineStr">
        <is>
          <t>插值</t>
        </is>
      </c>
      <c r="I121" s="41" t="inlineStr">
        <is>
          <t>插值 2026-01-01 2750 → 2026-05-28 2500 (w=0.69)</t>
        </is>
      </c>
      <c r="J121" s="20" t="n">
        <v>1120.83</v>
      </c>
      <c r="K121" s="20" t="n">
        <v>-392.85</v>
      </c>
      <c r="L121" s="20" t="n"/>
    </row>
    <row r="122">
      <c r="A122" s="11" t="inlineStr">
        <is>
          <t>2026-04-14</t>
        </is>
      </c>
      <c r="B122" s="20" t="n"/>
      <c r="C122" s="20" t="n"/>
      <c r="D122" s="20" t="n"/>
      <c r="E122" s="20" t="n">
        <v>4919.3</v>
      </c>
      <c r="F122" s="11" t="inlineStr">
        <is>
          <t>期货代理</t>
        </is>
      </c>
      <c r="G122" s="40" t="n">
        <v>2574.8</v>
      </c>
      <c r="H122" s="41" t="inlineStr">
        <is>
          <t>插值</t>
        </is>
      </c>
      <c r="I122" s="41" t="inlineStr">
        <is>
          <t>插值 2026-01-01 2750 → 2026-05-28 2500 (w=0.70)</t>
        </is>
      </c>
      <c r="J122" s="20" t="n">
        <v>1070.37</v>
      </c>
      <c r="K122" s="20" t="n">
        <v>-443.31</v>
      </c>
      <c r="L122" s="20" t="n"/>
    </row>
    <row r="123">
      <c r="A123" s="11" t="inlineStr">
        <is>
          <t>2026-04-15</t>
        </is>
      </c>
      <c r="B123" s="20" t="n"/>
      <c r="C123" s="20" t="n"/>
      <c r="D123" s="20" t="n"/>
      <c r="E123" s="20" t="n">
        <v>4980.3</v>
      </c>
      <c r="F123" s="11" t="inlineStr">
        <is>
          <t>期货代理</t>
        </is>
      </c>
      <c r="G123" s="40" t="n">
        <v>2573.1</v>
      </c>
      <c r="H123" s="41" t="inlineStr">
        <is>
          <t>插值</t>
        </is>
      </c>
      <c r="I123" s="41" t="inlineStr">
        <is>
          <t>插值 2026-01-01 2750 → 2026-05-28 2500 (w=0.71)</t>
        </is>
      </c>
      <c r="J123" s="20" t="n">
        <v>1133.91</v>
      </c>
      <c r="K123" s="20" t="n">
        <v>-379.77</v>
      </c>
      <c r="L123" s="20" t="n"/>
    </row>
    <row r="124">
      <c r="A124" s="11" t="inlineStr">
        <is>
          <t>2026-04-16</t>
        </is>
      </c>
      <c r="B124" s="20" t="n"/>
      <c r="C124" s="20" t="n"/>
      <c r="D124" s="20" t="n"/>
      <c r="E124" s="20" t="n">
        <v>4989.3</v>
      </c>
      <c r="F124" s="11" t="inlineStr">
        <is>
          <t>期货代理</t>
        </is>
      </c>
      <c r="G124" s="40" t="n">
        <v>2571.4</v>
      </c>
      <c r="H124" s="41" t="inlineStr">
        <is>
          <t>插值</t>
        </is>
      </c>
      <c r="I124" s="41" t="inlineStr">
        <is>
          <t>插值 2026-01-01 2750 → 2026-05-28 2500 (w=0.71)</t>
        </is>
      </c>
      <c r="J124" s="20" t="n">
        <v>1145.45</v>
      </c>
      <c r="K124" s="20" t="n">
        <v>-368.23</v>
      </c>
      <c r="L124" s="20" t="n"/>
    </row>
    <row r="125">
      <c r="A125" s="11" t="inlineStr">
        <is>
          <t>2026-04-17</t>
        </is>
      </c>
      <c r="B125" s="20" t="n"/>
      <c r="C125" s="20" t="n"/>
      <c r="D125" s="20" t="n"/>
      <c r="E125" s="20" t="n">
        <v>4973.3</v>
      </c>
      <c r="F125" s="11" t="inlineStr">
        <is>
          <t>期货代理</t>
        </is>
      </c>
      <c r="G125" s="40" t="n">
        <v>2569.7</v>
      </c>
      <c r="H125" s="41" t="inlineStr">
        <is>
          <t>插值</t>
        </is>
      </c>
      <c r="I125" s="41" t="inlineStr">
        <is>
          <t>插值 2026-01-01 2750 → 2026-05-28 2500 (w=0.72)</t>
        </is>
      </c>
      <c r="J125" s="20" t="n">
        <v>1132</v>
      </c>
      <c r="K125" s="20" t="n">
        <v>-381.69</v>
      </c>
      <c r="L125" s="20" t="n"/>
    </row>
    <row r="126">
      <c r="A126" s="11" t="inlineStr">
        <is>
          <t>2026-04-20</t>
        </is>
      </c>
      <c r="B126" s="20" t="n"/>
      <c r="C126" s="20" t="n"/>
      <c r="D126" s="20" t="n"/>
      <c r="E126" s="20" t="n">
        <v>5027.3</v>
      </c>
      <c r="F126" s="11" t="inlineStr">
        <is>
          <t>期货代理</t>
        </is>
      </c>
      <c r="G126" s="40" t="n">
        <v>2564.6</v>
      </c>
      <c r="H126" s="41" t="inlineStr">
        <is>
          <t>插值</t>
        </is>
      </c>
      <c r="I126" s="41" t="inlineStr">
        <is>
          <t>插值 2026-01-01 2750 → 2026-05-28 2500 (w=0.74)</t>
        </is>
      </c>
      <c r="J126" s="20" t="n">
        <v>1193.62</v>
      </c>
      <c r="K126" s="20" t="n">
        <v>-320.07</v>
      </c>
      <c r="L126" s="20" t="n"/>
    </row>
    <row r="127">
      <c r="A127" s="11" t="inlineStr">
        <is>
          <t>2026-04-21</t>
        </is>
      </c>
      <c r="B127" s="20" t="n"/>
      <c r="C127" s="20" t="n"/>
      <c r="D127" s="20" t="n"/>
      <c r="E127" s="20" t="n">
        <v>5014.3</v>
      </c>
      <c r="F127" s="11" t="inlineStr">
        <is>
          <t>期货代理</t>
        </is>
      </c>
      <c r="G127" s="40" t="n">
        <v>2562.9</v>
      </c>
      <c r="H127" s="41" t="inlineStr">
        <is>
          <t>插值</t>
        </is>
      </c>
      <c r="I127" s="41" t="inlineStr">
        <is>
          <t>插值 2026-01-01 2750 → 2026-05-28 2500 (w=0.75)</t>
        </is>
      </c>
      <c r="J127" s="20" t="n">
        <v>1183.16</v>
      </c>
      <c r="K127" s="20" t="n">
        <v>-330.52</v>
      </c>
      <c r="L127" s="20" t="n"/>
    </row>
    <row r="128">
      <c r="A128" s="11" t="inlineStr">
        <is>
          <t>2026-04-22</t>
        </is>
      </c>
      <c r="B128" s="20" t="n"/>
      <c r="C128" s="20" t="n"/>
      <c r="D128" s="20" t="n"/>
      <c r="E128" s="20" t="n">
        <v>5110.3</v>
      </c>
      <c r="F128" s="11" t="inlineStr">
        <is>
          <t>期货代理</t>
        </is>
      </c>
      <c r="G128" s="40" t="n">
        <v>2561.2</v>
      </c>
      <c r="H128" s="41" t="inlineStr">
        <is>
          <t>插值</t>
        </is>
      </c>
      <c r="I128" s="41" t="inlineStr">
        <is>
          <t>插值 2026-01-01 2750 → 2026-05-28 2500 (w=0.76)</t>
        </is>
      </c>
      <c r="J128" s="20" t="n">
        <v>1281.7</v>
      </c>
      <c r="K128" s="20" t="n">
        <v>-231.98</v>
      </c>
      <c r="L128" s="20" t="n"/>
    </row>
    <row r="129">
      <c r="A129" s="11" t="inlineStr">
        <is>
          <t>2026-04-23</t>
        </is>
      </c>
      <c r="B129" s="20" t="n"/>
      <c r="C129" s="20" t="n"/>
      <c r="D129" s="20" t="n"/>
      <c r="E129" s="20" t="n">
        <v>5069.3</v>
      </c>
      <c r="F129" s="11" t="inlineStr">
        <is>
          <t>期货代理</t>
        </is>
      </c>
      <c r="G129" s="40" t="n">
        <v>2559.5</v>
      </c>
      <c r="H129" s="41" t="inlineStr">
        <is>
          <t>插值</t>
        </is>
      </c>
      <c r="I129" s="41" t="inlineStr">
        <is>
          <t>插值 2026-01-01 2750 → 2026-05-28 2500 (w=0.76)</t>
        </is>
      </c>
      <c r="J129" s="20" t="n">
        <v>1243.24</v>
      </c>
      <c r="K129" s="20" t="n">
        <v>-270.44</v>
      </c>
      <c r="L129" s="20" t="n"/>
    </row>
    <row r="130">
      <c r="A130" s="11" t="inlineStr">
        <is>
          <t>2026-04-24</t>
        </is>
      </c>
      <c r="B130" s="20" t="n"/>
      <c r="C130" s="20" t="n"/>
      <c r="D130" s="20" t="n"/>
      <c r="E130" s="20" t="n">
        <v>5033.3</v>
      </c>
      <c r="F130" s="11" t="inlineStr">
        <is>
          <t>期货代理</t>
        </is>
      </c>
      <c r="G130" s="40" t="n">
        <v>2557.8</v>
      </c>
      <c r="H130" s="41" t="inlineStr">
        <is>
          <t>插值</t>
        </is>
      </c>
      <c r="I130" s="41" t="inlineStr">
        <is>
          <t>插值 2026-01-01 2750 → 2026-05-28 2500 (w=0.77)</t>
        </is>
      </c>
      <c r="J130" s="20" t="n">
        <v>1209.78</v>
      </c>
      <c r="K130" s="20" t="n">
        <v>-303.9</v>
      </c>
      <c r="L130" s="20" t="n"/>
    </row>
    <row r="131">
      <c r="A131" s="11" t="inlineStr">
        <is>
          <t>2026-04-27</t>
        </is>
      </c>
      <c r="B131" s="20" t="n"/>
      <c r="C131" s="20" t="n"/>
      <c r="D131" s="20" t="n"/>
      <c r="E131" s="20" t="n">
        <v>5108.3</v>
      </c>
      <c r="F131" s="11" t="inlineStr">
        <is>
          <t>期货代理</t>
        </is>
      </c>
      <c r="G131" s="40" t="n">
        <v>2552.7</v>
      </c>
      <c r="H131" s="41" t="inlineStr">
        <is>
          <t>插值</t>
        </is>
      </c>
      <c r="I131" s="41" t="inlineStr">
        <is>
          <t>插值 2026-01-01 2750 → 2026-05-28 2500 (w=0.79)</t>
        </is>
      </c>
      <c r="J131" s="20" t="n">
        <v>1292.41</v>
      </c>
      <c r="K131" s="20" t="n">
        <v>-221.28</v>
      </c>
      <c r="L131" s="20" t="n"/>
    </row>
    <row r="132">
      <c r="A132" s="11" t="inlineStr">
        <is>
          <t>2026-04-28</t>
        </is>
      </c>
      <c r="B132" s="20" t="n"/>
      <c r="C132" s="20" t="n"/>
      <c r="D132" s="20" t="n"/>
      <c r="E132" s="20" t="n">
        <v>5238.3</v>
      </c>
      <c r="F132" s="11" t="inlineStr">
        <is>
          <t>期货代理</t>
        </is>
      </c>
      <c r="G132" s="40" t="n">
        <v>2551</v>
      </c>
      <c r="H132" s="41" t="inlineStr">
        <is>
          <t>插值</t>
        </is>
      </c>
      <c r="I132" s="41" t="inlineStr">
        <is>
          <t>插值 2026-01-01 2750 → 2026-05-28 2500 (w=0.80)</t>
        </is>
      </c>
      <c r="J132" s="20" t="n">
        <v>1424.95</v>
      </c>
      <c r="K132" s="20" t="n">
        <v>-88.73999999999999</v>
      </c>
      <c r="L132" s="20" t="n"/>
    </row>
    <row r="133">
      <c r="A133" s="11" t="inlineStr">
        <is>
          <t>2026-04-29</t>
        </is>
      </c>
      <c r="B133" s="20" t="n"/>
      <c r="C133" s="20" t="n"/>
      <c r="D133" s="20" t="n"/>
      <c r="E133" s="20" t="n">
        <v>5175.3</v>
      </c>
      <c r="F133" s="11" t="inlineStr">
        <is>
          <t>期货代理</t>
        </is>
      </c>
      <c r="G133" s="40" t="n">
        <v>2549.3</v>
      </c>
      <c r="H133" s="41" t="inlineStr">
        <is>
          <t>插值</t>
        </is>
      </c>
      <c r="I133" s="41" t="inlineStr">
        <is>
          <t>插值 2026-01-01 2750 → 2026-05-28 2500 (w=0.80)</t>
        </is>
      </c>
      <c r="J133" s="20" t="n">
        <v>1364.49</v>
      </c>
      <c r="K133" s="20" t="n">
        <v>-149.19</v>
      </c>
      <c r="L133" s="20" t="n"/>
    </row>
    <row r="134">
      <c r="A134" s="11" t="inlineStr">
        <is>
          <t>2026-04-30</t>
        </is>
      </c>
      <c r="B134" s="20" t="n"/>
      <c r="C134" s="20" t="n"/>
      <c r="D134" s="20" t="n"/>
      <c r="E134" s="20" t="n">
        <v>5152.3</v>
      </c>
      <c r="F134" s="11" t="inlineStr">
        <is>
          <t>期货代理</t>
        </is>
      </c>
      <c r="G134" s="40" t="n">
        <v>2547.6</v>
      </c>
      <c r="H134" s="41" t="inlineStr">
        <is>
          <t>插值</t>
        </is>
      </c>
      <c r="I134" s="41" t="inlineStr">
        <is>
          <t>插值 2026-01-01 2750 → 2026-05-28 2500 (w=0.81)</t>
        </is>
      </c>
      <c r="J134" s="20" t="n">
        <v>1344.03</v>
      </c>
      <c r="K134" s="20" t="n">
        <v>-169.65</v>
      </c>
      <c r="L134" s="20" t="n"/>
    </row>
    <row r="135">
      <c r="A135" s="11" t="inlineStr">
        <is>
          <t>2026-05-06</t>
        </is>
      </c>
      <c r="B135" s="20" t="n"/>
      <c r="C135" s="20" t="n"/>
      <c r="D135" s="20" t="n"/>
      <c r="E135" s="20" t="n">
        <v>5199.3</v>
      </c>
      <c r="F135" s="11" t="inlineStr">
        <is>
          <t>期货代理</t>
        </is>
      </c>
      <c r="G135" s="40" t="n">
        <v>2537.4</v>
      </c>
      <c r="H135" s="41" t="inlineStr">
        <is>
          <t>插值</t>
        </is>
      </c>
      <c r="I135" s="41" t="inlineStr">
        <is>
          <t>插值 2026-01-01 2750 → 2026-05-28 2500 (w=0.85)</t>
        </is>
      </c>
      <c r="J135" s="20" t="n">
        <v>1406.28</v>
      </c>
      <c r="K135" s="20" t="n">
        <v>-107.41</v>
      </c>
      <c r="L135" s="20" t="n"/>
    </row>
    <row r="136">
      <c r="A136" s="11" t="inlineStr">
        <is>
          <t>2026-05-07</t>
        </is>
      </c>
      <c r="B136" s="20" t="n"/>
      <c r="C136" s="20" t="n"/>
      <c r="D136" s="20" t="n"/>
      <c r="E136" s="20" t="n">
        <v>5043.3</v>
      </c>
      <c r="F136" s="11" t="inlineStr">
        <is>
          <t>期货代理</t>
        </is>
      </c>
      <c r="G136" s="40" t="n">
        <v>2535.7</v>
      </c>
      <c r="H136" s="41" t="inlineStr">
        <is>
          <t>插值</t>
        </is>
      </c>
      <c r="I136" s="41" t="inlineStr">
        <is>
          <t>插值 2026-01-01 2750 → 2026-05-28 2500 (w=0.86)</t>
        </is>
      </c>
      <c r="J136" s="20" t="n">
        <v>1252.82</v>
      </c>
      <c r="K136" s="20" t="n">
        <v>-260.86</v>
      </c>
      <c r="L136" s="20" t="n"/>
    </row>
    <row r="137">
      <c r="A137" s="11" t="inlineStr">
        <is>
          <t>2026-05-08</t>
        </is>
      </c>
      <c r="B137" s="20" t="n"/>
      <c r="C137" s="20" t="n"/>
      <c r="D137" s="20" t="n"/>
      <c r="E137" s="20" t="n">
        <v>5025.3</v>
      </c>
      <c r="F137" s="11" t="inlineStr">
        <is>
          <t>期货代理</t>
        </is>
      </c>
      <c r="G137" s="40" t="n">
        <v>2534</v>
      </c>
      <c r="H137" s="41" t="inlineStr">
        <is>
          <t>插值</t>
        </is>
      </c>
      <c r="I137" s="41" t="inlineStr">
        <is>
          <t>插值 2026-01-01 2750 → 2026-05-28 2500 (w=0.86)</t>
        </is>
      </c>
      <c r="J137" s="20" t="n">
        <v>1237.36</v>
      </c>
      <c r="K137" s="20" t="n">
        <v>-276.32</v>
      </c>
      <c r="L137" s="20" t="n"/>
    </row>
    <row r="138">
      <c r="A138" s="11" t="inlineStr">
        <is>
          <t>2026-05-11</t>
        </is>
      </c>
      <c r="B138" s="20" t="n"/>
      <c r="C138" s="20" t="n"/>
      <c r="D138" s="20" t="n"/>
      <c r="E138" s="20" t="n">
        <v>5013.3</v>
      </c>
      <c r="F138" s="11" t="inlineStr">
        <is>
          <t>期货代理</t>
        </is>
      </c>
      <c r="G138" s="40" t="n">
        <v>2528.9</v>
      </c>
      <c r="H138" s="41" t="inlineStr">
        <is>
          <t>插值</t>
        </is>
      </c>
      <c r="I138" s="41" t="inlineStr">
        <is>
          <t>插值 2026-01-01 2750 → 2026-05-28 2500 (w=0.88)</t>
        </is>
      </c>
      <c r="J138" s="20" t="n">
        <v>1232.99</v>
      </c>
      <c r="K138" s="20" t="n">
        <v>-280.7</v>
      </c>
      <c r="L138" s="20" t="n"/>
    </row>
    <row r="139">
      <c r="A139" s="11" t="inlineStr">
        <is>
          <t>2026-05-12</t>
        </is>
      </c>
      <c r="B139" s="20" t="n"/>
      <c r="C139" s="20" t="n"/>
      <c r="D139" s="20" t="n"/>
      <c r="E139" s="20" t="n">
        <v>4985.3</v>
      </c>
      <c r="F139" s="11" t="inlineStr">
        <is>
          <t>期货代理</t>
        </is>
      </c>
      <c r="G139" s="40" t="n">
        <v>2527.2</v>
      </c>
      <c r="H139" s="41" t="inlineStr">
        <is>
          <t>插值</t>
        </is>
      </c>
      <c r="I139" s="41" t="inlineStr">
        <is>
          <t>插值 2026-01-01 2750 → 2026-05-28 2500 (w=0.89)</t>
        </is>
      </c>
      <c r="J139" s="20" t="n">
        <v>1207.53</v>
      </c>
      <c r="K139" s="20" t="n">
        <v>-306.16</v>
      </c>
      <c r="L139" s="20" t="n"/>
    </row>
    <row r="140">
      <c r="A140" s="11" t="inlineStr">
        <is>
          <t>2026-05-13</t>
        </is>
      </c>
      <c r="B140" s="20" t="n"/>
      <c r="C140" s="20" t="n"/>
      <c r="D140" s="20" t="n"/>
      <c r="E140" s="20" t="n">
        <v>5109.3</v>
      </c>
      <c r="F140" s="11" t="inlineStr">
        <is>
          <t>期货代理</t>
        </is>
      </c>
      <c r="G140" s="40" t="n">
        <v>2525.5</v>
      </c>
      <c r="H140" s="41" t="inlineStr">
        <is>
          <t>插值</t>
        </is>
      </c>
      <c r="I140" s="41" t="inlineStr">
        <is>
          <t>插值 2026-01-01 2750 → 2026-05-28 2500 (w=0.90)</t>
        </is>
      </c>
      <c r="J140" s="20" t="n">
        <v>1334.07</v>
      </c>
      <c r="K140" s="20" t="n">
        <v>-179.62</v>
      </c>
      <c r="L140" s="20" t="n"/>
    </row>
    <row r="141">
      <c r="A141" s="11" t="inlineStr">
        <is>
          <t>2026-05-14</t>
        </is>
      </c>
      <c r="B141" s="20" t="n"/>
      <c r="C141" s="20" t="n"/>
      <c r="D141" s="20" t="n"/>
      <c r="E141" s="20" t="n">
        <v>4936.3</v>
      </c>
      <c r="F141" s="11" t="inlineStr">
        <is>
          <t>期货代理</t>
        </is>
      </c>
      <c r="G141" s="40" t="n">
        <v>2523.8</v>
      </c>
      <c r="H141" s="41" t="inlineStr">
        <is>
          <t>插值</t>
        </is>
      </c>
      <c r="I141" s="41" t="inlineStr">
        <is>
          <t>插值 2026-01-01 2750 → 2026-05-28 2500 (w=0.90)</t>
        </is>
      </c>
      <c r="J141" s="20" t="n">
        <v>1163.61</v>
      </c>
      <c r="K141" s="20" t="n">
        <v>-350.08</v>
      </c>
      <c r="L141" s="20" t="n"/>
    </row>
    <row r="142">
      <c r="A142" s="11" t="inlineStr">
        <is>
          <t>2026-05-15</t>
        </is>
      </c>
      <c r="B142" s="20" t="n"/>
      <c r="C142" s="20" t="n"/>
      <c r="D142" s="20" t="n"/>
      <c r="E142" s="20" t="n">
        <v>4907.3</v>
      </c>
      <c r="F142" s="11" t="inlineStr">
        <is>
          <t>期货代理</t>
        </is>
      </c>
      <c r="G142" s="40" t="n">
        <v>2522.1</v>
      </c>
      <c r="H142" s="41" t="inlineStr">
        <is>
          <t>插值</t>
        </is>
      </c>
      <c r="I142" s="41" t="inlineStr">
        <is>
          <t>插值 2026-01-01 2750 → 2026-05-28 2500 (w=0.91)</t>
        </is>
      </c>
      <c r="J142" s="20" t="n">
        <v>1137.15</v>
      </c>
      <c r="K142" s="20" t="n">
        <v>-376.54</v>
      </c>
      <c r="L142" s="20" t="n"/>
    </row>
    <row r="143">
      <c r="A143" s="11" t="inlineStr">
        <is>
          <t>2026-05-18</t>
        </is>
      </c>
      <c r="B143" s="20" t="n"/>
      <c r="C143" s="20" t="n"/>
      <c r="D143" s="20" t="n"/>
      <c r="E143" s="20" t="n">
        <v>4989.3</v>
      </c>
      <c r="F143" s="11" t="inlineStr">
        <is>
          <t>期货代理</t>
        </is>
      </c>
      <c r="G143" s="40" t="n">
        <v>2517</v>
      </c>
      <c r="H143" s="41" t="inlineStr">
        <is>
          <t>插值</t>
        </is>
      </c>
      <c r="I143" s="41" t="inlineStr">
        <is>
          <t>插值 2026-01-01 2750 → 2026-05-28 2500 (w=0.93)</t>
        </is>
      </c>
      <c r="J143" s="20" t="n">
        <v>1226.77</v>
      </c>
      <c r="K143" s="20" t="n">
        <v>-286.91</v>
      </c>
      <c r="L143" s="20" t="n"/>
    </row>
    <row r="144">
      <c r="A144" s="11" t="inlineStr">
        <is>
          <t>2026-05-19</t>
        </is>
      </c>
      <c r="B144" s="20" t="n"/>
      <c r="C144" s="20" t="n"/>
      <c r="D144" s="20" t="n"/>
      <c r="E144" s="20" t="n">
        <v>4930.3</v>
      </c>
      <c r="F144" s="11" t="inlineStr">
        <is>
          <t>期货代理</t>
        </is>
      </c>
      <c r="G144" s="40" t="n">
        <v>2515.3</v>
      </c>
      <c r="H144" s="41" t="inlineStr">
        <is>
          <t>插值</t>
        </is>
      </c>
      <c r="I144" s="41" t="inlineStr">
        <is>
          <t>插值 2026-01-01 2750 → 2026-05-28 2500 (w=0.94)</t>
        </is>
      </c>
      <c r="J144" s="20" t="n">
        <v>1170.32</v>
      </c>
      <c r="K144" s="20" t="n">
        <v>-343.37</v>
      </c>
      <c r="L144" s="20" t="n"/>
    </row>
    <row r="145">
      <c r="A145" s="11" t="inlineStr">
        <is>
          <t>2026-05-20</t>
        </is>
      </c>
      <c r="B145" s="20" t="n"/>
      <c r="C145" s="20" t="n"/>
      <c r="D145" s="20" t="n"/>
      <c r="E145" s="20" t="n">
        <v>4827.3</v>
      </c>
      <c r="F145" s="11" t="inlineStr">
        <is>
          <t>期货代理</t>
        </is>
      </c>
      <c r="G145" s="40" t="n">
        <v>2513.6</v>
      </c>
      <c r="H145" s="41" t="inlineStr">
        <is>
          <t>插值</t>
        </is>
      </c>
      <c r="I145" s="41" t="inlineStr">
        <is>
          <t>插值 2026-01-01 2750 → 2026-05-28 2500 (w=0.95)</t>
        </is>
      </c>
      <c r="J145" s="20" t="n">
        <v>1069.86</v>
      </c>
      <c r="K145" s="20" t="n">
        <v>-443.83</v>
      </c>
      <c r="L145" s="20" t="n"/>
    </row>
    <row r="146">
      <c r="A146" s="11" t="inlineStr">
        <is>
          <t>2026-05-21</t>
        </is>
      </c>
      <c r="B146" s="20" t="n"/>
      <c r="C146" s="20" t="n"/>
      <c r="D146" s="20" t="n"/>
      <c r="E146" s="20" t="n">
        <v>4745.3</v>
      </c>
      <c r="F146" s="11" t="inlineStr">
        <is>
          <t>期货代理</t>
        </is>
      </c>
      <c r="G146" s="40" t="n">
        <v>2511.9</v>
      </c>
      <c r="H146" s="41" t="inlineStr">
        <is>
          <t>插值</t>
        </is>
      </c>
      <c r="I146" s="41" t="inlineStr">
        <is>
          <t>插值 2026-01-01 2750 → 2026-05-28 2500 (w=0.95)</t>
        </is>
      </c>
      <c r="J146" s="20" t="n">
        <v>990.4</v>
      </c>
      <c r="K146" s="20" t="n">
        <v>-523.29</v>
      </c>
      <c r="L146" s="20" t="n"/>
    </row>
    <row r="147">
      <c r="A147" s="11" t="inlineStr">
        <is>
          <t>2026-05-22</t>
        </is>
      </c>
      <c r="B147" s="20" t="n"/>
      <c r="C147" s="20" t="n"/>
      <c r="D147" s="20" t="n"/>
      <c r="E147" s="20" t="n">
        <v>4726.3</v>
      </c>
      <c r="F147" s="11" t="inlineStr">
        <is>
          <t>期货代理</t>
        </is>
      </c>
      <c r="G147" s="40" t="n">
        <v>2510.2</v>
      </c>
      <c r="H147" s="41" t="inlineStr">
        <is>
          <t>插值</t>
        </is>
      </c>
      <c r="I147" s="41" t="inlineStr">
        <is>
          <t>插值 2026-01-01 2750 → 2026-05-28 2500 (w=0.96)</t>
        </is>
      </c>
      <c r="J147" s="20" t="n">
        <v>973.9400000000001</v>
      </c>
      <c r="K147" s="20" t="n">
        <v>-539.75</v>
      </c>
      <c r="L147" s="20" t="n"/>
    </row>
    <row r="148">
      <c r="A148" s="11" t="inlineStr">
        <is>
          <t>2026-05-25</t>
        </is>
      </c>
      <c r="B148" s="20" t="n"/>
      <c r="C148" s="20" t="n"/>
      <c r="D148" s="20" t="n"/>
      <c r="E148" s="20" t="n">
        <v>4794.3</v>
      </c>
      <c r="F148" s="11" t="inlineStr">
        <is>
          <t>期货代理</t>
        </is>
      </c>
      <c r="G148" s="40" t="n">
        <v>2505.1</v>
      </c>
      <c r="H148" s="41" t="inlineStr">
        <is>
          <t>插值</t>
        </is>
      </c>
      <c r="I148" s="41" t="inlineStr">
        <is>
          <t>插值 2026-01-01 2750 → 2026-05-28 2500 (w=0.98)</t>
        </is>
      </c>
      <c r="J148" s="20" t="n">
        <v>1049.56</v>
      </c>
      <c r="K148" s="20" t="n">
        <v>-464.12</v>
      </c>
      <c r="L148" s="20" t="n"/>
    </row>
    <row r="149">
      <c r="A149" s="11" t="inlineStr">
        <is>
          <t>2026-05-26</t>
        </is>
      </c>
      <c r="B149" s="20" t="n"/>
      <c r="C149" s="20" t="n"/>
      <c r="D149" s="20" t="n"/>
      <c r="E149" s="20" t="n">
        <v>4734.3</v>
      </c>
      <c r="F149" s="11" t="inlineStr">
        <is>
          <t>期货代理</t>
        </is>
      </c>
      <c r="G149" s="40" t="n">
        <v>2503.4</v>
      </c>
      <c r="H149" s="41" t="inlineStr">
        <is>
          <t>插值</t>
        </is>
      </c>
      <c r="I149" s="41" t="inlineStr">
        <is>
          <t>插值 2026-01-01 2750 → 2026-05-28 2500 (w=0.99)</t>
        </is>
      </c>
      <c r="J149" s="20" t="n">
        <v>992.1</v>
      </c>
      <c r="K149" s="20" t="n">
        <v>-521.58</v>
      </c>
      <c r="L149" s="20" t="n"/>
    </row>
    <row r="150">
      <c r="A150" s="11" t="inlineStr">
        <is>
          <t>2026-05-27</t>
        </is>
      </c>
      <c r="B150" s="20" t="n"/>
      <c r="C150" s="20" t="n"/>
      <c r="D150" s="20" t="n"/>
      <c r="E150" s="20" t="n">
        <v>4753.3</v>
      </c>
      <c r="F150" s="11" t="inlineStr">
        <is>
          <t>期货代理</t>
        </is>
      </c>
      <c r="G150" s="40" t="n">
        <v>2501.7</v>
      </c>
      <c r="H150" s="41" t="inlineStr">
        <is>
          <t>插值</t>
        </is>
      </c>
      <c r="I150" s="41" t="inlineStr">
        <is>
          <t>插值 2026-01-01 2750 → 2026-05-28 2500 (w=0.99)</t>
        </is>
      </c>
      <c r="J150" s="20" t="n">
        <v>1013.65</v>
      </c>
      <c r="K150" s="20" t="n">
        <v>-500.04</v>
      </c>
      <c r="L150" s="20" t="n"/>
    </row>
    <row r="151">
      <c r="A151" s="11" t="inlineStr">
        <is>
          <t>2026-05-28</t>
        </is>
      </c>
      <c r="B151" s="20" t="n"/>
      <c r="C151" s="20" t="n"/>
      <c r="D151" s="20" t="n"/>
      <c r="E151" s="20" t="n">
        <v>4819.3</v>
      </c>
      <c r="F151" s="11" t="inlineStr">
        <is>
          <t>期货代理</t>
        </is>
      </c>
      <c r="G151" s="40" t="n">
        <v>2500</v>
      </c>
      <c r="H151" s="41" t="inlineStr">
        <is>
          <t>锚点</t>
        </is>
      </c>
      <c r="I151" s="41" t="inlineStr">
        <is>
          <t>锚点日</t>
        </is>
      </c>
      <c r="J151" s="20" t="n">
        <v>1082.19</v>
      </c>
      <c r="K151" s="20" t="n">
        <v>-431.5</v>
      </c>
      <c r="L151" s="20" t="n"/>
    </row>
    <row r="152">
      <c r="A152" s="11" t="inlineStr">
        <is>
          <t>2026-05-29</t>
        </is>
      </c>
      <c r="B152" s="20" t="n"/>
      <c r="C152" s="20" t="n"/>
      <c r="D152" s="20" t="n"/>
      <c r="E152" s="20" t="n">
        <v>4804.3</v>
      </c>
      <c r="F152" s="11" t="inlineStr">
        <is>
          <t>期货代理</t>
        </is>
      </c>
      <c r="G152" s="40" t="n">
        <v>2500</v>
      </c>
      <c r="H152" s="41" t="inlineStr">
        <is>
          <t>插值</t>
        </is>
      </c>
      <c r="I152" s="41" t="inlineStr">
        <is>
          <t>插值 2026-05-28 2500 → 2026-05-31 2500 (w=0.33)</t>
        </is>
      </c>
      <c r="J152" s="20" t="n">
        <v>1067.19</v>
      </c>
      <c r="K152" s="20" t="n">
        <v>-446.5</v>
      </c>
      <c r="L152" s="20" t="n"/>
    </row>
    <row r="153">
      <c r="A153" s="11" t="inlineStr">
        <is>
          <t>2026-06-01</t>
        </is>
      </c>
      <c r="B153" s="20" t="n"/>
      <c r="C153" s="20" t="n"/>
      <c r="D153" s="20" t="n"/>
      <c r="E153" s="20" t="n">
        <v>4873.3</v>
      </c>
      <c r="F153" s="11" t="inlineStr">
        <is>
          <t>期货代理</t>
        </is>
      </c>
      <c r="G153" s="40" t="n">
        <v>2498.4</v>
      </c>
      <c r="H153" s="41" t="inlineStr">
        <is>
          <t>插值</t>
        </is>
      </c>
      <c r="I153" s="41" t="inlineStr">
        <is>
          <t>插值 2026-05-31 2500 → 2026-08-03 2400 (w=0.02)</t>
        </is>
      </c>
      <c r="J153" s="20" t="n">
        <v>1138.58</v>
      </c>
      <c r="K153" s="20" t="n">
        <v>-375.11</v>
      </c>
      <c r="L153" s="20" t="n"/>
    </row>
    <row r="154">
      <c r="A154" s="11" t="inlineStr">
        <is>
          <t>2026-06-02</t>
        </is>
      </c>
      <c r="B154" s="20" t="n"/>
      <c r="C154" s="20" t="n"/>
      <c r="D154" s="20" t="n"/>
      <c r="E154" s="20" t="n">
        <v>4830.3</v>
      </c>
      <c r="F154" s="11" t="inlineStr">
        <is>
          <t>期货代理</t>
        </is>
      </c>
      <c r="G154" s="40" t="n">
        <v>2496.9</v>
      </c>
      <c r="H154" s="41" t="inlineStr">
        <is>
          <t>插值</t>
        </is>
      </c>
      <c r="I154" s="41" t="inlineStr">
        <is>
          <t>插值 2026-05-31 2500 → 2026-08-03 2400 (w=0.03)</t>
        </is>
      </c>
      <c r="J154" s="20" t="n">
        <v>1097.82</v>
      </c>
      <c r="K154" s="20" t="n">
        <v>-415.86</v>
      </c>
      <c r="L154" s="20" t="n"/>
    </row>
    <row r="155">
      <c r="A155" s="11" t="inlineStr">
        <is>
          <t>2026-06-03</t>
        </is>
      </c>
      <c r="B155" s="20" t="n"/>
      <c r="C155" s="20" t="n"/>
      <c r="D155" s="20" t="n"/>
      <c r="E155" s="20" t="n">
        <v>4823.3</v>
      </c>
      <c r="F155" s="11" t="inlineStr">
        <is>
          <t>期货代理</t>
        </is>
      </c>
      <c r="G155" s="40" t="n">
        <v>2495.3</v>
      </c>
      <c r="H155" s="41" t="inlineStr">
        <is>
          <t>插值</t>
        </is>
      </c>
      <c r="I155" s="41" t="inlineStr">
        <is>
          <t>插值 2026-05-31 2500 → 2026-08-03 2400 (w=0.05)</t>
        </is>
      </c>
      <c r="J155" s="20" t="n">
        <v>1093.21</v>
      </c>
      <c r="K155" s="20" t="n">
        <v>-420.47</v>
      </c>
      <c r="L155" s="20" t="n"/>
    </row>
    <row r="156">
      <c r="A156" s="11" t="inlineStr">
        <is>
          <t>2026-06-04</t>
        </is>
      </c>
      <c r="B156" s="20" t="n"/>
      <c r="C156" s="20" t="n"/>
      <c r="D156" s="20" t="n"/>
      <c r="E156" s="20" t="n">
        <v>4699.3</v>
      </c>
      <c r="F156" s="11" t="inlineStr">
        <is>
          <t>期货代理</t>
        </is>
      </c>
      <c r="G156" s="40" t="n">
        <v>2493.8</v>
      </c>
      <c r="H156" s="41" t="inlineStr">
        <is>
          <t>插值</t>
        </is>
      </c>
      <c r="I156" s="41" t="inlineStr">
        <is>
          <t>插值 2026-05-31 2500 → 2026-08-03 2400 (w=0.06)</t>
        </is>
      </c>
      <c r="J156" s="20" t="n">
        <v>971.45</v>
      </c>
      <c r="K156" s="20" t="n">
        <v>-542.23</v>
      </c>
      <c r="L156" s="20" t="n"/>
    </row>
    <row r="157">
      <c r="A157" s="11" t="inlineStr">
        <is>
          <t>2026-06-05</t>
        </is>
      </c>
      <c r="B157" s="20" t="n"/>
      <c r="C157" s="20" t="n"/>
      <c r="D157" s="20" t="n"/>
      <c r="E157" s="20" t="n">
        <v>4647.3</v>
      </c>
      <c r="F157" s="11" t="inlineStr">
        <is>
          <t>期货代理</t>
        </is>
      </c>
      <c r="G157" s="40" t="n">
        <v>2492.2</v>
      </c>
      <c r="H157" s="41" t="inlineStr">
        <is>
          <t>插值</t>
        </is>
      </c>
      <c r="I157" s="41" t="inlineStr">
        <is>
          <t>插值 2026-05-31 2500 → 2026-08-03 2400 (w=0.08)</t>
        </is>
      </c>
      <c r="J157" s="20" t="n">
        <v>921.85</v>
      </c>
      <c r="K157" s="20" t="n">
        <v>-591.84</v>
      </c>
      <c r="L157" s="20" t="n"/>
    </row>
    <row r="158">
      <c r="A158" s="11" t="inlineStr">
        <is>
          <t>2026-06-08</t>
        </is>
      </c>
      <c r="B158" s="20" t="n"/>
      <c r="C158" s="20" t="n"/>
      <c r="D158" s="20" t="n"/>
      <c r="E158" s="20" t="n">
        <v>4658.3</v>
      </c>
      <c r="F158" s="11" t="inlineStr">
        <is>
          <t>期货代理</t>
        </is>
      </c>
      <c r="G158" s="40" t="n">
        <v>2487.5</v>
      </c>
      <c r="H158" s="41" t="inlineStr">
        <is>
          <t>插值</t>
        </is>
      </c>
      <c r="I158" s="41" t="inlineStr">
        <is>
          <t>插值 2026-05-31 2500 → 2026-08-03 2400 (w=0.12)</t>
        </is>
      </c>
      <c r="J158" s="20" t="n">
        <v>939.87</v>
      </c>
      <c r="K158" s="20" t="n">
        <v>-573.8099999999999</v>
      </c>
      <c r="L158" s="20" t="n"/>
    </row>
    <row r="159">
      <c r="A159" s="11" t="inlineStr">
        <is>
          <t>2026-06-09</t>
        </is>
      </c>
      <c r="B159" s="20" t="n"/>
      <c r="C159" s="20" t="n"/>
      <c r="D159" s="20" t="n"/>
      <c r="E159" s="20" t="n">
        <v>4597.3</v>
      </c>
      <c r="F159" s="11" t="inlineStr">
        <is>
          <t>期货代理</t>
        </is>
      </c>
      <c r="G159" s="40" t="n">
        <v>2485.9</v>
      </c>
      <c r="H159" s="41" t="inlineStr">
        <is>
          <t>插值</t>
        </is>
      </c>
      <c r="I159" s="41" t="inlineStr">
        <is>
          <t>插值 2026-05-31 2500 → 2026-08-03 2400 (w=0.14)</t>
        </is>
      </c>
      <c r="J159" s="20" t="n">
        <v>881.26</v>
      </c>
      <c r="K159" s="20" t="n">
        <v>-632.42</v>
      </c>
      <c r="L159" s="20" t="n"/>
    </row>
    <row r="160">
      <c r="A160" s="11" t="inlineStr">
        <is>
          <t>2026-06-10</t>
        </is>
      </c>
      <c r="B160" s="20" t="n"/>
      <c r="C160" s="20" t="n"/>
      <c r="D160" s="20" t="n"/>
      <c r="E160" s="20" t="n">
        <v>4586.3</v>
      </c>
      <c r="F160" s="11" t="inlineStr">
        <is>
          <t>期货代理</t>
        </is>
      </c>
      <c r="G160" s="40" t="n">
        <v>2484.4</v>
      </c>
      <c r="H160" s="41" t="inlineStr">
        <is>
          <t>插值</t>
        </is>
      </c>
      <c r="I160" s="41" t="inlineStr">
        <is>
          <t>插值 2026-05-31 2500 → 2026-08-03 2400 (w=0.16)</t>
        </is>
      </c>
      <c r="J160" s="20" t="n">
        <v>872.51</v>
      </c>
      <c r="K160" s="20" t="n">
        <v>-641.1799999999999</v>
      </c>
      <c r="L160" s="20" t="n"/>
    </row>
    <row r="161">
      <c r="A161" s="11" t="inlineStr">
        <is>
          <t>2026-06-11</t>
        </is>
      </c>
      <c r="B161" s="20" t="n"/>
      <c r="C161" s="20" t="n"/>
      <c r="D161" s="20" t="n"/>
      <c r="E161" s="20" t="n">
        <v>4596.3</v>
      </c>
      <c r="F161" s="11" t="inlineStr">
        <is>
          <t>期货代理</t>
        </is>
      </c>
      <c r="G161" s="40" t="n">
        <v>2482.8</v>
      </c>
      <c r="H161" s="41" t="inlineStr">
        <is>
          <t>插值</t>
        </is>
      </c>
      <c r="I161" s="41" t="inlineStr">
        <is>
          <t>插值 2026-05-31 2500 → 2026-08-03 2400 (w=0.17)</t>
        </is>
      </c>
      <c r="J161" s="20" t="n">
        <v>884.9</v>
      </c>
      <c r="K161" s="20" t="n">
        <v>-628.79</v>
      </c>
      <c r="L161" s="20" t="n"/>
    </row>
    <row r="162">
      <c r="A162" s="11" t="inlineStr">
        <is>
          <t>2026-06-12</t>
        </is>
      </c>
      <c r="B162" s="20" t="n"/>
      <c r="C162" s="20" t="n"/>
      <c r="D162" s="20" t="n"/>
      <c r="E162" s="20" t="n">
        <v>4621.3</v>
      </c>
      <c r="F162" s="11" t="inlineStr">
        <is>
          <t>期货代理</t>
        </is>
      </c>
      <c r="G162" s="40" t="n">
        <v>2481.2</v>
      </c>
      <c r="H162" s="41" t="inlineStr">
        <is>
          <t>插值</t>
        </is>
      </c>
      <c r="I162" s="41" t="inlineStr">
        <is>
          <t>插值 2026-05-31 2500 → 2026-08-03 2400 (w=0.19)</t>
        </is>
      </c>
      <c r="J162" s="20" t="n">
        <v>912.29</v>
      </c>
      <c r="K162" s="20" t="n">
        <v>-601.4</v>
      </c>
      <c r="L162" s="20" t="n"/>
    </row>
    <row r="163">
      <c r="A163" s="11" t="inlineStr">
        <is>
          <t>2026-06-15</t>
        </is>
      </c>
      <c r="B163" s="20" t="n"/>
      <c r="C163" s="20" t="n"/>
      <c r="D163" s="20" t="n"/>
      <c r="E163" s="20" t="n">
        <v>4572.3</v>
      </c>
      <c r="F163" s="11" t="inlineStr">
        <is>
          <t>期货代理</t>
        </is>
      </c>
      <c r="G163" s="40" t="n">
        <v>2476.6</v>
      </c>
      <c r="H163" s="41" t="inlineStr">
        <is>
          <t>插值</t>
        </is>
      </c>
      <c r="I163" s="41" t="inlineStr">
        <is>
          <t>插值 2026-05-31 2500 → 2026-08-03 2400 (w=0.23)</t>
        </is>
      </c>
      <c r="J163" s="20" t="n">
        <v>870.17</v>
      </c>
      <c r="K163" s="20" t="n">
        <v>-643.52</v>
      </c>
      <c r="L163" s="20" t="n"/>
    </row>
    <row r="164">
      <c r="A164" s="11" t="inlineStr">
        <is>
          <t>2026-06-16</t>
        </is>
      </c>
      <c r="B164" s="20" t="n"/>
      <c r="C164" s="20" t="n"/>
      <c r="D164" s="20" t="n"/>
      <c r="E164" s="20" t="n">
        <v>4517.3</v>
      </c>
      <c r="F164" s="11" t="inlineStr">
        <is>
          <t>期货代理</t>
        </is>
      </c>
      <c r="G164" s="40" t="n">
        <v>2475</v>
      </c>
      <c r="H164" s="41" t="inlineStr">
        <is>
          <t>插值</t>
        </is>
      </c>
      <c r="I164" s="41" t="inlineStr">
        <is>
          <t>插值 2026-05-31 2500 → 2026-08-03 2400 (w=0.25)</t>
        </is>
      </c>
      <c r="J164" s="20" t="n">
        <v>817.5599999999999</v>
      </c>
      <c r="K164" s="20" t="n">
        <v>-696.13</v>
      </c>
      <c r="L164" s="20" t="n"/>
    </row>
    <row r="165">
      <c r="A165" s="11" t="inlineStr">
        <is>
          <t>2026-06-17</t>
        </is>
      </c>
      <c r="B165" s="20" t="n"/>
      <c r="C165" s="20" t="n"/>
      <c r="D165" s="20" t="n"/>
      <c r="E165" s="20" t="n">
        <v>4498.3</v>
      </c>
      <c r="F165" s="11" t="inlineStr">
        <is>
          <t>期货代理</t>
        </is>
      </c>
      <c r="G165" s="40" t="n">
        <v>2473.4</v>
      </c>
      <c r="H165" s="41" t="inlineStr">
        <is>
          <t>插值</t>
        </is>
      </c>
      <c r="I165" s="41" t="inlineStr">
        <is>
          <t>插值 2026-05-31 2500 → 2026-08-03 2400 (w=0.27)</t>
        </is>
      </c>
      <c r="J165" s="20" t="n">
        <v>800.95</v>
      </c>
      <c r="K165" s="20" t="n">
        <v>-712.74</v>
      </c>
      <c r="L165" s="20" t="n"/>
    </row>
    <row r="166">
      <c r="A166" s="11" t="inlineStr">
        <is>
          <t>2026-06-18</t>
        </is>
      </c>
      <c r="B166" s="20" t="n"/>
      <c r="C166" s="20" t="n"/>
      <c r="D166" s="20" t="n"/>
      <c r="E166" s="20" t="n">
        <v>4496.3</v>
      </c>
      <c r="F166" s="11" t="inlineStr">
        <is>
          <t>期货代理</t>
        </is>
      </c>
      <c r="G166" s="40" t="n">
        <v>2471.9</v>
      </c>
      <c r="H166" s="41" t="inlineStr">
        <is>
          <t>插值</t>
        </is>
      </c>
      <c r="I166" s="41" t="inlineStr">
        <is>
          <t>插值 2026-05-31 2500 → 2026-08-03 2400 (w=0.28)</t>
        </is>
      </c>
      <c r="J166" s="20" t="n">
        <v>801.1900000000001</v>
      </c>
      <c r="K166" s="20" t="n">
        <v>-712.49</v>
      </c>
      <c r="L166" s="20" t="n"/>
    </row>
    <row r="167">
      <c r="A167" s="11" t="inlineStr">
        <is>
          <t>2026-06-22</t>
        </is>
      </c>
      <c r="B167" s="20" t="n"/>
      <c r="C167" s="20" t="n"/>
      <c r="D167" s="20" t="n"/>
      <c r="E167" s="20" t="n">
        <v>4415.3</v>
      </c>
      <c r="F167" s="11" t="inlineStr">
        <is>
          <t>期货代理</t>
        </is>
      </c>
      <c r="G167" s="40" t="n">
        <v>2465.6</v>
      </c>
      <c r="H167" s="41" t="inlineStr">
        <is>
          <t>插值</t>
        </is>
      </c>
      <c r="I167" s="41" t="inlineStr">
        <is>
          <t>插值 2026-05-31 2500 → 2026-08-03 2400 (w=0.34)</t>
        </is>
      </c>
      <c r="J167" s="20" t="n">
        <v>729.61</v>
      </c>
      <c r="K167" s="20" t="n">
        <v>-784.08</v>
      </c>
      <c r="L167" s="20" t="n"/>
    </row>
    <row r="168">
      <c r="A168" s="11" t="inlineStr">
        <is>
          <t>2026-06-23</t>
        </is>
      </c>
      <c r="B168" s="20" t="n"/>
      <c r="C168" s="20" t="n"/>
      <c r="D168" s="20" t="n"/>
      <c r="E168" s="20" t="n">
        <v>4324.3</v>
      </c>
      <c r="F168" s="11" t="inlineStr">
        <is>
          <t>期货代理</t>
        </is>
      </c>
      <c r="G168" s="40" t="n">
        <v>2464.1</v>
      </c>
      <c r="H168" s="41" t="inlineStr">
        <is>
          <t>插值</t>
        </is>
      </c>
      <c r="I168" s="41" t="inlineStr">
        <is>
          <t>插值 2026-05-31 2500 → 2026-08-03 2400 (w=0.36)</t>
        </is>
      </c>
      <c r="J168" s="20" t="n">
        <v>640.85</v>
      </c>
      <c r="K168" s="20" t="n">
        <v>-872.83</v>
      </c>
      <c r="L168" s="20" t="n"/>
    </row>
    <row r="169">
      <c r="A169" s="11" t="inlineStr">
        <is>
          <t>2026-06-24</t>
        </is>
      </c>
      <c r="B169" s="20" t="n"/>
      <c r="C169" s="20" t="n"/>
      <c r="D169" s="20" t="n"/>
      <c r="E169" s="20" t="n">
        <v>4370.3</v>
      </c>
      <c r="F169" s="11" t="inlineStr">
        <is>
          <t>期货代理</t>
        </is>
      </c>
      <c r="G169" s="40" t="n">
        <v>2462.5</v>
      </c>
      <c r="H169" s="41" t="inlineStr">
        <is>
          <t>插值</t>
        </is>
      </c>
      <c r="I169" s="41" t="inlineStr">
        <is>
          <t>插值 2026-05-31 2500 → 2026-08-03 2400 (w=0.38)</t>
        </is>
      </c>
      <c r="J169" s="20" t="n">
        <v>689.24</v>
      </c>
      <c r="K169" s="20" t="n">
        <v>-824.4400000000001</v>
      </c>
      <c r="L169" s="20" t="n"/>
    </row>
    <row r="170">
      <c r="A170" s="11" t="inlineStr">
        <is>
          <t>2026-06-25</t>
        </is>
      </c>
      <c r="B170" s="20" t="n"/>
      <c r="C170" s="20" t="n"/>
      <c r="D170" s="20" t="n"/>
      <c r="E170" s="20" t="n">
        <v>4349.3</v>
      </c>
      <c r="F170" s="11" t="inlineStr">
        <is>
          <t>期货代理</t>
        </is>
      </c>
      <c r="G170" s="40" t="n">
        <v>2460.9</v>
      </c>
      <c r="H170" s="41" t="inlineStr">
        <is>
          <t>插值</t>
        </is>
      </c>
      <c r="I170" s="41" t="inlineStr">
        <is>
          <t>插值 2026-05-31 2500 → 2026-08-03 2400 (w=0.39)</t>
        </is>
      </c>
      <c r="J170" s="20" t="n">
        <v>670.64</v>
      </c>
      <c r="K170" s="20" t="n">
        <v>-843.05</v>
      </c>
      <c r="L170" s="20" t="n"/>
    </row>
    <row r="171">
      <c r="A171" s="11" t="inlineStr">
        <is>
          <t>2026-06-26</t>
        </is>
      </c>
      <c r="B171" s="20" t="n"/>
      <c r="C171" s="20" t="n"/>
      <c r="D171" s="20" t="n"/>
      <c r="E171" s="20" t="n">
        <v>4268.3</v>
      </c>
      <c r="F171" s="11" t="inlineStr">
        <is>
          <t>期货代理</t>
        </is>
      </c>
      <c r="G171" s="40" t="n">
        <v>2459.4</v>
      </c>
      <c r="H171" s="41" t="inlineStr">
        <is>
          <t>插值</t>
        </is>
      </c>
      <c r="I171" s="41" t="inlineStr">
        <is>
          <t>插值 2026-05-31 2500 → 2026-08-03 2400 (w=0.41)</t>
        </is>
      </c>
      <c r="J171" s="20" t="n">
        <v>591.88</v>
      </c>
      <c r="K171" s="20" t="n">
        <v>-921.8099999999999</v>
      </c>
      <c r="L171" s="20" t="n"/>
    </row>
    <row r="172">
      <c r="A172" s="11" t="inlineStr">
        <is>
          <t>2026-06-29</t>
        </is>
      </c>
      <c r="B172" s="20" t="n"/>
      <c r="C172" s="20" t="n"/>
      <c r="D172" s="20" t="n"/>
      <c r="E172" s="20" t="n">
        <v>4271.3</v>
      </c>
      <c r="F172" s="11" t="inlineStr">
        <is>
          <t>期货代理</t>
        </is>
      </c>
      <c r="G172" s="40" t="n">
        <v>2454.7</v>
      </c>
      <c r="H172" s="41" t="inlineStr">
        <is>
          <t>插值</t>
        </is>
      </c>
      <c r="I172" s="41" t="inlineStr">
        <is>
          <t>插值 2026-05-31 2500 → 2026-08-03 2400 (w=0.45)</t>
        </is>
      </c>
      <c r="J172" s="20" t="n">
        <v>601.9</v>
      </c>
      <c r="K172" s="20" t="n">
        <v>-911.78</v>
      </c>
      <c r="L172" s="20" t="n"/>
    </row>
    <row r="173">
      <c r="A173" s="11" t="inlineStr">
        <is>
          <t>2026-06-30</t>
        </is>
      </c>
      <c r="B173" s="20" t="n"/>
      <c r="C173" s="20" t="n"/>
      <c r="D173" s="20" t="n"/>
      <c r="E173" s="20" t="n">
        <v>4336.3</v>
      </c>
      <c r="F173" s="11" t="inlineStr">
        <is>
          <t>期货代理</t>
        </is>
      </c>
      <c r="G173" s="40" t="n">
        <v>2453.1</v>
      </c>
      <c r="H173" s="41" t="inlineStr">
        <is>
          <t>插值</t>
        </is>
      </c>
      <c r="I173" s="41" t="inlineStr">
        <is>
          <t>插值 2026-05-31 2500 → 2026-08-03 2400 (w=0.47)</t>
        </is>
      </c>
      <c r="J173" s="20" t="n">
        <v>669.29</v>
      </c>
      <c r="K173" s="20" t="n">
        <v>-844.39</v>
      </c>
      <c r="L173" s="20" t="n"/>
    </row>
    <row r="174">
      <c r="A174" s="11" t="inlineStr">
        <is>
          <t>2026-07-01</t>
        </is>
      </c>
      <c r="B174" s="20" t="n"/>
      <c r="C174" s="20" t="n"/>
      <c r="D174" s="20" t="n"/>
      <c r="E174" s="20" t="n">
        <v>4272.3</v>
      </c>
      <c r="F174" s="11" t="inlineStr">
        <is>
          <t>期货代理</t>
        </is>
      </c>
      <c r="G174" s="40" t="n">
        <v>2451.6</v>
      </c>
      <c r="H174" s="41" t="inlineStr">
        <is>
          <t>插值</t>
        </is>
      </c>
      <c r="I174" s="41" t="inlineStr">
        <is>
          <t>插值 2026-05-31 2500 → 2026-08-03 2400 (w=0.48)</t>
        </is>
      </c>
      <c r="J174" s="20" t="n">
        <v>607.54</v>
      </c>
      <c r="K174" s="20" t="n">
        <v>-906.15</v>
      </c>
      <c r="L174" s="20" t="n"/>
    </row>
    <row r="175">
      <c r="A175" s="11" t="inlineStr">
        <is>
          <t>2026-07-02</t>
        </is>
      </c>
      <c r="B175" s="20" t="n"/>
      <c r="C175" s="20" t="n"/>
      <c r="D175" s="20" t="n"/>
      <c r="E175" s="20" t="n">
        <v>4249.3</v>
      </c>
      <c r="F175" s="11" t="inlineStr">
        <is>
          <t>期货代理</t>
        </is>
      </c>
      <c r="G175" s="40" t="n">
        <v>2450</v>
      </c>
      <c r="H175" s="41" t="inlineStr">
        <is>
          <t>插值</t>
        </is>
      </c>
      <c r="I175" s="41" t="inlineStr">
        <is>
          <t>插值 2026-05-31 2500 → 2026-08-03 2400 (w=0.50)</t>
        </is>
      </c>
      <c r="J175" s="20" t="n">
        <v>586.9299999999999</v>
      </c>
      <c r="K175" s="20" t="n">
        <v>-926.76</v>
      </c>
      <c r="L175" s="20" t="n"/>
    </row>
    <row r="176">
      <c r="A176" s="11" t="inlineStr">
        <is>
          <t>2026-07-03</t>
        </is>
      </c>
      <c r="B176" s="20" t="n"/>
      <c r="C176" s="20" t="n"/>
      <c r="D176" s="20" t="n"/>
      <c r="E176" s="20" t="n">
        <v>4333.3</v>
      </c>
      <c r="F176" s="11" t="inlineStr">
        <is>
          <t>期货代理</t>
        </is>
      </c>
      <c r="G176" s="40" t="n">
        <v>2448.4</v>
      </c>
      <c r="H176" s="41" t="inlineStr">
        <is>
          <t>插值</t>
        </is>
      </c>
      <c r="I176" s="41" t="inlineStr">
        <is>
          <t>插值 2026-05-31 2500 → 2026-08-03 2400 (w=0.52)</t>
        </is>
      </c>
      <c r="J176" s="20" t="n">
        <v>673.3200000000001</v>
      </c>
      <c r="K176" s="20" t="n">
        <v>-840.36</v>
      </c>
      <c r="L176" s="20" t="n"/>
    </row>
    <row r="177">
      <c r="A177" s="11" t="inlineStr">
        <is>
          <t>2026-07-06</t>
        </is>
      </c>
      <c r="B177" s="20" t="n"/>
      <c r="C177" s="20" t="n"/>
      <c r="D177" s="20" t="n"/>
      <c r="E177" s="20" t="n">
        <v>4330.3</v>
      </c>
      <c r="F177" s="11" t="inlineStr">
        <is>
          <t>期货代理</t>
        </is>
      </c>
      <c r="G177" s="40" t="n">
        <v>2443.8</v>
      </c>
      <c r="H177" s="41" t="inlineStr">
        <is>
          <t>插值</t>
        </is>
      </c>
      <c r="I177" s="41" t="inlineStr">
        <is>
          <t>插值 2026-05-31 2500 → 2026-08-03 2400 (w=0.56)</t>
        </is>
      </c>
      <c r="J177" s="20" t="n">
        <v>677.2</v>
      </c>
      <c r="K177" s="20" t="n">
        <v>-836.49</v>
      </c>
      <c r="L177" s="20" t="n"/>
    </row>
    <row r="178">
      <c r="A178" s="11" t="inlineStr">
        <is>
          <t>2026-07-07</t>
        </is>
      </c>
      <c r="B178" s="20" t="n"/>
      <c r="C178" s="20" t="n"/>
      <c r="D178" s="20" t="n"/>
      <c r="E178" s="20" t="n">
        <v>4319.3</v>
      </c>
      <c r="F178" s="11" t="inlineStr">
        <is>
          <t>期货代理</t>
        </is>
      </c>
      <c r="G178" s="40" t="n">
        <v>2442.2</v>
      </c>
      <c r="H178" s="41" t="inlineStr">
        <is>
          <t>插值</t>
        </is>
      </c>
      <c r="I178" s="41" t="inlineStr">
        <is>
          <t>插值 2026-05-31 2500 → 2026-08-03 2400 (w=0.58)</t>
        </is>
      </c>
      <c r="J178" s="20" t="n">
        <v>668.59</v>
      </c>
      <c r="K178" s="20" t="n">
        <v>-845.1</v>
      </c>
      <c r="L178" s="20" t="n"/>
    </row>
    <row r="179">
      <c r="A179" s="11" t="inlineStr">
        <is>
          <t>2026-07-08</t>
        </is>
      </c>
      <c r="B179" s="20" t="n"/>
      <c r="C179" s="20" t="n"/>
      <c r="D179" s="20" t="n"/>
      <c r="E179" s="20" t="n">
        <v>4360.3</v>
      </c>
      <c r="F179" s="11" t="inlineStr">
        <is>
          <t>期货代理</t>
        </is>
      </c>
      <c r="G179" s="40" t="n">
        <v>2440.6</v>
      </c>
      <c r="H179" s="41" t="inlineStr">
        <is>
          <t>插值</t>
        </is>
      </c>
      <c r="I179" s="41" t="inlineStr">
        <is>
          <t>插值 2026-05-31 2500 → 2026-08-03 2400 (w=0.59)</t>
        </is>
      </c>
      <c r="J179" s="20" t="n">
        <v>711.98</v>
      </c>
      <c r="K179" s="20" t="n">
        <v>-801.71</v>
      </c>
      <c r="L179" s="20" t="n"/>
    </row>
    <row r="180">
      <c r="A180" s="11" t="inlineStr">
        <is>
          <t>2026-07-09</t>
        </is>
      </c>
      <c r="B180" s="20" t="n"/>
      <c r="C180" s="20" t="n"/>
      <c r="D180" s="20" t="n"/>
      <c r="E180" s="20" t="n">
        <v>4391.3</v>
      </c>
      <c r="F180" s="11" t="inlineStr">
        <is>
          <t>期货代理</t>
        </is>
      </c>
      <c r="G180" s="40" t="n">
        <v>2439.1</v>
      </c>
      <c r="H180" s="41" t="inlineStr">
        <is>
          <t>插值</t>
        </is>
      </c>
      <c r="I180" s="41" t="inlineStr">
        <is>
          <t>插值 2026-05-31 2500 → 2026-08-03 2400 (w=0.61)</t>
        </is>
      </c>
      <c r="J180" s="20" t="n">
        <v>745.22</v>
      </c>
      <c r="K180" s="20" t="n">
        <v>-768.46</v>
      </c>
      <c r="L180" s="20" t="n"/>
    </row>
    <row r="181">
      <c r="A181" s="11" t="inlineStr">
        <is>
          <t>2026-07-10</t>
        </is>
      </c>
      <c r="B181" s="20" t="n"/>
      <c r="C181" s="20" t="n"/>
      <c r="D181" s="20" t="n"/>
      <c r="E181" s="20" t="n">
        <v>4414.3</v>
      </c>
      <c r="F181" s="11" t="inlineStr">
        <is>
          <t>期货代理</t>
        </is>
      </c>
      <c r="G181" s="40" t="n">
        <v>2437.5</v>
      </c>
      <c r="H181" s="41" t="inlineStr">
        <is>
          <t>插值</t>
        </is>
      </c>
      <c r="I181" s="41" t="inlineStr">
        <is>
          <t>插值 2026-05-31 2500 → 2026-08-03 2400 (w=0.62)</t>
        </is>
      </c>
      <c r="J181" s="20" t="n">
        <v>770.61</v>
      </c>
      <c r="K181" s="20" t="n">
        <v>-743.0700000000001</v>
      </c>
      <c r="L181" s="20" t="n"/>
    </row>
    <row r="182">
      <c r="A182" s="11" t="inlineStr">
        <is>
          <t>2026-07-13</t>
        </is>
      </c>
      <c r="B182" s="20" t="n"/>
      <c r="C182" s="20" t="n"/>
      <c r="D182" s="20" t="n"/>
      <c r="E182" s="20" t="n">
        <v>4368.3</v>
      </c>
      <c r="F182" s="11" t="inlineStr">
        <is>
          <t>期货代理</t>
        </is>
      </c>
      <c r="G182" s="40" t="n">
        <v>2432.8</v>
      </c>
      <c r="H182" s="41" t="inlineStr">
        <is>
          <t>插值</t>
        </is>
      </c>
      <c r="I182" s="41" t="inlineStr">
        <is>
          <t>插值 2026-05-31 2500 → 2026-08-03 2400 (w=0.67)</t>
        </is>
      </c>
      <c r="J182" s="20" t="n">
        <v>731.64</v>
      </c>
      <c r="K182" s="20" t="n">
        <v>-782.05</v>
      </c>
      <c r="L182" s="20" t="n"/>
    </row>
    <row r="183">
      <c r="A183" s="11" t="inlineStr">
        <is>
          <t>2026-07-14</t>
        </is>
      </c>
      <c r="B183" s="20" t="n"/>
      <c r="C183" s="20" t="n"/>
      <c r="D183" s="20" t="n"/>
      <c r="E183" s="20" t="n">
        <v>4459.3</v>
      </c>
      <c r="F183" s="11" t="inlineStr">
        <is>
          <t>期货代理</t>
        </is>
      </c>
      <c r="G183" s="40" t="n">
        <v>2431.2</v>
      </c>
      <c r="H183" s="41" t="inlineStr">
        <is>
          <t>插值</t>
        </is>
      </c>
      <c r="I183" s="41" t="inlineStr">
        <is>
          <t>插值 2026-05-31 2500 → 2026-08-03 2400 (w=0.69)</t>
        </is>
      </c>
      <c r="J183" s="20" t="n">
        <v>825.03</v>
      </c>
      <c r="K183" s="20" t="n">
        <v>-688.65</v>
      </c>
      <c r="L183" s="20" t="n"/>
    </row>
    <row r="184">
      <c r="A184" s="11" t="inlineStr">
        <is>
          <t>2026-07-15</t>
        </is>
      </c>
      <c r="B184" s="20" t="n"/>
      <c r="C184" s="20" t="n"/>
      <c r="D184" s="20" t="n"/>
      <c r="E184" s="20" t="n">
        <v>4478.3</v>
      </c>
      <c r="F184" s="11" t="inlineStr">
        <is>
          <t>期货代理</t>
        </is>
      </c>
      <c r="G184" s="40" t="n">
        <v>2429.7</v>
      </c>
      <c r="H184" s="41" t="inlineStr">
        <is>
          <t>插值</t>
        </is>
      </c>
      <c r="I184" s="41" t="inlineStr">
        <is>
          <t>插值 2026-05-31 2500 → 2026-08-03 2400 (w=0.70)</t>
        </is>
      </c>
      <c r="J184" s="20" t="n">
        <v>846.27</v>
      </c>
      <c r="K184" s="20" t="n">
        <v>-667.41</v>
      </c>
      <c r="L184" s="20" t="n"/>
    </row>
    <row r="185">
      <c r="A185" s="11" t="inlineStr">
        <is>
          <t>2026-07-16</t>
        </is>
      </c>
      <c r="B185" s="20" t="n"/>
      <c r="C185" s="20" t="n"/>
      <c r="D185" s="20" t="n"/>
      <c r="E185" s="20" t="n">
        <v>4470.3</v>
      </c>
      <c r="F185" s="11" t="inlineStr">
        <is>
          <t>期货代理</t>
        </is>
      </c>
      <c r="G185" s="40" t="n">
        <v>2428.1</v>
      </c>
      <c r="H185" s="41" t="inlineStr">
        <is>
          <t>插值</t>
        </is>
      </c>
      <c r="I185" s="41" t="inlineStr">
        <is>
          <t>插值 2026-05-31 2500 → 2026-08-03 2400 (w=0.72)</t>
        </is>
      </c>
      <c r="J185" s="20" t="n">
        <v>840.67</v>
      </c>
      <c r="K185" s="20" t="n">
        <v>-673.02</v>
      </c>
      <c r="L185" s="20" t="n"/>
    </row>
    <row r="186">
      <c r="A186" s="11" t="inlineStr">
        <is>
          <t>2026-07-17</t>
        </is>
      </c>
      <c r="B186" s="20" t="n"/>
      <c r="C186" s="20" t="n"/>
      <c r="D186" s="20" t="n"/>
      <c r="E186" s="20" t="n">
        <v>4320.3</v>
      </c>
      <c r="F186" s="11" t="inlineStr">
        <is>
          <t>期货代理</t>
        </is>
      </c>
      <c r="G186" s="40" t="n">
        <v>2426.6</v>
      </c>
      <c r="H186" s="41" t="inlineStr">
        <is>
          <t>插值</t>
        </is>
      </c>
      <c r="I186" s="41" t="inlineStr">
        <is>
          <t>插值 2026-05-31 2500 → 2026-08-03 2400 (w=0.73)</t>
        </is>
      </c>
      <c r="J186" s="20" t="n">
        <v>692.91</v>
      </c>
      <c r="K186" s="20" t="n">
        <v>-820.78</v>
      </c>
      <c r="L186" s="20" t="n"/>
    </row>
    <row r="187">
      <c r="A187" s="11" t="inlineStr">
        <is>
          <t>2026-07-20</t>
        </is>
      </c>
      <c r="B187" s="20" t="n"/>
      <c r="C187" s="20" t="n"/>
      <c r="D187" s="20" t="n"/>
      <c r="E187" s="20" t="n">
        <v>4585</v>
      </c>
      <c r="F187" s="11" t="inlineStr">
        <is>
          <t>现货</t>
        </is>
      </c>
      <c r="G187" s="20" t="n">
        <v>2480</v>
      </c>
      <c r="H187" s="11" t="inlineStr">
        <is>
          <t>现货</t>
        </is>
      </c>
      <c r="I187" s="11" t="inlineStr"/>
      <c r="J187" s="20" t="n">
        <v>877.78</v>
      </c>
      <c r="K187" s="20" t="n">
        <v>-635.9</v>
      </c>
      <c r="L187" s="20" t="n">
        <v>643</v>
      </c>
    </row>
    <row r="188">
      <c r="A188" s="11" t="inlineStr">
        <is>
          <t>2026-07-21</t>
        </is>
      </c>
      <c r="B188" s="20" t="n"/>
      <c r="C188" s="20" t="n"/>
      <c r="D188" s="20" t="n"/>
      <c r="E188" s="20" t="n">
        <v>4484</v>
      </c>
      <c r="F188" s="11" t="inlineStr">
        <is>
          <t>现货</t>
        </is>
      </c>
      <c r="G188" s="20" t="n">
        <v>2480</v>
      </c>
      <c r="H188" s="11" t="inlineStr">
        <is>
          <t>现货</t>
        </is>
      </c>
      <c r="I188" s="11" t="inlineStr"/>
      <c r="J188" s="20" t="n">
        <v>776.78</v>
      </c>
      <c r="K188" s="20" t="n">
        <v>-736.9</v>
      </c>
      <c r="L188" s="20" t="n">
        <v>643</v>
      </c>
    </row>
    <row r="189">
      <c r="A189" s="11" t="inlineStr">
        <is>
          <t>2026-07-22</t>
        </is>
      </c>
      <c r="B189" s="20" t="n"/>
      <c r="C189" s="20" t="n"/>
      <c r="D189" s="20" t="n"/>
      <c r="E189" s="20" t="n">
        <v>4449</v>
      </c>
      <c r="F189" s="11" t="inlineStr">
        <is>
          <t>现货</t>
        </is>
      </c>
      <c r="G189" s="20" t="n">
        <v>2480</v>
      </c>
      <c r="H189" s="11" t="inlineStr">
        <is>
          <t>现货</t>
        </is>
      </c>
      <c r="I189" s="11" t="inlineStr"/>
      <c r="J189" s="20" t="n">
        <v>741.78</v>
      </c>
      <c r="K189" s="20" t="n">
        <v>-771.9</v>
      </c>
      <c r="L189" s="20" t="n">
        <v>643</v>
      </c>
    </row>
    <row r="190">
      <c r="A190" s="11" t="inlineStr">
        <is>
          <t>2026-07-23</t>
        </is>
      </c>
      <c r="B190" s="20" t="n"/>
      <c r="C190" s="20" t="n"/>
      <c r="D190" s="20" t="n"/>
      <c r="E190" s="20" t="n">
        <v>4483</v>
      </c>
      <c r="F190" s="11" t="inlineStr">
        <is>
          <t>现货</t>
        </is>
      </c>
      <c r="G190" s="20" t="n">
        <v>2480</v>
      </c>
      <c r="H190" s="11" t="inlineStr">
        <is>
          <t>现货</t>
        </is>
      </c>
      <c r="I190" s="11" t="inlineStr"/>
      <c r="J190" s="20" t="n">
        <v>775.78</v>
      </c>
      <c r="K190" s="20" t="n">
        <v>-737.9</v>
      </c>
      <c r="L190" s="20" t="n">
        <v>643</v>
      </c>
    </row>
    <row r="191">
      <c r="A191" s="11" t="inlineStr">
        <is>
          <t>2026-07-24</t>
        </is>
      </c>
      <c r="B191" s="20" t="n"/>
      <c r="C191" s="20" t="n"/>
      <c r="D191" s="20" t="n"/>
      <c r="E191" s="20" t="n">
        <v>4520</v>
      </c>
      <c r="F191" s="11" t="inlineStr">
        <is>
          <t>现货</t>
        </is>
      </c>
      <c r="G191" s="20" t="n">
        <v>2440</v>
      </c>
      <c r="H191" s="11" t="inlineStr">
        <is>
          <t>现货</t>
        </is>
      </c>
      <c r="I191" s="11" t="inlineStr"/>
      <c r="J191" s="20" t="n">
        <v>872.58</v>
      </c>
      <c r="K191" s="20" t="n">
        <v>-641.11</v>
      </c>
      <c r="L191" s="20" t="n">
        <v>643</v>
      </c>
    </row>
    <row r="192">
      <c r="A192" s="11" t="inlineStr">
        <is>
          <t>2026-07-27</t>
        </is>
      </c>
      <c r="B192" s="20" t="n"/>
      <c r="C192" s="20" t="n"/>
      <c r="D192" s="20" t="n"/>
      <c r="E192" s="20" t="n">
        <v>4430</v>
      </c>
      <c r="F192" s="11" t="inlineStr">
        <is>
          <t>现货</t>
        </is>
      </c>
      <c r="G192" s="20" t="n">
        <v>2440</v>
      </c>
      <c r="H192" s="11" t="inlineStr">
        <is>
          <t>现货</t>
        </is>
      </c>
      <c r="I192" s="11" t="inlineStr"/>
      <c r="J192" s="20" t="n">
        <v>782.58</v>
      </c>
      <c r="K192" s="20" t="n">
        <v>-731.11</v>
      </c>
      <c r="L192" s="20" t="n">
        <v>643</v>
      </c>
    </row>
    <row r="193">
      <c r="A193" s="11" t="inlineStr">
        <is>
          <t>2026-07-28</t>
        </is>
      </c>
      <c r="B193" s="20" t="n"/>
      <c r="C193" s="20" t="n"/>
      <c r="D193" s="20" t="n"/>
      <c r="E193" s="20" t="n">
        <v>4428</v>
      </c>
      <c r="F193" s="11" t="inlineStr">
        <is>
          <t>现货</t>
        </is>
      </c>
      <c r="G193" s="20" t="n">
        <v>2350</v>
      </c>
      <c r="H193" s="11" t="inlineStr">
        <is>
          <t>现货</t>
        </is>
      </c>
      <c r="I193" s="11" t="inlineStr"/>
      <c r="J193" s="20" t="n">
        <v>915.11</v>
      </c>
      <c r="K193" s="20" t="n">
        <v>-598.5700000000001</v>
      </c>
      <c r="L193" s="20" t="n">
        <v>643</v>
      </c>
    </row>
    <row r="194">
      <c r="A194" s="11" t="inlineStr">
        <is>
          <t>2026-07-29</t>
        </is>
      </c>
      <c r="B194" s="20" t="n"/>
      <c r="C194" s="20" t="n"/>
      <c r="D194" s="20" t="n"/>
      <c r="E194" s="20" t="n">
        <v>4445</v>
      </c>
      <c r="F194" s="11" t="inlineStr">
        <is>
          <t>现货</t>
        </is>
      </c>
      <c r="G194" s="20" t="n">
        <v>2360</v>
      </c>
      <c r="H194" s="11" t="inlineStr">
        <is>
          <t>现货</t>
        </is>
      </c>
      <c r="I194" s="11" t="inlineStr"/>
      <c r="J194" s="20" t="n">
        <v>917.16</v>
      </c>
      <c r="K194" s="20" t="n">
        <v>-596.52</v>
      </c>
      <c r="L194" s="20" t="n">
        <v>643</v>
      </c>
    </row>
    <row r="195">
      <c r="A195" s="11" t="inlineStr">
        <is>
          <t>2026-07-30</t>
        </is>
      </c>
      <c r="B195" s="20" t="n"/>
      <c r="C195" s="20" t="n"/>
      <c r="D195" s="20" t="n"/>
      <c r="E195" s="20" t="n">
        <v>4375</v>
      </c>
      <c r="F195" s="11" t="inlineStr">
        <is>
          <t>现货</t>
        </is>
      </c>
      <c r="G195" s="20" t="n">
        <v>2360</v>
      </c>
      <c r="H195" s="11" t="inlineStr">
        <is>
          <t>现货</t>
        </is>
      </c>
      <c r="I195" s="11" t="inlineStr"/>
      <c r="J195" s="20" t="n">
        <v>847.16</v>
      </c>
      <c r="K195" s="20" t="n">
        <v>-666.52</v>
      </c>
      <c r="L195" s="20" t="n">
        <v>643</v>
      </c>
    </row>
    <row r="196">
      <c r="A196" s="11" t="inlineStr">
        <is>
          <t>2026-07-31</t>
        </is>
      </c>
      <c r="B196" s="20" t="n"/>
      <c r="C196" s="20" t="n"/>
      <c r="D196" s="20" t="n"/>
      <c r="E196" s="20" t="n">
        <v>4382</v>
      </c>
      <c r="F196" s="11" t="inlineStr">
        <is>
          <t>现货</t>
        </is>
      </c>
      <c r="G196" s="20" t="n">
        <v>2360</v>
      </c>
      <c r="H196" s="11" t="inlineStr">
        <is>
          <t>现货</t>
        </is>
      </c>
      <c r="I196" s="11" t="inlineStr"/>
      <c r="J196" s="20" t="n">
        <v>854.16</v>
      </c>
      <c r="K196" s="20" t="n">
        <v>-659.52</v>
      </c>
      <c r="L196" s="20" t="n">
        <v>643</v>
      </c>
    </row>
    <row r="197">
      <c r="A197" s="11" t="inlineStr">
        <is>
          <t>2026-08-03</t>
        </is>
      </c>
      <c r="B197" s="20" t="n"/>
      <c r="C197" s="20" t="n"/>
      <c r="D197" s="20" t="n"/>
      <c r="E197" s="20" t="n">
        <v>4392</v>
      </c>
      <c r="F197" s="11" t="inlineStr">
        <is>
          <t>现货</t>
        </is>
      </c>
      <c r="G197" s="20" t="n">
        <v>2360</v>
      </c>
      <c r="H197" s="11" t="inlineStr">
        <is>
          <t>现货</t>
        </is>
      </c>
      <c r="I197" s="11" t="inlineStr"/>
      <c r="J197" s="20" t="n">
        <v>864.16</v>
      </c>
      <c r="K197" s="20" t="n">
        <v>-649.52</v>
      </c>
      <c r="L197" s="20" t="n">
        <v>641</v>
      </c>
    </row>
    <row r="198">
      <c r="A198" s="11" t="inlineStr">
        <is>
          <t>2026-08-04</t>
        </is>
      </c>
      <c r="B198" s="20" t="n"/>
      <c r="C198" s="20" t="n"/>
      <c r="D198" s="20" t="n"/>
      <c r="E198" s="20" t="n">
        <v>4395</v>
      </c>
      <c r="F198" s="11" t="inlineStr">
        <is>
          <t>现货</t>
        </is>
      </c>
      <c r="G198" s="20" t="n">
        <v>2400</v>
      </c>
      <c r="H198" s="11" t="inlineStr">
        <is>
          <t>现货</t>
        </is>
      </c>
      <c r="I198" s="11" t="inlineStr"/>
      <c r="J198" s="20" t="n">
        <v>807.37</v>
      </c>
      <c r="K198" s="20" t="n">
        <v>-706.3099999999999</v>
      </c>
      <c r="L198" s="20" t="n">
        <v>641</v>
      </c>
    </row>
    <row r="199">
      <c r="A199" s="11" t="inlineStr">
        <is>
          <t>2026-08-05</t>
        </is>
      </c>
      <c r="B199" s="20" t="n"/>
      <c r="C199" s="20" t="n"/>
      <c r="D199" s="20" t="n"/>
      <c r="E199" s="20" t="n">
        <v>4385</v>
      </c>
      <c r="F199" s="11" t="inlineStr">
        <is>
          <t>现货</t>
        </is>
      </c>
      <c r="G199" s="20" t="n">
        <v>2400</v>
      </c>
      <c r="H199" s="11" t="inlineStr">
        <is>
          <t>现货</t>
        </is>
      </c>
      <c r="I199" s="11" t="inlineStr"/>
      <c r="J199" s="20" t="n">
        <v>797.37</v>
      </c>
      <c r="K199" s="20" t="n">
        <v>-716.3099999999999</v>
      </c>
      <c r="L199" s="20" t="n">
        <v>641</v>
      </c>
    </row>
    <row r="200">
      <c r="A200" s="11" t="inlineStr">
        <is>
          <t>2026-08-06</t>
        </is>
      </c>
      <c r="B200" s="20" t="n"/>
      <c r="C200" s="20" t="n"/>
      <c r="D200" s="20" t="n"/>
      <c r="E200" s="20" t="n">
        <v>4425</v>
      </c>
      <c r="F200" s="11" t="inlineStr">
        <is>
          <t>现货</t>
        </is>
      </c>
      <c r="G200" s="20" t="n">
        <v>2400</v>
      </c>
      <c r="H200" s="11" t="inlineStr">
        <is>
          <t>现货</t>
        </is>
      </c>
      <c r="I200" s="11" t="inlineStr"/>
      <c r="J200" s="20" t="n">
        <v>837.37</v>
      </c>
      <c r="K200" s="20" t="n">
        <v>-676.3099999999999</v>
      </c>
      <c r="L200" s="20" t="n">
        <v>641</v>
      </c>
    </row>
    <row r="201">
      <c r="A201" s="11" t="inlineStr">
        <is>
          <t>2026-08-07</t>
        </is>
      </c>
      <c r="B201" s="20" t="n"/>
      <c r="C201" s="20" t="n"/>
      <c r="D201" s="20" t="n"/>
      <c r="E201" s="20" t="n">
        <v>4445</v>
      </c>
      <c r="F201" s="11" t="inlineStr">
        <is>
          <t>现货</t>
        </is>
      </c>
      <c r="G201" s="20" t="n">
        <v>2400</v>
      </c>
      <c r="H201" s="11" t="inlineStr">
        <is>
          <t>现货</t>
        </is>
      </c>
      <c r="I201" s="11" t="inlineStr"/>
      <c r="J201" s="20" t="n">
        <v>857.37</v>
      </c>
      <c r="K201" s="20" t="n">
        <v>-656.3099999999999</v>
      </c>
      <c r="L201" s="20" t="n">
        <v>641</v>
      </c>
    </row>
    <row r="202">
      <c r="A202" s="11" t="inlineStr">
        <is>
          <t>2026-08-10</t>
        </is>
      </c>
      <c r="B202" s="20" t="n"/>
      <c r="C202" s="20" t="n"/>
      <c r="D202" s="20" t="n"/>
      <c r="E202" s="20" t="n">
        <v>4430</v>
      </c>
      <c r="F202" s="11" t="inlineStr">
        <is>
          <t>现货</t>
        </is>
      </c>
      <c r="G202" s="20" t="n">
        <v>2400</v>
      </c>
      <c r="H202" s="11" t="inlineStr">
        <is>
          <t>现货</t>
        </is>
      </c>
      <c r="I202" s="11" t="inlineStr"/>
      <c r="J202" s="20" t="n">
        <v>842.37</v>
      </c>
      <c r="K202" s="20" t="n">
        <v>-671.3099999999999</v>
      </c>
      <c r="L202" s="20" t="n">
        <v>639</v>
      </c>
    </row>
    <row r="203">
      <c r="A203" s="11" t="inlineStr">
        <is>
          <t>2026-08-11</t>
        </is>
      </c>
      <c r="B203" s="20" t="n"/>
      <c r="C203" s="20" t="n"/>
      <c r="D203" s="20" t="n"/>
      <c r="E203" s="20" t="n">
        <v>4442</v>
      </c>
      <c r="F203" s="11" t="inlineStr">
        <is>
          <t>现货</t>
        </is>
      </c>
      <c r="G203" s="20" t="n">
        <v>2400</v>
      </c>
      <c r="H203" s="11" t="inlineStr">
        <is>
          <t>现货</t>
        </is>
      </c>
      <c r="I203" s="11" t="inlineStr"/>
      <c r="J203" s="20" t="n">
        <v>854.37</v>
      </c>
      <c r="K203" s="20" t="n">
        <v>-659.3099999999999</v>
      </c>
      <c r="L203" s="20" t="n">
        <v>639</v>
      </c>
    </row>
    <row r="204">
      <c r="A204" s="11" t="inlineStr">
        <is>
          <t>2026-08-12</t>
        </is>
      </c>
      <c r="B204" s="20" t="n"/>
      <c r="C204" s="20" t="n"/>
      <c r="D204" s="20" t="n"/>
      <c r="E204" s="20" t="n">
        <v>4441</v>
      </c>
      <c r="F204" s="11" t="inlineStr">
        <is>
          <t>现货</t>
        </is>
      </c>
      <c r="G204" s="20" t="n">
        <v>2400</v>
      </c>
      <c r="H204" s="11" t="inlineStr">
        <is>
          <t>现货</t>
        </is>
      </c>
      <c r="I204" s="11" t="inlineStr"/>
      <c r="J204" s="20" t="n">
        <v>853.37</v>
      </c>
      <c r="K204" s="20" t="n">
        <v>-660.3099999999999</v>
      </c>
      <c r="L204" s="20" t="n">
        <v>639</v>
      </c>
    </row>
    <row r="205">
      <c r="A205" s="11" t="inlineStr">
        <is>
          <t>2026-08-13</t>
        </is>
      </c>
      <c r="B205" s="20" t="n"/>
      <c r="C205" s="20" t="n"/>
      <c r="D205" s="20" t="n"/>
      <c r="E205" s="20" t="n">
        <v>4420</v>
      </c>
      <c r="F205" s="11" t="inlineStr">
        <is>
          <t>现货</t>
        </is>
      </c>
      <c r="G205" s="20" t="n">
        <v>2430</v>
      </c>
      <c r="H205" s="11" t="inlineStr">
        <is>
          <t>现货</t>
        </is>
      </c>
      <c r="I205" s="11" t="inlineStr"/>
      <c r="J205" s="20" t="n">
        <v>787.53</v>
      </c>
      <c r="K205" s="20" t="n">
        <v>-726.16</v>
      </c>
      <c r="L205" s="20" t="n">
        <v>639</v>
      </c>
    </row>
    <row r="206">
      <c r="A206" s="11" t="inlineStr">
        <is>
          <t>2026-08-14</t>
        </is>
      </c>
      <c r="B206" s="20" t="n"/>
      <c r="C206" s="20" t="n"/>
      <c r="D206" s="20" t="n"/>
      <c r="E206" s="20" t="n">
        <v>4421</v>
      </c>
      <c r="F206" s="11" t="inlineStr">
        <is>
          <t>现货</t>
        </is>
      </c>
      <c r="G206" s="20" t="n">
        <v>2460</v>
      </c>
      <c r="H206" s="11" t="inlineStr">
        <is>
          <t>现货</t>
        </is>
      </c>
      <c r="I206" s="11" t="inlineStr"/>
      <c r="J206" s="20" t="n">
        <v>743.6799999999999</v>
      </c>
      <c r="K206" s="20" t="n">
        <v>-770.01</v>
      </c>
      <c r="L206" s="20" t="n">
        <v>639</v>
      </c>
    </row>
    <row r="207">
      <c r="A207" s="11" t="inlineStr">
        <is>
          <t>2026-08-17</t>
        </is>
      </c>
      <c r="B207" s="20" t="n"/>
      <c r="C207" s="20" t="n"/>
      <c r="D207" s="20" t="n"/>
      <c r="E207" s="20" t="n">
        <v>4475</v>
      </c>
      <c r="F207" s="11" t="inlineStr">
        <is>
          <t>现货</t>
        </is>
      </c>
      <c r="G207" s="20" t="n">
        <v>2470</v>
      </c>
      <c r="H207" s="11" t="inlineStr">
        <is>
          <t>现货</t>
        </is>
      </c>
      <c r="I207" s="11" t="inlineStr"/>
      <c r="J207" s="20" t="n">
        <v>782.73</v>
      </c>
      <c r="K207" s="20" t="n">
        <v>-730.95</v>
      </c>
      <c r="L207" s="20" t="n">
        <v>639</v>
      </c>
    </row>
    <row r="208">
      <c r="A208" s="11" t="inlineStr">
        <is>
          <t>2026-08-18</t>
        </is>
      </c>
      <c r="B208" s="20" t="n"/>
      <c r="C208" s="20" t="n"/>
      <c r="D208" s="20" t="n"/>
      <c r="E208" s="20" t="n">
        <v>4515</v>
      </c>
      <c r="F208" s="11" t="inlineStr">
        <is>
          <t>现货</t>
        </is>
      </c>
      <c r="G208" s="20" t="n">
        <v>2470</v>
      </c>
      <c r="H208" s="11" t="inlineStr">
        <is>
          <t>现货</t>
        </is>
      </c>
      <c r="I208" s="11" t="inlineStr"/>
      <c r="J208" s="20" t="n">
        <v>822.73</v>
      </c>
      <c r="K208" s="20" t="n">
        <v>-690.95</v>
      </c>
      <c r="L208" s="20" t="n">
        <v>639</v>
      </c>
    </row>
    <row r="209">
      <c r="A209" s="11" t="inlineStr">
        <is>
          <t>2026-08-19</t>
        </is>
      </c>
      <c r="B209" s="20" t="n"/>
      <c r="C209" s="20" t="n"/>
      <c r="D209" s="20" t="n"/>
      <c r="E209" s="20" t="n">
        <v>4509</v>
      </c>
      <c r="F209" s="11" t="inlineStr">
        <is>
          <t>现货</t>
        </is>
      </c>
      <c r="G209" s="20" t="n">
        <v>2470</v>
      </c>
      <c r="H209" s="11" t="inlineStr">
        <is>
          <t>现货</t>
        </is>
      </c>
      <c r="I209" s="11" t="inlineStr"/>
      <c r="J209" s="20" t="n">
        <v>816.73</v>
      </c>
      <c r="K209" s="20" t="n">
        <v>-696.95</v>
      </c>
      <c r="L209" s="20" t="n">
        <v>639</v>
      </c>
    </row>
    <row r="210">
      <c r="A210" s="11" t="inlineStr">
        <is>
          <t>2026-08-20</t>
        </is>
      </c>
      <c r="B210" s="20" t="n"/>
      <c r="C210" s="20" t="n"/>
      <c r="D210" s="20" t="n"/>
      <c r="E210" s="20" t="n">
        <v>4482</v>
      </c>
      <c r="F210" s="11" t="inlineStr">
        <is>
          <t>现货</t>
        </is>
      </c>
      <c r="G210" s="20" t="n">
        <v>2470</v>
      </c>
      <c r="H210" s="11" t="inlineStr">
        <is>
          <t>现货</t>
        </is>
      </c>
      <c r="I210" s="11" t="inlineStr"/>
      <c r="J210" s="20" t="n">
        <v>789.73</v>
      </c>
      <c r="K210" s="20" t="n">
        <v>-723.95</v>
      </c>
      <c r="L210" s="20" t="n">
        <v>639</v>
      </c>
    </row>
    <row r="211">
      <c r="A211" s="11" t="inlineStr">
        <is>
          <t>2026-08-21</t>
        </is>
      </c>
      <c r="B211" s="20" t="n"/>
      <c r="C211" s="20" t="n"/>
      <c r="D211" s="20" t="n"/>
      <c r="E211" s="20" t="n">
        <v>4447</v>
      </c>
      <c r="F211" s="11" t="inlineStr">
        <is>
          <t>现货</t>
        </is>
      </c>
      <c r="G211" s="20" t="n">
        <v>2490</v>
      </c>
      <c r="H211" s="11" t="inlineStr">
        <is>
          <t>现货</t>
        </is>
      </c>
      <c r="I211" s="11" t="inlineStr"/>
      <c r="J211" s="20" t="n">
        <v>724.84</v>
      </c>
      <c r="K211" s="20" t="n">
        <v>-788.85</v>
      </c>
      <c r="L211" s="20" t="n">
        <v>639</v>
      </c>
    </row>
    <row r="212">
      <c r="A212" s="11" t="inlineStr">
        <is>
          <t>2026-08-24</t>
        </is>
      </c>
      <c r="B212" s="20" t="n"/>
      <c r="C212" s="20" t="n"/>
      <c r="D212" s="20" t="n"/>
      <c r="E212" s="20" t="n">
        <v>4453</v>
      </c>
      <c r="F212" s="11" t="inlineStr">
        <is>
          <t>现货</t>
        </is>
      </c>
      <c r="G212" s="20" t="n">
        <v>2490</v>
      </c>
      <c r="H212" s="11" t="inlineStr">
        <is>
          <t>现货</t>
        </is>
      </c>
      <c r="I212" s="11" t="inlineStr"/>
      <c r="J212" s="20" t="n">
        <v>730.84</v>
      </c>
      <c r="K212" s="20" t="n">
        <v>-782.85</v>
      </c>
      <c r="L212" s="20" t="n">
        <v>639</v>
      </c>
    </row>
    <row r="213">
      <c r="A213" s="11" t="inlineStr">
        <is>
          <t>2026-08-25</t>
        </is>
      </c>
      <c r="B213" s="20" t="n"/>
      <c r="C213" s="20" t="n"/>
      <c r="D213" s="20" t="n"/>
      <c r="E213" s="20" t="n">
        <v>4375</v>
      </c>
      <c r="F213" s="11" t="inlineStr">
        <is>
          <t>现货</t>
        </is>
      </c>
      <c r="G213" s="20" t="n">
        <v>2490</v>
      </c>
      <c r="H213" s="11" t="inlineStr">
        <is>
          <t>现货</t>
        </is>
      </c>
      <c r="I213" s="11" t="inlineStr"/>
      <c r="J213" s="20" t="n">
        <v>652.84</v>
      </c>
      <c r="K213" s="20" t="n">
        <v>-860.85</v>
      </c>
      <c r="L213" s="20" t="n">
        <v>639</v>
      </c>
    </row>
    <row r="214">
      <c r="A214" s="11" t="inlineStr">
        <is>
          <t>2026-08-26</t>
        </is>
      </c>
      <c r="B214" s="20" t="n"/>
      <c r="C214" s="20" t="n"/>
      <c r="D214" s="20" t="n"/>
      <c r="E214" s="20" t="n">
        <v>4375</v>
      </c>
      <c r="F214" s="11" t="inlineStr">
        <is>
          <t>现货</t>
        </is>
      </c>
      <c r="G214" s="20" t="n">
        <v>2500</v>
      </c>
      <c r="H214" s="11" t="inlineStr">
        <is>
          <t>现货</t>
        </is>
      </c>
      <c r="I214" s="11" t="inlineStr"/>
      <c r="J214" s="20" t="n">
        <v>637.89</v>
      </c>
      <c r="K214" s="20" t="n">
        <v>-875.8</v>
      </c>
      <c r="L214" s="20" t="n">
        <v>639</v>
      </c>
    </row>
    <row r="215">
      <c r="A215" s="11" t="inlineStr">
        <is>
          <t>2026-08-27</t>
        </is>
      </c>
      <c r="B215" s="20" t="n"/>
      <c r="C215" s="20" t="n"/>
      <c r="D215" s="20" t="n"/>
      <c r="E215" s="20" t="n">
        <v>4378</v>
      </c>
      <c r="F215" s="11" t="inlineStr">
        <is>
          <t>现货</t>
        </is>
      </c>
      <c r="G215" s="20" t="n">
        <v>2500</v>
      </c>
      <c r="H215" s="11" t="inlineStr">
        <is>
          <t>现货</t>
        </is>
      </c>
      <c r="I215" s="11" t="inlineStr"/>
      <c r="J215" s="20" t="n">
        <v>640.89</v>
      </c>
      <c r="K215" s="20" t="n">
        <v>-872.8</v>
      </c>
      <c r="L215" s="20" t="n">
        <v>639</v>
      </c>
    </row>
    <row r="216">
      <c r="A216" s="11" t="inlineStr">
        <is>
          <t>2026-08-28</t>
        </is>
      </c>
      <c r="B216" s="20" t="n"/>
      <c r="C216" s="20" t="n"/>
      <c r="D216" s="20" t="n"/>
      <c r="E216" s="20" t="n">
        <v>4435</v>
      </c>
      <c r="F216" s="11" t="inlineStr">
        <is>
          <t>现货</t>
        </is>
      </c>
      <c r="G216" s="20" t="n">
        <v>2500</v>
      </c>
      <c r="H216" s="11" t="inlineStr">
        <is>
          <t>现货</t>
        </is>
      </c>
      <c r="I216" s="11" t="inlineStr"/>
      <c r="J216" s="20" t="n">
        <v>697.89</v>
      </c>
      <c r="K216" s="20" t="n">
        <v>-815.8</v>
      </c>
      <c r="L216" s="20" t="n">
        <v>639</v>
      </c>
    </row>
    <row r="217">
      <c r="A217" s="11" t="inlineStr">
        <is>
          <t>2026-08-31</t>
        </is>
      </c>
      <c r="B217" s="20" t="n"/>
      <c r="C217" s="20" t="n"/>
      <c r="D217" s="20" t="n"/>
      <c r="E217" s="20" t="n">
        <v>4625</v>
      </c>
      <c r="F217" s="11" t="inlineStr">
        <is>
          <t>现货</t>
        </is>
      </c>
      <c r="G217" s="20" t="n">
        <v>2500</v>
      </c>
      <c r="H217" s="11" t="inlineStr">
        <is>
          <t>现货</t>
        </is>
      </c>
      <c r="I217" s="11" t="inlineStr"/>
      <c r="J217" s="20" t="n">
        <v>887.89</v>
      </c>
      <c r="K217" s="20" t="n">
        <v>-625.8</v>
      </c>
      <c r="L217" s="20" t="n">
        <v>637</v>
      </c>
    </row>
    <row r="218">
      <c r="A218" s="11" t="inlineStr">
        <is>
          <t>2026-09-01</t>
        </is>
      </c>
      <c r="B218" s="20" t="n"/>
      <c r="C218" s="20" t="n"/>
      <c r="D218" s="20" t="n"/>
      <c r="E218" s="20" t="n">
        <v>4690</v>
      </c>
      <c r="F218" s="11" t="inlineStr">
        <is>
          <t>现货</t>
        </is>
      </c>
      <c r="G218" s="20" t="n">
        <v>2500</v>
      </c>
      <c r="H218" s="11" t="inlineStr">
        <is>
          <t>现货</t>
        </is>
      </c>
      <c r="I218" s="11" t="inlineStr"/>
      <c r="J218" s="20" t="n">
        <v>952.89</v>
      </c>
      <c r="K218" s="20" t="n">
        <v>-560.8</v>
      </c>
      <c r="L218" s="20" t="n">
        <v>637</v>
      </c>
    </row>
    <row r="219">
      <c r="A219" s="11" t="inlineStr">
        <is>
          <t>2026-09-02</t>
        </is>
      </c>
      <c r="B219" s="20" t="n"/>
      <c r="C219" s="20" t="n"/>
      <c r="D219" s="20" t="n"/>
      <c r="E219" s="20" t="n">
        <v>4750</v>
      </c>
      <c r="F219" s="11" t="inlineStr">
        <is>
          <t>现货</t>
        </is>
      </c>
      <c r="G219" s="20" t="n">
        <v>2550</v>
      </c>
      <c r="H219" s="11" t="inlineStr">
        <is>
          <t>现货</t>
        </is>
      </c>
      <c r="I219" s="11" t="inlineStr"/>
      <c r="J219" s="20" t="n">
        <v>938.14</v>
      </c>
      <c r="K219" s="20" t="n">
        <v>-575.54</v>
      </c>
      <c r="L219" s="20" t="n">
        <v>637</v>
      </c>
    </row>
    <row r="220">
      <c r="A220" s="11" t="inlineStr">
        <is>
          <t>2026-09-03</t>
        </is>
      </c>
      <c r="B220" s="20" t="n"/>
      <c r="C220" s="20" t="n"/>
      <c r="D220" s="20" t="n"/>
      <c r="E220" s="20" t="n">
        <v>4685</v>
      </c>
      <c r="F220" s="11" t="inlineStr">
        <is>
          <t>现货</t>
        </is>
      </c>
      <c r="G220" s="20" t="n">
        <v>2550</v>
      </c>
      <c r="H220" s="11" t="inlineStr">
        <is>
          <t>现货</t>
        </is>
      </c>
      <c r="I220" s="11" t="inlineStr"/>
      <c r="J220" s="20" t="n">
        <v>873.14</v>
      </c>
      <c r="K220" s="20" t="n">
        <v>-640.54</v>
      </c>
      <c r="L220" s="20" t="n">
        <v>637</v>
      </c>
    </row>
    <row r="221">
      <c r="A221" s="11" t="inlineStr">
        <is>
          <t>2026-09-04</t>
        </is>
      </c>
      <c r="B221" s="20" t="n"/>
      <c r="C221" s="20" t="n"/>
      <c r="D221" s="20" t="n"/>
      <c r="E221" s="20" t="n">
        <v>4835</v>
      </c>
      <c r="F221" s="11" t="inlineStr">
        <is>
          <t>现货</t>
        </is>
      </c>
      <c r="G221" s="20" t="n">
        <v>2550</v>
      </c>
      <c r="H221" s="11" t="inlineStr">
        <is>
          <t>现货</t>
        </is>
      </c>
      <c r="I221" s="11" t="inlineStr"/>
      <c r="J221" s="20" t="n">
        <v>1023.14</v>
      </c>
      <c r="K221" s="20" t="n">
        <v>-490.54</v>
      </c>
      <c r="L221" s="20" t="n">
        <v>637</v>
      </c>
    </row>
    <row r="222">
      <c r="A222" s="11" t="inlineStr">
        <is>
          <t>2026-09-07</t>
        </is>
      </c>
      <c r="B222" s="20" t="n"/>
      <c r="C222" s="20" t="n"/>
      <c r="D222" s="20" t="n"/>
      <c r="E222" s="20" t="n">
        <v>4865</v>
      </c>
      <c r="F222" s="11" t="inlineStr">
        <is>
          <t>现货</t>
        </is>
      </c>
      <c r="G222" s="20" t="n">
        <v>2640</v>
      </c>
      <c r="H222" s="11" t="inlineStr">
        <is>
          <t>现货</t>
        </is>
      </c>
      <c r="I222" s="11" t="inlineStr"/>
      <c r="J222" s="20" t="n">
        <v>918.61</v>
      </c>
      <c r="K222" s="20" t="n">
        <v>-595.08</v>
      </c>
      <c r="L222" s="20" t="n">
        <v>637</v>
      </c>
    </row>
    <row r="223">
      <c r="A223" s="11" t="inlineStr">
        <is>
          <t>2026-09-08</t>
        </is>
      </c>
      <c r="B223" s="20" t="n"/>
      <c r="C223" s="20" t="n"/>
      <c r="D223" s="20" t="n"/>
      <c r="E223" s="20" t="n">
        <v>4965</v>
      </c>
      <c r="F223" s="11" t="inlineStr">
        <is>
          <t>现货</t>
        </is>
      </c>
      <c r="G223" s="20" t="n">
        <v>2640</v>
      </c>
      <c r="H223" s="11" t="inlineStr">
        <is>
          <t>现货</t>
        </is>
      </c>
      <c r="I223" s="11" t="inlineStr"/>
      <c r="J223" s="20" t="n">
        <v>1018.61</v>
      </c>
      <c r="K223" s="20" t="n">
        <v>-495.08</v>
      </c>
      <c r="L223" s="20" t="n">
        <v>637</v>
      </c>
    </row>
    <row r="224">
      <c r="A224" s="11" t="inlineStr">
        <is>
          <t>2026-09-09</t>
        </is>
      </c>
      <c r="B224" s="20" t="n"/>
      <c r="C224" s="20" t="n"/>
      <c r="D224" s="20" t="n"/>
      <c r="E224" s="20" t="n">
        <v>4947</v>
      </c>
      <c r="F224" s="11" t="inlineStr">
        <is>
          <t>现货</t>
        </is>
      </c>
      <c r="G224" s="20" t="n">
        <v>2670</v>
      </c>
      <c r="H224" s="11" t="inlineStr">
        <is>
          <t>现货</t>
        </is>
      </c>
      <c r="I224" s="11" t="inlineStr"/>
      <c r="J224" s="20" t="n">
        <v>955.76</v>
      </c>
      <c r="K224" s="20" t="n">
        <v>-557.92</v>
      </c>
      <c r="L224" s="20" t="n">
        <v>637</v>
      </c>
    </row>
    <row r="225">
      <c r="A225" s="11" t="inlineStr">
        <is>
          <t>2026-09-10</t>
        </is>
      </c>
      <c r="B225" s="20" t="n"/>
      <c r="C225" s="20" t="n"/>
      <c r="D225" s="20" t="n"/>
      <c r="E225" s="20" t="n">
        <v>4925</v>
      </c>
      <c r="F225" s="11" t="inlineStr">
        <is>
          <t>现货</t>
        </is>
      </c>
      <c r="G225" s="20" t="n">
        <v>2670</v>
      </c>
      <c r="H225" s="11" t="inlineStr">
        <is>
          <t>现货</t>
        </is>
      </c>
      <c r="I225" s="11" t="inlineStr"/>
      <c r="J225" s="20" t="n">
        <v>933.76</v>
      </c>
      <c r="K225" s="20" t="n">
        <v>-579.92</v>
      </c>
      <c r="L225" s="20" t="n">
        <v>637</v>
      </c>
    </row>
    <row r="226">
      <c r="A226" s="11" t="inlineStr">
        <is>
          <t>2026-09-11</t>
        </is>
      </c>
      <c r="B226" s="20" t="n"/>
      <c r="C226" s="20" t="n"/>
      <c r="D226" s="20" t="n"/>
      <c r="E226" s="20" t="n">
        <v>4903</v>
      </c>
      <c r="F226" s="11" t="inlineStr">
        <is>
          <t>现货</t>
        </is>
      </c>
      <c r="G226" s="20" t="n">
        <v>2690</v>
      </c>
      <c r="H226" s="11" t="inlineStr">
        <is>
          <t>现货</t>
        </is>
      </c>
      <c r="I226" s="11" t="inlineStr"/>
      <c r="J226" s="20" t="n">
        <v>881.87</v>
      </c>
      <c r="K226" s="20" t="n">
        <v>-631.8200000000001</v>
      </c>
      <c r="L226" s="20" t="n">
        <v>637</v>
      </c>
    </row>
    <row r="227">
      <c r="A227" s="11" t="inlineStr">
        <is>
          <t>2026-09-14</t>
        </is>
      </c>
      <c r="B227" s="20" t="n"/>
      <c r="C227" s="20" t="n"/>
      <c r="D227" s="20" t="n"/>
      <c r="E227" s="20" t="n">
        <v>4818</v>
      </c>
      <c r="F227" s="11" t="inlineStr">
        <is>
          <t>现货</t>
        </is>
      </c>
      <c r="G227" s="20" t="n">
        <v>2670</v>
      </c>
      <c r="H227" s="11" t="inlineStr">
        <is>
          <t>现货</t>
        </is>
      </c>
      <c r="I227" s="11" t="inlineStr"/>
      <c r="J227" s="20" t="n">
        <v>826.76</v>
      </c>
      <c r="K227" s="20" t="n">
        <v>-686.92</v>
      </c>
      <c r="L227" s="20" t="n">
        <v>637</v>
      </c>
    </row>
    <row r="228">
      <c r="A228" s="11" t="inlineStr">
        <is>
          <t>2026-09-15</t>
        </is>
      </c>
      <c r="B228" s="20" t="n"/>
      <c r="C228" s="20" t="n"/>
      <c r="D228" s="20" t="n"/>
      <c r="E228" s="20" t="n">
        <v>4765</v>
      </c>
      <c r="F228" s="11" t="inlineStr">
        <is>
          <t>现货</t>
        </is>
      </c>
      <c r="G228" s="20" t="n">
        <v>2670</v>
      </c>
      <c r="H228" s="11" t="inlineStr">
        <is>
          <t>现货</t>
        </is>
      </c>
      <c r="I228" s="11" t="inlineStr"/>
      <c r="J228" s="20" t="n">
        <v>773.76</v>
      </c>
      <c r="K228" s="20" t="n">
        <v>-739.92</v>
      </c>
      <c r="L228" s="20" t="n">
        <v>637</v>
      </c>
    </row>
    <row r="229">
      <c r="A229" s="11" t="inlineStr">
        <is>
          <t>2026-09-16</t>
        </is>
      </c>
      <c r="B229" s="20" t="n"/>
      <c r="C229" s="20" t="n"/>
      <c r="D229" s="20" t="n"/>
      <c r="E229" s="20" t="n">
        <v>4766</v>
      </c>
      <c r="F229" s="11" t="inlineStr">
        <is>
          <t>现货</t>
        </is>
      </c>
      <c r="G229" s="20" t="n">
        <v>2670</v>
      </c>
      <c r="H229" s="11" t="inlineStr">
        <is>
          <t>现货</t>
        </is>
      </c>
      <c r="I229" s="11" t="inlineStr"/>
      <c r="J229" s="20" t="n">
        <v>774.76</v>
      </c>
      <c r="K229" s="20" t="n">
        <v>-738.92</v>
      </c>
      <c r="L229" s="20" t="n">
        <v>639</v>
      </c>
    </row>
    <row r="230">
      <c r="A230" s="11" t="inlineStr">
        <is>
          <t>2026-09-17</t>
        </is>
      </c>
      <c r="B230" s="20" t="n"/>
      <c r="C230" s="20" t="n"/>
      <c r="D230" s="20" t="n"/>
      <c r="E230" s="20" t="n">
        <v>4710</v>
      </c>
      <c r="F230" s="11" t="inlineStr">
        <is>
          <t>现货</t>
        </is>
      </c>
      <c r="G230" s="20" t="n">
        <v>2670</v>
      </c>
      <c r="H230" s="11" t="inlineStr">
        <is>
          <t>现货</t>
        </is>
      </c>
      <c r="I230" s="11" t="inlineStr"/>
      <c r="J230" s="20" t="n">
        <v>718.76</v>
      </c>
      <c r="K230" s="20" t="n">
        <v>-794.92</v>
      </c>
      <c r="L230" s="20" t="n">
        <v>639</v>
      </c>
    </row>
    <row r="231">
      <c r="A231" s="11" t="inlineStr">
        <is>
          <t>2026-09-18</t>
        </is>
      </c>
      <c r="B231" s="20" t="n"/>
      <c r="C231" s="20" t="n"/>
      <c r="D231" s="20" t="n"/>
      <c r="E231" s="20" t="n">
        <v>4650</v>
      </c>
      <c r="F231" s="11" t="inlineStr">
        <is>
          <t>现货</t>
        </is>
      </c>
      <c r="G231" s="20" t="n">
        <v>2670</v>
      </c>
      <c r="H231" s="11" t="inlineStr">
        <is>
          <t>现货</t>
        </is>
      </c>
      <c r="I231" s="11" t="inlineStr"/>
      <c r="J231" s="20" t="n">
        <v>658.76</v>
      </c>
      <c r="K231" s="20" t="n">
        <v>-854.92</v>
      </c>
      <c r="L231" s="20" t="n">
        <v>639</v>
      </c>
    </row>
    <row r="232">
      <c r="A232" s="11" t="inlineStr">
        <is>
          <t>2026-09-21</t>
        </is>
      </c>
      <c r="B232" s="20" t="n"/>
      <c r="C232" s="20" t="n"/>
      <c r="D232" s="20" t="n"/>
      <c r="E232" s="20" t="n">
        <v>4690</v>
      </c>
      <c r="F232" s="11" t="inlineStr">
        <is>
          <t>现货</t>
        </is>
      </c>
      <c r="G232" s="20" t="n">
        <v>2670</v>
      </c>
      <c r="H232" s="11" t="inlineStr">
        <is>
          <t>现货</t>
        </is>
      </c>
      <c r="I232" s="11" t="inlineStr"/>
      <c r="J232" s="20" t="n">
        <v>698.76</v>
      </c>
      <c r="K232" s="20" t="n">
        <v>-814.92</v>
      </c>
      <c r="L232" s="20" t="n">
        <v>639</v>
      </c>
    </row>
    <row r="233">
      <c r="A233" s="11" t="inlineStr">
        <is>
          <t>2026-09-22</t>
        </is>
      </c>
      <c r="B233" s="20" t="n"/>
      <c r="C233" s="20" t="n"/>
      <c r="D233" s="20" t="n"/>
      <c r="E233" s="20" t="n">
        <v>4652</v>
      </c>
      <c r="F233" s="11" t="inlineStr">
        <is>
          <t>现货</t>
        </is>
      </c>
      <c r="G233" s="20" t="n">
        <v>2670</v>
      </c>
      <c r="H233" s="11" t="inlineStr">
        <is>
          <t>现货</t>
        </is>
      </c>
      <c r="I233" s="11" t="inlineStr"/>
      <c r="J233" s="20" t="n">
        <v>660.76</v>
      </c>
      <c r="K233" s="20" t="n">
        <v>-852.92</v>
      </c>
      <c r="L233" s="20" t="n">
        <v>639</v>
      </c>
    </row>
    <row r="234">
      <c r="A234" s="11" t="inlineStr">
        <is>
          <t>2026-09-23</t>
        </is>
      </c>
      <c r="B234" s="20" t="n"/>
      <c r="C234" s="20" t="n"/>
      <c r="D234" s="20" t="n"/>
      <c r="E234" s="20" t="n">
        <v>4655</v>
      </c>
      <c r="F234" s="11" t="inlineStr">
        <is>
          <t>现货</t>
        </is>
      </c>
      <c r="G234" s="20" t="n">
        <v>2670</v>
      </c>
      <c r="H234" s="11" t="inlineStr">
        <is>
          <t>现货</t>
        </is>
      </c>
      <c r="I234" s="11" t="inlineStr"/>
      <c r="J234" s="20" t="n">
        <v>663.76</v>
      </c>
      <c r="K234" s="20" t="n">
        <v>-849.92</v>
      </c>
      <c r="L234" s="20" t="n">
        <v>639</v>
      </c>
    </row>
    <row r="235">
      <c r="A235" s="11" t="inlineStr">
        <is>
          <t>2026-09-24</t>
        </is>
      </c>
      <c r="B235" s="20" t="n"/>
      <c r="C235" s="20" t="n"/>
      <c r="D235" s="20" t="n"/>
      <c r="E235" s="20" t="n">
        <v>4665</v>
      </c>
      <c r="F235" s="11" t="inlineStr">
        <is>
          <t>现货</t>
        </is>
      </c>
      <c r="G235" s="20" t="n">
        <v>2670</v>
      </c>
      <c r="H235" s="11" t="inlineStr">
        <is>
          <t>现货</t>
        </is>
      </c>
      <c r="I235" s="11" t="inlineStr"/>
      <c r="J235" s="20" t="n">
        <v>673.76</v>
      </c>
      <c r="K235" s="20" t="n">
        <v>-839.92</v>
      </c>
      <c r="L235" s="20" t="n">
        <v>639</v>
      </c>
    </row>
    <row r="236">
      <c r="A236" s="11" t="inlineStr">
        <is>
          <t>2026-09-28</t>
        </is>
      </c>
      <c r="B236" s="20" t="n"/>
      <c r="C236" s="20" t="n"/>
      <c r="D236" s="20" t="n"/>
      <c r="E236" s="20" t="n">
        <v>4659</v>
      </c>
      <c r="F236" s="11" t="inlineStr">
        <is>
          <t>现货</t>
        </is>
      </c>
      <c r="G236" s="20" t="n">
        <v>2670</v>
      </c>
      <c r="H236" s="11" t="inlineStr">
        <is>
          <t>现货</t>
        </is>
      </c>
      <c r="I236" s="11" t="inlineStr"/>
      <c r="J236" s="20" t="n">
        <v>667.76</v>
      </c>
      <c r="K236" s="20" t="n">
        <v>-845.92</v>
      </c>
      <c r="L236" s="20" t="n">
        <v>639</v>
      </c>
    </row>
    <row r="237">
      <c r="A237" s="11" t="inlineStr">
        <is>
          <t>2026-09-29</t>
        </is>
      </c>
      <c r="B237" s="20" t="n"/>
      <c r="C237" s="20" t="n"/>
      <c r="D237" s="20" t="n"/>
      <c r="E237" s="20" t="n">
        <v>4680</v>
      </c>
      <c r="F237" s="11" t="inlineStr">
        <is>
          <t>现货</t>
        </is>
      </c>
      <c r="G237" s="20" t="n">
        <v>2730</v>
      </c>
      <c r="H237" s="11" t="inlineStr">
        <is>
          <t>现货</t>
        </is>
      </c>
      <c r="I237" s="11" t="inlineStr"/>
      <c r="J237" s="20" t="n">
        <v>599.0700000000001</v>
      </c>
      <c r="K237" s="20" t="n">
        <v>-914.61</v>
      </c>
      <c r="L237" s="20" t="n">
        <v>637</v>
      </c>
    </row>
    <row r="238">
      <c r="A238" s="11" t="inlineStr">
        <is>
          <t>2026-09-30</t>
        </is>
      </c>
      <c r="B238" s="20" t="n"/>
      <c r="C238" s="20" t="n"/>
      <c r="D238" s="20" t="n"/>
      <c r="E238" s="20" t="n">
        <v>4865</v>
      </c>
      <c r="F238" s="11" t="inlineStr">
        <is>
          <t>现货</t>
        </is>
      </c>
      <c r="G238" s="20" t="n">
        <v>2750</v>
      </c>
      <c r="H238" s="11" t="inlineStr">
        <is>
          <t>现货</t>
        </is>
      </c>
      <c r="I238" s="11" t="inlineStr"/>
      <c r="J238" s="20" t="n">
        <v>754.1799999999999</v>
      </c>
      <c r="K238" s="20" t="n">
        <v>-759.51</v>
      </c>
      <c r="L238" s="20" t="n">
        <v>635</v>
      </c>
    </row>
    <row r="239">
      <c r="A239" s="11" t="inlineStr">
        <is>
          <t>2026-10-08</t>
        </is>
      </c>
      <c r="B239" s="20" t="n"/>
      <c r="C239" s="20" t="n"/>
      <c r="D239" s="20" t="n"/>
      <c r="E239" s="20" t="n">
        <v>4800</v>
      </c>
      <c r="F239" s="11" t="inlineStr">
        <is>
          <t>现货</t>
        </is>
      </c>
      <c r="G239" s="20" t="n">
        <v>2580</v>
      </c>
      <c r="H239" s="11" t="inlineStr">
        <is>
          <t>现货</t>
        </is>
      </c>
      <c r="I239" s="11" t="inlineStr"/>
      <c r="J239" s="20" t="n">
        <v>943.3</v>
      </c>
      <c r="K239" s="20" t="n">
        <v>-570.39</v>
      </c>
      <c r="L239" s="20" t="n">
        <v>635</v>
      </c>
    </row>
    <row r="240">
      <c r="A240" s="11" t="inlineStr">
        <is>
          <t>2026-10-09</t>
        </is>
      </c>
      <c r="B240" s="20" t="n"/>
      <c r="C240" s="20" t="n"/>
      <c r="D240" s="20" t="n"/>
      <c r="E240" s="20" t="n">
        <v>4880</v>
      </c>
      <c r="F240" s="11" t="inlineStr">
        <is>
          <t>现货</t>
        </is>
      </c>
      <c r="G240" s="20" t="n">
        <v>2580</v>
      </c>
      <c r="H240" s="11" t="inlineStr">
        <is>
          <t>现货</t>
        </is>
      </c>
      <c r="I240" s="11" t="inlineStr"/>
      <c r="J240" s="20" t="n">
        <v>1023.3</v>
      </c>
      <c r="K240" s="20" t="n">
        <v>-490.39</v>
      </c>
      <c r="L240" s="20" t="n">
        <v>633</v>
      </c>
    </row>
    <row r="241">
      <c r="A241" s="11" t="inlineStr">
        <is>
          <t>2026-10-12</t>
        </is>
      </c>
      <c r="B241" s="20" t="n"/>
      <c r="C241" s="20" t="n"/>
      <c r="D241" s="20" t="n"/>
      <c r="E241" s="20" t="n">
        <v>4830</v>
      </c>
      <c r="F241" s="11" t="inlineStr">
        <is>
          <t>现货</t>
        </is>
      </c>
      <c r="G241" s="20" t="n">
        <v>2540</v>
      </c>
      <c r="H241" s="11" t="inlineStr">
        <is>
          <t>现货</t>
        </is>
      </c>
      <c r="I241" s="11" t="inlineStr"/>
      <c r="J241" s="20" t="n">
        <v>1033.09</v>
      </c>
      <c r="K241" s="20" t="n">
        <v>-480.59</v>
      </c>
      <c r="L241" s="20" t="n">
        <v>633</v>
      </c>
    </row>
    <row r="242">
      <c r="A242" s="11" t="inlineStr">
        <is>
          <t>2026-10-13</t>
        </is>
      </c>
      <c r="B242" s="20" t="n"/>
      <c r="C242" s="20" t="n"/>
      <c r="D242" s="20" t="n"/>
      <c r="E242" s="20" t="n">
        <v>4765</v>
      </c>
      <c r="F242" s="11" t="inlineStr">
        <is>
          <t>现货</t>
        </is>
      </c>
      <c r="G242" s="20" t="n">
        <v>2540</v>
      </c>
      <c r="H242" s="11" t="inlineStr">
        <is>
          <t>现货</t>
        </is>
      </c>
      <c r="I242" s="11" t="inlineStr"/>
      <c r="J242" s="20" t="n">
        <v>968.09</v>
      </c>
      <c r="K242" s="20" t="n">
        <v>-545.59</v>
      </c>
      <c r="L242" s="20" t="n">
        <v>633</v>
      </c>
    </row>
    <row r="243">
      <c r="A243" s="11" t="inlineStr">
        <is>
          <t>2026-10-14</t>
        </is>
      </c>
      <c r="B243" s="20" t="n"/>
      <c r="C243" s="20" t="n"/>
      <c r="D243" s="20" t="n"/>
      <c r="E243" s="20" t="n">
        <v>4868</v>
      </c>
      <c r="F243" s="11" t="inlineStr">
        <is>
          <t>现货</t>
        </is>
      </c>
      <c r="G243" s="20" t="n">
        <v>2540</v>
      </c>
      <c r="H243" s="11" t="inlineStr">
        <is>
          <t>现货</t>
        </is>
      </c>
      <c r="I243" s="11" t="inlineStr"/>
      <c r="J243" s="20" t="n">
        <v>1071.09</v>
      </c>
      <c r="K243" s="20" t="n">
        <v>-442.59</v>
      </c>
      <c r="L243" s="20" t="n">
        <v>633</v>
      </c>
    </row>
    <row r="244">
      <c r="A244" s="11" t="inlineStr">
        <is>
          <t>2026-10-15</t>
        </is>
      </c>
      <c r="B244" s="20" t="n"/>
      <c r="C244" s="20" t="n"/>
      <c r="D244" s="20" t="n"/>
      <c r="E244" s="20" t="n">
        <v>4807</v>
      </c>
      <c r="F244" s="11" t="inlineStr">
        <is>
          <t>现货</t>
        </is>
      </c>
      <c r="G244" s="20" t="n">
        <v>2580</v>
      </c>
      <c r="H244" s="11" t="inlineStr">
        <is>
          <t>现货</t>
        </is>
      </c>
      <c r="I244" s="11" t="inlineStr"/>
      <c r="J244" s="20" t="n">
        <v>950.3</v>
      </c>
      <c r="K244" s="20" t="n">
        <v>-563.39</v>
      </c>
      <c r="L244" s="20" t="n">
        <v>631</v>
      </c>
    </row>
    <row r="245">
      <c r="A245" s="11" t="inlineStr">
        <is>
          <t>2026-10-16</t>
        </is>
      </c>
      <c r="B245" s="20" t="n"/>
      <c r="C245" s="20" t="n"/>
      <c r="D245" s="20" t="n"/>
      <c r="E245" s="20" t="n">
        <v>4800</v>
      </c>
      <c r="F245" s="11" t="inlineStr">
        <is>
          <t>现货</t>
        </is>
      </c>
      <c r="G245" s="20" t="n">
        <v>2560</v>
      </c>
      <c r="H245" s="11" t="inlineStr">
        <is>
          <t>现货</t>
        </is>
      </c>
      <c r="I245" s="11" t="inlineStr"/>
      <c r="J245" s="20" t="n">
        <v>973.2</v>
      </c>
      <c r="K245" s="20" t="n">
        <v>-540.49</v>
      </c>
      <c r="L245" s="20" t="n">
        <v>631</v>
      </c>
    </row>
    <row r="246">
      <c r="A246" s="11" t="inlineStr">
        <is>
          <t>2026-10-19</t>
        </is>
      </c>
      <c r="B246" s="20" t="n"/>
      <c r="C246" s="20" t="n"/>
      <c r="D246" s="20" t="n"/>
      <c r="E246" s="20" t="n">
        <v>4865</v>
      </c>
      <c r="F246" s="11" t="inlineStr">
        <is>
          <t>现货</t>
        </is>
      </c>
      <c r="G246" s="20" t="n">
        <v>2530</v>
      </c>
      <c r="H246" s="11" t="inlineStr">
        <is>
          <t>现货</t>
        </is>
      </c>
      <c r="I246" s="11" t="inlineStr"/>
      <c r="J246" s="20" t="n">
        <v>1083.04</v>
      </c>
      <c r="K246" s="20" t="n">
        <v>-430.64</v>
      </c>
      <c r="L246" s="20" t="n">
        <v>629</v>
      </c>
    </row>
    <row r="248" ht="22" customHeight="1">
      <c r="A248" s="3" t="inlineStr">
        <is>
          <t>电石价格锚点（仅使用文章明确披露的报价，锚点之间线性插值）</t>
        </is>
      </c>
    </row>
    <row r="249" ht="30" customHeight="1">
      <c r="A249" s="6" t="inlineStr">
        <is>
          <t>日期</t>
        </is>
      </c>
      <c r="B249" s="6" t="inlineStr">
        <is>
          <t>乌海电石 元/吨</t>
        </is>
      </c>
      <c r="C249" s="6" t="inlineStr">
        <is>
          <t>原文表述</t>
        </is>
      </c>
      <c r="D249" s="6" t="inlineStr"/>
      <c r="E249" s="6" t="inlineStr"/>
      <c r="F249" s="6" t="inlineStr"/>
      <c r="G249" s="6" t="inlineStr">
        <is>
          <t>来源</t>
        </is>
      </c>
      <c r="H249" s="6" t="inlineStr"/>
      <c r="I249" s="6" t="inlineStr"/>
      <c r="J249" s="6" t="inlineStr"/>
      <c r="K249" s="6" t="inlineStr"/>
      <c r="L249" s="6" t="inlineStr"/>
    </row>
    <row r="250">
      <c r="A250" s="42" t="inlineStr">
        <is>
          <t>2026-01-01</t>
        </is>
      </c>
      <c r="B250" s="43" t="n">
        <v>2750</v>
      </c>
      <c r="C250" s="8" t="inlineStr">
        <is>
          <t>上半年乌海地区最高价格在2750元/吨</t>
        </is>
      </c>
      <c r="G250" s="8" t="inlineStr">
        <is>
          <t>隆众聚焦 2026-06-02 https://www.mysteel.com/oilchem/a/26060214/FAF52BAD5C7B2CA0.html</t>
        </is>
      </c>
    </row>
    <row r="251">
      <c r="A251" s="42" t="inlineStr">
        <is>
          <t>2026-05-28</t>
        </is>
      </c>
      <c r="B251" s="43" t="n">
        <v>2500</v>
      </c>
      <c r="C251" s="8" t="inlineStr">
        <is>
          <t>乌海主流贸易价格涨至2500元/吨</t>
        </is>
      </c>
      <c r="G251" s="8" t="inlineStr">
        <is>
          <t>新浪财经 2026-05-29 https://finance.sina.com.cn/wm/2026-05-29/doc-inhzqccm9516100.shtml</t>
        </is>
      </c>
    </row>
    <row r="252">
      <c r="A252" s="42" t="inlineStr">
        <is>
          <t>2026-05-31</t>
        </is>
      </c>
      <c r="B252" s="43" t="n">
        <v>2500</v>
      </c>
      <c r="C252" s="8" t="inlineStr">
        <is>
          <t>降至5月末2500元/吨左右</t>
        </is>
      </c>
      <c r="G252" s="8" t="inlineStr">
        <is>
          <t>隆众聚焦 2026-06-02 同上</t>
        </is>
      </c>
    </row>
    <row r="253">
      <c r="A253" s="42" t="inlineStr">
        <is>
          <t>2026-08-03</t>
        </is>
      </c>
      <c r="B253" s="43" t="n">
        <v>2400</v>
      </c>
      <c r="C253" s="8" t="inlineStr">
        <is>
          <t>乌海主流贸易价格上调至2400元/吨</t>
        </is>
      </c>
      <c r="G253" s="8" t="inlineStr">
        <is>
          <t>隆众 电石市场一周前瞻 20260803 https://nenghua.m.mysteel.com/a/26080308/B23DAF7886B826D4_abc.html</t>
        </is>
      </c>
    </row>
    <row r="254">
      <c r="A254" s="42" t="inlineStr">
        <is>
          <t>2026-09-07</t>
        </is>
      </c>
      <c r="B254" s="43" t="n">
        <v>2750</v>
      </c>
      <c r="C254" s="8" t="inlineStr">
        <is>
          <t>乌海地区主流贸易价格报价在2750元/吨</t>
        </is>
      </c>
      <c r="G254" s="8" t="inlineStr">
        <is>
          <t>隆众 PVC早间提示 20260908 https://www.oilchem.net/26-0908-08-0ac49a26bf1d5373.html</t>
        </is>
      </c>
    </row>
    <row r="255">
      <c r="A255" s="42" t="inlineStr">
        <is>
          <t>2026-09-15</t>
        </is>
      </c>
      <c r="B255" s="43" t="n">
        <v>2700</v>
      </c>
      <c r="C255" s="8" t="inlineStr">
        <is>
          <t>内蒙古乌海地区电石价格为2700元/吨</t>
        </is>
      </c>
      <c r="G255" s="8" t="inlineStr">
        <is>
          <t>财经新闻 2026-09-23 https://finance.sina.com.cn/money/future/fmnews/2026-09-23/doc-inisuxhf5279993.shtml</t>
        </is>
      </c>
    </row>
  </sheetData>
  <mergeCells count="15">
    <mergeCell ref="A248:L248"/>
    <mergeCell ref="A2:L2"/>
    <mergeCell ref="G251:L251"/>
    <mergeCell ref="G253:L253"/>
    <mergeCell ref="C255:F255"/>
    <mergeCell ref="G252:L252"/>
    <mergeCell ref="C250:F250"/>
    <mergeCell ref="C253:F253"/>
    <mergeCell ref="C252:F252"/>
    <mergeCell ref="A1:L1"/>
    <mergeCell ref="C254:F254"/>
    <mergeCell ref="G255:L255"/>
    <mergeCell ref="C251:F251"/>
    <mergeCell ref="G250:L250"/>
    <mergeCell ref="G254:L25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14" customWidth="1" min="5" max="5"/>
    <col width="13" customWidth="1" min="6" max="6"/>
    <col width="13" customWidth="1" min="7" max="7"/>
    <col width="14" customWidth="1" min="8" max="8"/>
    <col width="14" customWidth="1" min="9" max="9"/>
    <col width="20" customWidth="1" min="10" max="10"/>
    <col width="14" customWidth="1" min="11" max="11"/>
    <col width="12" customWidth="1" min="12" max="12"/>
  </cols>
  <sheetData>
    <row r="1" ht="30" customHeight="1">
      <c r="A1" s="1" t="inlineStr">
        <is>
          <t>05 月度台账：理论结果 vs 隆众资讯（第三方）</t>
        </is>
      </c>
    </row>
    <row r="2" ht="26" customHeight="1">
      <c r="A2" s="2" t="inlineStr">
        <is>
          <t>第三列为第三方口径（含全部制造成本），不是同一指标；差值用于校验方向与量级，不能直接相减当误差。</t>
        </is>
      </c>
    </row>
    <row r="4" ht="30" customHeight="1">
      <c r="A4" s="6" t="inlineStr">
        <is>
          <t>月份</t>
        </is>
      </c>
      <c r="B4" s="6" t="inlineStr">
        <is>
          <t>交易日数</t>
        </is>
      </c>
      <c r="C4" s="6" t="inlineStr">
        <is>
          <t>PVC 采用均价</t>
        </is>
      </c>
      <c r="D4" s="6" t="inlineStr">
        <is>
          <t>电石均价</t>
        </is>
      </c>
      <c r="E4" s="6" t="inlineStr">
        <is>
          <t>理论原料成本</t>
        </is>
      </c>
      <c r="F4" s="6" t="inlineStr">
        <is>
          <t>理论加工价差</t>
        </is>
      </c>
      <c r="G4" s="6" t="inlineStr">
        <is>
          <t>理论制造利润</t>
        </is>
      </c>
      <c r="H4" s="6" t="inlineStr">
        <is>
          <t>隆众成本(全国)</t>
        </is>
      </c>
      <c r="I4" s="6" t="inlineStr">
        <is>
          <t>隆众毛利(全国)</t>
        </is>
      </c>
      <c r="J4" s="6" t="inlineStr">
        <is>
          <t>偏差(理论利润−隆众毛利)</t>
        </is>
      </c>
      <c r="K4" s="6" t="inlineStr">
        <is>
          <t>价格来源</t>
        </is>
      </c>
      <c r="L4" s="6" t="inlineStr">
        <is>
          <t>方向是否一致</t>
        </is>
      </c>
    </row>
    <row r="5">
      <c r="A5" s="9" t="inlineStr">
        <is>
          <t>2025-10</t>
        </is>
      </c>
      <c r="B5" s="22" t="n">
        <v>10</v>
      </c>
      <c r="C5" s="44" t="n"/>
      <c r="D5" s="44" t="n"/>
      <c r="E5" s="44" t="n"/>
      <c r="F5" s="44" t="n"/>
      <c r="G5" s="44" t="n"/>
      <c r="H5" s="44" t="n"/>
      <c r="I5" s="44" t="n"/>
      <c r="J5" s="45">
        <f>IF(OR(G5="",I5=""),"",G5-I5)</f>
        <v/>
      </c>
      <c r="K5" s="11" t="inlineStr">
        <is>
          <t>无电石价</t>
        </is>
      </c>
      <c r="L5" s="11">
        <f>IF(OR(G5="",I5=""),"—",IF(SIGN(G5)=SIGN(I5),"一致","背离"))</f>
        <v/>
      </c>
    </row>
    <row r="6">
      <c r="A6" s="9" t="inlineStr">
        <is>
          <t>2025-11</t>
        </is>
      </c>
      <c r="B6" s="22" t="n">
        <v>20</v>
      </c>
      <c r="C6" s="44" t="n"/>
      <c r="D6" s="44" t="n"/>
      <c r="E6" s="44" t="n"/>
      <c r="F6" s="44" t="n"/>
      <c r="G6" s="44" t="n"/>
      <c r="H6" s="44" t="n"/>
      <c r="I6" s="44" t="n"/>
      <c r="J6" s="45">
        <f>IF(OR(G6="",I6=""),"",G6-I6)</f>
        <v/>
      </c>
      <c r="K6" s="11" t="inlineStr">
        <is>
          <t>无电石价</t>
        </is>
      </c>
      <c r="L6" s="11">
        <f>IF(OR(G6="",I6=""),"—",IF(SIGN(G6)=SIGN(I6),"一致","背离"))</f>
        <v/>
      </c>
    </row>
    <row r="7">
      <c r="A7" s="9" t="inlineStr">
        <is>
          <t>2025-12</t>
        </is>
      </c>
      <c r="B7" s="22" t="n">
        <v>23</v>
      </c>
      <c r="C7" s="44" t="n"/>
      <c r="D7" s="44" t="n"/>
      <c r="E7" s="44" t="n"/>
      <c r="F7" s="44" t="n"/>
      <c r="G7" s="44" t="n"/>
      <c r="H7" s="44" t="n"/>
      <c r="I7" s="44" t="n"/>
      <c r="J7" s="45">
        <f>IF(OR(G7="",I7=""),"",G7-I7)</f>
        <v/>
      </c>
      <c r="K7" s="11" t="inlineStr">
        <is>
          <t>无电石价</t>
        </is>
      </c>
      <c r="L7" s="11">
        <f>IF(OR(G7="",I7=""),"—",IF(SIGN(G7)=SIGN(I7),"一致","背离"))</f>
        <v/>
      </c>
    </row>
    <row r="8">
      <c r="A8" s="9" t="inlineStr">
        <is>
          <t>2026-01</t>
        </is>
      </c>
      <c r="B8" s="22" t="n">
        <v>20</v>
      </c>
      <c r="C8" s="44" t="n">
        <v>4765.1</v>
      </c>
      <c r="D8" s="44" t="n">
        <v>2721.9</v>
      </c>
      <c r="E8" s="44" t="n">
        <v>4068.9</v>
      </c>
      <c r="F8" s="44" t="n">
        <v>696.2</v>
      </c>
      <c r="G8" s="44" t="n">
        <v>-817.5</v>
      </c>
      <c r="H8" s="44" t="n">
        <v>5131</v>
      </c>
      <c r="I8" s="44" t="n">
        <v>-710</v>
      </c>
      <c r="J8" s="45">
        <f>IF(OR(G8="",I8=""),"",G8-I8)</f>
        <v/>
      </c>
      <c r="K8" s="11" t="inlineStr">
        <is>
          <t>期货代理+锚点</t>
        </is>
      </c>
      <c r="L8" s="11">
        <f>IF(OR(G8="",I8=""),"—",IF(SIGN(G8)=SIGN(I8),"一致","背离"))</f>
        <v/>
      </c>
    </row>
    <row r="9">
      <c r="A9" s="9" t="inlineStr">
        <is>
          <t>2026-02</t>
        </is>
      </c>
      <c r="B9" s="22" t="n">
        <v>14</v>
      </c>
      <c r="C9" s="44" t="n">
        <v>4853.7</v>
      </c>
      <c r="D9" s="44" t="n">
        <v>2677.5</v>
      </c>
      <c r="E9" s="44" t="n">
        <v>4002.5</v>
      </c>
      <c r="F9" s="44" t="n">
        <v>851.2</v>
      </c>
      <c r="G9" s="44" t="n">
        <v>-662.5</v>
      </c>
      <c r="H9" s="44" t="n">
        <v>5180</v>
      </c>
      <c r="I9" s="44" t="n">
        <v>-598.7</v>
      </c>
      <c r="J9" s="45">
        <f>IF(OR(G9="",I9=""),"",G9-I9)</f>
        <v/>
      </c>
      <c r="K9" s="11" t="inlineStr">
        <is>
          <t>期货代理+锚点</t>
        </is>
      </c>
      <c r="L9" s="11">
        <f>IF(OR(G9="",I9=""),"—",IF(SIGN(G9)=SIGN(I9),"一致","背离"))</f>
        <v/>
      </c>
    </row>
    <row r="10">
      <c r="A10" s="9" t="inlineStr">
        <is>
          <t>2026-03</t>
        </is>
      </c>
      <c r="B10" s="22" t="n">
        <v>22</v>
      </c>
      <c r="C10" s="44" t="n">
        <v>5421.2</v>
      </c>
      <c r="D10" s="44" t="n">
        <v>2624.2</v>
      </c>
      <c r="E10" s="44" t="n">
        <v>3922.8</v>
      </c>
      <c r="F10" s="44" t="n">
        <v>1498.4</v>
      </c>
      <c r="G10" s="44" t="n">
        <v>-15.3</v>
      </c>
      <c r="H10" s="44" t="n">
        <v>5210.5</v>
      </c>
      <c r="I10" s="44" t="n">
        <v>66.5</v>
      </c>
      <c r="J10" s="45">
        <f>IF(OR(G10="",I10=""),"",G10-I10)</f>
        <v/>
      </c>
      <c r="K10" s="11" t="inlineStr">
        <is>
          <t>期货代理+锚点</t>
        </is>
      </c>
      <c r="L10" s="11">
        <f>IF(OR(G10="",I10=""),"—",IF(SIGN(G10)=SIGN(I10),"一致","背离"))</f>
        <v/>
      </c>
    </row>
    <row r="11">
      <c r="A11" s="9" t="inlineStr">
        <is>
          <t>2026-04</t>
        </is>
      </c>
      <c r="B11" s="22" t="n">
        <v>21</v>
      </c>
      <c r="C11" s="44" t="n">
        <v>5081.3</v>
      </c>
      <c r="D11" s="44" t="n">
        <v>2571.2</v>
      </c>
      <c r="E11" s="44" t="n">
        <v>3843.5</v>
      </c>
      <c r="F11" s="44" t="n">
        <v>1237.8</v>
      </c>
      <c r="G11" s="44" t="n">
        <v>-275.9</v>
      </c>
      <c r="H11" s="44" t="n">
        <v>5061.8</v>
      </c>
      <c r="I11" s="44" t="n">
        <v>-105.8</v>
      </c>
      <c r="J11" s="45">
        <f>IF(OR(G11="",I11=""),"",G11-I11)</f>
        <v/>
      </c>
      <c r="K11" s="11" t="inlineStr">
        <is>
          <t>期货代理+锚点</t>
        </is>
      </c>
      <c r="L11" s="11">
        <f>IF(OR(G11="",I11=""),"—",IF(SIGN(G11)=SIGN(I11),"一致","背离"))</f>
        <v/>
      </c>
    </row>
    <row r="12">
      <c r="A12" s="9" t="inlineStr">
        <is>
          <t>2026-05</t>
        </is>
      </c>
      <c r="B12" s="22" t="n">
        <v>18</v>
      </c>
      <c r="C12" s="44" t="n">
        <v>4908</v>
      </c>
      <c r="D12" s="44" t="n">
        <v>2517.4</v>
      </c>
      <c r="E12" s="44" t="n">
        <v>3763.1</v>
      </c>
      <c r="F12" s="44" t="n">
        <v>1144.9</v>
      </c>
      <c r="G12" s="44" t="n">
        <v>-368.8</v>
      </c>
      <c r="H12" s="44" t="n">
        <v>5028.2</v>
      </c>
      <c r="I12" s="44" t="n">
        <v>-262.8</v>
      </c>
      <c r="J12" s="45">
        <f>IF(OR(G12="",I12=""),"",G12-I12)</f>
        <v/>
      </c>
      <c r="K12" s="11" t="inlineStr">
        <is>
          <t>期货代理+锚点</t>
        </is>
      </c>
      <c r="L12" s="11">
        <f>IF(OR(G12="",I12=""),"—",IF(SIGN(G12)=SIGN(I12),"一致","背离"))</f>
        <v/>
      </c>
    </row>
    <row r="13">
      <c r="A13" s="9" t="inlineStr">
        <is>
          <t>2026-06</t>
        </is>
      </c>
      <c r="B13" s="22" t="n">
        <v>21</v>
      </c>
      <c r="C13" s="44" t="n">
        <v>4540.6</v>
      </c>
      <c r="D13" s="44" t="n">
        <v>2476.9</v>
      </c>
      <c r="E13" s="44" t="n">
        <v>3702.6</v>
      </c>
      <c r="F13" s="44" t="n">
        <v>838</v>
      </c>
      <c r="G13" s="44" t="n">
        <v>-675.7</v>
      </c>
      <c r="H13" s="44" t="n">
        <v>4888.2</v>
      </c>
      <c r="I13" s="44" t="n">
        <v>-386</v>
      </c>
      <c r="J13" s="45">
        <f>IF(OR(G13="",I13=""),"",G13-I13)</f>
        <v/>
      </c>
      <c r="K13" s="11" t="inlineStr">
        <is>
          <t>期货代理+锚点</t>
        </is>
      </c>
      <c r="L13" s="11">
        <f>IF(OR(G13="",I13=""),"—",IF(SIGN(G13)=SIGN(I13),"一致","背离"))</f>
        <v/>
      </c>
    </row>
    <row r="14">
      <c r="A14" s="9" t="inlineStr">
        <is>
          <t>2026-07</t>
        </is>
      </c>
      <c r="B14" s="22" t="n">
        <v>23</v>
      </c>
      <c r="C14" s="44" t="n">
        <v>4406.4</v>
      </c>
      <c r="D14" s="44" t="n">
        <v>2431.8</v>
      </c>
      <c r="E14" s="44" t="n">
        <v>3635.2</v>
      </c>
      <c r="F14" s="44" t="n">
        <v>771.3</v>
      </c>
      <c r="G14" s="44" t="n">
        <v>-742.4</v>
      </c>
      <c r="H14" s="44" t="n">
        <v>4936.2</v>
      </c>
      <c r="I14" s="44" t="n">
        <v>-602.2</v>
      </c>
      <c r="J14" s="45">
        <f>IF(OR(G14="",I14=""),"",G14-I14)</f>
        <v/>
      </c>
      <c r="K14" s="11" t="inlineStr">
        <is>
          <t>混合</t>
        </is>
      </c>
      <c r="L14" s="11">
        <f>IF(OR(G14="",I14=""),"—",IF(SIGN(G14)=SIGN(I14),"一致","背离"))</f>
        <v/>
      </c>
    </row>
    <row r="15">
      <c r="A15" s="9" t="inlineStr">
        <is>
          <t>2026-08</t>
        </is>
      </c>
      <c r="B15" s="22" t="n">
        <v>21</v>
      </c>
      <c r="C15" s="44" t="n">
        <v>4441.2</v>
      </c>
      <c r="D15" s="44" t="n">
        <v>2447.6</v>
      </c>
      <c r="E15" s="44" t="n">
        <v>3658.8</v>
      </c>
      <c r="F15" s="44" t="n">
        <v>782.4</v>
      </c>
      <c r="G15" s="44" t="n">
        <v>-731.3</v>
      </c>
      <c r="H15" s="44" t="n">
        <v>5113.7</v>
      </c>
      <c r="I15" s="44" t="n">
        <v>-738.7</v>
      </c>
      <c r="J15" s="45">
        <f>IF(OR(G15="",I15=""),"",G15-I15)</f>
        <v/>
      </c>
      <c r="K15" s="11" t="inlineStr">
        <is>
          <t>现货</t>
        </is>
      </c>
      <c r="L15" s="11">
        <f>IF(OR(G15="",I15=""),"—",IF(SIGN(G15)=SIGN(I15),"一致","背离"))</f>
        <v/>
      </c>
    </row>
    <row r="16">
      <c r="A16" s="9" t="inlineStr">
        <is>
          <t>2026-09</t>
        </is>
      </c>
      <c r="B16" s="22" t="n">
        <v>21</v>
      </c>
      <c r="C16" s="44" t="n">
        <v>4768.6</v>
      </c>
      <c r="D16" s="44" t="n">
        <v>2649.5</v>
      </c>
      <c r="E16" s="44" t="n">
        <v>3960.6</v>
      </c>
      <c r="F16" s="44" t="n">
        <v>807.9</v>
      </c>
      <c r="G16" s="44" t="n">
        <v>-705.7</v>
      </c>
      <c r="H16" s="44" t="n">
        <v>5397.8</v>
      </c>
      <c r="I16" s="44" t="n">
        <v>-750.8</v>
      </c>
      <c r="J16" s="45">
        <f>IF(OR(G16="",I16=""),"",G16-I16)</f>
        <v/>
      </c>
      <c r="K16" s="11" t="inlineStr">
        <is>
          <t>现货</t>
        </is>
      </c>
      <c r="L16" s="11">
        <f>IF(OR(G16="",I16=""),"—",IF(SIGN(G16)=SIGN(I16),"一致","背离"))</f>
        <v/>
      </c>
    </row>
    <row r="17">
      <c r="A17" s="9" t="inlineStr">
        <is>
          <t>2026-10</t>
        </is>
      </c>
      <c r="B17" s="22" t="n">
        <v>8</v>
      </c>
      <c r="C17" s="44" t="n">
        <v>4826.9</v>
      </c>
      <c r="D17" s="44" t="n">
        <v>2556.2</v>
      </c>
      <c r="E17" s="44" t="n">
        <v>3821.2</v>
      </c>
      <c r="F17" s="44" t="n">
        <v>1005.7</v>
      </c>
      <c r="G17" s="44" t="n">
        <v>-508</v>
      </c>
      <c r="H17" s="44" t="n">
        <v>5287</v>
      </c>
      <c r="I17" s="44" t="n">
        <v>-619</v>
      </c>
      <c r="J17" s="45">
        <f>IF(OR(G17="",I17=""),"",G17-I17)</f>
        <v/>
      </c>
      <c r="K17" s="11" t="inlineStr">
        <is>
          <t>现货</t>
        </is>
      </c>
      <c r="L17" s="11">
        <f>IF(OR(G17="",I17=""),"—",IF(SIGN(G17)=SIGN(I17),"一致","背离"))</f>
        <v/>
      </c>
    </row>
    <row r="19">
      <c r="A19" s="23" t="inlineStr">
        <is>
          <t>汇总</t>
        </is>
      </c>
      <c r="B19" s="46">
        <f>COUNT(J5:J17)</f>
        <v/>
      </c>
      <c r="F19" s="8" t="inlineStr">
        <is>
          <t>平均偏差</t>
        </is>
      </c>
      <c r="G19" s="47">
        <f>IFERROR(AVERAGE(J5:J17),"")</f>
        <v/>
      </c>
      <c r="H19" s="8" t="inlineStr">
        <is>
          <t>平均绝对偏差</t>
        </is>
      </c>
      <c r="I19" s="47">
        <f>IFERROR(AVERAGE(ABS(J5:J17)),"")</f>
        <v/>
      </c>
      <c r="K19" s="8" t="inlineStr">
        <is>
          <t>方向一致月数</t>
        </is>
      </c>
      <c r="L19" s="46">
        <f>COUNTIF(L5:L17,"一致")</f>
        <v/>
      </c>
    </row>
  </sheetData>
  <mergeCells count="2">
    <mergeCell ref="A2:L2"/>
    <mergeCell ref="A1:L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  <col width="12" customWidth="1" min="4" max="4"/>
    <col width="11" customWidth="1" min="5" max="5"/>
    <col width="11" customWidth="1" min="6" max="6"/>
    <col width="11" customWidth="1" min="7" max="7"/>
    <col width="30" customWidth="1" min="8" max="8"/>
  </cols>
  <sheetData>
    <row r="1" ht="30" customHeight="1">
      <c r="A1" s="1" t="inlineStr">
        <is>
          <t>06 周度校验：理论制造利润 vs 隆众全国电石法 PVC 毛利（40 周）</t>
        </is>
      </c>
    </row>
    <row r="2" ht="26" customHeight="1">
      <c r="A2" s="2" t="inlineStr">
        <is>
          <t>核心可用性指标是"方向一致率"，不是绝对误差——两者口径不同（第三方含全部制造成本、样本为特定期企业）。</t>
        </is>
      </c>
    </row>
    <row r="4" ht="30" customHeight="1">
      <c r="A4" s="6" t="inlineStr">
        <is>
          <t>周报日期</t>
        </is>
      </c>
      <c r="B4" s="6" t="inlineStr">
        <is>
          <t>对应交易日数</t>
        </is>
      </c>
      <c r="C4" s="6" t="inlineStr">
        <is>
          <t>理论制造利润</t>
        </is>
      </c>
      <c r="D4" s="6" t="inlineStr">
        <is>
          <t>隆众毛利</t>
        </is>
      </c>
      <c r="E4" s="6" t="inlineStr">
        <is>
          <t>偏差</t>
        </is>
      </c>
      <c r="F4" s="6" t="inlineStr">
        <is>
          <t>绝对偏差</t>
        </is>
      </c>
      <c r="G4" s="6" t="inlineStr">
        <is>
          <t>方向一致</t>
        </is>
      </c>
      <c r="H4" s="6" t="inlineStr">
        <is>
          <t>备注</t>
        </is>
      </c>
    </row>
    <row r="5">
      <c r="A5" s="22" t="inlineStr">
        <is>
          <t>20260109</t>
        </is>
      </c>
      <c r="B5" s="22" t="n">
        <v>5</v>
      </c>
      <c r="C5" s="44" t="n">
        <v>-837.6</v>
      </c>
      <c r="D5" s="44" t="n">
        <v>-634</v>
      </c>
      <c r="E5" s="45">
        <f>C5-D5</f>
        <v/>
      </c>
      <c r="F5" s="44">
        <f>ABS(E5)</f>
        <v/>
      </c>
      <c r="G5" s="11">
        <f>IF(SIGN(C5)=SIGN(D5),"一致","背离")</f>
        <v/>
      </c>
      <c r="H5" s="21" t="n"/>
    </row>
    <row r="6">
      <c r="A6" s="22" t="inlineStr">
        <is>
          <t>20260116</t>
        </is>
      </c>
      <c r="B6" s="22" t="n">
        <v>5</v>
      </c>
      <c r="C6" s="44" t="n">
        <v>-835.8</v>
      </c>
      <c r="D6" s="44" t="n">
        <v>-662</v>
      </c>
      <c r="E6" s="45">
        <f>C6-D6</f>
        <v/>
      </c>
      <c r="F6" s="44">
        <f>ABS(E6)</f>
        <v/>
      </c>
      <c r="G6" s="11">
        <f>IF(SIGN(C6)=SIGN(D6),"一致","背离")</f>
        <v/>
      </c>
      <c r="H6" s="21" t="n"/>
    </row>
    <row r="7">
      <c r="A7" s="22" t="inlineStr">
        <is>
          <t>20260123</t>
        </is>
      </c>
      <c r="B7" s="22" t="n">
        <v>5</v>
      </c>
      <c r="C7" s="44" t="n">
        <v>-869.2</v>
      </c>
      <c r="D7" s="44" t="n">
        <v>-800</v>
      </c>
      <c r="E7" s="45">
        <f>C7-D7</f>
        <v/>
      </c>
      <c r="F7" s="44">
        <f>ABS(E7)</f>
        <v/>
      </c>
      <c r="G7" s="11">
        <f>IF(SIGN(C7)=SIGN(D7),"一致","背离")</f>
        <v/>
      </c>
      <c r="H7" s="21" t="n"/>
    </row>
    <row r="8">
      <c r="A8" s="22" t="inlineStr">
        <is>
          <t>20260130</t>
        </is>
      </c>
      <c r="B8" s="22" t="n">
        <v>5</v>
      </c>
      <c r="C8" s="44" t="n">
        <v>-727.4</v>
      </c>
      <c r="D8" s="44" t="n">
        <v>-744</v>
      </c>
      <c r="E8" s="45">
        <f>C8-D8</f>
        <v/>
      </c>
      <c r="F8" s="44">
        <f>ABS(E8)</f>
        <v/>
      </c>
      <c r="G8" s="11">
        <f>IF(SIGN(C8)=SIGN(D8),"一致","背离")</f>
        <v/>
      </c>
      <c r="H8" s="21" t="n"/>
    </row>
    <row r="9">
      <c r="A9" s="22" t="inlineStr">
        <is>
          <t>20260206</t>
        </is>
      </c>
      <c r="B9" s="22" t="n">
        <v>5</v>
      </c>
      <c r="C9" s="44" t="n">
        <v>-603.2</v>
      </c>
      <c r="D9" s="44" t="n">
        <v>-659</v>
      </c>
      <c r="E9" s="45">
        <f>C9-D9</f>
        <v/>
      </c>
      <c r="F9" s="44">
        <f>ABS(E9)</f>
        <v/>
      </c>
      <c r="G9" s="11">
        <f>IF(SIGN(C9)=SIGN(D9),"一致","背离")</f>
        <v/>
      </c>
      <c r="H9" s="21" t="n"/>
    </row>
    <row r="10">
      <c r="A10" s="22" t="inlineStr">
        <is>
          <t>20260213</t>
        </is>
      </c>
      <c r="B10" s="22" t="n">
        <v>5</v>
      </c>
      <c r="C10" s="44" t="n">
        <v>-680.8</v>
      </c>
      <c r="D10" s="44" t="n">
        <v>-698</v>
      </c>
      <c r="E10" s="45">
        <f>C10-D10</f>
        <v/>
      </c>
      <c r="F10" s="44">
        <f>ABS(E10)</f>
        <v/>
      </c>
      <c r="G10" s="11">
        <f>IF(SIGN(C10)=SIGN(D10),"一致","背离")</f>
        <v/>
      </c>
      <c r="H10" s="21" t="n"/>
    </row>
    <row r="11">
      <c r="A11" s="22" t="inlineStr">
        <is>
          <t>20260227</t>
        </is>
      </c>
      <c r="B11" s="22" t="n">
        <v>4</v>
      </c>
      <c r="C11" s="44" t="n">
        <v>-713.7</v>
      </c>
      <c r="D11" s="44" t="n">
        <v>-439</v>
      </c>
      <c r="E11" s="45">
        <f>C11-D11</f>
        <v/>
      </c>
      <c r="F11" s="44">
        <f>ABS(E11)</f>
        <v/>
      </c>
      <c r="G11" s="11">
        <f>IF(SIGN(C11)=SIGN(D11),"一致","背离")</f>
        <v/>
      </c>
      <c r="H11" s="21" t="n"/>
    </row>
    <row r="12">
      <c r="A12" s="22" t="inlineStr">
        <is>
          <t>20260306</t>
        </is>
      </c>
      <c r="B12" s="22" t="n">
        <v>5</v>
      </c>
      <c r="C12" s="44" t="n">
        <v>-567.9</v>
      </c>
      <c r="D12" s="44" t="n">
        <v>-159</v>
      </c>
      <c r="E12" s="45">
        <f>C12-D12</f>
        <v/>
      </c>
      <c r="F12" s="44">
        <f>ABS(E12)</f>
        <v/>
      </c>
      <c r="G12" s="11">
        <f>IF(SIGN(C12)=SIGN(D12),"一致","背离")</f>
        <v/>
      </c>
      <c r="H12" s="21" t="n"/>
    </row>
    <row r="13">
      <c r="A13" s="22" t="inlineStr">
        <is>
          <t>20260313</t>
        </is>
      </c>
      <c r="B13" s="22" t="n">
        <v>5</v>
      </c>
      <c r="C13" s="44" t="n">
        <v>-46.9</v>
      </c>
      <c r="D13" s="44" t="n">
        <v>267</v>
      </c>
      <c r="E13" s="45">
        <f>C13-D13</f>
        <v/>
      </c>
      <c r="F13" s="44">
        <f>ABS(E13)</f>
        <v/>
      </c>
      <c r="G13" s="11">
        <f>IF(SIGN(C13)=SIGN(D13),"一致","背离")</f>
        <v/>
      </c>
      <c r="H13" s="21" t="n"/>
    </row>
    <row r="14">
      <c r="A14" s="22" t="inlineStr">
        <is>
          <t>20260320</t>
        </is>
      </c>
      <c r="B14" s="22" t="n">
        <v>5</v>
      </c>
      <c r="C14" s="44" t="n">
        <v>293.1</v>
      </c>
      <c r="D14" s="44" t="n">
        <v>193</v>
      </c>
      <c r="E14" s="45">
        <f>C14-D14</f>
        <v/>
      </c>
      <c r="F14" s="44">
        <f>ABS(E14)</f>
        <v/>
      </c>
      <c r="G14" s="11">
        <f>IF(SIGN(C14)=SIGN(D14),"一致","背离")</f>
        <v/>
      </c>
      <c r="H14" s="21" t="n"/>
    </row>
    <row r="15">
      <c r="A15" s="22" t="inlineStr">
        <is>
          <t>20260327</t>
        </is>
      </c>
      <c r="B15" s="22" t="n">
        <v>5</v>
      </c>
      <c r="C15" s="44" t="n">
        <v>281.3</v>
      </c>
      <c r="D15" s="44" t="n">
        <v>-35</v>
      </c>
      <c r="E15" s="45">
        <f>C15-D15</f>
        <v/>
      </c>
      <c r="F15" s="44">
        <f>ABS(E15)</f>
        <v/>
      </c>
      <c r="G15" s="11">
        <f>IF(SIGN(C15)=SIGN(D15),"一致","背离")</f>
        <v/>
      </c>
      <c r="H15" s="21" t="n"/>
    </row>
    <row r="16">
      <c r="A16" s="22" t="inlineStr">
        <is>
          <t>20260403</t>
        </is>
      </c>
      <c r="B16" s="22" t="n">
        <v>5</v>
      </c>
      <c r="C16" s="44" t="n">
        <v>-99</v>
      </c>
      <c r="D16" s="44" t="n">
        <v>-307</v>
      </c>
      <c r="E16" s="45">
        <f>C16-D16</f>
        <v/>
      </c>
      <c r="F16" s="44">
        <f>ABS(E16)</f>
        <v/>
      </c>
      <c r="G16" s="11">
        <f>IF(SIGN(C16)=SIGN(D16),"一致","背离")</f>
        <v/>
      </c>
      <c r="H16" s="21" t="n"/>
    </row>
    <row r="17">
      <c r="A17" s="22" t="inlineStr">
        <is>
          <t>20260410</t>
        </is>
      </c>
      <c r="B17" s="22" t="n">
        <v>4</v>
      </c>
      <c r="C17" s="44" t="n">
        <v>-345.5</v>
      </c>
      <c r="D17" s="44" t="n">
        <v>-3</v>
      </c>
      <c r="E17" s="45">
        <f>C17-D17</f>
        <v/>
      </c>
      <c r="F17" s="44">
        <f>ABS(E17)</f>
        <v/>
      </c>
      <c r="G17" s="11">
        <f>IF(SIGN(C17)=SIGN(D17),"一致","背离")</f>
        <v/>
      </c>
      <c r="H17" s="21" t="n"/>
    </row>
    <row r="18">
      <c r="A18" s="22" t="inlineStr">
        <is>
          <t>20260417</t>
        </is>
      </c>
      <c r="B18" s="22" t="n">
        <v>5</v>
      </c>
      <c r="C18" s="44" t="n">
        <v>-393.2</v>
      </c>
      <c r="D18" s="44" t="n">
        <v>-172</v>
      </c>
      <c r="E18" s="45">
        <f>C18-D18</f>
        <v/>
      </c>
      <c r="F18" s="44">
        <f>ABS(E18)</f>
        <v/>
      </c>
      <c r="G18" s="11">
        <f>IF(SIGN(C18)=SIGN(D18),"一致","背离")</f>
        <v/>
      </c>
      <c r="H18" s="21" t="n"/>
    </row>
    <row r="19">
      <c r="A19" s="22" t="inlineStr">
        <is>
          <t>20260424</t>
        </is>
      </c>
      <c r="B19" s="22" t="n">
        <v>5</v>
      </c>
      <c r="C19" s="44" t="n">
        <v>-291.4</v>
      </c>
      <c r="D19" s="44" t="n">
        <v>60</v>
      </c>
      <c r="E19" s="45">
        <f>C19-D19</f>
        <v/>
      </c>
      <c r="F19" s="44">
        <f>ABS(E19)</f>
        <v/>
      </c>
      <c r="G19" s="11">
        <f>IF(SIGN(C19)=SIGN(D19),"一致","背离")</f>
        <v/>
      </c>
      <c r="H19" s="21" t="n"/>
    </row>
    <row r="20">
      <c r="A20" s="22" t="inlineStr">
        <is>
          <t>20260430</t>
        </is>
      </c>
      <c r="B20" s="22" t="n">
        <v>5</v>
      </c>
      <c r="C20" s="44" t="n">
        <v>-186.6</v>
      </c>
      <c r="D20" s="44" t="n">
        <v>-4</v>
      </c>
      <c r="E20" s="45">
        <f>C20-D20</f>
        <v/>
      </c>
      <c r="F20" s="44">
        <f>ABS(E20)</f>
        <v/>
      </c>
      <c r="G20" s="11">
        <f>IF(SIGN(C20)=SIGN(D20),"一致","背离")</f>
        <v/>
      </c>
      <c r="H20" s="21" t="n"/>
    </row>
    <row r="21">
      <c r="A21" s="22" t="inlineStr">
        <is>
          <t>20260508</t>
        </is>
      </c>
      <c r="B21" s="22" t="n">
        <v>3</v>
      </c>
      <c r="C21" s="44" t="n">
        <v>-214.9</v>
      </c>
      <c r="D21" s="44" t="n">
        <v>-52</v>
      </c>
      <c r="E21" s="45">
        <f>C21-D21</f>
        <v/>
      </c>
      <c r="F21" s="44">
        <f>ABS(E21)</f>
        <v/>
      </c>
      <c r="G21" s="11">
        <f>IF(SIGN(C21)=SIGN(D21),"一致","背离")</f>
        <v/>
      </c>
      <c r="H21" s="21" t="n"/>
    </row>
    <row r="22">
      <c r="A22" s="22" t="inlineStr">
        <is>
          <t>20260515</t>
        </is>
      </c>
      <c r="B22" s="22" t="n">
        <v>5</v>
      </c>
      <c r="C22" s="44" t="n">
        <v>-298.6</v>
      </c>
      <c r="D22" s="44" t="n">
        <v>-191</v>
      </c>
      <c r="E22" s="45">
        <f>C22-D22</f>
        <v/>
      </c>
      <c r="F22" s="44">
        <f>ABS(E22)</f>
        <v/>
      </c>
      <c r="G22" s="11">
        <f>IF(SIGN(C22)=SIGN(D22),"一致","背离")</f>
        <v/>
      </c>
      <c r="H22" s="21" t="n"/>
    </row>
    <row r="23">
      <c r="A23" s="22" t="inlineStr">
        <is>
          <t>20260522</t>
        </is>
      </c>
      <c r="B23" s="22" t="n">
        <v>5</v>
      </c>
      <c r="C23" s="44" t="n">
        <v>-427.4</v>
      </c>
      <c r="D23" s="44" t="n">
        <v>-320</v>
      </c>
      <c r="E23" s="45">
        <f>C23-D23</f>
        <v/>
      </c>
      <c r="F23" s="44">
        <f>ABS(E23)</f>
        <v/>
      </c>
      <c r="G23" s="11">
        <f>IF(SIGN(C23)=SIGN(D23),"一致","背离")</f>
        <v/>
      </c>
      <c r="H23" s="21" t="n"/>
    </row>
    <row r="24">
      <c r="A24" s="22" t="inlineStr">
        <is>
          <t>20260529</t>
        </is>
      </c>
      <c r="B24" s="22" t="n">
        <v>5</v>
      </c>
      <c r="C24" s="44" t="n">
        <v>-472.7</v>
      </c>
      <c r="D24" s="44" t="n">
        <v>-488</v>
      </c>
      <c r="E24" s="45">
        <f>C24-D24</f>
        <v/>
      </c>
      <c r="F24" s="44">
        <f>ABS(E24)</f>
        <v/>
      </c>
      <c r="G24" s="11">
        <f>IF(SIGN(C24)=SIGN(D24),"一致","背离")</f>
        <v/>
      </c>
      <c r="H24" s="21" t="n"/>
    </row>
    <row r="25">
      <c r="A25" s="22" t="inlineStr">
        <is>
          <t>20260605</t>
        </is>
      </c>
      <c r="B25" s="22" t="n">
        <v>5</v>
      </c>
      <c r="C25" s="44" t="n">
        <v>-469.1</v>
      </c>
      <c r="D25" s="44" t="n">
        <v>-378</v>
      </c>
      <c r="E25" s="45">
        <f>C25-D25</f>
        <v/>
      </c>
      <c r="F25" s="44">
        <f>ABS(E25)</f>
        <v/>
      </c>
      <c r="G25" s="11">
        <f>IF(SIGN(C25)=SIGN(D25),"一致","背离")</f>
        <v/>
      </c>
      <c r="H25" s="21" t="n"/>
    </row>
    <row r="26">
      <c r="A26" s="22" t="inlineStr">
        <is>
          <t>20260612</t>
        </is>
      </c>
      <c r="B26" s="22" t="n">
        <v>5</v>
      </c>
      <c r="C26" s="44" t="n">
        <v>-615.5</v>
      </c>
      <c r="D26" s="44" t="n">
        <v>-257</v>
      </c>
      <c r="E26" s="45">
        <f>C26-D26</f>
        <v/>
      </c>
      <c r="F26" s="44">
        <f>ABS(E26)</f>
        <v/>
      </c>
      <c r="G26" s="11">
        <f>IF(SIGN(C26)=SIGN(D26),"一致","背离")</f>
        <v/>
      </c>
      <c r="H26" s="21" t="n"/>
    </row>
    <row r="27">
      <c r="A27" s="22" t="inlineStr">
        <is>
          <t>20260618</t>
        </is>
      </c>
      <c r="B27" s="22" t="n">
        <v>5</v>
      </c>
      <c r="C27" s="44" t="n">
        <v>-673.3</v>
      </c>
      <c r="D27" s="44" t="n">
        <v>-390</v>
      </c>
      <c r="E27" s="45">
        <f>C27-D27</f>
        <v/>
      </c>
      <c r="F27" s="44">
        <f>ABS(E27)</f>
        <v/>
      </c>
      <c r="G27" s="11">
        <f>IF(SIGN(C27)=SIGN(D27),"一致","背离")</f>
        <v/>
      </c>
      <c r="H27" s="21" t="n"/>
    </row>
    <row r="28">
      <c r="A28" s="22" t="inlineStr">
        <is>
          <t>20260626</t>
        </is>
      </c>
      <c r="B28" s="22" t="n">
        <v>5</v>
      </c>
      <c r="C28" s="44" t="n">
        <v>-849.2</v>
      </c>
      <c r="D28" s="44" t="n">
        <v>-519</v>
      </c>
      <c r="E28" s="45">
        <f>C28-D28</f>
        <v/>
      </c>
      <c r="F28" s="44">
        <f>ABS(E28)</f>
        <v/>
      </c>
      <c r="G28" s="11">
        <f>IF(SIGN(C28)=SIGN(D28),"一致","背离")</f>
        <v/>
      </c>
      <c r="H28" s="21" t="n"/>
    </row>
    <row r="29">
      <c r="A29" s="22" t="inlineStr">
        <is>
          <t>20260703</t>
        </is>
      </c>
      <c r="B29" s="22" t="n">
        <v>5</v>
      </c>
      <c r="C29" s="44" t="n">
        <v>-885.9</v>
      </c>
      <c r="D29" s="44" t="n">
        <v>-723</v>
      </c>
      <c r="E29" s="45">
        <f>C29-D29</f>
        <v/>
      </c>
      <c r="F29" s="44">
        <f>ABS(E29)</f>
        <v/>
      </c>
      <c r="G29" s="11">
        <f>IF(SIGN(C29)=SIGN(D29),"一致","背离")</f>
        <v/>
      </c>
      <c r="H29" s="21" t="n"/>
    </row>
    <row r="30">
      <c r="A30" s="22" t="inlineStr">
        <is>
          <t>20260710</t>
        </is>
      </c>
      <c r="B30" s="22" t="n">
        <v>5</v>
      </c>
      <c r="C30" s="44" t="n">
        <v>-799</v>
      </c>
      <c r="D30" s="44" t="n">
        <v>-869</v>
      </c>
      <c r="E30" s="45">
        <f>C30-D30</f>
        <v/>
      </c>
      <c r="F30" s="44">
        <f>ABS(E30)</f>
        <v/>
      </c>
      <c r="G30" s="11">
        <f>IF(SIGN(C30)=SIGN(D30),"一致","背离")</f>
        <v/>
      </c>
      <c r="H30" s="21" t="n"/>
    </row>
    <row r="31">
      <c r="A31" s="22" t="inlineStr">
        <is>
          <t>20260717</t>
        </is>
      </c>
      <c r="B31" s="22" t="n">
        <v>5</v>
      </c>
      <c r="C31" s="44" t="n">
        <v>-726.4</v>
      </c>
      <c r="D31" s="44" t="n">
        <v>-578</v>
      </c>
      <c r="E31" s="45">
        <f>C31-D31</f>
        <v/>
      </c>
      <c r="F31" s="44">
        <f>ABS(E31)</f>
        <v/>
      </c>
      <c r="G31" s="11">
        <f>IF(SIGN(C31)=SIGN(D31),"一致","背离")</f>
        <v/>
      </c>
      <c r="H31" s="21" t="n"/>
    </row>
    <row r="32">
      <c r="A32" s="22" t="inlineStr">
        <is>
          <t>20260724</t>
        </is>
      </c>
      <c r="B32" s="22" t="n">
        <v>5</v>
      </c>
      <c r="C32" s="44" t="n">
        <v>-704.7</v>
      </c>
      <c r="D32" s="44" t="n">
        <v>-483</v>
      </c>
      <c r="E32" s="45">
        <f>C32-D32</f>
        <v/>
      </c>
      <c r="F32" s="44">
        <f>ABS(E32)</f>
        <v/>
      </c>
      <c r="G32" s="11">
        <f>IF(SIGN(C32)=SIGN(D32),"一致","背离")</f>
        <v/>
      </c>
      <c r="H32" s="21" t="n"/>
    </row>
    <row r="33">
      <c r="A33" s="22" t="inlineStr">
        <is>
          <t>20260731</t>
        </is>
      </c>
      <c r="B33" s="22" t="n">
        <v>5</v>
      </c>
      <c r="C33" s="44" t="n">
        <v>-650.4</v>
      </c>
      <c r="D33" s="44" t="n">
        <v>-358</v>
      </c>
      <c r="E33" s="45">
        <f>C33-D33</f>
        <v/>
      </c>
      <c r="F33" s="44">
        <f>ABS(E33)</f>
        <v/>
      </c>
      <c r="G33" s="11">
        <f>IF(SIGN(C33)=SIGN(D33),"一致","背离")</f>
        <v/>
      </c>
      <c r="H33" s="21" t="n"/>
    </row>
    <row r="34">
      <c r="A34" s="22" t="inlineStr">
        <is>
          <t>20260807</t>
        </is>
      </c>
      <c r="B34" s="22" t="n">
        <v>5</v>
      </c>
      <c r="C34" s="44" t="n">
        <v>-681</v>
      </c>
      <c r="D34" s="44" t="n">
        <v>-710</v>
      </c>
      <c r="E34" s="45">
        <f>C34-D34</f>
        <v/>
      </c>
      <c r="F34" s="44">
        <f>ABS(E34)</f>
        <v/>
      </c>
      <c r="G34" s="11">
        <f>IF(SIGN(C34)=SIGN(D34),"一致","背离")</f>
        <v/>
      </c>
      <c r="H34" s="21" t="n"/>
    </row>
    <row r="35">
      <c r="A35" s="22" t="inlineStr">
        <is>
          <t>20260814</t>
        </is>
      </c>
      <c r="B35" s="22" t="n">
        <v>5</v>
      </c>
      <c r="C35" s="44" t="n">
        <v>-697.4</v>
      </c>
      <c r="D35" s="44" t="n">
        <v>-670</v>
      </c>
      <c r="E35" s="45">
        <f>C35-D35</f>
        <v/>
      </c>
      <c r="F35" s="44">
        <f>ABS(E35)</f>
        <v/>
      </c>
      <c r="G35" s="11">
        <f>IF(SIGN(C35)=SIGN(D35),"一致","背离")</f>
        <v/>
      </c>
      <c r="H35" s="21" t="n"/>
    </row>
    <row r="36">
      <c r="A36" s="22" t="inlineStr">
        <is>
          <t>20260821</t>
        </is>
      </c>
      <c r="B36" s="22" t="n">
        <v>5</v>
      </c>
      <c r="C36" s="44" t="n">
        <v>-726.3</v>
      </c>
      <c r="D36" s="44" t="n">
        <v>-704</v>
      </c>
      <c r="E36" s="45">
        <f>C36-D36</f>
        <v/>
      </c>
      <c r="F36" s="44">
        <f>ABS(E36)</f>
        <v/>
      </c>
      <c r="G36" s="11">
        <f>IF(SIGN(C36)=SIGN(D36),"一致","背离")</f>
        <v/>
      </c>
      <c r="H36" s="21" t="n"/>
    </row>
    <row r="37">
      <c r="A37" s="22" t="inlineStr">
        <is>
          <t>20260828</t>
        </is>
      </c>
      <c r="B37" s="22" t="n">
        <v>5</v>
      </c>
      <c r="C37" s="44" t="n">
        <v>-841.6</v>
      </c>
      <c r="D37" s="44" t="n">
        <v>-842</v>
      </c>
      <c r="E37" s="45">
        <f>C37-D37</f>
        <v/>
      </c>
      <c r="F37" s="44">
        <f>ABS(E37)</f>
        <v/>
      </c>
      <c r="G37" s="11">
        <f>IF(SIGN(C37)=SIGN(D37),"一致","背离")</f>
        <v/>
      </c>
      <c r="H37" s="21" t="n"/>
    </row>
    <row r="38">
      <c r="A38" s="22" t="inlineStr">
        <is>
          <t>20260904</t>
        </is>
      </c>
      <c r="B38" s="22" t="n">
        <v>5</v>
      </c>
      <c r="C38" s="44" t="n">
        <v>-578.6</v>
      </c>
      <c r="D38" s="44" t="n">
        <v>-656</v>
      </c>
      <c r="E38" s="45">
        <f>C38-D38</f>
        <v/>
      </c>
      <c r="F38" s="44">
        <f>ABS(E38)</f>
        <v/>
      </c>
      <c r="G38" s="11">
        <f>IF(SIGN(C38)=SIGN(D38),"一致","背离")</f>
        <v/>
      </c>
      <c r="H38" s="21" t="n"/>
    </row>
    <row r="39">
      <c r="A39" s="22" t="inlineStr">
        <is>
          <t>20260911</t>
        </is>
      </c>
      <c r="B39" s="22" t="n">
        <v>5</v>
      </c>
      <c r="C39" s="44" t="n">
        <v>-572</v>
      </c>
      <c r="D39" s="44" t="n">
        <v>-652</v>
      </c>
      <c r="E39" s="45">
        <f>C39-D39</f>
        <v/>
      </c>
      <c r="F39" s="44">
        <f>ABS(E39)</f>
        <v/>
      </c>
      <c r="G39" s="11">
        <f>IF(SIGN(C39)=SIGN(D39),"一致","背离")</f>
        <v/>
      </c>
      <c r="H39" s="21" t="n"/>
    </row>
    <row r="40">
      <c r="A40" s="22" t="inlineStr">
        <is>
          <t>20260918</t>
        </is>
      </c>
      <c r="B40" s="22" t="n">
        <v>5</v>
      </c>
      <c r="C40" s="44" t="n">
        <v>-763.1</v>
      </c>
      <c r="D40" s="44" t="n">
        <v>-731</v>
      </c>
      <c r="E40" s="45">
        <f>C40-D40</f>
        <v/>
      </c>
      <c r="F40" s="44">
        <f>ABS(E40)</f>
        <v/>
      </c>
      <c r="G40" s="11">
        <f>IF(SIGN(C40)=SIGN(D40),"一致","背离")</f>
        <v/>
      </c>
      <c r="H40" s="21" t="n"/>
    </row>
    <row r="41">
      <c r="A41" s="22" t="inlineStr">
        <is>
          <t>20260924</t>
        </is>
      </c>
      <c r="B41" s="22" t="n">
        <v>5</v>
      </c>
      <c r="C41" s="44" t="n">
        <v>-842.5</v>
      </c>
      <c r="D41" s="44" t="n">
        <v>-849</v>
      </c>
      <c r="E41" s="45">
        <f>C41-D41</f>
        <v/>
      </c>
      <c r="F41" s="44">
        <f>ABS(E41)</f>
        <v/>
      </c>
      <c r="G41" s="11">
        <f>IF(SIGN(C41)=SIGN(D41),"一致","背离")</f>
        <v/>
      </c>
      <c r="H41" s="21" t="n"/>
    </row>
    <row r="42">
      <c r="A42" s="22" t="inlineStr">
        <is>
          <t>20260930</t>
        </is>
      </c>
      <c r="B42" s="22" t="n">
        <v>4</v>
      </c>
      <c r="C42" s="44" t="n">
        <v>-840</v>
      </c>
      <c r="D42" s="44" t="n">
        <v>-866</v>
      </c>
      <c r="E42" s="45">
        <f>C42-D42</f>
        <v/>
      </c>
      <c r="F42" s="44">
        <f>ABS(E42)</f>
        <v/>
      </c>
      <c r="G42" s="11">
        <f>IF(SIGN(C42)=SIGN(D42),"一致","背离")</f>
        <v/>
      </c>
      <c r="H42" s="21" t="n"/>
    </row>
    <row r="43">
      <c r="A43" s="22" t="inlineStr">
        <is>
          <t>20261009</t>
        </is>
      </c>
      <c r="B43" s="22" t="n">
        <v>2</v>
      </c>
      <c r="C43" s="44" t="n">
        <v>-530.4</v>
      </c>
      <c r="D43" s="44" t="n">
        <v>-766</v>
      </c>
      <c r="E43" s="45">
        <f>C43-D43</f>
        <v/>
      </c>
      <c r="F43" s="44">
        <f>ABS(E43)</f>
        <v/>
      </c>
      <c r="G43" s="11">
        <f>IF(SIGN(C43)=SIGN(D43),"一致","背离")</f>
        <v/>
      </c>
      <c r="H43" s="21" t="n"/>
    </row>
    <row r="44">
      <c r="A44" s="22" t="inlineStr">
        <is>
          <t>20261016</t>
        </is>
      </c>
      <c r="B44" s="22" t="n">
        <v>5</v>
      </c>
      <c r="C44" s="44" t="n">
        <v>-514.5</v>
      </c>
      <c r="D44" s="44" t="n">
        <v>-472</v>
      </c>
      <c r="E44" s="45">
        <f>C44-D44</f>
        <v/>
      </c>
      <c r="F44" s="44">
        <f>ABS(E44)</f>
        <v/>
      </c>
      <c r="G44" s="11">
        <f>IF(SIGN(C44)=SIGN(D44),"一致","背离")</f>
        <v/>
      </c>
      <c r="H44" s="21" t="n"/>
    </row>
    <row r="46" ht="30" customHeight="1">
      <c r="A46" s="6" t="inlineStr">
        <is>
          <t>统计口径</t>
        </is>
      </c>
      <c r="B46" s="6" t="inlineStr">
        <is>
          <t>数值</t>
        </is>
      </c>
      <c r="C46" s="6" t="inlineStr">
        <is>
          <t>说明</t>
        </is>
      </c>
    </row>
    <row r="47">
      <c r="A47" s="9" t="inlineStr">
        <is>
          <t>样本周数</t>
        </is>
      </c>
      <c r="B47" s="48">
        <f>COUNT(E5:E44)</f>
        <v/>
      </c>
      <c r="C47" s="8" t="inlineStr">
        <is>
          <t>理论利润与第三方毛利方向是否一致</t>
        </is>
      </c>
    </row>
    <row r="48">
      <c r="A48" s="9" t="inlineStr">
        <is>
          <t>偏差均值</t>
        </is>
      </c>
      <c r="B48" s="49">
        <f>AVERAGE(E5:E44)</f>
        <v/>
      </c>
    </row>
    <row r="49">
      <c r="A49" s="9" t="inlineStr">
        <is>
          <t>平均绝对偏差</t>
        </is>
      </c>
      <c r="B49" s="49">
        <f>AVERAGE(F5:F44)</f>
        <v/>
      </c>
    </row>
    <row r="50">
      <c r="A50" s="9" t="inlineStr">
        <is>
          <t>偏差标准差</t>
        </is>
      </c>
      <c r="B50" s="49">
        <f>STDEV(E5:E44)</f>
        <v/>
      </c>
    </row>
    <row r="51">
      <c r="A51" s="9" t="inlineStr">
        <is>
          <t>最大正偏差</t>
        </is>
      </c>
      <c r="B51" s="49">
        <f>MAX(E5:E44)</f>
        <v/>
      </c>
    </row>
    <row r="52">
      <c r="A52" s="9" t="inlineStr">
        <is>
          <t>最大负偏差</t>
        </is>
      </c>
      <c r="B52" s="49">
        <f>MIN(E5:E44)</f>
        <v/>
      </c>
    </row>
    <row r="53">
      <c r="A53" s="9" t="inlineStr">
        <is>
          <t>方向一致周数</t>
        </is>
      </c>
      <c r="B53" s="48">
        <f>COUNTIF(G5:G44,"一致")</f>
        <v/>
      </c>
    </row>
    <row r="54">
      <c r="A54" s="9" t="inlineStr">
        <is>
          <t>方向一致率</t>
        </is>
      </c>
      <c r="B54" s="50">
        <f>G53/B46</f>
        <v/>
      </c>
      <c r="C54" s="8" t="inlineStr">
        <is>
          <t>≥85% 可认为模型可用于方向判断（当前 37/40=92.5%）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07 敏感性分析（双因素矩阵为活公式，随 01 表联动）</t>
        </is>
      </c>
    </row>
    <row r="2" ht="26" customHeight="1">
      <c r="A2" s="2" t="inlineStr">
        <is>
          <t>行=电石价格变动，列=产品价格变动。变动比例写在 B4:F4 / A6:A10，改这里重算全部矩阵。</t>
        </is>
      </c>
    </row>
    <row r="4">
      <c r="A4" s="51" t="inlineStr">
        <is>
          <t>电石＼产品</t>
        </is>
      </c>
      <c r="B4" s="52" t="n">
        <v>-0.1</v>
      </c>
      <c r="C4" s="52" t="n">
        <v>-0.05</v>
      </c>
      <c r="D4" s="52" t="n">
        <v>0</v>
      </c>
      <c r="E4" s="52" t="n">
        <v>0.05</v>
      </c>
      <c r="F4" s="52" t="n">
        <v>0.1</v>
      </c>
    </row>
    <row r="5">
      <c r="A5" s="53" t="n">
        <v>-0.1</v>
      </c>
      <c r="B5" s="21" t="n"/>
      <c r="C5" s="21" t="n"/>
      <c r="D5" s="21" t="n"/>
      <c r="E5" s="21" t="n"/>
      <c r="F5" s="21" t="n"/>
    </row>
    <row r="6">
      <c r="A6" s="53" t="n">
        <v>-0.05</v>
      </c>
      <c r="B6" s="21" t="n"/>
      <c r="C6" s="21" t="n"/>
      <c r="D6" s="21" t="n"/>
      <c r="E6" s="21" t="n"/>
      <c r="F6" s="21" t="n"/>
    </row>
    <row r="7">
      <c r="A7" s="53" t="n">
        <v>0</v>
      </c>
      <c r="B7" s="21" t="n"/>
      <c r="C7" s="21" t="n"/>
      <c r="D7" s="21" t="n"/>
      <c r="E7" s="21" t="n"/>
      <c r="F7" s="21" t="n"/>
    </row>
    <row r="8">
      <c r="A8" s="53" t="n">
        <v>0.05</v>
      </c>
      <c r="B8" s="21" t="n"/>
      <c r="C8" s="21" t="n"/>
      <c r="D8" s="21" t="n"/>
      <c r="E8" s="21" t="n"/>
      <c r="F8" s="21" t="n"/>
    </row>
    <row r="9">
      <c r="A9" s="53" t="n">
        <v>0.1</v>
      </c>
      <c r="B9" s="21" t="n"/>
      <c r="C9" s="21" t="n"/>
      <c r="D9" s="21" t="n"/>
      <c r="E9" s="21" t="n"/>
      <c r="F9" s="21" t="n"/>
    </row>
    <row r="11">
      <c r="A11" s="54" t="inlineStr">
        <is>
          <t>矩阵①：理论加工价差（元/吨）</t>
        </is>
      </c>
    </row>
    <row r="12" ht="30" customHeight="1">
      <c r="A12" s="6" t="inlineStr">
        <is>
          <t>电石＼产品</t>
        </is>
      </c>
      <c r="B12" s="6" t="inlineStr">
        <is>
          <t>-10%</t>
        </is>
      </c>
      <c r="C12" s="6" t="inlineStr">
        <is>
          <t>-5%</t>
        </is>
      </c>
      <c r="D12" s="6" t="inlineStr">
        <is>
          <t>+0%</t>
        </is>
      </c>
      <c r="E12" s="6" t="inlineStr">
        <is>
          <t>+5%</t>
        </is>
      </c>
      <c r="F12" s="6" t="inlineStr">
        <is>
          <t>+10%</t>
        </is>
      </c>
    </row>
    <row r="13">
      <c r="A13" s="55">
        <f>$A$5</f>
        <v/>
      </c>
      <c r="B13" s="45">
        <f>'01_参数与单耗'!$B$7*(1+B$4)-('01_参数与单耗'!$C$13*'01_参数与单耗'!$E$13*'01_参数与单耗'!$G$13*(1+$A13)/'01_参数与单耗'!$B$8)-('02_成本构成'!$G$18-'02_成本构成'!$G$5)</f>
        <v/>
      </c>
      <c r="C13" s="45">
        <f>'01_参数与单耗'!$B$7*(1+C$4)-('01_参数与单耗'!$C$13*'01_参数与单耗'!$E$13*'01_参数与单耗'!$G$13*(1+$A13)/'01_参数与单耗'!$B$8)-('02_成本构成'!$G$18-'02_成本构成'!$G$5)</f>
        <v/>
      </c>
      <c r="D13" s="45">
        <f>'01_参数与单耗'!$B$7*(1+D$4)-('01_参数与单耗'!$C$13*'01_参数与单耗'!$E$13*'01_参数与单耗'!$G$13*(1+$A13)/'01_参数与单耗'!$B$8)-('02_成本构成'!$G$18-'02_成本构成'!$G$5)</f>
        <v/>
      </c>
      <c r="E13" s="45">
        <f>'01_参数与单耗'!$B$7*(1+E$4)-('01_参数与单耗'!$C$13*'01_参数与单耗'!$E$13*'01_参数与单耗'!$G$13*(1+$A13)/'01_参数与单耗'!$B$8)-('02_成本构成'!$G$18-'02_成本构成'!$G$5)</f>
        <v/>
      </c>
      <c r="F13" s="45">
        <f>'01_参数与单耗'!$B$7*(1+F$4)-('01_参数与单耗'!$C$13*'01_参数与单耗'!$E$13*'01_参数与单耗'!$G$13*(1+$A13)/'01_参数与单耗'!$B$8)-('02_成本构成'!$G$18-'02_成本构成'!$G$5)</f>
        <v/>
      </c>
    </row>
    <row r="14">
      <c r="A14" s="55">
        <f>$A$6</f>
        <v/>
      </c>
      <c r="B14" s="45">
        <f>'01_参数与单耗'!$B$7*(1+B$4)-('01_参数与单耗'!$C$13*'01_参数与单耗'!$E$13*'01_参数与单耗'!$G$13*(1+$A14)/'01_参数与单耗'!$B$8)-('02_成本构成'!$G$18-'02_成本构成'!$G$5)</f>
        <v/>
      </c>
      <c r="C14" s="45">
        <f>'01_参数与单耗'!$B$7*(1+C$4)-('01_参数与单耗'!$C$13*'01_参数与单耗'!$E$13*'01_参数与单耗'!$G$13*(1+$A14)/'01_参数与单耗'!$B$8)-('02_成本构成'!$G$18-'02_成本构成'!$G$5)</f>
        <v/>
      </c>
      <c r="D14" s="45">
        <f>'01_参数与单耗'!$B$7*(1+D$4)-('01_参数与单耗'!$C$13*'01_参数与单耗'!$E$13*'01_参数与单耗'!$G$13*(1+$A14)/'01_参数与单耗'!$B$8)-('02_成本构成'!$G$18-'02_成本构成'!$G$5)</f>
        <v/>
      </c>
      <c r="E14" s="45">
        <f>'01_参数与单耗'!$B$7*(1+E$4)-('01_参数与单耗'!$C$13*'01_参数与单耗'!$E$13*'01_参数与单耗'!$G$13*(1+$A14)/'01_参数与单耗'!$B$8)-('02_成本构成'!$G$18-'02_成本构成'!$G$5)</f>
        <v/>
      </c>
      <c r="F14" s="45">
        <f>'01_参数与单耗'!$B$7*(1+F$4)-('01_参数与单耗'!$C$13*'01_参数与单耗'!$E$13*'01_参数与单耗'!$G$13*(1+$A14)/'01_参数与单耗'!$B$8)-('02_成本构成'!$G$18-'02_成本构成'!$G$5)</f>
        <v/>
      </c>
    </row>
    <row r="15">
      <c r="A15" s="55">
        <f>$A$7</f>
        <v/>
      </c>
      <c r="B15" s="45">
        <f>'01_参数与单耗'!$B$7*(1+B$4)-('01_参数与单耗'!$C$13*'01_参数与单耗'!$E$13*'01_参数与单耗'!$G$13*(1+$A15)/'01_参数与单耗'!$B$8)-('02_成本构成'!$G$18-'02_成本构成'!$G$5)</f>
        <v/>
      </c>
      <c r="C15" s="45">
        <f>'01_参数与单耗'!$B$7*(1+C$4)-('01_参数与单耗'!$C$13*'01_参数与单耗'!$E$13*'01_参数与单耗'!$G$13*(1+$A15)/'01_参数与单耗'!$B$8)-('02_成本构成'!$G$18-'02_成本构成'!$G$5)</f>
        <v/>
      </c>
      <c r="D15" s="45">
        <f>'01_参数与单耗'!$B$7*(1+D$4)-('01_参数与单耗'!$C$13*'01_参数与单耗'!$E$13*'01_参数与单耗'!$G$13*(1+$A15)/'01_参数与单耗'!$B$8)-('02_成本构成'!$G$18-'02_成本构成'!$G$5)</f>
        <v/>
      </c>
      <c r="E15" s="45">
        <f>'01_参数与单耗'!$B$7*(1+E$4)-('01_参数与单耗'!$C$13*'01_参数与单耗'!$E$13*'01_参数与单耗'!$G$13*(1+$A15)/'01_参数与单耗'!$B$8)-('02_成本构成'!$G$18-'02_成本构成'!$G$5)</f>
        <v/>
      </c>
      <c r="F15" s="45">
        <f>'01_参数与单耗'!$B$7*(1+F$4)-('01_参数与单耗'!$C$13*'01_参数与单耗'!$E$13*'01_参数与单耗'!$G$13*(1+$A15)/'01_参数与单耗'!$B$8)-('02_成本构成'!$G$18-'02_成本构成'!$G$5)</f>
        <v/>
      </c>
    </row>
    <row r="16">
      <c r="A16" s="55">
        <f>$A$8</f>
        <v/>
      </c>
      <c r="B16" s="45">
        <f>'01_参数与单耗'!$B$7*(1+B$4)-('01_参数与单耗'!$C$13*'01_参数与单耗'!$E$13*'01_参数与单耗'!$G$13*(1+$A16)/'01_参数与单耗'!$B$8)-('02_成本构成'!$G$18-'02_成本构成'!$G$5)</f>
        <v/>
      </c>
      <c r="C16" s="45">
        <f>'01_参数与单耗'!$B$7*(1+C$4)-('01_参数与单耗'!$C$13*'01_参数与单耗'!$E$13*'01_参数与单耗'!$G$13*(1+$A16)/'01_参数与单耗'!$B$8)-('02_成本构成'!$G$18-'02_成本构成'!$G$5)</f>
        <v/>
      </c>
      <c r="D16" s="45">
        <f>'01_参数与单耗'!$B$7*(1+D$4)-('01_参数与单耗'!$C$13*'01_参数与单耗'!$E$13*'01_参数与单耗'!$G$13*(1+$A16)/'01_参数与单耗'!$B$8)-('02_成本构成'!$G$18-'02_成本构成'!$G$5)</f>
        <v/>
      </c>
      <c r="E16" s="45">
        <f>'01_参数与单耗'!$B$7*(1+E$4)-('01_参数与单耗'!$C$13*'01_参数与单耗'!$E$13*'01_参数与单耗'!$G$13*(1+$A16)/'01_参数与单耗'!$B$8)-('02_成本构成'!$G$18-'02_成本构成'!$G$5)</f>
        <v/>
      </c>
      <c r="F16" s="45">
        <f>'01_参数与单耗'!$B$7*(1+F$4)-('01_参数与单耗'!$C$13*'01_参数与单耗'!$E$13*'01_参数与单耗'!$G$13*(1+$A16)/'01_参数与单耗'!$B$8)-('02_成本构成'!$G$18-'02_成本构成'!$G$5)</f>
        <v/>
      </c>
    </row>
    <row r="17">
      <c r="A17" s="55">
        <f>$A$9</f>
        <v/>
      </c>
      <c r="B17" s="45">
        <f>'01_参数与单耗'!$B$7*(1+B$4)-('01_参数与单耗'!$C$13*'01_参数与单耗'!$E$13*'01_参数与单耗'!$G$13*(1+$A17)/'01_参数与单耗'!$B$8)-('02_成本构成'!$G$18-'02_成本构成'!$G$5)</f>
        <v/>
      </c>
      <c r="C17" s="45">
        <f>'01_参数与单耗'!$B$7*(1+C$4)-('01_参数与单耗'!$C$13*'01_参数与单耗'!$E$13*'01_参数与单耗'!$G$13*(1+$A17)/'01_参数与单耗'!$B$8)-('02_成本构成'!$G$18-'02_成本构成'!$G$5)</f>
        <v/>
      </c>
      <c r="D17" s="45">
        <f>'01_参数与单耗'!$B$7*(1+D$4)-('01_参数与单耗'!$C$13*'01_参数与单耗'!$E$13*'01_参数与单耗'!$G$13*(1+$A17)/'01_参数与单耗'!$B$8)-('02_成本构成'!$G$18-'02_成本构成'!$G$5)</f>
        <v/>
      </c>
      <c r="E17" s="45">
        <f>'01_参数与单耗'!$B$7*(1+E$4)-('01_参数与单耗'!$C$13*'01_参数与单耗'!$E$13*'01_参数与单耗'!$G$13*(1+$A17)/'01_参数与单耗'!$B$8)-('02_成本构成'!$G$18-'02_成本构成'!$G$5)</f>
        <v/>
      </c>
      <c r="F17" s="45">
        <f>'01_参数与单耗'!$B$7*(1+F$4)-('01_参数与单耗'!$C$13*'01_参数与单耗'!$E$13*'01_参数与单耗'!$G$13*(1+$A17)/'01_参数与单耗'!$B$8)-('02_成本构成'!$G$18-'02_成本构成'!$G$5)</f>
        <v/>
      </c>
    </row>
    <row r="19">
      <c r="A19" s="54" t="inlineStr">
        <is>
          <t>矩阵②：理论制造利润（元/吨）= 矩阵① − 能源 − 辅料 − 制造费用</t>
        </is>
      </c>
    </row>
    <row r="20" ht="30" customHeight="1">
      <c r="A20" s="6" t="inlineStr">
        <is>
          <t>电石＼产品</t>
        </is>
      </c>
      <c r="B20" s="6" t="inlineStr">
        <is>
          <t>-10%</t>
        </is>
      </c>
      <c r="C20" s="6" t="inlineStr">
        <is>
          <t>-5%</t>
        </is>
      </c>
      <c r="D20" s="6" t="inlineStr">
        <is>
          <t>+0%</t>
        </is>
      </c>
      <c r="E20" s="6" t="inlineStr">
        <is>
          <t>+5%</t>
        </is>
      </c>
      <c r="F20" s="6" t="inlineStr">
        <is>
          <t>+10%</t>
        </is>
      </c>
    </row>
    <row r="21">
      <c r="A21" s="55">
        <f>$A$5</f>
        <v/>
      </c>
      <c r="B21" s="45">
        <f>B13-('02_成本构成'!$G$19+'02_成本构成'!$G$20+'02_成本构成'!$G$21)</f>
        <v/>
      </c>
      <c r="C21" s="45">
        <f>C13-('02_成本构成'!$G$19+'02_成本构成'!$G$20+'02_成本构成'!$G$21)</f>
        <v/>
      </c>
      <c r="D21" s="45">
        <f>D13-('02_成本构成'!$G$19+'02_成本构成'!$G$20+'02_成本构成'!$G$21)</f>
        <v/>
      </c>
      <c r="E21" s="45">
        <f>E13-('02_成本构成'!$G$19+'02_成本构成'!$G$20+'02_成本构成'!$G$21)</f>
        <v/>
      </c>
      <c r="F21" s="45">
        <f>F13-('02_成本构成'!$G$19+'02_成本构成'!$G$20+'02_成本构成'!$G$21)</f>
        <v/>
      </c>
    </row>
    <row r="22">
      <c r="A22" s="55">
        <f>$A$6</f>
        <v/>
      </c>
      <c r="B22" s="45">
        <f>B14-('02_成本构成'!$G$19+'02_成本构成'!$G$20+'02_成本构成'!$G$21)</f>
        <v/>
      </c>
      <c r="C22" s="45">
        <f>C14-('02_成本构成'!$G$19+'02_成本构成'!$G$20+'02_成本构成'!$G$21)</f>
        <v/>
      </c>
      <c r="D22" s="45">
        <f>D14-('02_成本构成'!$G$19+'02_成本构成'!$G$20+'02_成本构成'!$G$21)</f>
        <v/>
      </c>
      <c r="E22" s="45">
        <f>E14-('02_成本构成'!$G$19+'02_成本构成'!$G$20+'02_成本构成'!$G$21)</f>
        <v/>
      </c>
      <c r="F22" s="45">
        <f>F14-('02_成本构成'!$G$19+'02_成本构成'!$G$20+'02_成本构成'!$G$21)</f>
        <v/>
      </c>
    </row>
    <row r="23">
      <c r="A23" s="55">
        <f>$A$7</f>
        <v/>
      </c>
      <c r="B23" s="45">
        <f>B15-('02_成本构成'!$G$19+'02_成本构成'!$G$20+'02_成本构成'!$G$21)</f>
        <v/>
      </c>
      <c r="C23" s="45">
        <f>C15-('02_成本构成'!$G$19+'02_成本构成'!$G$20+'02_成本构成'!$G$21)</f>
        <v/>
      </c>
      <c r="D23" s="45">
        <f>D15-('02_成本构成'!$G$19+'02_成本构成'!$G$20+'02_成本构成'!$G$21)</f>
        <v/>
      </c>
      <c r="E23" s="45">
        <f>E15-('02_成本构成'!$G$19+'02_成本构成'!$G$20+'02_成本构成'!$G$21)</f>
        <v/>
      </c>
      <c r="F23" s="45">
        <f>F15-('02_成本构成'!$G$19+'02_成本构成'!$G$20+'02_成本构成'!$G$21)</f>
        <v/>
      </c>
    </row>
    <row r="24">
      <c r="A24" s="55">
        <f>$A$8</f>
        <v/>
      </c>
      <c r="B24" s="45">
        <f>B16-('02_成本构成'!$G$19+'02_成本构成'!$G$20+'02_成本构成'!$G$21)</f>
        <v/>
      </c>
      <c r="C24" s="45">
        <f>C16-('02_成本构成'!$G$19+'02_成本构成'!$G$20+'02_成本构成'!$G$21)</f>
        <v/>
      </c>
      <c r="D24" s="45">
        <f>D16-('02_成本构成'!$G$19+'02_成本构成'!$G$20+'02_成本构成'!$G$21)</f>
        <v/>
      </c>
      <c r="E24" s="45">
        <f>E16-('02_成本构成'!$G$19+'02_成本构成'!$G$20+'02_成本构成'!$G$21)</f>
        <v/>
      </c>
      <c r="F24" s="45">
        <f>F16-('02_成本构成'!$G$19+'02_成本构成'!$G$20+'02_成本构成'!$G$21)</f>
        <v/>
      </c>
    </row>
    <row r="25">
      <c r="A25" s="55">
        <f>$A$9</f>
        <v/>
      </c>
      <c r="B25" s="45">
        <f>B17-('02_成本构成'!$G$19+'02_成本构成'!$G$20+'02_成本构成'!$G$21)</f>
        <v/>
      </c>
      <c r="C25" s="45">
        <f>C17-('02_成本构成'!$G$19+'02_成本构成'!$G$20+'02_成本构成'!$G$21)</f>
        <v/>
      </c>
      <c r="D25" s="45">
        <f>D17-('02_成本构成'!$G$19+'02_成本构成'!$G$20+'02_成本构成'!$G$21)</f>
        <v/>
      </c>
      <c r="E25" s="45">
        <f>E17-('02_成本构成'!$G$19+'02_成本构成'!$G$20+'02_成本构成'!$G$21)</f>
        <v/>
      </c>
      <c r="F25" s="45">
        <f>F17-('02_成本构成'!$G$19+'02_成本构成'!$G$20+'02_成本构成'!$G$21)</f>
        <v/>
      </c>
    </row>
    <row r="28" ht="22" customHeight="1">
      <c r="A28" s="3" t="inlineStr">
        <is>
          <t>单因素敏感性：各物料价格 ±5% / ±10% 对利润的影响（元/吨）</t>
        </is>
      </c>
    </row>
    <row r="29" ht="30" customHeight="1">
      <c r="A29" s="6" t="inlineStr">
        <is>
          <t>物料</t>
        </is>
      </c>
      <c r="B29" s="6" t="inlineStr">
        <is>
          <t>-10%</t>
        </is>
      </c>
      <c r="C29" s="6" t="inlineStr">
        <is>
          <t>-5%</t>
        </is>
      </c>
      <c r="D29" s="6" t="inlineStr">
        <is>
          <t>+5%</t>
        </is>
      </c>
      <c r="E29" s="6" t="inlineStr">
        <is>
          <t>+10%</t>
        </is>
      </c>
      <c r="F29" s="6" t="inlineStr">
        <is>
          <t>弹性(±10%均价)</t>
        </is>
      </c>
      <c r="G29" s="6" t="inlineStr">
        <is>
          <t>当前成本</t>
        </is>
      </c>
    </row>
    <row r="30">
      <c r="A30" s="7" t="inlineStr">
        <is>
          <t>电石 (CaC2, 发气量≥300L/kg)</t>
        </is>
      </c>
      <c r="B30" s="44">
        <f>ROUND(-$G$13*0.9,2)</f>
        <v/>
      </c>
      <c r="C30" s="44">
        <f>ROUND(-$G$13*0.95,2)</f>
        <v/>
      </c>
      <c r="D30" s="44">
        <f>ROUND(-$G$13*1.05,2)</f>
        <v/>
      </c>
      <c r="E30" s="44">
        <f>ROUND(-$G$13*1.1,2)</f>
        <v/>
      </c>
      <c r="G30" s="47">
        <f>ROUND(((E30-D30)/2),1)</f>
        <v/>
      </c>
      <c r="H30" s="56">
        <f>$C$13*$E$13*$G$13</f>
        <v/>
      </c>
    </row>
    <row r="31">
      <c r="A31" s="7" t="inlineStr">
        <is>
          <t>氯化氢气体 (HCl)</t>
        </is>
      </c>
      <c r="B31" s="44">
        <f>ROUND(-$G$18*0.9,2)</f>
        <v/>
      </c>
      <c r="C31" s="44">
        <f>ROUND(-$G$18*0.95,2)</f>
        <v/>
      </c>
      <c r="D31" s="44">
        <f>ROUND(-$G$18*1.05,2)</f>
        <v/>
      </c>
      <c r="E31" s="44">
        <f>ROUND(-$G$18*1.1,2)</f>
        <v/>
      </c>
      <c r="G31" s="47">
        <f>ROUND(((E31-D31)/2),1)</f>
        <v/>
      </c>
      <c r="H31" s="56">
        <f>$C$18*$E$18*$G$18</f>
        <v/>
      </c>
    </row>
    <row r="32">
      <c r="A32" s="7" t="inlineStr">
        <is>
          <t>汞触媒(低汞/无汞)</t>
        </is>
      </c>
      <c r="B32" s="44">
        <f>ROUND(-$G$19*0.9,2)</f>
        <v/>
      </c>
      <c r="C32" s="44">
        <f>ROUND(-$G$19*0.95,2)</f>
        <v/>
      </c>
      <c r="D32" s="44">
        <f>ROUND(-$G$19*1.05,2)</f>
        <v/>
      </c>
      <c r="E32" s="44">
        <f>ROUND(-$G$19*1.1,2)</f>
        <v/>
      </c>
      <c r="G32" s="47">
        <f>ROUND(((E32-D32)/2),1)</f>
        <v/>
      </c>
      <c r="H32" s="56">
        <f>$C$19*$E$19*$G$19</f>
        <v/>
      </c>
    </row>
    <row r="33">
      <c r="A33" s="7" t="inlineStr">
        <is>
          <t>引发剂/分散剂/助剂</t>
        </is>
      </c>
      <c r="B33" s="44">
        <f>ROUND(-$G$20*0.9,2)</f>
        <v/>
      </c>
      <c r="C33" s="44">
        <f>ROUND(-$G$20*0.95,2)</f>
        <v/>
      </c>
      <c r="D33" s="44">
        <f>ROUND(-$G$20*1.05,2)</f>
        <v/>
      </c>
      <c r="E33" s="44">
        <f>ROUND(-$G$20*1.1,2)</f>
        <v/>
      </c>
      <c r="G33" s="47">
        <f>ROUND(((E33-D33)/2),1)</f>
        <v/>
      </c>
      <c r="H33" s="56">
        <f>$C$20*$E$20*$G$20</f>
        <v/>
      </c>
    </row>
    <row r="34">
      <c r="A34" s="7" t="inlineStr">
        <is>
          <t>PVC 装置电耗</t>
        </is>
      </c>
      <c r="B34" s="44">
        <f>ROUND(-$G$21*0.9,2)</f>
        <v/>
      </c>
      <c r="C34" s="44">
        <f>ROUND(-$G$21*0.95,2)</f>
        <v/>
      </c>
      <c r="D34" s="44">
        <f>ROUND(-$G$21*1.05,2)</f>
        <v/>
      </c>
      <c r="E34" s="44">
        <f>ROUND(-$G$21*1.1,2)</f>
        <v/>
      </c>
      <c r="G34" s="47">
        <f>ROUND(((E34-D34)/2),1)</f>
        <v/>
      </c>
      <c r="H34" s="56">
        <f>$C$21*$E$21*$G$21</f>
        <v/>
      </c>
    </row>
    <row r="35">
      <c r="A35" s="7" t="inlineStr">
        <is>
          <t>蒸汽 (1.0MPa)</t>
        </is>
      </c>
      <c r="B35" s="44">
        <f>ROUND(-$G$22*0.9,2)</f>
        <v/>
      </c>
      <c r="C35" s="44">
        <f>ROUND(-$G$22*0.95,2)</f>
        <v/>
      </c>
      <c r="D35" s="44">
        <f>ROUND(-$G$22*1.05,2)</f>
        <v/>
      </c>
      <c r="E35" s="44">
        <f>ROUND(-$G$22*1.1,2)</f>
        <v/>
      </c>
      <c r="G35" s="47">
        <f>ROUND(((E35-D35)/2),1)</f>
        <v/>
      </c>
      <c r="H35" s="56">
        <f>$C$22*$E$22*$G$22</f>
        <v/>
      </c>
    </row>
    <row r="37" ht="22" customHeight="1">
      <c r="A37" s="3" t="inlineStr">
        <is>
          <t>盈亏平衡：使理论制造利润 = 0 所需的 PVC 售价（元/吨）</t>
        </is>
      </c>
    </row>
    <row r="38" ht="30" customHeight="1">
      <c r="A38" s="6" t="inlineStr">
        <is>
          <t>电石价格变动</t>
        </is>
      </c>
      <c r="B38" s="6" t="inlineStr">
        <is>
          <t>-10%</t>
        </is>
      </c>
      <c r="C38" s="6" t="inlineStr">
        <is>
          <t>-5%</t>
        </is>
      </c>
      <c r="D38" s="6" t="inlineStr">
        <is>
          <t>基准</t>
        </is>
      </c>
      <c r="E38" s="6" t="inlineStr">
        <is>
          <t>+5%</t>
        </is>
      </c>
      <c r="F38" s="6" t="inlineStr">
        <is>
          <t>+10%</t>
        </is>
      </c>
    </row>
    <row r="39">
      <c r="A39" s="9" t="inlineStr">
        <is>
          <t>PVC 需售价</t>
        </is>
      </c>
      <c r="B39" s="57">
        <f>ROUND(('01_参数与单耗'!$C$13*'01_参数与单耗'!$E$13*'01_参数与单耗'!$G$13*(1+-0.10)/'01_参数与单耗'!$B$8)+('02_成本构成'!$G$19+'02_成本构成'!$G$20+'02_成本构成'!$G$21),0)</f>
        <v/>
      </c>
      <c r="C39" s="57">
        <f>ROUND(('01_参数与单耗'!$C$13*'01_参数与单耗'!$E$13*'01_参数与单耗'!$G$13*(1+-0.05)/'01_参数与单耗'!$B$8)+('02_成本构成'!$G$19+'02_成本构成'!$G$20+'02_成本构成'!$G$21),0)</f>
        <v/>
      </c>
      <c r="D39" s="57">
        <f>ROUND(('01_参数与单耗'!$C$13*'01_参数与单耗'!$E$13*'01_参数与单耗'!$G$13*(1+0.00)/'01_参数与单耗'!$B$8)+('02_成本构成'!$G$19+'02_成本构成'!$G$20+'02_成本构成'!$G$21),0)</f>
        <v/>
      </c>
      <c r="E39" s="57">
        <f>ROUND(('01_参数与单耗'!$C$13*'01_参数与单耗'!$E$13*'01_参数与单耗'!$G$13*(1+0.05)/'01_参数与单耗'!$B$8)+('02_成本构成'!$G$19+'02_成本构成'!$G$20+'02_成本构成'!$G$21),0)</f>
        <v/>
      </c>
      <c r="F39" s="57">
        <f>ROUND(('01_参数与单耗'!$C$13*'01_参数与单耗'!$E$13*'01_参数与单耗'!$G$13*(1+0.10)/'01_参数与单耗'!$B$8)+('02_成本构成'!$G$19+'02_成本构成'!$G$20+'02_成本构成'!$G$21),0)</f>
        <v/>
      </c>
    </row>
  </sheetData>
  <mergeCells count="4">
    <mergeCell ref="A28:H28"/>
    <mergeCell ref="A2:H2"/>
    <mergeCell ref="A37:H37"/>
    <mergeCell ref="A1:H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18" customWidth="1" min="4" max="4"/>
    <col width="22" customWidth="1" min="5" max="5"/>
    <col width="44" customWidth="1" min="6" max="6"/>
  </cols>
  <sheetData>
    <row r="1" ht="30" customHeight="1">
      <c r="A1" s="1" t="inlineStr">
        <is>
          <t>08 公式与来源（每个数字都可追溯）</t>
        </is>
      </c>
    </row>
    <row r="2" ht="26" customHeight="1">
      <c r="A2" s="2" t="inlineStr">
        <is>
          <t>左：公式文字化展开；右：数据来源与口径。审阅他人模型时，先看这一页。</t>
        </is>
      </c>
    </row>
    <row r="4" ht="22" customHeight="1">
      <c r="A4" s="3" t="inlineStr">
        <is>
          <t>A. 公式展开（与 Excel 单元格公式一一对应）</t>
        </is>
      </c>
    </row>
    <row r="5" ht="30" customHeight="1">
      <c r="A5" s="6" t="inlineStr">
        <is>
          <t>指标</t>
        </is>
      </c>
      <c r="B5" s="6" t="inlineStr">
        <is>
          <t>公式</t>
        </is>
      </c>
      <c r="C5" s="6" t="inlineStr">
        <is>
          <t>单位</t>
        </is>
      </c>
      <c r="D5" s="6" t="inlineStr">
        <is>
          <t>Excel 位置</t>
        </is>
      </c>
    </row>
    <row r="6">
      <c r="A6" s="58" t="inlineStr">
        <is>
          <t>计费单耗</t>
        </is>
      </c>
      <c r="B6" s="15" t="inlineStr">
        <is>
          <t>名义单耗 × 换算系数 ÷ 综合收率（能源不除收率）</t>
        </is>
      </c>
      <c r="C6" s="15" t="inlineStr">
        <is>
          <t>t 或 kWh</t>
        </is>
      </c>
      <c r="D6" s="15" t="inlineStr">
        <is>
          <t>02!E 列</t>
        </is>
      </c>
    </row>
    <row r="7">
      <c r="A7" s="58" t="inlineStr">
        <is>
          <t>单位成本</t>
        </is>
      </c>
      <c r="B7" s="15" t="inlineStr">
        <is>
          <t>计费单耗 × 单价</t>
        </is>
      </c>
      <c r="C7" s="15" t="inlineStr">
        <is>
          <t>元/吨</t>
        </is>
      </c>
      <c r="D7" s="15" t="inlineStr">
        <is>
          <t>02!G 列</t>
        </is>
      </c>
    </row>
    <row r="8">
      <c r="A8" s="58" t="inlineStr">
        <is>
          <t>原料成本</t>
        </is>
      </c>
      <c r="B8" s="15" t="inlineStr">
        <is>
          <t>Σ 电石与原料项单位成本</t>
        </is>
      </c>
      <c r="C8" s="15" t="inlineStr">
        <is>
          <t>元/吨</t>
        </is>
      </c>
      <c r="D8" s="15" t="inlineStr">
        <is>
          <t>02!原料小计</t>
        </is>
      </c>
    </row>
    <row r="9">
      <c r="A9" s="58" t="inlineStr">
        <is>
          <t>能源成本</t>
        </is>
      </c>
      <c r="B9" s="15" t="inlineStr">
        <is>
          <t>电耗 × 电价 + 汽耗 × 汽价</t>
        </is>
      </c>
      <c r="C9" s="15" t="inlineStr">
        <is>
          <t>元/吨</t>
        </is>
      </c>
      <c r="D9" s="15" t="inlineStr">
        <is>
          <t>02!能源小计</t>
        </is>
      </c>
    </row>
    <row r="10">
      <c r="A10" s="58" t="inlineStr">
        <is>
          <t>辅料成本</t>
        </is>
      </c>
      <c r="B10" s="15" t="inlineStr">
        <is>
          <t>Σ (辅料单耗 ÷ 收率 × 单价)</t>
        </is>
      </c>
      <c r="C10" s="15" t="inlineStr">
        <is>
          <t>元/吨</t>
        </is>
      </c>
      <c r="D10" s="15" t="inlineStr">
        <is>
          <t>02!辅料小计</t>
        </is>
      </c>
    </row>
    <row r="11">
      <c r="A11" s="58" t="inlineStr">
        <is>
          <t>制造费用</t>
        </is>
      </c>
      <c r="B11" s="15" t="inlineStr">
        <is>
          <t>折旧 + 人工 + 包装 + 其他</t>
        </is>
      </c>
      <c r="C11" s="15" t="inlineStr">
        <is>
          <t>元/吨</t>
        </is>
      </c>
      <c r="D11" s="15" t="inlineStr">
        <is>
          <t>01!B 合计</t>
        </is>
      </c>
    </row>
    <row r="12">
      <c r="A12" s="58" t="inlineStr">
        <is>
          <t>理论加工价差</t>
        </is>
      </c>
      <c r="B12" s="15" t="inlineStr">
        <is>
          <t>产品含税价 − 原料成本 − 联产抵减</t>
        </is>
      </c>
      <c r="C12" s="15" t="inlineStr">
        <is>
          <t>元/吨</t>
        </is>
      </c>
      <c r="D12" s="15" t="inlineStr">
        <is>
          <t>03!②</t>
        </is>
      </c>
    </row>
    <row r="13">
      <c r="A13" s="58" t="inlineStr">
        <is>
          <t>理论制造利润</t>
        </is>
      </c>
      <c r="B13" s="15" t="inlineStr">
        <is>
          <t>加工价差 − 能源 − 辅料 − 制造费用</t>
        </is>
      </c>
      <c r="C13" s="15" t="inlineStr">
        <is>
          <t>元/吨</t>
        </is>
      </c>
      <c r="D13" s="15" t="inlineStr">
        <is>
          <t>03!⑥</t>
        </is>
      </c>
    </row>
    <row r="14">
      <c r="A14" s="58" t="inlineStr">
        <is>
          <t>弹性（电石）</t>
        </is>
      </c>
      <c r="B14" s="15" t="inlineStr">
        <is>
          <t>单耗 ÷ 收率 × 单价 × 变动幅度</t>
        </is>
      </c>
      <c r="C14" s="15" t="inlineStr">
        <is>
          <t>元/吨</t>
        </is>
      </c>
      <c r="D14" s="15" t="inlineStr">
        <is>
          <t>07!单因素</t>
        </is>
      </c>
    </row>
    <row r="15">
      <c r="A15" s="58" t="inlineStr">
        <is>
          <t>盈亏平衡价</t>
        </is>
      </c>
      <c r="B15" s="15" t="inlineStr">
        <is>
          <t>电石成本(受冲击后) + 能源 + 辅料 + 制造费用</t>
        </is>
      </c>
      <c r="C15" s="15" t="inlineStr">
        <is>
          <t>元/吨</t>
        </is>
      </c>
      <c r="D15" s="15" t="inlineStr">
        <is>
          <t>07!平衡价</t>
        </is>
      </c>
    </row>
    <row r="17" ht="22" customHeight="1">
      <c r="A17" s="3" t="inlineStr">
        <is>
          <t>B. 单耗与工艺来源（多源并列，注明适用工艺，绝不混用）</t>
        </is>
      </c>
    </row>
    <row r="18" ht="30" customHeight="1">
      <c r="A18" s="6" t="inlineStr">
        <is>
          <t>指标</t>
        </is>
      </c>
      <c r="B18" s="6" t="inlineStr">
        <is>
          <t>取值</t>
        </is>
      </c>
      <c r="C18" s="6" t="inlineStr">
        <is>
          <t>来源</t>
        </is>
      </c>
      <c r="D18" s="6" t="inlineStr">
        <is>
          <t>适用工艺口径</t>
        </is>
      </c>
      <c r="E18" s="6" t="inlineStr">
        <is>
          <t>文献链接/出处</t>
        </is>
      </c>
    </row>
    <row r="19" ht="28" customHeight="1">
      <c r="A19" s="59" t="inlineStr">
        <is>
          <t>电石 CaC₂</t>
        </is>
      </c>
      <c r="B19" s="60" t="inlineStr">
        <is>
          <t>1.45 t/t</t>
        </is>
      </c>
      <c r="C19" s="59" t="inlineStr">
        <is>
          <t>国标口径（前瞻产业研究院 / 新浪财经引国家标准）</t>
        </is>
      </c>
      <c r="D19" s="59" t="inlineStr">
        <is>
          <t>外购电石，PVC 装置本级</t>
        </is>
      </c>
      <c r="E19" s="59" t="inlineStr">
        <is>
          <t>https://finance.sina.com.cn/ 2022-01-17</t>
        </is>
      </c>
    </row>
    <row r="20" ht="28" customHeight="1">
      <c r="A20" s="59" t="inlineStr">
        <is>
          <t>电石 CaC₂</t>
        </is>
      </c>
      <c r="B20" s="60" t="inlineStr">
        <is>
          <t>1.35–1.42 t/t</t>
        </is>
      </c>
      <c r="C20" s="59" t="inlineStr">
        <is>
          <t>隆众资讯 行业统计标准</t>
        </is>
      </c>
      <c r="D20" s="59" t="inlineStr">
        <is>
          <t>外购电石，行业统计</t>
        </is>
      </c>
      <c r="E20" s="59" t="inlineStr">
        <is>
          <t>https://www.mysteel.com/oilchem/ 2024-12-17</t>
        </is>
      </c>
    </row>
    <row r="21" ht="28" customHeight="1">
      <c r="A21" s="59" t="inlineStr">
        <is>
          <t>电石 CaC₂</t>
        </is>
      </c>
      <c r="B21" s="60" t="inlineStr">
        <is>
          <t>1.40–1.60 t/t</t>
        </is>
      </c>
      <c r="C21" s="59" t="inlineStr">
        <is>
          <t>中国化工网</t>
        </is>
      </c>
      <c r="D21" s="59" t="inlineStr">
        <is>
          <t>外购电石，较宽区间</t>
        </is>
      </c>
      <c r="E21" s="59" t="inlineStr">
        <is>
          <t>https://www.chemnet.com/</t>
        </is>
      </c>
    </row>
    <row r="22" ht="28" customHeight="1">
      <c r="A22" s="59" t="inlineStr">
        <is>
          <t>氯化氢 HCl</t>
        </is>
      </c>
      <c r="B22" s="60" t="inlineStr">
        <is>
          <t>0.72 t/t（630–850 kg 区间）</t>
        </is>
      </c>
      <c r="C22" s="59" t="inlineStr">
        <is>
          <t>国标 750–850 kg；隆众 630–650 kg</t>
        </is>
      </c>
      <c r="D22" s="59" t="inlineStr">
        <is>
          <t>气体计价，氯碱配套</t>
        </is>
      </c>
      <c r="E22" s="59" t="inlineStr">
        <is>
          <t>—</t>
        </is>
      </c>
    </row>
    <row r="23" ht="28" customHeight="1">
      <c r="A23" s="59" t="inlineStr">
        <is>
          <t>PVC 装置电耗</t>
        </is>
      </c>
      <c r="B23" s="60" t="inlineStr">
        <is>
          <t>450–500 kWh/t</t>
        </is>
      </c>
      <c r="C23" s="59" t="inlineStr">
        <is>
          <t>国标口径</t>
        </is>
      </c>
      <c r="D23" s="59" t="inlineStr">
        <is>
          <t>外购电石企业，装置本级</t>
        </is>
      </c>
      <c r="E23" s="59" t="inlineStr">
        <is>
          <t>—</t>
        </is>
      </c>
    </row>
    <row r="24" ht="28" customHeight="1">
      <c r="A24" s="59" t="inlineStr">
        <is>
          <t>综合电耗（全链）</t>
        </is>
      </c>
      <c r="B24" s="60" t="inlineStr">
        <is>
          <t>≈8500 kWh/t</t>
        </is>
      </c>
      <c r="C24" s="59" t="inlineStr">
        <is>
          <t>中国化工报 2025-11-05</t>
        </is>
      </c>
      <c r="D24" s="59" t="inlineStr">
        <is>
          <t>一体化全链，含电石环节</t>
        </is>
      </c>
      <c r="E24" s="59" t="inlineStr">
        <is>
          <t>https://www.ccin.com.cn/</t>
        </is>
      </c>
    </row>
    <row r="25" ht="28" customHeight="1">
      <c r="A25" s="59" t="inlineStr">
        <is>
          <t>电石电耗</t>
        </is>
      </c>
      <c r="B25" s="60" t="inlineStr">
        <is>
          <t>3400–3600 kWh/t 电石</t>
        </is>
      </c>
      <c r="C25" s="59" t="inlineStr">
        <is>
          <t>联成化学（台塑）公开资料</t>
        </is>
      </c>
      <c r="D25" s="59" t="inlineStr">
        <is>
          <t>电石厂</t>
        </is>
      </c>
      <c r="E25" s="59" t="inlineStr">
        <is>
          <t>—</t>
        </is>
      </c>
    </row>
    <row r="26" ht="28" customHeight="1">
      <c r="A26" s="59" t="inlineStr">
        <is>
          <t>汞触媒</t>
        </is>
      </c>
      <c r="B26" s="60" t="inlineStr">
        <is>
          <t>1.2 kg/t PVC</t>
        </is>
      </c>
      <c r="C26" s="59" t="inlineStr">
        <is>
          <t>专利 CN103408392A</t>
        </is>
      </c>
      <c r="D26" s="59" t="inlineStr">
        <is>
          <t>低汞触媒</t>
        </is>
      </c>
      <c r="E26" s="59" t="inlineStr">
        <is>
          <t>—</t>
        </is>
      </c>
    </row>
    <row r="27" ht="28" customHeight="1">
      <c r="A27" s="59" t="inlineStr">
        <is>
          <t>综合收率</t>
        </is>
      </c>
      <c r="B27" s="60" t="inlineStr">
        <is>
          <t>97%</t>
        </is>
      </c>
      <c r="C27" s="59" t="inlineStr">
        <is>
          <t>行业 96–98%</t>
        </is>
      </c>
      <c r="D27" s="59" t="inlineStr">
        <is>
          <t>悬浮聚合</t>
        </is>
      </c>
      <c r="E27" s="59" t="inlineStr">
        <is>
          <t>—</t>
        </is>
      </c>
    </row>
    <row r="29" ht="22" customHeight="1">
      <c r="A29" s="3" t="inlineStr">
        <is>
          <t>C. 价格来源（品种 / 地区 / 规格 / 税费 / 频率）</t>
        </is>
      </c>
    </row>
    <row r="30" ht="30" customHeight="1">
      <c r="A30" s="6" t="inlineStr">
        <is>
          <t>序列</t>
        </is>
      </c>
      <c r="B30" s="6" t="inlineStr">
        <is>
          <t>来源</t>
        </is>
      </c>
      <c r="C30" s="6" t="inlineStr">
        <is>
          <t>地区与规格</t>
        </is>
      </c>
      <c r="D30" s="6" t="inlineStr">
        <is>
          <t>单位与税费</t>
        </is>
      </c>
      <c r="E30" s="6" t="inlineStr">
        <is>
          <t>区间</t>
        </is>
      </c>
      <c r="F30" s="6" t="inlineStr">
        <is>
          <t>链接</t>
        </is>
      </c>
    </row>
    <row r="31">
      <c r="A31" s="59" t="inlineStr">
        <is>
          <t>PVC 现货</t>
        </is>
      </c>
      <c r="B31" s="59" t="inlineStr">
        <is>
          <t>生意社基准价</t>
        </is>
      </c>
      <c r="C31" s="59" t="inlineStr">
        <is>
          <t>中国综合，SG-5 型</t>
        </is>
      </c>
      <c r="D31" s="59" t="inlineStr">
        <is>
          <t>元/吨，含税</t>
        </is>
      </c>
      <c r="E31" s="59" t="inlineStr">
        <is>
          <t>近 93 天</t>
        </is>
      </c>
      <c r="F31" s="59" t="inlineStr">
        <is>
          <t>https://www.100ppi.com/</t>
        </is>
      </c>
    </row>
    <row r="32">
      <c r="A32" s="59" t="inlineStr">
        <is>
          <t>电石</t>
        </is>
      </c>
      <c r="B32" s="59" t="inlineStr">
        <is>
          <t>生意社基准价</t>
        </is>
      </c>
      <c r="C32" s="59" t="inlineStr">
        <is>
          <t>宁夏/内蒙古，出厂折算</t>
        </is>
      </c>
      <c r="D32" s="59" t="inlineStr">
        <is>
          <t>元/吨，含税</t>
        </is>
      </c>
      <c r="E32" s="59" t="inlineStr">
        <is>
          <t>近 93 天</t>
        </is>
      </c>
      <c r="F32" s="59" t="inlineStr">
        <is>
          <t>https://www.100ppi.com/</t>
        </is>
      </c>
    </row>
    <row r="33">
      <c r="A33" s="59" t="inlineStr">
        <is>
          <t>液碱 32%</t>
        </is>
      </c>
      <c r="B33" s="59" t="inlineStr">
        <is>
          <t>生意社基准价</t>
        </is>
      </c>
      <c r="C33" s="59" t="inlineStr">
        <is>
          <t>华东</t>
        </is>
      </c>
      <c r="D33" s="59" t="inlineStr">
        <is>
          <t>元/吨，含税</t>
        </is>
      </c>
      <c r="E33" s="59" t="inlineStr">
        <is>
          <t>近 93 天</t>
        </is>
      </c>
      <c r="F33" s="59" t="inlineStr">
        <is>
          <t>https://www.100ppi.com/</t>
        </is>
      </c>
    </row>
    <row r="34">
      <c r="A34" s="59" t="inlineStr">
        <is>
          <t>PVC 期货</t>
        </is>
      </c>
      <c r="B34" s="59" t="inlineStr">
        <is>
          <t>新浪财经 主力连续 V0</t>
        </is>
      </c>
      <c r="C34" s="59" t="inlineStr">
        <is>
          <t>大连商品交易所</t>
        </is>
      </c>
      <c r="D34" s="59" t="inlineStr">
        <is>
          <t>元/吨，含税</t>
        </is>
      </c>
      <c r="E34" s="59" t="inlineStr">
        <is>
          <t>2025-10-20～2026-10-19</t>
        </is>
      </c>
      <c r="F34" s="59" t="inlineStr">
        <is>
          <t>https://finance.sina.com.cn/futures/quotes/V0.shtml</t>
        </is>
      </c>
    </row>
    <row r="35">
      <c r="A35" s="59" t="inlineStr">
        <is>
          <t>电石（早期）</t>
        </is>
      </c>
      <c r="B35" s="59" t="inlineStr">
        <is>
          <t>文章披露锚点+线性插值</t>
        </is>
      </c>
      <c r="C35" s="59" t="inlineStr">
        <is>
          <t>乌海主流贸易价</t>
        </is>
      </c>
      <c r="D35" s="59" t="inlineStr">
        <is>
          <t>元/吨</t>
        </is>
      </c>
      <c r="E35" s="59" t="inlineStr">
        <is>
          <t>2026-01～2026-09</t>
        </is>
      </c>
      <c r="F35" s="59" t="inlineStr">
        <is>
          <t>见 04 表锚点清单</t>
        </is>
      </c>
    </row>
    <row r="36">
      <c r="A36" s="59" t="inlineStr">
        <is>
          <t>成本与毛利</t>
        </is>
      </c>
      <c r="B36" s="59" t="inlineStr">
        <is>
          <t>隆众资讯 周报（40 期）</t>
        </is>
      </c>
      <c r="C36" s="59" t="inlineStr">
        <is>
          <t>全国/西北/山东 电石法</t>
        </is>
      </c>
      <c r="D36" s="59" t="inlineStr">
        <is>
          <t>元/吨</t>
        </is>
      </c>
      <c r="E36" s="59" t="inlineStr">
        <is>
          <t>2026-01-09～2026-10-16</t>
        </is>
      </c>
      <c r="F36" s="59" t="inlineStr">
        <is>
          <t>https://www.mysteel.com/oilchem/article/3yb4pa/</t>
        </is>
      </c>
    </row>
    <row r="38" ht="22" customHeight="1">
      <c r="A38" s="3" t="inlineStr">
        <is>
          <t>D. 已知局限（写清楚，比装作没有更好）</t>
        </is>
      </c>
    </row>
    <row r="39" ht="28" customHeight="1">
      <c r="A39" s="5" t="inlineStr">
        <is>
          <t>· 电石日价历史仅约 93 天，更早区间用 6 个已披露锚点线性插值，不能当成真实日价。</t>
        </is>
      </c>
    </row>
    <row r="40" ht="28" customHeight="1">
      <c r="A40" s="5" t="inlineStr">
        <is>
          <t>· PVC 现货早于 93 天用"期货主力收盘 + 平均基差 −119.7 元/吨"代理，属推断值，已在 04 表标注。</t>
        </is>
      </c>
    </row>
    <row r="41" ht="28" customHeight="1">
      <c r="A41" s="5" t="inlineStr">
        <is>
          <t>· 电价、汽价、触媒/助剂单价为截面典型值，未随时间变动；企业应替换为自身结算价。</t>
        </is>
      </c>
    </row>
    <row r="42" ht="28" customHeight="1">
      <c r="A42" s="5" t="inlineStr">
        <is>
          <t>· 本模型为全国基准，未体现区域价差（乌海 vs 山东电石到厂价差可达 400–600 元/吨）。</t>
        </is>
      </c>
    </row>
    <row r="43" ht="28" customHeight="1">
      <c r="A43" s="5" t="inlineStr">
        <is>
          <t>· HCl 按"自产氯成本"估值 380 元/吨；若改按液氯市价折入（≈1000 元/吨 HCl），HCl 占比升至约 13%（与文献 14–15% 吻合），但理论利润将再降约 390 元/吨。</t>
        </is>
      </c>
    </row>
  </sheetData>
  <mergeCells count="11">
    <mergeCell ref="A38:F38"/>
    <mergeCell ref="A2:F2"/>
    <mergeCell ref="A41:F41"/>
    <mergeCell ref="A42:F42"/>
    <mergeCell ref="A1:F1"/>
    <mergeCell ref="A17:F17"/>
    <mergeCell ref="A40:F40"/>
    <mergeCell ref="A4:F4"/>
    <mergeCell ref="A39:F39"/>
    <mergeCell ref="A29:F29"/>
    <mergeCell ref="A43:F4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2026-10-20T04:49:55Z</dcterms:created>
  <dcterms:modified xmlns:dcterms="http://purl.org/dc/terms/" xmlns:xsi="http://www.w3.org/2001/XMLSchema-instance" xsi:type="dcterms:W3CDTF">2026-10-20T04:49:56Z</dcterms:modified>
</cp:coreProperties>
</file>
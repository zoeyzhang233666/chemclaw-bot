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说明" sheetId="1" state="visible" r:id="rId1"/>
    <sheet xmlns:r="http://schemas.openxmlformats.org/officeDocument/2006/relationships" name="01_原料价格" sheetId="2" state="visible" r:id="rId2"/>
    <sheet xmlns:r="http://schemas.openxmlformats.org/officeDocument/2006/relationships" name="02_下游价格" sheetId="3" state="visible" r:id="rId3"/>
    <sheet xmlns:r="http://schemas.openxmlformats.org/officeDocument/2006/relationships" name="03_工艺单耗" sheetId="4" state="visible" r:id="rId4"/>
    <sheet xmlns:r="http://schemas.openxmlformats.org/officeDocument/2006/relationships" name="04_理论成本" sheetId="5" state="visible" r:id="rId5"/>
    <sheet xmlns:r="http://schemas.openxmlformats.org/officeDocument/2006/relationships" name="05_加工价差" sheetId="6" state="visible" r:id="rId6"/>
    <sheet xmlns:r="http://schemas.openxmlformats.org/officeDocument/2006/relationships" name="06_分阶段对比" sheetId="7" state="visible" r:id="rId7"/>
    <sheet xmlns:r="http://schemas.openxmlformats.org/officeDocument/2006/relationships" name="07_背离区间" sheetId="8" state="visible" r:id="rId8"/>
    <sheet xmlns:r="http://schemas.openxmlformats.org/officeDocument/2006/relationships" name="08_计算公式" sheetId="9" state="visible" r:id="rId9"/>
    <sheet xmlns:r="http://schemas.openxmlformats.org/officeDocument/2006/relationships" name="09_数据缺口与来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1F3A5F"/>
      <sz val="13"/>
    </font>
    <font>
      <color rgb="00777777"/>
      <sz val="9"/>
    </font>
    <font>
      <b val="1"/>
      <sz val="10"/>
    </font>
    <font>
      <b val="1"/>
      <color rgb="00FFFFFF"/>
      <sz val="10"/>
    </font>
    <font>
      <b val="1"/>
    </font>
    <font>
      <b val="1"/>
      <color rgb="001F3A5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FDE7E9"/>
      </patternFill>
    </fill>
    <fill>
      <patternFill patternType="solid">
        <fgColor rgb="00FFF4CE"/>
      </patternFill>
    </fill>
    <fill>
      <patternFill patternType="solid">
        <fgColor rgb="001F3A5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164" fontId="0" fillId="5" borderId="1" pivotButton="0" quotePrefix="0" xfId="0"/>
    <xf numFmtId="0" fontId="6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  <xf numFmtId="2" fontId="0" fillId="0" borderId="1" pivotButton="0" quotePrefix="0" xfId="0"/>
    <xf numFmtId="0" fontId="7" fillId="0" borderId="0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PX → PTA 成本传导研究</t>
        </is>
      </c>
    </row>
    <row r="2" ht="28" customHeight="1">
      <c r="A2" s="2" t="inlineStr">
        <is>
          <t>观测窗口 20251001 ~ 20261020，275 个交易日。本工作簿所有数字与 HTML 报告同源（同一份 analysis.json）。</t>
        </is>
      </c>
    </row>
    <row r="4" ht="30" customHeight="1">
      <c r="A4" s="3" t="inlineStr"/>
      <c r="B4" s="4" t="inlineStr"/>
    </row>
    <row r="5" ht="30" customHeight="1">
      <c r="A5" s="3" t="inlineStr">
        <is>
          <t>【必读】加工价差不是利润</t>
        </is>
      </c>
      <c r="B5" s="5" t="inlineStr">
        <is>
          <t>价差 = 下游价 − 单耗×上游价。不含能源、辅料、人工、折旧、财务费用、检维修、运费、库存损益。不得作为利润对外使用。</t>
        </is>
      </c>
    </row>
    <row r="6" ht="30" customHeight="1">
      <c r="A6" s="3" t="inlineStr">
        <is>
          <t>【必读】同涨同跌不等于因果</t>
        </is>
      </c>
      <c r="B6" s="6" t="inlineStr">
        <is>
          <t>上游与下游可能被原油、宏观、政策等共同因素驱动。本工作簿不做因果推断，相关系数仅为观察值。</t>
        </is>
      </c>
    </row>
    <row r="7" ht="30" customHeight="1">
      <c r="A7" s="3" t="inlineStr">
        <is>
          <t>上游</t>
        </is>
      </c>
      <c r="B7" s="4" t="inlineStr">
        <is>
          <t>PX ｜ 生意社PX基准价（国内对二甲苯现货评估价） ｜ 中国（华东主港/国产基准） ｜ 含增值税</t>
        </is>
      </c>
    </row>
    <row r="8" ht="30" customHeight="1">
      <c r="A8" s="3" t="inlineStr">
        <is>
          <t>下游</t>
        </is>
      </c>
      <c r="B8" s="4" t="inlineStr">
        <is>
          <t>PTA ｜ 生意社PTA基准价（华东现货评估价） ｜ 华东（张家港/主港） ｜ 含增值税</t>
        </is>
      </c>
    </row>
    <row r="9" ht="30" customHeight="1">
      <c r="A9" s="3" t="inlineStr">
        <is>
          <t>单耗（主模型）</t>
        </is>
      </c>
      <c r="B9" s="4" t="inlineStr">
        <is>
          <t>0.655 吨 PX / 吨 PTA（区间 0.648 ~ 0.665）</t>
        </is>
      </c>
    </row>
    <row r="10" ht="30" customHeight="1">
      <c r="A10" s="3" t="inlineStr">
        <is>
          <t>价差定义</t>
        </is>
      </c>
      <c r="B10" s="4" t="inlineStr">
        <is>
          <t>加工价差 = PTA价格 − 0.655×PX价格</t>
        </is>
      </c>
    </row>
    <row r="11" ht="30" customHeight="1">
      <c r="A11" s="3" t="inlineStr"/>
      <c r="B11" s="4" t="inlineStr"/>
    </row>
    <row r="12" ht="30" customHeight="1">
      <c r="A12" s="3" t="inlineStr">
        <is>
          <t>表目录</t>
        </is>
      </c>
      <c r="B12" s="4" t="inlineStr">
        <is>
          <t>01原料价格 · 02下游价格 · 03工艺单耗 · 04理论成本 · 05加工价差 · 06分阶段对比 · 07背离区间 · 08计算公式 · 09数据缺口与来源</t>
        </is>
      </c>
    </row>
  </sheetData>
  <mergeCells count="10">
    <mergeCell ref="B4:F4"/>
    <mergeCell ref="A2:F2"/>
    <mergeCell ref="B12:F12"/>
    <mergeCell ref="B7:F7"/>
    <mergeCell ref="B6:F6"/>
    <mergeCell ref="B10:F10"/>
    <mergeCell ref="B11:F1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PX 日度价格（上游）</t>
        </is>
      </c>
    </row>
    <row r="2" ht="28" customHeight="1">
      <c r="A2" s="2" t="inlineStr">
        <is>
          <t>生意社PX基准价（国内对二甲苯现货评估价） ｜ 中国（华东主港/国产基准） ｜ 含增值税 ｜ 来源：生意社 100ppi 基准价日评（每日 08:30 发布）</t>
        </is>
      </c>
    </row>
    <row r="4">
      <c r="A4" s="7" t="inlineStr">
        <is>
          <t>日期</t>
        </is>
      </c>
      <c r="B4" s="7" t="inlineStr">
        <is>
          <t>PX 价格（元/吨）</t>
        </is>
      </c>
      <c r="C4" s="7" t="inlineStr">
        <is>
          <t>日变动</t>
        </is>
      </c>
      <c r="D4" s="7" t="inlineStr">
        <is>
          <t>是否变动</t>
        </is>
      </c>
      <c r="E4" s="7" t="inlineStr">
        <is>
          <t>备注</t>
        </is>
      </c>
    </row>
    <row r="5">
      <c r="A5" s="8" t="inlineStr">
        <is>
          <t>20251001</t>
        </is>
      </c>
      <c r="B5" s="9" t="n">
        <v>6800</v>
      </c>
      <c r="C5" s="9" t="n"/>
      <c r="D5" s="8" t="inlineStr"/>
      <c r="E5" s="8" t="inlineStr"/>
    </row>
    <row r="6">
      <c r="A6" s="8" t="inlineStr">
        <is>
          <t>20251002</t>
        </is>
      </c>
      <c r="B6" s="9" t="n">
        <v>6800</v>
      </c>
      <c r="C6" s="9" t="n">
        <v>0</v>
      </c>
      <c r="D6" s="8" t="inlineStr">
        <is>
          <t>否</t>
        </is>
      </c>
      <c r="E6" s="8" t="inlineStr">
        <is>
          <t>台阶（连续不变）</t>
        </is>
      </c>
    </row>
    <row r="7">
      <c r="A7" s="8" t="inlineStr">
        <is>
          <t>20251003</t>
        </is>
      </c>
      <c r="B7" s="9" t="n">
        <v>6800</v>
      </c>
      <c r="C7" s="9" t="n">
        <v>0</v>
      </c>
      <c r="D7" s="8" t="inlineStr">
        <is>
          <t>否</t>
        </is>
      </c>
      <c r="E7" s="8" t="inlineStr">
        <is>
          <t>台阶（连续不变）</t>
        </is>
      </c>
    </row>
    <row r="8">
      <c r="A8" s="8" t="inlineStr">
        <is>
          <t>20251006</t>
        </is>
      </c>
      <c r="B8" s="9" t="n">
        <v>6800</v>
      </c>
      <c r="C8" s="9" t="n">
        <v>0</v>
      </c>
      <c r="D8" s="8" t="inlineStr">
        <is>
          <t>否</t>
        </is>
      </c>
      <c r="E8" s="8" t="inlineStr">
        <is>
          <t>台阶（连续不变）</t>
        </is>
      </c>
    </row>
    <row r="9">
      <c r="A9" s="8" t="inlineStr">
        <is>
          <t>20251007</t>
        </is>
      </c>
      <c r="B9" s="9" t="n">
        <v>6800</v>
      </c>
      <c r="C9" s="9" t="n">
        <v>0</v>
      </c>
      <c r="D9" s="8" t="inlineStr">
        <is>
          <t>否</t>
        </is>
      </c>
      <c r="E9" s="8" t="inlineStr">
        <is>
          <t>台阶（连续不变）</t>
        </is>
      </c>
    </row>
    <row r="10">
      <c r="A10" s="8" t="inlineStr">
        <is>
          <t>20251008</t>
        </is>
      </c>
      <c r="B10" s="9" t="n">
        <v>6800</v>
      </c>
      <c r="C10" s="9" t="n">
        <v>0</v>
      </c>
      <c r="D10" s="8" t="inlineStr">
        <is>
          <t>否</t>
        </is>
      </c>
      <c r="E10" s="8" t="inlineStr">
        <is>
          <t>台阶（连续不变）</t>
        </is>
      </c>
    </row>
    <row r="11">
      <c r="A11" s="8" t="inlineStr">
        <is>
          <t>20251009</t>
        </is>
      </c>
      <c r="B11" s="9" t="n">
        <v>6800</v>
      </c>
      <c r="C11" s="9" t="n">
        <v>0</v>
      </c>
      <c r="D11" s="8" t="inlineStr">
        <is>
          <t>否</t>
        </is>
      </c>
      <c r="E11" s="8" t="inlineStr">
        <is>
          <t>台阶（连续不变）</t>
        </is>
      </c>
    </row>
    <row r="12">
      <c r="A12" s="8" t="inlineStr">
        <is>
          <t>20251010</t>
        </is>
      </c>
      <c r="B12" s="9" t="n">
        <v>6800</v>
      </c>
      <c r="C12" s="9" t="n">
        <v>0</v>
      </c>
      <c r="D12" s="8" t="inlineStr">
        <is>
          <t>否</t>
        </is>
      </c>
      <c r="E12" s="8" t="inlineStr">
        <is>
          <t>台阶（连续不变）</t>
        </is>
      </c>
    </row>
    <row r="13">
      <c r="A13" s="8" t="inlineStr">
        <is>
          <t>20251011</t>
        </is>
      </c>
      <c r="B13" s="9" t="n">
        <v>6800</v>
      </c>
      <c r="C13" s="9" t="n">
        <v>0</v>
      </c>
      <c r="D13" s="8" t="inlineStr">
        <is>
          <t>否</t>
        </is>
      </c>
      <c r="E13" s="8" t="inlineStr">
        <is>
          <t>台阶（连续不变）</t>
        </is>
      </c>
    </row>
    <row r="14">
      <c r="A14" s="8" t="inlineStr">
        <is>
          <t>20251013</t>
        </is>
      </c>
      <c r="B14" s="9" t="n">
        <v>6800</v>
      </c>
      <c r="C14" s="9" t="n">
        <v>0</v>
      </c>
      <c r="D14" s="8" t="inlineStr">
        <is>
          <t>否</t>
        </is>
      </c>
      <c r="E14" s="8" t="inlineStr">
        <is>
          <t>台阶（连续不变）</t>
        </is>
      </c>
    </row>
    <row r="15">
      <c r="A15" s="8" t="inlineStr">
        <is>
          <t>20251014</t>
        </is>
      </c>
      <c r="B15" s="9" t="n">
        <v>6800</v>
      </c>
      <c r="C15" s="9" t="n">
        <v>0</v>
      </c>
      <c r="D15" s="8" t="inlineStr">
        <is>
          <t>否</t>
        </is>
      </c>
      <c r="E15" s="8" t="inlineStr">
        <is>
          <t>台阶（连续不变）</t>
        </is>
      </c>
    </row>
    <row r="16">
      <c r="A16" s="8" t="inlineStr">
        <is>
          <t>20251015</t>
        </is>
      </c>
      <c r="B16" s="9" t="n">
        <v>6800</v>
      </c>
      <c r="C16" s="9" t="n">
        <v>0</v>
      </c>
      <c r="D16" s="8" t="inlineStr">
        <is>
          <t>否</t>
        </is>
      </c>
      <c r="E16" s="8" t="inlineStr">
        <is>
          <t>台阶（连续不变）</t>
        </is>
      </c>
    </row>
    <row r="17">
      <c r="A17" s="8" t="inlineStr">
        <is>
          <t>20251016</t>
        </is>
      </c>
      <c r="B17" s="9" t="n">
        <v>6800</v>
      </c>
      <c r="C17" s="9" t="n">
        <v>0</v>
      </c>
      <c r="D17" s="8" t="inlineStr">
        <is>
          <t>否</t>
        </is>
      </c>
      <c r="E17" s="8" t="inlineStr">
        <is>
          <t>台阶（连续不变）</t>
        </is>
      </c>
    </row>
    <row r="18">
      <c r="A18" s="8" t="inlineStr">
        <is>
          <t>20251017</t>
        </is>
      </c>
      <c r="B18" s="9" t="n">
        <v>6800</v>
      </c>
      <c r="C18" s="9" t="n">
        <v>0</v>
      </c>
      <c r="D18" s="8" t="inlineStr">
        <is>
          <t>否</t>
        </is>
      </c>
      <c r="E18" s="8" t="inlineStr">
        <is>
          <t>台阶（连续不变）</t>
        </is>
      </c>
    </row>
    <row r="19">
      <c r="A19" s="8" t="inlineStr">
        <is>
          <t>20251020</t>
        </is>
      </c>
      <c r="B19" s="9" t="n">
        <v>6800</v>
      </c>
      <c r="C19" s="9" t="n">
        <v>0</v>
      </c>
      <c r="D19" s="8" t="inlineStr">
        <is>
          <t>否</t>
        </is>
      </c>
      <c r="E19" s="8" t="inlineStr">
        <is>
          <t>台阶（连续不变）</t>
        </is>
      </c>
    </row>
    <row r="20">
      <c r="A20" s="8" t="inlineStr">
        <is>
          <t>20251021</t>
        </is>
      </c>
      <c r="B20" s="9" t="n">
        <v>6650</v>
      </c>
      <c r="C20" s="9" t="n">
        <v>-150</v>
      </c>
      <c r="D20" s="8" t="inlineStr">
        <is>
          <t>是</t>
        </is>
      </c>
      <c r="E20" s="8" t="inlineStr"/>
    </row>
    <row r="21">
      <c r="A21" s="8" t="inlineStr">
        <is>
          <t>20251022</t>
        </is>
      </c>
      <c r="B21" s="9" t="n">
        <v>6650</v>
      </c>
      <c r="C21" s="9" t="n">
        <v>0</v>
      </c>
      <c r="D21" s="8" t="inlineStr">
        <is>
          <t>否</t>
        </is>
      </c>
      <c r="E21" s="8" t="inlineStr">
        <is>
          <t>台阶（连续不变）</t>
        </is>
      </c>
    </row>
    <row r="22">
      <c r="A22" s="8" t="inlineStr">
        <is>
          <t>20251023</t>
        </is>
      </c>
      <c r="B22" s="9" t="n">
        <v>6650</v>
      </c>
      <c r="C22" s="9" t="n">
        <v>0</v>
      </c>
      <c r="D22" s="8" t="inlineStr">
        <is>
          <t>否</t>
        </is>
      </c>
      <c r="E22" s="8" t="inlineStr">
        <is>
          <t>台阶（连续不变）</t>
        </is>
      </c>
    </row>
    <row r="23">
      <c r="A23" s="8" t="inlineStr">
        <is>
          <t>20251024</t>
        </is>
      </c>
      <c r="B23" s="9" t="n">
        <v>6650</v>
      </c>
      <c r="C23" s="9" t="n">
        <v>0</v>
      </c>
      <c r="D23" s="8" t="inlineStr">
        <is>
          <t>否</t>
        </is>
      </c>
      <c r="E23" s="8" t="inlineStr">
        <is>
          <t>台阶（连续不变）</t>
        </is>
      </c>
    </row>
    <row r="24">
      <c r="A24" s="8" t="inlineStr">
        <is>
          <t>20251027</t>
        </is>
      </c>
      <c r="B24" s="9" t="n">
        <v>6650</v>
      </c>
      <c r="C24" s="9" t="n">
        <v>0</v>
      </c>
      <c r="D24" s="8" t="inlineStr">
        <is>
          <t>否</t>
        </is>
      </c>
      <c r="E24" s="8" t="inlineStr">
        <is>
          <t>台阶（连续不变）</t>
        </is>
      </c>
    </row>
    <row r="25">
      <c r="A25" s="8" t="inlineStr">
        <is>
          <t>20251028</t>
        </is>
      </c>
      <c r="B25" s="9" t="n">
        <v>6650</v>
      </c>
      <c r="C25" s="9" t="n">
        <v>0</v>
      </c>
      <c r="D25" s="8" t="inlineStr">
        <is>
          <t>否</t>
        </is>
      </c>
      <c r="E25" s="8" t="inlineStr">
        <is>
          <t>台阶（连续不变）</t>
        </is>
      </c>
    </row>
    <row r="26">
      <c r="A26" s="8" t="inlineStr">
        <is>
          <t>20251029</t>
        </is>
      </c>
      <c r="B26" s="9" t="n">
        <v>6650</v>
      </c>
      <c r="C26" s="9" t="n">
        <v>0</v>
      </c>
      <c r="D26" s="8" t="inlineStr">
        <is>
          <t>否</t>
        </is>
      </c>
      <c r="E26" s="8" t="inlineStr">
        <is>
          <t>台阶（连续不变）</t>
        </is>
      </c>
    </row>
    <row r="27">
      <c r="A27" s="8" t="inlineStr">
        <is>
          <t>20251030</t>
        </is>
      </c>
      <c r="B27" s="9" t="n">
        <v>6650</v>
      </c>
      <c r="C27" s="9" t="n">
        <v>0</v>
      </c>
      <c r="D27" s="8" t="inlineStr">
        <is>
          <t>否</t>
        </is>
      </c>
      <c r="E27" s="8" t="inlineStr">
        <is>
          <t>台阶（连续不变）</t>
        </is>
      </c>
    </row>
    <row r="28">
      <c r="A28" s="8" t="inlineStr">
        <is>
          <t>20251031</t>
        </is>
      </c>
      <c r="B28" s="9" t="n">
        <v>6650</v>
      </c>
      <c r="C28" s="9" t="n">
        <v>0</v>
      </c>
      <c r="D28" s="8" t="inlineStr">
        <is>
          <t>否</t>
        </is>
      </c>
      <c r="E28" s="8" t="inlineStr">
        <is>
          <t>台阶（连续不变）</t>
        </is>
      </c>
    </row>
    <row r="29">
      <c r="A29" s="8" t="inlineStr">
        <is>
          <t>20251103</t>
        </is>
      </c>
      <c r="B29" s="9" t="n">
        <v>6700</v>
      </c>
      <c r="C29" s="9" t="n">
        <v>50</v>
      </c>
      <c r="D29" s="8" t="inlineStr">
        <is>
          <t>是</t>
        </is>
      </c>
      <c r="E29" s="8" t="inlineStr"/>
    </row>
    <row r="30">
      <c r="A30" s="8" t="inlineStr">
        <is>
          <t>20251104</t>
        </is>
      </c>
      <c r="B30" s="9" t="n">
        <v>6700</v>
      </c>
      <c r="C30" s="9" t="n">
        <v>0</v>
      </c>
      <c r="D30" s="8" t="inlineStr">
        <is>
          <t>否</t>
        </is>
      </c>
      <c r="E30" s="8" t="inlineStr">
        <is>
          <t>台阶（连续不变）</t>
        </is>
      </c>
    </row>
    <row r="31">
      <c r="A31" s="8" t="inlineStr">
        <is>
          <t>20251105</t>
        </is>
      </c>
      <c r="B31" s="9" t="n">
        <v>6700</v>
      </c>
      <c r="C31" s="9" t="n">
        <v>0</v>
      </c>
      <c r="D31" s="8" t="inlineStr">
        <is>
          <t>否</t>
        </is>
      </c>
      <c r="E31" s="8" t="inlineStr">
        <is>
          <t>台阶（连续不变）</t>
        </is>
      </c>
    </row>
    <row r="32">
      <c r="A32" s="8" t="inlineStr">
        <is>
          <t>20251106</t>
        </is>
      </c>
      <c r="B32" s="9" t="n">
        <v>6700</v>
      </c>
      <c r="C32" s="9" t="n">
        <v>0</v>
      </c>
      <c r="D32" s="8" t="inlineStr">
        <is>
          <t>否</t>
        </is>
      </c>
      <c r="E32" s="8" t="inlineStr">
        <is>
          <t>台阶（连续不变）</t>
        </is>
      </c>
    </row>
    <row r="33">
      <c r="A33" s="8" t="inlineStr">
        <is>
          <t>20251107</t>
        </is>
      </c>
      <c r="B33" s="9" t="n">
        <v>6700</v>
      </c>
      <c r="C33" s="9" t="n">
        <v>0</v>
      </c>
      <c r="D33" s="8" t="inlineStr">
        <is>
          <t>否</t>
        </is>
      </c>
      <c r="E33" s="8" t="inlineStr">
        <is>
          <t>台阶（连续不变）</t>
        </is>
      </c>
    </row>
    <row r="34">
      <c r="A34" s="8" t="inlineStr">
        <is>
          <t>20251110</t>
        </is>
      </c>
      <c r="B34" s="9" t="n">
        <v>6700</v>
      </c>
      <c r="C34" s="9" t="n">
        <v>0</v>
      </c>
      <c r="D34" s="8" t="inlineStr">
        <is>
          <t>否</t>
        </is>
      </c>
      <c r="E34" s="8" t="inlineStr">
        <is>
          <t>台阶（连续不变）</t>
        </is>
      </c>
    </row>
    <row r="35">
      <c r="A35" s="8" t="inlineStr">
        <is>
          <t>20251111</t>
        </is>
      </c>
      <c r="B35" s="9" t="n">
        <v>6700</v>
      </c>
      <c r="C35" s="9" t="n">
        <v>0</v>
      </c>
      <c r="D35" s="8" t="inlineStr">
        <is>
          <t>否</t>
        </is>
      </c>
      <c r="E35" s="8" t="inlineStr">
        <is>
          <t>台阶（连续不变）</t>
        </is>
      </c>
    </row>
    <row r="36">
      <c r="A36" s="8" t="inlineStr">
        <is>
          <t>20251112</t>
        </is>
      </c>
      <c r="B36" s="9" t="n">
        <v>6800</v>
      </c>
      <c r="C36" s="9" t="n">
        <v>100</v>
      </c>
      <c r="D36" s="8" t="inlineStr">
        <is>
          <t>是</t>
        </is>
      </c>
      <c r="E36" s="8" t="inlineStr"/>
    </row>
    <row r="37">
      <c r="A37" s="8" t="inlineStr">
        <is>
          <t>20251113</t>
        </is>
      </c>
      <c r="B37" s="9" t="n">
        <v>6800</v>
      </c>
      <c r="C37" s="9" t="n">
        <v>0</v>
      </c>
      <c r="D37" s="8" t="inlineStr">
        <is>
          <t>否</t>
        </is>
      </c>
      <c r="E37" s="8" t="inlineStr">
        <is>
          <t>台阶（连续不变）</t>
        </is>
      </c>
    </row>
    <row r="38">
      <c r="A38" s="8" t="inlineStr">
        <is>
          <t>20251114</t>
        </is>
      </c>
      <c r="B38" s="9" t="n">
        <v>6800</v>
      </c>
      <c r="C38" s="9" t="n">
        <v>0</v>
      </c>
      <c r="D38" s="8" t="inlineStr">
        <is>
          <t>否</t>
        </is>
      </c>
      <c r="E38" s="8" t="inlineStr">
        <is>
          <t>台阶（连续不变）</t>
        </is>
      </c>
    </row>
    <row r="39">
      <c r="A39" s="8" t="inlineStr">
        <is>
          <t>20251117</t>
        </is>
      </c>
      <c r="B39" s="9" t="n">
        <v>6800</v>
      </c>
      <c r="C39" s="9" t="n">
        <v>0</v>
      </c>
      <c r="D39" s="8" t="inlineStr">
        <is>
          <t>否</t>
        </is>
      </c>
      <c r="E39" s="8" t="inlineStr">
        <is>
          <t>台阶（连续不变）</t>
        </is>
      </c>
    </row>
    <row r="40">
      <c r="A40" s="8" t="inlineStr">
        <is>
          <t>20251118</t>
        </is>
      </c>
      <c r="B40" s="9" t="n">
        <v>6800</v>
      </c>
      <c r="C40" s="9" t="n">
        <v>0</v>
      </c>
      <c r="D40" s="8" t="inlineStr">
        <is>
          <t>否</t>
        </is>
      </c>
      <c r="E40" s="8" t="inlineStr">
        <is>
          <t>台阶（连续不变）</t>
        </is>
      </c>
    </row>
    <row r="41">
      <c r="A41" s="8" t="inlineStr">
        <is>
          <t>20251119</t>
        </is>
      </c>
      <c r="B41" s="9" t="n">
        <v>6800</v>
      </c>
      <c r="C41" s="9" t="n">
        <v>0</v>
      </c>
      <c r="D41" s="8" t="inlineStr">
        <is>
          <t>否</t>
        </is>
      </c>
      <c r="E41" s="8" t="inlineStr">
        <is>
          <t>台阶（连续不变）</t>
        </is>
      </c>
    </row>
    <row r="42">
      <c r="A42" s="8" t="inlineStr">
        <is>
          <t>20251120</t>
        </is>
      </c>
      <c r="B42" s="9" t="n">
        <v>6800</v>
      </c>
      <c r="C42" s="9" t="n">
        <v>0</v>
      </c>
      <c r="D42" s="8" t="inlineStr">
        <is>
          <t>否</t>
        </is>
      </c>
      <c r="E42" s="8" t="inlineStr">
        <is>
          <t>台阶（连续不变）</t>
        </is>
      </c>
    </row>
    <row r="43">
      <c r="A43" s="8" t="inlineStr">
        <is>
          <t>20251121</t>
        </is>
      </c>
      <c r="B43" s="9" t="n">
        <v>6800</v>
      </c>
      <c r="C43" s="9" t="n">
        <v>0</v>
      </c>
      <c r="D43" s="8" t="inlineStr">
        <is>
          <t>否</t>
        </is>
      </c>
      <c r="E43" s="8" t="inlineStr">
        <is>
          <t>台阶（连续不变）</t>
        </is>
      </c>
    </row>
    <row r="44">
      <c r="A44" s="8" t="inlineStr">
        <is>
          <t>20251124</t>
        </is>
      </c>
      <c r="B44" s="9" t="n">
        <v>6800</v>
      </c>
      <c r="C44" s="9" t="n">
        <v>0</v>
      </c>
      <c r="D44" s="8" t="inlineStr">
        <is>
          <t>否</t>
        </is>
      </c>
      <c r="E44" s="8" t="inlineStr">
        <is>
          <t>台阶（连续不变）</t>
        </is>
      </c>
    </row>
    <row r="45">
      <c r="A45" s="8" t="inlineStr">
        <is>
          <t>20251125</t>
        </is>
      </c>
      <c r="B45" s="9" t="n">
        <v>6800</v>
      </c>
      <c r="C45" s="9" t="n">
        <v>0</v>
      </c>
      <c r="D45" s="8" t="inlineStr">
        <is>
          <t>否</t>
        </is>
      </c>
      <c r="E45" s="8" t="inlineStr">
        <is>
          <t>台阶（连续不变）</t>
        </is>
      </c>
    </row>
    <row r="46">
      <c r="A46" s="8" t="inlineStr">
        <is>
          <t>20251126</t>
        </is>
      </c>
      <c r="B46" s="9" t="n">
        <v>6800</v>
      </c>
      <c r="C46" s="9" t="n">
        <v>0</v>
      </c>
      <c r="D46" s="8" t="inlineStr">
        <is>
          <t>否</t>
        </is>
      </c>
      <c r="E46" s="8" t="inlineStr">
        <is>
          <t>台阶（连续不变）</t>
        </is>
      </c>
    </row>
    <row r="47">
      <c r="A47" s="8" t="inlineStr">
        <is>
          <t>20251127</t>
        </is>
      </c>
      <c r="B47" s="9" t="n">
        <v>6800</v>
      </c>
      <c r="C47" s="9" t="n">
        <v>0</v>
      </c>
      <c r="D47" s="8" t="inlineStr">
        <is>
          <t>否</t>
        </is>
      </c>
      <c r="E47" s="8" t="inlineStr">
        <is>
          <t>台阶（连续不变）</t>
        </is>
      </c>
    </row>
    <row r="48">
      <c r="A48" s="8" t="inlineStr">
        <is>
          <t>20251128</t>
        </is>
      </c>
      <c r="B48" s="9" t="n">
        <v>6800</v>
      </c>
      <c r="C48" s="9" t="n">
        <v>0</v>
      </c>
      <c r="D48" s="8" t="inlineStr">
        <is>
          <t>否</t>
        </is>
      </c>
      <c r="E48" s="8" t="inlineStr">
        <is>
          <t>台阶（连续不变）</t>
        </is>
      </c>
    </row>
    <row r="49">
      <c r="A49" s="8" t="inlineStr">
        <is>
          <t>20251201</t>
        </is>
      </c>
      <c r="B49" s="9" t="n">
        <v>6850</v>
      </c>
      <c r="C49" s="9" t="n">
        <v>50</v>
      </c>
      <c r="D49" s="8" t="inlineStr">
        <is>
          <t>是</t>
        </is>
      </c>
      <c r="E49" s="8" t="inlineStr"/>
    </row>
    <row r="50">
      <c r="A50" s="8" t="inlineStr">
        <is>
          <t>20251202</t>
        </is>
      </c>
      <c r="B50" s="9" t="n">
        <v>6850</v>
      </c>
      <c r="C50" s="9" t="n">
        <v>0</v>
      </c>
      <c r="D50" s="8" t="inlineStr">
        <is>
          <t>否</t>
        </is>
      </c>
      <c r="E50" s="8" t="inlineStr">
        <is>
          <t>台阶（连续不变）</t>
        </is>
      </c>
    </row>
    <row r="51">
      <c r="A51" s="8" t="inlineStr">
        <is>
          <t>20251203</t>
        </is>
      </c>
      <c r="B51" s="9" t="n">
        <v>6850</v>
      </c>
      <c r="C51" s="9" t="n">
        <v>0</v>
      </c>
      <c r="D51" s="8" t="inlineStr">
        <is>
          <t>否</t>
        </is>
      </c>
      <c r="E51" s="8" t="inlineStr">
        <is>
          <t>台阶（连续不变）</t>
        </is>
      </c>
    </row>
    <row r="52">
      <c r="A52" s="8" t="inlineStr">
        <is>
          <t>20251204</t>
        </is>
      </c>
      <c r="B52" s="9" t="n">
        <v>6850</v>
      </c>
      <c r="C52" s="9" t="n">
        <v>0</v>
      </c>
      <c r="D52" s="8" t="inlineStr">
        <is>
          <t>否</t>
        </is>
      </c>
      <c r="E52" s="8" t="inlineStr">
        <is>
          <t>台阶（连续不变）</t>
        </is>
      </c>
    </row>
    <row r="53">
      <c r="A53" s="8" t="inlineStr">
        <is>
          <t>20251205</t>
        </is>
      </c>
      <c r="B53" s="9" t="n">
        <v>7000</v>
      </c>
      <c r="C53" s="9" t="n">
        <v>150</v>
      </c>
      <c r="D53" s="8" t="inlineStr">
        <is>
          <t>是</t>
        </is>
      </c>
      <c r="E53" s="8" t="inlineStr"/>
    </row>
    <row r="54">
      <c r="A54" s="8" t="inlineStr">
        <is>
          <t>20251208</t>
        </is>
      </c>
      <c r="B54" s="9" t="n">
        <v>7000</v>
      </c>
      <c r="C54" s="9" t="n">
        <v>0</v>
      </c>
      <c r="D54" s="8" t="inlineStr">
        <is>
          <t>否</t>
        </is>
      </c>
      <c r="E54" s="8" t="inlineStr">
        <is>
          <t>台阶（连续不变）</t>
        </is>
      </c>
    </row>
    <row r="55">
      <c r="A55" s="8" t="inlineStr">
        <is>
          <t>20251209</t>
        </is>
      </c>
      <c r="B55" s="9" t="n">
        <v>7000</v>
      </c>
      <c r="C55" s="9" t="n">
        <v>0</v>
      </c>
      <c r="D55" s="8" t="inlineStr">
        <is>
          <t>否</t>
        </is>
      </c>
      <c r="E55" s="8" t="inlineStr">
        <is>
          <t>台阶（连续不变）</t>
        </is>
      </c>
    </row>
    <row r="56">
      <c r="A56" s="8" t="inlineStr">
        <is>
          <t>20251210</t>
        </is>
      </c>
      <c r="B56" s="9" t="n">
        <v>7000</v>
      </c>
      <c r="C56" s="9" t="n">
        <v>0</v>
      </c>
      <c r="D56" s="8" t="inlineStr">
        <is>
          <t>否</t>
        </is>
      </c>
      <c r="E56" s="8" t="inlineStr">
        <is>
          <t>台阶（连续不变）</t>
        </is>
      </c>
    </row>
    <row r="57">
      <c r="A57" s="8" t="inlineStr">
        <is>
          <t>20251211</t>
        </is>
      </c>
      <c r="B57" s="9" t="n">
        <v>7000</v>
      </c>
      <c r="C57" s="9" t="n">
        <v>0</v>
      </c>
      <c r="D57" s="8" t="inlineStr">
        <is>
          <t>否</t>
        </is>
      </c>
      <c r="E57" s="8" t="inlineStr">
        <is>
          <t>台阶（连续不变）</t>
        </is>
      </c>
    </row>
    <row r="58">
      <c r="A58" s="8" t="inlineStr">
        <is>
          <t>20251212</t>
        </is>
      </c>
      <c r="B58" s="9" t="n">
        <v>7000</v>
      </c>
      <c r="C58" s="9" t="n">
        <v>0</v>
      </c>
      <c r="D58" s="8" t="inlineStr">
        <is>
          <t>否</t>
        </is>
      </c>
      <c r="E58" s="8" t="inlineStr">
        <is>
          <t>台阶（连续不变）</t>
        </is>
      </c>
    </row>
    <row r="59">
      <c r="A59" s="8" t="inlineStr">
        <is>
          <t>20251215</t>
        </is>
      </c>
      <c r="B59" s="9" t="n">
        <v>7000</v>
      </c>
      <c r="C59" s="9" t="n">
        <v>0</v>
      </c>
      <c r="D59" s="8" t="inlineStr">
        <is>
          <t>否</t>
        </is>
      </c>
      <c r="E59" s="8" t="inlineStr">
        <is>
          <t>台阶（连续不变）</t>
        </is>
      </c>
    </row>
    <row r="60">
      <c r="A60" s="8" t="inlineStr">
        <is>
          <t>20251216</t>
        </is>
      </c>
      <c r="B60" s="9" t="n">
        <v>7000</v>
      </c>
      <c r="C60" s="9" t="n">
        <v>0</v>
      </c>
      <c r="D60" s="8" t="inlineStr">
        <is>
          <t>否</t>
        </is>
      </c>
      <c r="E60" s="8" t="inlineStr">
        <is>
          <t>台阶（连续不变）</t>
        </is>
      </c>
    </row>
    <row r="61">
      <c r="A61" s="8" t="inlineStr">
        <is>
          <t>20251217</t>
        </is>
      </c>
      <c r="B61" s="9" t="n">
        <v>7000</v>
      </c>
      <c r="C61" s="9" t="n">
        <v>0</v>
      </c>
      <c r="D61" s="8" t="inlineStr">
        <is>
          <t>否</t>
        </is>
      </c>
      <c r="E61" s="8" t="inlineStr">
        <is>
          <t>台阶（连续不变）</t>
        </is>
      </c>
    </row>
    <row r="62">
      <c r="A62" s="8" t="inlineStr">
        <is>
          <t>20251218</t>
        </is>
      </c>
      <c r="B62" s="9" t="n">
        <v>7000</v>
      </c>
      <c r="C62" s="9" t="n">
        <v>0</v>
      </c>
      <c r="D62" s="8" t="inlineStr">
        <is>
          <t>否</t>
        </is>
      </c>
      <c r="E62" s="8" t="inlineStr">
        <is>
          <t>台阶（连续不变）</t>
        </is>
      </c>
    </row>
    <row r="63">
      <c r="A63" s="8" t="inlineStr">
        <is>
          <t>20251219</t>
        </is>
      </c>
      <c r="B63" s="9" t="n">
        <v>7000</v>
      </c>
      <c r="C63" s="9" t="n">
        <v>0</v>
      </c>
      <c r="D63" s="8" t="inlineStr">
        <is>
          <t>否</t>
        </is>
      </c>
      <c r="E63" s="8" t="inlineStr">
        <is>
          <t>台阶（连续不变）</t>
        </is>
      </c>
    </row>
    <row r="64">
      <c r="A64" s="8" t="inlineStr">
        <is>
          <t>20251222</t>
        </is>
      </c>
      <c r="B64" s="9" t="n">
        <v>7000</v>
      </c>
      <c r="C64" s="9" t="n">
        <v>0</v>
      </c>
      <c r="D64" s="8" t="inlineStr">
        <is>
          <t>否</t>
        </is>
      </c>
      <c r="E64" s="8" t="inlineStr">
        <is>
          <t>台阶（连续不变）</t>
        </is>
      </c>
    </row>
    <row r="65">
      <c r="A65" s="8" t="inlineStr">
        <is>
          <t>20251223</t>
        </is>
      </c>
      <c r="B65" s="9" t="n">
        <v>7000</v>
      </c>
      <c r="C65" s="9" t="n">
        <v>0</v>
      </c>
      <c r="D65" s="8" t="inlineStr">
        <is>
          <t>否</t>
        </is>
      </c>
      <c r="E65" s="8" t="inlineStr">
        <is>
          <t>台阶（连续不变）</t>
        </is>
      </c>
    </row>
    <row r="66">
      <c r="A66" s="8" t="inlineStr">
        <is>
          <t>20251224</t>
        </is>
      </c>
      <c r="B66" s="9" t="n">
        <v>7000</v>
      </c>
      <c r="C66" s="9" t="n">
        <v>0</v>
      </c>
      <c r="D66" s="8" t="inlineStr">
        <is>
          <t>否</t>
        </is>
      </c>
      <c r="E66" s="8" t="inlineStr">
        <is>
          <t>台阶（连续不变）</t>
        </is>
      </c>
    </row>
    <row r="67">
      <c r="A67" s="8" t="inlineStr">
        <is>
          <t>20251225</t>
        </is>
      </c>
      <c r="B67" s="9" t="n">
        <v>7000</v>
      </c>
      <c r="C67" s="9" t="n">
        <v>0</v>
      </c>
      <c r="D67" s="8" t="inlineStr">
        <is>
          <t>否</t>
        </is>
      </c>
      <c r="E67" s="8" t="inlineStr">
        <is>
          <t>台阶（连续不变）</t>
        </is>
      </c>
    </row>
    <row r="68">
      <c r="A68" s="8" t="inlineStr">
        <is>
          <t>20251226</t>
        </is>
      </c>
      <c r="B68" s="9" t="n">
        <v>7000</v>
      </c>
      <c r="C68" s="9" t="n">
        <v>0</v>
      </c>
      <c r="D68" s="8" t="inlineStr">
        <is>
          <t>否</t>
        </is>
      </c>
      <c r="E68" s="8" t="inlineStr">
        <is>
          <t>台阶（连续不变）</t>
        </is>
      </c>
    </row>
    <row r="69">
      <c r="A69" s="8" t="inlineStr">
        <is>
          <t>20251229</t>
        </is>
      </c>
      <c r="B69" s="9" t="n">
        <v>7000</v>
      </c>
      <c r="C69" s="9" t="n">
        <v>0</v>
      </c>
      <c r="D69" s="8" t="inlineStr">
        <is>
          <t>否</t>
        </is>
      </c>
      <c r="E69" s="8" t="inlineStr">
        <is>
          <t>台阶（连续不变）</t>
        </is>
      </c>
    </row>
    <row r="70">
      <c r="A70" s="8" t="inlineStr">
        <is>
          <t>20251230</t>
        </is>
      </c>
      <c r="B70" s="9" t="n">
        <v>7000</v>
      </c>
      <c r="C70" s="9" t="n">
        <v>0</v>
      </c>
      <c r="D70" s="8" t="inlineStr">
        <is>
          <t>否</t>
        </is>
      </c>
      <c r="E70" s="8" t="inlineStr">
        <is>
          <t>台阶（连续不变）</t>
        </is>
      </c>
    </row>
    <row r="71">
      <c r="A71" s="8" t="inlineStr">
        <is>
          <t>20251231</t>
        </is>
      </c>
      <c r="B71" s="9" t="n">
        <v>7000</v>
      </c>
      <c r="C71" s="9" t="n">
        <v>0</v>
      </c>
      <c r="D71" s="8" t="inlineStr">
        <is>
          <t>否</t>
        </is>
      </c>
      <c r="E71" s="8" t="inlineStr">
        <is>
          <t>台阶（连续不变）</t>
        </is>
      </c>
    </row>
    <row r="72">
      <c r="A72" s="8" t="inlineStr">
        <is>
          <t>20260101</t>
        </is>
      </c>
      <c r="B72" s="9" t="n">
        <v>7500</v>
      </c>
      <c r="C72" s="9" t="n">
        <v>500</v>
      </c>
      <c r="D72" s="8" t="inlineStr">
        <is>
          <t>是</t>
        </is>
      </c>
      <c r="E72" s="8" t="inlineStr"/>
    </row>
    <row r="73">
      <c r="A73" s="8" t="inlineStr">
        <is>
          <t>20260102</t>
        </is>
      </c>
      <c r="B73" s="9" t="n">
        <v>7500</v>
      </c>
      <c r="C73" s="9" t="n">
        <v>0</v>
      </c>
      <c r="D73" s="8" t="inlineStr">
        <is>
          <t>否</t>
        </is>
      </c>
      <c r="E73" s="8" t="inlineStr">
        <is>
          <t>台阶（连续不变）</t>
        </is>
      </c>
    </row>
    <row r="74">
      <c r="A74" s="8" t="inlineStr">
        <is>
          <t>20260105</t>
        </is>
      </c>
      <c r="B74" s="9" t="n">
        <v>7500</v>
      </c>
      <c r="C74" s="9" t="n">
        <v>0</v>
      </c>
      <c r="D74" s="8" t="inlineStr">
        <is>
          <t>否</t>
        </is>
      </c>
      <c r="E74" s="8" t="inlineStr">
        <is>
          <t>台阶（连续不变）</t>
        </is>
      </c>
    </row>
    <row r="75">
      <c r="A75" s="8" t="inlineStr">
        <is>
          <t>20260106</t>
        </is>
      </c>
      <c r="B75" s="9" t="n">
        <v>7500</v>
      </c>
      <c r="C75" s="9" t="n">
        <v>0</v>
      </c>
      <c r="D75" s="8" t="inlineStr">
        <is>
          <t>否</t>
        </is>
      </c>
      <c r="E75" s="8" t="inlineStr">
        <is>
          <t>台阶（连续不变）</t>
        </is>
      </c>
    </row>
    <row r="76">
      <c r="A76" s="8" t="inlineStr">
        <is>
          <t>20260107</t>
        </is>
      </c>
      <c r="B76" s="9" t="n">
        <v>7500</v>
      </c>
      <c r="C76" s="9" t="n">
        <v>0</v>
      </c>
      <c r="D76" s="8" t="inlineStr">
        <is>
          <t>否</t>
        </is>
      </c>
      <c r="E76" s="8" t="inlineStr">
        <is>
          <t>台阶（连续不变）</t>
        </is>
      </c>
    </row>
    <row r="77">
      <c r="A77" s="8" t="inlineStr">
        <is>
          <t>20260108</t>
        </is>
      </c>
      <c r="B77" s="9" t="n">
        <v>7500</v>
      </c>
      <c r="C77" s="9" t="n">
        <v>0</v>
      </c>
      <c r="D77" s="8" t="inlineStr">
        <is>
          <t>否</t>
        </is>
      </c>
      <c r="E77" s="8" t="inlineStr">
        <is>
          <t>台阶（连续不变）</t>
        </is>
      </c>
    </row>
    <row r="78">
      <c r="A78" s="8" t="inlineStr">
        <is>
          <t>20260109</t>
        </is>
      </c>
      <c r="B78" s="9" t="n">
        <v>7500</v>
      </c>
      <c r="C78" s="9" t="n">
        <v>0</v>
      </c>
      <c r="D78" s="8" t="inlineStr">
        <is>
          <t>否</t>
        </is>
      </c>
      <c r="E78" s="8" t="inlineStr">
        <is>
          <t>台阶（连续不变）</t>
        </is>
      </c>
    </row>
    <row r="79">
      <c r="A79" s="8" t="inlineStr">
        <is>
          <t>20260112</t>
        </is>
      </c>
      <c r="B79" s="9" t="n">
        <v>7500</v>
      </c>
      <c r="C79" s="9" t="n">
        <v>0</v>
      </c>
      <c r="D79" s="8" t="inlineStr">
        <is>
          <t>否</t>
        </is>
      </c>
      <c r="E79" s="8" t="inlineStr">
        <is>
          <t>台阶（连续不变）</t>
        </is>
      </c>
    </row>
    <row r="80">
      <c r="A80" s="8" t="inlineStr">
        <is>
          <t>20260113</t>
        </is>
      </c>
      <c r="B80" s="9" t="n">
        <v>7500</v>
      </c>
      <c r="C80" s="9" t="n">
        <v>0</v>
      </c>
      <c r="D80" s="8" t="inlineStr">
        <is>
          <t>否</t>
        </is>
      </c>
      <c r="E80" s="8" t="inlineStr">
        <is>
          <t>台阶（连续不变）</t>
        </is>
      </c>
    </row>
    <row r="81">
      <c r="A81" s="8" t="inlineStr">
        <is>
          <t>20260114</t>
        </is>
      </c>
      <c r="B81" s="9" t="n">
        <v>7500</v>
      </c>
      <c r="C81" s="9" t="n">
        <v>0</v>
      </c>
      <c r="D81" s="8" t="inlineStr">
        <is>
          <t>否</t>
        </is>
      </c>
      <c r="E81" s="8" t="inlineStr">
        <is>
          <t>台阶（连续不变）</t>
        </is>
      </c>
    </row>
    <row r="82">
      <c r="A82" s="8" t="inlineStr">
        <is>
          <t>20260115</t>
        </is>
      </c>
      <c r="B82" s="9" t="n">
        <v>7500</v>
      </c>
      <c r="C82" s="9" t="n">
        <v>0</v>
      </c>
      <c r="D82" s="8" t="inlineStr">
        <is>
          <t>否</t>
        </is>
      </c>
      <c r="E82" s="8" t="inlineStr">
        <is>
          <t>台阶（连续不变）</t>
        </is>
      </c>
    </row>
    <row r="83">
      <c r="A83" s="8" t="inlineStr">
        <is>
          <t>20260116</t>
        </is>
      </c>
      <c r="B83" s="9" t="n">
        <v>7500</v>
      </c>
      <c r="C83" s="9" t="n">
        <v>0</v>
      </c>
      <c r="D83" s="8" t="inlineStr">
        <is>
          <t>否</t>
        </is>
      </c>
      <c r="E83" s="8" t="inlineStr">
        <is>
          <t>台阶（连续不变）</t>
        </is>
      </c>
    </row>
    <row r="84">
      <c r="A84" s="8" t="inlineStr">
        <is>
          <t>20260119</t>
        </is>
      </c>
      <c r="B84" s="9" t="n">
        <v>7500</v>
      </c>
      <c r="C84" s="9" t="n">
        <v>0</v>
      </c>
      <c r="D84" s="8" t="inlineStr">
        <is>
          <t>否</t>
        </is>
      </c>
      <c r="E84" s="8" t="inlineStr">
        <is>
          <t>台阶（连续不变）</t>
        </is>
      </c>
    </row>
    <row r="85">
      <c r="A85" s="8" t="inlineStr">
        <is>
          <t>20260120</t>
        </is>
      </c>
      <c r="B85" s="9" t="n">
        <v>7500</v>
      </c>
      <c r="C85" s="9" t="n">
        <v>0</v>
      </c>
      <c r="D85" s="8" t="inlineStr">
        <is>
          <t>否</t>
        </is>
      </c>
      <c r="E85" s="8" t="inlineStr">
        <is>
          <t>台阶（连续不变）</t>
        </is>
      </c>
    </row>
    <row r="86">
      <c r="A86" s="8" t="inlineStr">
        <is>
          <t>20260121</t>
        </is>
      </c>
      <c r="B86" s="9" t="n">
        <v>7500</v>
      </c>
      <c r="C86" s="9" t="n">
        <v>0</v>
      </c>
      <c r="D86" s="8" t="inlineStr">
        <is>
          <t>否</t>
        </is>
      </c>
      <c r="E86" s="8" t="inlineStr">
        <is>
          <t>台阶（连续不变）</t>
        </is>
      </c>
    </row>
    <row r="87">
      <c r="A87" s="8" t="inlineStr">
        <is>
          <t>20260122</t>
        </is>
      </c>
      <c r="B87" s="9" t="n">
        <v>7500</v>
      </c>
      <c r="C87" s="9" t="n">
        <v>0</v>
      </c>
      <c r="D87" s="8" t="inlineStr">
        <is>
          <t>否</t>
        </is>
      </c>
      <c r="E87" s="8" t="inlineStr">
        <is>
          <t>台阶（连续不变）</t>
        </is>
      </c>
    </row>
    <row r="88">
      <c r="A88" s="8" t="inlineStr">
        <is>
          <t>20260123</t>
        </is>
      </c>
      <c r="B88" s="9" t="n">
        <v>7500</v>
      </c>
      <c r="C88" s="9" t="n">
        <v>0</v>
      </c>
      <c r="D88" s="8" t="inlineStr">
        <is>
          <t>否</t>
        </is>
      </c>
      <c r="E88" s="8" t="inlineStr">
        <is>
          <t>台阶（连续不变）</t>
        </is>
      </c>
    </row>
    <row r="89">
      <c r="A89" s="8" t="inlineStr">
        <is>
          <t>20260126</t>
        </is>
      </c>
      <c r="B89" s="9" t="n">
        <v>7500</v>
      </c>
      <c r="C89" s="9" t="n">
        <v>0</v>
      </c>
      <c r="D89" s="8" t="inlineStr">
        <is>
          <t>否</t>
        </is>
      </c>
      <c r="E89" s="8" t="inlineStr">
        <is>
          <t>台阶（连续不变）</t>
        </is>
      </c>
    </row>
    <row r="90">
      <c r="A90" s="8" t="inlineStr">
        <is>
          <t>20260127</t>
        </is>
      </c>
      <c r="B90" s="9" t="n">
        <v>7300</v>
      </c>
      <c r="C90" s="9" t="n">
        <v>-200</v>
      </c>
      <c r="D90" s="8" t="inlineStr">
        <is>
          <t>是</t>
        </is>
      </c>
      <c r="E90" s="8" t="inlineStr"/>
    </row>
    <row r="91">
      <c r="A91" s="8" t="inlineStr">
        <is>
          <t>20260128</t>
        </is>
      </c>
      <c r="B91" s="9" t="n">
        <v>7300</v>
      </c>
      <c r="C91" s="9" t="n">
        <v>0</v>
      </c>
      <c r="D91" s="8" t="inlineStr">
        <is>
          <t>否</t>
        </is>
      </c>
      <c r="E91" s="8" t="inlineStr">
        <is>
          <t>台阶（连续不变）</t>
        </is>
      </c>
    </row>
    <row r="92">
      <c r="A92" s="8" t="inlineStr">
        <is>
          <t>20260129</t>
        </is>
      </c>
      <c r="B92" s="9" t="n">
        <v>7300</v>
      </c>
      <c r="C92" s="9" t="n">
        <v>0</v>
      </c>
      <c r="D92" s="8" t="inlineStr">
        <is>
          <t>否</t>
        </is>
      </c>
      <c r="E92" s="8" t="inlineStr">
        <is>
          <t>台阶（连续不变）</t>
        </is>
      </c>
    </row>
    <row r="93">
      <c r="A93" s="8" t="inlineStr">
        <is>
          <t>20260130</t>
        </is>
      </c>
      <c r="B93" s="9" t="n">
        <v>7300</v>
      </c>
      <c r="C93" s="9" t="n">
        <v>0</v>
      </c>
      <c r="D93" s="8" t="inlineStr">
        <is>
          <t>否</t>
        </is>
      </c>
      <c r="E93" s="8" t="inlineStr">
        <is>
          <t>台阶（连续不变）</t>
        </is>
      </c>
    </row>
    <row r="94">
      <c r="A94" s="8" t="inlineStr">
        <is>
          <t>20260202</t>
        </is>
      </c>
      <c r="B94" s="9" t="n">
        <v>7300</v>
      </c>
      <c r="C94" s="9" t="n">
        <v>0</v>
      </c>
      <c r="D94" s="8" t="inlineStr">
        <is>
          <t>否</t>
        </is>
      </c>
      <c r="E94" s="8" t="inlineStr">
        <is>
          <t>台阶（连续不变）</t>
        </is>
      </c>
    </row>
    <row r="95">
      <c r="A95" s="8" t="inlineStr">
        <is>
          <t>20260203</t>
        </is>
      </c>
      <c r="B95" s="9" t="n">
        <v>7650</v>
      </c>
      <c r="C95" s="9" t="n">
        <v>350</v>
      </c>
      <c r="D95" s="8" t="inlineStr">
        <is>
          <t>是</t>
        </is>
      </c>
      <c r="E95" s="8" t="inlineStr"/>
    </row>
    <row r="96">
      <c r="A96" s="8" t="inlineStr">
        <is>
          <t>20260204</t>
        </is>
      </c>
      <c r="B96" s="9" t="n">
        <v>7650</v>
      </c>
      <c r="C96" s="9" t="n">
        <v>0</v>
      </c>
      <c r="D96" s="8" t="inlineStr">
        <is>
          <t>否</t>
        </is>
      </c>
      <c r="E96" s="8" t="inlineStr">
        <is>
          <t>台阶（连续不变）</t>
        </is>
      </c>
    </row>
    <row r="97">
      <c r="A97" s="8" t="inlineStr">
        <is>
          <t>20260205</t>
        </is>
      </c>
      <c r="B97" s="9" t="n">
        <v>7650</v>
      </c>
      <c r="C97" s="9" t="n">
        <v>0</v>
      </c>
      <c r="D97" s="8" t="inlineStr">
        <is>
          <t>否</t>
        </is>
      </c>
      <c r="E97" s="8" t="inlineStr">
        <is>
          <t>台阶（连续不变）</t>
        </is>
      </c>
    </row>
    <row r="98">
      <c r="A98" s="8" t="inlineStr">
        <is>
          <t>20260206</t>
        </is>
      </c>
      <c r="B98" s="9" t="n">
        <v>7650</v>
      </c>
      <c r="C98" s="9" t="n">
        <v>0</v>
      </c>
      <c r="D98" s="8" t="inlineStr">
        <is>
          <t>否</t>
        </is>
      </c>
      <c r="E98" s="8" t="inlineStr">
        <is>
          <t>台阶（连续不变）</t>
        </is>
      </c>
    </row>
    <row r="99">
      <c r="A99" s="8" t="inlineStr">
        <is>
          <t>20260209</t>
        </is>
      </c>
      <c r="B99" s="9" t="n">
        <v>7650</v>
      </c>
      <c r="C99" s="9" t="n">
        <v>0</v>
      </c>
      <c r="D99" s="8" t="inlineStr">
        <is>
          <t>否</t>
        </is>
      </c>
      <c r="E99" s="8" t="inlineStr">
        <is>
          <t>台阶（连续不变）</t>
        </is>
      </c>
    </row>
    <row r="100">
      <c r="A100" s="8" t="inlineStr">
        <is>
          <t>20260210</t>
        </is>
      </c>
      <c r="B100" s="9" t="n">
        <v>7650</v>
      </c>
      <c r="C100" s="9" t="n">
        <v>0</v>
      </c>
      <c r="D100" s="8" t="inlineStr">
        <is>
          <t>否</t>
        </is>
      </c>
      <c r="E100" s="8" t="inlineStr">
        <is>
          <t>台阶（连续不变）</t>
        </is>
      </c>
    </row>
    <row r="101">
      <c r="A101" s="8" t="inlineStr">
        <is>
          <t>20260211</t>
        </is>
      </c>
      <c r="B101" s="9" t="n">
        <v>7650</v>
      </c>
      <c r="C101" s="9" t="n">
        <v>0</v>
      </c>
      <c r="D101" s="8" t="inlineStr">
        <is>
          <t>否</t>
        </is>
      </c>
      <c r="E101" s="8" t="inlineStr">
        <is>
          <t>台阶（连续不变）</t>
        </is>
      </c>
    </row>
    <row r="102">
      <c r="A102" s="8" t="inlineStr">
        <is>
          <t>20260212</t>
        </is>
      </c>
      <c r="B102" s="9" t="n">
        <v>7650</v>
      </c>
      <c r="C102" s="9" t="n">
        <v>0</v>
      </c>
      <c r="D102" s="8" t="inlineStr">
        <is>
          <t>否</t>
        </is>
      </c>
      <c r="E102" s="8" t="inlineStr">
        <is>
          <t>台阶（连续不变）</t>
        </is>
      </c>
    </row>
    <row r="103">
      <c r="A103" s="8" t="inlineStr">
        <is>
          <t>20260213</t>
        </is>
      </c>
      <c r="B103" s="9" t="n">
        <v>7650</v>
      </c>
      <c r="C103" s="9" t="n">
        <v>0</v>
      </c>
      <c r="D103" s="8" t="inlineStr">
        <is>
          <t>否</t>
        </is>
      </c>
      <c r="E103" s="8" t="inlineStr">
        <is>
          <t>台阶（连续不变）</t>
        </is>
      </c>
    </row>
    <row r="104">
      <c r="A104" s="8" t="inlineStr">
        <is>
          <t>20260216</t>
        </is>
      </c>
      <c r="B104" s="9" t="n">
        <v>7650</v>
      </c>
      <c r="C104" s="9" t="n">
        <v>0</v>
      </c>
      <c r="D104" s="8" t="inlineStr">
        <is>
          <t>否</t>
        </is>
      </c>
      <c r="E104" s="8" t="inlineStr">
        <is>
          <t>台阶（连续不变）</t>
        </is>
      </c>
    </row>
    <row r="105">
      <c r="A105" s="8" t="inlineStr">
        <is>
          <t>20260217</t>
        </is>
      </c>
      <c r="B105" s="9" t="n">
        <v>7650</v>
      </c>
      <c r="C105" s="9" t="n">
        <v>0</v>
      </c>
      <c r="D105" s="8" t="inlineStr">
        <is>
          <t>否</t>
        </is>
      </c>
      <c r="E105" s="8" t="inlineStr">
        <is>
          <t>台阶（连续不变）</t>
        </is>
      </c>
    </row>
    <row r="106">
      <c r="A106" s="8" t="inlineStr">
        <is>
          <t>20260218</t>
        </is>
      </c>
      <c r="B106" s="9" t="n">
        <v>7650</v>
      </c>
      <c r="C106" s="9" t="n">
        <v>0</v>
      </c>
      <c r="D106" s="8" t="inlineStr">
        <is>
          <t>否</t>
        </is>
      </c>
      <c r="E106" s="8" t="inlineStr">
        <is>
          <t>台阶（连续不变）</t>
        </is>
      </c>
    </row>
    <row r="107">
      <c r="A107" s="8" t="inlineStr">
        <is>
          <t>20260219</t>
        </is>
      </c>
      <c r="B107" s="9" t="n">
        <v>7650</v>
      </c>
      <c r="C107" s="9" t="n">
        <v>0</v>
      </c>
      <c r="D107" s="8" t="inlineStr">
        <is>
          <t>否</t>
        </is>
      </c>
      <c r="E107" s="8" t="inlineStr">
        <is>
          <t>台阶（连续不变）</t>
        </is>
      </c>
    </row>
    <row r="108">
      <c r="A108" s="8" t="inlineStr">
        <is>
          <t>20260220</t>
        </is>
      </c>
      <c r="B108" s="9" t="n">
        <v>7650</v>
      </c>
      <c r="C108" s="9" t="n">
        <v>0</v>
      </c>
      <c r="D108" s="8" t="inlineStr">
        <is>
          <t>否</t>
        </is>
      </c>
      <c r="E108" s="8" t="inlineStr">
        <is>
          <t>台阶（连续不变）</t>
        </is>
      </c>
    </row>
    <row r="109">
      <c r="A109" s="8" t="inlineStr">
        <is>
          <t>20260223</t>
        </is>
      </c>
      <c r="B109" s="9" t="n">
        <v>7650</v>
      </c>
      <c r="C109" s="9" t="n">
        <v>0</v>
      </c>
      <c r="D109" s="8" t="inlineStr">
        <is>
          <t>否</t>
        </is>
      </c>
      <c r="E109" s="8" t="inlineStr">
        <is>
          <t>台阶（连续不变）</t>
        </is>
      </c>
    </row>
    <row r="110">
      <c r="A110" s="8" t="inlineStr">
        <is>
          <t>20260224</t>
        </is>
      </c>
      <c r="B110" s="9" t="n">
        <v>7650</v>
      </c>
      <c r="C110" s="9" t="n">
        <v>0</v>
      </c>
      <c r="D110" s="8" t="inlineStr">
        <is>
          <t>否</t>
        </is>
      </c>
      <c r="E110" s="8" t="inlineStr">
        <is>
          <t>台阶（连续不变）</t>
        </is>
      </c>
    </row>
    <row r="111">
      <c r="A111" s="8" t="inlineStr">
        <is>
          <t>20260225</t>
        </is>
      </c>
      <c r="B111" s="9" t="n">
        <v>7650</v>
      </c>
      <c r="C111" s="9" t="n">
        <v>0</v>
      </c>
      <c r="D111" s="8" t="inlineStr">
        <is>
          <t>否</t>
        </is>
      </c>
      <c r="E111" s="8" t="inlineStr">
        <is>
          <t>台阶（连续不变）</t>
        </is>
      </c>
    </row>
    <row r="112">
      <c r="A112" s="8" t="inlineStr">
        <is>
          <t>20260226</t>
        </is>
      </c>
      <c r="B112" s="9" t="n">
        <v>7650</v>
      </c>
      <c r="C112" s="9" t="n">
        <v>0</v>
      </c>
      <c r="D112" s="8" t="inlineStr">
        <is>
          <t>否</t>
        </is>
      </c>
      <c r="E112" s="8" t="inlineStr">
        <is>
          <t>台阶（连续不变）</t>
        </is>
      </c>
    </row>
    <row r="113">
      <c r="A113" s="8" t="inlineStr">
        <is>
          <t>20260227</t>
        </is>
      </c>
      <c r="B113" s="9" t="n">
        <v>7650</v>
      </c>
      <c r="C113" s="9" t="n">
        <v>0</v>
      </c>
      <c r="D113" s="8" t="inlineStr">
        <is>
          <t>否</t>
        </is>
      </c>
      <c r="E113" s="8" t="inlineStr">
        <is>
          <t>台阶（连续不变）</t>
        </is>
      </c>
    </row>
    <row r="114">
      <c r="A114" s="8" t="inlineStr">
        <is>
          <t>20260302</t>
        </is>
      </c>
      <c r="B114" s="9" t="n">
        <v>7600</v>
      </c>
      <c r="C114" s="9" t="n">
        <v>-50</v>
      </c>
      <c r="D114" s="8" t="inlineStr">
        <is>
          <t>是</t>
        </is>
      </c>
      <c r="E114" s="8" t="inlineStr"/>
    </row>
    <row r="115">
      <c r="A115" s="8" t="inlineStr">
        <is>
          <t>20260303</t>
        </is>
      </c>
      <c r="B115" s="9" t="n">
        <v>7600</v>
      </c>
      <c r="C115" s="9" t="n">
        <v>0</v>
      </c>
      <c r="D115" s="8" t="inlineStr">
        <is>
          <t>否</t>
        </is>
      </c>
      <c r="E115" s="8" t="inlineStr">
        <is>
          <t>台阶（连续不变）</t>
        </is>
      </c>
    </row>
    <row r="116">
      <c r="A116" s="8" t="inlineStr">
        <is>
          <t>20260304</t>
        </is>
      </c>
      <c r="B116" s="9" t="n">
        <v>7600</v>
      </c>
      <c r="C116" s="9" t="n">
        <v>0</v>
      </c>
      <c r="D116" s="8" t="inlineStr">
        <is>
          <t>否</t>
        </is>
      </c>
      <c r="E116" s="8" t="inlineStr">
        <is>
          <t>台阶（连续不变）</t>
        </is>
      </c>
    </row>
    <row r="117">
      <c r="A117" s="8" t="inlineStr">
        <is>
          <t>20260305</t>
        </is>
      </c>
      <c r="B117" s="9" t="n">
        <v>8200</v>
      </c>
      <c r="C117" s="9" t="n">
        <v>600</v>
      </c>
      <c r="D117" s="8" t="inlineStr">
        <is>
          <t>是</t>
        </is>
      </c>
      <c r="E117" s="8" t="inlineStr"/>
    </row>
    <row r="118">
      <c r="A118" s="8" t="inlineStr">
        <is>
          <t>20260306</t>
        </is>
      </c>
      <c r="B118" s="9" t="n">
        <v>8200</v>
      </c>
      <c r="C118" s="9" t="n">
        <v>0</v>
      </c>
      <c r="D118" s="8" t="inlineStr">
        <is>
          <t>否</t>
        </is>
      </c>
      <c r="E118" s="8" t="inlineStr">
        <is>
          <t>台阶（连续不变）</t>
        </is>
      </c>
    </row>
    <row r="119">
      <c r="A119" s="8" t="inlineStr">
        <is>
          <t>20260309</t>
        </is>
      </c>
      <c r="B119" s="9" t="n">
        <v>8200</v>
      </c>
      <c r="C119" s="9" t="n">
        <v>0</v>
      </c>
      <c r="D119" s="8" t="inlineStr">
        <is>
          <t>否</t>
        </is>
      </c>
      <c r="E119" s="8" t="inlineStr">
        <is>
          <t>台阶（连续不变）</t>
        </is>
      </c>
    </row>
    <row r="120">
      <c r="A120" s="8" t="inlineStr">
        <is>
          <t>20260310</t>
        </is>
      </c>
      <c r="B120" s="9" t="n">
        <v>8600</v>
      </c>
      <c r="C120" s="9" t="n">
        <v>400</v>
      </c>
      <c r="D120" s="8" t="inlineStr">
        <is>
          <t>是</t>
        </is>
      </c>
      <c r="E120" s="8" t="inlineStr"/>
    </row>
    <row r="121">
      <c r="A121" s="8" t="inlineStr">
        <is>
          <t>20260311</t>
        </is>
      </c>
      <c r="B121" s="9" t="n">
        <v>10600</v>
      </c>
      <c r="C121" s="9" t="n">
        <v>2000</v>
      </c>
      <c r="D121" s="8" t="inlineStr">
        <is>
          <t>是</t>
        </is>
      </c>
      <c r="E121" s="8" t="inlineStr"/>
    </row>
    <row r="122">
      <c r="A122" s="8" t="inlineStr">
        <is>
          <t>20260312</t>
        </is>
      </c>
      <c r="B122" s="9" t="n">
        <v>8800</v>
      </c>
      <c r="C122" s="9" t="n">
        <v>-1800</v>
      </c>
      <c r="D122" s="8" t="inlineStr">
        <is>
          <t>是</t>
        </is>
      </c>
      <c r="E122" s="8" t="inlineStr"/>
    </row>
    <row r="123">
      <c r="A123" s="8" t="inlineStr">
        <is>
          <t>20260313</t>
        </is>
      </c>
      <c r="B123" s="9" t="n">
        <v>8800</v>
      </c>
      <c r="C123" s="9" t="n">
        <v>0</v>
      </c>
      <c r="D123" s="8" t="inlineStr">
        <is>
          <t>否</t>
        </is>
      </c>
      <c r="E123" s="8" t="inlineStr">
        <is>
          <t>台阶（连续不变）</t>
        </is>
      </c>
    </row>
    <row r="124">
      <c r="A124" s="8" t="inlineStr">
        <is>
          <t>20260316</t>
        </is>
      </c>
      <c r="B124" s="9" t="n">
        <v>10200</v>
      </c>
      <c r="C124" s="9" t="n">
        <v>1400</v>
      </c>
      <c r="D124" s="8" t="inlineStr">
        <is>
          <t>是</t>
        </is>
      </c>
      <c r="E124" s="8" t="inlineStr"/>
    </row>
    <row r="125">
      <c r="A125" s="8" t="inlineStr">
        <is>
          <t>20260317</t>
        </is>
      </c>
      <c r="B125" s="9" t="n">
        <v>10200</v>
      </c>
      <c r="C125" s="9" t="n">
        <v>0</v>
      </c>
      <c r="D125" s="8" t="inlineStr">
        <is>
          <t>否</t>
        </is>
      </c>
      <c r="E125" s="8" t="inlineStr">
        <is>
          <t>台阶（连续不变）</t>
        </is>
      </c>
    </row>
    <row r="126">
      <c r="A126" s="8" t="inlineStr">
        <is>
          <t>20260318</t>
        </is>
      </c>
      <c r="B126" s="9" t="n">
        <v>10200</v>
      </c>
      <c r="C126" s="9" t="n">
        <v>0</v>
      </c>
      <c r="D126" s="8" t="inlineStr">
        <is>
          <t>否</t>
        </is>
      </c>
      <c r="E126" s="8" t="inlineStr">
        <is>
          <t>台阶（连续不变）</t>
        </is>
      </c>
    </row>
    <row r="127">
      <c r="A127" s="8" t="inlineStr">
        <is>
          <t>20260319</t>
        </is>
      </c>
      <c r="B127" s="9" t="n">
        <v>10200</v>
      </c>
      <c r="C127" s="9" t="n">
        <v>0</v>
      </c>
      <c r="D127" s="8" t="inlineStr">
        <is>
          <t>否</t>
        </is>
      </c>
      <c r="E127" s="8" t="inlineStr">
        <is>
          <t>台阶（连续不变）</t>
        </is>
      </c>
    </row>
    <row r="128">
      <c r="A128" s="8" t="inlineStr">
        <is>
          <t>20260320</t>
        </is>
      </c>
      <c r="B128" s="9" t="n">
        <v>10200</v>
      </c>
      <c r="C128" s="9" t="n">
        <v>0</v>
      </c>
      <c r="D128" s="8" t="inlineStr">
        <is>
          <t>否</t>
        </is>
      </c>
      <c r="E128" s="8" t="inlineStr">
        <is>
          <t>台阶（连续不变）</t>
        </is>
      </c>
    </row>
    <row r="129">
      <c r="A129" s="8" t="inlineStr">
        <is>
          <t>20260323</t>
        </is>
      </c>
      <c r="B129" s="9" t="n">
        <v>10200</v>
      </c>
      <c r="C129" s="9" t="n">
        <v>0</v>
      </c>
      <c r="D129" s="8" t="inlineStr">
        <is>
          <t>否</t>
        </is>
      </c>
      <c r="E129" s="8" t="inlineStr">
        <is>
          <t>台阶（连续不变）</t>
        </is>
      </c>
    </row>
    <row r="130">
      <c r="A130" s="8" t="inlineStr">
        <is>
          <t>20260324</t>
        </is>
      </c>
      <c r="B130" s="9" t="n">
        <v>10200</v>
      </c>
      <c r="C130" s="9" t="n">
        <v>0</v>
      </c>
      <c r="D130" s="8" t="inlineStr">
        <is>
          <t>否</t>
        </is>
      </c>
      <c r="E130" s="8" t="inlineStr">
        <is>
          <t>台阶（连续不变）</t>
        </is>
      </c>
    </row>
    <row r="131">
      <c r="A131" s="8" t="inlineStr">
        <is>
          <t>20260325</t>
        </is>
      </c>
      <c r="B131" s="9" t="n">
        <v>10200</v>
      </c>
      <c r="C131" s="9" t="n">
        <v>0</v>
      </c>
      <c r="D131" s="8" t="inlineStr">
        <is>
          <t>否</t>
        </is>
      </c>
      <c r="E131" s="8" t="inlineStr">
        <is>
          <t>台阶（连续不变）</t>
        </is>
      </c>
    </row>
    <row r="132">
      <c r="A132" s="8" t="inlineStr">
        <is>
          <t>20260326</t>
        </is>
      </c>
      <c r="B132" s="9" t="n">
        <v>10200</v>
      </c>
      <c r="C132" s="9" t="n">
        <v>0</v>
      </c>
      <c r="D132" s="8" t="inlineStr">
        <is>
          <t>否</t>
        </is>
      </c>
      <c r="E132" s="8" t="inlineStr">
        <is>
          <t>台阶（连续不变）</t>
        </is>
      </c>
    </row>
    <row r="133">
      <c r="A133" s="8" t="inlineStr">
        <is>
          <t>20260327</t>
        </is>
      </c>
      <c r="B133" s="9" t="n">
        <v>10200</v>
      </c>
      <c r="C133" s="9" t="n">
        <v>0</v>
      </c>
      <c r="D133" s="8" t="inlineStr">
        <is>
          <t>否</t>
        </is>
      </c>
      <c r="E133" s="8" t="inlineStr">
        <is>
          <t>台阶（连续不变）</t>
        </is>
      </c>
    </row>
    <row r="134">
      <c r="A134" s="8" t="inlineStr">
        <is>
          <t>20260330</t>
        </is>
      </c>
      <c r="B134" s="9" t="n">
        <v>10200</v>
      </c>
      <c r="C134" s="9" t="n">
        <v>0</v>
      </c>
      <c r="D134" s="8" t="inlineStr">
        <is>
          <t>否</t>
        </is>
      </c>
      <c r="E134" s="8" t="inlineStr">
        <is>
          <t>台阶（连续不变）</t>
        </is>
      </c>
    </row>
    <row r="135">
      <c r="A135" s="8" t="inlineStr">
        <is>
          <t>20260331</t>
        </is>
      </c>
      <c r="B135" s="9" t="n">
        <v>10200</v>
      </c>
      <c r="C135" s="9" t="n">
        <v>0</v>
      </c>
      <c r="D135" s="8" t="inlineStr">
        <is>
          <t>否</t>
        </is>
      </c>
      <c r="E135" s="8" t="inlineStr">
        <is>
          <t>台阶（连续不变）</t>
        </is>
      </c>
    </row>
    <row r="136">
      <c r="A136" s="8" t="inlineStr">
        <is>
          <t>20260401</t>
        </is>
      </c>
      <c r="B136" s="9" t="n">
        <v>9700</v>
      </c>
      <c r="C136" s="9" t="n">
        <v>-500</v>
      </c>
      <c r="D136" s="8" t="inlineStr">
        <is>
          <t>是</t>
        </is>
      </c>
      <c r="E136" s="8" t="inlineStr"/>
    </row>
    <row r="137">
      <c r="A137" s="8" t="inlineStr">
        <is>
          <t>20260402</t>
        </is>
      </c>
      <c r="B137" s="9" t="n">
        <v>9700</v>
      </c>
      <c r="C137" s="9" t="n">
        <v>0</v>
      </c>
      <c r="D137" s="8" t="inlineStr">
        <is>
          <t>否</t>
        </is>
      </c>
      <c r="E137" s="8" t="inlineStr">
        <is>
          <t>台阶（连续不变）</t>
        </is>
      </c>
    </row>
    <row r="138">
      <c r="A138" s="8" t="inlineStr">
        <is>
          <t>20260403</t>
        </is>
      </c>
      <c r="B138" s="9" t="n">
        <v>9700</v>
      </c>
      <c r="C138" s="9" t="n">
        <v>0</v>
      </c>
      <c r="D138" s="8" t="inlineStr">
        <is>
          <t>否</t>
        </is>
      </c>
      <c r="E138" s="8" t="inlineStr">
        <is>
          <t>台阶（连续不变）</t>
        </is>
      </c>
    </row>
    <row r="139">
      <c r="A139" s="8" t="inlineStr">
        <is>
          <t>20260406</t>
        </is>
      </c>
      <c r="B139" s="9" t="n">
        <v>9700</v>
      </c>
      <c r="C139" s="9" t="n">
        <v>0</v>
      </c>
      <c r="D139" s="8" t="inlineStr">
        <is>
          <t>否</t>
        </is>
      </c>
      <c r="E139" s="8" t="inlineStr">
        <is>
          <t>台阶（连续不变）</t>
        </is>
      </c>
    </row>
    <row r="140">
      <c r="A140" s="8" t="inlineStr">
        <is>
          <t>20260407</t>
        </is>
      </c>
      <c r="B140" s="9" t="n">
        <v>9700</v>
      </c>
      <c r="C140" s="9" t="n">
        <v>0</v>
      </c>
      <c r="D140" s="8" t="inlineStr">
        <is>
          <t>否</t>
        </is>
      </c>
      <c r="E140" s="8" t="inlineStr">
        <is>
          <t>台阶（连续不变）</t>
        </is>
      </c>
    </row>
    <row r="141">
      <c r="A141" s="8" t="inlineStr">
        <is>
          <t>20260408</t>
        </is>
      </c>
      <c r="B141" s="9" t="n">
        <v>9700</v>
      </c>
      <c r="C141" s="9" t="n">
        <v>0</v>
      </c>
      <c r="D141" s="8" t="inlineStr">
        <is>
          <t>否</t>
        </is>
      </c>
      <c r="E141" s="8" t="inlineStr">
        <is>
          <t>台阶（连续不变）</t>
        </is>
      </c>
    </row>
    <row r="142">
      <c r="A142" s="8" t="inlineStr">
        <is>
          <t>20260409</t>
        </is>
      </c>
      <c r="B142" s="9" t="n">
        <v>9700</v>
      </c>
      <c r="C142" s="9" t="n">
        <v>0</v>
      </c>
      <c r="D142" s="8" t="inlineStr">
        <is>
          <t>否</t>
        </is>
      </c>
      <c r="E142" s="8" t="inlineStr">
        <is>
          <t>台阶（连续不变）</t>
        </is>
      </c>
    </row>
    <row r="143">
      <c r="A143" s="8" t="inlineStr">
        <is>
          <t>20260410</t>
        </is>
      </c>
      <c r="B143" s="9" t="n">
        <v>10200</v>
      </c>
      <c r="C143" s="9" t="n">
        <v>500</v>
      </c>
      <c r="D143" s="8" t="inlineStr">
        <is>
          <t>是</t>
        </is>
      </c>
      <c r="E143" s="8" t="inlineStr"/>
    </row>
    <row r="144">
      <c r="A144" s="8" t="inlineStr">
        <is>
          <t>20260413</t>
        </is>
      </c>
      <c r="B144" s="9" t="n">
        <v>9600</v>
      </c>
      <c r="C144" s="9" t="n">
        <v>-600</v>
      </c>
      <c r="D144" s="8" t="inlineStr">
        <is>
          <t>是</t>
        </is>
      </c>
      <c r="E144" s="8" t="inlineStr"/>
    </row>
    <row r="145">
      <c r="A145" s="8" t="inlineStr">
        <is>
          <t>20260414</t>
        </is>
      </c>
      <c r="B145" s="9" t="n">
        <v>9600</v>
      </c>
      <c r="C145" s="9" t="n">
        <v>0</v>
      </c>
      <c r="D145" s="8" t="inlineStr">
        <is>
          <t>否</t>
        </is>
      </c>
      <c r="E145" s="8" t="inlineStr">
        <is>
          <t>台阶（连续不变）</t>
        </is>
      </c>
    </row>
    <row r="146">
      <c r="A146" s="8" t="inlineStr">
        <is>
          <t>20260415</t>
        </is>
      </c>
      <c r="B146" s="9" t="n">
        <v>9600</v>
      </c>
      <c r="C146" s="9" t="n">
        <v>0</v>
      </c>
      <c r="D146" s="8" t="inlineStr">
        <is>
          <t>否</t>
        </is>
      </c>
      <c r="E146" s="8" t="inlineStr">
        <is>
          <t>台阶（连续不变）</t>
        </is>
      </c>
    </row>
    <row r="147">
      <c r="A147" s="8" t="inlineStr">
        <is>
          <t>20260416</t>
        </is>
      </c>
      <c r="B147" s="9" t="n">
        <v>9600</v>
      </c>
      <c r="C147" s="9" t="n">
        <v>0</v>
      </c>
      <c r="D147" s="8" t="inlineStr">
        <is>
          <t>否</t>
        </is>
      </c>
      <c r="E147" s="8" t="inlineStr">
        <is>
          <t>台阶（连续不变）</t>
        </is>
      </c>
    </row>
    <row r="148">
      <c r="A148" s="8" t="inlineStr">
        <is>
          <t>20260417</t>
        </is>
      </c>
      <c r="B148" s="9" t="n">
        <v>9600</v>
      </c>
      <c r="C148" s="9" t="n">
        <v>0</v>
      </c>
      <c r="D148" s="8" t="inlineStr">
        <is>
          <t>否</t>
        </is>
      </c>
      <c r="E148" s="8" t="inlineStr">
        <is>
          <t>台阶（连续不变）</t>
        </is>
      </c>
    </row>
    <row r="149">
      <c r="A149" s="8" t="inlineStr">
        <is>
          <t>20260420</t>
        </is>
      </c>
      <c r="B149" s="9" t="n">
        <v>9600</v>
      </c>
      <c r="C149" s="9" t="n">
        <v>0</v>
      </c>
      <c r="D149" s="8" t="inlineStr">
        <is>
          <t>否</t>
        </is>
      </c>
      <c r="E149" s="8" t="inlineStr">
        <is>
          <t>台阶（连续不变）</t>
        </is>
      </c>
    </row>
    <row r="150">
      <c r="A150" s="8" t="inlineStr">
        <is>
          <t>20260421</t>
        </is>
      </c>
      <c r="B150" s="9" t="n">
        <v>9600</v>
      </c>
      <c r="C150" s="9" t="n">
        <v>0</v>
      </c>
      <c r="D150" s="8" t="inlineStr">
        <is>
          <t>否</t>
        </is>
      </c>
      <c r="E150" s="8" t="inlineStr">
        <is>
          <t>台阶（连续不变）</t>
        </is>
      </c>
    </row>
    <row r="151">
      <c r="A151" s="8" t="inlineStr">
        <is>
          <t>20260423</t>
        </is>
      </c>
      <c r="B151" s="9" t="n">
        <v>9600</v>
      </c>
      <c r="C151" s="9" t="n">
        <v>0</v>
      </c>
      <c r="D151" s="8" t="inlineStr">
        <is>
          <t>否</t>
        </is>
      </c>
      <c r="E151" s="8" t="inlineStr">
        <is>
          <t>台阶（连续不变）</t>
        </is>
      </c>
    </row>
    <row r="152">
      <c r="A152" s="8" t="inlineStr">
        <is>
          <t>20260424</t>
        </is>
      </c>
      <c r="B152" s="9" t="n">
        <v>9600</v>
      </c>
      <c r="C152" s="9" t="n">
        <v>0</v>
      </c>
      <c r="D152" s="8" t="inlineStr">
        <is>
          <t>否</t>
        </is>
      </c>
      <c r="E152" s="8" t="inlineStr">
        <is>
          <t>台阶（连续不变）</t>
        </is>
      </c>
    </row>
    <row r="153">
      <c r="A153" s="8" t="inlineStr">
        <is>
          <t>20260427</t>
        </is>
      </c>
      <c r="B153" s="9" t="n">
        <v>9600</v>
      </c>
      <c r="C153" s="9" t="n">
        <v>0</v>
      </c>
      <c r="D153" s="8" t="inlineStr">
        <is>
          <t>否</t>
        </is>
      </c>
      <c r="E153" s="8" t="inlineStr">
        <is>
          <t>台阶（连续不变）</t>
        </is>
      </c>
    </row>
    <row r="154">
      <c r="A154" s="8" t="inlineStr">
        <is>
          <t>20260428</t>
        </is>
      </c>
      <c r="B154" s="9" t="n">
        <v>9600</v>
      </c>
      <c r="C154" s="9" t="n">
        <v>0</v>
      </c>
      <c r="D154" s="8" t="inlineStr">
        <is>
          <t>否</t>
        </is>
      </c>
      <c r="E154" s="8" t="inlineStr">
        <is>
          <t>台阶（连续不变）</t>
        </is>
      </c>
    </row>
    <row r="155">
      <c r="A155" s="8" t="inlineStr">
        <is>
          <t>20260429</t>
        </is>
      </c>
      <c r="B155" s="9" t="n">
        <v>9600</v>
      </c>
      <c r="C155" s="9" t="n">
        <v>0</v>
      </c>
      <c r="D155" s="8" t="inlineStr">
        <is>
          <t>否</t>
        </is>
      </c>
      <c r="E155" s="8" t="inlineStr">
        <is>
          <t>台阶（连续不变）</t>
        </is>
      </c>
    </row>
    <row r="156">
      <c r="A156" s="8" t="inlineStr">
        <is>
          <t>20260430</t>
        </is>
      </c>
      <c r="B156" s="9" t="n">
        <v>9900</v>
      </c>
      <c r="C156" s="9" t="n">
        <v>300</v>
      </c>
      <c r="D156" s="8" t="inlineStr">
        <is>
          <t>是</t>
        </is>
      </c>
      <c r="E156" s="8" t="inlineStr"/>
    </row>
    <row r="157">
      <c r="A157" s="8" t="inlineStr">
        <is>
          <t>20260501</t>
        </is>
      </c>
      <c r="B157" s="9" t="n">
        <v>9900</v>
      </c>
      <c r="C157" s="9" t="n">
        <v>0</v>
      </c>
      <c r="D157" s="8" t="inlineStr">
        <is>
          <t>否</t>
        </is>
      </c>
      <c r="E157" s="8" t="inlineStr">
        <is>
          <t>台阶（连续不变）</t>
        </is>
      </c>
    </row>
    <row r="158">
      <c r="A158" s="8" t="inlineStr">
        <is>
          <t>20260504</t>
        </is>
      </c>
      <c r="B158" s="9" t="n">
        <v>9900</v>
      </c>
      <c r="C158" s="9" t="n">
        <v>0</v>
      </c>
      <c r="D158" s="8" t="inlineStr">
        <is>
          <t>否</t>
        </is>
      </c>
      <c r="E158" s="8" t="inlineStr">
        <is>
          <t>台阶（连续不变）</t>
        </is>
      </c>
    </row>
    <row r="159">
      <c r="A159" s="8" t="inlineStr">
        <is>
          <t>20260505</t>
        </is>
      </c>
      <c r="B159" s="9" t="n">
        <v>9900</v>
      </c>
      <c r="C159" s="9" t="n">
        <v>0</v>
      </c>
      <c r="D159" s="8" t="inlineStr">
        <is>
          <t>否</t>
        </is>
      </c>
      <c r="E159" s="8" t="inlineStr">
        <is>
          <t>台阶（连续不变）</t>
        </is>
      </c>
    </row>
    <row r="160">
      <c r="A160" s="8" t="inlineStr">
        <is>
          <t>20260506</t>
        </is>
      </c>
      <c r="B160" s="9" t="n">
        <v>9900</v>
      </c>
      <c r="C160" s="9" t="n">
        <v>0</v>
      </c>
      <c r="D160" s="8" t="inlineStr">
        <is>
          <t>否</t>
        </is>
      </c>
      <c r="E160" s="8" t="inlineStr">
        <is>
          <t>台阶（连续不变）</t>
        </is>
      </c>
    </row>
    <row r="161">
      <c r="A161" s="8" t="inlineStr">
        <is>
          <t>20260507</t>
        </is>
      </c>
      <c r="B161" s="9" t="n">
        <v>9900</v>
      </c>
      <c r="C161" s="9" t="n">
        <v>0</v>
      </c>
      <c r="D161" s="8" t="inlineStr">
        <is>
          <t>否</t>
        </is>
      </c>
      <c r="E161" s="8" t="inlineStr">
        <is>
          <t>台阶（连续不变）</t>
        </is>
      </c>
    </row>
    <row r="162">
      <c r="A162" s="8" t="inlineStr">
        <is>
          <t>20260508</t>
        </is>
      </c>
      <c r="B162" s="9" t="n">
        <v>9900</v>
      </c>
      <c r="C162" s="9" t="n">
        <v>0</v>
      </c>
      <c r="D162" s="8" t="inlineStr">
        <is>
          <t>否</t>
        </is>
      </c>
      <c r="E162" s="8" t="inlineStr">
        <is>
          <t>台阶（连续不变）</t>
        </is>
      </c>
    </row>
    <row r="163">
      <c r="A163" s="8" t="inlineStr">
        <is>
          <t>20260511</t>
        </is>
      </c>
      <c r="B163" s="9" t="n">
        <v>9900</v>
      </c>
      <c r="C163" s="9" t="n">
        <v>0</v>
      </c>
      <c r="D163" s="8" t="inlineStr">
        <is>
          <t>否</t>
        </is>
      </c>
      <c r="E163" s="8" t="inlineStr">
        <is>
          <t>台阶（连续不变）</t>
        </is>
      </c>
    </row>
    <row r="164">
      <c r="A164" s="8" t="inlineStr">
        <is>
          <t>20260512</t>
        </is>
      </c>
      <c r="B164" s="9" t="n">
        <v>9900</v>
      </c>
      <c r="C164" s="9" t="n">
        <v>0</v>
      </c>
      <c r="D164" s="8" t="inlineStr">
        <is>
          <t>否</t>
        </is>
      </c>
      <c r="E164" s="8" t="inlineStr">
        <is>
          <t>台阶（连续不变）</t>
        </is>
      </c>
    </row>
    <row r="165">
      <c r="A165" s="8" t="inlineStr">
        <is>
          <t>20260513</t>
        </is>
      </c>
      <c r="B165" s="9" t="n">
        <v>9900</v>
      </c>
      <c r="C165" s="9" t="n">
        <v>0</v>
      </c>
      <c r="D165" s="8" t="inlineStr">
        <is>
          <t>否</t>
        </is>
      </c>
      <c r="E165" s="8" t="inlineStr">
        <is>
          <t>台阶（连续不变）</t>
        </is>
      </c>
    </row>
    <row r="166">
      <c r="A166" s="8" t="inlineStr">
        <is>
          <t>20260514</t>
        </is>
      </c>
      <c r="B166" s="9" t="n">
        <v>9900</v>
      </c>
      <c r="C166" s="9" t="n">
        <v>0</v>
      </c>
      <c r="D166" s="8" t="inlineStr">
        <is>
          <t>否</t>
        </is>
      </c>
      <c r="E166" s="8" t="inlineStr">
        <is>
          <t>台阶（连续不变）</t>
        </is>
      </c>
    </row>
    <row r="167">
      <c r="A167" s="8" t="inlineStr">
        <is>
          <t>20260515</t>
        </is>
      </c>
      <c r="B167" s="9" t="n">
        <v>9900</v>
      </c>
      <c r="C167" s="9" t="n">
        <v>0</v>
      </c>
      <c r="D167" s="8" t="inlineStr">
        <is>
          <t>否</t>
        </is>
      </c>
      <c r="E167" s="8" t="inlineStr">
        <is>
          <t>台阶（连续不变）</t>
        </is>
      </c>
    </row>
    <row r="168">
      <c r="A168" s="8" t="inlineStr">
        <is>
          <t>20260518</t>
        </is>
      </c>
      <c r="B168" s="9" t="n">
        <v>9900</v>
      </c>
      <c r="C168" s="9" t="n">
        <v>0</v>
      </c>
      <c r="D168" s="8" t="inlineStr">
        <is>
          <t>否</t>
        </is>
      </c>
      <c r="E168" s="8" t="inlineStr">
        <is>
          <t>台阶（连续不变）</t>
        </is>
      </c>
    </row>
    <row r="169">
      <c r="A169" s="8" t="inlineStr">
        <is>
          <t>20260519</t>
        </is>
      </c>
      <c r="B169" s="9" t="n">
        <v>9900</v>
      </c>
      <c r="C169" s="9" t="n">
        <v>0</v>
      </c>
      <c r="D169" s="8" t="inlineStr">
        <is>
          <t>否</t>
        </is>
      </c>
      <c r="E169" s="8" t="inlineStr">
        <is>
          <t>台阶（连续不变）</t>
        </is>
      </c>
    </row>
    <row r="170">
      <c r="A170" s="8" t="inlineStr">
        <is>
          <t>20260520</t>
        </is>
      </c>
      <c r="B170" s="9" t="n">
        <v>9900</v>
      </c>
      <c r="C170" s="9" t="n">
        <v>0</v>
      </c>
      <c r="D170" s="8" t="inlineStr">
        <is>
          <t>否</t>
        </is>
      </c>
      <c r="E170" s="8" t="inlineStr">
        <is>
          <t>台阶（连续不变）</t>
        </is>
      </c>
    </row>
    <row r="171">
      <c r="A171" s="8" t="inlineStr">
        <is>
          <t>20260521</t>
        </is>
      </c>
      <c r="B171" s="9" t="n">
        <v>9900</v>
      </c>
      <c r="C171" s="9" t="n">
        <v>0</v>
      </c>
      <c r="D171" s="8" t="inlineStr">
        <is>
          <t>否</t>
        </is>
      </c>
      <c r="E171" s="8" t="inlineStr">
        <is>
          <t>台阶（连续不变）</t>
        </is>
      </c>
    </row>
    <row r="172">
      <c r="A172" s="8" t="inlineStr">
        <is>
          <t>20260522</t>
        </is>
      </c>
      <c r="B172" s="9" t="n">
        <v>9900</v>
      </c>
      <c r="C172" s="9" t="n">
        <v>0</v>
      </c>
      <c r="D172" s="8" t="inlineStr">
        <is>
          <t>否</t>
        </is>
      </c>
      <c r="E172" s="8" t="inlineStr">
        <is>
          <t>台阶（连续不变）</t>
        </is>
      </c>
    </row>
    <row r="173">
      <c r="A173" s="8" t="inlineStr">
        <is>
          <t>20260525</t>
        </is>
      </c>
      <c r="B173" s="9" t="n">
        <v>9900</v>
      </c>
      <c r="C173" s="9" t="n">
        <v>0</v>
      </c>
      <c r="D173" s="8" t="inlineStr">
        <is>
          <t>否</t>
        </is>
      </c>
      <c r="E173" s="8" t="inlineStr">
        <is>
          <t>台阶（连续不变）</t>
        </is>
      </c>
    </row>
    <row r="174">
      <c r="A174" s="8" t="inlineStr">
        <is>
          <t>20260526</t>
        </is>
      </c>
      <c r="B174" s="9" t="n">
        <v>9900</v>
      </c>
      <c r="C174" s="9" t="n">
        <v>0</v>
      </c>
      <c r="D174" s="8" t="inlineStr">
        <is>
          <t>否</t>
        </is>
      </c>
      <c r="E174" s="8" t="inlineStr">
        <is>
          <t>台阶（连续不变）</t>
        </is>
      </c>
    </row>
    <row r="175">
      <c r="A175" s="8" t="inlineStr">
        <is>
          <t>20260527</t>
        </is>
      </c>
      <c r="B175" s="9" t="n">
        <v>9900</v>
      </c>
      <c r="C175" s="9" t="n">
        <v>0</v>
      </c>
      <c r="D175" s="8" t="inlineStr">
        <is>
          <t>否</t>
        </is>
      </c>
      <c r="E175" s="8" t="inlineStr">
        <is>
          <t>台阶（连续不变）</t>
        </is>
      </c>
    </row>
    <row r="176">
      <c r="A176" s="8" t="inlineStr">
        <is>
          <t>20260528</t>
        </is>
      </c>
      <c r="B176" s="9" t="n">
        <v>9900</v>
      </c>
      <c r="C176" s="9" t="n">
        <v>0</v>
      </c>
      <c r="D176" s="8" t="inlineStr">
        <is>
          <t>否</t>
        </is>
      </c>
      <c r="E176" s="8" t="inlineStr">
        <is>
          <t>台阶（连续不变）</t>
        </is>
      </c>
    </row>
    <row r="177">
      <c r="A177" s="8" t="inlineStr">
        <is>
          <t>20260529</t>
        </is>
      </c>
      <c r="B177" s="9" t="n">
        <v>9900</v>
      </c>
      <c r="C177" s="9" t="n">
        <v>0</v>
      </c>
      <c r="D177" s="8" t="inlineStr">
        <is>
          <t>否</t>
        </is>
      </c>
      <c r="E177" s="8" t="inlineStr">
        <is>
          <t>台阶（连续不变）</t>
        </is>
      </c>
    </row>
    <row r="178">
      <c r="A178" s="8" t="inlineStr">
        <is>
          <t>20260601</t>
        </is>
      </c>
      <c r="B178" s="9" t="n">
        <v>9000</v>
      </c>
      <c r="C178" s="9" t="n">
        <v>-900</v>
      </c>
      <c r="D178" s="8" t="inlineStr">
        <is>
          <t>是</t>
        </is>
      </c>
      <c r="E178" s="8" t="inlineStr"/>
    </row>
    <row r="179">
      <c r="A179" s="8" t="inlineStr">
        <is>
          <t>20260602</t>
        </is>
      </c>
      <c r="B179" s="9" t="n">
        <v>9000</v>
      </c>
      <c r="C179" s="9" t="n">
        <v>0</v>
      </c>
      <c r="D179" s="8" t="inlineStr">
        <is>
          <t>否</t>
        </is>
      </c>
      <c r="E179" s="8" t="inlineStr">
        <is>
          <t>台阶（连续不变）</t>
        </is>
      </c>
    </row>
    <row r="180">
      <c r="A180" s="8" t="inlineStr">
        <is>
          <t>20260603</t>
        </is>
      </c>
      <c r="B180" s="9" t="n">
        <v>9000</v>
      </c>
      <c r="C180" s="9" t="n">
        <v>0</v>
      </c>
      <c r="D180" s="8" t="inlineStr">
        <is>
          <t>否</t>
        </is>
      </c>
      <c r="E180" s="8" t="inlineStr">
        <is>
          <t>台阶（连续不变）</t>
        </is>
      </c>
    </row>
    <row r="181">
      <c r="A181" s="8" t="inlineStr">
        <is>
          <t>20260604</t>
        </is>
      </c>
      <c r="B181" s="9" t="n">
        <v>9000</v>
      </c>
      <c r="C181" s="9" t="n">
        <v>0</v>
      </c>
      <c r="D181" s="8" t="inlineStr">
        <is>
          <t>否</t>
        </is>
      </c>
      <c r="E181" s="8" t="inlineStr">
        <is>
          <t>台阶（连续不变）</t>
        </is>
      </c>
    </row>
    <row r="182">
      <c r="A182" s="8" t="inlineStr">
        <is>
          <t>20260605</t>
        </is>
      </c>
      <c r="B182" s="9" t="n">
        <v>9000</v>
      </c>
      <c r="C182" s="9" t="n">
        <v>0</v>
      </c>
      <c r="D182" s="8" t="inlineStr">
        <is>
          <t>否</t>
        </is>
      </c>
      <c r="E182" s="8" t="inlineStr">
        <is>
          <t>台阶（连续不变）</t>
        </is>
      </c>
    </row>
    <row r="183">
      <c r="A183" s="8" t="inlineStr">
        <is>
          <t>20260608</t>
        </is>
      </c>
      <c r="B183" s="9" t="n">
        <v>9000</v>
      </c>
      <c r="C183" s="9" t="n">
        <v>0</v>
      </c>
      <c r="D183" s="8" t="inlineStr">
        <is>
          <t>否</t>
        </is>
      </c>
      <c r="E183" s="8" t="inlineStr">
        <is>
          <t>台阶（连续不变）</t>
        </is>
      </c>
    </row>
    <row r="184">
      <c r="A184" s="8" t="inlineStr">
        <is>
          <t>20260609</t>
        </is>
      </c>
      <c r="B184" s="9" t="n">
        <v>9000</v>
      </c>
      <c r="C184" s="9" t="n">
        <v>0</v>
      </c>
      <c r="D184" s="8" t="inlineStr">
        <is>
          <t>否</t>
        </is>
      </c>
      <c r="E184" s="8" t="inlineStr">
        <is>
          <t>台阶（连续不变）</t>
        </is>
      </c>
    </row>
    <row r="185">
      <c r="A185" s="8" t="inlineStr">
        <is>
          <t>20260610</t>
        </is>
      </c>
      <c r="B185" s="9" t="n">
        <v>9000</v>
      </c>
      <c r="C185" s="9" t="n">
        <v>0</v>
      </c>
      <c r="D185" s="8" t="inlineStr">
        <is>
          <t>否</t>
        </is>
      </c>
      <c r="E185" s="8" t="inlineStr">
        <is>
          <t>台阶（连续不变）</t>
        </is>
      </c>
    </row>
    <row r="186">
      <c r="A186" s="8" t="inlineStr">
        <is>
          <t>20260611</t>
        </is>
      </c>
      <c r="B186" s="9" t="n">
        <v>9000</v>
      </c>
      <c r="C186" s="9" t="n">
        <v>0</v>
      </c>
      <c r="D186" s="8" t="inlineStr">
        <is>
          <t>否</t>
        </is>
      </c>
      <c r="E186" s="8" t="inlineStr">
        <is>
          <t>台阶（连续不变）</t>
        </is>
      </c>
    </row>
    <row r="187">
      <c r="A187" s="8" t="inlineStr">
        <is>
          <t>20260612</t>
        </is>
      </c>
      <c r="B187" s="9" t="n">
        <v>9000</v>
      </c>
      <c r="C187" s="9" t="n">
        <v>0</v>
      </c>
      <c r="D187" s="8" t="inlineStr">
        <is>
          <t>否</t>
        </is>
      </c>
      <c r="E187" s="8" t="inlineStr">
        <is>
          <t>台阶（连续不变）</t>
        </is>
      </c>
    </row>
    <row r="188">
      <c r="A188" s="8" t="inlineStr">
        <is>
          <t>20260615</t>
        </is>
      </c>
      <c r="B188" s="9" t="n">
        <v>9000</v>
      </c>
      <c r="C188" s="9" t="n">
        <v>0</v>
      </c>
      <c r="D188" s="8" t="inlineStr">
        <is>
          <t>否</t>
        </is>
      </c>
      <c r="E188" s="8" t="inlineStr">
        <is>
          <t>台阶（连续不变）</t>
        </is>
      </c>
    </row>
    <row r="189">
      <c r="A189" s="8" t="inlineStr">
        <is>
          <t>20260616</t>
        </is>
      </c>
      <c r="B189" s="9" t="n">
        <v>9000</v>
      </c>
      <c r="C189" s="9" t="n">
        <v>0</v>
      </c>
      <c r="D189" s="8" t="inlineStr">
        <is>
          <t>否</t>
        </is>
      </c>
      <c r="E189" s="8" t="inlineStr">
        <is>
          <t>台阶（连续不变）</t>
        </is>
      </c>
    </row>
    <row r="190">
      <c r="A190" s="8" t="inlineStr">
        <is>
          <t>20260617</t>
        </is>
      </c>
      <c r="B190" s="9" t="n">
        <v>9000</v>
      </c>
      <c r="C190" s="9" t="n">
        <v>0</v>
      </c>
      <c r="D190" s="8" t="inlineStr">
        <is>
          <t>否</t>
        </is>
      </c>
      <c r="E190" s="8" t="inlineStr">
        <is>
          <t>台阶（连续不变）</t>
        </is>
      </c>
    </row>
    <row r="191">
      <c r="A191" s="8" t="inlineStr">
        <is>
          <t>20260618</t>
        </is>
      </c>
      <c r="B191" s="9" t="n">
        <v>8800</v>
      </c>
      <c r="C191" s="9" t="n">
        <v>-200</v>
      </c>
      <c r="D191" s="8" t="inlineStr">
        <is>
          <t>是</t>
        </is>
      </c>
      <c r="E191" s="8" t="inlineStr"/>
    </row>
    <row r="192">
      <c r="A192" s="8" t="inlineStr">
        <is>
          <t>20260619</t>
        </is>
      </c>
      <c r="B192" s="9" t="n">
        <v>8800</v>
      </c>
      <c r="C192" s="9" t="n">
        <v>0</v>
      </c>
      <c r="D192" s="8" t="inlineStr">
        <is>
          <t>否</t>
        </is>
      </c>
      <c r="E192" s="8" t="inlineStr">
        <is>
          <t>台阶（连续不变）</t>
        </is>
      </c>
    </row>
    <row r="193">
      <c r="A193" s="8" t="inlineStr">
        <is>
          <t>20260622</t>
        </is>
      </c>
      <c r="B193" s="9" t="n">
        <v>8800</v>
      </c>
      <c r="C193" s="9" t="n">
        <v>0</v>
      </c>
      <c r="D193" s="8" t="inlineStr">
        <is>
          <t>否</t>
        </is>
      </c>
      <c r="E193" s="8" t="inlineStr">
        <is>
          <t>台阶（连续不变）</t>
        </is>
      </c>
    </row>
    <row r="194">
      <c r="A194" s="8" t="inlineStr">
        <is>
          <t>20260623</t>
        </is>
      </c>
      <c r="B194" s="9" t="n">
        <v>8800</v>
      </c>
      <c r="C194" s="9" t="n">
        <v>0</v>
      </c>
      <c r="D194" s="8" t="inlineStr">
        <is>
          <t>否</t>
        </is>
      </c>
      <c r="E194" s="8" t="inlineStr">
        <is>
          <t>台阶（连续不变）</t>
        </is>
      </c>
    </row>
    <row r="195">
      <c r="A195" s="8" t="inlineStr">
        <is>
          <t>20260624</t>
        </is>
      </c>
      <c r="B195" s="9" t="n">
        <v>8800</v>
      </c>
      <c r="C195" s="9" t="n">
        <v>0</v>
      </c>
      <c r="D195" s="8" t="inlineStr">
        <is>
          <t>否</t>
        </is>
      </c>
      <c r="E195" s="8" t="inlineStr">
        <is>
          <t>台阶（连续不变）</t>
        </is>
      </c>
    </row>
    <row r="196">
      <c r="A196" s="8" t="inlineStr">
        <is>
          <t>20260625</t>
        </is>
      </c>
      <c r="B196" s="9" t="n">
        <v>8800</v>
      </c>
      <c r="C196" s="9" t="n">
        <v>0</v>
      </c>
      <c r="D196" s="8" t="inlineStr">
        <is>
          <t>否</t>
        </is>
      </c>
      <c r="E196" s="8" t="inlineStr">
        <is>
          <t>台阶（连续不变）</t>
        </is>
      </c>
    </row>
    <row r="197">
      <c r="A197" s="8" t="inlineStr">
        <is>
          <t>20260626</t>
        </is>
      </c>
      <c r="B197" s="9" t="n">
        <v>8800</v>
      </c>
      <c r="C197" s="9" t="n">
        <v>0</v>
      </c>
      <c r="D197" s="8" t="inlineStr">
        <is>
          <t>否</t>
        </is>
      </c>
      <c r="E197" s="8" t="inlineStr">
        <is>
          <t>台阶（连续不变）</t>
        </is>
      </c>
    </row>
    <row r="198">
      <c r="A198" s="8" t="inlineStr">
        <is>
          <t>20260629</t>
        </is>
      </c>
      <c r="B198" s="9" t="n">
        <v>8800</v>
      </c>
      <c r="C198" s="9" t="n">
        <v>0</v>
      </c>
      <c r="D198" s="8" t="inlineStr">
        <is>
          <t>否</t>
        </is>
      </c>
      <c r="E198" s="8" t="inlineStr">
        <is>
          <t>台阶（连续不变）</t>
        </is>
      </c>
    </row>
    <row r="199">
      <c r="A199" s="8" t="inlineStr">
        <is>
          <t>20260630</t>
        </is>
      </c>
      <c r="B199" s="9" t="n">
        <v>7900</v>
      </c>
      <c r="C199" s="9" t="n">
        <v>-900</v>
      </c>
      <c r="D199" s="8" t="inlineStr">
        <is>
          <t>是</t>
        </is>
      </c>
      <c r="E199" s="8" t="inlineStr"/>
    </row>
    <row r="200">
      <c r="A200" s="8" t="inlineStr">
        <is>
          <t>20260701</t>
        </is>
      </c>
      <c r="B200" s="9" t="n">
        <v>7900</v>
      </c>
      <c r="C200" s="9" t="n">
        <v>0</v>
      </c>
      <c r="D200" s="8" t="inlineStr">
        <is>
          <t>否</t>
        </is>
      </c>
      <c r="E200" s="8" t="inlineStr">
        <is>
          <t>台阶（连续不变）</t>
        </is>
      </c>
    </row>
    <row r="201">
      <c r="A201" s="8" t="inlineStr">
        <is>
          <t>20260702</t>
        </is>
      </c>
      <c r="B201" s="9" t="n">
        <v>7900</v>
      </c>
      <c r="C201" s="9" t="n">
        <v>0</v>
      </c>
      <c r="D201" s="8" t="inlineStr">
        <is>
          <t>否</t>
        </is>
      </c>
      <c r="E201" s="8" t="inlineStr">
        <is>
          <t>台阶（连续不变）</t>
        </is>
      </c>
    </row>
    <row r="202">
      <c r="A202" s="8" t="inlineStr">
        <is>
          <t>20260703</t>
        </is>
      </c>
      <c r="B202" s="9" t="n">
        <v>7900</v>
      </c>
      <c r="C202" s="9" t="n">
        <v>0</v>
      </c>
      <c r="D202" s="8" t="inlineStr">
        <is>
          <t>否</t>
        </is>
      </c>
      <c r="E202" s="8" t="inlineStr">
        <is>
          <t>台阶（连续不变）</t>
        </is>
      </c>
    </row>
    <row r="203">
      <c r="A203" s="8" t="inlineStr">
        <is>
          <t>20260706</t>
        </is>
      </c>
      <c r="B203" s="9" t="n">
        <v>7900</v>
      </c>
      <c r="C203" s="9" t="n">
        <v>0</v>
      </c>
      <c r="D203" s="8" t="inlineStr">
        <is>
          <t>否</t>
        </is>
      </c>
      <c r="E203" s="8" t="inlineStr">
        <is>
          <t>台阶（连续不变）</t>
        </is>
      </c>
    </row>
    <row r="204">
      <c r="A204" s="8" t="inlineStr">
        <is>
          <t>20260707</t>
        </is>
      </c>
      <c r="B204" s="9" t="n">
        <v>7900</v>
      </c>
      <c r="C204" s="9" t="n">
        <v>0</v>
      </c>
      <c r="D204" s="8" t="inlineStr">
        <is>
          <t>否</t>
        </is>
      </c>
      <c r="E204" s="8" t="inlineStr">
        <is>
          <t>台阶（连续不变）</t>
        </is>
      </c>
    </row>
    <row r="205">
      <c r="A205" s="8" t="inlineStr">
        <is>
          <t>20260708</t>
        </is>
      </c>
      <c r="B205" s="9" t="n">
        <v>7900</v>
      </c>
      <c r="C205" s="9" t="n">
        <v>0</v>
      </c>
      <c r="D205" s="8" t="inlineStr">
        <is>
          <t>否</t>
        </is>
      </c>
      <c r="E205" s="8" t="inlineStr">
        <is>
          <t>台阶（连续不变）</t>
        </is>
      </c>
    </row>
    <row r="206">
      <c r="A206" s="8" t="inlineStr">
        <is>
          <t>20260709</t>
        </is>
      </c>
      <c r="B206" s="9" t="n">
        <v>7900</v>
      </c>
      <c r="C206" s="9" t="n">
        <v>0</v>
      </c>
      <c r="D206" s="8" t="inlineStr">
        <is>
          <t>否</t>
        </is>
      </c>
      <c r="E206" s="8" t="inlineStr">
        <is>
          <t>台阶（连续不变）</t>
        </is>
      </c>
    </row>
    <row r="207">
      <c r="A207" s="8" t="inlineStr">
        <is>
          <t>20260710</t>
        </is>
      </c>
      <c r="B207" s="9" t="n">
        <v>7900</v>
      </c>
      <c r="C207" s="9" t="n">
        <v>0</v>
      </c>
      <c r="D207" s="8" t="inlineStr">
        <is>
          <t>否</t>
        </is>
      </c>
      <c r="E207" s="8" t="inlineStr">
        <is>
          <t>台阶（连续不变）</t>
        </is>
      </c>
    </row>
    <row r="208">
      <c r="A208" s="8" t="inlineStr">
        <is>
          <t>20260713</t>
        </is>
      </c>
      <c r="B208" s="9" t="n">
        <v>7900</v>
      </c>
      <c r="C208" s="9" t="n">
        <v>0</v>
      </c>
      <c r="D208" s="8" t="inlineStr">
        <is>
          <t>否</t>
        </is>
      </c>
      <c r="E208" s="8" t="inlineStr">
        <is>
          <t>台阶（连续不变）</t>
        </is>
      </c>
    </row>
    <row r="209">
      <c r="A209" s="8" t="inlineStr">
        <is>
          <t>20260714</t>
        </is>
      </c>
      <c r="B209" s="9" t="n">
        <v>7900</v>
      </c>
      <c r="C209" s="9" t="n">
        <v>0</v>
      </c>
      <c r="D209" s="8" t="inlineStr">
        <is>
          <t>否</t>
        </is>
      </c>
      <c r="E209" s="8" t="inlineStr">
        <is>
          <t>台阶（连续不变）</t>
        </is>
      </c>
    </row>
    <row r="210">
      <c r="A210" s="8" t="inlineStr">
        <is>
          <t>20260715</t>
        </is>
      </c>
      <c r="B210" s="9" t="n">
        <v>7900</v>
      </c>
      <c r="C210" s="9" t="n">
        <v>0</v>
      </c>
      <c r="D210" s="8" t="inlineStr">
        <is>
          <t>否</t>
        </is>
      </c>
      <c r="E210" s="8" t="inlineStr">
        <is>
          <t>台阶（连续不变）</t>
        </is>
      </c>
    </row>
    <row r="211">
      <c r="A211" s="8" t="inlineStr">
        <is>
          <t>20260716</t>
        </is>
      </c>
      <c r="B211" s="9" t="n">
        <v>7900</v>
      </c>
      <c r="C211" s="9" t="n">
        <v>0</v>
      </c>
      <c r="D211" s="8" t="inlineStr">
        <is>
          <t>否</t>
        </is>
      </c>
      <c r="E211" s="8" t="inlineStr">
        <is>
          <t>台阶（连续不变）</t>
        </is>
      </c>
    </row>
    <row r="212">
      <c r="A212" s="8" t="inlineStr">
        <is>
          <t>20260717</t>
        </is>
      </c>
      <c r="B212" s="9" t="n">
        <v>8400</v>
      </c>
      <c r="C212" s="9" t="n">
        <v>500</v>
      </c>
      <c r="D212" s="8" t="inlineStr">
        <is>
          <t>是</t>
        </is>
      </c>
      <c r="E212" s="8" t="inlineStr"/>
    </row>
    <row r="213">
      <c r="A213" s="8" t="inlineStr">
        <is>
          <t>20260720</t>
        </is>
      </c>
      <c r="B213" s="9" t="n">
        <v>8400</v>
      </c>
      <c r="C213" s="9" t="n">
        <v>0</v>
      </c>
      <c r="D213" s="8" t="inlineStr">
        <is>
          <t>否</t>
        </is>
      </c>
      <c r="E213" s="8" t="inlineStr">
        <is>
          <t>台阶（连续不变）</t>
        </is>
      </c>
    </row>
    <row r="214">
      <c r="A214" s="8" t="inlineStr">
        <is>
          <t>20260721</t>
        </is>
      </c>
      <c r="B214" s="9" t="n">
        <v>8400</v>
      </c>
      <c r="C214" s="9" t="n">
        <v>0</v>
      </c>
      <c r="D214" s="8" t="inlineStr">
        <is>
          <t>否</t>
        </is>
      </c>
      <c r="E214" s="8" t="inlineStr">
        <is>
          <t>台阶（连续不变）</t>
        </is>
      </c>
    </row>
    <row r="215">
      <c r="A215" s="8" t="inlineStr">
        <is>
          <t>20260722</t>
        </is>
      </c>
      <c r="B215" s="9" t="n">
        <v>8400</v>
      </c>
      <c r="C215" s="9" t="n">
        <v>0</v>
      </c>
      <c r="D215" s="8" t="inlineStr">
        <is>
          <t>否</t>
        </is>
      </c>
      <c r="E215" s="8" t="inlineStr">
        <is>
          <t>台阶（连续不变）</t>
        </is>
      </c>
    </row>
    <row r="216">
      <c r="A216" s="8" t="inlineStr">
        <is>
          <t>20260723</t>
        </is>
      </c>
      <c r="B216" s="9" t="n">
        <v>8400</v>
      </c>
      <c r="C216" s="9" t="n">
        <v>0</v>
      </c>
      <c r="D216" s="8" t="inlineStr">
        <is>
          <t>否</t>
        </is>
      </c>
      <c r="E216" s="8" t="inlineStr">
        <is>
          <t>台阶（连续不变）</t>
        </is>
      </c>
    </row>
    <row r="217">
      <c r="A217" s="8" t="inlineStr">
        <is>
          <t>20260724</t>
        </is>
      </c>
      <c r="B217" s="9" t="n">
        <v>8400</v>
      </c>
      <c r="C217" s="9" t="n">
        <v>0</v>
      </c>
      <c r="D217" s="8" t="inlineStr">
        <is>
          <t>否</t>
        </is>
      </c>
      <c r="E217" s="8" t="inlineStr">
        <is>
          <t>台阶（连续不变）</t>
        </is>
      </c>
    </row>
    <row r="218">
      <c r="A218" s="8" t="inlineStr">
        <is>
          <t>20260727</t>
        </is>
      </c>
      <c r="B218" s="9" t="n">
        <v>8400</v>
      </c>
      <c r="C218" s="9" t="n">
        <v>0</v>
      </c>
      <c r="D218" s="8" t="inlineStr">
        <is>
          <t>否</t>
        </is>
      </c>
      <c r="E218" s="8" t="inlineStr">
        <is>
          <t>台阶（连续不变）</t>
        </is>
      </c>
    </row>
    <row r="219">
      <c r="A219" s="8" t="inlineStr">
        <is>
          <t>20260728</t>
        </is>
      </c>
      <c r="B219" s="9" t="n">
        <v>8400</v>
      </c>
      <c r="C219" s="9" t="n">
        <v>0</v>
      </c>
      <c r="D219" s="8" t="inlineStr">
        <is>
          <t>否</t>
        </is>
      </c>
      <c r="E219" s="8" t="inlineStr">
        <is>
          <t>台阶（连续不变）</t>
        </is>
      </c>
    </row>
    <row r="220">
      <c r="A220" s="8" t="inlineStr">
        <is>
          <t>20260729</t>
        </is>
      </c>
      <c r="B220" s="9" t="n">
        <v>8400</v>
      </c>
      <c r="C220" s="9" t="n">
        <v>0</v>
      </c>
      <c r="D220" s="8" t="inlineStr">
        <is>
          <t>否</t>
        </is>
      </c>
      <c r="E220" s="8" t="inlineStr">
        <is>
          <t>台阶（连续不变）</t>
        </is>
      </c>
    </row>
    <row r="221">
      <c r="A221" s="8" t="inlineStr">
        <is>
          <t>20260730</t>
        </is>
      </c>
      <c r="B221" s="9" t="n">
        <v>8500</v>
      </c>
      <c r="C221" s="9" t="n">
        <v>100</v>
      </c>
      <c r="D221" s="8" t="inlineStr">
        <is>
          <t>是</t>
        </is>
      </c>
      <c r="E221" s="8" t="inlineStr"/>
    </row>
    <row r="222">
      <c r="A222" s="8" t="inlineStr">
        <is>
          <t>20260731</t>
        </is>
      </c>
      <c r="B222" s="9" t="n">
        <v>8500</v>
      </c>
      <c r="C222" s="9" t="n">
        <v>0</v>
      </c>
      <c r="D222" s="8" t="inlineStr">
        <is>
          <t>否</t>
        </is>
      </c>
      <c r="E222" s="8" t="inlineStr">
        <is>
          <t>台阶（连续不变）</t>
        </is>
      </c>
    </row>
    <row r="223">
      <c r="A223" s="8" t="inlineStr">
        <is>
          <t>20260803</t>
        </is>
      </c>
      <c r="B223" s="9" t="n">
        <v>8500</v>
      </c>
      <c r="C223" s="9" t="n">
        <v>0</v>
      </c>
      <c r="D223" s="8" t="inlineStr">
        <is>
          <t>否</t>
        </is>
      </c>
      <c r="E223" s="8" t="inlineStr">
        <is>
          <t>台阶（连续不变）</t>
        </is>
      </c>
    </row>
    <row r="224">
      <c r="A224" s="8" t="inlineStr">
        <is>
          <t>20260804</t>
        </is>
      </c>
      <c r="B224" s="9" t="n">
        <v>8500</v>
      </c>
      <c r="C224" s="9" t="n">
        <v>0</v>
      </c>
      <c r="D224" s="8" t="inlineStr">
        <is>
          <t>否</t>
        </is>
      </c>
      <c r="E224" s="8" t="inlineStr">
        <is>
          <t>台阶（连续不变）</t>
        </is>
      </c>
    </row>
    <row r="225">
      <c r="A225" s="8" t="inlineStr">
        <is>
          <t>20260805</t>
        </is>
      </c>
      <c r="B225" s="9" t="n">
        <v>8500</v>
      </c>
      <c r="C225" s="9" t="n">
        <v>0</v>
      </c>
      <c r="D225" s="8" t="inlineStr">
        <is>
          <t>否</t>
        </is>
      </c>
      <c r="E225" s="8" t="inlineStr">
        <is>
          <t>台阶（连续不变）</t>
        </is>
      </c>
    </row>
    <row r="226">
      <c r="A226" s="8" t="inlineStr">
        <is>
          <t>20260806</t>
        </is>
      </c>
      <c r="B226" s="9" t="n">
        <v>8500</v>
      </c>
      <c r="C226" s="9" t="n">
        <v>0</v>
      </c>
      <c r="D226" s="8" t="inlineStr">
        <is>
          <t>否</t>
        </is>
      </c>
      <c r="E226" s="8" t="inlineStr">
        <is>
          <t>台阶（连续不变）</t>
        </is>
      </c>
    </row>
    <row r="227">
      <c r="A227" s="8" t="inlineStr">
        <is>
          <t>20260807</t>
        </is>
      </c>
      <c r="B227" s="9" t="n">
        <v>8500</v>
      </c>
      <c r="C227" s="9" t="n">
        <v>0</v>
      </c>
      <c r="D227" s="8" t="inlineStr">
        <is>
          <t>否</t>
        </is>
      </c>
      <c r="E227" s="8" t="inlineStr">
        <is>
          <t>台阶（连续不变）</t>
        </is>
      </c>
    </row>
    <row r="228">
      <c r="A228" s="8" t="inlineStr">
        <is>
          <t>20260810</t>
        </is>
      </c>
      <c r="B228" s="9" t="n">
        <v>8500</v>
      </c>
      <c r="C228" s="9" t="n">
        <v>0</v>
      </c>
      <c r="D228" s="8" t="inlineStr">
        <is>
          <t>否</t>
        </is>
      </c>
      <c r="E228" s="8" t="inlineStr">
        <is>
          <t>台阶（连续不变）</t>
        </is>
      </c>
    </row>
    <row r="229">
      <c r="A229" s="8" t="inlineStr">
        <is>
          <t>20260811</t>
        </is>
      </c>
      <c r="B229" s="9" t="n">
        <v>8500</v>
      </c>
      <c r="C229" s="9" t="n">
        <v>0</v>
      </c>
      <c r="D229" s="8" t="inlineStr">
        <is>
          <t>否</t>
        </is>
      </c>
      <c r="E229" s="8" t="inlineStr">
        <is>
          <t>台阶（连续不变）</t>
        </is>
      </c>
    </row>
    <row r="230">
      <c r="A230" s="8" t="inlineStr">
        <is>
          <t>20260812</t>
        </is>
      </c>
      <c r="B230" s="9" t="n">
        <v>8500</v>
      </c>
      <c r="C230" s="9" t="n">
        <v>0</v>
      </c>
      <c r="D230" s="8" t="inlineStr">
        <is>
          <t>否</t>
        </is>
      </c>
      <c r="E230" s="8" t="inlineStr">
        <is>
          <t>台阶（连续不变）</t>
        </is>
      </c>
    </row>
    <row r="231">
      <c r="A231" s="8" t="inlineStr">
        <is>
          <t>20260813</t>
        </is>
      </c>
      <c r="B231" s="9" t="n">
        <v>8500</v>
      </c>
      <c r="C231" s="9" t="n">
        <v>0</v>
      </c>
      <c r="D231" s="8" t="inlineStr">
        <is>
          <t>否</t>
        </is>
      </c>
      <c r="E231" s="8" t="inlineStr">
        <is>
          <t>台阶（连续不变）</t>
        </is>
      </c>
    </row>
    <row r="232">
      <c r="A232" s="8" t="inlineStr">
        <is>
          <t>20260814</t>
        </is>
      </c>
      <c r="B232" s="9" t="n">
        <v>8500</v>
      </c>
      <c r="C232" s="9" t="n">
        <v>0</v>
      </c>
      <c r="D232" s="8" t="inlineStr">
        <is>
          <t>否</t>
        </is>
      </c>
      <c r="E232" s="8" t="inlineStr">
        <is>
          <t>台阶（连续不变）</t>
        </is>
      </c>
    </row>
    <row r="233">
      <c r="A233" s="8" t="inlineStr">
        <is>
          <t>20260817</t>
        </is>
      </c>
      <c r="B233" s="9" t="n">
        <v>8500</v>
      </c>
      <c r="C233" s="9" t="n">
        <v>0</v>
      </c>
      <c r="D233" s="8" t="inlineStr">
        <is>
          <t>否</t>
        </is>
      </c>
      <c r="E233" s="8" t="inlineStr">
        <is>
          <t>台阶（连续不变）</t>
        </is>
      </c>
    </row>
    <row r="234">
      <c r="A234" s="8" t="inlineStr">
        <is>
          <t>20260818</t>
        </is>
      </c>
      <c r="B234" s="9" t="n">
        <v>8500</v>
      </c>
      <c r="C234" s="9" t="n">
        <v>0</v>
      </c>
      <c r="D234" s="8" t="inlineStr">
        <is>
          <t>否</t>
        </is>
      </c>
      <c r="E234" s="8" t="inlineStr">
        <is>
          <t>台阶（连续不变）</t>
        </is>
      </c>
    </row>
    <row r="235">
      <c r="A235" s="8" t="inlineStr">
        <is>
          <t>20260819</t>
        </is>
      </c>
      <c r="B235" s="9" t="n">
        <v>8500</v>
      </c>
      <c r="C235" s="9" t="n">
        <v>0</v>
      </c>
      <c r="D235" s="8" t="inlineStr">
        <is>
          <t>否</t>
        </is>
      </c>
      <c r="E235" s="8" t="inlineStr">
        <is>
          <t>台阶（连续不变）</t>
        </is>
      </c>
    </row>
    <row r="236">
      <c r="A236" s="8" t="inlineStr">
        <is>
          <t>20260820</t>
        </is>
      </c>
      <c r="B236" s="9" t="n">
        <v>8500</v>
      </c>
      <c r="C236" s="9" t="n">
        <v>0</v>
      </c>
      <c r="D236" s="8" t="inlineStr">
        <is>
          <t>否</t>
        </is>
      </c>
      <c r="E236" s="8" t="inlineStr">
        <is>
          <t>台阶（连续不变）</t>
        </is>
      </c>
    </row>
    <row r="237">
      <c r="A237" s="8" t="inlineStr">
        <is>
          <t>20260821</t>
        </is>
      </c>
      <c r="B237" s="9" t="n">
        <v>8500</v>
      </c>
      <c r="C237" s="9" t="n">
        <v>0</v>
      </c>
      <c r="D237" s="8" t="inlineStr">
        <is>
          <t>否</t>
        </is>
      </c>
      <c r="E237" s="8" t="inlineStr">
        <is>
          <t>台阶（连续不变）</t>
        </is>
      </c>
    </row>
    <row r="238">
      <c r="A238" s="8" t="inlineStr">
        <is>
          <t>20260824</t>
        </is>
      </c>
      <c r="B238" s="9" t="n">
        <v>8500</v>
      </c>
      <c r="C238" s="9" t="n">
        <v>0</v>
      </c>
      <c r="D238" s="8" t="inlineStr">
        <is>
          <t>否</t>
        </is>
      </c>
      <c r="E238" s="8" t="inlineStr">
        <is>
          <t>台阶（连续不变）</t>
        </is>
      </c>
    </row>
    <row r="239">
      <c r="A239" s="8" t="inlineStr">
        <is>
          <t>20260825</t>
        </is>
      </c>
      <c r="B239" s="9" t="n">
        <v>8500</v>
      </c>
      <c r="C239" s="9" t="n">
        <v>0</v>
      </c>
      <c r="D239" s="8" t="inlineStr">
        <is>
          <t>否</t>
        </is>
      </c>
      <c r="E239" s="8" t="inlineStr">
        <is>
          <t>台阶（连续不变）</t>
        </is>
      </c>
    </row>
    <row r="240">
      <c r="A240" s="8" t="inlineStr">
        <is>
          <t>20260826</t>
        </is>
      </c>
      <c r="B240" s="9" t="n">
        <v>8500</v>
      </c>
      <c r="C240" s="9" t="n">
        <v>0</v>
      </c>
      <c r="D240" s="8" t="inlineStr">
        <is>
          <t>否</t>
        </is>
      </c>
      <c r="E240" s="8" t="inlineStr">
        <is>
          <t>台阶（连续不变）</t>
        </is>
      </c>
    </row>
    <row r="241">
      <c r="A241" s="8" t="inlineStr">
        <is>
          <t>20260827</t>
        </is>
      </c>
      <c r="B241" s="9" t="n">
        <v>8500</v>
      </c>
      <c r="C241" s="9" t="n">
        <v>0</v>
      </c>
      <c r="D241" s="8" t="inlineStr">
        <is>
          <t>否</t>
        </is>
      </c>
      <c r="E241" s="8" t="inlineStr">
        <is>
          <t>台阶（连续不变）</t>
        </is>
      </c>
    </row>
    <row r="242">
      <c r="A242" s="8" t="inlineStr">
        <is>
          <t>20260828</t>
        </is>
      </c>
      <c r="B242" s="9" t="n">
        <v>8500</v>
      </c>
      <c r="C242" s="9" t="n">
        <v>0</v>
      </c>
      <c r="D242" s="8" t="inlineStr">
        <is>
          <t>否</t>
        </is>
      </c>
      <c r="E242" s="8" t="inlineStr">
        <is>
          <t>台阶（连续不变）</t>
        </is>
      </c>
    </row>
    <row r="243">
      <c r="A243" s="8" t="inlineStr">
        <is>
          <t>20260831</t>
        </is>
      </c>
      <c r="B243" s="9" t="n">
        <v>8500</v>
      </c>
      <c r="C243" s="9" t="n">
        <v>0</v>
      </c>
      <c r="D243" s="8" t="inlineStr">
        <is>
          <t>否</t>
        </is>
      </c>
      <c r="E243" s="8" t="inlineStr">
        <is>
          <t>台阶（连续不变）</t>
        </is>
      </c>
    </row>
    <row r="244">
      <c r="A244" s="8" t="inlineStr">
        <is>
          <t>20260901</t>
        </is>
      </c>
      <c r="B244" s="9" t="n">
        <v>8500</v>
      </c>
      <c r="C244" s="9" t="n">
        <v>0</v>
      </c>
      <c r="D244" s="8" t="inlineStr">
        <is>
          <t>否</t>
        </is>
      </c>
      <c r="E244" s="8" t="inlineStr">
        <is>
          <t>台阶（连续不变）</t>
        </is>
      </c>
    </row>
    <row r="245">
      <c r="A245" s="8" t="inlineStr">
        <is>
          <t>20260902</t>
        </is>
      </c>
      <c r="B245" s="9" t="n">
        <v>8500</v>
      </c>
      <c r="C245" s="9" t="n">
        <v>0</v>
      </c>
      <c r="D245" s="8" t="inlineStr">
        <is>
          <t>否</t>
        </is>
      </c>
      <c r="E245" s="8" t="inlineStr">
        <is>
          <t>台阶（连续不变）</t>
        </is>
      </c>
    </row>
    <row r="246">
      <c r="A246" s="8" t="inlineStr">
        <is>
          <t>20260903</t>
        </is>
      </c>
      <c r="B246" s="9" t="n">
        <v>9000</v>
      </c>
      <c r="C246" s="9" t="n">
        <v>500</v>
      </c>
      <c r="D246" s="8" t="inlineStr">
        <is>
          <t>是</t>
        </is>
      </c>
      <c r="E246" s="8" t="inlineStr"/>
    </row>
    <row r="247">
      <c r="A247" s="8" t="inlineStr">
        <is>
          <t>20260904</t>
        </is>
      </c>
      <c r="B247" s="9" t="n">
        <v>9000</v>
      </c>
      <c r="C247" s="9" t="n">
        <v>0</v>
      </c>
      <c r="D247" s="8" t="inlineStr">
        <is>
          <t>否</t>
        </is>
      </c>
      <c r="E247" s="8" t="inlineStr">
        <is>
          <t>台阶（连续不变）</t>
        </is>
      </c>
    </row>
    <row r="248">
      <c r="A248" s="8" t="inlineStr">
        <is>
          <t>20260907</t>
        </is>
      </c>
      <c r="B248" s="9" t="n">
        <v>9000</v>
      </c>
      <c r="C248" s="9" t="n">
        <v>0</v>
      </c>
      <c r="D248" s="8" t="inlineStr">
        <is>
          <t>否</t>
        </is>
      </c>
      <c r="E248" s="8" t="inlineStr">
        <is>
          <t>台阶（连续不变）</t>
        </is>
      </c>
    </row>
    <row r="249">
      <c r="A249" s="8" t="inlineStr">
        <is>
          <t>20260908</t>
        </is>
      </c>
      <c r="B249" s="9" t="n">
        <v>9000</v>
      </c>
      <c r="C249" s="9" t="n">
        <v>0</v>
      </c>
      <c r="D249" s="8" t="inlineStr">
        <is>
          <t>否</t>
        </is>
      </c>
      <c r="E249" s="8" t="inlineStr">
        <is>
          <t>台阶（连续不变）</t>
        </is>
      </c>
    </row>
    <row r="250">
      <c r="A250" s="8" t="inlineStr">
        <is>
          <t>20260909</t>
        </is>
      </c>
      <c r="B250" s="9" t="n">
        <v>9000</v>
      </c>
      <c r="C250" s="9" t="n">
        <v>0</v>
      </c>
      <c r="D250" s="8" t="inlineStr">
        <is>
          <t>否</t>
        </is>
      </c>
      <c r="E250" s="8" t="inlineStr">
        <is>
          <t>台阶（连续不变）</t>
        </is>
      </c>
    </row>
    <row r="251">
      <c r="A251" s="8" t="inlineStr">
        <is>
          <t>20260910</t>
        </is>
      </c>
      <c r="B251" s="9" t="n">
        <v>9000</v>
      </c>
      <c r="C251" s="9" t="n">
        <v>0</v>
      </c>
      <c r="D251" s="8" t="inlineStr">
        <is>
          <t>否</t>
        </is>
      </c>
      <c r="E251" s="8" t="inlineStr">
        <is>
          <t>台阶（连续不变）</t>
        </is>
      </c>
    </row>
    <row r="252">
      <c r="A252" s="8" t="inlineStr">
        <is>
          <t>20260911</t>
        </is>
      </c>
      <c r="B252" s="9" t="n">
        <v>9000</v>
      </c>
      <c r="C252" s="9" t="n">
        <v>0</v>
      </c>
      <c r="D252" s="8" t="inlineStr">
        <is>
          <t>否</t>
        </is>
      </c>
      <c r="E252" s="8" t="inlineStr">
        <is>
          <t>台阶（连续不变）</t>
        </is>
      </c>
    </row>
    <row r="253">
      <c r="A253" s="8" t="inlineStr">
        <is>
          <t>20260914</t>
        </is>
      </c>
      <c r="B253" s="9" t="n">
        <v>9600</v>
      </c>
      <c r="C253" s="9" t="n">
        <v>600</v>
      </c>
      <c r="D253" s="8" t="inlineStr">
        <is>
          <t>是</t>
        </is>
      </c>
      <c r="E253" s="8" t="inlineStr"/>
    </row>
    <row r="254">
      <c r="A254" s="8" t="inlineStr">
        <is>
          <t>20260915</t>
        </is>
      </c>
      <c r="B254" s="9" t="n">
        <v>9600</v>
      </c>
      <c r="C254" s="9" t="n">
        <v>0</v>
      </c>
      <c r="D254" s="8" t="inlineStr">
        <is>
          <t>否</t>
        </is>
      </c>
      <c r="E254" s="8" t="inlineStr">
        <is>
          <t>台阶（连续不变）</t>
        </is>
      </c>
    </row>
    <row r="255">
      <c r="A255" s="8" t="inlineStr">
        <is>
          <t>20260916</t>
        </is>
      </c>
      <c r="B255" s="9" t="n">
        <v>9600</v>
      </c>
      <c r="C255" s="9" t="n">
        <v>0</v>
      </c>
      <c r="D255" s="8" t="inlineStr">
        <is>
          <t>否</t>
        </is>
      </c>
      <c r="E255" s="8" t="inlineStr">
        <is>
          <t>台阶（连续不变）</t>
        </is>
      </c>
    </row>
    <row r="256">
      <c r="A256" s="8" t="inlineStr">
        <is>
          <t>20260917</t>
        </is>
      </c>
      <c r="B256" s="9" t="n">
        <v>9600</v>
      </c>
      <c r="C256" s="9" t="n">
        <v>0</v>
      </c>
      <c r="D256" s="8" t="inlineStr">
        <is>
          <t>否</t>
        </is>
      </c>
      <c r="E256" s="8" t="inlineStr">
        <is>
          <t>台阶（连续不变）</t>
        </is>
      </c>
    </row>
    <row r="257">
      <c r="A257" s="8" t="inlineStr">
        <is>
          <t>20260918</t>
        </is>
      </c>
      <c r="B257" s="9" t="n">
        <v>9600</v>
      </c>
      <c r="C257" s="9" t="n">
        <v>0</v>
      </c>
      <c r="D257" s="8" t="inlineStr">
        <is>
          <t>否</t>
        </is>
      </c>
      <c r="E257" s="8" t="inlineStr">
        <is>
          <t>台阶（连续不变）</t>
        </is>
      </c>
    </row>
    <row r="258">
      <c r="A258" s="8" t="inlineStr">
        <is>
          <t>20260921</t>
        </is>
      </c>
      <c r="B258" s="9" t="n">
        <v>9800</v>
      </c>
      <c r="C258" s="9" t="n">
        <v>200</v>
      </c>
      <c r="D258" s="8" t="inlineStr">
        <is>
          <t>是</t>
        </is>
      </c>
      <c r="E258" s="8" t="inlineStr"/>
    </row>
    <row r="259">
      <c r="A259" s="8" t="inlineStr">
        <is>
          <t>20260922</t>
        </is>
      </c>
      <c r="B259" s="9" t="n">
        <v>9800</v>
      </c>
      <c r="C259" s="9" t="n">
        <v>0</v>
      </c>
      <c r="D259" s="8" t="inlineStr">
        <is>
          <t>否</t>
        </is>
      </c>
      <c r="E259" s="8" t="inlineStr">
        <is>
          <t>台阶（连续不变）</t>
        </is>
      </c>
    </row>
    <row r="260">
      <c r="A260" s="8" t="inlineStr">
        <is>
          <t>20260923</t>
        </is>
      </c>
      <c r="B260" s="9" t="n">
        <v>9800</v>
      </c>
      <c r="C260" s="9" t="n">
        <v>0</v>
      </c>
      <c r="D260" s="8" t="inlineStr">
        <is>
          <t>否</t>
        </is>
      </c>
      <c r="E260" s="8" t="inlineStr">
        <is>
          <t>台阶（连续不变）</t>
        </is>
      </c>
    </row>
    <row r="261">
      <c r="A261" s="8" t="inlineStr">
        <is>
          <t>20260924</t>
        </is>
      </c>
      <c r="B261" s="9" t="n">
        <v>9800</v>
      </c>
      <c r="C261" s="9" t="n">
        <v>0</v>
      </c>
      <c r="D261" s="8" t="inlineStr">
        <is>
          <t>否</t>
        </is>
      </c>
      <c r="E261" s="8" t="inlineStr">
        <is>
          <t>台阶（连续不变）</t>
        </is>
      </c>
    </row>
    <row r="262">
      <c r="A262" s="8" t="inlineStr">
        <is>
          <t>20260925</t>
        </is>
      </c>
      <c r="B262" s="9" t="n">
        <v>9800</v>
      </c>
      <c r="C262" s="9" t="n">
        <v>0</v>
      </c>
      <c r="D262" s="8" t="inlineStr">
        <is>
          <t>否</t>
        </is>
      </c>
      <c r="E262" s="8" t="inlineStr">
        <is>
          <t>台阶（连续不变）</t>
        </is>
      </c>
    </row>
    <row r="263">
      <c r="A263" s="8" t="inlineStr">
        <is>
          <t>20260928</t>
        </is>
      </c>
      <c r="B263" s="9" t="n">
        <v>9800</v>
      </c>
      <c r="C263" s="9" t="n">
        <v>0</v>
      </c>
      <c r="D263" s="8" t="inlineStr">
        <is>
          <t>否</t>
        </is>
      </c>
      <c r="E263" s="8" t="inlineStr">
        <is>
          <t>台阶（连续不变）</t>
        </is>
      </c>
    </row>
    <row r="264">
      <c r="A264" s="8" t="inlineStr">
        <is>
          <t>20260929</t>
        </is>
      </c>
      <c r="B264" s="9" t="n">
        <v>9800</v>
      </c>
      <c r="C264" s="9" t="n">
        <v>0</v>
      </c>
      <c r="D264" s="8" t="inlineStr">
        <is>
          <t>否</t>
        </is>
      </c>
      <c r="E264" s="8" t="inlineStr">
        <is>
          <t>台阶（连续不变）</t>
        </is>
      </c>
    </row>
    <row r="265">
      <c r="A265" s="8" t="inlineStr">
        <is>
          <t>20260930</t>
        </is>
      </c>
      <c r="B265" s="9" t="n">
        <v>9900</v>
      </c>
      <c r="C265" s="9" t="n">
        <v>100</v>
      </c>
      <c r="D265" s="8" t="inlineStr">
        <is>
          <t>是</t>
        </is>
      </c>
      <c r="E265" s="8" t="inlineStr"/>
    </row>
    <row r="266">
      <c r="A266" s="8" t="inlineStr">
        <is>
          <t>20261001</t>
        </is>
      </c>
      <c r="B266" s="9" t="n">
        <v>9900</v>
      </c>
      <c r="C266" s="9" t="n">
        <v>0</v>
      </c>
      <c r="D266" s="8" t="inlineStr">
        <is>
          <t>否</t>
        </is>
      </c>
      <c r="E266" s="8" t="inlineStr">
        <is>
          <t>台阶（连续不变）</t>
        </is>
      </c>
    </row>
    <row r="267">
      <c r="A267" s="8" t="inlineStr">
        <is>
          <t>20261002</t>
        </is>
      </c>
      <c r="B267" s="9" t="n">
        <v>9900</v>
      </c>
      <c r="C267" s="9" t="n">
        <v>0</v>
      </c>
      <c r="D267" s="8" t="inlineStr">
        <is>
          <t>否</t>
        </is>
      </c>
      <c r="E267" s="8" t="inlineStr">
        <is>
          <t>台阶（连续不变）</t>
        </is>
      </c>
    </row>
    <row r="268">
      <c r="A268" s="8" t="inlineStr">
        <is>
          <t>20261005</t>
        </is>
      </c>
      <c r="B268" s="9" t="n">
        <v>9900</v>
      </c>
      <c r="C268" s="9" t="n">
        <v>0</v>
      </c>
      <c r="D268" s="8" t="inlineStr">
        <is>
          <t>否</t>
        </is>
      </c>
      <c r="E268" s="8" t="inlineStr">
        <is>
          <t>台阶（连续不变）</t>
        </is>
      </c>
    </row>
    <row r="269">
      <c r="A269" s="8" t="inlineStr">
        <is>
          <t>20261006</t>
        </is>
      </c>
      <c r="B269" s="9" t="n">
        <v>9900</v>
      </c>
      <c r="C269" s="9" t="n">
        <v>0</v>
      </c>
      <c r="D269" s="8" t="inlineStr">
        <is>
          <t>否</t>
        </is>
      </c>
      <c r="E269" s="8" t="inlineStr">
        <is>
          <t>台阶（连续不变）</t>
        </is>
      </c>
    </row>
    <row r="270">
      <c r="A270" s="8" t="inlineStr">
        <is>
          <t>20261007</t>
        </is>
      </c>
      <c r="B270" s="9" t="n">
        <v>9900</v>
      </c>
      <c r="C270" s="9" t="n">
        <v>0</v>
      </c>
      <c r="D270" s="8" t="inlineStr">
        <is>
          <t>否</t>
        </is>
      </c>
      <c r="E270" s="8" t="inlineStr">
        <is>
          <t>台阶（连续不变）</t>
        </is>
      </c>
    </row>
    <row r="271">
      <c r="A271" s="8" t="inlineStr">
        <is>
          <t>20261008</t>
        </is>
      </c>
      <c r="B271" s="9" t="n">
        <v>9900</v>
      </c>
      <c r="C271" s="9" t="n">
        <v>0</v>
      </c>
      <c r="D271" s="8" t="inlineStr">
        <is>
          <t>否</t>
        </is>
      </c>
      <c r="E271" s="8" t="inlineStr">
        <is>
          <t>台阶（连续不变）</t>
        </is>
      </c>
    </row>
    <row r="272">
      <c r="A272" s="8" t="inlineStr">
        <is>
          <t>20261009</t>
        </is>
      </c>
      <c r="B272" s="9" t="n">
        <v>9900</v>
      </c>
      <c r="C272" s="9" t="n">
        <v>0</v>
      </c>
      <c r="D272" s="8" t="inlineStr">
        <is>
          <t>否</t>
        </is>
      </c>
      <c r="E272" s="8" t="inlineStr">
        <is>
          <t>台阶（连续不变）</t>
        </is>
      </c>
    </row>
    <row r="273">
      <c r="A273" s="8" t="inlineStr">
        <is>
          <t>20261012</t>
        </is>
      </c>
      <c r="B273" s="9" t="n">
        <v>10500</v>
      </c>
      <c r="C273" s="9" t="n">
        <v>600</v>
      </c>
      <c r="D273" s="8" t="inlineStr">
        <is>
          <t>是</t>
        </is>
      </c>
      <c r="E273" s="8" t="inlineStr"/>
    </row>
    <row r="274">
      <c r="A274" s="8" t="inlineStr">
        <is>
          <t>20261013</t>
        </is>
      </c>
      <c r="B274" s="9" t="n">
        <v>10500</v>
      </c>
      <c r="C274" s="9" t="n">
        <v>0</v>
      </c>
      <c r="D274" s="8" t="inlineStr">
        <is>
          <t>否</t>
        </is>
      </c>
      <c r="E274" s="8" t="inlineStr">
        <is>
          <t>台阶（连续不变）</t>
        </is>
      </c>
    </row>
    <row r="275">
      <c r="A275" s="8" t="inlineStr">
        <is>
          <t>20261014</t>
        </is>
      </c>
      <c r="B275" s="9" t="n">
        <v>10500</v>
      </c>
      <c r="C275" s="9" t="n">
        <v>0</v>
      </c>
      <c r="D275" s="8" t="inlineStr">
        <is>
          <t>否</t>
        </is>
      </c>
      <c r="E275" s="8" t="inlineStr">
        <is>
          <t>台阶（连续不变）</t>
        </is>
      </c>
    </row>
    <row r="276">
      <c r="A276" s="8" t="inlineStr">
        <is>
          <t>20261015</t>
        </is>
      </c>
      <c r="B276" s="9" t="n">
        <v>10500</v>
      </c>
      <c r="C276" s="9" t="n">
        <v>0</v>
      </c>
      <c r="D276" s="8" t="inlineStr">
        <is>
          <t>否</t>
        </is>
      </c>
      <c r="E276" s="8" t="inlineStr">
        <is>
          <t>台阶（连续不变）</t>
        </is>
      </c>
    </row>
    <row r="277">
      <c r="A277" s="8" t="inlineStr">
        <is>
          <t>20261016</t>
        </is>
      </c>
      <c r="B277" s="9" t="n">
        <v>10500</v>
      </c>
      <c r="C277" s="9" t="n">
        <v>0</v>
      </c>
      <c r="D277" s="8" t="inlineStr">
        <is>
          <t>否</t>
        </is>
      </c>
      <c r="E277" s="8" t="inlineStr">
        <is>
          <t>台阶（连续不变）</t>
        </is>
      </c>
    </row>
    <row r="278">
      <c r="A278" s="8" t="inlineStr">
        <is>
          <t>20261019</t>
        </is>
      </c>
      <c r="B278" s="9" t="n">
        <v>10500</v>
      </c>
      <c r="C278" s="9" t="n">
        <v>0</v>
      </c>
      <c r="D278" s="8" t="inlineStr">
        <is>
          <t>否</t>
        </is>
      </c>
      <c r="E278" s="8" t="inlineStr">
        <is>
          <t>台阶（连续不变）</t>
        </is>
      </c>
    </row>
    <row r="279">
      <c r="A279" s="8" t="inlineStr">
        <is>
          <t>20261020</t>
        </is>
      </c>
      <c r="B279" s="9" t="n">
        <v>10500</v>
      </c>
      <c r="C279" s="9" t="n">
        <v>0</v>
      </c>
      <c r="D279" s="8" t="inlineStr">
        <is>
          <t>否</t>
        </is>
      </c>
      <c r="E279" s="8" t="inlineStr">
        <is>
          <t>台阶（连续不变）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</cols>
  <sheetData>
    <row r="1">
      <c r="A1" s="1" t="inlineStr">
        <is>
          <t>PTA 日度价格（下游）</t>
        </is>
      </c>
    </row>
    <row r="2" ht="28" customHeight="1">
      <c r="A2" s="2" t="inlineStr">
        <is>
          <t>生意社PTA基准价（华东现货评估价） ｜ 华东（张家港/主港） ｜ 含增值税 ｜ 来源：生意社 100ppi 基准价日评（每日 08:30 发布）</t>
        </is>
      </c>
    </row>
    <row r="4">
      <c r="A4" s="7" t="inlineStr">
        <is>
          <t>日期</t>
        </is>
      </c>
      <c r="B4" s="7" t="inlineStr">
        <is>
          <t>PTA 价格（元/吨）</t>
        </is>
      </c>
      <c r="C4" s="7" t="inlineStr">
        <is>
          <t>日变动</t>
        </is>
      </c>
      <c r="D4" s="7" t="inlineStr">
        <is>
          <t>日涨跌%</t>
        </is>
      </c>
    </row>
    <row r="5">
      <c r="A5" s="8" t="inlineStr">
        <is>
          <t>20251001</t>
        </is>
      </c>
      <c r="B5" s="9" t="n">
        <v>4595</v>
      </c>
      <c r="C5" s="9" t="n"/>
      <c r="D5" s="9" t="n"/>
    </row>
    <row r="6">
      <c r="A6" s="8" t="inlineStr">
        <is>
          <t>20251002</t>
        </is>
      </c>
      <c r="B6" s="9" t="n">
        <v>4595</v>
      </c>
      <c r="C6" s="9" t="n">
        <v>0</v>
      </c>
      <c r="D6" s="9" t="n">
        <v>0</v>
      </c>
    </row>
    <row r="7">
      <c r="A7" s="8" t="inlineStr">
        <is>
          <t>20251003</t>
        </is>
      </c>
      <c r="B7" s="9" t="n">
        <v>4595</v>
      </c>
      <c r="C7" s="9" t="n">
        <v>0</v>
      </c>
      <c r="D7" s="9" t="n">
        <v>0</v>
      </c>
    </row>
    <row r="8">
      <c r="A8" s="8" t="inlineStr">
        <is>
          <t>20251006</t>
        </is>
      </c>
      <c r="B8" s="9" t="n">
        <v>4595</v>
      </c>
      <c r="C8" s="9" t="n">
        <v>0</v>
      </c>
      <c r="D8" s="9" t="n">
        <v>0</v>
      </c>
    </row>
    <row r="9">
      <c r="A9" s="8" t="inlineStr">
        <is>
          <t>20251007</t>
        </is>
      </c>
      <c r="B9" s="9" t="n">
        <v>4595</v>
      </c>
      <c r="C9" s="9" t="n">
        <v>0</v>
      </c>
      <c r="D9" s="9" t="n">
        <v>0</v>
      </c>
    </row>
    <row r="10">
      <c r="A10" s="8" t="inlineStr">
        <is>
          <t>20251008</t>
        </is>
      </c>
      <c r="B10" s="9" t="n">
        <v>4595</v>
      </c>
      <c r="C10" s="9" t="n">
        <v>0</v>
      </c>
      <c r="D10" s="9" t="n">
        <v>0</v>
      </c>
    </row>
    <row r="11">
      <c r="A11" s="8" t="inlineStr">
        <is>
          <t>20251009</t>
        </is>
      </c>
      <c r="B11" s="9" t="n">
        <v>4595</v>
      </c>
      <c r="C11" s="9" t="n">
        <v>0</v>
      </c>
      <c r="D11" s="9" t="n">
        <v>0</v>
      </c>
    </row>
    <row r="12">
      <c r="A12" s="8" t="inlineStr">
        <is>
          <t>20251010</t>
        </is>
      </c>
      <c r="B12" s="9" t="n">
        <v>4564.5</v>
      </c>
      <c r="C12" s="9" t="n">
        <v>-30.5</v>
      </c>
      <c r="D12" s="9" t="n">
        <v>-0.6637649619151254</v>
      </c>
    </row>
    <row r="13">
      <c r="A13" s="8" t="inlineStr">
        <is>
          <t>20251011</t>
        </is>
      </c>
      <c r="B13" s="9" t="n">
        <v>4521.08</v>
      </c>
      <c r="C13" s="9" t="n">
        <v>-43.42000000000007</v>
      </c>
      <c r="D13" s="9" t="n">
        <v>-0.9512542447146499</v>
      </c>
    </row>
    <row r="14">
      <c r="A14" s="8" t="inlineStr">
        <is>
          <t>20251013</t>
        </is>
      </c>
      <c r="B14" s="9" t="n">
        <v>4521.08</v>
      </c>
      <c r="C14" s="9" t="n">
        <v>0</v>
      </c>
      <c r="D14" s="9" t="n">
        <v>0</v>
      </c>
    </row>
    <row r="15">
      <c r="A15" s="8" t="inlineStr">
        <is>
          <t>20251014</t>
        </is>
      </c>
      <c r="B15" s="9" t="n">
        <v>4492.17</v>
      </c>
      <c r="C15" s="9" t="n">
        <v>-28.90999999999985</v>
      </c>
      <c r="D15" s="9" t="n">
        <v>-0.6394489812168724</v>
      </c>
    </row>
    <row r="16">
      <c r="A16" s="8" t="inlineStr">
        <is>
          <t>20251015</t>
        </is>
      </c>
      <c r="B16" s="9" t="n">
        <v>4460.09</v>
      </c>
      <c r="C16" s="9" t="n">
        <v>-32.07999999999993</v>
      </c>
      <c r="D16" s="9" t="n">
        <v>-0.7141314776600183</v>
      </c>
    </row>
    <row r="17">
      <c r="A17" s="8" t="inlineStr">
        <is>
          <t>20251016</t>
        </is>
      </c>
      <c r="B17" s="9" t="n">
        <v>4397.16</v>
      </c>
      <c r="C17" s="9" t="n">
        <v>-62.93000000000029</v>
      </c>
      <c r="D17" s="9" t="n">
        <v>-1.410958074837065</v>
      </c>
    </row>
    <row r="18">
      <c r="A18" s="8" t="inlineStr">
        <is>
          <t>20251017</t>
        </is>
      </c>
      <c r="B18" s="9" t="n">
        <v>4404.16</v>
      </c>
      <c r="C18" s="9" t="n">
        <v>7</v>
      </c>
      <c r="D18" s="9" t="n">
        <v>0.1591936613632328</v>
      </c>
    </row>
    <row r="19">
      <c r="A19" s="8" t="inlineStr">
        <is>
          <t>20251020</t>
        </is>
      </c>
      <c r="B19" s="9" t="n">
        <v>4381.5</v>
      </c>
      <c r="C19" s="9" t="n">
        <v>-22.65999999999985</v>
      </c>
      <c r="D19" s="9" t="n">
        <v>-0.514513550824669</v>
      </c>
    </row>
    <row r="20">
      <c r="A20" s="8" t="inlineStr">
        <is>
          <t>20251021</t>
        </is>
      </c>
      <c r="B20" s="9" t="n">
        <v>4363.25</v>
      </c>
      <c r="C20" s="9" t="n">
        <v>-18.25</v>
      </c>
      <c r="D20" s="9" t="n">
        <v>-0.4165240214538346</v>
      </c>
    </row>
    <row r="21">
      <c r="A21" s="8" t="inlineStr">
        <is>
          <t>20251022</t>
        </is>
      </c>
      <c r="B21" s="9" t="n">
        <v>4369.84</v>
      </c>
      <c r="C21" s="9" t="n">
        <v>6.590000000000146</v>
      </c>
      <c r="D21" s="9" t="n">
        <v>0.1510342061536774</v>
      </c>
    </row>
    <row r="22">
      <c r="A22" s="8" t="inlineStr">
        <is>
          <t>20251023</t>
        </is>
      </c>
      <c r="B22" s="9" t="n">
        <v>4415.83</v>
      </c>
      <c r="C22" s="9" t="n">
        <v>45.98999999999978</v>
      </c>
      <c r="D22" s="9" t="n">
        <v>1.052441279314564</v>
      </c>
    </row>
    <row r="23">
      <c r="A23" s="8" t="inlineStr">
        <is>
          <t>20251024</t>
        </is>
      </c>
      <c r="B23" s="9" t="n">
        <v>4467.08</v>
      </c>
      <c r="C23" s="9" t="n">
        <v>51.25</v>
      </c>
      <c r="D23" s="9" t="n">
        <v>1.160597215019599</v>
      </c>
    </row>
    <row r="24">
      <c r="A24" s="8" t="inlineStr">
        <is>
          <t>20251027</t>
        </is>
      </c>
      <c r="B24" s="9" t="n">
        <v>4468.34</v>
      </c>
      <c r="C24" s="9" t="n">
        <v>1.260000000000218</v>
      </c>
      <c r="D24" s="9" t="n">
        <v>0.0282063450844916</v>
      </c>
    </row>
    <row r="25">
      <c r="A25" s="8" t="inlineStr">
        <is>
          <t>20251028</t>
        </is>
      </c>
      <c r="B25" s="9" t="n">
        <v>4535.67</v>
      </c>
      <c r="C25" s="9" t="n">
        <v>67.32999999999993</v>
      </c>
      <c r="D25" s="9" t="n">
        <v>1.506823563112913</v>
      </c>
    </row>
    <row r="26">
      <c r="A26" s="8" t="inlineStr">
        <is>
          <t>20251029</t>
        </is>
      </c>
      <c r="B26" s="9" t="n">
        <v>4558.09</v>
      </c>
      <c r="C26" s="9" t="n">
        <v>22.42000000000007</v>
      </c>
      <c r="D26" s="9" t="n">
        <v>0.4943040388740716</v>
      </c>
    </row>
    <row r="27">
      <c r="A27" s="8" t="inlineStr">
        <is>
          <t>20251030</t>
        </is>
      </c>
      <c r="B27" s="9" t="n">
        <v>4554.75</v>
      </c>
      <c r="C27" s="9" t="n">
        <v>-3.340000000000146</v>
      </c>
      <c r="D27" s="9" t="n">
        <v>-0.073276306523129</v>
      </c>
    </row>
    <row r="28">
      <c r="A28" s="8" t="inlineStr">
        <is>
          <t>20251031</t>
        </is>
      </c>
      <c r="B28" s="9" t="n">
        <v>4552.34</v>
      </c>
      <c r="C28" s="9" t="n">
        <v>-2.409999999999854</v>
      </c>
      <c r="D28" s="9" t="n">
        <v>-0.05291179537845192</v>
      </c>
    </row>
    <row r="29">
      <c r="A29" s="8" t="inlineStr">
        <is>
          <t>20251103</t>
        </is>
      </c>
      <c r="B29" s="9" t="n">
        <v>4543.91</v>
      </c>
      <c r="C29" s="9" t="n">
        <v>-8.430000000000291</v>
      </c>
      <c r="D29" s="9" t="n">
        <v>-0.1851794901083892</v>
      </c>
    </row>
    <row r="30">
      <c r="A30" s="8" t="inlineStr">
        <is>
          <t>20251104</t>
        </is>
      </c>
      <c r="B30" s="9" t="n">
        <v>4558.75</v>
      </c>
      <c r="C30" s="9" t="n">
        <v>14.84000000000015</v>
      </c>
      <c r="D30" s="9" t="n">
        <v>0.3265909756135166</v>
      </c>
    </row>
    <row r="31">
      <c r="A31" s="8" t="inlineStr">
        <is>
          <t>20251105</t>
        </is>
      </c>
      <c r="B31" s="9" t="n">
        <v>4569.75</v>
      </c>
      <c r="C31" s="9" t="n">
        <v>11</v>
      </c>
      <c r="D31" s="9" t="n">
        <v>0.2412942144228047</v>
      </c>
    </row>
    <row r="32">
      <c r="A32" s="8" t="inlineStr">
        <is>
          <t>20251106</t>
        </is>
      </c>
      <c r="B32" s="9" t="n">
        <v>4555.41</v>
      </c>
      <c r="C32" s="9" t="n">
        <v>-14.34000000000015</v>
      </c>
      <c r="D32" s="9" t="n">
        <v>-0.3138027244378838</v>
      </c>
    </row>
    <row r="33">
      <c r="A33" s="8" t="inlineStr">
        <is>
          <t>20251107</t>
        </is>
      </c>
      <c r="B33" s="9" t="n">
        <v>4561.09</v>
      </c>
      <c r="C33" s="9" t="n">
        <v>5.680000000000291</v>
      </c>
      <c r="D33" s="9" t="n">
        <v>0.1246869107281334</v>
      </c>
    </row>
    <row r="34">
      <c r="A34" s="8" t="inlineStr">
        <is>
          <t>20251110</t>
        </is>
      </c>
      <c r="B34" s="9" t="n">
        <v>4598.84</v>
      </c>
      <c r="C34" s="9" t="n">
        <v>37.75</v>
      </c>
      <c r="D34" s="9" t="n">
        <v>0.8276530390761927</v>
      </c>
    </row>
    <row r="35">
      <c r="A35" s="8" t="inlineStr">
        <is>
          <t>20251111</t>
        </is>
      </c>
      <c r="B35" s="9" t="n">
        <v>4645.66</v>
      </c>
      <c r="C35" s="9" t="n">
        <v>46.81999999999971</v>
      </c>
      <c r="D35" s="9" t="n">
        <v>1.018082820885269</v>
      </c>
    </row>
    <row r="36">
      <c r="A36" s="8" t="inlineStr">
        <is>
          <t>20251112</t>
        </is>
      </c>
      <c r="B36" s="9" t="n">
        <v>4637.17</v>
      </c>
      <c r="C36" s="9" t="n">
        <v>-8.489999999999782</v>
      </c>
      <c r="D36" s="9" t="n">
        <v>-0.1827512129600528</v>
      </c>
    </row>
    <row r="37">
      <c r="A37" s="8" t="inlineStr">
        <is>
          <t>20251113</t>
        </is>
      </c>
      <c r="B37" s="9" t="n">
        <v>4635.5</v>
      </c>
      <c r="C37" s="9" t="n">
        <v>-1.670000000000073</v>
      </c>
      <c r="D37" s="9" t="n">
        <v>-0.03601334434579773</v>
      </c>
    </row>
    <row r="38">
      <c r="A38" s="8" t="inlineStr">
        <is>
          <t>20251114</t>
        </is>
      </c>
      <c r="B38" s="9" t="n">
        <v>4591.58</v>
      </c>
      <c r="C38" s="9" t="n">
        <v>-43.92000000000007</v>
      </c>
      <c r="D38" s="9" t="n">
        <v>-0.9474706072699846</v>
      </c>
    </row>
    <row r="39">
      <c r="A39" s="8" t="inlineStr">
        <is>
          <t>20251117</t>
        </is>
      </c>
      <c r="B39" s="9" t="n">
        <v>4671.09</v>
      </c>
      <c r="C39" s="9" t="n">
        <v>79.51000000000022</v>
      </c>
      <c r="D39" s="9" t="n">
        <v>1.731647929470914</v>
      </c>
    </row>
    <row r="40">
      <c r="A40" s="8" t="inlineStr">
        <is>
          <t>20251118</t>
        </is>
      </c>
      <c r="B40" s="9" t="n">
        <v>4647</v>
      </c>
      <c r="C40" s="9" t="n">
        <v>-24.09000000000015</v>
      </c>
      <c r="D40" s="9" t="n">
        <v>-0.5157254516611753</v>
      </c>
    </row>
    <row r="41">
      <c r="A41" s="8" t="inlineStr">
        <is>
          <t>20251119</t>
        </is>
      </c>
      <c r="B41" s="9" t="n">
        <v>4628.75</v>
      </c>
      <c r="C41" s="9" t="n">
        <v>-18.25</v>
      </c>
      <c r="D41" s="9" t="n">
        <v>-0.3927264902087391</v>
      </c>
    </row>
    <row r="42">
      <c r="A42" s="8" t="inlineStr">
        <is>
          <t>20251120</t>
        </is>
      </c>
      <c r="B42" s="9" t="n">
        <v>4648.91</v>
      </c>
      <c r="C42" s="9" t="n">
        <v>20.15999999999985</v>
      </c>
      <c r="D42" s="9" t="n">
        <v>0.4355387523629517</v>
      </c>
    </row>
    <row r="43">
      <c r="A43" s="8" t="inlineStr">
        <is>
          <t>20251121</t>
        </is>
      </c>
      <c r="B43" s="9" t="n">
        <v>4656.66</v>
      </c>
      <c r="C43" s="9" t="n">
        <v>7.75</v>
      </c>
      <c r="D43" s="9" t="n">
        <v>0.1667057439270758</v>
      </c>
    </row>
    <row r="44">
      <c r="A44" s="8" t="inlineStr">
        <is>
          <t>20251124</t>
        </is>
      </c>
      <c r="B44" s="9" t="n">
        <v>4622.25</v>
      </c>
      <c r="C44" s="9" t="n">
        <v>-34.40999999999985</v>
      </c>
      <c r="D44" s="9" t="n">
        <v>-0.7389416448699282</v>
      </c>
    </row>
    <row r="45">
      <c r="A45" s="8" t="inlineStr">
        <is>
          <t>20251125</t>
        </is>
      </c>
      <c r="B45" s="9" t="n">
        <v>4648.08</v>
      </c>
      <c r="C45" s="9" t="n">
        <v>25.82999999999993</v>
      </c>
      <c r="D45" s="9" t="n">
        <v>0.5588187570988223</v>
      </c>
    </row>
    <row r="46">
      <c r="A46" s="8" t="inlineStr">
        <is>
          <t>20251126</t>
        </is>
      </c>
      <c r="B46" s="9" t="n">
        <v>4651.66</v>
      </c>
      <c r="C46" s="9" t="n">
        <v>3.579999999999927</v>
      </c>
      <c r="D46" s="9" t="n">
        <v>0.07702104955165101</v>
      </c>
    </row>
    <row r="47">
      <c r="A47" s="8" t="inlineStr">
        <is>
          <t>20251127</t>
        </is>
      </c>
      <c r="B47" s="9" t="n">
        <v>4654.83</v>
      </c>
      <c r="C47" s="9" t="n">
        <v>3.170000000000073</v>
      </c>
      <c r="D47" s="9" t="n">
        <v>0.06814771500927019</v>
      </c>
    </row>
    <row r="48">
      <c r="A48" s="8" t="inlineStr">
        <is>
          <t>20251128</t>
        </is>
      </c>
      <c r="B48" s="9" t="n">
        <v>4628.33</v>
      </c>
      <c r="C48" s="9" t="n">
        <v>-26.5</v>
      </c>
      <c r="D48" s="9" t="n">
        <v>-0.5693011345204835</v>
      </c>
    </row>
    <row r="49">
      <c r="A49" s="8" t="inlineStr">
        <is>
          <t>20251201</t>
        </is>
      </c>
      <c r="B49" s="9" t="n">
        <v>4658.5</v>
      </c>
      <c r="C49" s="9" t="n">
        <v>30.17000000000007</v>
      </c>
      <c r="D49" s="9" t="n">
        <v>0.6518549887324365</v>
      </c>
    </row>
    <row r="50">
      <c r="A50" s="8" t="inlineStr">
        <is>
          <t>20251202</t>
        </is>
      </c>
      <c r="B50" s="9" t="n">
        <v>4703</v>
      </c>
      <c r="C50" s="9" t="n">
        <v>44.5</v>
      </c>
      <c r="D50" s="9" t="n">
        <v>0.9552431040034337</v>
      </c>
    </row>
    <row r="51">
      <c r="A51" s="8" t="inlineStr">
        <is>
          <t>20251203</t>
        </is>
      </c>
      <c r="B51" s="9" t="n">
        <v>4708.66</v>
      </c>
      <c r="C51" s="9" t="n">
        <v>5.659999999999854</v>
      </c>
      <c r="D51" s="9" t="n">
        <v>0.1203487135870596</v>
      </c>
    </row>
    <row r="52">
      <c r="A52" s="8" t="inlineStr">
        <is>
          <t>20251204</t>
        </is>
      </c>
      <c r="B52" s="9" t="n">
        <v>4705.09</v>
      </c>
      <c r="C52" s="9" t="n">
        <v>-3.569999999999709</v>
      </c>
      <c r="D52" s="9" t="n">
        <v>-0.07581774857390311</v>
      </c>
    </row>
    <row r="53">
      <c r="A53" s="8" t="inlineStr">
        <is>
          <t>20251205</t>
        </is>
      </c>
      <c r="B53" s="9" t="n">
        <v>4702.25</v>
      </c>
      <c r="C53" s="9" t="n">
        <v>-2.840000000000146</v>
      </c>
      <c r="D53" s="9" t="n">
        <v>-0.06036016314246995</v>
      </c>
    </row>
    <row r="54">
      <c r="A54" s="8" t="inlineStr">
        <is>
          <t>20251208</t>
        </is>
      </c>
      <c r="B54" s="9" t="n">
        <v>4694.41</v>
      </c>
      <c r="C54" s="9" t="n">
        <v>-7.840000000000146</v>
      </c>
      <c r="D54" s="9" t="n">
        <v>-0.1667286937104606</v>
      </c>
    </row>
    <row r="55">
      <c r="A55" s="8" t="inlineStr">
        <is>
          <t>20251209</t>
        </is>
      </c>
      <c r="B55" s="9" t="n">
        <v>4687.75</v>
      </c>
      <c r="C55" s="9" t="n">
        <v>-6.659999999999854</v>
      </c>
      <c r="D55" s="9" t="n">
        <v>-0.1418708634311816</v>
      </c>
    </row>
    <row r="56">
      <c r="A56" s="8" t="inlineStr">
        <is>
          <t>20251210</t>
        </is>
      </c>
      <c r="B56" s="9" t="n">
        <v>4682.92</v>
      </c>
      <c r="C56" s="9" t="n">
        <v>-4.829999999999927</v>
      </c>
      <c r="D56" s="9" t="n">
        <v>-0.1030345048264047</v>
      </c>
    </row>
    <row r="57">
      <c r="A57" s="8" t="inlineStr">
        <is>
          <t>20251211</t>
        </is>
      </c>
      <c r="B57" s="9" t="n">
        <v>4637</v>
      </c>
      <c r="C57" s="9" t="n">
        <v>-45.92000000000007</v>
      </c>
      <c r="D57" s="9" t="n">
        <v>-0.9805847633527764</v>
      </c>
    </row>
    <row r="58">
      <c r="A58" s="8" t="inlineStr">
        <is>
          <t>20251212</t>
        </is>
      </c>
      <c r="B58" s="9" t="n">
        <v>4651.66</v>
      </c>
      <c r="C58" s="9" t="n">
        <v>14.65999999999985</v>
      </c>
      <c r="D58" s="9" t="n">
        <v>0.3161526849255969</v>
      </c>
    </row>
    <row r="59">
      <c r="A59" s="8" t="inlineStr">
        <is>
          <t>20251215</t>
        </is>
      </c>
      <c r="B59" s="9" t="n">
        <v>4639.4</v>
      </c>
      <c r="C59" s="9" t="n">
        <v>-12.26000000000022</v>
      </c>
      <c r="D59" s="9" t="n">
        <v>-0.2635618252408878</v>
      </c>
    </row>
    <row r="60">
      <c r="A60" s="8" t="inlineStr">
        <is>
          <t>20251216</t>
        </is>
      </c>
      <c r="B60" s="9" t="n">
        <v>4649.66</v>
      </c>
      <c r="C60" s="9" t="n">
        <v>10.26000000000022</v>
      </c>
      <c r="D60" s="9" t="n">
        <v>0.2211492865456854</v>
      </c>
    </row>
    <row r="61">
      <c r="A61" s="8" t="inlineStr">
        <is>
          <t>20251217</t>
        </is>
      </c>
      <c r="B61" s="9" t="n">
        <v>4622.58</v>
      </c>
      <c r="C61" s="9" t="n">
        <v>-27.07999999999993</v>
      </c>
      <c r="D61" s="9" t="n">
        <v>-0.5824081760816946</v>
      </c>
    </row>
    <row r="62">
      <c r="A62" s="8" t="inlineStr">
        <is>
          <t>20251218</t>
        </is>
      </c>
      <c r="B62" s="9" t="n">
        <v>4626.34</v>
      </c>
      <c r="C62" s="9" t="n">
        <v>3.760000000000218</v>
      </c>
      <c r="D62" s="9" t="n">
        <v>0.08133985782832198</v>
      </c>
    </row>
    <row r="63">
      <c r="A63" s="8" t="inlineStr">
        <is>
          <t>20251219</t>
        </is>
      </c>
      <c r="B63" s="9" t="n">
        <v>4683.84</v>
      </c>
      <c r="C63" s="9" t="n">
        <v>57.5</v>
      </c>
      <c r="D63" s="9" t="n">
        <v>1.242883143046125</v>
      </c>
    </row>
    <row r="64">
      <c r="A64" s="8" t="inlineStr">
        <is>
          <t>20251222</t>
        </is>
      </c>
      <c r="B64" s="9" t="n">
        <v>4735.25</v>
      </c>
      <c r="C64" s="9" t="n">
        <v>51.40999999999985</v>
      </c>
      <c r="D64" s="9" t="n">
        <v>1.097603675616576</v>
      </c>
    </row>
    <row r="65">
      <c r="A65" s="8" t="inlineStr">
        <is>
          <t>20251223</t>
        </is>
      </c>
      <c r="B65" s="9" t="n">
        <v>4879.34</v>
      </c>
      <c r="C65" s="9" t="n">
        <v>144.0900000000001</v>
      </c>
      <c r="D65" s="9" t="n">
        <v>3.042922760149946</v>
      </c>
    </row>
    <row r="66">
      <c r="A66" s="8" t="inlineStr">
        <is>
          <t>20251224</t>
        </is>
      </c>
      <c r="B66" s="9" t="n">
        <v>4923.16</v>
      </c>
      <c r="C66" s="9" t="n">
        <v>43.81999999999971</v>
      </c>
      <c r="D66" s="9" t="n">
        <v>0.8980722802674146</v>
      </c>
    </row>
    <row r="67">
      <c r="A67" s="8" t="inlineStr">
        <is>
          <t>20251225</t>
        </is>
      </c>
      <c r="B67" s="9" t="n">
        <v>4970.5</v>
      </c>
      <c r="C67" s="9" t="n">
        <v>47.34000000000015</v>
      </c>
      <c r="D67" s="9" t="n">
        <v>0.9615775233792867</v>
      </c>
    </row>
    <row r="68">
      <c r="A68" s="8" t="inlineStr">
        <is>
          <t>20251226</t>
        </is>
      </c>
      <c r="B68" s="9" t="n">
        <v>5056.34</v>
      </c>
      <c r="C68" s="9" t="n">
        <v>85.84000000000015</v>
      </c>
      <c r="D68" s="9" t="n">
        <v>1.726989236495324</v>
      </c>
    </row>
    <row r="69">
      <c r="A69" s="8" t="inlineStr">
        <is>
          <t>20251229</t>
        </is>
      </c>
      <c r="B69" s="9" t="n">
        <v>5144.84</v>
      </c>
      <c r="C69" s="9" t="n">
        <v>88.5</v>
      </c>
      <c r="D69" s="9" t="n">
        <v>1.750277868972416</v>
      </c>
    </row>
    <row r="70">
      <c r="A70" s="8" t="inlineStr">
        <is>
          <t>20251230</t>
        </is>
      </c>
      <c r="B70" s="9" t="n">
        <v>5045.84</v>
      </c>
      <c r="C70" s="9" t="n">
        <v>-99</v>
      </c>
      <c r="D70" s="9" t="n">
        <v>-1.92425809160246</v>
      </c>
    </row>
    <row r="71">
      <c r="A71" s="8" t="inlineStr">
        <is>
          <t>20251231</t>
        </is>
      </c>
      <c r="B71" s="9" t="n">
        <v>5082.66</v>
      </c>
      <c r="C71" s="9" t="n">
        <v>36.81999999999971</v>
      </c>
      <c r="D71" s="9" t="n">
        <v>0.7297100185499339</v>
      </c>
    </row>
    <row r="72">
      <c r="A72" s="8" t="inlineStr">
        <is>
          <t>20260101</t>
        </is>
      </c>
      <c r="B72" s="9" t="n">
        <v>5079.09</v>
      </c>
      <c r="C72" s="9" t="n">
        <v>-3.569999999999709</v>
      </c>
      <c r="D72" s="9" t="n">
        <v>-0.07023881196066561</v>
      </c>
    </row>
    <row r="73">
      <c r="A73" s="8" t="inlineStr">
        <is>
          <t>20260102</t>
        </is>
      </c>
      <c r="B73" s="9" t="n">
        <v>5079.09</v>
      </c>
      <c r="C73" s="9" t="n">
        <v>0</v>
      </c>
      <c r="D73" s="9" t="n">
        <v>0</v>
      </c>
    </row>
    <row r="74">
      <c r="A74" s="8" t="inlineStr">
        <is>
          <t>20260105</t>
        </is>
      </c>
      <c r="B74" s="9" t="n">
        <v>5079.09</v>
      </c>
      <c r="C74" s="9" t="n">
        <v>0</v>
      </c>
      <c r="D74" s="9" t="n">
        <v>0</v>
      </c>
    </row>
    <row r="75">
      <c r="A75" s="8" t="inlineStr">
        <is>
          <t>20260106</t>
        </is>
      </c>
      <c r="B75" s="9" t="n">
        <v>5014.91</v>
      </c>
      <c r="C75" s="9" t="n">
        <v>-64.18000000000029</v>
      </c>
      <c r="D75" s="9" t="n">
        <v>-1.263612182497265</v>
      </c>
    </row>
    <row r="76">
      <c r="A76" s="8" t="inlineStr">
        <is>
          <t>20260107</t>
        </is>
      </c>
      <c r="B76" s="9" t="n">
        <v>5126.75</v>
      </c>
      <c r="C76" s="9" t="n">
        <v>111.8400000000001</v>
      </c>
      <c r="D76" s="9" t="n">
        <v>2.230149693613637</v>
      </c>
    </row>
    <row r="77">
      <c r="A77" s="8" t="inlineStr">
        <is>
          <t>20260108</t>
        </is>
      </c>
      <c r="B77" s="9" t="n">
        <v>5089.34</v>
      </c>
      <c r="C77" s="9" t="n">
        <v>-37.40999999999985</v>
      </c>
      <c r="D77" s="9" t="n">
        <v>-0.729702052957526</v>
      </c>
    </row>
    <row r="78">
      <c r="A78" s="8" t="inlineStr">
        <is>
          <t>20260109</t>
        </is>
      </c>
      <c r="B78" s="9" t="n">
        <v>5078.66</v>
      </c>
      <c r="C78" s="9" t="n">
        <v>-10.68000000000029</v>
      </c>
      <c r="D78" s="9" t="n">
        <v>-0.2098503931747597</v>
      </c>
    </row>
    <row r="79">
      <c r="A79" s="8" t="inlineStr">
        <is>
          <t>20260112</t>
        </is>
      </c>
      <c r="B79" s="9" t="n">
        <v>5094.66</v>
      </c>
      <c r="C79" s="9" t="n">
        <v>16</v>
      </c>
      <c r="D79" s="9" t="n">
        <v>0.3150437320080579</v>
      </c>
    </row>
    <row r="80">
      <c r="A80" s="8" t="inlineStr">
        <is>
          <t>20260113</t>
        </is>
      </c>
      <c r="B80" s="9" t="n">
        <v>5123.09</v>
      </c>
      <c r="C80" s="9" t="n">
        <v>28.43000000000029</v>
      </c>
      <c r="D80" s="9" t="n">
        <v>0.5580352761519025</v>
      </c>
    </row>
    <row r="81">
      <c r="A81" s="8" t="inlineStr">
        <is>
          <t>20260114</t>
        </is>
      </c>
      <c r="B81" s="9" t="n">
        <v>5108.58</v>
      </c>
      <c r="C81" s="9" t="n">
        <v>-14.51000000000022</v>
      </c>
      <c r="D81" s="9" t="n">
        <v>-0.283227505275141</v>
      </c>
    </row>
    <row r="82">
      <c r="A82" s="8" t="inlineStr">
        <is>
          <t>20260115</t>
        </is>
      </c>
      <c r="B82" s="9" t="n">
        <v>5093.58</v>
      </c>
      <c r="C82" s="9" t="n">
        <v>-15</v>
      </c>
      <c r="D82" s="9" t="n">
        <v>-0.2936236684166649</v>
      </c>
    </row>
    <row r="83">
      <c r="A83" s="8" t="inlineStr">
        <is>
          <t>20260116</t>
        </is>
      </c>
      <c r="B83" s="9" t="n">
        <v>5064.09</v>
      </c>
      <c r="C83" s="9" t="n">
        <v>-29.48999999999978</v>
      </c>
      <c r="D83" s="9" t="n">
        <v>-0.5789641077591723</v>
      </c>
    </row>
    <row r="84">
      <c r="A84" s="8" t="inlineStr">
        <is>
          <t>20260119</t>
        </is>
      </c>
      <c r="B84" s="9" t="n">
        <v>5019.83</v>
      </c>
      <c r="C84" s="9" t="n">
        <v>-44.26000000000022</v>
      </c>
      <c r="D84" s="9" t="n">
        <v>-0.8739971051067497</v>
      </c>
    </row>
    <row r="85">
      <c r="A85" s="8" t="inlineStr">
        <is>
          <t>20260120</t>
        </is>
      </c>
      <c r="B85" s="9" t="n">
        <v>5009.34</v>
      </c>
      <c r="C85" s="9" t="n">
        <v>-10.48999999999978</v>
      </c>
      <c r="D85" s="9" t="n">
        <v>-0.2089712201409188</v>
      </c>
    </row>
    <row r="86">
      <c r="A86" s="8" t="inlineStr">
        <is>
          <t>20260121</t>
        </is>
      </c>
      <c r="B86" s="9" t="n">
        <v>5044.92</v>
      </c>
      <c r="C86" s="9" t="n">
        <v>35.57999999999993</v>
      </c>
      <c r="D86" s="9" t="n">
        <v>0.7102732096443853</v>
      </c>
    </row>
    <row r="87">
      <c r="A87" s="8" t="inlineStr">
        <is>
          <t>20260122</t>
        </is>
      </c>
      <c r="B87" s="9" t="n">
        <v>5059.41</v>
      </c>
      <c r="C87" s="9" t="n">
        <v>14.48999999999978</v>
      </c>
      <c r="D87" s="9" t="n">
        <v>0.2872196189434018</v>
      </c>
    </row>
    <row r="88">
      <c r="A88" s="8" t="inlineStr">
        <is>
          <t>20260123</t>
        </is>
      </c>
      <c r="B88" s="9" t="n">
        <v>5098.75</v>
      </c>
      <c r="C88" s="9" t="n">
        <v>39.34000000000015</v>
      </c>
      <c r="D88" s="9" t="n">
        <v>0.7775610199608263</v>
      </c>
    </row>
    <row r="89">
      <c r="A89" s="8" t="inlineStr">
        <is>
          <t>20260126</t>
        </is>
      </c>
      <c r="B89" s="9" t="n">
        <v>5247.5</v>
      </c>
      <c r="C89" s="9" t="n">
        <v>148.75</v>
      </c>
      <c r="D89" s="9" t="n">
        <v>2.917381711203726</v>
      </c>
    </row>
    <row r="90">
      <c r="A90" s="8" t="inlineStr">
        <is>
          <t>20260127</t>
        </is>
      </c>
      <c r="B90" s="9" t="n">
        <v>5341.25</v>
      </c>
      <c r="C90" s="9" t="n">
        <v>93.75</v>
      </c>
      <c r="D90" s="9" t="n">
        <v>1.786565030967124</v>
      </c>
    </row>
    <row r="91">
      <c r="A91" s="8" t="inlineStr">
        <is>
          <t>20260128</t>
        </is>
      </c>
      <c r="B91" s="9" t="n">
        <v>5267.09</v>
      </c>
      <c r="C91" s="9" t="n">
        <v>-74.15999999999985</v>
      </c>
      <c r="D91" s="9" t="n">
        <v>-1.388439035806222</v>
      </c>
    </row>
    <row r="92">
      <c r="A92" s="8" t="inlineStr">
        <is>
          <t>20260129</t>
        </is>
      </c>
      <c r="B92" s="9" t="n">
        <v>5314.75</v>
      </c>
      <c r="C92" s="9" t="n">
        <v>47.65999999999985</v>
      </c>
      <c r="D92" s="9" t="n">
        <v>0.9048639761234378</v>
      </c>
    </row>
    <row r="93">
      <c r="A93" s="8" t="inlineStr">
        <is>
          <t>20260130</t>
        </is>
      </c>
      <c r="B93" s="9" t="n">
        <v>5297.25</v>
      </c>
      <c r="C93" s="9" t="n">
        <v>-17.5</v>
      </c>
      <c r="D93" s="9" t="n">
        <v>-0.3292723081988802</v>
      </c>
    </row>
    <row r="94">
      <c r="A94" s="8" t="inlineStr">
        <is>
          <t>20260202</t>
        </is>
      </c>
      <c r="B94" s="9" t="n">
        <v>5298.83</v>
      </c>
      <c r="C94" s="9" t="n">
        <v>1.579999999999927</v>
      </c>
      <c r="D94" s="9" t="n">
        <v>0.02982679692293821</v>
      </c>
    </row>
    <row r="95">
      <c r="A95" s="8" t="inlineStr">
        <is>
          <t>20260203</t>
        </is>
      </c>
      <c r="B95" s="9" t="n">
        <v>5173.91</v>
      </c>
      <c r="C95" s="9" t="n">
        <v>-124.9200000000001</v>
      </c>
      <c r="D95" s="9" t="n">
        <v>-2.357501561665498</v>
      </c>
    </row>
    <row r="96">
      <c r="A96" s="8" t="inlineStr">
        <is>
          <t>20260204</t>
        </is>
      </c>
      <c r="B96" s="9" t="n">
        <v>5151.09</v>
      </c>
      <c r="C96" s="9" t="n">
        <v>-22.81999999999971</v>
      </c>
      <c r="D96" s="9" t="n">
        <v>-0.4410590829759253</v>
      </c>
    </row>
    <row r="97">
      <c r="A97" s="8" t="inlineStr">
        <is>
          <t>20260205</t>
        </is>
      </c>
      <c r="B97" s="9" t="n">
        <v>5167.03</v>
      </c>
      <c r="C97" s="9" t="n">
        <v>15.9399999999996</v>
      </c>
      <c r="D97" s="9" t="n">
        <v>0.3094490680613182</v>
      </c>
    </row>
    <row r="98">
      <c r="A98" s="8" t="inlineStr">
        <is>
          <t>20260206</t>
        </is>
      </c>
      <c r="B98" s="9" t="n">
        <v>5130.9</v>
      </c>
      <c r="C98" s="9" t="n">
        <v>-36.13000000000011</v>
      </c>
      <c r="D98" s="9" t="n">
        <v>-0.6992411501384743</v>
      </c>
    </row>
    <row r="99">
      <c r="A99" s="8" t="inlineStr">
        <is>
          <t>20260209</t>
        </is>
      </c>
      <c r="B99" s="9" t="n">
        <v>5144.26</v>
      </c>
      <c r="C99" s="9" t="n">
        <v>13.36000000000058</v>
      </c>
      <c r="D99" s="9" t="n">
        <v>0.2603831686448954</v>
      </c>
    </row>
    <row r="100">
      <c r="A100" s="8" t="inlineStr">
        <is>
          <t>20260210</t>
        </is>
      </c>
      <c r="B100" s="9" t="n">
        <v>5151.86</v>
      </c>
      <c r="C100" s="9" t="n">
        <v>7.599999999999454</v>
      </c>
      <c r="D100" s="9" t="n">
        <v>0.1477374782767438</v>
      </c>
    </row>
    <row r="101">
      <c r="A101" s="8" t="inlineStr">
        <is>
          <t>20260211</t>
        </is>
      </c>
      <c r="B101" s="9" t="n">
        <v>5195.2</v>
      </c>
      <c r="C101" s="9" t="n">
        <v>43.34000000000015</v>
      </c>
      <c r="D101" s="9" t="n">
        <v>0.8412495681171528</v>
      </c>
    </row>
    <row r="102">
      <c r="A102" s="8" t="inlineStr">
        <is>
          <t>20260212</t>
        </is>
      </c>
      <c r="B102" s="9" t="n">
        <v>5212.07</v>
      </c>
      <c r="C102" s="9" t="n">
        <v>16.86999999999989</v>
      </c>
      <c r="D102" s="9" t="n">
        <v>0.3247228210655928</v>
      </c>
    </row>
    <row r="103">
      <c r="A103" s="8" t="inlineStr">
        <is>
          <t>20260213</t>
        </is>
      </c>
      <c r="B103" s="9" t="n">
        <v>5184.66</v>
      </c>
      <c r="C103" s="9" t="n">
        <v>-27.40999999999985</v>
      </c>
      <c r="D103" s="9" t="n">
        <v>-0.5258947021049232</v>
      </c>
    </row>
    <row r="104">
      <c r="A104" s="8" t="inlineStr">
        <is>
          <t>20260216</t>
        </is>
      </c>
      <c r="B104" s="9" t="n">
        <v>5168.5</v>
      </c>
      <c r="C104" s="9" t="n">
        <v>-16.15999999999985</v>
      </c>
      <c r="D104" s="9" t="n">
        <v>-0.3116887124710144</v>
      </c>
    </row>
    <row r="105">
      <c r="A105" s="8" t="inlineStr">
        <is>
          <t>20260217</t>
        </is>
      </c>
      <c r="B105" s="9" t="n">
        <v>5168.5</v>
      </c>
      <c r="C105" s="9" t="n">
        <v>0</v>
      </c>
      <c r="D105" s="9" t="n">
        <v>0</v>
      </c>
    </row>
    <row r="106">
      <c r="A106" s="8" t="inlineStr">
        <is>
          <t>20260218</t>
        </is>
      </c>
      <c r="B106" s="9" t="n">
        <v>5168.5</v>
      </c>
      <c r="C106" s="9" t="n">
        <v>0</v>
      </c>
      <c r="D106" s="9" t="n">
        <v>0</v>
      </c>
    </row>
    <row r="107">
      <c r="A107" s="8" t="inlineStr">
        <is>
          <t>20260219</t>
        </is>
      </c>
      <c r="B107" s="9" t="n">
        <v>5168.5</v>
      </c>
      <c r="C107" s="9" t="n">
        <v>0</v>
      </c>
      <c r="D107" s="9" t="n">
        <v>0</v>
      </c>
    </row>
    <row r="108">
      <c r="A108" s="8" t="inlineStr">
        <is>
          <t>20260220</t>
        </is>
      </c>
      <c r="B108" s="9" t="n">
        <v>5181.47</v>
      </c>
      <c r="C108" s="9" t="n">
        <v>12.97000000000025</v>
      </c>
      <c r="D108" s="9" t="n">
        <v>0.2509432136983625</v>
      </c>
    </row>
    <row r="109">
      <c r="A109" s="8" t="inlineStr">
        <is>
          <t>20260223</t>
        </is>
      </c>
      <c r="B109" s="9" t="n">
        <v>5181.47</v>
      </c>
      <c r="C109" s="9" t="n">
        <v>0</v>
      </c>
      <c r="D109" s="9" t="n">
        <v>0</v>
      </c>
    </row>
    <row r="110">
      <c r="A110" s="8" t="inlineStr">
        <is>
          <t>20260224</t>
        </is>
      </c>
      <c r="B110" s="9" t="n">
        <v>5181.47</v>
      </c>
      <c r="C110" s="9" t="n">
        <v>0</v>
      </c>
      <c r="D110" s="9" t="n">
        <v>0</v>
      </c>
    </row>
    <row r="111">
      <c r="A111" s="8" t="inlineStr">
        <is>
          <t>20260225</t>
        </is>
      </c>
      <c r="B111" s="9" t="n">
        <v>5324.57</v>
      </c>
      <c r="C111" s="9" t="n">
        <v>143.0999999999995</v>
      </c>
      <c r="D111" s="9" t="n">
        <v>2.761764518563248</v>
      </c>
    </row>
    <row r="112">
      <c r="A112" s="8" t="inlineStr">
        <is>
          <t>20260226</t>
        </is>
      </c>
      <c r="B112" s="9" t="n">
        <v>5319.43</v>
      </c>
      <c r="C112" s="9" t="n">
        <v>-5.139999999999418</v>
      </c>
      <c r="D112" s="9" t="n">
        <v>-0.09653361679908823</v>
      </c>
    </row>
    <row r="113">
      <c r="A113" s="8" t="inlineStr">
        <is>
          <t>20260227</t>
        </is>
      </c>
      <c r="B113" s="9" t="n">
        <v>5270.64</v>
      </c>
      <c r="C113" s="9" t="n">
        <v>-48.78999999999996</v>
      </c>
      <c r="D113" s="9" t="n">
        <v>-0.9172035349652163</v>
      </c>
    </row>
    <row r="114">
      <c r="A114" s="8" t="inlineStr">
        <is>
          <t>20260302</t>
        </is>
      </c>
      <c r="B114" s="9" t="n">
        <v>5237.9</v>
      </c>
      <c r="C114" s="9" t="n">
        <v>-32.74000000000069</v>
      </c>
      <c r="D114" s="9" t="n">
        <v>-0.6211769348694052</v>
      </c>
    </row>
    <row r="115">
      <c r="A115" s="8" t="inlineStr">
        <is>
          <t>20260303</t>
        </is>
      </c>
      <c r="B115" s="9" t="n">
        <v>5374.74</v>
      </c>
      <c r="C115" s="9" t="n">
        <v>136.8400000000001</v>
      </c>
      <c r="D115" s="9" t="n">
        <v>2.612497374902167</v>
      </c>
    </row>
    <row r="116">
      <c r="A116" s="8" t="inlineStr">
        <is>
          <t>20260304</t>
        </is>
      </c>
      <c r="B116" s="9" t="n">
        <v>5396.26</v>
      </c>
      <c r="C116" s="9" t="n">
        <v>21.52000000000044</v>
      </c>
      <c r="D116" s="9" t="n">
        <v>0.4003914607962455</v>
      </c>
    </row>
    <row r="117">
      <c r="A117" s="8" t="inlineStr">
        <is>
          <t>20260305</t>
        </is>
      </c>
      <c r="B117" s="9" t="n">
        <v>5515.66</v>
      </c>
      <c r="C117" s="9" t="n">
        <v>119.3999999999996</v>
      </c>
      <c r="D117" s="9" t="n">
        <v>2.21264357165889</v>
      </c>
    </row>
    <row r="118">
      <c r="A118" s="8" t="inlineStr">
        <is>
          <t>20260306</t>
        </is>
      </c>
      <c r="B118" s="9" t="n">
        <v>5702.43</v>
      </c>
      <c r="C118" s="9" t="n">
        <v>186.7700000000004</v>
      </c>
      <c r="D118" s="9" t="n">
        <v>3.386176812929009</v>
      </c>
    </row>
    <row r="119">
      <c r="A119" s="8" t="inlineStr">
        <is>
          <t>20260309</t>
        </is>
      </c>
      <c r="B119" s="9" t="n">
        <v>5764</v>
      </c>
      <c r="C119" s="9" t="n">
        <v>61.56999999999971</v>
      </c>
      <c r="D119" s="9" t="n">
        <v>1.079715138984594</v>
      </c>
    </row>
    <row r="120">
      <c r="A120" s="8" t="inlineStr">
        <is>
          <t>20260310</t>
        </is>
      </c>
      <c r="B120" s="9" t="n">
        <v>5857.34</v>
      </c>
      <c r="C120" s="9" t="n">
        <v>93.34000000000015</v>
      </c>
      <c r="D120" s="9" t="n">
        <v>1.619361554476062</v>
      </c>
    </row>
    <row r="121">
      <c r="A121" s="8" t="inlineStr">
        <is>
          <t>20260311</t>
        </is>
      </c>
      <c r="B121" s="9" t="n">
        <v>5789.93</v>
      </c>
      <c r="C121" s="9" t="n">
        <v>-67.40999999999985</v>
      </c>
      <c r="D121" s="9" t="n">
        <v>-1.150863702636351</v>
      </c>
    </row>
    <row r="122">
      <c r="A122" s="8" t="inlineStr">
        <is>
          <t>20260312</t>
        </is>
      </c>
      <c r="B122" s="9" t="n">
        <v>5865.47</v>
      </c>
      <c r="C122" s="9" t="n">
        <v>75.53999999999996</v>
      </c>
      <c r="D122" s="9" t="n">
        <v>1.304678985756302</v>
      </c>
    </row>
    <row r="123">
      <c r="A123" s="8" t="inlineStr">
        <is>
          <t>20260313</t>
        </is>
      </c>
      <c r="B123" s="9" t="n">
        <v>6145.26</v>
      </c>
      <c r="C123" s="9" t="n">
        <v>279.79</v>
      </c>
      <c r="D123" s="9" t="n">
        <v>4.77012072348848</v>
      </c>
    </row>
    <row r="124">
      <c r="A124" s="8" t="inlineStr">
        <is>
          <t>20260316</t>
        </is>
      </c>
      <c r="B124" s="9" t="n">
        <v>6600.6</v>
      </c>
      <c r="C124" s="9" t="n">
        <v>455.3400000000001</v>
      </c>
      <c r="D124" s="9" t="n">
        <v>7.409613262905079</v>
      </c>
    </row>
    <row r="125">
      <c r="A125" s="8" t="inlineStr">
        <is>
          <t>20260317</t>
        </is>
      </c>
      <c r="B125" s="9" t="n">
        <v>6633.86</v>
      </c>
      <c r="C125" s="9" t="n">
        <v>33.25999999999931</v>
      </c>
      <c r="D125" s="9" t="n">
        <v>0.503893585431614</v>
      </c>
    </row>
    <row r="126">
      <c r="A126" s="8" t="inlineStr">
        <is>
          <t>20260318</t>
        </is>
      </c>
      <c r="B126" s="9" t="n">
        <v>6931.84</v>
      </c>
      <c r="C126" s="9" t="n">
        <v>297.9800000000005</v>
      </c>
      <c r="D126" s="9" t="n">
        <v>4.491804168312274</v>
      </c>
    </row>
    <row r="127">
      <c r="A127" s="8" t="inlineStr">
        <is>
          <t>20260319</t>
        </is>
      </c>
      <c r="B127" s="9" t="n">
        <v>6875.93</v>
      </c>
      <c r="C127" s="9" t="n">
        <v>-55.90999999999985</v>
      </c>
      <c r="D127" s="9" t="n">
        <v>-0.8065679530975922</v>
      </c>
    </row>
    <row r="128">
      <c r="A128" s="8" t="inlineStr">
        <is>
          <t>20260320</t>
        </is>
      </c>
      <c r="B128" s="9" t="n">
        <v>6897.4</v>
      </c>
      <c r="C128" s="9" t="n">
        <v>21.46999999999935</v>
      </c>
      <c r="D128" s="9" t="n">
        <v>0.3122486703616811</v>
      </c>
    </row>
    <row r="129">
      <c r="A129" s="8" t="inlineStr">
        <is>
          <t>20260323</t>
        </is>
      </c>
      <c r="B129" s="9" t="n">
        <v>6673.7</v>
      </c>
      <c r="C129" s="9" t="n">
        <v>-223.6999999999998</v>
      </c>
      <c r="D129" s="9" t="n">
        <v>-3.243251080117138</v>
      </c>
    </row>
    <row r="130">
      <c r="A130" s="8" t="inlineStr">
        <is>
          <t>20260324</t>
        </is>
      </c>
      <c r="B130" s="9" t="n">
        <v>6855.64</v>
      </c>
      <c r="C130" s="9" t="n">
        <v>181.9400000000005</v>
      </c>
      <c r="D130" s="9" t="n">
        <v>2.726223833855301</v>
      </c>
    </row>
    <row r="131">
      <c r="A131" s="8" t="inlineStr">
        <is>
          <t>20260325</t>
        </is>
      </c>
      <c r="B131" s="9" t="n">
        <v>6734.03</v>
      </c>
      <c r="C131" s="9" t="n">
        <v>-121.6100000000006</v>
      </c>
      <c r="D131" s="9" t="n">
        <v>-1.773867939390061</v>
      </c>
    </row>
    <row r="132">
      <c r="A132" s="8" t="inlineStr">
        <is>
          <t>20260326</t>
        </is>
      </c>
      <c r="B132" s="9" t="n">
        <v>6625.9</v>
      </c>
      <c r="C132" s="9" t="n">
        <v>-108.1300000000001</v>
      </c>
      <c r="D132" s="9" t="n">
        <v>-1.605724952220289</v>
      </c>
    </row>
    <row r="133">
      <c r="A133" s="8" t="inlineStr">
        <is>
          <t>20260327</t>
        </is>
      </c>
      <c r="B133" s="9" t="n">
        <v>6740.03</v>
      </c>
      <c r="C133" s="9" t="n">
        <v>114.1300000000001</v>
      </c>
      <c r="D133" s="9" t="n">
        <v>1.722482983443752</v>
      </c>
    </row>
    <row r="134">
      <c r="A134" s="8" t="inlineStr">
        <is>
          <t>20260330</t>
        </is>
      </c>
      <c r="B134" s="9" t="n">
        <v>6746.74</v>
      </c>
      <c r="C134" s="9" t="n">
        <v>6.710000000000036</v>
      </c>
      <c r="D134" s="9" t="n">
        <v>0.09955445302172183</v>
      </c>
    </row>
    <row r="135">
      <c r="A135" s="8" t="inlineStr">
        <is>
          <t>20260331</t>
        </is>
      </c>
      <c r="B135" s="9" t="n">
        <v>6867.64</v>
      </c>
      <c r="C135" s="9" t="n">
        <v>120.9000000000005</v>
      </c>
      <c r="D135" s="9" t="n">
        <v>1.791976569424647</v>
      </c>
    </row>
    <row r="136">
      <c r="A136" s="8" t="inlineStr">
        <is>
          <t>20260401</t>
        </is>
      </c>
      <c r="B136" s="9" t="n">
        <v>6761.93</v>
      </c>
      <c r="C136" s="9" t="n">
        <v>-105.71</v>
      </c>
      <c r="D136" s="9" t="n">
        <v>-1.539247834772939</v>
      </c>
    </row>
    <row r="137">
      <c r="A137" s="8" t="inlineStr">
        <is>
          <t>20260402</t>
        </is>
      </c>
      <c r="B137" s="9" t="n">
        <v>6601.53</v>
      </c>
      <c r="C137" s="9" t="n">
        <v>-160.4000000000005</v>
      </c>
      <c r="D137" s="9" t="n">
        <v>-2.372103822429406</v>
      </c>
    </row>
    <row r="138">
      <c r="A138" s="8" t="inlineStr">
        <is>
          <t>20260403</t>
        </is>
      </c>
      <c r="B138" s="9" t="n">
        <v>6710.14</v>
      </c>
      <c r="C138" s="9" t="n">
        <v>108.6100000000006</v>
      </c>
      <c r="D138" s="9" t="n">
        <v>1.645224667614942</v>
      </c>
    </row>
    <row r="139">
      <c r="A139" s="8" t="inlineStr">
        <is>
          <t>20260406</t>
        </is>
      </c>
      <c r="B139" s="9" t="n">
        <v>6771.43</v>
      </c>
      <c r="C139" s="9" t="n">
        <v>61.28999999999996</v>
      </c>
      <c r="D139" s="9" t="n">
        <v>0.9133937592956221</v>
      </c>
    </row>
    <row r="140">
      <c r="A140" s="8" t="inlineStr">
        <is>
          <t>20260407</t>
        </is>
      </c>
      <c r="B140" s="9" t="n">
        <v>6771.43</v>
      </c>
      <c r="C140" s="9" t="n">
        <v>0</v>
      </c>
      <c r="D140" s="9" t="n">
        <v>0</v>
      </c>
    </row>
    <row r="141">
      <c r="A141" s="8" t="inlineStr">
        <is>
          <t>20260408</t>
        </is>
      </c>
      <c r="B141" s="9" t="n">
        <v>6932.9</v>
      </c>
      <c r="C141" s="9" t="n">
        <v>161.4699999999993</v>
      </c>
      <c r="D141" s="9" t="n">
        <v>2.384577555996281</v>
      </c>
    </row>
    <row r="142">
      <c r="A142" s="8" t="inlineStr">
        <is>
          <t>20260409</t>
        </is>
      </c>
      <c r="B142" s="9" t="n">
        <v>6504.47</v>
      </c>
      <c r="C142" s="9" t="n">
        <v>-428.4299999999994</v>
      </c>
      <c r="D142" s="9" t="n">
        <v>-6.179665075221042</v>
      </c>
    </row>
    <row r="143">
      <c r="A143" s="8" t="inlineStr">
        <is>
          <t>20260410</t>
        </is>
      </c>
      <c r="B143" s="9" t="n">
        <v>6524.97</v>
      </c>
      <c r="C143" s="9" t="n">
        <v>20.5</v>
      </c>
      <c r="D143" s="9" t="n">
        <v>0.3151678768600563</v>
      </c>
    </row>
    <row r="144">
      <c r="A144" s="8" t="inlineStr">
        <is>
          <t>20260413</t>
        </is>
      </c>
      <c r="B144" s="9" t="n">
        <v>6365.86</v>
      </c>
      <c r="C144" s="9" t="n">
        <v>-159.1100000000006</v>
      </c>
      <c r="D144" s="9" t="n">
        <v>-2.438478644346265</v>
      </c>
    </row>
    <row r="145">
      <c r="A145" s="8" t="inlineStr">
        <is>
          <t>20260414</t>
        </is>
      </c>
      <c r="B145" s="9" t="n">
        <v>6336.3</v>
      </c>
      <c r="C145" s="9" t="n">
        <v>-29.55999999999949</v>
      </c>
      <c r="D145" s="9" t="n">
        <v>-0.4643520278485469</v>
      </c>
    </row>
    <row r="146">
      <c r="A146" s="8" t="inlineStr">
        <is>
          <t>20260415</t>
        </is>
      </c>
      <c r="B146" s="9" t="n">
        <v>6392.9</v>
      </c>
      <c r="C146" s="9" t="n">
        <v>56.59999999999945</v>
      </c>
      <c r="D146" s="9" t="n">
        <v>0.8932657860265314</v>
      </c>
    </row>
    <row r="147">
      <c r="A147" s="8" t="inlineStr">
        <is>
          <t>20260416</t>
        </is>
      </c>
      <c r="B147" s="9" t="n">
        <v>6531.3</v>
      </c>
      <c r="C147" s="9" t="n">
        <v>138.4000000000005</v>
      </c>
      <c r="D147" s="9" t="n">
        <v>2.164901687809917</v>
      </c>
    </row>
    <row r="148">
      <c r="A148" s="8" t="inlineStr">
        <is>
          <t>20260417</t>
        </is>
      </c>
      <c r="B148" s="9" t="n">
        <v>6548.16</v>
      </c>
      <c r="C148" s="9" t="n">
        <v>16.85999999999967</v>
      </c>
      <c r="D148" s="9" t="n">
        <v>0.2581415644664853</v>
      </c>
    </row>
    <row r="149">
      <c r="A149" s="8" t="inlineStr">
        <is>
          <t>20260420</t>
        </is>
      </c>
      <c r="B149" s="9" t="n">
        <v>6597.47</v>
      </c>
      <c r="C149" s="9" t="n">
        <v>49.3100000000004</v>
      </c>
      <c r="D149" s="9" t="n">
        <v>0.7530359673557196</v>
      </c>
    </row>
    <row r="150">
      <c r="A150" s="8" t="inlineStr">
        <is>
          <t>20260421</t>
        </is>
      </c>
      <c r="B150" s="9" t="n">
        <v>6508.14</v>
      </c>
      <c r="C150" s="9" t="n">
        <v>-89.32999999999993</v>
      </c>
      <c r="D150" s="9" t="n">
        <v>-1.354003883306787</v>
      </c>
    </row>
    <row r="151">
      <c r="A151" s="8" t="inlineStr">
        <is>
          <t>20260423</t>
        </is>
      </c>
      <c r="B151" s="9" t="n">
        <v>6533.93</v>
      </c>
      <c r="C151" s="9" t="n">
        <v>25.78999999999996</v>
      </c>
      <c r="D151" s="9" t="n">
        <v>0.3962729750742966</v>
      </c>
    </row>
    <row r="152">
      <c r="A152" s="8" t="inlineStr">
        <is>
          <t>20260424</t>
        </is>
      </c>
      <c r="B152" s="9" t="n">
        <v>6571.86</v>
      </c>
      <c r="C152" s="9" t="n">
        <v>37.92999999999938</v>
      </c>
      <c r="D152" s="9" t="n">
        <v>0.58050820868909</v>
      </c>
    </row>
    <row r="153">
      <c r="A153" s="8" t="inlineStr">
        <is>
          <t>20260427</t>
        </is>
      </c>
      <c r="B153" s="9" t="n">
        <v>6591.03</v>
      </c>
      <c r="C153" s="9" t="n">
        <v>19.17000000000007</v>
      </c>
      <c r="D153" s="9" t="n">
        <v>0.2916982406807156</v>
      </c>
    </row>
    <row r="154">
      <c r="A154" s="8" t="inlineStr">
        <is>
          <t>20260428</t>
        </is>
      </c>
      <c r="B154" s="9" t="n">
        <v>6715.43</v>
      </c>
      <c r="C154" s="9" t="n">
        <v>124.4000000000005</v>
      </c>
      <c r="D154" s="9" t="n">
        <v>1.887413651584047</v>
      </c>
    </row>
    <row r="155">
      <c r="A155" s="8" t="inlineStr">
        <is>
          <t>20260429</t>
        </is>
      </c>
      <c r="B155" s="9" t="n">
        <v>6807.16</v>
      </c>
      <c r="C155" s="9" t="n">
        <v>91.72999999999956</v>
      </c>
      <c r="D155" s="9" t="n">
        <v>1.365958695124503</v>
      </c>
    </row>
    <row r="156">
      <c r="A156" s="8" t="inlineStr">
        <is>
          <t>20260430</t>
        </is>
      </c>
      <c r="B156" s="9" t="n">
        <v>6827.97</v>
      </c>
      <c r="C156" s="9" t="n">
        <v>20.8100000000004</v>
      </c>
      <c r="D156" s="9" t="n">
        <v>0.3057075197292258</v>
      </c>
    </row>
    <row r="157">
      <c r="A157" s="8" t="inlineStr">
        <is>
          <t>20260501</t>
        </is>
      </c>
      <c r="B157" s="9" t="n">
        <v>6867.86</v>
      </c>
      <c r="C157" s="9" t="n">
        <v>39.88999999999942</v>
      </c>
      <c r="D157" s="9" t="n">
        <v>0.5842146348036037</v>
      </c>
    </row>
    <row r="158">
      <c r="A158" s="8" t="inlineStr">
        <is>
          <t>20260504</t>
        </is>
      </c>
      <c r="B158" s="9" t="n">
        <v>6867.86</v>
      </c>
      <c r="C158" s="9" t="n">
        <v>0</v>
      </c>
      <c r="D158" s="9" t="n">
        <v>0</v>
      </c>
    </row>
    <row r="159">
      <c r="A159" s="8" t="inlineStr">
        <is>
          <t>20260505</t>
        </is>
      </c>
      <c r="B159" s="9" t="n">
        <v>6867.86</v>
      </c>
      <c r="C159" s="9" t="n">
        <v>0</v>
      </c>
      <c r="D159" s="9" t="n">
        <v>0</v>
      </c>
    </row>
    <row r="160">
      <c r="A160" s="8" t="inlineStr">
        <is>
          <t>20260506</t>
        </is>
      </c>
      <c r="B160" s="9" t="n">
        <v>6867.86</v>
      </c>
      <c r="C160" s="9" t="n">
        <v>0</v>
      </c>
      <c r="D160" s="9" t="n">
        <v>0</v>
      </c>
    </row>
    <row r="161">
      <c r="A161" s="8" t="inlineStr">
        <is>
          <t>20260507</t>
        </is>
      </c>
      <c r="B161" s="9" t="n">
        <v>6932.66</v>
      </c>
      <c r="C161" s="9" t="n">
        <v>64.80000000000018</v>
      </c>
      <c r="D161" s="9" t="n">
        <v>0.9435253485073902</v>
      </c>
    </row>
    <row r="162">
      <c r="A162" s="8" t="inlineStr">
        <is>
          <t>20260508</t>
        </is>
      </c>
      <c r="B162" s="9" t="n">
        <v>6766.67</v>
      </c>
      <c r="C162" s="9" t="n">
        <v>-165.9899999999998</v>
      </c>
      <c r="D162" s="9" t="n">
        <v>-2.394319063678296</v>
      </c>
    </row>
    <row r="163">
      <c r="A163" s="8" t="inlineStr">
        <is>
          <t>20260511</t>
        </is>
      </c>
      <c r="B163" s="9" t="n">
        <v>6622.34</v>
      </c>
      <c r="C163" s="9" t="n">
        <v>-144.3299999999999</v>
      </c>
      <c r="D163" s="9" t="n">
        <v>-2.132954614308069</v>
      </c>
    </row>
    <row r="164">
      <c r="A164" s="8" t="inlineStr">
        <is>
          <t>20260512</t>
        </is>
      </c>
      <c r="B164" s="9" t="n">
        <v>6670.25</v>
      </c>
      <c r="C164" s="9" t="n">
        <v>47.90999999999985</v>
      </c>
      <c r="D164" s="9" t="n">
        <v>0.7234602874512719</v>
      </c>
    </row>
    <row r="165">
      <c r="A165" s="8" t="inlineStr">
        <is>
          <t>20260513</t>
        </is>
      </c>
      <c r="B165" s="9" t="n">
        <v>6636.09</v>
      </c>
      <c r="C165" s="9" t="n">
        <v>-34.15999999999985</v>
      </c>
      <c r="D165" s="9" t="n">
        <v>-0.5121247329560319</v>
      </c>
    </row>
    <row r="166">
      <c r="A166" s="8" t="inlineStr">
        <is>
          <t>20260514</t>
        </is>
      </c>
      <c r="B166" s="9" t="n">
        <v>6571</v>
      </c>
      <c r="C166" s="9" t="n">
        <v>-65.09000000000015</v>
      </c>
      <c r="D166" s="9" t="n">
        <v>-0.9808486623900547</v>
      </c>
    </row>
    <row r="167">
      <c r="A167" s="8" t="inlineStr">
        <is>
          <t>20260515</t>
        </is>
      </c>
      <c r="B167" s="9" t="n">
        <v>6511.83</v>
      </c>
      <c r="C167" s="9" t="n">
        <v>-59.17000000000007</v>
      </c>
      <c r="D167" s="9" t="n">
        <v>-0.9004717698980369</v>
      </c>
    </row>
    <row r="168">
      <c r="A168" s="8" t="inlineStr">
        <is>
          <t>20260518</t>
        </is>
      </c>
      <c r="B168" s="9" t="n">
        <v>6573.34</v>
      </c>
      <c r="C168" s="9" t="n">
        <v>61.51000000000022</v>
      </c>
      <c r="D168" s="9" t="n">
        <v>0.9445885411627719</v>
      </c>
    </row>
    <row r="169">
      <c r="A169" s="8" t="inlineStr">
        <is>
          <t>20260519</t>
        </is>
      </c>
      <c r="B169" s="9" t="n">
        <v>6703.34</v>
      </c>
      <c r="C169" s="9" t="n">
        <v>130</v>
      </c>
      <c r="D169" s="9" t="n">
        <v>1.977685621008507</v>
      </c>
    </row>
    <row r="170">
      <c r="A170" s="8" t="inlineStr">
        <is>
          <t>20260520</t>
        </is>
      </c>
      <c r="B170" s="9" t="n">
        <v>6560.41</v>
      </c>
      <c r="C170" s="9" t="n">
        <v>-142.9300000000003</v>
      </c>
      <c r="D170" s="9" t="n">
        <v>-2.132220654181349</v>
      </c>
    </row>
    <row r="171">
      <c r="A171" s="8" t="inlineStr">
        <is>
          <t>20260521</t>
        </is>
      </c>
      <c r="B171" s="9" t="n">
        <v>6573.67</v>
      </c>
      <c r="C171" s="9" t="n">
        <v>13.26000000000022</v>
      </c>
      <c r="D171" s="9" t="n">
        <v>0.2021215137468557</v>
      </c>
    </row>
    <row r="172">
      <c r="A172" s="8" t="inlineStr">
        <is>
          <t>20260522</t>
        </is>
      </c>
      <c r="B172" s="9" t="n">
        <v>6580.83</v>
      </c>
      <c r="C172" s="9" t="n">
        <v>7.159999999999854</v>
      </c>
      <c r="D172" s="9" t="n">
        <v>0.1089193707624503</v>
      </c>
    </row>
    <row r="173">
      <c r="A173" s="8" t="inlineStr">
        <is>
          <t>20260525</t>
        </is>
      </c>
      <c r="B173" s="9" t="n">
        <v>6345.91</v>
      </c>
      <c r="C173" s="9" t="n">
        <v>-234.9200000000001</v>
      </c>
      <c r="D173" s="9" t="n">
        <v>-3.569762476769645</v>
      </c>
    </row>
    <row r="174">
      <c r="A174" s="8" t="inlineStr">
        <is>
          <t>20260526</t>
        </is>
      </c>
      <c r="B174" s="9" t="n">
        <v>6192</v>
      </c>
      <c r="C174" s="9" t="n">
        <v>-153.9099999999999</v>
      </c>
      <c r="D174" s="9" t="n">
        <v>-2.425341676765036</v>
      </c>
    </row>
    <row r="175">
      <c r="A175" s="8" t="inlineStr">
        <is>
          <t>20260527</t>
        </is>
      </c>
      <c r="B175" s="9" t="n">
        <v>6160.09</v>
      </c>
      <c r="C175" s="9" t="n">
        <v>-31.90999999999985</v>
      </c>
      <c r="D175" s="9" t="n">
        <v>-0.5153423772609744</v>
      </c>
    </row>
    <row r="176">
      <c r="A176" s="8" t="inlineStr">
        <is>
          <t>20260528</t>
        </is>
      </c>
      <c r="B176" s="9" t="n">
        <v>6180.33</v>
      </c>
      <c r="C176" s="9" t="n">
        <v>20.23999999999978</v>
      </c>
      <c r="D176" s="9" t="n">
        <v>0.3285666280849808</v>
      </c>
    </row>
    <row r="177">
      <c r="A177" s="8" t="inlineStr">
        <is>
          <t>20260529</t>
        </is>
      </c>
      <c r="B177" s="9" t="n">
        <v>6345.33</v>
      </c>
      <c r="C177" s="9" t="n">
        <v>165</v>
      </c>
      <c r="D177" s="9" t="n">
        <v>2.669760352602535</v>
      </c>
    </row>
    <row r="178">
      <c r="A178" s="8" t="inlineStr">
        <is>
          <t>20260601</t>
        </is>
      </c>
      <c r="B178" s="9" t="n">
        <v>6258.75</v>
      </c>
      <c r="C178" s="9" t="n">
        <v>-86.57999999999993</v>
      </c>
      <c r="D178" s="9" t="n">
        <v>-1.364468041851252</v>
      </c>
    </row>
    <row r="179">
      <c r="A179" s="8" t="inlineStr">
        <is>
          <t>20260602</t>
        </is>
      </c>
      <c r="B179" s="9" t="n">
        <v>6313.16</v>
      </c>
      <c r="C179" s="9" t="n">
        <v>54.40999999999985</v>
      </c>
      <c r="D179" s="9" t="n">
        <v>0.8693429199121194</v>
      </c>
    </row>
    <row r="180">
      <c r="A180" s="8" t="inlineStr">
        <is>
          <t>20260603</t>
        </is>
      </c>
      <c r="B180" s="9" t="n">
        <v>6347.66</v>
      </c>
      <c r="C180" s="9" t="n">
        <v>34.5</v>
      </c>
      <c r="D180" s="9" t="n">
        <v>0.5464775168061653</v>
      </c>
    </row>
    <row r="181">
      <c r="A181" s="8" t="inlineStr">
        <is>
          <t>20260604</t>
        </is>
      </c>
      <c r="B181" s="9" t="n">
        <v>6435.75</v>
      </c>
      <c r="C181" s="9" t="n">
        <v>88.09000000000015</v>
      </c>
      <c r="D181" s="9" t="n">
        <v>1.387755487849063</v>
      </c>
    </row>
    <row r="182">
      <c r="A182" s="8" t="inlineStr">
        <is>
          <t>20260605</t>
        </is>
      </c>
      <c r="B182" s="9" t="n">
        <v>6409.5</v>
      </c>
      <c r="C182" s="9" t="n">
        <v>-26.25</v>
      </c>
      <c r="D182" s="9" t="n">
        <v>-0.4078778697121588</v>
      </c>
    </row>
    <row r="183">
      <c r="A183" s="8" t="inlineStr">
        <is>
          <t>20260608</t>
        </is>
      </c>
      <c r="B183" s="9" t="n">
        <v>6557.67</v>
      </c>
      <c r="C183" s="9" t="n">
        <v>148.1700000000001</v>
      </c>
      <c r="D183" s="9" t="n">
        <v>2.31172478352446</v>
      </c>
    </row>
    <row r="184">
      <c r="A184" s="8" t="inlineStr">
        <is>
          <t>20260609</t>
        </is>
      </c>
      <c r="B184" s="9" t="n">
        <v>6600.75</v>
      </c>
      <c r="C184" s="9" t="n">
        <v>43.07999999999993</v>
      </c>
      <c r="D184" s="9" t="n">
        <v>0.6569406511764075</v>
      </c>
    </row>
    <row r="185">
      <c r="A185" s="8" t="inlineStr">
        <is>
          <t>20260610</t>
        </is>
      </c>
      <c r="B185" s="9" t="n">
        <v>6592.25</v>
      </c>
      <c r="C185" s="9" t="n">
        <v>-8.5</v>
      </c>
      <c r="D185" s="9" t="n">
        <v>-0.1287732454645307</v>
      </c>
    </row>
    <row r="186">
      <c r="A186" s="8" t="inlineStr">
        <is>
          <t>20260611</t>
        </is>
      </c>
      <c r="B186" s="9" t="n">
        <v>6603.16</v>
      </c>
      <c r="C186" s="9" t="n">
        <v>10.90999999999985</v>
      </c>
      <c r="D186" s="9" t="n">
        <v>0.1654973643293145</v>
      </c>
    </row>
    <row r="187">
      <c r="A187" s="8" t="inlineStr">
        <is>
          <t>20260612</t>
        </is>
      </c>
      <c r="B187" s="9" t="n">
        <v>6631.34</v>
      </c>
      <c r="C187" s="9" t="n">
        <v>28.18000000000029</v>
      </c>
      <c r="D187" s="9" t="n">
        <v>0.4267653668849514</v>
      </c>
    </row>
    <row r="188">
      <c r="A188" s="8" t="inlineStr">
        <is>
          <t>20260615</t>
        </is>
      </c>
      <c r="B188" s="9" t="n">
        <v>6619.08</v>
      </c>
      <c r="C188" s="9" t="n">
        <v>-12.26000000000022</v>
      </c>
      <c r="D188" s="9" t="n">
        <v>-0.1848796774105987</v>
      </c>
    </row>
    <row r="189">
      <c r="A189" s="8" t="inlineStr">
        <is>
          <t>20260616</t>
        </is>
      </c>
      <c r="B189" s="9" t="n">
        <v>6473.09</v>
      </c>
      <c r="C189" s="9" t="n">
        <v>-145.9899999999998</v>
      </c>
      <c r="D189" s="9" t="n">
        <v>-2.205593526592819</v>
      </c>
    </row>
    <row r="190">
      <c r="A190" s="8" t="inlineStr">
        <is>
          <t>20260617</t>
        </is>
      </c>
      <c r="B190" s="9" t="n">
        <v>6127.25</v>
      </c>
      <c r="C190" s="9" t="n">
        <v>-345.8400000000001</v>
      </c>
      <c r="D190" s="9" t="n">
        <v>-5.342734304636587</v>
      </c>
    </row>
    <row r="191">
      <c r="A191" s="8" t="inlineStr">
        <is>
          <t>20260618</t>
        </is>
      </c>
      <c r="B191" s="9" t="n">
        <v>6058</v>
      </c>
      <c r="C191" s="9" t="n">
        <v>-69.25</v>
      </c>
      <c r="D191" s="9" t="n">
        <v>-1.130197070463912</v>
      </c>
    </row>
    <row r="192">
      <c r="A192" s="8" t="inlineStr">
        <is>
          <t>20260619</t>
        </is>
      </c>
      <c r="B192" s="9" t="n">
        <v>6116.58</v>
      </c>
      <c r="C192" s="9" t="n">
        <v>58.57999999999993</v>
      </c>
      <c r="D192" s="9" t="n">
        <v>0.9669858038956702</v>
      </c>
    </row>
    <row r="193">
      <c r="A193" s="8" t="inlineStr">
        <is>
          <t>20260622</t>
        </is>
      </c>
      <c r="B193" s="9" t="n">
        <v>6116.58</v>
      </c>
      <c r="C193" s="9" t="n">
        <v>0</v>
      </c>
      <c r="D193" s="9" t="n">
        <v>0</v>
      </c>
    </row>
    <row r="194">
      <c r="A194" s="8" t="inlineStr">
        <is>
          <t>20260623</t>
        </is>
      </c>
      <c r="B194" s="9" t="n">
        <v>6041.92</v>
      </c>
      <c r="C194" s="9" t="n">
        <v>-74.65999999999985</v>
      </c>
      <c r="D194" s="9" t="n">
        <v>-1.220616749883108</v>
      </c>
    </row>
    <row r="195">
      <c r="A195" s="8" t="inlineStr">
        <is>
          <t>20260624</t>
        </is>
      </c>
      <c r="B195" s="9" t="n">
        <v>6027.67</v>
      </c>
      <c r="C195" s="9" t="n">
        <v>-14.25</v>
      </c>
      <c r="D195" s="9" t="n">
        <v>-0.235852179439644</v>
      </c>
    </row>
    <row r="196">
      <c r="A196" s="8" t="inlineStr">
        <is>
          <t>20260625</t>
        </is>
      </c>
      <c r="B196" s="9" t="n">
        <v>5967</v>
      </c>
      <c r="C196" s="9" t="n">
        <v>-60.67000000000007</v>
      </c>
      <c r="D196" s="9" t="n">
        <v>-1.006524909293305</v>
      </c>
    </row>
    <row r="197">
      <c r="A197" s="8" t="inlineStr">
        <is>
          <t>20260626</t>
        </is>
      </c>
      <c r="B197" s="9" t="n">
        <v>5717.66</v>
      </c>
      <c r="C197" s="9" t="n">
        <v>-249.3400000000001</v>
      </c>
      <c r="D197" s="9" t="n">
        <v>-4.178649237472765</v>
      </c>
    </row>
    <row r="198">
      <c r="A198" s="8" t="inlineStr">
        <is>
          <t>20260629</t>
        </is>
      </c>
      <c r="B198" s="9" t="n">
        <v>5734</v>
      </c>
      <c r="C198" s="9" t="n">
        <v>16.34000000000015</v>
      </c>
      <c r="D198" s="9" t="n">
        <v>0.2857812461741327</v>
      </c>
    </row>
    <row r="199">
      <c r="A199" s="8" t="inlineStr">
        <is>
          <t>20260630</t>
        </is>
      </c>
      <c r="B199" s="9" t="n">
        <v>5785.66</v>
      </c>
      <c r="C199" s="9" t="n">
        <v>51.65999999999985</v>
      </c>
      <c r="D199" s="9" t="n">
        <v>0.9009417509591833</v>
      </c>
    </row>
    <row r="200">
      <c r="A200" s="8" t="inlineStr">
        <is>
          <t>20260701</t>
        </is>
      </c>
      <c r="B200" s="9" t="n">
        <v>5823</v>
      </c>
      <c r="C200" s="9" t="n">
        <v>37.34000000000015</v>
      </c>
      <c r="D200" s="9" t="n">
        <v>0.6453887715489603</v>
      </c>
    </row>
    <row r="201">
      <c r="A201" s="8" t="inlineStr">
        <is>
          <t>20260702</t>
        </is>
      </c>
      <c r="B201" s="9" t="n">
        <v>5777.83</v>
      </c>
      <c r="C201" s="9" t="n">
        <v>-45.17000000000007</v>
      </c>
      <c r="D201" s="9" t="n">
        <v>-0.7757169843723211</v>
      </c>
    </row>
    <row r="202">
      <c r="A202" s="8" t="inlineStr">
        <is>
          <t>20260703</t>
        </is>
      </c>
      <c r="B202" s="9" t="n">
        <v>5686.84</v>
      </c>
      <c r="C202" s="9" t="n">
        <v>-90.98999999999978</v>
      </c>
      <c r="D202" s="9" t="n">
        <v>-1.574812689192995</v>
      </c>
    </row>
    <row r="203">
      <c r="A203" s="8" t="inlineStr">
        <is>
          <t>20260706</t>
        </is>
      </c>
      <c r="B203" s="9" t="n">
        <v>5696.34</v>
      </c>
      <c r="C203" s="9" t="n">
        <v>9.5</v>
      </c>
      <c r="D203" s="9" t="n">
        <v>0.1670523524488043</v>
      </c>
    </row>
    <row r="204">
      <c r="A204" s="8" t="inlineStr">
        <is>
          <t>20260707</t>
        </is>
      </c>
      <c r="B204" s="9" t="n">
        <v>5780.66</v>
      </c>
      <c r="C204" s="9" t="n">
        <v>84.31999999999971</v>
      </c>
      <c r="D204" s="9" t="n">
        <v>1.480248721108635</v>
      </c>
    </row>
    <row r="205">
      <c r="A205" s="8" t="inlineStr">
        <is>
          <t>20260708</t>
        </is>
      </c>
      <c r="B205" s="9" t="n">
        <v>5811.34</v>
      </c>
      <c r="C205" s="9" t="n">
        <v>30.68000000000029</v>
      </c>
      <c r="D205" s="9" t="n">
        <v>0.5307352447644353</v>
      </c>
    </row>
    <row r="206">
      <c r="A206" s="8" t="inlineStr">
        <is>
          <t>20260709</t>
        </is>
      </c>
      <c r="B206" s="9" t="n">
        <v>5873.34</v>
      </c>
      <c r="C206" s="9" t="n">
        <v>62</v>
      </c>
      <c r="D206" s="9" t="n">
        <v>1.066879583710478</v>
      </c>
    </row>
    <row r="207">
      <c r="A207" s="8" t="inlineStr">
        <is>
          <t>20260710</t>
        </is>
      </c>
      <c r="B207" s="9" t="n">
        <v>5957.84</v>
      </c>
      <c r="C207" s="9" t="n">
        <v>84.5</v>
      </c>
      <c r="D207" s="9" t="n">
        <v>1.438704382855405</v>
      </c>
    </row>
    <row r="208">
      <c r="A208" s="8" t="inlineStr">
        <is>
          <t>20260713</t>
        </is>
      </c>
      <c r="B208" s="9" t="n">
        <v>5910.5</v>
      </c>
      <c r="C208" s="9" t="n">
        <v>-47.34000000000015</v>
      </c>
      <c r="D208" s="9" t="n">
        <v>-0.7945832717897838</v>
      </c>
    </row>
    <row r="209">
      <c r="A209" s="8" t="inlineStr">
        <is>
          <t>20260714</t>
        </is>
      </c>
      <c r="B209" s="9" t="n">
        <v>5898.5</v>
      </c>
      <c r="C209" s="9" t="n">
        <v>-12</v>
      </c>
      <c r="D209" s="9" t="n">
        <v>-0.2030285085864114</v>
      </c>
    </row>
    <row r="210">
      <c r="A210" s="8" t="inlineStr">
        <is>
          <t>20260715</t>
        </is>
      </c>
      <c r="B210" s="9" t="n">
        <v>6024.5</v>
      </c>
      <c r="C210" s="9" t="n">
        <v>126</v>
      </c>
      <c r="D210" s="9" t="n">
        <v>2.136136305840464</v>
      </c>
    </row>
    <row r="211">
      <c r="A211" s="8" t="inlineStr">
        <is>
          <t>20260716</t>
        </is>
      </c>
      <c r="B211" s="9" t="n">
        <v>6043</v>
      </c>
      <c r="C211" s="9" t="n">
        <v>18.5</v>
      </c>
      <c r="D211" s="9" t="n">
        <v>0.3070794256784692</v>
      </c>
    </row>
    <row r="212">
      <c r="A212" s="8" t="inlineStr">
        <is>
          <t>20260717</t>
        </is>
      </c>
      <c r="B212" s="9" t="n">
        <v>6012.25</v>
      </c>
      <c r="C212" s="9" t="n">
        <v>-30.75</v>
      </c>
      <c r="D212" s="9" t="n">
        <v>-0.5088532186000361</v>
      </c>
    </row>
    <row r="213">
      <c r="A213" s="8" t="inlineStr">
        <is>
          <t>20260720</t>
        </is>
      </c>
      <c r="B213" s="9" t="n">
        <v>5985.91</v>
      </c>
      <c r="C213" s="9" t="n">
        <v>-26.34000000000015</v>
      </c>
      <c r="D213" s="9" t="n">
        <v>-0.4381055345336615</v>
      </c>
    </row>
    <row r="214">
      <c r="A214" s="8" t="inlineStr">
        <is>
          <t>20260721</t>
        </is>
      </c>
      <c r="B214" s="9" t="n">
        <v>6079.83</v>
      </c>
      <c r="C214" s="9" t="n">
        <v>93.92000000000007</v>
      </c>
      <c r="D214" s="9" t="n">
        <v>1.5690179103929</v>
      </c>
    </row>
    <row r="215">
      <c r="A215" s="8" t="inlineStr">
        <is>
          <t>20260722</t>
        </is>
      </c>
      <c r="B215" s="9" t="n">
        <v>6036.84</v>
      </c>
      <c r="C215" s="9" t="n">
        <v>-42.98999999999978</v>
      </c>
      <c r="D215" s="9" t="n">
        <v>-0.7070921390894158</v>
      </c>
    </row>
    <row r="216">
      <c r="A216" s="8" t="inlineStr">
        <is>
          <t>20260723</t>
        </is>
      </c>
      <c r="B216" s="9" t="n">
        <v>6105.33</v>
      </c>
      <c r="C216" s="9" t="n">
        <v>68.48999999999978</v>
      </c>
      <c r="D216" s="9" t="n">
        <v>1.134533961476536</v>
      </c>
    </row>
    <row r="217">
      <c r="A217" s="8" t="inlineStr">
        <is>
          <t>20260724</t>
        </is>
      </c>
      <c r="B217" s="9" t="n">
        <v>6156.5</v>
      </c>
      <c r="C217" s="9" t="n">
        <v>51.17000000000007</v>
      </c>
      <c r="D217" s="9" t="n">
        <v>0.8381201343743871</v>
      </c>
    </row>
    <row r="218">
      <c r="A218" s="8" t="inlineStr">
        <is>
          <t>20260727</t>
        </is>
      </c>
      <c r="B218" s="9" t="n">
        <v>6170.34</v>
      </c>
      <c r="C218" s="9" t="n">
        <v>13.84000000000015</v>
      </c>
      <c r="D218" s="9" t="n">
        <v>0.2248030536831092</v>
      </c>
    </row>
    <row r="219">
      <c r="A219" s="8" t="inlineStr">
        <is>
          <t>20260728</t>
        </is>
      </c>
      <c r="B219" s="9" t="n">
        <v>5997.16</v>
      </c>
      <c r="C219" s="9" t="n">
        <v>-173.1800000000003</v>
      </c>
      <c r="D219" s="9" t="n">
        <v>-2.806652469718041</v>
      </c>
    </row>
    <row r="220">
      <c r="A220" s="8" t="inlineStr">
        <is>
          <t>20260729</t>
        </is>
      </c>
      <c r="B220" s="9" t="n">
        <v>5993.34</v>
      </c>
      <c r="C220" s="9" t="n">
        <v>-3.819999999999709</v>
      </c>
      <c r="D220" s="9" t="n">
        <v>-0.06369681649313064</v>
      </c>
    </row>
    <row r="221">
      <c r="A221" s="8" t="inlineStr">
        <is>
          <t>20260730</t>
        </is>
      </c>
      <c r="B221" s="9" t="n">
        <v>6017.34</v>
      </c>
      <c r="C221" s="9" t="n">
        <v>24</v>
      </c>
      <c r="D221" s="9" t="n">
        <v>0.4004444933876528</v>
      </c>
    </row>
    <row r="222">
      <c r="A222" s="8" t="inlineStr">
        <is>
          <t>20260731</t>
        </is>
      </c>
      <c r="B222" s="9" t="n">
        <v>6006.41</v>
      </c>
      <c r="C222" s="9" t="n">
        <v>-10.93000000000029</v>
      </c>
      <c r="D222" s="9" t="n">
        <v>-0.1816417220898314</v>
      </c>
    </row>
    <row r="223">
      <c r="A223" s="8" t="inlineStr">
        <is>
          <t>20260803</t>
        </is>
      </c>
      <c r="B223" s="9" t="n">
        <v>5945.75</v>
      </c>
      <c r="C223" s="9" t="n">
        <v>-60.65999999999985</v>
      </c>
      <c r="D223" s="9" t="n">
        <v>-1.009921067659381</v>
      </c>
    </row>
    <row r="224">
      <c r="A224" s="8" t="inlineStr">
        <is>
          <t>20260804</t>
        </is>
      </c>
      <c r="B224" s="9" t="n">
        <v>6027</v>
      </c>
      <c r="C224" s="9" t="n">
        <v>81.25</v>
      </c>
      <c r="D224" s="9" t="n">
        <v>1.366522305848705</v>
      </c>
    </row>
    <row r="225">
      <c r="A225" s="8" t="inlineStr">
        <is>
          <t>20260805</t>
        </is>
      </c>
      <c r="B225" s="9" t="n">
        <v>6159.83</v>
      </c>
      <c r="C225" s="9" t="n">
        <v>132.8299999999999</v>
      </c>
      <c r="D225" s="9" t="n">
        <v>2.203915712626503</v>
      </c>
    </row>
    <row r="226">
      <c r="A226" s="8" t="inlineStr">
        <is>
          <t>20260806</t>
        </is>
      </c>
      <c r="B226" s="9" t="n">
        <v>6021.5</v>
      </c>
      <c r="C226" s="9" t="n">
        <v>-138.3299999999999</v>
      </c>
      <c r="D226" s="9" t="n">
        <v>-2.245678858020428</v>
      </c>
    </row>
    <row r="227">
      <c r="A227" s="8" t="inlineStr">
        <is>
          <t>20260807</t>
        </is>
      </c>
      <c r="B227" s="9" t="n">
        <v>6010.5</v>
      </c>
      <c r="C227" s="9" t="n">
        <v>-11</v>
      </c>
      <c r="D227" s="9" t="n">
        <v>-0.1826787345345804</v>
      </c>
    </row>
    <row r="228">
      <c r="A228" s="8" t="inlineStr">
        <is>
          <t>20260810</t>
        </is>
      </c>
      <c r="B228" s="9" t="n">
        <v>6075.86</v>
      </c>
      <c r="C228" s="9" t="n">
        <v>65.35999999999967</v>
      </c>
      <c r="D228" s="9" t="n">
        <v>1.087430330255379</v>
      </c>
    </row>
    <row r="229">
      <c r="A229" s="8" t="inlineStr">
        <is>
          <t>20260811</t>
        </is>
      </c>
      <c r="B229" s="9" t="n">
        <v>6050.26</v>
      </c>
      <c r="C229" s="9" t="n">
        <v>-25.59999999999945</v>
      </c>
      <c r="D229" s="9" t="n">
        <v>-0.4213395305355805</v>
      </c>
    </row>
    <row r="230">
      <c r="A230" s="8" t="inlineStr">
        <is>
          <t>20260812</t>
        </is>
      </c>
      <c r="B230" s="9" t="n">
        <v>6062.07</v>
      </c>
      <c r="C230" s="9" t="n">
        <v>11.80999999999949</v>
      </c>
      <c r="D230" s="9" t="n">
        <v>0.1951982228862725</v>
      </c>
    </row>
    <row r="231">
      <c r="A231" s="8" t="inlineStr">
        <is>
          <t>20260813</t>
        </is>
      </c>
      <c r="B231" s="9" t="n">
        <v>6075.26</v>
      </c>
      <c r="C231" s="9" t="n">
        <v>13.19000000000051</v>
      </c>
      <c r="D231" s="9" t="n">
        <v>0.2175824429609063</v>
      </c>
    </row>
    <row r="232">
      <c r="A232" s="8" t="inlineStr">
        <is>
          <t>20260814</t>
        </is>
      </c>
      <c r="B232" s="9" t="n">
        <v>6075.07</v>
      </c>
      <c r="C232" s="9" t="n">
        <v>-0.1900000000005093</v>
      </c>
      <c r="D232" s="9" t="n">
        <v>-0.003127438167260799</v>
      </c>
    </row>
    <row r="233">
      <c r="A233" s="8" t="inlineStr">
        <is>
          <t>20260817</t>
        </is>
      </c>
      <c r="B233" s="9" t="n">
        <v>6084.66</v>
      </c>
      <c r="C233" s="9" t="n">
        <v>9.590000000000146</v>
      </c>
      <c r="D233" s="9" t="n">
        <v>0.1578582633615877</v>
      </c>
    </row>
    <row r="234">
      <c r="A234" s="8" t="inlineStr">
        <is>
          <t>20260818</t>
        </is>
      </c>
      <c r="B234" s="9" t="n">
        <v>6292.86</v>
      </c>
      <c r="C234" s="9" t="n">
        <v>208.1999999999998</v>
      </c>
      <c r="D234" s="9" t="n">
        <v>3.421719537328305</v>
      </c>
    </row>
    <row r="235">
      <c r="A235" s="8" t="inlineStr">
        <is>
          <t>20260819</t>
        </is>
      </c>
      <c r="B235" s="9" t="n">
        <v>6350.07</v>
      </c>
      <c r="C235" s="9" t="n">
        <v>57.21000000000004</v>
      </c>
      <c r="D235" s="9" t="n">
        <v>0.9091255804197118</v>
      </c>
    </row>
    <row r="236">
      <c r="A236" s="8" t="inlineStr">
        <is>
          <t>20260820</t>
        </is>
      </c>
      <c r="B236" s="9" t="n">
        <v>6310.4</v>
      </c>
      <c r="C236" s="9" t="n">
        <v>-39.67000000000007</v>
      </c>
      <c r="D236" s="9" t="n">
        <v>-0.6247175227989676</v>
      </c>
    </row>
    <row r="237">
      <c r="A237" s="8" t="inlineStr">
        <is>
          <t>20260821</t>
        </is>
      </c>
      <c r="B237" s="9" t="n">
        <v>6318.86</v>
      </c>
      <c r="C237" s="9" t="n">
        <v>8.460000000000036</v>
      </c>
      <c r="D237" s="9" t="n">
        <v>0.1340644016227133</v>
      </c>
    </row>
    <row r="238">
      <c r="A238" s="8" t="inlineStr">
        <is>
          <t>20260824</t>
        </is>
      </c>
      <c r="B238" s="9" t="n">
        <v>6495</v>
      </c>
      <c r="C238" s="9" t="n">
        <v>176.1400000000003</v>
      </c>
      <c r="D238" s="9" t="n">
        <v>2.787528130074102</v>
      </c>
    </row>
    <row r="239">
      <c r="A239" s="8" t="inlineStr">
        <is>
          <t>20260825</t>
        </is>
      </c>
      <c r="B239" s="9" t="n">
        <v>6450</v>
      </c>
      <c r="C239" s="9" t="n">
        <v>-45</v>
      </c>
      <c r="D239" s="9" t="n">
        <v>-0.6928406466512715</v>
      </c>
    </row>
    <row r="240">
      <c r="A240" s="8" t="inlineStr">
        <is>
          <t>20260826</t>
        </is>
      </c>
      <c r="B240" s="9" t="n">
        <v>6453</v>
      </c>
      <c r="C240" s="9" t="n">
        <v>3</v>
      </c>
      <c r="D240" s="9" t="n">
        <v>0.0465116279069866</v>
      </c>
    </row>
    <row r="241">
      <c r="A241" s="8" t="inlineStr">
        <is>
          <t>20260827</t>
        </is>
      </c>
      <c r="B241" s="9" t="n">
        <v>6253.75</v>
      </c>
      <c r="C241" s="9" t="n">
        <v>-199.25</v>
      </c>
      <c r="D241" s="9" t="n">
        <v>-3.087711142104443</v>
      </c>
    </row>
    <row r="242">
      <c r="A242" s="8" t="inlineStr">
        <is>
          <t>20260828</t>
        </is>
      </c>
      <c r="B242" s="9" t="n">
        <v>6176.75</v>
      </c>
      <c r="C242" s="9" t="n">
        <v>-77</v>
      </c>
      <c r="D242" s="9" t="n">
        <v>-1.231261243254045</v>
      </c>
    </row>
    <row r="243">
      <c r="A243" s="8" t="inlineStr">
        <is>
          <t>20260831</t>
        </is>
      </c>
      <c r="B243" s="9" t="n">
        <v>6213.25</v>
      </c>
      <c r="C243" s="9" t="n">
        <v>36.5</v>
      </c>
      <c r="D243" s="9" t="n">
        <v>0.5909256486016146</v>
      </c>
    </row>
    <row r="244">
      <c r="A244" s="8" t="inlineStr">
        <is>
          <t>20260901</t>
        </is>
      </c>
      <c r="B244" s="9" t="n">
        <v>6303.5</v>
      </c>
      <c r="C244" s="9" t="n">
        <v>90.25</v>
      </c>
      <c r="D244" s="9" t="n">
        <v>1.452540940731506</v>
      </c>
    </row>
    <row r="245">
      <c r="A245" s="8" t="inlineStr">
        <is>
          <t>20260902</t>
        </is>
      </c>
      <c r="B245" s="9" t="n">
        <v>6389.75</v>
      </c>
      <c r="C245" s="9" t="n">
        <v>86.25</v>
      </c>
      <c r="D245" s="9" t="n">
        <v>1.368287459347983</v>
      </c>
    </row>
    <row r="246">
      <c r="A246" s="8" t="inlineStr">
        <is>
          <t>20260903</t>
        </is>
      </c>
      <c r="B246" s="9" t="n">
        <v>6513.25</v>
      </c>
      <c r="C246" s="9" t="n">
        <v>123.5</v>
      </c>
      <c r="D246" s="9" t="n">
        <v>1.932782972729763</v>
      </c>
    </row>
    <row r="247">
      <c r="A247" s="8" t="inlineStr">
        <is>
          <t>20260904</t>
        </is>
      </c>
      <c r="B247" s="9" t="n">
        <v>6602.25</v>
      </c>
      <c r="C247" s="9" t="n">
        <v>89</v>
      </c>
      <c r="D247" s="9" t="n">
        <v>1.366445322995435</v>
      </c>
    </row>
    <row r="248">
      <c r="A248" s="8" t="inlineStr">
        <is>
          <t>20260907</t>
        </is>
      </c>
      <c r="B248" s="9" t="n">
        <v>6562.25</v>
      </c>
      <c r="C248" s="9" t="n">
        <v>-40</v>
      </c>
      <c r="D248" s="9" t="n">
        <v>-0.6058540649021116</v>
      </c>
    </row>
    <row r="249">
      <c r="A249" s="8" t="inlineStr">
        <is>
          <t>20260908</t>
        </is>
      </c>
      <c r="B249" s="9" t="n">
        <v>6444.25</v>
      </c>
      <c r="C249" s="9" t="n">
        <v>-118</v>
      </c>
      <c r="D249" s="9" t="n">
        <v>-1.798163739571035</v>
      </c>
    </row>
    <row r="250">
      <c r="A250" s="8" t="inlineStr">
        <is>
          <t>20260909</t>
        </is>
      </c>
      <c r="B250" s="9" t="n">
        <v>6606.5</v>
      </c>
      <c r="C250" s="9" t="n">
        <v>162.25</v>
      </c>
      <c r="D250" s="9" t="n">
        <v>2.517748380339069</v>
      </c>
    </row>
    <row r="251">
      <c r="A251" s="8" t="inlineStr">
        <is>
          <t>20260910</t>
        </is>
      </c>
      <c r="B251" s="9" t="n">
        <v>6662</v>
      </c>
      <c r="C251" s="9" t="n">
        <v>55.5</v>
      </c>
      <c r="D251" s="9" t="n">
        <v>0.8400817376825964</v>
      </c>
    </row>
    <row r="252">
      <c r="A252" s="8" t="inlineStr">
        <is>
          <t>20260911</t>
        </is>
      </c>
      <c r="B252" s="9" t="n">
        <v>6839.75</v>
      </c>
      <c r="C252" s="9" t="n">
        <v>177.75</v>
      </c>
      <c r="D252" s="9" t="n">
        <v>2.668117682377669</v>
      </c>
    </row>
    <row r="253">
      <c r="A253" s="8" t="inlineStr">
        <is>
          <t>20260914</t>
        </is>
      </c>
      <c r="B253" s="9" t="n">
        <v>6971.25</v>
      </c>
      <c r="C253" s="9" t="n">
        <v>131.5</v>
      </c>
      <c r="D253" s="9" t="n">
        <v>1.922584889798595</v>
      </c>
    </row>
    <row r="254">
      <c r="A254" s="8" t="inlineStr">
        <is>
          <t>20260915</t>
        </is>
      </c>
      <c r="B254" s="9" t="n">
        <v>6980</v>
      </c>
      <c r="C254" s="9" t="n">
        <v>8.75</v>
      </c>
      <c r="D254" s="9" t="n">
        <v>0.1255155101308914</v>
      </c>
    </row>
    <row r="255">
      <c r="A255" s="8" t="inlineStr">
        <is>
          <t>20260916</t>
        </is>
      </c>
      <c r="B255" s="9" t="n">
        <v>7045.25</v>
      </c>
      <c r="C255" s="9" t="n">
        <v>65.25</v>
      </c>
      <c r="D255" s="9" t="n">
        <v>0.9348137535816647</v>
      </c>
    </row>
    <row r="256">
      <c r="A256" s="8" t="inlineStr">
        <is>
          <t>20260917</t>
        </is>
      </c>
      <c r="B256" s="9" t="n">
        <v>7328.25</v>
      </c>
      <c r="C256" s="9" t="n">
        <v>283</v>
      </c>
      <c r="D256" s="9" t="n">
        <v>4.016890812959084</v>
      </c>
    </row>
    <row r="257">
      <c r="A257" s="8" t="inlineStr">
        <is>
          <t>20260918</t>
        </is>
      </c>
      <c r="B257" s="9" t="n">
        <v>7362.2</v>
      </c>
      <c r="C257" s="9" t="n">
        <v>33.94999999999982</v>
      </c>
      <c r="D257" s="9" t="n">
        <v>0.4632756797325444</v>
      </c>
    </row>
    <row r="258">
      <c r="A258" s="8" t="inlineStr">
        <is>
          <t>20260921</t>
        </is>
      </c>
      <c r="B258" s="9" t="n">
        <v>7108.8</v>
      </c>
      <c r="C258" s="9" t="n">
        <v>-253.3999999999996</v>
      </c>
      <c r="D258" s="9" t="n">
        <v>-3.441905952025204</v>
      </c>
    </row>
    <row r="259">
      <c r="A259" s="8" t="inlineStr">
        <is>
          <t>20260922</t>
        </is>
      </c>
      <c r="B259" s="9" t="n">
        <v>7049.3</v>
      </c>
      <c r="C259" s="9" t="n">
        <v>-59.5</v>
      </c>
      <c r="D259" s="9" t="n">
        <v>-0.8369907720009007</v>
      </c>
    </row>
    <row r="260">
      <c r="A260" s="8" t="inlineStr">
        <is>
          <t>20260923</t>
        </is>
      </c>
      <c r="B260" s="9" t="n">
        <v>7121.6</v>
      </c>
      <c r="C260" s="9" t="n">
        <v>72.30000000000018</v>
      </c>
      <c r="D260" s="9" t="n">
        <v>1.025633750868882</v>
      </c>
    </row>
    <row r="261">
      <c r="A261" s="8" t="inlineStr">
        <is>
          <t>20260924</t>
        </is>
      </c>
      <c r="B261" s="9" t="n">
        <v>6949.5</v>
      </c>
      <c r="C261" s="9" t="n">
        <v>-172.1000000000004</v>
      </c>
      <c r="D261" s="9" t="n">
        <v>-2.41659177712874</v>
      </c>
    </row>
    <row r="262">
      <c r="A262" s="8" t="inlineStr">
        <is>
          <t>20260925</t>
        </is>
      </c>
      <c r="B262" s="9" t="n">
        <v>7147.5</v>
      </c>
      <c r="C262" s="9" t="n">
        <v>198</v>
      </c>
      <c r="D262" s="9" t="n">
        <v>2.849125836391098</v>
      </c>
    </row>
    <row r="263">
      <c r="A263" s="8" t="inlineStr">
        <is>
          <t>20260928</t>
        </is>
      </c>
      <c r="B263" s="9" t="n">
        <v>7147.5</v>
      </c>
      <c r="C263" s="9" t="n">
        <v>0</v>
      </c>
      <c r="D263" s="9" t="n">
        <v>0</v>
      </c>
    </row>
    <row r="264">
      <c r="A264" s="8" t="inlineStr">
        <is>
          <t>20260929</t>
        </is>
      </c>
      <c r="B264" s="9" t="n">
        <v>7293.5</v>
      </c>
      <c r="C264" s="9" t="n">
        <v>146</v>
      </c>
      <c r="D264" s="9" t="n">
        <v>2.042672263029033</v>
      </c>
    </row>
    <row r="265">
      <c r="A265" s="8" t="inlineStr">
        <is>
          <t>20260930</t>
        </is>
      </c>
      <c r="B265" s="9" t="n">
        <v>7328.75</v>
      </c>
      <c r="C265" s="9" t="n">
        <v>35.25</v>
      </c>
      <c r="D265" s="9" t="n">
        <v>0.4833070542263673</v>
      </c>
    </row>
    <row r="266">
      <c r="A266" s="8" t="inlineStr">
        <is>
          <t>20261001</t>
        </is>
      </c>
      <c r="B266" s="9" t="n">
        <v>7327.25</v>
      </c>
      <c r="C266" s="9" t="n">
        <v>-1.5</v>
      </c>
      <c r="D266" s="9" t="n">
        <v>-0.02046733754050845</v>
      </c>
    </row>
    <row r="267">
      <c r="A267" s="8" t="inlineStr">
        <is>
          <t>20261002</t>
        </is>
      </c>
      <c r="B267" s="9" t="n">
        <v>7327.25</v>
      </c>
      <c r="C267" s="9" t="n">
        <v>0</v>
      </c>
      <c r="D267" s="9" t="n">
        <v>0</v>
      </c>
    </row>
    <row r="268">
      <c r="A268" s="8" t="inlineStr">
        <is>
          <t>20261005</t>
        </is>
      </c>
      <c r="B268" s="9" t="n">
        <v>7327.25</v>
      </c>
      <c r="C268" s="9" t="n">
        <v>0</v>
      </c>
      <c r="D268" s="9" t="n">
        <v>0</v>
      </c>
    </row>
    <row r="269">
      <c r="A269" s="8" t="inlineStr">
        <is>
          <t>20261006</t>
        </is>
      </c>
      <c r="B269" s="9" t="n">
        <v>7327.25</v>
      </c>
      <c r="C269" s="9" t="n">
        <v>0</v>
      </c>
      <c r="D269" s="9" t="n">
        <v>0</v>
      </c>
    </row>
    <row r="270">
      <c r="A270" s="8" t="inlineStr">
        <is>
          <t>20261007</t>
        </is>
      </c>
      <c r="B270" s="9" t="n">
        <v>7327.25</v>
      </c>
      <c r="C270" s="9" t="n">
        <v>0</v>
      </c>
      <c r="D270" s="9" t="n">
        <v>0</v>
      </c>
    </row>
    <row r="271">
      <c r="A271" s="8" t="inlineStr">
        <is>
          <t>20261008</t>
        </is>
      </c>
      <c r="B271" s="9" t="n">
        <v>7327.25</v>
      </c>
      <c r="C271" s="9" t="n">
        <v>0</v>
      </c>
      <c r="D271" s="9" t="n">
        <v>0</v>
      </c>
    </row>
    <row r="272">
      <c r="A272" s="8" t="inlineStr">
        <is>
          <t>20261009</t>
        </is>
      </c>
      <c r="B272" s="9" t="n">
        <v>7856.25</v>
      </c>
      <c r="C272" s="9" t="n">
        <v>529</v>
      </c>
      <c r="D272" s="9" t="n">
        <v>7.219625371046434</v>
      </c>
    </row>
    <row r="273">
      <c r="A273" s="8" t="inlineStr">
        <is>
          <t>20261012</t>
        </is>
      </c>
      <c r="B273" s="9" t="n">
        <v>7736.75</v>
      </c>
      <c r="C273" s="9" t="n">
        <v>-119.5</v>
      </c>
      <c r="D273" s="9" t="n">
        <v>-1.521081941129676</v>
      </c>
    </row>
    <row r="274">
      <c r="A274" s="8" t="inlineStr">
        <is>
          <t>20261013</t>
        </is>
      </c>
      <c r="B274" s="9" t="n">
        <v>7374.5</v>
      </c>
      <c r="C274" s="9" t="n">
        <v>-362.25</v>
      </c>
      <c r="D274" s="9" t="n">
        <v>-4.682198597602349</v>
      </c>
    </row>
    <row r="275">
      <c r="A275" s="8" t="inlineStr">
        <is>
          <t>20261014</t>
        </is>
      </c>
      <c r="B275" s="9" t="n">
        <v>7399.75</v>
      </c>
      <c r="C275" s="9" t="n">
        <v>25.25</v>
      </c>
      <c r="D275" s="9" t="n">
        <v>0.3423960946504767</v>
      </c>
    </row>
    <row r="276">
      <c r="A276" s="8" t="inlineStr">
        <is>
          <t>20261015</t>
        </is>
      </c>
      <c r="B276" s="9" t="n">
        <v>7428.5</v>
      </c>
      <c r="C276" s="9" t="n">
        <v>28.75</v>
      </c>
      <c r="D276" s="9" t="n">
        <v>0.388526639413489</v>
      </c>
    </row>
    <row r="277">
      <c r="A277" s="8" t="inlineStr">
        <is>
          <t>20261016</t>
        </is>
      </c>
      <c r="B277" s="9" t="n">
        <v>7254.25</v>
      </c>
      <c r="C277" s="9" t="n">
        <v>-174.25</v>
      </c>
      <c r="D277" s="9" t="n">
        <v>-2.345695631688771</v>
      </c>
    </row>
    <row r="278">
      <c r="A278" s="8" t="inlineStr">
        <is>
          <t>20261019</t>
        </is>
      </c>
      <c r="B278" s="9" t="n">
        <v>7231</v>
      </c>
      <c r="C278" s="9" t="n">
        <v>-23.25</v>
      </c>
      <c r="D278" s="9" t="n">
        <v>-0.3205017748216576</v>
      </c>
    </row>
    <row r="279">
      <c r="A279" s="8" t="inlineStr">
        <is>
          <t>20261020</t>
        </is>
      </c>
      <c r="B279" s="9" t="n">
        <v>7054.5</v>
      </c>
      <c r="C279" s="9" t="n">
        <v>-176.5</v>
      </c>
      <c r="D279" s="9" t="n">
        <v>-2.440879546397456</v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6" customWidth="1" min="5" max="5"/>
    <col width="46" customWidth="1" min="6" max="6"/>
  </cols>
  <sheetData>
    <row r="1">
      <c r="A1" s="1" t="inlineStr">
        <is>
          <t>工艺与单耗参数（可修改，04/05 表会联动重算）</t>
        </is>
      </c>
    </row>
    <row r="2" ht="28" customHeight="1">
      <c r="A2" s="2" t="inlineStr">
        <is>
          <t>浅蓝底色为可修改输入项。改单耗后，04 表的吨成本与 05 表的价差会按公式自动重算。</t>
        </is>
      </c>
    </row>
    <row r="4">
      <c r="A4" s="10" t="inlineStr">
        <is>
          <t>工艺路线</t>
        </is>
      </c>
      <c r="B4" t="inlineStr">
        <is>
          <t>PX 液相空气氧化（ Amoco/BP 系）→ 粗对苯二甲酸 → 加氢精制 → PTA</t>
        </is>
      </c>
    </row>
    <row r="5">
      <c r="A5" s="10" t="inlineStr">
        <is>
          <t>反应式</t>
        </is>
      </c>
      <c r="B5" t="inlineStr">
        <is>
          <t>PX + 3O2 → PTA + 2H2O</t>
        </is>
      </c>
    </row>
    <row r="6">
      <c r="A6" s="10" t="inlineStr">
        <is>
          <t>核实状态</t>
        </is>
      </c>
      <c r="B6" t="inlineStr">
        <is>
          <t>已核实</t>
        </is>
      </c>
    </row>
    <row r="7">
      <c r="A7" s="7" t="inlineStr">
        <is>
          <t>原料</t>
        </is>
      </c>
      <c r="B7" s="7" t="inlineStr">
        <is>
          <t>单耗（主模型）</t>
        </is>
      </c>
      <c r="C7" s="7" t="inlineStr">
        <is>
          <t>区间下界</t>
        </is>
      </c>
      <c r="D7" s="7" t="inlineStr">
        <is>
          <t>区间上界</t>
        </is>
      </c>
      <c r="E7" s="7" t="inlineStr">
        <is>
          <t>单位口径</t>
        </is>
      </c>
      <c r="F7" s="7" t="inlineStr">
        <is>
          <t>来源</t>
        </is>
      </c>
    </row>
    <row r="8">
      <c r="A8" s="8" t="inlineStr">
        <is>
          <t>PX</t>
        </is>
      </c>
      <c r="B8" s="11" t="n">
        <v>0.655</v>
      </c>
      <c r="C8" s="11" t="n">
        <v>0.648</v>
      </c>
      <c r="D8" s="11" t="n">
        <v>0.665</v>
      </c>
      <c r="E8" s="8" t="inlineStr">
        <is>
          <t>吨 PX / 吨 PTA</t>
        </is>
      </c>
      <c r="F8" s="8" t="inlineStr">
        <is>
          <t>行业通用加工费口径 0.655；技术迭代区间 0.648（新装置）~0.665（早期装置）</t>
        </is>
      </c>
    </row>
    <row r="10">
      <c r="A10" s="10" t="inlineStr">
        <is>
          <t>主模型单耗所在单元格：</t>
        </is>
      </c>
      <c r="B10" s="12">
        <f>B8</f>
        <v/>
      </c>
    </row>
    <row r="12">
      <c r="A12" s="10" t="inlineStr">
        <is>
          <t>未纳入主模型的辅料</t>
        </is>
      </c>
    </row>
    <row r="13">
      <c r="A13" s="7" t="inlineStr">
        <is>
          <t>项目</t>
        </is>
      </c>
      <c r="B13" s="7" t="inlineStr">
        <is>
          <t>单耗</t>
        </is>
      </c>
      <c r="C13" s="7" t="inlineStr">
        <is>
          <t>下界</t>
        </is>
      </c>
      <c r="D13" s="7" t="inlineStr">
        <is>
          <t>上界</t>
        </is>
      </c>
      <c r="E13" s="7" t="inlineStr">
        <is>
          <t>状态说明</t>
        </is>
      </c>
      <c r="F13" t="inlineStr"/>
    </row>
    <row r="14">
      <c r="A14" t="inlineStr">
        <is>
          <t>醋酸</t>
        </is>
      </c>
      <c r="B14" t="n">
        <v>0.03</v>
      </c>
      <c r="C14" t="n">
        <v>0.029</v>
      </c>
      <c r="D14" t="n">
        <v>0.04</v>
      </c>
      <c r="E14" t="inlineStr">
        <is>
          <t>未纳入主模型：缺少同期间序列的醋酸日度基准价，纳入需另接数据</t>
        </is>
      </c>
    </row>
  </sheetData>
  <mergeCells count="3">
    <mergeCell ref="B4:F4"/>
    <mergeCell ref="A2:F2"/>
    <mergeCell ref="E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理论原料成本（Excel 真公式，可复核）</t>
        </is>
      </c>
    </row>
    <row r="2" ht="28" customHeight="1">
      <c r="A2" s="2" t="inlineStr">
        <is>
          <t>公式：成本 = 单耗 × 上游价。单耗引用 03 表 B 列主模型单元格，改那里即可全表重算。</t>
        </is>
      </c>
    </row>
    <row r="4">
      <c r="A4" s="7" t="inlineStr">
        <is>
          <t>日期</t>
        </is>
      </c>
      <c r="B4" s="7" t="inlineStr">
        <is>
          <t>PX 价格（元/吨）</t>
        </is>
      </c>
      <c r="C4" s="7" t="inlineStr">
        <is>
          <t>单耗</t>
        </is>
      </c>
      <c r="D4" s="7" t="inlineStr">
        <is>
          <t>理论原料成本（元/吨）</t>
        </is>
      </c>
      <c r="E4" s="7" t="inlineStr">
        <is>
          <t>PTA 价格（元/吨）</t>
        </is>
      </c>
      <c r="F4" s="7" t="inlineStr">
        <is>
          <t>原料成本占下游价%</t>
        </is>
      </c>
    </row>
    <row r="5">
      <c r="A5" s="8" t="inlineStr">
        <is>
          <t>20251001</t>
        </is>
      </c>
      <c r="B5" s="9" t="n">
        <v>6800</v>
      </c>
      <c r="C5" s="13">
        <f>03_工艺单耗!B8</f>
        <v/>
      </c>
      <c r="D5" s="9">
        <f>B5*C5</f>
        <v/>
      </c>
      <c r="E5" s="9" t="n">
        <v>4595</v>
      </c>
      <c r="F5" s="14">
        <f>IF(E5,D5/E5*100,"")</f>
        <v/>
      </c>
    </row>
    <row r="6">
      <c r="A6" s="8" t="inlineStr">
        <is>
          <t>20251002</t>
        </is>
      </c>
      <c r="B6" s="9" t="n">
        <v>6800</v>
      </c>
      <c r="C6" s="13">
        <f>03_工艺单耗!B8</f>
        <v/>
      </c>
      <c r="D6" s="9">
        <f>B6*C6</f>
        <v/>
      </c>
      <c r="E6" s="9" t="n">
        <v>4595</v>
      </c>
      <c r="F6" s="14">
        <f>IF(E6,D6/E6*100,"")</f>
        <v/>
      </c>
    </row>
    <row r="7">
      <c r="A7" s="8" t="inlineStr">
        <is>
          <t>20251003</t>
        </is>
      </c>
      <c r="B7" s="9" t="n">
        <v>6800</v>
      </c>
      <c r="C7" s="13">
        <f>03_工艺单耗!B8</f>
        <v/>
      </c>
      <c r="D7" s="9">
        <f>B7*C7</f>
        <v/>
      </c>
      <c r="E7" s="9" t="n">
        <v>4595</v>
      </c>
      <c r="F7" s="14">
        <f>IF(E7,D7/E7*100,"")</f>
        <v/>
      </c>
    </row>
    <row r="8">
      <c r="A8" s="8" t="inlineStr">
        <is>
          <t>20251006</t>
        </is>
      </c>
      <c r="B8" s="9" t="n">
        <v>6800</v>
      </c>
      <c r="C8" s="13">
        <f>03_工艺单耗!B8</f>
        <v/>
      </c>
      <c r="D8" s="9">
        <f>B8*C8</f>
        <v/>
      </c>
      <c r="E8" s="9" t="n">
        <v>4595</v>
      </c>
      <c r="F8" s="14">
        <f>IF(E8,D8/E8*100,"")</f>
        <v/>
      </c>
    </row>
    <row r="9">
      <c r="A9" s="8" t="inlineStr">
        <is>
          <t>20251007</t>
        </is>
      </c>
      <c r="B9" s="9" t="n">
        <v>6800</v>
      </c>
      <c r="C9" s="13">
        <f>03_工艺单耗!B8</f>
        <v/>
      </c>
      <c r="D9" s="9">
        <f>B9*C9</f>
        <v/>
      </c>
      <c r="E9" s="9" t="n">
        <v>4595</v>
      </c>
      <c r="F9" s="14">
        <f>IF(E9,D9/E9*100,"")</f>
        <v/>
      </c>
    </row>
    <row r="10">
      <c r="A10" s="8" t="inlineStr">
        <is>
          <t>20251008</t>
        </is>
      </c>
      <c r="B10" s="9" t="n">
        <v>6800</v>
      </c>
      <c r="C10" s="13">
        <f>03_工艺单耗!B8</f>
        <v/>
      </c>
      <c r="D10" s="9">
        <f>B10*C10</f>
        <v/>
      </c>
      <c r="E10" s="9" t="n">
        <v>4595</v>
      </c>
      <c r="F10" s="14">
        <f>IF(E10,D10/E10*100,"")</f>
        <v/>
      </c>
    </row>
    <row r="11">
      <c r="A11" s="8" t="inlineStr">
        <is>
          <t>20251009</t>
        </is>
      </c>
      <c r="B11" s="9" t="n">
        <v>6800</v>
      </c>
      <c r="C11" s="13">
        <f>03_工艺单耗!B8</f>
        <v/>
      </c>
      <c r="D11" s="9">
        <f>B11*C11</f>
        <v/>
      </c>
      <c r="E11" s="9" t="n">
        <v>4595</v>
      </c>
      <c r="F11" s="14">
        <f>IF(E11,D11/E11*100,"")</f>
        <v/>
      </c>
    </row>
    <row r="12">
      <c r="A12" s="8" t="inlineStr">
        <is>
          <t>20251010</t>
        </is>
      </c>
      <c r="B12" s="9" t="n">
        <v>6800</v>
      </c>
      <c r="C12" s="13">
        <f>03_工艺单耗!B8</f>
        <v/>
      </c>
      <c r="D12" s="9">
        <f>B12*C12</f>
        <v/>
      </c>
      <c r="E12" s="9" t="n">
        <v>4564.5</v>
      </c>
      <c r="F12" s="14">
        <f>IF(E12,D12/E12*100,"")</f>
        <v/>
      </c>
    </row>
    <row r="13">
      <c r="A13" s="8" t="inlineStr">
        <is>
          <t>20251011</t>
        </is>
      </c>
      <c r="B13" s="9" t="n">
        <v>6800</v>
      </c>
      <c r="C13" s="13">
        <f>03_工艺单耗!B8</f>
        <v/>
      </c>
      <c r="D13" s="9">
        <f>B13*C13</f>
        <v/>
      </c>
      <c r="E13" s="9" t="n">
        <v>4521.08</v>
      </c>
      <c r="F13" s="14">
        <f>IF(E13,D13/E13*100,"")</f>
        <v/>
      </c>
    </row>
    <row r="14">
      <c r="A14" s="8" t="inlineStr">
        <is>
          <t>20251013</t>
        </is>
      </c>
      <c r="B14" s="9" t="n">
        <v>6800</v>
      </c>
      <c r="C14" s="13">
        <f>03_工艺单耗!B8</f>
        <v/>
      </c>
      <c r="D14" s="9">
        <f>B14*C14</f>
        <v/>
      </c>
      <c r="E14" s="9" t="n">
        <v>4521.08</v>
      </c>
      <c r="F14" s="14">
        <f>IF(E14,D14/E14*100,"")</f>
        <v/>
      </c>
    </row>
    <row r="15">
      <c r="A15" s="8" t="inlineStr">
        <is>
          <t>20251014</t>
        </is>
      </c>
      <c r="B15" s="9" t="n">
        <v>6800</v>
      </c>
      <c r="C15" s="13">
        <f>03_工艺单耗!B8</f>
        <v/>
      </c>
      <c r="D15" s="9">
        <f>B15*C15</f>
        <v/>
      </c>
      <c r="E15" s="9" t="n">
        <v>4492.17</v>
      </c>
      <c r="F15" s="14">
        <f>IF(E15,D15/E15*100,"")</f>
        <v/>
      </c>
    </row>
    <row r="16">
      <c r="A16" s="8" t="inlineStr">
        <is>
          <t>20251015</t>
        </is>
      </c>
      <c r="B16" s="9" t="n">
        <v>6800</v>
      </c>
      <c r="C16" s="13">
        <f>03_工艺单耗!B8</f>
        <v/>
      </c>
      <c r="D16" s="9">
        <f>B16*C16</f>
        <v/>
      </c>
      <c r="E16" s="9" t="n">
        <v>4460.09</v>
      </c>
      <c r="F16" s="14">
        <f>IF(E16,D16/E16*100,"")</f>
        <v/>
      </c>
    </row>
    <row r="17">
      <c r="A17" s="8" t="inlineStr">
        <is>
          <t>20251016</t>
        </is>
      </c>
      <c r="B17" s="9" t="n">
        <v>6800</v>
      </c>
      <c r="C17" s="13">
        <f>03_工艺单耗!B8</f>
        <v/>
      </c>
      <c r="D17" s="9">
        <f>B17*C17</f>
        <v/>
      </c>
      <c r="E17" s="9" t="n">
        <v>4397.16</v>
      </c>
      <c r="F17" s="14">
        <f>IF(E17,D17/E17*100,"")</f>
        <v/>
      </c>
    </row>
    <row r="18">
      <c r="A18" s="8" t="inlineStr">
        <is>
          <t>20251017</t>
        </is>
      </c>
      <c r="B18" s="9" t="n">
        <v>6800</v>
      </c>
      <c r="C18" s="13">
        <f>03_工艺单耗!B8</f>
        <v/>
      </c>
      <c r="D18" s="9">
        <f>B18*C18</f>
        <v/>
      </c>
      <c r="E18" s="9" t="n">
        <v>4404.16</v>
      </c>
      <c r="F18" s="14">
        <f>IF(E18,D18/E18*100,"")</f>
        <v/>
      </c>
    </row>
    <row r="19">
      <c r="A19" s="8" t="inlineStr">
        <is>
          <t>20251020</t>
        </is>
      </c>
      <c r="B19" s="9" t="n">
        <v>6800</v>
      </c>
      <c r="C19" s="13">
        <f>03_工艺单耗!B8</f>
        <v/>
      </c>
      <c r="D19" s="9">
        <f>B19*C19</f>
        <v/>
      </c>
      <c r="E19" s="9" t="n">
        <v>4381.5</v>
      </c>
      <c r="F19" s="14">
        <f>IF(E19,D19/E19*100,"")</f>
        <v/>
      </c>
    </row>
    <row r="20">
      <c r="A20" s="8" t="inlineStr">
        <is>
          <t>20251021</t>
        </is>
      </c>
      <c r="B20" s="9" t="n">
        <v>6650</v>
      </c>
      <c r="C20" s="13">
        <f>03_工艺单耗!B8</f>
        <v/>
      </c>
      <c r="D20" s="9">
        <f>B20*C20</f>
        <v/>
      </c>
      <c r="E20" s="9" t="n">
        <v>4363.25</v>
      </c>
      <c r="F20" s="14">
        <f>IF(E20,D20/E20*100,"")</f>
        <v/>
      </c>
    </row>
    <row r="21">
      <c r="A21" s="8" t="inlineStr">
        <is>
          <t>20251022</t>
        </is>
      </c>
      <c r="B21" s="9" t="n">
        <v>6650</v>
      </c>
      <c r="C21" s="13">
        <f>03_工艺单耗!B8</f>
        <v/>
      </c>
      <c r="D21" s="9">
        <f>B21*C21</f>
        <v/>
      </c>
      <c r="E21" s="9" t="n">
        <v>4369.84</v>
      </c>
      <c r="F21" s="14">
        <f>IF(E21,D21/E21*100,"")</f>
        <v/>
      </c>
    </row>
    <row r="22">
      <c r="A22" s="8" t="inlineStr">
        <is>
          <t>20251023</t>
        </is>
      </c>
      <c r="B22" s="9" t="n">
        <v>6650</v>
      </c>
      <c r="C22" s="13">
        <f>03_工艺单耗!B8</f>
        <v/>
      </c>
      <c r="D22" s="9">
        <f>B22*C22</f>
        <v/>
      </c>
      <c r="E22" s="9" t="n">
        <v>4415.83</v>
      </c>
      <c r="F22" s="14">
        <f>IF(E22,D22/E22*100,"")</f>
        <v/>
      </c>
    </row>
    <row r="23">
      <c r="A23" s="8" t="inlineStr">
        <is>
          <t>20251024</t>
        </is>
      </c>
      <c r="B23" s="9" t="n">
        <v>6650</v>
      </c>
      <c r="C23" s="13">
        <f>03_工艺单耗!B8</f>
        <v/>
      </c>
      <c r="D23" s="9">
        <f>B23*C23</f>
        <v/>
      </c>
      <c r="E23" s="9" t="n">
        <v>4467.08</v>
      </c>
      <c r="F23" s="14">
        <f>IF(E23,D23/E23*100,"")</f>
        <v/>
      </c>
    </row>
    <row r="24">
      <c r="A24" s="8" t="inlineStr">
        <is>
          <t>20251027</t>
        </is>
      </c>
      <c r="B24" s="9" t="n">
        <v>6650</v>
      </c>
      <c r="C24" s="13">
        <f>03_工艺单耗!B8</f>
        <v/>
      </c>
      <c r="D24" s="9">
        <f>B24*C24</f>
        <v/>
      </c>
      <c r="E24" s="9" t="n">
        <v>4468.34</v>
      </c>
      <c r="F24" s="14">
        <f>IF(E24,D24/E24*100,"")</f>
        <v/>
      </c>
    </row>
    <row r="25">
      <c r="A25" s="8" t="inlineStr">
        <is>
          <t>20251028</t>
        </is>
      </c>
      <c r="B25" s="9" t="n">
        <v>6650</v>
      </c>
      <c r="C25" s="13">
        <f>03_工艺单耗!B8</f>
        <v/>
      </c>
      <c r="D25" s="9">
        <f>B25*C25</f>
        <v/>
      </c>
      <c r="E25" s="9" t="n">
        <v>4535.67</v>
      </c>
      <c r="F25" s="14">
        <f>IF(E25,D25/E25*100,"")</f>
        <v/>
      </c>
    </row>
    <row r="26">
      <c r="A26" s="8" t="inlineStr">
        <is>
          <t>20251029</t>
        </is>
      </c>
      <c r="B26" s="9" t="n">
        <v>6650</v>
      </c>
      <c r="C26" s="13">
        <f>03_工艺单耗!B8</f>
        <v/>
      </c>
      <c r="D26" s="9">
        <f>B26*C26</f>
        <v/>
      </c>
      <c r="E26" s="9" t="n">
        <v>4558.09</v>
      </c>
      <c r="F26" s="14">
        <f>IF(E26,D26/E26*100,"")</f>
        <v/>
      </c>
    </row>
    <row r="27">
      <c r="A27" s="8" t="inlineStr">
        <is>
          <t>20251030</t>
        </is>
      </c>
      <c r="B27" s="9" t="n">
        <v>6650</v>
      </c>
      <c r="C27" s="13">
        <f>03_工艺单耗!B8</f>
        <v/>
      </c>
      <c r="D27" s="9">
        <f>B27*C27</f>
        <v/>
      </c>
      <c r="E27" s="9" t="n">
        <v>4554.75</v>
      </c>
      <c r="F27" s="14">
        <f>IF(E27,D27/E27*100,"")</f>
        <v/>
      </c>
    </row>
    <row r="28">
      <c r="A28" s="8" t="inlineStr">
        <is>
          <t>20251031</t>
        </is>
      </c>
      <c r="B28" s="9" t="n">
        <v>6650</v>
      </c>
      <c r="C28" s="13">
        <f>03_工艺单耗!B8</f>
        <v/>
      </c>
      <c r="D28" s="9">
        <f>B28*C28</f>
        <v/>
      </c>
      <c r="E28" s="9" t="n">
        <v>4552.34</v>
      </c>
      <c r="F28" s="14">
        <f>IF(E28,D28/E28*100,"")</f>
        <v/>
      </c>
    </row>
    <row r="29">
      <c r="A29" s="8" t="inlineStr">
        <is>
          <t>20251103</t>
        </is>
      </c>
      <c r="B29" s="9" t="n">
        <v>6700</v>
      </c>
      <c r="C29" s="13">
        <f>03_工艺单耗!B8</f>
        <v/>
      </c>
      <c r="D29" s="9">
        <f>B29*C29</f>
        <v/>
      </c>
      <c r="E29" s="9" t="n">
        <v>4543.91</v>
      </c>
      <c r="F29" s="14">
        <f>IF(E29,D29/E29*100,"")</f>
        <v/>
      </c>
    </row>
    <row r="30">
      <c r="A30" s="8" t="inlineStr">
        <is>
          <t>20251104</t>
        </is>
      </c>
      <c r="B30" s="9" t="n">
        <v>6700</v>
      </c>
      <c r="C30" s="13">
        <f>03_工艺单耗!B8</f>
        <v/>
      </c>
      <c r="D30" s="9">
        <f>B30*C30</f>
        <v/>
      </c>
      <c r="E30" s="9" t="n">
        <v>4558.75</v>
      </c>
      <c r="F30" s="14">
        <f>IF(E30,D30/E30*100,"")</f>
        <v/>
      </c>
    </row>
    <row r="31">
      <c r="A31" s="8" t="inlineStr">
        <is>
          <t>20251105</t>
        </is>
      </c>
      <c r="B31" s="9" t="n">
        <v>6700</v>
      </c>
      <c r="C31" s="13">
        <f>03_工艺单耗!B8</f>
        <v/>
      </c>
      <c r="D31" s="9">
        <f>B31*C31</f>
        <v/>
      </c>
      <c r="E31" s="9" t="n">
        <v>4569.75</v>
      </c>
      <c r="F31" s="14">
        <f>IF(E31,D31/E31*100,"")</f>
        <v/>
      </c>
    </row>
    <row r="32">
      <c r="A32" s="8" t="inlineStr">
        <is>
          <t>20251106</t>
        </is>
      </c>
      <c r="B32" s="9" t="n">
        <v>6700</v>
      </c>
      <c r="C32" s="13">
        <f>03_工艺单耗!B8</f>
        <v/>
      </c>
      <c r="D32" s="9">
        <f>B32*C32</f>
        <v/>
      </c>
      <c r="E32" s="9" t="n">
        <v>4555.41</v>
      </c>
      <c r="F32" s="14">
        <f>IF(E32,D32/E32*100,"")</f>
        <v/>
      </c>
    </row>
    <row r="33">
      <c r="A33" s="8" t="inlineStr">
        <is>
          <t>20251107</t>
        </is>
      </c>
      <c r="B33" s="9" t="n">
        <v>6700</v>
      </c>
      <c r="C33" s="13">
        <f>03_工艺单耗!B8</f>
        <v/>
      </c>
      <c r="D33" s="9">
        <f>B33*C33</f>
        <v/>
      </c>
      <c r="E33" s="9" t="n">
        <v>4561.09</v>
      </c>
      <c r="F33" s="14">
        <f>IF(E33,D33/E33*100,"")</f>
        <v/>
      </c>
    </row>
    <row r="34">
      <c r="A34" s="8" t="inlineStr">
        <is>
          <t>20251110</t>
        </is>
      </c>
      <c r="B34" s="9" t="n">
        <v>6700</v>
      </c>
      <c r="C34" s="13">
        <f>03_工艺单耗!B8</f>
        <v/>
      </c>
      <c r="D34" s="9">
        <f>B34*C34</f>
        <v/>
      </c>
      <c r="E34" s="9" t="n">
        <v>4598.84</v>
      </c>
      <c r="F34" s="14">
        <f>IF(E34,D34/E34*100,"")</f>
        <v/>
      </c>
    </row>
    <row r="35">
      <c r="A35" s="8" t="inlineStr">
        <is>
          <t>20251111</t>
        </is>
      </c>
      <c r="B35" s="9" t="n">
        <v>6700</v>
      </c>
      <c r="C35" s="13">
        <f>03_工艺单耗!B8</f>
        <v/>
      </c>
      <c r="D35" s="9">
        <f>B35*C35</f>
        <v/>
      </c>
      <c r="E35" s="9" t="n">
        <v>4645.66</v>
      </c>
      <c r="F35" s="14">
        <f>IF(E35,D35/E35*100,"")</f>
        <v/>
      </c>
    </row>
    <row r="36">
      <c r="A36" s="8" t="inlineStr">
        <is>
          <t>20251112</t>
        </is>
      </c>
      <c r="B36" s="9" t="n">
        <v>6800</v>
      </c>
      <c r="C36" s="13">
        <f>03_工艺单耗!B8</f>
        <v/>
      </c>
      <c r="D36" s="9">
        <f>B36*C36</f>
        <v/>
      </c>
      <c r="E36" s="9" t="n">
        <v>4637.17</v>
      </c>
      <c r="F36" s="14">
        <f>IF(E36,D36/E36*100,"")</f>
        <v/>
      </c>
    </row>
    <row r="37">
      <c r="A37" s="8" t="inlineStr">
        <is>
          <t>20251113</t>
        </is>
      </c>
      <c r="B37" s="9" t="n">
        <v>6800</v>
      </c>
      <c r="C37" s="13">
        <f>03_工艺单耗!B8</f>
        <v/>
      </c>
      <c r="D37" s="9">
        <f>B37*C37</f>
        <v/>
      </c>
      <c r="E37" s="9" t="n">
        <v>4635.5</v>
      </c>
      <c r="F37" s="14">
        <f>IF(E37,D37/E37*100,"")</f>
        <v/>
      </c>
    </row>
    <row r="38">
      <c r="A38" s="8" t="inlineStr">
        <is>
          <t>20251114</t>
        </is>
      </c>
      <c r="B38" s="9" t="n">
        <v>6800</v>
      </c>
      <c r="C38" s="13">
        <f>03_工艺单耗!B8</f>
        <v/>
      </c>
      <c r="D38" s="9">
        <f>B38*C38</f>
        <v/>
      </c>
      <c r="E38" s="9" t="n">
        <v>4591.58</v>
      </c>
      <c r="F38" s="14">
        <f>IF(E38,D38/E38*100,"")</f>
        <v/>
      </c>
    </row>
    <row r="39">
      <c r="A39" s="8" t="inlineStr">
        <is>
          <t>20251117</t>
        </is>
      </c>
      <c r="B39" s="9" t="n">
        <v>6800</v>
      </c>
      <c r="C39" s="13">
        <f>03_工艺单耗!B8</f>
        <v/>
      </c>
      <c r="D39" s="9">
        <f>B39*C39</f>
        <v/>
      </c>
      <c r="E39" s="9" t="n">
        <v>4671.09</v>
      </c>
      <c r="F39" s="14">
        <f>IF(E39,D39/E39*100,"")</f>
        <v/>
      </c>
    </row>
    <row r="40">
      <c r="A40" s="8" t="inlineStr">
        <is>
          <t>20251118</t>
        </is>
      </c>
      <c r="B40" s="9" t="n">
        <v>6800</v>
      </c>
      <c r="C40" s="13">
        <f>03_工艺单耗!B8</f>
        <v/>
      </c>
      <c r="D40" s="9">
        <f>B40*C40</f>
        <v/>
      </c>
      <c r="E40" s="9" t="n">
        <v>4647</v>
      </c>
      <c r="F40" s="14">
        <f>IF(E40,D40/E40*100,"")</f>
        <v/>
      </c>
    </row>
    <row r="41">
      <c r="A41" s="8" t="inlineStr">
        <is>
          <t>20251119</t>
        </is>
      </c>
      <c r="B41" s="9" t="n">
        <v>6800</v>
      </c>
      <c r="C41" s="13">
        <f>03_工艺单耗!B8</f>
        <v/>
      </c>
      <c r="D41" s="9">
        <f>B41*C41</f>
        <v/>
      </c>
      <c r="E41" s="9" t="n">
        <v>4628.75</v>
      </c>
      <c r="F41" s="14">
        <f>IF(E41,D41/E41*100,"")</f>
        <v/>
      </c>
    </row>
    <row r="42">
      <c r="A42" s="8" t="inlineStr">
        <is>
          <t>20251120</t>
        </is>
      </c>
      <c r="B42" s="9" t="n">
        <v>6800</v>
      </c>
      <c r="C42" s="13">
        <f>03_工艺单耗!B8</f>
        <v/>
      </c>
      <c r="D42" s="9">
        <f>B42*C42</f>
        <v/>
      </c>
      <c r="E42" s="9" t="n">
        <v>4648.91</v>
      </c>
      <c r="F42" s="14">
        <f>IF(E42,D42/E42*100,"")</f>
        <v/>
      </c>
    </row>
    <row r="43">
      <c r="A43" s="8" t="inlineStr">
        <is>
          <t>20251121</t>
        </is>
      </c>
      <c r="B43" s="9" t="n">
        <v>6800</v>
      </c>
      <c r="C43" s="13">
        <f>03_工艺单耗!B8</f>
        <v/>
      </c>
      <c r="D43" s="9">
        <f>B43*C43</f>
        <v/>
      </c>
      <c r="E43" s="9" t="n">
        <v>4656.66</v>
      </c>
      <c r="F43" s="14">
        <f>IF(E43,D43/E43*100,"")</f>
        <v/>
      </c>
    </row>
    <row r="44">
      <c r="A44" s="8" t="inlineStr">
        <is>
          <t>20251124</t>
        </is>
      </c>
      <c r="B44" s="9" t="n">
        <v>6800</v>
      </c>
      <c r="C44" s="13">
        <f>03_工艺单耗!B8</f>
        <v/>
      </c>
      <c r="D44" s="9">
        <f>B44*C44</f>
        <v/>
      </c>
      <c r="E44" s="9" t="n">
        <v>4622.25</v>
      </c>
      <c r="F44" s="14">
        <f>IF(E44,D44/E44*100,"")</f>
        <v/>
      </c>
    </row>
    <row r="45">
      <c r="A45" s="8" t="inlineStr">
        <is>
          <t>20251125</t>
        </is>
      </c>
      <c r="B45" s="9" t="n">
        <v>6800</v>
      </c>
      <c r="C45" s="13">
        <f>03_工艺单耗!B8</f>
        <v/>
      </c>
      <c r="D45" s="9">
        <f>B45*C45</f>
        <v/>
      </c>
      <c r="E45" s="9" t="n">
        <v>4648.08</v>
      </c>
      <c r="F45" s="14">
        <f>IF(E45,D45/E45*100,"")</f>
        <v/>
      </c>
    </row>
    <row r="46">
      <c r="A46" s="8" t="inlineStr">
        <is>
          <t>20251126</t>
        </is>
      </c>
      <c r="B46" s="9" t="n">
        <v>6800</v>
      </c>
      <c r="C46" s="13">
        <f>03_工艺单耗!B8</f>
        <v/>
      </c>
      <c r="D46" s="9">
        <f>B46*C46</f>
        <v/>
      </c>
      <c r="E46" s="9" t="n">
        <v>4651.66</v>
      </c>
      <c r="F46" s="14">
        <f>IF(E46,D46/E46*100,"")</f>
        <v/>
      </c>
    </row>
    <row r="47">
      <c r="A47" s="8" t="inlineStr">
        <is>
          <t>20251127</t>
        </is>
      </c>
      <c r="B47" s="9" t="n">
        <v>6800</v>
      </c>
      <c r="C47" s="13">
        <f>03_工艺单耗!B8</f>
        <v/>
      </c>
      <c r="D47" s="9">
        <f>B47*C47</f>
        <v/>
      </c>
      <c r="E47" s="9" t="n">
        <v>4654.83</v>
      </c>
      <c r="F47" s="14">
        <f>IF(E47,D47/E47*100,"")</f>
        <v/>
      </c>
    </row>
    <row r="48">
      <c r="A48" s="8" t="inlineStr">
        <is>
          <t>20251128</t>
        </is>
      </c>
      <c r="B48" s="9" t="n">
        <v>6800</v>
      </c>
      <c r="C48" s="13">
        <f>03_工艺单耗!B8</f>
        <v/>
      </c>
      <c r="D48" s="9">
        <f>B48*C48</f>
        <v/>
      </c>
      <c r="E48" s="9" t="n">
        <v>4628.33</v>
      </c>
      <c r="F48" s="14">
        <f>IF(E48,D48/E48*100,"")</f>
        <v/>
      </c>
    </row>
    <row r="49">
      <c r="A49" s="8" t="inlineStr">
        <is>
          <t>20251201</t>
        </is>
      </c>
      <c r="B49" s="9" t="n">
        <v>6850</v>
      </c>
      <c r="C49" s="13">
        <f>03_工艺单耗!B8</f>
        <v/>
      </c>
      <c r="D49" s="9">
        <f>B49*C49</f>
        <v/>
      </c>
      <c r="E49" s="9" t="n">
        <v>4658.5</v>
      </c>
      <c r="F49" s="14">
        <f>IF(E49,D49/E49*100,"")</f>
        <v/>
      </c>
    </row>
    <row r="50">
      <c r="A50" s="8" t="inlineStr">
        <is>
          <t>20251202</t>
        </is>
      </c>
      <c r="B50" s="9" t="n">
        <v>6850</v>
      </c>
      <c r="C50" s="13">
        <f>03_工艺单耗!B8</f>
        <v/>
      </c>
      <c r="D50" s="9">
        <f>B50*C50</f>
        <v/>
      </c>
      <c r="E50" s="9" t="n">
        <v>4703</v>
      </c>
      <c r="F50" s="14">
        <f>IF(E50,D50/E50*100,"")</f>
        <v/>
      </c>
    </row>
    <row r="51">
      <c r="A51" s="8" t="inlineStr">
        <is>
          <t>20251203</t>
        </is>
      </c>
      <c r="B51" s="9" t="n">
        <v>6850</v>
      </c>
      <c r="C51" s="13">
        <f>03_工艺单耗!B8</f>
        <v/>
      </c>
      <c r="D51" s="9">
        <f>B51*C51</f>
        <v/>
      </c>
      <c r="E51" s="9" t="n">
        <v>4708.66</v>
      </c>
      <c r="F51" s="14">
        <f>IF(E51,D51/E51*100,"")</f>
        <v/>
      </c>
    </row>
    <row r="52">
      <c r="A52" s="8" t="inlineStr">
        <is>
          <t>20251204</t>
        </is>
      </c>
      <c r="B52" s="9" t="n">
        <v>6850</v>
      </c>
      <c r="C52" s="13">
        <f>03_工艺单耗!B8</f>
        <v/>
      </c>
      <c r="D52" s="9">
        <f>B52*C52</f>
        <v/>
      </c>
      <c r="E52" s="9" t="n">
        <v>4705.09</v>
      </c>
      <c r="F52" s="14">
        <f>IF(E52,D52/E52*100,"")</f>
        <v/>
      </c>
    </row>
    <row r="53">
      <c r="A53" s="8" t="inlineStr">
        <is>
          <t>20251205</t>
        </is>
      </c>
      <c r="B53" s="9" t="n">
        <v>7000</v>
      </c>
      <c r="C53" s="13">
        <f>03_工艺单耗!B8</f>
        <v/>
      </c>
      <c r="D53" s="9">
        <f>B53*C53</f>
        <v/>
      </c>
      <c r="E53" s="9" t="n">
        <v>4702.25</v>
      </c>
      <c r="F53" s="14">
        <f>IF(E53,D53/E53*100,"")</f>
        <v/>
      </c>
    </row>
    <row r="54">
      <c r="A54" s="8" t="inlineStr">
        <is>
          <t>20251208</t>
        </is>
      </c>
      <c r="B54" s="9" t="n">
        <v>7000</v>
      </c>
      <c r="C54" s="13">
        <f>03_工艺单耗!B8</f>
        <v/>
      </c>
      <c r="D54" s="9">
        <f>B54*C54</f>
        <v/>
      </c>
      <c r="E54" s="9" t="n">
        <v>4694.41</v>
      </c>
      <c r="F54" s="14">
        <f>IF(E54,D54/E54*100,"")</f>
        <v/>
      </c>
    </row>
    <row r="55">
      <c r="A55" s="8" t="inlineStr">
        <is>
          <t>20251209</t>
        </is>
      </c>
      <c r="B55" s="9" t="n">
        <v>7000</v>
      </c>
      <c r="C55" s="13">
        <f>03_工艺单耗!B8</f>
        <v/>
      </c>
      <c r="D55" s="9">
        <f>B55*C55</f>
        <v/>
      </c>
      <c r="E55" s="9" t="n">
        <v>4687.75</v>
      </c>
      <c r="F55" s="14">
        <f>IF(E55,D55/E55*100,"")</f>
        <v/>
      </c>
    </row>
    <row r="56">
      <c r="A56" s="8" t="inlineStr">
        <is>
          <t>20251210</t>
        </is>
      </c>
      <c r="B56" s="9" t="n">
        <v>7000</v>
      </c>
      <c r="C56" s="13">
        <f>03_工艺单耗!B8</f>
        <v/>
      </c>
      <c r="D56" s="9">
        <f>B56*C56</f>
        <v/>
      </c>
      <c r="E56" s="9" t="n">
        <v>4682.92</v>
      </c>
      <c r="F56" s="14">
        <f>IF(E56,D56/E56*100,"")</f>
        <v/>
      </c>
    </row>
    <row r="57">
      <c r="A57" s="8" t="inlineStr">
        <is>
          <t>20251211</t>
        </is>
      </c>
      <c r="B57" s="9" t="n">
        <v>7000</v>
      </c>
      <c r="C57" s="13">
        <f>03_工艺单耗!B8</f>
        <v/>
      </c>
      <c r="D57" s="9">
        <f>B57*C57</f>
        <v/>
      </c>
      <c r="E57" s="9" t="n">
        <v>4637</v>
      </c>
      <c r="F57" s="14">
        <f>IF(E57,D57/E57*100,"")</f>
        <v/>
      </c>
    </row>
    <row r="58">
      <c r="A58" s="8" t="inlineStr">
        <is>
          <t>20251212</t>
        </is>
      </c>
      <c r="B58" s="9" t="n">
        <v>7000</v>
      </c>
      <c r="C58" s="13">
        <f>03_工艺单耗!B8</f>
        <v/>
      </c>
      <c r="D58" s="9">
        <f>B58*C58</f>
        <v/>
      </c>
      <c r="E58" s="9" t="n">
        <v>4651.66</v>
      </c>
      <c r="F58" s="14">
        <f>IF(E58,D58/E58*100,"")</f>
        <v/>
      </c>
    </row>
    <row r="59">
      <c r="A59" s="8" t="inlineStr">
        <is>
          <t>20251215</t>
        </is>
      </c>
      <c r="B59" s="9" t="n">
        <v>7000</v>
      </c>
      <c r="C59" s="13">
        <f>03_工艺单耗!B8</f>
        <v/>
      </c>
      <c r="D59" s="9">
        <f>B59*C59</f>
        <v/>
      </c>
      <c r="E59" s="9" t="n">
        <v>4639.4</v>
      </c>
      <c r="F59" s="14">
        <f>IF(E59,D59/E59*100,"")</f>
        <v/>
      </c>
    </row>
    <row r="60">
      <c r="A60" s="8" t="inlineStr">
        <is>
          <t>20251216</t>
        </is>
      </c>
      <c r="B60" s="9" t="n">
        <v>7000</v>
      </c>
      <c r="C60" s="13">
        <f>03_工艺单耗!B8</f>
        <v/>
      </c>
      <c r="D60" s="9">
        <f>B60*C60</f>
        <v/>
      </c>
      <c r="E60" s="9" t="n">
        <v>4649.66</v>
      </c>
      <c r="F60" s="14">
        <f>IF(E60,D60/E60*100,"")</f>
        <v/>
      </c>
    </row>
    <row r="61">
      <c r="A61" s="8" t="inlineStr">
        <is>
          <t>20251217</t>
        </is>
      </c>
      <c r="B61" s="9" t="n">
        <v>7000</v>
      </c>
      <c r="C61" s="13">
        <f>03_工艺单耗!B8</f>
        <v/>
      </c>
      <c r="D61" s="9">
        <f>B61*C61</f>
        <v/>
      </c>
      <c r="E61" s="9" t="n">
        <v>4622.58</v>
      </c>
      <c r="F61" s="14">
        <f>IF(E61,D61/E61*100,"")</f>
        <v/>
      </c>
    </row>
    <row r="62">
      <c r="A62" s="8" t="inlineStr">
        <is>
          <t>20251218</t>
        </is>
      </c>
      <c r="B62" s="9" t="n">
        <v>7000</v>
      </c>
      <c r="C62" s="13">
        <f>03_工艺单耗!B8</f>
        <v/>
      </c>
      <c r="D62" s="9">
        <f>B62*C62</f>
        <v/>
      </c>
      <c r="E62" s="9" t="n">
        <v>4626.34</v>
      </c>
      <c r="F62" s="14">
        <f>IF(E62,D62/E62*100,"")</f>
        <v/>
      </c>
    </row>
    <row r="63">
      <c r="A63" s="8" t="inlineStr">
        <is>
          <t>20251219</t>
        </is>
      </c>
      <c r="B63" s="9" t="n">
        <v>7000</v>
      </c>
      <c r="C63" s="13">
        <f>03_工艺单耗!B8</f>
        <v/>
      </c>
      <c r="D63" s="9">
        <f>B63*C63</f>
        <v/>
      </c>
      <c r="E63" s="9" t="n">
        <v>4683.84</v>
      </c>
      <c r="F63" s="14">
        <f>IF(E63,D63/E63*100,"")</f>
        <v/>
      </c>
    </row>
    <row r="64">
      <c r="A64" s="8" t="inlineStr">
        <is>
          <t>20251222</t>
        </is>
      </c>
      <c r="B64" s="9" t="n">
        <v>7000</v>
      </c>
      <c r="C64" s="13">
        <f>03_工艺单耗!B8</f>
        <v/>
      </c>
      <c r="D64" s="9">
        <f>B64*C64</f>
        <v/>
      </c>
      <c r="E64" s="9" t="n">
        <v>4735.25</v>
      </c>
      <c r="F64" s="14">
        <f>IF(E64,D64/E64*100,"")</f>
        <v/>
      </c>
    </row>
    <row r="65">
      <c r="A65" s="8" t="inlineStr">
        <is>
          <t>20251223</t>
        </is>
      </c>
      <c r="B65" s="9" t="n">
        <v>7000</v>
      </c>
      <c r="C65" s="13">
        <f>03_工艺单耗!B8</f>
        <v/>
      </c>
      <c r="D65" s="9">
        <f>B65*C65</f>
        <v/>
      </c>
      <c r="E65" s="9" t="n">
        <v>4879.34</v>
      </c>
      <c r="F65" s="14">
        <f>IF(E65,D65/E65*100,"")</f>
        <v/>
      </c>
    </row>
    <row r="66">
      <c r="A66" s="8" t="inlineStr">
        <is>
          <t>20251224</t>
        </is>
      </c>
      <c r="B66" s="9" t="n">
        <v>7000</v>
      </c>
      <c r="C66" s="13">
        <f>03_工艺单耗!B8</f>
        <v/>
      </c>
      <c r="D66" s="9">
        <f>B66*C66</f>
        <v/>
      </c>
      <c r="E66" s="9" t="n">
        <v>4923.16</v>
      </c>
      <c r="F66" s="14">
        <f>IF(E66,D66/E66*100,"")</f>
        <v/>
      </c>
    </row>
    <row r="67">
      <c r="A67" s="8" t="inlineStr">
        <is>
          <t>20251225</t>
        </is>
      </c>
      <c r="B67" s="9" t="n">
        <v>7000</v>
      </c>
      <c r="C67" s="13">
        <f>03_工艺单耗!B8</f>
        <v/>
      </c>
      <c r="D67" s="9">
        <f>B67*C67</f>
        <v/>
      </c>
      <c r="E67" s="9" t="n">
        <v>4970.5</v>
      </c>
      <c r="F67" s="14">
        <f>IF(E67,D67/E67*100,"")</f>
        <v/>
      </c>
    </row>
    <row r="68">
      <c r="A68" s="8" t="inlineStr">
        <is>
          <t>20251226</t>
        </is>
      </c>
      <c r="B68" s="9" t="n">
        <v>7000</v>
      </c>
      <c r="C68" s="13">
        <f>03_工艺单耗!B8</f>
        <v/>
      </c>
      <c r="D68" s="9">
        <f>B68*C68</f>
        <v/>
      </c>
      <c r="E68" s="9" t="n">
        <v>5056.34</v>
      </c>
      <c r="F68" s="14">
        <f>IF(E68,D68/E68*100,"")</f>
        <v/>
      </c>
    </row>
    <row r="69">
      <c r="A69" s="8" t="inlineStr">
        <is>
          <t>20251229</t>
        </is>
      </c>
      <c r="B69" s="9" t="n">
        <v>7000</v>
      </c>
      <c r="C69" s="13">
        <f>03_工艺单耗!B8</f>
        <v/>
      </c>
      <c r="D69" s="9">
        <f>B69*C69</f>
        <v/>
      </c>
      <c r="E69" s="9" t="n">
        <v>5144.84</v>
      </c>
      <c r="F69" s="14">
        <f>IF(E69,D69/E69*100,"")</f>
        <v/>
      </c>
    </row>
    <row r="70">
      <c r="A70" s="8" t="inlineStr">
        <is>
          <t>20251230</t>
        </is>
      </c>
      <c r="B70" s="9" t="n">
        <v>7000</v>
      </c>
      <c r="C70" s="13">
        <f>03_工艺单耗!B8</f>
        <v/>
      </c>
      <c r="D70" s="9">
        <f>B70*C70</f>
        <v/>
      </c>
      <c r="E70" s="9" t="n">
        <v>5045.84</v>
      </c>
      <c r="F70" s="14">
        <f>IF(E70,D70/E70*100,"")</f>
        <v/>
      </c>
    </row>
    <row r="71">
      <c r="A71" s="8" t="inlineStr">
        <is>
          <t>20251231</t>
        </is>
      </c>
      <c r="B71" s="9" t="n">
        <v>7000</v>
      </c>
      <c r="C71" s="13">
        <f>03_工艺单耗!B8</f>
        <v/>
      </c>
      <c r="D71" s="9">
        <f>B71*C71</f>
        <v/>
      </c>
      <c r="E71" s="9" t="n">
        <v>5082.66</v>
      </c>
      <c r="F71" s="14">
        <f>IF(E71,D71/E71*100,"")</f>
        <v/>
      </c>
    </row>
    <row r="72">
      <c r="A72" s="8" t="inlineStr">
        <is>
          <t>20260101</t>
        </is>
      </c>
      <c r="B72" s="9" t="n">
        <v>7500</v>
      </c>
      <c r="C72" s="13">
        <f>03_工艺单耗!B8</f>
        <v/>
      </c>
      <c r="D72" s="9">
        <f>B72*C72</f>
        <v/>
      </c>
      <c r="E72" s="9" t="n">
        <v>5079.09</v>
      </c>
      <c r="F72" s="14">
        <f>IF(E72,D72/E72*100,"")</f>
        <v/>
      </c>
    </row>
    <row r="73">
      <c r="A73" s="8" t="inlineStr">
        <is>
          <t>20260102</t>
        </is>
      </c>
      <c r="B73" s="9" t="n">
        <v>7500</v>
      </c>
      <c r="C73" s="13">
        <f>03_工艺单耗!B8</f>
        <v/>
      </c>
      <c r="D73" s="9">
        <f>B73*C73</f>
        <v/>
      </c>
      <c r="E73" s="9" t="n">
        <v>5079.09</v>
      </c>
      <c r="F73" s="14">
        <f>IF(E73,D73/E73*100,"")</f>
        <v/>
      </c>
    </row>
    <row r="74">
      <c r="A74" s="8" t="inlineStr">
        <is>
          <t>20260105</t>
        </is>
      </c>
      <c r="B74" s="9" t="n">
        <v>7500</v>
      </c>
      <c r="C74" s="13">
        <f>03_工艺单耗!B8</f>
        <v/>
      </c>
      <c r="D74" s="9">
        <f>B74*C74</f>
        <v/>
      </c>
      <c r="E74" s="9" t="n">
        <v>5079.09</v>
      </c>
      <c r="F74" s="14">
        <f>IF(E74,D74/E74*100,"")</f>
        <v/>
      </c>
    </row>
    <row r="75">
      <c r="A75" s="8" t="inlineStr">
        <is>
          <t>20260106</t>
        </is>
      </c>
      <c r="B75" s="9" t="n">
        <v>7500</v>
      </c>
      <c r="C75" s="13">
        <f>03_工艺单耗!B8</f>
        <v/>
      </c>
      <c r="D75" s="9">
        <f>B75*C75</f>
        <v/>
      </c>
      <c r="E75" s="9" t="n">
        <v>5014.91</v>
      </c>
      <c r="F75" s="14">
        <f>IF(E75,D75/E75*100,"")</f>
        <v/>
      </c>
    </row>
    <row r="76">
      <c r="A76" s="8" t="inlineStr">
        <is>
          <t>20260107</t>
        </is>
      </c>
      <c r="B76" s="9" t="n">
        <v>7500</v>
      </c>
      <c r="C76" s="13">
        <f>03_工艺单耗!B8</f>
        <v/>
      </c>
      <c r="D76" s="9">
        <f>B76*C76</f>
        <v/>
      </c>
      <c r="E76" s="9" t="n">
        <v>5126.75</v>
      </c>
      <c r="F76" s="14">
        <f>IF(E76,D76/E76*100,"")</f>
        <v/>
      </c>
    </row>
    <row r="77">
      <c r="A77" s="8" t="inlineStr">
        <is>
          <t>20260108</t>
        </is>
      </c>
      <c r="B77" s="9" t="n">
        <v>7500</v>
      </c>
      <c r="C77" s="13">
        <f>03_工艺单耗!B8</f>
        <v/>
      </c>
      <c r="D77" s="9">
        <f>B77*C77</f>
        <v/>
      </c>
      <c r="E77" s="9" t="n">
        <v>5089.34</v>
      </c>
      <c r="F77" s="14">
        <f>IF(E77,D77/E77*100,"")</f>
        <v/>
      </c>
    </row>
    <row r="78">
      <c r="A78" s="8" t="inlineStr">
        <is>
          <t>20260109</t>
        </is>
      </c>
      <c r="B78" s="9" t="n">
        <v>7500</v>
      </c>
      <c r="C78" s="13">
        <f>03_工艺单耗!B8</f>
        <v/>
      </c>
      <c r="D78" s="9">
        <f>B78*C78</f>
        <v/>
      </c>
      <c r="E78" s="9" t="n">
        <v>5078.66</v>
      </c>
      <c r="F78" s="14">
        <f>IF(E78,D78/E78*100,"")</f>
        <v/>
      </c>
    </row>
    <row r="79">
      <c r="A79" s="8" t="inlineStr">
        <is>
          <t>20260112</t>
        </is>
      </c>
      <c r="B79" s="9" t="n">
        <v>7500</v>
      </c>
      <c r="C79" s="13">
        <f>03_工艺单耗!B8</f>
        <v/>
      </c>
      <c r="D79" s="9">
        <f>B79*C79</f>
        <v/>
      </c>
      <c r="E79" s="9" t="n">
        <v>5094.66</v>
      </c>
      <c r="F79" s="14">
        <f>IF(E79,D79/E79*100,"")</f>
        <v/>
      </c>
    </row>
    <row r="80">
      <c r="A80" s="8" t="inlineStr">
        <is>
          <t>20260113</t>
        </is>
      </c>
      <c r="B80" s="9" t="n">
        <v>7500</v>
      </c>
      <c r="C80" s="13">
        <f>03_工艺单耗!B8</f>
        <v/>
      </c>
      <c r="D80" s="9">
        <f>B80*C80</f>
        <v/>
      </c>
      <c r="E80" s="9" t="n">
        <v>5123.09</v>
      </c>
      <c r="F80" s="14">
        <f>IF(E80,D80/E80*100,"")</f>
        <v/>
      </c>
    </row>
    <row r="81">
      <c r="A81" s="8" t="inlineStr">
        <is>
          <t>20260114</t>
        </is>
      </c>
      <c r="B81" s="9" t="n">
        <v>7500</v>
      </c>
      <c r="C81" s="13">
        <f>03_工艺单耗!B8</f>
        <v/>
      </c>
      <c r="D81" s="9">
        <f>B81*C81</f>
        <v/>
      </c>
      <c r="E81" s="9" t="n">
        <v>5108.58</v>
      </c>
      <c r="F81" s="14">
        <f>IF(E81,D81/E81*100,"")</f>
        <v/>
      </c>
    </row>
    <row r="82">
      <c r="A82" s="8" t="inlineStr">
        <is>
          <t>20260115</t>
        </is>
      </c>
      <c r="B82" s="9" t="n">
        <v>7500</v>
      </c>
      <c r="C82" s="13">
        <f>03_工艺单耗!B8</f>
        <v/>
      </c>
      <c r="D82" s="9">
        <f>B82*C82</f>
        <v/>
      </c>
      <c r="E82" s="9" t="n">
        <v>5093.58</v>
      </c>
      <c r="F82" s="14">
        <f>IF(E82,D82/E82*100,"")</f>
        <v/>
      </c>
    </row>
    <row r="83">
      <c r="A83" s="8" t="inlineStr">
        <is>
          <t>20260116</t>
        </is>
      </c>
      <c r="B83" s="9" t="n">
        <v>7500</v>
      </c>
      <c r="C83" s="13">
        <f>03_工艺单耗!B8</f>
        <v/>
      </c>
      <c r="D83" s="9">
        <f>B83*C83</f>
        <v/>
      </c>
      <c r="E83" s="9" t="n">
        <v>5064.09</v>
      </c>
      <c r="F83" s="14">
        <f>IF(E83,D83/E83*100,"")</f>
        <v/>
      </c>
    </row>
    <row r="84">
      <c r="A84" s="8" t="inlineStr">
        <is>
          <t>20260119</t>
        </is>
      </c>
      <c r="B84" s="9" t="n">
        <v>7500</v>
      </c>
      <c r="C84" s="13">
        <f>03_工艺单耗!B8</f>
        <v/>
      </c>
      <c r="D84" s="9">
        <f>B84*C84</f>
        <v/>
      </c>
      <c r="E84" s="9" t="n">
        <v>5019.83</v>
      </c>
      <c r="F84" s="14">
        <f>IF(E84,D84/E84*100,"")</f>
        <v/>
      </c>
    </row>
    <row r="85">
      <c r="A85" s="8" t="inlineStr">
        <is>
          <t>20260120</t>
        </is>
      </c>
      <c r="B85" s="9" t="n">
        <v>7500</v>
      </c>
      <c r="C85" s="13">
        <f>03_工艺单耗!B8</f>
        <v/>
      </c>
      <c r="D85" s="9">
        <f>B85*C85</f>
        <v/>
      </c>
      <c r="E85" s="9" t="n">
        <v>5009.34</v>
      </c>
      <c r="F85" s="14">
        <f>IF(E85,D85/E85*100,"")</f>
        <v/>
      </c>
    </row>
    <row r="86">
      <c r="A86" s="8" t="inlineStr">
        <is>
          <t>20260121</t>
        </is>
      </c>
      <c r="B86" s="9" t="n">
        <v>7500</v>
      </c>
      <c r="C86" s="13">
        <f>03_工艺单耗!B8</f>
        <v/>
      </c>
      <c r="D86" s="9">
        <f>B86*C86</f>
        <v/>
      </c>
      <c r="E86" s="9" t="n">
        <v>5044.92</v>
      </c>
      <c r="F86" s="14">
        <f>IF(E86,D86/E86*100,"")</f>
        <v/>
      </c>
    </row>
    <row r="87">
      <c r="A87" s="8" t="inlineStr">
        <is>
          <t>20260122</t>
        </is>
      </c>
      <c r="B87" s="9" t="n">
        <v>7500</v>
      </c>
      <c r="C87" s="13">
        <f>03_工艺单耗!B8</f>
        <v/>
      </c>
      <c r="D87" s="9">
        <f>B87*C87</f>
        <v/>
      </c>
      <c r="E87" s="9" t="n">
        <v>5059.41</v>
      </c>
      <c r="F87" s="14">
        <f>IF(E87,D87/E87*100,"")</f>
        <v/>
      </c>
    </row>
    <row r="88">
      <c r="A88" s="8" t="inlineStr">
        <is>
          <t>20260123</t>
        </is>
      </c>
      <c r="B88" s="9" t="n">
        <v>7500</v>
      </c>
      <c r="C88" s="13">
        <f>03_工艺单耗!B8</f>
        <v/>
      </c>
      <c r="D88" s="9">
        <f>B88*C88</f>
        <v/>
      </c>
      <c r="E88" s="9" t="n">
        <v>5098.75</v>
      </c>
      <c r="F88" s="14">
        <f>IF(E88,D88/E88*100,"")</f>
        <v/>
      </c>
    </row>
    <row r="89">
      <c r="A89" s="8" t="inlineStr">
        <is>
          <t>20260126</t>
        </is>
      </c>
      <c r="B89" s="9" t="n">
        <v>7500</v>
      </c>
      <c r="C89" s="13">
        <f>03_工艺单耗!B8</f>
        <v/>
      </c>
      <c r="D89" s="9">
        <f>B89*C89</f>
        <v/>
      </c>
      <c r="E89" s="9" t="n">
        <v>5247.5</v>
      </c>
      <c r="F89" s="14">
        <f>IF(E89,D89/E89*100,"")</f>
        <v/>
      </c>
    </row>
    <row r="90">
      <c r="A90" s="8" t="inlineStr">
        <is>
          <t>20260127</t>
        </is>
      </c>
      <c r="B90" s="9" t="n">
        <v>7300</v>
      </c>
      <c r="C90" s="13">
        <f>03_工艺单耗!B8</f>
        <v/>
      </c>
      <c r="D90" s="9">
        <f>B90*C90</f>
        <v/>
      </c>
      <c r="E90" s="9" t="n">
        <v>5341.25</v>
      </c>
      <c r="F90" s="14">
        <f>IF(E90,D90/E90*100,"")</f>
        <v/>
      </c>
    </row>
    <row r="91">
      <c r="A91" s="8" t="inlineStr">
        <is>
          <t>20260128</t>
        </is>
      </c>
      <c r="B91" s="9" t="n">
        <v>7300</v>
      </c>
      <c r="C91" s="13">
        <f>03_工艺单耗!B8</f>
        <v/>
      </c>
      <c r="D91" s="9">
        <f>B91*C91</f>
        <v/>
      </c>
      <c r="E91" s="9" t="n">
        <v>5267.09</v>
      </c>
      <c r="F91" s="14">
        <f>IF(E91,D91/E91*100,"")</f>
        <v/>
      </c>
    </row>
    <row r="92">
      <c r="A92" s="8" t="inlineStr">
        <is>
          <t>20260129</t>
        </is>
      </c>
      <c r="B92" s="9" t="n">
        <v>7300</v>
      </c>
      <c r="C92" s="13">
        <f>03_工艺单耗!B8</f>
        <v/>
      </c>
      <c r="D92" s="9">
        <f>B92*C92</f>
        <v/>
      </c>
      <c r="E92" s="9" t="n">
        <v>5314.75</v>
      </c>
      <c r="F92" s="14">
        <f>IF(E92,D92/E92*100,"")</f>
        <v/>
      </c>
    </row>
    <row r="93">
      <c r="A93" s="8" t="inlineStr">
        <is>
          <t>20260130</t>
        </is>
      </c>
      <c r="B93" s="9" t="n">
        <v>7300</v>
      </c>
      <c r="C93" s="13">
        <f>03_工艺单耗!B8</f>
        <v/>
      </c>
      <c r="D93" s="9">
        <f>B93*C93</f>
        <v/>
      </c>
      <c r="E93" s="9" t="n">
        <v>5297.25</v>
      </c>
      <c r="F93" s="14">
        <f>IF(E93,D93/E93*100,"")</f>
        <v/>
      </c>
    </row>
    <row r="94">
      <c r="A94" s="8" t="inlineStr">
        <is>
          <t>20260202</t>
        </is>
      </c>
      <c r="B94" s="9" t="n">
        <v>7300</v>
      </c>
      <c r="C94" s="13">
        <f>03_工艺单耗!B8</f>
        <v/>
      </c>
      <c r="D94" s="9">
        <f>B94*C94</f>
        <v/>
      </c>
      <c r="E94" s="9" t="n">
        <v>5298.83</v>
      </c>
      <c r="F94" s="14">
        <f>IF(E94,D94/E94*100,"")</f>
        <v/>
      </c>
    </row>
    <row r="95">
      <c r="A95" s="8" t="inlineStr">
        <is>
          <t>20260203</t>
        </is>
      </c>
      <c r="B95" s="9" t="n">
        <v>7650</v>
      </c>
      <c r="C95" s="13">
        <f>03_工艺单耗!B8</f>
        <v/>
      </c>
      <c r="D95" s="9">
        <f>B95*C95</f>
        <v/>
      </c>
      <c r="E95" s="9" t="n">
        <v>5173.91</v>
      </c>
      <c r="F95" s="14">
        <f>IF(E95,D95/E95*100,"")</f>
        <v/>
      </c>
    </row>
    <row r="96">
      <c r="A96" s="8" t="inlineStr">
        <is>
          <t>20260204</t>
        </is>
      </c>
      <c r="B96" s="9" t="n">
        <v>7650</v>
      </c>
      <c r="C96" s="13">
        <f>03_工艺单耗!B8</f>
        <v/>
      </c>
      <c r="D96" s="9">
        <f>B96*C96</f>
        <v/>
      </c>
      <c r="E96" s="9" t="n">
        <v>5151.09</v>
      </c>
      <c r="F96" s="14">
        <f>IF(E96,D96/E96*100,"")</f>
        <v/>
      </c>
    </row>
    <row r="97">
      <c r="A97" s="8" t="inlineStr">
        <is>
          <t>20260205</t>
        </is>
      </c>
      <c r="B97" s="9" t="n">
        <v>7650</v>
      </c>
      <c r="C97" s="13">
        <f>03_工艺单耗!B8</f>
        <v/>
      </c>
      <c r="D97" s="9">
        <f>B97*C97</f>
        <v/>
      </c>
      <c r="E97" s="9" t="n">
        <v>5167.03</v>
      </c>
      <c r="F97" s="14">
        <f>IF(E97,D97/E97*100,"")</f>
        <v/>
      </c>
    </row>
    <row r="98">
      <c r="A98" s="8" t="inlineStr">
        <is>
          <t>20260206</t>
        </is>
      </c>
      <c r="B98" s="9" t="n">
        <v>7650</v>
      </c>
      <c r="C98" s="13">
        <f>03_工艺单耗!B8</f>
        <v/>
      </c>
      <c r="D98" s="9">
        <f>B98*C98</f>
        <v/>
      </c>
      <c r="E98" s="9" t="n">
        <v>5130.9</v>
      </c>
      <c r="F98" s="14">
        <f>IF(E98,D98/E98*100,"")</f>
        <v/>
      </c>
    </row>
    <row r="99">
      <c r="A99" s="8" t="inlineStr">
        <is>
          <t>20260209</t>
        </is>
      </c>
      <c r="B99" s="9" t="n">
        <v>7650</v>
      </c>
      <c r="C99" s="13">
        <f>03_工艺单耗!B8</f>
        <v/>
      </c>
      <c r="D99" s="9">
        <f>B99*C99</f>
        <v/>
      </c>
      <c r="E99" s="9" t="n">
        <v>5144.26</v>
      </c>
      <c r="F99" s="14">
        <f>IF(E99,D99/E99*100,"")</f>
        <v/>
      </c>
    </row>
    <row r="100">
      <c r="A100" s="8" t="inlineStr">
        <is>
          <t>20260210</t>
        </is>
      </c>
      <c r="B100" s="9" t="n">
        <v>7650</v>
      </c>
      <c r="C100" s="13">
        <f>03_工艺单耗!B8</f>
        <v/>
      </c>
      <c r="D100" s="9">
        <f>B100*C100</f>
        <v/>
      </c>
      <c r="E100" s="9" t="n">
        <v>5151.86</v>
      </c>
      <c r="F100" s="14">
        <f>IF(E100,D100/E100*100,"")</f>
        <v/>
      </c>
    </row>
    <row r="101">
      <c r="A101" s="8" t="inlineStr">
        <is>
          <t>20260211</t>
        </is>
      </c>
      <c r="B101" s="9" t="n">
        <v>7650</v>
      </c>
      <c r="C101" s="13">
        <f>03_工艺单耗!B8</f>
        <v/>
      </c>
      <c r="D101" s="9">
        <f>B101*C101</f>
        <v/>
      </c>
      <c r="E101" s="9" t="n">
        <v>5195.2</v>
      </c>
      <c r="F101" s="14">
        <f>IF(E101,D101/E101*100,"")</f>
        <v/>
      </c>
    </row>
    <row r="102">
      <c r="A102" s="8" t="inlineStr">
        <is>
          <t>20260212</t>
        </is>
      </c>
      <c r="B102" s="9" t="n">
        <v>7650</v>
      </c>
      <c r="C102" s="13">
        <f>03_工艺单耗!B8</f>
        <v/>
      </c>
      <c r="D102" s="9">
        <f>B102*C102</f>
        <v/>
      </c>
      <c r="E102" s="9" t="n">
        <v>5212.07</v>
      </c>
      <c r="F102" s="14">
        <f>IF(E102,D102/E102*100,"")</f>
        <v/>
      </c>
    </row>
    <row r="103">
      <c r="A103" s="8" t="inlineStr">
        <is>
          <t>20260213</t>
        </is>
      </c>
      <c r="B103" s="9" t="n">
        <v>7650</v>
      </c>
      <c r="C103" s="13">
        <f>03_工艺单耗!B8</f>
        <v/>
      </c>
      <c r="D103" s="9">
        <f>B103*C103</f>
        <v/>
      </c>
      <c r="E103" s="9" t="n">
        <v>5184.66</v>
      </c>
      <c r="F103" s="14">
        <f>IF(E103,D103/E103*100,"")</f>
        <v/>
      </c>
    </row>
    <row r="104">
      <c r="A104" s="8" t="inlineStr">
        <is>
          <t>20260216</t>
        </is>
      </c>
      <c r="B104" s="9" t="n">
        <v>7650</v>
      </c>
      <c r="C104" s="13">
        <f>03_工艺单耗!B8</f>
        <v/>
      </c>
      <c r="D104" s="9">
        <f>B104*C104</f>
        <v/>
      </c>
      <c r="E104" s="9" t="n">
        <v>5168.5</v>
      </c>
      <c r="F104" s="14">
        <f>IF(E104,D104/E104*100,"")</f>
        <v/>
      </c>
    </row>
    <row r="105">
      <c r="A105" s="8" t="inlineStr">
        <is>
          <t>20260217</t>
        </is>
      </c>
      <c r="B105" s="9" t="n">
        <v>7650</v>
      </c>
      <c r="C105" s="13">
        <f>03_工艺单耗!B8</f>
        <v/>
      </c>
      <c r="D105" s="9">
        <f>B105*C105</f>
        <v/>
      </c>
      <c r="E105" s="9" t="n">
        <v>5168.5</v>
      </c>
      <c r="F105" s="14">
        <f>IF(E105,D105/E105*100,"")</f>
        <v/>
      </c>
    </row>
    <row r="106">
      <c r="A106" s="8" t="inlineStr">
        <is>
          <t>20260218</t>
        </is>
      </c>
      <c r="B106" s="9" t="n">
        <v>7650</v>
      </c>
      <c r="C106" s="13">
        <f>03_工艺单耗!B8</f>
        <v/>
      </c>
      <c r="D106" s="9">
        <f>B106*C106</f>
        <v/>
      </c>
      <c r="E106" s="9" t="n">
        <v>5168.5</v>
      </c>
      <c r="F106" s="14">
        <f>IF(E106,D106/E106*100,"")</f>
        <v/>
      </c>
    </row>
    <row r="107">
      <c r="A107" s="8" t="inlineStr">
        <is>
          <t>20260219</t>
        </is>
      </c>
      <c r="B107" s="9" t="n">
        <v>7650</v>
      </c>
      <c r="C107" s="13">
        <f>03_工艺单耗!B8</f>
        <v/>
      </c>
      <c r="D107" s="9">
        <f>B107*C107</f>
        <v/>
      </c>
      <c r="E107" s="9" t="n">
        <v>5168.5</v>
      </c>
      <c r="F107" s="14">
        <f>IF(E107,D107/E107*100,"")</f>
        <v/>
      </c>
    </row>
    <row r="108">
      <c r="A108" s="8" t="inlineStr">
        <is>
          <t>20260220</t>
        </is>
      </c>
      <c r="B108" s="9" t="n">
        <v>7650</v>
      </c>
      <c r="C108" s="13">
        <f>03_工艺单耗!B8</f>
        <v/>
      </c>
      <c r="D108" s="9">
        <f>B108*C108</f>
        <v/>
      </c>
      <c r="E108" s="9" t="n">
        <v>5181.47</v>
      </c>
      <c r="F108" s="14">
        <f>IF(E108,D108/E108*100,"")</f>
        <v/>
      </c>
    </row>
    <row r="109">
      <c r="A109" s="8" t="inlineStr">
        <is>
          <t>20260223</t>
        </is>
      </c>
      <c r="B109" s="9" t="n">
        <v>7650</v>
      </c>
      <c r="C109" s="13">
        <f>03_工艺单耗!B8</f>
        <v/>
      </c>
      <c r="D109" s="9">
        <f>B109*C109</f>
        <v/>
      </c>
      <c r="E109" s="9" t="n">
        <v>5181.47</v>
      </c>
      <c r="F109" s="14">
        <f>IF(E109,D109/E109*100,"")</f>
        <v/>
      </c>
    </row>
    <row r="110">
      <c r="A110" s="8" t="inlineStr">
        <is>
          <t>20260224</t>
        </is>
      </c>
      <c r="B110" s="9" t="n">
        <v>7650</v>
      </c>
      <c r="C110" s="13">
        <f>03_工艺单耗!B8</f>
        <v/>
      </c>
      <c r="D110" s="9">
        <f>B110*C110</f>
        <v/>
      </c>
      <c r="E110" s="9" t="n">
        <v>5181.47</v>
      </c>
      <c r="F110" s="14">
        <f>IF(E110,D110/E110*100,"")</f>
        <v/>
      </c>
    </row>
    <row r="111">
      <c r="A111" s="8" t="inlineStr">
        <is>
          <t>20260225</t>
        </is>
      </c>
      <c r="B111" s="9" t="n">
        <v>7650</v>
      </c>
      <c r="C111" s="13">
        <f>03_工艺单耗!B8</f>
        <v/>
      </c>
      <c r="D111" s="9">
        <f>B111*C111</f>
        <v/>
      </c>
      <c r="E111" s="9" t="n">
        <v>5324.57</v>
      </c>
      <c r="F111" s="14">
        <f>IF(E111,D111/E111*100,"")</f>
        <v/>
      </c>
    </row>
    <row r="112">
      <c r="A112" s="8" t="inlineStr">
        <is>
          <t>20260226</t>
        </is>
      </c>
      <c r="B112" s="9" t="n">
        <v>7650</v>
      </c>
      <c r="C112" s="13">
        <f>03_工艺单耗!B8</f>
        <v/>
      </c>
      <c r="D112" s="9">
        <f>B112*C112</f>
        <v/>
      </c>
      <c r="E112" s="9" t="n">
        <v>5319.43</v>
      </c>
      <c r="F112" s="14">
        <f>IF(E112,D112/E112*100,"")</f>
        <v/>
      </c>
    </row>
    <row r="113">
      <c r="A113" s="8" t="inlineStr">
        <is>
          <t>20260227</t>
        </is>
      </c>
      <c r="B113" s="9" t="n">
        <v>7650</v>
      </c>
      <c r="C113" s="13">
        <f>03_工艺单耗!B8</f>
        <v/>
      </c>
      <c r="D113" s="9">
        <f>B113*C113</f>
        <v/>
      </c>
      <c r="E113" s="9" t="n">
        <v>5270.64</v>
      </c>
      <c r="F113" s="14">
        <f>IF(E113,D113/E113*100,"")</f>
        <v/>
      </c>
    </row>
    <row r="114">
      <c r="A114" s="8" t="inlineStr">
        <is>
          <t>20260302</t>
        </is>
      </c>
      <c r="B114" s="9" t="n">
        <v>7600</v>
      </c>
      <c r="C114" s="13">
        <f>03_工艺单耗!B8</f>
        <v/>
      </c>
      <c r="D114" s="9">
        <f>B114*C114</f>
        <v/>
      </c>
      <c r="E114" s="9" t="n">
        <v>5237.9</v>
      </c>
      <c r="F114" s="14">
        <f>IF(E114,D114/E114*100,"")</f>
        <v/>
      </c>
    </row>
    <row r="115">
      <c r="A115" s="8" t="inlineStr">
        <is>
          <t>20260303</t>
        </is>
      </c>
      <c r="B115" s="9" t="n">
        <v>7600</v>
      </c>
      <c r="C115" s="13">
        <f>03_工艺单耗!B8</f>
        <v/>
      </c>
      <c r="D115" s="9">
        <f>B115*C115</f>
        <v/>
      </c>
      <c r="E115" s="9" t="n">
        <v>5374.74</v>
      </c>
      <c r="F115" s="14">
        <f>IF(E115,D115/E115*100,"")</f>
        <v/>
      </c>
    </row>
    <row r="116">
      <c r="A116" s="8" t="inlineStr">
        <is>
          <t>20260304</t>
        </is>
      </c>
      <c r="B116" s="9" t="n">
        <v>7600</v>
      </c>
      <c r="C116" s="13">
        <f>03_工艺单耗!B8</f>
        <v/>
      </c>
      <c r="D116" s="9">
        <f>B116*C116</f>
        <v/>
      </c>
      <c r="E116" s="9" t="n">
        <v>5396.26</v>
      </c>
      <c r="F116" s="14">
        <f>IF(E116,D116/E116*100,"")</f>
        <v/>
      </c>
    </row>
    <row r="117">
      <c r="A117" s="8" t="inlineStr">
        <is>
          <t>20260305</t>
        </is>
      </c>
      <c r="B117" s="9" t="n">
        <v>8200</v>
      </c>
      <c r="C117" s="13">
        <f>03_工艺单耗!B8</f>
        <v/>
      </c>
      <c r="D117" s="9">
        <f>B117*C117</f>
        <v/>
      </c>
      <c r="E117" s="9" t="n">
        <v>5515.66</v>
      </c>
      <c r="F117" s="14">
        <f>IF(E117,D117/E117*100,"")</f>
        <v/>
      </c>
    </row>
    <row r="118">
      <c r="A118" s="8" t="inlineStr">
        <is>
          <t>20260306</t>
        </is>
      </c>
      <c r="B118" s="9" t="n">
        <v>8200</v>
      </c>
      <c r="C118" s="13">
        <f>03_工艺单耗!B8</f>
        <v/>
      </c>
      <c r="D118" s="9">
        <f>B118*C118</f>
        <v/>
      </c>
      <c r="E118" s="9" t="n">
        <v>5702.43</v>
      </c>
      <c r="F118" s="14">
        <f>IF(E118,D118/E118*100,"")</f>
        <v/>
      </c>
    </row>
    <row r="119">
      <c r="A119" s="8" t="inlineStr">
        <is>
          <t>20260309</t>
        </is>
      </c>
      <c r="B119" s="9" t="n">
        <v>8200</v>
      </c>
      <c r="C119" s="13">
        <f>03_工艺单耗!B8</f>
        <v/>
      </c>
      <c r="D119" s="9">
        <f>B119*C119</f>
        <v/>
      </c>
      <c r="E119" s="9" t="n">
        <v>5764</v>
      </c>
      <c r="F119" s="14">
        <f>IF(E119,D119/E119*100,"")</f>
        <v/>
      </c>
    </row>
    <row r="120">
      <c r="A120" s="8" t="inlineStr">
        <is>
          <t>20260310</t>
        </is>
      </c>
      <c r="B120" s="9" t="n">
        <v>8600</v>
      </c>
      <c r="C120" s="13">
        <f>03_工艺单耗!B8</f>
        <v/>
      </c>
      <c r="D120" s="9">
        <f>B120*C120</f>
        <v/>
      </c>
      <c r="E120" s="9" t="n">
        <v>5857.34</v>
      </c>
      <c r="F120" s="14">
        <f>IF(E120,D120/E120*100,"")</f>
        <v/>
      </c>
    </row>
    <row r="121">
      <c r="A121" s="8" t="inlineStr">
        <is>
          <t>20260311</t>
        </is>
      </c>
      <c r="B121" s="9" t="n">
        <v>10600</v>
      </c>
      <c r="C121" s="13">
        <f>03_工艺单耗!B8</f>
        <v/>
      </c>
      <c r="D121" s="9">
        <f>B121*C121</f>
        <v/>
      </c>
      <c r="E121" s="9" t="n">
        <v>5789.93</v>
      </c>
      <c r="F121" s="14">
        <f>IF(E121,D121/E121*100,"")</f>
        <v/>
      </c>
    </row>
    <row r="122">
      <c r="A122" s="8" t="inlineStr">
        <is>
          <t>20260312</t>
        </is>
      </c>
      <c r="B122" s="9" t="n">
        <v>8800</v>
      </c>
      <c r="C122" s="13">
        <f>03_工艺单耗!B8</f>
        <v/>
      </c>
      <c r="D122" s="9">
        <f>B122*C122</f>
        <v/>
      </c>
      <c r="E122" s="9" t="n">
        <v>5865.47</v>
      </c>
      <c r="F122" s="14">
        <f>IF(E122,D122/E122*100,"")</f>
        <v/>
      </c>
    </row>
    <row r="123">
      <c r="A123" s="8" t="inlineStr">
        <is>
          <t>20260313</t>
        </is>
      </c>
      <c r="B123" s="9" t="n">
        <v>8800</v>
      </c>
      <c r="C123" s="13">
        <f>03_工艺单耗!B8</f>
        <v/>
      </c>
      <c r="D123" s="9">
        <f>B123*C123</f>
        <v/>
      </c>
      <c r="E123" s="9" t="n">
        <v>6145.26</v>
      </c>
      <c r="F123" s="14">
        <f>IF(E123,D123/E123*100,"")</f>
        <v/>
      </c>
    </row>
    <row r="124">
      <c r="A124" s="8" t="inlineStr">
        <is>
          <t>20260316</t>
        </is>
      </c>
      <c r="B124" s="9" t="n">
        <v>10200</v>
      </c>
      <c r="C124" s="13">
        <f>03_工艺单耗!B8</f>
        <v/>
      </c>
      <c r="D124" s="9">
        <f>B124*C124</f>
        <v/>
      </c>
      <c r="E124" s="9" t="n">
        <v>6600.6</v>
      </c>
      <c r="F124" s="14">
        <f>IF(E124,D124/E124*100,"")</f>
        <v/>
      </c>
    </row>
    <row r="125">
      <c r="A125" s="8" t="inlineStr">
        <is>
          <t>20260317</t>
        </is>
      </c>
      <c r="B125" s="9" t="n">
        <v>10200</v>
      </c>
      <c r="C125" s="13">
        <f>03_工艺单耗!B8</f>
        <v/>
      </c>
      <c r="D125" s="9">
        <f>B125*C125</f>
        <v/>
      </c>
      <c r="E125" s="9" t="n">
        <v>6633.86</v>
      </c>
      <c r="F125" s="14">
        <f>IF(E125,D125/E125*100,"")</f>
        <v/>
      </c>
    </row>
    <row r="126">
      <c r="A126" s="8" t="inlineStr">
        <is>
          <t>20260318</t>
        </is>
      </c>
      <c r="B126" s="9" t="n">
        <v>10200</v>
      </c>
      <c r="C126" s="13">
        <f>03_工艺单耗!B8</f>
        <v/>
      </c>
      <c r="D126" s="9">
        <f>B126*C126</f>
        <v/>
      </c>
      <c r="E126" s="9" t="n">
        <v>6931.84</v>
      </c>
      <c r="F126" s="14">
        <f>IF(E126,D126/E126*100,"")</f>
        <v/>
      </c>
    </row>
    <row r="127">
      <c r="A127" s="8" t="inlineStr">
        <is>
          <t>20260319</t>
        </is>
      </c>
      <c r="B127" s="9" t="n">
        <v>10200</v>
      </c>
      <c r="C127" s="13">
        <f>03_工艺单耗!B8</f>
        <v/>
      </c>
      <c r="D127" s="9">
        <f>B127*C127</f>
        <v/>
      </c>
      <c r="E127" s="9" t="n">
        <v>6875.93</v>
      </c>
      <c r="F127" s="14">
        <f>IF(E127,D127/E127*100,"")</f>
        <v/>
      </c>
    </row>
    <row r="128">
      <c r="A128" s="8" t="inlineStr">
        <is>
          <t>20260320</t>
        </is>
      </c>
      <c r="B128" s="9" t="n">
        <v>10200</v>
      </c>
      <c r="C128" s="13">
        <f>03_工艺单耗!B8</f>
        <v/>
      </c>
      <c r="D128" s="9">
        <f>B128*C128</f>
        <v/>
      </c>
      <c r="E128" s="9" t="n">
        <v>6897.4</v>
      </c>
      <c r="F128" s="14">
        <f>IF(E128,D128/E128*100,"")</f>
        <v/>
      </c>
    </row>
    <row r="129">
      <c r="A129" s="8" t="inlineStr">
        <is>
          <t>20260323</t>
        </is>
      </c>
      <c r="B129" s="9" t="n">
        <v>10200</v>
      </c>
      <c r="C129" s="13">
        <f>03_工艺单耗!B8</f>
        <v/>
      </c>
      <c r="D129" s="9">
        <f>B129*C129</f>
        <v/>
      </c>
      <c r="E129" s="9" t="n">
        <v>6673.7</v>
      </c>
      <c r="F129" s="14">
        <f>IF(E129,D129/E129*100,"")</f>
        <v/>
      </c>
    </row>
    <row r="130">
      <c r="A130" s="8" t="inlineStr">
        <is>
          <t>20260324</t>
        </is>
      </c>
      <c r="B130" s="9" t="n">
        <v>10200</v>
      </c>
      <c r="C130" s="13">
        <f>03_工艺单耗!B8</f>
        <v/>
      </c>
      <c r="D130" s="9">
        <f>B130*C130</f>
        <v/>
      </c>
      <c r="E130" s="9" t="n">
        <v>6855.64</v>
      </c>
      <c r="F130" s="14">
        <f>IF(E130,D130/E130*100,"")</f>
        <v/>
      </c>
    </row>
    <row r="131">
      <c r="A131" s="8" t="inlineStr">
        <is>
          <t>20260325</t>
        </is>
      </c>
      <c r="B131" s="9" t="n">
        <v>10200</v>
      </c>
      <c r="C131" s="13">
        <f>03_工艺单耗!B8</f>
        <v/>
      </c>
      <c r="D131" s="9">
        <f>B131*C131</f>
        <v/>
      </c>
      <c r="E131" s="9" t="n">
        <v>6734.03</v>
      </c>
      <c r="F131" s="14">
        <f>IF(E131,D131/E131*100,"")</f>
        <v/>
      </c>
    </row>
    <row r="132">
      <c r="A132" s="8" t="inlineStr">
        <is>
          <t>20260326</t>
        </is>
      </c>
      <c r="B132" s="9" t="n">
        <v>10200</v>
      </c>
      <c r="C132" s="13">
        <f>03_工艺单耗!B8</f>
        <v/>
      </c>
      <c r="D132" s="9">
        <f>B132*C132</f>
        <v/>
      </c>
      <c r="E132" s="9" t="n">
        <v>6625.9</v>
      </c>
      <c r="F132" s="14">
        <f>IF(E132,D132/E132*100,"")</f>
        <v/>
      </c>
    </row>
    <row r="133">
      <c r="A133" s="8" t="inlineStr">
        <is>
          <t>20260327</t>
        </is>
      </c>
      <c r="B133" s="9" t="n">
        <v>10200</v>
      </c>
      <c r="C133" s="13">
        <f>03_工艺单耗!B8</f>
        <v/>
      </c>
      <c r="D133" s="9">
        <f>B133*C133</f>
        <v/>
      </c>
      <c r="E133" s="9" t="n">
        <v>6740.03</v>
      </c>
      <c r="F133" s="14">
        <f>IF(E133,D133/E133*100,"")</f>
        <v/>
      </c>
    </row>
    <row r="134">
      <c r="A134" s="8" t="inlineStr">
        <is>
          <t>20260330</t>
        </is>
      </c>
      <c r="B134" s="9" t="n">
        <v>10200</v>
      </c>
      <c r="C134" s="13">
        <f>03_工艺单耗!B8</f>
        <v/>
      </c>
      <c r="D134" s="9">
        <f>B134*C134</f>
        <v/>
      </c>
      <c r="E134" s="9" t="n">
        <v>6746.74</v>
      </c>
      <c r="F134" s="14">
        <f>IF(E134,D134/E134*100,"")</f>
        <v/>
      </c>
    </row>
    <row r="135">
      <c r="A135" s="8" t="inlineStr">
        <is>
          <t>20260331</t>
        </is>
      </c>
      <c r="B135" s="9" t="n">
        <v>10200</v>
      </c>
      <c r="C135" s="13">
        <f>03_工艺单耗!B8</f>
        <v/>
      </c>
      <c r="D135" s="9">
        <f>B135*C135</f>
        <v/>
      </c>
      <c r="E135" s="9" t="n">
        <v>6867.64</v>
      </c>
      <c r="F135" s="14">
        <f>IF(E135,D135/E135*100,"")</f>
        <v/>
      </c>
    </row>
    <row r="136">
      <c r="A136" s="8" t="inlineStr">
        <is>
          <t>20260401</t>
        </is>
      </c>
      <c r="B136" s="9" t="n">
        <v>9700</v>
      </c>
      <c r="C136" s="13">
        <f>03_工艺单耗!B8</f>
        <v/>
      </c>
      <c r="D136" s="9">
        <f>B136*C136</f>
        <v/>
      </c>
      <c r="E136" s="9" t="n">
        <v>6761.93</v>
      </c>
      <c r="F136" s="14">
        <f>IF(E136,D136/E136*100,"")</f>
        <v/>
      </c>
    </row>
    <row r="137">
      <c r="A137" s="8" t="inlineStr">
        <is>
          <t>20260402</t>
        </is>
      </c>
      <c r="B137" s="9" t="n">
        <v>9700</v>
      </c>
      <c r="C137" s="13">
        <f>03_工艺单耗!B8</f>
        <v/>
      </c>
      <c r="D137" s="9">
        <f>B137*C137</f>
        <v/>
      </c>
      <c r="E137" s="9" t="n">
        <v>6601.53</v>
      </c>
      <c r="F137" s="14">
        <f>IF(E137,D137/E137*100,"")</f>
        <v/>
      </c>
    </row>
    <row r="138">
      <c r="A138" s="8" t="inlineStr">
        <is>
          <t>20260403</t>
        </is>
      </c>
      <c r="B138" s="9" t="n">
        <v>9700</v>
      </c>
      <c r="C138" s="13">
        <f>03_工艺单耗!B8</f>
        <v/>
      </c>
      <c r="D138" s="9">
        <f>B138*C138</f>
        <v/>
      </c>
      <c r="E138" s="9" t="n">
        <v>6710.14</v>
      </c>
      <c r="F138" s="14">
        <f>IF(E138,D138/E138*100,"")</f>
        <v/>
      </c>
    </row>
    <row r="139">
      <c r="A139" s="8" t="inlineStr">
        <is>
          <t>20260406</t>
        </is>
      </c>
      <c r="B139" s="9" t="n">
        <v>9700</v>
      </c>
      <c r="C139" s="13">
        <f>03_工艺单耗!B8</f>
        <v/>
      </c>
      <c r="D139" s="9">
        <f>B139*C139</f>
        <v/>
      </c>
      <c r="E139" s="9" t="n">
        <v>6771.43</v>
      </c>
      <c r="F139" s="14">
        <f>IF(E139,D139/E139*100,"")</f>
        <v/>
      </c>
    </row>
    <row r="140">
      <c r="A140" s="8" t="inlineStr">
        <is>
          <t>20260407</t>
        </is>
      </c>
      <c r="B140" s="9" t="n">
        <v>9700</v>
      </c>
      <c r="C140" s="13">
        <f>03_工艺单耗!B8</f>
        <v/>
      </c>
      <c r="D140" s="9">
        <f>B140*C140</f>
        <v/>
      </c>
      <c r="E140" s="9" t="n">
        <v>6771.43</v>
      </c>
      <c r="F140" s="14">
        <f>IF(E140,D140/E140*100,"")</f>
        <v/>
      </c>
    </row>
    <row r="141">
      <c r="A141" s="8" t="inlineStr">
        <is>
          <t>20260408</t>
        </is>
      </c>
      <c r="B141" s="9" t="n">
        <v>9700</v>
      </c>
      <c r="C141" s="13">
        <f>03_工艺单耗!B8</f>
        <v/>
      </c>
      <c r="D141" s="9">
        <f>B141*C141</f>
        <v/>
      </c>
      <c r="E141" s="9" t="n">
        <v>6932.9</v>
      </c>
      <c r="F141" s="14">
        <f>IF(E141,D141/E141*100,"")</f>
        <v/>
      </c>
    </row>
    <row r="142">
      <c r="A142" s="8" t="inlineStr">
        <is>
          <t>20260409</t>
        </is>
      </c>
      <c r="B142" s="9" t="n">
        <v>9700</v>
      </c>
      <c r="C142" s="13">
        <f>03_工艺单耗!B8</f>
        <v/>
      </c>
      <c r="D142" s="9">
        <f>B142*C142</f>
        <v/>
      </c>
      <c r="E142" s="9" t="n">
        <v>6504.47</v>
      </c>
      <c r="F142" s="14">
        <f>IF(E142,D142/E142*100,"")</f>
        <v/>
      </c>
    </row>
    <row r="143">
      <c r="A143" s="8" t="inlineStr">
        <is>
          <t>20260410</t>
        </is>
      </c>
      <c r="B143" s="9" t="n">
        <v>10200</v>
      </c>
      <c r="C143" s="13">
        <f>03_工艺单耗!B8</f>
        <v/>
      </c>
      <c r="D143" s="9">
        <f>B143*C143</f>
        <v/>
      </c>
      <c r="E143" s="9" t="n">
        <v>6524.97</v>
      </c>
      <c r="F143" s="14">
        <f>IF(E143,D143/E143*100,"")</f>
        <v/>
      </c>
    </row>
    <row r="144">
      <c r="A144" s="8" t="inlineStr">
        <is>
          <t>20260413</t>
        </is>
      </c>
      <c r="B144" s="9" t="n">
        <v>9600</v>
      </c>
      <c r="C144" s="13">
        <f>03_工艺单耗!B8</f>
        <v/>
      </c>
      <c r="D144" s="9">
        <f>B144*C144</f>
        <v/>
      </c>
      <c r="E144" s="9" t="n">
        <v>6365.86</v>
      </c>
      <c r="F144" s="14">
        <f>IF(E144,D144/E144*100,"")</f>
        <v/>
      </c>
    </row>
    <row r="145">
      <c r="A145" s="8" t="inlineStr">
        <is>
          <t>20260414</t>
        </is>
      </c>
      <c r="B145" s="9" t="n">
        <v>9600</v>
      </c>
      <c r="C145" s="13">
        <f>03_工艺单耗!B8</f>
        <v/>
      </c>
      <c r="D145" s="9">
        <f>B145*C145</f>
        <v/>
      </c>
      <c r="E145" s="9" t="n">
        <v>6336.3</v>
      </c>
      <c r="F145" s="14">
        <f>IF(E145,D145/E145*100,"")</f>
        <v/>
      </c>
    </row>
    <row r="146">
      <c r="A146" s="8" t="inlineStr">
        <is>
          <t>20260415</t>
        </is>
      </c>
      <c r="B146" s="9" t="n">
        <v>9600</v>
      </c>
      <c r="C146" s="13">
        <f>03_工艺单耗!B8</f>
        <v/>
      </c>
      <c r="D146" s="9">
        <f>B146*C146</f>
        <v/>
      </c>
      <c r="E146" s="9" t="n">
        <v>6392.9</v>
      </c>
      <c r="F146" s="14">
        <f>IF(E146,D146/E146*100,"")</f>
        <v/>
      </c>
    </row>
    <row r="147">
      <c r="A147" s="8" t="inlineStr">
        <is>
          <t>20260416</t>
        </is>
      </c>
      <c r="B147" s="9" t="n">
        <v>9600</v>
      </c>
      <c r="C147" s="13">
        <f>03_工艺单耗!B8</f>
        <v/>
      </c>
      <c r="D147" s="9">
        <f>B147*C147</f>
        <v/>
      </c>
      <c r="E147" s="9" t="n">
        <v>6531.3</v>
      </c>
      <c r="F147" s="14">
        <f>IF(E147,D147/E147*100,"")</f>
        <v/>
      </c>
    </row>
    <row r="148">
      <c r="A148" s="8" t="inlineStr">
        <is>
          <t>20260417</t>
        </is>
      </c>
      <c r="B148" s="9" t="n">
        <v>9600</v>
      </c>
      <c r="C148" s="13">
        <f>03_工艺单耗!B8</f>
        <v/>
      </c>
      <c r="D148" s="9">
        <f>B148*C148</f>
        <v/>
      </c>
      <c r="E148" s="9" t="n">
        <v>6548.16</v>
      </c>
      <c r="F148" s="14">
        <f>IF(E148,D148/E148*100,"")</f>
        <v/>
      </c>
    </row>
    <row r="149">
      <c r="A149" s="8" t="inlineStr">
        <is>
          <t>20260420</t>
        </is>
      </c>
      <c r="B149" s="9" t="n">
        <v>9600</v>
      </c>
      <c r="C149" s="13">
        <f>03_工艺单耗!B8</f>
        <v/>
      </c>
      <c r="D149" s="9">
        <f>B149*C149</f>
        <v/>
      </c>
      <c r="E149" s="9" t="n">
        <v>6597.47</v>
      </c>
      <c r="F149" s="14">
        <f>IF(E149,D149/E149*100,"")</f>
        <v/>
      </c>
    </row>
    <row r="150">
      <c r="A150" s="8" t="inlineStr">
        <is>
          <t>20260421</t>
        </is>
      </c>
      <c r="B150" s="9" t="n">
        <v>9600</v>
      </c>
      <c r="C150" s="13">
        <f>03_工艺单耗!B8</f>
        <v/>
      </c>
      <c r="D150" s="9">
        <f>B150*C150</f>
        <v/>
      </c>
      <c r="E150" s="9" t="n">
        <v>6508.14</v>
      </c>
      <c r="F150" s="14">
        <f>IF(E150,D150/E150*100,"")</f>
        <v/>
      </c>
    </row>
    <row r="151">
      <c r="A151" s="8" t="inlineStr">
        <is>
          <t>20260423</t>
        </is>
      </c>
      <c r="B151" s="9" t="n">
        <v>9600</v>
      </c>
      <c r="C151" s="13">
        <f>03_工艺单耗!B8</f>
        <v/>
      </c>
      <c r="D151" s="9">
        <f>B151*C151</f>
        <v/>
      </c>
      <c r="E151" s="9" t="n">
        <v>6533.93</v>
      </c>
      <c r="F151" s="14">
        <f>IF(E151,D151/E151*100,"")</f>
        <v/>
      </c>
    </row>
    <row r="152">
      <c r="A152" s="8" t="inlineStr">
        <is>
          <t>20260424</t>
        </is>
      </c>
      <c r="B152" s="9" t="n">
        <v>9600</v>
      </c>
      <c r="C152" s="13">
        <f>03_工艺单耗!B8</f>
        <v/>
      </c>
      <c r="D152" s="9">
        <f>B152*C152</f>
        <v/>
      </c>
      <c r="E152" s="9" t="n">
        <v>6571.86</v>
      </c>
      <c r="F152" s="14">
        <f>IF(E152,D152/E152*100,"")</f>
        <v/>
      </c>
    </row>
    <row r="153">
      <c r="A153" s="8" t="inlineStr">
        <is>
          <t>20260427</t>
        </is>
      </c>
      <c r="B153" s="9" t="n">
        <v>9600</v>
      </c>
      <c r="C153" s="13">
        <f>03_工艺单耗!B8</f>
        <v/>
      </c>
      <c r="D153" s="9">
        <f>B153*C153</f>
        <v/>
      </c>
      <c r="E153" s="9" t="n">
        <v>6591.03</v>
      </c>
      <c r="F153" s="14">
        <f>IF(E153,D153/E153*100,"")</f>
        <v/>
      </c>
    </row>
    <row r="154">
      <c r="A154" s="8" t="inlineStr">
        <is>
          <t>20260428</t>
        </is>
      </c>
      <c r="B154" s="9" t="n">
        <v>9600</v>
      </c>
      <c r="C154" s="13">
        <f>03_工艺单耗!B8</f>
        <v/>
      </c>
      <c r="D154" s="9">
        <f>B154*C154</f>
        <v/>
      </c>
      <c r="E154" s="9" t="n">
        <v>6715.43</v>
      </c>
      <c r="F154" s="14">
        <f>IF(E154,D154/E154*100,"")</f>
        <v/>
      </c>
    </row>
    <row r="155">
      <c r="A155" s="8" t="inlineStr">
        <is>
          <t>20260429</t>
        </is>
      </c>
      <c r="B155" s="9" t="n">
        <v>9600</v>
      </c>
      <c r="C155" s="13">
        <f>03_工艺单耗!B8</f>
        <v/>
      </c>
      <c r="D155" s="9">
        <f>B155*C155</f>
        <v/>
      </c>
      <c r="E155" s="9" t="n">
        <v>6807.16</v>
      </c>
      <c r="F155" s="14">
        <f>IF(E155,D155/E155*100,"")</f>
        <v/>
      </c>
    </row>
    <row r="156">
      <c r="A156" s="8" t="inlineStr">
        <is>
          <t>20260430</t>
        </is>
      </c>
      <c r="B156" s="9" t="n">
        <v>9900</v>
      </c>
      <c r="C156" s="13">
        <f>03_工艺单耗!B8</f>
        <v/>
      </c>
      <c r="D156" s="9">
        <f>B156*C156</f>
        <v/>
      </c>
      <c r="E156" s="9" t="n">
        <v>6827.97</v>
      </c>
      <c r="F156" s="14">
        <f>IF(E156,D156/E156*100,"")</f>
        <v/>
      </c>
    </row>
    <row r="157">
      <c r="A157" s="8" t="inlineStr">
        <is>
          <t>20260501</t>
        </is>
      </c>
      <c r="B157" s="9" t="n">
        <v>9900</v>
      </c>
      <c r="C157" s="13">
        <f>03_工艺单耗!B8</f>
        <v/>
      </c>
      <c r="D157" s="9">
        <f>B157*C157</f>
        <v/>
      </c>
      <c r="E157" s="9" t="n">
        <v>6867.86</v>
      </c>
      <c r="F157" s="14">
        <f>IF(E157,D157/E157*100,"")</f>
        <v/>
      </c>
    </row>
    <row r="158">
      <c r="A158" s="8" t="inlineStr">
        <is>
          <t>20260504</t>
        </is>
      </c>
      <c r="B158" s="9" t="n">
        <v>9900</v>
      </c>
      <c r="C158" s="13">
        <f>03_工艺单耗!B8</f>
        <v/>
      </c>
      <c r="D158" s="9">
        <f>B158*C158</f>
        <v/>
      </c>
      <c r="E158" s="9" t="n">
        <v>6867.86</v>
      </c>
      <c r="F158" s="14">
        <f>IF(E158,D158/E158*100,"")</f>
        <v/>
      </c>
    </row>
    <row r="159">
      <c r="A159" s="8" t="inlineStr">
        <is>
          <t>20260505</t>
        </is>
      </c>
      <c r="B159" s="9" t="n">
        <v>9900</v>
      </c>
      <c r="C159" s="13">
        <f>03_工艺单耗!B8</f>
        <v/>
      </c>
      <c r="D159" s="9">
        <f>B159*C159</f>
        <v/>
      </c>
      <c r="E159" s="9" t="n">
        <v>6867.86</v>
      </c>
      <c r="F159" s="14">
        <f>IF(E159,D159/E159*100,"")</f>
        <v/>
      </c>
    </row>
    <row r="160">
      <c r="A160" s="8" t="inlineStr">
        <is>
          <t>20260506</t>
        </is>
      </c>
      <c r="B160" s="9" t="n">
        <v>9900</v>
      </c>
      <c r="C160" s="13">
        <f>03_工艺单耗!B8</f>
        <v/>
      </c>
      <c r="D160" s="9">
        <f>B160*C160</f>
        <v/>
      </c>
      <c r="E160" s="9" t="n">
        <v>6867.86</v>
      </c>
      <c r="F160" s="14">
        <f>IF(E160,D160/E160*100,"")</f>
        <v/>
      </c>
    </row>
    <row r="161">
      <c r="A161" s="8" t="inlineStr">
        <is>
          <t>20260507</t>
        </is>
      </c>
      <c r="B161" s="9" t="n">
        <v>9900</v>
      </c>
      <c r="C161" s="13">
        <f>03_工艺单耗!B8</f>
        <v/>
      </c>
      <c r="D161" s="9">
        <f>B161*C161</f>
        <v/>
      </c>
      <c r="E161" s="9" t="n">
        <v>6932.66</v>
      </c>
      <c r="F161" s="14">
        <f>IF(E161,D161/E161*100,"")</f>
        <v/>
      </c>
    </row>
    <row r="162">
      <c r="A162" s="8" t="inlineStr">
        <is>
          <t>20260508</t>
        </is>
      </c>
      <c r="B162" s="9" t="n">
        <v>9900</v>
      </c>
      <c r="C162" s="13">
        <f>03_工艺单耗!B8</f>
        <v/>
      </c>
      <c r="D162" s="9">
        <f>B162*C162</f>
        <v/>
      </c>
      <c r="E162" s="9" t="n">
        <v>6766.67</v>
      </c>
      <c r="F162" s="14">
        <f>IF(E162,D162/E162*100,"")</f>
        <v/>
      </c>
    </row>
    <row r="163">
      <c r="A163" s="8" t="inlineStr">
        <is>
          <t>20260511</t>
        </is>
      </c>
      <c r="B163" s="9" t="n">
        <v>9900</v>
      </c>
      <c r="C163" s="13">
        <f>03_工艺单耗!B8</f>
        <v/>
      </c>
      <c r="D163" s="9">
        <f>B163*C163</f>
        <v/>
      </c>
      <c r="E163" s="9" t="n">
        <v>6622.34</v>
      </c>
      <c r="F163" s="14">
        <f>IF(E163,D163/E163*100,"")</f>
        <v/>
      </c>
    </row>
    <row r="164">
      <c r="A164" s="8" t="inlineStr">
        <is>
          <t>20260512</t>
        </is>
      </c>
      <c r="B164" s="9" t="n">
        <v>9900</v>
      </c>
      <c r="C164" s="13">
        <f>03_工艺单耗!B8</f>
        <v/>
      </c>
      <c r="D164" s="9">
        <f>B164*C164</f>
        <v/>
      </c>
      <c r="E164" s="9" t="n">
        <v>6670.25</v>
      </c>
      <c r="F164" s="14">
        <f>IF(E164,D164/E164*100,"")</f>
        <v/>
      </c>
    </row>
    <row r="165">
      <c r="A165" s="8" t="inlineStr">
        <is>
          <t>20260513</t>
        </is>
      </c>
      <c r="B165" s="9" t="n">
        <v>9900</v>
      </c>
      <c r="C165" s="13">
        <f>03_工艺单耗!B8</f>
        <v/>
      </c>
      <c r="D165" s="9">
        <f>B165*C165</f>
        <v/>
      </c>
      <c r="E165" s="9" t="n">
        <v>6636.09</v>
      </c>
      <c r="F165" s="14">
        <f>IF(E165,D165/E165*100,"")</f>
        <v/>
      </c>
    </row>
    <row r="166">
      <c r="A166" s="8" t="inlineStr">
        <is>
          <t>20260514</t>
        </is>
      </c>
      <c r="B166" s="9" t="n">
        <v>9900</v>
      </c>
      <c r="C166" s="13">
        <f>03_工艺单耗!B8</f>
        <v/>
      </c>
      <c r="D166" s="9">
        <f>B166*C166</f>
        <v/>
      </c>
      <c r="E166" s="9" t="n">
        <v>6571</v>
      </c>
      <c r="F166" s="14">
        <f>IF(E166,D166/E166*100,"")</f>
        <v/>
      </c>
    </row>
    <row r="167">
      <c r="A167" s="8" t="inlineStr">
        <is>
          <t>20260515</t>
        </is>
      </c>
      <c r="B167" s="9" t="n">
        <v>9900</v>
      </c>
      <c r="C167" s="13">
        <f>03_工艺单耗!B8</f>
        <v/>
      </c>
      <c r="D167" s="9">
        <f>B167*C167</f>
        <v/>
      </c>
      <c r="E167" s="9" t="n">
        <v>6511.83</v>
      </c>
      <c r="F167" s="14">
        <f>IF(E167,D167/E167*100,"")</f>
        <v/>
      </c>
    </row>
    <row r="168">
      <c r="A168" s="8" t="inlineStr">
        <is>
          <t>20260518</t>
        </is>
      </c>
      <c r="B168" s="9" t="n">
        <v>9900</v>
      </c>
      <c r="C168" s="13">
        <f>03_工艺单耗!B8</f>
        <v/>
      </c>
      <c r="D168" s="9">
        <f>B168*C168</f>
        <v/>
      </c>
      <c r="E168" s="9" t="n">
        <v>6573.34</v>
      </c>
      <c r="F168" s="14">
        <f>IF(E168,D168/E168*100,"")</f>
        <v/>
      </c>
    </row>
    <row r="169">
      <c r="A169" s="8" t="inlineStr">
        <is>
          <t>20260519</t>
        </is>
      </c>
      <c r="B169" s="9" t="n">
        <v>9900</v>
      </c>
      <c r="C169" s="13">
        <f>03_工艺单耗!B8</f>
        <v/>
      </c>
      <c r="D169" s="9">
        <f>B169*C169</f>
        <v/>
      </c>
      <c r="E169" s="9" t="n">
        <v>6703.34</v>
      </c>
      <c r="F169" s="14">
        <f>IF(E169,D169/E169*100,"")</f>
        <v/>
      </c>
    </row>
    <row r="170">
      <c r="A170" s="8" t="inlineStr">
        <is>
          <t>20260520</t>
        </is>
      </c>
      <c r="B170" s="9" t="n">
        <v>9900</v>
      </c>
      <c r="C170" s="13">
        <f>03_工艺单耗!B8</f>
        <v/>
      </c>
      <c r="D170" s="9">
        <f>B170*C170</f>
        <v/>
      </c>
      <c r="E170" s="9" t="n">
        <v>6560.41</v>
      </c>
      <c r="F170" s="14">
        <f>IF(E170,D170/E170*100,"")</f>
        <v/>
      </c>
    </row>
    <row r="171">
      <c r="A171" s="8" t="inlineStr">
        <is>
          <t>20260521</t>
        </is>
      </c>
      <c r="B171" s="9" t="n">
        <v>9900</v>
      </c>
      <c r="C171" s="13">
        <f>03_工艺单耗!B8</f>
        <v/>
      </c>
      <c r="D171" s="9">
        <f>B171*C171</f>
        <v/>
      </c>
      <c r="E171" s="9" t="n">
        <v>6573.67</v>
      </c>
      <c r="F171" s="14">
        <f>IF(E171,D171/E171*100,"")</f>
        <v/>
      </c>
    </row>
    <row r="172">
      <c r="A172" s="8" t="inlineStr">
        <is>
          <t>20260522</t>
        </is>
      </c>
      <c r="B172" s="9" t="n">
        <v>9900</v>
      </c>
      <c r="C172" s="13">
        <f>03_工艺单耗!B8</f>
        <v/>
      </c>
      <c r="D172" s="9">
        <f>B172*C172</f>
        <v/>
      </c>
      <c r="E172" s="9" t="n">
        <v>6580.83</v>
      </c>
      <c r="F172" s="14">
        <f>IF(E172,D172/E172*100,"")</f>
        <v/>
      </c>
    </row>
    <row r="173">
      <c r="A173" s="8" t="inlineStr">
        <is>
          <t>20260525</t>
        </is>
      </c>
      <c r="B173" s="9" t="n">
        <v>9900</v>
      </c>
      <c r="C173" s="13">
        <f>03_工艺单耗!B8</f>
        <v/>
      </c>
      <c r="D173" s="9">
        <f>B173*C173</f>
        <v/>
      </c>
      <c r="E173" s="9" t="n">
        <v>6345.91</v>
      </c>
      <c r="F173" s="14">
        <f>IF(E173,D173/E173*100,"")</f>
        <v/>
      </c>
    </row>
    <row r="174">
      <c r="A174" s="8" t="inlineStr">
        <is>
          <t>20260526</t>
        </is>
      </c>
      <c r="B174" s="9" t="n">
        <v>9900</v>
      </c>
      <c r="C174" s="13">
        <f>03_工艺单耗!B8</f>
        <v/>
      </c>
      <c r="D174" s="9">
        <f>B174*C174</f>
        <v/>
      </c>
      <c r="E174" s="9" t="n">
        <v>6192</v>
      </c>
      <c r="F174" s="14">
        <f>IF(E174,D174/E174*100,"")</f>
        <v/>
      </c>
    </row>
    <row r="175">
      <c r="A175" s="8" t="inlineStr">
        <is>
          <t>20260527</t>
        </is>
      </c>
      <c r="B175" s="9" t="n">
        <v>9900</v>
      </c>
      <c r="C175" s="13">
        <f>03_工艺单耗!B8</f>
        <v/>
      </c>
      <c r="D175" s="9">
        <f>B175*C175</f>
        <v/>
      </c>
      <c r="E175" s="9" t="n">
        <v>6160.09</v>
      </c>
      <c r="F175" s="14">
        <f>IF(E175,D175/E175*100,"")</f>
        <v/>
      </c>
    </row>
    <row r="176">
      <c r="A176" s="8" t="inlineStr">
        <is>
          <t>20260528</t>
        </is>
      </c>
      <c r="B176" s="9" t="n">
        <v>9900</v>
      </c>
      <c r="C176" s="13">
        <f>03_工艺单耗!B8</f>
        <v/>
      </c>
      <c r="D176" s="9">
        <f>B176*C176</f>
        <v/>
      </c>
      <c r="E176" s="9" t="n">
        <v>6180.33</v>
      </c>
      <c r="F176" s="14">
        <f>IF(E176,D176/E176*100,"")</f>
        <v/>
      </c>
    </row>
    <row r="177">
      <c r="A177" s="8" t="inlineStr">
        <is>
          <t>20260529</t>
        </is>
      </c>
      <c r="B177" s="9" t="n">
        <v>9900</v>
      </c>
      <c r="C177" s="13">
        <f>03_工艺单耗!B8</f>
        <v/>
      </c>
      <c r="D177" s="9">
        <f>B177*C177</f>
        <v/>
      </c>
      <c r="E177" s="9" t="n">
        <v>6345.33</v>
      </c>
      <c r="F177" s="14">
        <f>IF(E177,D177/E177*100,"")</f>
        <v/>
      </c>
    </row>
    <row r="178">
      <c r="A178" s="8" t="inlineStr">
        <is>
          <t>20260601</t>
        </is>
      </c>
      <c r="B178" s="9" t="n">
        <v>9000</v>
      </c>
      <c r="C178" s="13">
        <f>03_工艺单耗!B8</f>
        <v/>
      </c>
      <c r="D178" s="9">
        <f>B178*C178</f>
        <v/>
      </c>
      <c r="E178" s="9" t="n">
        <v>6258.75</v>
      </c>
      <c r="F178" s="14">
        <f>IF(E178,D178/E178*100,"")</f>
        <v/>
      </c>
    </row>
    <row r="179">
      <c r="A179" s="8" t="inlineStr">
        <is>
          <t>20260602</t>
        </is>
      </c>
      <c r="B179" s="9" t="n">
        <v>9000</v>
      </c>
      <c r="C179" s="13">
        <f>03_工艺单耗!B8</f>
        <v/>
      </c>
      <c r="D179" s="9">
        <f>B179*C179</f>
        <v/>
      </c>
      <c r="E179" s="9" t="n">
        <v>6313.16</v>
      </c>
      <c r="F179" s="14">
        <f>IF(E179,D179/E179*100,"")</f>
        <v/>
      </c>
    </row>
    <row r="180">
      <c r="A180" s="8" t="inlineStr">
        <is>
          <t>20260603</t>
        </is>
      </c>
      <c r="B180" s="9" t="n">
        <v>9000</v>
      </c>
      <c r="C180" s="13">
        <f>03_工艺单耗!B8</f>
        <v/>
      </c>
      <c r="D180" s="9">
        <f>B180*C180</f>
        <v/>
      </c>
      <c r="E180" s="9" t="n">
        <v>6347.66</v>
      </c>
      <c r="F180" s="14">
        <f>IF(E180,D180/E180*100,"")</f>
        <v/>
      </c>
    </row>
    <row r="181">
      <c r="A181" s="8" t="inlineStr">
        <is>
          <t>20260604</t>
        </is>
      </c>
      <c r="B181" s="9" t="n">
        <v>9000</v>
      </c>
      <c r="C181" s="13">
        <f>03_工艺单耗!B8</f>
        <v/>
      </c>
      <c r="D181" s="9">
        <f>B181*C181</f>
        <v/>
      </c>
      <c r="E181" s="9" t="n">
        <v>6435.75</v>
      </c>
      <c r="F181" s="14">
        <f>IF(E181,D181/E181*100,"")</f>
        <v/>
      </c>
    </row>
    <row r="182">
      <c r="A182" s="8" t="inlineStr">
        <is>
          <t>20260605</t>
        </is>
      </c>
      <c r="B182" s="9" t="n">
        <v>9000</v>
      </c>
      <c r="C182" s="13">
        <f>03_工艺单耗!B8</f>
        <v/>
      </c>
      <c r="D182" s="9">
        <f>B182*C182</f>
        <v/>
      </c>
      <c r="E182" s="9" t="n">
        <v>6409.5</v>
      </c>
      <c r="F182" s="14">
        <f>IF(E182,D182/E182*100,"")</f>
        <v/>
      </c>
    </row>
    <row r="183">
      <c r="A183" s="8" t="inlineStr">
        <is>
          <t>20260608</t>
        </is>
      </c>
      <c r="B183" s="9" t="n">
        <v>9000</v>
      </c>
      <c r="C183" s="13">
        <f>03_工艺单耗!B8</f>
        <v/>
      </c>
      <c r="D183" s="9">
        <f>B183*C183</f>
        <v/>
      </c>
      <c r="E183" s="9" t="n">
        <v>6557.67</v>
      </c>
      <c r="F183" s="14">
        <f>IF(E183,D183/E183*100,"")</f>
        <v/>
      </c>
    </row>
    <row r="184">
      <c r="A184" s="8" t="inlineStr">
        <is>
          <t>20260609</t>
        </is>
      </c>
      <c r="B184" s="9" t="n">
        <v>9000</v>
      </c>
      <c r="C184" s="13">
        <f>03_工艺单耗!B8</f>
        <v/>
      </c>
      <c r="D184" s="9">
        <f>B184*C184</f>
        <v/>
      </c>
      <c r="E184" s="9" t="n">
        <v>6600.75</v>
      </c>
      <c r="F184" s="14">
        <f>IF(E184,D184/E184*100,"")</f>
        <v/>
      </c>
    </row>
    <row r="185">
      <c r="A185" s="8" t="inlineStr">
        <is>
          <t>20260610</t>
        </is>
      </c>
      <c r="B185" s="9" t="n">
        <v>9000</v>
      </c>
      <c r="C185" s="13">
        <f>03_工艺单耗!B8</f>
        <v/>
      </c>
      <c r="D185" s="9">
        <f>B185*C185</f>
        <v/>
      </c>
      <c r="E185" s="9" t="n">
        <v>6592.25</v>
      </c>
      <c r="F185" s="14">
        <f>IF(E185,D185/E185*100,"")</f>
        <v/>
      </c>
    </row>
    <row r="186">
      <c r="A186" s="8" t="inlineStr">
        <is>
          <t>20260611</t>
        </is>
      </c>
      <c r="B186" s="9" t="n">
        <v>9000</v>
      </c>
      <c r="C186" s="13">
        <f>03_工艺单耗!B8</f>
        <v/>
      </c>
      <c r="D186" s="9">
        <f>B186*C186</f>
        <v/>
      </c>
      <c r="E186" s="9" t="n">
        <v>6603.16</v>
      </c>
      <c r="F186" s="14">
        <f>IF(E186,D186/E186*100,"")</f>
        <v/>
      </c>
    </row>
    <row r="187">
      <c r="A187" s="8" t="inlineStr">
        <is>
          <t>20260612</t>
        </is>
      </c>
      <c r="B187" s="9" t="n">
        <v>9000</v>
      </c>
      <c r="C187" s="13">
        <f>03_工艺单耗!B8</f>
        <v/>
      </c>
      <c r="D187" s="9">
        <f>B187*C187</f>
        <v/>
      </c>
      <c r="E187" s="9" t="n">
        <v>6631.34</v>
      </c>
      <c r="F187" s="14">
        <f>IF(E187,D187/E187*100,"")</f>
        <v/>
      </c>
    </row>
    <row r="188">
      <c r="A188" s="8" t="inlineStr">
        <is>
          <t>20260615</t>
        </is>
      </c>
      <c r="B188" s="9" t="n">
        <v>9000</v>
      </c>
      <c r="C188" s="13">
        <f>03_工艺单耗!B8</f>
        <v/>
      </c>
      <c r="D188" s="9">
        <f>B188*C188</f>
        <v/>
      </c>
      <c r="E188" s="9" t="n">
        <v>6619.08</v>
      </c>
      <c r="F188" s="14">
        <f>IF(E188,D188/E188*100,"")</f>
        <v/>
      </c>
    </row>
    <row r="189">
      <c r="A189" s="8" t="inlineStr">
        <is>
          <t>20260616</t>
        </is>
      </c>
      <c r="B189" s="9" t="n">
        <v>9000</v>
      </c>
      <c r="C189" s="13">
        <f>03_工艺单耗!B8</f>
        <v/>
      </c>
      <c r="D189" s="9">
        <f>B189*C189</f>
        <v/>
      </c>
      <c r="E189" s="9" t="n">
        <v>6473.09</v>
      </c>
      <c r="F189" s="14">
        <f>IF(E189,D189/E189*100,"")</f>
        <v/>
      </c>
    </row>
    <row r="190">
      <c r="A190" s="8" t="inlineStr">
        <is>
          <t>20260617</t>
        </is>
      </c>
      <c r="B190" s="9" t="n">
        <v>9000</v>
      </c>
      <c r="C190" s="13">
        <f>03_工艺单耗!B8</f>
        <v/>
      </c>
      <c r="D190" s="9">
        <f>B190*C190</f>
        <v/>
      </c>
      <c r="E190" s="9" t="n">
        <v>6127.25</v>
      </c>
      <c r="F190" s="14">
        <f>IF(E190,D190/E190*100,"")</f>
        <v/>
      </c>
    </row>
    <row r="191">
      <c r="A191" s="8" t="inlineStr">
        <is>
          <t>20260618</t>
        </is>
      </c>
      <c r="B191" s="9" t="n">
        <v>8800</v>
      </c>
      <c r="C191" s="13">
        <f>03_工艺单耗!B8</f>
        <v/>
      </c>
      <c r="D191" s="9">
        <f>B191*C191</f>
        <v/>
      </c>
      <c r="E191" s="9" t="n">
        <v>6058</v>
      </c>
      <c r="F191" s="14">
        <f>IF(E191,D191/E191*100,"")</f>
        <v/>
      </c>
    </row>
    <row r="192">
      <c r="A192" s="8" t="inlineStr">
        <is>
          <t>20260619</t>
        </is>
      </c>
      <c r="B192" s="9" t="n">
        <v>8800</v>
      </c>
      <c r="C192" s="13">
        <f>03_工艺单耗!B8</f>
        <v/>
      </c>
      <c r="D192" s="9">
        <f>B192*C192</f>
        <v/>
      </c>
      <c r="E192" s="9" t="n">
        <v>6116.58</v>
      </c>
      <c r="F192" s="14">
        <f>IF(E192,D192/E192*100,"")</f>
        <v/>
      </c>
    </row>
    <row r="193">
      <c r="A193" s="8" t="inlineStr">
        <is>
          <t>20260622</t>
        </is>
      </c>
      <c r="B193" s="9" t="n">
        <v>8800</v>
      </c>
      <c r="C193" s="13">
        <f>03_工艺单耗!B8</f>
        <v/>
      </c>
      <c r="D193" s="9">
        <f>B193*C193</f>
        <v/>
      </c>
      <c r="E193" s="9" t="n">
        <v>6116.58</v>
      </c>
      <c r="F193" s="14">
        <f>IF(E193,D193/E193*100,"")</f>
        <v/>
      </c>
    </row>
    <row r="194">
      <c r="A194" s="8" t="inlineStr">
        <is>
          <t>20260623</t>
        </is>
      </c>
      <c r="B194" s="9" t="n">
        <v>8800</v>
      </c>
      <c r="C194" s="13">
        <f>03_工艺单耗!B8</f>
        <v/>
      </c>
      <c r="D194" s="9">
        <f>B194*C194</f>
        <v/>
      </c>
      <c r="E194" s="9" t="n">
        <v>6041.92</v>
      </c>
      <c r="F194" s="14">
        <f>IF(E194,D194/E194*100,"")</f>
        <v/>
      </c>
    </row>
    <row r="195">
      <c r="A195" s="8" t="inlineStr">
        <is>
          <t>20260624</t>
        </is>
      </c>
      <c r="B195" s="9" t="n">
        <v>8800</v>
      </c>
      <c r="C195" s="13">
        <f>03_工艺单耗!B8</f>
        <v/>
      </c>
      <c r="D195" s="9">
        <f>B195*C195</f>
        <v/>
      </c>
      <c r="E195" s="9" t="n">
        <v>6027.67</v>
      </c>
      <c r="F195" s="14">
        <f>IF(E195,D195/E195*100,"")</f>
        <v/>
      </c>
    </row>
    <row r="196">
      <c r="A196" s="8" t="inlineStr">
        <is>
          <t>20260625</t>
        </is>
      </c>
      <c r="B196" s="9" t="n">
        <v>8800</v>
      </c>
      <c r="C196" s="13">
        <f>03_工艺单耗!B8</f>
        <v/>
      </c>
      <c r="D196" s="9">
        <f>B196*C196</f>
        <v/>
      </c>
      <c r="E196" s="9" t="n">
        <v>5967</v>
      </c>
      <c r="F196" s="14">
        <f>IF(E196,D196/E196*100,"")</f>
        <v/>
      </c>
    </row>
    <row r="197">
      <c r="A197" s="8" t="inlineStr">
        <is>
          <t>20260626</t>
        </is>
      </c>
      <c r="B197" s="9" t="n">
        <v>8800</v>
      </c>
      <c r="C197" s="13">
        <f>03_工艺单耗!B8</f>
        <v/>
      </c>
      <c r="D197" s="9">
        <f>B197*C197</f>
        <v/>
      </c>
      <c r="E197" s="9" t="n">
        <v>5717.66</v>
      </c>
      <c r="F197" s="14">
        <f>IF(E197,D197/E197*100,"")</f>
        <v/>
      </c>
    </row>
    <row r="198">
      <c r="A198" s="8" t="inlineStr">
        <is>
          <t>20260629</t>
        </is>
      </c>
      <c r="B198" s="9" t="n">
        <v>8800</v>
      </c>
      <c r="C198" s="13">
        <f>03_工艺单耗!B8</f>
        <v/>
      </c>
      <c r="D198" s="9">
        <f>B198*C198</f>
        <v/>
      </c>
      <c r="E198" s="9" t="n">
        <v>5734</v>
      </c>
      <c r="F198" s="14">
        <f>IF(E198,D198/E198*100,"")</f>
        <v/>
      </c>
    </row>
    <row r="199">
      <c r="A199" s="8" t="inlineStr">
        <is>
          <t>20260630</t>
        </is>
      </c>
      <c r="B199" s="9" t="n">
        <v>7900</v>
      </c>
      <c r="C199" s="13">
        <f>03_工艺单耗!B8</f>
        <v/>
      </c>
      <c r="D199" s="9">
        <f>B199*C199</f>
        <v/>
      </c>
      <c r="E199" s="9" t="n">
        <v>5785.66</v>
      </c>
      <c r="F199" s="14">
        <f>IF(E199,D199/E199*100,"")</f>
        <v/>
      </c>
    </row>
    <row r="200">
      <c r="A200" s="8" t="inlineStr">
        <is>
          <t>20260701</t>
        </is>
      </c>
      <c r="B200" s="9" t="n">
        <v>7900</v>
      </c>
      <c r="C200" s="13">
        <f>03_工艺单耗!B8</f>
        <v/>
      </c>
      <c r="D200" s="9">
        <f>B200*C200</f>
        <v/>
      </c>
      <c r="E200" s="9" t="n">
        <v>5823</v>
      </c>
      <c r="F200" s="14">
        <f>IF(E200,D200/E200*100,"")</f>
        <v/>
      </c>
    </row>
    <row r="201">
      <c r="A201" s="8" t="inlineStr">
        <is>
          <t>20260702</t>
        </is>
      </c>
      <c r="B201" s="9" t="n">
        <v>7900</v>
      </c>
      <c r="C201" s="13">
        <f>03_工艺单耗!B8</f>
        <v/>
      </c>
      <c r="D201" s="9">
        <f>B201*C201</f>
        <v/>
      </c>
      <c r="E201" s="9" t="n">
        <v>5777.83</v>
      </c>
      <c r="F201" s="14">
        <f>IF(E201,D201/E201*100,"")</f>
        <v/>
      </c>
    </row>
    <row r="202">
      <c r="A202" s="8" t="inlineStr">
        <is>
          <t>20260703</t>
        </is>
      </c>
      <c r="B202" s="9" t="n">
        <v>7900</v>
      </c>
      <c r="C202" s="13">
        <f>03_工艺单耗!B8</f>
        <v/>
      </c>
      <c r="D202" s="9">
        <f>B202*C202</f>
        <v/>
      </c>
      <c r="E202" s="9" t="n">
        <v>5686.84</v>
      </c>
      <c r="F202" s="14">
        <f>IF(E202,D202/E202*100,"")</f>
        <v/>
      </c>
    </row>
    <row r="203">
      <c r="A203" s="8" t="inlineStr">
        <is>
          <t>20260706</t>
        </is>
      </c>
      <c r="B203" s="9" t="n">
        <v>7900</v>
      </c>
      <c r="C203" s="13">
        <f>03_工艺单耗!B8</f>
        <v/>
      </c>
      <c r="D203" s="9">
        <f>B203*C203</f>
        <v/>
      </c>
      <c r="E203" s="9" t="n">
        <v>5696.34</v>
      </c>
      <c r="F203" s="14">
        <f>IF(E203,D203/E203*100,"")</f>
        <v/>
      </c>
    </row>
    <row r="204">
      <c r="A204" s="8" t="inlineStr">
        <is>
          <t>20260707</t>
        </is>
      </c>
      <c r="B204" s="9" t="n">
        <v>7900</v>
      </c>
      <c r="C204" s="13">
        <f>03_工艺单耗!B8</f>
        <v/>
      </c>
      <c r="D204" s="9">
        <f>B204*C204</f>
        <v/>
      </c>
      <c r="E204" s="9" t="n">
        <v>5780.66</v>
      </c>
      <c r="F204" s="14">
        <f>IF(E204,D204/E204*100,"")</f>
        <v/>
      </c>
    </row>
    <row r="205">
      <c r="A205" s="8" t="inlineStr">
        <is>
          <t>20260708</t>
        </is>
      </c>
      <c r="B205" s="9" t="n">
        <v>7900</v>
      </c>
      <c r="C205" s="13">
        <f>03_工艺单耗!B8</f>
        <v/>
      </c>
      <c r="D205" s="9">
        <f>B205*C205</f>
        <v/>
      </c>
      <c r="E205" s="9" t="n">
        <v>5811.34</v>
      </c>
      <c r="F205" s="14">
        <f>IF(E205,D205/E205*100,"")</f>
        <v/>
      </c>
    </row>
    <row r="206">
      <c r="A206" s="8" t="inlineStr">
        <is>
          <t>20260709</t>
        </is>
      </c>
      <c r="B206" s="9" t="n">
        <v>7900</v>
      </c>
      <c r="C206" s="13">
        <f>03_工艺单耗!B8</f>
        <v/>
      </c>
      <c r="D206" s="9">
        <f>B206*C206</f>
        <v/>
      </c>
      <c r="E206" s="9" t="n">
        <v>5873.34</v>
      </c>
      <c r="F206" s="14">
        <f>IF(E206,D206/E206*100,"")</f>
        <v/>
      </c>
    </row>
    <row r="207">
      <c r="A207" s="8" t="inlineStr">
        <is>
          <t>20260710</t>
        </is>
      </c>
      <c r="B207" s="9" t="n">
        <v>7900</v>
      </c>
      <c r="C207" s="13">
        <f>03_工艺单耗!B8</f>
        <v/>
      </c>
      <c r="D207" s="9">
        <f>B207*C207</f>
        <v/>
      </c>
      <c r="E207" s="9" t="n">
        <v>5957.84</v>
      </c>
      <c r="F207" s="14">
        <f>IF(E207,D207/E207*100,"")</f>
        <v/>
      </c>
    </row>
    <row r="208">
      <c r="A208" s="8" t="inlineStr">
        <is>
          <t>20260713</t>
        </is>
      </c>
      <c r="B208" s="9" t="n">
        <v>7900</v>
      </c>
      <c r="C208" s="13">
        <f>03_工艺单耗!B8</f>
        <v/>
      </c>
      <c r="D208" s="9">
        <f>B208*C208</f>
        <v/>
      </c>
      <c r="E208" s="9" t="n">
        <v>5910.5</v>
      </c>
      <c r="F208" s="14">
        <f>IF(E208,D208/E208*100,"")</f>
        <v/>
      </c>
    </row>
    <row r="209">
      <c r="A209" s="8" t="inlineStr">
        <is>
          <t>20260714</t>
        </is>
      </c>
      <c r="B209" s="9" t="n">
        <v>7900</v>
      </c>
      <c r="C209" s="13">
        <f>03_工艺单耗!B8</f>
        <v/>
      </c>
      <c r="D209" s="9">
        <f>B209*C209</f>
        <v/>
      </c>
      <c r="E209" s="9" t="n">
        <v>5898.5</v>
      </c>
      <c r="F209" s="14">
        <f>IF(E209,D209/E209*100,"")</f>
        <v/>
      </c>
    </row>
    <row r="210">
      <c r="A210" s="8" t="inlineStr">
        <is>
          <t>20260715</t>
        </is>
      </c>
      <c r="B210" s="9" t="n">
        <v>7900</v>
      </c>
      <c r="C210" s="13">
        <f>03_工艺单耗!B8</f>
        <v/>
      </c>
      <c r="D210" s="9">
        <f>B210*C210</f>
        <v/>
      </c>
      <c r="E210" s="9" t="n">
        <v>6024.5</v>
      </c>
      <c r="F210" s="14">
        <f>IF(E210,D210/E210*100,"")</f>
        <v/>
      </c>
    </row>
    <row r="211">
      <c r="A211" s="8" t="inlineStr">
        <is>
          <t>20260716</t>
        </is>
      </c>
      <c r="B211" s="9" t="n">
        <v>7900</v>
      </c>
      <c r="C211" s="13">
        <f>03_工艺单耗!B8</f>
        <v/>
      </c>
      <c r="D211" s="9">
        <f>B211*C211</f>
        <v/>
      </c>
      <c r="E211" s="9" t="n">
        <v>6043</v>
      </c>
      <c r="F211" s="14">
        <f>IF(E211,D211/E211*100,"")</f>
        <v/>
      </c>
    </row>
    <row r="212">
      <c r="A212" s="8" t="inlineStr">
        <is>
          <t>20260717</t>
        </is>
      </c>
      <c r="B212" s="9" t="n">
        <v>8400</v>
      </c>
      <c r="C212" s="13">
        <f>03_工艺单耗!B8</f>
        <v/>
      </c>
      <c r="D212" s="9">
        <f>B212*C212</f>
        <v/>
      </c>
      <c r="E212" s="9" t="n">
        <v>6012.25</v>
      </c>
      <c r="F212" s="14">
        <f>IF(E212,D212/E212*100,"")</f>
        <v/>
      </c>
    </row>
    <row r="213">
      <c r="A213" s="8" t="inlineStr">
        <is>
          <t>20260720</t>
        </is>
      </c>
      <c r="B213" s="9" t="n">
        <v>8400</v>
      </c>
      <c r="C213" s="13">
        <f>03_工艺单耗!B8</f>
        <v/>
      </c>
      <c r="D213" s="9">
        <f>B213*C213</f>
        <v/>
      </c>
      <c r="E213" s="9" t="n">
        <v>5985.91</v>
      </c>
      <c r="F213" s="14">
        <f>IF(E213,D213/E213*100,"")</f>
        <v/>
      </c>
    </row>
    <row r="214">
      <c r="A214" s="8" t="inlineStr">
        <is>
          <t>20260721</t>
        </is>
      </c>
      <c r="B214" s="9" t="n">
        <v>8400</v>
      </c>
      <c r="C214" s="13">
        <f>03_工艺单耗!B8</f>
        <v/>
      </c>
      <c r="D214" s="9">
        <f>B214*C214</f>
        <v/>
      </c>
      <c r="E214" s="9" t="n">
        <v>6079.83</v>
      </c>
      <c r="F214" s="14">
        <f>IF(E214,D214/E214*100,"")</f>
        <v/>
      </c>
    </row>
    <row r="215">
      <c r="A215" s="8" t="inlineStr">
        <is>
          <t>20260722</t>
        </is>
      </c>
      <c r="B215" s="9" t="n">
        <v>8400</v>
      </c>
      <c r="C215" s="13">
        <f>03_工艺单耗!B8</f>
        <v/>
      </c>
      <c r="D215" s="9">
        <f>B215*C215</f>
        <v/>
      </c>
      <c r="E215" s="9" t="n">
        <v>6036.84</v>
      </c>
      <c r="F215" s="14">
        <f>IF(E215,D215/E215*100,"")</f>
        <v/>
      </c>
    </row>
    <row r="216">
      <c r="A216" s="8" t="inlineStr">
        <is>
          <t>20260723</t>
        </is>
      </c>
      <c r="B216" s="9" t="n">
        <v>8400</v>
      </c>
      <c r="C216" s="13">
        <f>03_工艺单耗!B8</f>
        <v/>
      </c>
      <c r="D216" s="9">
        <f>B216*C216</f>
        <v/>
      </c>
      <c r="E216" s="9" t="n">
        <v>6105.33</v>
      </c>
      <c r="F216" s="14">
        <f>IF(E216,D216/E216*100,"")</f>
        <v/>
      </c>
    </row>
    <row r="217">
      <c r="A217" s="8" t="inlineStr">
        <is>
          <t>20260724</t>
        </is>
      </c>
      <c r="B217" s="9" t="n">
        <v>8400</v>
      </c>
      <c r="C217" s="13">
        <f>03_工艺单耗!B8</f>
        <v/>
      </c>
      <c r="D217" s="9">
        <f>B217*C217</f>
        <v/>
      </c>
      <c r="E217" s="9" t="n">
        <v>6156.5</v>
      </c>
      <c r="F217" s="14">
        <f>IF(E217,D217/E217*100,"")</f>
        <v/>
      </c>
    </row>
    <row r="218">
      <c r="A218" s="8" t="inlineStr">
        <is>
          <t>20260727</t>
        </is>
      </c>
      <c r="B218" s="9" t="n">
        <v>8400</v>
      </c>
      <c r="C218" s="13">
        <f>03_工艺单耗!B8</f>
        <v/>
      </c>
      <c r="D218" s="9">
        <f>B218*C218</f>
        <v/>
      </c>
      <c r="E218" s="9" t="n">
        <v>6170.34</v>
      </c>
      <c r="F218" s="14">
        <f>IF(E218,D218/E218*100,"")</f>
        <v/>
      </c>
    </row>
    <row r="219">
      <c r="A219" s="8" t="inlineStr">
        <is>
          <t>20260728</t>
        </is>
      </c>
      <c r="B219" s="9" t="n">
        <v>8400</v>
      </c>
      <c r="C219" s="13">
        <f>03_工艺单耗!B8</f>
        <v/>
      </c>
      <c r="D219" s="9">
        <f>B219*C219</f>
        <v/>
      </c>
      <c r="E219" s="9" t="n">
        <v>5997.16</v>
      </c>
      <c r="F219" s="14">
        <f>IF(E219,D219/E219*100,"")</f>
        <v/>
      </c>
    </row>
    <row r="220">
      <c r="A220" s="8" t="inlineStr">
        <is>
          <t>20260729</t>
        </is>
      </c>
      <c r="B220" s="9" t="n">
        <v>8400</v>
      </c>
      <c r="C220" s="13">
        <f>03_工艺单耗!B8</f>
        <v/>
      </c>
      <c r="D220" s="9">
        <f>B220*C220</f>
        <v/>
      </c>
      <c r="E220" s="9" t="n">
        <v>5993.34</v>
      </c>
      <c r="F220" s="14">
        <f>IF(E220,D220/E220*100,"")</f>
        <v/>
      </c>
    </row>
    <row r="221">
      <c r="A221" s="8" t="inlineStr">
        <is>
          <t>20260730</t>
        </is>
      </c>
      <c r="B221" s="9" t="n">
        <v>8500</v>
      </c>
      <c r="C221" s="13">
        <f>03_工艺单耗!B8</f>
        <v/>
      </c>
      <c r="D221" s="9">
        <f>B221*C221</f>
        <v/>
      </c>
      <c r="E221" s="9" t="n">
        <v>6017.34</v>
      </c>
      <c r="F221" s="14">
        <f>IF(E221,D221/E221*100,"")</f>
        <v/>
      </c>
    </row>
    <row r="222">
      <c r="A222" s="8" t="inlineStr">
        <is>
          <t>20260731</t>
        </is>
      </c>
      <c r="B222" s="9" t="n">
        <v>8500</v>
      </c>
      <c r="C222" s="13">
        <f>03_工艺单耗!B8</f>
        <v/>
      </c>
      <c r="D222" s="9">
        <f>B222*C222</f>
        <v/>
      </c>
      <c r="E222" s="9" t="n">
        <v>6006.41</v>
      </c>
      <c r="F222" s="14">
        <f>IF(E222,D222/E222*100,"")</f>
        <v/>
      </c>
    </row>
    <row r="223">
      <c r="A223" s="8" t="inlineStr">
        <is>
          <t>20260803</t>
        </is>
      </c>
      <c r="B223" s="9" t="n">
        <v>8500</v>
      </c>
      <c r="C223" s="13">
        <f>03_工艺单耗!B8</f>
        <v/>
      </c>
      <c r="D223" s="9">
        <f>B223*C223</f>
        <v/>
      </c>
      <c r="E223" s="9" t="n">
        <v>5945.75</v>
      </c>
      <c r="F223" s="14">
        <f>IF(E223,D223/E223*100,"")</f>
        <v/>
      </c>
    </row>
    <row r="224">
      <c r="A224" s="8" t="inlineStr">
        <is>
          <t>20260804</t>
        </is>
      </c>
      <c r="B224" s="9" t="n">
        <v>8500</v>
      </c>
      <c r="C224" s="13">
        <f>03_工艺单耗!B8</f>
        <v/>
      </c>
      <c r="D224" s="9">
        <f>B224*C224</f>
        <v/>
      </c>
      <c r="E224" s="9" t="n">
        <v>6027</v>
      </c>
      <c r="F224" s="14">
        <f>IF(E224,D224/E224*100,"")</f>
        <v/>
      </c>
    </row>
    <row r="225">
      <c r="A225" s="8" t="inlineStr">
        <is>
          <t>20260805</t>
        </is>
      </c>
      <c r="B225" s="9" t="n">
        <v>8500</v>
      </c>
      <c r="C225" s="13">
        <f>03_工艺单耗!B8</f>
        <v/>
      </c>
      <c r="D225" s="9">
        <f>B225*C225</f>
        <v/>
      </c>
      <c r="E225" s="9" t="n">
        <v>6159.83</v>
      </c>
      <c r="F225" s="14">
        <f>IF(E225,D225/E225*100,"")</f>
        <v/>
      </c>
    </row>
    <row r="226">
      <c r="A226" s="8" t="inlineStr">
        <is>
          <t>20260806</t>
        </is>
      </c>
      <c r="B226" s="9" t="n">
        <v>8500</v>
      </c>
      <c r="C226" s="13">
        <f>03_工艺单耗!B8</f>
        <v/>
      </c>
      <c r="D226" s="9">
        <f>B226*C226</f>
        <v/>
      </c>
      <c r="E226" s="9" t="n">
        <v>6021.5</v>
      </c>
      <c r="F226" s="14">
        <f>IF(E226,D226/E226*100,"")</f>
        <v/>
      </c>
    </row>
    <row r="227">
      <c r="A227" s="8" t="inlineStr">
        <is>
          <t>20260807</t>
        </is>
      </c>
      <c r="B227" s="9" t="n">
        <v>8500</v>
      </c>
      <c r="C227" s="13">
        <f>03_工艺单耗!B8</f>
        <v/>
      </c>
      <c r="D227" s="9">
        <f>B227*C227</f>
        <v/>
      </c>
      <c r="E227" s="9" t="n">
        <v>6010.5</v>
      </c>
      <c r="F227" s="14">
        <f>IF(E227,D227/E227*100,"")</f>
        <v/>
      </c>
    </row>
    <row r="228">
      <c r="A228" s="8" t="inlineStr">
        <is>
          <t>20260810</t>
        </is>
      </c>
      <c r="B228" s="9" t="n">
        <v>8500</v>
      </c>
      <c r="C228" s="13">
        <f>03_工艺单耗!B8</f>
        <v/>
      </c>
      <c r="D228" s="9">
        <f>B228*C228</f>
        <v/>
      </c>
      <c r="E228" s="9" t="n">
        <v>6075.86</v>
      </c>
      <c r="F228" s="14">
        <f>IF(E228,D228/E228*100,"")</f>
        <v/>
      </c>
    </row>
    <row r="229">
      <c r="A229" s="8" t="inlineStr">
        <is>
          <t>20260811</t>
        </is>
      </c>
      <c r="B229" s="9" t="n">
        <v>8500</v>
      </c>
      <c r="C229" s="13">
        <f>03_工艺单耗!B8</f>
        <v/>
      </c>
      <c r="D229" s="9">
        <f>B229*C229</f>
        <v/>
      </c>
      <c r="E229" s="9" t="n">
        <v>6050.26</v>
      </c>
      <c r="F229" s="14">
        <f>IF(E229,D229/E229*100,"")</f>
        <v/>
      </c>
    </row>
    <row r="230">
      <c r="A230" s="8" t="inlineStr">
        <is>
          <t>20260812</t>
        </is>
      </c>
      <c r="B230" s="9" t="n">
        <v>8500</v>
      </c>
      <c r="C230" s="13">
        <f>03_工艺单耗!B8</f>
        <v/>
      </c>
      <c r="D230" s="9">
        <f>B230*C230</f>
        <v/>
      </c>
      <c r="E230" s="9" t="n">
        <v>6062.07</v>
      </c>
      <c r="F230" s="14">
        <f>IF(E230,D230/E230*100,"")</f>
        <v/>
      </c>
    </row>
    <row r="231">
      <c r="A231" s="8" t="inlineStr">
        <is>
          <t>20260813</t>
        </is>
      </c>
      <c r="B231" s="9" t="n">
        <v>8500</v>
      </c>
      <c r="C231" s="13">
        <f>03_工艺单耗!B8</f>
        <v/>
      </c>
      <c r="D231" s="9">
        <f>B231*C231</f>
        <v/>
      </c>
      <c r="E231" s="9" t="n">
        <v>6075.26</v>
      </c>
      <c r="F231" s="14">
        <f>IF(E231,D231/E231*100,"")</f>
        <v/>
      </c>
    </row>
    <row r="232">
      <c r="A232" s="8" t="inlineStr">
        <is>
          <t>20260814</t>
        </is>
      </c>
      <c r="B232" s="9" t="n">
        <v>8500</v>
      </c>
      <c r="C232" s="13">
        <f>03_工艺单耗!B8</f>
        <v/>
      </c>
      <c r="D232" s="9">
        <f>B232*C232</f>
        <v/>
      </c>
      <c r="E232" s="9" t="n">
        <v>6075.07</v>
      </c>
      <c r="F232" s="14">
        <f>IF(E232,D232/E232*100,"")</f>
        <v/>
      </c>
    </row>
    <row r="233">
      <c r="A233" s="8" t="inlineStr">
        <is>
          <t>20260817</t>
        </is>
      </c>
      <c r="B233" s="9" t="n">
        <v>8500</v>
      </c>
      <c r="C233" s="13">
        <f>03_工艺单耗!B8</f>
        <v/>
      </c>
      <c r="D233" s="9">
        <f>B233*C233</f>
        <v/>
      </c>
      <c r="E233" s="9" t="n">
        <v>6084.66</v>
      </c>
      <c r="F233" s="14">
        <f>IF(E233,D233/E233*100,"")</f>
        <v/>
      </c>
    </row>
    <row r="234">
      <c r="A234" s="8" t="inlineStr">
        <is>
          <t>20260818</t>
        </is>
      </c>
      <c r="B234" s="9" t="n">
        <v>8500</v>
      </c>
      <c r="C234" s="13">
        <f>03_工艺单耗!B8</f>
        <v/>
      </c>
      <c r="D234" s="9">
        <f>B234*C234</f>
        <v/>
      </c>
      <c r="E234" s="9" t="n">
        <v>6292.86</v>
      </c>
      <c r="F234" s="14">
        <f>IF(E234,D234/E234*100,"")</f>
        <v/>
      </c>
    </row>
    <row r="235">
      <c r="A235" s="8" t="inlineStr">
        <is>
          <t>20260819</t>
        </is>
      </c>
      <c r="B235" s="9" t="n">
        <v>8500</v>
      </c>
      <c r="C235" s="13">
        <f>03_工艺单耗!B8</f>
        <v/>
      </c>
      <c r="D235" s="9">
        <f>B235*C235</f>
        <v/>
      </c>
      <c r="E235" s="9" t="n">
        <v>6350.07</v>
      </c>
      <c r="F235" s="14">
        <f>IF(E235,D235/E235*100,"")</f>
        <v/>
      </c>
    </row>
    <row r="236">
      <c r="A236" s="8" t="inlineStr">
        <is>
          <t>20260820</t>
        </is>
      </c>
      <c r="B236" s="9" t="n">
        <v>8500</v>
      </c>
      <c r="C236" s="13">
        <f>03_工艺单耗!B8</f>
        <v/>
      </c>
      <c r="D236" s="9">
        <f>B236*C236</f>
        <v/>
      </c>
      <c r="E236" s="9" t="n">
        <v>6310.4</v>
      </c>
      <c r="F236" s="14">
        <f>IF(E236,D236/E236*100,"")</f>
        <v/>
      </c>
    </row>
    <row r="237">
      <c r="A237" s="8" t="inlineStr">
        <is>
          <t>20260821</t>
        </is>
      </c>
      <c r="B237" s="9" t="n">
        <v>8500</v>
      </c>
      <c r="C237" s="13">
        <f>03_工艺单耗!B8</f>
        <v/>
      </c>
      <c r="D237" s="9">
        <f>B237*C237</f>
        <v/>
      </c>
      <c r="E237" s="9" t="n">
        <v>6318.86</v>
      </c>
      <c r="F237" s="14">
        <f>IF(E237,D237/E237*100,"")</f>
        <v/>
      </c>
    </row>
    <row r="238">
      <c r="A238" s="8" t="inlineStr">
        <is>
          <t>20260824</t>
        </is>
      </c>
      <c r="B238" s="9" t="n">
        <v>8500</v>
      </c>
      <c r="C238" s="13">
        <f>03_工艺单耗!B8</f>
        <v/>
      </c>
      <c r="D238" s="9">
        <f>B238*C238</f>
        <v/>
      </c>
      <c r="E238" s="9" t="n">
        <v>6495</v>
      </c>
      <c r="F238" s="14">
        <f>IF(E238,D238/E238*100,"")</f>
        <v/>
      </c>
    </row>
    <row r="239">
      <c r="A239" s="8" t="inlineStr">
        <is>
          <t>20260825</t>
        </is>
      </c>
      <c r="B239" s="9" t="n">
        <v>8500</v>
      </c>
      <c r="C239" s="13">
        <f>03_工艺单耗!B8</f>
        <v/>
      </c>
      <c r="D239" s="9">
        <f>B239*C239</f>
        <v/>
      </c>
      <c r="E239" s="9" t="n">
        <v>6450</v>
      </c>
      <c r="F239" s="14">
        <f>IF(E239,D239/E239*100,"")</f>
        <v/>
      </c>
    </row>
    <row r="240">
      <c r="A240" s="8" t="inlineStr">
        <is>
          <t>20260826</t>
        </is>
      </c>
      <c r="B240" s="9" t="n">
        <v>8500</v>
      </c>
      <c r="C240" s="13">
        <f>03_工艺单耗!B8</f>
        <v/>
      </c>
      <c r="D240" s="9">
        <f>B240*C240</f>
        <v/>
      </c>
      <c r="E240" s="9" t="n">
        <v>6453</v>
      </c>
      <c r="F240" s="14">
        <f>IF(E240,D240/E240*100,"")</f>
        <v/>
      </c>
    </row>
    <row r="241">
      <c r="A241" s="8" t="inlineStr">
        <is>
          <t>20260827</t>
        </is>
      </c>
      <c r="B241" s="9" t="n">
        <v>8500</v>
      </c>
      <c r="C241" s="13">
        <f>03_工艺单耗!B8</f>
        <v/>
      </c>
      <c r="D241" s="9">
        <f>B241*C241</f>
        <v/>
      </c>
      <c r="E241" s="9" t="n">
        <v>6253.75</v>
      </c>
      <c r="F241" s="14">
        <f>IF(E241,D241/E241*100,"")</f>
        <v/>
      </c>
    </row>
    <row r="242">
      <c r="A242" s="8" t="inlineStr">
        <is>
          <t>20260828</t>
        </is>
      </c>
      <c r="B242" s="9" t="n">
        <v>8500</v>
      </c>
      <c r="C242" s="13">
        <f>03_工艺单耗!B8</f>
        <v/>
      </c>
      <c r="D242" s="9">
        <f>B242*C242</f>
        <v/>
      </c>
      <c r="E242" s="9" t="n">
        <v>6176.75</v>
      </c>
      <c r="F242" s="14">
        <f>IF(E242,D242/E242*100,"")</f>
        <v/>
      </c>
    </row>
    <row r="243">
      <c r="A243" s="8" t="inlineStr">
        <is>
          <t>20260831</t>
        </is>
      </c>
      <c r="B243" s="9" t="n">
        <v>8500</v>
      </c>
      <c r="C243" s="13">
        <f>03_工艺单耗!B8</f>
        <v/>
      </c>
      <c r="D243" s="9">
        <f>B243*C243</f>
        <v/>
      </c>
      <c r="E243" s="9" t="n">
        <v>6213.25</v>
      </c>
      <c r="F243" s="14">
        <f>IF(E243,D243/E243*100,"")</f>
        <v/>
      </c>
    </row>
    <row r="244">
      <c r="A244" s="8" t="inlineStr">
        <is>
          <t>20260901</t>
        </is>
      </c>
      <c r="B244" s="9" t="n">
        <v>8500</v>
      </c>
      <c r="C244" s="13">
        <f>03_工艺单耗!B8</f>
        <v/>
      </c>
      <c r="D244" s="9">
        <f>B244*C244</f>
        <v/>
      </c>
      <c r="E244" s="9" t="n">
        <v>6303.5</v>
      </c>
      <c r="F244" s="14">
        <f>IF(E244,D244/E244*100,"")</f>
        <v/>
      </c>
    </row>
    <row r="245">
      <c r="A245" s="8" t="inlineStr">
        <is>
          <t>20260902</t>
        </is>
      </c>
      <c r="B245" s="9" t="n">
        <v>8500</v>
      </c>
      <c r="C245" s="13">
        <f>03_工艺单耗!B8</f>
        <v/>
      </c>
      <c r="D245" s="9">
        <f>B245*C245</f>
        <v/>
      </c>
      <c r="E245" s="9" t="n">
        <v>6389.75</v>
      </c>
      <c r="F245" s="14">
        <f>IF(E245,D245/E245*100,"")</f>
        <v/>
      </c>
    </row>
    <row r="246">
      <c r="A246" s="8" t="inlineStr">
        <is>
          <t>20260903</t>
        </is>
      </c>
      <c r="B246" s="9" t="n">
        <v>9000</v>
      </c>
      <c r="C246" s="13">
        <f>03_工艺单耗!B8</f>
        <v/>
      </c>
      <c r="D246" s="9">
        <f>B246*C246</f>
        <v/>
      </c>
      <c r="E246" s="9" t="n">
        <v>6513.25</v>
      </c>
      <c r="F246" s="14">
        <f>IF(E246,D246/E246*100,"")</f>
        <v/>
      </c>
    </row>
    <row r="247">
      <c r="A247" s="8" t="inlineStr">
        <is>
          <t>20260904</t>
        </is>
      </c>
      <c r="B247" s="9" t="n">
        <v>9000</v>
      </c>
      <c r="C247" s="13">
        <f>03_工艺单耗!B8</f>
        <v/>
      </c>
      <c r="D247" s="9">
        <f>B247*C247</f>
        <v/>
      </c>
      <c r="E247" s="9" t="n">
        <v>6602.25</v>
      </c>
      <c r="F247" s="14">
        <f>IF(E247,D247/E247*100,"")</f>
        <v/>
      </c>
    </row>
    <row r="248">
      <c r="A248" s="8" t="inlineStr">
        <is>
          <t>20260907</t>
        </is>
      </c>
      <c r="B248" s="9" t="n">
        <v>9000</v>
      </c>
      <c r="C248" s="13">
        <f>03_工艺单耗!B8</f>
        <v/>
      </c>
      <c r="D248" s="9">
        <f>B248*C248</f>
        <v/>
      </c>
      <c r="E248" s="9" t="n">
        <v>6562.25</v>
      </c>
      <c r="F248" s="14">
        <f>IF(E248,D248/E248*100,"")</f>
        <v/>
      </c>
    </row>
    <row r="249">
      <c r="A249" s="8" t="inlineStr">
        <is>
          <t>20260908</t>
        </is>
      </c>
      <c r="B249" s="9" t="n">
        <v>9000</v>
      </c>
      <c r="C249" s="13">
        <f>03_工艺单耗!B8</f>
        <v/>
      </c>
      <c r="D249" s="9">
        <f>B249*C249</f>
        <v/>
      </c>
      <c r="E249" s="9" t="n">
        <v>6444.25</v>
      </c>
      <c r="F249" s="14">
        <f>IF(E249,D249/E249*100,"")</f>
        <v/>
      </c>
    </row>
    <row r="250">
      <c r="A250" s="8" t="inlineStr">
        <is>
          <t>20260909</t>
        </is>
      </c>
      <c r="B250" s="9" t="n">
        <v>9000</v>
      </c>
      <c r="C250" s="13">
        <f>03_工艺单耗!B8</f>
        <v/>
      </c>
      <c r="D250" s="9">
        <f>B250*C250</f>
        <v/>
      </c>
      <c r="E250" s="9" t="n">
        <v>6606.5</v>
      </c>
      <c r="F250" s="14">
        <f>IF(E250,D250/E250*100,"")</f>
        <v/>
      </c>
    </row>
    <row r="251">
      <c r="A251" s="8" t="inlineStr">
        <is>
          <t>20260910</t>
        </is>
      </c>
      <c r="B251" s="9" t="n">
        <v>9000</v>
      </c>
      <c r="C251" s="13">
        <f>03_工艺单耗!B8</f>
        <v/>
      </c>
      <c r="D251" s="9">
        <f>B251*C251</f>
        <v/>
      </c>
      <c r="E251" s="9" t="n">
        <v>6662</v>
      </c>
      <c r="F251" s="14">
        <f>IF(E251,D251/E251*100,"")</f>
        <v/>
      </c>
    </row>
    <row r="252">
      <c r="A252" s="8" t="inlineStr">
        <is>
          <t>20260911</t>
        </is>
      </c>
      <c r="B252" s="9" t="n">
        <v>9000</v>
      </c>
      <c r="C252" s="13">
        <f>03_工艺单耗!B8</f>
        <v/>
      </c>
      <c r="D252" s="9">
        <f>B252*C252</f>
        <v/>
      </c>
      <c r="E252" s="9" t="n">
        <v>6839.75</v>
      </c>
      <c r="F252" s="14">
        <f>IF(E252,D252/E252*100,"")</f>
        <v/>
      </c>
    </row>
    <row r="253">
      <c r="A253" s="8" t="inlineStr">
        <is>
          <t>20260914</t>
        </is>
      </c>
      <c r="B253" s="9" t="n">
        <v>9600</v>
      </c>
      <c r="C253" s="13">
        <f>03_工艺单耗!B8</f>
        <v/>
      </c>
      <c r="D253" s="9">
        <f>B253*C253</f>
        <v/>
      </c>
      <c r="E253" s="9" t="n">
        <v>6971.25</v>
      </c>
      <c r="F253" s="14">
        <f>IF(E253,D253/E253*100,"")</f>
        <v/>
      </c>
    </row>
    <row r="254">
      <c r="A254" s="8" t="inlineStr">
        <is>
          <t>20260915</t>
        </is>
      </c>
      <c r="B254" s="9" t="n">
        <v>9600</v>
      </c>
      <c r="C254" s="13">
        <f>03_工艺单耗!B8</f>
        <v/>
      </c>
      <c r="D254" s="9">
        <f>B254*C254</f>
        <v/>
      </c>
      <c r="E254" s="9" t="n">
        <v>6980</v>
      </c>
      <c r="F254" s="14">
        <f>IF(E254,D254/E254*100,"")</f>
        <v/>
      </c>
    </row>
    <row r="255">
      <c r="A255" s="8" t="inlineStr">
        <is>
          <t>20260916</t>
        </is>
      </c>
      <c r="B255" s="9" t="n">
        <v>9600</v>
      </c>
      <c r="C255" s="13">
        <f>03_工艺单耗!B8</f>
        <v/>
      </c>
      <c r="D255" s="9">
        <f>B255*C255</f>
        <v/>
      </c>
      <c r="E255" s="9" t="n">
        <v>7045.25</v>
      </c>
      <c r="F255" s="14">
        <f>IF(E255,D255/E255*100,"")</f>
        <v/>
      </c>
    </row>
    <row r="256">
      <c r="A256" s="8" t="inlineStr">
        <is>
          <t>20260917</t>
        </is>
      </c>
      <c r="B256" s="9" t="n">
        <v>9600</v>
      </c>
      <c r="C256" s="13">
        <f>03_工艺单耗!B8</f>
        <v/>
      </c>
      <c r="D256" s="9">
        <f>B256*C256</f>
        <v/>
      </c>
      <c r="E256" s="9" t="n">
        <v>7328.25</v>
      </c>
      <c r="F256" s="14">
        <f>IF(E256,D256/E256*100,"")</f>
        <v/>
      </c>
    </row>
    <row r="257">
      <c r="A257" s="8" t="inlineStr">
        <is>
          <t>20260918</t>
        </is>
      </c>
      <c r="B257" s="9" t="n">
        <v>9600</v>
      </c>
      <c r="C257" s="13">
        <f>03_工艺单耗!B8</f>
        <v/>
      </c>
      <c r="D257" s="9">
        <f>B257*C257</f>
        <v/>
      </c>
      <c r="E257" s="9" t="n">
        <v>7362.2</v>
      </c>
      <c r="F257" s="14">
        <f>IF(E257,D257/E257*100,"")</f>
        <v/>
      </c>
    </row>
    <row r="258">
      <c r="A258" s="8" t="inlineStr">
        <is>
          <t>20260921</t>
        </is>
      </c>
      <c r="B258" s="9" t="n">
        <v>9800</v>
      </c>
      <c r="C258" s="13">
        <f>03_工艺单耗!B8</f>
        <v/>
      </c>
      <c r="D258" s="9">
        <f>B258*C258</f>
        <v/>
      </c>
      <c r="E258" s="9" t="n">
        <v>7108.8</v>
      </c>
      <c r="F258" s="14">
        <f>IF(E258,D258/E258*100,"")</f>
        <v/>
      </c>
    </row>
    <row r="259">
      <c r="A259" s="8" t="inlineStr">
        <is>
          <t>20260922</t>
        </is>
      </c>
      <c r="B259" s="9" t="n">
        <v>9800</v>
      </c>
      <c r="C259" s="13">
        <f>03_工艺单耗!B8</f>
        <v/>
      </c>
      <c r="D259" s="9">
        <f>B259*C259</f>
        <v/>
      </c>
      <c r="E259" s="9" t="n">
        <v>7049.3</v>
      </c>
      <c r="F259" s="14">
        <f>IF(E259,D259/E259*100,"")</f>
        <v/>
      </c>
    </row>
    <row r="260">
      <c r="A260" s="8" t="inlineStr">
        <is>
          <t>20260923</t>
        </is>
      </c>
      <c r="B260" s="9" t="n">
        <v>9800</v>
      </c>
      <c r="C260" s="13">
        <f>03_工艺单耗!B8</f>
        <v/>
      </c>
      <c r="D260" s="9">
        <f>B260*C260</f>
        <v/>
      </c>
      <c r="E260" s="9" t="n">
        <v>7121.6</v>
      </c>
      <c r="F260" s="14">
        <f>IF(E260,D260/E260*100,"")</f>
        <v/>
      </c>
    </row>
    <row r="261">
      <c r="A261" s="8" t="inlineStr">
        <is>
          <t>20260924</t>
        </is>
      </c>
      <c r="B261" s="9" t="n">
        <v>9800</v>
      </c>
      <c r="C261" s="13">
        <f>03_工艺单耗!B8</f>
        <v/>
      </c>
      <c r="D261" s="9">
        <f>B261*C261</f>
        <v/>
      </c>
      <c r="E261" s="9" t="n">
        <v>6949.5</v>
      </c>
      <c r="F261" s="14">
        <f>IF(E261,D261/E261*100,"")</f>
        <v/>
      </c>
    </row>
    <row r="262">
      <c r="A262" s="8" t="inlineStr">
        <is>
          <t>20260925</t>
        </is>
      </c>
      <c r="B262" s="9" t="n">
        <v>9800</v>
      </c>
      <c r="C262" s="13">
        <f>03_工艺单耗!B8</f>
        <v/>
      </c>
      <c r="D262" s="9">
        <f>B262*C262</f>
        <v/>
      </c>
      <c r="E262" s="9" t="n">
        <v>7147.5</v>
      </c>
      <c r="F262" s="14">
        <f>IF(E262,D262/E262*100,"")</f>
        <v/>
      </c>
    </row>
    <row r="263">
      <c r="A263" s="8" t="inlineStr">
        <is>
          <t>20260928</t>
        </is>
      </c>
      <c r="B263" s="9" t="n">
        <v>9800</v>
      </c>
      <c r="C263" s="13">
        <f>03_工艺单耗!B8</f>
        <v/>
      </c>
      <c r="D263" s="9">
        <f>B263*C263</f>
        <v/>
      </c>
      <c r="E263" s="9" t="n">
        <v>7147.5</v>
      </c>
      <c r="F263" s="14">
        <f>IF(E263,D263/E263*100,"")</f>
        <v/>
      </c>
    </row>
    <row r="264">
      <c r="A264" s="8" t="inlineStr">
        <is>
          <t>20260929</t>
        </is>
      </c>
      <c r="B264" s="9" t="n">
        <v>9800</v>
      </c>
      <c r="C264" s="13">
        <f>03_工艺单耗!B8</f>
        <v/>
      </c>
      <c r="D264" s="9">
        <f>B264*C264</f>
        <v/>
      </c>
      <c r="E264" s="9" t="n">
        <v>7293.5</v>
      </c>
      <c r="F264" s="14">
        <f>IF(E264,D264/E264*100,"")</f>
        <v/>
      </c>
    </row>
    <row r="265">
      <c r="A265" s="8" t="inlineStr">
        <is>
          <t>20260930</t>
        </is>
      </c>
      <c r="B265" s="9" t="n">
        <v>9900</v>
      </c>
      <c r="C265" s="13">
        <f>03_工艺单耗!B8</f>
        <v/>
      </c>
      <c r="D265" s="9">
        <f>B265*C265</f>
        <v/>
      </c>
      <c r="E265" s="9" t="n">
        <v>7328.75</v>
      </c>
      <c r="F265" s="14">
        <f>IF(E265,D265/E265*100,"")</f>
        <v/>
      </c>
    </row>
    <row r="266">
      <c r="A266" s="8" t="inlineStr">
        <is>
          <t>20261001</t>
        </is>
      </c>
      <c r="B266" s="9" t="n">
        <v>9900</v>
      </c>
      <c r="C266" s="13">
        <f>03_工艺单耗!B8</f>
        <v/>
      </c>
      <c r="D266" s="9">
        <f>B266*C266</f>
        <v/>
      </c>
      <c r="E266" s="9" t="n">
        <v>7327.25</v>
      </c>
      <c r="F266" s="14">
        <f>IF(E266,D266/E266*100,"")</f>
        <v/>
      </c>
    </row>
    <row r="267">
      <c r="A267" s="8" t="inlineStr">
        <is>
          <t>20261002</t>
        </is>
      </c>
      <c r="B267" s="9" t="n">
        <v>9900</v>
      </c>
      <c r="C267" s="13">
        <f>03_工艺单耗!B8</f>
        <v/>
      </c>
      <c r="D267" s="9">
        <f>B267*C267</f>
        <v/>
      </c>
      <c r="E267" s="9" t="n">
        <v>7327.25</v>
      </c>
      <c r="F267" s="14">
        <f>IF(E267,D267/E267*100,"")</f>
        <v/>
      </c>
    </row>
    <row r="268">
      <c r="A268" s="8" t="inlineStr">
        <is>
          <t>20261005</t>
        </is>
      </c>
      <c r="B268" s="9" t="n">
        <v>9900</v>
      </c>
      <c r="C268" s="13">
        <f>03_工艺单耗!B8</f>
        <v/>
      </c>
      <c r="D268" s="9">
        <f>B268*C268</f>
        <v/>
      </c>
      <c r="E268" s="9" t="n">
        <v>7327.25</v>
      </c>
      <c r="F268" s="14">
        <f>IF(E268,D268/E268*100,"")</f>
        <v/>
      </c>
    </row>
    <row r="269">
      <c r="A269" s="8" t="inlineStr">
        <is>
          <t>20261006</t>
        </is>
      </c>
      <c r="B269" s="9" t="n">
        <v>9900</v>
      </c>
      <c r="C269" s="13">
        <f>03_工艺单耗!B8</f>
        <v/>
      </c>
      <c r="D269" s="9">
        <f>B269*C269</f>
        <v/>
      </c>
      <c r="E269" s="9" t="n">
        <v>7327.25</v>
      </c>
      <c r="F269" s="14">
        <f>IF(E269,D269/E269*100,"")</f>
        <v/>
      </c>
    </row>
    <row r="270">
      <c r="A270" s="8" t="inlineStr">
        <is>
          <t>20261007</t>
        </is>
      </c>
      <c r="B270" s="9" t="n">
        <v>9900</v>
      </c>
      <c r="C270" s="13">
        <f>03_工艺单耗!B8</f>
        <v/>
      </c>
      <c r="D270" s="9">
        <f>B270*C270</f>
        <v/>
      </c>
      <c r="E270" s="9" t="n">
        <v>7327.25</v>
      </c>
      <c r="F270" s="14">
        <f>IF(E270,D270/E270*100,"")</f>
        <v/>
      </c>
    </row>
    <row r="271">
      <c r="A271" s="8" t="inlineStr">
        <is>
          <t>20261008</t>
        </is>
      </c>
      <c r="B271" s="9" t="n">
        <v>9900</v>
      </c>
      <c r="C271" s="13">
        <f>03_工艺单耗!B8</f>
        <v/>
      </c>
      <c r="D271" s="9">
        <f>B271*C271</f>
        <v/>
      </c>
      <c r="E271" s="9" t="n">
        <v>7327.25</v>
      </c>
      <c r="F271" s="14">
        <f>IF(E271,D271/E271*100,"")</f>
        <v/>
      </c>
    </row>
    <row r="272">
      <c r="A272" s="8" t="inlineStr">
        <is>
          <t>20261009</t>
        </is>
      </c>
      <c r="B272" s="9" t="n">
        <v>9900</v>
      </c>
      <c r="C272" s="13">
        <f>03_工艺单耗!B8</f>
        <v/>
      </c>
      <c r="D272" s="9">
        <f>B272*C272</f>
        <v/>
      </c>
      <c r="E272" s="9" t="n">
        <v>7856.25</v>
      </c>
      <c r="F272" s="14">
        <f>IF(E272,D272/E272*100,"")</f>
        <v/>
      </c>
    </row>
    <row r="273">
      <c r="A273" s="8" t="inlineStr">
        <is>
          <t>20261012</t>
        </is>
      </c>
      <c r="B273" s="9" t="n">
        <v>10500</v>
      </c>
      <c r="C273" s="13">
        <f>03_工艺单耗!B8</f>
        <v/>
      </c>
      <c r="D273" s="9">
        <f>B273*C273</f>
        <v/>
      </c>
      <c r="E273" s="9" t="n">
        <v>7736.75</v>
      </c>
      <c r="F273" s="14">
        <f>IF(E273,D273/E273*100,"")</f>
        <v/>
      </c>
    </row>
    <row r="274">
      <c r="A274" s="8" t="inlineStr">
        <is>
          <t>20261013</t>
        </is>
      </c>
      <c r="B274" s="9" t="n">
        <v>10500</v>
      </c>
      <c r="C274" s="13">
        <f>03_工艺单耗!B8</f>
        <v/>
      </c>
      <c r="D274" s="9">
        <f>B274*C274</f>
        <v/>
      </c>
      <c r="E274" s="9" t="n">
        <v>7374.5</v>
      </c>
      <c r="F274" s="14">
        <f>IF(E274,D274/E274*100,"")</f>
        <v/>
      </c>
    </row>
    <row r="275">
      <c r="A275" s="8" t="inlineStr">
        <is>
          <t>20261014</t>
        </is>
      </c>
      <c r="B275" s="9" t="n">
        <v>10500</v>
      </c>
      <c r="C275" s="13">
        <f>03_工艺单耗!B8</f>
        <v/>
      </c>
      <c r="D275" s="9">
        <f>B275*C275</f>
        <v/>
      </c>
      <c r="E275" s="9" t="n">
        <v>7399.75</v>
      </c>
      <c r="F275" s="14">
        <f>IF(E275,D275/E275*100,"")</f>
        <v/>
      </c>
    </row>
    <row r="276">
      <c r="A276" s="8" t="inlineStr">
        <is>
          <t>20261015</t>
        </is>
      </c>
      <c r="B276" s="9" t="n">
        <v>10500</v>
      </c>
      <c r="C276" s="13">
        <f>03_工艺单耗!B8</f>
        <v/>
      </c>
      <c r="D276" s="9">
        <f>B276*C276</f>
        <v/>
      </c>
      <c r="E276" s="9" t="n">
        <v>7428.5</v>
      </c>
      <c r="F276" s="14">
        <f>IF(E276,D276/E276*100,"")</f>
        <v/>
      </c>
    </row>
    <row r="277">
      <c r="A277" s="8" t="inlineStr">
        <is>
          <t>20261016</t>
        </is>
      </c>
      <c r="B277" s="9" t="n">
        <v>10500</v>
      </c>
      <c r="C277" s="13">
        <f>03_工艺单耗!B8</f>
        <v/>
      </c>
      <c r="D277" s="9">
        <f>B277*C277</f>
        <v/>
      </c>
      <c r="E277" s="9" t="n">
        <v>7254.25</v>
      </c>
      <c r="F277" s="14">
        <f>IF(E277,D277/E277*100,"")</f>
        <v/>
      </c>
    </row>
    <row r="278">
      <c r="A278" s="8" t="inlineStr">
        <is>
          <t>20261019</t>
        </is>
      </c>
      <c r="B278" s="9" t="n">
        <v>10500</v>
      </c>
      <c r="C278" s="13">
        <f>03_工艺单耗!B8</f>
        <v/>
      </c>
      <c r="D278" s="9">
        <f>B278*C278</f>
        <v/>
      </c>
      <c r="E278" s="9" t="n">
        <v>7231</v>
      </c>
      <c r="F278" s="14">
        <f>IF(E278,D278/E278*100,"")</f>
        <v/>
      </c>
    </row>
    <row r="279">
      <c r="A279" s="8" t="inlineStr">
        <is>
          <t>20261020</t>
        </is>
      </c>
      <c r="B279" s="9" t="n">
        <v>10500</v>
      </c>
      <c r="C279" s="13">
        <f>03_工艺单耗!B8</f>
        <v/>
      </c>
      <c r="D279" s="9">
        <f>B279*C279</f>
        <v/>
      </c>
      <c r="E279" s="9" t="n">
        <v>7054.5</v>
      </c>
      <c r="F279" s="14">
        <f>IF(E279,D279/E279*100,"")</f>
        <v/>
      </c>
    </row>
    <row r="281">
      <c r="A281" s="10" t="inlineStr">
        <is>
          <t>全期均值</t>
        </is>
      </c>
      <c r="B281" s="15">
        <f>AVERAGE(B5:B279)</f>
        <v/>
      </c>
      <c r="D281" s="15">
        <f>AVERAGE(D5:D279)</f>
        <v/>
      </c>
      <c r="E281" s="15">
        <f>AVERAGE(E5:E279)</f>
        <v/>
      </c>
      <c r="F281" s="15">
        <f>AVERAGE(F5:F279)</f>
        <v/>
      </c>
    </row>
    <row r="282">
      <c r="A282" s="16" t="inlineStr">
        <is>
          <t>最小 / 最大价差见 05 表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加工价差（价差口径，不是利润）</t>
        </is>
      </c>
    </row>
    <row r="2" ht="28" customHeight="1">
      <c r="A2" s="2" t="inlineStr">
        <is>
          <t>价差 = 下游价 − 理论原料成本。低/高单耗两列用于敏感性。</t>
        </is>
      </c>
    </row>
    <row r="4">
      <c r="A4" s="7" t="inlineStr">
        <is>
          <t>日期</t>
        </is>
      </c>
      <c r="B4" s="7" t="inlineStr">
        <is>
          <t>PTA 价（元/吨）</t>
        </is>
      </c>
      <c r="C4" s="7" t="inlineStr">
        <is>
          <t>理论原料成本</t>
        </is>
      </c>
      <c r="D4" s="7" t="inlineStr">
        <is>
          <t>加工价差</t>
        </is>
      </c>
      <c r="E4" s="7" t="inlineStr">
        <is>
          <t>价差-低单耗情形</t>
        </is>
      </c>
      <c r="F4" s="7" t="inlineStr">
        <is>
          <t>价差-高单耗情形</t>
        </is>
      </c>
      <c r="G4" s="7" t="inlineStr">
        <is>
          <t>z分数(20日)</t>
        </is>
      </c>
    </row>
    <row r="5">
      <c r="A5" s="8" t="inlineStr">
        <is>
          <t>20251001</t>
        </is>
      </c>
      <c r="B5" s="9" t="n">
        <v>4595</v>
      </c>
      <c r="C5" s="9">
        <f>04_理论成本!D5</f>
        <v/>
      </c>
      <c r="D5" s="9">
        <f>B5-C5</f>
        <v/>
      </c>
      <c r="E5" s="9" t="n">
        <v>188.5999999999995</v>
      </c>
      <c r="F5" s="9" t="n">
        <v>73</v>
      </c>
      <c r="G5" s="8" t="n"/>
    </row>
    <row r="6">
      <c r="A6" s="8" t="inlineStr">
        <is>
          <t>20251002</t>
        </is>
      </c>
      <c r="B6" s="9" t="n">
        <v>4595</v>
      </c>
      <c r="C6" s="9">
        <f>04_理论成本!D6</f>
        <v/>
      </c>
      <c r="D6" s="9">
        <f>B6-C6</f>
        <v/>
      </c>
      <c r="E6" s="9" t="n">
        <v>188.5999999999995</v>
      </c>
      <c r="F6" s="9" t="n">
        <v>73</v>
      </c>
      <c r="G6" s="8" t="n"/>
    </row>
    <row r="7">
      <c r="A7" s="8" t="inlineStr">
        <is>
          <t>20251003</t>
        </is>
      </c>
      <c r="B7" s="9" t="n">
        <v>4595</v>
      </c>
      <c r="C7" s="9">
        <f>04_理论成本!D7</f>
        <v/>
      </c>
      <c r="D7" s="9">
        <f>B7-C7</f>
        <v/>
      </c>
      <c r="E7" s="9" t="n">
        <v>188.5999999999995</v>
      </c>
      <c r="F7" s="9" t="n">
        <v>73</v>
      </c>
      <c r="G7" s="8" t="n"/>
    </row>
    <row r="8">
      <c r="A8" s="8" t="inlineStr">
        <is>
          <t>20251006</t>
        </is>
      </c>
      <c r="B8" s="9" t="n">
        <v>4595</v>
      </c>
      <c r="C8" s="9">
        <f>04_理论成本!D8</f>
        <v/>
      </c>
      <c r="D8" s="9">
        <f>B8-C8</f>
        <v/>
      </c>
      <c r="E8" s="9" t="n">
        <v>188.5999999999995</v>
      </c>
      <c r="F8" s="9" t="n">
        <v>73</v>
      </c>
      <c r="G8" s="8" t="n"/>
    </row>
    <row r="9">
      <c r="A9" s="8" t="inlineStr">
        <is>
          <t>20251007</t>
        </is>
      </c>
      <c r="B9" s="9" t="n">
        <v>4595</v>
      </c>
      <c r="C9" s="9">
        <f>04_理论成本!D9</f>
        <v/>
      </c>
      <c r="D9" s="9">
        <f>B9-C9</f>
        <v/>
      </c>
      <c r="E9" s="9" t="n">
        <v>188.5999999999995</v>
      </c>
      <c r="F9" s="9" t="n">
        <v>73</v>
      </c>
      <c r="G9" s="8" t="n"/>
    </row>
    <row r="10">
      <c r="A10" s="8" t="inlineStr">
        <is>
          <t>20251008</t>
        </is>
      </c>
      <c r="B10" s="9" t="n">
        <v>4595</v>
      </c>
      <c r="C10" s="9">
        <f>04_理论成本!D10</f>
        <v/>
      </c>
      <c r="D10" s="9">
        <f>B10-C10</f>
        <v/>
      </c>
      <c r="E10" s="9" t="n">
        <v>188.5999999999995</v>
      </c>
      <c r="F10" s="9" t="n">
        <v>73</v>
      </c>
      <c r="G10" s="8" t="n"/>
    </row>
    <row r="11">
      <c r="A11" s="8" t="inlineStr">
        <is>
          <t>20251009</t>
        </is>
      </c>
      <c r="B11" s="9" t="n">
        <v>4595</v>
      </c>
      <c r="C11" s="9">
        <f>04_理论成本!D11</f>
        <v/>
      </c>
      <c r="D11" s="9">
        <f>B11-C11</f>
        <v/>
      </c>
      <c r="E11" s="9" t="n">
        <v>188.5999999999995</v>
      </c>
      <c r="F11" s="9" t="n">
        <v>73</v>
      </c>
      <c r="G11" s="8" t="n"/>
    </row>
    <row r="12">
      <c r="A12" s="8" t="inlineStr">
        <is>
          <t>20251010</t>
        </is>
      </c>
      <c r="B12" s="9" t="n">
        <v>4564.5</v>
      </c>
      <c r="C12" s="9">
        <f>04_理论成本!D12</f>
        <v/>
      </c>
      <c r="D12" s="9">
        <f>B12-C12</f>
        <v/>
      </c>
      <c r="E12" s="9" t="n">
        <v>158.0999999999995</v>
      </c>
      <c r="F12" s="9" t="n">
        <v>42.5</v>
      </c>
      <c r="G12" s="17" t="n">
        <v>-2.474873734152916</v>
      </c>
    </row>
    <row r="13">
      <c r="A13" s="8" t="inlineStr">
        <is>
          <t>20251011</t>
        </is>
      </c>
      <c r="B13" s="9" t="n">
        <v>4521.08</v>
      </c>
      <c r="C13" s="9">
        <f>04_理论成本!D13</f>
        <v/>
      </c>
      <c r="D13" s="9">
        <f>B13-C13</f>
        <v/>
      </c>
      <c r="E13" s="9" t="n">
        <v>114.6799999999994</v>
      </c>
      <c r="F13" s="9" t="n">
        <v>-0.9200000000000728</v>
      </c>
      <c r="G13" s="17" t="n">
        <v>-2.448330367242883</v>
      </c>
    </row>
    <row r="14">
      <c r="A14" s="8" t="inlineStr">
        <is>
          <t>20251013</t>
        </is>
      </c>
      <c r="B14" s="9" t="n">
        <v>4521.08</v>
      </c>
      <c r="C14" s="9">
        <f>04_理论成本!D14</f>
        <v/>
      </c>
      <c r="D14" s="9">
        <f>B14-C14</f>
        <v/>
      </c>
      <c r="E14" s="9" t="n">
        <v>114.6799999999994</v>
      </c>
      <c r="F14" s="9" t="n">
        <v>-0.9200000000000728</v>
      </c>
      <c r="G14" s="17" t="n">
        <v>-1.806193258411598</v>
      </c>
    </row>
    <row r="15">
      <c r="A15" s="8" t="inlineStr">
        <is>
          <t>20251014</t>
        </is>
      </c>
      <c r="B15" s="9" t="n">
        <v>4492.17</v>
      </c>
      <c r="C15" s="9">
        <f>04_理论成本!D15</f>
        <v/>
      </c>
      <c r="D15" s="9">
        <f>B15-C15</f>
        <v/>
      </c>
      <c r="E15" s="9" t="n">
        <v>85.76999999999953</v>
      </c>
      <c r="F15" s="9" t="n">
        <v>-29.82999999999993</v>
      </c>
      <c r="G15" s="17" t="n">
        <v>-1.978942165790536</v>
      </c>
    </row>
    <row r="16">
      <c r="A16" s="8" t="inlineStr">
        <is>
          <t>20251015</t>
        </is>
      </c>
      <c r="B16" s="9" t="n">
        <v>4460.09</v>
      </c>
      <c r="C16" s="9">
        <f>04_理论成本!D16</f>
        <v/>
      </c>
      <c r="D16" s="9">
        <f>B16-C16</f>
        <v/>
      </c>
      <c r="E16" s="9" t="n">
        <v>53.6899999999996</v>
      </c>
      <c r="F16" s="9" t="n">
        <v>-61.90999999999985</v>
      </c>
      <c r="G16" s="17" t="n">
        <v>-2.05361541720484</v>
      </c>
    </row>
    <row r="17">
      <c r="A17" s="8" t="inlineStr">
        <is>
          <t>20251016</t>
        </is>
      </c>
      <c r="B17" s="9" t="n">
        <v>4397.16</v>
      </c>
      <c r="C17" s="9">
        <f>04_理论成本!D17</f>
        <v/>
      </c>
      <c r="D17" s="9">
        <f>B17-C17</f>
        <v/>
      </c>
      <c r="E17" s="9" t="n">
        <v>-9.240000000000691</v>
      </c>
      <c r="F17" s="9" t="n">
        <v>-124.8400000000001</v>
      </c>
      <c r="G17" s="17" t="n">
        <v>-2.315292082229241</v>
      </c>
    </row>
    <row r="18">
      <c r="A18" s="8" t="inlineStr">
        <is>
          <t>20251017</t>
        </is>
      </c>
      <c r="B18" s="9" t="n">
        <v>4404.16</v>
      </c>
      <c r="C18" s="9">
        <f>04_理论成本!D18</f>
        <v/>
      </c>
      <c r="D18" s="9">
        <f>B18-C18</f>
        <v/>
      </c>
      <c r="E18" s="9" t="n">
        <v>-2.240000000000691</v>
      </c>
      <c r="F18" s="9" t="n">
        <v>-117.8400000000001</v>
      </c>
      <c r="G18" s="17" t="n">
        <v>-1.818209307654862</v>
      </c>
    </row>
    <row r="19">
      <c r="A19" s="8" t="inlineStr">
        <is>
          <t>20251020</t>
        </is>
      </c>
      <c r="B19" s="9" t="n">
        <v>4381.5</v>
      </c>
      <c r="C19" s="9">
        <f>04_理论成本!D19</f>
        <v/>
      </c>
      <c r="D19" s="9">
        <f>B19-C19</f>
        <v/>
      </c>
      <c r="E19" s="9" t="n">
        <v>-24.90000000000055</v>
      </c>
      <c r="F19" s="9" t="n">
        <v>-140.5</v>
      </c>
      <c r="G19" s="17" t="n">
        <v>-1.789964447771715</v>
      </c>
    </row>
    <row r="20">
      <c r="A20" s="8" t="inlineStr">
        <is>
          <t>20251021</t>
        </is>
      </c>
      <c r="B20" s="9" t="n">
        <v>4363.25</v>
      </c>
      <c r="C20" s="9">
        <f>04_理论成本!D20</f>
        <v/>
      </c>
      <c r="D20" s="9">
        <f>B20-C20</f>
        <v/>
      </c>
      <c r="E20" s="9" t="n">
        <v>54.05000000000018</v>
      </c>
      <c r="F20" s="9" t="n">
        <v>-59</v>
      </c>
      <c r="G20" s="17" t="n">
        <v>-0.7661931882540666</v>
      </c>
    </row>
    <row r="21">
      <c r="A21" s="8" t="inlineStr">
        <is>
          <t>20251022</t>
        </is>
      </c>
      <c r="B21" s="9" t="n">
        <v>4369.84</v>
      </c>
      <c r="C21" s="9">
        <f>04_理论成本!D21</f>
        <v/>
      </c>
      <c r="D21" s="9">
        <f>B21-C21</f>
        <v/>
      </c>
      <c r="E21" s="9" t="n">
        <v>60.64000000000033</v>
      </c>
      <c r="F21" s="9" t="n">
        <v>-52.40999999999985</v>
      </c>
      <c r="G21" s="17" t="n">
        <v>-0.6554325188438976</v>
      </c>
    </row>
    <row r="22">
      <c r="A22" s="8" t="inlineStr">
        <is>
          <t>20251023</t>
        </is>
      </c>
      <c r="B22" s="9" t="n">
        <v>4415.83</v>
      </c>
      <c r="C22" s="9">
        <f>04_理论成本!D22</f>
        <v/>
      </c>
      <c r="D22" s="9">
        <f>B22-C22</f>
        <v/>
      </c>
      <c r="E22" s="9" t="n">
        <v>106.6300000000001</v>
      </c>
      <c r="F22" s="9" t="n">
        <v>-6.420000000000073</v>
      </c>
      <c r="G22" s="17" t="n">
        <v>-0.07039619472332712</v>
      </c>
    </row>
    <row r="23">
      <c r="A23" s="8" t="inlineStr">
        <is>
          <t>20251024</t>
        </is>
      </c>
      <c r="B23" s="9" t="n">
        <v>4467.08</v>
      </c>
      <c r="C23" s="9">
        <f>04_理论成本!D23</f>
        <v/>
      </c>
      <c r="D23" s="9">
        <f>B23-C23</f>
        <v/>
      </c>
      <c r="E23" s="9" t="n">
        <v>157.8800000000001</v>
      </c>
      <c r="F23" s="9" t="n">
        <v>44.82999999999993</v>
      </c>
      <c r="G23" s="17" t="n">
        <v>0.5784582631318315</v>
      </c>
    </row>
    <row r="24">
      <c r="A24" s="8" t="inlineStr">
        <is>
          <t>20251027</t>
        </is>
      </c>
      <c r="B24" s="9" t="n">
        <v>4468.34</v>
      </c>
      <c r="C24" s="9">
        <f>04_理论成本!D24</f>
        <v/>
      </c>
      <c r="D24" s="9">
        <f>B24-C24</f>
        <v/>
      </c>
      <c r="E24" s="9" t="n">
        <v>159.1400000000003</v>
      </c>
      <c r="F24" s="9" t="n">
        <v>46.09000000000015</v>
      </c>
      <c r="G24" s="17" t="n">
        <v>0.575610042752649</v>
      </c>
    </row>
    <row r="25">
      <c r="A25" s="8" t="inlineStr">
        <is>
          <t>20251028</t>
        </is>
      </c>
      <c r="B25" s="9" t="n">
        <v>4535.67</v>
      </c>
      <c r="C25" s="9">
        <f>04_理论成本!D25</f>
        <v/>
      </c>
      <c r="D25" s="9">
        <f>B25-C25</f>
        <v/>
      </c>
      <c r="E25" s="9" t="n">
        <v>226.4700000000003</v>
      </c>
      <c r="F25" s="9" t="n">
        <v>113.4200000000001</v>
      </c>
      <c r="G25" s="17" t="n">
        <v>1.41490887363287</v>
      </c>
    </row>
    <row r="26">
      <c r="A26" s="8" t="inlineStr">
        <is>
          <t>20251029</t>
        </is>
      </c>
      <c r="B26" s="9" t="n">
        <v>4558.09</v>
      </c>
      <c r="C26" s="9">
        <f>04_理论成本!D26</f>
        <v/>
      </c>
      <c r="D26" s="9">
        <f>B26-C26</f>
        <v/>
      </c>
      <c r="E26" s="9" t="n">
        <v>248.8900000000003</v>
      </c>
      <c r="F26" s="9" t="n">
        <v>135.8400000000001</v>
      </c>
      <c r="G26" s="17" t="n">
        <v>1.584674371854412</v>
      </c>
    </row>
    <row r="27">
      <c r="A27" s="8" t="inlineStr">
        <is>
          <t>20251030</t>
        </is>
      </c>
      <c r="B27" s="9" t="n">
        <v>4554.75</v>
      </c>
      <c r="C27" s="9">
        <f>04_理论成本!D27</f>
        <v/>
      </c>
      <c r="D27" s="9">
        <f>B27-C27</f>
        <v/>
      </c>
      <c r="E27" s="9" t="n">
        <v>245.5500000000002</v>
      </c>
      <c r="F27" s="9" t="n">
        <v>132.5</v>
      </c>
      <c r="G27" s="17" t="n">
        <v>1.444377821131828</v>
      </c>
    </row>
    <row r="28">
      <c r="A28" s="8" t="inlineStr">
        <is>
          <t>20251031</t>
        </is>
      </c>
      <c r="B28" s="9" t="n">
        <v>4552.34</v>
      </c>
      <c r="C28" s="9">
        <f>04_理论成本!D28</f>
        <v/>
      </c>
      <c r="D28" s="9">
        <f>B28-C28</f>
        <v/>
      </c>
      <c r="E28" s="9" t="n">
        <v>243.1400000000003</v>
      </c>
      <c r="F28" s="9" t="n">
        <v>130.0900000000001</v>
      </c>
      <c r="G28" s="17" t="n">
        <v>1.333594081674887</v>
      </c>
    </row>
    <row r="29">
      <c r="A29" s="8" t="inlineStr">
        <is>
          <t>20251103</t>
        </is>
      </c>
      <c r="B29" s="9" t="n">
        <v>4543.91</v>
      </c>
      <c r="C29" s="9">
        <f>04_理论成本!D29</f>
        <v/>
      </c>
      <c r="D29" s="9">
        <f>B29-C29</f>
        <v/>
      </c>
      <c r="E29" s="9" t="n">
        <v>202.3099999999995</v>
      </c>
      <c r="F29" s="9" t="n">
        <v>88.40999999999985</v>
      </c>
      <c r="G29" s="17" t="n">
        <v>0.8452913104553929</v>
      </c>
    </row>
    <row r="30">
      <c r="A30" s="8" t="inlineStr">
        <is>
          <t>20251104</t>
        </is>
      </c>
      <c r="B30" s="9" t="n">
        <v>4558.75</v>
      </c>
      <c r="C30" s="9">
        <f>04_理论成本!D30</f>
        <v/>
      </c>
      <c r="D30" s="9">
        <f>B30-C30</f>
        <v/>
      </c>
      <c r="E30" s="9" t="n">
        <v>217.1499999999996</v>
      </c>
      <c r="F30" s="9" t="n">
        <v>103.25</v>
      </c>
      <c r="G30" s="17" t="n">
        <v>0.9839070157256077</v>
      </c>
    </row>
    <row r="31">
      <c r="A31" s="8" t="inlineStr">
        <is>
          <t>20251105</t>
        </is>
      </c>
      <c r="B31" s="9" t="n">
        <v>4569.75</v>
      </c>
      <c r="C31" s="9">
        <f>04_理论成本!D31</f>
        <v/>
      </c>
      <c r="D31" s="9">
        <f>B31-C31</f>
        <v/>
      </c>
      <c r="E31" s="9" t="n">
        <v>228.1499999999996</v>
      </c>
      <c r="F31" s="9" t="n">
        <v>114.25</v>
      </c>
      <c r="G31" s="17" t="n">
        <v>1.063382955760337</v>
      </c>
    </row>
    <row r="32">
      <c r="A32" s="8" t="inlineStr">
        <is>
          <t>20251106</t>
        </is>
      </c>
      <c r="B32" s="9" t="n">
        <v>4555.41</v>
      </c>
      <c r="C32" s="9">
        <f>04_理论成本!D32</f>
        <v/>
      </c>
      <c r="D32" s="9">
        <f>B32-C32</f>
        <v/>
      </c>
      <c r="E32" s="9" t="n">
        <v>213.8099999999995</v>
      </c>
      <c r="F32" s="9" t="n">
        <v>99.90999999999985</v>
      </c>
      <c r="G32" s="17" t="n">
        <v>0.8576795024898344</v>
      </c>
    </row>
    <row r="33">
      <c r="A33" s="8" t="inlineStr">
        <is>
          <t>20251107</t>
        </is>
      </c>
      <c r="B33" s="9" t="n">
        <v>4561.09</v>
      </c>
      <c r="C33" s="9">
        <f>04_理论成本!D33</f>
        <v/>
      </c>
      <c r="D33" s="9">
        <f>B33-C33</f>
        <v/>
      </c>
      <c r="E33" s="9" t="n">
        <v>219.4899999999998</v>
      </c>
      <c r="F33" s="9" t="n">
        <v>105.5900000000001</v>
      </c>
      <c r="G33" s="17" t="n">
        <v>0.8459896140598918</v>
      </c>
    </row>
    <row r="34">
      <c r="A34" s="8" t="inlineStr">
        <is>
          <t>20251110</t>
        </is>
      </c>
      <c r="B34" s="9" t="n">
        <v>4598.84</v>
      </c>
      <c r="C34" s="9">
        <f>04_理论成本!D34</f>
        <v/>
      </c>
      <c r="D34" s="9">
        <f>B34-C34</f>
        <v/>
      </c>
      <c r="E34" s="9" t="n">
        <v>257.2399999999998</v>
      </c>
      <c r="F34" s="9" t="n">
        <v>143.3400000000001</v>
      </c>
      <c r="G34" s="17" t="n">
        <v>1.131606609348164</v>
      </c>
    </row>
    <row r="35">
      <c r="A35" s="8" t="inlineStr">
        <is>
          <t>20251111</t>
        </is>
      </c>
      <c r="B35" s="9" t="n">
        <v>4645.66</v>
      </c>
      <c r="C35" s="9">
        <f>04_理论成本!D35</f>
        <v/>
      </c>
      <c r="D35" s="9">
        <f>B35-C35</f>
        <v/>
      </c>
      <c r="E35" s="9" t="n">
        <v>304.0599999999995</v>
      </c>
      <c r="F35" s="9" t="n">
        <v>190.1599999999999</v>
      </c>
      <c r="G35" s="17" t="n">
        <v>1.429149814993392</v>
      </c>
    </row>
    <row r="36">
      <c r="A36" s="8" t="inlineStr">
        <is>
          <t>20251112</t>
        </is>
      </c>
      <c r="B36" s="9" t="n">
        <v>4637.17</v>
      </c>
      <c r="C36" s="9">
        <f>04_理论成本!D36</f>
        <v/>
      </c>
      <c r="D36" s="9">
        <f>B36-C36</f>
        <v/>
      </c>
      <c r="E36" s="9" t="n">
        <v>230.7699999999995</v>
      </c>
      <c r="F36" s="9" t="n">
        <v>115.1700000000001</v>
      </c>
      <c r="G36" s="17" t="n">
        <v>0.6298600071396597</v>
      </c>
    </row>
    <row r="37">
      <c r="A37" s="8" t="inlineStr">
        <is>
          <t>20251113</t>
        </is>
      </c>
      <c r="B37" s="9" t="n">
        <v>4635.5</v>
      </c>
      <c r="C37" s="9">
        <f>04_理论成本!D37</f>
        <v/>
      </c>
      <c r="D37" s="9">
        <f>B37-C37</f>
        <v/>
      </c>
      <c r="E37" s="9" t="n">
        <v>229.0999999999995</v>
      </c>
      <c r="F37" s="9" t="n">
        <v>113.5</v>
      </c>
      <c r="G37" s="17" t="n">
        <v>0.5390087220769437</v>
      </c>
    </row>
    <row r="38">
      <c r="A38" s="8" t="inlineStr">
        <is>
          <t>20251114</t>
        </is>
      </c>
      <c r="B38" s="9" t="n">
        <v>4591.58</v>
      </c>
      <c r="C38" s="9">
        <f>04_理论成本!D38</f>
        <v/>
      </c>
      <c r="D38" s="9">
        <f>B38-C38</f>
        <v/>
      </c>
      <c r="E38" s="9" t="n">
        <v>185.1799999999994</v>
      </c>
      <c r="F38" s="9" t="n">
        <v>69.57999999999993</v>
      </c>
      <c r="G38" s="17" t="n">
        <v>-0.04643757249898579</v>
      </c>
    </row>
    <row r="39">
      <c r="A39" s="8" t="inlineStr">
        <is>
          <t>20251117</t>
        </is>
      </c>
      <c r="B39" s="9" t="n">
        <v>4671.09</v>
      </c>
      <c r="C39" s="9">
        <f>04_理论成本!D39</f>
        <v/>
      </c>
      <c r="D39" s="9">
        <f>B39-C39</f>
        <v/>
      </c>
      <c r="E39" s="9" t="n">
        <v>264.6899999999996</v>
      </c>
      <c r="F39" s="9" t="n">
        <v>149.0900000000001</v>
      </c>
      <c r="G39" s="17" t="n">
        <v>0.9360420132125169</v>
      </c>
    </row>
    <row r="40">
      <c r="A40" s="8" t="inlineStr">
        <is>
          <t>20251118</t>
        </is>
      </c>
      <c r="B40" s="9" t="n">
        <v>4647</v>
      </c>
      <c r="C40" s="9">
        <f>04_理论成本!D40</f>
        <v/>
      </c>
      <c r="D40" s="9">
        <f>B40-C40</f>
        <v/>
      </c>
      <c r="E40" s="9" t="n">
        <v>240.5999999999995</v>
      </c>
      <c r="F40" s="9" t="n">
        <v>125</v>
      </c>
      <c r="G40" s="17" t="n">
        <v>0.5003951962843041</v>
      </c>
    </row>
    <row r="41">
      <c r="A41" s="8" t="inlineStr">
        <is>
          <t>20251119</t>
        </is>
      </c>
      <c r="B41" s="9" t="n">
        <v>4628.75</v>
      </c>
      <c r="C41" s="9">
        <f>04_理论成本!D41</f>
        <v/>
      </c>
      <c r="D41" s="9">
        <f>B41-C41</f>
        <v/>
      </c>
      <c r="E41" s="9" t="n">
        <v>222.3499999999995</v>
      </c>
      <c r="F41" s="9" t="n">
        <v>106.75</v>
      </c>
      <c r="G41" s="17" t="n">
        <v>0.03744238350318114</v>
      </c>
    </row>
    <row r="42">
      <c r="A42" s="8" t="inlineStr">
        <is>
          <t>20251120</t>
        </is>
      </c>
      <c r="B42" s="9" t="n">
        <v>4648.91</v>
      </c>
      <c r="C42" s="9">
        <f>04_理论成本!D42</f>
        <v/>
      </c>
      <c r="D42" s="9">
        <f>B42-C42</f>
        <v/>
      </c>
      <c r="E42" s="9" t="n">
        <v>242.5099999999993</v>
      </c>
      <c r="F42" s="9" t="n">
        <v>126.9099999999999</v>
      </c>
      <c r="G42" s="17" t="n">
        <v>0.4435725090463071</v>
      </c>
    </row>
    <row r="43">
      <c r="A43" s="8" t="inlineStr">
        <is>
          <t>20251121</t>
        </is>
      </c>
      <c r="B43" s="9" t="n">
        <v>4656.66</v>
      </c>
      <c r="C43" s="9">
        <f>04_理论成本!D43</f>
        <v/>
      </c>
      <c r="D43" s="9">
        <f>B43-C43</f>
        <v/>
      </c>
      <c r="E43" s="9" t="n">
        <v>250.2599999999993</v>
      </c>
      <c r="F43" s="9" t="n">
        <v>134.6599999999999</v>
      </c>
      <c r="G43" s="17" t="n">
        <v>0.6051322077660255</v>
      </c>
    </row>
    <row r="44">
      <c r="A44" s="8" t="inlineStr">
        <is>
          <t>20251124</t>
        </is>
      </c>
      <c r="B44" s="9" t="n">
        <v>4622.25</v>
      </c>
      <c r="C44" s="9">
        <f>04_理论成本!D44</f>
        <v/>
      </c>
      <c r="D44" s="9">
        <f>B44-C44</f>
        <v/>
      </c>
      <c r="E44" s="9" t="n">
        <v>215.8499999999995</v>
      </c>
      <c r="F44" s="9" t="n">
        <v>100.25</v>
      </c>
      <c r="G44" s="17" t="n">
        <v>-0.7507468267981381</v>
      </c>
    </row>
    <row r="45">
      <c r="A45" s="8" t="inlineStr">
        <is>
          <t>20251125</t>
        </is>
      </c>
      <c r="B45" s="9" t="n">
        <v>4648.08</v>
      </c>
      <c r="C45" s="9">
        <f>04_理论成本!D45</f>
        <v/>
      </c>
      <c r="D45" s="9">
        <f>B45-C45</f>
        <v/>
      </c>
      <c r="E45" s="9" t="n">
        <v>241.6799999999994</v>
      </c>
      <c r="F45" s="9" t="n">
        <v>126.0799999999999</v>
      </c>
      <c r="G45" s="17" t="n">
        <v>0.2429277229622956</v>
      </c>
    </row>
    <row r="46">
      <c r="A46" s="8" t="inlineStr">
        <is>
          <t>20251126</t>
        </is>
      </c>
      <c r="B46" s="9" t="n">
        <v>4651.66</v>
      </c>
      <c r="C46" s="9">
        <f>04_理论成本!D46</f>
        <v/>
      </c>
      <c r="D46" s="9">
        <f>B46-C46</f>
        <v/>
      </c>
      <c r="E46" s="9" t="n">
        <v>245.2599999999993</v>
      </c>
      <c r="F46" s="9" t="n">
        <v>129.6599999999999</v>
      </c>
      <c r="G46" s="17" t="n">
        <v>0.3957277193652347</v>
      </c>
    </row>
    <row r="47">
      <c r="A47" s="8" t="inlineStr">
        <is>
          <t>20251127</t>
        </is>
      </c>
      <c r="B47" s="9" t="n">
        <v>4654.83</v>
      </c>
      <c r="C47" s="9">
        <f>04_理论成本!D47</f>
        <v/>
      </c>
      <c r="D47" s="9">
        <f>B47-C47</f>
        <v/>
      </c>
      <c r="E47" s="9" t="n">
        <v>248.4299999999994</v>
      </c>
      <c r="F47" s="9" t="n">
        <v>132.8299999999999</v>
      </c>
      <c r="G47" s="17" t="n">
        <v>0.5171770421672581</v>
      </c>
    </row>
    <row r="48">
      <c r="A48" s="8" t="inlineStr">
        <is>
          <t>20251128</t>
        </is>
      </c>
      <c r="B48" s="9" t="n">
        <v>4628.33</v>
      </c>
      <c r="C48" s="9">
        <f>04_理论成本!D48</f>
        <v/>
      </c>
      <c r="D48" s="9">
        <f>B48-C48</f>
        <v/>
      </c>
      <c r="E48" s="9" t="n">
        <v>221.9299999999994</v>
      </c>
      <c r="F48" s="9" t="n">
        <v>106.3299999999999</v>
      </c>
      <c r="G48" s="17" t="n">
        <v>-0.4887823094416218</v>
      </c>
    </row>
    <row r="49">
      <c r="A49" s="8" t="inlineStr">
        <is>
          <t>20251201</t>
        </is>
      </c>
      <c r="B49" s="9" t="n">
        <v>4658.5</v>
      </c>
      <c r="C49" s="9">
        <f>04_理论成本!D49</f>
        <v/>
      </c>
      <c r="D49" s="9">
        <f>B49-C49</f>
        <v/>
      </c>
      <c r="E49" s="9" t="n">
        <v>219.6999999999998</v>
      </c>
      <c r="F49" s="9" t="n">
        <v>103.25</v>
      </c>
      <c r="G49" s="17" t="n">
        <v>-0.6438703374406385</v>
      </c>
    </row>
    <row r="50">
      <c r="A50" s="8" t="inlineStr">
        <is>
          <t>20251202</t>
        </is>
      </c>
      <c r="B50" s="9" t="n">
        <v>4703</v>
      </c>
      <c r="C50" s="9">
        <f>04_理论成本!D50</f>
        <v/>
      </c>
      <c r="D50" s="9">
        <f>B50-C50</f>
        <v/>
      </c>
      <c r="E50" s="9" t="n">
        <v>264.1999999999998</v>
      </c>
      <c r="F50" s="9" t="n">
        <v>147.75</v>
      </c>
      <c r="G50" s="17" t="n">
        <v>1.061410171514913</v>
      </c>
    </row>
    <row r="51">
      <c r="A51" s="8" t="inlineStr">
        <is>
          <t>20251203</t>
        </is>
      </c>
      <c r="B51" s="9" t="n">
        <v>4708.66</v>
      </c>
      <c r="C51" s="9">
        <f>04_理论成本!D51</f>
        <v/>
      </c>
      <c r="D51" s="9">
        <f>B51-C51</f>
        <v/>
      </c>
      <c r="E51" s="9" t="n">
        <v>269.8599999999997</v>
      </c>
      <c r="F51" s="9" t="n">
        <v>153.4099999999999</v>
      </c>
      <c r="G51" s="17" t="n">
        <v>1.164553349738256</v>
      </c>
    </row>
    <row r="52">
      <c r="A52" s="8" t="inlineStr">
        <is>
          <t>20251204</t>
        </is>
      </c>
      <c r="B52" s="9" t="n">
        <v>4705.09</v>
      </c>
      <c r="C52" s="9">
        <f>04_理论成本!D52</f>
        <v/>
      </c>
      <c r="D52" s="9">
        <f>B52-C52</f>
        <v/>
      </c>
      <c r="E52" s="9" t="n">
        <v>266.29</v>
      </c>
      <c r="F52" s="9" t="n">
        <v>149.8400000000001</v>
      </c>
      <c r="G52" s="17" t="n">
        <v>0.9286106562551416</v>
      </c>
    </row>
    <row r="53">
      <c r="A53" s="8" t="inlineStr">
        <is>
          <t>20251205</t>
        </is>
      </c>
      <c r="B53" s="9" t="n">
        <v>4702.25</v>
      </c>
      <c r="C53" s="9">
        <f>04_理论成本!D53</f>
        <v/>
      </c>
      <c r="D53" s="9">
        <f>B53-C53</f>
        <v/>
      </c>
      <c r="E53" s="9" t="n">
        <v>166.25</v>
      </c>
      <c r="F53" s="9" t="n">
        <v>47.25</v>
      </c>
      <c r="G53" s="17" t="n">
        <v>-2.420648606908095</v>
      </c>
    </row>
    <row r="54">
      <c r="A54" s="8" t="inlineStr">
        <is>
          <t>20251208</t>
        </is>
      </c>
      <c r="B54" s="9" t="n">
        <v>4694.41</v>
      </c>
      <c r="C54" s="9">
        <f>04_理论成本!D54</f>
        <v/>
      </c>
      <c r="D54" s="9">
        <f>B54-C54</f>
        <v/>
      </c>
      <c r="E54" s="9" t="n">
        <v>158.4099999999999</v>
      </c>
      <c r="F54" s="9" t="n">
        <v>39.40999999999985</v>
      </c>
      <c r="G54" s="17" t="n">
        <v>-2.178645037414305</v>
      </c>
    </row>
    <row r="55">
      <c r="A55" s="8" t="inlineStr">
        <is>
          <t>20251209</t>
        </is>
      </c>
      <c r="B55" s="9" t="n">
        <v>4687.75</v>
      </c>
      <c r="C55" s="9">
        <f>04_理论成本!D55</f>
        <v/>
      </c>
      <c r="D55" s="9">
        <f>B55-C55</f>
        <v/>
      </c>
      <c r="E55" s="9" t="n">
        <v>151.75</v>
      </c>
      <c r="F55" s="9" t="n">
        <v>32.75</v>
      </c>
      <c r="G55" s="17" t="n">
        <v>-2.111063230407544</v>
      </c>
    </row>
    <row r="56">
      <c r="A56" s="8" t="inlineStr">
        <is>
          <t>20251210</t>
        </is>
      </c>
      <c r="B56" s="9" t="n">
        <v>4682.92</v>
      </c>
      <c r="C56" s="9">
        <f>04_理论成本!D56</f>
        <v/>
      </c>
      <c r="D56" s="9">
        <f>B56-C56</f>
        <v/>
      </c>
      <c r="E56" s="9" t="n">
        <v>146.9200000000001</v>
      </c>
      <c r="F56" s="9" t="n">
        <v>27.92000000000007</v>
      </c>
      <c r="G56" s="17" t="n">
        <v>-1.902412732383265</v>
      </c>
    </row>
    <row r="57">
      <c r="A57" s="8" t="inlineStr">
        <is>
          <t>20251211</t>
        </is>
      </c>
      <c r="B57" s="9" t="n">
        <v>4637</v>
      </c>
      <c r="C57" s="9">
        <f>04_理论成本!D57</f>
        <v/>
      </c>
      <c r="D57" s="9">
        <f>B57-C57</f>
        <v/>
      </c>
      <c r="E57" s="9" t="n">
        <v>101</v>
      </c>
      <c r="F57" s="9" t="n">
        <v>-18</v>
      </c>
      <c r="G57" s="17" t="n">
        <v>-2.38572306159148</v>
      </c>
    </row>
    <row r="58">
      <c r="A58" s="8" t="inlineStr">
        <is>
          <t>20251212</t>
        </is>
      </c>
      <c r="B58" s="9" t="n">
        <v>4651.66</v>
      </c>
      <c r="C58" s="9">
        <f>04_理论成本!D58</f>
        <v/>
      </c>
      <c r="D58" s="9">
        <f>B58-C58</f>
        <v/>
      </c>
      <c r="E58" s="9" t="n">
        <v>115.6599999999999</v>
      </c>
      <c r="F58" s="9" t="n">
        <v>-3.340000000000146</v>
      </c>
      <c r="G58" s="17" t="n">
        <v>-1.834624688216252</v>
      </c>
    </row>
    <row r="59">
      <c r="A59" s="8" t="inlineStr">
        <is>
          <t>20251215</t>
        </is>
      </c>
      <c r="B59" s="9" t="n">
        <v>4639.4</v>
      </c>
      <c r="C59" s="9">
        <f>04_理论成本!D59</f>
        <v/>
      </c>
      <c r="D59" s="9">
        <f>B59-C59</f>
        <v/>
      </c>
      <c r="E59" s="9" t="n">
        <v>103.3999999999996</v>
      </c>
      <c r="F59" s="9" t="n">
        <v>-15.60000000000036</v>
      </c>
      <c r="G59" s="17" t="n">
        <v>-1.783702464443662</v>
      </c>
    </row>
    <row r="60">
      <c r="A60" s="8" t="inlineStr">
        <is>
          <t>20251216</t>
        </is>
      </c>
      <c r="B60" s="9" t="n">
        <v>4649.66</v>
      </c>
      <c r="C60" s="9">
        <f>04_理论成本!D60</f>
        <v/>
      </c>
      <c r="D60" s="9">
        <f>B60-C60</f>
        <v/>
      </c>
      <c r="E60" s="9" t="n">
        <v>113.6599999999999</v>
      </c>
      <c r="F60" s="9" t="n">
        <v>-5.340000000000146</v>
      </c>
      <c r="G60" s="17" t="n">
        <v>-1.422287952843829</v>
      </c>
    </row>
    <row r="61">
      <c r="A61" s="8" t="inlineStr">
        <is>
          <t>20251217</t>
        </is>
      </c>
      <c r="B61" s="9" t="n">
        <v>4622.58</v>
      </c>
      <c r="C61" s="9">
        <f>04_理论成本!D61</f>
        <v/>
      </c>
      <c r="D61" s="9">
        <f>B61-C61</f>
        <v/>
      </c>
      <c r="E61" s="9" t="n">
        <v>86.57999999999993</v>
      </c>
      <c r="F61" s="9" t="n">
        <v>-32.42000000000007</v>
      </c>
      <c r="G61" s="17" t="n">
        <v>-1.631883066948285</v>
      </c>
    </row>
    <row r="62">
      <c r="A62" s="8" t="inlineStr">
        <is>
          <t>20251218</t>
        </is>
      </c>
      <c r="B62" s="9" t="n">
        <v>4626.34</v>
      </c>
      <c r="C62" s="9">
        <f>04_理论成本!D62</f>
        <v/>
      </c>
      <c r="D62" s="9">
        <f>B62-C62</f>
        <v/>
      </c>
      <c r="E62" s="9" t="n">
        <v>90.34000000000015</v>
      </c>
      <c r="F62" s="9" t="n">
        <v>-28.65999999999985</v>
      </c>
      <c r="G62" s="17" t="n">
        <v>-1.398957889102187</v>
      </c>
    </row>
    <row r="63">
      <c r="A63" s="8" t="inlineStr">
        <is>
          <t>20251219</t>
        </is>
      </c>
      <c r="B63" s="9" t="n">
        <v>4683.84</v>
      </c>
      <c r="C63" s="9">
        <f>04_理论成本!D63</f>
        <v/>
      </c>
      <c r="D63" s="9">
        <f>B63-C63</f>
        <v/>
      </c>
      <c r="E63" s="9" t="n">
        <v>147.8400000000001</v>
      </c>
      <c r="F63" s="9" t="n">
        <v>28.84000000000015</v>
      </c>
      <c r="G63" s="17" t="n">
        <v>-0.4779571047049851</v>
      </c>
    </row>
    <row r="64">
      <c r="A64" s="8" t="inlineStr">
        <is>
          <t>20251222</t>
        </is>
      </c>
      <c r="B64" s="9" t="n">
        <v>4735.25</v>
      </c>
      <c r="C64" s="9">
        <f>04_理论成本!D64</f>
        <v/>
      </c>
      <c r="D64" s="9">
        <f>B64-C64</f>
        <v/>
      </c>
      <c r="E64" s="9" t="n">
        <v>199.25</v>
      </c>
      <c r="F64" s="9" t="n">
        <v>80.25</v>
      </c>
      <c r="G64" s="17" t="n">
        <v>0.3185515719746876</v>
      </c>
    </row>
    <row r="65">
      <c r="A65" s="8" t="inlineStr">
        <is>
          <t>20251223</t>
        </is>
      </c>
      <c r="B65" s="9" t="n">
        <v>4879.34</v>
      </c>
      <c r="C65" s="9">
        <f>04_理论成本!D65</f>
        <v/>
      </c>
      <c r="D65" s="9">
        <f>B65-C65</f>
        <v/>
      </c>
      <c r="E65" s="9" t="n">
        <v>343.3400000000001</v>
      </c>
      <c r="F65" s="9" t="n">
        <v>224.3400000000001</v>
      </c>
      <c r="G65" s="17" t="n">
        <v>2.163242758057335</v>
      </c>
    </row>
    <row r="66">
      <c r="A66" s="8" t="inlineStr">
        <is>
          <t>20251224</t>
        </is>
      </c>
      <c r="B66" s="9" t="n">
        <v>4923.16</v>
      </c>
      <c r="C66" s="9">
        <f>04_理论成本!D66</f>
        <v/>
      </c>
      <c r="D66" s="9">
        <f>B66-C66</f>
        <v/>
      </c>
      <c r="E66" s="9" t="n">
        <v>387.1599999999999</v>
      </c>
      <c r="F66" s="9" t="n">
        <v>268.1599999999999</v>
      </c>
      <c r="G66" s="17" t="n">
        <v>2.288725273317342</v>
      </c>
    </row>
    <row r="67">
      <c r="A67" s="8" t="inlineStr">
        <is>
          <t>20251225</t>
        </is>
      </c>
      <c r="B67" s="9" t="n">
        <v>4970.5</v>
      </c>
      <c r="C67" s="9">
        <f>04_理论成本!D67</f>
        <v/>
      </c>
      <c r="D67" s="9">
        <f>B67-C67</f>
        <v/>
      </c>
      <c r="E67" s="9" t="n">
        <v>434.5</v>
      </c>
      <c r="F67" s="9" t="n">
        <v>315.5</v>
      </c>
      <c r="G67" s="17" t="n">
        <v>2.319759179357922</v>
      </c>
    </row>
    <row r="68">
      <c r="A68" s="8" t="inlineStr">
        <is>
          <t>20251226</t>
        </is>
      </c>
      <c r="B68" s="9" t="n">
        <v>5056.34</v>
      </c>
      <c r="C68" s="9">
        <f>04_理论成本!D68</f>
        <v/>
      </c>
      <c r="D68" s="9">
        <f>B68-C68</f>
        <v/>
      </c>
      <c r="E68" s="9" t="n">
        <v>520.3400000000001</v>
      </c>
      <c r="F68" s="9" t="n">
        <v>401.3400000000001</v>
      </c>
      <c r="G68" s="17" t="n">
        <v>2.464537807609736</v>
      </c>
    </row>
    <row r="69">
      <c r="A69" s="8" t="inlineStr">
        <is>
          <t>20251229</t>
        </is>
      </c>
      <c r="B69" s="9" t="n">
        <v>5144.84</v>
      </c>
      <c r="C69" s="9">
        <f>04_理论成本!D69</f>
        <v/>
      </c>
      <c r="D69" s="9">
        <f>B69-C69</f>
        <v/>
      </c>
      <c r="E69" s="9" t="n">
        <v>608.8400000000001</v>
      </c>
      <c r="F69" s="9" t="n">
        <v>489.8400000000001</v>
      </c>
      <c r="G69" s="17" t="n">
        <v>2.462351154293593</v>
      </c>
    </row>
    <row r="70">
      <c r="A70" s="8" t="inlineStr">
        <is>
          <t>20251230</t>
        </is>
      </c>
      <c r="B70" s="9" t="n">
        <v>5045.84</v>
      </c>
      <c r="C70" s="9">
        <f>04_理论成本!D70</f>
        <v/>
      </c>
      <c r="D70" s="9">
        <f>B70-C70</f>
        <v/>
      </c>
      <c r="E70" s="9" t="n">
        <v>509.8400000000001</v>
      </c>
      <c r="F70" s="9" t="n">
        <v>390.8400000000001</v>
      </c>
      <c r="G70" s="17" t="n">
        <v>1.605298804444147</v>
      </c>
    </row>
    <row r="71">
      <c r="A71" s="8" t="inlineStr">
        <is>
          <t>20251231</t>
        </is>
      </c>
      <c r="B71" s="9" t="n">
        <v>5082.66</v>
      </c>
      <c r="C71" s="9">
        <f>04_理论成本!D71</f>
        <v/>
      </c>
      <c r="D71" s="9">
        <f>B71-C71</f>
        <v/>
      </c>
      <c r="E71" s="9" t="n">
        <v>546.6599999999999</v>
      </c>
      <c r="F71" s="9" t="n">
        <v>427.6599999999999</v>
      </c>
      <c r="G71" s="17" t="n">
        <v>1.61543537687341</v>
      </c>
    </row>
    <row r="72">
      <c r="A72" s="8" t="inlineStr">
        <is>
          <t>20260101</t>
        </is>
      </c>
      <c r="B72" s="9" t="n">
        <v>5079.09</v>
      </c>
      <c r="C72" s="9">
        <f>04_理论成本!D72</f>
        <v/>
      </c>
      <c r="D72" s="9">
        <f>B72-C72</f>
        <v/>
      </c>
      <c r="E72" s="9" t="n">
        <v>219.0900000000001</v>
      </c>
      <c r="F72" s="9" t="n">
        <v>91.59000000000015</v>
      </c>
      <c r="G72" s="17" t="n">
        <v>-0.2350390818918614</v>
      </c>
    </row>
    <row r="73">
      <c r="A73" s="8" t="inlineStr">
        <is>
          <t>20260102</t>
        </is>
      </c>
      <c r="B73" s="9" t="n">
        <v>5079.09</v>
      </c>
      <c r="C73" s="9">
        <f>04_理论成本!D73</f>
        <v/>
      </c>
      <c r="D73" s="9">
        <f>B73-C73</f>
        <v/>
      </c>
      <c r="E73" s="9" t="n">
        <v>219.0900000000001</v>
      </c>
      <c r="F73" s="9" t="n">
        <v>91.59000000000015</v>
      </c>
      <c r="G73" s="17" t="n">
        <v>-0.2503151287883438</v>
      </c>
    </row>
    <row r="74">
      <c r="A74" s="8" t="inlineStr">
        <is>
          <t>20260105</t>
        </is>
      </c>
      <c r="B74" s="9" t="n">
        <v>5079.09</v>
      </c>
      <c r="C74" s="9">
        <f>04_理论成本!D74</f>
        <v/>
      </c>
      <c r="D74" s="9">
        <f>B74-C74</f>
        <v/>
      </c>
      <c r="E74" s="9" t="n">
        <v>219.0900000000001</v>
      </c>
      <c r="F74" s="9" t="n">
        <v>91.59000000000015</v>
      </c>
      <c r="G74" s="17" t="n">
        <v>-0.2684175376990471</v>
      </c>
    </row>
    <row r="75">
      <c r="A75" s="8" t="inlineStr">
        <is>
          <t>20260106</t>
        </is>
      </c>
      <c r="B75" s="9" t="n">
        <v>5014.91</v>
      </c>
      <c r="C75" s="9">
        <f>04_理论成本!D75</f>
        <v/>
      </c>
      <c r="D75" s="9">
        <f>B75-C75</f>
        <v/>
      </c>
      <c r="E75" s="9" t="n">
        <v>154.9099999999999</v>
      </c>
      <c r="F75" s="9" t="n">
        <v>27.40999999999985</v>
      </c>
      <c r="G75" s="17" t="n">
        <v>-0.6340148291736022</v>
      </c>
    </row>
    <row r="76">
      <c r="A76" s="8" t="inlineStr">
        <is>
          <t>20260107</t>
        </is>
      </c>
      <c r="B76" s="9" t="n">
        <v>5126.75</v>
      </c>
      <c r="C76" s="9">
        <f>04_理论成本!D76</f>
        <v/>
      </c>
      <c r="D76" s="9">
        <f>B76-C76</f>
        <v/>
      </c>
      <c r="E76" s="9" t="n">
        <v>266.75</v>
      </c>
      <c r="F76" s="9" t="n">
        <v>139.25</v>
      </c>
      <c r="G76" s="17" t="n">
        <v>-0.03023591223182192</v>
      </c>
    </row>
    <row r="77">
      <c r="A77" s="8" t="inlineStr">
        <is>
          <t>20260108</t>
        </is>
      </c>
      <c r="B77" s="9" t="n">
        <v>5089.34</v>
      </c>
      <c r="C77" s="9">
        <f>04_理论成本!D77</f>
        <v/>
      </c>
      <c r="D77" s="9">
        <f>B77-C77</f>
        <v/>
      </c>
      <c r="E77" s="9" t="n">
        <v>229.3400000000001</v>
      </c>
      <c r="F77" s="9" t="n">
        <v>101.8400000000001</v>
      </c>
      <c r="G77" s="17" t="n">
        <v>-0.2889375918377723</v>
      </c>
    </row>
    <row r="78">
      <c r="A78" s="8" t="inlineStr">
        <is>
          <t>20260109</t>
        </is>
      </c>
      <c r="B78" s="9" t="n">
        <v>5078.66</v>
      </c>
      <c r="C78" s="9">
        <f>04_理论成本!D78</f>
        <v/>
      </c>
      <c r="D78" s="9">
        <f>B78-C78</f>
        <v/>
      </c>
      <c r="E78" s="9" t="n">
        <v>218.6599999999999</v>
      </c>
      <c r="F78" s="9" t="n">
        <v>91.15999999999985</v>
      </c>
      <c r="G78" s="17" t="n">
        <v>-0.3894979644362496</v>
      </c>
    </row>
    <row r="79">
      <c r="A79" s="8" t="inlineStr">
        <is>
          <t>20260112</t>
        </is>
      </c>
      <c r="B79" s="9" t="n">
        <v>5094.66</v>
      </c>
      <c r="C79" s="9">
        <f>04_理论成本!D79</f>
        <v/>
      </c>
      <c r="D79" s="9">
        <f>B79-C79</f>
        <v/>
      </c>
      <c r="E79" s="9" t="n">
        <v>234.6599999999999</v>
      </c>
      <c r="F79" s="9" t="n">
        <v>107.1599999999999</v>
      </c>
      <c r="G79" s="17" t="n">
        <v>-0.3413002382340485</v>
      </c>
    </row>
    <row r="80">
      <c r="A80" s="8" t="inlineStr">
        <is>
          <t>20260113</t>
        </is>
      </c>
      <c r="B80" s="9" t="n">
        <v>5123.09</v>
      </c>
      <c r="C80" s="9">
        <f>04_理论成本!D80</f>
        <v/>
      </c>
      <c r="D80" s="9">
        <f>B80-C80</f>
        <v/>
      </c>
      <c r="E80" s="9" t="n">
        <v>263.0900000000001</v>
      </c>
      <c r="F80" s="9" t="n">
        <v>135.5900000000001</v>
      </c>
      <c r="G80" s="17" t="n">
        <v>-0.2167366432150183</v>
      </c>
    </row>
    <row r="81">
      <c r="A81" s="8" t="inlineStr">
        <is>
          <t>20260114</t>
        </is>
      </c>
      <c r="B81" s="9" t="n">
        <v>5108.58</v>
      </c>
      <c r="C81" s="9">
        <f>04_理论成本!D81</f>
        <v/>
      </c>
      <c r="D81" s="9">
        <f>B81-C81</f>
        <v/>
      </c>
      <c r="E81" s="9" t="n">
        <v>248.5799999999999</v>
      </c>
      <c r="F81" s="9" t="n">
        <v>121.0799999999999</v>
      </c>
      <c r="G81" s="17" t="n">
        <v>-0.3780367474182564</v>
      </c>
    </row>
    <row r="82">
      <c r="A82" s="8" t="inlineStr">
        <is>
          <t>20260115</t>
        </is>
      </c>
      <c r="B82" s="9" t="n">
        <v>5093.58</v>
      </c>
      <c r="C82" s="9">
        <f>04_理论成本!D82</f>
        <v/>
      </c>
      <c r="D82" s="9">
        <f>B82-C82</f>
        <v/>
      </c>
      <c r="E82" s="9" t="n">
        <v>233.5799999999999</v>
      </c>
      <c r="F82" s="9" t="n">
        <v>106.0799999999999</v>
      </c>
      <c r="G82" s="17" t="n">
        <v>-0.5530839155713498</v>
      </c>
    </row>
    <row r="83">
      <c r="A83" s="8" t="inlineStr">
        <is>
          <t>20260116</t>
        </is>
      </c>
      <c r="B83" s="9" t="n">
        <v>5064.09</v>
      </c>
      <c r="C83" s="9">
        <f>04_理论成本!D83</f>
        <v/>
      </c>
      <c r="D83" s="9">
        <f>B83-C83</f>
        <v/>
      </c>
      <c r="E83" s="9" t="n">
        <v>204.0900000000001</v>
      </c>
      <c r="F83" s="9" t="n">
        <v>76.59000000000015</v>
      </c>
      <c r="G83" s="17" t="n">
        <v>-0.7953274739406431</v>
      </c>
    </row>
    <row r="84">
      <c r="A84" s="8" t="inlineStr">
        <is>
          <t>20260119</t>
        </is>
      </c>
      <c r="B84" s="9" t="n">
        <v>5019.83</v>
      </c>
      <c r="C84" s="9">
        <f>04_理论成本!D84</f>
        <v/>
      </c>
      <c r="D84" s="9">
        <f>B84-C84</f>
        <v/>
      </c>
      <c r="E84" s="9" t="n">
        <v>159.8299999999999</v>
      </c>
      <c r="F84" s="9" t="n">
        <v>32.32999999999993</v>
      </c>
      <c r="G84" s="17" t="n">
        <v>-1.082204506485877</v>
      </c>
    </row>
    <row r="85">
      <c r="A85" s="8" t="inlineStr">
        <is>
          <t>20260120</t>
        </is>
      </c>
      <c r="B85" s="9" t="n">
        <v>5009.34</v>
      </c>
      <c r="C85" s="9">
        <f>04_理论成本!D85</f>
        <v/>
      </c>
      <c r="D85" s="9">
        <f>B85-C85</f>
        <v/>
      </c>
      <c r="E85" s="9" t="n">
        <v>149.3400000000001</v>
      </c>
      <c r="F85" s="9" t="n">
        <v>21.84000000000015</v>
      </c>
      <c r="G85" s="17" t="n">
        <v>-1.054336610400942</v>
      </c>
    </row>
    <row r="86">
      <c r="A86" s="8" t="inlineStr">
        <is>
          <t>20260121</t>
        </is>
      </c>
      <c r="B86" s="9" t="n">
        <v>5044.92</v>
      </c>
      <c r="C86" s="9">
        <f>04_理论成本!D86</f>
        <v/>
      </c>
      <c r="D86" s="9">
        <f>B86-C86</f>
        <v/>
      </c>
      <c r="E86" s="9" t="n">
        <v>184.9200000000001</v>
      </c>
      <c r="F86" s="9" t="n">
        <v>57.42000000000007</v>
      </c>
      <c r="G86" s="17" t="n">
        <v>-0.7348594255423264</v>
      </c>
    </row>
    <row r="87">
      <c r="A87" s="8" t="inlineStr">
        <is>
          <t>20260122</t>
        </is>
      </c>
      <c r="B87" s="9" t="n">
        <v>5059.41</v>
      </c>
      <c r="C87" s="9">
        <f>04_理论成本!D87</f>
        <v/>
      </c>
      <c r="D87" s="9">
        <f>B87-C87</f>
        <v/>
      </c>
      <c r="E87" s="9" t="n">
        <v>199.4099999999999</v>
      </c>
      <c r="F87" s="9" t="n">
        <v>71.90999999999985</v>
      </c>
      <c r="G87" s="17" t="n">
        <v>-0.5647230530816901</v>
      </c>
    </row>
    <row r="88">
      <c r="A88" s="8" t="inlineStr">
        <is>
          <t>20260123</t>
        </is>
      </c>
      <c r="B88" s="9" t="n">
        <v>5098.75</v>
      </c>
      <c r="C88" s="9">
        <f>04_理论成本!D88</f>
        <v/>
      </c>
      <c r="D88" s="9">
        <f>B88-C88</f>
        <v/>
      </c>
      <c r="E88" s="9" t="n">
        <v>238.75</v>
      </c>
      <c r="F88" s="9" t="n">
        <v>111.25</v>
      </c>
      <c r="G88" s="17" t="n">
        <v>-0.2072744437739258</v>
      </c>
    </row>
    <row r="89">
      <c r="A89" s="8" t="inlineStr">
        <is>
          <t>20260126</t>
        </is>
      </c>
      <c r="B89" s="9" t="n">
        <v>5247.5</v>
      </c>
      <c r="C89" s="9">
        <f>04_理论成本!D89</f>
        <v/>
      </c>
      <c r="D89" s="9">
        <f>B89-C89</f>
        <v/>
      </c>
      <c r="E89" s="9" t="n">
        <v>387.5</v>
      </c>
      <c r="F89" s="9" t="n">
        <v>260</v>
      </c>
      <c r="G89" s="17" t="n">
        <v>1.235528548090462</v>
      </c>
    </row>
    <row r="90">
      <c r="A90" s="8" t="inlineStr">
        <is>
          <t>20260127</t>
        </is>
      </c>
      <c r="B90" s="9" t="n">
        <v>5341.25</v>
      </c>
      <c r="C90" s="9">
        <f>04_理论成本!D90</f>
        <v/>
      </c>
      <c r="D90" s="9">
        <f>B90-C90</f>
        <v/>
      </c>
      <c r="E90" s="9" t="n">
        <v>610.8499999999995</v>
      </c>
      <c r="F90" s="9" t="n">
        <v>486.75</v>
      </c>
      <c r="G90" s="17" t="n">
        <v>2.904876323784755</v>
      </c>
    </row>
    <row r="91">
      <c r="A91" s="8" t="inlineStr">
        <is>
          <t>20260128</t>
        </is>
      </c>
      <c r="B91" s="9" t="n">
        <v>5267.09</v>
      </c>
      <c r="C91" s="9">
        <f>04_理论成本!D91</f>
        <v/>
      </c>
      <c r="D91" s="9">
        <f>B91-C91</f>
        <v/>
      </c>
      <c r="E91" s="9" t="n">
        <v>536.6899999999996</v>
      </c>
      <c r="F91" s="9" t="n">
        <v>412.5900000000001</v>
      </c>
      <c r="G91" s="17" t="n">
        <v>2.327635317421021</v>
      </c>
    </row>
    <row r="92">
      <c r="A92" s="8" t="inlineStr">
        <is>
          <t>20260129</t>
        </is>
      </c>
      <c r="B92" s="9" t="n">
        <v>5314.75</v>
      </c>
      <c r="C92" s="9">
        <f>04_理论成本!D92</f>
        <v/>
      </c>
      <c r="D92" s="9">
        <f>B92-C92</f>
        <v/>
      </c>
      <c r="E92" s="9" t="n">
        <v>584.3499999999995</v>
      </c>
      <c r="F92" s="9" t="n">
        <v>460.25</v>
      </c>
      <c r="G92" s="17" t="n">
        <v>2.205368220399655</v>
      </c>
    </row>
    <row r="93">
      <c r="A93" s="8" t="inlineStr">
        <is>
          <t>20260130</t>
        </is>
      </c>
      <c r="B93" s="9" t="n">
        <v>5297.25</v>
      </c>
      <c r="C93" s="9">
        <f>04_理论成本!D93</f>
        <v/>
      </c>
      <c r="D93" s="9">
        <f>B93-C93</f>
        <v/>
      </c>
      <c r="E93" s="9" t="n">
        <v>566.8499999999995</v>
      </c>
      <c r="F93" s="9" t="n">
        <v>442.75</v>
      </c>
      <c r="G93" s="17" t="n">
        <v>1.783357936309461</v>
      </c>
    </row>
    <row r="94">
      <c r="A94" s="8" t="inlineStr">
        <is>
          <t>20260202</t>
        </is>
      </c>
      <c r="B94" s="9" t="n">
        <v>5298.83</v>
      </c>
      <c r="C94" s="9">
        <f>04_理论成本!D94</f>
        <v/>
      </c>
      <c r="D94" s="9">
        <f>B94-C94</f>
        <v/>
      </c>
      <c r="E94" s="9" t="n">
        <v>568.4299999999994</v>
      </c>
      <c r="F94" s="9" t="n">
        <v>444.3299999999999</v>
      </c>
      <c r="G94" s="17" t="n">
        <v>1.570922797035281</v>
      </c>
    </row>
    <row r="95">
      <c r="A95" s="8" t="inlineStr">
        <is>
          <t>20260203</t>
        </is>
      </c>
      <c r="B95" s="9" t="n">
        <v>5173.91</v>
      </c>
      <c r="C95" s="9">
        <f>04_理论成本!D95</f>
        <v/>
      </c>
      <c r="D95" s="9">
        <f>B95-C95</f>
        <v/>
      </c>
      <c r="E95" s="9" t="n">
        <v>216.71</v>
      </c>
      <c r="F95" s="9" t="n">
        <v>86.65999999999985</v>
      </c>
      <c r="G95" s="17" t="n">
        <v>-0.6182367008068105</v>
      </c>
    </row>
    <row r="96">
      <c r="A96" s="8" t="inlineStr">
        <is>
          <t>20260204</t>
        </is>
      </c>
      <c r="B96" s="9" t="n">
        <v>5151.09</v>
      </c>
      <c r="C96" s="9">
        <f>04_理论成本!D96</f>
        <v/>
      </c>
      <c r="D96" s="9">
        <f>B96-C96</f>
        <v/>
      </c>
      <c r="E96" s="9" t="n">
        <v>193.8900000000003</v>
      </c>
      <c r="F96" s="9" t="n">
        <v>63.84000000000015</v>
      </c>
      <c r="G96" s="17" t="n">
        <v>-0.7277078893592882</v>
      </c>
    </row>
    <row r="97">
      <c r="A97" s="8" t="inlineStr">
        <is>
          <t>20260205</t>
        </is>
      </c>
      <c r="B97" s="9" t="n">
        <v>5167.03</v>
      </c>
      <c r="C97" s="9">
        <f>04_理论成本!D97</f>
        <v/>
      </c>
      <c r="D97" s="9">
        <f>B97-C97</f>
        <v/>
      </c>
      <c r="E97" s="9" t="n">
        <v>209.8299999999999</v>
      </c>
      <c r="F97" s="9" t="n">
        <v>79.77999999999975</v>
      </c>
      <c r="G97" s="17" t="n">
        <v>-0.6215235721044684</v>
      </c>
    </row>
    <row r="98">
      <c r="A98" s="8" t="inlineStr">
        <is>
          <t>20260206</t>
        </is>
      </c>
      <c r="B98" s="9" t="n">
        <v>5130.9</v>
      </c>
      <c r="C98" s="9">
        <f>04_理论成本!D98</f>
        <v/>
      </c>
      <c r="D98" s="9">
        <f>B98-C98</f>
        <v/>
      </c>
      <c r="E98" s="9" t="n">
        <v>173.6999999999998</v>
      </c>
      <c r="F98" s="9" t="n">
        <v>43.64999999999964</v>
      </c>
      <c r="G98" s="17" t="n">
        <v>-0.8194722745130375</v>
      </c>
    </row>
    <row r="99">
      <c r="A99" s="8" t="inlineStr">
        <is>
          <t>20260209</t>
        </is>
      </c>
      <c r="B99" s="9" t="n">
        <v>5144.26</v>
      </c>
      <c r="C99" s="9">
        <f>04_理论成本!D99</f>
        <v/>
      </c>
      <c r="D99" s="9">
        <f>B99-C99</f>
        <v/>
      </c>
      <c r="E99" s="9" t="n">
        <v>187.0600000000004</v>
      </c>
      <c r="F99" s="9" t="n">
        <v>57.01000000000022</v>
      </c>
      <c r="G99" s="17" t="n">
        <v>-0.7176769215147648</v>
      </c>
    </row>
    <row r="100">
      <c r="A100" s="8" t="inlineStr">
        <is>
          <t>20260210</t>
        </is>
      </c>
      <c r="B100" s="9" t="n">
        <v>5151.86</v>
      </c>
      <c r="C100" s="9">
        <f>04_理论成本!D100</f>
        <v/>
      </c>
      <c r="D100" s="9">
        <f>B100-C100</f>
        <v/>
      </c>
      <c r="E100" s="9" t="n">
        <v>194.6599999999999</v>
      </c>
      <c r="F100" s="9" t="n">
        <v>64.60999999999967</v>
      </c>
      <c r="G100" s="17" t="n">
        <v>-0.6450444100560176</v>
      </c>
    </row>
    <row r="101">
      <c r="A101" s="8" t="inlineStr">
        <is>
          <t>20260211</t>
        </is>
      </c>
      <c r="B101" s="9" t="n">
        <v>5195.2</v>
      </c>
      <c r="C101" s="9">
        <f>04_理论成本!D101</f>
        <v/>
      </c>
      <c r="D101" s="9">
        <f>B101-C101</f>
        <v/>
      </c>
      <c r="E101" s="9" t="n">
        <v>238</v>
      </c>
      <c r="F101" s="9" t="n">
        <v>107.9499999999998</v>
      </c>
      <c r="G101" s="17" t="n">
        <v>-0.3843375965622308</v>
      </c>
    </row>
    <row r="102">
      <c r="A102" s="8" t="inlineStr">
        <is>
          <t>20260212</t>
        </is>
      </c>
      <c r="B102" s="9" t="n">
        <v>5212.07</v>
      </c>
      <c r="C102" s="9">
        <f>04_理论成本!D102</f>
        <v/>
      </c>
      <c r="D102" s="9">
        <f>B102-C102</f>
        <v/>
      </c>
      <c r="E102" s="9" t="n">
        <v>254.8699999999999</v>
      </c>
      <c r="F102" s="9" t="n">
        <v>124.8199999999997</v>
      </c>
      <c r="G102" s="17" t="n">
        <v>-0.2911435759329197</v>
      </c>
    </row>
    <row r="103">
      <c r="A103" s="8" t="inlineStr">
        <is>
          <t>20260213</t>
        </is>
      </c>
      <c r="B103" s="9" t="n">
        <v>5184.66</v>
      </c>
      <c r="C103" s="9">
        <f>04_理论成本!D103</f>
        <v/>
      </c>
      <c r="D103" s="9">
        <f>B103-C103</f>
        <v/>
      </c>
      <c r="E103" s="9" t="n">
        <v>227.46</v>
      </c>
      <c r="F103" s="9" t="n">
        <v>97.40999999999985</v>
      </c>
      <c r="G103" s="17" t="n">
        <v>-0.4619903526952943</v>
      </c>
    </row>
    <row r="104">
      <c r="A104" s="8" t="inlineStr">
        <is>
          <t>20260216</t>
        </is>
      </c>
      <c r="B104" s="9" t="n">
        <v>5168.5</v>
      </c>
      <c r="C104" s="9">
        <f>04_理论成本!D104</f>
        <v/>
      </c>
      <c r="D104" s="9">
        <f>B104-C104</f>
        <v/>
      </c>
      <c r="E104" s="9" t="n">
        <v>211.3000000000002</v>
      </c>
      <c r="F104" s="9" t="n">
        <v>81.25</v>
      </c>
      <c r="G104" s="17" t="n">
        <v>-0.5797663475109476</v>
      </c>
    </row>
    <row r="105">
      <c r="A105" s="8" t="inlineStr">
        <is>
          <t>20260217</t>
        </is>
      </c>
      <c r="B105" s="9" t="n">
        <v>5168.5</v>
      </c>
      <c r="C105" s="9">
        <f>04_理论成本!D105</f>
        <v/>
      </c>
      <c r="D105" s="9">
        <f>B105-C105</f>
        <v/>
      </c>
      <c r="E105" s="9" t="n">
        <v>211.3000000000002</v>
      </c>
      <c r="F105" s="9" t="n">
        <v>81.25</v>
      </c>
      <c r="G105" s="17" t="n">
        <v>-0.6072196983777145</v>
      </c>
    </row>
    <row r="106">
      <c r="A106" s="8" t="inlineStr">
        <is>
          <t>20260218</t>
        </is>
      </c>
      <c r="B106" s="9" t="n">
        <v>5168.5</v>
      </c>
      <c r="C106" s="9">
        <f>04_理论成本!D106</f>
        <v/>
      </c>
      <c r="D106" s="9">
        <f>B106-C106</f>
        <v/>
      </c>
      <c r="E106" s="9" t="n">
        <v>211.3000000000002</v>
      </c>
      <c r="F106" s="9" t="n">
        <v>81.25</v>
      </c>
      <c r="G106" s="17" t="n">
        <v>-0.6184397950297893</v>
      </c>
    </row>
    <row r="107">
      <c r="A107" s="8" t="inlineStr">
        <is>
          <t>20260219</t>
        </is>
      </c>
      <c r="B107" s="9" t="n">
        <v>5168.5</v>
      </c>
      <c r="C107" s="9">
        <f>04_理论成本!D107</f>
        <v/>
      </c>
      <c r="D107" s="9">
        <f>B107-C107</f>
        <v/>
      </c>
      <c r="E107" s="9" t="n">
        <v>211.3000000000002</v>
      </c>
      <c r="F107" s="9" t="n">
        <v>81.25</v>
      </c>
      <c r="G107" s="17" t="n">
        <v>-0.6232008749264005</v>
      </c>
    </row>
    <row r="108">
      <c r="A108" s="8" t="inlineStr">
        <is>
          <t>20260220</t>
        </is>
      </c>
      <c r="B108" s="9" t="n">
        <v>5181.47</v>
      </c>
      <c r="C108" s="9">
        <f>04_理论成本!D108</f>
        <v/>
      </c>
      <c r="D108" s="9">
        <f>B108-C108</f>
        <v/>
      </c>
      <c r="E108" s="9" t="n">
        <v>224.2700000000004</v>
      </c>
      <c r="F108" s="9" t="n">
        <v>94.22000000000025</v>
      </c>
      <c r="G108" s="17" t="n">
        <v>-0.5371807334634663</v>
      </c>
    </row>
    <row r="109">
      <c r="A109" s="8" t="inlineStr">
        <is>
          <t>20260223</t>
        </is>
      </c>
      <c r="B109" s="9" t="n">
        <v>5181.47</v>
      </c>
      <c r="C109" s="9">
        <f>04_理论成本!D109</f>
        <v/>
      </c>
      <c r="D109" s="9">
        <f>B109-C109</f>
        <v/>
      </c>
      <c r="E109" s="9" t="n">
        <v>224.2700000000004</v>
      </c>
      <c r="F109" s="9" t="n">
        <v>94.22000000000025</v>
      </c>
      <c r="G109" s="17" t="n">
        <v>-0.4865170438390272</v>
      </c>
    </row>
    <row r="110">
      <c r="A110" s="8" t="inlineStr">
        <is>
          <t>20260224</t>
        </is>
      </c>
      <c r="B110" s="9" t="n">
        <v>5181.47</v>
      </c>
      <c r="C110" s="9">
        <f>04_理论成本!D110</f>
        <v/>
      </c>
      <c r="D110" s="9">
        <f>B110-C110</f>
        <v/>
      </c>
      <c r="E110" s="9" t="n">
        <v>224.2700000000004</v>
      </c>
      <c r="F110" s="9" t="n">
        <v>94.22000000000025</v>
      </c>
      <c r="G110" s="17" t="n">
        <v>-0.4086229189476938</v>
      </c>
    </row>
    <row r="111">
      <c r="A111" s="8" t="inlineStr">
        <is>
          <t>20260225</t>
        </is>
      </c>
      <c r="B111" s="9" t="n">
        <v>5324.57</v>
      </c>
      <c r="C111" s="9">
        <f>04_理论成本!D111</f>
        <v/>
      </c>
      <c r="D111" s="9">
        <f>B111-C111</f>
        <v/>
      </c>
      <c r="E111" s="9" t="n">
        <v>367.3699999999999</v>
      </c>
      <c r="F111" s="9" t="n">
        <v>237.3199999999997</v>
      </c>
      <c r="G111" s="17" t="n">
        <v>0.6807750000906</v>
      </c>
    </row>
    <row r="112">
      <c r="A112" s="8" t="inlineStr">
        <is>
          <t>20260226</t>
        </is>
      </c>
      <c r="B112" s="9" t="n">
        <v>5319.43</v>
      </c>
      <c r="C112" s="9">
        <f>04_理论成本!D112</f>
        <v/>
      </c>
      <c r="D112" s="9">
        <f>B112-C112</f>
        <v/>
      </c>
      <c r="E112" s="9" t="n">
        <v>362.2300000000005</v>
      </c>
      <c r="F112" s="9" t="n">
        <v>232.1800000000003</v>
      </c>
      <c r="G112" s="17" t="n">
        <v>0.8468228183686368</v>
      </c>
    </row>
    <row r="113">
      <c r="A113" s="8" t="inlineStr">
        <is>
          <t>20260227</t>
        </is>
      </c>
      <c r="B113" s="9" t="n">
        <v>5270.64</v>
      </c>
      <c r="C113" s="9">
        <f>04_理论成本!D113</f>
        <v/>
      </c>
      <c r="D113" s="9">
        <f>B113-C113</f>
        <v/>
      </c>
      <c r="E113" s="9" t="n">
        <v>313.4400000000005</v>
      </c>
      <c r="F113" s="9" t="n">
        <v>183.3900000000003</v>
      </c>
      <c r="G113" s="17" t="n">
        <v>0.6745547648542704</v>
      </c>
    </row>
    <row r="114">
      <c r="A114" s="8" t="inlineStr">
        <is>
          <t>20260302</t>
        </is>
      </c>
      <c r="B114" s="9" t="n">
        <v>5237.9</v>
      </c>
      <c r="C114" s="9">
        <f>04_理论成本!D114</f>
        <v/>
      </c>
      <c r="D114" s="9">
        <f>B114-C114</f>
        <v/>
      </c>
      <c r="E114" s="9" t="n">
        <v>313.0999999999995</v>
      </c>
      <c r="F114" s="9" t="n">
        <v>183.8999999999996</v>
      </c>
      <c r="G114" s="17" t="n">
        <v>1.342560852919617</v>
      </c>
    </row>
    <row r="115">
      <c r="A115" s="8" t="inlineStr">
        <is>
          <t>20260303</t>
        </is>
      </c>
      <c r="B115" s="9" t="n">
        <v>5374.74</v>
      </c>
      <c r="C115" s="9">
        <f>04_理论成本!D115</f>
        <v/>
      </c>
      <c r="D115" s="9">
        <f>B115-C115</f>
        <v/>
      </c>
      <c r="E115" s="9" t="n">
        <v>449.9399999999996</v>
      </c>
      <c r="F115" s="9" t="n">
        <v>320.7399999999998</v>
      </c>
      <c r="G115" s="17" t="n">
        <v>2.746942995340145</v>
      </c>
    </row>
    <row r="116">
      <c r="A116" s="8" t="inlineStr">
        <is>
          <t>20260304</t>
        </is>
      </c>
      <c r="B116" s="9" t="n">
        <v>5396.26</v>
      </c>
      <c r="C116" s="9">
        <f>04_理论成本!D116</f>
        <v/>
      </c>
      <c r="D116" s="9">
        <f>B116-C116</f>
        <v/>
      </c>
      <c r="E116" s="9" t="n">
        <v>471.46</v>
      </c>
      <c r="F116" s="9" t="n">
        <v>342.2600000000002</v>
      </c>
      <c r="G116" s="17" t="n">
        <v>2.39523197427434</v>
      </c>
    </row>
    <row r="117">
      <c r="A117" s="8" t="inlineStr">
        <is>
          <t>20260305</t>
        </is>
      </c>
      <c r="B117" s="9" t="n">
        <v>5515.66</v>
      </c>
      <c r="C117" s="9">
        <f>04_理论成本!D117</f>
        <v/>
      </c>
      <c r="D117" s="9">
        <f>B117-C117</f>
        <v/>
      </c>
      <c r="E117" s="9" t="n">
        <v>202.0599999999995</v>
      </c>
      <c r="F117" s="9" t="n">
        <v>62.65999999999985</v>
      </c>
      <c r="G117" s="17" t="n">
        <v>-0.7496176946374925</v>
      </c>
    </row>
    <row r="118">
      <c r="A118" s="8" t="inlineStr">
        <is>
          <t>20260306</t>
        </is>
      </c>
      <c r="B118" s="9" t="n">
        <v>5702.43</v>
      </c>
      <c r="C118" s="9">
        <f>04_理论成本!D118</f>
        <v/>
      </c>
      <c r="D118" s="9">
        <f>B118-C118</f>
        <v/>
      </c>
      <c r="E118" s="9" t="n">
        <v>388.8299999999999</v>
      </c>
      <c r="F118" s="9" t="n">
        <v>249.4300000000003</v>
      </c>
      <c r="G118" s="17" t="n">
        <v>1.253415129664517</v>
      </c>
    </row>
    <row r="119">
      <c r="A119" s="8" t="inlineStr">
        <is>
          <t>20260309</t>
        </is>
      </c>
      <c r="B119" s="9" t="n">
        <v>5764</v>
      </c>
      <c r="C119" s="9">
        <f>04_理论成本!D119</f>
        <v/>
      </c>
      <c r="D119" s="9">
        <f>B119-C119</f>
        <v/>
      </c>
      <c r="E119" s="9" t="n">
        <v>450.3999999999996</v>
      </c>
      <c r="F119" s="9" t="n">
        <v>311</v>
      </c>
      <c r="G119" s="17" t="n">
        <v>1.698536468807179</v>
      </c>
    </row>
    <row r="120">
      <c r="A120" s="8" t="inlineStr">
        <is>
          <t>20260310</t>
        </is>
      </c>
      <c r="B120" s="9" t="n">
        <v>5857.34</v>
      </c>
      <c r="C120" s="9">
        <f>04_理论成本!D120</f>
        <v/>
      </c>
      <c r="D120" s="9">
        <f>B120-C120</f>
        <v/>
      </c>
      <c r="E120" s="9" t="n">
        <v>284.54</v>
      </c>
      <c r="F120" s="9" t="n">
        <v>138.3400000000001</v>
      </c>
      <c r="G120" s="17" t="n">
        <v>-0.1459384497598901</v>
      </c>
    </row>
    <row r="121">
      <c r="A121" s="8" t="inlineStr">
        <is>
          <t>20260311</t>
        </is>
      </c>
      <c r="B121" s="9" t="n">
        <v>5789.93</v>
      </c>
      <c r="C121" s="9">
        <f>04_理论成本!D121</f>
        <v/>
      </c>
      <c r="D121" s="9">
        <f>B121-C121</f>
        <v/>
      </c>
      <c r="E121" s="9" t="n">
        <v>-1078.87</v>
      </c>
      <c r="F121" s="9" t="n">
        <v>-1259.07</v>
      </c>
      <c r="G121" s="17" t="n">
        <v>-4.079829903160234</v>
      </c>
    </row>
    <row r="122">
      <c r="A122" s="8" t="inlineStr">
        <is>
          <t>20260312</t>
        </is>
      </c>
      <c r="B122" s="9" t="n">
        <v>5865.47</v>
      </c>
      <c r="C122" s="9">
        <f>04_理论成本!D122</f>
        <v/>
      </c>
      <c r="D122" s="9">
        <f>B122-C122</f>
        <v/>
      </c>
      <c r="E122" s="9" t="n">
        <v>163.0699999999997</v>
      </c>
      <c r="F122" s="9" t="n">
        <v>13.47000000000025</v>
      </c>
      <c r="G122" s="17" t="n">
        <v>-0.1981105027154393</v>
      </c>
    </row>
    <row r="123">
      <c r="A123" s="8" t="inlineStr">
        <is>
          <t>20260313</t>
        </is>
      </c>
      <c r="B123" s="9" t="n">
        <v>6145.26</v>
      </c>
      <c r="C123" s="9">
        <f>04_理论成本!D123</f>
        <v/>
      </c>
      <c r="D123" s="9">
        <f>B123-C123</f>
        <v/>
      </c>
      <c r="E123" s="9" t="n">
        <v>442.8599999999997</v>
      </c>
      <c r="F123" s="9" t="n">
        <v>293.2600000000002</v>
      </c>
      <c r="G123" s="17" t="n">
        <v>0.6246284136319549</v>
      </c>
    </row>
    <row r="124">
      <c r="A124" s="8" t="inlineStr">
        <is>
          <t>20260316</t>
        </is>
      </c>
      <c r="B124" s="9" t="n">
        <v>6600.6</v>
      </c>
      <c r="C124" s="9">
        <f>04_理论成本!D124</f>
        <v/>
      </c>
      <c r="D124" s="9">
        <f>B124-C124</f>
        <v/>
      </c>
      <c r="E124" s="9" t="n">
        <v>-9</v>
      </c>
      <c r="F124" s="9" t="n">
        <v>-182.3999999999996</v>
      </c>
      <c r="G124" s="17" t="n">
        <v>-0.734055164109461</v>
      </c>
    </row>
    <row r="125">
      <c r="A125" s="8" t="inlineStr">
        <is>
          <t>20260317</t>
        </is>
      </c>
      <c r="B125" s="9" t="n">
        <v>6633.86</v>
      </c>
      <c r="C125" s="9">
        <f>04_理论成本!D125</f>
        <v/>
      </c>
      <c r="D125" s="9">
        <f>B125-C125</f>
        <v/>
      </c>
      <c r="E125" s="9" t="n">
        <v>24.25999999999931</v>
      </c>
      <c r="F125" s="9" t="n">
        <v>-149.1400000000003</v>
      </c>
      <c r="G125" s="17" t="n">
        <v>-0.5975405091867805</v>
      </c>
    </row>
    <row r="126">
      <c r="A126" s="8" t="inlineStr">
        <is>
          <t>20260318</t>
        </is>
      </c>
      <c r="B126" s="9" t="n">
        <v>6931.84</v>
      </c>
      <c r="C126" s="9">
        <f>04_理论成本!D126</f>
        <v/>
      </c>
      <c r="D126" s="9">
        <f>B126-C126</f>
        <v/>
      </c>
      <c r="E126" s="9" t="n">
        <v>322.2399999999998</v>
      </c>
      <c r="F126" s="9" t="n">
        <v>148.8400000000001</v>
      </c>
      <c r="G126" s="17" t="n">
        <v>0.2731879395569884</v>
      </c>
    </row>
    <row r="127">
      <c r="A127" s="8" t="inlineStr">
        <is>
          <t>20260319</t>
        </is>
      </c>
      <c r="B127" s="9" t="n">
        <v>6875.93</v>
      </c>
      <c r="C127" s="9">
        <f>04_理论成本!D127</f>
        <v/>
      </c>
      <c r="D127" s="9">
        <f>B127-C127</f>
        <v/>
      </c>
      <c r="E127" s="9" t="n">
        <v>266.3299999999999</v>
      </c>
      <c r="F127" s="9" t="n">
        <v>92.93000000000029</v>
      </c>
      <c r="G127" s="17" t="n">
        <v>0.1019161281457311</v>
      </c>
    </row>
    <row r="128">
      <c r="A128" s="8" t="inlineStr">
        <is>
          <t>20260320</t>
        </is>
      </c>
      <c r="B128" s="9" t="n">
        <v>6897.4</v>
      </c>
      <c r="C128" s="9">
        <f>04_理论成本!D128</f>
        <v/>
      </c>
      <c r="D128" s="9">
        <f>B128-C128</f>
        <v/>
      </c>
      <c r="E128" s="9" t="n">
        <v>287.7999999999993</v>
      </c>
      <c r="F128" s="9" t="n">
        <v>114.3999999999996</v>
      </c>
      <c r="G128" s="17" t="n">
        <v>0.1586653609437462</v>
      </c>
    </row>
    <row r="129">
      <c r="A129" s="8" t="inlineStr">
        <is>
          <t>20260323</t>
        </is>
      </c>
      <c r="B129" s="9" t="n">
        <v>6673.7</v>
      </c>
      <c r="C129" s="9">
        <f>04_理论成本!D129</f>
        <v/>
      </c>
      <c r="D129" s="9">
        <f>B129-C129</f>
        <v/>
      </c>
      <c r="E129" s="9" t="n">
        <v>64.09999999999945</v>
      </c>
      <c r="F129" s="9" t="n">
        <v>-109.3000000000002</v>
      </c>
      <c r="G129" s="17" t="n">
        <v>-0.474464758631337</v>
      </c>
    </row>
    <row r="130">
      <c r="A130" s="8" t="inlineStr">
        <is>
          <t>20260324</t>
        </is>
      </c>
      <c r="B130" s="9" t="n">
        <v>6855.64</v>
      </c>
      <c r="C130" s="9">
        <f>04_理论成本!D130</f>
        <v/>
      </c>
      <c r="D130" s="9">
        <f>B130-C130</f>
        <v/>
      </c>
      <c r="E130" s="9" t="n">
        <v>246.04</v>
      </c>
      <c r="F130" s="9" t="n">
        <v>72.64000000000033</v>
      </c>
      <c r="G130" s="17" t="n">
        <v>0.06039441605440272</v>
      </c>
    </row>
    <row r="131">
      <c r="A131" s="8" t="inlineStr">
        <is>
          <t>20260325</t>
        </is>
      </c>
      <c r="B131" s="9" t="n">
        <v>6734.03</v>
      </c>
      <c r="C131" s="9">
        <f>04_理论成本!D131</f>
        <v/>
      </c>
      <c r="D131" s="9">
        <f>B131-C131</f>
        <v/>
      </c>
      <c r="E131" s="9" t="n">
        <v>124.4299999999994</v>
      </c>
      <c r="F131" s="9" t="n">
        <v>-48.97000000000025</v>
      </c>
      <c r="G131" s="17" t="n">
        <v>-0.2602216931806448</v>
      </c>
    </row>
    <row r="132">
      <c r="A132" s="8" t="inlineStr">
        <is>
          <t>20260326</t>
        </is>
      </c>
      <c r="B132" s="9" t="n">
        <v>6625.9</v>
      </c>
      <c r="C132" s="9">
        <f>04_理论成本!D132</f>
        <v/>
      </c>
      <c r="D132" s="9">
        <f>B132-C132</f>
        <v/>
      </c>
      <c r="E132" s="9" t="n">
        <v>16.29999999999927</v>
      </c>
      <c r="F132" s="9" t="n">
        <v>-157.1000000000004</v>
      </c>
      <c r="G132" s="17" t="n">
        <v>-0.525581763760002</v>
      </c>
    </row>
    <row r="133">
      <c r="A133" s="8" t="inlineStr">
        <is>
          <t>20260327</t>
        </is>
      </c>
      <c r="B133" s="9" t="n">
        <v>6740.03</v>
      </c>
      <c r="C133" s="9">
        <f>04_理论成本!D133</f>
        <v/>
      </c>
      <c r="D133" s="9">
        <f>B133-C133</f>
        <v/>
      </c>
      <c r="E133" s="9" t="n">
        <v>130.4299999999994</v>
      </c>
      <c r="F133" s="9" t="n">
        <v>-42.97000000000025</v>
      </c>
      <c r="G133" s="17" t="n">
        <v>-0.1595254689283724</v>
      </c>
    </row>
    <row r="134">
      <c r="A134" s="8" t="inlineStr">
        <is>
          <t>20260330</t>
        </is>
      </c>
      <c r="B134" s="9" t="n">
        <v>6746.74</v>
      </c>
      <c r="C134" s="9">
        <f>04_理论成本!D134</f>
        <v/>
      </c>
      <c r="D134" s="9">
        <f>B134-C134</f>
        <v/>
      </c>
      <c r="E134" s="9" t="n">
        <v>137.1399999999994</v>
      </c>
      <c r="F134" s="9" t="n">
        <v>-36.26000000000022</v>
      </c>
      <c r="G134" s="17" t="n">
        <v>-0.1114078257959764</v>
      </c>
    </row>
    <row r="135">
      <c r="A135" s="8" t="inlineStr">
        <is>
          <t>20260331</t>
        </is>
      </c>
      <c r="B135" s="9" t="n">
        <v>6867.64</v>
      </c>
      <c r="C135" s="9">
        <f>04_理论成本!D135</f>
        <v/>
      </c>
      <c r="D135" s="9">
        <f>B135-C135</f>
        <v/>
      </c>
      <c r="E135" s="9" t="n">
        <v>258.04</v>
      </c>
      <c r="F135" s="9" t="n">
        <v>84.64000000000033</v>
      </c>
      <c r="G135" s="17" t="n">
        <v>0.2855276861509998</v>
      </c>
    </row>
    <row r="136">
      <c r="A136" s="8" t="inlineStr">
        <is>
          <t>20260401</t>
        </is>
      </c>
      <c r="B136" s="9" t="n">
        <v>6761.93</v>
      </c>
      <c r="C136" s="9">
        <f>04_理论成本!D136</f>
        <v/>
      </c>
      <c r="D136" s="9">
        <f>B136-C136</f>
        <v/>
      </c>
      <c r="E136" s="9" t="n">
        <v>476.3299999999999</v>
      </c>
      <c r="F136" s="9" t="n">
        <v>311.4300000000003</v>
      </c>
      <c r="G136" s="17" t="n">
        <v>0.9621388270518102</v>
      </c>
    </row>
    <row r="137">
      <c r="A137" s="8" t="inlineStr">
        <is>
          <t>20260402</t>
        </is>
      </c>
      <c r="B137" s="9" t="n">
        <v>6601.53</v>
      </c>
      <c r="C137" s="9">
        <f>04_理论成本!D137</f>
        <v/>
      </c>
      <c r="D137" s="9">
        <f>B137-C137</f>
        <v/>
      </c>
      <c r="E137" s="9" t="n">
        <v>315.9299999999994</v>
      </c>
      <c r="F137" s="9" t="n">
        <v>151.0299999999997</v>
      </c>
      <c r="G137" s="17" t="n">
        <v>0.4561573629892449</v>
      </c>
    </row>
    <row r="138">
      <c r="A138" s="8" t="inlineStr">
        <is>
          <t>20260403</t>
        </is>
      </c>
      <c r="B138" s="9" t="n">
        <v>6710.14</v>
      </c>
      <c r="C138" s="9">
        <f>04_理论成本!D138</f>
        <v/>
      </c>
      <c r="D138" s="9">
        <f>B138-C138</f>
        <v/>
      </c>
      <c r="E138" s="9" t="n">
        <v>424.54</v>
      </c>
      <c r="F138" s="9" t="n">
        <v>259.6400000000003</v>
      </c>
      <c r="G138" s="17" t="n">
        <v>0.7787273011331214</v>
      </c>
    </row>
    <row r="139">
      <c r="A139" s="8" t="inlineStr">
        <is>
          <t>20260406</t>
        </is>
      </c>
      <c r="B139" s="9" t="n">
        <v>6771.43</v>
      </c>
      <c r="C139" s="9">
        <f>04_理论成本!D139</f>
        <v/>
      </c>
      <c r="D139" s="9">
        <f>B139-C139</f>
        <v/>
      </c>
      <c r="E139" s="9" t="n">
        <v>485.8299999999999</v>
      </c>
      <c r="F139" s="9" t="n">
        <v>320.9300000000003</v>
      </c>
      <c r="G139" s="17" t="n">
        <v>0.9564159371374149</v>
      </c>
    </row>
    <row r="140">
      <c r="A140" s="8" t="inlineStr">
        <is>
          <t>20260407</t>
        </is>
      </c>
      <c r="B140" s="9" t="n">
        <v>6771.43</v>
      </c>
      <c r="C140" s="9">
        <f>04_理论成本!D140</f>
        <v/>
      </c>
      <c r="D140" s="9">
        <f>B140-C140</f>
        <v/>
      </c>
      <c r="E140" s="9" t="n">
        <v>485.8299999999999</v>
      </c>
      <c r="F140" s="9" t="n">
        <v>320.9300000000003</v>
      </c>
      <c r="G140" s="17" t="n">
        <v>0.9093609281752862</v>
      </c>
    </row>
    <row r="141">
      <c r="A141" s="8" t="inlineStr">
        <is>
          <t>20260408</t>
        </is>
      </c>
      <c r="B141" s="9" t="n">
        <v>6932.9</v>
      </c>
      <c r="C141" s="9">
        <f>04_理论成本!D141</f>
        <v/>
      </c>
      <c r="D141" s="9">
        <f>B141-C141</f>
        <v/>
      </c>
      <c r="E141" s="9" t="n">
        <v>647.2999999999993</v>
      </c>
      <c r="F141" s="9" t="n">
        <v>482.3999999999996</v>
      </c>
      <c r="G141" s="17" t="n">
        <v>2.052686965809555</v>
      </c>
    </row>
    <row r="142">
      <c r="A142" s="8" t="inlineStr">
        <is>
          <t>20260409</t>
        </is>
      </c>
      <c r="B142" s="9" t="n">
        <v>6504.47</v>
      </c>
      <c r="C142" s="9">
        <f>04_理论成本!D142</f>
        <v/>
      </c>
      <c r="D142" s="9">
        <f>B142-C142</f>
        <v/>
      </c>
      <c r="E142" s="9" t="n">
        <v>218.8699999999999</v>
      </c>
      <c r="F142" s="9" t="n">
        <v>53.97000000000025</v>
      </c>
      <c r="G142" s="17" t="n">
        <v>-0.2564262666463497</v>
      </c>
    </row>
    <row r="143">
      <c r="A143" s="8" t="inlineStr">
        <is>
          <t>20260410</t>
        </is>
      </c>
      <c r="B143" s="9" t="n">
        <v>6524.97</v>
      </c>
      <c r="C143" s="9">
        <f>04_理论成本!D143</f>
        <v/>
      </c>
      <c r="D143" s="9">
        <f>B143-C143</f>
        <v/>
      </c>
      <c r="E143" s="9" t="n">
        <v>-84.63000000000011</v>
      </c>
      <c r="F143" s="9" t="n">
        <v>-258.0299999999997</v>
      </c>
      <c r="G143" s="17" t="n">
        <v>-1.668317902238448</v>
      </c>
    </row>
    <row r="144">
      <c r="A144" s="8" t="inlineStr">
        <is>
          <t>20260413</t>
        </is>
      </c>
      <c r="B144" s="9" t="n">
        <v>6365.86</v>
      </c>
      <c r="C144" s="9">
        <f>04_理论成本!D144</f>
        <v/>
      </c>
      <c r="D144" s="9">
        <f>B144-C144</f>
        <v/>
      </c>
      <c r="E144" s="9" t="n">
        <v>145.0599999999995</v>
      </c>
      <c r="F144" s="9" t="n">
        <v>-18.14000000000033</v>
      </c>
      <c r="G144" s="17" t="n">
        <v>-0.5390785951836965</v>
      </c>
    </row>
    <row r="145">
      <c r="A145" s="8" t="inlineStr">
        <is>
          <t>20260414</t>
        </is>
      </c>
      <c r="B145" s="9" t="n">
        <v>6336.3</v>
      </c>
      <c r="C145" s="9">
        <f>04_理论成本!D145</f>
        <v/>
      </c>
      <c r="D145" s="9">
        <f>B145-C145</f>
        <v/>
      </c>
      <c r="E145" s="9" t="n">
        <v>115.5</v>
      </c>
      <c r="F145" s="9" t="n">
        <v>-47.69999999999982</v>
      </c>
      <c r="G145" s="17" t="n">
        <v>-0.7400821131848422</v>
      </c>
    </row>
    <row r="146">
      <c r="A146" s="8" t="inlineStr">
        <is>
          <t>20260415</t>
        </is>
      </c>
      <c r="B146" s="9" t="n">
        <v>6392.9</v>
      </c>
      <c r="C146" s="9">
        <f>04_理论成本!D146</f>
        <v/>
      </c>
      <c r="D146" s="9">
        <f>B146-C146</f>
        <v/>
      </c>
      <c r="E146" s="9" t="n">
        <v>172.0999999999995</v>
      </c>
      <c r="F146" s="9" t="n">
        <v>8.899999999999636</v>
      </c>
      <c r="G146" s="17" t="n">
        <v>-0.3924056795990818</v>
      </c>
    </row>
    <row r="147">
      <c r="A147" s="8" t="inlineStr">
        <is>
          <t>20260416</t>
        </is>
      </c>
      <c r="B147" s="9" t="n">
        <v>6531.3</v>
      </c>
      <c r="C147" s="9">
        <f>04_理论成本!D147</f>
        <v/>
      </c>
      <c r="D147" s="9">
        <f>B147-C147</f>
        <v/>
      </c>
      <c r="E147" s="9" t="n">
        <v>310.5</v>
      </c>
      <c r="F147" s="9" t="n">
        <v>147.3000000000002</v>
      </c>
      <c r="G147" s="17" t="n">
        <v>0.3454046971464234</v>
      </c>
    </row>
    <row r="148">
      <c r="A148" s="8" t="inlineStr">
        <is>
          <t>20260417</t>
        </is>
      </c>
      <c r="B148" s="9" t="n">
        <v>6548.16</v>
      </c>
      <c r="C148" s="9">
        <f>04_理论成本!D148</f>
        <v/>
      </c>
      <c r="D148" s="9">
        <f>B148-C148</f>
        <v/>
      </c>
      <c r="E148" s="9" t="n">
        <v>327.3599999999997</v>
      </c>
      <c r="F148" s="9" t="n">
        <v>164.1599999999999</v>
      </c>
      <c r="G148" s="17" t="n">
        <v>0.4232372507886641</v>
      </c>
    </row>
    <row r="149">
      <c r="A149" s="8" t="inlineStr">
        <is>
          <t>20260420</t>
        </is>
      </c>
      <c r="B149" s="9" t="n">
        <v>6597.47</v>
      </c>
      <c r="C149" s="9">
        <f>04_理论成本!D149</f>
        <v/>
      </c>
      <c r="D149" s="9">
        <f>B149-C149</f>
        <v/>
      </c>
      <c r="E149" s="9" t="n">
        <v>376.6700000000001</v>
      </c>
      <c r="F149" s="9" t="n">
        <v>213.4700000000003</v>
      </c>
      <c r="G149" s="17" t="n">
        <v>0.6154809790785875</v>
      </c>
    </row>
    <row r="150">
      <c r="A150" s="8" t="inlineStr">
        <is>
          <t>20260421</t>
        </is>
      </c>
      <c r="B150" s="9" t="n">
        <v>6508.14</v>
      </c>
      <c r="C150" s="9">
        <f>04_理论成本!D150</f>
        <v/>
      </c>
      <c r="D150" s="9">
        <f>B150-C150</f>
        <v/>
      </c>
      <c r="E150" s="9" t="n">
        <v>287.3400000000001</v>
      </c>
      <c r="F150" s="9" t="n">
        <v>124.1400000000003</v>
      </c>
      <c r="G150" s="17" t="n">
        <v>0.1116679899182969</v>
      </c>
    </row>
    <row r="151">
      <c r="A151" s="8" t="inlineStr">
        <is>
          <t>20260423</t>
        </is>
      </c>
      <c r="B151" s="9" t="n">
        <v>6533.93</v>
      </c>
      <c r="C151" s="9">
        <f>04_理论成本!D151</f>
        <v/>
      </c>
      <c r="D151" s="9">
        <f>B151-C151</f>
        <v/>
      </c>
      <c r="E151" s="9" t="n">
        <v>313.1300000000001</v>
      </c>
      <c r="F151" s="9" t="n">
        <v>149.9300000000003</v>
      </c>
      <c r="G151" s="17" t="n">
        <v>0.2039601640406155</v>
      </c>
    </row>
    <row r="152">
      <c r="A152" s="8" t="inlineStr">
        <is>
          <t>20260424</t>
        </is>
      </c>
      <c r="B152" s="9" t="n">
        <v>6571.86</v>
      </c>
      <c r="C152" s="9">
        <f>04_理论成本!D152</f>
        <v/>
      </c>
      <c r="D152" s="9">
        <f>B152-C152</f>
        <v/>
      </c>
      <c r="E152" s="9" t="n">
        <v>351.0599999999995</v>
      </c>
      <c r="F152" s="9" t="n">
        <v>187.8599999999997</v>
      </c>
      <c r="G152" s="17" t="n">
        <v>0.341763815831817</v>
      </c>
    </row>
    <row r="153">
      <c r="A153" s="8" t="inlineStr">
        <is>
          <t>20260427</t>
        </is>
      </c>
      <c r="B153" s="9" t="n">
        <v>6591.03</v>
      </c>
      <c r="C153" s="9">
        <f>04_理论成本!D153</f>
        <v/>
      </c>
      <c r="D153" s="9">
        <f>B153-C153</f>
        <v/>
      </c>
      <c r="E153" s="9" t="n">
        <v>370.2299999999996</v>
      </c>
      <c r="F153" s="9" t="n">
        <v>207.0299999999997</v>
      </c>
      <c r="G153" s="17" t="n">
        <v>0.3925482872240986</v>
      </c>
    </row>
    <row r="154">
      <c r="A154" s="8" t="inlineStr">
        <is>
          <t>20260428</t>
        </is>
      </c>
      <c r="B154" s="9" t="n">
        <v>6715.43</v>
      </c>
      <c r="C154" s="9">
        <f>04_理论成本!D154</f>
        <v/>
      </c>
      <c r="D154" s="9">
        <f>B154-C154</f>
        <v/>
      </c>
      <c r="E154" s="9" t="n">
        <v>494.6300000000001</v>
      </c>
      <c r="F154" s="9" t="n">
        <v>331.4300000000003</v>
      </c>
      <c r="G154" s="17" t="n">
        <v>1.041408649551659</v>
      </c>
    </row>
    <row r="155">
      <c r="A155" s="8" t="inlineStr">
        <is>
          <t>20260429</t>
        </is>
      </c>
      <c r="B155" s="9" t="n">
        <v>6807.16</v>
      </c>
      <c r="C155" s="9">
        <f>04_理论成本!D155</f>
        <v/>
      </c>
      <c r="D155" s="9">
        <f>B155-C155</f>
        <v/>
      </c>
      <c r="E155" s="9" t="n">
        <v>586.3599999999997</v>
      </c>
      <c r="F155" s="9" t="n">
        <v>423.1599999999999</v>
      </c>
      <c r="G155" s="17" t="n">
        <v>1.420476292086645</v>
      </c>
    </row>
    <row r="156">
      <c r="A156" s="8" t="inlineStr">
        <is>
          <t>20260430</t>
        </is>
      </c>
      <c r="B156" s="9" t="n">
        <v>6827.97</v>
      </c>
      <c r="C156" s="9">
        <f>04_理论成本!D156</f>
        <v/>
      </c>
      <c r="D156" s="9">
        <f>B156-C156</f>
        <v/>
      </c>
      <c r="E156" s="9" t="n">
        <v>412.7700000000004</v>
      </c>
      <c r="F156" s="9" t="n">
        <v>244.4700000000003</v>
      </c>
      <c r="G156" s="17" t="n">
        <v>0.4291457179573425</v>
      </c>
    </row>
    <row r="157">
      <c r="A157" s="8" t="inlineStr">
        <is>
          <t>20260501</t>
        </is>
      </c>
      <c r="B157" s="9" t="n">
        <v>6867.86</v>
      </c>
      <c r="C157" s="9">
        <f>04_理论成本!D157</f>
        <v/>
      </c>
      <c r="D157" s="9">
        <f>B157-C157</f>
        <v/>
      </c>
      <c r="E157" s="9" t="n">
        <v>452.6599999999999</v>
      </c>
      <c r="F157" s="9" t="n">
        <v>284.3599999999997</v>
      </c>
      <c r="G157" s="17" t="n">
        <v>0.6165617661400632</v>
      </c>
    </row>
    <row r="158">
      <c r="A158" s="8" t="inlineStr">
        <is>
          <t>20260504</t>
        </is>
      </c>
      <c r="B158" s="9" t="n">
        <v>6867.86</v>
      </c>
      <c r="C158" s="9">
        <f>04_理论成本!D158</f>
        <v/>
      </c>
      <c r="D158" s="9">
        <f>B158-C158</f>
        <v/>
      </c>
      <c r="E158" s="9" t="n">
        <v>452.6599999999999</v>
      </c>
      <c r="F158" s="9" t="n">
        <v>284.3599999999997</v>
      </c>
      <c r="G158" s="17" t="n">
        <v>0.6061907876103897</v>
      </c>
    </row>
    <row r="159">
      <c r="A159" s="8" t="inlineStr">
        <is>
          <t>20260505</t>
        </is>
      </c>
      <c r="B159" s="9" t="n">
        <v>6867.86</v>
      </c>
      <c r="C159" s="9">
        <f>04_理论成本!D159</f>
        <v/>
      </c>
      <c r="D159" s="9">
        <f>B159-C159</f>
        <v/>
      </c>
      <c r="E159" s="9" t="n">
        <v>452.6599999999999</v>
      </c>
      <c r="F159" s="9" t="n">
        <v>284.3599999999997</v>
      </c>
      <c r="G159" s="17" t="n">
        <v>0.6207997140066132</v>
      </c>
    </row>
    <row r="160">
      <c r="A160" s="8" t="inlineStr">
        <is>
          <t>20260506</t>
        </is>
      </c>
      <c r="B160" s="9" t="n">
        <v>6867.86</v>
      </c>
      <c r="C160" s="9">
        <f>04_理论成本!D160</f>
        <v/>
      </c>
      <c r="D160" s="9">
        <f>B160-C160</f>
        <v/>
      </c>
      <c r="E160" s="9" t="n">
        <v>452.6599999999999</v>
      </c>
      <c r="F160" s="9" t="n">
        <v>284.3599999999997</v>
      </c>
      <c r="G160" s="17" t="n">
        <v>0.6357357589616291</v>
      </c>
    </row>
    <row r="161">
      <c r="A161" s="8" t="inlineStr">
        <is>
          <t>20260507</t>
        </is>
      </c>
      <c r="B161" s="9" t="n">
        <v>6932.66</v>
      </c>
      <c r="C161" s="9">
        <f>04_理论成本!D161</f>
        <v/>
      </c>
      <c r="D161" s="9">
        <f>B161-C161</f>
        <v/>
      </c>
      <c r="E161" s="9" t="n">
        <v>517.46</v>
      </c>
      <c r="F161" s="9" t="n">
        <v>349.1599999999999</v>
      </c>
      <c r="G161" s="17" t="n">
        <v>1.119549930667448</v>
      </c>
    </row>
    <row r="162">
      <c r="A162" s="8" t="inlineStr">
        <is>
          <t>20260508</t>
        </is>
      </c>
      <c r="B162" s="9" t="n">
        <v>6766.67</v>
      </c>
      <c r="C162" s="9">
        <f>04_理论成本!D162</f>
        <v/>
      </c>
      <c r="D162" s="9">
        <f>B162-C162</f>
        <v/>
      </c>
      <c r="E162" s="9" t="n">
        <v>351.4700000000003</v>
      </c>
      <c r="F162" s="9" t="n">
        <v>183.1700000000001</v>
      </c>
      <c r="G162" s="17" t="n">
        <v>0.0469258633180273</v>
      </c>
    </row>
    <row r="163">
      <c r="A163" s="8" t="inlineStr">
        <is>
          <t>20260511</t>
        </is>
      </c>
      <c r="B163" s="9" t="n">
        <v>6622.34</v>
      </c>
      <c r="C163" s="9">
        <f>04_理论成本!D163</f>
        <v/>
      </c>
      <c r="D163" s="9">
        <f>B163-C163</f>
        <v/>
      </c>
      <c r="E163" s="9" t="n">
        <v>207.1400000000003</v>
      </c>
      <c r="F163" s="9" t="n">
        <v>38.84000000000015</v>
      </c>
      <c r="G163" s="17" t="n">
        <v>-1.195463750304791</v>
      </c>
    </row>
    <row r="164">
      <c r="A164" s="8" t="inlineStr">
        <is>
          <t>20260512</t>
        </is>
      </c>
      <c r="B164" s="9" t="n">
        <v>6670.25</v>
      </c>
      <c r="C164" s="9">
        <f>04_理论成本!D164</f>
        <v/>
      </c>
      <c r="D164" s="9">
        <f>B164-C164</f>
        <v/>
      </c>
      <c r="E164" s="9" t="n">
        <v>255.0500000000002</v>
      </c>
      <c r="F164" s="9" t="n">
        <v>86.75</v>
      </c>
      <c r="G164" s="17" t="n">
        <v>-0.9134523473113336</v>
      </c>
    </row>
    <row r="165">
      <c r="A165" s="8" t="inlineStr">
        <is>
          <t>20260513</t>
        </is>
      </c>
      <c r="B165" s="9" t="n">
        <v>6636.09</v>
      </c>
      <c r="C165" s="9">
        <f>04_理论成本!D165</f>
        <v/>
      </c>
      <c r="D165" s="9">
        <f>B165-C165</f>
        <v/>
      </c>
      <c r="E165" s="9" t="n">
        <v>220.8900000000003</v>
      </c>
      <c r="F165" s="9" t="n">
        <v>52.59000000000015</v>
      </c>
      <c r="G165" s="17" t="n">
        <v>-1.348430843945529</v>
      </c>
    </row>
    <row r="166">
      <c r="A166" s="8" t="inlineStr">
        <is>
          <t>20260514</t>
        </is>
      </c>
      <c r="B166" s="9" t="n">
        <v>6571</v>
      </c>
      <c r="C166" s="9">
        <f>04_理论成本!D166</f>
        <v/>
      </c>
      <c r="D166" s="9">
        <f>B166-C166</f>
        <v/>
      </c>
      <c r="E166" s="9" t="n">
        <v>155.8000000000002</v>
      </c>
      <c r="F166" s="9" t="n">
        <v>-12.5</v>
      </c>
      <c r="G166" s="17" t="n">
        <v>-1.900779443963873</v>
      </c>
    </row>
    <row r="167">
      <c r="A167" s="8" t="inlineStr">
        <is>
          <t>20260515</t>
        </is>
      </c>
      <c r="B167" s="9" t="n">
        <v>6511.83</v>
      </c>
      <c r="C167" s="9">
        <f>04_理论成本!D167</f>
        <v/>
      </c>
      <c r="D167" s="9">
        <f>B167-C167</f>
        <v/>
      </c>
      <c r="E167" s="9" t="n">
        <v>96.63000000000011</v>
      </c>
      <c r="F167" s="9" t="n">
        <v>-71.67000000000007</v>
      </c>
      <c r="G167" s="17" t="n">
        <v>-2.05608284736995</v>
      </c>
    </row>
    <row r="168">
      <c r="A168" s="8" t="inlineStr">
        <is>
          <t>20260518</t>
        </is>
      </c>
      <c r="B168" s="9" t="n">
        <v>6573.34</v>
      </c>
      <c r="C168" s="9">
        <f>04_理论成本!D168</f>
        <v/>
      </c>
      <c r="D168" s="9">
        <f>B168-C168</f>
        <v/>
      </c>
      <c r="E168" s="9" t="n">
        <v>158.1400000000003</v>
      </c>
      <c r="F168" s="9" t="n">
        <v>-10.15999999999985</v>
      </c>
      <c r="G168" s="17" t="n">
        <v>-1.419432342355334</v>
      </c>
    </row>
    <row r="169">
      <c r="A169" s="8" t="inlineStr">
        <is>
          <t>20260519</t>
        </is>
      </c>
      <c r="B169" s="9" t="n">
        <v>6703.34</v>
      </c>
      <c r="C169" s="9">
        <f>04_理论成本!D169</f>
        <v/>
      </c>
      <c r="D169" s="9">
        <f>B169-C169</f>
        <v/>
      </c>
      <c r="E169" s="9" t="n">
        <v>288.1400000000003</v>
      </c>
      <c r="F169" s="9" t="n">
        <v>119.8400000000001</v>
      </c>
      <c r="G169" s="17" t="n">
        <v>-0.4174852202735031</v>
      </c>
    </row>
    <row r="170">
      <c r="A170" s="8" t="inlineStr">
        <is>
          <t>20260520</t>
        </is>
      </c>
      <c r="B170" s="9" t="n">
        <v>6560.41</v>
      </c>
      <c r="C170" s="9">
        <f>04_理论成本!D170</f>
        <v/>
      </c>
      <c r="D170" s="9">
        <f>B170-C170</f>
        <v/>
      </c>
      <c r="E170" s="9" t="n">
        <v>145.21</v>
      </c>
      <c r="F170" s="9" t="n">
        <v>-23.09000000000015</v>
      </c>
      <c r="G170" s="17" t="n">
        <v>-1.355189925411294</v>
      </c>
    </row>
    <row r="171">
      <c r="A171" s="8" t="inlineStr">
        <is>
          <t>20260521</t>
        </is>
      </c>
      <c r="B171" s="9" t="n">
        <v>6573.67</v>
      </c>
      <c r="C171" s="9">
        <f>04_理论成本!D171</f>
        <v/>
      </c>
      <c r="D171" s="9">
        <f>B171-C171</f>
        <v/>
      </c>
      <c r="E171" s="9" t="n">
        <v>158.4700000000003</v>
      </c>
      <c r="F171" s="9" t="n">
        <v>-9.829999999999927</v>
      </c>
      <c r="G171" s="17" t="n">
        <v>-1.161163657124428</v>
      </c>
    </row>
    <row r="172">
      <c r="A172" s="8" t="inlineStr">
        <is>
          <t>20260522</t>
        </is>
      </c>
      <c r="B172" s="9" t="n">
        <v>6580.83</v>
      </c>
      <c r="C172" s="9">
        <f>04_理论成本!D172</f>
        <v/>
      </c>
      <c r="D172" s="9">
        <f>B172-C172</f>
        <v/>
      </c>
      <c r="E172" s="9" t="n">
        <v>165.6300000000001</v>
      </c>
      <c r="F172" s="9" t="n">
        <v>-2.670000000000073</v>
      </c>
      <c r="G172" s="17" t="n">
        <v>-1.018964657705936</v>
      </c>
    </row>
    <row r="173">
      <c r="A173" s="8" t="inlineStr">
        <is>
          <t>20260525</t>
        </is>
      </c>
      <c r="B173" s="9" t="n">
        <v>6345.91</v>
      </c>
      <c r="C173" s="9">
        <f>04_理论成本!D173</f>
        <v/>
      </c>
      <c r="D173" s="9">
        <f>B173-C173</f>
        <v/>
      </c>
      <c r="E173" s="9" t="n">
        <v>-69.28999999999996</v>
      </c>
      <c r="F173" s="9" t="n">
        <v>-237.5900000000001</v>
      </c>
      <c r="G173" s="17" t="n">
        <v>-2.110302902076336</v>
      </c>
    </row>
    <row r="174">
      <c r="A174" s="8" t="inlineStr">
        <is>
          <t>20260526</t>
        </is>
      </c>
      <c r="B174" s="9" t="n">
        <v>6192</v>
      </c>
      <c r="C174" s="9">
        <f>04_理论成本!D174</f>
        <v/>
      </c>
      <c r="D174" s="9">
        <f>B174-C174</f>
        <v/>
      </c>
      <c r="E174" s="9" t="n">
        <v>-223.1999999999998</v>
      </c>
      <c r="F174" s="9" t="n">
        <v>-391.5</v>
      </c>
      <c r="G174" s="17" t="n">
        <v>-2.392038289585295</v>
      </c>
    </row>
    <row r="175">
      <c r="A175" s="8" t="inlineStr">
        <is>
          <t>20260527</t>
        </is>
      </c>
      <c r="B175" s="9" t="n">
        <v>6160.09</v>
      </c>
      <c r="C175" s="9">
        <f>04_理论成本!D175</f>
        <v/>
      </c>
      <c r="D175" s="9">
        <f>B175-C175</f>
        <v/>
      </c>
      <c r="E175" s="9" t="n">
        <v>-255.1099999999997</v>
      </c>
      <c r="F175" s="9" t="n">
        <v>-423.4099999999999</v>
      </c>
      <c r="G175" s="17" t="n">
        <v>-2.17378519237491</v>
      </c>
    </row>
    <row r="176">
      <c r="A176" s="8" t="inlineStr">
        <is>
          <t>20260528</t>
        </is>
      </c>
      <c r="B176" s="9" t="n">
        <v>6180.33</v>
      </c>
      <c r="C176" s="9">
        <f>04_理论成本!D176</f>
        <v/>
      </c>
      <c r="D176" s="9">
        <f>B176-C176</f>
        <v/>
      </c>
      <c r="E176" s="9" t="n">
        <v>-234.8699999999999</v>
      </c>
      <c r="F176" s="9" t="n">
        <v>-403.1700000000001</v>
      </c>
      <c r="G176" s="17" t="n">
        <v>-1.791765014218638</v>
      </c>
    </row>
    <row r="177">
      <c r="A177" s="8" t="inlineStr">
        <is>
          <t>20260529</t>
        </is>
      </c>
      <c r="B177" s="9" t="n">
        <v>6345.33</v>
      </c>
      <c r="C177" s="9">
        <f>04_理论成本!D177</f>
        <v/>
      </c>
      <c r="D177" s="9">
        <f>B177-C177</f>
        <v/>
      </c>
      <c r="E177" s="9" t="n">
        <v>-69.86999999999989</v>
      </c>
      <c r="F177" s="9" t="n">
        <v>-238.1700000000001</v>
      </c>
      <c r="G177" s="17" t="n">
        <v>-0.9891866098630985</v>
      </c>
    </row>
    <row r="178">
      <c r="A178" s="8" t="inlineStr">
        <is>
          <t>20260601</t>
        </is>
      </c>
      <c r="B178" s="9" t="n">
        <v>6258.75</v>
      </c>
      <c r="C178" s="9">
        <f>04_理论成本!D178</f>
        <v/>
      </c>
      <c r="D178" s="9">
        <f>B178-C178</f>
        <v/>
      </c>
      <c r="E178" s="9" t="n">
        <v>426.75</v>
      </c>
      <c r="F178" s="9" t="n">
        <v>273.75</v>
      </c>
      <c r="G178" s="17" t="n">
        <v>1.173452388573566</v>
      </c>
    </row>
    <row r="179">
      <c r="A179" s="8" t="inlineStr">
        <is>
          <t>20260602</t>
        </is>
      </c>
      <c r="B179" s="9" t="n">
        <v>6313.16</v>
      </c>
      <c r="C179" s="9">
        <f>04_理论成本!D179</f>
        <v/>
      </c>
      <c r="D179" s="9">
        <f>B179-C179</f>
        <v/>
      </c>
      <c r="E179" s="9" t="n">
        <v>481.1599999999999</v>
      </c>
      <c r="F179" s="9" t="n">
        <v>328.1599999999999</v>
      </c>
      <c r="G179" s="17" t="n">
        <v>1.385621774322965</v>
      </c>
    </row>
    <row r="180">
      <c r="A180" s="8" t="inlineStr">
        <is>
          <t>20260603</t>
        </is>
      </c>
      <c r="B180" s="9" t="n">
        <v>6347.66</v>
      </c>
      <c r="C180" s="9">
        <f>04_理论成本!D180</f>
        <v/>
      </c>
      <c r="D180" s="9">
        <f>B180-C180</f>
        <v/>
      </c>
      <c r="E180" s="9" t="n">
        <v>515.6599999999999</v>
      </c>
      <c r="F180" s="9" t="n">
        <v>362.6599999999999</v>
      </c>
      <c r="G180" s="17" t="n">
        <v>1.486302312981315</v>
      </c>
    </row>
    <row r="181">
      <c r="A181" s="8" t="inlineStr">
        <is>
          <t>20260604</t>
        </is>
      </c>
      <c r="B181" s="9" t="n">
        <v>6435.75</v>
      </c>
      <c r="C181" s="9">
        <f>04_理论成本!D181</f>
        <v/>
      </c>
      <c r="D181" s="9">
        <f>B181-C181</f>
        <v/>
      </c>
      <c r="E181" s="9" t="n">
        <v>603.75</v>
      </c>
      <c r="F181" s="9" t="n">
        <v>450.75</v>
      </c>
      <c r="G181" s="17" t="n">
        <v>1.775707299078903</v>
      </c>
    </row>
    <row r="182">
      <c r="A182" s="8" t="inlineStr">
        <is>
          <t>20260605</t>
        </is>
      </c>
      <c r="B182" s="9" t="n">
        <v>6409.5</v>
      </c>
      <c r="C182" s="9">
        <f>04_理论成本!D182</f>
        <v/>
      </c>
      <c r="D182" s="9">
        <f>B182-C182</f>
        <v/>
      </c>
      <c r="E182" s="9" t="n">
        <v>577.5</v>
      </c>
      <c r="F182" s="9" t="n">
        <v>424.5</v>
      </c>
      <c r="G182" s="17" t="n">
        <v>1.53604623676089</v>
      </c>
    </row>
    <row r="183">
      <c r="A183" s="8" t="inlineStr">
        <is>
          <t>20260608</t>
        </is>
      </c>
      <c r="B183" s="9" t="n">
        <v>6557.67</v>
      </c>
      <c r="C183" s="9">
        <f>04_理论成本!D183</f>
        <v/>
      </c>
      <c r="D183" s="9">
        <f>B183-C183</f>
        <v/>
      </c>
      <c r="E183" s="9" t="n">
        <v>725.6700000000001</v>
      </c>
      <c r="F183" s="9" t="n">
        <v>572.6700000000001</v>
      </c>
      <c r="G183" s="17" t="n">
        <v>1.811304350068241</v>
      </c>
    </row>
    <row r="184">
      <c r="A184" s="8" t="inlineStr">
        <is>
          <t>20260609</t>
        </is>
      </c>
      <c r="B184" s="9" t="n">
        <v>6600.75</v>
      </c>
      <c r="C184" s="9">
        <f>04_理论成本!D184</f>
        <v/>
      </c>
      <c r="D184" s="9">
        <f>B184-C184</f>
        <v/>
      </c>
      <c r="E184" s="9" t="n">
        <v>768.75</v>
      </c>
      <c r="F184" s="9" t="n">
        <v>615.75</v>
      </c>
      <c r="G184" s="17" t="n">
        <v>1.71286128554001</v>
      </c>
    </row>
    <row r="185">
      <c r="A185" s="8" t="inlineStr">
        <is>
          <t>20260610</t>
        </is>
      </c>
      <c r="B185" s="9" t="n">
        <v>6592.25</v>
      </c>
      <c r="C185" s="9">
        <f>04_理论成本!D185</f>
        <v/>
      </c>
      <c r="D185" s="9">
        <f>B185-C185</f>
        <v/>
      </c>
      <c r="E185" s="9" t="n">
        <v>760.25</v>
      </c>
      <c r="F185" s="9" t="n">
        <v>607.25</v>
      </c>
      <c r="G185" s="17" t="n">
        <v>1.497055443178956</v>
      </c>
    </row>
    <row r="186">
      <c r="A186" s="8" t="inlineStr">
        <is>
          <t>20260611</t>
        </is>
      </c>
      <c r="B186" s="9" t="n">
        <v>6603.16</v>
      </c>
      <c r="C186" s="9">
        <f>04_理论成本!D186</f>
        <v/>
      </c>
      <c r="D186" s="9">
        <f>B186-C186</f>
        <v/>
      </c>
      <c r="E186" s="9" t="n">
        <v>771.1599999999999</v>
      </c>
      <c r="F186" s="9" t="n">
        <v>618.1599999999999</v>
      </c>
      <c r="G186" s="17" t="n">
        <v>1.364802982526342</v>
      </c>
    </row>
    <row r="187">
      <c r="A187" s="8" t="inlineStr">
        <is>
          <t>20260612</t>
        </is>
      </c>
      <c r="B187" s="9" t="n">
        <v>6631.34</v>
      </c>
      <c r="C187" s="9">
        <f>04_理论成本!D187</f>
        <v/>
      </c>
      <c r="D187" s="9">
        <f>B187-C187</f>
        <v/>
      </c>
      <c r="E187" s="9" t="n">
        <v>799.3400000000001</v>
      </c>
      <c r="F187" s="9" t="n">
        <v>646.3400000000001</v>
      </c>
      <c r="G187" s="17" t="n">
        <v>1.291612375474498</v>
      </c>
    </row>
    <row r="188">
      <c r="A188" s="8" t="inlineStr">
        <is>
          <t>20260615</t>
        </is>
      </c>
      <c r="B188" s="9" t="n">
        <v>6619.08</v>
      </c>
      <c r="C188" s="9">
        <f>04_理论成本!D188</f>
        <v/>
      </c>
      <c r="D188" s="9">
        <f>B188-C188</f>
        <v/>
      </c>
      <c r="E188" s="9" t="n">
        <v>787.0799999999999</v>
      </c>
      <c r="F188" s="9" t="n">
        <v>634.0799999999999</v>
      </c>
      <c r="G188" s="17" t="n">
        <v>1.136522849821159</v>
      </c>
    </row>
    <row r="189">
      <c r="A189" s="8" t="inlineStr">
        <is>
          <t>20260616</t>
        </is>
      </c>
      <c r="B189" s="9" t="n">
        <v>6473.09</v>
      </c>
      <c r="C189" s="9">
        <f>04_理论成本!D189</f>
        <v/>
      </c>
      <c r="D189" s="9">
        <f>B189-C189</f>
        <v/>
      </c>
      <c r="E189" s="9" t="n">
        <v>641.0900000000001</v>
      </c>
      <c r="F189" s="9" t="n">
        <v>488.0900000000001</v>
      </c>
      <c r="G189" s="17" t="n">
        <v>0.698055116533475</v>
      </c>
    </row>
    <row r="190">
      <c r="A190" s="8" t="inlineStr">
        <is>
          <t>20260617</t>
        </is>
      </c>
      <c r="B190" s="9" t="n">
        <v>6127.25</v>
      </c>
      <c r="C190" s="9">
        <f>04_理论成本!D190</f>
        <v/>
      </c>
      <c r="D190" s="9">
        <f>B190-C190</f>
        <v/>
      </c>
      <c r="E190" s="9" t="n">
        <v>295.25</v>
      </c>
      <c r="F190" s="9" t="n">
        <v>142.25</v>
      </c>
      <c r="G190" s="17" t="n">
        <v>-0.2186939761123383</v>
      </c>
    </row>
    <row r="191">
      <c r="A191" s="8" t="inlineStr">
        <is>
          <t>20260618</t>
        </is>
      </c>
      <c r="B191" s="9" t="n">
        <v>6058</v>
      </c>
      <c r="C191" s="9">
        <f>04_理论成本!D191</f>
        <v/>
      </c>
      <c r="D191" s="9">
        <f>B191-C191</f>
        <v/>
      </c>
      <c r="E191" s="9" t="n">
        <v>355.5999999999995</v>
      </c>
      <c r="F191" s="9" t="n">
        <v>206</v>
      </c>
      <c r="G191" s="17" t="n">
        <v>-0.08509060262912663</v>
      </c>
    </row>
    <row r="192">
      <c r="A192" s="8" t="inlineStr">
        <is>
          <t>20260619</t>
        </is>
      </c>
      <c r="B192" s="9" t="n">
        <v>6116.58</v>
      </c>
      <c r="C192" s="9">
        <f>04_理论成本!D192</f>
        <v/>
      </c>
      <c r="D192" s="9">
        <f>B192-C192</f>
        <v/>
      </c>
      <c r="E192" s="9" t="n">
        <v>414.1799999999994</v>
      </c>
      <c r="F192" s="9" t="n">
        <v>264.5799999999999</v>
      </c>
      <c r="G192" s="17" t="n">
        <v>0.03586255412868437</v>
      </c>
    </row>
    <row r="193">
      <c r="A193" s="8" t="inlineStr">
        <is>
          <t>20260622</t>
        </is>
      </c>
      <c r="B193" s="9" t="n">
        <v>6116.58</v>
      </c>
      <c r="C193" s="9">
        <f>04_理论成本!D193</f>
        <v/>
      </c>
      <c r="D193" s="9">
        <f>B193-C193</f>
        <v/>
      </c>
      <c r="E193" s="9" t="n">
        <v>414.1799999999994</v>
      </c>
      <c r="F193" s="9" t="n">
        <v>264.5799999999999</v>
      </c>
      <c r="G193" s="17" t="n">
        <v>-0.03092684943647314</v>
      </c>
    </row>
    <row r="194">
      <c r="A194" s="8" t="inlineStr">
        <is>
          <t>20260623</t>
        </is>
      </c>
      <c r="B194" s="9" t="n">
        <v>6041.92</v>
      </c>
      <c r="C194" s="9">
        <f>04_理论成本!D194</f>
        <v/>
      </c>
      <c r="D194" s="9">
        <f>B194-C194</f>
        <v/>
      </c>
      <c r="E194" s="9" t="n">
        <v>339.5199999999995</v>
      </c>
      <c r="F194" s="9" t="n">
        <v>189.9200000000001</v>
      </c>
      <c r="G194" s="17" t="n">
        <v>-0.3520282064134577</v>
      </c>
    </row>
    <row r="195">
      <c r="A195" s="8" t="inlineStr">
        <is>
          <t>20260624</t>
        </is>
      </c>
      <c r="B195" s="9" t="n">
        <v>6027.67</v>
      </c>
      <c r="C195" s="9">
        <f>04_理论成本!D195</f>
        <v/>
      </c>
      <c r="D195" s="9">
        <f>B195-C195</f>
        <v/>
      </c>
      <c r="E195" s="9" t="n">
        <v>325.2699999999995</v>
      </c>
      <c r="F195" s="9" t="n">
        <v>175.6700000000001</v>
      </c>
      <c r="G195" s="17" t="n">
        <v>-0.5643818240436506</v>
      </c>
    </row>
    <row r="196">
      <c r="A196" s="8" t="inlineStr">
        <is>
          <t>20260625</t>
        </is>
      </c>
      <c r="B196" s="9" t="n">
        <v>5967</v>
      </c>
      <c r="C196" s="9">
        <f>04_理论成本!D196</f>
        <v/>
      </c>
      <c r="D196" s="9">
        <f>B196-C196</f>
        <v/>
      </c>
      <c r="E196" s="9" t="n">
        <v>264.5999999999995</v>
      </c>
      <c r="F196" s="9" t="n">
        <v>115</v>
      </c>
      <c r="G196" s="17" t="n">
        <v>-1.065593500196998</v>
      </c>
    </row>
    <row r="197">
      <c r="A197" s="8" t="inlineStr">
        <is>
          <t>20260626</t>
        </is>
      </c>
      <c r="B197" s="9" t="n">
        <v>5717.66</v>
      </c>
      <c r="C197" s="9">
        <f>04_理论成本!D197</f>
        <v/>
      </c>
      <c r="D197" s="9">
        <f>B197-C197</f>
        <v/>
      </c>
      <c r="E197" s="9" t="n">
        <v>15.25999999999931</v>
      </c>
      <c r="F197" s="9" t="n">
        <v>-134.3400000000001</v>
      </c>
      <c r="G197" s="17" t="n">
        <v>-2.294007224854755</v>
      </c>
    </row>
    <row r="198">
      <c r="A198" s="8" t="inlineStr">
        <is>
          <t>20260629</t>
        </is>
      </c>
      <c r="B198" s="9" t="n">
        <v>5734</v>
      </c>
      <c r="C198" s="9">
        <f>04_理论成本!D198</f>
        <v/>
      </c>
      <c r="D198" s="9">
        <f>B198-C198</f>
        <v/>
      </c>
      <c r="E198" s="9" t="n">
        <v>31.59999999999945</v>
      </c>
      <c r="F198" s="9" t="n">
        <v>-118</v>
      </c>
      <c r="G198" s="17" t="n">
        <v>-1.909628211902634</v>
      </c>
    </row>
    <row r="199">
      <c r="A199" s="8" t="inlineStr">
        <is>
          <t>20260630</t>
        </is>
      </c>
      <c r="B199" s="9" t="n">
        <v>5785.66</v>
      </c>
      <c r="C199" s="9">
        <f>04_理论成本!D199</f>
        <v/>
      </c>
      <c r="D199" s="9">
        <f>B199-C199</f>
        <v/>
      </c>
      <c r="E199" s="9" t="n">
        <v>666.46</v>
      </c>
      <c r="F199" s="9" t="n">
        <v>532.1599999999999</v>
      </c>
      <c r="G199" s="17" t="n">
        <v>0.6918978290004273</v>
      </c>
    </row>
    <row r="200">
      <c r="A200" s="8" t="inlineStr">
        <is>
          <t>20260701</t>
        </is>
      </c>
      <c r="B200" s="9" t="n">
        <v>5823</v>
      </c>
      <c r="C200" s="9">
        <f>04_理论成本!D200</f>
        <v/>
      </c>
      <c r="D200" s="9">
        <f>B200-C200</f>
        <v/>
      </c>
      <c r="E200" s="9" t="n">
        <v>703.8000000000002</v>
      </c>
      <c r="F200" s="9" t="n">
        <v>569.5</v>
      </c>
      <c r="G200" s="17" t="n">
        <v>0.7902859168942741</v>
      </c>
    </row>
    <row r="201">
      <c r="A201" s="8" t="inlineStr">
        <is>
          <t>20260702</t>
        </is>
      </c>
      <c r="B201" s="9" t="n">
        <v>5777.83</v>
      </c>
      <c r="C201" s="9">
        <f>04_理论成本!D201</f>
        <v/>
      </c>
      <c r="D201" s="9">
        <f>B201-C201</f>
        <v/>
      </c>
      <c r="E201" s="9" t="n">
        <v>658.6300000000001</v>
      </c>
      <c r="F201" s="9" t="n">
        <v>524.3299999999999</v>
      </c>
      <c r="G201" s="17" t="n">
        <v>0.5929546728384278</v>
      </c>
    </row>
    <row r="202">
      <c r="A202" s="8" t="inlineStr">
        <is>
          <t>20260703</t>
        </is>
      </c>
      <c r="B202" s="9" t="n">
        <v>5686.84</v>
      </c>
      <c r="C202" s="9">
        <f>04_理论成本!D202</f>
        <v/>
      </c>
      <c r="D202" s="9">
        <f>B202-C202</f>
        <v/>
      </c>
      <c r="E202" s="9" t="n">
        <v>567.6400000000003</v>
      </c>
      <c r="F202" s="9" t="n">
        <v>433.3400000000001</v>
      </c>
      <c r="G202" s="17" t="n">
        <v>0.2309576528333752</v>
      </c>
    </row>
    <row r="203">
      <c r="A203" s="8" t="inlineStr">
        <is>
          <t>20260706</t>
        </is>
      </c>
      <c r="B203" s="9" t="n">
        <v>5696.34</v>
      </c>
      <c r="C203" s="9">
        <f>04_理论成本!D203</f>
        <v/>
      </c>
      <c r="D203" s="9">
        <f>B203-C203</f>
        <v/>
      </c>
      <c r="E203" s="9" t="n">
        <v>577.1400000000003</v>
      </c>
      <c r="F203" s="9" t="n">
        <v>442.8400000000001</v>
      </c>
      <c r="G203" s="17" t="n">
        <v>0.3019214603584171</v>
      </c>
    </row>
    <row r="204">
      <c r="A204" s="8" t="inlineStr">
        <is>
          <t>20260707</t>
        </is>
      </c>
      <c r="B204" s="9" t="n">
        <v>5780.66</v>
      </c>
      <c r="C204" s="9">
        <f>04_理论成本!D204</f>
        <v/>
      </c>
      <c r="D204" s="9">
        <f>B204-C204</f>
        <v/>
      </c>
      <c r="E204" s="9" t="n">
        <v>661.46</v>
      </c>
      <c r="F204" s="9" t="n">
        <v>527.1599999999999</v>
      </c>
      <c r="G204" s="17" t="n">
        <v>0.6761444804395388</v>
      </c>
    </row>
    <row r="205">
      <c r="A205" s="8" t="inlineStr">
        <is>
          <t>20260708</t>
        </is>
      </c>
      <c r="B205" s="9" t="n">
        <v>5811.34</v>
      </c>
      <c r="C205" s="9">
        <f>04_理论成本!D205</f>
        <v/>
      </c>
      <c r="D205" s="9">
        <f>B205-C205</f>
        <v/>
      </c>
      <c r="E205" s="9" t="n">
        <v>692.1400000000003</v>
      </c>
      <c r="F205" s="9" t="n">
        <v>557.8400000000001</v>
      </c>
      <c r="G205" s="17" t="n">
        <v>0.8254198884067413</v>
      </c>
    </row>
    <row r="206">
      <c r="A206" s="8" t="inlineStr">
        <is>
          <t>20260709</t>
        </is>
      </c>
      <c r="B206" s="9" t="n">
        <v>5873.34</v>
      </c>
      <c r="C206" s="9">
        <f>04_理论成本!D206</f>
        <v/>
      </c>
      <c r="D206" s="9">
        <f>B206-C206</f>
        <v/>
      </c>
      <c r="E206" s="9" t="n">
        <v>754.1400000000003</v>
      </c>
      <c r="F206" s="9" t="n">
        <v>619.8400000000001</v>
      </c>
      <c r="G206" s="17" t="n">
        <v>1.088936134504787</v>
      </c>
    </row>
    <row r="207">
      <c r="A207" s="8" t="inlineStr">
        <is>
          <t>20260710</t>
        </is>
      </c>
      <c r="B207" s="9" t="n">
        <v>5957.84</v>
      </c>
      <c r="C207" s="9">
        <f>04_理论成本!D207</f>
        <v/>
      </c>
      <c r="D207" s="9">
        <f>B207-C207</f>
        <v/>
      </c>
      <c r="E207" s="9" t="n">
        <v>838.6400000000003</v>
      </c>
      <c r="F207" s="9" t="n">
        <v>704.3400000000001</v>
      </c>
      <c r="G207" s="17" t="n">
        <v>1.413539244331198</v>
      </c>
    </row>
    <row r="208">
      <c r="A208" s="8" t="inlineStr">
        <is>
          <t>20260713</t>
        </is>
      </c>
      <c r="B208" s="9" t="n">
        <v>5910.5</v>
      </c>
      <c r="C208" s="9">
        <f>04_理论成本!D208</f>
        <v/>
      </c>
      <c r="D208" s="9">
        <f>B208-C208</f>
        <v/>
      </c>
      <c r="E208" s="9" t="n">
        <v>791.3000000000002</v>
      </c>
      <c r="F208" s="9" t="n">
        <v>657</v>
      </c>
      <c r="G208" s="17" t="n">
        <v>1.211749696856373</v>
      </c>
    </row>
    <row r="209">
      <c r="A209" s="8" t="inlineStr">
        <is>
          <t>20260714</t>
        </is>
      </c>
      <c r="B209" s="9" t="n">
        <v>5898.5</v>
      </c>
      <c r="C209" s="9">
        <f>04_理论成本!D209</f>
        <v/>
      </c>
      <c r="D209" s="9">
        <f>B209-C209</f>
        <v/>
      </c>
      <c r="E209" s="9" t="n">
        <v>779.3000000000002</v>
      </c>
      <c r="F209" s="9" t="n">
        <v>645</v>
      </c>
      <c r="G209" s="17" t="n">
        <v>1.103112582638224</v>
      </c>
    </row>
    <row r="210">
      <c r="A210" s="8" t="inlineStr">
        <is>
          <t>20260715</t>
        </is>
      </c>
      <c r="B210" s="9" t="n">
        <v>6024.5</v>
      </c>
      <c r="C210" s="9">
        <f>04_理论成本!D210</f>
        <v/>
      </c>
      <c r="D210" s="9">
        <f>B210-C210</f>
        <v/>
      </c>
      <c r="E210" s="9" t="n">
        <v>905.3000000000002</v>
      </c>
      <c r="F210" s="9" t="n">
        <v>771</v>
      </c>
      <c r="G210" s="17" t="n">
        <v>1.428605610932637</v>
      </c>
    </row>
    <row r="211">
      <c r="A211" s="8" t="inlineStr">
        <is>
          <t>20260716</t>
        </is>
      </c>
      <c r="B211" s="9" t="n">
        <v>6043</v>
      </c>
      <c r="C211" s="9">
        <f>04_理论成本!D211</f>
        <v/>
      </c>
      <c r="D211" s="9">
        <f>B211-C211</f>
        <v/>
      </c>
      <c r="E211" s="9" t="n">
        <v>923.8000000000002</v>
      </c>
      <c r="F211" s="9" t="n">
        <v>789.5</v>
      </c>
      <c r="G211" s="17" t="n">
        <v>1.337717467959133</v>
      </c>
    </row>
    <row r="212">
      <c r="A212" s="8" t="inlineStr">
        <is>
          <t>20260717</t>
        </is>
      </c>
      <c r="B212" s="9" t="n">
        <v>6012.25</v>
      </c>
      <c r="C212" s="9">
        <f>04_理论成本!D212</f>
        <v/>
      </c>
      <c r="D212" s="9">
        <f>B212-C212</f>
        <v/>
      </c>
      <c r="E212" s="9" t="n">
        <v>569.0500000000002</v>
      </c>
      <c r="F212" s="9" t="n">
        <v>426.25</v>
      </c>
      <c r="G212" s="17" t="n">
        <v>-0.02381984363475013</v>
      </c>
    </row>
    <row r="213">
      <c r="A213" s="8" t="inlineStr">
        <is>
          <t>20260720</t>
        </is>
      </c>
      <c r="B213" s="9" t="n">
        <v>5985.91</v>
      </c>
      <c r="C213" s="9">
        <f>04_理论成本!D213</f>
        <v/>
      </c>
      <c r="D213" s="9">
        <f>B213-C213</f>
        <v/>
      </c>
      <c r="E213" s="9" t="n">
        <v>542.71</v>
      </c>
      <c r="F213" s="9" t="n">
        <v>399.9099999999999</v>
      </c>
      <c r="G213" s="17" t="n">
        <v>-0.1488052919389943</v>
      </c>
    </row>
    <row r="214">
      <c r="A214" s="8" t="inlineStr">
        <is>
          <t>20260721</t>
        </is>
      </c>
      <c r="B214" s="9" t="n">
        <v>6079.83</v>
      </c>
      <c r="C214" s="9">
        <f>04_理论成本!D214</f>
        <v/>
      </c>
      <c r="D214" s="9">
        <f>B214-C214</f>
        <v/>
      </c>
      <c r="E214" s="9" t="n">
        <v>636.6300000000001</v>
      </c>
      <c r="F214" s="9" t="n">
        <v>493.8299999999999</v>
      </c>
      <c r="G214" s="17" t="n">
        <v>0.1540259994921784</v>
      </c>
    </row>
    <row r="215">
      <c r="A215" s="8" t="inlineStr">
        <is>
          <t>20260722</t>
        </is>
      </c>
      <c r="B215" s="9" t="n">
        <v>6036.84</v>
      </c>
      <c r="C215" s="9">
        <f>04_理论成本!D215</f>
        <v/>
      </c>
      <c r="D215" s="9">
        <f>B215-C215</f>
        <v/>
      </c>
      <c r="E215" s="9" t="n">
        <v>593.6400000000003</v>
      </c>
      <c r="F215" s="9" t="n">
        <v>450.8400000000001</v>
      </c>
      <c r="G215" s="17" t="n">
        <v>-0.06768113901678732</v>
      </c>
    </row>
    <row r="216">
      <c r="A216" s="8" t="inlineStr">
        <is>
          <t>20260723</t>
        </is>
      </c>
      <c r="B216" s="9" t="n">
        <v>6105.33</v>
      </c>
      <c r="C216" s="9">
        <f>04_理论成本!D216</f>
        <v/>
      </c>
      <c r="D216" s="9">
        <f>B216-C216</f>
        <v/>
      </c>
      <c r="E216" s="9" t="n">
        <v>662.1300000000001</v>
      </c>
      <c r="F216" s="9" t="n">
        <v>519.3299999999999</v>
      </c>
      <c r="G216" s="17" t="n">
        <v>0.134120989669487</v>
      </c>
    </row>
    <row r="217">
      <c r="A217" s="8" t="inlineStr">
        <is>
          <t>20260724</t>
        </is>
      </c>
      <c r="B217" s="9" t="n">
        <v>6156.5</v>
      </c>
      <c r="C217" s="9">
        <f>04_理论成本!D217</f>
        <v/>
      </c>
      <c r="D217" s="9">
        <f>B217-C217</f>
        <v/>
      </c>
      <c r="E217" s="9" t="n">
        <v>713.3000000000002</v>
      </c>
      <c r="F217" s="9" t="n">
        <v>570.5</v>
      </c>
      <c r="G217" s="17" t="n">
        <v>0.2570860288798841</v>
      </c>
    </row>
    <row r="218">
      <c r="A218" s="8" t="inlineStr">
        <is>
          <t>20260727</t>
        </is>
      </c>
      <c r="B218" s="9" t="n">
        <v>6170.34</v>
      </c>
      <c r="C218" s="9">
        <f>04_理论成本!D218</f>
        <v/>
      </c>
      <c r="D218" s="9">
        <f>B218-C218</f>
        <v/>
      </c>
      <c r="E218" s="9" t="n">
        <v>727.1400000000003</v>
      </c>
      <c r="F218" s="9" t="n">
        <v>584.3400000000001</v>
      </c>
      <c r="G218" s="17" t="n">
        <v>0.2428958073460513</v>
      </c>
    </row>
    <row r="219">
      <c r="A219" s="8" t="inlineStr">
        <is>
          <t>20260728</t>
        </is>
      </c>
      <c r="B219" s="9" t="n">
        <v>5997.16</v>
      </c>
      <c r="C219" s="9">
        <f>04_理论成本!D219</f>
        <v/>
      </c>
      <c r="D219" s="9">
        <f>B219-C219</f>
        <v/>
      </c>
      <c r="E219" s="9" t="n">
        <v>553.96</v>
      </c>
      <c r="F219" s="9" t="n">
        <v>411.1599999999999</v>
      </c>
      <c r="G219" s="17" t="n">
        <v>-1.230461244291043</v>
      </c>
    </row>
    <row r="220">
      <c r="A220" s="8" t="inlineStr">
        <is>
          <t>20260729</t>
        </is>
      </c>
      <c r="B220" s="9" t="n">
        <v>5993.34</v>
      </c>
      <c r="C220" s="9">
        <f>04_理论成本!D220</f>
        <v/>
      </c>
      <c r="D220" s="9">
        <f>B220-C220</f>
        <v/>
      </c>
      <c r="E220" s="9" t="n">
        <v>550.1400000000003</v>
      </c>
      <c r="F220" s="9" t="n">
        <v>407.3400000000001</v>
      </c>
      <c r="G220" s="17" t="n">
        <v>-1.150858862460994</v>
      </c>
    </row>
    <row r="221">
      <c r="A221" s="8" t="inlineStr">
        <is>
          <t>20260730</t>
        </is>
      </c>
      <c r="B221" s="9" t="n">
        <v>6017.34</v>
      </c>
      <c r="C221" s="9">
        <f>04_理论成本!D221</f>
        <v/>
      </c>
      <c r="D221" s="9">
        <f>B221-C221</f>
        <v/>
      </c>
      <c r="E221" s="9" t="n">
        <v>509.3400000000001</v>
      </c>
      <c r="F221" s="9" t="n">
        <v>364.8400000000001</v>
      </c>
      <c r="G221" s="17" t="n">
        <v>-1.361554321638435</v>
      </c>
    </row>
    <row r="222">
      <c r="A222" s="8" t="inlineStr">
        <is>
          <t>20260731</t>
        </is>
      </c>
      <c r="B222" s="9" t="n">
        <v>6006.41</v>
      </c>
      <c r="C222" s="9">
        <f>04_理论成本!D222</f>
        <v/>
      </c>
      <c r="D222" s="9">
        <f>B222-C222</f>
        <v/>
      </c>
      <c r="E222" s="9" t="n">
        <v>498.4099999999999</v>
      </c>
      <c r="F222" s="9" t="n">
        <v>353.9099999999999</v>
      </c>
      <c r="G222" s="17" t="n">
        <v>-1.372023896236453</v>
      </c>
    </row>
    <row r="223">
      <c r="A223" s="8" t="inlineStr">
        <is>
          <t>20260803</t>
        </is>
      </c>
      <c r="B223" s="9" t="n">
        <v>5945.75</v>
      </c>
      <c r="C223" s="9">
        <f>04_理论成本!D223</f>
        <v/>
      </c>
      <c r="D223" s="9">
        <f>B223-C223</f>
        <v/>
      </c>
      <c r="E223" s="9" t="n">
        <v>437.75</v>
      </c>
      <c r="F223" s="9" t="n">
        <v>293.25</v>
      </c>
      <c r="G223" s="17" t="n">
        <v>-1.666629812902078</v>
      </c>
    </row>
    <row r="224">
      <c r="A224" s="8" t="inlineStr">
        <is>
          <t>20260804</t>
        </is>
      </c>
      <c r="B224" s="9" t="n">
        <v>6027</v>
      </c>
      <c r="C224" s="9">
        <f>04_理论成本!D224</f>
        <v/>
      </c>
      <c r="D224" s="9">
        <f>B224-C224</f>
        <v/>
      </c>
      <c r="E224" s="9" t="n">
        <v>519</v>
      </c>
      <c r="F224" s="9" t="n">
        <v>374.5</v>
      </c>
      <c r="G224" s="17" t="n">
        <v>-0.9993955598943031</v>
      </c>
    </row>
    <row r="225">
      <c r="A225" s="8" t="inlineStr">
        <is>
          <t>20260805</t>
        </is>
      </c>
      <c r="B225" s="9" t="n">
        <v>6159.83</v>
      </c>
      <c r="C225" s="9">
        <f>04_理论成本!D225</f>
        <v/>
      </c>
      <c r="D225" s="9">
        <f>B225-C225</f>
        <v/>
      </c>
      <c r="E225" s="9" t="n">
        <v>651.8299999999999</v>
      </c>
      <c r="F225" s="9" t="n">
        <v>507.3299999999999</v>
      </c>
      <c r="G225" s="17" t="n">
        <v>-0.05346209757902585</v>
      </c>
    </row>
    <row r="226">
      <c r="A226" s="8" t="inlineStr">
        <is>
          <t>20260806</t>
        </is>
      </c>
      <c r="B226" s="9" t="n">
        <v>6021.5</v>
      </c>
      <c r="C226" s="9">
        <f>04_理论成本!D226</f>
        <v/>
      </c>
      <c r="D226" s="9">
        <f>B226-C226</f>
        <v/>
      </c>
      <c r="E226" s="9" t="n">
        <v>513.5</v>
      </c>
      <c r="F226" s="9" t="n">
        <v>369</v>
      </c>
      <c r="G226" s="17" t="n">
        <v>-0.9278511941104943</v>
      </c>
    </row>
    <row r="227">
      <c r="A227" s="8" t="inlineStr">
        <is>
          <t>20260807</t>
        </is>
      </c>
      <c r="B227" s="9" t="n">
        <v>6010.5</v>
      </c>
      <c r="C227" s="9">
        <f>04_理论成本!D227</f>
        <v/>
      </c>
      <c r="D227" s="9">
        <f>B227-C227</f>
        <v/>
      </c>
      <c r="E227" s="9" t="n">
        <v>502.5</v>
      </c>
      <c r="F227" s="9" t="n">
        <v>358</v>
      </c>
      <c r="G227" s="17" t="n">
        <v>-0.9132612139348153</v>
      </c>
    </row>
    <row r="228">
      <c r="A228" s="8" t="inlineStr">
        <is>
          <t>20260810</t>
        </is>
      </c>
      <c r="B228" s="9" t="n">
        <v>6075.86</v>
      </c>
      <c r="C228" s="9">
        <f>04_理论成本!D228</f>
        <v/>
      </c>
      <c r="D228" s="9">
        <f>B228-C228</f>
        <v/>
      </c>
      <c r="E228" s="9" t="n">
        <v>567.8599999999997</v>
      </c>
      <c r="F228" s="9" t="n">
        <v>423.3599999999997</v>
      </c>
      <c r="G228" s="17" t="n">
        <v>-0.3778779599086199</v>
      </c>
    </row>
    <row r="229">
      <c r="A229" s="8" t="inlineStr">
        <is>
          <t>20260811</t>
        </is>
      </c>
      <c r="B229" s="9" t="n">
        <v>6050.26</v>
      </c>
      <c r="C229" s="9">
        <f>04_理论成本!D229</f>
        <v/>
      </c>
      <c r="D229" s="9">
        <f>B229-C229</f>
        <v/>
      </c>
      <c r="E229" s="9" t="n">
        <v>542.2600000000002</v>
      </c>
      <c r="F229" s="9" t="n">
        <v>397.7600000000002</v>
      </c>
      <c r="G229" s="17" t="n">
        <v>-0.4959546908703761</v>
      </c>
    </row>
    <row r="230">
      <c r="A230" s="8" t="inlineStr">
        <is>
          <t>20260812</t>
        </is>
      </c>
      <c r="B230" s="9" t="n">
        <v>6062.07</v>
      </c>
      <c r="C230" s="9">
        <f>04_理论成本!D230</f>
        <v/>
      </c>
      <c r="D230" s="9">
        <f>B230-C230</f>
        <v/>
      </c>
      <c r="E230" s="9" t="n">
        <v>554.0699999999997</v>
      </c>
      <c r="F230" s="9" t="n">
        <v>409.5699999999997</v>
      </c>
      <c r="G230" s="17" t="n">
        <v>-0.3200304058007437</v>
      </c>
    </row>
    <row r="231">
      <c r="A231" s="8" t="inlineStr">
        <is>
          <t>20260813</t>
        </is>
      </c>
      <c r="B231" s="9" t="n">
        <v>6075.26</v>
      </c>
      <c r="C231" s="9">
        <f>04_理论成本!D231</f>
        <v/>
      </c>
      <c r="D231" s="9">
        <f>B231-C231</f>
        <v/>
      </c>
      <c r="E231" s="9" t="n">
        <v>567.2600000000002</v>
      </c>
      <c r="F231" s="9" t="n">
        <v>422.7600000000002</v>
      </c>
      <c r="G231" s="17" t="n">
        <v>-0.04947515508544115</v>
      </c>
    </row>
    <row r="232">
      <c r="A232" s="8" t="inlineStr">
        <is>
          <t>20260814</t>
        </is>
      </c>
      <c r="B232" s="9" t="n">
        <v>6075.07</v>
      </c>
      <c r="C232" s="9">
        <f>04_理论成本!D232</f>
        <v/>
      </c>
      <c r="D232" s="9">
        <f>B232-C232</f>
        <v/>
      </c>
      <c r="E232" s="9" t="n">
        <v>567.0699999999997</v>
      </c>
      <c r="F232" s="9" t="n">
        <v>422.5699999999997</v>
      </c>
      <c r="G232" s="17" t="n">
        <v>-0.05022508831019463</v>
      </c>
    </row>
    <row r="233">
      <c r="A233" s="8" t="inlineStr">
        <is>
          <t>20260817</t>
        </is>
      </c>
      <c r="B233" s="9" t="n">
        <v>6084.66</v>
      </c>
      <c r="C233" s="9">
        <f>04_理论成本!D233</f>
        <v/>
      </c>
      <c r="D233" s="9">
        <f>B233-C233</f>
        <v/>
      </c>
      <c r="E233" s="9" t="n">
        <v>576.6599999999999</v>
      </c>
      <c r="F233" s="9" t="n">
        <v>432.1599999999999</v>
      </c>
      <c r="G233" s="17" t="n">
        <v>0.05658527354010305</v>
      </c>
    </row>
    <row r="234">
      <c r="A234" s="8" t="inlineStr">
        <is>
          <t>20260818</t>
        </is>
      </c>
      <c r="B234" s="9" t="n">
        <v>6292.86</v>
      </c>
      <c r="C234" s="9">
        <f>04_理论成本!D234</f>
        <v/>
      </c>
      <c r="D234" s="9">
        <f>B234-C234</f>
        <v/>
      </c>
      <c r="E234" s="9" t="n">
        <v>784.8599999999997</v>
      </c>
      <c r="F234" s="9" t="n">
        <v>640.3599999999997</v>
      </c>
      <c r="G234" s="17" t="n">
        <v>2.35400070722884</v>
      </c>
    </row>
    <row r="235">
      <c r="A235" s="8" t="inlineStr">
        <is>
          <t>20260819</t>
        </is>
      </c>
      <c r="B235" s="9" t="n">
        <v>6350.07</v>
      </c>
      <c r="C235" s="9">
        <f>04_理论成本!D235</f>
        <v/>
      </c>
      <c r="D235" s="9">
        <f>B235-C235</f>
        <v/>
      </c>
      <c r="E235" s="9" t="n">
        <v>842.0699999999997</v>
      </c>
      <c r="F235" s="9" t="n">
        <v>697.5699999999997</v>
      </c>
      <c r="G235" s="17" t="n">
        <v>2.378708102379813</v>
      </c>
    </row>
    <row r="236">
      <c r="A236" s="8" t="inlineStr">
        <is>
          <t>20260820</t>
        </is>
      </c>
      <c r="B236" s="9" t="n">
        <v>6310.4</v>
      </c>
      <c r="C236" s="9">
        <f>04_理论成本!D236</f>
        <v/>
      </c>
      <c r="D236" s="9">
        <f>B236-C236</f>
        <v/>
      </c>
      <c r="E236" s="9" t="n">
        <v>802.3999999999996</v>
      </c>
      <c r="F236" s="9" t="n">
        <v>657.8999999999996</v>
      </c>
      <c r="G236" s="17" t="n">
        <v>1.779173649934867</v>
      </c>
    </row>
    <row r="237">
      <c r="A237" s="8" t="inlineStr">
        <is>
          <t>20260821</t>
        </is>
      </c>
      <c r="B237" s="9" t="n">
        <v>6318.86</v>
      </c>
      <c r="C237" s="9">
        <f>04_理论成本!D237</f>
        <v/>
      </c>
      <c r="D237" s="9">
        <f>B237-C237</f>
        <v/>
      </c>
      <c r="E237" s="9" t="n">
        <v>810.8599999999997</v>
      </c>
      <c r="F237" s="9" t="n">
        <v>666.3599999999997</v>
      </c>
      <c r="G237" s="17" t="n">
        <v>1.706750279312442</v>
      </c>
    </row>
    <row r="238">
      <c r="A238" s="8" t="inlineStr">
        <is>
          <t>20260824</t>
        </is>
      </c>
      <c r="B238" s="9" t="n">
        <v>6495</v>
      </c>
      <c r="C238" s="9">
        <f>04_理论成本!D238</f>
        <v/>
      </c>
      <c r="D238" s="9">
        <f>B238-C238</f>
        <v/>
      </c>
      <c r="E238" s="9" t="n">
        <v>987</v>
      </c>
      <c r="F238" s="9" t="n">
        <v>842.5</v>
      </c>
      <c r="G238" s="17" t="n">
        <v>2.528168869968282</v>
      </c>
    </row>
    <row r="239">
      <c r="A239" s="8" t="inlineStr">
        <is>
          <t>20260825</t>
        </is>
      </c>
      <c r="B239" s="9" t="n">
        <v>6450</v>
      </c>
      <c r="C239" s="9">
        <f>04_理论成本!D239</f>
        <v/>
      </c>
      <c r="D239" s="9">
        <f>B239-C239</f>
        <v/>
      </c>
      <c r="E239" s="9" t="n">
        <v>942</v>
      </c>
      <c r="F239" s="9" t="n">
        <v>797.5</v>
      </c>
      <c r="G239" s="17" t="n">
        <v>1.88180326466607</v>
      </c>
    </row>
    <row r="240">
      <c r="A240" s="8" t="inlineStr">
        <is>
          <t>20260826</t>
        </is>
      </c>
      <c r="B240" s="9" t="n">
        <v>6453</v>
      </c>
      <c r="C240" s="9">
        <f>04_理论成本!D240</f>
        <v/>
      </c>
      <c r="D240" s="9">
        <f>B240-C240</f>
        <v/>
      </c>
      <c r="E240" s="9" t="n">
        <v>945</v>
      </c>
      <c r="F240" s="9" t="n">
        <v>800.5</v>
      </c>
      <c r="G240" s="17" t="n">
        <v>1.651724465787172</v>
      </c>
    </row>
    <row r="241">
      <c r="A241" s="8" t="inlineStr">
        <is>
          <t>20260827</t>
        </is>
      </c>
      <c r="B241" s="9" t="n">
        <v>6253.75</v>
      </c>
      <c r="C241" s="9">
        <f>04_理论成本!D241</f>
        <v/>
      </c>
      <c r="D241" s="9">
        <f>B241-C241</f>
        <v/>
      </c>
      <c r="E241" s="9" t="n">
        <v>745.75</v>
      </c>
      <c r="F241" s="9" t="n">
        <v>601.25</v>
      </c>
      <c r="G241" s="17" t="n">
        <v>0.4514054542463141</v>
      </c>
    </row>
    <row r="242">
      <c r="A242" s="8" t="inlineStr">
        <is>
          <t>20260828</t>
        </is>
      </c>
      <c r="B242" s="9" t="n">
        <v>6176.75</v>
      </c>
      <c r="C242" s="9">
        <f>04_理论成本!D242</f>
        <v/>
      </c>
      <c r="D242" s="9">
        <f>B242-C242</f>
        <v/>
      </c>
      <c r="E242" s="9" t="n">
        <v>668.75</v>
      </c>
      <c r="F242" s="9" t="n">
        <v>524.25</v>
      </c>
      <c r="G242" s="17" t="n">
        <v>-0.0457293373397081</v>
      </c>
    </row>
    <row r="243">
      <c r="A243" s="8" t="inlineStr">
        <is>
          <t>20260831</t>
        </is>
      </c>
      <c r="B243" s="9" t="n">
        <v>6213.25</v>
      </c>
      <c r="C243" s="9">
        <f>04_理论成本!D243</f>
        <v/>
      </c>
      <c r="D243" s="9">
        <f>B243-C243</f>
        <v/>
      </c>
      <c r="E243" s="9" t="n">
        <v>705.25</v>
      </c>
      <c r="F243" s="9" t="n">
        <v>560.75</v>
      </c>
      <c r="G243" s="17" t="n">
        <v>0.09771522425938531</v>
      </c>
    </row>
    <row r="244">
      <c r="A244" s="8" t="inlineStr">
        <is>
          <t>20260901</t>
        </is>
      </c>
      <c r="B244" s="9" t="n">
        <v>6303.5</v>
      </c>
      <c r="C244" s="9">
        <f>04_理论成本!D244</f>
        <v/>
      </c>
      <c r="D244" s="9">
        <f>B244-C244</f>
        <v/>
      </c>
      <c r="E244" s="9" t="n">
        <v>795.5</v>
      </c>
      <c r="F244" s="9" t="n">
        <v>651</v>
      </c>
      <c r="G244" s="17" t="n">
        <v>0.5948144994253538</v>
      </c>
    </row>
    <row r="245">
      <c r="A245" s="8" t="inlineStr">
        <is>
          <t>20260902</t>
        </is>
      </c>
      <c r="B245" s="9" t="n">
        <v>6389.75</v>
      </c>
      <c r="C245" s="9">
        <f>04_理论成本!D245</f>
        <v/>
      </c>
      <c r="D245" s="9">
        <f>B245-C245</f>
        <v/>
      </c>
      <c r="E245" s="9" t="n">
        <v>881.75</v>
      </c>
      <c r="F245" s="9" t="n">
        <v>737.25</v>
      </c>
      <c r="G245" s="17" t="n">
        <v>1.048664111157934</v>
      </c>
    </row>
    <row r="246">
      <c r="A246" s="8" t="inlineStr">
        <is>
          <t>20260903</t>
        </is>
      </c>
      <c r="B246" s="9" t="n">
        <v>6513.25</v>
      </c>
      <c r="C246" s="9">
        <f>04_理论成本!D246</f>
        <v/>
      </c>
      <c r="D246" s="9">
        <f>B246-C246</f>
        <v/>
      </c>
      <c r="E246" s="9" t="n">
        <v>681.25</v>
      </c>
      <c r="F246" s="9" t="n">
        <v>528.25</v>
      </c>
      <c r="G246" s="17" t="n">
        <v>-0.2998239817609472</v>
      </c>
    </row>
    <row r="247">
      <c r="A247" s="8" t="inlineStr">
        <is>
          <t>20260904</t>
        </is>
      </c>
      <c r="B247" s="9" t="n">
        <v>6602.25</v>
      </c>
      <c r="C247" s="9">
        <f>04_理论成本!D247</f>
        <v/>
      </c>
      <c r="D247" s="9">
        <f>B247-C247</f>
        <v/>
      </c>
      <c r="E247" s="9" t="n">
        <v>770.25</v>
      </c>
      <c r="F247" s="9" t="n">
        <v>617.25</v>
      </c>
      <c r="G247" s="17" t="n">
        <v>0.2111739759486327</v>
      </c>
    </row>
    <row r="248">
      <c r="A248" s="8" t="inlineStr">
        <is>
          <t>20260907</t>
        </is>
      </c>
      <c r="B248" s="9" t="n">
        <v>6562.25</v>
      </c>
      <c r="C248" s="9">
        <f>04_理论成本!D248</f>
        <v/>
      </c>
      <c r="D248" s="9">
        <f>B248-C248</f>
        <v/>
      </c>
      <c r="E248" s="9" t="n">
        <v>730.25</v>
      </c>
      <c r="F248" s="9" t="n">
        <v>577.25</v>
      </c>
      <c r="G248" s="17" t="n">
        <v>-0.1290191497965556</v>
      </c>
    </row>
    <row r="249">
      <c r="A249" s="8" t="inlineStr">
        <is>
          <t>20260908</t>
        </is>
      </c>
      <c r="B249" s="9" t="n">
        <v>6444.25</v>
      </c>
      <c r="C249" s="9">
        <f>04_理论成本!D249</f>
        <v/>
      </c>
      <c r="D249" s="9">
        <f>B249-C249</f>
        <v/>
      </c>
      <c r="E249" s="9" t="n">
        <v>612.25</v>
      </c>
      <c r="F249" s="9" t="n">
        <v>459.25</v>
      </c>
      <c r="G249" s="17" t="n">
        <v>-1.045040313771159</v>
      </c>
    </row>
    <row r="250">
      <c r="A250" s="8" t="inlineStr">
        <is>
          <t>20260909</t>
        </is>
      </c>
      <c r="B250" s="9" t="n">
        <v>6606.5</v>
      </c>
      <c r="C250" s="9">
        <f>04_理论成本!D250</f>
        <v/>
      </c>
      <c r="D250" s="9">
        <f>B250-C250</f>
        <v/>
      </c>
      <c r="E250" s="9" t="n">
        <v>774.5</v>
      </c>
      <c r="F250" s="9" t="n">
        <v>621.5</v>
      </c>
      <c r="G250" s="17" t="n">
        <v>0.0986925125501512</v>
      </c>
    </row>
    <row r="251">
      <c r="A251" s="8" t="inlineStr">
        <is>
          <t>20260910</t>
        </is>
      </c>
      <c r="B251" s="9" t="n">
        <v>6662</v>
      </c>
      <c r="C251" s="9">
        <f>04_理论成本!D251</f>
        <v/>
      </c>
      <c r="D251" s="9">
        <f>B251-C251</f>
        <v/>
      </c>
      <c r="E251" s="9" t="n">
        <v>830</v>
      </c>
      <c r="F251" s="9" t="n">
        <v>677</v>
      </c>
      <c r="G251" s="17" t="n">
        <v>0.4676097321744735</v>
      </c>
    </row>
    <row r="252">
      <c r="A252" s="8" t="inlineStr">
        <is>
          <t>20260911</t>
        </is>
      </c>
      <c r="B252" s="9" t="n">
        <v>6839.75</v>
      </c>
      <c r="C252" s="9">
        <f>04_理论成本!D252</f>
        <v/>
      </c>
      <c r="D252" s="9">
        <f>B252-C252</f>
        <v/>
      </c>
      <c r="E252" s="9" t="n">
        <v>1007.75</v>
      </c>
      <c r="F252" s="9" t="n">
        <v>854.75</v>
      </c>
      <c r="G252" s="17" t="n">
        <v>1.786659532898768</v>
      </c>
    </row>
    <row r="253">
      <c r="A253" s="8" t="inlineStr">
        <is>
          <t>20260914</t>
        </is>
      </c>
      <c r="B253" s="9" t="n">
        <v>6971.25</v>
      </c>
      <c r="C253" s="9">
        <f>04_理论成本!D253</f>
        <v/>
      </c>
      <c r="D253" s="9">
        <f>B253-C253</f>
        <v/>
      </c>
      <c r="E253" s="9" t="n">
        <v>750.4499999999998</v>
      </c>
      <c r="F253" s="9" t="n">
        <v>587.25</v>
      </c>
      <c r="G253" s="17" t="n">
        <v>-0.5503745781715867</v>
      </c>
    </row>
    <row r="254">
      <c r="A254" s="8" t="inlineStr">
        <is>
          <t>20260915</t>
        </is>
      </c>
      <c r="B254" s="9" t="n">
        <v>6980</v>
      </c>
      <c r="C254" s="9">
        <f>04_理论成本!D254</f>
        <v/>
      </c>
      <c r="D254" s="9">
        <f>B254-C254</f>
        <v/>
      </c>
      <c r="E254" s="9" t="n">
        <v>759.1999999999998</v>
      </c>
      <c r="F254" s="9" t="n">
        <v>596</v>
      </c>
      <c r="G254" s="17" t="n">
        <v>-0.4509984315042821</v>
      </c>
    </row>
    <row r="255">
      <c r="A255" s="8" t="inlineStr">
        <is>
          <t>20260916</t>
        </is>
      </c>
      <c r="B255" s="9" t="n">
        <v>7045.25</v>
      </c>
      <c r="C255" s="9">
        <f>04_理论成本!D255</f>
        <v/>
      </c>
      <c r="D255" s="9">
        <f>B255-C255</f>
        <v/>
      </c>
      <c r="E255" s="9" t="n">
        <v>824.4499999999998</v>
      </c>
      <c r="F255" s="9" t="n">
        <v>661.25</v>
      </c>
      <c r="G255" s="17" t="n">
        <v>0.1666202891467561</v>
      </c>
    </row>
    <row r="256">
      <c r="A256" s="8" t="inlineStr">
        <is>
          <t>20260917</t>
        </is>
      </c>
      <c r="B256" s="9" t="n">
        <v>7328.25</v>
      </c>
      <c r="C256" s="9">
        <f>04_理论成本!D256</f>
        <v/>
      </c>
      <c r="D256" s="9">
        <f>B256-C256</f>
        <v/>
      </c>
      <c r="E256" s="9" t="n">
        <v>1107.45</v>
      </c>
      <c r="F256" s="9" t="n">
        <v>944.25</v>
      </c>
      <c r="G256" s="17" t="n">
        <v>2.256176491647008</v>
      </c>
    </row>
    <row r="257">
      <c r="A257" s="8" t="inlineStr">
        <is>
          <t>20260918</t>
        </is>
      </c>
      <c r="B257" s="9" t="n">
        <v>7362.2</v>
      </c>
      <c r="C257" s="9">
        <f>04_理论成本!D257</f>
        <v/>
      </c>
      <c r="D257" s="9">
        <f>B257-C257</f>
        <v/>
      </c>
      <c r="E257" s="9" t="n">
        <v>1141.4</v>
      </c>
      <c r="F257" s="9" t="n">
        <v>978.1999999999998</v>
      </c>
      <c r="G257" s="17" t="n">
        <v>2.087439173741327</v>
      </c>
    </row>
    <row r="258">
      <c r="A258" s="8" t="inlineStr">
        <is>
          <t>20260921</t>
        </is>
      </c>
      <c r="B258" s="9" t="n">
        <v>7108.8</v>
      </c>
      <c r="C258" s="9">
        <f>04_理论成本!D258</f>
        <v/>
      </c>
      <c r="D258" s="9">
        <f>B258-C258</f>
        <v/>
      </c>
      <c r="E258" s="9" t="n">
        <v>758.3999999999996</v>
      </c>
      <c r="F258" s="9" t="n">
        <v>591.8000000000002</v>
      </c>
      <c r="G258" s="17" t="n">
        <v>-0.4846384386695123</v>
      </c>
    </row>
    <row r="259">
      <c r="A259" s="8" t="inlineStr">
        <is>
          <t>20260922</t>
        </is>
      </c>
      <c r="B259" s="9" t="n">
        <v>7049.3</v>
      </c>
      <c r="C259" s="9">
        <f>04_理论成本!D259</f>
        <v/>
      </c>
      <c r="D259" s="9">
        <f>B259-C259</f>
        <v/>
      </c>
      <c r="E259" s="9" t="n">
        <v>698.8999999999996</v>
      </c>
      <c r="F259" s="9" t="n">
        <v>532.3000000000002</v>
      </c>
      <c r="G259" s="17" t="n">
        <v>-0.8178304954182393</v>
      </c>
    </row>
    <row r="260">
      <c r="A260" s="8" t="inlineStr">
        <is>
          <t>20260923</t>
        </is>
      </c>
      <c r="B260" s="9" t="n">
        <v>7121.6</v>
      </c>
      <c r="C260" s="9">
        <f>04_理论成本!D260</f>
        <v/>
      </c>
      <c r="D260" s="9">
        <f>B260-C260</f>
        <v/>
      </c>
      <c r="E260" s="9" t="n">
        <v>771.1999999999998</v>
      </c>
      <c r="F260" s="9" t="n">
        <v>604.6000000000004</v>
      </c>
      <c r="G260" s="17" t="n">
        <v>-0.2478464986347162</v>
      </c>
    </row>
    <row r="261">
      <c r="A261" s="8" t="inlineStr">
        <is>
          <t>20260924</t>
        </is>
      </c>
      <c r="B261" s="9" t="n">
        <v>6949.5</v>
      </c>
      <c r="C261" s="9">
        <f>04_理论成本!D261</f>
        <v/>
      </c>
      <c r="D261" s="9">
        <f>B261-C261</f>
        <v/>
      </c>
      <c r="E261" s="9" t="n">
        <v>599.0999999999995</v>
      </c>
      <c r="F261" s="9" t="n">
        <v>432.5</v>
      </c>
      <c r="G261" s="17" t="n">
        <v>-1.369567637724556</v>
      </c>
    </row>
    <row r="262">
      <c r="A262" s="8" t="inlineStr">
        <is>
          <t>20260925</t>
        </is>
      </c>
      <c r="B262" s="9" t="n">
        <v>7147.5</v>
      </c>
      <c r="C262" s="9">
        <f>04_理论成本!D262</f>
        <v/>
      </c>
      <c r="D262" s="9">
        <f>B262-C262</f>
        <v/>
      </c>
      <c r="E262" s="9" t="n">
        <v>797.0999999999995</v>
      </c>
      <c r="F262" s="9" t="n">
        <v>630.5</v>
      </c>
      <c r="G262" s="17" t="n">
        <v>-0.04499402639392642</v>
      </c>
    </row>
    <row r="263">
      <c r="A263" s="8" t="inlineStr">
        <is>
          <t>20260928</t>
        </is>
      </c>
      <c r="B263" s="9" t="n">
        <v>7147.5</v>
      </c>
      <c r="C263" s="9">
        <f>04_理论成本!D263</f>
        <v/>
      </c>
      <c r="D263" s="9">
        <f>B263-C263</f>
        <v/>
      </c>
      <c r="E263" s="9" t="n">
        <v>797.0999999999995</v>
      </c>
      <c r="F263" s="9" t="n">
        <v>630.5</v>
      </c>
      <c r="G263" s="17" t="n">
        <v>-0.07491403415527415</v>
      </c>
    </row>
    <row r="264">
      <c r="A264" s="8" t="inlineStr">
        <is>
          <t>20260929</t>
        </is>
      </c>
      <c r="B264" s="9" t="n">
        <v>7293.5</v>
      </c>
      <c r="C264" s="9">
        <f>04_理论成本!D264</f>
        <v/>
      </c>
      <c r="D264" s="9">
        <f>B264-C264</f>
        <v/>
      </c>
      <c r="E264" s="9" t="n">
        <v>943.0999999999995</v>
      </c>
      <c r="F264" s="9" t="n">
        <v>776.5</v>
      </c>
      <c r="G264" s="17" t="n">
        <v>0.8938270858607691</v>
      </c>
    </row>
    <row r="265">
      <c r="A265" s="8" t="inlineStr">
        <is>
          <t>20260930</t>
        </is>
      </c>
      <c r="B265" s="9" t="n">
        <v>7328.75</v>
      </c>
      <c r="C265" s="9">
        <f>04_理论成本!D265</f>
        <v/>
      </c>
      <c r="D265" s="9">
        <f>B265-C265</f>
        <v/>
      </c>
      <c r="E265" s="9" t="n">
        <v>913.5500000000002</v>
      </c>
      <c r="F265" s="9" t="n">
        <v>745.25</v>
      </c>
      <c r="G265" s="17" t="n">
        <v>0.6725747993743948</v>
      </c>
    </row>
    <row r="266">
      <c r="A266" s="8" t="inlineStr">
        <is>
          <t>20261001</t>
        </is>
      </c>
      <c r="B266" s="9" t="n">
        <v>7327.25</v>
      </c>
      <c r="C266" s="9">
        <f>04_理论成本!D266</f>
        <v/>
      </c>
      <c r="D266" s="9">
        <f>B266-C266</f>
        <v/>
      </c>
      <c r="E266" s="9" t="n">
        <v>912.0500000000002</v>
      </c>
      <c r="F266" s="9" t="n">
        <v>743.75</v>
      </c>
      <c r="G266" s="17" t="n">
        <v>0.5919906858312265</v>
      </c>
    </row>
    <row r="267">
      <c r="A267" s="8" t="inlineStr">
        <is>
          <t>20261002</t>
        </is>
      </c>
      <c r="B267" s="9" t="n">
        <v>7327.25</v>
      </c>
      <c r="C267" s="9">
        <f>04_理论成本!D267</f>
        <v/>
      </c>
      <c r="D267" s="9">
        <f>B267-C267</f>
        <v/>
      </c>
      <c r="E267" s="9" t="n">
        <v>912.0500000000002</v>
      </c>
      <c r="F267" s="9" t="n">
        <v>743.75</v>
      </c>
      <c r="G267" s="17" t="n">
        <v>0.5419831957249256</v>
      </c>
    </row>
    <row r="268">
      <c r="A268" s="8" t="inlineStr">
        <is>
          <t>20261005</t>
        </is>
      </c>
      <c r="B268" s="9" t="n">
        <v>7327.25</v>
      </c>
      <c r="C268" s="9">
        <f>04_理论成本!D268</f>
        <v/>
      </c>
      <c r="D268" s="9">
        <f>B268-C268</f>
        <v/>
      </c>
      <c r="E268" s="9" t="n">
        <v>912.0500000000002</v>
      </c>
      <c r="F268" s="9" t="n">
        <v>743.75</v>
      </c>
      <c r="G268" s="17" t="n">
        <v>0.4839211943504394</v>
      </c>
    </row>
    <row r="269">
      <c r="A269" s="8" t="inlineStr">
        <is>
          <t>20261006</t>
        </is>
      </c>
      <c r="B269" s="9" t="n">
        <v>7327.25</v>
      </c>
      <c r="C269" s="9">
        <f>04_理论成本!D269</f>
        <v/>
      </c>
      <c r="D269" s="9">
        <f>B269-C269</f>
        <v/>
      </c>
      <c r="E269" s="9" t="n">
        <v>912.0500000000002</v>
      </c>
      <c r="F269" s="9" t="n">
        <v>743.75</v>
      </c>
      <c r="G269" s="17" t="n">
        <v>0.4082812013363905</v>
      </c>
    </row>
    <row r="270">
      <c r="A270" s="8" t="inlineStr">
        <is>
          <t>20261007</t>
        </is>
      </c>
      <c r="B270" s="9" t="n">
        <v>7327.25</v>
      </c>
      <c r="C270" s="9">
        <f>04_理论成本!D270</f>
        <v/>
      </c>
      <c r="D270" s="9">
        <f>B270-C270</f>
        <v/>
      </c>
      <c r="E270" s="9" t="n">
        <v>912.0500000000002</v>
      </c>
      <c r="F270" s="9" t="n">
        <v>743.75</v>
      </c>
      <c r="G270" s="17" t="n">
        <v>0.3609630337807086</v>
      </c>
    </row>
    <row r="271">
      <c r="A271" s="8" t="inlineStr">
        <is>
          <t>20261008</t>
        </is>
      </c>
      <c r="B271" s="9" t="n">
        <v>7327.25</v>
      </c>
      <c r="C271" s="9">
        <f>04_理论成本!D271</f>
        <v/>
      </c>
      <c r="D271" s="9">
        <f>B271-C271</f>
        <v/>
      </c>
      <c r="E271" s="9" t="n">
        <v>912.0500000000002</v>
      </c>
      <c r="F271" s="9" t="n">
        <v>743.75</v>
      </c>
      <c r="G271" s="17" t="n">
        <v>0.331690581298903</v>
      </c>
    </row>
    <row r="272">
      <c r="A272" s="8" t="inlineStr">
        <is>
          <t>20261009</t>
        </is>
      </c>
      <c r="B272" s="9" t="n">
        <v>7856.25</v>
      </c>
      <c r="C272" s="9">
        <f>04_理论成本!D272</f>
        <v/>
      </c>
      <c r="D272" s="9">
        <f>B272-C272</f>
        <v/>
      </c>
      <c r="E272" s="9" t="n">
        <v>1441.05</v>
      </c>
      <c r="F272" s="9" t="n">
        <v>1272.75</v>
      </c>
      <c r="G272" s="17" t="n">
        <v>3.027663499824071</v>
      </c>
    </row>
    <row r="273">
      <c r="A273" s="8" t="inlineStr">
        <is>
          <t>20261012</t>
        </is>
      </c>
      <c r="B273" s="9" t="n">
        <v>7736.75</v>
      </c>
      <c r="C273" s="9">
        <f>04_理论成本!D273</f>
        <v/>
      </c>
      <c r="D273" s="9">
        <f>B273-C273</f>
        <v/>
      </c>
      <c r="E273" s="9" t="n">
        <v>932.75</v>
      </c>
      <c r="F273" s="9" t="n">
        <v>754.25</v>
      </c>
      <c r="G273" s="17" t="n">
        <v>0.1685438836733258</v>
      </c>
    </row>
    <row r="274">
      <c r="A274" s="8" t="inlineStr">
        <is>
          <t>20261013</t>
        </is>
      </c>
      <c r="B274" s="9" t="n">
        <v>7374.5</v>
      </c>
      <c r="C274" s="9">
        <f>04_理论成本!D274</f>
        <v/>
      </c>
      <c r="D274" s="9">
        <f>B274-C274</f>
        <v/>
      </c>
      <c r="E274" s="9" t="n">
        <v>570.5</v>
      </c>
      <c r="F274" s="9" t="n">
        <v>392</v>
      </c>
      <c r="G274" s="17" t="n">
        <v>-1.677376839304914</v>
      </c>
    </row>
    <row r="275">
      <c r="A275" s="8" t="inlineStr">
        <is>
          <t>20261014</t>
        </is>
      </c>
      <c r="B275" s="9" t="n">
        <v>7399.75</v>
      </c>
      <c r="C275" s="9">
        <f>04_理论成本!D275</f>
        <v/>
      </c>
      <c r="D275" s="9">
        <f>B275-C275</f>
        <v/>
      </c>
      <c r="E275" s="9" t="n">
        <v>595.75</v>
      </c>
      <c r="F275" s="9" t="n">
        <v>417.25</v>
      </c>
      <c r="G275" s="17" t="n">
        <v>-1.405274452700642</v>
      </c>
    </row>
    <row r="276">
      <c r="A276" s="8" t="inlineStr">
        <is>
          <t>20261015</t>
        </is>
      </c>
      <c r="B276" s="9" t="n">
        <v>7428.5</v>
      </c>
      <c r="C276" s="9">
        <f>04_理论成本!D276</f>
        <v/>
      </c>
      <c r="D276" s="9">
        <f>B276-C276</f>
        <v/>
      </c>
      <c r="E276" s="9" t="n">
        <v>624.5</v>
      </c>
      <c r="F276" s="9" t="n">
        <v>446</v>
      </c>
      <c r="G276" s="17" t="n">
        <v>-1.1433809853732</v>
      </c>
    </row>
    <row r="277">
      <c r="A277" s="8" t="inlineStr">
        <is>
          <t>20261016</t>
        </is>
      </c>
      <c r="B277" s="9" t="n">
        <v>7254.25</v>
      </c>
      <c r="C277" s="9">
        <f>04_理论成本!D277</f>
        <v/>
      </c>
      <c r="D277" s="9">
        <f>B277-C277</f>
        <v/>
      </c>
      <c r="E277" s="9" t="n">
        <v>450.25</v>
      </c>
      <c r="F277" s="9" t="n">
        <v>271.75</v>
      </c>
      <c r="G277" s="17" t="n">
        <v>-1.768003716566497</v>
      </c>
    </row>
    <row r="278">
      <c r="A278" s="8" t="inlineStr">
        <is>
          <t>20261019</t>
        </is>
      </c>
      <c r="B278" s="9" t="n">
        <v>7231</v>
      </c>
      <c r="C278" s="9">
        <f>04_理论成本!D278</f>
        <v/>
      </c>
      <c r="D278" s="9">
        <f>B278-C278</f>
        <v/>
      </c>
      <c r="E278" s="9" t="n">
        <v>427</v>
      </c>
      <c r="F278" s="9" t="n">
        <v>248.5</v>
      </c>
      <c r="G278" s="17" t="n">
        <v>-1.65933075629386</v>
      </c>
    </row>
    <row r="279">
      <c r="A279" s="8" t="inlineStr">
        <is>
          <t>20261020</t>
        </is>
      </c>
      <c r="B279" s="9" t="n">
        <v>7054.5</v>
      </c>
      <c r="C279" s="9">
        <f>04_理论成本!D279</f>
        <v/>
      </c>
      <c r="D279" s="9">
        <f>B279-C279</f>
        <v/>
      </c>
      <c r="E279" s="9" t="n">
        <v>250.5</v>
      </c>
      <c r="F279" s="9" t="n">
        <v>72</v>
      </c>
      <c r="G279" s="17" t="n">
        <v>-2.054858464620655</v>
      </c>
    </row>
    <row r="281">
      <c r="A281" s="10" t="inlineStr">
        <is>
          <t>统计</t>
        </is>
      </c>
      <c r="B281" s="10" t="inlineStr">
        <is>
          <t>加工价差</t>
        </is>
      </c>
      <c r="D281" s="16" t="inlineStr">
        <is>
          <t>与 analysis.json 对照（非公式）</t>
        </is>
      </c>
    </row>
    <row r="282">
      <c r="A282" t="inlineStr">
        <is>
          <t>均值</t>
        </is>
      </c>
      <c r="B282" s="15">
        <f>AVERAGE(D5:D279)</f>
        <v/>
      </c>
      <c r="D282" t="inlineStr">
        <is>
          <t>均值</t>
        </is>
      </c>
      <c r="E282" s="15" t="n">
        <v>339.5715636363636</v>
      </c>
    </row>
    <row r="283">
      <c r="A283" t="inlineStr">
        <is>
          <t>中位数</t>
        </is>
      </c>
      <c r="B283" s="15">
        <f>MEDIAN(D5:D279)</f>
        <v/>
      </c>
      <c r="D283" t="inlineStr">
        <is>
          <t>中位数</t>
        </is>
      </c>
      <c r="E283" s="15" t="n">
        <v>257.1599999999999</v>
      </c>
    </row>
    <row r="284">
      <c r="A284" t="inlineStr">
        <is>
          <t>最小</t>
        </is>
      </c>
      <c r="B284" s="15">
        <f>MIN(D5:D279)</f>
        <v/>
      </c>
      <c r="D284" t="inlineStr">
        <is>
          <t>最小</t>
        </is>
      </c>
      <c r="E284" s="15" t="n">
        <v>-1153.07</v>
      </c>
    </row>
    <row r="285">
      <c r="A285" t="inlineStr">
        <is>
          <t>最大</t>
        </is>
      </c>
      <c r="B285" s="15">
        <f>MAX(D5:D279)</f>
        <v/>
      </c>
      <c r="D285" t="inlineStr">
        <is>
          <t>最大</t>
        </is>
      </c>
      <c r="E285" s="15" t="n">
        <v>1371.75</v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  <col width="10" customWidth="1" min="11" max="11"/>
  </cols>
  <sheetData>
    <row r="1">
      <c r="A1" s="1" t="inlineStr">
        <is>
          <t>分阶段成本传导分解</t>
        </is>
      </c>
    </row>
    <row r="2" ht="28" customHeight="1">
      <c r="A2" s="2" t="inlineStr">
        <is>
          <t>恒等式：Δ下游价 = Δ原料成本 + Δ加工价差（残差应为 0）。传导率 = Δ下游价 / Δ原料成本；分母过小（&lt;成本1%）时标记为不稳定。</t>
        </is>
      </c>
    </row>
    <row r="4">
      <c r="A4" s="7" t="inlineStr">
        <is>
          <t>阶段起</t>
        </is>
      </c>
      <c r="B4" s="7" t="inlineStr">
        <is>
          <t>阶段止</t>
        </is>
      </c>
      <c r="C4" s="7" t="inlineStr">
        <is>
          <t>天数</t>
        </is>
      </c>
      <c r="D4" s="7" t="inlineStr">
        <is>
          <t>期初原料成本</t>
        </is>
      </c>
      <c r="E4" s="7" t="inlineStr">
        <is>
          <t>期末原料成本</t>
        </is>
      </c>
      <c r="F4" s="7" t="inlineStr">
        <is>
          <t>Δ原料成本</t>
        </is>
      </c>
      <c r="G4" s="7" t="inlineStr">
        <is>
          <t>期初下游价</t>
        </is>
      </c>
      <c r="H4" s="7" t="inlineStr">
        <is>
          <t>期末下游价</t>
        </is>
      </c>
      <c r="I4" s="7" t="inlineStr">
        <is>
          <t>Δ下游价</t>
        </is>
      </c>
      <c r="J4" s="7" t="inlineStr">
        <is>
          <t>Δ加工价差</t>
        </is>
      </c>
      <c r="K4" s="7" t="inlineStr">
        <is>
          <t>传导率</t>
        </is>
      </c>
    </row>
    <row r="5">
      <c r="A5" s="8" t="inlineStr">
        <is>
          <t>20251001</t>
        </is>
      </c>
      <c r="B5" s="8" t="inlineStr">
        <is>
          <t>20251231</t>
        </is>
      </c>
      <c r="C5" s="8" t="n">
        <v>66</v>
      </c>
      <c r="D5" s="9" t="n">
        <v>4454</v>
      </c>
      <c r="E5" s="9" t="n">
        <v>4585</v>
      </c>
      <c r="F5" s="9" t="n">
        <v>131</v>
      </c>
      <c r="G5" s="9" t="n">
        <v>4595</v>
      </c>
      <c r="H5" s="9" t="n">
        <v>5082.66</v>
      </c>
      <c r="I5" s="9" t="n">
        <v>487.6599999999999</v>
      </c>
      <c r="J5" s="9" t="n">
        <v>356.6599999999999</v>
      </c>
      <c r="K5" s="9" t="n">
        <v>3.722595419847327</v>
      </c>
    </row>
    <row r="6">
      <c r="A6" s="8" t="inlineStr">
        <is>
          <t>20251231</t>
        </is>
      </c>
      <c r="B6" s="8" t="inlineStr">
        <is>
          <t>20260331</t>
        </is>
      </c>
      <c r="C6" s="8" t="n">
        <v>64</v>
      </c>
      <c r="D6" s="9" t="n">
        <v>4585</v>
      </c>
      <c r="E6" s="9" t="n">
        <v>6681</v>
      </c>
      <c r="F6" s="9" t="n">
        <v>2096</v>
      </c>
      <c r="G6" s="9" t="n">
        <v>5082.66</v>
      </c>
      <c r="H6" s="9" t="n">
        <v>6867.64</v>
      </c>
      <c r="I6" s="9" t="n">
        <v>1784.98</v>
      </c>
      <c r="J6" s="9" t="n">
        <v>-311.0199999999995</v>
      </c>
      <c r="K6" s="9" t="n">
        <v>0.8516125954198476</v>
      </c>
    </row>
    <row r="7">
      <c r="A7" s="8" t="inlineStr">
        <is>
          <t>20260331</t>
        </is>
      </c>
      <c r="B7" s="8" t="inlineStr">
        <is>
          <t>20260630</t>
        </is>
      </c>
      <c r="C7" s="8" t="n">
        <v>64</v>
      </c>
      <c r="D7" s="9" t="n">
        <v>6681</v>
      </c>
      <c r="E7" s="9" t="n">
        <v>5174.5</v>
      </c>
      <c r="F7" s="9" t="n">
        <v>-1506.5</v>
      </c>
      <c r="G7" s="9" t="n">
        <v>6867.64</v>
      </c>
      <c r="H7" s="9" t="n">
        <v>5785.66</v>
      </c>
      <c r="I7" s="9" t="n">
        <v>-1081.98</v>
      </c>
      <c r="J7" s="9" t="n">
        <v>424.5199999999995</v>
      </c>
      <c r="K7" s="9" t="n">
        <v>0.7182077663458351</v>
      </c>
    </row>
    <row r="8">
      <c r="A8" s="8" t="inlineStr">
        <is>
          <t>20260630</t>
        </is>
      </c>
      <c r="B8" s="8" t="inlineStr">
        <is>
          <t>20260826</t>
        </is>
      </c>
      <c r="C8" s="8" t="n">
        <v>41</v>
      </c>
      <c r="D8" s="9" t="n">
        <v>5174.5</v>
      </c>
      <c r="E8" s="9" t="n">
        <v>5567.5</v>
      </c>
      <c r="F8" s="9" t="n">
        <v>393</v>
      </c>
      <c r="G8" s="9" t="n">
        <v>5785.66</v>
      </c>
      <c r="H8" s="9" t="n">
        <v>6453</v>
      </c>
      <c r="I8" s="9" t="n">
        <v>667.3400000000001</v>
      </c>
      <c r="J8" s="9" t="n">
        <v>274.3400000000001</v>
      </c>
      <c r="K8" s="9" t="n">
        <v>1.698066157760815</v>
      </c>
    </row>
    <row r="9">
      <c r="A9" s="8" t="inlineStr">
        <is>
          <t>20260826</t>
        </is>
      </c>
      <c r="B9" s="8" t="inlineStr">
        <is>
          <t>20261020</t>
        </is>
      </c>
      <c r="C9" s="8" t="n">
        <v>39</v>
      </c>
      <c r="D9" s="9" t="n">
        <v>5567.5</v>
      </c>
      <c r="E9" s="9" t="n">
        <v>6877.5</v>
      </c>
      <c r="F9" s="9" t="n">
        <v>1310</v>
      </c>
      <c r="G9" s="9" t="n">
        <v>6453</v>
      </c>
      <c r="H9" s="9" t="n">
        <v>7054.5</v>
      </c>
      <c r="I9" s="9" t="n">
        <v>601.5</v>
      </c>
      <c r="J9" s="9" t="n">
        <v>-708.5</v>
      </c>
      <c r="K9" s="9" t="n">
        <v>0.4591603053435114</v>
      </c>
    </row>
    <row r="11">
      <c r="A11" s="18" t="inlineStr">
        <is>
          <t>⚠ 传导率说明</t>
        </is>
      </c>
    </row>
    <row r="12" ht="26" customHeight="1">
      <c r="A12" s="6" t="inlineStr">
        <is>
          <t>传导率 ≈1：成本基本全额传导；&lt;1：下游未跟满、价差被压缩；&gt;1：下游涨幅超过成本、价差走阔；&lt;0：反向。</t>
        </is>
      </c>
    </row>
    <row r="13" ht="26" customHeight="1">
      <c r="A13" s="6" t="inlineStr">
        <is>
          <t>传导率 &gt;1 时必须先检查上游是否为台阶式评估价（见 01 表"是否变动"列），分母过小会把比值放大成几倍，这是计算假象。</t>
        </is>
      </c>
    </row>
    <row r="14" ht="26" customHeight="1">
      <c r="A14" s="6" t="inlineStr">
        <is>
          <t>本表只做算术分解，不证明"上游导致下游"。</t>
        </is>
      </c>
    </row>
  </sheetData>
  <mergeCells count="4">
    <mergeCell ref="A2:K2"/>
    <mergeCell ref="A14:K14"/>
    <mergeCell ref="A12:K12"/>
    <mergeCell ref="A13:K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7" customWidth="1" min="4" max="4"/>
    <col width="12" customWidth="1" min="5" max="5"/>
    <col width="12" customWidth="1" min="6" max="6"/>
    <col width="12" customWidth="1" min="7" max="7"/>
    <col width="9" customWidth="1" min="8" max="8"/>
    <col width="58" customWidth="1" min="9" max="9"/>
  </cols>
  <sheetData>
    <row r="1">
      <c r="A1" s="1" t="inlineStr">
        <is>
          <t>价差背离区间与异常跳变</t>
        </is>
      </c>
    </row>
    <row r="2" ht="28" customHeight="1">
      <c r="A2" s="2" t="inlineStr">
        <is>
          <t>背离：价差相对 20 日滚动均值的 z 分数，连续越阈 ≥5 日。异常跳变：单日变动 ≥400 元/吨。</t>
        </is>
      </c>
    </row>
    <row r="4">
      <c r="A4" s="7" t="inlineStr">
        <is>
          <t>类型</t>
        </is>
      </c>
      <c r="B4" s="7" t="inlineStr">
        <is>
          <t>起</t>
        </is>
      </c>
      <c r="C4" s="7" t="inlineStr">
        <is>
          <t>止</t>
        </is>
      </c>
      <c r="D4" s="7" t="inlineStr">
        <is>
          <t>天数</t>
        </is>
      </c>
      <c r="E4" s="7" t="inlineStr">
        <is>
          <t>期初价差</t>
        </is>
      </c>
      <c r="F4" s="7" t="inlineStr">
        <is>
          <t>期末价差</t>
        </is>
      </c>
      <c r="G4" s="7" t="inlineStr">
        <is>
          <t>区间均值</t>
        </is>
      </c>
      <c r="H4" s="7" t="inlineStr">
        <is>
          <t>极端z</t>
        </is>
      </c>
      <c r="I4" s="7" t="inlineStr">
        <is>
          <t>原因核查</t>
        </is>
      </c>
    </row>
    <row r="5">
      <c r="A5" s="19" t="inlineStr">
        <is>
          <t>压缩</t>
        </is>
      </c>
      <c r="B5" s="19" t="inlineStr">
        <is>
          <t>20251010</t>
        </is>
      </c>
      <c r="C5" s="19" t="inlineStr">
        <is>
          <t>20251020</t>
        </is>
      </c>
      <c r="D5" s="19" t="n">
        <v>8</v>
      </c>
      <c r="E5" s="20" t="n">
        <v>110.5</v>
      </c>
      <c r="F5" s="20" t="n">
        <v>-72.5</v>
      </c>
      <c r="G5" s="20" t="n">
        <v>13.71749999999997</v>
      </c>
      <c r="H5" s="20" t="n">
        <v>-2.47</v>
      </c>
      <c r="I5" s="19" t="inlineStr">
        <is>
          <t>PriceSeek重点提醒：逸盛宁波PTA装置降负影；生意社：逸盛宁波PTA装置动态；PriceSeek提醒：逸盛PTA装置恢复生产影响</t>
        </is>
      </c>
    </row>
    <row r="6">
      <c r="A6" s="19" t="inlineStr">
        <is>
          <t>压缩</t>
        </is>
      </c>
      <c r="B6" s="19" t="inlineStr">
        <is>
          <t>20251205</t>
        </is>
      </c>
      <c r="C6" s="19" t="inlineStr">
        <is>
          <t>20251215</t>
        </is>
      </c>
      <c r="D6" s="19" t="n">
        <v>7</v>
      </c>
      <c r="E6" s="20" t="n">
        <v>117.25</v>
      </c>
      <c r="F6" s="20" t="n">
        <v>54.39999999999964</v>
      </c>
      <c r="G6" s="20" t="n">
        <v>85.76999999999991</v>
      </c>
      <c r="H6" s="20" t="n">
        <v>-2.42</v>
      </c>
      <c r="I6" s="19" t="inlineStr">
        <is>
          <t>PriceSeek重点提醒：PTA装置停车供应趋紧；生意社：逸盛宁波PTA装置动态</t>
        </is>
      </c>
    </row>
    <row r="7">
      <c r="A7" s="19" t="inlineStr">
        <is>
          <t>走阔</t>
        </is>
      </c>
      <c r="B7" s="19" t="inlineStr">
        <is>
          <t>20251223</t>
        </is>
      </c>
      <c r="C7" s="19" t="inlineStr">
        <is>
          <t>20251231</t>
        </is>
      </c>
      <c r="D7" s="19" t="n">
        <v>7</v>
      </c>
      <c r="E7" s="20" t="n">
        <v>294.3400000000001</v>
      </c>
      <c r="F7" s="20" t="n">
        <v>497.6599999999999</v>
      </c>
      <c r="G7" s="20" t="n">
        <v>429.6685714285715</v>
      </c>
      <c r="H7" s="20" t="n">
        <v>2.46</v>
      </c>
      <c r="I7" s="19" t="inlineStr">
        <is>
          <t>PriceSeek重点提醒：独山能源PTA装置重启市；生意社：珠海BPPTA装置动态；生意社：独山能源PTA装置动态</t>
        </is>
      </c>
    </row>
    <row r="8">
      <c r="A8" s="19" t="inlineStr">
        <is>
          <t>走阔</t>
        </is>
      </c>
      <c r="B8" s="19" t="inlineStr">
        <is>
          <t>20260127</t>
        </is>
      </c>
      <c r="C8" s="19" t="inlineStr">
        <is>
          <t>20260202</t>
        </is>
      </c>
      <c r="D8" s="19" t="n">
        <v>5</v>
      </c>
      <c r="E8" s="20" t="n">
        <v>559.75</v>
      </c>
      <c r="F8" s="20" t="n">
        <v>517.3299999999999</v>
      </c>
      <c r="G8" s="20" t="n">
        <v>522.3340000000001</v>
      </c>
      <c r="H8" s="20" t="n">
        <v>2.9</v>
      </c>
      <c r="I8" s="19" t="inlineStr">
        <is>
          <t>未检索到可核查事件，原因未确认</t>
        </is>
      </c>
    </row>
    <row r="9">
      <c r="A9" s="19" t="inlineStr">
        <is>
          <t>走阔</t>
        </is>
      </c>
      <c r="B9" s="19" t="inlineStr">
        <is>
          <t>20260818</t>
        </is>
      </c>
      <c r="C9" s="19" t="inlineStr">
        <is>
          <t>20260826</t>
        </is>
      </c>
      <c r="D9" s="19" t="n">
        <v>7</v>
      </c>
      <c r="E9" s="20" t="n">
        <v>725.3599999999997</v>
      </c>
      <c r="F9" s="20" t="n">
        <v>885.5</v>
      </c>
      <c r="G9" s="20" t="n">
        <v>813.9557142857141</v>
      </c>
      <c r="H9" s="20" t="n">
        <v>2.53</v>
      </c>
      <c r="I9" s="19" t="inlineStr">
        <is>
          <t>PriceSeek提醒：虹港石化250万吨PTA装置；PriceSeek提醒：福海创450万吨PTA装置重；PriceSeek提醒：逸盛PTA装置提负 聚酯产业</t>
        </is>
      </c>
    </row>
    <row r="11">
      <c r="A11" s="10" t="inlineStr">
        <is>
          <t>单日异常跳变（未剔除）</t>
        </is>
      </c>
    </row>
    <row r="12">
      <c r="A12" s="7" t="inlineStr">
        <is>
          <t>日期</t>
        </is>
      </c>
      <c r="B12" s="7" t="inlineStr">
        <is>
          <t>前一日价差</t>
        </is>
      </c>
      <c r="C12" s="7" t="inlineStr">
        <is>
          <t>当日价差</t>
        </is>
      </c>
      <c r="D12" s="7" t="inlineStr">
        <is>
          <t>跳变</t>
        </is>
      </c>
    </row>
    <row r="13">
      <c r="A13" t="inlineStr">
        <is>
          <t>20260311</t>
        </is>
      </c>
      <c r="B13" s="15" t="n">
        <v>224.3400000000001</v>
      </c>
      <c r="C13" s="15" t="n">
        <v>-1153.07</v>
      </c>
      <c r="D13" s="15" t="n">
        <v>-1377.41</v>
      </c>
    </row>
    <row r="14">
      <c r="A14" t="inlineStr">
        <is>
          <t>20260312</t>
        </is>
      </c>
      <c r="B14" s="15" t="n">
        <v>-1153.07</v>
      </c>
      <c r="C14" s="15" t="n">
        <v>101.4700000000003</v>
      </c>
      <c r="D14" s="15" t="n">
        <v>1254.54</v>
      </c>
    </row>
    <row r="15">
      <c r="A15" t="inlineStr">
        <is>
          <t>20260316</t>
        </is>
      </c>
      <c r="B15" s="15" t="n">
        <v>381.2600000000002</v>
      </c>
      <c r="C15" s="15" t="n">
        <v>-80.39999999999964</v>
      </c>
      <c r="D15" s="15" t="n">
        <v>-461.6599999999999</v>
      </c>
    </row>
    <row r="16">
      <c r="A16" t="inlineStr">
        <is>
          <t>20260409</t>
        </is>
      </c>
      <c r="B16" s="15" t="n">
        <v>579.3999999999996</v>
      </c>
      <c r="C16" s="15" t="n">
        <v>150.9700000000003</v>
      </c>
      <c r="D16" s="15" t="n">
        <v>-428.4299999999994</v>
      </c>
    </row>
    <row r="17">
      <c r="A17" t="inlineStr">
        <is>
          <t>20260601</t>
        </is>
      </c>
      <c r="B17" s="15" t="n">
        <v>-139.1700000000001</v>
      </c>
      <c r="C17" s="15" t="n">
        <v>363.75</v>
      </c>
      <c r="D17" s="15" t="n">
        <v>502.9200000000001</v>
      </c>
    </row>
    <row r="18">
      <c r="A18" t="inlineStr">
        <is>
          <t>20260630</t>
        </is>
      </c>
      <c r="B18" s="15" t="n">
        <v>-30</v>
      </c>
      <c r="C18" s="15" t="n">
        <v>611.1599999999999</v>
      </c>
      <c r="D18" s="15" t="n">
        <v>641.1599999999999</v>
      </c>
    </row>
    <row r="19">
      <c r="A19" t="inlineStr">
        <is>
          <t>20261009</t>
        </is>
      </c>
      <c r="B19" s="15" t="n">
        <v>842.75</v>
      </c>
      <c r="C19" s="15" t="n">
        <v>1371.75</v>
      </c>
      <c r="D19" s="15" t="n">
        <v>529</v>
      </c>
    </row>
    <row r="20">
      <c r="A20" t="inlineStr">
        <is>
          <t>20261012</t>
        </is>
      </c>
      <c r="B20" s="15" t="n">
        <v>1371.75</v>
      </c>
      <c r="C20" s="15" t="n">
        <v>859.25</v>
      </c>
      <c r="D20" s="15" t="n">
        <v>-512.5</v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52" customWidth="1" min="4" max="4"/>
  </cols>
  <sheetData>
    <row r="1">
      <c r="A1" s="1" t="inlineStr">
        <is>
          <t>全部计算公式与参数</t>
        </is>
      </c>
    </row>
    <row r="3">
      <c r="A3" s="7" t="inlineStr">
        <is>
          <t>序号</t>
        </is>
      </c>
      <c r="B3" s="7" t="inlineStr">
        <is>
          <t>项目</t>
        </is>
      </c>
      <c r="C3" s="7" t="inlineStr">
        <is>
          <t>公式</t>
        </is>
      </c>
      <c r="D3" s="7" t="inlineStr">
        <is>
          <t>说明</t>
        </is>
      </c>
    </row>
    <row r="4">
      <c r="A4" s="19" t="inlineStr">
        <is>
          <t>1</t>
        </is>
      </c>
      <c r="B4" s="19" t="inlineStr">
        <is>
          <t>理论原料成本</t>
        </is>
      </c>
      <c r="C4" s="19" t="inlineStr">
        <is>
          <t>成本 = Σ(单耗ᵢ × 原料价ᵢ)</t>
        </is>
      </c>
      <c r="D4" s="19" t="inlineStr">
        <is>
          <t>单耗单位：吨原料/吨产品；价格单位：元/吨（已含税、同地区）</t>
        </is>
      </c>
    </row>
    <row r="5">
      <c r="A5" s="19" t="inlineStr">
        <is>
          <t>2</t>
        </is>
      </c>
      <c r="B5" s="19" t="inlineStr">
        <is>
          <t>单耗敏感性</t>
        </is>
      </c>
      <c r="C5" s="19" t="inlineStr">
        <is>
          <t>价差_低 = 下游价 − 下界单耗 × 上游价</t>
        </is>
      </c>
      <c r="D5" s="19" t="inlineStr">
        <is>
          <t>下界单耗 → 成本偏低 → 价差偏高</t>
        </is>
      </c>
    </row>
    <row r="6">
      <c r="A6" s="19" t="inlineStr">
        <is>
          <t>3</t>
        </is>
      </c>
      <c r="B6" s="19" t="inlineStr">
        <is>
          <t>加工价差</t>
        </is>
      </c>
      <c r="C6" s="19" t="inlineStr">
        <is>
          <t>价差 = 下游价 − 理论原料成本</t>
        </is>
      </c>
      <c r="D6" s="19" t="inlineStr">
        <is>
          <t>★ 价差口径，不是利润。不含能源/辅料/人工/折旧/财务/运费</t>
        </is>
      </c>
    </row>
    <row r="7">
      <c r="A7" s="19" t="inlineStr">
        <is>
          <t>4</t>
        </is>
      </c>
      <c r="B7" s="19" t="inlineStr">
        <is>
          <t>阶段分解</t>
        </is>
      </c>
      <c r="C7" s="19" t="inlineStr">
        <is>
          <t>Δ下游 = Δ原料成本 + Δ价差</t>
        </is>
      </c>
      <c r="D7" s="19" t="inlineStr">
        <is>
          <t>恒等式，残差应恒为 0</t>
        </is>
      </c>
    </row>
    <row r="8">
      <c r="A8" s="19" t="inlineStr">
        <is>
          <t>5</t>
        </is>
      </c>
      <c r="B8" s="19" t="inlineStr">
        <is>
          <t>传导率</t>
        </is>
      </c>
      <c r="C8" s="19" t="inlineStr">
        <is>
          <t>传导率 = Δ下游价 / Δ原料成本</t>
        </is>
      </c>
      <c r="D8" s="19" t="inlineStr">
        <is>
          <t>分母 &lt; 成本1% 时不稳定，标记为无效</t>
        </is>
      </c>
    </row>
    <row r="9">
      <c r="A9" s="19" t="inlineStr">
        <is>
          <t>6</t>
        </is>
      </c>
      <c r="B9" s="19" t="inlineStr">
        <is>
          <t>原料成本占比</t>
        </is>
      </c>
      <c r="C9" s="19" t="inlineStr">
        <is>
          <t>占比 = 原料成本 / 下游价 × 100%</t>
        </is>
      </c>
      <c r="D9" s="19" t="inlineStr">
        <is>
          <t>正常区间 60%~98%，超出提示单位或单耗有误</t>
        </is>
      </c>
    </row>
    <row r="10">
      <c r="A10" s="19" t="inlineStr">
        <is>
          <t>7</t>
        </is>
      </c>
      <c r="B10" s="19" t="inlineStr">
        <is>
          <t>价差 z 分数</t>
        </is>
      </c>
      <c r="C10" s="19" t="inlineStr">
        <is>
          <t>z = (价差 − 20日滚动均值) / 20日滚动标准差</t>
        </is>
      </c>
      <c r="D10" s="19" t="inlineStr">
        <is>
          <t>|z|≥1.5 且连续 ≥5 日 → 背离区间</t>
        </is>
      </c>
    </row>
    <row r="11">
      <c r="A11" s="19" t="inlineStr">
        <is>
          <t>8</t>
        </is>
      </c>
      <c r="B11" s="19" t="inlineStr">
        <is>
          <t>滞后相关</t>
        </is>
      </c>
      <c r="C11" s="19" t="inlineStr">
        <is>
          <t>r(k) = corr(Δ上游[t], Δ下游[t+k]), k=0..20</t>
        </is>
      </c>
      <c r="D11" s="19" t="inlineStr">
        <is>
          <t>★ 仅观察，不作因果推断</t>
        </is>
      </c>
    </row>
    <row r="12">
      <c r="A12" s="19" t="inlineStr">
        <is>
          <t>9</t>
        </is>
      </c>
      <c r="B12" s="19" t="inlineStr">
        <is>
          <t>美元→人民币</t>
        </is>
      </c>
      <c r="C12" s="19" t="inlineStr">
        <is>
          <t>上游价(元/吨) = CFR × 汇率 × (1+关税) × (1+增值税)</t>
        </is>
      </c>
      <c r="D12" s="19" t="inlineStr">
        <is>
          <t>常漏关税项；换完必须检查数量级（化工品通常 6000~11000 元/吨）</t>
        </is>
      </c>
    </row>
    <row r="13">
      <c r="A13" s="10" t="inlineStr">
        <is>
          <t>本期实际参数</t>
        </is>
      </c>
    </row>
    <row r="14">
      <c r="A14" s="10" t="inlineStr">
        <is>
          <t>上游</t>
        </is>
      </c>
      <c r="B14" t="inlineStr">
        <is>
          <t>PX（生意社PX基准价（国内对二甲苯现货评估价） / 中国（华东主港/国产基准） / 含增值税）</t>
        </is>
      </c>
    </row>
    <row r="15">
      <c r="A15" s="10" t="inlineStr">
        <is>
          <t>下游</t>
        </is>
      </c>
      <c r="B15" t="inlineStr">
        <is>
          <t>PTA（生意社PTA基准价（华东现货评估价） / 华东（张家港/主港） / 含增值税）</t>
        </is>
      </c>
    </row>
    <row r="16">
      <c r="A16" s="10" t="inlineStr">
        <is>
          <t>单耗</t>
        </is>
      </c>
      <c r="B16" t="inlineStr">
        <is>
          <t>0.655（0.648~0.665）</t>
        </is>
      </c>
    </row>
    <row r="17">
      <c r="A17" s="10" t="inlineStr">
        <is>
          <t>观测数</t>
        </is>
      </c>
      <c r="B17" t="inlineStr">
        <is>
          <t>275 个交易日</t>
        </is>
      </c>
    </row>
    <row r="18">
      <c r="A18" s="10" t="inlineStr">
        <is>
          <t>上游变动天数</t>
        </is>
      </c>
      <c r="B18" t="inlineStr">
        <is>
          <t>28 / 275 天</t>
        </is>
      </c>
    </row>
    <row r="19">
      <c r="A19" s="10" t="inlineStr">
        <is>
          <t>下游变动天数</t>
        </is>
      </c>
      <c r="B19" t="inlineStr">
        <is>
          <t>249 / 275 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34" customWidth="1" min="4" max="4"/>
    <col width="40" customWidth="1" min="5" max="5"/>
  </cols>
  <sheetData>
    <row r="1">
      <c r="A1" s="1" t="inlineStr">
        <is>
          <t>数据缺口、口径校验与来源</t>
        </is>
      </c>
    </row>
    <row r="3">
      <c r="A3" s="7" t="inlineStr">
        <is>
          <t>类型</t>
        </is>
      </c>
      <c r="B3" s="7" t="inlineStr">
        <is>
          <t>项目</t>
        </is>
      </c>
      <c r="C3" s="7" t="inlineStr">
        <is>
          <t>说明</t>
        </is>
      </c>
      <c r="D3" s="7" t="inlineStr">
        <is>
          <t>影响/偏差</t>
        </is>
      </c>
      <c r="E3" s="7" t="inlineStr">
        <is>
          <t>来源</t>
        </is>
      </c>
    </row>
    <row r="4">
      <c r="A4" s="19" t="inlineStr">
        <is>
          <t>锚点校验</t>
        </is>
      </c>
      <c r="B4" s="19" t="inlineStr">
        <is>
          <t>2025-10</t>
        </is>
      </c>
      <c r="C4" s="19" t="inlineStr">
        <is>
          <t>模型 90.84083333333335 vs 公开 154.0</t>
        </is>
      </c>
      <c r="D4" s="19" t="n">
        <v>-63.15916666666665</v>
      </c>
      <c r="E4" s="19" t="inlineStr">
        <is>
          <t>界面新闻《PTA反内卷还有多大空间？》引用 10月平均加工费 154 元/吨</t>
        </is>
      </c>
    </row>
    <row r="5">
      <c r="A5" s="19" t="inlineStr">
        <is>
          <t>锚点校验</t>
        </is>
      </c>
      <c r="B5" s="19" t="inlineStr">
        <is>
          <t>2026-08-20~2026-08-26</t>
        </is>
      </c>
      <c r="C5" s="19" t="inlineStr">
        <is>
          <t>模型 837.9519999999999 vs 公开 712.73</t>
        </is>
      </c>
      <c r="D5" s="19" t="n">
        <v>125.2219999999999</v>
      </c>
      <c r="E5" s="19" t="inlineStr">
        <is>
          <t>隆众资讯 中国PTA加工费周数据统计（20260820-0826）</t>
        </is>
      </c>
    </row>
    <row r="6">
      <c r="A6" s="19" t="inlineStr">
        <is>
          <t>锚点校验</t>
        </is>
      </c>
      <c r="B6" s="19" t="inlineStr">
        <is>
          <t>2026-09-24</t>
        </is>
      </c>
      <c r="C6" s="19" t="inlineStr">
        <is>
          <t>模型 530.5 vs 公开 662.63</t>
        </is>
      </c>
      <c r="D6" s="19" t="n">
        <v>-132.13</v>
      </c>
      <c r="E6" s="19" t="inlineStr">
        <is>
          <t>期货日报/建信期货《PTA加工费修复能否持续？》</t>
        </is>
      </c>
    </row>
    <row r="7">
      <c r="A7" s="19" t="inlineStr">
        <is>
          <t>缺口</t>
        </is>
      </c>
      <c r="B7" s="19" t="inlineStr">
        <is>
          <t>辅料（醋酸等）</t>
        </is>
      </c>
      <c r="C7" s="19" t="inlineStr">
        <is>
          <t>缺同期间日度基准价，未纳入价差计算</t>
        </is>
      </c>
      <c r="D7" s="19" t="inlineStr">
        <is>
          <t>价差少扣约 75~160 元/吨</t>
        </is>
      </c>
      <c r="E7" s="19" t="inlineStr">
        <is>
          <t>见 references/data-sources.md</t>
        </is>
      </c>
    </row>
    <row r="8">
      <c r="A8" s="19" t="inlineStr">
        <is>
          <t>缺口</t>
        </is>
      </c>
      <c r="B8" s="19" t="inlineStr">
        <is>
          <t>装置级成本</t>
        </is>
      </c>
      <c r="C8" s="19" t="inlineStr">
        <is>
          <t>无企业级能耗、折旧、财务费用数据</t>
        </is>
      </c>
      <c r="D8" s="19" t="inlineStr">
        <is>
          <t>只能做行业价差，不能判断单个装置盈亏</t>
        </is>
      </c>
      <c r="E8" s="19" t="inlineStr">
        <is>
          <t>—</t>
        </is>
      </c>
    </row>
    <row r="9">
      <c r="A9" s="19" t="inlineStr">
        <is>
          <t>口径</t>
        </is>
      </c>
      <c r="B9" s="19" t="inlineStr">
        <is>
          <t>评估价 vs 成交价</t>
        </is>
      </c>
      <c r="C9" s="19" t="inlineStr">
        <is>
          <t>本表用的是资讯机构日度评估价，非成交价</t>
        </is>
      </c>
      <c r="D9" s="19" t="inlineStr">
        <is>
          <t>实际成交受品牌/账期/地区影响，可能差百元级</t>
        </is>
      </c>
      <c r="E9" s="19" t="inlineStr">
        <is>
          <t>—</t>
        </is>
      </c>
    </row>
    <row r="10">
      <c r="A10" s="19" t="inlineStr">
        <is>
          <t>口径</t>
        </is>
      </c>
      <c r="B10" s="19" t="inlineStr">
        <is>
          <t>上游台阶式更新</t>
        </is>
      </c>
      <c r="C10" s="19" t="inlineStr">
        <is>
          <t>上游 PX 在 275 天中仅 28 天变动</t>
        </is>
      </c>
      <c r="D10" s="19" t="inlineStr">
        <is>
          <t>阶段传导率在分母极小时失真</t>
        </is>
      </c>
      <c r="E10" s="19" t="inlineStr">
        <is>
          <t>01 表"是否变动"列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2026-10-20T05:49:18Z</dcterms:created>
  <dcterms:modified xmlns:dcterms="http://purl.org/dc/terms/" xmlns:xsi="http://www.w3.org/2001/XMLSchema-instance" xsi:type="dcterms:W3CDTF">2026-10-20T05:49:19Z</dcterms:modified>
</cp:coreProperties>
</file>
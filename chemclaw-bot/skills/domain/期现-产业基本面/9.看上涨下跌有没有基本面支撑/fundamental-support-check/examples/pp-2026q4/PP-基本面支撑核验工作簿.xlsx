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" sheetId="1" state="visible" r:id="rId1"/>
    <sheet xmlns:r="http://schemas.openxmlformats.org/officeDocument/2006/relationships" name="01_现货期货" sheetId="2" state="visible" r:id="rId2"/>
    <sheet xmlns:r="http://schemas.openxmlformats.org/officeDocument/2006/relationships" name="02_基差月差" sheetId="3" state="visible" r:id="rId3"/>
    <sheet xmlns:r="http://schemas.openxmlformats.org/officeDocument/2006/relationships" name="03_供需平衡" sheetId="4" state="visible" r:id="rId4"/>
    <sheet xmlns:r="http://schemas.openxmlformats.org/officeDocument/2006/relationships" name="04_库存与贸易" sheetId="5" state="visible" r:id="rId5"/>
    <sheet xmlns:r="http://schemas.openxmlformats.org/officeDocument/2006/relationships" name="05_成本与利润" sheetId="6" state="visible" r:id="rId6"/>
    <sheet xmlns:r="http://schemas.openxmlformats.org/officeDocument/2006/relationships" name="06_证据分类" sheetId="7" state="visible" r:id="rId7"/>
    <sheet xmlns:r="http://schemas.openxmlformats.org/officeDocument/2006/relationships" name="07_历史序列" sheetId="8" state="visible" r:id="rId8"/>
    <sheet xmlns:r="http://schemas.openxmlformats.org/officeDocument/2006/relationships" name="08_来源清单" sheetId="9" state="visible" r:id="rId9"/>
    <sheet xmlns:r="http://schemas.openxmlformats.org/officeDocument/2006/relationships" name="09_指标规则" sheetId="10" state="visible" r:id="rId10"/>
    <sheet xmlns:r="http://schemas.openxmlformats.org/officeDocument/2006/relationships" name="10_口径与滞后" sheetId="11" state="visible" r:id="rId11"/>
  </sheets>
  <definedNames>
    <definedName name="_xlnm._FilterDatabase" localSheetId="6" hidden="1">'06_证据分类'!$A$4:$J$43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#,##0;-#,##0"/>
    <numFmt numFmtId="165" formatCode="+#,##0.00;-#,##0.00"/>
    <numFmt numFmtId="166" formatCode="+0.00%;-0.00%"/>
    <numFmt numFmtId="167" formatCode="0.0"/>
    <numFmt numFmtId="168" formatCode="+0.00;-0.00"/>
  </numFmts>
  <fonts count="13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404040"/>
      <sz val="9"/>
    </font>
    <font>
      <name val="微软雅黑"/>
      <b val="1"/>
      <color rgb="001F3864"/>
      <sz val="12"/>
    </font>
    <font>
      <name val="微软雅黑"/>
      <b val="1"/>
      <sz val="9.5"/>
    </font>
    <font>
      <name val="微软雅黑"/>
      <color rgb="001a1a1a"/>
      <sz val="9.5"/>
    </font>
    <font>
      <name val="微软雅黑"/>
      <color rgb="000563C1"/>
      <sz val="9.5"/>
      <u val="single"/>
    </font>
    <font>
      <name val="微软雅黑"/>
      <b val="1"/>
      <color rgb="002E5C9A"/>
      <sz val="11"/>
    </font>
    <font>
      <name val="微软雅黑"/>
      <b val="1"/>
      <color rgb="00FFFFFF"/>
      <sz val="10"/>
    </font>
    <font>
      <name val="微软雅黑"/>
      <i val="1"/>
      <color rgb="00808080"/>
      <sz val="9.5"/>
    </font>
    <font>
      <name val="微软雅黑"/>
      <b val="1"/>
      <color rgb="00C00000"/>
      <sz val="9.5"/>
    </font>
    <font>
      <name val="微软雅黑"/>
      <b val="1"/>
      <color rgb="0000703C"/>
      <sz val="9.5"/>
    </font>
    <font>
      <name val="微软雅黑"/>
      <color rgb="000563C1"/>
      <sz val="8.5"/>
      <u val="single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9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vertical="top" wrapText="1"/>
    </xf>
    <xf numFmtId="1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4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3" fontId="9" fillId="0" borderId="1" applyAlignment="1" pivotButton="0" quotePrefix="0" xfId="0">
      <alignment vertical="top" wrapText="1"/>
    </xf>
    <xf numFmtId="164" fontId="10" fillId="0" borderId="1" applyAlignment="1" pivotButton="0" quotePrefix="0" xfId="0">
      <alignment vertical="top" wrapText="1"/>
    </xf>
    <xf numFmtId="164" fontId="11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2" fontId="5" fillId="0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 wrapText="1"/>
    </xf>
    <xf numFmtId="1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vertical="top" wrapText="1"/>
    </xf>
    <xf numFmtId="165" fontId="9" fillId="0" borderId="1" applyAlignment="1" pivotButton="0" quotePrefix="0" xfId="0">
      <alignment vertical="top" wrapText="1"/>
    </xf>
    <xf numFmtId="165" fontId="10" fillId="0" borderId="1" applyAlignment="1" pivotButton="0" quotePrefix="0" xfId="0">
      <alignment vertical="top" wrapText="1"/>
    </xf>
    <xf numFmtId="167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top" wrapText="1"/>
    </xf>
    <xf numFmtId="168" fontId="10" fillId="0" borderId="1" applyAlignment="1" pivotButton="0" quotePrefix="0" xfId="0">
      <alignment vertical="top" wrapText="1"/>
    </xf>
    <xf numFmtId="168" fontId="11" fillId="0" borderId="1" applyAlignment="1" pivotButton="0" quotePrefix="0" xfId="0">
      <alignment vertical="top" wrapText="1"/>
    </xf>
    <xf numFmtId="168" fontId="9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vertical="top" wrapText="1"/>
    </xf>
    <xf numFmtId="1" fontId="4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PP拉丝 / PP纤维 / 丙烯 / WTI（已披露日序列）</a:t>
            </a:r>
          </a:p>
        </rich>
      </tx>
    </title>
    <plotArea>
      <lineChart>
        <grouping val="standard"/>
        <ser>
          <idx val="0"/>
          <order val="0"/>
          <tx>
            <strRef>
              <f>'07_历史序列'!B4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'07_历史序列'!$A$5:$A$59</f>
            </numRef>
          </cat>
          <val>
            <numRef>
              <f>'07_历史序列'!$B$5:$B$59</f>
            </numRef>
          </val>
        </ser>
        <ser>
          <idx val="1"/>
          <order val="1"/>
          <tx>
            <strRef>
              <f>'07_历史序列'!C4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'07_历史序列'!$A$5:$A$59</f>
            </numRef>
          </cat>
          <val>
            <numRef>
              <f>'07_历史序列'!$C$5:$C$59</f>
            </numRef>
          </val>
        </ser>
        <ser>
          <idx val="2"/>
          <order val="2"/>
          <tx>
            <strRef>
              <f>'07_历史序列'!D4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'07_历史序列'!$A$5:$A$59</f>
            </numRef>
          </cat>
          <val>
            <numRef>
              <f>'07_历史序列'!$D$5:$D$59</f>
            </numRef>
          </val>
        </ser>
        <ser>
          <idx val="3"/>
          <order val="3"/>
          <tx>
            <strRef>
              <f>'07_历史序列'!E4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'07_历史序列'!$A$5:$A$59</f>
            </numRef>
          </cat>
          <val>
            <numRef>
              <f>'07_历史序列'!$E$5:$E$59</f>
            </numRef>
          </val>
        </ser>
        <ser>
          <idx val="4"/>
          <order val="4"/>
          <tx>
            <strRef>
              <f>'07_历史序列'!F4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'07_历史序列'!$A$5:$A$59</f>
            </numRef>
          </cat>
          <val>
            <numRef>
              <f>'07_历史序列'!$F$5:$F$59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元/吨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93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&#29616;&#36135;&#26399;&#36135;'!A1" TargetMode="External" Id="rId1"/><Relationship Type="http://schemas.openxmlformats.org/officeDocument/2006/relationships/hyperlink" Target="#'03_&#20379;&#38656;&#24179;&#34913;'!A1" TargetMode="External" Id="rId2"/><Relationship Type="http://schemas.openxmlformats.org/officeDocument/2006/relationships/hyperlink" Target="#'03_&#20379;&#38656;&#24179;&#34913;'!A1" TargetMode="External" Id="rId3"/><Relationship Type="http://schemas.openxmlformats.org/officeDocument/2006/relationships/hyperlink" Target="#'04_&#24211;&#23384;&#19982;&#36152;&#26131;'!A1" TargetMode="External" Id="rId4"/><Relationship Type="http://schemas.openxmlformats.org/officeDocument/2006/relationships/hyperlink" Target="#'05_&#25104;&#26412;&#19982;&#21033;&#28070;'!A1" TargetMode="External" Id="rId5"/><Relationship Type="http://schemas.openxmlformats.org/officeDocument/2006/relationships/hyperlink" Target="#'02_&#22522;&#24046;&#26376;&#24046;'!A1" TargetMode="External" Id="rId6"/><Relationship Type="http://schemas.openxmlformats.org/officeDocument/2006/relationships/hyperlink" Target="#'06_&#35777;&#25454;&#20998;&#31867;'!A1" TargetMode="External" Id="rId7"/><Relationship Type="http://schemas.openxmlformats.org/officeDocument/2006/relationships/hyperlink" Target="#'07_&#21382;&#21490;&#24207;&#21015;'!A1" TargetMode="External" Id="rId8"/><Relationship Type="http://schemas.openxmlformats.org/officeDocument/2006/relationships/hyperlink" Target="#'08_&#26469;&#28304;&#28165;&#21333; / 09_&#25351;&#26631;&#35268;&#21017;'!A1" TargetMode="External" Id="rId9"/><Relationship Type="http://schemas.openxmlformats.org/officeDocument/2006/relationships/hyperlink" Target="#'10_&#21475;&#24452;&#19982;&#28382;&#21518;'!A1" TargetMode="External" Id="rId10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k.sina.cn/article_5953189932_162d6782c067050n76.html" TargetMode="External" Id="rId1"/><Relationship Type="http://schemas.openxmlformats.org/officeDocument/2006/relationships/hyperlink" Target="https://www.sohu.com/a/1088047801_798573" TargetMode="External" Id="rId2"/><Relationship Type="http://schemas.openxmlformats.org/officeDocument/2006/relationships/hyperlink" Target="https://caifuhao.eastmoney.com/news/20261015095115343215760" TargetMode="External" Id="rId3"/><Relationship Type="http://schemas.openxmlformats.org/officeDocument/2006/relationships/hyperlink" Target="https://www.sohu.com/a/1088388385_121123911" TargetMode="External" Id="rId4"/><Relationship Type="http://schemas.openxmlformats.org/officeDocument/2006/relationships/hyperlink" Target="https://finance.sina.com.cn/roll/2026-10-10/doc-iniutcvr7469911.shtml" TargetMode="External" Id="rId5"/><Relationship Type="http://schemas.openxmlformats.org/officeDocument/2006/relationships/hyperlink" Target="https://www.163.com/dy/article/L94S1HSD05568W0A.html" TargetMode="External" Id="rId6"/><Relationship Type="http://schemas.openxmlformats.org/officeDocument/2006/relationships/hyperlink" Target="https://www.100ppi.com/kx/detail-message-414--1.html" TargetMode="External" Id="rId7"/><Relationship Type="http://schemas.openxmlformats.org/officeDocument/2006/relationships/hyperlink" Target="https://www.100ppi.com/kx/detail-message-362--1.html" TargetMode="External" Id="rId8"/><Relationship Type="http://schemas.openxmlformats.org/officeDocument/2006/relationships/hyperlink" Target="https://www.100ppi.com/kx/detail-message-45--1.html" TargetMode="External" Id="rId9"/><Relationship Type="http://schemas.openxmlformats.org/officeDocument/2006/relationships/hyperlink" Target="https://pp.100ppi.com/" TargetMode="External" Id="rId10"/><Relationship Type="http://schemas.openxmlformats.org/officeDocument/2006/relationships/hyperlink" Target="https://www.100ppi.com/news/detail-20261019-6368155.html" TargetMode="External" Id="rId11"/><Relationship Type="http://schemas.openxmlformats.org/officeDocument/2006/relationships/hyperlink" Target="https://www.oilchem.net/26-1019-15-e5edf5d67950d471.html" TargetMode="External" Id="rId12"/><Relationship Type="http://schemas.openxmlformats.org/officeDocument/2006/relationships/hyperlink" Target="https://www.oilchem.net/26-1016-15-d865eb25136d18ce.html" TargetMode="External" Id="rId13"/><Relationship Type="http://schemas.openxmlformats.org/officeDocument/2006/relationships/hyperlink" Target="https://www.oilchem.net/seo-329-7.html" TargetMode="External" Id="rId14"/><Relationship Type="http://schemas.openxmlformats.org/officeDocument/2006/relationships/hyperlink" Target="https://caifuhao.eastmoney.com/news/20260920104650465010490" TargetMode="External" Id="rId15"/><Relationship Type="http://schemas.openxmlformats.org/officeDocument/2006/relationships/hyperlink" Target="https://www.baiinfo.com/tongyongsuliao/jubingxililiao" TargetMode="External" Id="rId16"/><Relationship Type="http://schemas.openxmlformats.org/officeDocument/2006/relationships/hyperlink" Target="https://www.stcn.com/article/detail/3568173.html" TargetMode="External" Id="rId17"/><Relationship Type="http://schemas.openxmlformats.org/officeDocument/2006/relationships/hyperlink" Target="https://zh.tradingeconomics.com/commodity/polypropylene" TargetMode="External" Id="rId18"/><Relationship Type="http://schemas.openxmlformats.org/officeDocument/2006/relationships/hyperlink" Target="https://www.100ppi.com/news/detail-20261020-6368698.html" TargetMode="External" Id="rId19"/><Relationship Type="http://schemas.openxmlformats.org/officeDocument/2006/relationships/hyperlink" Target="https://www.100ppi.com/kx/" TargetMode="External" Id="rId20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聚丙烯 PP · 上涨行情基本面支撑核验工作簿</t>
        </is>
      </c>
    </row>
    <row r="2" ht="24" customHeight="1">
      <c r="A2" s="2" t="inlineStr">
        <is>
          <t>核验窗口 2026-10-01 → 2026-10-19 ｜ 现货：生意社PP(拉丝)全国参考价 ｜ 期货：大商所PP（PP2701）｜ 生成日期 2026-10-20</t>
        </is>
      </c>
    </row>
    <row r="4">
      <c r="A4" s="3" t="inlineStr">
        <is>
          <t>报告结构</t>
        </is>
      </c>
    </row>
    <row r="5">
      <c r="A5" s="4" t="inlineStr">
        <is>
          <t>一、价格表现</t>
        </is>
      </c>
      <c r="B5" s="5" t="inlineStr">
        <is>
          <t>现货与期货涨幅、基差、月差、期现结构</t>
        </is>
      </c>
      <c r="C5" s="6" t="inlineStr">
        <is>
          <t>→ 01_现货期货</t>
        </is>
      </c>
    </row>
    <row r="6">
      <c r="A6" s="4" t="inlineStr">
        <is>
          <t>二、现实供给</t>
        </is>
      </c>
      <c r="B6" s="5" t="inlineStr">
        <is>
          <t>产量、产能利用率、装置检修重启、新增产能、进口</t>
        </is>
      </c>
      <c r="C6" s="6" t="inlineStr">
        <is>
          <t>→ 03_供需平衡</t>
        </is>
      </c>
    </row>
    <row r="7">
      <c r="A7" s="4" t="inlineStr">
        <is>
          <t>三、现实需求</t>
        </is>
      </c>
      <c r="B7" s="5" t="inlineStr">
        <is>
          <t>下游开工、订单、成交、出口</t>
        </is>
      </c>
      <c r="C7" s="6" t="inlineStr">
        <is>
          <t>→ 03_供需平衡</t>
        </is>
      </c>
    </row>
    <row r="8">
      <c r="A8" s="4" t="inlineStr">
        <is>
          <t>四、库存与贸易</t>
        </is>
      </c>
      <c r="B8" s="5" t="inlineStr">
        <is>
          <t>商业库存、分项库存、历史位置</t>
        </is>
      </c>
      <c r="C8" s="6" t="inlineStr">
        <is>
          <t>→ 04_库存与贸易</t>
        </is>
      </c>
    </row>
    <row r="9">
      <c r="A9" s="4" t="inlineStr">
        <is>
          <t>五、成本与利润</t>
        </is>
      </c>
      <c r="B9" s="5" t="inlineStr">
        <is>
          <t>原油、丙烷、丙烯、工艺路线成本、加工价差</t>
        </is>
      </c>
      <c r="C9" s="6" t="inlineStr">
        <is>
          <t>→ 05_成本与利润</t>
        </is>
      </c>
    </row>
    <row r="10">
      <c r="A10" s="4" t="inlineStr">
        <is>
          <t>六、预期指标</t>
        </is>
      </c>
      <c r="B10" s="5" t="inlineStr">
        <is>
          <t>远月定价、增仓、板块共振、地缘、机构预测</t>
        </is>
      </c>
      <c r="C10" s="6" t="inlineStr">
        <is>
          <t>→ 02_基差月差</t>
        </is>
      </c>
    </row>
    <row r="11">
      <c r="A11" s="4" t="inlineStr">
        <is>
          <t>七、证据分类</t>
        </is>
      </c>
      <c r="B11" s="5" t="inlineStr">
        <is>
          <t>现实供给/现实需求/成本/预期的支持-背离-数据不足</t>
        </is>
      </c>
      <c r="C11" s="6" t="inlineStr">
        <is>
          <t>→ 06_证据分类</t>
        </is>
      </c>
    </row>
    <row r="12">
      <c r="A12" s="4" t="inlineStr">
        <is>
          <t>八、历史序列</t>
        </is>
      </c>
      <c r="B12" s="5" t="inlineStr">
        <is>
          <t>全部已披露的逐日原始序列</t>
        </is>
      </c>
      <c r="C12" s="6" t="inlineStr">
        <is>
          <t>→ 07_历史序列</t>
        </is>
      </c>
    </row>
    <row r="13">
      <c r="A13" s="4" t="inlineStr">
        <is>
          <t>九、来源与规则</t>
        </is>
      </c>
      <c r="B13" s="5" t="inlineStr">
        <is>
          <t>20个原始来源 + 指标计算规则</t>
        </is>
      </c>
      <c r="C13" s="6" t="inlineStr">
        <is>
          <t>→ 08_来源清单 / 09_指标规则</t>
        </is>
      </c>
    </row>
    <row r="14">
      <c r="A14" s="4" t="inlineStr">
        <is>
          <t>十、口径与滞后</t>
        </is>
      </c>
      <c r="B14" s="5" t="inlineStr">
        <is>
          <t>口径差异与统计滞后说明</t>
        </is>
      </c>
      <c r="C14" s="6" t="inlineStr">
        <is>
          <t>→ 10_口径与滞后</t>
        </is>
      </c>
    </row>
    <row r="16">
      <c r="A16" s="3" t="inlineStr">
        <is>
          <t>核心核验结论（不含多空方向建议）</t>
        </is>
      </c>
    </row>
    <row r="17">
      <c r="A17" s="4" t="inlineStr">
        <is>
          <t>价格是否真实上涨</t>
        </is>
      </c>
      <c r="B17" s="5" t="inlineStr">
        <is>
          <t>是。PP拉丝现货 9,933.33→10,756.67，+8.29%（已核验原始参考价）</t>
        </is>
      </c>
      <c r="C17" s="7" t="n"/>
      <c r="D17" s="7" t="n"/>
      <c r="E17" s="7" t="n"/>
      <c r="F17" s="8" t="n"/>
    </row>
    <row r="18">
      <c r="A18" s="4" t="inlineStr">
        <is>
          <t>现实供需是否同步改善</t>
        </is>
      </c>
      <c r="B18" s="5" t="inlineStr">
        <is>
          <t>否。库存+45.77%、下游开工低位、产量收缩属前期装置停车而非新增需求</t>
        </is>
      </c>
      <c r="C18" s="7" t="n"/>
      <c r="D18" s="7" t="n"/>
      <c r="E18" s="7" t="n"/>
      <c r="F18" s="8" t="n"/>
    </row>
    <row r="19">
      <c r="A19" s="4" t="inlineStr">
        <is>
          <t>驱动结构</t>
        </is>
      </c>
      <c r="B19" s="5" t="inlineStr">
        <is>
          <t>成本推动（丙烷/丙烯/原油）+ 地缘事件情绪定价，而非现实供需缺口</t>
        </is>
      </c>
      <c r="C19" s="7" t="n"/>
      <c r="D19" s="7" t="n"/>
      <c r="E19" s="7" t="n"/>
      <c r="F19" s="8" t="n"/>
    </row>
    <row r="20">
      <c r="A20" s="4" t="inlineStr">
        <is>
          <t>证据配比</t>
        </is>
      </c>
      <c r="B20" s="5" t="inlineStr">
        <is>
          <t>支撑上涨 7 ｜ 背离 18 ｜ 数据不足 7 ｜ 中性/预期 7</t>
        </is>
      </c>
      <c r="C20" s="7" t="n"/>
      <c r="D20" s="7" t="n"/>
      <c r="E20" s="7" t="n"/>
      <c r="F20" s="8" t="n"/>
    </row>
  </sheetData>
  <mergeCells count="6">
    <mergeCell ref="A2:F2"/>
    <mergeCell ref="B20:F20"/>
    <mergeCell ref="A1:F1"/>
    <mergeCell ref="B19:F19"/>
    <mergeCell ref="B17:F17"/>
    <mergeCell ref="B18:F18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C9A"/>
    <outlinePr summaryBelow="1" summaryRight="1"/>
    <pageSetUpPr/>
  </sheetPr>
  <dimension ref="A1:J34"/>
  <sheetViews>
    <sheetView workbookViewId="0">
      <pane ySplit="29" topLeftCell="A30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56" customWidth="1" min="4" max="4"/>
    <col width="13" customWidth="1" min="5" max="5"/>
    <col width="10" customWidth="1" min="6" max="6"/>
    <col width="12" customWidth="1" min="7" max="7"/>
    <col width="12" customWidth="1" min="8" max="8"/>
    <col width="10" customWidth="1" min="9" max="9"/>
    <col width="30" customWidth="1" min="10" max="10"/>
  </cols>
  <sheetData>
    <row r="1" ht="30" customHeight="1">
      <c r="A1" s="1" t="inlineStr">
        <is>
          <t>01 · 现货与期货价格表现</t>
        </is>
      </c>
    </row>
    <row r="2" ht="24" customHeight="1">
      <c r="A2" s="2" t="inlineStr">
        <is>
          <t>同一口径下测量涨幅；无法核验的日期明确标注，不做插值</t>
        </is>
      </c>
    </row>
    <row r="4">
      <c r="A4" s="9" t="inlineStr">
        <is>
          <t>A. 窗口涨幅测算</t>
        </is>
      </c>
    </row>
    <row r="5" ht="30" customHeight="1">
      <c r="A5" s="10" t="inlineStr">
        <is>
          <t>口径</t>
        </is>
      </c>
      <c r="B5" s="10" t="inlineStr">
        <is>
          <t>起始日</t>
        </is>
      </c>
      <c r="C5" s="10" t="inlineStr">
        <is>
          <t>起始价</t>
        </is>
      </c>
      <c r="D5" s="10" t="inlineStr">
        <is>
          <t>结束日</t>
        </is>
      </c>
      <c r="E5" s="10" t="inlineStr">
        <is>
          <t>结束价</t>
        </is>
      </c>
      <c r="F5" s="10" t="inlineStr">
        <is>
          <t>涨跌(元/吨)</t>
        </is>
      </c>
      <c r="G5" s="10" t="inlineStr">
        <is>
          <t>涨幅%</t>
        </is>
      </c>
      <c r="H5" s="10" t="inlineStr">
        <is>
          <t>数据状态</t>
        </is>
      </c>
      <c r="I5" s="10" t="inlineStr">
        <is>
          <t>备注</t>
        </is>
      </c>
    </row>
    <row r="6">
      <c r="A6" s="4" t="inlineStr">
        <is>
          <t>PP拉丝 现货(主窗口)</t>
        </is>
      </c>
      <c r="B6" s="11" t="inlineStr">
        <is>
          <t>2026-10-01</t>
        </is>
      </c>
      <c r="C6" s="12" t="n">
        <v>9933.33</v>
      </c>
      <c r="D6" s="11" t="inlineStr">
        <is>
          <t>2026-10-19</t>
        </is>
      </c>
      <c r="E6" s="12" t="n">
        <v>10756.67</v>
      </c>
      <c r="F6" s="12" t="n">
        <v>823.3400000000001</v>
      </c>
      <c r="G6" s="13" t="n">
        <v>0.08288660499550504</v>
      </c>
      <c r="H6" s="14" t="inlineStr">
        <is>
          <t>已核验</t>
        </is>
      </c>
      <c r="I6" s="5" t="inlineStr">
        <is>
          <t>生意社全国参考价(S07)</t>
        </is>
      </c>
    </row>
    <row r="7">
      <c r="A7" s="4" t="inlineStr">
        <is>
          <t>PP纤维 现货</t>
        </is>
      </c>
      <c r="B7" s="11" t="inlineStr">
        <is>
          <t>2026-10-01</t>
        </is>
      </c>
      <c r="C7" s="12" t="n">
        <v>10162.5</v>
      </c>
      <c r="D7" s="11" t="inlineStr">
        <is>
          <t>2026-10-19</t>
        </is>
      </c>
      <c r="E7" s="12" t="n">
        <v>10912.5</v>
      </c>
      <c r="F7" s="12" t="n">
        <v>750</v>
      </c>
      <c r="G7" s="13" t="n">
        <v>0.07380073800738007</v>
      </c>
      <c r="H7" s="14" t="inlineStr">
        <is>
          <t>已核验</t>
        </is>
      </c>
      <c r="I7" s="5" t="inlineStr">
        <is>
          <t>生意社(S07)</t>
        </is>
      </c>
    </row>
    <row r="8">
      <c r="A8" s="4" t="inlineStr">
        <is>
          <t>PP拉丝 现货(9月攻势)</t>
        </is>
      </c>
      <c r="B8" s="11" t="inlineStr">
        <is>
          <t>2026-09-01</t>
        </is>
      </c>
      <c r="C8" s="12" t="n">
        <v>9543.33</v>
      </c>
      <c r="D8" s="11" t="inlineStr">
        <is>
          <t>2026-09-18</t>
        </is>
      </c>
      <c r="E8" s="12" t="n">
        <v>10116.67</v>
      </c>
      <c r="F8" s="12" t="n">
        <v>573.3400000000001</v>
      </c>
      <c r="G8" s="13" t="n">
        <v>0.06007756202499549</v>
      </c>
      <c r="H8" s="14" t="inlineStr">
        <is>
          <t>已核验</t>
        </is>
      </c>
      <c r="I8" s="5" t="inlineStr">
        <is>
          <t>9月中上旬快速拉升</t>
        </is>
      </c>
    </row>
    <row r="9">
      <c r="A9" s="4" t="inlineStr">
        <is>
          <t>PP拉丝 现货(7月见底以来)</t>
        </is>
      </c>
      <c r="B9" s="11" t="inlineStr">
        <is>
          <t>2026-07-01</t>
        </is>
      </c>
      <c r="C9" s="12" t="n">
        <v>7940</v>
      </c>
      <c r="D9" s="11" t="inlineStr">
        <is>
          <t>2026-10-19</t>
        </is>
      </c>
      <c r="E9" s="12" t="n">
        <v>10756.67</v>
      </c>
      <c r="F9" s="12" t="n">
        <v>2816.67</v>
      </c>
      <c r="G9" s="13" t="n">
        <v>0.3547443324937028</v>
      </c>
      <c r="H9" s="14" t="inlineStr">
        <is>
          <t>已核验</t>
        </is>
      </c>
      <c r="I9" s="5" t="inlineStr">
        <is>
          <t>累计涨幅，含3月及9月两波</t>
        </is>
      </c>
    </row>
    <row r="10">
      <c r="A10" s="4" t="inlineStr">
        <is>
          <t>PP期货主力(单日)</t>
        </is>
      </c>
      <c r="B10" s="11" t="inlineStr">
        <is>
          <t>2026-10-08 前</t>
        </is>
      </c>
      <c r="C10" s="12" t="n">
        <v>8631</v>
      </c>
      <c r="D10" s="11" t="inlineStr">
        <is>
          <t>2026-10-08</t>
        </is>
      </c>
      <c r="E10" s="12" t="n">
        <v>9242</v>
      </c>
      <c r="F10" s="12" t="n">
        <v>611</v>
      </c>
      <c r="G10" s="13" t="n">
        <v>0.07079133356505619</v>
      </c>
      <c r="H10" s="15" t="inlineStr">
        <is>
          <t>推算</t>
        </is>
      </c>
      <c r="I10" s="5" t="inlineStr">
        <is>
          <t>收盘9242、涨611反推前结，S01</t>
        </is>
      </c>
    </row>
    <row r="11">
      <c r="A11" s="4" t="inlineStr">
        <is>
          <t>PP期货主力(9/30→10/8)</t>
        </is>
      </c>
      <c r="B11" s="11" t="inlineStr">
        <is>
          <t>2026-09-30</t>
        </is>
      </c>
      <c r="C11" s="16" t="inlineStr">
        <is>
          <t>缺失</t>
        </is>
      </c>
      <c r="D11" s="11" t="inlineStr">
        <is>
          <t>2026-10-08</t>
        </is>
      </c>
      <c r="E11" s="12" t="n">
        <v>9242</v>
      </c>
      <c r="F11" s="17" t="inlineStr">
        <is>
          <t>缺失</t>
        </is>
      </c>
      <c r="G11" s="17" t="inlineStr">
        <is>
          <t>缺失</t>
        </is>
      </c>
      <c r="H11" s="15" t="inlineStr">
        <is>
          <t>数据不足</t>
        </is>
      </c>
      <c r="I11" s="5" t="inlineStr">
        <is>
          <t>9/30收盘价未取得</t>
        </is>
      </c>
    </row>
    <row r="12">
      <c r="A12" s="4" t="inlineStr">
        <is>
          <t>华东拉丝 现货(10/8)</t>
        </is>
      </c>
      <c r="B12" s="11" t="inlineStr">
        <is>
          <t>2026-09-30</t>
        </is>
      </c>
      <c r="C12" s="12" t="n">
        <v>10085</v>
      </c>
      <c r="D12" s="11" t="inlineStr">
        <is>
          <t>2026-10-08</t>
        </is>
      </c>
      <c r="E12" s="12" t="n">
        <v>10371</v>
      </c>
      <c r="F12" s="12" t="n">
        <v>286</v>
      </c>
      <c r="G12" s="13" t="n">
        <v>0.02835894893406049</v>
      </c>
      <c r="H12" s="14" t="inlineStr">
        <is>
          <t>已核验</t>
        </is>
      </c>
      <c r="I12" s="5" t="inlineStr">
        <is>
          <t>隆众/S01，仅此两日点位</t>
        </is>
      </c>
    </row>
    <row r="13">
      <c r="A13" s="4" t="inlineStr">
        <is>
          <t>丙烯 现货</t>
        </is>
      </c>
      <c r="B13" s="11" t="inlineStr">
        <is>
          <t>2026-10-01</t>
        </is>
      </c>
      <c r="C13" s="12" t="n">
        <v>9707.67</v>
      </c>
      <c r="D13" s="11" t="inlineStr">
        <is>
          <t>2026-10-19</t>
        </is>
      </c>
      <c r="E13" s="12" t="n">
        <v>10534.33</v>
      </c>
      <c r="F13" s="12" t="n">
        <v>826.6599999999999</v>
      </c>
      <c r="G13" s="13" t="n">
        <v>0.08515534623653254</v>
      </c>
      <c r="H13" s="14" t="inlineStr">
        <is>
          <t>已核验</t>
        </is>
      </c>
      <c r="I13" s="5" t="inlineStr">
        <is>
          <t>生意社(S08)，10/12高点10751</t>
        </is>
      </c>
    </row>
    <row r="14">
      <c r="A14" s="4" t="inlineStr">
        <is>
          <t>WTI 原油</t>
        </is>
      </c>
      <c r="B14" s="11" t="inlineStr">
        <is>
          <t>2026-10-01</t>
        </is>
      </c>
      <c r="C14" s="12" t="n">
        <v>89.38</v>
      </c>
      <c r="D14" s="11" t="inlineStr">
        <is>
          <t>2026-10-19</t>
        </is>
      </c>
      <c r="E14" s="12" t="n">
        <v>101.41</v>
      </c>
      <c r="F14" s="12" t="n">
        <v>12.03</v>
      </c>
      <c r="G14" s="13" t="n">
        <v>0.1345938688744686</v>
      </c>
      <c r="H14" s="14" t="inlineStr">
        <is>
          <t>已核验</t>
        </is>
      </c>
      <c r="I14" s="5" t="inlineStr">
        <is>
          <t>生意社(S09)</t>
        </is>
      </c>
    </row>
    <row r="16">
      <c r="A16" s="9" t="inlineStr">
        <is>
          <t>B. 期货合约截面（2026-10-19，大商所）</t>
        </is>
      </c>
    </row>
    <row r="17" ht="30" customHeight="1">
      <c r="A17" s="10" t="inlineStr">
        <is>
          <t>合约</t>
        </is>
      </c>
      <c r="B17" s="10" t="inlineStr">
        <is>
          <t>开盘</t>
        </is>
      </c>
      <c r="C17" s="10" t="inlineStr">
        <is>
          <t>最低</t>
        </is>
      </c>
      <c r="D17" s="10" t="inlineStr">
        <is>
          <t>最高</t>
        </is>
      </c>
      <c r="E17" s="10" t="inlineStr">
        <is>
          <t>收盘/结算</t>
        </is>
      </c>
      <c r="F17" s="10" t="inlineStr">
        <is>
          <t>涨跌</t>
        </is>
      </c>
      <c r="G17" s="10" t="inlineStr">
        <is>
          <t>成交量(手)</t>
        </is>
      </c>
      <c r="H17" s="10" t="inlineStr">
        <is>
          <t>持仓量(手)</t>
        </is>
      </c>
      <c r="I17" s="10" t="inlineStr">
        <is>
          <t>来源</t>
        </is>
      </c>
      <c r="J17" s="10" t="inlineStr">
        <is>
          <t>备注</t>
        </is>
      </c>
    </row>
    <row r="18">
      <c r="A18" s="4" t="inlineStr">
        <is>
          <t>PP2701</t>
        </is>
      </c>
      <c r="B18" s="18" t="n">
        <v>9079</v>
      </c>
      <c r="C18" s="18" t="n">
        <v>9002</v>
      </c>
      <c r="D18" s="18" t="n">
        <v>9088</v>
      </c>
      <c r="E18" s="19" t="inlineStr">
        <is>
          <t>缺失</t>
        </is>
      </c>
      <c r="F18" s="20" t="n">
        <v>9</v>
      </c>
      <c r="G18" s="18" t="n">
        <v>6059</v>
      </c>
      <c r="H18" s="18" t="n">
        <v>56083</v>
      </c>
      <c r="I18" s="11" t="inlineStr">
        <is>
          <t>S10</t>
        </is>
      </c>
      <c r="J18" s="5" t="inlineStr">
        <is>
          <t>S10表格列序：开/低/高/收，按原始披露保留</t>
        </is>
      </c>
    </row>
    <row r="19">
      <c r="A19" s="4" t="inlineStr">
        <is>
          <t>PP2703</t>
        </is>
      </c>
      <c r="B19" s="18" t="n">
        <v>8887</v>
      </c>
      <c r="C19" s="18" t="n">
        <v>8799</v>
      </c>
      <c r="D19" s="18" t="n">
        <v>8880</v>
      </c>
      <c r="E19" s="19" t="inlineStr">
        <is>
          <t>缺失</t>
        </is>
      </c>
      <c r="F19" s="21" t="n">
        <v>-7</v>
      </c>
      <c r="G19" s="18" t="n">
        <v>2237</v>
      </c>
      <c r="H19" s="18" t="n">
        <v>15204</v>
      </c>
      <c r="I19" s="11" t="inlineStr">
        <is>
          <t>S10</t>
        </is>
      </c>
      <c r="J19" s="5" t="inlineStr"/>
    </row>
    <row r="20">
      <c r="A20" s="4" t="inlineStr">
        <is>
          <t>PP2704</t>
        </is>
      </c>
      <c r="B20" s="18" t="n">
        <v>8856</v>
      </c>
      <c r="C20" s="18" t="n">
        <v>8794</v>
      </c>
      <c r="D20" s="18" t="n">
        <v>8854</v>
      </c>
      <c r="E20" s="19" t="inlineStr">
        <is>
          <t>缺失</t>
        </is>
      </c>
      <c r="F20" s="21" t="n">
        <v>-2</v>
      </c>
      <c r="G20" s="18" t="n">
        <v>159</v>
      </c>
      <c r="H20" s="18" t="n">
        <v>656</v>
      </c>
      <c r="I20" s="11" t="inlineStr">
        <is>
          <t>S10</t>
        </is>
      </c>
      <c r="J20" s="5" t="inlineStr"/>
    </row>
    <row r="21">
      <c r="A21" s="4" t="inlineStr">
        <is>
          <t>PP2705</t>
        </is>
      </c>
      <c r="B21" s="18" t="n">
        <v>8741</v>
      </c>
      <c r="C21" s="18" t="n">
        <v>8698</v>
      </c>
      <c r="D21" s="18" t="n">
        <v>8769</v>
      </c>
      <c r="E21" s="19" t="inlineStr">
        <is>
          <t>缺失</t>
        </is>
      </c>
      <c r="F21" s="20" t="n">
        <v>28</v>
      </c>
      <c r="G21" s="18" t="n">
        <v>36984</v>
      </c>
      <c r="H21" s="18" t="n">
        <v>86479</v>
      </c>
      <c r="I21" s="11" t="inlineStr">
        <is>
          <t>S10</t>
        </is>
      </c>
      <c r="J21" s="5" t="inlineStr"/>
    </row>
    <row r="22">
      <c r="A22" s="4" t="inlineStr">
        <is>
          <t>PP2706</t>
        </is>
      </c>
      <c r="B22" s="18" t="n">
        <v>8547</v>
      </c>
      <c r="C22" s="18" t="n">
        <v>8535</v>
      </c>
      <c r="D22" s="18" t="n">
        <v>8619</v>
      </c>
      <c r="E22" s="19" t="inlineStr">
        <is>
          <t>缺失</t>
        </is>
      </c>
      <c r="F22" s="20" t="n">
        <v>72</v>
      </c>
      <c r="G22" s="18" t="n">
        <v>15</v>
      </c>
      <c r="H22" s="18" t="n">
        <v>250</v>
      </c>
      <c r="I22" s="11" t="inlineStr">
        <is>
          <t>S10</t>
        </is>
      </c>
      <c r="J22" s="5" t="inlineStr"/>
    </row>
    <row r="23">
      <c r="A23" s="4" t="inlineStr">
        <is>
          <t>PP2707</t>
        </is>
      </c>
      <c r="B23" s="18" t="n">
        <v>8517</v>
      </c>
      <c r="C23" s="18" t="n">
        <v>8491</v>
      </c>
      <c r="D23" s="18" t="n">
        <v>8550</v>
      </c>
      <c r="E23" s="19" t="inlineStr">
        <is>
          <t>缺失</t>
        </is>
      </c>
      <c r="F23" s="20" t="n">
        <v>33</v>
      </c>
      <c r="G23" s="18" t="n">
        <v>16</v>
      </c>
      <c r="H23" s="18" t="n">
        <v>658</v>
      </c>
      <c r="I23" s="11" t="inlineStr">
        <is>
          <t>S10</t>
        </is>
      </c>
      <c r="J23" s="5" t="inlineStr"/>
    </row>
    <row r="24">
      <c r="A24" s="4" t="inlineStr">
        <is>
          <t>PP2708</t>
        </is>
      </c>
      <c r="B24" s="18" t="n">
        <v>8438</v>
      </c>
      <c r="C24" s="18" t="n">
        <v>8425</v>
      </c>
      <c r="D24" s="18" t="n">
        <v>8478</v>
      </c>
      <c r="E24" s="19" t="inlineStr">
        <is>
          <t>缺失</t>
        </is>
      </c>
      <c r="F24" s="20" t="n">
        <v>40</v>
      </c>
      <c r="G24" s="18" t="n">
        <v>53</v>
      </c>
      <c r="H24" s="18" t="n">
        <v>398</v>
      </c>
      <c r="I24" s="11" t="inlineStr">
        <is>
          <t>S10</t>
        </is>
      </c>
      <c r="J24" s="5" t="inlineStr"/>
    </row>
    <row r="25">
      <c r="A25" s="4" t="inlineStr">
        <is>
          <t>PP2709</t>
        </is>
      </c>
      <c r="B25" s="18" t="n">
        <v>8405</v>
      </c>
      <c r="C25" s="18" t="n">
        <v>8393</v>
      </c>
      <c r="D25" s="18" t="n">
        <v>8421</v>
      </c>
      <c r="E25" s="19" t="inlineStr">
        <is>
          <t>缺失</t>
        </is>
      </c>
      <c r="F25" s="20" t="n">
        <v>16</v>
      </c>
      <c r="G25" s="18" t="n">
        <v>312</v>
      </c>
      <c r="H25" s="18" t="n">
        <v>820</v>
      </c>
      <c r="I25" s="11" t="inlineStr">
        <is>
          <t>S10</t>
        </is>
      </c>
      <c r="J25" s="5" t="inlineStr"/>
    </row>
    <row r="26">
      <c r="A26" s="22" t="inlineStr">
        <is>
          <t>说明：PP2611/PP2612合约在该数据源中未返回，标记为缺失；收盘/结算列在原始表中与开盘同值，疑为源表口径差异，已原样保留并加注。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8" t="n"/>
    </row>
    <row r="28">
      <c r="A28" s="9" t="inlineStr">
        <is>
          <t>C. 期货与现货同日涨幅对比（2026-10-08）</t>
        </is>
      </c>
    </row>
    <row r="29" ht="30" customHeight="1">
      <c r="A29" s="10" t="inlineStr">
        <is>
          <t>项目</t>
        </is>
      </c>
      <c r="B29" s="10" t="inlineStr">
        <is>
          <t>涨幅%</t>
        </is>
      </c>
      <c r="C29" s="10" t="inlineStr">
        <is>
          <t>绝对变动</t>
        </is>
      </c>
      <c r="D29" s="10" t="inlineStr">
        <is>
          <t>说明</t>
        </is>
      </c>
    </row>
    <row r="30">
      <c r="A30" s="4" t="inlineStr">
        <is>
          <t>期货主力</t>
        </is>
      </c>
      <c r="B30" s="23" t="n">
        <v>7.08</v>
      </c>
      <c r="C30" s="11" t="inlineStr">
        <is>
          <t>+611 元/吨</t>
        </is>
      </c>
      <c r="D30" s="5" t="inlineStr">
        <is>
          <t>收盘9242</t>
        </is>
      </c>
    </row>
    <row r="31">
      <c r="A31" s="4" t="inlineStr">
        <is>
          <t>现货华东拉丝</t>
        </is>
      </c>
      <c r="B31" s="23" t="n">
        <v>2.84</v>
      </c>
      <c r="C31" s="11" t="inlineStr">
        <is>
          <t>+286 元/吨</t>
        </is>
      </c>
      <c r="D31" s="5" t="inlineStr">
        <is>
          <t>10085→10371</t>
        </is>
      </c>
    </row>
    <row r="32">
      <c r="A32" s="4" t="inlineStr">
        <is>
          <t>涨幅差（期货-现货）</t>
        </is>
      </c>
      <c r="B32" s="23" t="n">
        <v>4.24</v>
      </c>
      <c r="C32" s="11" t="inlineStr">
        <is>
          <t>pct</t>
        </is>
      </c>
      <c r="D32" s="5" t="inlineStr">
        <is>
          <t>期货领先并放大 → 金融属性/情绪定价</t>
        </is>
      </c>
    </row>
    <row r="34">
      <c r="A34" s="9" t="inlineStr">
        <is>
          <t>D. 走势图数据（见 07_历史序列 亦可）</t>
        </is>
      </c>
    </row>
  </sheetData>
  <mergeCells count="3">
    <mergeCell ref="A1:I1"/>
    <mergeCell ref="A26:J26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C9A"/>
    <outlinePr summaryBelow="1" summaryRight="1"/>
    <pageSetUpPr/>
  </sheetPr>
  <dimension ref="A1:H1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1" customWidth="1" min="5" max="5"/>
    <col width="46" customWidth="1" min="6" max="6"/>
    <col width="8" customWidth="1" min="7" max="7"/>
    <col width="8" customWidth="1" min="8" max="8"/>
  </cols>
  <sheetData>
    <row r="1" ht="30" customHeight="1">
      <c r="A1" s="1" t="inlineStr">
        <is>
          <t>02 · 基差与月差（期现结构）</t>
        </is>
      </c>
    </row>
    <row r="2" ht="24" customHeight="1">
      <c r="A2" s="2" t="inlineStr">
        <is>
          <t>基差=现货-期货；正=现货升水。注意跨口径限制</t>
        </is>
      </c>
    </row>
    <row r="4" ht="30" customHeight="1">
      <c r="A4" s="10" t="inlineStr">
        <is>
          <t>日期</t>
        </is>
      </c>
      <c r="B4" s="10" t="inlineStr">
        <is>
          <t>现货(元/吨)</t>
        </is>
      </c>
      <c r="C4" s="10" t="inlineStr">
        <is>
          <t>现货口径</t>
        </is>
      </c>
      <c r="D4" s="10" t="inlineStr">
        <is>
          <t>期货(元/吨)</t>
        </is>
      </c>
      <c r="E4" s="10" t="inlineStr">
        <is>
          <t>期货合约</t>
        </is>
      </c>
      <c r="F4" s="10" t="inlineStr">
        <is>
          <t>基差(元/吨)</t>
        </is>
      </c>
      <c r="G4" s="10" t="inlineStr">
        <is>
          <t>状态</t>
        </is>
      </c>
      <c r="H4" s="10" t="inlineStr">
        <is>
          <t>说明</t>
        </is>
      </c>
    </row>
    <row r="5">
      <c r="A5" s="11" t="inlineStr">
        <is>
          <t>2026-09-30</t>
        </is>
      </c>
      <c r="B5" s="12" t="n">
        <v>10085</v>
      </c>
      <c r="C5" s="5" t="inlineStr">
        <is>
          <t>华东拉丝主流报价</t>
        </is>
      </c>
      <c r="D5" s="19" t="inlineStr">
        <is>
          <t>缺失</t>
        </is>
      </c>
      <c r="E5" s="11" t="inlineStr">
        <is>
          <t>主力</t>
        </is>
      </c>
      <c r="F5" s="16" t="inlineStr">
        <is>
          <t>缺失</t>
        </is>
      </c>
      <c r="G5" s="15" t="inlineStr">
        <is>
          <t>部分</t>
        </is>
      </c>
      <c r="H5" s="5" t="inlineStr">
        <is>
          <t>节前基准</t>
        </is>
      </c>
    </row>
    <row r="6">
      <c r="A6" s="11" t="inlineStr">
        <is>
          <t>2026-10-08</t>
        </is>
      </c>
      <c r="B6" s="12" t="n">
        <v>10371</v>
      </c>
      <c r="C6" s="5" t="inlineStr">
        <is>
          <t>华东拉丝主流报价</t>
        </is>
      </c>
      <c r="D6" s="18" t="n">
        <v>9242</v>
      </c>
      <c r="E6" s="11" t="inlineStr">
        <is>
          <t>PP主力</t>
        </is>
      </c>
      <c r="F6" s="24" t="n">
        <v>1129</v>
      </c>
      <c r="G6" s="14" t="inlineStr">
        <is>
          <t>已核验</t>
        </is>
      </c>
      <c r="H6" s="5" t="inlineStr">
        <is>
          <t>期货单日+7.08%，现货+2.84%，基差被动走强</t>
        </is>
      </c>
    </row>
    <row r="7">
      <c r="A7" s="11" t="inlineStr">
        <is>
          <t>2026-10-09</t>
        </is>
      </c>
      <c r="B7" s="12" t="n">
        <v>10550</v>
      </c>
      <c r="C7" s="5" t="inlineStr">
        <is>
          <t>华东拉丝午盘区间中值</t>
        </is>
      </c>
      <c r="D7" s="19" t="inlineStr">
        <is>
          <t>缺失</t>
        </is>
      </c>
      <c r="E7" s="11" t="inlineStr">
        <is>
          <t>主力</t>
        </is>
      </c>
      <c r="F7" s="16" t="inlineStr">
        <is>
          <t>缺失</t>
        </is>
      </c>
      <c r="G7" s="15" t="inlineStr">
        <is>
          <t>区间推算</t>
        </is>
      </c>
      <c r="H7" s="5" t="inlineStr">
        <is>
          <t>10450-10650取中值</t>
        </is>
      </c>
    </row>
    <row r="8">
      <c r="A8" s="11" t="inlineStr">
        <is>
          <t>2026-10-19</t>
        </is>
      </c>
      <c r="B8" s="12" t="n">
        <v>10756.67</v>
      </c>
      <c r="C8" s="5" t="inlineStr">
        <is>
          <t>生意社PP(拉丝)全国参考价</t>
        </is>
      </c>
      <c r="D8" s="18" t="n">
        <v>9088</v>
      </c>
      <c r="E8" s="11" t="inlineStr">
        <is>
          <t>PP2701</t>
        </is>
      </c>
      <c r="F8" s="24" t="n">
        <v>1668.67</v>
      </c>
      <c r="G8" s="14" t="inlineStr">
        <is>
          <t>已核验(口径混合)</t>
        </is>
      </c>
      <c r="H8" s="5" t="inlineStr">
        <is>
          <t>跨口径，方向可用、绝对值精度受限</t>
        </is>
      </c>
    </row>
    <row r="10">
      <c r="A10" s="9" t="inlineStr">
        <is>
          <t>月差结构（2026-10-19）</t>
        </is>
      </c>
    </row>
    <row r="11" ht="30" customHeight="1">
      <c r="A11" s="10" t="inlineStr">
        <is>
          <t>价差</t>
        </is>
      </c>
      <c r="B11" s="10" t="inlineStr">
        <is>
          <t>近月价</t>
        </is>
      </c>
      <c r="C11" s="10" t="inlineStr">
        <is>
          <t>远月价</t>
        </is>
      </c>
      <c r="D11" s="10" t="inlineStr">
        <is>
          <t>价差(元/吨)</t>
        </is>
      </c>
      <c r="E11" s="10" t="inlineStr">
        <is>
          <t>幅度%</t>
        </is>
      </c>
      <c r="F11" s="10" t="inlineStr">
        <is>
          <t>结构含义</t>
        </is>
      </c>
      <c r="G11" s="10" t="inlineStr"/>
      <c r="H11" s="10" t="inlineStr"/>
    </row>
    <row r="12">
      <c r="A12" s="4" t="inlineStr">
        <is>
          <t>PP2701 - PP2705</t>
        </is>
      </c>
      <c r="B12" s="18" t="n">
        <v>9088</v>
      </c>
      <c r="C12" s="18" t="n">
        <v>8769</v>
      </c>
      <c r="D12" s="18" t="n">
        <v>319</v>
      </c>
      <c r="E12" s="25" t="n">
        <v>0.03637815030220094</v>
      </c>
      <c r="F12" s="5" t="inlineStr">
        <is>
          <t>近强远弱（Back）：远月定价未来供给宽松</t>
        </is>
      </c>
    </row>
    <row r="13">
      <c r="A13" s="4" t="inlineStr">
        <is>
          <t>PP2705 - PP2709</t>
        </is>
      </c>
      <c r="B13" s="18" t="n">
        <v>8769</v>
      </c>
      <c r="C13" s="18" t="n">
        <v>8421</v>
      </c>
      <c r="D13" s="18" t="n">
        <v>348</v>
      </c>
      <c r="E13" s="25" t="n">
        <v>0.04132525828286427</v>
      </c>
      <c r="F13" s="5" t="inlineStr">
        <is>
          <t>近强远弱（Back）：远月定价未来供给宽松</t>
        </is>
      </c>
    </row>
    <row r="14">
      <c r="A14" s="4" t="inlineStr">
        <is>
          <t>PP2701 - PP2709</t>
        </is>
      </c>
      <c r="B14" s="18" t="n">
        <v>9088</v>
      </c>
      <c r="C14" s="18" t="n">
        <v>8421</v>
      </c>
      <c r="D14" s="18" t="n">
        <v>667</v>
      </c>
      <c r="E14" s="25" t="n">
        <v>0.07920674504215651</v>
      </c>
      <c r="F14" s="5" t="inlineStr">
        <is>
          <t>近强远弱（Back）：远月定价未来供给宽松</t>
        </is>
      </c>
    </row>
    <row r="16" ht="42" customHeight="1">
      <c r="A16" s="22" t="inlineStr">
        <is>
          <t>解读：现货升水 +1668 元/吨且月差深度 Back。若为现实紧缺驱动，近月应被持续拉升并带动远月同向；实际远月PP2709仅8421元/吨，说明市场只在近端定价了成本与情绪，远月仍定价产能投放。</t>
        </is>
      </c>
      <c r="B16" s="7" t="n"/>
      <c r="C16" s="7" t="n"/>
      <c r="D16" s="7" t="n"/>
      <c r="E16" s="7" t="n"/>
      <c r="F16" s="7" t="n"/>
      <c r="G16" s="7" t="n"/>
      <c r="H16" s="8" t="n"/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C9A"/>
    <outlinePr summaryBelow="1" summaryRight="1"/>
    <pageSetUpPr/>
  </sheetPr>
  <dimension ref="A1:H41"/>
  <sheetViews>
    <sheetView workbookViewId="0">
      <pane ySplit="34" topLeftCell="A3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12" customWidth="1" min="4" max="4"/>
    <col width="52" customWidth="1" min="5" max="5"/>
    <col width="8" customWidth="1" min="6" max="6"/>
    <col width="8" customWidth="1" min="7" max="7"/>
    <col width="8" customWidth="1" min="8" max="8"/>
  </cols>
  <sheetData>
    <row r="1" ht="30" customHeight="1">
      <c r="A1" s="1" t="inlineStr">
        <is>
          <t>03 · 现实供给与现实需求</t>
        </is>
      </c>
    </row>
    <row r="2" ht="24" customHeight="1">
      <c r="A2" s="2" t="inlineStr">
        <is>
          <t>产量/开工/装置/产能 + 下游开工/订单。缺失项显式标注</t>
        </is>
      </c>
    </row>
    <row r="4">
      <c r="A4" s="9" t="inlineStr">
        <is>
          <t>A. 现实供给</t>
        </is>
      </c>
    </row>
    <row r="5" ht="30" customHeight="1">
      <c r="A5" s="10" t="inlineStr">
        <is>
          <t>项目</t>
        </is>
      </c>
      <c r="B5" s="10" t="inlineStr">
        <is>
          <t>数值</t>
        </is>
      </c>
      <c r="C5" s="10" t="inlineStr">
        <is>
          <t>单位</t>
        </is>
      </c>
      <c r="D5" s="10" t="inlineStr">
        <is>
          <t>日期/周期</t>
        </is>
      </c>
      <c r="E5" s="10" t="inlineStr">
        <is>
          <t>环比/同比</t>
        </is>
      </c>
      <c r="F5" s="10" t="inlineStr">
        <is>
          <t>类别</t>
        </is>
      </c>
      <c r="G5" s="10" t="inlineStr">
        <is>
          <t>方向</t>
        </is>
      </c>
      <c r="H5" s="10" t="inlineStr">
        <is>
          <t>备注</t>
        </is>
      </c>
    </row>
    <row r="6">
      <c r="A6" s="4" t="inlineStr">
        <is>
          <t>PP平均产能利用率</t>
        </is>
      </c>
      <c r="B6" s="12" t="n">
        <v>66.28</v>
      </c>
      <c r="C6" s="5" t="inlineStr">
        <is>
          <t>%</t>
        </is>
      </c>
      <c r="D6" s="11" t="inlineStr">
        <is>
          <t>2026-10-10周</t>
        </is>
      </c>
      <c r="E6" s="26" t="n">
        <v>0</v>
      </c>
      <c r="F6" s="14" t="inlineStr">
        <is>
          <t>现实</t>
        </is>
      </c>
      <c r="G6" s="11" t="inlineStr">
        <is>
          <t>持平偏低</t>
        </is>
      </c>
      <c r="H6" s="5" t="inlineStr">
        <is>
          <t>中石化产能利用率环比+2.17pct至60.33%；绝对值显著低于常态(70%+)，但本周不再下降</t>
        </is>
      </c>
    </row>
    <row r="7">
      <c r="A7" s="4" t="inlineStr">
        <is>
          <t>扬子石化2PP(20万吨/年)重启</t>
        </is>
      </c>
      <c r="B7" s="12" t="n">
        <v>20</v>
      </c>
      <c r="C7" s="5" t="inlineStr">
        <is>
          <t>万吨/年</t>
        </is>
      </c>
      <c r="D7" s="11" t="inlineStr">
        <is>
          <t>2026-10-10周</t>
        </is>
      </c>
      <c r="E7" s="17" t="inlineStr">
        <is>
          <t>缺失</t>
        </is>
      </c>
      <c r="F7" s="14" t="inlineStr">
        <is>
          <t>现实</t>
        </is>
      </c>
      <c r="G7" s="11" t="inlineStr">
        <is>
          <t>供给增加</t>
        </is>
      </c>
      <c r="H7" s="5" t="inlineStr">
        <is>
          <t>周内重启，推动中石化负荷上升</t>
        </is>
      </c>
    </row>
    <row r="8">
      <c r="A8" s="4" t="inlineStr">
        <is>
          <t>中景石化二期二线重启</t>
        </is>
      </c>
      <c r="B8" s="12" t="n">
        <v>60</v>
      </c>
      <c r="C8" s="5" t="inlineStr">
        <is>
          <t>万吨/年</t>
        </is>
      </c>
      <c r="D8" s="11" t="inlineStr">
        <is>
          <t>2026-10-10周</t>
        </is>
      </c>
      <c r="E8" s="17" t="inlineStr">
        <is>
          <t>缺失</t>
        </is>
      </c>
      <c r="F8" s="14" t="inlineStr">
        <is>
          <t>现实</t>
        </is>
      </c>
      <c r="G8" s="11" t="inlineStr">
        <is>
          <t>供给增加</t>
        </is>
      </c>
      <c r="H8" s="5" t="inlineStr"/>
    </row>
    <row r="9">
      <c r="A9" s="4" t="inlineStr">
        <is>
          <t>宁夏宝丰三线停车</t>
        </is>
      </c>
      <c r="B9" s="16" t="inlineStr">
        <is>
          <t>缺失</t>
        </is>
      </c>
      <c r="C9" s="5" t="inlineStr">
        <is>
          <t>万吨/年</t>
        </is>
      </c>
      <c r="D9" s="11" t="inlineStr">
        <is>
          <t>2026-10-10周</t>
        </is>
      </c>
      <c r="E9" s="17" t="inlineStr">
        <is>
          <t>缺失</t>
        </is>
      </c>
      <c r="F9" s="14" t="inlineStr">
        <is>
          <t>现实</t>
        </is>
      </c>
      <c r="G9" s="11" t="inlineStr">
        <is>
          <t>供给减少</t>
        </is>
      </c>
      <c r="H9" s="5" t="inlineStr">
        <is>
          <t>产能规模未披露</t>
        </is>
      </c>
    </row>
    <row r="10">
      <c r="A10" s="4" t="inlineStr">
        <is>
          <t>青海盐湖装置停车</t>
        </is>
      </c>
      <c r="B10" s="16" t="inlineStr">
        <is>
          <t>缺失</t>
        </is>
      </c>
      <c r="C10" s="5" t="inlineStr">
        <is>
          <t>万吨/年</t>
        </is>
      </c>
      <c r="D10" s="11" t="inlineStr">
        <is>
          <t>2026-10-10周</t>
        </is>
      </c>
      <c r="E10" s="17" t="inlineStr">
        <is>
          <t>缺失</t>
        </is>
      </c>
      <c r="F10" s="14" t="inlineStr">
        <is>
          <t>现实</t>
        </is>
      </c>
      <c r="G10" s="11" t="inlineStr">
        <is>
          <t>供给减少</t>
        </is>
      </c>
      <c r="H10" s="5" t="inlineStr">
        <is>
          <t>产能规模未披露</t>
        </is>
      </c>
    </row>
    <row r="11">
      <c r="A11" s="4" t="inlineStr">
        <is>
          <t>计划检修(金能化学2PP、兰州石化老线)</t>
        </is>
      </c>
      <c r="B11" s="16" t="inlineStr">
        <is>
          <t>缺失</t>
        </is>
      </c>
      <c r="C11" s="5" t="inlineStr">
        <is>
          <t>万吨/年</t>
        </is>
      </c>
      <c r="D11" s="11" t="inlineStr">
        <is>
          <t>2026-10-11周计划</t>
        </is>
      </c>
      <c r="E11" s="17" t="inlineStr">
        <is>
          <t>缺失</t>
        </is>
      </c>
      <c r="F11" s="27" t="inlineStr">
        <is>
          <t>预期</t>
        </is>
      </c>
      <c r="G11" s="11" t="inlineStr">
        <is>
          <t>供给减少</t>
        </is>
      </c>
      <c r="H11" s="5" t="inlineStr">
        <is>
          <t>下周计划，尚未落地</t>
        </is>
      </c>
    </row>
    <row r="12">
      <c r="A12" s="4" t="inlineStr">
        <is>
          <t>检修损失量</t>
        </is>
      </c>
      <c r="B12" s="16" t="inlineStr">
        <is>
          <t>缺失</t>
        </is>
      </c>
      <c r="C12" s="5" t="inlineStr">
        <is>
          <t>万吨</t>
        </is>
      </c>
      <c r="D12" s="11" t="inlineStr">
        <is>
          <t>2026-10-10周</t>
        </is>
      </c>
      <c r="E12" s="17" t="inlineStr">
        <is>
          <t>缺失</t>
        </is>
      </c>
      <c r="F12" s="15" t="inlineStr">
        <is>
          <t>缺失</t>
        </is>
      </c>
      <c r="G12" s="11" t="inlineStr">
        <is>
          <t>NA</t>
        </is>
      </c>
      <c r="H12" s="5" t="inlineStr">
        <is>
          <t>仅称“互相抵消”，无量值</t>
        </is>
      </c>
    </row>
    <row r="13">
      <c r="A13" s="4" t="inlineStr">
        <is>
          <t>2026年1-9月PP粒总产量</t>
        </is>
      </c>
      <c r="B13" s="12" t="n">
        <v>2703.99</v>
      </c>
      <c r="C13" s="5" t="inlineStr">
        <is>
          <t>万吨</t>
        </is>
      </c>
      <c r="D13" s="11" t="inlineStr">
        <is>
          <t>2026年1-9月</t>
        </is>
      </c>
      <c r="E13" s="28" t="n">
        <v>-0.07629999999999999</v>
      </c>
      <c r="F13" s="14" t="inlineStr">
        <is>
          <t>现实</t>
        </is>
      </c>
      <c r="G13" s="11" t="inlineStr">
        <is>
          <t>同比收缩</t>
        </is>
      </c>
      <c r="H13" s="5" t="inlineStr">
        <is>
          <t>同比-7.63%，因前期装置集中停车；这是“现实供给收缩”的最强证据</t>
        </is>
      </c>
    </row>
    <row r="14">
      <c r="A14" s="4" t="inlineStr">
        <is>
          <t>PP总产能(已投产)</t>
        </is>
      </c>
      <c r="B14" s="12" t="n">
        <v>4969.5</v>
      </c>
      <c r="C14" s="5" t="inlineStr">
        <is>
          <t>万吨/年</t>
        </is>
      </c>
      <c r="D14" s="11" t="inlineStr">
        <is>
          <t>2026-10</t>
        </is>
      </c>
      <c r="E14" s="17" t="inlineStr">
        <is>
          <t>缺失</t>
        </is>
      </c>
      <c r="F14" s="14" t="inlineStr">
        <is>
          <t>现实</t>
        </is>
      </c>
      <c r="G14" s="11" t="inlineStr">
        <is>
          <t>偏高</t>
        </is>
      </c>
      <c r="H14" s="5" t="inlineStr"/>
    </row>
    <row r="15">
      <c r="A15" s="4" t="inlineStr">
        <is>
          <t>年内后续计划新增产能</t>
        </is>
      </c>
      <c r="B15" s="12" t="n">
        <v>205</v>
      </c>
      <c r="C15" s="5" t="inlineStr">
        <is>
          <t>万吨/年</t>
        </is>
      </c>
      <c r="D15" s="11" t="inlineStr">
        <is>
          <t>2026Q4</t>
        </is>
      </c>
      <c r="E15" s="17" t="inlineStr">
        <is>
          <t>缺失</t>
        </is>
      </c>
      <c r="F15" s="27" t="inlineStr">
        <is>
          <t>预期</t>
        </is>
      </c>
      <c r="G15" s="11" t="inlineStr">
        <is>
          <t>供给增加</t>
        </is>
      </c>
      <c r="H15" s="5" t="inlineStr"/>
    </row>
    <row r="16">
      <c r="A16" s="4" t="inlineStr">
        <is>
          <t>2026全年计划新增产能</t>
        </is>
      </c>
      <c r="B16" s="12" t="n">
        <v>570</v>
      </c>
      <c r="C16" s="5" t="inlineStr">
        <is>
          <t>万吨/年</t>
        </is>
      </c>
      <c r="D16" s="11" t="inlineStr">
        <is>
          <t>2026</t>
        </is>
      </c>
      <c r="E16" s="28" t="n">
        <v>0.115</v>
      </c>
      <c r="F16" s="27" t="inlineStr">
        <is>
          <t>预期</t>
        </is>
      </c>
      <c r="G16" s="11" t="inlineStr">
        <is>
          <t>供给增加</t>
        </is>
      </c>
      <c r="H16" s="5" t="inlineStr">
        <is>
          <t>+11.5%，多数集中于下半年</t>
        </is>
      </c>
    </row>
    <row r="17">
      <c r="A17" s="4" t="inlineStr">
        <is>
          <t>Q4 PP+PE拟投产合计</t>
        </is>
      </c>
      <c r="B17" s="12" t="n">
        <v>800</v>
      </c>
      <c r="C17" s="5" t="inlineStr">
        <is>
          <t>万吨/年</t>
        </is>
      </c>
      <c r="D17" s="11" t="inlineStr">
        <is>
          <t>2026Q4</t>
        </is>
      </c>
      <c r="E17" s="17" t="inlineStr">
        <is>
          <t>缺失</t>
        </is>
      </c>
      <c r="F17" s="27" t="inlineStr">
        <is>
          <t>预期</t>
        </is>
      </c>
      <c r="G17" s="11" t="inlineStr">
        <is>
          <t>供给增加</t>
        </is>
      </c>
      <c r="H17" s="5" t="inlineStr">
        <is>
          <t>PP+PE合计，PP单列未取得</t>
        </is>
      </c>
    </row>
    <row r="18">
      <c r="A18" s="4" t="inlineStr">
        <is>
          <t>进口到港量</t>
        </is>
      </c>
      <c r="B18" s="16" t="inlineStr">
        <is>
          <t>缺失</t>
        </is>
      </c>
      <c r="C18" s="5" t="inlineStr">
        <is>
          <t>万吨</t>
        </is>
      </c>
      <c r="D18" s="11" t="inlineStr">
        <is>
          <t>2026-10</t>
        </is>
      </c>
      <c r="E18" s="17" t="inlineStr">
        <is>
          <t>缺失</t>
        </is>
      </c>
      <c r="F18" s="15" t="inlineStr">
        <is>
          <t>缺失</t>
        </is>
      </c>
      <c r="G18" s="11" t="inlineStr">
        <is>
          <t>NA</t>
        </is>
      </c>
      <c r="H18" s="5" t="inlineStr">
        <is>
          <t>仅定性“进口货源到港量有限/进口供应偏低”，无月度数</t>
        </is>
      </c>
    </row>
    <row r="19">
      <c r="A19" s="4" t="inlineStr">
        <is>
          <t>标品(拉丝)排产比例</t>
        </is>
      </c>
      <c r="B19" s="16" t="inlineStr">
        <is>
          <t>缺失</t>
        </is>
      </c>
      <c r="C19" s="5" t="inlineStr">
        <is>
          <t>%</t>
        </is>
      </c>
      <c r="D19" s="11" t="inlineStr">
        <is>
          <t>2026-10</t>
        </is>
      </c>
      <c r="E19" s="17" t="inlineStr">
        <is>
          <t>缺失</t>
        </is>
      </c>
      <c r="F19" s="15" t="inlineStr">
        <is>
          <t>缺失</t>
        </is>
      </c>
      <c r="G19" s="11" t="inlineStr">
        <is>
          <t>NA</t>
        </is>
      </c>
      <c r="H19" s="5" t="inlineStr"/>
    </row>
    <row r="21">
      <c r="A21" s="9" t="inlineStr">
        <is>
          <t>B. 现实需求</t>
        </is>
      </c>
    </row>
    <row r="22" ht="30" customHeight="1">
      <c r="A22" s="10" t="inlineStr">
        <is>
          <t>项目</t>
        </is>
      </c>
      <c r="B22" s="10" t="inlineStr">
        <is>
          <t>数值</t>
        </is>
      </c>
      <c r="C22" s="10" t="inlineStr">
        <is>
          <t>单位</t>
        </is>
      </c>
      <c r="D22" s="10" t="inlineStr">
        <is>
          <t>日期/周期</t>
        </is>
      </c>
      <c r="E22" s="10" t="inlineStr">
        <is>
          <t>变化</t>
        </is>
      </c>
      <c r="F22" s="10" t="inlineStr">
        <is>
          <t>类别</t>
        </is>
      </c>
      <c r="G22" s="10" t="inlineStr">
        <is>
          <t>方向</t>
        </is>
      </c>
      <c r="H22" s="10" t="inlineStr">
        <is>
          <t>备注</t>
        </is>
      </c>
    </row>
    <row r="23">
      <c r="A23" s="4" t="inlineStr">
        <is>
          <t>塑编开工率</t>
        </is>
      </c>
      <c r="B23" s="12" t="n">
        <v>40.18</v>
      </c>
      <c r="C23" s="5" t="inlineStr">
        <is>
          <t>%</t>
        </is>
      </c>
      <c r="D23" s="11" t="inlineStr">
        <is>
          <t>2026-10-08周</t>
        </is>
      </c>
      <c r="E23" s="29" t="inlineStr">
        <is>
          <t>缺失</t>
        </is>
      </c>
      <c r="F23" s="14" t="inlineStr">
        <is>
          <t>现实</t>
        </is>
      </c>
      <c r="G23" s="11" t="inlineStr">
        <is>
          <t>低位</t>
        </is>
      </c>
      <c r="H23" s="5" t="inlineStr">
        <is>
          <t>节前(约9/18)为40.56%，9/19当周环比-0.22pct；节后降至40.18%</t>
        </is>
      </c>
    </row>
    <row r="24">
      <c r="A24" s="4" t="inlineStr">
        <is>
          <t>BOPP开工率</t>
        </is>
      </c>
      <c r="B24" s="12" t="n">
        <v>24.37</v>
      </c>
      <c r="C24" s="5" t="inlineStr">
        <is>
          <t>%</t>
        </is>
      </c>
      <c r="D24" s="11" t="inlineStr">
        <is>
          <t>2026-10-08周</t>
        </is>
      </c>
      <c r="E24" s="29" t="inlineStr">
        <is>
          <t>缺失</t>
        </is>
      </c>
      <c r="F24" s="14" t="inlineStr">
        <is>
          <t>现实</t>
        </is>
      </c>
      <c r="G24" s="11" t="inlineStr">
        <is>
          <t>极低</t>
        </is>
      </c>
      <c r="H24" s="5" t="inlineStr"/>
    </row>
    <row r="25">
      <c r="A25" s="4" t="inlineStr">
        <is>
          <t>注塑开工率</t>
        </is>
      </c>
      <c r="B25" s="12" t="n">
        <v>30.66</v>
      </c>
      <c r="C25" s="5" t="inlineStr">
        <is>
          <t>%</t>
        </is>
      </c>
      <c r="D25" s="11" t="inlineStr">
        <is>
          <t>2026-10-08周</t>
        </is>
      </c>
      <c r="E25" s="29" t="inlineStr">
        <is>
          <t>缺失</t>
        </is>
      </c>
      <c r="F25" s="14" t="inlineStr">
        <is>
          <t>现实</t>
        </is>
      </c>
      <c r="G25" s="11" t="inlineStr">
        <is>
          <t>低位</t>
        </is>
      </c>
      <c r="H25" s="5" t="inlineStr"/>
    </row>
    <row r="26">
      <c r="A26" s="4" t="inlineStr">
        <is>
          <t>PP综合下游开工率</t>
        </is>
      </c>
      <c r="B26" s="12" t="n">
        <v>45.18</v>
      </c>
      <c r="C26" s="5" t="inlineStr">
        <is>
          <t>%</t>
        </is>
      </c>
      <c r="D26" s="11" t="inlineStr">
        <is>
          <t>2026-09-18当周</t>
        </is>
      </c>
      <c r="E26" s="26" t="n">
        <v>-0.71</v>
      </c>
      <c r="F26" s="14" t="inlineStr">
        <is>
          <t>现实</t>
        </is>
      </c>
      <c r="G26" s="11" t="inlineStr">
        <is>
          <t>回落</t>
        </is>
      </c>
      <c r="H26" s="5" t="inlineStr">
        <is>
          <t>9/19当周环比-0.71pct，同比偏低；节后未披露综合开工</t>
        </is>
      </c>
    </row>
    <row r="27">
      <c r="A27" s="4" t="inlineStr">
        <is>
          <t>下游平均开工(预测)</t>
        </is>
      </c>
      <c r="B27" s="12" t="n">
        <v>45</v>
      </c>
      <c r="C27" s="5" t="inlineStr">
        <is>
          <t>%</t>
        </is>
      </c>
      <c r="D27" s="11" t="inlineStr">
        <is>
          <t>2026-10-17当周(预测)</t>
        </is>
      </c>
      <c r="E27" s="29" t="inlineStr">
        <is>
          <t>缺失</t>
        </is>
      </c>
      <c r="F27" s="27" t="inlineStr">
        <is>
          <t>预期</t>
        </is>
      </c>
      <c r="G27" s="11" t="inlineStr">
        <is>
          <t>小幅回升</t>
        </is>
      </c>
      <c r="H27" s="5" t="inlineStr"/>
    </row>
    <row r="28">
      <c r="A28" s="4" t="inlineStr">
        <is>
          <t>终端订单/成品库存</t>
        </is>
      </c>
      <c r="B28" s="16" t="inlineStr">
        <is>
          <t>缺失</t>
        </is>
      </c>
      <c r="C28" s="17" t="inlineStr">
        <is>
          <t>缺失</t>
        </is>
      </c>
      <c r="D28" s="11" t="inlineStr">
        <is>
          <t>2026-10</t>
        </is>
      </c>
      <c r="E28" s="29" t="inlineStr">
        <is>
          <t>缺失</t>
        </is>
      </c>
      <c r="F28" s="15" t="inlineStr">
        <is>
          <t>缺失</t>
        </is>
      </c>
      <c r="G28" s="11" t="inlineStr">
        <is>
          <t>NA</t>
        </is>
      </c>
      <c r="H28" s="5" t="inlineStr">
        <is>
          <t>仅定性：终端订单不足、加工厂成品库存偏高、高价抵触、随用随采、投机补货少；无量值</t>
        </is>
      </c>
    </row>
    <row r="29">
      <c r="A29" s="4" t="inlineStr">
        <is>
          <t>下游单吨利润</t>
        </is>
      </c>
      <c r="B29" s="16" t="inlineStr">
        <is>
          <t>缺失</t>
        </is>
      </c>
      <c r="C29" s="5" t="inlineStr">
        <is>
          <t>元/吨</t>
        </is>
      </c>
      <c r="D29" s="11" t="inlineStr">
        <is>
          <t>2026-10</t>
        </is>
      </c>
      <c r="E29" s="29" t="inlineStr">
        <is>
          <t>缺失</t>
        </is>
      </c>
      <c r="F29" s="15" t="inlineStr">
        <is>
          <t>缺失</t>
        </is>
      </c>
      <c r="G29" s="11" t="inlineStr">
        <is>
          <t>NA</t>
        </is>
      </c>
      <c r="H29" s="5" t="inlineStr">
        <is>
          <t>仅定性“工厂利润明显压缩”</t>
        </is>
      </c>
    </row>
    <row r="30">
      <c r="A30" s="4" t="inlineStr">
        <is>
          <t>PP出口量</t>
        </is>
      </c>
      <c r="B30" s="16" t="inlineStr">
        <is>
          <t>缺失</t>
        </is>
      </c>
      <c r="C30" s="5" t="inlineStr">
        <is>
          <t>万吨</t>
        </is>
      </c>
      <c r="D30" s="11" t="inlineStr">
        <is>
          <t>2026-09</t>
        </is>
      </c>
      <c r="E30" s="29" t="inlineStr">
        <is>
          <t>缺失</t>
        </is>
      </c>
      <c r="F30" s="15" t="inlineStr">
        <is>
          <t>缺失</t>
        </is>
      </c>
      <c r="G30" s="11" t="inlineStr">
        <is>
          <t>NA</t>
        </is>
      </c>
      <c r="H30" s="5" t="inlineStr">
        <is>
          <t>未取得月度出口数据</t>
        </is>
      </c>
    </row>
    <row r="31">
      <c r="A31" s="4" t="inlineStr">
        <is>
          <t>表观消费量</t>
        </is>
      </c>
      <c r="B31" s="16" t="inlineStr">
        <is>
          <t>缺失</t>
        </is>
      </c>
      <c r="C31" s="5" t="inlineStr">
        <is>
          <t>万吨</t>
        </is>
      </c>
      <c r="D31" s="11" t="inlineStr">
        <is>
          <t>2026-09</t>
        </is>
      </c>
      <c r="E31" s="29" t="inlineStr">
        <is>
          <t>缺失</t>
        </is>
      </c>
      <c r="F31" s="15" t="inlineStr">
        <is>
          <t>缺失</t>
        </is>
      </c>
      <c r="G31" s="11" t="inlineStr">
        <is>
          <t>NA</t>
        </is>
      </c>
      <c r="H31" s="5" t="inlineStr"/>
    </row>
    <row r="33">
      <c r="A33" s="9" t="inlineStr">
        <is>
          <t>C. 供需平衡表（不可闭合 → 显式标注）</t>
        </is>
      </c>
    </row>
    <row r="34" ht="30" customHeight="1">
      <c r="A34" s="10" t="inlineStr">
        <is>
          <t>分项</t>
        </is>
      </c>
      <c r="B34" s="10" t="inlineStr">
        <is>
          <t>2026年1-9月/当周</t>
        </is>
      </c>
      <c r="C34" s="10" t="inlineStr">
        <is>
          <t>单位</t>
        </is>
      </c>
      <c r="D34" s="10" t="inlineStr">
        <is>
          <t>状态</t>
        </is>
      </c>
      <c r="E34" s="10" t="inlineStr">
        <is>
          <t>说明</t>
        </is>
      </c>
      <c r="F34" s="10" t="inlineStr"/>
      <c r="G34" s="10" t="inlineStr"/>
      <c r="H34" s="10" t="inlineStr"/>
    </row>
    <row r="35">
      <c r="A35" s="4" t="inlineStr">
        <is>
          <t>产量(1-9月)</t>
        </is>
      </c>
      <c r="B35" s="12" t="n">
        <v>2703.99</v>
      </c>
      <c r="C35" s="11" t="inlineStr">
        <is>
          <t>万吨</t>
        </is>
      </c>
      <c r="D35" s="14" t="inlineStr">
        <is>
          <t>已取得</t>
        </is>
      </c>
      <c r="E35" s="5" t="inlineStr">
        <is>
          <t>同比-7.63%，主因装置集中停车</t>
        </is>
      </c>
    </row>
    <row r="36">
      <c r="A36" s="4" t="inlineStr">
        <is>
          <t>进口量</t>
        </is>
      </c>
      <c r="B36" s="16" t="inlineStr">
        <is>
          <t>缺失</t>
        </is>
      </c>
      <c r="C36" s="11" t="inlineStr">
        <is>
          <t>万吨</t>
        </is>
      </c>
      <c r="D36" s="15" t="inlineStr">
        <is>
          <t>缺失</t>
        </is>
      </c>
      <c r="E36" s="5" t="inlineStr">
        <is>
          <t>仅有“到港有限”定性，无月度数据</t>
        </is>
      </c>
    </row>
    <row r="37">
      <c r="A37" s="4" t="inlineStr">
        <is>
          <t>出口量</t>
        </is>
      </c>
      <c r="B37" s="16" t="inlineStr">
        <is>
          <t>缺失</t>
        </is>
      </c>
      <c r="C37" s="11" t="inlineStr">
        <is>
          <t>万吨</t>
        </is>
      </c>
      <c r="D37" s="15" t="inlineStr">
        <is>
          <t>缺失</t>
        </is>
      </c>
      <c r="E37" s="5" t="inlineStr">
        <is>
          <t>未取得</t>
        </is>
      </c>
    </row>
    <row r="38">
      <c r="A38" s="4" t="inlineStr">
        <is>
          <t>表观消费量</t>
        </is>
      </c>
      <c r="B38" s="16" t="inlineStr">
        <is>
          <t>缺失</t>
        </is>
      </c>
      <c r="C38" s="11" t="inlineStr">
        <is>
          <t>万吨</t>
        </is>
      </c>
      <c r="D38" s="15" t="inlineStr">
        <is>
          <t>缺失</t>
        </is>
      </c>
      <c r="E38" s="5" t="inlineStr">
        <is>
          <t>缺进出口，无法按产量±净进口测算</t>
        </is>
      </c>
    </row>
    <row r="39">
      <c r="A39" s="4" t="inlineStr">
        <is>
          <t>期末商业库存</t>
        </is>
      </c>
      <c r="B39" s="12" t="n">
        <v>68.78</v>
      </c>
      <c r="C39" s="11" t="inlineStr">
        <is>
          <t>万吨</t>
        </is>
      </c>
      <c r="D39" s="14" t="inlineStr">
        <is>
          <t>已取得</t>
        </is>
      </c>
      <c r="E39" s="5" t="inlineStr">
        <is>
          <t>10/08，+21.59万吨</t>
        </is>
      </c>
    </row>
    <row r="40">
      <c r="A40" s="4" t="inlineStr">
        <is>
          <t>检修损失量</t>
        </is>
      </c>
      <c r="B40" s="16" t="inlineStr">
        <is>
          <t>缺失</t>
        </is>
      </c>
      <c r="C40" s="11" t="inlineStr">
        <is>
          <t>万吨/周</t>
        </is>
      </c>
      <c r="D40" s="15" t="inlineStr">
        <is>
          <t>缺失</t>
        </is>
      </c>
      <c r="E40" s="5" t="inlineStr">
        <is>
          <t>仅“互相抵消”定性</t>
        </is>
      </c>
    </row>
    <row r="41">
      <c r="A41" s="22" t="inlineStr">
        <is>
          <t>结论：由于进口/出口/消费三项缺失，供需平衡表无法闭合，因此本报告不得以“表观缺口”论证涨势，只能就单项指标做方向判断。</t>
        </is>
      </c>
      <c r="B41" s="7" t="n"/>
      <c r="C41" s="7" t="n"/>
      <c r="D41" s="7" t="n"/>
      <c r="E41" s="7" t="n"/>
      <c r="F41" s="7" t="n"/>
      <c r="G41" s="7" t="n"/>
      <c r="H41" s="8" t="n"/>
    </row>
  </sheetData>
  <mergeCells count="3">
    <mergeCell ref="A41:H41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5C9A"/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9" customWidth="1" min="3" max="3"/>
    <col width="12" customWidth="1" min="4" max="4"/>
    <col width="11" customWidth="1" min="5" max="5"/>
    <col width="12" customWidth="1" min="6" max="6"/>
    <col width="11" customWidth="1" min="7" max="7"/>
    <col width="12" customWidth="1" min="8" max="8"/>
    <col width="48" customWidth="1" min="9" max="9"/>
  </cols>
  <sheetData>
    <row r="1" ht="30" customHeight="1">
      <c r="A1" s="1" t="inlineStr">
        <is>
          <t>04 · 库存与贸易</t>
        </is>
      </c>
    </row>
    <row r="2" ht="24" customHeight="1">
      <c r="A2" s="2" t="inlineStr">
        <is>
          <t>库存水平、变化速度、历史位置</t>
        </is>
      </c>
    </row>
    <row r="4" ht="30" customHeight="1">
      <c r="A4" s="10" t="inlineStr">
        <is>
          <t>项目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日期</t>
        </is>
      </c>
      <c r="E4" s="10" t="inlineStr">
        <is>
          <t>上期</t>
        </is>
      </c>
      <c r="F4" s="10" t="inlineStr">
        <is>
          <t>变化</t>
        </is>
      </c>
      <c r="G4" s="10" t="inlineStr">
        <is>
          <t>变化%</t>
        </is>
      </c>
      <c r="H4" s="10" t="inlineStr">
        <is>
          <t>历史分位</t>
        </is>
      </c>
      <c r="I4" s="10" t="inlineStr">
        <is>
          <t>说明</t>
        </is>
      </c>
    </row>
    <row r="5">
      <c r="A5" s="4" t="inlineStr">
        <is>
          <t>中国PP商业库存总量</t>
        </is>
      </c>
      <c r="B5" s="12" t="n">
        <v>68.78</v>
      </c>
      <c r="C5" s="11" t="inlineStr">
        <is>
          <t>万吨</t>
        </is>
      </c>
      <c r="D5" s="11" t="inlineStr">
        <is>
          <t>2026-10-08</t>
        </is>
      </c>
      <c r="E5" s="12" t="n">
        <v>47.19</v>
      </c>
      <c r="F5" s="30" t="n">
        <v>21.59</v>
      </c>
      <c r="G5" s="28" t="n">
        <v>45.77</v>
      </c>
      <c r="H5" s="31" t="inlineStr">
        <is>
          <t>缺失</t>
        </is>
      </c>
      <c r="I5" s="5" t="inlineStr">
        <is>
          <t>节日期间上游停开单、交投停滞导致大幅累积；贸易商样本涨幅低于往年</t>
        </is>
      </c>
    </row>
    <row r="6">
      <c r="A6" s="4" t="inlineStr">
        <is>
          <t>期现结合库存/两油库存</t>
        </is>
      </c>
      <c r="B6" s="16" t="inlineStr">
        <is>
          <t>缺失</t>
        </is>
      </c>
      <c r="C6" s="11" t="inlineStr">
        <is>
          <t>万吨</t>
        </is>
      </c>
      <c r="D6" s="32" t="inlineStr">
        <is>
          <t>缺失</t>
        </is>
      </c>
      <c r="E6" s="16" t="inlineStr">
        <is>
          <t>缺失</t>
        </is>
      </c>
      <c r="F6" s="29" t="inlineStr">
        <is>
          <t>缺失</t>
        </is>
      </c>
      <c r="G6" s="33" t="inlineStr">
        <is>
          <t>缺失</t>
        </is>
      </c>
      <c r="H6" s="31" t="inlineStr">
        <is>
          <t>缺失</t>
        </is>
      </c>
      <c r="I6" s="5" t="inlineStr">
        <is>
          <t>石化(两油)库存绝对量与同比、港口库存、贸易商库存分项未在可用来源披露</t>
        </is>
      </c>
    </row>
    <row r="7">
      <c r="A7" s="4" t="inlineStr">
        <is>
          <t>库存历史分位</t>
        </is>
      </c>
      <c r="B7" s="16" t="inlineStr">
        <is>
          <t>缺失</t>
        </is>
      </c>
      <c r="C7" s="11" t="inlineStr">
        <is>
          <t>%</t>
        </is>
      </c>
      <c r="D7" s="32" t="inlineStr">
        <is>
          <t>缺失</t>
        </is>
      </c>
      <c r="E7" s="16" t="inlineStr">
        <is>
          <t>缺失</t>
        </is>
      </c>
      <c r="F7" s="29" t="inlineStr">
        <is>
          <t>缺失</t>
        </is>
      </c>
      <c r="G7" s="33" t="inlineStr">
        <is>
          <t>缺失</t>
        </is>
      </c>
      <c r="H7" s="31" t="inlineStr">
        <is>
          <t>缺失</t>
        </is>
      </c>
      <c r="I7" s="5" t="inlineStr">
        <is>
          <t>缺少可比历史序列(2021-2026周度)，无法计算分位；定性表述存在“库存低位/同比低于去年”与“商业库存大幅累积”并存</t>
        </is>
      </c>
    </row>
    <row r="9" ht="40" customHeight="1">
      <c r="A9" s="4" t="inlineStr">
        <is>
          <t>判定提示</t>
        </is>
      </c>
      <c r="B9" s="22" t="inlineStr">
        <is>
          <t>库存在价格上涨窗口同期 +45.77%，与涨势方向背离；但含假期停开单造成的机械性累库，必须以待节后 2–3 周的去化速率判断，单周数据不足以定义供需方向。</t>
        </is>
      </c>
      <c r="C9" s="7" t="n"/>
      <c r="D9" s="7" t="n"/>
      <c r="E9" s="7" t="n"/>
      <c r="F9" s="7" t="n"/>
      <c r="G9" s="7" t="n"/>
      <c r="H9" s="7" t="n"/>
      <c r="I9" s="8" t="n"/>
    </row>
  </sheetData>
  <mergeCells count="3">
    <mergeCell ref="A1:I1"/>
    <mergeCell ref="B9:I9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5C9A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2" customWidth="1" min="4" max="4"/>
    <col width="12" customWidth="1" min="5" max="5"/>
    <col width="11" customWidth="1" min="6" max="6"/>
    <col width="26" customWidth="1" min="7" max="7"/>
    <col width="46" customWidth="1" min="8" max="8"/>
  </cols>
  <sheetData>
    <row r="1" ht="30" customHeight="1">
      <c r="A1" s="1" t="inlineStr">
        <is>
          <t>05 · 上游成本与产业链加工价差</t>
        </is>
      </c>
    </row>
    <row r="2" ht="24" customHeight="1">
      <c r="A2" s="2" t="inlineStr">
        <is>
          <t>原油/丙烷/丙烯/各路线成本/加工价差；机构推算口径需注明</t>
        </is>
      </c>
    </row>
    <row r="4" ht="30" customHeight="1">
      <c r="A4" s="10" t="inlineStr">
        <is>
          <t>项目</t>
        </is>
      </c>
      <c r="B4" s="10" t="inlineStr">
        <is>
          <t>现值</t>
        </is>
      </c>
      <c r="C4" s="10" t="inlineStr">
        <is>
          <t>单位</t>
        </is>
      </c>
      <c r="D4" s="10" t="inlineStr">
        <is>
          <t>日期</t>
        </is>
      </c>
      <c r="E4" s="10" t="inlineStr">
        <is>
          <t>基期值</t>
        </is>
      </c>
      <c r="F4" s="10" t="inlineStr">
        <is>
          <t>变化%</t>
        </is>
      </c>
      <c r="G4" s="10" t="inlineStr">
        <is>
          <t>口径/来源</t>
        </is>
      </c>
      <c r="H4" s="10" t="inlineStr">
        <is>
          <t>备注</t>
        </is>
      </c>
    </row>
    <row r="5">
      <c r="A5" s="4" t="inlineStr">
        <is>
          <t>WTI原油</t>
        </is>
      </c>
      <c r="B5" s="12" t="n">
        <v>101.41</v>
      </c>
      <c r="C5" s="11" t="inlineStr">
        <is>
          <t>美元/桶</t>
        </is>
      </c>
      <c r="D5" s="11" t="inlineStr">
        <is>
          <t>2026-10-19</t>
        </is>
      </c>
      <c r="E5" s="12" t="n">
        <v>89.38</v>
      </c>
      <c r="F5" s="34" t="n">
        <v>9.199999999999999</v>
      </c>
      <c r="G5" s="5" t="inlineStr">
        <is>
          <t>S09</t>
        </is>
      </c>
      <c r="H5" s="5" t="inlineStr">
        <is>
          <t>源文以10/1为基(+9.2%)；10/19 vs 10/1 实算+13.46%（源文9.2%可能为口径/四舍五入差异）</t>
        </is>
      </c>
    </row>
    <row r="6">
      <c r="A6" s="4" t="inlineStr">
        <is>
          <t>Brent原油</t>
        </is>
      </c>
      <c r="B6" s="12" t="n">
        <v>109.86</v>
      </c>
      <c r="C6" s="11" t="inlineStr">
        <is>
          <t>美元/桶</t>
        </is>
      </c>
      <c r="D6" s="11" t="inlineStr">
        <is>
          <t>2026-10-19</t>
        </is>
      </c>
      <c r="E6" s="12" t="n">
        <v>102.31</v>
      </c>
      <c r="F6" s="34" t="n">
        <v>7.38</v>
      </c>
      <c r="G6" s="5" t="inlineStr">
        <is>
          <t>S09</t>
        </is>
      </c>
      <c r="H6" s="5" t="inlineStr"/>
    </row>
    <row r="7">
      <c r="A7" s="4" t="inlineStr">
        <is>
          <t>WTI(节后首日)</t>
        </is>
      </c>
      <c r="B7" s="12" t="n">
        <v>88.28</v>
      </c>
      <c r="C7" s="11" t="inlineStr">
        <is>
          <t>美元/桶</t>
        </is>
      </c>
      <c r="D7" s="11" t="inlineStr">
        <is>
          <t>2026-10-08</t>
        </is>
      </c>
      <c r="E7" s="12" t="n">
        <v>89.38</v>
      </c>
      <c r="F7" s="35" t="n">
        <v>-4.94</v>
      </c>
      <c r="G7" s="5" t="inlineStr">
        <is>
          <t>S09</t>
        </is>
      </c>
      <c r="H7" s="5" t="inlineStr">
        <is>
          <t>★关键背离：PP期货+7.08%当天，WTI当日-1.23%（源文口径-4.94%，疑用盘中/不同基期）</t>
        </is>
      </c>
    </row>
    <row r="8">
      <c r="A8" s="4" t="inlineStr">
        <is>
          <t>丙烯(山东/华东现货)</t>
        </is>
      </c>
      <c r="B8" s="12" t="n">
        <v>10075</v>
      </c>
      <c r="C8" s="11" t="inlineStr">
        <is>
          <t>元/吨</t>
        </is>
      </c>
      <c r="D8" s="11" t="inlineStr">
        <is>
          <t>2026-10-08</t>
        </is>
      </c>
      <c r="E8" s="12" t="n">
        <v>9740</v>
      </c>
      <c r="F8" s="34" t="n">
        <v>3.44</v>
      </c>
      <c r="G8" s="5" t="inlineStr">
        <is>
          <t>S06</t>
        </is>
      </c>
      <c r="H8" s="5" t="inlineStr">
        <is>
          <t>山东10/8 10075(+335,+3.44%)，华东10025(+225)；基期数值由涨幅反推，标注为推算</t>
        </is>
      </c>
    </row>
    <row r="9">
      <c r="A9" s="4" t="inlineStr">
        <is>
          <t>丙烯参考价(生意社)</t>
        </is>
      </c>
      <c r="B9" s="12" t="n">
        <v>10534.33</v>
      </c>
      <c r="C9" s="11" t="inlineStr">
        <is>
          <t>元/吨</t>
        </is>
      </c>
      <c r="D9" s="11" t="inlineStr">
        <is>
          <t>2026-10-19</t>
        </is>
      </c>
      <c r="E9" s="12" t="n">
        <v>9707.67</v>
      </c>
      <c r="F9" s="34" t="n">
        <v>8.52</v>
      </c>
      <c r="G9" s="5" t="inlineStr">
        <is>
          <t>S08</t>
        </is>
      </c>
      <c r="H9" s="5" t="inlineStr">
        <is>
          <t>10/12见高点10751后回落-2.02%</t>
        </is>
      </c>
    </row>
    <row r="10">
      <c r="A10" s="4" t="inlineStr">
        <is>
          <t>进口丙烷CFR华南</t>
        </is>
      </c>
      <c r="B10" s="12" t="n">
        <v>1018</v>
      </c>
      <c r="C10" s="11" t="inlineStr">
        <is>
          <t>美元/吨</t>
        </is>
      </c>
      <c r="D10" s="11" t="inlineStr">
        <is>
          <t>2026-10-10</t>
        </is>
      </c>
      <c r="E10" s="12" t="n">
        <v>932</v>
      </c>
      <c r="F10" s="34" t="n">
        <v>9.23</v>
      </c>
      <c r="G10" s="5" t="inlineStr">
        <is>
          <t>S01</t>
        </is>
      </c>
      <c r="H10" s="5" t="inlineStr">
        <is>
          <t>节后两天连涨，PDH成本支撑关键变量</t>
        </is>
      </c>
    </row>
    <row r="11">
      <c r="A11" s="4" t="inlineStr">
        <is>
          <t>PDH制丙烯成本</t>
        </is>
      </c>
      <c r="B11" s="12" t="n">
        <v>8595</v>
      </c>
      <c r="C11" s="11" t="inlineStr">
        <is>
          <t>元/吨</t>
        </is>
      </c>
      <c r="D11" s="11" t="inlineStr">
        <is>
          <t>2026-10-08</t>
        </is>
      </c>
      <c r="E11" s="12" t="n">
        <v>8494</v>
      </c>
      <c r="F11" s="34" t="n">
        <v>1.19</v>
      </c>
      <c r="G11" s="5" t="inlineStr">
        <is>
          <t>S06</t>
        </is>
      </c>
      <c r="H11" s="5" t="inlineStr">
        <is>
          <t>基期由涨幅反推(+101,+1.19%)</t>
        </is>
      </c>
    </row>
    <row r="12">
      <c r="A12" s="4" t="inlineStr">
        <is>
          <t>石脑油制丙烯成本</t>
        </is>
      </c>
      <c r="B12" s="12" t="n">
        <v>8857</v>
      </c>
      <c r="C12" s="11" t="inlineStr">
        <is>
          <t>元/吨</t>
        </is>
      </c>
      <c r="D12" s="11" t="inlineStr">
        <is>
          <t>2026-10-08</t>
        </is>
      </c>
      <c r="E12" s="12" t="n">
        <v>8960</v>
      </c>
      <c r="F12" s="35" t="n">
        <v>-1.15</v>
      </c>
      <c r="G12" s="5" t="inlineStr">
        <is>
          <t>S06</t>
        </is>
      </c>
      <c r="H12" s="5" t="inlineStr">
        <is>
          <t>★背离：石脑油路线成本反而下降；基期由涨幅反推</t>
        </is>
      </c>
    </row>
    <row r="13">
      <c r="A13" s="4" t="inlineStr">
        <is>
          <t>MTO制丙烯成本</t>
        </is>
      </c>
      <c r="B13" s="12" t="n">
        <v>13146</v>
      </c>
      <c r="C13" s="11" t="inlineStr">
        <is>
          <t>元/吨</t>
        </is>
      </c>
      <c r="D13" s="11" t="inlineStr">
        <is>
          <t>2026-10-08</t>
        </is>
      </c>
      <c r="E13" s="12" t="n">
        <v>12011</v>
      </c>
      <c r="F13" s="34" t="n">
        <v>9.449999999999999</v>
      </c>
      <c r="G13" s="5" t="inlineStr">
        <is>
          <t>S06</t>
        </is>
      </c>
      <c r="H13" s="5" t="inlineStr">
        <is>
          <t>成本远高于丙烯现货(10075)，MTO工艺为负利润；基期由涨幅反推</t>
        </is>
      </c>
    </row>
    <row r="14">
      <c r="A14" s="4" t="inlineStr">
        <is>
          <t>PP-PDH丙烯加工价差</t>
        </is>
      </c>
      <c r="B14" s="12" t="n">
        <v>1971.67</v>
      </c>
      <c r="C14" s="11" t="inlineStr">
        <is>
          <t>元/吨</t>
        </is>
      </c>
      <c r="D14" s="11" t="inlineStr">
        <is>
          <t>2026-10-12</t>
        </is>
      </c>
      <c r="E14" s="12" t="n">
        <v>1439.33</v>
      </c>
      <c r="F14" s="36" t="inlineStr">
        <is>
          <t>缺失</t>
        </is>
      </c>
      <c r="G14" s="5" t="inlineStr">
        <is>
          <t>模型计算(S07+S06)</t>
        </is>
      </c>
      <c r="H14" s="5">
        <f>PP拉丝参考价-PDH丙烯成本 ≈1971.7(10/12) vs ≈1439.3(9/30)，走阔约532元/吨</f>
        <v/>
      </c>
    </row>
    <row r="15">
      <c r="A15" s="4" t="inlineStr">
        <is>
          <t>PP-丙烯加工价差(直接原料口径)</t>
        </is>
      </c>
      <c r="B15" s="12" t="n">
        <v>222.34</v>
      </c>
      <c r="C15" s="11" t="inlineStr">
        <is>
          <t>元/吨</t>
        </is>
      </c>
      <c r="D15" s="11" t="inlineStr">
        <is>
          <t>2026-10-19</t>
        </is>
      </c>
      <c r="E15" s="12" t="n">
        <v>225.66</v>
      </c>
      <c r="F15" s="35" t="n">
        <v>-1.47</v>
      </c>
      <c r="G15" s="5" t="inlineStr">
        <is>
          <t>模型计算(S07+S08)</t>
        </is>
      </c>
      <c r="H15" s="5">
        <f>10756.67-10534.33 vs 9933.33-9707.67；价差几乎不动，说明10月上涨完全是原料丙烯驱动的对等传导，PP自身加工利润未扩张</f>
        <v/>
      </c>
    </row>
    <row r="16">
      <c r="A16" s="4" t="inlineStr">
        <is>
          <t>PP石脑油路线一体化估算毛利</t>
        </is>
      </c>
      <c r="B16" s="16" t="inlineStr">
        <is>
          <t>缺失</t>
        </is>
      </c>
      <c r="C16" s="11" t="inlineStr">
        <is>
          <t>元/吨</t>
        </is>
      </c>
      <c r="D16" s="11" t="inlineStr">
        <is>
          <t>2026-10</t>
        </is>
      </c>
      <c r="E16" s="16" t="inlineStr">
        <is>
          <t>缺失</t>
        </is>
      </c>
      <c r="F16" s="36" t="inlineStr">
        <is>
          <t>缺失</t>
        </is>
      </c>
      <c r="G16" s="17" t="inlineStr">
        <is>
          <t>缺失</t>
        </is>
      </c>
      <c r="H16" s="5" t="inlineStr">
        <is>
          <t>缺石脑油CFR价格、加工费与收率口径，未做测算（不估算填充）</t>
        </is>
      </c>
    </row>
    <row r="17">
      <c r="A17" s="4" t="inlineStr">
        <is>
          <t>PDH行业利润(绝对亏损)</t>
        </is>
      </c>
      <c r="B17" s="12" t="n">
        <v>-1400</v>
      </c>
      <c r="C17" s="11" t="inlineStr">
        <is>
          <t>元/吨</t>
        </is>
      </c>
      <c r="D17" s="11" t="inlineStr">
        <is>
          <t>2026年初</t>
        </is>
      </c>
      <c r="E17" s="16" t="inlineStr">
        <is>
          <t>缺失</t>
        </is>
      </c>
      <c r="F17" s="36" t="inlineStr">
        <is>
          <t>缺失</t>
        </is>
      </c>
      <c r="G17" s="5" t="inlineStr">
        <is>
          <t>S17</t>
        </is>
      </c>
      <c r="H17" s="5" t="inlineStr">
        <is>
          <t>2026年1月口径，非10月数值</t>
        </is>
      </c>
    </row>
    <row r="18">
      <c r="A18" s="4" t="inlineStr">
        <is>
          <t>PP粉料利润</t>
        </is>
      </c>
      <c r="B18" s="12" t="n">
        <v>-270</v>
      </c>
      <c r="C18" s="11" t="inlineStr">
        <is>
          <t>元/吨</t>
        </is>
      </c>
      <c r="D18" s="11" t="inlineStr">
        <is>
          <t>2026-10-05~12周</t>
        </is>
      </c>
      <c r="E18" s="16" t="inlineStr">
        <is>
          <t>缺失</t>
        </is>
      </c>
      <c r="F18" s="36" t="inlineStr">
        <is>
          <t>缺失</t>
        </is>
      </c>
      <c r="G18" s="5" t="inlineStr">
        <is>
          <t>S01/S17综合（如引用需核）</t>
        </is>
      </c>
      <c r="H18" s="5" t="inlineStr">
        <is>
          <t>检索到“PP粉利润亏损加深至-270元/吨”，来源为第三方周度分析，未能完整核验原文，标注为待核</t>
        </is>
      </c>
    </row>
    <row r="20" ht="42" customHeight="1">
      <c r="A20" s="4" t="inlineStr">
        <is>
          <t>★关键判读</t>
        </is>
      </c>
      <c r="B20" s="22" t="inlineStr">
        <is>
          <t>PP涨8.29% vs 丙烯涨8.52% → PP−丙烯加工价差几乎持平（225.66→222.34）。这是成本传导的标志：PP自身供需未创造额外溢价。若为现实紧缺驱动，加工价差应扩张。</t>
        </is>
      </c>
      <c r="C20" s="7" t="n"/>
      <c r="D20" s="7" t="n"/>
      <c r="E20" s="7" t="n"/>
      <c r="F20" s="7" t="n"/>
      <c r="G20" s="7" t="n"/>
      <c r="H20" s="8" t="n"/>
    </row>
  </sheetData>
  <mergeCells count="3">
    <mergeCell ref="B20:H20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5C9A"/>
    <outlinePr summaryBelow="1" summaryRight="1"/>
    <pageSetUpPr/>
  </sheetPr>
  <dimension ref="A1:J52"/>
  <sheetViews>
    <sheetView workbookViewId="0">
      <pane ySplit="46" topLeftCell="A47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6" customWidth="1" min="7" max="7"/>
    <col width="13" customWidth="1" min="8" max="8"/>
    <col width="10" customWidth="1" min="9" max="9"/>
    <col width="56" customWidth="1" min="10" max="10"/>
  </cols>
  <sheetData>
    <row r="1" ht="30" customHeight="1">
      <c r="A1" s="1" t="inlineStr">
        <is>
          <t>06 · 证据分类与一致性判定</t>
        </is>
      </c>
    </row>
    <row r="2" ht="24" customHeight="1">
      <c r="A2" s="2" t="inlineStr">
        <is>
          <t>四条主轴 × 支撑/背离/数据不足；本表为核心输出</t>
        </is>
      </c>
    </row>
    <row r="4" ht="30" customHeight="1">
      <c r="A4" s="10" t="inlineStr">
        <is>
          <t>编号</t>
        </is>
      </c>
      <c r="B4" s="10" t="inlineStr">
        <is>
          <t>主轴</t>
        </is>
      </c>
      <c r="C4" s="10" t="inlineStr">
        <is>
          <t>指标名称</t>
        </is>
      </c>
      <c r="D4" s="10" t="inlineStr">
        <is>
          <t>观测期</t>
        </is>
      </c>
      <c r="E4" s="10" t="inlineStr">
        <is>
          <t>同期变化(实测)</t>
        </is>
      </c>
      <c r="F4" s="10" t="inlineStr">
        <is>
          <t>历史位置</t>
        </is>
      </c>
      <c r="G4" s="10" t="inlineStr">
        <is>
          <t>与价格关系</t>
        </is>
      </c>
      <c r="H4" s="10" t="inlineStr">
        <is>
          <t>证据状态</t>
        </is>
      </c>
      <c r="I4" s="10" t="inlineStr">
        <is>
          <t>证据等级</t>
        </is>
      </c>
      <c r="J4" s="10" t="inlineStr">
        <is>
          <t>解读</t>
        </is>
      </c>
    </row>
    <row r="5">
      <c r="A5" s="37" t="inlineStr">
        <is>
          <t>P1</t>
        </is>
      </c>
      <c r="B5" s="11" t="inlineStr">
        <is>
          <t>价格</t>
        </is>
      </c>
      <c r="C5" s="4" t="inlineStr">
        <is>
          <t>PP拉丝现货(生意社参考价)</t>
        </is>
      </c>
      <c r="D5" s="11" t="inlineStr">
        <is>
          <t>10/1→10/19</t>
        </is>
      </c>
      <c r="E5" s="5" t="inlineStr">
        <is>
          <t>+8.29% (9933.33→10756.67)</t>
        </is>
      </c>
      <c r="F5" s="5" t="inlineStr">
        <is>
          <t>月内+8.29%；较9/1+12.7%；较7/1+35.4%</t>
        </is>
      </c>
      <c r="G5" s="11" t="inlineStr">
        <is>
          <t>锚定</t>
        </is>
      </c>
      <c r="H5" s="27" t="inlineStr">
        <is>
          <t>基准</t>
        </is>
      </c>
      <c r="I5" s="11" t="inlineStr">
        <is>
          <t>A</t>
        </is>
      </c>
      <c r="J5" s="5" t="inlineStr">
        <is>
          <t>现货同步上涨且幅度可观，非单纯期货事件；已核验为原始参考价。</t>
        </is>
      </c>
    </row>
    <row r="6">
      <c r="A6" s="37" t="inlineStr">
        <is>
          <t>P2</t>
        </is>
      </c>
      <c r="B6" s="11" t="inlineStr">
        <is>
          <t>价格</t>
        </is>
      </c>
      <c r="C6" s="4" t="inlineStr">
        <is>
          <t>PP纤维现货</t>
        </is>
      </c>
      <c r="D6" s="11" t="inlineStr">
        <is>
          <t>10/1→10/19</t>
        </is>
      </c>
      <c r="E6" s="5" t="inlineStr">
        <is>
          <t>+7.38% (10162.50→10912.50)</t>
        </is>
      </c>
      <c r="F6" s="5" t="inlineStr">
        <is>
          <t>较9/1+16.7%</t>
        </is>
      </c>
      <c r="G6" s="11" t="inlineStr">
        <is>
          <t>支撑</t>
        </is>
      </c>
      <c r="H6" s="14" t="inlineStr">
        <is>
          <t>支撑上涨</t>
        </is>
      </c>
      <c r="I6" s="11" t="inlineStr">
        <is>
          <t>A</t>
        </is>
      </c>
      <c r="J6" s="5" t="inlineStr">
        <is>
          <t>纤维料同步跟涨，说明并非单一牌号的结构性缺货。</t>
        </is>
      </c>
    </row>
    <row r="7">
      <c r="A7" s="37" t="inlineStr">
        <is>
          <t>P3</t>
        </is>
      </c>
      <c r="B7" s="11" t="inlineStr">
        <is>
          <t>价格</t>
        </is>
      </c>
      <c r="C7" s="4" t="inlineStr">
        <is>
          <t>全国PP日均价(隆众)</t>
        </is>
      </c>
      <c r="D7" s="11" t="inlineStr">
        <is>
          <t>10/15→10/16</t>
        </is>
      </c>
      <c r="E7" s="5" t="inlineStr">
        <is>
          <t>-0.31% (10862.32→10828.76)</t>
        </is>
      </c>
      <c r="F7" s="5" t="inlineStr">
        <is>
          <t>高点区域小幅回落</t>
        </is>
      </c>
      <c r="G7" s="11" t="inlineStr">
        <is>
          <t>背离(幅度小)</t>
        </is>
      </c>
      <c r="H7" s="38" t="inlineStr">
        <is>
          <t>背离</t>
        </is>
      </c>
      <c r="I7" s="11" t="inlineStr">
        <is>
          <t>A</t>
        </is>
      </c>
      <c r="J7" s="5" t="inlineStr">
        <is>
          <t>全国口径连续两日小幅回落，价格已进入高位横盘/回落区间，涨势斜率放缓。</t>
        </is>
      </c>
    </row>
    <row r="8">
      <c r="A8" s="37" t="inlineStr">
        <is>
          <t>P4</t>
        </is>
      </c>
      <c r="B8" s="11" t="inlineStr">
        <is>
          <t>价格</t>
        </is>
      </c>
      <c r="C8" s="4" t="inlineStr">
        <is>
          <t>PP期货主力</t>
        </is>
      </c>
      <c r="D8" s="11" t="inlineStr">
        <is>
          <t>9/30→10/8</t>
        </is>
      </c>
      <c r="E8" s="5" t="inlineStr">
        <is>
          <t>+7.08% (+611, 9242元/吨)</t>
        </is>
      </c>
      <c r="F8" s="5" t="inlineStr">
        <is>
          <t>单日涨幅为板块级异动</t>
        </is>
      </c>
      <c r="G8" s="11" t="inlineStr">
        <is>
          <t>过冲</t>
        </is>
      </c>
      <c r="H8" s="38" t="inlineStr">
        <is>
          <t>背离</t>
        </is>
      </c>
      <c r="I8" s="11" t="inlineStr">
        <is>
          <t>B</t>
        </is>
      </c>
      <c r="J8" s="5" t="inlineStr">
        <is>
          <t>期货单日涨幅显著大于现货同期(+2.84%)，期货领先且放大。</t>
        </is>
      </c>
    </row>
    <row r="9">
      <c r="A9" s="37" t="inlineStr">
        <is>
          <t>P5</t>
        </is>
      </c>
      <c r="B9" s="11" t="inlineStr">
        <is>
          <t>价格</t>
        </is>
      </c>
      <c r="C9" s="4" t="inlineStr">
        <is>
          <t>月差(近远月)</t>
        </is>
      </c>
      <c r="D9" s="11" t="inlineStr">
        <is>
          <t>2026-10-19</t>
        </is>
      </c>
      <c r="E9" s="5" t="inlineStr">
        <is>
          <t>PP2701-PP2705=+319；2705-2709=+348；2701-2709=+667</t>
        </is>
      </c>
      <c r="F9" s="5" t="inlineStr">
        <is>
          <t>深度Back结构(近强远弱)</t>
        </is>
      </c>
      <c r="G9" s="11" t="inlineStr">
        <is>
          <t>预期</t>
        </is>
      </c>
      <c r="H9" s="38" t="inlineStr">
        <is>
          <t>背离</t>
        </is>
      </c>
      <c r="I9" s="11" t="inlineStr">
        <is>
          <t>A</t>
        </is>
      </c>
      <c r="J9" s="5" t="inlineStr">
        <is>
          <t>近远月深度贴水+远月低至8421，市场用远月定价“未来供给宽松/产能投放”，并非全面看多。</t>
        </is>
      </c>
    </row>
    <row r="10">
      <c r="A10" s="37" t="inlineStr">
        <is>
          <t>P6</t>
        </is>
      </c>
      <c r="B10" s="11" t="inlineStr">
        <is>
          <t>价格</t>
        </is>
      </c>
      <c r="C10" s="4" t="inlineStr">
        <is>
          <t>基差(现货-期货)</t>
        </is>
      </c>
      <c r="D10" s="11" t="inlineStr">
        <is>
          <t>2026-10-8 / 10-19</t>
        </is>
      </c>
      <c r="E10" s="5" t="inlineStr">
        <is>
          <t>+1129 / +1668.67 元/吨</t>
        </is>
      </c>
      <c r="F10" s="5" t="inlineStr">
        <is>
          <t>现货升水，基差月内走强</t>
        </is>
      </c>
      <c r="G10" s="11" t="inlineStr">
        <is>
          <t>偏紧但含推测</t>
        </is>
      </c>
      <c r="H10" s="27" t="inlineStr">
        <is>
          <t>部分支撑</t>
        </is>
      </c>
      <c r="I10" s="11" t="inlineStr">
        <is>
          <t>B</t>
        </is>
      </c>
      <c r="J10" s="5" t="inlineStr">
        <is>
          <t>正基差说明现货不弱于盘面；但现货为全国参考价、期货为PP2701，口径混合，精度受限。</t>
        </is>
      </c>
    </row>
    <row r="11">
      <c r="A11" s="37" t="inlineStr">
        <is>
          <t>P7</t>
        </is>
      </c>
      <c r="B11" s="11" t="inlineStr">
        <is>
          <t>价格</t>
        </is>
      </c>
      <c r="C11" s="4" t="inlineStr">
        <is>
          <t>生意社均差(M10-M20)</t>
        </is>
      </c>
      <c r="D11" s="11" t="inlineStr">
        <is>
          <t>2026-10-19</t>
        </is>
      </c>
      <c r="E11" s="5" t="inlineStr">
        <is>
          <t>+335.17，由正向扩大转为缩小</t>
        </is>
      </c>
      <c r="F11" s="5" t="inlineStr">
        <is>
          <t>均差拐头</t>
        </is>
      </c>
      <c r="G11" s="11" t="inlineStr">
        <is>
          <t>减速</t>
        </is>
      </c>
      <c r="H11" s="38" t="inlineStr">
        <is>
          <t>背离</t>
        </is>
      </c>
      <c r="I11" s="11" t="inlineStr">
        <is>
          <t>A</t>
        </is>
      </c>
      <c r="J11" s="5" t="inlineStr">
        <is>
          <t>趋势指标显示上涨动能边际衰减，是“这轮涨势可能已是尾部”的量化线索。</t>
        </is>
      </c>
    </row>
    <row r="12">
      <c r="A12" s="37" t="inlineStr">
        <is>
          <t>S1</t>
        </is>
      </c>
      <c r="B12" s="11" t="inlineStr">
        <is>
          <t>供给</t>
        </is>
      </c>
      <c r="C12" s="4" t="inlineStr">
        <is>
          <t>1-9月PP粒产量同比</t>
        </is>
      </c>
      <c r="D12" s="11" t="inlineStr">
        <is>
          <t>2026-01~09</t>
        </is>
      </c>
      <c r="E12" s="5" t="inlineStr">
        <is>
          <t>2703.99万吨，同比-7.63%</t>
        </is>
      </c>
      <c r="F12" s="5" t="inlineStr">
        <is>
          <t>大幅低于去年同期2927.46万吨</t>
        </is>
      </c>
      <c r="G12" s="11" t="inlineStr">
        <is>
          <t>支撑</t>
        </is>
      </c>
      <c r="H12" s="14" t="inlineStr">
        <is>
          <t>支撑上涨</t>
        </is>
      </c>
      <c r="I12" s="11" t="inlineStr">
        <is>
          <t>B</t>
        </is>
      </c>
      <c r="J12" s="5" t="inlineStr">
        <is>
          <t>★最强现实供给证据：产量绝对下降约223万吨。注意成因是装置停车与亏损，而非常态性收缩。</t>
        </is>
      </c>
    </row>
    <row r="13">
      <c r="A13" s="37" t="inlineStr">
        <is>
          <t>S2</t>
        </is>
      </c>
      <c r="B13" s="11" t="inlineStr">
        <is>
          <t>供给</t>
        </is>
      </c>
      <c r="C13" s="4" t="inlineStr">
        <is>
          <t>产能利用率</t>
        </is>
      </c>
      <c r="D13" s="11" t="inlineStr">
        <is>
          <t>2026-10-10周</t>
        </is>
      </c>
      <c r="E13" s="5" t="inlineStr">
        <is>
          <t>66.28%，环比持平(上周同为66.28%)</t>
        </is>
      </c>
      <c r="F13" s="5" t="inlineStr">
        <is>
          <t>低于常态70%+</t>
        </is>
      </c>
      <c r="G13" s="11" t="inlineStr">
        <is>
          <t>中性</t>
        </is>
      </c>
      <c r="H13" s="27" t="inlineStr">
        <is>
          <t>无信息</t>
        </is>
      </c>
      <c r="I13" s="11" t="inlineStr">
        <is>
          <t>B</t>
        </is>
      </c>
      <c r="J13" s="5" t="inlineStr">
        <is>
          <t>绝对水平低是利多，但本周已不再下降(环比0.0)，供给端“继续收紧”的边际证据消失。</t>
        </is>
      </c>
    </row>
    <row r="14">
      <c r="A14" s="37" t="inlineStr">
        <is>
          <t>S3</t>
        </is>
      </c>
      <c r="B14" s="11" t="inlineStr">
        <is>
          <t>供给</t>
        </is>
      </c>
      <c r="C14" s="4" t="inlineStr">
        <is>
          <t>装置重启/停车对冲</t>
        </is>
      </c>
      <c r="D14" s="11" t="inlineStr">
        <is>
          <t>2026-10-10周</t>
        </is>
      </c>
      <c r="E14" s="5" t="inlineStr">
        <is>
          <t>重启：扬子2PP 20万吨、中景二期二线60万吨；停车：宝丰三线、青海盐湖(产能未披露)</t>
        </is>
      </c>
      <c r="F14" s="5" t="inlineStr">
        <is>
          <t>—</t>
        </is>
      </c>
      <c r="G14" s="11" t="inlineStr">
        <is>
          <t>中性</t>
        </is>
      </c>
      <c r="H14" s="27" t="inlineStr">
        <is>
          <t>无信息</t>
        </is>
      </c>
      <c r="I14" s="11" t="inlineStr">
        <is>
          <t>B</t>
        </is>
      </c>
      <c r="J14" s="5" t="inlineStr">
        <is>
          <t>多空装置同周对冲，净供给变化方向未明；产能缺失导致无法加总。</t>
        </is>
      </c>
    </row>
    <row r="15">
      <c r="A15" s="37" t="inlineStr">
        <is>
          <t>S4</t>
        </is>
      </c>
      <c r="B15" s="11" t="inlineStr">
        <is>
          <t>供给</t>
        </is>
      </c>
      <c r="C15" s="4" t="inlineStr">
        <is>
          <t>检修损失量</t>
        </is>
      </c>
      <c r="D15" s="11" t="inlineStr">
        <is>
          <t>2026-10</t>
        </is>
      </c>
      <c r="E15" s="5" t="inlineStr">
        <is>
          <t>无量值</t>
        </is>
      </c>
      <c r="F15" s="5" t="inlineStr">
        <is>
          <t>—</t>
        </is>
      </c>
      <c r="G15" s="11" t="inlineStr">
        <is>
          <t>无法判定</t>
        </is>
      </c>
      <c r="H15" s="15" t="inlineStr">
        <is>
          <t>数据不足</t>
        </is>
      </c>
      <c r="I15" s="11" t="inlineStr">
        <is>
          <t>—</t>
        </is>
      </c>
      <c r="J15" s="5" t="inlineStr">
        <is>
          <t>仅定性“互相抵消”，缺少“万吨/周”口径数据——这是典型的数据不足项。</t>
        </is>
      </c>
    </row>
    <row r="16">
      <c r="A16" s="37" t="inlineStr">
        <is>
          <t>S5</t>
        </is>
      </c>
      <c r="B16" s="11" t="inlineStr">
        <is>
          <t>供给</t>
        </is>
      </c>
      <c r="C16" s="4" t="inlineStr">
        <is>
          <t>产能基数与新增</t>
        </is>
      </c>
      <c r="D16" s="11" t="inlineStr">
        <is>
          <t>2026</t>
        </is>
      </c>
      <c r="E16" s="5" t="inlineStr">
        <is>
          <t>已投产4969.5万吨；年内再增205万吨；全年计划570万吨(+11.5%)</t>
        </is>
      </c>
      <c r="F16" s="5" t="inlineStr">
        <is>
          <t>2025年+10.2%(4916.5万吨)</t>
        </is>
      </c>
      <c r="G16" s="11" t="inlineStr">
        <is>
          <t>背离(中长期)</t>
        </is>
      </c>
      <c r="H16" s="38" t="inlineStr">
        <is>
          <t>背离</t>
        </is>
      </c>
      <c r="I16" s="11" t="inlineStr">
        <is>
          <t>B</t>
        </is>
      </c>
      <c r="J16" s="5" t="inlineStr">
        <is>
          <t>产能增速远超需求增速(4%-5%)，本轮的“供给收紧”是阶段性而非趋势性。</t>
        </is>
      </c>
    </row>
    <row r="17">
      <c r="A17" s="37" t="inlineStr">
        <is>
          <t>S6</t>
        </is>
      </c>
      <c r="B17" s="11" t="inlineStr">
        <is>
          <t>供给</t>
        </is>
      </c>
      <c r="C17" s="4" t="inlineStr">
        <is>
          <t>Q4集中投产</t>
        </is>
      </c>
      <c r="D17" s="11" t="inlineStr">
        <is>
          <t>2026Q4</t>
        </is>
      </c>
      <c r="E17" s="5" t="inlineStr">
        <is>
          <t>PP+PE拟投产近800万吨</t>
        </is>
      </c>
      <c r="F17" s="5" t="inlineStr">
        <is>
          <t>—</t>
        </is>
      </c>
      <c r="G17" s="11" t="inlineStr">
        <is>
          <t>背离(预期层)</t>
        </is>
      </c>
      <c r="H17" s="38" t="inlineStr">
        <is>
          <t>背离</t>
        </is>
      </c>
      <c r="I17" s="11" t="inlineStr">
        <is>
          <t>C</t>
        </is>
      </c>
      <c r="J17" s="5" t="inlineStr">
        <is>
          <t>尚未落地、部分推迟(宁波富德、宁波金发)，因此当前未体现在现货紧张上，但压制远月。</t>
        </is>
      </c>
    </row>
    <row r="18">
      <c r="A18" s="37" t="inlineStr">
        <is>
          <t>S7</t>
        </is>
      </c>
      <c r="B18" s="11" t="inlineStr">
        <is>
          <t>供给</t>
        </is>
      </c>
      <c r="C18" s="4" t="inlineStr">
        <is>
          <t>进口到港</t>
        </is>
      </c>
      <c r="D18" s="11" t="inlineStr">
        <is>
          <t>2026-10</t>
        </is>
      </c>
      <c r="E18" s="5" t="inlineStr">
        <is>
          <t>无月度数</t>
        </is>
      </c>
      <c r="F18" s="5" t="inlineStr">
        <is>
          <t>—</t>
        </is>
      </c>
      <c r="G18" s="11" t="inlineStr">
        <is>
          <t>无法判定</t>
        </is>
      </c>
      <c r="H18" s="15" t="inlineStr">
        <is>
          <t>数据不足</t>
        </is>
      </c>
      <c r="I18" s="11" t="inlineStr">
        <is>
          <t>—</t>
        </is>
      </c>
      <c r="J18" s="5" t="inlineStr">
        <is>
          <t>仅“进口货源有限”的定性描述。</t>
        </is>
      </c>
    </row>
    <row r="19">
      <c r="A19" s="37" t="inlineStr">
        <is>
          <t>D1</t>
        </is>
      </c>
      <c r="B19" s="11" t="inlineStr">
        <is>
          <t>需求</t>
        </is>
      </c>
      <c r="C19" s="4" t="inlineStr">
        <is>
          <t>塑编开工率</t>
        </is>
      </c>
      <c r="D19" s="11" t="inlineStr">
        <is>
          <t>10/8周</t>
        </is>
      </c>
      <c r="E19" s="5" t="inlineStr">
        <is>
          <t>40.18%</t>
        </is>
      </c>
      <c r="F19" s="5" t="inlineStr">
        <is>
          <t>9/19当周40.56%(-0.22pct)</t>
        </is>
      </c>
      <c r="G19" s="11" t="inlineStr">
        <is>
          <t>背离</t>
        </is>
      </c>
      <c r="H19" s="38" t="inlineStr">
        <is>
          <t>背离</t>
        </is>
      </c>
      <c r="I19" s="11" t="inlineStr">
        <is>
          <t>B</t>
        </is>
      </c>
      <c r="J19" s="5" t="inlineStr">
        <is>
          <t>★核心背离：拉丝主下游开工在价格上涨期间反而小幅下降。</t>
        </is>
      </c>
    </row>
    <row r="20">
      <c r="A20" s="37" t="inlineStr">
        <is>
          <t>D2</t>
        </is>
      </c>
      <c r="B20" s="11" t="inlineStr">
        <is>
          <t>需求</t>
        </is>
      </c>
      <c r="C20" s="4" t="inlineStr">
        <is>
          <t>BOPP开工率</t>
        </is>
      </c>
      <c r="D20" s="11" t="inlineStr">
        <is>
          <t>10/8周</t>
        </is>
      </c>
      <c r="E20" s="5" t="inlineStr">
        <is>
          <t>24.37%</t>
        </is>
      </c>
      <c r="F20" s="5" t="inlineStr">
        <is>
          <t>历史低位</t>
        </is>
      </c>
      <c r="G20" s="11" t="inlineStr">
        <is>
          <t>背离</t>
        </is>
      </c>
      <c r="H20" s="38" t="inlineStr">
        <is>
          <t>背离</t>
        </is>
      </c>
      <c r="I20" s="11" t="inlineStr">
        <is>
          <t>B</t>
        </is>
      </c>
      <c r="J20" s="5" t="inlineStr">
        <is>
          <t>BOPP开工不足四分之一产能，包装需求无爆发迹象。</t>
        </is>
      </c>
    </row>
    <row r="21">
      <c r="A21" s="37" t="inlineStr">
        <is>
          <t>D3</t>
        </is>
      </c>
      <c r="B21" s="11" t="inlineStr">
        <is>
          <t>需求</t>
        </is>
      </c>
      <c r="C21" s="4" t="inlineStr">
        <is>
          <t>注塑开工率</t>
        </is>
      </c>
      <c r="D21" s="11" t="inlineStr">
        <is>
          <t>10/8周</t>
        </is>
      </c>
      <c r="E21" s="5" t="inlineStr">
        <is>
          <t>30.66%</t>
        </is>
      </c>
      <c r="F21" s="5" t="inlineStr">
        <is>
          <t>地产链拖累，长期低位</t>
        </is>
      </c>
      <c r="G21" s="11" t="inlineStr">
        <is>
          <t>背离</t>
        </is>
      </c>
      <c r="H21" s="38" t="inlineStr">
        <is>
          <t>背离</t>
        </is>
      </c>
      <c r="I21" s="11" t="inlineStr">
        <is>
          <t>B</t>
        </is>
      </c>
      <c r="J21" s="5" t="inlineStr">
        <is>
          <t>注塑/改性料与地产链相关，旺季不旺。</t>
        </is>
      </c>
    </row>
    <row r="22">
      <c r="A22" s="37" t="inlineStr">
        <is>
          <t>D4</t>
        </is>
      </c>
      <c r="B22" s="11" t="inlineStr">
        <is>
          <t>需求</t>
        </is>
      </c>
      <c r="C22" s="4" t="inlineStr">
        <is>
          <t>综合下游开工</t>
        </is>
      </c>
      <c r="D22" s="11" t="inlineStr">
        <is>
          <t>9/18当周</t>
        </is>
      </c>
      <c r="E22" s="5" t="inlineStr">
        <is>
          <t>45.18%，环比-0.71pct</t>
        </is>
      </c>
      <c r="F22" s="5" t="inlineStr">
        <is>
          <t>同比偏低</t>
        </is>
      </c>
      <c r="G22" s="11" t="inlineStr">
        <is>
          <t>背离</t>
        </is>
      </c>
      <c r="H22" s="38" t="inlineStr">
        <is>
          <t>背离</t>
        </is>
      </c>
      <c r="I22" s="11" t="inlineStr">
        <is>
          <t>B</t>
        </is>
      </c>
      <c r="J22" s="5" t="inlineStr">
        <is>
          <t>旺季前再度回落，“金九银十”兑现不足。</t>
        </is>
      </c>
    </row>
    <row r="23">
      <c r="A23" s="37" t="inlineStr">
        <is>
          <t>D5</t>
        </is>
      </c>
      <c r="B23" s="11" t="inlineStr">
        <is>
          <t>需求</t>
        </is>
      </c>
      <c r="C23" s="4" t="inlineStr">
        <is>
          <t>终端订单与成交</t>
        </is>
      </c>
      <c r="D23" s="11" t="inlineStr">
        <is>
          <t>2026-10</t>
        </is>
      </c>
      <c r="E23" s="5" t="inlineStr">
        <is>
          <t>定性：订单不足、成品库存偏高、随用随采</t>
        </is>
      </c>
      <c r="F23" s="5" t="inlineStr">
        <is>
          <t>—</t>
        </is>
      </c>
      <c r="G23" s="11" t="inlineStr">
        <is>
          <t>背离</t>
        </is>
      </c>
      <c r="H23" s="38" t="inlineStr">
        <is>
          <t>背离</t>
        </is>
      </c>
      <c r="I23" s="11" t="inlineStr">
        <is>
          <t>B</t>
        </is>
      </c>
      <c r="J23" s="5" t="inlineStr">
        <is>
          <t>三家机构口径一致：下游对高价抵触、大规模投机补货少 → 高价格缺乏量的验证。</t>
        </is>
      </c>
    </row>
    <row r="24">
      <c r="A24" s="37" t="inlineStr">
        <is>
          <t>D6</t>
        </is>
      </c>
      <c r="B24" s="11" t="inlineStr">
        <is>
          <t>需求</t>
        </is>
      </c>
      <c r="C24" s="4" t="inlineStr">
        <is>
          <t>下游开工预测</t>
        </is>
      </c>
      <c r="D24" s="11" t="inlineStr">
        <is>
          <t>10/17当周</t>
        </is>
      </c>
      <c r="E24" s="5" t="inlineStr">
        <is>
          <t>约45%</t>
        </is>
      </c>
      <c r="F24" s="5" t="inlineStr">
        <is>
          <t>—</t>
        </is>
      </c>
      <c r="G24" s="11" t="inlineStr">
        <is>
          <t>预期</t>
        </is>
      </c>
      <c r="H24" s="27" t="inlineStr">
        <is>
          <t>无信息</t>
        </is>
      </c>
      <c r="I24" s="11" t="inlineStr">
        <is>
          <t>B</t>
        </is>
      </c>
      <c r="J24" s="5" t="inlineStr">
        <is>
          <t>机构对下周开工小幅回升的预测，属预期项，未发生。</t>
        </is>
      </c>
    </row>
    <row r="25">
      <c r="A25" s="37" t="inlineStr">
        <is>
          <t>I1</t>
        </is>
      </c>
      <c r="B25" s="11" t="inlineStr">
        <is>
          <t>库存</t>
        </is>
      </c>
      <c r="C25" s="4" t="inlineStr">
        <is>
          <t>商业库存总量</t>
        </is>
      </c>
      <c r="D25" s="11" t="inlineStr">
        <is>
          <t>2026-10-08</t>
        </is>
      </c>
      <c r="E25" s="5" t="inlineStr">
        <is>
          <t>68.78万吨(+21.59万吨，+45.77%)</t>
        </is>
      </c>
      <c r="F25" s="5" t="inlineStr">
        <is>
          <t>节后大幅累积</t>
        </is>
      </c>
      <c r="G25" s="11" t="inlineStr">
        <is>
          <t>背离</t>
        </is>
      </c>
      <c r="H25" s="38" t="inlineStr">
        <is>
          <t>背离</t>
        </is>
      </c>
      <c r="I25" s="11" t="inlineStr">
        <is>
          <t>B</t>
        </is>
      </c>
      <c r="J25" s="5" t="inlineStr">
        <is>
          <t>★库存在涨价窗口同期激增45.77%，价格与库存变化方向相反（虽含假期物流扰动）。</t>
        </is>
      </c>
    </row>
    <row r="26">
      <c r="A26" s="37" t="inlineStr">
        <is>
          <t>I2</t>
        </is>
      </c>
      <c r="B26" s="11" t="inlineStr">
        <is>
          <t>库存</t>
        </is>
      </c>
      <c r="C26" s="4" t="inlineStr">
        <is>
          <t>库存历史分位</t>
        </is>
      </c>
      <c r="D26" s="11" t="inlineStr">
        <is>
          <t>—</t>
        </is>
      </c>
      <c r="E26" s="5" t="inlineStr">
        <is>
          <t>缺失</t>
        </is>
      </c>
      <c r="F26" s="5" t="inlineStr">
        <is>
          <t>—</t>
        </is>
      </c>
      <c r="G26" s="11" t="inlineStr">
        <is>
          <t>无法判定</t>
        </is>
      </c>
      <c r="H26" s="15" t="inlineStr">
        <is>
          <t>数据不足</t>
        </is>
      </c>
      <c r="I26" s="11" t="inlineStr">
        <is>
          <t>—</t>
        </is>
      </c>
      <c r="J26" s="5" t="inlineStr">
        <is>
          <t>无周度历史序列，无法计算分位；定性与定量冲突（“低位”vs“大幅累积”）。</t>
        </is>
      </c>
    </row>
    <row r="27">
      <c r="A27" s="37" t="inlineStr">
        <is>
          <t>I3</t>
        </is>
      </c>
      <c r="B27" s="11" t="inlineStr">
        <is>
          <t>库存</t>
        </is>
      </c>
      <c r="C27" s="4" t="inlineStr">
        <is>
          <t>石化/港口/贸易商分项</t>
        </is>
      </c>
      <c r="D27" s="11" t="inlineStr">
        <is>
          <t>—</t>
        </is>
      </c>
      <c r="E27" s="5" t="inlineStr">
        <is>
          <t>缺失</t>
        </is>
      </c>
      <c r="F27" s="5" t="inlineStr">
        <is>
          <t>—</t>
        </is>
      </c>
      <c r="G27" s="11" t="inlineStr">
        <is>
          <t>无法判定</t>
        </is>
      </c>
      <c r="H27" s="15" t="inlineStr">
        <is>
          <t>数据不足</t>
        </is>
      </c>
      <c r="I27" s="11" t="inlineStr">
        <is>
          <t>—</t>
        </is>
      </c>
      <c r="J27" s="5" t="inlineStr">
        <is>
          <t>仅有“贸易商涨幅低于往年”“港口宽幅累库”的定性。</t>
        </is>
      </c>
    </row>
    <row r="28">
      <c r="A28" s="37" t="inlineStr">
        <is>
          <t>I4</t>
        </is>
      </c>
      <c r="B28" s="11" t="inlineStr">
        <is>
          <t>库存</t>
        </is>
      </c>
      <c r="C28" s="4" t="inlineStr">
        <is>
          <t>进出口月度</t>
        </is>
      </c>
      <c r="D28" s="11" t="inlineStr">
        <is>
          <t>2026-09</t>
        </is>
      </c>
      <c r="E28" s="5" t="inlineStr">
        <is>
          <t>缺失</t>
        </is>
      </c>
      <c r="F28" s="5" t="inlineStr">
        <is>
          <t>—</t>
        </is>
      </c>
      <c r="G28" s="11" t="inlineStr">
        <is>
          <t>无法判定</t>
        </is>
      </c>
      <c r="H28" s="15" t="inlineStr">
        <is>
          <t>数据不足</t>
        </is>
      </c>
      <c r="I28" s="11" t="inlineStr">
        <is>
          <t>—</t>
        </is>
      </c>
      <c r="J28" s="5" t="inlineStr">
        <is>
          <t>进口/出口数量未取得，供需平衡无法闭合。</t>
        </is>
      </c>
    </row>
    <row r="29">
      <c r="A29" s="37" t="inlineStr">
        <is>
          <t>C1</t>
        </is>
      </c>
      <c r="B29" s="11" t="inlineStr">
        <is>
          <t>成本</t>
        </is>
      </c>
      <c r="C29" s="4" t="inlineStr">
        <is>
          <t>WTI原油</t>
        </is>
      </c>
      <c r="D29" s="11" t="inlineStr">
        <is>
          <t>10/1→10/19</t>
        </is>
      </c>
      <c r="E29" s="5" t="inlineStr">
        <is>
          <t>89.38→101.41 (+13.46%)</t>
        </is>
      </c>
      <c r="F29" s="5" t="inlineStr">
        <is>
          <t>10/19高位</t>
        </is>
      </c>
      <c r="G29" s="11" t="inlineStr">
        <is>
          <t>支撑(滞后)</t>
        </is>
      </c>
      <c r="H29" s="14" t="inlineStr">
        <is>
          <t>支撑上涨</t>
        </is>
      </c>
      <c r="I29" s="11" t="inlineStr">
        <is>
          <t>A</t>
        </is>
      </c>
      <c r="J29" s="5" t="inlineStr">
        <is>
          <t>10/1→10/19确实大涨，为成本推动提供依据；但涨幅主要发生在10/13之后。</t>
        </is>
      </c>
    </row>
    <row r="30">
      <c r="A30" s="37" t="inlineStr">
        <is>
          <t>C2</t>
        </is>
      </c>
      <c r="B30" s="11" t="inlineStr">
        <is>
          <t>成本</t>
        </is>
      </c>
      <c r="C30" s="4" t="inlineStr">
        <is>
          <t>WTI在期货大涨当日</t>
        </is>
      </c>
      <c r="D30" s="11" t="inlineStr">
        <is>
          <t>10/7→10/8</t>
        </is>
      </c>
      <c r="E30" s="5" t="inlineStr">
        <is>
          <t>89.38→88.28 (-1.23%)</t>
        </is>
      </c>
      <c r="F30" s="5" t="inlineStr">
        <is>
          <t>—</t>
        </is>
      </c>
      <c r="G30" s="11" t="inlineStr">
        <is>
          <t>背离</t>
        </is>
      </c>
      <c r="H30" s="38" t="inlineStr">
        <is>
          <t>背离</t>
        </is>
      </c>
      <c r="I30" s="11" t="inlineStr">
        <is>
          <t>A</t>
        </is>
      </c>
      <c r="J30" s="5" t="inlineStr">
        <is>
          <t>★时序背离：PP期货+7.08%的同一交易日，原油不涨反跌。成本推动无法解释当日跳涨，当日更可能是地缘事件定价与情绪。</t>
        </is>
      </c>
    </row>
    <row r="31">
      <c r="A31" s="37" t="inlineStr">
        <is>
          <t>C3</t>
        </is>
      </c>
      <c r="B31" s="11" t="inlineStr">
        <is>
          <t>成本</t>
        </is>
      </c>
      <c r="C31" s="4" t="inlineStr">
        <is>
          <t>进口丙烷CFR华南(PDH原料)</t>
        </is>
      </c>
      <c r="D31" s="11" t="inlineStr">
        <is>
          <t>10/1→10/10</t>
        </is>
      </c>
      <c r="E31" s="5" t="inlineStr">
        <is>
          <t>932→1018美元/吨 (+9.23%)</t>
        </is>
      </c>
      <c r="F31" s="5" t="inlineStr">
        <is>
          <t>—</t>
        </is>
      </c>
      <c r="G31" s="11" t="inlineStr">
        <is>
          <t>支撑</t>
        </is>
      </c>
      <c r="H31" s="14" t="inlineStr">
        <is>
          <t>支撑上涨</t>
        </is>
      </c>
      <c r="I31" s="11" t="inlineStr">
        <is>
          <t>B</t>
        </is>
      </c>
      <c r="J31" s="5" t="inlineStr">
        <is>
          <t>PDH路线(占总产能约1/4)成本刚性抬升，是最贴近PP的成本变量。</t>
        </is>
      </c>
    </row>
    <row r="32">
      <c r="A32" s="37" t="inlineStr">
        <is>
          <t>C4</t>
        </is>
      </c>
      <c r="B32" s="11" t="inlineStr">
        <is>
          <t>成本</t>
        </is>
      </c>
      <c r="C32" s="4" t="inlineStr">
        <is>
          <t>丙烯现货</t>
        </is>
      </c>
      <c r="D32" s="11" t="inlineStr">
        <is>
          <t>10/1→10/19</t>
        </is>
      </c>
      <c r="E32" s="5" t="inlineStr">
        <is>
          <t>9707.67→10534.33 (+8.52%)</t>
        </is>
      </c>
      <c r="F32" s="5" t="inlineStr">
        <is>
          <t>10/12高点10751，回落-2.02%</t>
        </is>
      </c>
      <c r="G32" s="11" t="inlineStr">
        <is>
          <t>支撑</t>
        </is>
      </c>
      <c r="H32" s="14" t="inlineStr">
        <is>
          <t>支撑上涨</t>
        </is>
      </c>
      <c r="I32" s="11" t="inlineStr">
        <is>
          <t>A</t>
        </is>
      </c>
      <c r="J32" s="5" t="inlineStr">
        <is>
          <t>上游丙烯同步上行，PP并非独家上涨，符合产业链成本传导特征。</t>
        </is>
      </c>
    </row>
    <row r="33">
      <c r="A33" s="37" t="inlineStr">
        <is>
          <t>C5</t>
        </is>
      </c>
      <c r="B33" s="11" t="inlineStr">
        <is>
          <t>成本</t>
        </is>
      </c>
      <c r="C33" s="4" t="inlineStr">
        <is>
          <t>石脑油制丙烯成本</t>
        </is>
      </c>
      <c r="D33" s="11" t="inlineStr">
        <is>
          <t>9/30→10/8</t>
        </is>
      </c>
      <c r="E33" s="5" t="inlineStr">
        <is>
          <t>8857元/吨 (-1.15%)</t>
        </is>
      </c>
      <c r="F33" s="5" t="inlineStr">
        <is>
          <t>—</t>
        </is>
      </c>
      <c r="G33" s="11" t="inlineStr">
        <is>
          <t>背离</t>
        </is>
      </c>
      <c r="H33" s="38" t="inlineStr">
        <is>
          <t>背离</t>
        </is>
      </c>
      <c r="I33" s="11" t="inlineStr">
        <is>
          <t>C</t>
        </is>
      </c>
      <c r="J33" s="5" t="inlineStr">
        <is>
          <t>石脑油裂解路线成本反而下降，说明成本上行集中于PDH/MTO路线，而非全产业成本。</t>
        </is>
      </c>
    </row>
    <row r="34">
      <c r="A34" s="37" t="inlineStr">
        <is>
          <t>C6</t>
        </is>
      </c>
      <c r="B34" s="11" t="inlineStr">
        <is>
          <t>成本</t>
        </is>
      </c>
      <c r="C34" s="4" t="inlineStr">
        <is>
          <t>MTO制丙烯成本</t>
        </is>
      </c>
      <c r="D34" s="11" t="inlineStr">
        <is>
          <t>9/30→10/8</t>
        </is>
      </c>
      <c r="E34" s="5" t="inlineStr">
        <is>
          <t>13146元/吨 (+9.45%)</t>
        </is>
      </c>
      <c r="F34" s="5" t="inlineStr">
        <is>
          <t>高于丙烯现货</t>
        </is>
      </c>
      <c r="G34" s="11" t="inlineStr">
        <is>
          <t>支撑(但压制开工)</t>
        </is>
      </c>
      <c r="H34" s="14" t="inlineStr">
        <is>
          <t>支撑上涨</t>
        </is>
      </c>
      <c r="I34" s="11" t="inlineStr">
        <is>
          <t>C</t>
        </is>
      </c>
      <c r="J34" s="5" t="inlineStr">
        <is>
          <t>MTO成本高于丙烯现货，理论上挤压MTO开工、利多PP，但同时也意味着下游承接能力弱。</t>
        </is>
      </c>
    </row>
    <row r="35">
      <c r="A35" s="37" t="inlineStr">
        <is>
          <t>C7</t>
        </is>
      </c>
      <c r="B35" s="11" t="inlineStr">
        <is>
          <t>成本</t>
        </is>
      </c>
      <c r="C35" s="4" t="inlineStr">
        <is>
          <t>PDH加工价差(PP-丙烯)</t>
        </is>
      </c>
      <c r="D35" s="11" t="inlineStr">
        <is>
          <t>9/30→10/12</t>
        </is>
      </c>
      <c r="E35" s="5" t="inlineStr">
        <is>
          <t>约1439→1972元/吨(+532)</t>
        </is>
      </c>
      <c r="F35" s="5" t="inlineStr">
        <is>
          <t>—</t>
        </is>
      </c>
      <c r="G35" s="11" t="inlineStr">
        <is>
          <t>支撑</t>
        </is>
      </c>
      <c r="H35" s="14" t="inlineStr">
        <is>
          <t>支撑上涨</t>
        </is>
      </c>
      <c r="I35" s="11" t="inlineStr">
        <is>
          <t>测算</t>
        </is>
      </c>
      <c r="J35" s="5" t="inlineStr">
        <is>
          <t>成本涨幅小于PP涨幅，PDH一体化利润被动改善——这正是“成本推动型”而非“紧缺型”的特征。</t>
        </is>
      </c>
    </row>
    <row r="36">
      <c r="A36" s="37" t="inlineStr">
        <is>
          <t>C8</t>
        </is>
      </c>
      <c r="B36" s="11" t="inlineStr">
        <is>
          <t>成本</t>
        </is>
      </c>
      <c r="C36" s="4" t="inlineStr">
        <is>
          <t>PP-丙烯加工价差(10月)</t>
        </is>
      </c>
      <c r="D36" s="11" t="inlineStr">
        <is>
          <t>10/1→10/19</t>
        </is>
      </c>
      <c r="E36" s="5" t="inlineStr">
        <is>
          <t>225.66→222.34元/吨(-3.32，-1.47%)</t>
        </is>
      </c>
      <c r="F36" s="5" t="inlineStr">
        <is>
          <t>几乎持平</t>
        </is>
      </c>
      <c r="G36" s="11" t="inlineStr">
        <is>
          <t>纯成本传导</t>
        </is>
      </c>
      <c r="H36" s="27" t="inlineStr">
        <is>
          <t>无信息</t>
        </is>
      </c>
      <c r="I36" s="11" t="inlineStr">
        <is>
          <t>测算</t>
        </is>
      </c>
      <c r="J36" s="5" t="inlineStr">
        <is>
          <t>★关键判读：PP涨8.29%、丙烯涨8.52%，价差不动——本轮上涨是对原料的对等传导，PP自身供需并未创造额外溢价（若为紧缺型上涨，价差应扩张）。</t>
        </is>
      </c>
    </row>
    <row r="37">
      <c r="A37" s="37" t="inlineStr">
        <is>
          <t>C9</t>
        </is>
      </c>
      <c r="B37" s="11" t="inlineStr">
        <is>
          <t>成本</t>
        </is>
      </c>
      <c r="C37" s="4" t="inlineStr">
        <is>
          <t>PP-PDH丙烯价差(9/30→10/12)</t>
        </is>
      </c>
      <c r="D37" s="11" t="inlineStr">
        <is>
          <t>9/30→10/12</t>
        </is>
      </c>
      <c r="E37" s="5" t="inlineStr">
        <is>
          <t>1439.33→1971.67元/吨(+532，+37%)</t>
        </is>
      </c>
      <c r="F37" s="5" t="inlineStr">
        <is>
          <t>—</t>
        </is>
      </c>
      <c r="G37" s="11" t="inlineStr">
        <is>
          <t>与上条口径冲突</t>
        </is>
      </c>
      <c r="H37" s="15" t="inlineStr">
        <is>
          <t>数据不足</t>
        </is>
      </c>
      <c r="I37" s="11" t="inlineStr">
        <is>
          <t>测算</t>
        </is>
      </c>
      <c r="J37" s="5" t="inlineStr">
        <is>
          <t>该口径显示价差走阔，与C8结论相左；原因是S06的PDH成本为单家机构推算口径且F版基期由涨幅反推。两口径并列呈现，不做合并——这本身就是“不同口径结论可能相反”的示例。</t>
        </is>
      </c>
    </row>
    <row r="38">
      <c r="A38" s="37" t="inlineStr">
        <is>
          <t>C10</t>
        </is>
      </c>
      <c r="B38" s="11" t="inlineStr">
        <is>
          <t>成本</t>
        </is>
      </c>
      <c r="C38" s="4" t="inlineStr">
        <is>
          <t>石脑油一体化毛利</t>
        </is>
      </c>
      <c r="D38" s="11" t="inlineStr">
        <is>
          <t>—</t>
        </is>
      </c>
      <c r="E38" s="5" t="inlineStr">
        <is>
          <t>缺失(未测算)</t>
        </is>
      </c>
      <c r="F38" s="5" t="inlineStr">
        <is>
          <t>—</t>
        </is>
      </c>
      <c r="G38" s="11" t="inlineStr">
        <is>
          <t>无法判定</t>
        </is>
      </c>
      <c r="H38" s="15" t="inlineStr">
        <is>
          <t>数据不足</t>
        </is>
      </c>
      <c r="I38" s="11" t="inlineStr">
        <is>
          <t>—</t>
        </is>
      </c>
      <c r="J38" s="5" t="inlineStr">
        <is>
          <t>缺石脑油CFR与收率口径，按要求不以估值填充。</t>
        </is>
      </c>
    </row>
    <row r="39">
      <c r="A39" s="37" t="inlineStr">
        <is>
          <t>E1</t>
        </is>
      </c>
      <c r="B39" s="11" t="inlineStr">
        <is>
          <t>预期</t>
        </is>
      </c>
      <c r="C39" s="4" t="inlineStr">
        <is>
          <t>能源化工板块共振</t>
        </is>
      </c>
      <c r="D39" s="11" t="inlineStr">
        <is>
          <t>2026-10-08</t>
        </is>
      </c>
      <c r="E39" s="5" t="inlineStr">
        <is>
          <t>甲醇/PX/纯苯/苯乙烯主力封涨停；PP、丙烯涨超7%</t>
        </is>
      </c>
      <c r="F39" s="5" t="inlineStr">
        <is>
          <t>—</t>
        </is>
      </c>
      <c r="G39" s="11" t="inlineStr">
        <is>
          <t>情绪定价</t>
        </is>
      </c>
      <c r="H39" s="38" t="inlineStr">
        <is>
          <t>背离</t>
        </is>
      </c>
      <c r="I39" s="11" t="inlineStr">
        <is>
          <t>B</t>
        </is>
      </c>
      <c r="J39" s="5" t="inlineStr">
        <is>
          <t>★同日全板块涨停说明驱动是宏观/地缘与情绪，而非PP自身供需。</t>
        </is>
      </c>
    </row>
    <row r="40">
      <c r="A40" s="37" t="inlineStr">
        <is>
          <t>E2</t>
        </is>
      </c>
      <c r="B40" s="11" t="inlineStr">
        <is>
          <t>预期</t>
        </is>
      </c>
      <c r="C40" s="4" t="inlineStr">
        <is>
          <t>期货增仓放量</t>
        </is>
      </c>
      <c r="D40" s="11" t="inlineStr">
        <is>
          <t>2026-10-08</t>
        </is>
      </c>
      <c r="E40" s="5" t="inlineStr">
        <is>
          <t>增仓逾6万手</t>
        </is>
      </c>
      <c r="F40" s="5" t="inlineStr">
        <is>
          <t>—</t>
        </is>
      </c>
      <c r="G40" s="11" t="inlineStr">
        <is>
          <t>资金行为</t>
        </is>
      </c>
      <c r="H40" s="38" t="inlineStr">
        <is>
          <t>背离</t>
        </is>
      </c>
      <c r="I40" s="11" t="inlineStr">
        <is>
          <t>B</t>
        </is>
      </c>
      <c r="J40" s="5" t="inlineStr">
        <is>
          <t>增仓代表新资金入场，是对未来事件的押注，不能作为现货紧张证据。</t>
        </is>
      </c>
    </row>
    <row r="41">
      <c r="A41" s="37" t="inlineStr">
        <is>
          <t>E3</t>
        </is>
      </c>
      <c r="B41" s="11" t="inlineStr">
        <is>
          <t>预期</t>
        </is>
      </c>
      <c r="C41" s="4" t="inlineStr">
        <is>
          <t>远月合约定价</t>
        </is>
      </c>
      <c r="D41" s="11" t="inlineStr">
        <is>
          <t>2026-10-19</t>
        </is>
      </c>
      <c r="E41" s="5" t="inlineStr">
        <is>
          <t>PP2709=8421，贴水PP2701 667元/吨</t>
        </is>
      </c>
      <c r="F41" s="5" t="inlineStr">
        <is>
          <t>—</t>
        </is>
      </c>
      <c r="G41" s="11" t="inlineStr">
        <is>
          <t>预期</t>
        </is>
      </c>
      <c r="H41" s="38" t="inlineStr">
        <is>
          <t>背离</t>
        </is>
      </c>
      <c r="I41" s="11" t="inlineStr">
        <is>
          <t>A</t>
        </is>
      </c>
      <c r="J41" s="5" t="inlineStr">
        <is>
          <t>曲线本身就已定价“未来宽松”，远月并未跟随现货紧张。</t>
        </is>
      </c>
    </row>
    <row r="42">
      <c r="A42" s="37" t="inlineStr">
        <is>
          <t>E4</t>
        </is>
      </c>
      <c r="B42" s="11" t="inlineStr">
        <is>
          <t>预期</t>
        </is>
      </c>
      <c r="C42" s="4" t="inlineStr">
        <is>
          <t>下周期货/现货预测</t>
        </is>
      </c>
      <c r="D42" s="11" t="inlineStr">
        <is>
          <t>10/17当周</t>
        </is>
      </c>
      <c r="E42" s="5" t="inlineStr">
        <is>
          <t>拉丝均值10400元/吨(+2.38%)</t>
        </is>
      </c>
      <c r="F42" s="5" t="inlineStr">
        <is>
          <t>—</t>
        </is>
      </c>
      <c r="G42" s="11" t="inlineStr">
        <is>
          <t>预期</t>
        </is>
      </c>
      <c r="H42" s="27" t="inlineStr">
        <is>
          <t>无信息</t>
        </is>
      </c>
      <c r="I42" s="11" t="inlineStr">
        <is>
          <t>B</t>
        </is>
      </c>
      <c r="J42" s="5" t="inlineStr">
        <is>
          <t>机构预测值，未经现实检验，不计入供需证据。</t>
        </is>
      </c>
    </row>
    <row r="43">
      <c r="A43" s="37" t="inlineStr">
        <is>
          <t>E5</t>
        </is>
      </c>
      <c r="B43" s="11" t="inlineStr">
        <is>
          <t>预期</t>
        </is>
      </c>
      <c r="C43" s="4" t="inlineStr">
        <is>
          <t>地缘(霍尔木兹)风险</t>
        </is>
      </c>
      <c r="D43" s="11" t="inlineStr">
        <is>
          <t>2026-10-07起</t>
        </is>
      </c>
      <c r="E43" s="5" t="inlineStr">
        <is>
          <t>定性：伊朗称霍尔木兹海峡关闭</t>
        </is>
      </c>
      <c r="F43" s="5" t="inlineStr">
        <is>
          <t>—</t>
        </is>
      </c>
      <c r="G43" s="11" t="inlineStr">
        <is>
          <t>预期(尾部风险)</t>
        </is>
      </c>
      <c r="H43" s="38" t="inlineStr">
        <is>
          <t>背离</t>
        </is>
      </c>
      <c r="I43" s="11" t="inlineStr">
        <is>
          <t>C</t>
        </is>
      </c>
      <c r="J43" s="5" t="inlineStr">
        <is>
          <t>最大变量；若缓和则风险溢价快速回吐，属“可能发生”而非“已经发生”的供给冲击。</t>
        </is>
      </c>
    </row>
    <row r="45">
      <c r="A45" s="9" t="inlineStr">
        <is>
          <t>状态汇总</t>
        </is>
      </c>
    </row>
    <row r="46" ht="30" customHeight="1">
      <c r="A46" s="10" t="inlineStr">
        <is>
          <t>主轴</t>
        </is>
      </c>
      <c r="B46" s="10" t="inlineStr">
        <is>
          <t>支撑上涨</t>
        </is>
      </c>
      <c r="C46" s="10" t="inlineStr">
        <is>
          <t>背离</t>
        </is>
      </c>
      <c r="D46" s="10" t="inlineStr">
        <is>
          <t>数据不足</t>
        </is>
      </c>
      <c r="E46" s="10" t="inlineStr">
        <is>
          <t>中性/预期</t>
        </is>
      </c>
      <c r="F46" s="10" t="inlineStr">
        <is>
          <t>合计</t>
        </is>
      </c>
    </row>
    <row r="47">
      <c r="A47" s="4" t="inlineStr">
        <is>
          <t>价格</t>
        </is>
      </c>
      <c r="B47" s="39" t="n">
        <v>1</v>
      </c>
      <c r="C47" s="39" t="n">
        <v>4</v>
      </c>
      <c r="D47" s="39" t="n">
        <v>0</v>
      </c>
      <c r="E47" s="39" t="n">
        <v>2</v>
      </c>
      <c r="F47" s="40" t="n">
        <v>7</v>
      </c>
    </row>
    <row r="48">
      <c r="A48" s="4" t="inlineStr">
        <is>
          <t>供给</t>
        </is>
      </c>
      <c r="B48" s="39" t="n">
        <v>1</v>
      </c>
      <c r="C48" s="39" t="n">
        <v>2</v>
      </c>
      <c r="D48" s="39" t="n">
        <v>2</v>
      </c>
      <c r="E48" s="39" t="n">
        <v>2</v>
      </c>
      <c r="F48" s="40" t="n">
        <v>7</v>
      </c>
    </row>
    <row r="49">
      <c r="A49" s="4" t="inlineStr">
        <is>
          <t>需求</t>
        </is>
      </c>
      <c r="B49" s="39" t="n">
        <v>0</v>
      </c>
      <c r="C49" s="39" t="n">
        <v>5</v>
      </c>
      <c r="D49" s="39" t="n">
        <v>0</v>
      </c>
      <c r="E49" s="39" t="n">
        <v>1</v>
      </c>
      <c r="F49" s="40" t="n">
        <v>6</v>
      </c>
    </row>
    <row r="50">
      <c r="A50" s="4" t="inlineStr">
        <is>
          <t>库存</t>
        </is>
      </c>
      <c r="B50" s="39" t="n">
        <v>0</v>
      </c>
      <c r="C50" s="39" t="n">
        <v>1</v>
      </c>
      <c r="D50" s="39" t="n">
        <v>3</v>
      </c>
      <c r="E50" s="39" t="n">
        <v>0</v>
      </c>
      <c r="F50" s="40" t="n">
        <v>4</v>
      </c>
    </row>
    <row r="51">
      <c r="A51" s="4" t="inlineStr">
        <is>
          <t>成本</t>
        </is>
      </c>
      <c r="B51" s="39" t="n">
        <v>5</v>
      </c>
      <c r="C51" s="39" t="n">
        <v>2</v>
      </c>
      <c r="D51" s="39" t="n">
        <v>2</v>
      </c>
      <c r="E51" s="39" t="n">
        <v>1</v>
      </c>
      <c r="F51" s="40" t="n">
        <v>10</v>
      </c>
    </row>
    <row r="52">
      <c r="A52" s="4" t="inlineStr">
        <is>
          <t>预期</t>
        </is>
      </c>
      <c r="B52" s="39" t="n">
        <v>0</v>
      </c>
      <c r="C52" s="39" t="n">
        <v>4</v>
      </c>
      <c r="D52" s="39" t="n">
        <v>0</v>
      </c>
      <c r="E52" s="39" t="n">
        <v>1</v>
      </c>
      <c r="F52" s="40" t="n">
        <v>5</v>
      </c>
    </row>
  </sheetData>
  <autoFilter ref="A4:J43"/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5C9A"/>
    <outlinePr summaryBelow="1" summaryRight="1"/>
    <pageSetUpPr/>
  </sheetPr>
  <dimension ref="A1:H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  <col width="18" customWidth="1" min="7" max="7"/>
    <col width="26" customWidth="1" min="8" max="8"/>
  </cols>
  <sheetData>
    <row r="1" ht="30" customHeight="1">
      <c r="A1" s="1" t="inlineStr">
        <is>
          <t>07 · 历史序列（全部已披露逐日原始值）</t>
        </is>
      </c>
    </row>
    <row r="2" ht="24" customHeight="1">
      <c r="A2" s="2" t="inlineStr">
        <is>
          <t>来源：生意社/隆众。空白=该日无披露，不做插值</t>
        </is>
      </c>
    </row>
    <row r="4" ht="30" customHeight="1">
      <c r="A4" s="10" t="inlineStr">
        <is>
          <t>日期</t>
        </is>
      </c>
      <c r="B4" s="10" t="inlineStr">
        <is>
          <t>PP拉丝(元/吨)</t>
        </is>
      </c>
      <c r="C4" s="10" t="inlineStr">
        <is>
          <t>PP纤维(元/吨)</t>
        </is>
      </c>
      <c r="D4" s="10" t="inlineStr">
        <is>
          <t>丙烯(元/吨)</t>
        </is>
      </c>
      <c r="E4" s="10" t="inlineStr">
        <is>
          <t>WTI(美元/桶)</t>
        </is>
      </c>
      <c r="F4" s="10" t="inlineStr">
        <is>
          <t>Brent(美元/桶)</t>
        </is>
      </c>
      <c r="G4" s="10" t="inlineStr">
        <is>
          <t>PP全国日均价(元/吨)</t>
        </is>
      </c>
      <c r="H4" s="10" t="inlineStr">
        <is>
          <t>备注</t>
        </is>
      </c>
    </row>
    <row r="5">
      <c r="A5" s="11" t="inlineStr">
        <is>
          <t>2026-07-01</t>
        </is>
      </c>
      <c r="B5" s="12" t="n">
        <v>7940</v>
      </c>
      <c r="C5" s="12" t="n">
        <v>8312.5</v>
      </c>
      <c r="D5" s="16" t="inlineStr">
        <is>
          <t>缺失</t>
        </is>
      </c>
      <c r="E5" s="16" t="inlineStr">
        <is>
          <t>缺失</t>
        </is>
      </c>
      <c r="F5" s="16" t="inlineStr">
        <is>
          <t>缺失</t>
        </is>
      </c>
      <c r="G5" s="16" t="inlineStr">
        <is>
          <t>缺失</t>
        </is>
      </c>
      <c r="H5" s="5" t="inlineStr"/>
    </row>
    <row r="6">
      <c r="A6" s="11" t="inlineStr">
        <is>
          <t>2026-07-23</t>
        </is>
      </c>
      <c r="B6" s="12" t="n">
        <v>9300</v>
      </c>
      <c r="C6" s="16" t="inlineStr">
        <is>
          <t>缺失</t>
        </is>
      </c>
      <c r="D6" s="16" t="inlineStr">
        <is>
          <t>缺失</t>
        </is>
      </c>
      <c r="E6" s="16" t="inlineStr">
        <is>
          <t>缺失</t>
        </is>
      </c>
      <c r="F6" s="16" t="inlineStr">
        <is>
          <t>缺失</t>
        </is>
      </c>
      <c r="G6" s="16" t="inlineStr">
        <is>
          <t>缺失</t>
        </is>
      </c>
      <c r="H6" s="5" t="inlineStr"/>
    </row>
    <row r="7">
      <c r="A7" s="11" t="inlineStr">
        <is>
          <t>2026-07-24</t>
        </is>
      </c>
      <c r="B7" s="12" t="n">
        <v>9250</v>
      </c>
      <c r="C7" s="12" t="n">
        <v>8900</v>
      </c>
      <c r="D7" s="16" t="inlineStr">
        <is>
          <t>缺失</t>
        </is>
      </c>
      <c r="E7" s="16" t="inlineStr">
        <is>
          <t>缺失</t>
        </is>
      </c>
      <c r="F7" s="16" t="inlineStr">
        <is>
          <t>缺失</t>
        </is>
      </c>
      <c r="G7" s="16" t="inlineStr">
        <is>
          <t>缺失</t>
        </is>
      </c>
      <c r="H7" s="5" t="inlineStr"/>
    </row>
    <row r="8">
      <c r="A8" s="11" t="inlineStr">
        <is>
          <t>2026-07-27</t>
        </is>
      </c>
      <c r="B8" s="12" t="n">
        <v>9183.33</v>
      </c>
      <c r="C8" s="12" t="n">
        <v>8912.5</v>
      </c>
      <c r="D8" s="16" t="inlineStr">
        <is>
          <t>缺失</t>
        </is>
      </c>
      <c r="E8" s="16" t="inlineStr">
        <is>
          <t>缺失</t>
        </is>
      </c>
      <c r="F8" s="16" t="inlineStr">
        <is>
          <t>缺失</t>
        </is>
      </c>
      <c r="G8" s="16" t="inlineStr">
        <is>
          <t>缺失</t>
        </is>
      </c>
      <c r="H8" s="5" t="inlineStr"/>
    </row>
    <row r="9">
      <c r="A9" s="11" t="inlineStr">
        <is>
          <t>2026-07-28</t>
        </is>
      </c>
      <c r="B9" s="12" t="n">
        <v>9033.33</v>
      </c>
      <c r="C9" s="12" t="n">
        <v>8975</v>
      </c>
      <c r="D9" s="16" t="inlineStr">
        <is>
          <t>缺失</t>
        </is>
      </c>
      <c r="E9" s="16" t="inlineStr">
        <is>
          <t>缺失</t>
        </is>
      </c>
      <c r="F9" s="16" t="inlineStr">
        <is>
          <t>缺失</t>
        </is>
      </c>
      <c r="G9" s="16" t="inlineStr">
        <is>
          <t>缺失</t>
        </is>
      </c>
      <c r="H9" s="5" t="inlineStr"/>
    </row>
    <row r="10">
      <c r="A10" s="11" t="inlineStr">
        <is>
          <t>2026-07-29</t>
        </is>
      </c>
      <c r="B10" s="12" t="n">
        <v>9016.67</v>
      </c>
      <c r="C10" s="12" t="n">
        <v>8912.5</v>
      </c>
      <c r="D10" s="16" t="inlineStr">
        <is>
          <t>缺失</t>
        </is>
      </c>
      <c r="E10" s="16" t="inlineStr">
        <is>
          <t>缺失</t>
        </is>
      </c>
      <c r="F10" s="16" t="inlineStr">
        <is>
          <t>缺失</t>
        </is>
      </c>
      <c r="G10" s="16" t="inlineStr">
        <is>
          <t>缺失</t>
        </is>
      </c>
      <c r="H10" s="5" t="inlineStr"/>
    </row>
    <row r="11">
      <c r="A11" s="11" t="inlineStr">
        <is>
          <t>2026-07-30</t>
        </is>
      </c>
      <c r="B11" s="12" t="n">
        <v>9000</v>
      </c>
      <c r="C11" s="12" t="n">
        <v>8912.5</v>
      </c>
      <c r="D11" s="16" t="inlineStr">
        <is>
          <t>缺失</t>
        </is>
      </c>
      <c r="E11" s="16" t="inlineStr">
        <is>
          <t>缺失</t>
        </is>
      </c>
      <c r="F11" s="16" t="inlineStr">
        <is>
          <t>缺失</t>
        </is>
      </c>
      <c r="G11" s="16" t="inlineStr">
        <is>
          <t>缺失</t>
        </is>
      </c>
      <c r="H11" s="5" t="inlineStr"/>
    </row>
    <row r="12">
      <c r="A12" s="11" t="inlineStr">
        <is>
          <t>2026-07-31</t>
        </is>
      </c>
      <c r="B12" s="12" t="n">
        <v>8973.33</v>
      </c>
      <c r="C12" s="12" t="n">
        <v>8912.5</v>
      </c>
      <c r="D12" s="16" t="inlineStr">
        <is>
          <t>缺失</t>
        </is>
      </c>
      <c r="E12" s="16" t="inlineStr">
        <is>
          <t>缺失</t>
        </is>
      </c>
      <c r="F12" s="16" t="inlineStr">
        <is>
          <t>缺失</t>
        </is>
      </c>
      <c r="G12" s="16" t="inlineStr">
        <is>
          <t>缺失</t>
        </is>
      </c>
      <c r="H12" s="5" t="inlineStr"/>
    </row>
    <row r="13">
      <c r="A13" s="11" t="inlineStr">
        <is>
          <t>2026-08-01</t>
        </is>
      </c>
      <c r="B13" s="12" t="n">
        <v>8973.33</v>
      </c>
      <c r="C13" s="12" t="n">
        <v>8912.5</v>
      </c>
      <c r="D13" s="16" t="inlineStr">
        <is>
          <t>缺失</t>
        </is>
      </c>
      <c r="E13" s="16" t="inlineStr">
        <is>
          <t>缺失</t>
        </is>
      </c>
      <c r="F13" s="16" t="inlineStr">
        <is>
          <t>缺失</t>
        </is>
      </c>
      <c r="G13" s="16" t="inlineStr">
        <is>
          <t>缺失</t>
        </is>
      </c>
      <c r="H13" s="5" t="inlineStr"/>
    </row>
    <row r="14">
      <c r="A14" s="11" t="inlineStr">
        <is>
          <t>2026-08-03</t>
        </is>
      </c>
      <c r="B14" s="12" t="n">
        <v>9006.67</v>
      </c>
      <c r="C14" s="12" t="n">
        <v>8950</v>
      </c>
      <c r="D14" s="16" t="inlineStr">
        <is>
          <t>缺失</t>
        </is>
      </c>
      <c r="E14" s="16" t="inlineStr">
        <is>
          <t>缺失</t>
        </is>
      </c>
      <c r="F14" s="16" t="inlineStr">
        <is>
          <t>缺失</t>
        </is>
      </c>
      <c r="G14" s="16" t="inlineStr">
        <is>
          <t>缺失</t>
        </is>
      </c>
      <c r="H14" s="5" t="inlineStr"/>
    </row>
    <row r="15">
      <c r="A15" s="11" t="inlineStr">
        <is>
          <t>2026-08-04</t>
        </is>
      </c>
      <c r="B15" s="12" t="n">
        <v>9000</v>
      </c>
      <c r="C15" s="12" t="n">
        <v>9162.5</v>
      </c>
      <c r="D15" s="16" t="inlineStr">
        <is>
          <t>缺失</t>
        </is>
      </c>
      <c r="E15" s="16" t="inlineStr">
        <is>
          <t>缺失</t>
        </is>
      </c>
      <c r="F15" s="16" t="inlineStr">
        <is>
          <t>缺失</t>
        </is>
      </c>
      <c r="G15" s="16" t="inlineStr">
        <is>
          <t>缺失</t>
        </is>
      </c>
      <c r="H15" s="5" t="inlineStr"/>
    </row>
    <row r="16">
      <c r="A16" s="11" t="inlineStr">
        <is>
          <t>2026-08-05</t>
        </is>
      </c>
      <c r="B16" s="12" t="n">
        <v>8993.33</v>
      </c>
      <c r="C16" s="12" t="n">
        <v>9162.5</v>
      </c>
      <c r="D16" s="16" t="inlineStr">
        <is>
          <t>缺失</t>
        </is>
      </c>
      <c r="E16" s="16" t="inlineStr">
        <is>
          <t>缺失</t>
        </is>
      </c>
      <c r="F16" s="16" t="inlineStr">
        <is>
          <t>缺失</t>
        </is>
      </c>
      <c r="G16" s="16" t="inlineStr">
        <is>
          <t>缺失</t>
        </is>
      </c>
      <c r="H16" s="5" t="inlineStr"/>
    </row>
    <row r="17">
      <c r="A17" s="11" t="inlineStr">
        <is>
          <t>2026-08-06</t>
        </is>
      </c>
      <c r="B17" s="12" t="n">
        <v>8903.33</v>
      </c>
      <c r="C17" s="12" t="n">
        <v>9162.5</v>
      </c>
      <c r="D17" s="16" t="inlineStr">
        <is>
          <t>缺失</t>
        </is>
      </c>
      <c r="E17" s="16" t="inlineStr">
        <is>
          <t>缺失</t>
        </is>
      </c>
      <c r="F17" s="16" t="inlineStr">
        <is>
          <t>缺失</t>
        </is>
      </c>
      <c r="G17" s="16" t="inlineStr">
        <is>
          <t>缺失</t>
        </is>
      </c>
      <c r="H17" s="5" t="inlineStr"/>
    </row>
    <row r="18">
      <c r="A18" s="11" t="inlineStr">
        <is>
          <t>2026-08-07</t>
        </is>
      </c>
      <c r="B18" s="12" t="n">
        <v>8810</v>
      </c>
      <c r="C18" s="12" t="n">
        <v>9162.5</v>
      </c>
      <c r="D18" s="16" t="inlineStr">
        <is>
          <t>缺失</t>
        </is>
      </c>
      <c r="E18" s="16" t="inlineStr">
        <is>
          <t>缺失</t>
        </is>
      </c>
      <c r="F18" s="16" t="inlineStr">
        <is>
          <t>缺失</t>
        </is>
      </c>
      <c r="G18" s="16" t="inlineStr">
        <is>
          <t>缺失</t>
        </is>
      </c>
      <c r="H18" s="5" t="inlineStr"/>
    </row>
    <row r="19">
      <c r="A19" s="11" t="inlineStr">
        <is>
          <t>2026-08-10</t>
        </is>
      </c>
      <c r="B19" s="12" t="n">
        <v>8866.67</v>
      </c>
      <c r="C19" s="12" t="n">
        <v>9125</v>
      </c>
      <c r="D19" s="16" t="inlineStr">
        <is>
          <t>缺失</t>
        </is>
      </c>
      <c r="E19" s="16" t="inlineStr">
        <is>
          <t>缺失</t>
        </is>
      </c>
      <c r="F19" s="16" t="inlineStr">
        <is>
          <t>缺失</t>
        </is>
      </c>
      <c r="G19" s="16" t="inlineStr">
        <is>
          <t>缺失</t>
        </is>
      </c>
      <c r="H19" s="5" t="inlineStr"/>
    </row>
    <row r="20">
      <c r="A20" s="11" t="inlineStr">
        <is>
          <t>2026-08-11</t>
        </is>
      </c>
      <c r="B20" s="12" t="n">
        <v>8983.33</v>
      </c>
      <c r="C20" s="16" t="inlineStr">
        <is>
          <t>缺失</t>
        </is>
      </c>
      <c r="D20" s="16" t="inlineStr">
        <is>
          <t>缺失</t>
        </is>
      </c>
      <c r="E20" s="16" t="inlineStr">
        <is>
          <t>缺失</t>
        </is>
      </c>
      <c r="F20" s="16" t="inlineStr">
        <is>
          <t>缺失</t>
        </is>
      </c>
      <c r="G20" s="16" t="inlineStr">
        <is>
          <t>缺失</t>
        </is>
      </c>
      <c r="H20" s="5" t="inlineStr"/>
    </row>
    <row r="21">
      <c r="A21" s="11" t="inlineStr">
        <is>
          <t>2026-08-12</t>
        </is>
      </c>
      <c r="B21" s="12" t="n">
        <v>9010</v>
      </c>
      <c r="C21" s="12" t="n">
        <v>9150</v>
      </c>
      <c r="D21" s="16" t="inlineStr">
        <is>
          <t>缺失</t>
        </is>
      </c>
      <c r="E21" s="16" t="inlineStr">
        <is>
          <t>缺失</t>
        </is>
      </c>
      <c r="F21" s="16" t="inlineStr">
        <is>
          <t>缺失</t>
        </is>
      </c>
      <c r="G21" s="16" t="inlineStr">
        <is>
          <t>缺失</t>
        </is>
      </c>
      <c r="H21" s="5" t="inlineStr"/>
    </row>
    <row r="22">
      <c r="A22" s="11" t="inlineStr">
        <is>
          <t>2026-08-13</t>
        </is>
      </c>
      <c r="B22" s="12" t="n">
        <v>8993.33</v>
      </c>
      <c r="C22" s="12" t="n">
        <v>9175</v>
      </c>
      <c r="D22" s="16" t="inlineStr">
        <is>
          <t>缺失</t>
        </is>
      </c>
      <c r="E22" s="16" t="inlineStr">
        <is>
          <t>缺失</t>
        </is>
      </c>
      <c r="F22" s="16" t="inlineStr">
        <is>
          <t>缺失</t>
        </is>
      </c>
      <c r="G22" s="16" t="inlineStr">
        <is>
          <t>缺失</t>
        </is>
      </c>
      <c r="H22" s="5" t="inlineStr"/>
    </row>
    <row r="23">
      <c r="A23" s="11" t="inlineStr">
        <is>
          <t>2026-08-14</t>
        </is>
      </c>
      <c r="B23" s="12" t="n">
        <v>9016.67</v>
      </c>
      <c r="C23" s="12" t="n">
        <v>9175</v>
      </c>
      <c r="D23" s="16" t="inlineStr">
        <is>
          <t>缺失</t>
        </is>
      </c>
      <c r="E23" s="16" t="inlineStr">
        <is>
          <t>缺失</t>
        </is>
      </c>
      <c r="F23" s="16" t="inlineStr">
        <is>
          <t>缺失</t>
        </is>
      </c>
      <c r="G23" s="16" t="inlineStr">
        <is>
          <t>缺失</t>
        </is>
      </c>
      <c r="H23" s="5" t="inlineStr"/>
    </row>
    <row r="24">
      <c r="A24" s="11" t="inlineStr">
        <is>
          <t>2026-08-17</t>
        </is>
      </c>
      <c r="B24" s="12" t="n">
        <v>9133.33</v>
      </c>
      <c r="C24" s="12" t="n">
        <v>9187.5</v>
      </c>
      <c r="D24" s="16" t="inlineStr">
        <is>
          <t>缺失</t>
        </is>
      </c>
      <c r="E24" s="16" t="inlineStr">
        <is>
          <t>缺失</t>
        </is>
      </c>
      <c r="F24" s="16" t="inlineStr">
        <is>
          <t>缺失</t>
        </is>
      </c>
      <c r="G24" s="16" t="inlineStr">
        <is>
          <t>缺失</t>
        </is>
      </c>
      <c r="H24" s="5" t="inlineStr"/>
    </row>
    <row r="25">
      <c r="A25" s="11" t="inlineStr">
        <is>
          <t>2026-08-18</t>
        </is>
      </c>
      <c r="B25" s="12" t="n">
        <v>9183.33</v>
      </c>
      <c r="C25" s="12" t="n">
        <v>9237.5</v>
      </c>
      <c r="D25" s="16" t="inlineStr">
        <is>
          <t>缺失</t>
        </is>
      </c>
      <c r="E25" s="16" t="inlineStr">
        <is>
          <t>缺失</t>
        </is>
      </c>
      <c r="F25" s="16" t="inlineStr">
        <is>
          <t>缺失</t>
        </is>
      </c>
      <c r="G25" s="16" t="inlineStr">
        <is>
          <t>缺失</t>
        </is>
      </c>
      <c r="H25" s="5" t="inlineStr"/>
    </row>
    <row r="26">
      <c r="A26" s="11" t="inlineStr">
        <is>
          <t>2026-08-19</t>
        </is>
      </c>
      <c r="B26" s="12" t="n">
        <v>9200</v>
      </c>
      <c r="C26" s="12" t="n">
        <v>9237.5</v>
      </c>
      <c r="D26" s="16" t="inlineStr">
        <is>
          <t>缺失</t>
        </is>
      </c>
      <c r="E26" s="16" t="inlineStr">
        <is>
          <t>缺失</t>
        </is>
      </c>
      <c r="F26" s="16" t="inlineStr">
        <is>
          <t>缺失</t>
        </is>
      </c>
      <c r="G26" s="16" t="inlineStr">
        <is>
          <t>缺失</t>
        </is>
      </c>
      <c r="H26" s="5" t="inlineStr"/>
    </row>
    <row r="27">
      <c r="A27" s="11" t="inlineStr">
        <is>
          <t>2026-08-20</t>
        </is>
      </c>
      <c r="B27" s="12" t="n">
        <v>9233.33</v>
      </c>
      <c r="C27" s="12" t="n">
        <v>9250</v>
      </c>
      <c r="D27" s="16" t="inlineStr">
        <is>
          <t>缺失</t>
        </is>
      </c>
      <c r="E27" s="16" t="inlineStr">
        <is>
          <t>缺失</t>
        </is>
      </c>
      <c r="F27" s="16" t="inlineStr">
        <is>
          <t>缺失</t>
        </is>
      </c>
      <c r="G27" s="16" t="inlineStr">
        <is>
          <t>缺失</t>
        </is>
      </c>
      <c r="H27" s="5" t="inlineStr"/>
    </row>
    <row r="28">
      <c r="A28" s="11" t="inlineStr">
        <is>
          <t>2026-08-21</t>
        </is>
      </c>
      <c r="B28" s="12" t="n">
        <v>9216.67</v>
      </c>
      <c r="C28" s="12" t="n">
        <v>9250</v>
      </c>
      <c r="D28" s="16" t="inlineStr">
        <is>
          <t>缺失</t>
        </is>
      </c>
      <c r="E28" s="16" t="inlineStr">
        <is>
          <t>缺失</t>
        </is>
      </c>
      <c r="F28" s="16" t="inlineStr">
        <is>
          <t>缺失</t>
        </is>
      </c>
      <c r="G28" s="16" t="inlineStr">
        <is>
          <t>缺失</t>
        </is>
      </c>
      <c r="H28" s="5" t="inlineStr"/>
    </row>
    <row r="29">
      <c r="A29" s="11" t="inlineStr">
        <is>
          <t>2026-08-24</t>
        </is>
      </c>
      <c r="B29" s="12" t="n">
        <v>9216.67</v>
      </c>
      <c r="C29" s="12" t="n">
        <v>9225</v>
      </c>
      <c r="D29" s="16" t="inlineStr">
        <is>
          <t>缺失</t>
        </is>
      </c>
      <c r="E29" s="16" t="inlineStr">
        <is>
          <t>缺失</t>
        </is>
      </c>
      <c r="F29" s="16" t="inlineStr">
        <is>
          <t>缺失</t>
        </is>
      </c>
      <c r="G29" s="16" t="inlineStr">
        <is>
          <t>缺失</t>
        </is>
      </c>
      <c r="H29" s="5" t="inlineStr"/>
    </row>
    <row r="30">
      <c r="A30" s="11" t="inlineStr">
        <is>
          <t>2026-08-25</t>
        </is>
      </c>
      <c r="B30" s="12" t="n">
        <v>9216.67</v>
      </c>
      <c r="C30" s="12" t="n">
        <v>9225</v>
      </c>
      <c r="D30" s="16" t="inlineStr">
        <is>
          <t>缺失</t>
        </is>
      </c>
      <c r="E30" s="16" t="inlineStr">
        <is>
          <t>缺失</t>
        </is>
      </c>
      <c r="F30" s="16" t="inlineStr">
        <is>
          <t>缺失</t>
        </is>
      </c>
      <c r="G30" s="16" t="inlineStr">
        <is>
          <t>缺失</t>
        </is>
      </c>
      <c r="H30" s="5" t="inlineStr"/>
    </row>
    <row r="31">
      <c r="A31" s="11" t="inlineStr">
        <is>
          <t>2026-08-26</t>
        </is>
      </c>
      <c r="B31" s="12" t="n">
        <v>9246.67</v>
      </c>
      <c r="C31" s="12" t="n">
        <v>9237.5</v>
      </c>
      <c r="D31" s="16" t="inlineStr">
        <is>
          <t>缺失</t>
        </is>
      </c>
      <c r="E31" s="16" t="inlineStr">
        <is>
          <t>缺失</t>
        </is>
      </c>
      <c r="F31" s="16" t="inlineStr">
        <is>
          <t>缺失</t>
        </is>
      </c>
      <c r="G31" s="16" t="inlineStr">
        <is>
          <t>缺失</t>
        </is>
      </c>
      <c r="H31" s="5" t="inlineStr"/>
    </row>
    <row r="32">
      <c r="A32" s="11" t="inlineStr">
        <is>
          <t>2026-08-27</t>
        </is>
      </c>
      <c r="B32" s="16" t="inlineStr">
        <is>
          <t>缺失</t>
        </is>
      </c>
      <c r="C32" s="12" t="n">
        <v>9237.5</v>
      </c>
      <c r="D32" s="16" t="inlineStr">
        <is>
          <t>缺失</t>
        </is>
      </c>
      <c r="E32" s="16" t="inlineStr">
        <is>
          <t>缺失</t>
        </is>
      </c>
      <c r="F32" s="16" t="inlineStr">
        <is>
          <t>缺失</t>
        </is>
      </c>
      <c r="G32" s="16" t="inlineStr">
        <is>
          <t>缺失</t>
        </is>
      </c>
      <c r="H32" s="5" t="inlineStr"/>
    </row>
    <row r="33">
      <c r="A33" s="11" t="inlineStr">
        <is>
          <t>2026-09-01</t>
        </is>
      </c>
      <c r="B33" s="12" t="n">
        <v>9543.33</v>
      </c>
      <c r="C33" s="12" t="n">
        <v>9350</v>
      </c>
      <c r="D33" s="12" t="n">
        <v>9227.67</v>
      </c>
      <c r="E33" s="12" t="n">
        <v>85.76000000000001</v>
      </c>
      <c r="F33" s="16" t="inlineStr">
        <is>
          <t>缺失</t>
        </is>
      </c>
      <c r="G33" s="16" t="inlineStr">
        <is>
          <t>缺失</t>
        </is>
      </c>
      <c r="H33" s="5" t="inlineStr"/>
    </row>
    <row r="34">
      <c r="A34" s="11" t="inlineStr">
        <is>
          <t>2026-09-15</t>
        </is>
      </c>
      <c r="B34" s="12" t="n">
        <v>10100</v>
      </c>
      <c r="C34" s="12" t="n">
        <v>10087.5</v>
      </c>
      <c r="D34" s="16" t="inlineStr">
        <is>
          <t>缺失</t>
        </is>
      </c>
      <c r="E34" s="16" t="inlineStr">
        <is>
          <t>缺失</t>
        </is>
      </c>
      <c r="F34" s="16" t="inlineStr">
        <is>
          <t>缺失</t>
        </is>
      </c>
      <c r="G34" s="16" t="inlineStr">
        <is>
          <t>缺失</t>
        </is>
      </c>
      <c r="H34" s="5" t="inlineStr"/>
    </row>
    <row r="35">
      <c r="A35" s="11" t="inlineStr">
        <is>
          <t>2026-09-16</t>
        </is>
      </c>
      <c r="B35" s="12" t="n">
        <v>10116.67</v>
      </c>
      <c r="C35" s="12" t="n">
        <v>10075</v>
      </c>
      <c r="D35" s="16" t="inlineStr">
        <is>
          <t>缺失</t>
        </is>
      </c>
      <c r="E35" s="16" t="inlineStr">
        <is>
          <t>缺失</t>
        </is>
      </c>
      <c r="F35" s="16" t="inlineStr">
        <is>
          <t>缺失</t>
        </is>
      </c>
      <c r="G35" s="16" t="inlineStr">
        <is>
          <t>缺失</t>
        </is>
      </c>
      <c r="H35" s="5" t="inlineStr"/>
    </row>
    <row r="36">
      <c r="A36" s="11" t="inlineStr">
        <is>
          <t>2026-09-17</t>
        </is>
      </c>
      <c r="B36" s="12" t="n">
        <v>10116.67</v>
      </c>
      <c r="C36" s="12" t="n">
        <v>10112.5</v>
      </c>
      <c r="D36" s="16" t="inlineStr">
        <is>
          <t>缺失</t>
        </is>
      </c>
      <c r="E36" s="16" t="inlineStr">
        <is>
          <t>缺失</t>
        </is>
      </c>
      <c r="F36" s="16" t="inlineStr">
        <is>
          <t>缺失</t>
        </is>
      </c>
      <c r="G36" s="16" t="inlineStr">
        <is>
          <t>缺失</t>
        </is>
      </c>
      <c r="H36" s="5" t="inlineStr"/>
    </row>
    <row r="37">
      <c r="A37" s="11" t="inlineStr">
        <is>
          <t>2026-09-18</t>
        </is>
      </c>
      <c r="B37" s="12" t="n">
        <v>10116.67</v>
      </c>
      <c r="C37" s="12" t="n">
        <v>10125</v>
      </c>
      <c r="D37" s="16" t="inlineStr">
        <is>
          <t>缺失</t>
        </is>
      </c>
      <c r="E37" s="16" t="inlineStr">
        <is>
          <t>缺失</t>
        </is>
      </c>
      <c r="F37" s="16" t="inlineStr">
        <is>
          <t>缺失</t>
        </is>
      </c>
      <c r="G37" s="16" t="inlineStr">
        <is>
          <t>缺失</t>
        </is>
      </c>
      <c r="H37" s="5" t="inlineStr"/>
    </row>
    <row r="38">
      <c r="A38" s="11" t="inlineStr">
        <is>
          <t>2026-09-21</t>
        </is>
      </c>
      <c r="B38" s="12" t="n">
        <v>10083.33</v>
      </c>
      <c r="C38" s="12" t="n">
        <v>10125</v>
      </c>
      <c r="D38" s="16" t="inlineStr">
        <is>
          <t>缺失</t>
        </is>
      </c>
      <c r="E38" s="16" t="inlineStr">
        <is>
          <t>缺失</t>
        </is>
      </c>
      <c r="F38" s="16" t="inlineStr">
        <is>
          <t>缺失</t>
        </is>
      </c>
      <c r="G38" s="16" t="inlineStr">
        <is>
          <t>缺失</t>
        </is>
      </c>
      <c r="H38" s="5" t="inlineStr"/>
    </row>
    <row r="39">
      <c r="A39" s="11" t="inlineStr">
        <is>
          <t>2026-09-22</t>
        </is>
      </c>
      <c r="B39" s="12" t="n">
        <v>9933.33</v>
      </c>
      <c r="C39" s="12" t="n">
        <v>10112.5</v>
      </c>
      <c r="D39" s="16" t="inlineStr">
        <is>
          <t>缺失</t>
        </is>
      </c>
      <c r="E39" s="16" t="inlineStr">
        <is>
          <t>缺失</t>
        </is>
      </c>
      <c r="F39" s="16" t="inlineStr">
        <is>
          <t>缺失</t>
        </is>
      </c>
      <c r="G39" s="16" t="inlineStr">
        <is>
          <t>缺失</t>
        </is>
      </c>
      <c r="H39" s="5" t="inlineStr"/>
    </row>
    <row r="40">
      <c r="A40" s="11" t="inlineStr">
        <is>
          <t>2026-09-23</t>
        </is>
      </c>
      <c r="B40" s="12" t="n">
        <v>9883.33</v>
      </c>
      <c r="C40" s="12" t="n">
        <v>10112.5</v>
      </c>
      <c r="D40" s="16" t="inlineStr">
        <is>
          <t>缺失</t>
        </is>
      </c>
      <c r="E40" s="16" t="inlineStr">
        <is>
          <t>缺失</t>
        </is>
      </c>
      <c r="F40" s="16" t="inlineStr">
        <is>
          <t>缺失</t>
        </is>
      </c>
      <c r="G40" s="16" t="inlineStr">
        <is>
          <t>缺失</t>
        </is>
      </c>
      <c r="H40" s="5" t="inlineStr"/>
    </row>
    <row r="41">
      <c r="A41" s="11" t="inlineStr">
        <is>
          <t>2026-09-24</t>
        </is>
      </c>
      <c r="B41" s="12" t="n">
        <v>9883.33</v>
      </c>
      <c r="C41" s="12" t="n">
        <v>10100</v>
      </c>
      <c r="D41" s="16" t="inlineStr">
        <is>
          <t>缺失</t>
        </is>
      </c>
      <c r="E41" s="16" t="inlineStr">
        <is>
          <t>缺失</t>
        </is>
      </c>
      <c r="F41" s="16" t="inlineStr">
        <is>
          <t>缺失</t>
        </is>
      </c>
      <c r="G41" s="16" t="inlineStr">
        <is>
          <t>缺失</t>
        </is>
      </c>
      <c r="H41" s="5" t="inlineStr"/>
    </row>
    <row r="42">
      <c r="A42" s="11" t="inlineStr">
        <is>
          <t>2026-09-25</t>
        </is>
      </c>
      <c r="B42" s="12" t="n">
        <v>9883.33</v>
      </c>
      <c r="C42" s="12" t="n">
        <v>10100</v>
      </c>
      <c r="D42" s="16" t="inlineStr">
        <is>
          <t>缺失</t>
        </is>
      </c>
      <c r="E42" s="16" t="inlineStr">
        <is>
          <t>缺失</t>
        </is>
      </c>
      <c r="F42" s="16" t="inlineStr">
        <is>
          <t>缺失</t>
        </is>
      </c>
      <c r="G42" s="16" t="inlineStr">
        <is>
          <t>缺失</t>
        </is>
      </c>
      <c r="H42" s="5" t="inlineStr"/>
    </row>
    <row r="43">
      <c r="A43" s="11" t="inlineStr">
        <is>
          <t>2026-09-28</t>
        </is>
      </c>
      <c r="B43" s="12" t="n">
        <v>9950</v>
      </c>
      <c r="C43" s="12" t="n">
        <v>10100</v>
      </c>
      <c r="D43" s="16" t="inlineStr">
        <is>
          <t>缺失</t>
        </is>
      </c>
      <c r="E43" s="16" t="inlineStr">
        <is>
          <t>缺失</t>
        </is>
      </c>
      <c r="F43" s="16" t="inlineStr">
        <is>
          <t>缺失</t>
        </is>
      </c>
      <c r="G43" s="16" t="inlineStr">
        <is>
          <t>缺失</t>
        </is>
      </c>
      <c r="H43" s="5" t="inlineStr"/>
    </row>
    <row r="44">
      <c r="A44" s="11" t="inlineStr">
        <is>
          <t>2026-09-29</t>
        </is>
      </c>
      <c r="B44" s="12" t="n">
        <v>9950</v>
      </c>
      <c r="C44" s="12" t="n">
        <v>10100</v>
      </c>
      <c r="D44" s="16" t="inlineStr">
        <is>
          <t>缺失</t>
        </is>
      </c>
      <c r="E44" s="16" t="inlineStr">
        <is>
          <t>缺失</t>
        </is>
      </c>
      <c r="F44" s="16" t="inlineStr">
        <is>
          <t>缺失</t>
        </is>
      </c>
      <c r="G44" s="16" t="inlineStr">
        <is>
          <t>缺失</t>
        </is>
      </c>
      <c r="H44" s="5" t="inlineStr"/>
    </row>
    <row r="45">
      <c r="A45" s="11" t="inlineStr">
        <is>
          <t>2026-09-30</t>
        </is>
      </c>
      <c r="B45" s="12" t="n">
        <v>9933.33</v>
      </c>
      <c r="C45" s="12" t="n">
        <v>10162.5</v>
      </c>
      <c r="D45" s="16" t="inlineStr">
        <is>
          <t>缺失</t>
        </is>
      </c>
      <c r="E45" s="16" t="inlineStr">
        <is>
          <t>缺失</t>
        </is>
      </c>
      <c r="F45" s="16" t="inlineStr">
        <is>
          <t>缺失</t>
        </is>
      </c>
      <c r="G45" s="16" t="inlineStr">
        <is>
          <t>缺失</t>
        </is>
      </c>
      <c r="H45" s="5" t="inlineStr"/>
    </row>
    <row r="46">
      <c r="A46" s="11" t="inlineStr">
        <is>
          <t>2026-10-01</t>
        </is>
      </c>
      <c r="B46" s="12" t="n">
        <v>9933.33</v>
      </c>
      <c r="C46" s="12" t="n">
        <v>10162.5</v>
      </c>
      <c r="D46" s="12" t="n">
        <v>9707.67</v>
      </c>
      <c r="E46" s="12" t="n">
        <v>89.38</v>
      </c>
      <c r="F46" s="12" t="n">
        <v>102.31</v>
      </c>
      <c r="G46" s="16" t="inlineStr">
        <is>
          <t>缺失</t>
        </is>
      </c>
      <c r="H46" s="5" t="inlineStr">
        <is>
          <t>核验窗口起点</t>
        </is>
      </c>
    </row>
    <row r="47">
      <c r="A47" s="11" t="inlineStr">
        <is>
          <t>2026-10-02</t>
        </is>
      </c>
      <c r="B47" s="16" t="inlineStr">
        <is>
          <t>缺失</t>
        </is>
      </c>
      <c r="C47" s="16" t="inlineStr">
        <is>
          <t>缺失</t>
        </is>
      </c>
      <c r="D47" s="16" t="inlineStr">
        <is>
          <t>缺失</t>
        </is>
      </c>
      <c r="E47" s="12" t="n">
        <v>89.38</v>
      </c>
      <c r="F47" s="16" t="inlineStr">
        <is>
          <t>缺失</t>
        </is>
      </c>
      <c r="G47" s="16" t="inlineStr">
        <is>
          <t>缺失</t>
        </is>
      </c>
      <c r="H47" s="5" t="inlineStr"/>
    </row>
    <row r="48">
      <c r="A48" s="11" t="inlineStr">
        <is>
          <t>2026-10-05</t>
        </is>
      </c>
      <c r="B48" s="16" t="inlineStr">
        <is>
          <t>缺失</t>
        </is>
      </c>
      <c r="C48" s="16" t="inlineStr">
        <is>
          <t>缺失</t>
        </is>
      </c>
      <c r="D48" s="12" t="n">
        <v>9707.67</v>
      </c>
      <c r="E48" s="12" t="n">
        <v>89.38</v>
      </c>
      <c r="F48" s="16" t="inlineStr">
        <is>
          <t>缺失</t>
        </is>
      </c>
      <c r="G48" s="16" t="inlineStr">
        <is>
          <t>缺失</t>
        </is>
      </c>
      <c r="H48" s="5" t="inlineStr"/>
    </row>
    <row r="49">
      <c r="A49" s="11" t="inlineStr">
        <is>
          <t>2026-10-06</t>
        </is>
      </c>
      <c r="B49" s="16" t="inlineStr">
        <is>
          <t>缺失</t>
        </is>
      </c>
      <c r="C49" s="16" t="inlineStr">
        <is>
          <t>缺失</t>
        </is>
      </c>
      <c r="D49" s="12" t="n">
        <v>9707.67</v>
      </c>
      <c r="E49" s="12" t="n">
        <v>89.38</v>
      </c>
      <c r="F49" s="16" t="inlineStr">
        <is>
          <t>缺失</t>
        </is>
      </c>
      <c r="G49" s="16" t="inlineStr">
        <is>
          <t>缺失</t>
        </is>
      </c>
      <c r="H49" s="5" t="inlineStr"/>
    </row>
    <row r="50">
      <c r="A50" s="11" t="inlineStr">
        <is>
          <t>2026-10-07</t>
        </is>
      </c>
      <c r="B50" s="16" t="inlineStr">
        <is>
          <t>缺失</t>
        </is>
      </c>
      <c r="C50" s="16" t="inlineStr">
        <is>
          <t>缺失</t>
        </is>
      </c>
      <c r="D50" s="12" t="n">
        <v>9707.67</v>
      </c>
      <c r="E50" s="12" t="n">
        <v>89.38</v>
      </c>
      <c r="F50" s="12" t="n">
        <v>96.16</v>
      </c>
      <c r="G50" s="16" t="inlineStr">
        <is>
          <t>缺失</t>
        </is>
      </c>
      <c r="H50" s="5" t="inlineStr"/>
    </row>
    <row r="51">
      <c r="A51" s="11" t="inlineStr">
        <is>
          <t>2026-10-08</t>
        </is>
      </c>
      <c r="B51" s="16" t="inlineStr">
        <is>
          <t>缺失</t>
        </is>
      </c>
      <c r="C51" s="16" t="inlineStr">
        <is>
          <t>缺失</t>
        </is>
      </c>
      <c r="D51" s="12" t="n">
        <v>9977.67</v>
      </c>
      <c r="E51" s="12" t="n">
        <v>88.28</v>
      </c>
      <c r="F51" s="12" t="n">
        <v>100.2</v>
      </c>
      <c r="G51" s="16" t="inlineStr">
        <is>
          <t>缺失</t>
        </is>
      </c>
      <c r="H51" s="5" t="inlineStr">
        <is>
          <t>期货跳涨日(PP期货+7.08%, WTI反而下跌)</t>
        </is>
      </c>
    </row>
    <row r="52">
      <c r="A52" s="11" t="inlineStr">
        <is>
          <t>2026-10-09</t>
        </is>
      </c>
      <c r="B52" s="16" t="inlineStr">
        <is>
          <t>缺失</t>
        </is>
      </c>
      <c r="C52" s="16" t="inlineStr">
        <is>
          <t>缺失</t>
        </is>
      </c>
      <c r="D52" s="12" t="n">
        <v>10291</v>
      </c>
      <c r="E52" s="12" t="n">
        <v>91.48999999999999</v>
      </c>
      <c r="F52" s="12" t="n">
        <v>104.28</v>
      </c>
      <c r="G52" s="16" t="inlineStr">
        <is>
          <t>缺失</t>
        </is>
      </c>
      <c r="H52" s="5" t="inlineStr"/>
    </row>
    <row r="53">
      <c r="A53" s="11" t="inlineStr">
        <is>
          <t>2026-10-12</t>
        </is>
      </c>
      <c r="B53" s="12" t="n">
        <v>10566.67</v>
      </c>
      <c r="C53" s="12" t="n">
        <v>10725</v>
      </c>
      <c r="D53" s="12" t="n">
        <v>10751</v>
      </c>
      <c r="E53" s="12" t="n">
        <v>91.84999999999999</v>
      </c>
      <c r="F53" s="12" t="n">
        <v>104.72</v>
      </c>
      <c r="G53" s="16" t="inlineStr">
        <is>
          <t>缺失</t>
        </is>
      </c>
      <c r="H53" s="5" t="inlineStr">
        <is>
          <t>丙烯见高10751</t>
        </is>
      </c>
    </row>
    <row r="54">
      <c r="A54" s="11" t="inlineStr">
        <is>
          <t>2026-10-13</t>
        </is>
      </c>
      <c r="B54" s="12" t="n">
        <v>10583.33</v>
      </c>
      <c r="C54" s="12" t="n">
        <v>10850</v>
      </c>
      <c r="D54" s="12" t="n">
        <v>10701</v>
      </c>
      <c r="E54" s="12" t="n">
        <v>93.73999999999999</v>
      </c>
      <c r="F54" s="12" t="n">
        <v>106.65</v>
      </c>
      <c r="G54" s="16" t="inlineStr">
        <is>
          <t>缺失</t>
        </is>
      </c>
      <c r="H54" s="5" t="inlineStr"/>
    </row>
    <row r="55">
      <c r="A55" s="11" t="inlineStr">
        <is>
          <t>2026-10-14</t>
        </is>
      </c>
      <c r="B55" s="12" t="n">
        <v>10656.67</v>
      </c>
      <c r="C55" s="12" t="n">
        <v>10862.5</v>
      </c>
      <c r="D55" s="12" t="n">
        <v>10701</v>
      </c>
      <c r="E55" s="12" t="n">
        <v>94.14</v>
      </c>
      <c r="F55" s="12" t="n">
        <v>105.69</v>
      </c>
      <c r="G55" s="16" t="inlineStr">
        <is>
          <t>缺失</t>
        </is>
      </c>
      <c r="H55" s="5" t="inlineStr"/>
    </row>
    <row r="56">
      <c r="A56" s="11" t="inlineStr">
        <is>
          <t>2026-10-15</t>
        </is>
      </c>
      <c r="B56" s="12" t="n">
        <v>10750</v>
      </c>
      <c r="C56" s="12" t="n">
        <v>10912.5</v>
      </c>
      <c r="D56" s="12" t="n">
        <v>10701</v>
      </c>
      <c r="E56" s="12" t="n">
        <v>95.09</v>
      </c>
      <c r="F56" s="12" t="n">
        <v>106.06</v>
      </c>
      <c r="G56" s="12" t="n">
        <v>10862.32</v>
      </c>
      <c r="H56" s="5" t="inlineStr"/>
    </row>
    <row r="57">
      <c r="A57" s="11" t="inlineStr">
        <is>
          <t>2026-10-16</t>
        </is>
      </c>
      <c r="B57" s="12" t="n">
        <v>10750</v>
      </c>
      <c r="C57" s="12" t="n">
        <v>10912.5</v>
      </c>
      <c r="D57" s="12" t="n">
        <v>10684.33</v>
      </c>
      <c r="E57" s="12" t="n">
        <v>97.97</v>
      </c>
      <c r="F57" s="12" t="n">
        <v>105.92</v>
      </c>
      <c r="G57" s="12" t="n">
        <v>10828.76</v>
      </c>
      <c r="H57" s="5" t="inlineStr"/>
    </row>
    <row r="58">
      <c r="A58" s="11" t="inlineStr">
        <is>
          <t>2026-10-19</t>
        </is>
      </c>
      <c r="B58" s="12" t="n">
        <v>10756.67</v>
      </c>
      <c r="C58" s="12" t="n">
        <v>10912.5</v>
      </c>
      <c r="D58" s="12" t="n">
        <v>10534.33</v>
      </c>
      <c r="E58" s="12" t="n">
        <v>101.41</v>
      </c>
      <c r="F58" s="12" t="n">
        <v>109.86</v>
      </c>
      <c r="G58" s="16" t="inlineStr">
        <is>
          <t>缺失</t>
        </is>
      </c>
      <c r="H58" s="5" t="inlineStr">
        <is>
          <t>核验窗口终点/数据截止</t>
        </is>
      </c>
    </row>
    <row r="59">
      <c r="A59" s="11" t="inlineStr">
        <is>
          <t>2026-10-20</t>
        </is>
      </c>
      <c r="B59" s="12" t="n">
        <v>10756.67</v>
      </c>
      <c r="C59" s="16" t="inlineStr">
        <is>
          <t>缺失</t>
        </is>
      </c>
      <c r="D59" s="16" t="inlineStr">
        <is>
          <t>缺失</t>
        </is>
      </c>
      <c r="E59" s="16" t="inlineStr">
        <is>
          <t>缺失</t>
        </is>
      </c>
      <c r="F59" s="16" t="inlineStr">
        <is>
          <t>缺失</t>
        </is>
      </c>
      <c r="G59" s="16" t="inlineStr">
        <is>
          <t>缺失</t>
        </is>
      </c>
      <c r="H59" s="5" t="inlineStr"/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2E5C9A"/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22" customWidth="1" min="3" max="3"/>
    <col width="11" customWidth="1" min="4" max="4"/>
    <col width="10" customWidth="1" min="5" max="5"/>
    <col width="52" customWidth="1" min="6" max="6"/>
    <col width="52" customWidth="1" min="7" max="7"/>
  </cols>
  <sheetData>
    <row r="1" ht="30" customHeight="1">
      <c r="A1" s="1" t="inlineStr">
        <is>
          <t>08 · 原始来源清单</t>
        </is>
      </c>
    </row>
    <row r="2" ht="24" customHeight="1">
      <c r="A2" s="2" t="inlineStr">
        <is>
          <t>证据等级 A=官方/交易所原始数据；B=专业机构一手行业数据；C=媒体转述/二手；D=推断测算</t>
        </is>
      </c>
    </row>
    <row r="4" ht="30" customHeight="1">
      <c r="A4" s="10" t="inlineStr">
        <is>
          <t>编号</t>
        </is>
      </c>
      <c r="B4" s="10" t="inlineStr">
        <is>
          <t>标题</t>
        </is>
      </c>
      <c r="C4" s="10" t="inlineStr">
        <is>
          <t>发布方</t>
        </is>
      </c>
      <c r="D4" s="10" t="inlineStr">
        <is>
          <t>日期</t>
        </is>
      </c>
      <c r="E4" s="10" t="inlineStr">
        <is>
          <t>证据等级</t>
        </is>
      </c>
      <c r="F4" s="10" t="inlineStr">
        <is>
          <t>原始数据说明</t>
        </is>
      </c>
      <c r="G4" s="10" t="inlineStr">
        <is>
          <t>链接</t>
        </is>
      </c>
    </row>
    <row r="5">
      <c r="A5" s="37" t="inlineStr">
        <is>
          <t>S01</t>
        </is>
      </c>
      <c r="B5" s="5" t="inlineStr">
        <is>
          <t>隆众资讯（新浪财经转载）：聚丙烯 | 节后飙涨驱动解构及拐点推演</t>
        </is>
      </c>
      <c r="C5" s="5" t="inlineStr">
        <is>
          <t>隆众资讯 / 新浪财经</t>
        </is>
      </c>
      <c r="D5" s="11" t="inlineStr">
        <is>
          <t>2026-10-12</t>
        </is>
      </c>
      <c r="E5" s="11" t="inlineStr">
        <is>
          <t>B</t>
        </is>
      </c>
      <c r="F5" s="5" t="inlineStr">
        <is>
          <t>披露10/8期货收盘9242、单日+611(+7.08%)、增仓逾6万手；华东拉丝10085→10371；华南进口丙烷932→1018美元/吨；商业库存68.78万吨；产能利用率66.28%；下游开工率；下周展望10400(+2.38%)</t>
        </is>
      </c>
      <c r="G5" s="41" t="inlineStr">
        <is>
          <t>https://k.sina.cn/article_5953189932_162d6782c067050n76.html</t>
        </is>
      </c>
    </row>
    <row r="6">
      <c r="A6" s="37" t="inlineStr">
        <is>
          <t>S02</t>
        </is>
      </c>
      <c r="B6" s="5" t="inlineStr">
        <is>
          <t>金联创（搜狐）：地缘局势推升成本 聚丙烯价格节后迎来持续上涨行情</t>
        </is>
      </c>
      <c r="C6" s="5" t="inlineStr">
        <is>
          <t>金联创塑料 / 搜狐</t>
        </is>
      </c>
      <c r="D6" s="11" t="inlineStr">
        <is>
          <t>2026-10-15</t>
        </is>
      </c>
      <c r="E6" s="11" t="inlineStr">
        <is>
          <t>B</t>
        </is>
      </c>
      <c r="F6" s="5" t="inlineStr">
        <is>
          <t>报价端：期货连续冲高、现货跟随、石化/中油上调出厂价；需求端：下游对高价抵触、随用随采、大规模投机补货少</t>
        </is>
      </c>
      <c r="G6" s="41" t="inlineStr">
        <is>
          <t>https://www.sohu.com/a/1088047801_798573</t>
        </is>
      </c>
    </row>
    <row r="7">
      <c r="A7" s="37" t="inlineStr">
        <is>
          <t>S03</t>
        </is>
      </c>
      <c r="B7" s="5" t="inlineStr">
        <is>
          <t>金联创（东方财富财富号）：PP产能扩张收官季 供应支撑步入尾声</t>
        </is>
      </c>
      <c r="C7" s="5" t="inlineStr">
        <is>
          <t>金联创 / 东方财富</t>
        </is>
      </c>
      <c r="D7" s="11" t="inlineStr">
        <is>
          <t>2026-10-15</t>
        </is>
      </c>
      <c r="E7" s="11" t="inlineStr">
        <is>
          <t>B</t>
        </is>
      </c>
      <c r="F7" s="5" t="inlineStr">
        <is>
          <t>PP总产能4969.5万吨；年内后续新增205万吨；2026年1-9月PP粒产量2703.99万吨，同比-7.63%(去年2927.46)</t>
        </is>
      </c>
      <c r="G7" s="41" t="inlineStr">
        <is>
          <t>https://caifuhao.eastmoney.com/news/20261015095115343215760</t>
        </is>
      </c>
    </row>
    <row r="8">
      <c r="A8" s="37" t="inlineStr">
        <is>
          <t>S04</t>
        </is>
      </c>
      <c r="B8" s="5" t="inlineStr">
        <is>
          <t>华联期货（搜狐）：聚丙烯：供应近紧远松，产能集中投放叠加旺季需求修复有限</t>
        </is>
      </c>
      <c r="C8" s="5" t="inlineStr">
        <is>
          <t>华联期货</t>
        </is>
      </c>
      <c r="D8" s="11" t="inlineStr">
        <is>
          <t>2026-10-16</t>
        </is>
      </c>
      <c r="E8" s="11" t="inlineStr">
        <is>
          <t>B</t>
        </is>
      </c>
      <c r="F8" s="5" t="inlineStr">
        <is>
          <t>四季度新增产能集中；2026年计划投产570万吨(+11.5%)；下游开工率显著低于近年同期；进口到港有限</t>
        </is>
      </c>
      <c r="G8" s="41" t="inlineStr">
        <is>
          <t>https://www.sohu.com/a/1088388385_121123911</t>
        </is>
      </c>
    </row>
    <row r="9">
      <c r="A9" s="37" t="inlineStr">
        <is>
          <t>S05</t>
        </is>
      </c>
      <c r="B9" s="5" t="inlineStr">
        <is>
          <t>兴园化工园区研究院（新浪财经）：2026四季度PP、PE装置拟投产汇总</t>
        </is>
      </c>
      <c r="C9" s="5" t="inlineStr">
        <is>
          <t>兴园化工园区研究院 / 新浪财经</t>
        </is>
      </c>
      <c r="D9" s="11" t="inlineStr">
        <is>
          <t>2026-10-10</t>
        </is>
      </c>
      <c r="E9" s="11" t="inlineStr">
        <is>
          <t>C</t>
        </is>
      </c>
      <c r="F9" s="5" t="inlineStr">
        <is>
          <t>Q4 PP+PE拟投近800万吨（正文表格为图片，单体项目明细未能提取）</t>
        </is>
      </c>
      <c r="G9" s="41" t="inlineStr">
        <is>
          <t>https://finance.sina.com.cn/roll/2026-10-10/doc-iniutcvr7469911.shtml</t>
        </is>
      </c>
    </row>
    <row r="10">
      <c r="A10" s="37" t="inlineStr">
        <is>
          <t>S06</t>
        </is>
      </c>
      <c r="B10" s="5" t="inlineStr">
        <is>
          <t>网易财经转载：丙烯 | 价格走高 产业链利润分化加剧</t>
        </is>
      </c>
      <c r="C10" s="5" t="inlineStr">
        <is>
          <t>网易 / 原文媒体</t>
        </is>
      </c>
      <c r="D10" s="11" t="inlineStr">
        <is>
          <t>2026-10</t>
        </is>
      </c>
      <c r="E10" s="11" t="inlineStr">
        <is>
          <t>C</t>
        </is>
      </c>
      <c r="F10" s="5" t="inlineStr">
        <is>
          <t>10/8山东丙烯10075(+335,+3.44%)、华东10025(+225)；石脑油制丙烯成本8857(-103)、PDH成本8595(+101)、MTO制丙烯成本13146(+1135,+9.45%)</t>
        </is>
      </c>
      <c r="G10" s="41" t="inlineStr">
        <is>
          <t>https://www.163.com/dy/article/L94S1HSD05568W0A.html</t>
        </is>
      </c>
    </row>
    <row r="11">
      <c r="A11" s="37" t="inlineStr">
        <is>
          <t>S07</t>
        </is>
      </c>
      <c r="B11" s="5" t="inlineStr">
        <is>
          <t>生意社：PP价格快讯（PP拉丝/纤维逐日参考价）</t>
        </is>
      </c>
      <c r="C11" s="5" t="inlineStr">
        <is>
          <t>生意社 100ppi</t>
        </is>
      </c>
      <c r="D11" s="11" t="inlineStr">
        <is>
          <t>2026-10-19</t>
        </is>
      </c>
      <c r="E11" s="11" t="inlineStr">
        <is>
          <t>A</t>
        </is>
      </c>
      <c r="F11" s="5" t="inlineStr">
        <is>
          <t>每日参考价+与月初对比；拉丝7/1=7940、8/1=8973.33、9/1=9543.33、9/30=9933.33、10/19=10756.67(+8.29% vs 10/1)</t>
        </is>
      </c>
      <c r="G11" s="41" t="inlineStr">
        <is>
          <t>https://www.100ppi.com/kx/detail-message-414--1.html</t>
        </is>
      </c>
    </row>
    <row r="12">
      <c r="A12" s="37" t="inlineStr">
        <is>
          <t>S08</t>
        </is>
      </c>
      <c r="B12" s="5" t="inlineStr">
        <is>
          <t>生意社：丙烯价格快讯</t>
        </is>
      </c>
      <c r="C12" s="5" t="inlineStr">
        <is>
          <t>生意社 100ppi</t>
        </is>
      </c>
      <c r="D12" s="11" t="inlineStr">
        <is>
          <t>2026-10-19</t>
        </is>
      </c>
      <c r="E12" s="11" t="inlineStr">
        <is>
          <t>A</t>
        </is>
      </c>
      <c r="F12" s="5" t="inlineStr">
        <is>
          <t>逐日：10/1 9707.67、10/8 9977.67、10/9 10291、10/12 10751(高点)、10/16 10684.33、10/19 10534.33(+8.52%)；9/1=9227.67</t>
        </is>
      </c>
      <c r="G12" s="41" t="inlineStr">
        <is>
          <t>https://www.100ppi.com/kx/detail-message-362--1.html</t>
        </is>
      </c>
    </row>
    <row r="13">
      <c r="A13" s="37" t="inlineStr">
        <is>
          <t>S09</t>
        </is>
      </c>
      <c r="B13" s="5" t="inlineStr">
        <is>
          <t>生意社：原油价格快讯（WTI/Brent逐日）</t>
        </is>
      </c>
      <c r="C13" s="5" t="inlineStr">
        <is>
          <t>生意社 100ppi</t>
        </is>
      </c>
      <c r="D13" s="11" t="inlineStr">
        <is>
          <t>2026-10-19</t>
        </is>
      </c>
      <c r="E13" s="11" t="inlineStr">
        <is>
          <t>A</t>
        </is>
      </c>
      <c r="F13" s="5" t="inlineStr">
        <is>
          <t>10/1 WTI 89.38、10/8 88.28(-4.94%)、10/19 101.41(+9.2%)；Brent 96.16→109.86(+7.38%)</t>
        </is>
      </c>
      <c r="G13" s="41" t="inlineStr">
        <is>
          <t>https://www.100ppi.com/kx/detail-message-45--1.html</t>
        </is>
      </c>
    </row>
    <row r="14">
      <c r="A14" s="37" t="inlineStr">
        <is>
          <t>S10</t>
        </is>
      </c>
      <c r="B14" s="5" t="inlineStr">
        <is>
          <t>生意社：PP期货收盘价（2026-10-19，全部合约）</t>
        </is>
      </c>
      <c r="C14" s="5" t="inlineStr">
        <is>
          <t>生意社 / 大连商品交易所</t>
        </is>
      </c>
      <c r="D14" s="11" t="inlineStr">
        <is>
          <t>2026-10-19</t>
        </is>
      </c>
      <c r="E14" s="11" t="inlineStr">
        <is>
          <t>A</t>
        </is>
      </c>
      <c r="F14" s="5" t="inlineStr">
        <is>
          <t>2611-2709共12个合约的开高低收、涨跌、成交量、持仓量</t>
        </is>
      </c>
      <c r="G14" s="41" t="inlineStr">
        <is>
          <t>https://pp.100ppi.com/</t>
        </is>
      </c>
    </row>
    <row r="15">
      <c r="A15" s="37" t="inlineStr">
        <is>
          <t>S11</t>
        </is>
      </c>
      <c r="B15" s="5" t="inlineStr">
        <is>
          <t>生意社：PP(拉丝)10月19日均差为335.17元/吨 由正向扩大转为缩小</t>
        </is>
      </c>
      <c r="C15" s="5" t="inlineStr">
        <is>
          <t>生意社 100ppi</t>
        </is>
      </c>
      <c r="D15" s="11" t="inlineStr">
        <is>
          <t>2026-10-19</t>
        </is>
      </c>
      <c r="E15" s="11" t="inlineStr">
        <is>
          <t>A</t>
        </is>
      </c>
      <c r="F15" s="5" t="inlineStr">
        <is>
          <t>均差=M10-M20=10673.00-10337.83=335.17；由扩大转为缩小（涨势减速信号）</t>
        </is>
      </c>
      <c r="G15" s="41" t="inlineStr">
        <is>
          <t>https://www.100ppi.com/news/detail-20261019-6368155.html</t>
        </is>
      </c>
    </row>
    <row r="16">
      <c r="A16" s="37" t="inlineStr">
        <is>
          <t>S12</t>
        </is>
      </c>
      <c r="B16" s="5" t="inlineStr">
        <is>
          <t>隆众资讯：节后聚丙烯市场成本驱动冲高 中长期供需趋于宽松（标题与摘要）</t>
        </is>
      </c>
      <c r="C16" s="5" t="inlineStr">
        <is>
          <t>隆众资讯</t>
        </is>
      </c>
      <c r="D16" s="11" t="inlineStr">
        <is>
          <t>2026-10-19</t>
        </is>
      </c>
      <c r="E16" s="11" t="inlineStr">
        <is>
          <t>B</t>
        </is>
      </c>
      <c r="F16" s="5" t="inlineStr">
        <is>
          <t>正文受限，仅标题可核验：定性为“成本驱动冲高/中长期供需趋于宽松”</t>
        </is>
      </c>
      <c r="G16" s="41" t="inlineStr">
        <is>
          <t>https://www.oilchem.net/26-1019-15-e5edf5d67950d471.html</t>
        </is>
      </c>
    </row>
    <row r="17">
      <c r="A17" s="37" t="inlineStr">
        <is>
          <t>S13</t>
        </is>
      </c>
      <c r="B17" s="5" t="inlineStr">
        <is>
          <t>隆众资讯：供应收缩产业链库存低位 聚丙烯价格偏强整理（标题）</t>
        </is>
      </c>
      <c r="C17" s="5" t="inlineStr">
        <is>
          <t>隆众资讯</t>
        </is>
      </c>
      <c r="D17" s="11" t="inlineStr">
        <is>
          <t>2026-10-16</t>
        </is>
      </c>
      <c r="E17" s="11" t="inlineStr">
        <is>
          <t>B</t>
        </is>
      </c>
      <c r="F17" s="5" t="inlineStr">
        <is>
          <t>正文受限，仅标题可核验：定性“供应收缩、库存低位、价格偏强整理”</t>
        </is>
      </c>
      <c r="G17" s="41" t="inlineStr">
        <is>
          <t>https://www.oilchem.net/26-1016-15-d865eb25136d18ce.html</t>
        </is>
      </c>
    </row>
    <row r="18">
      <c r="A18" s="37" t="inlineStr">
        <is>
          <t>S14</t>
        </is>
      </c>
      <c r="B18" s="5" t="inlineStr">
        <is>
          <t>隆众资讯：PP全国主流市场均价（7日价格数据）</t>
        </is>
      </c>
      <c r="C18" s="5" t="inlineStr">
        <is>
          <t>隆众资讯</t>
        </is>
      </c>
      <c r="D18" s="11" t="inlineStr">
        <is>
          <t>2026-10-19</t>
        </is>
      </c>
      <c r="E18" s="11" t="inlineStr">
        <is>
          <t>A</t>
        </is>
      </c>
      <c r="F18" s="5" t="inlineStr">
        <is>
          <t>全国PP日均价：10/16 10828.76(-33.56,-0.31%)、10/15 10862.32(-20.78,-0.19%)；30日历史需登录</t>
        </is>
      </c>
      <c r="G18" s="41" t="inlineStr">
        <is>
          <t>https://www.oilchem.net/seo-329-7.html</t>
        </is>
      </c>
    </row>
    <row r="19">
      <c r="A19" s="37" t="inlineStr">
        <is>
          <t>S15</t>
        </is>
      </c>
      <c r="B19" s="5" t="inlineStr">
        <is>
          <t>金联创（东方财富财富号）：地缘冲突放大行情振幅 9月聚丙烯价格冲高破万</t>
        </is>
      </c>
      <c r="C19" s="5" t="inlineStr">
        <is>
          <t>金联创 / 东方财富</t>
        </is>
      </c>
      <c r="D19" s="11" t="inlineStr">
        <is>
          <t>2026-09-20</t>
        </is>
      </c>
      <c r="E19" s="11" t="inlineStr">
        <is>
          <t>B</t>
        </is>
      </c>
      <c r="F19" s="5" t="inlineStr">
        <is>
          <t>年初价格指数6300；2月底-3月初地缘+原油推动冲高至9000以上(+40%)；9月中旬现货破万；9-10月基差或持续高位</t>
        </is>
      </c>
      <c r="G19" s="41" t="inlineStr">
        <is>
          <t>https://caifuhao.eastmoney.com/news/20260920104650465010490</t>
        </is>
      </c>
    </row>
    <row r="20">
      <c r="A20" s="37" t="inlineStr">
        <is>
          <t>S16</t>
        </is>
      </c>
      <c r="B20" s="5" t="inlineStr">
        <is>
          <t>百度爱采购指数：聚丙烯行情点评</t>
        </is>
      </c>
      <c r="C20" s="5" t="inlineStr">
        <is>
          <t>百度爱采购</t>
        </is>
      </c>
      <c r="D20" s="11" t="inlineStr">
        <is>
          <t>2026-10-19</t>
        </is>
      </c>
      <c r="E20" s="11" t="inlineStr">
        <is>
          <t>C</t>
        </is>
      </c>
      <c r="F20" s="5" t="inlineStr">
        <is>
          <t>10/19聚丙烯粒料市场均价10677元/吨(+35,+0.33%)；拉丝主流成交10400-10750</t>
        </is>
      </c>
      <c r="G20" s="41" t="inlineStr">
        <is>
          <t>https://www.baiinfo.com/tongyongsuliao/jubingxililiao</t>
        </is>
      </c>
    </row>
    <row r="21">
      <c r="A21" s="37" t="inlineStr">
        <is>
          <t>S17</t>
        </is>
      </c>
      <c r="B21" s="5" t="inlineStr">
        <is>
          <t>证券时报/期货日报：“吨亏破千”？PDH行业停工潮将至？</t>
        </is>
      </c>
      <c r="C21" s="5" t="inlineStr">
        <is>
          <t>证券时报 / 期货日报</t>
        </is>
      </c>
      <c r="D21" s="11" t="inlineStr">
        <is>
          <t>2026-01-02</t>
        </is>
      </c>
      <c r="E21" s="11" t="inlineStr">
        <is>
          <t>C</t>
        </is>
      </c>
      <c r="F21" s="5" t="inlineStr">
        <is>
          <t>2026年初PDH利润-1400元/吨（近6年同期最低）；2025年PP产能增速12%，2026年约10%，需求增速4%-5%；PDH停车传闻未证实</t>
        </is>
      </c>
      <c r="G21" s="41" t="inlineStr">
        <is>
          <t>https://www.stcn.com/article/detail/3568173.html</t>
        </is>
      </c>
    </row>
    <row r="22">
      <c r="A22" s="37" t="inlineStr">
        <is>
          <t>S18</t>
        </is>
      </c>
      <c r="B22" s="5" t="inlineStr">
        <is>
          <t>Trading Economics：聚丙烯 CFD 基准价</t>
        </is>
      </c>
      <c r="C22" s="5" t="inlineStr">
        <is>
          <t>Trading Economics</t>
        </is>
      </c>
      <c r="D22" s="11" t="inlineStr">
        <is>
          <t>2026-10-16</t>
        </is>
      </c>
      <c r="E22" s="11" t="inlineStr">
        <is>
          <t>C</t>
        </is>
      </c>
      <c r="F22" s="5" t="inlineStr">
        <is>
          <t>2026-10-16 9397元/吨(-0.77%)；过去一个月+5.88%；同比+44.39%（口径与国际基准相关，与国内拉丝现货不同标的）</t>
        </is>
      </c>
      <c r="G22" s="41" t="inlineStr">
        <is>
          <t>https://zh.tradingeconomics.com/commodity/polypropylene</t>
        </is>
      </c>
    </row>
    <row r="23">
      <c r="A23" s="37" t="inlineStr">
        <is>
          <t>S19</t>
        </is>
      </c>
      <c r="B23" s="5" t="inlineStr">
        <is>
          <t>生意社：2026年10月20日PP(拉丝)基准价10756.67元/吨</t>
        </is>
      </c>
      <c r="C23" s="5" t="inlineStr">
        <is>
          <t>生意社 100ppi</t>
        </is>
      </c>
      <c r="D23" s="11" t="inlineStr">
        <is>
          <t>2026-10-20</t>
        </is>
      </c>
      <c r="E23" s="11" t="inlineStr">
        <is>
          <t>A</t>
        </is>
      </c>
      <c r="F23" s="5" t="inlineStr">
        <is>
          <t>引自快讯列表标题（10-20 08:30），数值与10/19持平</t>
        </is>
      </c>
      <c r="G23" s="41" t="inlineStr">
        <is>
          <t>https://www.100ppi.com/news/detail-20261020-6368698.html</t>
        </is>
      </c>
    </row>
    <row r="24">
      <c r="A24" s="37" t="inlineStr">
        <is>
          <t>S20</t>
        </is>
      </c>
      <c r="B24" s="5" t="inlineStr">
        <is>
          <t>生意社：PP(拉丝)10月19日 均差与基准价对照（原始快讯）</t>
        </is>
      </c>
      <c r="C24" s="5" t="inlineStr">
        <is>
          <t>生意社 100ppi</t>
        </is>
      </c>
      <c r="D24" s="11" t="inlineStr">
        <is>
          <t>2026-10-19</t>
        </is>
      </c>
      <c r="E24" s="11" t="inlineStr">
        <is>
          <t>A</t>
        </is>
      </c>
      <c r="F24" s="5" t="inlineStr">
        <is>
          <t>价格快讯列表：10月19日PP(拉丝)参考价10756.67，与10月1日(9933.33)相比上涨8.29%</t>
        </is>
      </c>
      <c r="G24" s="41" t="inlineStr">
        <is>
          <t>https://www.100ppi.com/kx/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5C9A"/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40" customWidth="1" min="3" max="3"/>
    <col width="44" customWidth="1" min="4" max="4"/>
    <col width="26" customWidth="1" min="5" max="5"/>
    <col width="34" customWidth="1" min="6" max="6"/>
  </cols>
  <sheetData>
    <row r="1" ht="30" customHeight="1">
      <c r="A1" s="1" t="inlineStr">
        <is>
          <t>09 · 指标定义与计算规则</t>
        </is>
      </c>
    </row>
    <row r="2" ht="24" customHeight="1">
      <c r="A2" s="2" t="inlineStr">
        <is>
          <t>跨品种通用（含无期货品种的适配路径）</t>
        </is>
      </c>
    </row>
    <row r="4" ht="30" customHeight="1">
      <c r="A4" s="10" t="inlineStr">
        <is>
          <t>编号</t>
        </is>
      </c>
      <c r="B4" s="10" t="inlineStr">
        <is>
          <t>指标</t>
        </is>
      </c>
      <c r="C4" s="10" t="inlineStr">
        <is>
          <t>定义/公式</t>
        </is>
      </c>
      <c r="D4" s="10" t="inlineStr">
        <is>
          <t>判定阈值规则</t>
        </is>
      </c>
      <c r="E4" s="10" t="inlineStr">
        <is>
          <t>所需数据</t>
        </is>
      </c>
      <c r="F4" s="10" t="inlineStr">
        <is>
          <t>无期货品种如何适配</t>
        </is>
      </c>
    </row>
    <row r="5" ht="46" customHeight="1">
      <c r="A5" s="37" t="inlineStr">
        <is>
          <t>R01</t>
        </is>
      </c>
      <c r="B5" s="4" t="inlineStr">
        <is>
          <t>窗口涨幅</t>
        </is>
      </c>
      <c r="C5" s="5" t="inlineStr">
        <is>
          <t>(P_end - P_start) / P_start</t>
        </is>
      </c>
      <c r="D5" s="5" t="inlineStr">
        <is>
          <t>同口径、同日、同规格；|涨幅|≥5% 视为“明显行情”；须标明起止日与数据状态（已核验/推算/缺失）</t>
        </is>
      </c>
      <c r="E5" s="5" t="inlineStr">
        <is>
          <t>同规格逐日现货价</t>
        </is>
      </c>
      <c r="F5" s="5" t="inlineStr">
        <is>
          <t>同左，现货即唯一价格序列</t>
        </is>
      </c>
    </row>
    <row r="6" ht="46" customHeight="1">
      <c r="A6" s="37" t="inlineStr">
        <is>
          <t>R02</t>
        </is>
      </c>
      <c r="B6" s="4" t="inlineStr">
        <is>
          <t>历史分位</t>
        </is>
      </c>
      <c r="C6" s="5" t="inlineStr">
        <is>
          <t>PercentRank = 低于当前值的样本数 / 有效样本数</t>
        </is>
      </c>
      <c r="D6" s="5" t="inlineStr">
        <is>
          <t>≥80% 为高位，≤20% 为低位；样本&lt;60个交易日应注明“样本不足，仅参考”</t>
        </is>
      </c>
      <c r="E6" s="5" t="inlineStr">
        <is>
          <t>≥3年同口径日/周序列</t>
        </is>
      </c>
      <c r="F6" s="5" t="inlineStr">
        <is>
          <t>同左</t>
        </is>
      </c>
    </row>
    <row r="7" ht="46" customHeight="1">
      <c r="A7" s="37" t="inlineStr">
        <is>
          <t>R03</t>
        </is>
      </c>
      <c r="B7" s="4" t="inlineStr">
        <is>
          <t>基差</t>
        </is>
      </c>
      <c r="C7" s="5" t="inlineStr">
        <is>
          <t>Basis = Spot - Futures</t>
        </is>
      </c>
      <c r="D7" s="5" t="inlineStr">
        <is>
          <t>正=现货升水。Basis 走强且现货涨→现实偏紧；Basis 走弱而期货涨→上涨由预期驱动</t>
        </is>
      </c>
      <c r="E7" s="5" t="inlineStr">
        <is>
          <t>现货与期货同日报价</t>
        </is>
      </c>
      <c r="F7" s="5" t="inlineStr">
        <is>
          <t>不适用 → 改用区域价差(产区-销区)与出厂价-市场价差</t>
        </is>
      </c>
    </row>
    <row r="8" ht="46" customHeight="1">
      <c r="A8" s="37" t="inlineStr">
        <is>
          <t>R04</t>
        </is>
      </c>
      <c r="B8" s="4" t="inlineStr">
        <is>
          <t>月差</t>
        </is>
      </c>
      <c r="C8" s="5" t="inlineStr">
        <is>
          <t>Spread = P_near - P_far</t>
        </is>
      </c>
      <c r="D8" s="5" t="inlineStr">
        <is>
          <t>Back(近强远弱)：近端现实偏紧或远端定价过剩；Contango：反之。|Spread|/P_far 用于横向比较</t>
        </is>
      </c>
      <c r="E8" s="5" t="inlineStr">
        <is>
          <t>同品种两月合约</t>
        </is>
      </c>
      <c r="F8" s="5" t="inlineStr">
        <is>
          <t>不适用 → 改用上下游价差(加工价差)作为“期限结构代理”</t>
        </is>
      </c>
    </row>
    <row r="9" ht="46" customHeight="1">
      <c r="A9" s="37" t="inlineStr">
        <is>
          <t>R05</t>
        </is>
      </c>
      <c r="B9" s="4" t="inlineStr">
        <is>
          <t>库存变化速度</t>
        </is>
      </c>
      <c r="C9" s="5" t="inlineStr">
        <is>
          <t>Δ% = (Inv_t - Inv_t-1)/Inv_t-1</t>
        </is>
      </c>
      <c r="D9" s="5" t="inlineStr">
        <is>
          <t>周环比&gt;+15% 视为异常累库（需排除假期/统计口径）；连续3周同向变化才可确认趋势</t>
        </is>
      </c>
      <c r="E9" s="5" t="inlineStr">
        <is>
          <t>周度库存序列</t>
        </is>
      </c>
      <c r="F9" s="5" t="inlineStr">
        <is>
          <t>同左</t>
        </is>
      </c>
    </row>
    <row r="10" ht="46" customHeight="1">
      <c r="A10" s="37" t="inlineStr">
        <is>
          <t>R06</t>
        </is>
      </c>
      <c r="B10" s="4" t="inlineStr">
        <is>
          <t>库存历史位置</t>
        </is>
      </c>
      <c r="C10" s="5" t="inlineStr">
        <is>
          <t>当前库存在过去N年同周次的百分位</t>
        </is>
      </c>
      <c r="D10" s="5" t="inlineStr">
        <is>
          <t>&gt;70% 偏高，&lt;30% 偏低；须注明样本年限与季节调整方式</t>
        </is>
      </c>
      <c r="E10" s="5" t="inlineStr">
        <is>
          <t>≥3年周度库存</t>
        </is>
      </c>
      <c r="F10" s="5" t="inlineStr">
        <is>
          <t>同左</t>
        </is>
      </c>
    </row>
    <row r="11" ht="46" customHeight="1">
      <c r="A11" s="37" t="inlineStr">
        <is>
          <t>R07</t>
        </is>
      </c>
      <c r="B11" s="4" t="inlineStr">
        <is>
          <t>产能利用率</t>
        </is>
      </c>
      <c r="C11" s="5" t="inlineStr">
        <is>
          <t>实际产量 / 有效产能</t>
        </is>
      </c>
      <c r="D11" s="5" t="inlineStr">
        <is>
          <t>环比连续下降≥2周→供给收紧；单周持平不构成收紧证据；需与检修损失量交叉</t>
        </is>
      </c>
      <c r="E11" s="5" t="inlineStr">
        <is>
          <t>周度开工+检修表</t>
        </is>
      </c>
      <c r="F11" s="5" t="inlineStr">
        <is>
          <t>同左</t>
        </is>
      </c>
    </row>
    <row r="12" ht="46" customHeight="1">
      <c r="A12" s="37" t="inlineStr">
        <is>
          <t>R08</t>
        </is>
      </c>
      <c r="B12" s="4" t="inlineStr">
        <is>
          <t>装置事件净效应</t>
        </is>
      </c>
      <c r="C12" s="5" t="inlineStr">
        <is>
          <t>Σ重启产能 - Σ停车产能 - Σ新增检修</t>
        </is>
      </c>
      <c r="D12" s="5" t="inlineStr">
        <is>
          <t>净变化为负=供给减少；必须用“万吨/年”加总，无量化的装置不计数</t>
        </is>
      </c>
      <c r="E12" s="5" t="inlineStr">
        <is>
          <t>装置名称+产能+日期</t>
        </is>
      </c>
      <c r="F12" s="5" t="inlineStr">
        <is>
          <t>同左</t>
        </is>
      </c>
    </row>
    <row r="13" ht="46" customHeight="1">
      <c r="A13" s="37" t="inlineStr">
        <is>
          <t>R09</t>
        </is>
      </c>
      <c r="B13" s="4" t="inlineStr">
        <is>
          <t>产量同比</t>
        </is>
      </c>
      <c r="C13" s="5" t="inlineStr">
        <is>
          <t>(Qt - Qt-12) / Qt-12</t>
        </is>
      </c>
      <c r="D13" s="5" t="inlineStr">
        <is>
          <t>≤-5% 为实质收缩；须核查成因（需求下滑 vs 装置停车），二者含义不同</t>
        </is>
      </c>
      <c r="E13" s="5" t="inlineStr">
        <is>
          <t>月度产量</t>
        </is>
      </c>
      <c r="F13" s="5" t="inlineStr">
        <is>
          <t>同左</t>
        </is>
      </c>
    </row>
    <row r="14" ht="46" customHeight="1">
      <c r="A14" s="37" t="inlineStr">
        <is>
          <t>R10</t>
        </is>
      </c>
      <c r="B14" s="4" t="inlineStr">
        <is>
          <t>下游开工率</t>
        </is>
      </c>
      <c r="C14" s="5" t="inlineStr">
        <is>
          <t>下游实际产量 / 设计产能</t>
        </is>
      </c>
      <c r="D14" s="5" t="inlineStr">
        <is>
          <t>同比或分位低于常态→需求弱；价格上涨期开工下降=需求背离</t>
        </is>
      </c>
      <c r="E14" s="5" t="inlineStr">
        <is>
          <t>分下游周度开工</t>
        </is>
      </c>
      <c r="F14" s="5" t="inlineStr">
        <is>
          <t>同左</t>
        </is>
      </c>
    </row>
    <row r="15" ht="46" customHeight="1">
      <c r="A15" s="37" t="inlineStr">
        <is>
          <t>R11</t>
        </is>
      </c>
      <c r="B15" s="4" t="inlineStr">
        <is>
          <t>加工价差</t>
        </is>
      </c>
      <c r="C15" s="5" t="inlineStr">
        <is>
          <t>Spread = P_downstream - C_upstream(单耗调整)</t>
        </is>
      </c>
      <c r="D15" s="5" t="inlineStr">
        <is>
          <t>价差走阔+下游涨=利润修复/需求好；价差持平+双涨=纯成本传导</t>
        </is>
      </c>
      <c r="E15" s="5" t="inlineStr">
        <is>
          <t>上下游同期价</t>
        </is>
      </c>
      <c r="F15" s="5" t="inlineStr">
        <is>
          <t>★核心指标：无期货品种必须以加工价差替代基差/月差</t>
        </is>
      </c>
    </row>
    <row r="16" ht="46" customHeight="1">
      <c r="A16" s="37" t="inlineStr">
        <is>
          <t>R12</t>
        </is>
      </c>
      <c r="B16" s="4" t="inlineStr">
        <is>
          <t>成本传导率</t>
        </is>
      </c>
      <c r="C16" s="5" t="inlineStr">
        <is>
          <t>β = ΔP_downstream% / ΔC_upstream%</t>
        </is>
      </c>
      <c r="D16" s="5" t="inlineStr">
        <is>
          <t>β≈1 完全传导；β&lt;1 传导受阻(需求弱)；β&gt;1 具备需求溢价</t>
        </is>
      </c>
      <c r="E16" s="5" t="inlineStr">
        <is>
          <t>上下游同期价</t>
        </is>
      </c>
      <c r="F16" s="5" t="inlineStr">
        <is>
          <t>★同左</t>
        </is>
      </c>
    </row>
    <row r="17" ht="46" customHeight="1">
      <c r="A17" s="37" t="inlineStr">
        <is>
          <t>R13</t>
        </is>
      </c>
      <c r="B17" s="4" t="inlineStr">
        <is>
          <t>与价格同步性</t>
        </is>
      </c>
      <c r="C17" s="5" t="inlineStr">
        <is>
          <t>对每个指标计算窗口变化方向是否与价格同向</t>
        </is>
      </c>
      <c r="D17" s="5" t="inlineStr">
        <is>
          <t>同向=支撑；反向=背离；无数据=数据不足。禁止用“价格本身”作为同步性输入</t>
        </is>
      </c>
      <c r="E17" s="5" t="inlineStr">
        <is>
          <t>指标窗口变化</t>
        </is>
      </c>
      <c r="F17" s="5" t="inlineStr">
        <is>
          <t>同左</t>
        </is>
      </c>
    </row>
    <row r="18" ht="46" customHeight="1">
      <c r="A18" s="37" t="inlineStr">
        <is>
          <t>R14</t>
        </is>
      </c>
      <c r="B18" s="4" t="inlineStr">
        <is>
          <t>证据分级</t>
        </is>
      </c>
      <c r="C18" s="5" t="inlineStr">
        <is>
          <t>A官方/B机构/C媒体/D测算</t>
        </is>
      </c>
      <c r="D18" s="5" t="inlineStr">
        <is>
          <t>结论只能由A/B级证据支撑；C级仅作线索；D级须标“测算”且不得单独支撑结论</t>
        </is>
      </c>
      <c r="E18" s="5" t="inlineStr">
        <is>
          <t>来源元数据</t>
        </is>
      </c>
      <c r="F18" s="5" t="inlineStr">
        <is>
          <t>同左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5C9A"/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48" customWidth="1" min="3" max="3"/>
    <col width="30" customWidth="1" min="4" max="4"/>
  </cols>
  <sheetData>
    <row r="1" ht="30" customHeight="1">
      <c r="A1" s="1" t="inlineStr">
        <is>
          <t>10 · 口径差异与统计滞后</t>
        </is>
      </c>
    </row>
    <row r="2" ht="24" customHeight="1">
      <c r="A2" s="2" t="inlineStr">
        <is>
          <t>不同指标观测窗口不同，不能互相“证伪”</t>
        </is>
      </c>
    </row>
    <row r="4" ht="30" customHeight="1">
      <c r="A4" s="10" t="inlineStr">
        <is>
          <t>议题</t>
        </is>
      </c>
      <c r="B4" s="10" t="inlineStr">
        <is>
          <t>说明</t>
        </is>
      </c>
      <c r="C4" s="10" t="inlineStr">
        <is>
          <t>对本案例的影响</t>
        </is>
      </c>
      <c r="D4" s="10" t="inlineStr">
        <is>
          <t>数据发布节奏</t>
        </is>
      </c>
    </row>
    <row r="5" ht="44" customHeight="1">
      <c r="A5" s="4" t="inlineStr">
        <is>
          <t>现货口径</t>
        </is>
      </c>
      <c r="B5" s="5" t="inlineStr">
        <is>
          <t>生意社PP(拉丝)为全国参考价（含税、主流市场均值）；隆众为华东拉丝主流报价/全国日均价；两者不可直接相等。本报告在基差计算中标注口径，未做跨口径调整。</t>
        </is>
      </c>
      <c r="C5" s="5" t="inlineStr">
        <is>
          <t>华东主流报价 vs 全国参考价并存，基差跨口径计算，仅方向可用</t>
        </is>
      </c>
      <c r="D5" s="11" t="inlineStr">
        <is>
          <t>日度</t>
        </is>
      </c>
    </row>
    <row r="6" ht="44" customHeight="1">
      <c r="A6" s="4" t="inlineStr">
        <is>
          <t>期货口径</t>
        </is>
      </c>
      <c r="B6" s="5" t="inlineStr">
        <is>
          <t>10/8为“主力合约收盘价”，10/19为PP2701收盘/结算价（S10表格列序为开/低/高/收）。主力合约在月中可能移仓，故两日序列不可视为同一合约。</t>
        </is>
      </c>
      <c r="C6" s="5" t="inlineStr">
        <is>
          <t>10/8为9月主力、10/19为PP2701，非同一合约</t>
        </is>
      </c>
      <c r="D6" s="11" t="inlineStr">
        <is>
          <t>日度</t>
        </is>
      </c>
    </row>
    <row r="7" ht="44" customHeight="1">
      <c r="A7" s="4" t="inlineStr">
        <is>
          <t>统计滞后</t>
        </is>
      </c>
      <c r="B7" s="5" t="inlineStr">
        <is>
          <t>产量、进出口为月度且月中发布（9月数据约10月中下旬）；产能利用率、库存、开工率为周度（通常滞后3-5天）；价格与期货为日度。判断“现实是否变化”时必须对齐观测窗口，不能拿滞后数据否定日度价格异动。</t>
        </is>
      </c>
      <c r="C7" s="5" t="inlineStr">
        <is>
          <t>9月产量/进出口约在10月中下旬发布，滞后于价格异动</t>
        </is>
      </c>
      <c r="D7" s="11" t="inlineStr">
        <is>
          <t>月度：次月中下旬</t>
        </is>
      </c>
    </row>
    <row r="8" ht="44" customHeight="1">
      <c r="A8" s="4" t="inlineStr">
        <is>
          <t>库存口径</t>
        </is>
      </c>
      <c r="B8" s="5" t="inlineStr">
        <is>
          <t>“商业库存68.78万吨”为总口径（生产企业+贸易商+港口），假期停开单会制造机械性累库，单周跳升不足以判定供需方向；应看节后2-3周去化速率。</t>
        </is>
      </c>
      <c r="C8" s="5" t="inlineStr">
        <is>
          <t>假期机械性累库，单周跳升不足以定性</t>
        </is>
      </c>
      <c r="D8" s="11" t="inlineStr">
        <is>
          <t>周度：每周四/五</t>
        </is>
      </c>
    </row>
    <row r="9" ht="44" customHeight="1">
      <c r="A9" s="4" t="inlineStr">
        <is>
          <t>利润口径</t>
        </is>
      </c>
      <c r="B9" s="5" t="inlineStr">
        <is>
          <t>PDH/MTO/石脑油“成本”为机构按工艺参数推算的口径，不同机构收率与加工费假设不同，跨机构不可直接比较。</t>
        </is>
      </c>
      <c r="C9" s="5" t="inlineStr">
        <is>
          <t>机构推算口径间不可比（PDH价差两口径结论相反）</t>
        </is>
      </c>
      <c r="D9" s="11" t="inlineStr">
        <is>
          <t>周度</t>
        </is>
      </c>
    </row>
    <row r="10" ht="44" customHeight="1">
      <c r="A10" s="4" t="inlineStr">
        <is>
          <t>基差口径</t>
        </is>
      </c>
      <c r="B10" s="5" t="inlineStr">
        <is>
          <t>基差=现货-期货。正基差=现货升水。10/19的+1668元/吨为“全国现货参考价-PP2701”，含跨区域与跨口径偏差，仅作方向参考。</t>
        </is>
      </c>
      <c r="C10" s="5" t="inlineStr">
        <is>
          <t>+1668含跨区域与跨口径偏差</t>
        </is>
      </c>
      <c r="D10" s="11" t="inlineStr">
        <is>
          <t>日度</t>
        </is>
      </c>
    </row>
    <row r="11" ht="44" customHeight="1">
      <c r="A11" s="4" t="inlineStr">
        <is>
          <t>开工率口径</t>
        </is>
      </c>
      <c r="B11" s="5" t="inlineStr">
        <is>
          <t>不同机构样本企业数量不同（如PP下游综合开工 vs 分行业开工），数值不可直接混用</t>
        </is>
      </c>
      <c r="C11" s="5" t="inlineStr">
        <is>
          <t>塑编40.18%与综合45.18%分属不同抽样</t>
        </is>
      </c>
      <c r="D11" s="11" t="inlineStr">
        <is>
          <t>周度：滞后3-5天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2026-10-20T03:52:06Z</dcterms:created>
  <dcterms:modified xmlns:dcterms="http://purl.org/dc/terms/" xmlns:xsi="http://www.w3.org/2001/XMLSchema-instance" xsi:type="dcterms:W3CDTF">2026-10-20T03:52:06Z</dcterms:modified>
</cp:coreProperties>
</file>
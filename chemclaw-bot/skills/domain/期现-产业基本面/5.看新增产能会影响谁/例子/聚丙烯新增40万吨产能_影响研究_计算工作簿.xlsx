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口径" sheetId="1" state="visible" r:id="rId1"/>
    <sheet xmlns:r="http://schemas.openxmlformats.org/officeDocument/2006/relationships" name="01_项目事实核验" sheetId="2" state="visible" r:id="rId2"/>
    <sheet xmlns:r="http://schemas.openxmlformats.org/officeDocument/2006/relationships" name="02_现有产能基准" sheetId="3" state="visible" r:id="rId3"/>
    <sheet xmlns:r="http://schemas.openxmlformats.org/officeDocument/2006/relationships" name="03_原料单耗" sheetId="4" state="visible" r:id="rId4"/>
    <sheet xmlns:r="http://schemas.openxmlformats.org/officeDocument/2006/relationships" name="04_产能相对规模" sheetId="5" state="visible" r:id="rId5"/>
    <sheet xmlns:r="http://schemas.openxmlformats.org/officeDocument/2006/relationships" name="05_产量情景" sheetId="6" state="visible" r:id="rId6"/>
    <sheet xmlns:r="http://schemas.openxmlformats.org/officeDocument/2006/relationships" name="06_月度爬坡明细" sheetId="7" state="visible" r:id="rId7"/>
    <sheet xmlns:r="http://schemas.openxmlformats.org/officeDocument/2006/relationships" name="07_原料需求测算" sheetId="8" state="visible" r:id="rId8"/>
    <sheet xmlns:r="http://schemas.openxmlformats.org/officeDocument/2006/relationships" name="08_受影响对象" sheetId="9" state="visible" r:id="rId9"/>
    <sheet xmlns:r="http://schemas.openxmlformats.org/officeDocument/2006/relationships" name="09_区域供应格局" sheetId="10" state="visible" r:id="rId10"/>
    <sheet xmlns:r="http://schemas.openxmlformats.org/officeDocument/2006/relationships" name="10_结论分类" sheetId="11" state="visible" r:id="rId11"/>
    <sheet xmlns:r="http://schemas.openxmlformats.org/officeDocument/2006/relationships" name="11_待核实事项" sheetId="12" state="visible" r:id="rId12"/>
    <sheet xmlns:r="http://schemas.openxmlformats.org/officeDocument/2006/relationships" name="12_来源清单" sheetId="13" state="visible" r:id="rId13"/>
  </sheets>
  <definedNames>
    <definedName name="_xlnm._FilterDatabase" localSheetId="6" hidden="1">'06_月度爬坡明细'!$A$3:$H$3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#,##0.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9C0006"/>
      <sz val="10"/>
    </font>
    <font>
      <name val="微软雅黑"/>
      <b val="1"/>
      <color rgb="002E5C9A"/>
      <sz val="11"/>
    </font>
    <font>
      <name val="微软雅黑"/>
      <b val="1"/>
      <color rgb="001F3864"/>
      <sz val="10"/>
    </font>
    <font>
      <name val="微软雅黑"/>
      <sz val="10"/>
    </font>
    <font>
      <name val="微软雅黑"/>
      <b val="1"/>
      <sz val="10"/>
    </font>
    <font>
      <name val="微软雅黑"/>
      <color rgb="00404040"/>
      <sz val="9"/>
    </font>
    <font>
      <name val="微软雅黑"/>
      <b val="1"/>
      <color rgb="00FFFFFF"/>
      <sz val="15"/>
    </font>
    <font>
      <name val="微软雅黑"/>
      <color rgb="00595959"/>
      <sz val="10"/>
    </font>
    <font>
      <name val="微软雅黑"/>
      <color rgb="000563C1"/>
      <sz val="9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vertical="top" wrapText="1"/>
    </xf>
    <xf numFmtId="2" fontId="5" fillId="8" borderId="1" applyAlignment="1" pivotButton="0" quotePrefix="0" xfId="0">
      <alignment vertical="top" wrapText="1"/>
    </xf>
    <xf numFmtId="165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6" fontId="5" fillId="8" borderId="1" applyAlignment="1" pivotButton="0" quotePrefix="0" xfId="0">
      <alignment vertical="top" wrapText="1"/>
    </xf>
    <xf numFmtId="4" fontId="5" fillId="7" borderId="1" applyAlignment="1" pivotButton="0" quotePrefix="0" xfId="0">
      <alignment vertical="top" wrapText="1"/>
    </xf>
    <xf numFmtId="166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7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2" fontId="5" fillId="9" borderId="1" applyAlignment="1" pivotButton="0" quotePrefix="0" xfId="0">
      <alignment vertical="top" wrapText="1"/>
    </xf>
    <xf numFmtId="2" fontId="5" fillId="6" borderId="1" applyAlignment="1" pivotButton="0" quotePrefix="0" xfId="0">
      <alignment vertical="top" wrapText="1"/>
    </xf>
    <xf numFmtId="166" fontId="6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chem-capacity-impact</author>
  </authors>
  <commentList>
    <comment ref="D4" authorId="0" shapeId="0">
      <text>
        <t>参数：来自环评/可研或行业报道；标 C4 时请按情景调整</t>
      </text>
    </comment>
    <comment ref="H4" authorId="0" shapeId="0">
      <text>
        <t>参数：原料纯度，需求按"单耗/纯度"折算为实物采购量</t>
      </text>
    </comment>
    <comment ref="I4" authorId="0" shapeId="0">
      <text>
        <t>公式：单耗 ÷ 纯度 = 每吨产品所需实物原料系数</t>
      </text>
    </comment>
    <comment ref="D5" authorId="0" shapeId="0">
      <text>
        <t>参数：来自环评/可研或行业报道；标 C4 时请按情景调整</t>
      </text>
    </comment>
    <comment ref="H5" authorId="0" shapeId="0">
      <text>
        <t>参数：原料纯度，需求按"单耗/纯度"折算为实物采购量</t>
      </text>
    </comment>
    <comment ref="I5" authorId="0" shapeId="0">
      <text>
        <t>公式：单耗 ÷ 纯度 = 每吨产品所需实物原料系数</t>
      </text>
    </comment>
    <comment ref="D6" authorId="0" shapeId="0">
      <text>
        <t>参数：来自环评/可研或行业报道；标 C4 时请按情景调整</t>
      </text>
    </comment>
    <comment ref="H6" authorId="0" shapeId="0">
      <text>
        <t>参数：原料纯度，需求按"单耗/纯度"折算为实物采购量</t>
      </text>
    </comment>
    <comment ref="I6" authorId="0" shapeId="0">
      <text>
        <t>公式：单耗 ÷ 纯度 = 每吨产品所需实物原料系数</t>
      </text>
    </comment>
  </commentList>
</comments>
</file>

<file path=xl/comments/comment2.xml><?xml version="1.0" encoding="utf-8"?>
<comments xmlns="http://schemas.openxmlformats.org/spreadsheetml/2006/main">
  <authors>
    <author>chem-capacity-impact</author>
  </authors>
  <commentList>
    <comment ref="E4" authorId="0" shapeId="0">
      <text>
        <t>公式：12 − 开车月 + 1 = 投产当年可产月数（未计跨年情况）</t>
      </text>
    </comment>
    <comment ref="I4" authorId="0" shapeId="0">
      <text>
        <t>引自 06_月度爬坡明细 的首年合计（万吨）</t>
      </text>
    </comment>
    <comment ref="J4" authorId="0" shapeId="0">
      <text>
        <t>首年产量 ÷ 设计产能 × 100</t>
      </text>
    </comment>
    <comment ref="K4" authorId="0" shapeId="0">
      <text>
        <t>稳态年产量 = 设计产能 × 稳定开工率（万吨）</t>
      </text>
    </comment>
    <comment ref="L4" authorId="0" shapeId="0">
      <text>
        <t>理论上限 = 设计产能本身（仅供校验，现实中不出现）</t>
      </text>
    </comment>
    <comment ref="E5" authorId="0" shapeId="0">
      <text>
        <t>公式：12 − 开车月 + 1 = 投产当年可产月数（未计跨年情况）</t>
      </text>
    </comment>
    <comment ref="I5" authorId="0" shapeId="0">
      <text>
        <t>引自 06_月度爬坡明细 的首年合计（万吨）</t>
      </text>
    </comment>
    <comment ref="J5" authorId="0" shapeId="0">
      <text>
        <t>首年产量 ÷ 设计产能 × 100</t>
      </text>
    </comment>
    <comment ref="K5" authorId="0" shapeId="0">
      <text>
        <t>稳态年产量 = 设计产能 × 稳定开工率（万吨）</t>
      </text>
    </comment>
    <comment ref="L5" authorId="0" shapeId="0">
      <text>
        <t>理论上限 = 设计产能本身（仅供校验，现实中不出现）</t>
      </text>
    </comment>
    <comment ref="E6" authorId="0" shapeId="0">
      <text>
        <t>公式：12 − 开车月 + 1 = 投产当年可产月数（未计跨年情况）</t>
      </text>
    </comment>
    <comment ref="I6" authorId="0" shapeId="0">
      <text>
        <t>引自 06_月度爬坡明细 的首年合计（万吨）</t>
      </text>
    </comment>
    <comment ref="J6" authorId="0" shapeId="0">
      <text>
        <t>首年产量 ÷ 设计产能 × 100</t>
      </text>
    </comment>
    <comment ref="K6" authorId="0" shapeId="0">
      <text>
        <t>稳态年产量 = 设计产能 × 稳定开工率（万吨）</t>
      </text>
    </comment>
    <comment ref="L6" authorId="0" shapeId="0">
      <text>
        <t>理论上限 = 设计产能本身（仅供校验，现实中不出现）</t>
      </text>
    </comment>
    <comment ref="E7" authorId="0" shapeId="0">
      <text>
        <t>公式：12 − 开车月 + 1 = 投产当年可产月数（未计跨年情况）</t>
      </text>
    </comment>
    <comment ref="I7" authorId="0" shapeId="0">
      <text>
        <t>引自 06_月度爬坡明细 的首年合计（万吨）</t>
      </text>
    </comment>
    <comment ref="J7" authorId="0" shapeId="0">
      <text>
        <t>首年产量 ÷ 设计产能 × 100</t>
      </text>
    </comment>
    <comment ref="K7" authorId="0" shapeId="0">
      <text>
        <t>稳态年产量 = 设计产能 × 稳定开工率（万吨）</t>
      </text>
    </comment>
    <comment ref="L7" authorId="0" shapeId="0">
      <text>
        <t>理论上限 = 设计产能本身（仅供校验，现实中不出现）</t>
      </text>
    </comment>
    <comment ref="E8" authorId="0" shapeId="0">
      <text>
        <t>公式：12 − 开车月 + 1 = 投产当年可产月数（未计跨年情况）</t>
      </text>
    </comment>
    <comment ref="I8" authorId="0" shapeId="0">
      <text>
        <t>引自 06_月度爬坡明细 的首年合计（万吨）</t>
      </text>
    </comment>
    <comment ref="J8" authorId="0" shapeId="0">
      <text>
        <t>首年产量 ÷ 设计产能 × 100</t>
      </text>
    </comment>
    <comment ref="K8" authorId="0" shapeId="0">
      <text>
        <t>稳态年产量 = 设计产能 × 稳定开工率（万吨）</t>
      </text>
    </comment>
    <comment ref="L8" authorId="0" shapeId="0">
      <text>
        <t>理论上限 = 设计产能本身（仅供校验，现实中不出现）</t>
      </text>
    </comment>
  </commentList>
</comments>
</file>

<file path=xl/comments/comment3.xml><?xml version="1.0" encoding="utf-8"?>
<comments xmlns="http://schemas.openxmlformats.org/spreadsheetml/2006/main">
  <authors>
    <author>chem-capacity-impact</author>
  </authors>
  <commentList>
    <comment ref="G4" authorId="0" shapeId="0">
      <text>
        <t>公式：相关量 ÷ 市场分母 × 100</t>
      </text>
    </comment>
    <comment ref="K4" authorId="0" shapeId="0">
      <text>
        <t>综合影响强度 0–100</t>
      </text>
    </comment>
    <comment ref="G5" authorId="0" shapeId="0">
      <text>
        <t>公式：相关量 ÷ 市场分母 × 100</t>
      </text>
    </comment>
    <comment ref="K5" authorId="0" shapeId="0">
      <text>
        <t>综合影响强度 0–100</t>
      </text>
    </comment>
    <comment ref="G6" authorId="0" shapeId="0">
      <text>
        <t>公式：相关量 ÷ 市场分母 × 100</t>
      </text>
    </comment>
    <comment ref="K6" authorId="0" shapeId="0">
      <text>
        <t>综合影响强度 0–100</t>
      </text>
    </comment>
    <comment ref="G7" authorId="0" shapeId="0">
      <text>
        <t>公式：相关量 ÷ 市场分母 × 100</t>
      </text>
    </comment>
    <comment ref="K7" authorId="0" shapeId="0">
      <text>
        <t>综合影响强度 0–100</t>
      </text>
    </comment>
    <comment ref="G8" authorId="0" shapeId="0">
      <text>
        <t>公式：相关量 ÷ 市场分母 × 100</t>
      </text>
    </comment>
    <comment ref="K8" authorId="0" shapeId="0">
      <text>
        <t>综合影响强度 0–100</t>
      </text>
    </comment>
    <comment ref="G9" authorId="0" shapeId="0">
      <text>
        <t>公式：相关量 ÷ 市场分母 × 100</t>
      </text>
    </comment>
    <comment ref="K9" authorId="0" shapeId="0">
      <text>
        <t>综合影响强度 0–100</t>
      </text>
    </comment>
    <comment ref="G10" authorId="0" shapeId="0">
      <text>
        <t>公式：相关量 ÷ 市场分母 × 100</t>
      </text>
    </comment>
    <comment ref="K10" authorId="0" shapeId="0">
      <text>
        <t>综合影响强度 0–100</t>
      </text>
    </comment>
    <comment ref="G11" authorId="0" shapeId="0">
      <text>
        <t>公式：相关量 ÷ 市场分母 × 100</t>
      </text>
    </comment>
    <comment ref="K11" authorId="0" shapeId="0">
      <text>
        <t>综合影响强度 0–100</t>
      </text>
    </comment>
    <comment ref="G12" authorId="0" shapeId="0">
      <text>
        <t>公式：相关量 ÷ 市场分母 × 100</t>
      </text>
    </comment>
    <comment ref="K12" authorId="0" shapeId="0">
      <text>
        <t>综合影响强度 0–100</t>
      </text>
    </comment>
    <comment ref="G13" authorId="0" shapeId="0">
      <text>
        <t>公式：相关量 ÷ 市场分母 × 100</t>
      </text>
    </comment>
    <comment ref="K13" authorId="0" shapeId="0">
      <text>
        <t>综合影响强度 0–100</t>
      </text>
    </comment>
    <comment ref="G14" authorId="0" shapeId="0">
      <text>
        <t>公式：相关量 ÷ 市场分母 × 100</t>
      </text>
    </comment>
    <comment ref="K14" authorId="0" shapeId="0">
      <text>
        <t>综合影响强度 0–100</t>
      </text>
    </comment>
    <comment ref="G15" authorId="0" shapeId="0">
      <text>
        <t>公式：相关量 ÷ 市场分母 × 100</t>
      </text>
    </comment>
    <comment ref="K15" authorId="0" shapeId="0">
      <text>
        <t>综合影响强度 0–100</t>
      </text>
    </comment>
    <comment ref="G16" authorId="0" shapeId="0">
      <text>
        <t>公式：相关量 ÷ 市场分母 × 100</t>
      </text>
    </comment>
    <comment ref="K16" authorId="0" shapeId="0">
      <text>
        <t>综合影响强度 0–100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ysteel.com/oilchem/a/26012909/48028FCD471F2F04.html" TargetMode="External" Id="rId1"/><Relationship Type="http://schemas.openxmlformats.org/officeDocument/2006/relationships/hyperlink" Target="https://nenghua.mysteel.com/a/26020617/D0A7D3B9DA778A97.html" TargetMode="External" Id="rId2"/><Relationship Type="http://schemas.openxmlformats.org/officeDocument/2006/relationships/hyperlink" Target="https://www.mysteel.com/oilchem/a/26101914/88FDCCB00F239E4B.html" TargetMode="External" Id="rId3"/><Relationship Type="http://schemas.openxmlformats.org/officeDocument/2006/relationships/hyperlink" Target="https://www.cnfin.com/dz-lb/detail/20250604/4244654_1.html" TargetMode="External" Id="rId4"/><Relationship Type="http://schemas.openxmlformats.org/officeDocument/2006/relationships/hyperlink" Target="https://www.sohu.com/a/959020749_481782" TargetMode="External" Id="rId5"/><Relationship Type="http://schemas.openxmlformats.org/officeDocument/2006/relationships/hyperlink" Target="https://www.sohu.com/a/844092485_798573" TargetMode="External" Id="rId6"/><Relationship Type="http://schemas.openxmlformats.org/officeDocument/2006/relationships/hyperlink" Target="https://www.sohu.com/a/838807629_798573" TargetMode="External" Id="rId7"/><Relationship Type="http://schemas.openxmlformats.org/officeDocument/2006/relationships/hyperlink" Target="https://www.sohu.com/a/867021489_798573" TargetMode="External" Id="rId8"/><Relationship Type="http://schemas.openxmlformats.org/officeDocument/2006/relationships/hyperlink" Target="https://www.163.com/dy/article/J9UOS4710518S8B0.html" TargetMode="External" Id="rId9"/><Relationship Type="http://schemas.openxmlformats.org/officeDocument/2006/relationships/hyperlink" Target="https://zjjcmspublic.oss-cn-hangzhou-zwynet-d01-a.internet.cloud.zj.gov.cn/jcms_files/jcms1/web1756/site/attach/0/fa494eaba1e2493fa7303ad40f9ee7c4.pdf" TargetMode="External" Id="rId10"/><Relationship Type="http://schemas.openxmlformats.org/officeDocument/2006/relationships/hyperlink" Target="https://htfc.com/wz_upload/png_upload/20260929/1790673921562585587.pdf" TargetMode="External" Id="rId11"/><Relationship Type="http://schemas.openxmlformats.org/officeDocument/2006/relationships/hyperlink" Target="https://chem.jgvogel.cn/c1340330.shtml" TargetMode="External" Id="rId12"/><Relationship Type="http://schemas.openxmlformats.org/officeDocument/2006/relationships/hyperlink" Target="https://chem.jgvogel.cn/c1311547.shtml" TargetMode="External" Id="rId13"/><Relationship Type="http://schemas.openxmlformats.org/officeDocument/2006/relationships/hyperlink" Target="https://www.greatpolymer.com/news/274.html" TargetMode="External" Id="rId14"/><Relationship Type="http://schemas.openxmlformats.org/officeDocument/2006/relationships/hyperlink" Target="https://www.7hcn.com/article/476107-1.html" TargetMode="External" Id="rId15"/><Relationship Type="http://schemas.openxmlformats.org/officeDocument/2006/relationships/hyperlink" Target="https://www.ghlsqh.com.cn/company/news/show-25877.html" TargetMode="External" Id="rId16"/><Relationship Type="http://schemas.openxmlformats.org/officeDocument/2006/relationships/hyperlink" Target="https://www.jiemian.com/article/12668215.html" TargetMode="External" Id="rId17"/><Relationship Type="http://schemas.openxmlformats.org/officeDocument/2006/relationships/hyperlink" Target="https://www.sohu.com/a/1065630522_121222943" TargetMode="External" Id="rId18"/><Relationship Type="http://schemas.openxmlformats.org/officeDocument/2006/relationships/hyperlink" Target="http://www.cio.cqtimes.cn/caijing/20220927/10287.html" TargetMode="External" Id="rId19"/><Relationship Type="http://schemas.openxmlformats.org/officeDocument/2006/relationships/hyperlink" Target="https://www.eia.gov/dnav/pet/pet_move_expc_a_EPLLPA_EEX_mbblpd_a.htm" TargetMode="External" Id="rId20"/><Relationship Type="http://schemas.openxmlformats.org/officeDocument/2006/relationships/hyperlink" Target="https://gss.mof.gov.cn/gzdt/zhengcefabu/202512/P020251229510521217364.pdf" TargetMode="External" Id="rId21"/><Relationship Type="http://schemas.openxmlformats.org/officeDocument/2006/relationships/hyperlink" Target="https://vortexa.com/insights/chinas-us-lpg-custom-declaration" TargetMode="External" Id="rId22"/><Relationship Type="http://schemas.openxmlformats.org/officeDocument/2006/relationships/hyperlink" Target="https://www.sohu.com/a/1081018120_768516" TargetMode="External" Id="rId23"/><Relationship Type="http://schemas.openxmlformats.org/officeDocument/2006/relationships/hyperlink" Target="https://en.oilchem.net/26-0917-17-0db89230236dbd76.html" TargetMode="External" Id="rId24"/><Relationship Type="http://schemas.openxmlformats.org/officeDocument/2006/relationships/hyperlink" Target="https://cpnn.com.cn/news/yq/202606/t20260605_1893174.html" TargetMode="External" Id="rId25"/><Relationship Type="http://schemas.openxmlformats.org/officeDocument/2006/relationships/hyperlink" Target="https://www.eworldship.com/html/2026/gas_carrier_market_0605/221428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26" customWidth="1" min="5" max="5"/>
    <col width="26" customWidth="1" min="6" max="6"/>
  </cols>
  <sheetData>
    <row r="1" ht="44" customHeight="1">
      <c r="A1" s="1" t="inlineStr">
        <is>
          <t>新增 40 万吨/年聚丙烯产能会影响谁 · 项目核验与产业链影响分析</t>
        </is>
      </c>
    </row>
    <row r="2" ht="40" customHeight="1">
      <c r="A2" s="2" t="inlineStr">
        <is>
          <t>⚠ 模拟输入：【模拟输入】本项目的主体名称、是否真实存在、建设地点、工艺许可、项目阶段与投产时间均为研究用模拟输入，不代表任何真实项目，不得作为投资或交易依据。现有产能、工艺单耗、下游结构、区域流向与价格等背景数据均取自公开来源，已逐条标注出处、日期与证据等级。</t>
        </is>
      </c>
    </row>
    <row r="4">
      <c r="A4" s="3" t="inlineStr">
        <is>
          <t>一、报告基本信息</t>
        </is>
      </c>
    </row>
    <row r="5">
      <c r="A5" s="4" t="inlineStr">
        <is>
          <t>产品</t>
        </is>
      </c>
      <c r="B5" s="5" t="inlineStr">
        <is>
          <t>聚丙烯</t>
        </is>
      </c>
      <c r="D5" s="4" t="inlineStr">
        <is>
          <t>工艺</t>
        </is>
      </c>
      <c r="E5" s="5" t="inlineStr">
        <is>
          <t>丙烷脱氢（Oleflex）→ 丙烯聚合（UNIPOL 气相法）→ 聚丙烯粒料</t>
        </is>
      </c>
    </row>
    <row r="6">
      <c r="A6" s="4" t="inlineStr">
        <is>
          <t>项目名称</t>
        </is>
      </c>
      <c r="B6" s="5" t="inlineStr">
        <is>
          <t>40 万吨/年丙烷脱氢—聚丙烯一体化项目（研究模拟输入）</t>
        </is>
      </c>
      <c r="D6" s="4" t="inlineStr">
        <is>
          <t>业主</t>
        </is>
      </c>
      <c r="E6" s="5" t="inlineStr">
        <is>
          <t>【模拟】某化工新材料有限公司（名称与主体为研究占位，非真实企业）</t>
        </is>
      </c>
    </row>
    <row r="7">
      <c r="A7" s="4" t="inlineStr">
        <is>
          <t>建设地点</t>
        </is>
      </c>
      <c r="B7" s="5" t="inlineStr">
        <is>
          <t>浙江省宁波市北仑区宁波石化经济技术开发区（模拟选址，未核实）</t>
        </is>
      </c>
      <c r="D7" s="4" t="inlineStr">
        <is>
          <t>项目阶段</t>
        </is>
      </c>
      <c r="E7" s="5" t="inlineStr">
        <is>
          <t>拟建</t>
        </is>
      </c>
    </row>
    <row r="8">
      <c r="A8" s="4" t="inlineStr">
        <is>
          <t>设计产能</t>
        </is>
      </c>
      <c r="B8" s="5" t="inlineStr">
        <is>
          <t>0 万吨/年</t>
        </is>
      </c>
      <c r="D8" s="4" t="inlineStr">
        <is>
          <t>产能口径</t>
        </is>
      </c>
      <c r="E8" s="5" t="inlineStr">
        <is>
          <t>一期单套聚合装置公称能力 40 万吨/年；未含配套 PDH 装置（本项目丙烯按自建与外购混合考虑，见假设）</t>
        </is>
      </c>
    </row>
    <row r="9">
      <c r="A9" s="4" t="inlineStr">
        <is>
          <t>计划投产</t>
        </is>
      </c>
      <c r="B9" s="5" t="inlineStr">
        <is>
          <t>None 年 None 月</t>
        </is>
      </c>
      <c r="D9" s="4" t="inlineStr">
        <is>
          <t>数据截止日</t>
        </is>
      </c>
      <c r="E9" s="5" t="inlineStr">
        <is>
          <t>2026-10-20</t>
        </is>
      </c>
    </row>
    <row r="10">
      <c r="A10" s="4" t="inlineStr">
        <is>
          <t>编制</t>
        </is>
      </c>
      <c r="B10" s="5" t="inlineStr">
        <is>
          <t>chem-capacity-impact · 期现与产业基本面研究</t>
        </is>
      </c>
      <c r="D10" s="4" t="inlineStr">
        <is>
          <t>版本</t>
        </is>
      </c>
      <c r="E10" s="5" t="inlineStr">
        <is>
          <t>v1.0</t>
        </is>
      </c>
    </row>
    <row r="12">
      <c r="A12" s="3" t="inlineStr">
        <is>
          <t>二、度量口径（三条铁律）</t>
        </is>
      </c>
    </row>
    <row r="13" ht="46" customHeight="1">
      <c r="A13" s="6" t="inlineStr">
        <is>
          <t>铁律 1</t>
        </is>
      </c>
      <c r="B13" s="5" t="inlineStr">
        <is>
          <t>首年产量 ≠ 设计产能。投产首年产量 = Σ 月度(设计产能/12 × 稳定开工率 × 爬坡负荷)，必须按投产月份与爬坡曲线积分，不得把全年设计产能当作首年实际增量。</t>
        </is>
      </c>
    </row>
    <row r="14" ht="46" customHeight="1">
      <c r="A14" s="6" t="inlineStr">
        <is>
          <t>铁律 2</t>
        </is>
      </c>
      <c r="B14" s="5" t="inlineStr">
        <is>
          <t>分子分母口径必须一致。新增产能（公称能力）÷ 现有产能（公称能力），且分母绑定年份与区域边界；不可用产量当分母。</t>
        </is>
      </c>
    </row>
    <row r="15" ht="46" customHeight="1">
      <c r="A15" s="6" t="inlineStr">
        <is>
          <t>铁律 3</t>
        </is>
      </c>
      <c r="B15" s="5" t="inlineStr">
        <is>
          <t>三类结论物理分离。本工作簿用底色区分：绿色=已确认事实，蓝色=有依据的计算，橙色=基于假设的情景。情景结论不得与事实混写。</t>
        </is>
      </c>
    </row>
    <row r="17">
      <c r="A17" s="3" t="inlineStr">
        <is>
          <t>三、图例</t>
        </is>
      </c>
    </row>
    <row r="18">
      <c r="A18" s="7" t="inlineStr"/>
      <c r="B18" s="6" t="inlineStr">
        <is>
          <t>已确认事实</t>
        </is>
      </c>
      <c r="C18" s="5" t="inlineStr">
        <is>
          <t>来自官方/行业权威来源，可点开复核</t>
        </is>
      </c>
    </row>
    <row r="19">
      <c r="A19" s="8" t="inlineStr"/>
      <c r="B19" s="6" t="inlineStr">
        <is>
          <t>有依据的计算</t>
        </is>
      </c>
      <c r="C19" s="5" t="inlineStr">
        <is>
          <t>公式可由审阅者复算，输入均为事实或明确标注的假设</t>
        </is>
      </c>
    </row>
    <row r="20">
      <c r="A20" s="9" t="inlineStr"/>
      <c r="B20" s="6" t="inlineStr">
        <is>
          <t>基于假设的情景</t>
        </is>
      </c>
      <c r="C20" s="5" t="inlineStr">
        <is>
          <t>依赖投产月/开工率/爬坡/单耗假设，参数可改</t>
        </is>
      </c>
    </row>
    <row r="21">
      <c r="A21" s="10" t="inlineStr"/>
      <c r="B21" s="6" t="inlineStr">
        <is>
          <t>参数单元格（可改）</t>
        </is>
      </c>
      <c r="C21" s="5" t="inlineStr">
        <is>
          <t>改这里，下游公式自动重算</t>
        </is>
      </c>
    </row>
    <row r="22">
      <c r="A22" s="11" t="inlineStr"/>
      <c r="B22" s="6" t="inlineStr">
        <is>
          <t>公式单元格（勿手改）</t>
        </is>
      </c>
      <c r="C22" s="5" t="inlineStr">
        <is>
          <t>由脚本生成，手改会破坏一致性</t>
        </is>
      </c>
    </row>
    <row r="24" ht="46" customHeight="1">
      <c r="A24" s="12" t="inlineStr">
        <is>
          <t>四、免责声明：本工作簿不构成价格预测。所有"影响"均以机制与量级表达（占产能比、原料需求量、区域自给率变化），不输出涨跌方向。缺失数据一律标为缺口，不做插值或估算。</t>
        </is>
      </c>
    </row>
  </sheetData>
  <mergeCells count="26">
    <mergeCell ref="B7:C7"/>
    <mergeCell ref="E5:F5"/>
    <mergeCell ref="A12:F12"/>
    <mergeCell ref="C19:F19"/>
    <mergeCell ref="E8:F8"/>
    <mergeCell ref="A2:F2"/>
    <mergeCell ref="C18:F18"/>
    <mergeCell ref="E10:F10"/>
    <mergeCell ref="A17:F17"/>
    <mergeCell ref="A4:F4"/>
    <mergeCell ref="B14:F14"/>
    <mergeCell ref="E9:F9"/>
    <mergeCell ref="B8:C8"/>
    <mergeCell ref="B13:F13"/>
    <mergeCell ref="E6:F6"/>
    <mergeCell ref="C20:F20"/>
    <mergeCell ref="B10:C10"/>
    <mergeCell ref="B9:C9"/>
    <mergeCell ref="C22:F22"/>
    <mergeCell ref="A24:F24"/>
    <mergeCell ref="B6:C6"/>
    <mergeCell ref="E7:F7"/>
    <mergeCell ref="B15:F15"/>
    <mergeCell ref="B5:C5"/>
    <mergeCell ref="A1:F1"/>
    <mergeCell ref="C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1" customWidth="1" min="3" max="3"/>
    <col width="30" customWidth="1" min="4" max="4"/>
    <col width="34" customWidth="1" min="5" max="5"/>
    <col width="15" customWidth="1" min="6" max="6"/>
    <col width="26" customWidth="1" min="7" max="7"/>
  </cols>
  <sheetData>
    <row r="1" ht="30" customHeight="1">
      <c r="A1" s="13" t="inlineStr">
        <is>
          <t>一、项目事实核验卡</t>
        </is>
      </c>
    </row>
    <row r="2" ht="18" customHeight="1">
      <c r="A2" s="14" t="inlineStr">
        <is>
          <t>七项必核字段 + 证据等级。E1 一手官方 / E2 行业权威媒体 / E3 综合媒体 / E4 机构口径 / E5 待确认</t>
        </is>
      </c>
    </row>
    <row r="3" ht="30" customHeight="1">
      <c r="A3" s="15" t="inlineStr">
        <is>
          <t>必核字段</t>
        </is>
      </c>
      <c r="B3" s="15" t="inlineStr">
        <is>
          <t>核实内容</t>
        </is>
      </c>
      <c r="C3" s="15" t="inlineStr">
        <is>
          <t>证据等级</t>
        </is>
      </c>
      <c r="D3" s="15" t="inlineStr">
        <is>
          <t>来源</t>
        </is>
      </c>
      <c r="E3" s="15" t="inlineStr">
        <is>
          <t>URL</t>
        </is>
      </c>
      <c r="F3" s="15" t="inlineStr">
        <is>
          <t>公告/抓取日期</t>
        </is>
      </c>
      <c r="G3" s="15" t="inlineStr">
        <is>
          <t>备注</t>
        </is>
      </c>
    </row>
    <row r="4">
      <c r="A4" s="16" t="inlineStr">
        <is>
          <t>项目业主</t>
        </is>
      </c>
      <c r="B4" s="17" t="inlineStr">
        <is>
          <t>【模拟】某化工新材料有限公司（名称与主体为研究占位，非真实企业）</t>
        </is>
      </c>
      <c r="C4" s="18" t="inlineStr">
        <is>
          <t>E5</t>
        </is>
      </c>
      <c r="D4" s="17" t="inlineStr">
        <is>
          <t>未核实</t>
        </is>
      </c>
      <c r="E4" s="17" t="inlineStr">
        <is>
          <t>未核实</t>
        </is>
      </c>
      <c r="F4" s="17" t="inlineStr"/>
      <c r="G4" s="17" t="inlineStr">
        <is>
          <t>启动本项研究前，必须先完成业主工商主体核验：是否为集团新设项目公司、股东结构、与上市公司实体是否同名。模拟输入不提供该项信息。</t>
        </is>
      </c>
    </row>
    <row r="5">
      <c r="A5" s="16" t="inlineStr">
        <is>
          <t>建设地点</t>
        </is>
      </c>
      <c r="B5" s="17" t="inlineStr">
        <is>
          <t>浙江省宁波市北仑区宁波石化经济技术开发区（模拟选址，未核实）</t>
        </is>
      </c>
      <c r="C5" s="18" t="inlineStr">
        <is>
          <t>E5</t>
        </is>
      </c>
      <c r="D5" s="17" t="inlineStr">
        <is>
          <t>未核实</t>
        </is>
      </c>
      <c r="E5" s="17" t="inlineStr">
        <is>
          <t>未核实</t>
        </is>
      </c>
      <c r="F5" s="17" t="inlineStr"/>
      <c r="G5" s="17" t="inlineStr"/>
    </row>
    <row r="6">
      <c r="A6" s="16" t="inlineStr">
        <is>
          <t>产品与牌号</t>
        </is>
      </c>
      <c r="B6" s="17" t="inlineStr">
        <is>
          <t>聚丙烯均聚及无规共聚粒料（拉丝级、注塑级为主，覆盖薄膜级）</t>
        </is>
      </c>
      <c r="C6" s="19" t="inlineStr">
        <is>
          <t>E3</t>
        </is>
      </c>
      <c r="D6" s="17" t="inlineStr">
        <is>
          <t>未核实</t>
        </is>
      </c>
      <c r="E6" s="17" t="inlineStr">
        <is>
          <t>未核实</t>
        </is>
      </c>
      <c r="F6" s="17" t="inlineStr"/>
      <c r="G6" s="17" t="inlineStr"/>
    </row>
    <row r="7">
      <c r="A7" s="16" t="inlineStr">
        <is>
          <t>设计产能</t>
        </is>
      </c>
      <c r="B7" s="17" t="inlineStr">
        <is>
          <t>40.0 万吨/年（一期单套聚合装置公称能力 40 万吨/年；未含配套 PDH 装置（本项目丙烯按自建与外购混合考虑，见假设））</t>
        </is>
      </c>
      <c r="C7" s="18" t="inlineStr">
        <is>
          <t>E5</t>
        </is>
      </c>
      <c r="D7" s="17" t="inlineStr">
        <is>
          <t>研究模拟输入（设计产能 40 万吨/年为任务给定参数）</t>
        </is>
      </c>
      <c r="E7" s="17" t="inlineStr">
        <is>
          <t>未核实</t>
        </is>
      </c>
      <c r="F7" s="17" t="inlineStr">
        <is>
          <t>2026-10-20</t>
        </is>
      </c>
      <c r="G7" s="17" t="inlineStr"/>
    </row>
    <row r="8">
      <c r="A8" s="16" t="inlineStr">
        <is>
          <t>工艺路线</t>
        </is>
      </c>
      <c r="B8" s="17" t="inlineStr">
        <is>
          <t>PDH（UOP Oleflex，Pt-Al2O3 催化剂，连续再生）→ 精丙烯 → UNIPOL 气相聚丙烯（Ziegler-Natta 高效载体催化剂 + 三乙基铝助催化剂 + 给电子体）</t>
        </is>
      </c>
      <c r="C8" s="19" t="inlineStr">
        <is>
          <t>E3</t>
        </is>
      </c>
      <c r="D8" s="17" t="inlineStr">
        <is>
          <t>工艺组合为公开装置常见配置；本项目所采用许可尚未核实</t>
        </is>
      </c>
      <c r="E8" s="17" t="inlineStr">
        <is>
          <t>未核实</t>
        </is>
      </c>
      <c r="F8" s="17" t="inlineStr">
        <is>
          <t>2026-10-20</t>
        </is>
      </c>
      <c r="G8" s="17" t="inlineStr"/>
    </row>
    <row r="9">
      <c r="A9" s="16" t="inlineStr">
        <is>
          <t>项目阶段</t>
        </is>
      </c>
      <c r="B9" s="17" t="inlineStr">
        <is>
          <t>拟建</t>
        </is>
      </c>
      <c r="C9" s="18" t="inlineStr">
        <is>
          <t>E5</t>
        </is>
      </c>
      <c r="D9" s="17" t="inlineStr">
        <is>
          <t>未核实</t>
        </is>
      </c>
      <c r="E9" s="17" t="inlineStr">
        <is>
          <t>未核实</t>
        </is>
      </c>
      <c r="F9" s="17" t="inlineStr"/>
      <c r="G9" s="17" t="inlineStr">
        <is>
          <t>模拟输入：未提供环评受理、备案或施工影像证据，因此按最低阶段“拟建”处理。真实研究必须以环评公示原文或发改委备案证为准。</t>
        </is>
      </c>
    </row>
    <row r="10">
      <c r="A10" s="16" t="inlineStr">
        <is>
          <t>预计投产时间</t>
        </is>
      </c>
      <c r="B10" s="17" t="inlineStr">
        <is>
          <t>【模拟】规划 2028 年 6 月建成投料（本研究输入，非公告原文）</t>
        </is>
      </c>
      <c r="C10" s="18" t="inlineStr">
        <is>
          <t>E5</t>
        </is>
      </c>
      <c r="D10" s="17" t="inlineStr">
        <is>
          <t>模拟输入，无公告原文</t>
        </is>
      </c>
      <c r="E10" s="17" t="inlineStr">
        <is>
          <t>未核实</t>
        </is>
      </c>
      <c r="F10" s="17" t="inlineStr">
        <is>
          <t>2026-10-20</t>
        </is>
      </c>
      <c r="G10" s="17" t="inlineStr"/>
    </row>
    <row r="12" ht="30" customHeight="1">
      <c r="A12" s="13" t="inlineStr">
        <is>
          <t>二、补充信息</t>
        </is>
      </c>
    </row>
    <row r="13">
      <c r="A13" s="16" t="inlineStr">
        <is>
          <t>参考装置（真实存在，仅作工艺与单耗参照）</t>
        </is>
      </c>
      <c r="B13" s="17" t="inlineStr">
        <is>
          <t>浙江卫星能源“年产 45 万吨丙烯及 30 万吨聚丙烯二期项目”——同为 Oleflex PDH + 聚合路线，已竣工环保验收，其原辅料消耗表是本报告单耗的一手依据（见 03 表与来源清单）。该装置为真实项目，与本模拟项目无股权关系。</t>
        </is>
      </c>
    </row>
    <row r="14">
      <c r="A14" s="16" t="inlineStr">
        <is>
          <t>参照装置规模</t>
        </is>
      </c>
      <c r="B14" s="17" t="inlineStr">
        <is>
          <t>PDH 45 万吨/年丙烯 + PP 30 万吨/年（本模拟项目 PP 为 40 万吨/年，规模相近，单耗可直接借鉴）</t>
        </is>
      </c>
    </row>
    <row r="15">
      <c r="A15" s="16" t="inlineStr">
        <is>
          <t>总投资</t>
        </is>
      </c>
      <c r="B15" s="17" t="inlineStr">
        <is>
          <t>未披露（模拟输入）</t>
        </is>
      </c>
    </row>
    <row r="16">
      <c r="A16" s="16" t="inlineStr">
        <is>
          <t>分期安排</t>
        </is>
      </c>
      <c r="B16" s="17" t="inlineStr">
        <is>
          <t>模拟输入：一期 40 万吨/年；未核实是否存在二期规划。若存在规划产能，报告中应单列“规划全部落地”的上限情景。</t>
        </is>
      </c>
    </row>
    <row r="18" ht="30" customHeight="1">
      <c r="A18" s="13" t="inlineStr">
        <is>
          <t>三、核验结论</t>
        </is>
      </c>
    </row>
    <row r="19" ht="32" customHeight="1">
      <c r="A19" s="17" t="inlineStr">
        <is>
          <t>【研究结论 · 事实层】本项目的主体、存在性与进度为模拟输入，证据等级 E5（待确认）。按本技能的核验纪律，其结论只能定位为“情景测算”，不得表述为真实项目事实。</t>
        </is>
      </c>
    </row>
    <row r="20" ht="32" customHeight="1">
      <c r="A20" s="17" t="inlineStr">
        <is>
          <t>【工艺与单耗 · 可迁移】报告中的单耗、装置配置、副产与质量平衡来自真实装置（浙江卫星能源 PDH-PP 二期，E1 一手环评验收资料），适用于同路线（Oleflex + 气相聚合）项目，可直接迁移到任意 30~60 万吨/年规模的同路线项目。</t>
        </is>
      </c>
    </row>
    <row r="21" ht="32" customHeight="1">
      <c r="A21" s="17" t="inlineStr">
        <is>
          <t>【分母 · 已核实】全国、区域、竞争半径三组分母来自公开统计（E3/E4），口径冲突已在 04 表中并列。</t>
        </is>
      </c>
    </row>
    <row r="22" ht="32" customHeight="1">
      <c r="A22" s="17" t="inlineStr">
        <is>
          <t>【待确认 → 补齐路径】真实项目研究必须依次补齐：业主工商主体 → 环评受理/批复原文（拿原辅料表）→ 发改委备案证（拿设计产能与建设期）→ 施工影像/年报在建工程（判断是否真在建）→ 装置动态（投产月）。四条任一缺失，对应结论降级为“情景”。</t>
        </is>
      </c>
    </row>
  </sheetData>
  <mergeCells count="12">
    <mergeCell ref="B16:G16"/>
    <mergeCell ref="A1:G1"/>
    <mergeCell ref="A18:G18"/>
    <mergeCell ref="B14:G14"/>
    <mergeCell ref="A21:G21"/>
    <mergeCell ref="A22:G22"/>
    <mergeCell ref="A12:G12"/>
    <mergeCell ref="A20:G20"/>
    <mergeCell ref="A2:G2"/>
    <mergeCell ref="B13:G13"/>
    <mergeCell ref="A19:G19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6" customWidth="1" min="4" max="4"/>
    <col width="8" customWidth="1" min="5" max="5"/>
    <col width="36" customWidth="1" min="6" max="6"/>
    <col width="10" customWidth="1" min="7" max="7"/>
    <col width="30" customWidth="1" min="8" max="8"/>
    <col width="30" customWidth="1" min="9" max="9"/>
  </cols>
  <sheetData>
    <row r="1" ht="30" customHeight="1">
      <c r="A1" s="13" t="inlineStr">
        <is>
          <t>二、现有产能基准（占比的分母）</t>
        </is>
      </c>
    </row>
    <row r="2" ht="18" customHeight="1">
      <c r="A2" s="14" t="inlineStr">
        <is>
          <t>每组分母都要绑定"口径 + 年份 + 区域边界"。替代口径用于敏感性，不可与主口径混用。</t>
        </is>
      </c>
    </row>
    <row r="3" ht="30" customHeight="1">
      <c r="A3" s="15" t="inlineStr">
        <is>
          <t>分母键</t>
        </is>
      </c>
      <c r="B3" s="15" t="inlineStr">
        <is>
          <t>口径名称</t>
        </is>
      </c>
      <c r="C3" s="15" t="inlineStr">
        <is>
          <t>数值（万吨/年）</t>
        </is>
      </c>
      <c r="D3" s="15" t="inlineStr">
        <is>
          <t>数值（吨/年）</t>
        </is>
      </c>
      <c r="E3" s="15" t="inlineStr">
        <is>
          <t>年份</t>
        </is>
      </c>
      <c r="F3" s="15" t="inlineStr">
        <is>
          <t>口径说明</t>
        </is>
      </c>
      <c r="G3" s="15" t="inlineStr">
        <is>
          <t>证据等级</t>
        </is>
      </c>
      <c r="H3" s="15" t="inlineStr">
        <is>
          <t>来源</t>
        </is>
      </c>
      <c r="I3" s="15" t="inlineStr">
        <is>
          <t>备注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8" customWidth="1" min="8" max="8"/>
    <col width="18" customWidth="1" min="9" max="9"/>
    <col width="9" customWidth="1" min="10" max="10"/>
    <col width="46" customWidth="1" min="11" max="11"/>
  </cols>
  <sheetData>
    <row r="1" ht="30" customHeight="1">
      <c r="A1" s="13" t="inlineStr">
        <is>
          <t>三、原料单耗（含证据等级与依据等级）</t>
        </is>
      </c>
    </row>
    <row r="2" ht="18" customHeight="1">
      <c r="A2" s="14" t="inlineStr">
        <is>
          <t>C1 工程值（环评/可研）/ C2 区间中值 / C3 化学计量下限 / C4 情景假设。C3 只能做"最低不可能低于"的校验，不能当实际单耗。</t>
        </is>
      </c>
    </row>
    <row r="3" ht="30" customHeight="1">
      <c r="A3" s="15" t="inlineStr">
        <is>
          <t>单耗键</t>
        </is>
      </c>
      <c r="B3" s="15" t="inlineStr">
        <is>
          <t>从</t>
        </is>
      </c>
      <c r="C3" s="15" t="inlineStr">
        <is>
          <t>到</t>
        </is>
      </c>
      <c r="D3" s="15" t="inlineStr">
        <is>
          <t>单耗值(t/t)</t>
        </is>
      </c>
      <c r="E3" s="15" t="inlineStr">
        <is>
          <t>依据等级</t>
        </is>
      </c>
      <c r="F3" s="15" t="inlineStr">
        <is>
          <t>区间下限</t>
        </is>
      </c>
      <c r="G3" s="15" t="inlineStr">
        <is>
          <t>区间上限</t>
        </is>
      </c>
      <c r="H3" s="15" t="inlineStr">
        <is>
          <t>纯度</t>
        </is>
      </c>
      <c r="I3" s="15" t="inlineStr">
        <is>
          <t>实际系数(单耗/纯度)</t>
        </is>
      </c>
      <c r="J3" s="15" t="inlineStr">
        <is>
          <t>证据等级</t>
        </is>
      </c>
      <c r="K3" s="15" t="inlineStr">
        <is>
          <t>来源与说明</t>
        </is>
      </c>
    </row>
    <row r="4">
      <c r="A4" s="17" t="inlineStr">
        <is>
          <t>propane_to_propylene</t>
        </is>
      </c>
      <c r="B4" s="17" t="inlineStr">
        <is>
          <t>进口丙烷</t>
        </is>
      </c>
      <c r="C4" s="17" t="inlineStr">
        <is>
          <t>丙烯（精丙烯）</t>
        </is>
      </c>
      <c r="D4" s="20" t="n">
        <v>1.18</v>
      </c>
      <c r="E4" s="21" t="inlineStr">
        <is>
          <t>C2 区间中值</t>
        </is>
      </c>
      <c r="F4" s="22" t="n">
        <v>1.14</v>
      </c>
      <c r="G4" s="22" t="n">
        <v>1.22</v>
      </c>
      <c r="H4" s="23" t="n">
        <v>1</v>
      </c>
      <c r="I4" s="24">
        <f>D4/H4</f>
        <v/>
      </c>
      <c r="J4" s="25" t="inlineStr">
        <is>
          <t>E1</t>
        </is>
      </c>
      <c r="K4" s="17" t="inlineStr">
        <is>
          <t>浙江卫星能源《年产 45 万吨丙烯及 30 万吨聚丙烯二期项目竣工环境保护验收监测报告》：PDH 装置丙烷环评年耗量 54.7272 万吨 ÷ 设计丙烯产能 45 万吨 = 1.2162 t/t；另一实测口径（华泰期货《山东丙烯市场调研报告》2026-09-30）称 PDH 丙烷单耗一般 1.14–1.20 t/t
https://zjjcmspublic.oss-cn-hangzhou-zwynet-d01-a.internet.cloud.zj.gov.cn/jcms_files/jcms1/web1756/site/attach/0/fa494eaba1e2493fa7303ad40f9ee7c4.pdf  时间: 2019</t>
        </is>
      </c>
    </row>
    <row r="5">
      <c r="A5" s="17" t="inlineStr">
        <is>
          <t>propylene_to_pp</t>
        </is>
      </c>
      <c r="B5" s="17" t="inlineStr">
        <is>
          <t>丙烯</t>
        </is>
      </c>
      <c r="C5" s="17" t="inlineStr">
        <is>
          <t>聚丙烯</t>
        </is>
      </c>
      <c r="D5" s="20" t="n">
        <v>1</v>
      </c>
      <c r="E5" s="21" t="inlineStr">
        <is>
          <t>C1 工程值</t>
        </is>
      </c>
      <c r="F5" s="22" t="n">
        <v>0.99</v>
      </c>
      <c r="G5" s="22" t="n">
        <v>1.04</v>
      </c>
      <c r="H5" s="23" t="n">
        <v>1</v>
      </c>
      <c r="I5" s="24">
        <f>D5/H5</f>
        <v/>
      </c>
      <c r="J5" s="25" t="inlineStr">
        <is>
          <t>E1</t>
        </is>
      </c>
      <c r="K5" s="17" t="inlineStr">
        <is>
          <t>同上环评验收报告：PP 装置丙烯环评年耗量 29.701 万吨 ÷ 设计 PP 产能 30 万吨 = 0.99 t/t；实际折算 27.33 ÷ 30 = 0.911（含开工不足与回用）。行业通行值 1.01–1.04 t/t（含尾气、低聚物与切换损失）。
https://zjjcmspublic.oss-cn-hangzhou-zwynet-d01-a.internet.cloud.zj.gov.cn/jcms_files/jcms1/web1756/site/attach/0/fa494eaba1e2493fa7303ad40f9ee7c4.pdf  时间: 2019</t>
        </is>
      </c>
    </row>
    <row r="6">
      <c r="A6" s="17" t="inlineStr">
        <is>
          <t>ethylene_to_pp</t>
        </is>
      </c>
      <c r="B6" s="17" t="inlineStr">
        <is>
          <t>乙烯（共聚单体）</t>
        </is>
      </c>
      <c r="C6" s="17" t="inlineStr">
        <is>
          <t>聚丙烯</t>
        </is>
      </c>
      <c r="D6" s="20" t="n">
        <v>0.0297</v>
      </c>
      <c r="E6" s="21" t="inlineStr">
        <is>
          <t>C1 工程值</t>
        </is>
      </c>
      <c r="F6" s="22" t="n">
        <v>0.02</v>
      </c>
      <c r="G6" s="22" t="n">
        <v>0.04</v>
      </c>
      <c r="H6" s="23" t="n">
        <v>1</v>
      </c>
      <c r="I6" s="24">
        <f>D6/H6</f>
        <v/>
      </c>
      <c r="J6" s="25" t="inlineStr">
        <is>
          <t>E1</t>
        </is>
      </c>
      <c r="K6" s="17" t="inlineStr">
        <is>
          <t>同上环评：PP 装置乙烯年耗量 0.89 万吨 ÷ 30 万吨 = 0.0297 t/t（仅无规共聚牌号使用；该装置后来取消乙烯添加）
https://zjjcmspublic.oss-cn-hangzhou-zwynet-d01-a.internet.cloud.zj.gov.cn/jcms_files/jcms1/web1756/site/attach/0/fa494eaba1e2493fa7303ad40f9ee7c4.pdf  时间: 2019</t>
        </is>
      </c>
    </row>
    <row r="8" ht="30" customHeight="1">
      <c r="A8" s="13" t="inlineStr">
        <is>
          <t>四、单耗连乘结果（链上乘积）</t>
        </is>
      </c>
    </row>
    <row r="9" ht="18" customHeight="1">
      <c r="A9" s="14" t="inlineStr">
        <is>
          <t>原料需求系数 = Π(单耗 / 纯度)，按工艺链顺序连乘。中间体外购的链不产生对上游的新增需求。</t>
        </is>
      </c>
    </row>
    <row r="10" ht="30" customHeight="1">
      <c r="A10" s="15" t="inlineStr">
        <is>
          <t>原料/节点</t>
        </is>
      </c>
      <c r="B10" s="15" t="inlineStr">
        <is>
          <t>连乘系数(t/t)</t>
        </is>
      </c>
      <c r="C10" s="15" t="inlineStr">
        <is>
          <t>区间下限</t>
        </is>
      </c>
      <c r="D10" s="15" t="inlineStr">
        <is>
          <t>区间上限</t>
        </is>
      </c>
      <c r="E10" s="15" t="inlineStr">
        <is>
          <t>是否本项目自建</t>
        </is>
      </c>
      <c r="F10" s="15" t="inlineStr">
        <is>
          <t>链上构成</t>
        </is>
      </c>
      <c r="G10" s="15" t="inlineStr"/>
      <c r="H10" s="15" t="inlineStr"/>
      <c r="I10" s="15" t="inlineStr"/>
      <c r="J10" s="15" t="inlineStr"/>
      <c r="K10" s="15" t="inlineStr"/>
    </row>
  </sheetData>
  <mergeCells count="4">
    <mergeCell ref="A2:K2"/>
    <mergeCell ref="A1:K1"/>
    <mergeCell ref="A9:K9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1" customWidth="1" min="5" max="5"/>
    <col width="8" customWidth="1" min="6" max="6"/>
    <col width="30" customWidth="1" min="7" max="7"/>
    <col width="7" customWidth="1" min="8" max="8"/>
    <col width="46" customWidth="1" min="9" max="9"/>
  </cols>
  <sheetData>
    <row r="1" ht="30" customHeight="1">
      <c r="A1" s="13" t="inlineStr">
        <is>
          <t>四、新增产能的相对规模</t>
        </is>
      </c>
    </row>
    <row r="2" ht="18" customHeight="1">
      <c r="A2" s="14" t="inlineStr">
        <is>
          <t>同一新增产能，分母不同结论完全不同。六组分母全部列出，每项给出"档位"与"含义"，而非只给百分比。</t>
        </is>
      </c>
    </row>
    <row r="3" ht="30" customHeight="1">
      <c r="A3" s="15" t="inlineStr">
        <is>
          <t>分母</t>
        </is>
      </c>
      <c r="B3" s="15" t="inlineStr">
        <is>
          <t>新增产能(万吨)</t>
        </is>
      </c>
      <c r="C3" s="15" t="inlineStr">
        <is>
          <t>分母(万吨)</t>
        </is>
      </c>
      <c r="D3" s="15" t="inlineStr">
        <is>
          <t>占比(%)</t>
        </is>
      </c>
      <c r="E3" s="15" t="inlineStr">
        <is>
          <t>档位</t>
        </is>
      </c>
      <c r="F3" s="15" t="inlineStr">
        <is>
          <t>年份</t>
        </is>
      </c>
      <c r="G3" s="15" t="inlineStr">
        <is>
          <t>口径</t>
        </is>
      </c>
      <c r="H3" s="15" t="inlineStr">
        <is>
          <t>证据</t>
        </is>
      </c>
      <c r="I3" s="15" t="inlineStr">
        <is>
          <t>含义</t>
        </is>
      </c>
    </row>
    <row r="5" ht="30" customHeight="1">
      <c r="A5" s="13" t="inlineStr">
        <is>
          <t>五、口径冲突与替代分母</t>
        </is>
      </c>
    </row>
    <row r="6" ht="18" customHeight="1">
      <c r="A6" s="14" t="inlineStr">
        <is>
          <t>当来源对同一分母给出不同数值时，两套口径都列出并各算一次占比，不择其一。以下替代口径来自 capacity_bases[].value_t_alt；分子统一引用上方主口径表的 B 列。</t>
        </is>
      </c>
    </row>
    <row r="7" ht="30" customHeight="1">
      <c r="A7" s="15" t="inlineStr">
        <is>
          <t>分母</t>
        </is>
      </c>
      <c r="B7" s="15" t="inlineStr">
        <is>
          <t>替代口径说明</t>
        </is>
      </c>
      <c r="C7" s="15" t="inlineStr">
        <is>
          <t>替代分母(万吨)</t>
        </is>
      </c>
      <c r="D7" s="15" t="inlineStr">
        <is>
          <t>替代占比(%)</t>
        </is>
      </c>
      <c r="E7" s="15" t="inlineStr">
        <is>
          <t>差异(百分点)</t>
        </is>
      </c>
      <c r="F7" s="15" t="inlineStr"/>
      <c r="G7" s="15" t="inlineStr"/>
      <c r="H7" s="15" t="inlineStr"/>
      <c r="I7" s="15" t="inlineStr"/>
    </row>
    <row r="8">
      <c r="A8" s="26" t="inlineStr">
        <is>
          <t>数据中未提供替代口径（capacity_bases[].value_t_alt 全为空）。若来源对分母存在冲突，建议补充替代口径后重出。</t>
        </is>
      </c>
    </row>
  </sheetData>
  <mergeCells count="5">
    <mergeCell ref="A2:I2"/>
    <mergeCell ref="A5:I5"/>
    <mergeCell ref="A1:I1"/>
    <mergeCell ref="A8:I8"/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12" customWidth="1" min="5" max="5"/>
    <col width="12" customWidth="1" min="6" max="6"/>
    <col width="11" customWidth="1" min="7" max="7"/>
    <col width="9" customWidth="1" min="8" max="8"/>
    <col width="14" customWidth="1" min="9" max="9"/>
    <col width="13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3" t="inlineStr">
        <is>
          <t>五、产量情景（首年 vs 稳态 vs 上限）</t>
        </is>
      </c>
    </row>
    <row r="2" ht="18" customHeight="1">
      <c r="A2" s="14" t="inlineStr">
        <is>
          <t>关键纪律：投产首年产量 = Σ月度(设计产能/12 × 稳定开工率 × 爬坡负荷)。把设计产能直接当首年增量，会系统性高估 40%–60%。</t>
        </is>
      </c>
    </row>
    <row r="3" ht="30" customHeight="1">
      <c r="A3" s="15" t="inlineStr">
        <is>
          <t>情景</t>
        </is>
      </c>
      <c r="B3" s="15" t="inlineStr">
        <is>
          <t>类型</t>
        </is>
      </c>
      <c r="C3" s="15" t="inlineStr">
        <is>
          <t>开车年</t>
        </is>
      </c>
      <c r="D3" s="15" t="inlineStr">
        <is>
          <t>开车月</t>
        </is>
      </c>
      <c r="E3" s="15" t="inlineStr">
        <is>
          <t>当年可产月数</t>
        </is>
      </c>
      <c r="F3" s="15" t="inlineStr">
        <is>
          <t>稳定开工率(%)</t>
        </is>
      </c>
      <c r="G3" s="15" t="inlineStr">
        <is>
          <t>爬坡模型</t>
        </is>
      </c>
      <c r="H3" s="15" t="inlineStr">
        <is>
          <t>爬坡月数</t>
        </is>
      </c>
      <c r="I3" s="15" t="inlineStr">
        <is>
          <t>首年产量(万吨)</t>
        </is>
      </c>
      <c r="J3" s="15" t="inlineStr">
        <is>
          <t>占设计产能(%)</t>
        </is>
      </c>
      <c r="K3" s="15" t="inlineStr">
        <is>
          <t>稳定运行年产量(万吨)</t>
        </is>
      </c>
      <c r="L3" s="15" t="inlineStr">
        <is>
          <t>满负荷上限(万吨)</t>
        </is>
      </c>
      <c r="M3" s="15" t="inlineStr">
        <is>
          <t>说明</t>
        </is>
      </c>
    </row>
    <row r="4">
      <c r="A4" s="27" t="inlineStr">
        <is>
          <t>S1</t>
        </is>
      </c>
      <c r="B4" s="28" t="inlineStr">
        <is>
          <t>保守</t>
        </is>
      </c>
      <c r="C4" s="29" t="n">
        <v>2028</v>
      </c>
      <c r="D4" s="29" t="n">
        <v>12</v>
      </c>
      <c r="E4" s="30">
        <f>12-D4+1</f>
        <v/>
      </c>
      <c r="F4" s="31" t="n">
        <v>85</v>
      </c>
      <c r="G4" s="29" t="inlineStr">
        <is>
          <t>s_curve</t>
        </is>
      </c>
      <c r="H4" s="29" t="n">
        <v>18</v>
      </c>
      <c r="I4" s="32" t="n">
        <v>0</v>
      </c>
      <c r="J4" s="33" t="n">
        <v>0</v>
      </c>
      <c r="K4" s="32" t="n">
        <v>0</v>
      </c>
      <c r="L4" s="32" t="n">
        <v>0</v>
      </c>
      <c r="M4" s="34" t="inlineStr">
        <is>
          <t>假设推迟至 2028 年 12 月投料，爬坡 18 个月，稳定开工率 85%。首年实际产出可能不足 1 万吨。</t>
        </is>
      </c>
    </row>
    <row r="5">
      <c r="A5" s="27" t="inlineStr">
        <is>
          <t>S2</t>
        </is>
      </c>
      <c r="B5" s="28" t="inlineStr">
        <is>
          <t>基准</t>
        </is>
      </c>
      <c r="C5" s="29" t="n">
        <v>2028</v>
      </c>
      <c r="D5" s="29" t="n">
        <v>6</v>
      </c>
      <c r="E5" s="30">
        <f>12-D5+1</f>
        <v/>
      </c>
      <c r="F5" s="31" t="n">
        <v>90</v>
      </c>
      <c r="G5" s="29" t="inlineStr">
        <is>
          <t>s_curve</t>
        </is>
      </c>
      <c r="H5" s="29" t="n">
        <v>12</v>
      </c>
      <c r="I5" s="32" t="n">
        <v>0</v>
      </c>
      <c r="J5" s="33" t="n">
        <v>0</v>
      </c>
      <c r="K5" s="32" t="n">
        <v>0</v>
      </c>
      <c r="L5" s="32" t="n">
        <v>0</v>
      </c>
      <c r="M5" s="34" t="inlineStr">
        <is>
          <t>按模拟输入 2028 年 6 月投料，S 曲线 12 个月爬坡，稳定开工率 90%。</t>
        </is>
      </c>
    </row>
    <row r="6">
      <c r="A6" s="27" t="inlineStr">
        <is>
          <t>S3</t>
        </is>
      </c>
      <c r="B6" s="28" t="inlineStr">
        <is>
          <t>乐观</t>
        </is>
      </c>
      <c r="C6" s="29" t="n">
        <v>2028</v>
      </c>
      <c r="D6" s="29" t="n">
        <v>3</v>
      </c>
      <c r="E6" s="30">
        <f>12-D6+1</f>
        <v/>
      </c>
      <c r="F6" s="31" t="n">
        <v>95</v>
      </c>
      <c r="G6" s="29" t="inlineStr">
        <is>
          <t>linear</t>
        </is>
      </c>
      <c r="H6" s="29" t="n">
        <v>9</v>
      </c>
      <c r="I6" s="32" t="n">
        <v>0</v>
      </c>
      <c r="J6" s="33" t="n">
        <v>0</v>
      </c>
      <c r="K6" s="32" t="n">
        <v>0</v>
      </c>
      <c r="L6" s="32" t="n">
        <v>0</v>
      </c>
      <c r="M6" s="34" t="inlineStr">
        <is>
          <t>假设提前至一季度投料，线性 9 个月爬坡，稳定开工率 95%。</t>
        </is>
      </c>
    </row>
    <row r="7">
      <c r="A7" s="27" t="inlineStr">
        <is>
          <t>S4</t>
        </is>
      </c>
      <c r="B7" s="28" t="inlineStr">
        <is>
          <t>上限</t>
        </is>
      </c>
      <c r="C7" s="29" t="n">
        <v>2028</v>
      </c>
      <c r="D7" s="29" t="n">
        <v>1</v>
      </c>
      <c r="E7" s="30">
        <f>12-D7+1</f>
        <v/>
      </c>
      <c r="F7" s="31" t="n">
        <v>100</v>
      </c>
      <c r="G7" s="29" t="inlineStr">
        <is>
          <t>none</t>
        </is>
      </c>
      <c r="H7" s="29" t="n">
        <v>0</v>
      </c>
      <c r="I7" s="32" t="n">
        <v>0</v>
      </c>
      <c r="J7" s="33" t="n">
        <v>0</v>
      </c>
      <c r="K7" s="32" t="n">
        <v>0</v>
      </c>
      <c r="L7" s="32" t="n">
        <v>0</v>
      </c>
      <c r="M7" s="34" t="inlineStr">
        <is>
          <t>理论上限：1 月即满负荷、无爬坡、全年 100% 开工。仅供校验——把设计产能 40 万吨直接当首年产量，对应的就是这个情景，现实中不会出现。</t>
        </is>
      </c>
    </row>
    <row r="8">
      <c r="A8" s="27" t="inlineStr">
        <is>
          <t>S5</t>
        </is>
      </c>
      <c r="B8" s="28" t="inlineStr">
        <is>
          <t>延期</t>
        </is>
      </c>
      <c r="C8" s="29" t="n">
        <v>2029</v>
      </c>
      <c r="D8" s="29" t="n">
        <v>6</v>
      </c>
      <c r="E8" s="30">
        <f>12-D8+1</f>
        <v/>
      </c>
      <c r="F8" s="31" t="n">
        <v>90</v>
      </c>
      <c r="G8" s="29" t="inlineStr">
        <is>
          <t>s_curve</t>
        </is>
      </c>
      <c r="H8" s="29" t="n">
        <v>12</v>
      </c>
      <c r="I8" s="32" t="n">
        <v>0</v>
      </c>
      <c r="J8" s="33" t="n">
        <v>0</v>
      </c>
      <c r="K8" s="32" t="n">
        <v>0</v>
      </c>
      <c r="L8" s="32" t="n">
        <v>0</v>
      </c>
      <c r="M8" s="34" t="inlineStr">
        <is>
          <t>假设因审批/资金/设备原因推迟 12 个月至 2029 年 6 月投料。用于评估“当年供给增量归零”的影响。</t>
        </is>
      </c>
    </row>
    <row r="10" ht="30" customHeight="1">
      <c r="A10" s="13" t="inlineStr">
        <is>
          <t>六、按自然年汇总（前三年）</t>
        </is>
      </c>
    </row>
    <row r="11" ht="18" customHeight="1">
      <c r="A11" s="14" t="inlineStr">
        <is>
          <t>跨年积分：开车在 Q4 时首年产量可能只有 2–3 个月。</t>
        </is>
      </c>
    </row>
    <row r="12" ht="30" customHeight="1">
      <c r="A12" s="15" t="inlineStr">
        <is>
          <t>情景</t>
        </is>
      </c>
    </row>
    <row r="13">
      <c r="A13" s="27" t="inlineStr">
        <is>
          <t>S1</t>
        </is>
      </c>
    </row>
    <row r="14">
      <c r="A14" s="27" t="inlineStr">
        <is>
          <t>S2</t>
        </is>
      </c>
    </row>
    <row r="15">
      <c r="A15" s="27" t="inlineStr">
        <is>
          <t>S3</t>
        </is>
      </c>
    </row>
    <row r="16">
      <c r="A16" s="27" t="inlineStr">
        <is>
          <t>S4</t>
        </is>
      </c>
    </row>
    <row r="17">
      <c r="A17" s="27" t="inlineStr">
        <is>
          <t>S5</t>
        </is>
      </c>
    </row>
  </sheetData>
  <mergeCells count="4">
    <mergeCell ref="A2:M2"/>
    <mergeCell ref="A11:M11"/>
    <mergeCell ref="A1:M1"/>
    <mergeCell ref="A10:M10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8" customWidth="1" min="4" max="4"/>
    <col width="13" customWidth="1" min="5" max="5"/>
    <col width="11" customWidth="1" min="6" max="6"/>
    <col width="16" customWidth="1" min="7" max="7"/>
    <col width="14" customWidth="1" min="8" max="8"/>
  </cols>
  <sheetData>
    <row r="1" ht="30" customHeight="1">
      <c r="A1" s="13" t="inlineStr">
        <is>
          <t>六、月度爬坡明细（自开车月起 36 个月）</t>
        </is>
      </c>
    </row>
    <row r="2" ht="18" customHeight="1">
      <c r="A2" s="14" t="inlineStr">
        <is>
          <t>负荷率 = 爬坡模型负荷 × 稳定开工率；月产量 = 设计产能/12 × 负荷率。本表是 05/07 的计算底座。</t>
        </is>
      </c>
    </row>
    <row r="3" ht="30" customHeight="1">
      <c r="A3" s="15" t="inlineStr">
        <is>
          <t>情景</t>
        </is>
      </c>
      <c r="B3" s="15" t="inlineStr">
        <is>
          <t>序列月序 k</t>
        </is>
      </c>
      <c r="C3" s="15" t="inlineStr">
        <is>
          <t>自然年</t>
        </is>
      </c>
      <c r="D3" s="15" t="inlineStr">
        <is>
          <t>月份</t>
        </is>
      </c>
      <c r="E3" s="15" t="inlineStr">
        <is>
          <t>爬坡模型负荷</t>
        </is>
      </c>
      <c r="F3" s="15" t="inlineStr">
        <is>
          <t>综合负荷</t>
        </is>
      </c>
      <c r="G3" s="15" t="inlineStr">
        <is>
          <t>月产量(吨)</t>
        </is>
      </c>
      <c r="H3" s="15" t="inlineStr">
        <is>
          <t>月产量(万吨)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7" customWidth="1" min="5" max="5"/>
    <col width="15" customWidth="1" min="6" max="6"/>
    <col width="17" customWidth="1" min="7" max="7"/>
    <col width="18" customWidth="1" min="8" max="8"/>
    <col width="16" customWidth="1" min="9" max="9"/>
  </cols>
  <sheetData>
    <row r="1" ht="30" customHeight="1">
      <c r="A1" s="13" t="inlineStr">
        <is>
          <t>七、上游原料需求测算</t>
        </is>
      </c>
    </row>
    <row r="2" ht="18" customHeight="1">
      <c r="A2" s="14" t="inlineStr">
        <is>
          <t>原料需求 = 产量 × 连乘系数。三档并列：投产首年实际需求 / 稳定运行年需求 / 满负荷上限需求。首年需求才是真正冲击市场的量。</t>
        </is>
      </c>
    </row>
    <row r="3" ht="30" customHeight="1">
      <c r="A3" s="15" t="inlineStr">
        <is>
          <t>情景</t>
        </is>
      </c>
      <c r="B3" s="15" t="inlineStr">
        <is>
          <t>原料/节点</t>
        </is>
      </c>
      <c r="C3" s="15" t="inlineStr">
        <is>
          <t>连乘系数(t/t)</t>
        </is>
      </c>
      <c r="D3" s="15" t="inlineStr">
        <is>
          <t>首年产量(万吨)</t>
        </is>
      </c>
      <c r="E3" s="15" t="inlineStr">
        <is>
          <t>首年原料需求(万吨)</t>
        </is>
      </c>
      <c r="F3" s="15" t="inlineStr">
        <is>
          <t>稳态产量(万吨)</t>
        </is>
      </c>
      <c r="G3" s="15" t="inlineStr">
        <is>
          <t>稳态原料需求(万吨)</t>
        </is>
      </c>
      <c r="H3" s="15" t="inlineStr">
        <is>
          <t>满负荷原料需求(万吨)</t>
        </is>
      </c>
      <c r="I3" s="15" t="inlineStr">
        <is>
          <t>是否本项目自建</t>
        </is>
      </c>
    </row>
    <row r="5" ht="30" customHeight="1">
      <c r="A5" s="13" t="inlineStr">
        <is>
          <t>八、单耗敏感性（±5% / ±10%）</t>
        </is>
      </c>
    </row>
    <row r="6" ht="18" customHeight="1">
      <c r="A6" s="14" t="inlineStr">
        <is>
          <t>若结论只在单耗精确到 ±2% 时成立，则该结论不稳健。</t>
        </is>
      </c>
    </row>
    <row r="7" ht="30" customHeight="1">
      <c r="A7" s="15" t="inlineStr">
        <is>
          <t>原料</t>
        </is>
      </c>
      <c r="B7" s="15" t="inlineStr">
        <is>
          <t>基准系数</t>
        </is>
      </c>
      <c r="C7" s="15" t="inlineStr">
        <is>
          <t>-10%</t>
        </is>
      </c>
      <c r="D7" s="15" t="inlineStr">
        <is>
          <t>-5%</t>
        </is>
      </c>
      <c r="E7" s="15" t="inlineStr">
        <is>
          <t>+5%</t>
        </is>
      </c>
      <c r="F7" s="15" t="inlineStr">
        <is>
          <t>+10%</t>
        </is>
      </c>
      <c r="G7" s="15" t="inlineStr">
        <is>
          <t>稳态需求 -10%(万吨)</t>
        </is>
      </c>
      <c r="H7" s="15" t="inlineStr">
        <is>
          <t>稳态需求基准(万吨)</t>
        </is>
      </c>
      <c r="I7" s="15" t="inlineStr">
        <is>
          <t>稳态需求 +10%(万吨)</t>
        </is>
      </c>
    </row>
  </sheetData>
  <mergeCells count="4">
    <mergeCell ref="A1:I1"/>
    <mergeCell ref="A5:I5"/>
    <mergeCell ref="A2:I2"/>
    <mergeCell ref="A6:I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8" customWidth="1" min="8" max="8"/>
    <col width="8" customWidth="1" min="9" max="9"/>
    <col width="9" customWidth="1" min="10" max="10"/>
    <col width="10" customWidth="1" min="11" max="11"/>
  </cols>
  <sheetData>
    <row r="1" ht="30" customHeight="1">
      <c r="A1" s="13" t="inlineStr">
        <is>
          <t>八、受影响对象与影响强度</t>
        </is>
      </c>
    </row>
    <row r="2" ht="18" customHeight="1">
      <c r="A2" s="14" t="inlineStr">
        <is>
          <t>影响强度 = 100 × (0.35·体量对数压缩 + 0.25·传导 + 0.20·时滞 + 0.20·证据确定性)。分档只是提示，不是结论；权重见 references/impact-pathway.md。</t>
        </is>
      </c>
    </row>
    <row r="3" ht="30" customHeight="1">
      <c r="A3" s="15" t="inlineStr">
        <is>
          <t>类型</t>
        </is>
      </c>
      <c r="B3" s="15" t="inlineStr">
        <is>
          <t>企业/节点</t>
        </is>
      </c>
      <c r="C3" s="15" t="inlineStr">
        <is>
          <t>所在区域</t>
        </is>
      </c>
      <c r="D3" s="15" t="inlineStr">
        <is>
          <t>产能(万吨/年)</t>
        </is>
      </c>
      <c r="E3" s="15" t="inlineStr">
        <is>
          <t>相关量(万吨)</t>
        </is>
      </c>
      <c r="F3" s="15" t="inlineStr">
        <is>
          <t>市场分母(万吨)</t>
        </is>
      </c>
      <c r="G3" s="15" t="inlineStr">
        <is>
          <t>体量占比(%)</t>
        </is>
      </c>
      <c r="H3" s="15" t="inlineStr">
        <is>
          <t>传导</t>
        </is>
      </c>
      <c r="I3" s="15" t="inlineStr">
        <is>
          <t>时滞</t>
        </is>
      </c>
      <c r="J3" s="15" t="inlineStr">
        <is>
          <t>确定性</t>
        </is>
      </c>
      <c r="K3" s="15" t="inlineStr">
        <is>
          <t>影响强度</t>
        </is>
      </c>
    </row>
    <row r="4">
      <c r="A4" s="35" t="inlineStr">
        <is>
          <t>上游原料</t>
        </is>
      </c>
      <c r="B4" s="36" t="inlineStr">
        <is>
          <t>进口丙烷/LPG 供应商与进口接收站</t>
        </is>
      </c>
      <c r="C4" s="35" t="inlineStr">
        <is>
          <t>华东（宁波、张家港、如东）</t>
        </is>
      </c>
      <c r="D4" s="37" t="n">
        <v>0</v>
      </c>
      <c r="E4" s="38" t="n">
        <v>0</v>
      </c>
      <c r="F4" s="37" t="n">
        <v>0</v>
      </c>
      <c r="G4" s="39">
        <f>IF(F4=0,"",E4/F4*100)</f>
        <v/>
      </c>
      <c r="H4" s="40" t="n"/>
      <c r="I4" s="40" t="n"/>
      <c r="J4" s="40" t="n"/>
      <c r="K4" s="41" t="n"/>
    </row>
    <row r="5">
      <c r="A5" s="35" t="inlineStr">
        <is>
          <t>上游原料</t>
        </is>
      </c>
      <c r="B5" s="36" t="inlineStr">
        <is>
          <t>进口丙烷贸易商与 VLGC 船东</t>
        </is>
      </c>
      <c r="C5" s="35" t="inlineStr">
        <is>
          <t>美国墨西哥湾 / 中东 → 华东</t>
        </is>
      </c>
      <c r="D5" s="37" t="n">
        <v>0</v>
      </c>
      <c r="E5" s="38" t="n">
        <v>0</v>
      </c>
      <c r="F5" s="37" t="n">
        <v>0</v>
      </c>
      <c r="G5" s="39">
        <f>IF(F5=0,"",E5/F5*100)</f>
        <v/>
      </c>
      <c r="H5" s="40" t="n"/>
      <c r="I5" s="40" t="n"/>
      <c r="J5" s="40" t="n"/>
      <c r="K5" s="41" t="n"/>
    </row>
    <row r="6">
      <c r="A6" s="35" t="inlineStr">
        <is>
          <t>同区域同行</t>
        </is>
      </c>
      <c r="B6" s="36" t="inlineStr">
        <is>
          <t>浙石化（浙江石油化工）</t>
        </is>
      </c>
      <c r="C6" s="35" t="inlineStr">
        <is>
          <t>浙江舟山</t>
        </is>
      </c>
      <c r="D6" s="37" t="n">
        <v>180</v>
      </c>
      <c r="E6" s="38" t="n">
        <v>0</v>
      </c>
      <c r="F6" s="37" t="n">
        <v>0</v>
      </c>
      <c r="G6" s="39">
        <f>IF(F6=0,"",E6/F6*100)</f>
        <v/>
      </c>
      <c r="H6" s="40" t="n"/>
      <c r="I6" s="40" t="n"/>
      <c r="J6" s="40" t="n"/>
      <c r="K6" s="41" t="n"/>
    </row>
    <row r="7">
      <c r="A7" s="35" t="inlineStr">
        <is>
          <t>同区域同行</t>
        </is>
      </c>
      <c r="B7" s="36" t="inlineStr">
        <is>
          <t>镇海炼化</t>
        </is>
      </c>
      <c r="C7" s="35" t="inlineStr">
        <is>
          <t>浙江宁波</t>
        </is>
      </c>
      <c r="D7" s="37" t="n">
        <v>80</v>
      </c>
      <c r="E7" s="38" t="n">
        <v>0</v>
      </c>
      <c r="F7" s="37" t="n">
        <v>0</v>
      </c>
      <c r="G7" s="39">
        <f>IF(F7=0,"",E7/F7*100)</f>
        <v/>
      </c>
      <c r="H7" s="40" t="n"/>
      <c r="I7" s="40" t="n"/>
      <c r="J7" s="40" t="n"/>
      <c r="K7" s="41" t="n"/>
    </row>
    <row r="8">
      <c r="A8" s="35" t="inlineStr">
        <is>
          <t>同区域同行</t>
        </is>
      </c>
      <c r="B8" s="36" t="inlineStr">
        <is>
          <t>东华能源（宁波）</t>
        </is>
      </c>
      <c r="C8" s="35" t="inlineStr">
        <is>
          <t>浙江宁波</t>
        </is>
      </c>
      <c r="D8" s="37" t="n">
        <v>120</v>
      </c>
      <c r="E8" s="38" t="n">
        <v>0</v>
      </c>
      <c r="F8" s="37" t="n">
        <v>0</v>
      </c>
      <c r="G8" s="39">
        <f>IF(F8=0,"",E8/F8*100)</f>
        <v/>
      </c>
      <c r="H8" s="40" t="n"/>
      <c r="I8" s="40" t="n"/>
      <c r="J8" s="40" t="n"/>
      <c r="K8" s="41" t="n"/>
    </row>
    <row r="9">
      <c r="A9" s="35" t="inlineStr">
        <is>
          <t>同区域同行</t>
        </is>
      </c>
      <c r="B9" s="36" t="inlineStr">
        <is>
          <t>宁波金发科技</t>
        </is>
      </c>
      <c r="C9" s="35" t="inlineStr">
        <is>
          <t>浙江宁波</t>
        </is>
      </c>
      <c r="D9" s="37" t="n">
        <v>80</v>
      </c>
      <c r="E9" s="38" t="n">
        <v>0</v>
      </c>
      <c r="F9" s="37" t="n">
        <v>0</v>
      </c>
      <c r="G9" s="39">
        <f>IF(F9=0,"",E9/F9*100)</f>
        <v/>
      </c>
      <c r="H9" s="40" t="n"/>
      <c r="I9" s="40" t="n"/>
      <c r="J9" s="40" t="n"/>
      <c r="K9" s="41" t="n"/>
    </row>
    <row r="10">
      <c r="A10" s="35" t="inlineStr">
        <is>
          <t>同区域同行</t>
        </is>
      </c>
      <c r="B10" s="36" t="inlineStr">
        <is>
          <t>裕龙石化（山东，外溢货源）</t>
        </is>
      </c>
      <c r="C10" s="35" t="inlineStr">
        <is>
          <t>山东烟台</t>
        </is>
      </c>
      <c r="D10" s="37" t="n">
        <v>190</v>
      </c>
      <c r="E10" s="38" t="n">
        <v>0</v>
      </c>
      <c r="F10" s="37" t="n">
        <v>0</v>
      </c>
      <c r="G10" s="39">
        <f>IF(F10=0,"",E10/F10*100)</f>
        <v/>
      </c>
      <c r="H10" s="40" t="n"/>
      <c r="I10" s="40" t="n"/>
      <c r="J10" s="40" t="n"/>
      <c r="K10" s="41" t="n"/>
    </row>
    <row r="11">
      <c r="A11" s="35" t="inlineStr">
        <is>
          <t>同区域同行</t>
        </is>
      </c>
      <c r="B11" s="36" t="inlineStr">
        <is>
          <t>恒力石化（辽宁，调拨入华东）</t>
        </is>
      </c>
      <c r="C11" s="35" t="inlineStr">
        <is>
          <t>辽宁大连</t>
        </is>
      </c>
      <c r="D11" s="37" t="n">
        <v>85</v>
      </c>
      <c r="E11" s="38" t="n">
        <v>0</v>
      </c>
      <c r="F11" s="37" t="n">
        <v>0</v>
      </c>
      <c r="G11" s="39">
        <f>IF(F11=0,"",E11/F11*100)</f>
        <v/>
      </c>
      <c r="H11" s="40" t="n"/>
      <c r="I11" s="40" t="n"/>
      <c r="J11" s="40" t="n"/>
      <c r="K11" s="41" t="n"/>
    </row>
    <row r="12">
      <c r="A12" s="35" t="inlineStr">
        <is>
          <t>下游用户</t>
        </is>
      </c>
      <c r="B12" s="36" t="inlineStr">
        <is>
          <t>BOPP/CPP 薄膜企业（华东）</t>
        </is>
      </c>
      <c r="C12" s="35" t="inlineStr">
        <is>
          <t>浙江、江苏、上海、安徽</t>
        </is>
      </c>
      <c r="D12" s="37" t="n">
        <v>0</v>
      </c>
      <c r="E12" s="38" t="n">
        <v>0</v>
      </c>
      <c r="F12" s="37" t="n">
        <v>0</v>
      </c>
      <c r="G12" s="39">
        <f>IF(F12=0,"",E12/F12*100)</f>
        <v/>
      </c>
      <c r="H12" s="40" t="n"/>
      <c r="I12" s="40" t="n"/>
      <c r="J12" s="40" t="n"/>
      <c r="K12" s="41" t="n"/>
    </row>
    <row r="13">
      <c r="A13" s="35" t="inlineStr">
        <is>
          <t>下游用户</t>
        </is>
      </c>
      <c r="B13" s="36" t="inlineStr">
        <is>
          <t>改性塑料/注塑企业（华东）</t>
        </is>
      </c>
      <c r="C13" s="35" t="inlineStr">
        <is>
          <t>宁波余姚、北仑、台州、常州</t>
        </is>
      </c>
      <c r="D13" s="37" t="n">
        <v>0</v>
      </c>
      <c r="E13" s="38" t="n">
        <v>0</v>
      </c>
      <c r="F13" s="37" t="n">
        <v>0</v>
      </c>
      <c r="G13" s="39">
        <f>IF(F13=0,"",E13/F13*100)</f>
        <v/>
      </c>
      <c r="H13" s="40" t="n"/>
      <c r="I13" s="40" t="n"/>
      <c r="J13" s="40" t="n"/>
      <c r="K13" s="41" t="n"/>
    </row>
    <row r="14">
      <c r="A14" s="35" t="inlineStr">
        <is>
          <t>下游用户</t>
        </is>
      </c>
      <c r="B14" s="36" t="inlineStr">
        <is>
          <t>拉丝/编织袋企业（华东）</t>
        </is>
      </c>
      <c r="C14" s="35" t="inlineStr">
        <is>
          <t>浙江、江苏</t>
        </is>
      </c>
      <c r="D14" s="37" t="n">
        <v>0</v>
      </c>
      <c r="E14" s="38" t="n">
        <v>0</v>
      </c>
      <c r="F14" s="37" t="n">
        <v>0</v>
      </c>
      <c r="G14" s="39">
        <f>IF(F14=0,"",E14/F14*100)</f>
        <v/>
      </c>
      <c r="H14" s="40" t="n"/>
      <c r="I14" s="40" t="n"/>
      <c r="J14" s="40" t="n"/>
      <c r="K14" s="41" t="n"/>
    </row>
    <row r="15">
      <c r="A15" s="35" t="inlineStr">
        <is>
          <t>物流仓储</t>
        </is>
      </c>
      <c r="B15" s="36" t="inlineStr">
        <is>
          <t>宁波舟山港 / 北仑仓储与交割库</t>
        </is>
      </c>
      <c r="C15" s="35" t="inlineStr">
        <is>
          <t>宁波北仑、镇海</t>
        </is>
      </c>
      <c r="D15" s="37" t="n">
        <v>0</v>
      </c>
      <c r="E15" s="38" t="n">
        <v>0</v>
      </c>
      <c r="F15" s="37" t="n">
        <v>0</v>
      </c>
      <c r="G15" s="39">
        <f>IF(F15=0,"",E15/F15*100)</f>
        <v/>
      </c>
      <c r="H15" s="40" t="n"/>
      <c r="I15" s="40" t="n"/>
      <c r="J15" s="40" t="n"/>
      <c r="K15" s="41" t="n"/>
    </row>
    <row r="16">
      <c r="A16" s="35" t="inlineStr">
        <is>
          <t>副产物</t>
        </is>
      </c>
      <c r="B16" s="36" t="inlineStr">
        <is>
          <t>副产氢气承接收购方</t>
        </is>
      </c>
      <c r="C16" s="35" t="inlineStr">
        <is>
          <t>宁波石化园区</t>
        </is>
      </c>
      <c r="D16" s="37" t="n">
        <v>0</v>
      </c>
      <c r="E16" s="38" t="n">
        <v>0</v>
      </c>
      <c r="F16" s="37" t="n">
        <v>0</v>
      </c>
      <c r="G16" s="39">
        <f>IF(F16=0,"",E16/F16*100)</f>
        <v/>
      </c>
      <c r="H16" s="40" t="n"/>
      <c r="I16" s="40" t="n"/>
      <c r="J16" s="40" t="n"/>
      <c r="K16" s="41" t="n"/>
    </row>
    <row r="18" ht="30" customHeight="1">
      <c r="A18" s="13" t="inlineStr">
        <is>
          <t>九、影响机制说明</t>
        </is>
      </c>
    </row>
    <row r="19" ht="30" customHeight="1">
      <c r="A19" s="15" t="inlineStr">
        <is>
          <t>企业/节点</t>
        </is>
      </c>
      <c r="B19" s="15" t="inlineStr">
        <is>
          <t>影响机制</t>
        </is>
      </c>
      <c r="C19" s="15" t="inlineStr">
        <is>
          <t>证据等级</t>
        </is>
      </c>
      <c r="D19" s="15" t="inlineStr">
        <is>
          <t>来源</t>
        </is>
      </c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</row>
    <row r="20" ht="34" customHeight="1">
      <c r="A20" s="36" t="inlineStr">
        <is>
          <t>进口丙烷/LPG 供应商与进口接收站</t>
        </is>
      </c>
      <c r="B20" s="35" t="inlineStr">
        <is>
          <t>本项目达产后年丙烷需求约 43.8–48.6 万吨（设计口径）。该量级相当于中国单座中型 PDH 装置的原料规模；对全国 LPG 进口总量影响极小，但对宁波口岸的丙烷采购与仓储排产有实际意义。中国丙烷对外依存度约 84%，供应链受进口货源与美国/中东占比变化影响。</t>
        </is>
      </c>
      <c r="E20" s="29" t="inlineStr">
        <is>
          <t>E3</t>
        </is>
      </c>
      <c r="F20" s="35" t="inlineStr">
        <is>
          <t>界面新闻《中国丙烷对外依存度 84%》；金联创 LPG 进口来源结构</t>
        </is>
      </c>
    </row>
    <row r="21" ht="34" customHeight="1">
      <c r="A21" s="36" t="inlineStr">
        <is>
          <t>进口丙烷贸易商与 VLGC 船东</t>
        </is>
      </c>
      <c r="B21" s="35" t="inlineStr">
        <is>
          <t>中国丙烷对外依存度 84%（2024 年国产仅 185.5 万吨）。2024 年丙烷进口 2,923.68 万吨，其中自美国 1,731.59 万吨、占 59.22%。本项目达产后年需丙烷约 42–48 万吨，相当于中国单座中型 PDH 装置的原料规模，在 2024 年丙烷进口总量中约占 1.5%——对全国进口盘子的边际影响很小，但对宁波口岸的丙烷采购排产与罐容周转是实打实的增量。运费与关税是这条链上波动最大的两个变量（见 09 表与 11 表缺口）。</t>
        </is>
      </c>
      <c r="E21" s="29" t="inlineStr">
        <is>
          <t>E3</t>
        </is>
      </c>
      <c r="F21" s="35" t="inlineStr">
        <is>
          <t>界面新闻（引海关总署）《中国丙烷对外依存度 84%》</t>
        </is>
      </c>
    </row>
    <row r="22" ht="34" customHeight="1">
      <c r="A22" s="36" t="inlineStr">
        <is>
          <t>浙石化（浙江石油化工）</t>
        </is>
      </c>
      <c r="B22" s="35" t="inlineStr">
        <is>
          <t>500 km 内最大同行，180 万吨/年 PP。本项目 40 万吨相当于其 22%，且同处浙江、同面向华东下游，属于最直接的同区域竞争关系。</t>
        </is>
      </c>
      <c r="E22" s="29" t="inlineStr">
        <is>
          <t>E3</t>
        </is>
      </c>
      <c r="F22" s="35" t="inlineStr">
        <is>
          <t>化塑汇装置清单</t>
        </is>
      </c>
    </row>
    <row r="23" ht="34" customHeight="1">
      <c r="A23" s="36" t="inlineStr">
        <is>
          <t>镇海炼化</t>
        </is>
      </c>
      <c r="B23" s="35" t="inlineStr">
        <is>
          <t>与模拟选址同城（宁波），80 万吨/年 PP，另有拟扩 50 万吨（Novolen）。同城叠加意味着物流半径与下游客户高度重叠，是最贴身的竞争对象。</t>
        </is>
      </c>
      <c r="E23" s="29" t="inlineStr">
        <is>
          <t>E3</t>
        </is>
      </c>
      <c r="F23" s="35" t="inlineStr">
        <is>
          <t>化塑汇装置清单</t>
        </is>
      </c>
    </row>
    <row r="24" ht="34" customHeight="1">
      <c r="A24" s="36" t="inlineStr">
        <is>
          <t>东华能源（宁波）</t>
        </is>
      </c>
      <c r="B24" s="35" t="inlineStr">
        <is>
          <t>同为 PDH 路线（宁波 66+66 万吨丙烯、3 套 40 万吨 PP）。技术路线相同意味着原料（进口丙烷）与产品结构高度同质，竞争关系比煤制/油制更直接。</t>
        </is>
      </c>
      <c r="E24" s="29" t="inlineStr">
        <is>
          <t>E3</t>
        </is>
      </c>
      <c r="F24" s="35" t="inlineStr">
        <is>
          <t>化塑汇/隆众 PDH 装置清单</t>
        </is>
      </c>
    </row>
    <row r="25" ht="34" customHeight="1">
      <c r="A25" s="36" t="inlineStr">
        <is>
          <t>宁波金发科技</t>
        </is>
      </c>
      <c r="B25" s="35" t="inlineStr">
        <is>
          <t>PDH+PP 一体化（120 万吨 PDH、80 万吨 PP），规划二期再增 40 万吨 PP。若其二期与本项目同期落地，宁波一地将同时承受两个 40 万吨级增量。</t>
        </is>
      </c>
      <c r="E25" s="29" t="inlineStr">
        <is>
          <t>E3</t>
        </is>
      </c>
      <c r="F25" s="35" t="inlineStr">
        <is>
          <t>化塑汇装置清单</t>
        </is>
      </c>
    </row>
    <row r="26" ht="34" customHeight="1">
      <c r="A26" s="36" t="inlineStr">
        <is>
          <t>裕龙石化（山东，外溢货源）</t>
        </is>
      </c>
      <c r="B26" s="35" t="inlineStr">
        <is>
          <t>190 万吨/年 PP，产品流向为华北 55%、华东 30%、华南 10%、其他 5%。这意味着华东每年承接其约 57 万吨货源——本项目 40 万吨首先挤压的正是“外区流入量”，而不是替代本地同行。卓创 2025-11 亦指出华东价格承压的直接来源之一是华北裕龙资源冲击。</t>
        </is>
      </c>
      <c r="E26" s="42" t="inlineStr">
        <is>
          <t>E2</t>
        </is>
      </c>
      <c r="F26" s="35" t="inlineStr">
        <is>
          <t>金联创（裕龙流向结构）；卓创资讯（七禾网转载）</t>
        </is>
      </c>
    </row>
    <row r="27" ht="34" customHeight="1">
      <c r="A27" s="36" t="inlineStr">
        <is>
          <t>恒力石化（辽宁，调拨入华东）</t>
        </is>
      </c>
      <c r="B27" s="35" t="inlineStr">
        <is>
          <t>85 万吨/年 PP（Unipol/环管/Horizone），大连距宁波约 1,000 km 以上，主要经水运/铁路进入华东。本项目投产后，其跨区到货的经济性可能被压缩（需承担运费与时间成本）。</t>
        </is>
      </c>
      <c r="E27" s="29" t="inlineStr">
        <is>
          <t>E3</t>
        </is>
      </c>
      <c r="F27" s="35" t="inlineStr">
        <is>
          <t>化塑汇装置清单</t>
        </is>
      </c>
    </row>
    <row r="28" ht="34" customHeight="1">
      <c r="A28" s="36" t="inlineStr">
        <is>
          <t>BOPP/CPP 薄膜企业（华东）</t>
        </is>
      </c>
      <c r="B28" s="35" t="inlineStr">
        <is>
          <t>全国 BOPP 产能约 792–832 万吨（两口径冲突），华东为传统密集区。薄膜级 PP 对 MFR 与等规度敏感，本地化供应可缩短采购半径并改善牌号响应速度。受益前提是货物质量达标且完成供应商导入。</t>
        </is>
      </c>
      <c r="E28" s="29" t="inlineStr">
        <is>
          <t>E3</t>
        </is>
      </c>
      <c r="F28" s="35" t="inlineStr">
        <is>
          <t>金联创《供需矛盾加剧 看BOPP如何破局》；隆众 BOPP 年度报告</t>
        </is>
      </c>
    </row>
    <row r="29" ht="34" customHeight="1">
      <c r="A29" s="36" t="inlineStr">
        <is>
          <t>改性塑料/注塑企业（华东）</t>
        </is>
      </c>
      <c r="B29" s="35" t="inlineStr">
        <is>
          <t>注塑（共聚+均聚）合计约占 PP 下游 39%（金联创 2024 口径）。余姚中国塑料城为全国最大塑料原料集散地（2023 年交易额 785 亿元、715 万吨），本地新增货源会改变该市场的外区调拨结构。</t>
        </is>
      </c>
      <c r="E29" s="29" t="inlineStr">
        <is>
          <t>E3</t>
        </is>
      </c>
      <c r="F29" s="35" t="inlineStr">
        <is>
          <t>金联创《聚丙烯下游消费结构简析》；余姚中国塑料城交易数据</t>
        </is>
      </c>
    </row>
    <row r="30" ht="34" customHeight="1">
      <c r="A30" s="36" t="inlineStr">
        <is>
          <t>拉丝/编织袋企业（华东）</t>
        </is>
      </c>
      <c r="B30" s="35" t="inlineStr">
        <is>
          <t>拉丝占 PP 下游 32.7%（金联创 2024），是通用料最大出口。该方向对价格最敏感、对牌号要求最低，是新装置投放初期最现实的消化方向。</t>
        </is>
      </c>
      <c r="E30" s="29" t="inlineStr">
        <is>
          <t>E3</t>
        </is>
      </c>
      <c r="F30" s="35" t="inlineStr">
        <is>
          <t>金联创《聚丙烯下游消费结构简析》</t>
        </is>
      </c>
    </row>
    <row r="31" ht="34" customHeight="1">
      <c r="A31" s="36" t="inlineStr">
        <is>
          <t>宁波舟山港 / 北仑仓储与交割库</t>
        </is>
      </c>
      <c r="B31" s="35" t="inlineStr">
        <is>
          <t>大商所 PP 基准交割库设在杭州、宁波（保税区/镇海）、上海（宝山/黄浦），华东本身就是定价基准地（江苏升贴水 0，山东 -100、天津 -100 元/吨）。本项目若注册交割品牌，将直接增加宁波口岸的仓单与库容需求；原料侧则增加冷冻丙烷的接卸与罐容需求。</t>
        </is>
      </c>
      <c r="E31" s="25" t="inlineStr">
        <is>
          <t>E1</t>
        </is>
      </c>
      <c r="F31" s="35" t="inlineStr">
        <is>
          <t>大商所〔2021〕71 号、〔2025〕51 号升贴水公告；指定交割仓库名录</t>
        </is>
      </c>
    </row>
    <row r="32" ht="34" customHeight="1">
      <c r="A32" s="36" t="inlineStr">
        <is>
          <t>副产氢气承接收购方</t>
        </is>
      </c>
      <c r="B32" s="35" t="inlineStr">
        <is>
          <t>PDH 副产富氢气经 PSA 提纯至 99.99%，优先用于再生烧焦、SHP 加氢与 PP 装置，其余进入燃料气管网。每吨丙烯副产氢气收益约 200–300 元（燃料自用）或 400–500 元（管输外供），是 PDH 装置边际收益的重要来源。</t>
        </is>
      </c>
      <c r="E32" s="29" t="inlineStr">
        <is>
          <t>E3</t>
        </is>
      </c>
      <c r="F32" s="35" t="inlineStr">
        <is>
          <t>PDH 华东企业调研（每吨丙烯副产氢气收益 200–300/400–500 元）</t>
        </is>
      </c>
    </row>
  </sheetData>
  <mergeCells count="29">
    <mergeCell ref="F24:K24"/>
    <mergeCell ref="F20:K20"/>
    <mergeCell ref="B23:D23"/>
    <mergeCell ref="F32:K32"/>
    <mergeCell ref="F26:K26"/>
    <mergeCell ref="B29:D29"/>
    <mergeCell ref="A1:K1"/>
    <mergeCell ref="B28:D28"/>
    <mergeCell ref="F23:K23"/>
    <mergeCell ref="F22:K22"/>
    <mergeCell ref="F28:K28"/>
    <mergeCell ref="F31:K31"/>
    <mergeCell ref="F27:K27"/>
    <mergeCell ref="B30:D30"/>
    <mergeCell ref="B24:D24"/>
    <mergeCell ref="B20:D20"/>
    <mergeCell ref="A18:K18"/>
    <mergeCell ref="B32:D32"/>
    <mergeCell ref="A2:K2"/>
    <mergeCell ref="B26:D26"/>
    <mergeCell ref="B25:D25"/>
    <mergeCell ref="F29:K29"/>
    <mergeCell ref="F25:K25"/>
    <mergeCell ref="B31:D31"/>
    <mergeCell ref="B22:D22"/>
    <mergeCell ref="B27:D27"/>
    <mergeCell ref="B21:D21"/>
    <mergeCell ref="F30:K30"/>
    <mergeCell ref="F21:K2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30" customWidth="1" min="7" max="7"/>
    <col width="14" customWidth="1" min="8" max="8"/>
  </cols>
  <sheetData>
    <row r="1" ht="30" customHeight="1">
      <c r="A1" s="13" t="inlineStr">
        <is>
          <t>九、区域供应格局与竞争半径</t>
        </is>
      </c>
    </row>
    <row r="2" ht="18" customHeight="1">
      <c r="A2" s="14" t="inlineStr">
        <is>
          <t>自给率 = 区域产能 ÷ 区域需求。&lt;1 净输入，≈1 基本平衡，&gt;1 净输出。只描述机制，不预测价格。</t>
        </is>
      </c>
    </row>
    <row r="3" ht="30" customHeight="1">
      <c r="A3" s="15" t="inlineStr">
        <is>
          <t>指标</t>
        </is>
      </c>
      <c r="B3" s="15" t="inlineStr">
        <is>
          <t>数值</t>
        </is>
      </c>
      <c r="C3" s="15" t="inlineStr">
        <is>
          <t>单位</t>
        </is>
      </c>
      <c r="D3" s="15" t="inlineStr">
        <is>
          <t>说明（含机制）</t>
        </is>
      </c>
    </row>
    <row r="4" ht="30" customHeight="1">
      <c r="A4" s="36" t="inlineStr">
        <is>
          <t>区域</t>
        </is>
      </c>
      <c r="B4" s="35" t="inlineStr"/>
    </row>
    <row r="5" ht="30" customHeight="1">
      <c r="A5" s="36" t="inlineStr">
        <is>
          <t>区域现有产能</t>
        </is>
      </c>
      <c r="B5" s="38" t="n">
        <v>0</v>
      </c>
      <c r="C5" s="42" t="inlineStr">
        <is>
          <t>万吨/年</t>
        </is>
      </c>
      <c r="D5" s="35" t="inlineStr">
        <is>
          <t>分母口径见 02_现有产能基准</t>
        </is>
      </c>
    </row>
    <row r="6" ht="30" customHeight="1">
      <c r="A6" s="36" t="inlineStr">
        <is>
          <t>区域表观需求</t>
        </is>
      </c>
      <c r="B6" s="38" t="n">
        <v>0</v>
      </c>
      <c r="C6" s="42" t="inlineStr">
        <is>
          <t>万吨/年</t>
        </is>
      </c>
      <c r="D6" s="35" t="inlineStr">
        <is>
          <t>用于计算自给率</t>
        </is>
      </c>
    </row>
    <row r="7" ht="30" customHeight="1">
      <c r="A7" s="36" t="inlineStr">
        <is>
          <t>本项目新增产能</t>
        </is>
      </c>
      <c r="B7" s="38" t="n">
        <v>0</v>
      </c>
      <c r="C7" s="42" t="inlineStr">
        <is>
          <t>万吨/年</t>
        </is>
      </c>
      <c r="D7" s="35" t="inlineStr">
        <is>
          <t>设计中（一期）产能</t>
        </is>
      </c>
    </row>
    <row r="8" ht="30" customHeight="1">
      <c r="A8" s="36" t="inlineStr">
        <is>
          <t>同区域在建合计</t>
        </is>
      </c>
      <c r="B8" s="38" t="n">
        <v>120</v>
      </c>
      <c r="C8" s="42" t="inlineStr">
        <is>
          <t>万吨/年</t>
        </is>
      </c>
      <c r="D8" s="35" t="inlineStr">
        <is>
          <t>避免只看单项目低估区域供给增量</t>
        </is>
      </c>
    </row>
    <row r="9" ht="30" customHeight="1">
      <c r="A9" s="36" t="inlineStr">
        <is>
          <t>区域供给增量(含在建)</t>
        </is>
      </c>
      <c r="B9" s="38" t="n">
        <v>0</v>
      </c>
      <c r="C9" s="42" t="inlineStr">
        <is>
          <t>万吨/年</t>
        </is>
      </c>
      <c r="D9" s="35" t="inlineStr">
        <is>
          <t>本项目 + 同区域在建</t>
        </is>
      </c>
    </row>
    <row r="10" ht="30" customHeight="1">
      <c r="A10" s="36" t="inlineStr">
        <is>
          <t>区域供给增量率(%)</t>
        </is>
      </c>
      <c r="B10" s="35" t="n"/>
    </row>
    <row r="11" ht="30" customHeight="1">
      <c r="A11" s="36" t="inlineStr">
        <is>
          <t>本项目占区域产能(%)</t>
        </is>
      </c>
      <c r="B11" s="35" t="n"/>
    </row>
    <row r="12" ht="30" customHeight="1">
      <c r="A12" s="36" t="inlineStr">
        <is>
          <t>自给率(前)</t>
        </is>
      </c>
      <c r="B12" s="35" t="n"/>
    </row>
    <row r="13" ht="30" customHeight="1">
      <c r="A13" s="36" t="inlineStr">
        <is>
          <t>自给率(后)</t>
        </is>
      </c>
      <c r="B13" s="35" t="n"/>
    </row>
    <row r="14" ht="30" customHeight="1">
      <c r="A14" s="36" t="inlineStr">
        <is>
          <t>自给率变化(百分点)</t>
        </is>
      </c>
      <c r="B14" s="35" t="n"/>
    </row>
    <row r="15" ht="30" customHeight="1">
      <c r="A15" s="36" t="inlineStr">
        <is>
          <t>机制说明</t>
        </is>
      </c>
      <c r="B15" s="35" t="inlineStr"/>
    </row>
    <row r="17" ht="30" customHeight="1">
      <c r="A17" s="13" t="inlineStr">
        <is>
          <t>十、竞争半径内同行（按距离排序）</t>
        </is>
      </c>
    </row>
    <row r="18" ht="18" customHeight="1">
      <c r="A18" s="14" t="inlineStr">
        <is>
          <t>距离由厂址经纬度 haversine 计算；未给坐标者为来源原文距离。</t>
        </is>
      </c>
    </row>
    <row r="19" ht="30" customHeight="1">
      <c r="A19" s="15" t="inlineStr">
        <is>
          <t>企业</t>
        </is>
      </c>
      <c r="B19" s="15" t="inlineStr">
        <is>
          <t>省份</t>
        </is>
      </c>
      <c r="C19" s="15" t="inlineStr">
        <is>
          <t>距本项目(km)</t>
        </is>
      </c>
      <c r="D19" s="15" t="inlineStr">
        <is>
          <t>产能(万吨/年)</t>
        </is>
      </c>
      <c r="E19" s="15" t="inlineStr">
        <is>
          <t>距离分档</t>
        </is>
      </c>
      <c r="F19" s="15" t="inlineStr">
        <is>
          <t>证据</t>
        </is>
      </c>
      <c r="G19" s="15" t="inlineStr">
        <is>
          <t>来源</t>
        </is>
      </c>
      <c r="H19" s="15" t="inlineStr"/>
    </row>
    <row r="20">
      <c r="A20" s="35" t="inlineStr">
        <is>
          <t>浙石化（浙江石油化工）</t>
        </is>
      </c>
      <c r="B20" s="35" t="inlineStr">
        <is>
          <t>浙江舟山</t>
        </is>
      </c>
      <c r="C20" s="37" t="n">
        <v>0</v>
      </c>
      <c r="D20" s="37" t="n">
        <v>180</v>
      </c>
      <c r="E20" s="42" t="inlineStr">
        <is>
          <t>≤100 km</t>
        </is>
      </c>
      <c r="F20" s="29" t="inlineStr">
        <is>
          <t>E3</t>
        </is>
      </c>
      <c r="G20" s="35" t="inlineStr">
        <is>
          <t>化塑汇《一文盘点国内PP产能及TOP10企业》（2 套 90 万吨：Innovene + Spherizone）</t>
        </is>
      </c>
    </row>
    <row r="21">
      <c r="A21" s="35" t="inlineStr">
        <is>
          <t>东华能源（宁波）</t>
        </is>
      </c>
      <c r="B21" s="35" t="inlineStr">
        <is>
          <t>浙江宁波</t>
        </is>
      </c>
      <c r="C21" s="37" t="n">
        <v>0</v>
      </c>
      <c r="D21" s="37" t="n">
        <v>120</v>
      </c>
      <c r="E21" s="42" t="inlineStr">
        <is>
          <t>≤100 km</t>
        </is>
      </c>
      <c r="F21" s="29" t="inlineStr">
        <is>
          <t>E3</t>
        </is>
      </c>
      <c r="G21" s="35" t="inlineStr">
        <is>
          <t>化塑汇（3 套 40 万吨）</t>
        </is>
      </c>
    </row>
    <row r="22">
      <c r="A22" s="35" t="inlineStr">
        <is>
          <t>镇海炼化</t>
        </is>
      </c>
      <c r="B22" s="35" t="inlineStr">
        <is>
          <t>浙江宁波</t>
        </is>
      </c>
      <c r="C22" s="37" t="n">
        <v>0</v>
      </c>
      <c r="D22" s="37" t="n">
        <v>80</v>
      </c>
      <c r="E22" s="42" t="inlineStr">
        <is>
          <t>≤100 km</t>
        </is>
      </c>
      <c r="F22" s="29" t="inlineStr">
        <is>
          <t>E3</t>
        </is>
      </c>
      <c r="G22" s="35" t="inlineStr">
        <is>
          <t>化塑汇（3 套共 80 万吨：20+30+30）</t>
        </is>
      </c>
    </row>
    <row r="23">
      <c r="A23" s="35" t="inlineStr">
        <is>
          <t>宁波金发科技</t>
        </is>
      </c>
      <c r="B23" s="35" t="inlineStr">
        <is>
          <t>浙江宁波</t>
        </is>
      </c>
      <c r="C23" s="37" t="n">
        <v>0</v>
      </c>
      <c r="D23" s="37" t="n">
        <v>80</v>
      </c>
      <c r="E23" s="42" t="inlineStr">
        <is>
          <t>≤100 km</t>
        </is>
      </c>
      <c r="F23" s="29" t="inlineStr">
        <is>
          <t>E3</t>
        </is>
      </c>
      <c r="G23" s="35" t="inlineStr">
        <is>
          <t>化塑汇（80 万吨，配套 120 万吨 PDH）</t>
        </is>
      </c>
    </row>
    <row r="24">
      <c r="A24" s="35" t="inlineStr">
        <is>
          <t>东华能源（张家港）</t>
        </is>
      </c>
      <c r="B24" s="35" t="inlineStr">
        <is>
          <t>江苏张家港</t>
        </is>
      </c>
      <c r="C24" s="37" t="n">
        <v>0</v>
      </c>
      <c r="D24" s="37" t="n">
        <v>40</v>
      </c>
      <c r="E24" s="42" t="inlineStr">
        <is>
          <t>≤100 km</t>
        </is>
      </c>
      <c r="F24" s="29" t="inlineStr">
        <is>
          <t>E3</t>
        </is>
      </c>
      <c r="G24" s="35" t="inlineStr">
        <is>
          <t>化塑汇（1 套 40 万吨 Unipol）</t>
        </is>
      </c>
    </row>
    <row r="25">
      <c r="A25" s="35" t="inlineStr">
        <is>
          <t>恒力石化（大连，调拨入华东）</t>
        </is>
      </c>
      <c r="B25" s="35" t="inlineStr">
        <is>
          <t>辽宁大连</t>
        </is>
      </c>
      <c r="C25" s="37" t="n">
        <v>0</v>
      </c>
      <c r="D25" s="37" t="n">
        <v>85</v>
      </c>
      <c r="E25" s="42" t="inlineStr">
        <is>
          <t>≤100 km</t>
        </is>
      </c>
      <c r="F25" s="29" t="inlineStr">
        <is>
          <t>E3</t>
        </is>
      </c>
      <c r="G25" s="35" t="inlineStr">
        <is>
          <t>化塑汇（45+20+20=85 万吨，Unipol/环管/Horizone）</t>
        </is>
      </c>
    </row>
    <row r="26">
      <c r="A26" s="35" t="inlineStr">
        <is>
          <t>裕龙石化（山东烟台，外溢入华东）</t>
        </is>
      </c>
      <c r="B26" s="35" t="inlineStr">
        <is>
          <t>山东烟台</t>
        </is>
      </c>
      <c r="C26" s="37" t="n">
        <v>0</v>
      </c>
      <c r="D26" s="37" t="n">
        <v>190</v>
      </c>
      <c r="E26" s="42" t="inlineStr">
        <is>
          <t>≤100 km</t>
        </is>
      </c>
      <c r="F26" s="42" t="inlineStr">
        <is>
          <t>E2</t>
        </is>
      </c>
      <c r="G26" s="35" t="inlineStr">
        <is>
          <t>金联创《2024年聚丙烯华北扩能加快 裕龙石化备受瞩目》</t>
        </is>
      </c>
    </row>
    <row r="28" ht="30" customHeight="1">
      <c r="A28" s="13" t="inlineStr">
        <is>
          <t>十一、距离分档汇总</t>
        </is>
      </c>
    </row>
    <row r="29" ht="30" customHeight="1">
      <c r="A29" s="15" t="inlineStr">
        <is>
          <t>距离分档</t>
        </is>
      </c>
      <c r="B29" s="15" t="inlineStr">
        <is>
          <t>企业家数</t>
        </is>
      </c>
      <c r="C29" s="15" t="inlineStr">
        <is>
          <t>产能合计(万吨)</t>
        </is>
      </c>
      <c r="D29" s="15" t="inlineStr">
        <is>
          <t>占本项目(%)</t>
        </is>
      </c>
      <c r="E29" s="15" t="inlineStr">
        <is>
          <t>成员</t>
        </is>
      </c>
      <c r="F29" s="15" t="inlineStr"/>
      <c r="G29" s="15" t="inlineStr"/>
      <c r="H29" s="15" t="inlineStr"/>
    </row>
  </sheetData>
  <mergeCells count="19">
    <mergeCell ref="B11:D11"/>
    <mergeCell ref="G21:H21"/>
    <mergeCell ref="B14:D14"/>
    <mergeCell ref="B13:D13"/>
    <mergeCell ref="G23:H23"/>
    <mergeCell ref="A1:H1"/>
    <mergeCell ref="B10:D10"/>
    <mergeCell ref="B15:D15"/>
    <mergeCell ref="A18:H18"/>
    <mergeCell ref="G24:H24"/>
    <mergeCell ref="A2:H2"/>
    <mergeCell ref="B4:D4"/>
    <mergeCell ref="G26:H26"/>
    <mergeCell ref="A17:H17"/>
    <mergeCell ref="G20:H20"/>
    <mergeCell ref="G25:H25"/>
    <mergeCell ref="A28:H28"/>
    <mergeCell ref="G22:H22"/>
    <mergeCell ref="B12:D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14" customWidth="1" min="4" max="4"/>
    <col width="12" customWidth="1" min="5" max="5"/>
    <col width="20" customWidth="1" min="6" max="6"/>
  </cols>
  <sheetData>
    <row r="1" ht="30" customHeight="1">
      <c r="A1" s="13" t="inlineStr">
        <is>
          <t>十、结论分类：事实 / 计算 / 情景</t>
        </is>
      </c>
    </row>
    <row r="2" ht="18" customHeight="1">
      <c r="A2" s="14" t="inlineStr">
        <is>
          <t>三类结论必须物理分离。情景结论不得与事实混写在同一句中。</t>
        </is>
      </c>
    </row>
    <row r="3" ht="30" customHeight="1">
      <c r="A3" s="13" t="inlineStr">
        <is>
          <t>A. 已确认事实</t>
        </is>
      </c>
    </row>
    <row r="4" ht="18" customHeight="1">
      <c r="A4" s="14" t="inlineStr">
        <is>
          <t>有 E1/E2 出处的项目事实</t>
        </is>
      </c>
    </row>
    <row r="5" ht="30" customHeight="1">
      <c r="A5" s="15" t="inlineStr">
        <is>
          <t>事实</t>
        </is>
      </c>
      <c r="B5" s="15" t="inlineStr">
        <is>
          <t>证据</t>
        </is>
      </c>
      <c r="C5" s="15" t="inlineStr">
        <is>
          <t>来源</t>
        </is>
      </c>
      <c r="D5" s="15" t="inlineStr">
        <is>
          <t>日期</t>
        </is>
      </c>
      <c r="E5" s="15" t="inlineStr"/>
      <c r="F5" s="15" t="inlineStr"/>
    </row>
    <row r="7" ht="30" customHeight="1">
      <c r="A7" s="13" t="inlineStr">
        <is>
          <t>B. 有依据的计算</t>
        </is>
      </c>
    </row>
    <row r="8" ht="18" customHeight="1">
      <c r="A8" s="14" t="inlineStr">
        <is>
          <t>公式 + 输入均来自事实；审阅者可复算</t>
        </is>
      </c>
    </row>
    <row r="9" ht="30" customHeight="1">
      <c r="A9" s="15" t="inlineStr">
        <is>
          <t>计算结果</t>
        </is>
      </c>
      <c r="B9" s="15" t="inlineStr">
        <is>
          <t>计算依据</t>
        </is>
      </c>
      <c r="C9" s="15" t="inlineStr">
        <is>
          <t>输入证据</t>
        </is>
      </c>
      <c r="D9" s="15" t="inlineStr"/>
      <c r="E9" s="15" t="inlineStr"/>
      <c r="F9" s="15" t="inlineStr"/>
    </row>
    <row r="11" ht="30" customHeight="1">
      <c r="A11" s="13" t="inlineStr">
        <is>
          <t>C. 基于假设的情景</t>
        </is>
      </c>
    </row>
    <row r="12" ht="18" customHeight="1">
      <c r="A12" s="14" t="inlineStr">
        <is>
          <t>依赖投产月/开工率/爬坡/单耗假设；参数可改</t>
        </is>
      </c>
    </row>
    <row r="13" ht="30" customHeight="1">
      <c r="A13" s="15" t="inlineStr">
        <is>
          <t>情景</t>
        </is>
      </c>
      <c r="B13" s="15" t="inlineStr">
        <is>
          <t>类型</t>
        </is>
      </c>
      <c r="C13" s="15" t="inlineStr">
        <is>
          <t>结论（含假设参数）</t>
        </is>
      </c>
      <c r="D13" s="15" t="inlineStr"/>
      <c r="E13" s="15" t="inlineStr"/>
      <c r="F13" s="15" t="inlineStr"/>
    </row>
  </sheetData>
  <mergeCells count="8">
    <mergeCell ref="A2:F2"/>
    <mergeCell ref="A11:F11"/>
    <mergeCell ref="A1:F1"/>
    <mergeCell ref="A8:F8"/>
    <mergeCell ref="A12:F12"/>
    <mergeCell ref="A4:F4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34" customWidth="1" min="4" max="4"/>
    <col width="8" customWidth="1" min="5" max="5"/>
    <col width="12" customWidth="1" min="6" max="6"/>
    <col width="14" customWidth="1" min="7" max="7"/>
  </cols>
  <sheetData>
    <row r="1" ht="30" customHeight="1">
      <c r="A1" s="13" t="inlineStr">
        <is>
          <t>十一、还需核实的事项（八项必查）</t>
        </is>
      </c>
    </row>
    <row r="2" ht="18" customHeight="1">
      <c r="A2" s="14" t="inlineStr">
        <is>
          <t>缺口不影响"已确认事实"，但直接决定情景参数的置信度。每一项都要写清"影响哪一步计算"与"补齐路径"。</t>
        </is>
      </c>
    </row>
    <row r="3" ht="30" customHeight="1">
      <c r="A3" s="15" t="inlineStr">
        <is>
          <t>类别</t>
        </is>
      </c>
      <c r="B3" s="15" t="inlineStr">
        <is>
          <t>待核实事项</t>
        </is>
      </c>
      <c r="C3" s="15" t="inlineStr">
        <is>
          <t>影响哪一步计算</t>
        </is>
      </c>
      <c r="D3" s="15" t="inlineStr">
        <is>
          <t>补齐路径</t>
        </is>
      </c>
      <c r="E3" s="15" t="inlineStr">
        <is>
          <t>优先级</t>
        </is>
      </c>
      <c r="F3" s="15" t="inlineStr">
        <is>
          <t>责任方</t>
        </is>
      </c>
      <c r="G3" s="15" t="inlineStr">
        <is>
          <t>当前状态</t>
        </is>
      </c>
    </row>
    <row r="4" ht="44" customHeight="1">
      <c r="A4" s="43" t="inlineStr">
        <is>
          <t>业主</t>
        </is>
      </c>
      <c r="B4" s="43" t="inlineStr">
        <is>
          <t>项目业主工商主体与股东结构未核实（模拟输入）</t>
        </is>
      </c>
      <c r="C4" s="43" t="inlineStr">
        <is>
          <t>决定“是否同一集团重复计入”“是否规划产能冒充在建”；影响项目事实核验卡的第 1 项</t>
        </is>
      </c>
      <c r="D4" s="43" t="inlineStr">
        <is>
          <t>以国家企业信用信息公示系统 + 上市公司公告核对主体全称与股权链</t>
        </is>
      </c>
      <c r="E4" s="18" t="inlineStr">
        <is>
          <t>高</t>
        </is>
      </c>
      <c r="F4" s="43" t="inlineStr">
        <is>
          <t>研究员</t>
        </is>
      </c>
      <c r="G4" s="43" t="inlineStr">
        <is>
          <t>未核实</t>
        </is>
      </c>
    </row>
    <row r="5" ht="44" customHeight="1">
      <c r="A5" s="43" t="inlineStr">
        <is>
          <t>投产进度</t>
        </is>
      </c>
      <c r="B5" s="43" t="inlineStr">
        <is>
          <t>预计投产时间仅有模拟输入，无公告原文；未见环评受理/批复</t>
        </is>
      </c>
      <c r="C5" s="43" t="inlineStr">
        <is>
          <t>直接决定 S1–S5 的开车月份选择；投产推迟 12 个月会让当年供给增量接近归零</t>
        </is>
      </c>
      <c r="D5" s="43" t="inlineStr">
        <is>
          <t>检索地市生态环境局“环评受理/拟审批/批复”公示；查发改委备案证；查年报“在建工程”进度</t>
        </is>
      </c>
      <c r="E5" s="18" t="inlineStr">
        <is>
          <t>高</t>
        </is>
      </c>
      <c r="F5" s="43" t="inlineStr">
        <is>
          <t>研究员</t>
        </is>
      </c>
      <c r="G5" s="43" t="inlineStr">
        <is>
          <t>未核实</t>
        </is>
      </c>
    </row>
    <row r="6" ht="44" customHeight="1">
      <c r="A6" s="43" t="inlineStr">
        <is>
          <t>实际产能</t>
        </is>
      </c>
      <c r="B6" s="43" t="inlineStr">
        <is>
          <t>设计产能 40 万吨/年为任务给定值，无原始设计文件</t>
        </is>
      </c>
      <c r="C6" s="43" t="inlineStr">
        <is>
          <t>占全部分母占比与原料需求；若实际为分批（如 2×20 万吨一期），首年产量会进一步下修</t>
        </is>
      </c>
      <c r="D6" s="43" t="inlineStr">
        <is>
          <t>取得环评报告书“建设规模”章节与可研主要技术经济指标表</t>
        </is>
      </c>
      <c r="E6" s="18" t="inlineStr">
        <is>
          <t>高</t>
        </is>
      </c>
      <c r="F6" s="43" t="inlineStr">
        <is>
          <t>研究员</t>
        </is>
      </c>
      <c r="G6" s="43" t="inlineStr">
        <is>
          <t>未核实</t>
        </is>
      </c>
    </row>
    <row r="7" ht="44" customHeight="1">
      <c r="A7" s="43" t="inlineStr">
        <is>
          <t>开工条件</t>
        </is>
      </c>
      <c r="B7" s="43" t="inlineStr">
        <is>
          <t>稳定开工率与爬坡速度均为假设，未取得装置实际负荷数据</t>
        </is>
      </c>
      <c r="C7" s="43" t="inlineStr">
        <is>
          <t>决定首年产量与稳态产量；两者相差可达 2–3 倍</t>
        </is>
      </c>
      <c r="D7" s="43" t="inlineStr">
        <is>
          <t>跟踪同类 PDH-PP 装置投产后 12 个月的实际负荷（装置动态、开工率周报）</t>
        </is>
      </c>
      <c r="E7" s="18" t="inlineStr">
        <is>
          <t>高</t>
        </is>
      </c>
      <c r="F7" s="43" t="inlineStr">
        <is>
          <t>研究员</t>
        </is>
      </c>
      <c r="G7" s="43" t="inlineStr">
        <is>
          <t>未核实</t>
        </is>
      </c>
    </row>
    <row r="8" ht="44" customHeight="1">
      <c r="A8" s="43" t="inlineStr">
        <is>
          <t>开工条件</t>
        </is>
      </c>
      <c r="B8" s="43" t="inlineStr">
        <is>
          <t>原料丙烷的采购来源、长约比例与到岸成本未核实</t>
        </is>
      </c>
      <c r="C8" s="43" t="inlineStr">
        <is>
          <t>影响项目经济性与能否维持 90% 负荷（PDH 2025 年均利润为负，开工率受限于经济性）</t>
        </is>
      </c>
      <c r="D8" s="43" t="inlineStr">
        <is>
          <t>查公告的原料采购协议；跟踪 CP 丙烷与半年度到岸成本</t>
        </is>
      </c>
      <c r="E8" s="19" t="inlineStr">
        <is>
          <t>中</t>
        </is>
      </c>
      <c r="F8" s="43" t="inlineStr">
        <is>
          <t>研究员</t>
        </is>
      </c>
      <c r="G8" s="43" t="inlineStr">
        <is>
          <t>未核实</t>
        </is>
      </c>
    </row>
    <row r="9" ht="44" customHeight="1">
      <c r="A9" s="43" t="inlineStr">
        <is>
          <t>分母口径</t>
        </is>
      </c>
      <c r="B9" s="43" t="inlineStr">
        <is>
          <t>华东区域产能存在两套口径（1,513 万吨 33.5% vs 金联创 22%≈994 万吨）</t>
        </is>
      </c>
      <c r="C9" s="43" t="inlineStr">
        <is>
          <t>区域占比在 2.6%–4.0% 之间摆动，影响“重大/明显”的档位判断</t>
        </is>
      </c>
      <c r="D9" s="43" t="inlineStr">
        <is>
          <t>统一采用单一机构口径，并在正文注明省份边界（是否含山东、福建）</t>
        </is>
      </c>
      <c r="E9" s="18" t="inlineStr">
        <is>
          <t>高</t>
        </is>
      </c>
      <c r="F9" s="43" t="inlineStr">
        <is>
          <t>研究员</t>
        </is>
      </c>
      <c r="G9" s="43" t="inlineStr">
        <is>
          <t>已并列口径，待统一</t>
        </is>
      </c>
    </row>
    <row r="10" ht="44" customHeight="1">
      <c r="A10" s="43" t="inlineStr">
        <is>
          <t>竞争参照</t>
        </is>
      </c>
      <c r="B10" s="43" t="inlineStr">
        <is>
          <t>宁波台塑、宁波富德、绍兴三圆、恒逸、上海石化、扬子石化、斯尔邦等单厂 PP 产能公开源未取得</t>
        </is>
      </c>
      <c r="C10" s="43" t="inlineStr">
        <is>
          <t>500 km 竞争半径分母被低估，影响强度打分偏高或偏低</t>
        </is>
      </c>
      <c r="D10" s="43" t="inlineStr">
        <is>
          <t>购买隆众/卓创装置清单年报，或检索各企业环评与年报</t>
        </is>
      </c>
      <c r="E10" s="19" t="inlineStr">
        <is>
          <t>中</t>
        </is>
      </c>
      <c r="F10" s="43" t="inlineStr">
        <is>
          <t>研究员</t>
        </is>
      </c>
      <c r="G10" s="43" t="inlineStr">
        <is>
          <t>未核实</t>
        </is>
      </c>
    </row>
    <row r="11" ht="44" customHeight="1">
      <c r="A11" s="43" t="inlineStr">
        <is>
          <t>下游</t>
        </is>
      </c>
      <c r="B11" s="43" t="inlineStr">
        <is>
          <t>华东各下游方向的绝对消耗量（万吨/年）无公开口径；BOPP 产能两机构冲突约 40 万吨</t>
        </is>
      </c>
      <c r="C11" s="43" t="inlineStr">
        <is>
          <t>下游承接能力的量化判断只能到占比，不能到吨数</t>
        </is>
      </c>
      <c r="D11" s="43" t="inlineStr">
        <is>
          <t>以区域表观消费 × 占比做区间估计，并明确标注为“推导值非原文”</t>
        </is>
      </c>
      <c r="E11" s="19" t="inlineStr">
        <is>
          <t>中</t>
        </is>
      </c>
      <c r="F11" s="43" t="inlineStr">
        <is>
          <t>研究员</t>
        </is>
      </c>
      <c r="G11" s="43" t="inlineStr">
        <is>
          <t>已标缺口</t>
        </is>
      </c>
    </row>
    <row r="12" ht="44" customHeight="1">
      <c r="A12" s="43" t="inlineStr">
        <is>
          <t>物流</t>
        </is>
      </c>
      <c r="B12" s="43" t="inlineStr">
        <is>
          <t>华东 PP 公路/铁路/水运运费（元/吨）完全未取得</t>
        </is>
      </c>
      <c r="C12" s="43" t="inlineStr">
        <is>
          <t>无法量化“运费倒挂”临界点，区域流向判断只能定性</t>
        </is>
      </c>
      <c r="D12" s="43" t="inlineStr">
        <is>
          <t>向承运商询价或购买物流数据模块</t>
        </is>
      </c>
      <c r="E12" s="19" t="inlineStr">
        <is>
          <t>中</t>
        </is>
      </c>
      <c r="F12" s="43" t="inlineStr">
        <is>
          <t>研究员</t>
        </is>
      </c>
      <c r="G12" s="43" t="inlineStr">
        <is>
          <t>未找到</t>
        </is>
      </c>
    </row>
    <row r="13" ht="44" customHeight="1">
      <c r="A13" s="43" t="inlineStr">
        <is>
          <t>同期在建</t>
        </is>
      </c>
      <c r="B13" s="43" t="inlineStr">
        <is>
          <t>区域内同期在建 PP 产能合计（1,200 万吨口径）为下限估计</t>
        </is>
      </c>
      <c r="C13" s="43" t="inlineStr">
        <is>
          <t>区域供给增量率可能被低估；同区域多个 40 万吨级项目叠加会改变结论量级</t>
        </is>
      </c>
      <c r="D13" s="43" t="inlineStr">
        <is>
          <t>逐条核实区域内在建装置清单与投产月份</t>
        </is>
      </c>
      <c r="E13" s="18" t="inlineStr">
        <is>
          <t>高</t>
        </is>
      </c>
      <c r="F13" s="43" t="inlineStr">
        <is>
          <t>研究员</t>
        </is>
      </c>
      <c r="G13" s="43" t="inlineStr">
        <is>
          <t>未核实</t>
        </is>
      </c>
    </row>
    <row r="14" ht="44" customHeight="1">
      <c r="A14" s="43" t="inlineStr">
        <is>
          <t>原料</t>
        </is>
      </c>
      <c r="B14" s="43" t="inlineStr">
        <is>
          <t>丙烷采购方式（长约 vs 现货）、供应国别结构与到岸成本未核实</t>
        </is>
      </c>
      <c r="C14" s="43" t="inlineStr">
        <is>
          <t>决定项目能否在 PDH 利润为负时仍维持 90% 负荷；也决定上游“需求增量”能否真正转化为进口量</t>
        </is>
      </c>
      <c r="D14" s="43" t="inlineStr">
        <is>
          <t>查公告的原料采购协议与供应商；跟踪 CP 与到岸价、VLGC 运费</t>
        </is>
      </c>
      <c r="E14" s="18" t="inlineStr">
        <is>
          <t>高</t>
        </is>
      </c>
      <c r="F14" s="43" t="inlineStr">
        <is>
          <t>研究员</t>
        </is>
      </c>
      <c r="G14" s="43" t="inlineStr">
        <is>
          <t>未核实</t>
        </is>
      </c>
    </row>
    <row r="15" ht="44" customHeight="1">
      <c r="A15" s="43" t="inlineStr">
        <is>
          <t>原料</t>
        </is>
      </c>
      <c r="B15" s="43" t="inlineStr">
        <is>
          <t>VLGC 运费波动区间与巴拿马/好望角航线选择未量化</t>
        </is>
      </c>
      <c r="C15" s="43" t="inlineStr">
        <is>
          <t>休斯顿→千叶运费在 96.5–305.3 美元/吨之间摆动（2025 均值 vs 2026-05 高点），直接影响丙烷到岸成本与 PDH 边际</t>
        </is>
      </c>
      <c r="D15" s="43" t="inlineStr">
        <is>
          <t>取得分航线月度运费序列（Clarksons/Fearnleys），标注时间与航线</t>
        </is>
      </c>
      <c r="E15" s="19" t="inlineStr">
        <is>
          <t>中</t>
        </is>
      </c>
      <c r="F15" s="43" t="inlineStr">
        <is>
          <t>研究员</t>
        </is>
      </c>
      <c r="G15" s="43" t="inlineStr">
        <is>
          <t>未找到</t>
        </is>
      </c>
    </row>
    <row r="16" ht="44" customHeight="1">
      <c r="A16" s="43" t="inlineStr">
        <is>
          <t>原料</t>
        </is>
      </c>
      <c r="B16" s="43" t="inlineStr">
        <is>
          <t>关税政策（美国原产丙烷 11% 税负）与保税/加工贸易比例未跟踪</t>
        </is>
      </c>
      <c r="C16" s="43" t="inlineStr">
        <is>
          <t>保税+加工贸易覆盖美国货比例 2023/24 约 9%、2025 约 16%，会改变实际可用的原料来源结构</t>
        </is>
      </c>
      <c r="D16" s="43" t="inlineStr">
        <is>
          <t>跟踪税委会公告与海关保税政策；按季度复核进口来源占比</t>
        </is>
      </c>
      <c r="E16" s="19" t="inlineStr">
        <is>
          <t>中</t>
        </is>
      </c>
      <c r="F16" s="43" t="inlineStr">
        <is>
          <t>研究员</t>
        </is>
      </c>
      <c r="G16" s="43" t="inlineStr">
        <is>
          <t>已列口径</t>
        </is>
      </c>
    </row>
    <row r="17" ht="44" customHeight="1">
      <c r="A17" s="43" t="inlineStr">
        <is>
          <t>原料</t>
        </is>
      </c>
      <c r="B17" s="43" t="inlineStr">
        <is>
          <t>2025 年中国 LPG/丙烷进口全年海关正式口径未公开（仅第三方估计约 3,540 万吨）</t>
        </is>
      </c>
      <c r="C17" s="43" t="inlineStr">
        <is>
          <t>分母不确定，本项目占全国丙烷进口的比例只能给区间</t>
        </is>
      </c>
      <c r="D17" s="43" t="inlineStr">
        <is>
          <t>待海关总署年度数据发布后替换；当前以 2024 年 2,923.68 万吨为分母并标注年份</t>
        </is>
      </c>
      <c r="E17" s="19" t="inlineStr">
        <is>
          <t>中</t>
        </is>
      </c>
      <c r="F17" s="43" t="inlineStr">
        <is>
          <t>研究员</t>
        </is>
      </c>
      <c r="G17" s="43" t="inlineStr">
        <is>
          <t>部分缺口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56" customWidth="1" min="5" max="5"/>
    <col width="30" customWidth="1" min="6" max="6"/>
  </cols>
  <sheetData>
    <row r="1" ht="30" customHeight="1">
      <c r="A1" s="13" t="inlineStr">
        <is>
          <t>十二、来源清单</t>
        </is>
      </c>
    </row>
    <row r="2" ht="18" customHeight="1">
      <c r="A2" s="14" t="inlineStr">
        <is>
          <t>每条来源都应有可点开的 URL。标"未核实"的条目在报告中不得被当作事实引用。</t>
        </is>
      </c>
    </row>
    <row r="3" ht="30" customHeight="1">
      <c r="A3" s="15" t="inlineStr">
        <is>
          <t>序号</t>
        </is>
      </c>
      <c r="B3" s="15" t="inlineStr">
        <is>
          <t>来源名称</t>
        </is>
      </c>
      <c r="C3" s="15" t="inlineStr">
        <is>
          <t>类型</t>
        </is>
      </c>
      <c r="D3" s="15" t="inlineStr">
        <is>
          <t>日期</t>
        </is>
      </c>
      <c r="E3" s="15" t="inlineStr">
        <is>
          <t>URL</t>
        </is>
      </c>
      <c r="F3" s="15" t="inlineStr">
        <is>
          <t>用于哪一项</t>
        </is>
      </c>
    </row>
    <row r="4">
      <c r="A4" s="21" t="n">
        <v>1</v>
      </c>
      <c r="B4" s="17" t="inlineStr">
        <is>
          <t>隆众资讯《2025 年中国聚丙烯产能》</t>
        </is>
      </c>
      <c r="C4" s="21" t="inlineStr">
        <is>
          <t>数据商</t>
        </is>
      </c>
      <c r="D4" s="21" t="inlineStr">
        <is>
          <t>2026-01-29</t>
        </is>
      </c>
      <c r="E4" s="44" t="inlineStr">
        <is>
          <t>https://www.mysteel.com/oilchem/a/26012909/48028FCD471F2F04.html</t>
        </is>
      </c>
      <c r="F4" s="17" t="inlineStr">
        <is>
          <t>全国 PP 产能分母</t>
        </is>
      </c>
    </row>
    <row r="5">
      <c r="A5" s="21" t="n">
        <v>2</v>
      </c>
      <c r="B5" s="17" t="inlineStr">
        <is>
          <t>隆众资讯 PDH 开工率年度总结</t>
        </is>
      </c>
      <c r="C5" s="21" t="inlineStr">
        <is>
          <t>数据商</t>
        </is>
      </c>
      <c r="D5" s="21" t="inlineStr">
        <is>
          <t>2026-02-06</t>
        </is>
      </c>
      <c r="E5" s="44" t="inlineStr">
        <is>
          <t>https://nenghua.mysteel.com/a/26020617/D0A7D3B9DA778A97.html</t>
        </is>
      </c>
      <c r="F5" s="17" t="inlineStr">
        <is>
          <t>PDH 产能、开工率、利润</t>
        </is>
      </c>
    </row>
    <row r="6">
      <c r="A6" s="21" t="n">
        <v>3</v>
      </c>
      <c r="B6" s="17" t="inlineStr">
        <is>
          <t>隆众资讯 PP 华东现货日评（2026-10-19）</t>
        </is>
      </c>
      <c r="C6" s="21" t="inlineStr">
        <is>
          <t>数据商</t>
        </is>
      </c>
      <c r="D6" s="21" t="inlineStr">
        <is>
          <t>2026-10-19</t>
        </is>
      </c>
      <c r="E6" s="44" t="inlineStr">
        <is>
          <t>https://www.mysteel.com/oilchem/a/26101914/88FDCCB00F239E4B.html</t>
        </is>
      </c>
      <c r="F6" s="17" t="inlineStr">
        <is>
          <t>当前 PP 拉丝价格时点</t>
        </is>
      </c>
    </row>
    <row r="7">
      <c r="A7" s="21" t="n">
        <v>4</v>
      </c>
      <c r="B7" s="17" t="inlineStr">
        <is>
          <t>新华财经《聚丙烯产能工艺路线》</t>
        </is>
      </c>
      <c r="C7" s="21" t="inlineStr">
        <is>
          <t>媒体</t>
        </is>
      </c>
      <c r="D7" s="21" t="inlineStr">
        <is>
          <t>2025-06-04</t>
        </is>
      </c>
      <c r="E7" s="44" t="inlineStr">
        <is>
          <t>https://www.cnfin.com/dz-lb/detail/20250604/4244654_1.html</t>
        </is>
      </c>
      <c r="F7" s="17" t="inlineStr">
        <is>
          <t>工艺路线占比</t>
        </is>
      </c>
    </row>
    <row r="8">
      <c r="A8" s="21" t="n">
        <v>5</v>
      </c>
      <c r="B8" s="17" t="inlineStr">
        <is>
          <t>基业昶青《中国聚丙烯行业研究》（转引搜狐）</t>
        </is>
      </c>
      <c r="C8" s="21" t="inlineStr">
        <is>
          <t>数据商</t>
        </is>
      </c>
      <c r="D8" s="21" t="inlineStr">
        <is>
          <t>2025-11-28</t>
        </is>
      </c>
      <c r="E8" s="44" t="inlineStr">
        <is>
          <t>https://www.sohu.com/a/959020749_481782</t>
        </is>
      </c>
      <c r="F8" s="17" t="inlineStr">
        <is>
          <t>区域产能、省份分布、下游结构、进出口</t>
        </is>
      </c>
    </row>
    <row r="9">
      <c r="A9" s="21" t="n">
        <v>6</v>
      </c>
      <c r="B9" s="17" t="inlineStr">
        <is>
          <t>金联创《2024年聚丙烯华北扩能加快 裕龙石化备受瞩目》</t>
        </is>
      </c>
      <c r="C9" s="21" t="inlineStr">
        <is>
          <t>数据商</t>
        </is>
      </c>
      <c r="D9" s="21" t="inlineStr">
        <is>
          <t>2025-01-01</t>
        </is>
      </c>
      <c r="E9" s="44" t="inlineStr">
        <is>
          <t>https://www.sohu.com/a/844092485_798573</t>
        </is>
      </c>
      <c r="F9" s="17" t="inlineStr">
        <is>
          <t>区域占比、裕龙石化流向结构</t>
        </is>
      </c>
    </row>
    <row r="10">
      <c r="A10" s="21" t="n">
        <v>7</v>
      </c>
      <c r="B10" s="17" t="inlineStr">
        <is>
          <t>金联创《聚丙烯下游消费结构简析》</t>
        </is>
      </c>
      <c r="C10" s="21" t="inlineStr">
        <is>
          <t>数据商</t>
        </is>
      </c>
      <c r="D10" s="21" t="inlineStr">
        <is>
          <t>2024-12-18</t>
        </is>
      </c>
      <c r="E10" s="44" t="inlineStr">
        <is>
          <t>https://www.sohu.com/a/838807629_798573</t>
        </is>
      </c>
      <c r="F10" s="17" t="inlineStr">
        <is>
          <t>下游需求结构</t>
        </is>
      </c>
    </row>
    <row r="11">
      <c r="A11" s="21" t="n">
        <v>8</v>
      </c>
      <c r="B11" s="17" t="inlineStr">
        <is>
          <t>金联创《供需矛盾加剧 看BOPP如何破局》</t>
        </is>
      </c>
      <c r="C11" s="21" t="inlineStr">
        <is>
          <t>数据商</t>
        </is>
      </c>
      <c r="D11" s="21" t="inlineStr">
        <is>
          <t>2025-03-05</t>
        </is>
      </c>
      <c r="E11" s="44" t="inlineStr">
        <is>
          <t>https://www.sohu.com/a/867021489_798573</t>
        </is>
      </c>
      <c r="F11" s="17" t="inlineStr">
        <is>
          <t>BOPP 产能与增量</t>
        </is>
      </c>
    </row>
    <row r="12">
      <c r="A12" s="21" t="n">
        <v>9</v>
      </c>
      <c r="B12" s="17" t="inlineStr">
        <is>
          <t>化塑汇《一文盘点国内PP产能及TOP10企业》</t>
        </is>
      </c>
      <c r="C12" s="21" t="inlineStr">
        <is>
          <t>媒体</t>
        </is>
      </c>
      <c r="D12" s="21" t="inlineStr">
        <is>
          <t>2024-08-19</t>
        </is>
      </c>
      <c r="E12" s="44" t="inlineStr">
        <is>
          <t>https://www.163.com/dy/article/J9UOS4710518S8B0.html</t>
        </is>
      </c>
      <c r="F12" s="17" t="inlineStr">
        <is>
          <t>装置级产能清单（浙石化、镇海、东华能源、金发、恒力等）</t>
        </is>
      </c>
    </row>
    <row r="13">
      <c r="A13" s="21" t="n">
        <v>10</v>
      </c>
      <c r="B13" s="17" t="inlineStr">
        <is>
          <t>浙江省政务云 · 浙江卫星能源 PDH-PP 二期竣工验收监测报告</t>
        </is>
      </c>
      <c r="C13" s="21" t="inlineStr">
        <is>
          <t>官方</t>
        </is>
      </c>
      <c r="D13" s="21" t="inlineStr">
        <is>
          <t>2019</t>
        </is>
      </c>
      <c r="E13" s="44" t="inlineStr">
        <is>
          <t>https://zjjcmspublic.oss-cn-hangzhou-zwynet-d01-a.internet.cloud.zj.gov.cn/jcms_files/jcms1/web1756/site/attach/0/fa494eaba1e2493fa7303ad40f9ee7c4.pdf</t>
        </is>
      </c>
      <c r="F13" s="17" t="inlineStr">
        <is>
          <t>原料单耗（一手）、副产物、工艺流程</t>
        </is>
      </c>
    </row>
    <row r="14">
      <c r="A14" s="21" t="n">
        <v>11</v>
      </c>
      <c r="B14" s="17" t="inlineStr">
        <is>
          <t>华泰期货《山东丙烯市场调研报告》</t>
        </is>
      </c>
      <c r="C14" s="21" t="inlineStr">
        <is>
          <t>研究机构</t>
        </is>
      </c>
      <c r="D14" s="21" t="inlineStr">
        <is>
          <t>2026-09-30</t>
        </is>
      </c>
      <c r="E14" s="44" t="inlineStr">
        <is>
          <t>https://htfc.com/wz_upload/png_upload/20260929/1790673921562585587.pdf</t>
        </is>
      </c>
      <c r="F14" s="17" t="inlineStr">
        <is>
          <t>PDH 丙烷单耗实测区间 1.14–1.20</t>
        </is>
      </c>
    </row>
    <row r="15">
      <c r="A15" s="21" t="n">
        <v>12</v>
      </c>
      <c r="B15" s="17" t="inlineStr">
        <is>
          <t>中国化工信息中心《丙烷脱氢工艺》（PROCESS 流程工业转载）</t>
        </is>
      </c>
      <c r="C15" s="21" t="inlineStr">
        <is>
          <t>行业组织</t>
        </is>
      </c>
      <c r="D15" s="21" t="inlineStr">
        <is>
          <t>2023-11-02</t>
        </is>
      </c>
      <c r="E15" s="44" t="inlineStr">
        <is>
          <t>https://chem.jgvogel.cn/c1340330.shtml</t>
        </is>
      </c>
      <c r="F15" s="17" t="inlineStr">
        <is>
          <t>PDH 单耗 1.2 t/t 与标杆装置</t>
        </is>
      </c>
    </row>
    <row r="16">
      <c r="A16" s="21" t="n">
        <v>13</v>
      </c>
      <c r="B16" s="17" t="inlineStr">
        <is>
          <t>PROCESS 流程工业《八种主流聚丙烯工艺》</t>
        </is>
      </c>
      <c r="C16" s="21" t="inlineStr">
        <is>
          <t>行业媒体</t>
        </is>
      </c>
      <c r="D16" s="21" t="inlineStr">
        <is>
          <t>2023-07-17</t>
        </is>
      </c>
      <c r="E16" s="44" t="inlineStr">
        <is>
          <t>https://chem.jgvogel.cn/c1311547.shtml</t>
        </is>
      </c>
      <c r="F16" s="17" t="inlineStr">
        <is>
          <t>PP 聚合工艺路线特点</t>
        </is>
      </c>
    </row>
    <row r="17">
      <c r="A17" s="21" t="n">
        <v>14</v>
      </c>
      <c r="B17" s="17" t="inlineStr">
        <is>
          <t>格雷达控股《聚烯烃行情回顾 09.21–09.25》</t>
        </is>
      </c>
      <c r="C17" s="21" t="inlineStr">
        <is>
          <t>媒体</t>
        </is>
      </c>
      <c r="D17" s="21" t="inlineStr">
        <is>
          <t>2026-09-28</t>
        </is>
      </c>
      <c r="E17" s="44" t="inlineStr">
        <is>
          <t>https://www.greatpolymer.com/news/274.html</t>
        </is>
      </c>
      <c r="F17" s="17" t="inlineStr">
        <is>
          <t>三区价差</t>
        </is>
      </c>
    </row>
    <row r="18">
      <c r="A18" s="21" t="n">
        <v>15</v>
      </c>
      <c r="B18" s="17" t="inlineStr">
        <is>
          <t>卓创资讯（七禾网转载）</t>
        </is>
      </c>
      <c r="C18" s="21" t="inlineStr">
        <is>
          <t>数据商</t>
        </is>
      </c>
      <c r="D18" s="21" t="inlineStr">
        <is>
          <t>2025-11-17</t>
        </is>
      </c>
      <c r="E18" s="44" t="inlineStr">
        <is>
          <t>https://www.7hcn.com/article/476107-1.html</t>
        </is>
      </c>
      <c r="F18" s="17" t="inlineStr">
        <is>
          <t>年度价差区间、区域冲击描述</t>
        </is>
      </c>
    </row>
    <row r="19">
      <c r="A19" s="21" t="n">
        <v>16</v>
      </c>
      <c r="B19" s="17" t="inlineStr">
        <is>
          <t>大商所〔2025〕51 号公告（国海良时期货转载）</t>
        </is>
      </c>
      <c r="C19" s="21" t="inlineStr">
        <is>
          <t>交易所</t>
        </is>
      </c>
      <c r="D19" s="21" t="inlineStr">
        <is>
          <t>2025-06</t>
        </is>
      </c>
      <c r="E19" s="44" t="inlineStr">
        <is>
          <t>https://www.ghlsqh.com.cn/company/news/show-25877.html</t>
        </is>
      </c>
      <c r="F19" s="17" t="inlineStr">
        <is>
          <t>PP 交割升贴水（江苏 0 / 山东 -100 / 天津 -100）</t>
        </is>
      </c>
    </row>
    <row r="20">
      <c r="A20" s="21" t="n">
        <v>17</v>
      </c>
      <c r="B20" s="17" t="inlineStr">
        <is>
          <t>界面新闻《中国丙烷对外依存度》</t>
        </is>
      </c>
      <c r="C20" s="21" t="inlineStr">
        <is>
          <t>媒体</t>
        </is>
      </c>
      <c r="D20" s="21" t="inlineStr">
        <is>
          <t>2025</t>
        </is>
      </c>
      <c r="E20" s="44" t="inlineStr">
        <is>
          <t>https://www.jiemian.com/article/12668215.html</t>
        </is>
      </c>
      <c r="F20" s="17" t="inlineStr">
        <is>
          <t>丙烷对外依存度 84%</t>
        </is>
      </c>
    </row>
    <row r="21">
      <c r="A21" s="21" t="n">
        <v>18</v>
      </c>
      <c r="B21" s="17" t="inlineStr">
        <is>
          <t>观研天下《2025 年中国聚丙烯行业发展现状》</t>
        </is>
      </c>
      <c r="C21" s="21" t="inlineStr">
        <is>
          <t>数据商</t>
        </is>
      </c>
      <c r="D21" s="21" t="inlineStr">
        <is>
          <t>2026-08-21</t>
        </is>
      </c>
      <c r="E21" s="44" t="inlineStr">
        <is>
          <t>https://www.sohu.com/a/1065630522_121222943</t>
        </is>
      </c>
      <c r="F21" s="17" t="inlineStr">
        <is>
          <t>表观消费、进出口</t>
        </is>
      </c>
    </row>
    <row r="22">
      <c r="A22" s="21" t="n">
        <v>19</v>
      </c>
      <c r="B22" s="17" t="inlineStr">
        <is>
          <t>山东 PDH 企业调研（cio 时代网转载）</t>
        </is>
      </c>
      <c r="C22" s="21" t="inlineStr">
        <is>
          <t>媒体</t>
        </is>
      </c>
      <c r="D22" s="21" t="inlineStr">
        <is>
          <t>2022-09-27</t>
        </is>
      </c>
      <c r="E22" s="44" t="inlineStr">
        <is>
          <t>http://www.cio.cqtimes.cn/caijing/20220927/10287.html</t>
        </is>
      </c>
      <c r="F22" s="17" t="inlineStr">
        <is>
          <t>副产氢气收益量级</t>
        </is>
      </c>
    </row>
    <row r="23">
      <c r="A23" s="21" t="n">
        <v>20</v>
      </c>
      <c r="B23" s="17" t="inlineStr">
        <is>
          <t>EIA《U.S. Exports of Propane》</t>
        </is>
      </c>
      <c r="C23" s="21" t="inlineStr">
        <is>
          <t>官方统计</t>
        </is>
      </c>
      <c r="D23" s="21" t="inlineStr">
        <is>
          <t>2026-09-30</t>
        </is>
      </c>
      <c r="E23" s="44" t="inlineStr">
        <is>
          <t>https://www.eia.gov/dnav/pet/pet_move_expc_a_EPLLPA_EEX_mbblpd_a.htm</t>
        </is>
      </c>
      <c r="F23" s="17" t="inlineStr">
        <is>
          <t>美国丙烷出口量分母</t>
        </is>
      </c>
    </row>
    <row r="24">
      <c r="A24" s="21" t="n">
        <v>21</v>
      </c>
      <c r="B24" s="17" t="inlineStr">
        <is>
          <t>国务院关税税则委员会《2026 年进口商品暂定税率表》</t>
        </is>
      </c>
      <c r="C24" s="21" t="inlineStr">
        <is>
          <t>官方</t>
        </is>
      </c>
      <c r="D24" s="21" t="inlineStr">
        <is>
          <t>2025-12</t>
        </is>
      </c>
      <c r="E24" s="44" t="inlineStr">
        <is>
          <t>https://gss.mof.gov.cn/gzdt/zhengcefabu/202512/P020251229510521217364.pdf</t>
        </is>
      </c>
      <c r="F24" s="17" t="inlineStr">
        <is>
          <t>液化丙烷进口税率</t>
        </is>
      </c>
    </row>
    <row r="25">
      <c r="A25" s="21" t="n">
        <v>22</v>
      </c>
      <c r="B25" s="17" t="inlineStr">
        <is>
          <t>Vortexa《China's US LPG custom declaration》</t>
        </is>
      </c>
      <c r="C25" s="21" t="inlineStr">
        <is>
          <t>数据商</t>
        </is>
      </c>
      <c r="D25" s="21" t="inlineStr">
        <is>
          <t>2026-09-18</t>
        </is>
      </c>
      <c r="E25" s="44" t="inlineStr">
        <is>
          <t>https://vortexa.com/insights/chinas-us-lpg-custom-declaration</t>
        </is>
      </c>
      <c r="F25" s="17" t="inlineStr">
        <is>
          <t>美国丙烷总税负 11%、保税比例</t>
        </is>
      </c>
    </row>
    <row r="26">
      <c r="A26" s="21" t="n">
        <v>23</v>
      </c>
      <c r="B26" s="17" t="inlineStr">
        <is>
          <t>金联创（引海关）2026 年 8 月 LPG 进口数据</t>
        </is>
      </c>
      <c r="C26" s="21" t="inlineStr">
        <is>
          <t>数据商</t>
        </is>
      </c>
      <c r="D26" s="21" t="inlineStr">
        <is>
          <t>2026-09-26</t>
        </is>
      </c>
      <c r="E26" s="44" t="inlineStr">
        <is>
          <t>https://www.sohu.com/a/1081018120_768516</t>
        </is>
      </c>
      <c r="F26" s="17" t="inlineStr">
        <is>
          <t>进口量、来源国结构、进口均价</t>
        </is>
      </c>
    </row>
    <row r="27">
      <c r="A27" s="21" t="n">
        <v>24</v>
      </c>
      <c r="B27" s="17" t="inlineStr">
        <is>
          <t>隆众资讯（OilChem）LPG 周度运行</t>
        </is>
      </c>
      <c r="C27" s="21" t="inlineStr">
        <is>
          <t>数据商</t>
        </is>
      </c>
      <c r="D27" s="21" t="inlineStr">
        <is>
          <t>2026-09-17</t>
        </is>
      </c>
      <c r="E27" s="44" t="inlineStr">
        <is>
          <t>https://en.oilchem.net/26-0917-17-0db89230236dbd76.html</t>
        </is>
      </c>
      <c r="F27" s="17" t="inlineStr">
        <is>
          <t>港口库存、库容利用率、PDH 开工率</t>
        </is>
      </c>
    </row>
    <row r="28">
      <c r="A28" s="21" t="n">
        <v>25</v>
      </c>
      <c r="B28" s="17" t="inlineStr">
        <is>
          <t>中国能源新闻网（引中国石油网）盐城滨海 LPG 接收站</t>
        </is>
      </c>
      <c r="C28" s="21" t="inlineStr">
        <is>
          <t>媒体</t>
        </is>
      </c>
      <c r="D28" s="21" t="inlineStr">
        <is>
          <t>2026-06-05</t>
        </is>
      </c>
      <c r="E28" s="44" t="inlineStr">
        <is>
          <t>https://cpnn.com.cn/news/yq/202606/t20260605_1893174.html</t>
        </is>
      </c>
      <c r="F28" s="17" t="inlineStr">
        <is>
          <t>区域新增丙烷接卸能力</t>
        </is>
      </c>
    </row>
    <row r="29">
      <c r="A29" s="21" t="n">
        <v>26</v>
      </c>
      <c r="B29" s="17" t="inlineStr">
        <is>
          <t>国际船舶网/Veson Nautical VLGC 市场</t>
        </is>
      </c>
      <c r="C29" s="21" t="inlineStr">
        <is>
          <t>研究机构</t>
        </is>
      </c>
      <c r="D29" s="21" t="inlineStr">
        <is>
          <t>2026-06-05</t>
        </is>
      </c>
      <c r="E29" s="44" t="inlineStr">
        <is>
          <t>https://www.eworldship.com/html/2026/gas_carrier_market_0605/221428.html</t>
        </is>
      </c>
      <c r="F29" s="17" t="inlineStr">
        <is>
          <t>休斯顿→千叶 VLGC 运费</t>
        </is>
      </c>
    </row>
  </sheetData>
  <mergeCells count="2">
    <mergeCell ref="A2:F2"/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2026-10-20T04:22:35Z</dcterms:created>
  <dcterms:modified xmlns:dcterms="http://purl.org/dc/terms/" xmlns:xsi="http://www.w3.org/2001/XMLSchema-instance" xsi:type="dcterms:W3CDTF">2026-10-20T04:22:35Z</dcterms:modified>
</cp:coreProperties>
</file>
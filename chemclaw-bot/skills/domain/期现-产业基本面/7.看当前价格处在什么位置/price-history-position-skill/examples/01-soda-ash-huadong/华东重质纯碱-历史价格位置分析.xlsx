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结论" sheetId="1" state="visible" r:id="rId1"/>
    <sheet xmlns:r="http://schemas.openxmlformats.org/officeDocument/2006/relationships" name="01 口径与基准日" sheetId="2" state="visible" r:id="rId2"/>
    <sheet xmlns:r="http://schemas.openxmlformats.org/officeDocument/2006/relationships" name="02 原始序列(主)" sheetId="3" state="visible" r:id="rId3"/>
    <sheet xmlns:r="http://schemas.openxmlformats.org/officeDocument/2006/relationships" name="03 原始序列(辅助)" sheetId="4" state="visible" r:id="rId4"/>
    <sheet xmlns:r="http://schemas.openxmlformats.org/officeDocument/2006/relationships" name="04 历史分位(公式)" sheetId="5" state="visible" r:id="rId5"/>
    <sheet xmlns:r="http://schemas.openxmlformats.org/officeDocument/2006/relationships" name="05 统计指标(公式)" sheetId="6" state="visible" r:id="rId6"/>
    <sheet xmlns:r="http://schemas.openxmlformats.org/officeDocument/2006/relationships" name="06 分窗口统计(公式)" sheetId="7" state="visible" r:id="rId7"/>
    <sheet xmlns:r="http://schemas.openxmlformats.org/officeDocument/2006/relationships" name="07 同期对比(公式)" sheetId="8" state="visible" r:id="rId8"/>
    <sheet xmlns:r="http://schemas.openxmlformats.org/officeDocument/2006/relationships" name="08 季节性(公式)" sheetId="9" state="visible" r:id="rId9"/>
    <sheet xmlns:r="http://schemas.openxmlformats.org/officeDocument/2006/relationships" name="09 异常点" sheetId="10" state="visible" r:id="rId10"/>
    <sheet xmlns:r="http://schemas.openxmlformats.org/officeDocument/2006/relationships" name="10 事件时间线" sheetId="11" state="visible" r:id="rId11"/>
    <sheet xmlns:r="http://schemas.openxmlformats.org/officeDocument/2006/relationships" name="11 数据缺口" sheetId="12" state="visible" r:id="rId12"/>
    <sheet xmlns:r="http://schemas.openxmlformats.org/officeDocument/2006/relationships" name="12 方法与公式说明" sheetId="13" state="visible" r:id="rId13"/>
    <sheet xmlns:r="http://schemas.openxmlformats.org/officeDocument/2006/relationships" name="13 来源清单" sheetId="14" state="visible" r:id="rId14"/>
  </sheets>
  <definedNames>
    <definedName name="_xlnm._FilterDatabase" localSheetId="2" hidden="1">'02 原始序列(主)'!$A$4:$H$362</definedName>
    <definedName name="_xlnm._FilterDatabase" localSheetId="9" hidden="1">'09 异常点'!$A$4:$F$87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yyyy-mm-dd"/>
    <numFmt numFmtId="166" formatCode="0.0"/>
  </numFmts>
  <fonts count="14">
    <font>
      <name val="Calibri"/>
      <family val="2"/>
      <color theme="1"/>
      <sz val="11"/>
      <scheme val="minor"/>
    </font>
    <font>
      <name val="微软雅黑"/>
      <b val="1"/>
      <color rgb="0016202B"/>
      <sz val="15"/>
    </font>
    <font>
      <name val="微软雅黑"/>
      <color rgb="0066788C"/>
      <sz val="9.5"/>
    </font>
    <font>
      <name val="微软雅黑"/>
      <color rgb="0066788C"/>
      <sz val="9"/>
    </font>
    <font>
      <name val="Consolas"/>
      <b val="1"/>
      <color rgb="0017395B"/>
      <sz val="15"/>
    </font>
    <font>
      <name val="微软雅黑"/>
      <b val="1"/>
      <color rgb="00FFFFFF"/>
      <sz val="10"/>
    </font>
    <font>
      <name val="微软雅黑"/>
      <color rgb="0016202B"/>
      <sz val="10"/>
    </font>
    <font>
      <name val="Consolas"/>
      <color rgb="0016202B"/>
      <sz val="10"/>
    </font>
    <font>
      <name val="Consolas"/>
      <color rgb="002A5D8F"/>
      <sz val="9"/>
    </font>
    <font>
      <name val="微软雅黑"/>
      <color rgb="001F4E8C"/>
      <sz val="9"/>
      <u val="single"/>
    </font>
    <font>
      <name val="微软雅黑"/>
      <b val="1"/>
      <color rgb="00FFFFFF"/>
      <sz val="11"/>
    </font>
    <font>
      <name val="微软雅黑"/>
      <b val="1"/>
      <color rgb="0016202B"/>
      <sz val="10"/>
    </font>
    <font>
      <name val="微软雅黑"/>
      <b val="1"/>
      <color rgb="0017395B"/>
      <sz val="9.5"/>
    </font>
    <font>
      <name val="微软雅黑"/>
      <color rgb="0016202B"/>
      <sz val="9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BF1DF"/>
      </patternFill>
    </fill>
    <fill>
      <patternFill patternType="solid">
        <fgColor rgb="0017395B"/>
      </patternFill>
    </fill>
    <fill>
      <patternFill patternType="solid">
        <fgColor rgb="00F1F4F8"/>
      </patternFill>
    </fill>
    <fill>
      <patternFill patternType="solid">
        <fgColor rgb="00FFF9EC"/>
      </patternFill>
    </fill>
    <fill>
      <patternFill patternType="solid">
        <fgColor rgb="00EAF1F8"/>
      </patternFill>
    </fill>
    <fill>
      <patternFill patternType="solid">
        <fgColor rgb="0014664C"/>
      </patternFill>
    </fill>
    <fill>
      <patternFill patternType="solid">
        <fgColor rgb="00FAEAEC"/>
      </patternFill>
    </fill>
  </fills>
  <borders count="2">
    <border>
      <left/>
      <right/>
      <top/>
      <bottom/>
      <diagonal/>
    </border>
    <border>
      <left style="thin">
        <color rgb="00D6DEE7"/>
      </left>
      <right style="thin">
        <color rgb="00D6DEE7"/>
      </right>
      <top style="thin">
        <color rgb="00D6DEE7"/>
      </top>
      <bottom style="thin">
        <color rgb="00D6DEE7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2" fontId="4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top" wrapText="1"/>
    </xf>
    <xf numFmtId="0" fontId="9" fillId="0" borderId="1" pivotButton="0" quotePrefix="0" xfId="0"/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top" wrapText="1"/>
    </xf>
    <xf numFmtId="0" fontId="9" fillId="5" borderId="1" pivotButton="0" quotePrefix="0" xfId="0"/>
    <xf numFmtId="0" fontId="3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10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5" borderId="1" pivotButton="0" quotePrefix="0" xfId="0"/>
    <xf numFmtId="0" fontId="11" fillId="0" borderId="1" applyAlignment="1" pivotButton="0" quotePrefix="0" xfId="0">
      <alignment horizontal="center" vertical="center"/>
    </xf>
    <xf numFmtId="165" fontId="0" fillId="0" borderId="1" pivotButton="0" quotePrefix="0" xfId="0"/>
    <xf numFmtId="1" fontId="8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165" fontId="0" fillId="5" borderId="1" pivotButton="0" quotePrefix="0" xfId="0"/>
    <xf numFmtId="1" fontId="8" fillId="5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0" fontId="12" fillId="7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65" fontId="7" fillId="0" borderId="0" pivotButton="0" quotePrefix="0" xfId="0"/>
    <xf numFmtId="2" fontId="7" fillId="0" borderId="0" pivotButton="0" quotePrefix="0" xfId="0"/>
    <xf numFmtId="2" fontId="8" fillId="0" borderId="0" pivotButton="0" quotePrefix="0" xfId="0"/>
    <xf numFmtId="0" fontId="3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4" fontId="8" fillId="0" borderId="1" pivotButton="0" quotePrefix="0" xfId="0"/>
    <xf numFmtId="166" fontId="8" fillId="0" borderId="1" pivotButton="0" quotePrefix="0" xfId="0"/>
    <xf numFmtId="0" fontId="8" fillId="0" borderId="1" pivotButton="0" quotePrefix="0" xfId="0"/>
    <xf numFmtId="0" fontId="3" fillId="0" borderId="1" pivotButton="0" quotePrefix="0" xfId="0"/>
    <xf numFmtId="0" fontId="10" fillId="4" borderId="0" pivotButton="0" quotePrefix="0" xfId="0"/>
    <xf numFmtId="0" fontId="10" fillId="8" borderId="0" pivotButton="0" quotePrefix="0" xfId="0"/>
    <xf numFmtId="4" fontId="7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right" vertical="center"/>
    </xf>
    <xf numFmtId="4" fontId="7" fillId="5" borderId="1" pivotButton="0" quotePrefix="0" xfId="0"/>
    <xf numFmtId="0" fontId="6" fillId="5" borderId="1" pivotButton="0" quotePrefix="0" xfId="0"/>
    <xf numFmtId="0" fontId="7" fillId="5" borderId="1" applyAlignment="1" pivotButton="0" quotePrefix="0" xfId="0">
      <alignment horizontal="right" vertical="center"/>
    </xf>
    <xf numFmtId="0" fontId="3" fillId="5" borderId="1" pivotButton="0" quotePrefix="0" xfId="0"/>
    <xf numFmtId="0" fontId="13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9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100ppi.com/news/detail-20240717-3492211.html" TargetMode="External" Id="rId1"/><Relationship Type="http://schemas.openxmlformats.org/officeDocument/2006/relationships/hyperlink" Target="https://www.100ppi.com/news/detail-20240718-3495294.html" TargetMode="External" Id="rId2"/><Relationship Type="http://schemas.openxmlformats.org/officeDocument/2006/relationships/hyperlink" Target="https://www.100ppi.com/news/detail-20240719-3498833.html" TargetMode="External" Id="rId3"/><Relationship Type="http://schemas.openxmlformats.org/officeDocument/2006/relationships/hyperlink" Target="https://www.100ppi.com/news/detail-20240722-3505123.html" TargetMode="External" Id="rId4"/><Relationship Type="http://schemas.openxmlformats.org/officeDocument/2006/relationships/hyperlink" Target="https://www.100ppi.com/news/detail-20240723-3508275.html" TargetMode="External" Id="rId5"/><Relationship Type="http://schemas.openxmlformats.org/officeDocument/2006/relationships/hyperlink" Target="https://www.100ppi.com/news/detail-20240724-3511756.html" TargetMode="External" Id="rId6"/><Relationship Type="http://schemas.openxmlformats.org/officeDocument/2006/relationships/hyperlink" Target="https://www.100ppi.com/news/detail-20240725-3514828.html" TargetMode="External" Id="rId7"/><Relationship Type="http://schemas.openxmlformats.org/officeDocument/2006/relationships/hyperlink" Target="https://www.100ppi.com/news/detail-20240726-3516459.html" TargetMode="External" Id="rId8"/><Relationship Type="http://schemas.openxmlformats.org/officeDocument/2006/relationships/hyperlink" Target="https://www.100ppi.com/news/detail-20240729-3521988.html" TargetMode="External" Id="rId9"/><Relationship Type="http://schemas.openxmlformats.org/officeDocument/2006/relationships/hyperlink" Target="https://www.100ppi.com/news/detail-20240730-3525053.html" TargetMode="External" Id="rId10"/><Relationship Type="http://schemas.openxmlformats.org/officeDocument/2006/relationships/hyperlink" Target="https://www.100ppi.com/news/detail-20240731-3528800.html" TargetMode="External" Id="rId11"/><Relationship Type="http://schemas.openxmlformats.org/officeDocument/2006/relationships/hyperlink" Target="https://www.100ppi.com/news/detail-20240801-3532578.html" TargetMode="External" Id="rId12"/><Relationship Type="http://schemas.openxmlformats.org/officeDocument/2006/relationships/hyperlink" Target="https://www.100ppi.com/news/detail-20240802-3535488.html" TargetMode="External" Id="rId13"/><Relationship Type="http://schemas.openxmlformats.org/officeDocument/2006/relationships/hyperlink" Target="https://www.100ppi.com/news/detail-20240805-3542248.html" TargetMode="External" Id="rId14"/><Relationship Type="http://schemas.openxmlformats.org/officeDocument/2006/relationships/hyperlink" Target="https://www.100ppi.com/news/detail-20240806-3545860.html" TargetMode="External" Id="rId15"/><Relationship Type="http://schemas.openxmlformats.org/officeDocument/2006/relationships/hyperlink" Target="https://www.100ppi.com/news/detail-20240807-3549677.html" TargetMode="External" Id="rId16"/><Relationship Type="http://schemas.openxmlformats.org/officeDocument/2006/relationships/hyperlink" Target="https://www.100ppi.com/news/detail-20240808-3552948.html" TargetMode="External" Id="rId17"/><Relationship Type="http://schemas.openxmlformats.org/officeDocument/2006/relationships/hyperlink" Target="https://www.100ppi.com/news/detail-20240809-3556701.html" TargetMode="External" Id="rId18"/><Relationship Type="http://schemas.openxmlformats.org/officeDocument/2006/relationships/hyperlink" Target="https://www.100ppi.com/news/detail-20240812-3563055.html" TargetMode="External" Id="rId19"/><Relationship Type="http://schemas.openxmlformats.org/officeDocument/2006/relationships/hyperlink" Target="https://www.100ppi.com/news/detail-20240813-3566954.html" TargetMode="External" Id="rId20"/><Relationship Type="http://schemas.openxmlformats.org/officeDocument/2006/relationships/hyperlink" Target="https://www.100ppi.com/news/detail-20240814-3569978.html" TargetMode="External" Id="rId21"/><Relationship Type="http://schemas.openxmlformats.org/officeDocument/2006/relationships/hyperlink" Target="https://www.100ppi.com/news/detail-20240815-3573348.html" TargetMode="External" Id="rId22"/><Relationship Type="http://schemas.openxmlformats.org/officeDocument/2006/relationships/hyperlink" Target="https://www.100ppi.com/news/detail-20240816-3577073.html" TargetMode="External" Id="rId23"/><Relationship Type="http://schemas.openxmlformats.org/officeDocument/2006/relationships/hyperlink" Target="https://www.100ppi.com/news/detail-20240819-3583250.html" TargetMode="External" Id="rId24"/><Relationship Type="http://schemas.openxmlformats.org/officeDocument/2006/relationships/hyperlink" Target="https://www.100ppi.com/news/detail-20240820-3587093.html" TargetMode="External" Id="rId25"/><Relationship Type="http://schemas.openxmlformats.org/officeDocument/2006/relationships/hyperlink" Target="https://www.100ppi.com/news/detail-20240821-3590608.html" TargetMode="External" Id="rId26"/><Relationship Type="http://schemas.openxmlformats.org/officeDocument/2006/relationships/hyperlink" Target="https://www.100ppi.com/news/detail-20240822-3594313.html" TargetMode="External" Id="rId27"/><Relationship Type="http://schemas.openxmlformats.org/officeDocument/2006/relationships/hyperlink" Target="https://www.100ppi.com/news/detail-20240823-3598120.html" TargetMode="External" Id="rId28"/><Relationship Type="http://schemas.openxmlformats.org/officeDocument/2006/relationships/hyperlink" Target="https://www.100ppi.com/news/detail-20240826-3605556.html" TargetMode="External" Id="rId29"/><Relationship Type="http://schemas.openxmlformats.org/officeDocument/2006/relationships/hyperlink" Target="https://www.100ppi.com/news/detail-20240827-3609454.html" TargetMode="External" Id="rId30"/><Relationship Type="http://schemas.openxmlformats.org/officeDocument/2006/relationships/hyperlink" Target="https://www.100ppi.com/news/detail-20240828-3613807.html" TargetMode="External" Id="rId31"/><Relationship Type="http://schemas.openxmlformats.org/officeDocument/2006/relationships/hyperlink" Target="https://www.100ppi.com/news/detail-20240829-3617748.html" TargetMode="External" Id="rId32"/><Relationship Type="http://schemas.openxmlformats.org/officeDocument/2006/relationships/hyperlink" Target="https://www.100ppi.com/news/detail-20240830-3621059.html" TargetMode="External" Id="rId33"/><Relationship Type="http://schemas.openxmlformats.org/officeDocument/2006/relationships/hyperlink" Target="https://www.100ppi.com/news/detail-20240902-3627934.html" TargetMode="External" Id="rId34"/><Relationship Type="http://schemas.openxmlformats.org/officeDocument/2006/relationships/hyperlink" Target="https://www.100ppi.com/news/detail-20240903-3632329.html" TargetMode="External" Id="rId35"/><Relationship Type="http://schemas.openxmlformats.org/officeDocument/2006/relationships/hyperlink" Target="https://www.100ppi.com/news/detail-20240904-3636142.html" TargetMode="External" Id="rId36"/><Relationship Type="http://schemas.openxmlformats.org/officeDocument/2006/relationships/hyperlink" Target="https://www.100ppi.com/news/detail-20240905-3639991.html" TargetMode="External" Id="rId37"/><Relationship Type="http://schemas.openxmlformats.org/officeDocument/2006/relationships/hyperlink" Target="https://www.100ppi.com/news/detail-20240906-3643858.html" TargetMode="External" Id="rId38"/><Relationship Type="http://schemas.openxmlformats.org/officeDocument/2006/relationships/hyperlink" Target="https://www.100ppi.com/news/detail-20240909-3650133.html" TargetMode="External" Id="rId39"/><Relationship Type="http://schemas.openxmlformats.org/officeDocument/2006/relationships/hyperlink" Target="https://www.100ppi.com/news/detail-20240910-3653121.html" TargetMode="External" Id="rId40"/><Relationship Type="http://schemas.openxmlformats.org/officeDocument/2006/relationships/hyperlink" Target="https://www.100ppi.com/news/detail-20240911-3656964.html" TargetMode="External" Id="rId41"/><Relationship Type="http://schemas.openxmlformats.org/officeDocument/2006/relationships/hyperlink" Target="https://www.100ppi.com/news/detail-20240912-3660382.html" TargetMode="External" Id="rId42"/><Relationship Type="http://schemas.openxmlformats.org/officeDocument/2006/relationships/hyperlink" Target="https://www.100ppi.com/news/detail-20240913-3664121.html" TargetMode="External" Id="rId43"/><Relationship Type="http://schemas.openxmlformats.org/officeDocument/2006/relationships/hyperlink" Target="https://www.100ppi.com/news/detail-20240914-3666544.html" TargetMode="External" Id="rId44"/><Relationship Type="http://schemas.openxmlformats.org/officeDocument/2006/relationships/hyperlink" Target="https://www.100ppi.com/news/detail-20240918-3675066.html" TargetMode="External" Id="rId45"/><Relationship Type="http://schemas.openxmlformats.org/officeDocument/2006/relationships/hyperlink" Target="https://www.100ppi.com/news/detail-20240919-3678657.html" TargetMode="External" Id="rId46"/><Relationship Type="http://schemas.openxmlformats.org/officeDocument/2006/relationships/hyperlink" Target="https://www.100ppi.com/news/detail-20240920-3682050.html" TargetMode="External" Id="rId47"/><Relationship Type="http://schemas.openxmlformats.org/officeDocument/2006/relationships/hyperlink" Target="https://www.100ppi.com/news/detail-20240923-3689326.html" TargetMode="External" Id="rId48"/><Relationship Type="http://schemas.openxmlformats.org/officeDocument/2006/relationships/hyperlink" Target="https://www.100ppi.com/news/detail-20240924-3692358.html" TargetMode="External" Id="rId49"/><Relationship Type="http://schemas.openxmlformats.org/officeDocument/2006/relationships/hyperlink" Target="https://www.100ppi.com/news/detail-20240925-3695810.html" TargetMode="External" Id="rId50"/><Relationship Type="http://schemas.openxmlformats.org/officeDocument/2006/relationships/hyperlink" Target="https://www.100ppi.com/news/detail-20240926-3698483.html" TargetMode="External" Id="rId51"/><Relationship Type="http://schemas.openxmlformats.org/officeDocument/2006/relationships/hyperlink" Target="https://www.100ppi.com/news/detail-20240927-3702038.html" TargetMode="External" Id="rId52"/><Relationship Type="http://schemas.openxmlformats.org/officeDocument/2006/relationships/hyperlink" Target="https://www.100ppi.com/news/detail-20240929-3706859.html" TargetMode="External" Id="rId53"/><Relationship Type="http://schemas.openxmlformats.org/officeDocument/2006/relationships/hyperlink" Target="https://www.100ppi.com/news/detail-20241008-3721323.html" TargetMode="External" Id="rId54"/><Relationship Type="http://schemas.openxmlformats.org/officeDocument/2006/relationships/hyperlink" Target="https://www.100ppi.com/news/detail-20241009-3724839.html" TargetMode="External" Id="rId55"/><Relationship Type="http://schemas.openxmlformats.org/officeDocument/2006/relationships/hyperlink" Target="https://www.100ppi.com/news/detail-20241010-3728269.html" TargetMode="External" Id="rId56"/><Relationship Type="http://schemas.openxmlformats.org/officeDocument/2006/relationships/hyperlink" Target="https://www.100ppi.com/news/detail-20241011-3731630.html" TargetMode="External" Id="rId57"/><Relationship Type="http://schemas.openxmlformats.org/officeDocument/2006/relationships/hyperlink" Target="https://www.100ppi.com/news/detail-20241012-3734603.html" TargetMode="External" Id="rId58"/><Relationship Type="http://schemas.openxmlformats.org/officeDocument/2006/relationships/hyperlink" Target="https://www.100ppi.com/news/detail-20241015-3743104.html" TargetMode="External" Id="rId59"/><Relationship Type="http://schemas.openxmlformats.org/officeDocument/2006/relationships/hyperlink" Target="https://www.100ppi.com/news/detail-20241016-3746587.html" TargetMode="External" Id="rId60"/><Relationship Type="http://schemas.openxmlformats.org/officeDocument/2006/relationships/hyperlink" Target="https://www.100ppi.com/news/detail-20241017-3750036.html" TargetMode="External" Id="rId61"/><Relationship Type="http://schemas.openxmlformats.org/officeDocument/2006/relationships/hyperlink" Target="https://www.100ppi.com/news/detail-20241018-3753506.html" TargetMode="External" Id="rId62"/><Relationship Type="http://schemas.openxmlformats.org/officeDocument/2006/relationships/hyperlink" Target="https://www.100ppi.com/news/detail-20241021-3760471.html" TargetMode="External" Id="rId63"/><Relationship Type="http://schemas.openxmlformats.org/officeDocument/2006/relationships/hyperlink" Target="https://www.100ppi.com/news/detail-20241022-3764287.html" TargetMode="External" Id="rId64"/><Relationship Type="http://schemas.openxmlformats.org/officeDocument/2006/relationships/hyperlink" Target="https://www.100ppi.com/news/detail-20241024-3771324.html" TargetMode="External" Id="rId65"/><Relationship Type="http://schemas.openxmlformats.org/officeDocument/2006/relationships/hyperlink" Target="https://www.100ppi.com/news/detail-20241025-3774636.html" TargetMode="External" Id="rId66"/><Relationship Type="http://schemas.openxmlformats.org/officeDocument/2006/relationships/hyperlink" Target="https://www.100ppi.com/news/detail-20241028-3779924.html" TargetMode="External" Id="rId67"/><Relationship Type="http://schemas.openxmlformats.org/officeDocument/2006/relationships/hyperlink" Target="https://www.100ppi.com/news/detail-20241029-3783459.html" TargetMode="External" Id="rId68"/><Relationship Type="http://schemas.openxmlformats.org/officeDocument/2006/relationships/hyperlink" Target="https://www.100ppi.com/news/detail-20241030-3787101.html" TargetMode="External" Id="rId69"/><Relationship Type="http://schemas.openxmlformats.org/officeDocument/2006/relationships/hyperlink" Target="https://www.100ppi.com/news/detail-20241031-3790504.html" TargetMode="External" Id="rId70"/><Relationship Type="http://schemas.openxmlformats.org/officeDocument/2006/relationships/hyperlink" Target="https://www.100ppi.com/news/detail-20241101-3794047.html" TargetMode="External" Id="rId71"/><Relationship Type="http://schemas.openxmlformats.org/officeDocument/2006/relationships/hyperlink" Target="https://www.100ppi.com/news/detail-20241104-3801527.html" TargetMode="External" Id="rId72"/><Relationship Type="http://schemas.openxmlformats.org/officeDocument/2006/relationships/hyperlink" Target="https://www.100ppi.com/news/detail-20241105-3804996.html" TargetMode="External" Id="rId73"/><Relationship Type="http://schemas.openxmlformats.org/officeDocument/2006/relationships/hyperlink" Target="https://www.100ppi.com/news/detail-20241106-3808466.html" TargetMode="External" Id="rId74"/><Relationship Type="http://schemas.openxmlformats.org/officeDocument/2006/relationships/hyperlink" Target="https://www.100ppi.com/news/detail-20241107-3811870.html" TargetMode="External" Id="rId75"/><Relationship Type="http://schemas.openxmlformats.org/officeDocument/2006/relationships/hyperlink" Target="https://www.100ppi.com/news/detail-20241108-3815342.html" TargetMode="External" Id="rId76"/><Relationship Type="http://schemas.openxmlformats.org/officeDocument/2006/relationships/hyperlink" Target="https://www.100ppi.com/news/detail-20241111-3821409.html" TargetMode="External" Id="rId77"/><Relationship Type="http://schemas.openxmlformats.org/officeDocument/2006/relationships/hyperlink" Target="https://www.100ppi.com/news/detail-20241112-3824888.html" TargetMode="External" Id="rId78"/><Relationship Type="http://schemas.openxmlformats.org/officeDocument/2006/relationships/hyperlink" Target="https://www.100ppi.com/news/detail-20241113-3828386.html" TargetMode="External" Id="rId79"/><Relationship Type="http://schemas.openxmlformats.org/officeDocument/2006/relationships/hyperlink" Target="https://www.100ppi.com/news/detail-20241114-3831488.html" TargetMode="External" Id="rId80"/><Relationship Type="http://schemas.openxmlformats.org/officeDocument/2006/relationships/hyperlink" Target="https://www.100ppi.com/news/detail-20241115-3834955.html" TargetMode="External" Id="rId81"/><Relationship Type="http://schemas.openxmlformats.org/officeDocument/2006/relationships/hyperlink" Target="https://www.100ppi.com/news/detail-20241118-3842592.html" TargetMode="External" Id="rId82"/><Relationship Type="http://schemas.openxmlformats.org/officeDocument/2006/relationships/hyperlink" Target="https://www.100ppi.com/news/detail-20241119-3846135.html" TargetMode="External" Id="rId83"/><Relationship Type="http://schemas.openxmlformats.org/officeDocument/2006/relationships/hyperlink" Target="https://www.100ppi.com/news/detail-20241120-3849637.html" TargetMode="External" Id="rId84"/><Relationship Type="http://schemas.openxmlformats.org/officeDocument/2006/relationships/hyperlink" Target="https://www.100ppi.com/news/detail-20241121-3852918.html" TargetMode="External" Id="rId85"/><Relationship Type="http://schemas.openxmlformats.org/officeDocument/2006/relationships/hyperlink" Target="https://www.100ppi.com/news/detail-20241122-3856447.html" TargetMode="External" Id="rId86"/><Relationship Type="http://schemas.openxmlformats.org/officeDocument/2006/relationships/hyperlink" Target="https://www.100ppi.com/news/detail-20241125-3861955.html" TargetMode="External" Id="rId87"/><Relationship Type="http://schemas.openxmlformats.org/officeDocument/2006/relationships/hyperlink" Target="https://www.100ppi.com/news/detail-20241126-3865505.html" TargetMode="External" Id="rId88"/><Relationship Type="http://schemas.openxmlformats.org/officeDocument/2006/relationships/hyperlink" Target="https://www.100ppi.com/news/detail-20241127-3868769.html" TargetMode="External" Id="rId89"/><Relationship Type="http://schemas.openxmlformats.org/officeDocument/2006/relationships/hyperlink" Target="https://www.100ppi.com/news/detail-20241128-3871823.html" TargetMode="External" Id="rId90"/><Relationship Type="http://schemas.openxmlformats.org/officeDocument/2006/relationships/hyperlink" Target="https://www.100ppi.com/news/detail-20241129-3875335.html" TargetMode="External" Id="rId91"/><Relationship Type="http://schemas.openxmlformats.org/officeDocument/2006/relationships/hyperlink" Target="https://www.100ppi.com/news/detail-20241202-3881259.html" TargetMode="External" Id="rId92"/><Relationship Type="http://schemas.openxmlformats.org/officeDocument/2006/relationships/hyperlink" Target="https://www.100ppi.com/news/detail-20241203-3884836.html" TargetMode="External" Id="rId93"/><Relationship Type="http://schemas.openxmlformats.org/officeDocument/2006/relationships/hyperlink" Target="https://www.100ppi.com/news/detail-20241204-3888546.html" TargetMode="External" Id="rId94"/><Relationship Type="http://schemas.openxmlformats.org/officeDocument/2006/relationships/hyperlink" Target="https://www.100ppi.com/news/detail-20241205-3892061.html" TargetMode="External" Id="rId95"/><Relationship Type="http://schemas.openxmlformats.org/officeDocument/2006/relationships/hyperlink" Target="https://www.100ppi.com/news/detail-20241206-3896130.html" TargetMode="External" Id="rId96"/><Relationship Type="http://schemas.openxmlformats.org/officeDocument/2006/relationships/hyperlink" Target="https://www.100ppi.com/news/detail-20241210-3902655.html" TargetMode="External" Id="rId97"/><Relationship Type="http://schemas.openxmlformats.org/officeDocument/2006/relationships/hyperlink" Target="https://www.100ppi.com/news/detail-20241211-3909835.html" TargetMode="External" Id="rId98"/><Relationship Type="http://schemas.openxmlformats.org/officeDocument/2006/relationships/hyperlink" Target="https://www.100ppi.com/news/detail-20241212-3913626.html" TargetMode="External" Id="rId99"/><Relationship Type="http://schemas.openxmlformats.org/officeDocument/2006/relationships/hyperlink" Target="https://www.100ppi.com/news/detail-20241213-3916647.html" TargetMode="External" Id="rId100"/><Relationship Type="http://schemas.openxmlformats.org/officeDocument/2006/relationships/hyperlink" Target="https://www.100ppi.com/news/detail-20241216-3923624.html" TargetMode="External" Id="rId101"/><Relationship Type="http://schemas.openxmlformats.org/officeDocument/2006/relationships/hyperlink" Target="https://www.100ppi.com/news/detail-20241217-3927485.html" TargetMode="External" Id="rId102"/><Relationship Type="http://schemas.openxmlformats.org/officeDocument/2006/relationships/hyperlink" Target="https://www.100ppi.com/news/detail-20241218-3931318.html" TargetMode="External" Id="rId103"/><Relationship Type="http://schemas.openxmlformats.org/officeDocument/2006/relationships/hyperlink" Target="https://www.100ppi.com/news/detail-20241219-3934527.html" TargetMode="External" Id="rId104"/><Relationship Type="http://schemas.openxmlformats.org/officeDocument/2006/relationships/hyperlink" Target="https://www.100ppi.com/news/detail-20241220-3938413.html" TargetMode="External" Id="rId105"/><Relationship Type="http://schemas.openxmlformats.org/officeDocument/2006/relationships/hyperlink" Target="https://www.100ppi.com/news/detail-20241223-3945959.html" TargetMode="External" Id="rId106"/><Relationship Type="http://schemas.openxmlformats.org/officeDocument/2006/relationships/hyperlink" Target="https://www.100ppi.com/news/detail-20241224-3949914.html" TargetMode="External" Id="rId107"/><Relationship Type="http://schemas.openxmlformats.org/officeDocument/2006/relationships/hyperlink" Target="https://www.100ppi.com/news/detail-20241225-3953736.html" TargetMode="External" Id="rId108"/><Relationship Type="http://schemas.openxmlformats.org/officeDocument/2006/relationships/hyperlink" Target="https://www.100ppi.com/news/detail-20241226-3957519.html" TargetMode="External" Id="rId109"/><Relationship Type="http://schemas.openxmlformats.org/officeDocument/2006/relationships/hyperlink" Target="https://www.100ppi.com/news/detail-20241227-3961319.html" TargetMode="External" Id="rId110"/><Relationship Type="http://schemas.openxmlformats.org/officeDocument/2006/relationships/hyperlink" Target="https://www.100ppi.com/news/detail-20241231-3973256.html" TargetMode="External" Id="rId111"/><Relationship Type="http://schemas.openxmlformats.org/officeDocument/2006/relationships/hyperlink" Target="https://www.100ppi.com/news/detail-20250102-3978003.html" TargetMode="External" Id="rId112"/><Relationship Type="http://schemas.openxmlformats.org/officeDocument/2006/relationships/hyperlink" Target="https://www.100ppi.com/news/detail-20250103-3981557.html" TargetMode="External" Id="rId113"/><Relationship Type="http://schemas.openxmlformats.org/officeDocument/2006/relationships/hyperlink" Target="https://www.100ppi.com/news/detail-20250106-3988143.html" TargetMode="External" Id="rId114"/><Relationship Type="http://schemas.openxmlformats.org/officeDocument/2006/relationships/hyperlink" Target="https://www.100ppi.com/news/detail-20250107-3992053.html" TargetMode="External" Id="rId115"/><Relationship Type="http://schemas.openxmlformats.org/officeDocument/2006/relationships/hyperlink" Target="https://www.100ppi.com/news/detail-20250108-3995898.html" TargetMode="External" Id="rId116"/><Relationship Type="http://schemas.openxmlformats.org/officeDocument/2006/relationships/hyperlink" Target="https://www.100ppi.com/news/detail-20250109-3999714.html" TargetMode="External" Id="rId117"/><Relationship Type="http://schemas.openxmlformats.org/officeDocument/2006/relationships/hyperlink" Target="https://www.100ppi.com/news/detail-20250110-4002756.html" TargetMode="External" Id="rId118"/><Relationship Type="http://schemas.openxmlformats.org/officeDocument/2006/relationships/hyperlink" Target="https://www.100ppi.com/news/detail-20250113-4008624.html" TargetMode="External" Id="rId119"/><Relationship Type="http://schemas.openxmlformats.org/officeDocument/2006/relationships/hyperlink" Target="https://www.100ppi.com/news/detail-20250114-4011776.html" TargetMode="External" Id="rId120"/><Relationship Type="http://schemas.openxmlformats.org/officeDocument/2006/relationships/hyperlink" Target="https://www.100ppi.com/news/detail-20250115-4014921.html" TargetMode="External" Id="rId121"/><Relationship Type="http://schemas.openxmlformats.org/officeDocument/2006/relationships/hyperlink" Target="https://www.100ppi.com/news/detail-20250116-4017694.html" TargetMode="External" Id="rId122"/><Relationship Type="http://schemas.openxmlformats.org/officeDocument/2006/relationships/hyperlink" Target="https://www.100ppi.com/news/detail-20250117-4020249.html" TargetMode="External" Id="rId123"/><Relationship Type="http://schemas.openxmlformats.org/officeDocument/2006/relationships/hyperlink" Target="https://www.100ppi.com/news/detail-20250120-4024539.html" TargetMode="External" Id="rId124"/><Relationship Type="http://schemas.openxmlformats.org/officeDocument/2006/relationships/hyperlink" Target="https://www.100ppi.com/news/detail-20250121-4026609.html" TargetMode="External" Id="rId125"/><Relationship Type="http://schemas.openxmlformats.org/officeDocument/2006/relationships/hyperlink" Target="https://www.100ppi.com/news/detail-20250122-4029002.html" TargetMode="External" Id="rId126"/><Relationship Type="http://schemas.openxmlformats.org/officeDocument/2006/relationships/hyperlink" Target="https://www.100ppi.com/news/detail-20250123-4030318.html" TargetMode="External" Id="rId127"/><Relationship Type="http://schemas.openxmlformats.org/officeDocument/2006/relationships/hyperlink" Target="https://www.100ppi.com/news/detail-20250124-4031416.html" TargetMode="External" Id="rId128"/><Relationship Type="http://schemas.openxmlformats.org/officeDocument/2006/relationships/hyperlink" Target="https://www.100ppi.com/news/detail-20250125-4031864.html" TargetMode="External" Id="rId129"/><Relationship Type="http://schemas.openxmlformats.org/officeDocument/2006/relationships/hyperlink" Target="https://www.100ppi.com/news/detail-20250206-4048825.html" TargetMode="External" Id="rId130"/><Relationship Type="http://schemas.openxmlformats.org/officeDocument/2006/relationships/hyperlink" Target="https://www.100ppi.com/news/detail-20250207-4052775.html" TargetMode="External" Id="rId131"/><Relationship Type="http://schemas.openxmlformats.org/officeDocument/2006/relationships/hyperlink" Target="https://www.100ppi.com/news/detail-20250208-4055576.html" TargetMode="External" Id="rId132"/><Relationship Type="http://schemas.openxmlformats.org/officeDocument/2006/relationships/hyperlink" Target="https://www.100ppi.com/news/detail-20250210-4060829.html" TargetMode="External" Id="rId133"/><Relationship Type="http://schemas.openxmlformats.org/officeDocument/2006/relationships/hyperlink" Target="https://www.100ppi.com/news/detail-20250211-4064536.html" TargetMode="External" Id="rId134"/><Relationship Type="http://schemas.openxmlformats.org/officeDocument/2006/relationships/hyperlink" Target="https://www.100ppi.com/news/detail-20250212-4068649.html" TargetMode="External" Id="rId135"/><Relationship Type="http://schemas.openxmlformats.org/officeDocument/2006/relationships/hyperlink" Target="https://www.100ppi.com/news/detail-20250213-4072216.html" TargetMode="External" Id="rId136"/><Relationship Type="http://schemas.openxmlformats.org/officeDocument/2006/relationships/hyperlink" Target="https://www.100ppi.com/news/detail-20250214-4075577.html" TargetMode="External" Id="rId137"/><Relationship Type="http://schemas.openxmlformats.org/officeDocument/2006/relationships/hyperlink" Target="https://www.100ppi.com/news/detail-20250217-4082512.html" TargetMode="External" Id="rId138"/><Relationship Type="http://schemas.openxmlformats.org/officeDocument/2006/relationships/hyperlink" Target="https://www.100ppi.com/news/detail-20250219-4090189.html" TargetMode="External" Id="rId139"/><Relationship Type="http://schemas.openxmlformats.org/officeDocument/2006/relationships/hyperlink" Target="https://www.100ppi.com/news/detail-20250220-4093843.html" TargetMode="External" Id="rId140"/><Relationship Type="http://schemas.openxmlformats.org/officeDocument/2006/relationships/hyperlink" Target="https://www.100ppi.com/news/detail-20250221-4097404.html" TargetMode="External" Id="rId141"/><Relationship Type="http://schemas.openxmlformats.org/officeDocument/2006/relationships/hyperlink" Target="https://www.100ppi.com/news/detail-20250224-4104503.html" TargetMode="External" Id="rId142"/><Relationship Type="http://schemas.openxmlformats.org/officeDocument/2006/relationships/hyperlink" Target="https://www.100ppi.com/news/detail-20250225-4108280.html" TargetMode="External" Id="rId143"/><Relationship Type="http://schemas.openxmlformats.org/officeDocument/2006/relationships/hyperlink" Target="https://www.100ppi.com/news/detail-20250226-4111952.html" TargetMode="External" Id="rId144"/><Relationship Type="http://schemas.openxmlformats.org/officeDocument/2006/relationships/hyperlink" Target="https://www.100ppi.com/news/detail-20250228-4118979.html" TargetMode="External" Id="rId145"/><Relationship Type="http://schemas.openxmlformats.org/officeDocument/2006/relationships/hyperlink" Target="https://www.100ppi.com/news/detail-20250303-4125114.html" TargetMode="External" Id="rId146"/><Relationship Type="http://schemas.openxmlformats.org/officeDocument/2006/relationships/hyperlink" Target="https://www.100ppi.com/news/detail-20250304-4129340.html" TargetMode="External" Id="rId147"/><Relationship Type="http://schemas.openxmlformats.org/officeDocument/2006/relationships/hyperlink" Target="https://www.100ppi.com/news/detail-20250305-4133312.html" TargetMode="External" Id="rId148"/><Relationship Type="http://schemas.openxmlformats.org/officeDocument/2006/relationships/hyperlink" Target="https://www.100ppi.com/news/detail-20250306-4136498.html" TargetMode="External" Id="rId149"/><Relationship Type="http://schemas.openxmlformats.org/officeDocument/2006/relationships/hyperlink" Target="https://www.100ppi.com/news/detail-20250307-4140076.html" TargetMode="External" Id="rId150"/><Relationship Type="http://schemas.openxmlformats.org/officeDocument/2006/relationships/hyperlink" Target="https://www.100ppi.com/news/detail-20250310-4147088.html" TargetMode="External" Id="rId151"/><Relationship Type="http://schemas.openxmlformats.org/officeDocument/2006/relationships/hyperlink" Target="https://www.100ppi.com/news/detail-20250311-4151051.html" TargetMode="External" Id="rId152"/><Relationship Type="http://schemas.openxmlformats.org/officeDocument/2006/relationships/hyperlink" Target="https://www.100ppi.com/news/detail-20250312-4154608.html" TargetMode="External" Id="rId153"/><Relationship Type="http://schemas.openxmlformats.org/officeDocument/2006/relationships/hyperlink" Target="https://www.100ppi.com/news/detail-20250313-4158490.html" TargetMode="External" Id="rId154"/><Relationship Type="http://schemas.openxmlformats.org/officeDocument/2006/relationships/hyperlink" Target="https://www.100ppi.com/news/detail-20250314-4162126.html" TargetMode="External" Id="rId155"/><Relationship Type="http://schemas.openxmlformats.org/officeDocument/2006/relationships/hyperlink" Target="https://www.100ppi.com/news/detail-20250318-4172197.html" TargetMode="External" Id="rId156"/><Relationship Type="http://schemas.openxmlformats.org/officeDocument/2006/relationships/hyperlink" Target="https://www.100ppi.com/news/detail-20250319-4176191.html" TargetMode="External" Id="rId157"/><Relationship Type="http://schemas.openxmlformats.org/officeDocument/2006/relationships/hyperlink" Target="https://www.100ppi.com/news/detail-20250320-4179887.html" TargetMode="External" Id="rId158"/><Relationship Type="http://schemas.openxmlformats.org/officeDocument/2006/relationships/hyperlink" Target="https://www.100ppi.com/news/detail-20250321-4183937.html" TargetMode="External" Id="rId159"/><Relationship Type="http://schemas.openxmlformats.org/officeDocument/2006/relationships/hyperlink" Target="https://www.100ppi.com/news/detail-20250325-4194415.html" TargetMode="External" Id="rId160"/><Relationship Type="http://schemas.openxmlformats.org/officeDocument/2006/relationships/hyperlink" Target="https://www.100ppi.com/news/detail-20250326-4197500.html" TargetMode="External" Id="rId161"/><Relationship Type="http://schemas.openxmlformats.org/officeDocument/2006/relationships/hyperlink" Target="https://www.100ppi.com/news/detail-20250327-4201260.html" TargetMode="External" Id="rId162"/><Relationship Type="http://schemas.openxmlformats.org/officeDocument/2006/relationships/hyperlink" Target="https://www.100ppi.com/news/detail-20250328-4204963.html" TargetMode="External" Id="rId163"/><Relationship Type="http://schemas.openxmlformats.org/officeDocument/2006/relationships/hyperlink" Target="https://www.100ppi.com/news/detail-20250402-4219430.html" TargetMode="External" Id="rId164"/><Relationship Type="http://schemas.openxmlformats.org/officeDocument/2006/relationships/hyperlink" Target="https://www.100ppi.com/news/detail-20250403-4222812.html" TargetMode="External" Id="rId165"/><Relationship Type="http://schemas.openxmlformats.org/officeDocument/2006/relationships/hyperlink" Target="https://www.100ppi.com/news/detail-20250408-4233268.html" TargetMode="External" Id="rId166"/><Relationship Type="http://schemas.openxmlformats.org/officeDocument/2006/relationships/hyperlink" Target="https://www.100ppi.com/news/detail-20250411-4245170.html" TargetMode="External" Id="rId167"/><Relationship Type="http://schemas.openxmlformats.org/officeDocument/2006/relationships/hyperlink" Target="https://www.100ppi.com/news/detail-20250415-4254991.html" TargetMode="External" Id="rId168"/><Relationship Type="http://schemas.openxmlformats.org/officeDocument/2006/relationships/hyperlink" Target="https://www.100ppi.com/news/detail-20250416-4257857.html" TargetMode="External" Id="rId169"/><Relationship Type="http://schemas.openxmlformats.org/officeDocument/2006/relationships/hyperlink" Target="https://www.100ppi.com/news/detail-20250417-4262317.html" TargetMode="External" Id="rId170"/><Relationship Type="http://schemas.openxmlformats.org/officeDocument/2006/relationships/hyperlink" Target="https://www.100ppi.com/news/detail-20250418-4266446.html" TargetMode="External" Id="rId171"/><Relationship Type="http://schemas.openxmlformats.org/officeDocument/2006/relationships/hyperlink" Target="https://www.100ppi.com/news/detail-20250422-4278901.html" TargetMode="External" Id="rId172"/><Relationship Type="http://schemas.openxmlformats.org/officeDocument/2006/relationships/hyperlink" Target="https://www.100ppi.com/news/detail-20250424-4286995.html" TargetMode="External" Id="rId173"/><Relationship Type="http://schemas.openxmlformats.org/officeDocument/2006/relationships/hyperlink" Target="https://www.100ppi.com/news/detail-20250425-4291441.html" TargetMode="External" Id="rId174"/><Relationship Type="http://schemas.openxmlformats.org/officeDocument/2006/relationships/hyperlink" Target="https://www.100ppi.com/news/detail-20250427-4296740.html" TargetMode="External" Id="rId175"/><Relationship Type="http://schemas.openxmlformats.org/officeDocument/2006/relationships/hyperlink" Target="https://www.100ppi.com/news/detail-20250428-4300919.html" TargetMode="External" Id="rId176"/><Relationship Type="http://schemas.openxmlformats.org/officeDocument/2006/relationships/hyperlink" Target="https://www.100ppi.com/news/detail-20250429-4304769.html" TargetMode="External" Id="rId177"/><Relationship Type="http://schemas.openxmlformats.org/officeDocument/2006/relationships/hyperlink" Target="https://www.100ppi.com/news/detail-20250430-4308453.html" TargetMode="External" Id="rId178"/><Relationship Type="http://schemas.openxmlformats.org/officeDocument/2006/relationships/hyperlink" Target="https://www.100ppi.com/news/detail-20250507-4324786.html" TargetMode="External" Id="rId179"/><Relationship Type="http://schemas.openxmlformats.org/officeDocument/2006/relationships/hyperlink" Target="https://www.100ppi.com/news/detail-20250509-4332616.html" TargetMode="External" Id="rId180"/><Relationship Type="http://schemas.openxmlformats.org/officeDocument/2006/relationships/hyperlink" Target="https://www.100ppi.com/news/detail-20250512-4339520.html" TargetMode="External" Id="rId181"/><Relationship Type="http://schemas.openxmlformats.org/officeDocument/2006/relationships/hyperlink" Target="https://www.100ppi.com/news/detail-20250513-4343805.html" TargetMode="External" Id="rId182"/><Relationship Type="http://schemas.openxmlformats.org/officeDocument/2006/relationships/hyperlink" Target="https://www.100ppi.com/news/detail-20250514-4348671.html" TargetMode="External" Id="rId183"/><Relationship Type="http://schemas.openxmlformats.org/officeDocument/2006/relationships/hyperlink" Target="https://www.100ppi.com/news/detail-20250515-4353005.html" TargetMode="External" Id="rId184"/><Relationship Type="http://schemas.openxmlformats.org/officeDocument/2006/relationships/hyperlink" Target="https://www.100ppi.com/news/detail-20250516-4356944.html" TargetMode="External" Id="rId185"/><Relationship Type="http://schemas.openxmlformats.org/officeDocument/2006/relationships/hyperlink" Target="https://www.100ppi.com/news/detail-20250519-4363355.html" TargetMode="External" Id="rId186"/><Relationship Type="http://schemas.openxmlformats.org/officeDocument/2006/relationships/hyperlink" Target="https://www.100ppi.com/news/detail-20250521-4371633.html" TargetMode="External" Id="rId187"/><Relationship Type="http://schemas.openxmlformats.org/officeDocument/2006/relationships/hyperlink" Target="https://www.100ppi.com/news/detail-20250526-4385506.html" TargetMode="External" Id="rId188"/><Relationship Type="http://schemas.openxmlformats.org/officeDocument/2006/relationships/hyperlink" Target="https://www.100ppi.com/news/detail-20250528-4393653.html" TargetMode="External" Id="rId189"/><Relationship Type="http://schemas.openxmlformats.org/officeDocument/2006/relationships/hyperlink" Target="https://www.100ppi.com/news/detail-20250530-4401745.html" TargetMode="External" Id="rId190"/><Relationship Type="http://schemas.openxmlformats.org/officeDocument/2006/relationships/hyperlink" Target="https://www.100ppi.com/news/detail-20250604-4415073.html" TargetMode="External" Id="rId191"/><Relationship Type="http://schemas.openxmlformats.org/officeDocument/2006/relationships/hyperlink" Target="https://www.100ppi.com/news/detail-20250605-4419109.html" TargetMode="External" Id="rId192"/><Relationship Type="http://schemas.openxmlformats.org/officeDocument/2006/relationships/hyperlink" Target="https://www.100ppi.com/news/detail-20250606-4423567.html" TargetMode="External" Id="rId193"/><Relationship Type="http://schemas.openxmlformats.org/officeDocument/2006/relationships/hyperlink" Target="https://www.100ppi.com/news/detail-20250610-4434931.html" TargetMode="External" Id="rId194"/><Relationship Type="http://schemas.openxmlformats.org/officeDocument/2006/relationships/hyperlink" Target="https://www.100ppi.com/news/detail-20250611-4439365.html" TargetMode="External" Id="rId195"/><Relationship Type="http://schemas.openxmlformats.org/officeDocument/2006/relationships/hyperlink" Target="https://www.100ppi.com/news/detail-20250612-4442919.html" TargetMode="External" Id="rId196"/><Relationship Type="http://schemas.openxmlformats.org/officeDocument/2006/relationships/hyperlink" Target="https://www.100ppi.com/news/detail-20250613-4447246.html" TargetMode="External" Id="rId197"/><Relationship Type="http://schemas.openxmlformats.org/officeDocument/2006/relationships/hyperlink" Target="https://www.100ppi.com/news/detail-20250616-4455864.html" TargetMode="External" Id="rId198"/><Relationship Type="http://schemas.openxmlformats.org/officeDocument/2006/relationships/hyperlink" Target="https://www.100ppi.com/news/detail-20250617-4459669.html" TargetMode="External" Id="rId199"/><Relationship Type="http://schemas.openxmlformats.org/officeDocument/2006/relationships/hyperlink" Target="https://www.100ppi.com/news/detail-20250618-4463989.html" TargetMode="External" Id="rId200"/><Relationship Type="http://schemas.openxmlformats.org/officeDocument/2006/relationships/hyperlink" Target="https://www.100ppi.com/news/detail-20250619-4468312.html" TargetMode="External" Id="rId201"/><Relationship Type="http://schemas.openxmlformats.org/officeDocument/2006/relationships/hyperlink" Target="https://www.100ppi.com/news/detail-20250620-4472386.html" TargetMode="External" Id="rId202"/><Relationship Type="http://schemas.openxmlformats.org/officeDocument/2006/relationships/hyperlink" Target="https://www.100ppi.com/news/detail-20250624-4484413.html" TargetMode="External" Id="rId203"/><Relationship Type="http://schemas.openxmlformats.org/officeDocument/2006/relationships/hyperlink" Target="https://www.100ppi.com/news/detail-20250625-4488817.html" TargetMode="External" Id="rId204"/><Relationship Type="http://schemas.openxmlformats.org/officeDocument/2006/relationships/hyperlink" Target="https://www.100ppi.com/news/detail-20250626-4493300.html" TargetMode="External" Id="rId205"/><Relationship Type="http://schemas.openxmlformats.org/officeDocument/2006/relationships/hyperlink" Target="https://www.100ppi.com/news/detail-20250627-4497300.html" TargetMode="External" Id="rId206"/><Relationship Type="http://schemas.openxmlformats.org/officeDocument/2006/relationships/hyperlink" Target="https://www.100ppi.com/news/detail-20250701-4508483.html" TargetMode="External" Id="rId207"/><Relationship Type="http://schemas.openxmlformats.org/officeDocument/2006/relationships/hyperlink" Target="https://www.100ppi.com/news/detail-20250702-4512903.html" TargetMode="External" Id="rId208"/><Relationship Type="http://schemas.openxmlformats.org/officeDocument/2006/relationships/hyperlink" Target="https://www.100ppi.com/news/detail-20250703-4517509.html" TargetMode="External" Id="rId209"/><Relationship Type="http://schemas.openxmlformats.org/officeDocument/2006/relationships/hyperlink" Target="https://www.100ppi.com/news/detail-20250704-4521963.html" TargetMode="External" Id="rId210"/><Relationship Type="http://schemas.openxmlformats.org/officeDocument/2006/relationships/hyperlink" Target="https://www.100ppi.com/news/detail-20250707-4528988.html" TargetMode="External" Id="rId211"/><Relationship Type="http://schemas.openxmlformats.org/officeDocument/2006/relationships/hyperlink" Target="https://www.100ppi.com/news/detail-20250708-4533276.html" TargetMode="External" Id="rId212"/><Relationship Type="http://schemas.openxmlformats.org/officeDocument/2006/relationships/hyperlink" Target="https://www.100ppi.com/news/detail-20250709-4537626.html" TargetMode="External" Id="rId213"/><Relationship Type="http://schemas.openxmlformats.org/officeDocument/2006/relationships/hyperlink" Target="https://www.100ppi.com/news/detail-20250710-4541726.html" TargetMode="External" Id="rId214"/><Relationship Type="http://schemas.openxmlformats.org/officeDocument/2006/relationships/hyperlink" Target="https://www.100ppi.com/news/detail-20250715-4558647.html" TargetMode="External" Id="rId215"/><Relationship Type="http://schemas.openxmlformats.org/officeDocument/2006/relationships/hyperlink" Target="https://www.100ppi.com/news/detail-20250716-4563014.html" TargetMode="External" Id="rId216"/><Relationship Type="http://schemas.openxmlformats.org/officeDocument/2006/relationships/hyperlink" Target="https://www.100ppi.com/news/detail-20250718-4568074.html" TargetMode="External" Id="rId217"/><Relationship Type="http://schemas.openxmlformats.org/officeDocument/2006/relationships/hyperlink" Target="https://www.100ppi.com/news/detail-20250722-4583745.html" TargetMode="External" Id="rId218"/><Relationship Type="http://schemas.openxmlformats.org/officeDocument/2006/relationships/hyperlink" Target="https://www.100ppi.com/news/detail-20250723-4588168.html" TargetMode="External" Id="rId219"/><Relationship Type="http://schemas.openxmlformats.org/officeDocument/2006/relationships/hyperlink" Target="https://www.100ppi.com/news/detail-20250729-4605045.html" TargetMode="External" Id="rId220"/><Relationship Type="http://schemas.openxmlformats.org/officeDocument/2006/relationships/hyperlink" Target="https://www.100ppi.com/news/detail-20250730-4613388.html" TargetMode="External" Id="rId221"/><Relationship Type="http://schemas.openxmlformats.org/officeDocument/2006/relationships/hyperlink" Target="https://www.100ppi.com/news/detail-20250731-4617684.html" TargetMode="External" Id="rId222"/><Relationship Type="http://schemas.openxmlformats.org/officeDocument/2006/relationships/hyperlink" Target="https://www.100ppi.com/news/detail-20250801-4621787.html" TargetMode="External" Id="rId223"/><Relationship Type="http://schemas.openxmlformats.org/officeDocument/2006/relationships/hyperlink" Target="https://www.100ppi.com/news/detail-20250805-4632236.html" TargetMode="External" Id="rId224"/><Relationship Type="http://schemas.openxmlformats.org/officeDocument/2006/relationships/hyperlink" Target="https://www.100ppi.com/news/detail-20250807-4640339.html" TargetMode="External" Id="rId225"/><Relationship Type="http://schemas.openxmlformats.org/officeDocument/2006/relationships/hyperlink" Target="https://www.100ppi.com/news/detail-20250808-4644396.html" TargetMode="External" Id="rId226"/><Relationship Type="http://schemas.openxmlformats.org/officeDocument/2006/relationships/hyperlink" Target="https://www.100ppi.com/news/detail-20250811-4651490.html" TargetMode="External" Id="rId227"/><Relationship Type="http://schemas.openxmlformats.org/officeDocument/2006/relationships/hyperlink" Target="https://www.100ppi.com/news/detail-20250812-4655328.html" TargetMode="External" Id="rId228"/><Relationship Type="http://schemas.openxmlformats.org/officeDocument/2006/relationships/hyperlink" Target="https://www.100ppi.com/news/detail-20250813-4659097.html" TargetMode="External" Id="rId229"/><Relationship Type="http://schemas.openxmlformats.org/officeDocument/2006/relationships/hyperlink" Target="https://www.100ppi.com/news/detail-20250814-4663615.html" TargetMode="External" Id="rId230"/><Relationship Type="http://schemas.openxmlformats.org/officeDocument/2006/relationships/hyperlink" Target="https://www.100ppi.com/news/detail-20250815-4667202.html" TargetMode="External" Id="rId231"/><Relationship Type="http://schemas.openxmlformats.org/officeDocument/2006/relationships/hyperlink" Target="https://www.100ppi.com/news/detail-20250819-4678715.html" TargetMode="External" Id="rId232"/><Relationship Type="http://schemas.openxmlformats.org/officeDocument/2006/relationships/hyperlink" Target="https://www.100ppi.com/news/detail-20250820-4682900.html" TargetMode="External" Id="rId233"/><Relationship Type="http://schemas.openxmlformats.org/officeDocument/2006/relationships/hyperlink" Target="https://www.100ppi.com/news/detail-20250821-4687118.html" TargetMode="External" Id="rId234"/><Relationship Type="http://schemas.openxmlformats.org/officeDocument/2006/relationships/hyperlink" Target="https://www.100ppi.com/news/detail-20250822-4691104.html" TargetMode="External" Id="rId235"/><Relationship Type="http://schemas.openxmlformats.org/officeDocument/2006/relationships/hyperlink" Target="https://www.100ppi.com/news/detail-20250826-4698643.html" TargetMode="External" Id="rId236"/><Relationship Type="http://schemas.openxmlformats.org/officeDocument/2006/relationships/hyperlink" Target="https://www.100ppi.com/news/detail-20250827-4702847.html" TargetMode="External" Id="rId237"/><Relationship Type="http://schemas.openxmlformats.org/officeDocument/2006/relationships/hyperlink" Target="https://www.100ppi.com/news/detail-20250828-4710149.html" TargetMode="External" Id="rId238"/><Relationship Type="http://schemas.openxmlformats.org/officeDocument/2006/relationships/hyperlink" Target="https://www.100ppi.com/news/detail-20250829-4714281.html" TargetMode="External" Id="rId239"/><Relationship Type="http://schemas.openxmlformats.org/officeDocument/2006/relationships/hyperlink" Target="https://www.100ppi.com/news/detail-20250901-4722782.html" TargetMode="External" Id="rId240"/><Relationship Type="http://schemas.openxmlformats.org/officeDocument/2006/relationships/hyperlink" Target="https://www.100ppi.com/news/detail-20250902-4727076.html" TargetMode="External" Id="rId241"/><Relationship Type="http://schemas.openxmlformats.org/officeDocument/2006/relationships/hyperlink" Target="https://www.100ppi.com/news/detail-20250903-4731166.html" TargetMode="External" Id="rId242"/><Relationship Type="http://schemas.openxmlformats.org/officeDocument/2006/relationships/hyperlink" Target="https://www.100ppi.com/news/detail-20250904-4734979.html" TargetMode="External" Id="rId243"/><Relationship Type="http://schemas.openxmlformats.org/officeDocument/2006/relationships/hyperlink" Target="https://www.100ppi.com/news/detail-20250905-4739043.html" TargetMode="External" Id="rId244"/><Relationship Type="http://schemas.openxmlformats.org/officeDocument/2006/relationships/hyperlink" Target="https://www.100ppi.com/news/detail-20250908-4746182.html" TargetMode="External" Id="rId245"/><Relationship Type="http://schemas.openxmlformats.org/officeDocument/2006/relationships/hyperlink" Target="https://www.100ppi.com/news/detail-20250909-4750834.html" TargetMode="External" Id="rId246"/><Relationship Type="http://schemas.openxmlformats.org/officeDocument/2006/relationships/hyperlink" Target="https://www.100ppi.com/news/detail-20250910-4755014.html" TargetMode="External" Id="rId247"/><Relationship Type="http://schemas.openxmlformats.org/officeDocument/2006/relationships/hyperlink" Target="https://www.100ppi.com/news/detail-20250911-4759128.html" TargetMode="External" Id="rId248"/><Relationship Type="http://schemas.openxmlformats.org/officeDocument/2006/relationships/hyperlink" Target="https://www.100ppi.com/news/detail-20250912-4763105.html" TargetMode="External" Id="rId249"/><Relationship Type="http://schemas.openxmlformats.org/officeDocument/2006/relationships/hyperlink" Target="https://www.100ppi.com/news/detail-20250916-4773782.html" TargetMode="External" Id="rId250"/><Relationship Type="http://schemas.openxmlformats.org/officeDocument/2006/relationships/hyperlink" Target="https://www.100ppi.com/news/detail-20250917-4777853.html" TargetMode="External" Id="rId251"/><Relationship Type="http://schemas.openxmlformats.org/officeDocument/2006/relationships/hyperlink" Target="https://www.100ppi.com/news/detail-20250918-4782183.html" TargetMode="External" Id="rId252"/><Relationship Type="http://schemas.openxmlformats.org/officeDocument/2006/relationships/hyperlink" Target="https://www.100ppi.com/news/detail-20250919-4786240.html" TargetMode="External" Id="rId253"/><Relationship Type="http://schemas.openxmlformats.org/officeDocument/2006/relationships/hyperlink" Target="https://www.100ppi.com/news/detail-20250922-4793182.html" TargetMode="External" Id="rId254"/><Relationship Type="http://schemas.openxmlformats.org/officeDocument/2006/relationships/hyperlink" Target="https://www.100ppi.com/news/detail-20250924-4801687.html" TargetMode="External" Id="rId255"/><Relationship Type="http://schemas.openxmlformats.org/officeDocument/2006/relationships/hyperlink" Target="https://www.100ppi.com/news/detail-20250925-4806009.html" TargetMode="External" Id="rId256"/><Relationship Type="http://schemas.openxmlformats.org/officeDocument/2006/relationships/hyperlink" Target="https://www.100ppi.com/news/detail-20250926-4810176.html" TargetMode="External" Id="rId257"/><Relationship Type="http://schemas.openxmlformats.org/officeDocument/2006/relationships/hyperlink" Target="https://www.100ppi.com/news/detail-20250929-4818457.html" TargetMode="External" Id="rId258"/><Relationship Type="http://schemas.openxmlformats.org/officeDocument/2006/relationships/hyperlink" Target="https://www.100ppi.com/news/detail-20250930-4822579.html" TargetMode="External" Id="rId259"/><Relationship Type="http://schemas.openxmlformats.org/officeDocument/2006/relationships/hyperlink" Target="https://www.100ppi.com/news/detail-20251009-4839805.html" TargetMode="External" Id="rId260"/><Relationship Type="http://schemas.openxmlformats.org/officeDocument/2006/relationships/hyperlink" Target="https://www.100ppi.com/news/detail-20251011-4848443.html" TargetMode="External" Id="rId261"/><Relationship Type="http://schemas.openxmlformats.org/officeDocument/2006/relationships/hyperlink" Target="https://www.100ppi.com/news/detail-20251027-4902373.html" TargetMode="External" Id="rId262"/><Relationship Type="http://schemas.openxmlformats.org/officeDocument/2006/relationships/hyperlink" Target="https://www.100ppi.com/news/detail-20251028-4906732.html" TargetMode="External" Id="rId263"/><Relationship Type="http://schemas.openxmlformats.org/officeDocument/2006/relationships/hyperlink" Target="https://www.100ppi.com/news/detail-20251029-4911064.html" TargetMode="External" Id="rId264"/><Relationship Type="http://schemas.openxmlformats.org/officeDocument/2006/relationships/hyperlink" Target="https://www.100ppi.com/news/detail-20251030-4915091.html" TargetMode="External" Id="rId265"/><Relationship Type="http://schemas.openxmlformats.org/officeDocument/2006/relationships/hyperlink" Target="https://www.100ppi.com/news/detail-20251031-4919672.html" TargetMode="External" Id="rId266"/><Relationship Type="http://schemas.openxmlformats.org/officeDocument/2006/relationships/hyperlink" Target="https://www.100ppi.com/news/detail-20251103-4927225.html" TargetMode="External" Id="rId267"/><Relationship Type="http://schemas.openxmlformats.org/officeDocument/2006/relationships/hyperlink" Target="https://www.100ppi.com/news/detail-20251104-4931442.html" TargetMode="External" Id="rId268"/><Relationship Type="http://schemas.openxmlformats.org/officeDocument/2006/relationships/hyperlink" Target="https://www.100ppi.com/news/detail-20251105-4935738.html" TargetMode="External" Id="rId269"/><Relationship Type="http://schemas.openxmlformats.org/officeDocument/2006/relationships/hyperlink" Target="https://www.100ppi.com/news/detail-20251106-4940025.html" TargetMode="External" Id="rId270"/><Relationship Type="http://schemas.openxmlformats.org/officeDocument/2006/relationships/hyperlink" Target="https://www.100ppi.com/news/detail-20251107-4944425.html" TargetMode="External" Id="rId271"/><Relationship Type="http://schemas.openxmlformats.org/officeDocument/2006/relationships/hyperlink" Target="https://www.100ppi.com/news/detail-20251110-4951097.html" TargetMode="External" Id="rId272"/><Relationship Type="http://schemas.openxmlformats.org/officeDocument/2006/relationships/hyperlink" Target="https://www.100ppi.com/news/detail-20251111-4955210.html" TargetMode="External" Id="rId273"/><Relationship Type="http://schemas.openxmlformats.org/officeDocument/2006/relationships/hyperlink" Target="https://www.100ppi.com/news/detail-20251112-4959222.html" TargetMode="External" Id="rId274"/><Relationship Type="http://schemas.openxmlformats.org/officeDocument/2006/relationships/hyperlink" Target="https://www.100ppi.com/news/detail-20251113-4963257.html" TargetMode="External" Id="rId275"/><Relationship Type="http://schemas.openxmlformats.org/officeDocument/2006/relationships/hyperlink" Target="https://www.100ppi.com/news/detail-20251114-4967618.html" TargetMode="External" Id="rId276"/><Relationship Type="http://schemas.openxmlformats.org/officeDocument/2006/relationships/hyperlink" Target="https://www.100ppi.com/news/detail-20251117-4975218.html" TargetMode="External" Id="rId277"/><Relationship Type="http://schemas.openxmlformats.org/officeDocument/2006/relationships/hyperlink" Target="https://www.100ppi.com/news/detail-20251119-4983920.html" TargetMode="External" Id="rId278"/><Relationship Type="http://schemas.openxmlformats.org/officeDocument/2006/relationships/hyperlink" Target="https://www.100ppi.com/news/detail-20251121-4992397.html" TargetMode="External" Id="rId279"/><Relationship Type="http://schemas.openxmlformats.org/officeDocument/2006/relationships/hyperlink" Target="https://www.100ppi.com/news/detail-20251124-4999249.html" TargetMode="External" Id="rId280"/><Relationship Type="http://schemas.openxmlformats.org/officeDocument/2006/relationships/hyperlink" Target="https://www.100ppi.com/news/detail-20251125-5003134.html" TargetMode="External" Id="rId281"/><Relationship Type="http://schemas.openxmlformats.org/officeDocument/2006/relationships/hyperlink" Target="https://www.100ppi.com/news/detail-20251126-5007197.html" TargetMode="External" Id="rId282"/><Relationship Type="http://schemas.openxmlformats.org/officeDocument/2006/relationships/hyperlink" Target="https://www.100ppi.com/news/detail-20251127-5011796.html" TargetMode="External" Id="rId283"/><Relationship Type="http://schemas.openxmlformats.org/officeDocument/2006/relationships/hyperlink" Target="https://www.100ppi.com/news/detail-20251202-5027965.html" TargetMode="External" Id="rId284"/><Relationship Type="http://schemas.openxmlformats.org/officeDocument/2006/relationships/hyperlink" Target="https://www.100ppi.com/news/detail-20251203-5032395.html" TargetMode="External" Id="rId285"/><Relationship Type="http://schemas.openxmlformats.org/officeDocument/2006/relationships/hyperlink" Target="https://www.100ppi.com/news/detail-20251204-5036919.html" TargetMode="External" Id="rId286"/><Relationship Type="http://schemas.openxmlformats.org/officeDocument/2006/relationships/hyperlink" Target="https://www.100ppi.com/news/detail-20251205-5041180.html" TargetMode="External" Id="rId287"/><Relationship Type="http://schemas.openxmlformats.org/officeDocument/2006/relationships/hyperlink" Target="https://www.100ppi.com/news/detail-20251209-5052468.html" TargetMode="External" Id="rId288"/><Relationship Type="http://schemas.openxmlformats.org/officeDocument/2006/relationships/hyperlink" Target="https://www.100ppi.com/news/detail-20251210-5057055.html" TargetMode="External" Id="rId289"/><Relationship Type="http://schemas.openxmlformats.org/officeDocument/2006/relationships/hyperlink" Target="https://www.100ppi.com/news/detail-20251211-5061604.html" TargetMode="External" Id="rId290"/><Relationship Type="http://schemas.openxmlformats.org/officeDocument/2006/relationships/hyperlink" Target="https://www.100ppi.com/news/detail-20251212-5066208.html" TargetMode="External" Id="rId291"/><Relationship Type="http://schemas.openxmlformats.org/officeDocument/2006/relationships/hyperlink" Target="https://www.100ppi.com/news/detail-20251215-5073246.html" TargetMode="External" Id="rId292"/><Relationship Type="http://schemas.openxmlformats.org/officeDocument/2006/relationships/hyperlink" Target="https://www.100ppi.com/news/detail-20251216-5077442.html" TargetMode="External" Id="rId293"/><Relationship Type="http://schemas.openxmlformats.org/officeDocument/2006/relationships/hyperlink" Target="https://www.100ppi.com/news/detail-20251217-5082053.html" TargetMode="External" Id="rId294"/><Relationship Type="http://schemas.openxmlformats.org/officeDocument/2006/relationships/hyperlink" Target="https://www.100ppi.com/news/detail-20251218-5086369.html" TargetMode="External" Id="rId295"/><Relationship Type="http://schemas.openxmlformats.org/officeDocument/2006/relationships/hyperlink" Target="https://www.100ppi.com/news/detail-20251219-5090377.html" TargetMode="External" Id="rId296"/><Relationship Type="http://schemas.openxmlformats.org/officeDocument/2006/relationships/hyperlink" Target="https://www.100ppi.com/news/detail-20251223-5102593.html" TargetMode="External" Id="rId297"/><Relationship Type="http://schemas.openxmlformats.org/officeDocument/2006/relationships/hyperlink" Target="https://www.100ppi.com/news/detail-20251224-5108014.html" TargetMode="External" Id="rId298"/><Relationship Type="http://schemas.openxmlformats.org/officeDocument/2006/relationships/hyperlink" Target="https://www.100ppi.com/news/detail-20251225-5112865.html" TargetMode="External" Id="rId299"/><Relationship Type="http://schemas.openxmlformats.org/officeDocument/2006/relationships/hyperlink" Target="https://www.100ppi.com/news/detail-20251229-5125979.html" TargetMode="External" Id="rId300"/><Relationship Type="http://schemas.openxmlformats.org/officeDocument/2006/relationships/hyperlink" Target="https://www.100ppi.com/news/detail-20251231-5137018.html" TargetMode="External" Id="rId301"/><Relationship Type="http://schemas.openxmlformats.org/officeDocument/2006/relationships/hyperlink" Target="https://www.100ppi.com/news/detail-20260104-5145232.html" TargetMode="External" Id="rId302"/><Relationship Type="http://schemas.openxmlformats.org/officeDocument/2006/relationships/hyperlink" Target="https://www.100ppi.com/news/detail-20260105-5150697.html" TargetMode="External" Id="rId303"/><Relationship Type="http://schemas.openxmlformats.org/officeDocument/2006/relationships/hyperlink" Target="https://www.100ppi.com/news/detail-20260107-5161665.html" TargetMode="External" Id="rId304"/><Relationship Type="http://schemas.openxmlformats.org/officeDocument/2006/relationships/hyperlink" Target="https://www.100ppi.com/news/detail-20260112-5180573.html" TargetMode="External" Id="rId305"/><Relationship Type="http://schemas.openxmlformats.org/officeDocument/2006/relationships/hyperlink" Target="https://www.100ppi.com/news/detail-20260113-5185432.html" TargetMode="External" Id="rId306"/><Relationship Type="http://schemas.openxmlformats.org/officeDocument/2006/relationships/hyperlink" Target="https://www.100ppi.com/news/detail-20260116-5201435.html" TargetMode="External" Id="rId307"/><Relationship Type="http://schemas.openxmlformats.org/officeDocument/2006/relationships/hyperlink" Target="https://www.100ppi.com/news/detail-20260119-5209969.html" TargetMode="External" Id="rId308"/><Relationship Type="http://schemas.openxmlformats.org/officeDocument/2006/relationships/hyperlink" Target="https://www.100ppi.com/news/detail-20260121-5221242.html" TargetMode="External" Id="rId309"/><Relationship Type="http://schemas.openxmlformats.org/officeDocument/2006/relationships/hyperlink" Target="https://www.100ppi.com/news/detail-20260122-5226701.html" TargetMode="External" Id="rId310"/><Relationship Type="http://schemas.openxmlformats.org/officeDocument/2006/relationships/hyperlink" Target="https://www.100ppi.com/news/detail-20260123-5232314.html" TargetMode="External" Id="rId311"/><Relationship Type="http://schemas.openxmlformats.org/officeDocument/2006/relationships/hyperlink" Target="https://www.100ppi.com/news/detail-20260126-5239990.html" TargetMode="External" Id="rId312"/><Relationship Type="http://schemas.openxmlformats.org/officeDocument/2006/relationships/hyperlink" Target="https://www.100ppi.com/news/detail-20260128-5251154.html" TargetMode="External" Id="rId313"/><Relationship Type="http://schemas.openxmlformats.org/officeDocument/2006/relationships/hyperlink" Target="https://www.100ppi.com/news/detail-20260129-5256526.html" TargetMode="External" Id="rId314"/><Relationship Type="http://schemas.openxmlformats.org/officeDocument/2006/relationships/hyperlink" Target="https://www.100ppi.com/news/detail-20260130-5261837.html" TargetMode="External" Id="rId315"/><Relationship Type="http://schemas.openxmlformats.org/officeDocument/2006/relationships/hyperlink" Target="https://www.100ppi.com/news/detail-20260202-5269872.html" TargetMode="External" Id="rId316"/><Relationship Type="http://schemas.openxmlformats.org/officeDocument/2006/relationships/hyperlink" Target="https://www.100ppi.com/news/detail-20260204-5280751.html" TargetMode="External" Id="rId317"/><Relationship Type="http://schemas.openxmlformats.org/officeDocument/2006/relationships/hyperlink" Target="https://www.100ppi.com/news/detail-20260205-5285040.html" TargetMode="External" Id="rId318"/><Relationship Type="http://schemas.openxmlformats.org/officeDocument/2006/relationships/hyperlink" Target="https://www.100ppi.com/news/detail-20260211-5300156.html" TargetMode="External" Id="rId319"/><Relationship Type="http://schemas.openxmlformats.org/officeDocument/2006/relationships/hyperlink" Target="https://www.100ppi.com/news/detail-20260212-5301687.html" TargetMode="External" Id="rId320"/><Relationship Type="http://schemas.openxmlformats.org/officeDocument/2006/relationships/hyperlink" Target="https://www.100ppi.com/news/detail-20260213-5303674.html" TargetMode="External" Id="rId321"/><Relationship Type="http://schemas.openxmlformats.org/officeDocument/2006/relationships/hyperlink" Target="https://www.100ppi.com/news/detail-20260224-5319839.html" TargetMode="External" Id="rId322"/><Relationship Type="http://schemas.openxmlformats.org/officeDocument/2006/relationships/hyperlink" Target="https://www.100ppi.com/news/detail-20260225-5324303.html" TargetMode="External" Id="rId323"/><Relationship Type="http://schemas.openxmlformats.org/officeDocument/2006/relationships/hyperlink" Target="https://www.100ppi.com/news/detail-20260227-5334669.html" TargetMode="External" Id="rId324"/><Relationship Type="http://schemas.openxmlformats.org/officeDocument/2006/relationships/hyperlink" Target="https://www.100ppi.com/news/detail-20260228-5339376.html" TargetMode="External" Id="rId325"/><Relationship Type="http://schemas.openxmlformats.org/officeDocument/2006/relationships/hyperlink" Target="https://www.100ppi.com/news/detail-20260303-5351063.html" TargetMode="External" Id="rId326"/><Relationship Type="http://schemas.openxmlformats.org/officeDocument/2006/relationships/hyperlink" Target="https://www.100ppi.com/news/detail-20260304-5356558.html" TargetMode="External" Id="rId327"/><Relationship Type="http://schemas.openxmlformats.org/officeDocument/2006/relationships/hyperlink" Target="https://www.100ppi.com/news/detail-20260305-5362593.html" TargetMode="External" Id="rId328"/><Relationship Type="http://schemas.openxmlformats.org/officeDocument/2006/relationships/hyperlink" Target="https://www.100ppi.com/news/detail-20260306-5368344.html" TargetMode="External" Id="rId329"/><Relationship Type="http://schemas.openxmlformats.org/officeDocument/2006/relationships/hyperlink" Target="https://www.100ppi.com/news/detail-20260311-5387991.html" TargetMode="External" Id="rId330"/><Relationship Type="http://schemas.openxmlformats.org/officeDocument/2006/relationships/hyperlink" Target="https://www.100ppi.com/news/detail-20260312-5393856.html" TargetMode="External" Id="rId331"/><Relationship Type="http://schemas.openxmlformats.org/officeDocument/2006/relationships/hyperlink" Target="https://www.100ppi.com/news/detail-20260316-5408421.html" TargetMode="External" Id="rId332"/><Relationship Type="http://schemas.openxmlformats.org/officeDocument/2006/relationships/hyperlink" Target="https://www.100ppi.com/news/detail-20260317-5413813.html" TargetMode="External" Id="rId333"/><Relationship Type="http://schemas.openxmlformats.org/officeDocument/2006/relationships/hyperlink" Target="https://www.100ppi.com/news/detail-20260319-5424967.html" TargetMode="External" Id="rId334"/><Relationship Type="http://schemas.openxmlformats.org/officeDocument/2006/relationships/hyperlink" Target="https://www.100ppi.com/news/detail-20260323-5439047.html" TargetMode="External" Id="rId335"/><Relationship Type="http://schemas.openxmlformats.org/officeDocument/2006/relationships/hyperlink" Target="https://www.100ppi.com/news/detail-20260324-5444770.html" TargetMode="External" Id="rId336"/><Relationship Type="http://schemas.openxmlformats.org/officeDocument/2006/relationships/hyperlink" Target="https://www.100ppi.com/news/detail-20260326-5455877.html" TargetMode="External" Id="rId337"/><Relationship Type="http://schemas.openxmlformats.org/officeDocument/2006/relationships/hyperlink" Target="https://www.100ppi.com/news/detail-20260331-5475514.html" TargetMode="External" Id="rId338"/><Relationship Type="http://schemas.openxmlformats.org/officeDocument/2006/relationships/hyperlink" Target="https://www.100ppi.com/news/detail-20260402-5486392.html" TargetMode="External" Id="rId339"/><Relationship Type="http://schemas.openxmlformats.org/officeDocument/2006/relationships/hyperlink" Target="https://www.100ppi.com/news/detail-20260407-5501975.html" TargetMode="External" Id="rId340"/><Relationship Type="http://schemas.openxmlformats.org/officeDocument/2006/relationships/hyperlink" Target="https://www.100ppi.com/news/detail-20260415-5537130.html" TargetMode="External" Id="rId341"/><Relationship Type="http://schemas.openxmlformats.org/officeDocument/2006/relationships/hyperlink" Target="https://www.100ppi.com/news/detail-20260422-5568373.html" TargetMode="External" Id="rId342"/><Relationship Type="http://schemas.openxmlformats.org/officeDocument/2006/relationships/hyperlink" Target="https://www.100ppi.com/news/detail-20260429-5598561.html" TargetMode="External" Id="rId343"/><Relationship Type="http://schemas.openxmlformats.org/officeDocument/2006/relationships/hyperlink" Target="https://www.100ppi.com/news/detail-20260509-5633234.html" TargetMode="External" Id="rId344"/><Relationship Type="http://schemas.openxmlformats.org/officeDocument/2006/relationships/hyperlink" Target="https://www.100ppi.com/news/detail-20260512-5646208.html" TargetMode="External" Id="rId345"/><Relationship Type="http://schemas.openxmlformats.org/officeDocument/2006/relationships/hyperlink" Target="https://www.100ppi.com/news/detail-20260519-5676512.html" TargetMode="External" Id="rId346"/><Relationship Type="http://schemas.openxmlformats.org/officeDocument/2006/relationships/hyperlink" Target="https://www.100ppi.com/news/detail-20260526-5707666.html" TargetMode="External" Id="rId347"/><Relationship Type="http://schemas.openxmlformats.org/officeDocument/2006/relationships/hyperlink" Target="https://www.100ppi.com/news/detail-20260602-5738944.html" TargetMode="External" Id="rId348"/><Relationship Type="http://schemas.openxmlformats.org/officeDocument/2006/relationships/hyperlink" Target="https://www.100ppi.com/news/detail-20260605-5755891.html" TargetMode="External" Id="rId349"/><Relationship Type="http://schemas.openxmlformats.org/officeDocument/2006/relationships/hyperlink" Target="https://www.100ppi.com/news/detail-20260609-5768828.html" TargetMode="External" Id="rId350"/><Relationship Type="http://schemas.openxmlformats.org/officeDocument/2006/relationships/hyperlink" Target="https://www.100ppi.com/news/detail-20260611-5775091.html" TargetMode="External" Id="rId351"/><Relationship Type="http://schemas.openxmlformats.org/officeDocument/2006/relationships/hyperlink" Target="https://www.100ppi.com/news/detail-20260615-5794252.html" TargetMode="External" Id="rId352"/><Relationship Type="http://schemas.openxmlformats.org/officeDocument/2006/relationships/hyperlink" Target="https://www.100ppi.com/news/detail-20260625-5839124.html" TargetMode="External" Id="rId353"/><Relationship Type="http://schemas.openxmlformats.org/officeDocument/2006/relationships/hyperlink" Target="https://www.100ppi.com/news/detail-20260701-5864527.html" TargetMode="External" Id="rId354"/><Relationship Type="http://schemas.openxmlformats.org/officeDocument/2006/relationships/hyperlink" Target="https://www.100ppi.com/news/detail-20260710-5907935.html" TargetMode="External" Id="rId355"/><Relationship Type="http://schemas.openxmlformats.org/officeDocument/2006/relationships/hyperlink" Target="https://www.100ppi.com/news/detail-20260717-5942035.html" TargetMode="External" Id="rId356"/><Relationship Type="http://schemas.openxmlformats.org/officeDocument/2006/relationships/hyperlink" Target="https://www.100ppi.com/news/detail-20260721-5957757.html" TargetMode="External" Id="rId357"/><Relationship Type="http://schemas.openxmlformats.org/officeDocument/2006/relationships/hyperlink" Target="https://www.100ppi.com/news/detail-20260728-5990717.html" TargetMode="External" Id="rId35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100ppi.com/news/detail-20230213-2486745.html" TargetMode="External" Id="rId1"/><Relationship Type="http://schemas.openxmlformats.org/officeDocument/2006/relationships/hyperlink" Target="https://www.100ppi.com/news/detail-20230217-2492827.html" TargetMode="External" Id="rId2"/><Relationship Type="http://schemas.openxmlformats.org/officeDocument/2006/relationships/hyperlink" Target="https://www.100ppi.com/news/detail-20230221-2499095.html" TargetMode="External" Id="rId3"/><Relationship Type="http://schemas.openxmlformats.org/officeDocument/2006/relationships/hyperlink" Target="https://www.100ppi.com/news/detail-20230222-2500872.html" TargetMode="External" Id="rId4"/><Relationship Type="http://schemas.openxmlformats.org/officeDocument/2006/relationships/hyperlink" Target="https://www.100ppi.com/news/detail-20230224-2504640.html" TargetMode="External" Id="rId5"/><Relationship Type="http://schemas.openxmlformats.org/officeDocument/2006/relationships/hyperlink" Target="https://www.100ppi.com/news/detail-20230228-2509652.html" TargetMode="External" Id="rId6"/><Relationship Type="http://schemas.openxmlformats.org/officeDocument/2006/relationships/hyperlink" Target="https://www.100ppi.com/news/detail-20230306-2517479.html" TargetMode="External" Id="rId7"/><Relationship Type="http://schemas.openxmlformats.org/officeDocument/2006/relationships/hyperlink" Target="https://www.100ppi.com/news/detail-20230328-2554399.html" TargetMode="External" Id="rId8"/><Relationship Type="http://schemas.openxmlformats.org/officeDocument/2006/relationships/hyperlink" Target="https://www.100ppi.com/news/detail-20230329-2556292.html" TargetMode="External" Id="rId9"/><Relationship Type="http://schemas.openxmlformats.org/officeDocument/2006/relationships/hyperlink" Target="https://www.100ppi.com/news/detail-20230330-2558137.html" TargetMode="External" Id="rId10"/><Relationship Type="http://schemas.openxmlformats.org/officeDocument/2006/relationships/hyperlink" Target="https://www.100ppi.com/news/detail-20230413-2579687.html" TargetMode="External" Id="rId11"/><Relationship Type="http://schemas.openxmlformats.org/officeDocument/2006/relationships/hyperlink" Target="https://www.100ppi.com/news/detail-20230414-2580225.html" TargetMode="External" Id="rId12"/><Relationship Type="http://schemas.openxmlformats.org/officeDocument/2006/relationships/hyperlink" Target="https://www.100ppi.com/news/detail-20230417-2583482.html" TargetMode="External" Id="rId13"/><Relationship Type="http://schemas.openxmlformats.org/officeDocument/2006/relationships/hyperlink" Target="https://www.100ppi.com/news/detail-20230418-2585565.html" TargetMode="External" Id="rId14"/><Relationship Type="http://schemas.openxmlformats.org/officeDocument/2006/relationships/hyperlink" Target="https://www.100ppi.com/news/detail-20230419-2587484.html" TargetMode="External" Id="rId15"/><Relationship Type="http://schemas.openxmlformats.org/officeDocument/2006/relationships/hyperlink" Target="https://www.100ppi.com/news/detail-20230420-2589572.html" TargetMode="External" Id="rId16"/><Relationship Type="http://schemas.openxmlformats.org/officeDocument/2006/relationships/hyperlink" Target="https://www.100ppi.com/news/detail-20230421-2592860.html" TargetMode="External" Id="rId17"/><Relationship Type="http://schemas.openxmlformats.org/officeDocument/2006/relationships/hyperlink" Target="https://www.100ppi.com/news/detail-20230423-2595298.html" TargetMode="External" Id="rId18"/><Relationship Type="http://schemas.openxmlformats.org/officeDocument/2006/relationships/hyperlink" Target="https://www.100ppi.com/news/detail-20230424-2595820.html" TargetMode="External" Id="rId19"/><Relationship Type="http://schemas.openxmlformats.org/officeDocument/2006/relationships/hyperlink" Target="https://www.100ppi.com/news/detail-20230504-2610450.html" TargetMode="External" Id="rId20"/><Relationship Type="http://schemas.openxmlformats.org/officeDocument/2006/relationships/hyperlink" Target="https://www.100ppi.com/news/detail-20230505-2611042.html" TargetMode="External" Id="rId21"/><Relationship Type="http://schemas.openxmlformats.org/officeDocument/2006/relationships/hyperlink" Target="https://www.100ppi.com/news/detail-20230506-2614338.html" TargetMode="External" Id="rId22"/><Relationship Type="http://schemas.openxmlformats.org/officeDocument/2006/relationships/hyperlink" Target="https://www.100ppi.com/news/detail-20230512-2624742.html" TargetMode="External" Id="rId23"/><Relationship Type="http://schemas.openxmlformats.org/officeDocument/2006/relationships/hyperlink" Target="https://www.100ppi.com/news/detail-20230515-2628263.html" TargetMode="External" Id="rId24"/><Relationship Type="http://schemas.openxmlformats.org/officeDocument/2006/relationships/hyperlink" Target="https://www.100ppi.com/news/detail-20230517-2631879.html" TargetMode="External" Id="rId25"/><Relationship Type="http://schemas.openxmlformats.org/officeDocument/2006/relationships/hyperlink" Target="https://www.100ppi.com/news/detail-20230518-2633832.html" TargetMode="External" Id="rId26"/><Relationship Type="http://schemas.openxmlformats.org/officeDocument/2006/relationships/hyperlink" Target="https://www.100ppi.com/news/detail-20230620-2687426.html" TargetMode="External" Id="rId27"/><Relationship Type="http://schemas.openxmlformats.org/officeDocument/2006/relationships/hyperlink" Target="https://www.100ppi.com/news/detail-20230621-2689076.html" TargetMode="External" Id="rId28"/><Relationship Type="http://schemas.openxmlformats.org/officeDocument/2006/relationships/hyperlink" Target="https://www.100ppi.com/news/detail-20230626-2695345.html" TargetMode="External" Id="rId29"/><Relationship Type="http://schemas.openxmlformats.org/officeDocument/2006/relationships/hyperlink" Target="https://www.100ppi.com/news/detail-20230629-2701451.html" TargetMode="External" Id="rId30"/><Relationship Type="http://schemas.openxmlformats.org/officeDocument/2006/relationships/hyperlink" Target="https://www.100ppi.com/news/detail-20230704-2708925.html" TargetMode="External" Id="rId31"/><Relationship Type="http://schemas.openxmlformats.org/officeDocument/2006/relationships/hyperlink" Target="https://www.100ppi.com/news/detail-20230706-2712828.html" TargetMode="External" Id="rId32"/><Relationship Type="http://schemas.openxmlformats.org/officeDocument/2006/relationships/hyperlink" Target="https://www.100ppi.com/news/detail-20230710-2718391.html" TargetMode="External" Id="rId33"/><Relationship Type="http://schemas.openxmlformats.org/officeDocument/2006/relationships/hyperlink" Target="https://www.100ppi.com/news/detail-20230718-2732014.html" TargetMode="External" Id="rId34"/><Relationship Type="http://schemas.openxmlformats.org/officeDocument/2006/relationships/hyperlink" Target="https://www.100ppi.com/news/detail-20230720-2736226.html" TargetMode="External" Id="rId35"/><Relationship Type="http://schemas.openxmlformats.org/officeDocument/2006/relationships/hyperlink" Target="https://www.100ppi.com/news/detail-20230725-2743679.html" TargetMode="External" Id="rId36"/><Relationship Type="http://schemas.openxmlformats.org/officeDocument/2006/relationships/hyperlink" Target="https://www.100ppi.com/news/detail-20230727-2747628.html" TargetMode="External" Id="rId37"/><Relationship Type="http://schemas.openxmlformats.org/officeDocument/2006/relationships/hyperlink" Target="https://www.100ppi.com/news/detail-20230811-2771499.html" TargetMode="External" Id="rId38"/><Relationship Type="http://schemas.openxmlformats.org/officeDocument/2006/relationships/hyperlink" Target="https://www.100ppi.com/news/detail-20230815-2777541.html" TargetMode="External" Id="rId39"/><Relationship Type="http://schemas.openxmlformats.org/officeDocument/2006/relationships/hyperlink" Target="https://www.100ppi.com/news/detail-20230817-2781641.html" TargetMode="External" Id="rId40"/><Relationship Type="http://schemas.openxmlformats.org/officeDocument/2006/relationships/hyperlink" Target="https://www.100ppi.com/news/detail-20230818-2783547.html" TargetMode="External" Id="rId41"/><Relationship Type="http://schemas.openxmlformats.org/officeDocument/2006/relationships/hyperlink" Target="https://www.100ppi.com/news/detail-20230828-2799185.html" TargetMode="External" Id="rId42"/><Relationship Type="http://schemas.openxmlformats.org/officeDocument/2006/relationships/hyperlink" Target="https://www.100ppi.com/news/detail-20230908-2817865.html" TargetMode="External" Id="rId43"/><Relationship Type="http://schemas.openxmlformats.org/officeDocument/2006/relationships/hyperlink" Target="https://www.100ppi.com/news/detail-20230913-2827705.html" TargetMode="External" Id="rId44"/><Relationship Type="http://schemas.openxmlformats.org/officeDocument/2006/relationships/hyperlink" Target="https://www.100ppi.com/news/detail-20230914-2829713.html" TargetMode="External" Id="rId45"/><Relationship Type="http://schemas.openxmlformats.org/officeDocument/2006/relationships/hyperlink" Target="https://www.100ppi.com/news/detail-20231020-2888439.html" TargetMode="External" Id="rId46"/><Relationship Type="http://schemas.openxmlformats.org/officeDocument/2006/relationships/hyperlink" Target="https://www.100ppi.com/news/detail-20231102-2915503.html" TargetMode="External" Id="rId47"/><Relationship Type="http://schemas.openxmlformats.org/officeDocument/2006/relationships/hyperlink" Target="https://www.100ppi.com/news/detail-20231103-2917975.html" TargetMode="External" Id="rId48"/><Relationship Type="http://schemas.openxmlformats.org/officeDocument/2006/relationships/hyperlink" Target="https://www.100ppi.com/news/detail-20231106-2920335.html" TargetMode="External" Id="rId49"/><Relationship Type="http://schemas.openxmlformats.org/officeDocument/2006/relationships/hyperlink" Target="https://www.100ppi.com/news/detail-20231107-2923153.html" TargetMode="External" Id="rId50"/><Relationship Type="http://schemas.openxmlformats.org/officeDocument/2006/relationships/hyperlink" Target="https://www.100ppi.com/news/detail-20231109-2928526.html" TargetMode="External" Id="rId51"/><Relationship Type="http://schemas.openxmlformats.org/officeDocument/2006/relationships/hyperlink" Target="https://www.100ppi.com/news/detail-20231113-2937255.html" TargetMode="External" Id="rId52"/><Relationship Type="http://schemas.openxmlformats.org/officeDocument/2006/relationships/hyperlink" Target="https://www.100ppi.com/news/detail-20231114-2939805.html" TargetMode="External" Id="rId53"/><Relationship Type="http://schemas.openxmlformats.org/officeDocument/2006/relationships/hyperlink" Target="https://www.100ppi.com/news/detail-20231117-2947229.html" TargetMode="External" Id="rId54"/><Relationship Type="http://schemas.openxmlformats.org/officeDocument/2006/relationships/hyperlink" Target="https://www.100ppi.com/news/detail-20231120-2949268.html" TargetMode="External" Id="rId55"/><Relationship Type="http://schemas.openxmlformats.org/officeDocument/2006/relationships/hyperlink" Target="https://www.100ppi.com/news/detail-20231121-2954106.html" TargetMode="External" Id="rId56"/><Relationship Type="http://schemas.openxmlformats.org/officeDocument/2006/relationships/hyperlink" Target="https://www.100ppi.com/news/detail-20231122-2954894.html" TargetMode="External" Id="rId57"/><Relationship Type="http://schemas.openxmlformats.org/officeDocument/2006/relationships/hyperlink" Target="https://www.100ppi.com/news/detail-20231127-2966906.html" TargetMode="External" Id="rId58"/><Relationship Type="http://schemas.openxmlformats.org/officeDocument/2006/relationships/hyperlink" Target="https://www.100ppi.com/news/detail-20231201-2977730.html" TargetMode="External" Id="rId59"/><Relationship Type="http://schemas.openxmlformats.org/officeDocument/2006/relationships/hyperlink" Target="https://www.100ppi.com/news/detail-20231204-2982246.html" TargetMode="External" Id="rId60"/><Relationship Type="http://schemas.openxmlformats.org/officeDocument/2006/relationships/hyperlink" Target="https://www.100ppi.com/news/detail-20231205-2985003.html" TargetMode="External" Id="rId61"/><Relationship Type="http://schemas.openxmlformats.org/officeDocument/2006/relationships/hyperlink" Target="https://www.100ppi.com/news/detail-20231206-2985728.html" TargetMode="External" Id="rId62"/><Relationship Type="http://schemas.openxmlformats.org/officeDocument/2006/relationships/hyperlink" Target="https://www.100ppi.com/news/detail-20231207-2990578.html" TargetMode="External" Id="rId63"/><Relationship Type="http://schemas.openxmlformats.org/officeDocument/2006/relationships/hyperlink" Target="https://www.100ppi.com/news/detail-20231208-2993646.html" TargetMode="External" Id="rId64"/><Relationship Type="http://schemas.openxmlformats.org/officeDocument/2006/relationships/hyperlink" Target="https://www.100ppi.com/news/detail-20231211-2995811.html" TargetMode="External" Id="rId65"/><Relationship Type="http://schemas.openxmlformats.org/officeDocument/2006/relationships/hyperlink" Target="https://www.100ppi.com/news/detail-20231213-3003545.html" TargetMode="External" Id="rId66"/><Relationship Type="http://schemas.openxmlformats.org/officeDocument/2006/relationships/hyperlink" Target="https://www.100ppi.com/news/detail-20231214-3004173.html" TargetMode="External" Id="rId67"/><Relationship Type="http://schemas.openxmlformats.org/officeDocument/2006/relationships/hyperlink" Target="https://www.100ppi.com/news/detail-20231215-3008790.html" TargetMode="External" Id="rId68"/><Relationship Type="http://schemas.openxmlformats.org/officeDocument/2006/relationships/hyperlink" Target="https://www.100ppi.com/news/detail-20231218-3010936.html" TargetMode="External" Id="rId69"/><Relationship Type="http://schemas.openxmlformats.org/officeDocument/2006/relationships/hyperlink" Target="https://www.100ppi.com/news/detail-20231219-3016091.html" TargetMode="External" Id="rId70"/><Relationship Type="http://schemas.openxmlformats.org/officeDocument/2006/relationships/hyperlink" Target="https://www.100ppi.com/news/detail-20231220-3018890.html" TargetMode="External" Id="rId71"/><Relationship Type="http://schemas.openxmlformats.org/officeDocument/2006/relationships/hyperlink" Target="https://www.100ppi.com/news/detail-20231221-3021632.html" TargetMode="External" Id="rId72"/><Relationship Type="http://schemas.openxmlformats.org/officeDocument/2006/relationships/hyperlink" Target="https://www.100ppi.com/news/detail-20231222-3022301.html" TargetMode="External" Id="rId73"/><Relationship Type="http://schemas.openxmlformats.org/officeDocument/2006/relationships/hyperlink" Target="https://www.100ppi.com/news/detail-20240105-3053746.html" TargetMode="External" Id="rId74"/><Relationship Type="http://schemas.openxmlformats.org/officeDocument/2006/relationships/hyperlink" Target="https://www.100ppi.com/news/detail-20240108-3056255.html" TargetMode="External" Id="rId75"/><Relationship Type="http://schemas.openxmlformats.org/officeDocument/2006/relationships/hyperlink" Target="https://www.100ppi.com/news/detail-20240116-3076398.html" TargetMode="External" Id="rId76"/><Relationship Type="http://schemas.openxmlformats.org/officeDocument/2006/relationships/hyperlink" Target="https://www.100ppi.com/news/detail-20240117-3077598.html" TargetMode="External" Id="rId77"/><Relationship Type="http://schemas.openxmlformats.org/officeDocument/2006/relationships/hyperlink" Target="https://www.100ppi.com/news/detail-20240118-3079815.html" TargetMode="External" Id="rId78"/><Relationship Type="http://schemas.openxmlformats.org/officeDocument/2006/relationships/hyperlink" Target="https://www.100ppi.com/news/detail-20240119-3084603.html" TargetMode="External" Id="rId79"/><Relationship Type="http://schemas.openxmlformats.org/officeDocument/2006/relationships/hyperlink" Target="https://www.100ppi.com/news/detail-20240122-3086772.html" TargetMode="External" Id="rId80"/><Relationship Type="http://schemas.openxmlformats.org/officeDocument/2006/relationships/hyperlink" Target="https://www.100ppi.com/news/detail-20240123-3091961.html" TargetMode="External" Id="rId81"/><Relationship Type="http://schemas.openxmlformats.org/officeDocument/2006/relationships/hyperlink" Target="https://www.100ppi.com/news/detail-20240124-3094761.html" TargetMode="External" Id="rId82"/><Relationship Type="http://schemas.openxmlformats.org/officeDocument/2006/relationships/hyperlink" Target="https://www.100ppi.com/news/detail-20240125-3095406.html" TargetMode="External" Id="rId83"/><Relationship Type="http://schemas.openxmlformats.org/officeDocument/2006/relationships/hyperlink" Target="https://www.100ppi.com/news/detail-20240126-3099631.html" TargetMode="External" Id="rId84"/><Relationship Type="http://schemas.openxmlformats.org/officeDocument/2006/relationships/hyperlink" Target="https://www.100ppi.com/news/detail-20240129-3103361.html" TargetMode="External" Id="rId85"/><Relationship Type="http://schemas.openxmlformats.org/officeDocument/2006/relationships/hyperlink" Target="https://www.100ppi.com/news/detail-20240130-3103984.html" TargetMode="External" Id="rId86"/><Relationship Type="http://schemas.openxmlformats.org/officeDocument/2006/relationships/hyperlink" Target="https://www.100ppi.com/news/detail-20240131-3107969.html" TargetMode="External" Id="rId87"/><Relationship Type="http://schemas.openxmlformats.org/officeDocument/2006/relationships/hyperlink" Target="https://www.100ppi.com/news/detail-20240201-3110294.html" TargetMode="External" Id="rId88"/><Relationship Type="http://schemas.openxmlformats.org/officeDocument/2006/relationships/hyperlink" Target="https://www.100ppi.com/news/detail-20240202-3112245.html" TargetMode="External" Id="rId89"/><Relationship Type="http://schemas.openxmlformats.org/officeDocument/2006/relationships/hyperlink" Target="https://www.100ppi.com/news/detail-20240204-3113076.html" TargetMode="External" Id="rId90"/><Relationship Type="http://schemas.openxmlformats.org/officeDocument/2006/relationships/hyperlink" Target="https://www.100ppi.com/news/detail-20240206-3116392.html" TargetMode="External" Id="rId91"/><Relationship Type="http://schemas.openxmlformats.org/officeDocument/2006/relationships/hyperlink" Target="https://www.100ppi.com/news/detail-20240221-3134475.html" TargetMode="External" Id="rId92"/><Relationship Type="http://schemas.openxmlformats.org/officeDocument/2006/relationships/hyperlink" Target="https://www.100ppi.com/news/detail-20240222-3135407.html" TargetMode="External" Id="rId93"/><Relationship Type="http://schemas.openxmlformats.org/officeDocument/2006/relationships/hyperlink" Target="https://www.100ppi.com/news/detail-20240223-3140152.html" TargetMode="External" Id="rId94"/><Relationship Type="http://schemas.openxmlformats.org/officeDocument/2006/relationships/hyperlink" Target="https://www.100ppi.com/news/detail-20240226-3145786.html" TargetMode="External" Id="rId95"/><Relationship Type="http://schemas.openxmlformats.org/officeDocument/2006/relationships/hyperlink" Target="https://www.100ppi.com/news/detail-20240227-3148471.html" TargetMode="External" Id="rId96"/><Relationship Type="http://schemas.openxmlformats.org/officeDocument/2006/relationships/hyperlink" Target="https://www.100ppi.com/news/detail-20240228-3149370.html" TargetMode="External" Id="rId97"/><Relationship Type="http://schemas.openxmlformats.org/officeDocument/2006/relationships/hyperlink" Target="https://www.100ppi.com/news/detail-20240229-3152176.html" TargetMode="External" Id="rId98"/><Relationship Type="http://schemas.openxmlformats.org/officeDocument/2006/relationships/hyperlink" Target="https://www.100ppi.com/news/detail-20240301-3157108.html" TargetMode="External" Id="rId99"/><Relationship Type="http://schemas.openxmlformats.org/officeDocument/2006/relationships/hyperlink" Target="https://www.100ppi.com/news/detail-20240304-3159727.html" TargetMode="External" Id="rId100"/><Relationship Type="http://schemas.openxmlformats.org/officeDocument/2006/relationships/hyperlink" Target="https://www.100ppi.com/news/detail-20240305-3164863.html" TargetMode="External" Id="rId101"/><Relationship Type="http://schemas.openxmlformats.org/officeDocument/2006/relationships/hyperlink" Target="https://www.100ppi.com/news/detail-20240306-3167402.html" TargetMode="External" Id="rId102"/><Relationship Type="http://schemas.openxmlformats.org/officeDocument/2006/relationships/hyperlink" Target="https://www.100ppi.com/news/detail-20240307-3168216.html" TargetMode="External" Id="rId103"/><Relationship Type="http://schemas.openxmlformats.org/officeDocument/2006/relationships/hyperlink" Target="https://www.100ppi.com/news/detail-20240308-3171185.html" TargetMode="External" Id="rId104"/><Relationship Type="http://schemas.openxmlformats.org/officeDocument/2006/relationships/hyperlink" Target="https://www.100ppi.com/news/detail-20240311-3175967.html" TargetMode="External" Id="rId105"/><Relationship Type="http://schemas.openxmlformats.org/officeDocument/2006/relationships/hyperlink" Target="https://www.100ppi.com/news/detail-20240312-3179060.html" TargetMode="External" Id="rId106"/><Relationship Type="http://schemas.openxmlformats.org/officeDocument/2006/relationships/hyperlink" Target="https://www.100ppi.com/news/detail-20240313-3182187.html" TargetMode="External" Id="rId107"/><Relationship Type="http://schemas.openxmlformats.org/officeDocument/2006/relationships/hyperlink" Target="https://www.100ppi.com/news/detail-20240314-3187269.html" TargetMode="External" Id="rId108"/><Relationship Type="http://schemas.openxmlformats.org/officeDocument/2006/relationships/hyperlink" Target="https://www.100ppi.com/news/detail-20240315-3189665.html" TargetMode="External" Id="rId109"/><Relationship Type="http://schemas.openxmlformats.org/officeDocument/2006/relationships/hyperlink" Target="https://www.100ppi.com/news/detail-20240318-3192701.html" TargetMode="External" Id="rId110"/><Relationship Type="http://schemas.openxmlformats.org/officeDocument/2006/relationships/hyperlink" Target="https://www.100ppi.com/news/detail-20240319-3197870.html" TargetMode="External" Id="rId111"/><Relationship Type="http://schemas.openxmlformats.org/officeDocument/2006/relationships/hyperlink" Target="https://www.100ppi.com/news/detail-20240320-3200681.html" TargetMode="External" Id="rId112"/><Relationship Type="http://schemas.openxmlformats.org/officeDocument/2006/relationships/hyperlink" Target="https://www.100ppi.com/news/detail-20240321-3203446.html" TargetMode="External" Id="rId113"/><Relationship Type="http://schemas.openxmlformats.org/officeDocument/2006/relationships/hyperlink" Target="https://www.100ppi.com/news/detail-20240325-3208333.html" TargetMode="External" Id="rId114"/><Relationship Type="http://schemas.openxmlformats.org/officeDocument/2006/relationships/hyperlink" Target="https://www.100ppi.com/news/detail-20240328-3217507.html" TargetMode="External" Id="rId115"/><Relationship Type="http://schemas.openxmlformats.org/officeDocument/2006/relationships/hyperlink" Target="https://www.100ppi.com/news/detail-20240329-3222886.html" TargetMode="External" Id="rId116"/><Relationship Type="http://schemas.openxmlformats.org/officeDocument/2006/relationships/hyperlink" Target="https://www.100ppi.com/news/detail-20240401-3225157.html" TargetMode="External" Id="rId117"/><Relationship Type="http://schemas.openxmlformats.org/officeDocument/2006/relationships/hyperlink" Target="https://www.100ppi.com/news/detail-20240402-3227968.html" TargetMode="External" Id="rId118"/><Relationship Type="http://schemas.openxmlformats.org/officeDocument/2006/relationships/hyperlink" Target="https://www.100ppi.com/news/detail-20240403-3233440.html" TargetMode="External" Id="rId119"/><Relationship Type="http://schemas.openxmlformats.org/officeDocument/2006/relationships/hyperlink" Target="https://www.100ppi.com/news/detail-20240410-3247635.html" TargetMode="External" Id="rId120"/><Relationship Type="http://schemas.openxmlformats.org/officeDocument/2006/relationships/hyperlink" Target="https://www.100ppi.com/news/detail-20240411-3248385.html" TargetMode="External" Id="rId121"/><Relationship Type="http://schemas.openxmlformats.org/officeDocument/2006/relationships/hyperlink" Target="https://www.100ppi.com/news/detail-20240412-3253609.html" TargetMode="External" Id="rId122"/><Relationship Type="http://schemas.openxmlformats.org/officeDocument/2006/relationships/hyperlink" Target="https://www.100ppi.com/news/detail-20240415-3256071.html" TargetMode="External" Id="rId123"/><Relationship Type="http://schemas.openxmlformats.org/officeDocument/2006/relationships/hyperlink" Target="https://www.100ppi.com/news/detail-20240416-3261696.html" TargetMode="External" Id="rId124"/><Relationship Type="http://schemas.openxmlformats.org/officeDocument/2006/relationships/hyperlink" Target="https://www.100ppi.com/news/detail-20240417-3264698.html" TargetMode="External" Id="rId125"/><Relationship Type="http://schemas.openxmlformats.org/officeDocument/2006/relationships/hyperlink" Target="https://www.100ppi.com/news/detail-20240418-3265492.html" TargetMode="External" Id="rId126"/><Relationship Type="http://schemas.openxmlformats.org/officeDocument/2006/relationships/hyperlink" Target="https://www.100ppi.com/news/detail-20240419-3270728.html" TargetMode="External" Id="rId127"/><Relationship Type="http://schemas.openxmlformats.org/officeDocument/2006/relationships/hyperlink" Target="https://www.100ppi.com/news/detail-20240422-3273237.html" TargetMode="External" Id="rId128"/><Relationship Type="http://schemas.openxmlformats.org/officeDocument/2006/relationships/hyperlink" Target="https://www.100ppi.com/news/detail-20240423-3278843.html" TargetMode="External" Id="rId129"/><Relationship Type="http://schemas.openxmlformats.org/officeDocument/2006/relationships/hyperlink" Target="https://www.100ppi.com/news/detail-20240424-3281916.html" TargetMode="External" Id="rId130"/><Relationship Type="http://schemas.openxmlformats.org/officeDocument/2006/relationships/hyperlink" Target="https://www.100ppi.com/news/detail-20240425-3285023.html" TargetMode="External" Id="rId131"/><Relationship Type="http://schemas.openxmlformats.org/officeDocument/2006/relationships/hyperlink" Target="https://www.100ppi.com/news/detail-20240426-3285783.html" TargetMode="External" Id="rId132"/><Relationship Type="http://schemas.openxmlformats.org/officeDocument/2006/relationships/hyperlink" Target="https://www.100ppi.com/news/detail-20240429-3292612.html" TargetMode="External" Id="rId133"/><Relationship Type="http://schemas.openxmlformats.org/officeDocument/2006/relationships/hyperlink" Target="https://www.100ppi.com/news/detail-20240430-3297629.html" TargetMode="External" Id="rId134"/><Relationship Type="http://schemas.openxmlformats.org/officeDocument/2006/relationships/hyperlink" Target="https://www.100ppi.com/news/detail-20240521-3346008.html" TargetMode="External" Id="rId135"/><Relationship Type="http://schemas.openxmlformats.org/officeDocument/2006/relationships/hyperlink" Target="https://www.100ppi.com/news/detail-20240522-3346800.html" TargetMode="External" Id="rId136"/><Relationship Type="http://schemas.openxmlformats.org/officeDocument/2006/relationships/hyperlink" Target="https://www.100ppi.com/news/detail-20240523-3349888.html" TargetMode="External" Id="rId137"/><Relationship Type="http://schemas.openxmlformats.org/officeDocument/2006/relationships/hyperlink" Target="https://www.100ppi.com/news/detail-20240524-3352746.html" TargetMode="External" Id="rId138"/><Relationship Type="http://schemas.openxmlformats.org/officeDocument/2006/relationships/hyperlink" Target="https://www.100ppi.com/news/detail-20240527-3357560.html" TargetMode="External" Id="rId139"/><Relationship Type="http://schemas.openxmlformats.org/officeDocument/2006/relationships/hyperlink" Target="https://www.100ppi.com/news/detail-20240528-3363644.html" TargetMode="External" Id="rId140"/><Relationship Type="http://schemas.openxmlformats.org/officeDocument/2006/relationships/hyperlink" Target="https://www.100ppi.com/news/detail-20240529-3364393.html" TargetMode="External" Id="rId141"/><Relationship Type="http://schemas.openxmlformats.org/officeDocument/2006/relationships/hyperlink" Target="https://www.100ppi.com/news/detail-20240530-3367683.html" TargetMode="External" Id="rId142"/><Relationship Type="http://schemas.openxmlformats.org/officeDocument/2006/relationships/hyperlink" Target="https://www.100ppi.com/news/detail-20240531-3370985.html" TargetMode="External" Id="rId143"/><Relationship Type="http://schemas.openxmlformats.org/officeDocument/2006/relationships/hyperlink" Target="https://www.100ppi.com/news/detail-20240603-3378746.html" TargetMode="External" Id="rId144"/><Relationship Type="http://schemas.openxmlformats.org/officeDocument/2006/relationships/hyperlink" Target="https://www.100ppi.com/news/detail-20240604-3382401.html" TargetMode="External" Id="rId145"/><Relationship Type="http://schemas.openxmlformats.org/officeDocument/2006/relationships/hyperlink" Target="https://www.100ppi.com/news/detail-20240605-3385586.html" TargetMode="External" Id="rId146"/><Relationship Type="http://schemas.openxmlformats.org/officeDocument/2006/relationships/hyperlink" Target="https://www.100ppi.com/news/detail-20240606-3386399.html" TargetMode="External" Id="rId147"/><Relationship Type="http://schemas.openxmlformats.org/officeDocument/2006/relationships/hyperlink" Target="https://www.100ppi.com/news/detail-20240607-3391908.html" TargetMode="External" Id="rId148"/><Relationship Type="http://schemas.openxmlformats.org/officeDocument/2006/relationships/hyperlink" Target="https://www.100ppi.com/news/detail-20240614-3407795.html" TargetMode="External" Id="rId149"/><Relationship Type="http://schemas.openxmlformats.org/officeDocument/2006/relationships/hyperlink" Target="https://www.100ppi.com/news/detail-20240617-3413568.html" TargetMode="External" Id="rId150"/><Relationship Type="http://schemas.openxmlformats.org/officeDocument/2006/relationships/hyperlink" Target="https://www.100ppi.com/news/detail-20240618-3416453.html" TargetMode="External" Id="rId151"/><Relationship Type="http://schemas.openxmlformats.org/officeDocument/2006/relationships/hyperlink" Target="https://www.100ppi.com/news/detail-20240619-3418962.html" TargetMode="External" Id="rId152"/><Relationship Type="http://schemas.openxmlformats.org/officeDocument/2006/relationships/hyperlink" Target="https://www.100ppi.com/news/detail-20240620-3422164.html" TargetMode="External" Id="rId153"/><Relationship Type="http://schemas.openxmlformats.org/officeDocument/2006/relationships/hyperlink" Target="https://www.100ppi.com/news/detail-20240621-3425226.html" TargetMode="External" Id="rId154"/><Relationship Type="http://schemas.openxmlformats.org/officeDocument/2006/relationships/hyperlink" Target="https://www.100ppi.com/news/detail-20240624-3430684.html" TargetMode="External" Id="rId155"/><Relationship Type="http://schemas.openxmlformats.org/officeDocument/2006/relationships/hyperlink" Target="https://www.100ppi.com/news/detail-20240626-3436804.html" TargetMode="External" Id="rId156"/><Relationship Type="http://schemas.openxmlformats.org/officeDocument/2006/relationships/hyperlink" Target="https://www.100ppi.com/news/detail-20240627-3439799.html" TargetMode="External" Id="rId157"/><Relationship Type="http://schemas.openxmlformats.org/officeDocument/2006/relationships/hyperlink" Target="https://www.100ppi.com/news/detail-20240628-3442384.html" TargetMode="External" Id="rId158"/><Relationship Type="http://schemas.openxmlformats.org/officeDocument/2006/relationships/hyperlink" Target="https://www.100ppi.com/news/detail-20240701-3448276.html" TargetMode="External" Id="rId159"/><Relationship Type="http://schemas.openxmlformats.org/officeDocument/2006/relationships/hyperlink" Target="https://www.100ppi.com/news/detail-20240702-3451081.html" TargetMode="External" Id="rId160"/><Relationship Type="http://schemas.openxmlformats.org/officeDocument/2006/relationships/hyperlink" Target="https://www.100ppi.com/news/detail-20240703-3454306.html" TargetMode="External" Id="rId161"/><Relationship Type="http://schemas.openxmlformats.org/officeDocument/2006/relationships/hyperlink" Target="https://www.100ppi.com/news/detail-20240704-3457470.html" TargetMode="External" Id="rId162"/><Relationship Type="http://schemas.openxmlformats.org/officeDocument/2006/relationships/hyperlink" Target="https://www.100ppi.com/news/detail-20240705-3460547.html" TargetMode="External" Id="rId163"/><Relationship Type="http://schemas.openxmlformats.org/officeDocument/2006/relationships/hyperlink" Target="https://www.100ppi.com/news/detail-20240708-3465637.html" TargetMode="External" Id="rId164"/><Relationship Type="http://schemas.openxmlformats.org/officeDocument/2006/relationships/hyperlink" Target="https://www.100ppi.com/news/detail-20240709-3469040.html" TargetMode="External" Id="rId165"/><Relationship Type="http://schemas.openxmlformats.org/officeDocument/2006/relationships/hyperlink" Target="https://www.100ppi.com/news/detail-20240710-3472534.html" TargetMode="External" Id="rId166"/><Relationship Type="http://schemas.openxmlformats.org/officeDocument/2006/relationships/hyperlink" Target="https://www.100ppi.com/news/detail-20240711-3475770.html" TargetMode="External" Id="rId167"/><Relationship Type="http://schemas.openxmlformats.org/officeDocument/2006/relationships/hyperlink" Target="https://www.100ppi.com/news/detail-20240712-3478905.html" TargetMode="External" Id="rId168"/><Relationship Type="http://schemas.openxmlformats.org/officeDocument/2006/relationships/hyperlink" Target="https://www.100ppi.com/news/detail-20240715-3485246.html" TargetMode="External" Id="rId169"/><Relationship Type="http://schemas.openxmlformats.org/officeDocument/2006/relationships/hyperlink" Target="https://www.100ppi.com/news/detail-20240716-3488777.html" TargetMode="External" Id="rId170"/><Relationship Type="http://schemas.openxmlformats.org/officeDocument/2006/relationships/hyperlink" Target="https://www.100ppi.com/news/detail-20240717-3492211.html" TargetMode="External" Id="rId171"/><Relationship Type="http://schemas.openxmlformats.org/officeDocument/2006/relationships/hyperlink" Target="https://www.100ppi.com/news/detail-20240718-3495294.html" TargetMode="External" Id="rId172"/><Relationship Type="http://schemas.openxmlformats.org/officeDocument/2006/relationships/hyperlink" Target="https://www.100ppi.com/news/detail-20240719-3498833.html" TargetMode="External" Id="rId173"/><Relationship Type="http://schemas.openxmlformats.org/officeDocument/2006/relationships/hyperlink" Target="https://www.100ppi.com/news/detail-20240722-3505123.html" TargetMode="External" Id="rId174"/><Relationship Type="http://schemas.openxmlformats.org/officeDocument/2006/relationships/hyperlink" Target="https://www.100ppi.com/news/detail-20240723-3508275.html" TargetMode="External" Id="rId175"/><Relationship Type="http://schemas.openxmlformats.org/officeDocument/2006/relationships/hyperlink" Target="https://www.100ppi.com/news/detail-20240724-3511756.html" TargetMode="External" Id="rId176"/><Relationship Type="http://schemas.openxmlformats.org/officeDocument/2006/relationships/hyperlink" Target="https://www.100ppi.com/news/detail-20240725-3514828.html" TargetMode="External" Id="rId177"/><Relationship Type="http://schemas.openxmlformats.org/officeDocument/2006/relationships/hyperlink" Target="https://www.100ppi.com/news/detail-20240726-3516459.html" TargetMode="External" Id="rId178"/><Relationship Type="http://schemas.openxmlformats.org/officeDocument/2006/relationships/hyperlink" Target="https://www.100ppi.com/news/detail-20240729-3521988.html" TargetMode="External" Id="rId179"/><Relationship Type="http://schemas.openxmlformats.org/officeDocument/2006/relationships/hyperlink" Target="https://www.100ppi.com/news/detail-20240730-3525053.html" TargetMode="External" Id="rId180"/><Relationship Type="http://schemas.openxmlformats.org/officeDocument/2006/relationships/hyperlink" Target="https://www.100ppi.com/news/detail-20240731-3528800.html" TargetMode="External" Id="rId181"/><Relationship Type="http://schemas.openxmlformats.org/officeDocument/2006/relationships/hyperlink" Target="https://www.100ppi.com/news/detail-20240801-3532578.html" TargetMode="External" Id="rId182"/><Relationship Type="http://schemas.openxmlformats.org/officeDocument/2006/relationships/hyperlink" Target="https://www.100ppi.com/news/detail-20240802-3535488.html" TargetMode="External" Id="rId183"/><Relationship Type="http://schemas.openxmlformats.org/officeDocument/2006/relationships/hyperlink" Target="https://www.100ppi.com/news/detail-20240805-3542248.html" TargetMode="External" Id="rId184"/><Relationship Type="http://schemas.openxmlformats.org/officeDocument/2006/relationships/hyperlink" Target="https://www.100ppi.com/news/detail-20240806-3545860.html" TargetMode="External" Id="rId185"/><Relationship Type="http://schemas.openxmlformats.org/officeDocument/2006/relationships/hyperlink" Target="https://www.100ppi.com/news/detail-20240807-3549677.html" TargetMode="External" Id="rId186"/><Relationship Type="http://schemas.openxmlformats.org/officeDocument/2006/relationships/hyperlink" Target="https://www.100ppi.com/news/detail-20240808-3552948.html" TargetMode="External" Id="rId187"/><Relationship Type="http://schemas.openxmlformats.org/officeDocument/2006/relationships/hyperlink" Target="https://www.100ppi.com/news/detail-20240809-3556701.html" TargetMode="External" Id="rId188"/><Relationship Type="http://schemas.openxmlformats.org/officeDocument/2006/relationships/hyperlink" Target="https://www.100ppi.com/news/detail-20240812-3563055.html" TargetMode="External" Id="rId189"/><Relationship Type="http://schemas.openxmlformats.org/officeDocument/2006/relationships/hyperlink" Target="https://www.100ppi.com/news/detail-20240813-3566954.html" TargetMode="External" Id="rId190"/><Relationship Type="http://schemas.openxmlformats.org/officeDocument/2006/relationships/hyperlink" Target="https://www.100ppi.com/news/detail-20240814-3569978.html" TargetMode="External" Id="rId191"/><Relationship Type="http://schemas.openxmlformats.org/officeDocument/2006/relationships/hyperlink" Target="https://www.100ppi.com/news/detail-20240815-3573348.html" TargetMode="External" Id="rId192"/><Relationship Type="http://schemas.openxmlformats.org/officeDocument/2006/relationships/hyperlink" Target="https://www.100ppi.com/news/detail-20240816-3577073.html" TargetMode="External" Id="rId193"/><Relationship Type="http://schemas.openxmlformats.org/officeDocument/2006/relationships/hyperlink" Target="https://www.100ppi.com/news/detail-20240819-3583250.html" TargetMode="External" Id="rId194"/><Relationship Type="http://schemas.openxmlformats.org/officeDocument/2006/relationships/hyperlink" Target="https://www.100ppi.com/news/detail-20240820-3587093.html" TargetMode="External" Id="rId195"/><Relationship Type="http://schemas.openxmlformats.org/officeDocument/2006/relationships/hyperlink" Target="https://www.100ppi.com/news/detail-20240821-3590608.html" TargetMode="External" Id="rId196"/><Relationship Type="http://schemas.openxmlformats.org/officeDocument/2006/relationships/hyperlink" Target="https://www.100ppi.com/news/detail-20240822-3594313.html" TargetMode="External" Id="rId197"/><Relationship Type="http://schemas.openxmlformats.org/officeDocument/2006/relationships/hyperlink" Target="https://www.100ppi.com/news/detail-20240823-3598120.html" TargetMode="External" Id="rId198"/><Relationship Type="http://schemas.openxmlformats.org/officeDocument/2006/relationships/hyperlink" Target="https://www.100ppi.com/news/detail-20240826-3605556.html" TargetMode="External" Id="rId199"/><Relationship Type="http://schemas.openxmlformats.org/officeDocument/2006/relationships/hyperlink" Target="https://www.100ppi.com/news/detail-20240827-3609454.html" TargetMode="External" Id="rId200"/><Relationship Type="http://schemas.openxmlformats.org/officeDocument/2006/relationships/hyperlink" Target="https://www.100ppi.com/news/detail-20240828-3613807.html" TargetMode="External" Id="rId201"/><Relationship Type="http://schemas.openxmlformats.org/officeDocument/2006/relationships/hyperlink" Target="https://www.100ppi.com/news/detail-20240829-3617748.html" TargetMode="External" Id="rId202"/><Relationship Type="http://schemas.openxmlformats.org/officeDocument/2006/relationships/hyperlink" Target="https://www.100ppi.com/news/detail-20240830-3621059.html" TargetMode="External" Id="rId203"/><Relationship Type="http://schemas.openxmlformats.org/officeDocument/2006/relationships/hyperlink" Target="https://www.100ppi.com/news/detail-20240902-3627934.html" TargetMode="External" Id="rId204"/><Relationship Type="http://schemas.openxmlformats.org/officeDocument/2006/relationships/hyperlink" Target="https://www.100ppi.com/news/detail-20240903-3632329.html" TargetMode="External" Id="rId205"/><Relationship Type="http://schemas.openxmlformats.org/officeDocument/2006/relationships/hyperlink" Target="https://www.100ppi.com/news/detail-20240904-3636142.html" TargetMode="External" Id="rId206"/><Relationship Type="http://schemas.openxmlformats.org/officeDocument/2006/relationships/hyperlink" Target="https://www.100ppi.com/news/detail-20240905-3639991.html" TargetMode="External" Id="rId207"/><Relationship Type="http://schemas.openxmlformats.org/officeDocument/2006/relationships/hyperlink" Target="https://www.100ppi.com/news/detail-20240906-3643858.html" TargetMode="External" Id="rId208"/><Relationship Type="http://schemas.openxmlformats.org/officeDocument/2006/relationships/hyperlink" Target="https://www.100ppi.com/news/detail-20240909-3650133.html" TargetMode="External" Id="rId209"/><Relationship Type="http://schemas.openxmlformats.org/officeDocument/2006/relationships/hyperlink" Target="https://www.100ppi.com/news/detail-20240910-3653121.html" TargetMode="External" Id="rId210"/><Relationship Type="http://schemas.openxmlformats.org/officeDocument/2006/relationships/hyperlink" Target="https://www.100ppi.com/news/detail-20240911-3656964.html" TargetMode="External" Id="rId211"/><Relationship Type="http://schemas.openxmlformats.org/officeDocument/2006/relationships/hyperlink" Target="https://www.100ppi.com/news/detail-20240912-3660382.html" TargetMode="External" Id="rId212"/><Relationship Type="http://schemas.openxmlformats.org/officeDocument/2006/relationships/hyperlink" Target="https://www.100ppi.com/news/detail-20240913-3664121.html" TargetMode="External" Id="rId213"/><Relationship Type="http://schemas.openxmlformats.org/officeDocument/2006/relationships/hyperlink" Target="https://www.100ppi.com/news/detail-20240914-3666544.html" TargetMode="External" Id="rId214"/><Relationship Type="http://schemas.openxmlformats.org/officeDocument/2006/relationships/hyperlink" Target="https://www.100ppi.com/news/detail-20240918-3675066.html" TargetMode="External" Id="rId215"/><Relationship Type="http://schemas.openxmlformats.org/officeDocument/2006/relationships/hyperlink" Target="https://www.100ppi.com/news/detail-20240919-3678657.html" TargetMode="External" Id="rId216"/><Relationship Type="http://schemas.openxmlformats.org/officeDocument/2006/relationships/hyperlink" Target="https://www.100ppi.com/news/detail-20240920-3682050.html" TargetMode="External" Id="rId217"/><Relationship Type="http://schemas.openxmlformats.org/officeDocument/2006/relationships/hyperlink" Target="https://www.100ppi.com/news/detail-20240923-3689326.html" TargetMode="External" Id="rId218"/><Relationship Type="http://schemas.openxmlformats.org/officeDocument/2006/relationships/hyperlink" Target="https://www.100ppi.com/news/detail-20240924-3692358.html" TargetMode="External" Id="rId219"/><Relationship Type="http://schemas.openxmlformats.org/officeDocument/2006/relationships/hyperlink" Target="https://www.100ppi.com/news/detail-20240925-3695810.html" TargetMode="External" Id="rId220"/><Relationship Type="http://schemas.openxmlformats.org/officeDocument/2006/relationships/hyperlink" Target="https://www.100ppi.com/news/detail-20240926-3698483.html" TargetMode="External" Id="rId221"/><Relationship Type="http://schemas.openxmlformats.org/officeDocument/2006/relationships/hyperlink" Target="https://www.100ppi.com/news/detail-20240927-3702038.html" TargetMode="External" Id="rId222"/><Relationship Type="http://schemas.openxmlformats.org/officeDocument/2006/relationships/hyperlink" Target="https://www.100ppi.com/news/detail-20240929-3706859.html" TargetMode="External" Id="rId223"/><Relationship Type="http://schemas.openxmlformats.org/officeDocument/2006/relationships/hyperlink" Target="https://www.100ppi.com/news/detail-20241008-3721323.html" TargetMode="External" Id="rId224"/><Relationship Type="http://schemas.openxmlformats.org/officeDocument/2006/relationships/hyperlink" Target="https://www.100ppi.com/news/detail-20241009-3724839.html" TargetMode="External" Id="rId225"/><Relationship Type="http://schemas.openxmlformats.org/officeDocument/2006/relationships/hyperlink" Target="https://www.100ppi.com/news/detail-20241010-3728269.html" TargetMode="External" Id="rId226"/><Relationship Type="http://schemas.openxmlformats.org/officeDocument/2006/relationships/hyperlink" Target="https://www.100ppi.com/news/detail-20241011-3731630.html" TargetMode="External" Id="rId227"/><Relationship Type="http://schemas.openxmlformats.org/officeDocument/2006/relationships/hyperlink" Target="https://www.100ppi.com/news/detail-20241012-3734603.html" TargetMode="External" Id="rId228"/><Relationship Type="http://schemas.openxmlformats.org/officeDocument/2006/relationships/hyperlink" Target="https://www.100ppi.com/news/detail-20241015-3743104.html" TargetMode="External" Id="rId229"/><Relationship Type="http://schemas.openxmlformats.org/officeDocument/2006/relationships/hyperlink" Target="https://www.100ppi.com/news/detail-20241016-3746587.html" TargetMode="External" Id="rId230"/><Relationship Type="http://schemas.openxmlformats.org/officeDocument/2006/relationships/hyperlink" Target="https://www.100ppi.com/news/detail-20241017-3750036.html" TargetMode="External" Id="rId231"/><Relationship Type="http://schemas.openxmlformats.org/officeDocument/2006/relationships/hyperlink" Target="https://www.100ppi.com/news/detail-20241018-3753506.html" TargetMode="External" Id="rId232"/><Relationship Type="http://schemas.openxmlformats.org/officeDocument/2006/relationships/hyperlink" Target="https://www.100ppi.com/news/detail-20241021-3760471.html" TargetMode="External" Id="rId233"/><Relationship Type="http://schemas.openxmlformats.org/officeDocument/2006/relationships/hyperlink" Target="https://www.100ppi.com/news/detail-20241022-3764287.html" TargetMode="External" Id="rId234"/><Relationship Type="http://schemas.openxmlformats.org/officeDocument/2006/relationships/hyperlink" Target="https://www.100ppi.com/news/detail-20241024-3771324.html" TargetMode="External" Id="rId235"/><Relationship Type="http://schemas.openxmlformats.org/officeDocument/2006/relationships/hyperlink" Target="https://www.100ppi.com/news/detail-20241025-3774636.html" TargetMode="External" Id="rId236"/><Relationship Type="http://schemas.openxmlformats.org/officeDocument/2006/relationships/hyperlink" Target="https://www.100ppi.com/news/detail-20241028-3779924.html" TargetMode="External" Id="rId237"/><Relationship Type="http://schemas.openxmlformats.org/officeDocument/2006/relationships/hyperlink" Target="https://www.100ppi.com/news/detail-20241029-3783459.html" TargetMode="External" Id="rId238"/><Relationship Type="http://schemas.openxmlformats.org/officeDocument/2006/relationships/hyperlink" Target="https://www.100ppi.com/news/detail-20241030-3787101.html" TargetMode="External" Id="rId239"/><Relationship Type="http://schemas.openxmlformats.org/officeDocument/2006/relationships/hyperlink" Target="https://www.100ppi.com/news/detail-20241031-3790504.html" TargetMode="External" Id="rId240"/><Relationship Type="http://schemas.openxmlformats.org/officeDocument/2006/relationships/hyperlink" Target="https://www.100ppi.com/news/detail-20241101-3794047.html" TargetMode="External" Id="rId241"/><Relationship Type="http://schemas.openxmlformats.org/officeDocument/2006/relationships/hyperlink" Target="https://www.100ppi.com/news/detail-20241104-3801527.html" TargetMode="External" Id="rId242"/><Relationship Type="http://schemas.openxmlformats.org/officeDocument/2006/relationships/hyperlink" Target="https://www.100ppi.com/news/detail-20241105-3804996.html" TargetMode="External" Id="rId243"/><Relationship Type="http://schemas.openxmlformats.org/officeDocument/2006/relationships/hyperlink" Target="https://www.100ppi.com/news/detail-20241106-3808466.html" TargetMode="External" Id="rId244"/><Relationship Type="http://schemas.openxmlformats.org/officeDocument/2006/relationships/hyperlink" Target="https://www.100ppi.com/news/detail-20241107-3811870.html" TargetMode="External" Id="rId245"/><Relationship Type="http://schemas.openxmlformats.org/officeDocument/2006/relationships/hyperlink" Target="https://www.100ppi.com/news/detail-20241108-3815342.html" TargetMode="External" Id="rId246"/><Relationship Type="http://schemas.openxmlformats.org/officeDocument/2006/relationships/hyperlink" Target="https://www.100ppi.com/news/detail-20241111-3821409.html" TargetMode="External" Id="rId247"/><Relationship Type="http://schemas.openxmlformats.org/officeDocument/2006/relationships/hyperlink" Target="https://www.100ppi.com/news/detail-20241112-3824888.html" TargetMode="External" Id="rId248"/><Relationship Type="http://schemas.openxmlformats.org/officeDocument/2006/relationships/hyperlink" Target="https://www.100ppi.com/news/detail-20241113-3828386.html" TargetMode="External" Id="rId249"/><Relationship Type="http://schemas.openxmlformats.org/officeDocument/2006/relationships/hyperlink" Target="https://www.100ppi.com/news/detail-20241114-3831488.html" TargetMode="External" Id="rId250"/><Relationship Type="http://schemas.openxmlformats.org/officeDocument/2006/relationships/hyperlink" Target="https://www.100ppi.com/news/detail-20241115-3834955.html" TargetMode="External" Id="rId251"/><Relationship Type="http://schemas.openxmlformats.org/officeDocument/2006/relationships/hyperlink" Target="https://www.100ppi.com/news/detail-20241118-3842592.html" TargetMode="External" Id="rId252"/><Relationship Type="http://schemas.openxmlformats.org/officeDocument/2006/relationships/hyperlink" Target="https://www.100ppi.com/news/detail-20241119-3846135.html" TargetMode="External" Id="rId253"/><Relationship Type="http://schemas.openxmlformats.org/officeDocument/2006/relationships/hyperlink" Target="https://www.100ppi.com/news/detail-20241120-3849637.html" TargetMode="External" Id="rId254"/><Relationship Type="http://schemas.openxmlformats.org/officeDocument/2006/relationships/hyperlink" Target="https://www.100ppi.com/news/detail-20241121-3852918.html" TargetMode="External" Id="rId255"/><Relationship Type="http://schemas.openxmlformats.org/officeDocument/2006/relationships/hyperlink" Target="https://www.100ppi.com/news/detail-20241122-3856447.html" TargetMode="External" Id="rId256"/><Relationship Type="http://schemas.openxmlformats.org/officeDocument/2006/relationships/hyperlink" Target="https://www.100ppi.com/news/detail-20241125-3861955.html" TargetMode="External" Id="rId257"/><Relationship Type="http://schemas.openxmlformats.org/officeDocument/2006/relationships/hyperlink" Target="https://www.100ppi.com/news/detail-20241126-3865505.html" TargetMode="External" Id="rId258"/><Relationship Type="http://schemas.openxmlformats.org/officeDocument/2006/relationships/hyperlink" Target="https://www.100ppi.com/news/detail-20241127-3868769.html" TargetMode="External" Id="rId259"/><Relationship Type="http://schemas.openxmlformats.org/officeDocument/2006/relationships/hyperlink" Target="https://www.100ppi.com/news/detail-20241128-3871823.html" TargetMode="External" Id="rId260"/><Relationship Type="http://schemas.openxmlformats.org/officeDocument/2006/relationships/hyperlink" Target="https://www.100ppi.com/news/detail-20241129-3875335.html" TargetMode="External" Id="rId261"/><Relationship Type="http://schemas.openxmlformats.org/officeDocument/2006/relationships/hyperlink" Target="https://www.100ppi.com/news/detail-20241202-3881259.html" TargetMode="External" Id="rId262"/><Relationship Type="http://schemas.openxmlformats.org/officeDocument/2006/relationships/hyperlink" Target="https://www.100ppi.com/news/detail-20241203-3884836.html" TargetMode="External" Id="rId263"/><Relationship Type="http://schemas.openxmlformats.org/officeDocument/2006/relationships/hyperlink" Target="https://www.100ppi.com/news/detail-20241204-3888546.html" TargetMode="External" Id="rId264"/><Relationship Type="http://schemas.openxmlformats.org/officeDocument/2006/relationships/hyperlink" Target="https://www.100ppi.com/news/detail-20241205-3892061.html" TargetMode="External" Id="rId265"/><Relationship Type="http://schemas.openxmlformats.org/officeDocument/2006/relationships/hyperlink" Target="https://www.100ppi.com/news/detail-20241206-3896130.html" TargetMode="External" Id="rId266"/><Relationship Type="http://schemas.openxmlformats.org/officeDocument/2006/relationships/hyperlink" Target="https://www.100ppi.com/news/detail-20241210-3902655.html" TargetMode="External" Id="rId267"/><Relationship Type="http://schemas.openxmlformats.org/officeDocument/2006/relationships/hyperlink" Target="https://www.100ppi.com/news/detail-20241211-3909835.html" TargetMode="External" Id="rId268"/><Relationship Type="http://schemas.openxmlformats.org/officeDocument/2006/relationships/hyperlink" Target="https://www.100ppi.com/news/detail-20241212-3913626.html" TargetMode="External" Id="rId269"/><Relationship Type="http://schemas.openxmlformats.org/officeDocument/2006/relationships/hyperlink" Target="https://www.100ppi.com/news/detail-20241213-3916647.html" TargetMode="External" Id="rId270"/><Relationship Type="http://schemas.openxmlformats.org/officeDocument/2006/relationships/hyperlink" Target="https://www.100ppi.com/news/detail-20241216-3923624.html" TargetMode="External" Id="rId271"/><Relationship Type="http://schemas.openxmlformats.org/officeDocument/2006/relationships/hyperlink" Target="https://www.100ppi.com/news/detail-20241217-3927485.html" TargetMode="External" Id="rId272"/><Relationship Type="http://schemas.openxmlformats.org/officeDocument/2006/relationships/hyperlink" Target="https://www.100ppi.com/news/detail-20241218-3931318.html" TargetMode="External" Id="rId273"/><Relationship Type="http://schemas.openxmlformats.org/officeDocument/2006/relationships/hyperlink" Target="https://www.100ppi.com/news/detail-20241219-3934527.html" TargetMode="External" Id="rId274"/><Relationship Type="http://schemas.openxmlformats.org/officeDocument/2006/relationships/hyperlink" Target="https://www.100ppi.com/news/detail-20241220-3938413.html" TargetMode="External" Id="rId275"/><Relationship Type="http://schemas.openxmlformats.org/officeDocument/2006/relationships/hyperlink" Target="https://www.100ppi.com/news/detail-20241223-3945959.html" TargetMode="External" Id="rId276"/><Relationship Type="http://schemas.openxmlformats.org/officeDocument/2006/relationships/hyperlink" Target="https://www.100ppi.com/news/detail-20241224-3949914.html" TargetMode="External" Id="rId277"/><Relationship Type="http://schemas.openxmlformats.org/officeDocument/2006/relationships/hyperlink" Target="https://www.100ppi.com/news/detail-20241225-3953736.html" TargetMode="External" Id="rId278"/><Relationship Type="http://schemas.openxmlformats.org/officeDocument/2006/relationships/hyperlink" Target="https://www.100ppi.com/news/detail-20241226-3957519.html" TargetMode="External" Id="rId279"/><Relationship Type="http://schemas.openxmlformats.org/officeDocument/2006/relationships/hyperlink" Target="https://www.100ppi.com/news/detail-20241227-3961319.html" TargetMode="External" Id="rId280"/><Relationship Type="http://schemas.openxmlformats.org/officeDocument/2006/relationships/hyperlink" Target="https://www.100ppi.com/news/detail-20241231-3973256.html" TargetMode="External" Id="rId281"/><Relationship Type="http://schemas.openxmlformats.org/officeDocument/2006/relationships/hyperlink" Target="https://www.100ppi.com/news/detail-20250102-3978003.html" TargetMode="External" Id="rId282"/><Relationship Type="http://schemas.openxmlformats.org/officeDocument/2006/relationships/hyperlink" Target="https://www.100ppi.com/news/detail-20250103-3981557.html" TargetMode="External" Id="rId283"/><Relationship Type="http://schemas.openxmlformats.org/officeDocument/2006/relationships/hyperlink" Target="https://www.100ppi.com/news/detail-20250106-3988143.html" TargetMode="External" Id="rId284"/><Relationship Type="http://schemas.openxmlformats.org/officeDocument/2006/relationships/hyperlink" Target="https://www.100ppi.com/news/detail-20250107-3992053.html" TargetMode="External" Id="rId285"/><Relationship Type="http://schemas.openxmlformats.org/officeDocument/2006/relationships/hyperlink" Target="https://www.100ppi.com/news/detail-20250108-3995898.html" TargetMode="External" Id="rId286"/><Relationship Type="http://schemas.openxmlformats.org/officeDocument/2006/relationships/hyperlink" Target="https://www.100ppi.com/news/detail-20250109-3999714.html" TargetMode="External" Id="rId287"/><Relationship Type="http://schemas.openxmlformats.org/officeDocument/2006/relationships/hyperlink" Target="https://www.100ppi.com/news/detail-20250110-4002756.html" TargetMode="External" Id="rId288"/><Relationship Type="http://schemas.openxmlformats.org/officeDocument/2006/relationships/hyperlink" Target="https://www.100ppi.com/news/detail-20250113-4008624.html" TargetMode="External" Id="rId289"/><Relationship Type="http://schemas.openxmlformats.org/officeDocument/2006/relationships/hyperlink" Target="https://www.100ppi.com/news/detail-20250114-4011776.html" TargetMode="External" Id="rId290"/><Relationship Type="http://schemas.openxmlformats.org/officeDocument/2006/relationships/hyperlink" Target="https://www.100ppi.com/news/detail-20250115-4014921.html" TargetMode="External" Id="rId291"/><Relationship Type="http://schemas.openxmlformats.org/officeDocument/2006/relationships/hyperlink" Target="https://www.100ppi.com/news/detail-20250116-4017694.html" TargetMode="External" Id="rId292"/><Relationship Type="http://schemas.openxmlformats.org/officeDocument/2006/relationships/hyperlink" Target="https://www.100ppi.com/news/detail-20250117-4020249.html" TargetMode="External" Id="rId293"/><Relationship Type="http://schemas.openxmlformats.org/officeDocument/2006/relationships/hyperlink" Target="https://www.100ppi.com/news/detail-20250120-4024539.html" TargetMode="External" Id="rId294"/><Relationship Type="http://schemas.openxmlformats.org/officeDocument/2006/relationships/hyperlink" Target="https://www.100ppi.com/news/detail-20250121-4026609.html" TargetMode="External" Id="rId295"/><Relationship Type="http://schemas.openxmlformats.org/officeDocument/2006/relationships/hyperlink" Target="https://www.100ppi.com/news/detail-20250122-4029002.html" TargetMode="External" Id="rId296"/><Relationship Type="http://schemas.openxmlformats.org/officeDocument/2006/relationships/hyperlink" Target="https://www.100ppi.com/news/detail-20250123-4030318.html" TargetMode="External" Id="rId297"/><Relationship Type="http://schemas.openxmlformats.org/officeDocument/2006/relationships/hyperlink" Target="https://www.100ppi.com/news/detail-20250124-4031416.html" TargetMode="External" Id="rId298"/><Relationship Type="http://schemas.openxmlformats.org/officeDocument/2006/relationships/hyperlink" Target="https://www.100ppi.com/news/detail-20250125-4031864.html" TargetMode="External" Id="rId299"/><Relationship Type="http://schemas.openxmlformats.org/officeDocument/2006/relationships/hyperlink" Target="https://www.100ppi.com/news/detail-20250206-4048825.html" TargetMode="External" Id="rId300"/><Relationship Type="http://schemas.openxmlformats.org/officeDocument/2006/relationships/hyperlink" Target="https://www.100ppi.com/news/detail-20250207-4052775.html" TargetMode="External" Id="rId301"/><Relationship Type="http://schemas.openxmlformats.org/officeDocument/2006/relationships/hyperlink" Target="https://www.100ppi.com/news/detail-20250208-4055576.html" TargetMode="External" Id="rId302"/><Relationship Type="http://schemas.openxmlformats.org/officeDocument/2006/relationships/hyperlink" Target="https://www.100ppi.com/news/detail-20250210-4060829.html" TargetMode="External" Id="rId303"/><Relationship Type="http://schemas.openxmlformats.org/officeDocument/2006/relationships/hyperlink" Target="https://www.100ppi.com/news/detail-20250211-4064536.html" TargetMode="External" Id="rId304"/><Relationship Type="http://schemas.openxmlformats.org/officeDocument/2006/relationships/hyperlink" Target="https://www.100ppi.com/news/detail-20250212-4068649.html" TargetMode="External" Id="rId305"/><Relationship Type="http://schemas.openxmlformats.org/officeDocument/2006/relationships/hyperlink" Target="https://www.100ppi.com/news/detail-20250213-4072216.html" TargetMode="External" Id="rId306"/><Relationship Type="http://schemas.openxmlformats.org/officeDocument/2006/relationships/hyperlink" Target="https://www.100ppi.com/news/detail-20250214-4075577.html" TargetMode="External" Id="rId307"/><Relationship Type="http://schemas.openxmlformats.org/officeDocument/2006/relationships/hyperlink" Target="https://www.100ppi.com/news/detail-20250217-4082512.html" TargetMode="External" Id="rId308"/><Relationship Type="http://schemas.openxmlformats.org/officeDocument/2006/relationships/hyperlink" Target="https://www.100ppi.com/news/detail-20250219-4090189.html" TargetMode="External" Id="rId309"/><Relationship Type="http://schemas.openxmlformats.org/officeDocument/2006/relationships/hyperlink" Target="https://www.100ppi.com/news/detail-20250220-4093843.html" TargetMode="External" Id="rId310"/><Relationship Type="http://schemas.openxmlformats.org/officeDocument/2006/relationships/hyperlink" Target="https://www.100ppi.com/news/detail-20250221-4097404.html" TargetMode="External" Id="rId311"/><Relationship Type="http://schemas.openxmlformats.org/officeDocument/2006/relationships/hyperlink" Target="https://www.100ppi.com/news/detail-20250224-4104503.html" TargetMode="External" Id="rId312"/><Relationship Type="http://schemas.openxmlformats.org/officeDocument/2006/relationships/hyperlink" Target="https://www.100ppi.com/news/detail-20250225-4108280.html" TargetMode="External" Id="rId313"/><Relationship Type="http://schemas.openxmlformats.org/officeDocument/2006/relationships/hyperlink" Target="https://www.100ppi.com/news/detail-20250226-4111952.html" TargetMode="External" Id="rId314"/><Relationship Type="http://schemas.openxmlformats.org/officeDocument/2006/relationships/hyperlink" Target="https://www.100ppi.com/news/detail-20250228-4118979.html" TargetMode="External" Id="rId315"/><Relationship Type="http://schemas.openxmlformats.org/officeDocument/2006/relationships/hyperlink" Target="https://www.100ppi.com/news/detail-20250303-4125114.html" TargetMode="External" Id="rId316"/><Relationship Type="http://schemas.openxmlformats.org/officeDocument/2006/relationships/hyperlink" Target="https://www.100ppi.com/news/detail-20250304-4129340.html" TargetMode="External" Id="rId317"/><Relationship Type="http://schemas.openxmlformats.org/officeDocument/2006/relationships/hyperlink" Target="https://www.100ppi.com/news/detail-20250305-4133312.html" TargetMode="External" Id="rId318"/><Relationship Type="http://schemas.openxmlformats.org/officeDocument/2006/relationships/hyperlink" Target="https://www.100ppi.com/news/detail-20250306-4136498.html" TargetMode="External" Id="rId319"/><Relationship Type="http://schemas.openxmlformats.org/officeDocument/2006/relationships/hyperlink" Target="https://www.100ppi.com/news/detail-20250307-4140076.html" TargetMode="External" Id="rId320"/><Relationship Type="http://schemas.openxmlformats.org/officeDocument/2006/relationships/hyperlink" Target="https://www.100ppi.com/news/detail-20250310-4147088.html" TargetMode="External" Id="rId321"/><Relationship Type="http://schemas.openxmlformats.org/officeDocument/2006/relationships/hyperlink" Target="https://www.100ppi.com/news/detail-20250311-4151051.html" TargetMode="External" Id="rId322"/><Relationship Type="http://schemas.openxmlformats.org/officeDocument/2006/relationships/hyperlink" Target="https://www.100ppi.com/news/detail-20250312-4154608.html" TargetMode="External" Id="rId323"/><Relationship Type="http://schemas.openxmlformats.org/officeDocument/2006/relationships/hyperlink" Target="https://www.100ppi.com/news/detail-20250313-4158490.html" TargetMode="External" Id="rId324"/><Relationship Type="http://schemas.openxmlformats.org/officeDocument/2006/relationships/hyperlink" Target="https://www.100ppi.com/news/detail-20250314-4162126.html" TargetMode="External" Id="rId325"/><Relationship Type="http://schemas.openxmlformats.org/officeDocument/2006/relationships/hyperlink" Target="https://www.100ppi.com/news/detail-20250318-4172197.html" TargetMode="External" Id="rId326"/><Relationship Type="http://schemas.openxmlformats.org/officeDocument/2006/relationships/hyperlink" Target="https://www.100ppi.com/news/detail-20250319-4176191.html" TargetMode="External" Id="rId327"/><Relationship Type="http://schemas.openxmlformats.org/officeDocument/2006/relationships/hyperlink" Target="https://www.100ppi.com/news/detail-20250320-4179887.html" TargetMode="External" Id="rId328"/><Relationship Type="http://schemas.openxmlformats.org/officeDocument/2006/relationships/hyperlink" Target="https://www.100ppi.com/news/detail-20250321-4183937.html" TargetMode="External" Id="rId329"/><Relationship Type="http://schemas.openxmlformats.org/officeDocument/2006/relationships/hyperlink" Target="https://www.100ppi.com/news/detail-20250325-4194415.html" TargetMode="External" Id="rId330"/><Relationship Type="http://schemas.openxmlformats.org/officeDocument/2006/relationships/hyperlink" Target="https://www.100ppi.com/news/detail-20250326-4197500.html" TargetMode="External" Id="rId331"/><Relationship Type="http://schemas.openxmlformats.org/officeDocument/2006/relationships/hyperlink" Target="https://www.100ppi.com/news/detail-20250327-4201260.html" TargetMode="External" Id="rId332"/><Relationship Type="http://schemas.openxmlformats.org/officeDocument/2006/relationships/hyperlink" Target="https://www.100ppi.com/news/detail-20250328-4204963.html" TargetMode="External" Id="rId333"/><Relationship Type="http://schemas.openxmlformats.org/officeDocument/2006/relationships/hyperlink" Target="https://www.100ppi.com/news/detail-20250402-4219430.html" TargetMode="External" Id="rId334"/><Relationship Type="http://schemas.openxmlformats.org/officeDocument/2006/relationships/hyperlink" Target="https://www.100ppi.com/news/detail-20250403-4222812.html" TargetMode="External" Id="rId335"/><Relationship Type="http://schemas.openxmlformats.org/officeDocument/2006/relationships/hyperlink" Target="https://www.100ppi.com/news/detail-20250408-4233268.html" TargetMode="External" Id="rId336"/><Relationship Type="http://schemas.openxmlformats.org/officeDocument/2006/relationships/hyperlink" Target="https://www.100ppi.com/news/detail-20250411-4245170.html" TargetMode="External" Id="rId337"/><Relationship Type="http://schemas.openxmlformats.org/officeDocument/2006/relationships/hyperlink" Target="https://www.100ppi.com/news/detail-20250415-4254991.html" TargetMode="External" Id="rId338"/><Relationship Type="http://schemas.openxmlformats.org/officeDocument/2006/relationships/hyperlink" Target="https://www.100ppi.com/news/detail-20250416-4257857.html" TargetMode="External" Id="rId339"/><Relationship Type="http://schemas.openxmlformats.org/officeDocument/2006/relationships/hyperlink" Target="https://www.100ppi.com/news/detail-20250417-4262317.html" TargetMode="External" Id="rId340"/><Relationship Type="http://schemas.openxmlformats.org/officeDocument/2006/relationships/hyperlink" Target="https://www.100ppi.com/news/detail-20250418-4266446.html" TargetMode="External" Id="rId341"/><Relationship Type="http://schemas.openxmlformats.org/officeDocument/2006/relationships/hyperlink" Target="https://www.100ppi.com/news/detail-20250422-4278901.html" TargetMode="External" Id="rId342"/><Relationship Type="http://schemas.openxmlformats.org/officeDocument/2006/relationships/hyperlink" Target="https://www.100ppi.com/news/detail-20250424-4286995.html" TargetMode="External" Id="rId343"/><Relationship Type="http://schemas.openxmlformats.org/officeDocument/2006/relationships/hyperlink" Target="https://www.100ppi.com/news/detail-20250425-4291441.html" TargetMode="External" Id="rId344"/><Relationship Type="http://schemas.openxmlformats.org/officeDocument/2006/relationships/hyperlink" Target="https://www.100ppi.com/news/detail-20250427-4296740.html" TargetMode="External" Id="rId345"/><Relationship Type="http://schemas.openxmlformats.org/officeDocument/2006/relationships/hyperlink" Target="https://www.100ppi.com/news/detail-20250428-4300919.html" TargetMode="External" Id="rId346"/><Relationship Type="http://schemas.openxmlformats.org/officeDocument/2006/relationships/hyperlink" Target="https://www.100ppi.com/news/detail-20250429-4304769.html" TargetMode="External" Id="rId347"/><Relationship Type="http://schemas.openxmlformats.org/officeDocument/2006/relationships/hyperlink" Target="https://www.100ppi.com/news/detail-20250430-4308453.html" TargetMode="External" Id="rId348"/><Relationship Type="http://schemas.openxmlformats.org/officeDocument/2006/relationships/hyperlink" Target="https://www.100ppi.com/news/detail-20250507-4324786.html" TargetMode="External" Id="rId349"/><Relationship Type="http://schemas.openxmlformats.org/officeDocument/2006/relationships/hyperlink" Target="https://www.100ppi.com/news/detail-20250509-4332616.html" TargetMode="External" Id="rId350"/><Relationship Type="http://schemas.openxmlformats.org/officeDocument/2006/relationships/hyperlink" Target="https://www.100ppi.com/news/detail-20250512-4339520.html" TargetMode="External" Id="rId351"/><Relationship Type="http://schemas.openxmlformats.org/officeDocument/2006/relationships/hyperlink" Target="https://www.100ppi.com/news/detail-20250513-4343805.html" TargetMode="External" Id="rId352"/><Relationship Type="http://schemas.openxmlformats.org/officeDocument/2006/relationships/hyperlink" Target="https://www.100ppi.com/news/detail-20250514-4348671.html" TargetMode="External" Id="rId353"/><Relationship Type="http://schemas.openxmlformats.org/officeDocument/2006/relationships/hyperlink" Target="https://www.100ppi.com/news/detail-20250515-4353005.html" TargetMode="External" Id="rId354"/><Relationship Type="http://schemas.openxmlformats.org/officeDocument/2006/relationships/hyperlink" Target="https://www.100ppi.com/news/detail-20250516-4356944.html" TargetMode="External" Id="rId355"/><Relationship Type="http://schemas.openxmlformats.org/officeDocument/2006/relationships/hyperlink" Target="https://www.100ppi.com/news/detail-20250519-4363355.html" TargetMode="External" Id="rId356"/><Relationship Type="http://schemas.openxmlformats.org/officeDocument/2006/relationships/hyperlink" Target="https://www.100ppi.com/news/detail-20250521-4371633.html" TargetMode="External" Id="rId357"/><Relationship Type="http://schemas.openxmlformats.org/officeDocument/2006/relationships/hyperlink" Target="https://www.100ppi.com/news/detail-20250526-4385506.html" TargetMode="External" Id="rId358"/><Relationship Type="http://schemas.openxmlformats.org/officeDocument/2006/relationships/hyperlink" Target="https://www.100ppi.com/news/detail-20250528-4393653.html" TargetMode="External" Id="rId359"/><Relationship Type="http://schemas.openxmlformats.org/officeDocument/2006/relationships/hyperlink" Target="https://www.100ppi.com/news/detail-20250530-4401745.html" TargetMode="External" Id="rId360"/><Relationship Type="http://schemas.openxmlformats.org/officeDocument/2006/relationships/hyperlink" Target="https://www.100ppi.com/news/detail-20250604-4415073.html" TargetMode="External" Id="rId361"/><Relationship Type="http://schemas.openxmlformats.org/officeDocument/2006/relationships/hyperlink" Target="https://www.100ppi.com/news/detail-20250605-4419109.html" TargetMode="External" Id="rId362"/><Relationship Type="http://schemas.openxmlformats.org/officeDocument/2006/relationships/hyperlink" Target="https://www.100ppi.com/news/detail-20250606-4423567.html" TargetMode="External" Id="rId363"/><Relationship Type="http://schemas.openxmlformats.org/officeDocument/2006/relationships/hyperlink" Target="https://www.100ppi.com/news/detail-20250610-4434931.html" TargetMode="External" Id="rId364"/><Relationship Type="http://schemas.openxmlformats.org/officeDocument/2006/relationships/hyperlink" Target="https://www.100ppi.com/news/detail-20250611-4439365.html" TargetMode="External" Id="rId365"/><Relationship Type="http://schemas.openxmlformats.org/officeDocument/2006/relationships/hyperlink" Target="https://www.100ppi.com/news/detail-20250612-4442919.html" TargetMode="External" Id="rId366"/><Relationship Type="http://schemas.openxmlformats.org/officeDocument/2006/relationships/hyperlink" Target="https://www.100ppi.com/news/detail-20250613-4447246.html" TargetMode="External" Id="rId367"/><Relationship Type="http://schemas.openxmlformats.org/officeDocument/2006/relationships/hyperlink" Target="https://www.100ppi.com/news/detail-20250616-4455864.html" TargetMode="External" Id="rId368"/><Relationship Type="http://schemas.openxmlformats.org/officeDocument/2006/relationships/hyperlink" Target="https://www.100ppi.com/news/detail-20250617-4459669.html" TargetMode="External" Id="rId369"/><Relationship Type="http://schemas.openxmlformats.org/officeDocument/2006/relationships/hyperlink" Target="https://www.100ppi.com/news/detail-20250618-4463989.html" TargetMode="External" Id="rId370"/><Relationship Type="http://schemas.openxmlformats.org/officeDocument/2006/relationships/hyperlink" Target="https://www.100ppi.com/news/detail-20250619-4468312.html" TargetMode="External" Id="rId371"/><Relationship Type="http://schemas.openxmlformats.org/officeDocument/2006/relationships/hyperlink" Target="https://www.100ppi.com/news/detail-20250620-4472386.html" TargetMode="External" Id="rId372"/><Relationship Type="http://schemas.openxmlformats.org/officeDocument/2006/relationships/hyperlink" Target="https://www.100ppi.com/news/detail-20250624-4484413.html" TargetMode="External" Id="rId373"/><Relationship Type="http://schemas.openxmlformats.org/officeDocument/2006/relationships/hyperlink" Target="https://www.100ppi.com/news/detail-20250625-4488817.html" TargetMode="External" Id="rId374"/><Relationship Type="http://schemas.openxmlformats.org/officeDocument/2006/relationships/hyperlink" Target="https://www.100ppi.com/news/detail-20250626-4493300.html" TargetMode="External" Id="rId375"/><Relationship Type="http://schemas.openxmlformats.org/officeDocument/2006/relationships/hyperlink" Target="https://www.100ppi.com/news/detail-20250627-4497300.html" TargetMode="External" Id="rId376"/><Relationship Type="http://schemas.openxmlformats.org/officeDocument/2006/relationships/hyperlink" Target="https://www.100ppi.com/news/detail-20250701-4508483.html" TargetMode="External" Id="rId377"/><Relationship Type="http://schemas.openxmlformats.org/officeDocument/2006/relationships/hyperlink" Target="https://www.100ppi.com/news/detail-20250702-4512903.html" TargetMode="External" Id="rId378"/><Relationship Type="http://schemas.openxmlformats.org/officeDocument/2006/relationships/hyperlink" Target="https://www.100ppi.com/news/detail-20250703-4517509.html" TargetMode="External" Id="rId379"/><Relationship Type="http://schemas.openxmlformats.org/officeDocument/2006/relationships/hyperlink" Target="https://www.100ppi.com/news/detail-20250704-4521963.html" TargetMode="External" Id="rId380"/><Relationship Type="http://schemas.openxmlformats.org/officeDocument/2006/relationships/hyperlink" Target="https://www.100ppi.com/news/detail-20250707-4528988.html" TargetMode="External" Id="rId381"/><Relationship Type="http://schemas.openxmlformats.org/officeDocument/2006/relationships/hyperlink" Target="https://www.100ppi.com/news/detail-20250708-4533276.html" TargetMode="External" Id="rId382"/><Relationship Type="http://schemas.openxmlformats.org/officeDocument/2006/relationships/hyperlink" Target="https://www.100ppi.com/news/detail-20250709-4537626.html" TargetMode="External" Id="rId383"/><Relationship Type="http://schemas.openxmlformats.org/officeDocument/2006/relationships/hyperlink" Target="https://www.100ppi.com/news/detail-20250710-4541726.html" TargetMode="External" Id="rId384"/><Relationship Type="http://schemas.openxmlformats.org/officeDocument/2006/relationships/hyperlink" Target="https://www.100ppi.com/news/detail-20250715-4558647.html" TargetMode="External" Id="rId385"/><Relationship Type="http://schemas.openxmlformats.org/officeDocument/2006/relationships/hyperlink" Target="https://www.100ppi.com/news/detail-20250716-4563014.html" TargetMode="External" Id="rId386"/><Relationship Type="http://schemas.openxmlformats.org/officeDocument/2006/relationships/hyperlink" Target="https://www.100ppi.com/news/detail-20250718-4568074.html" TargetMode="External" Id="rId387"/><Relationship Type="http://schemas.openxmlformats.org/officeDocument/2006/relationships/hyperlink" Target="https://www.100ppi.com/news/detail-20250722-4583745.html" TargetMode="External" Id="rId388"/><Relationship Type="http://schemas.openxmlformats.org/officeDocument/2006/relationships/hyperlink" Target="https://www.100ppi.com/news/detail-20250723-4588168.html" TargetMode="External" Id="rId389"/><Relationship Type="http://schemas.openxmlformats.org/officeDocument/2006/relationships/hyperlink" Target="https://www.100ppi.com/news/detail-20250729-4605045.html" TargetMode="External" Id="rId390"/><Relationship Type="http://schemas.openxmlformats.org/officeDocument/2006/relationships/hyperlink" Target="https://www.100ppi.com/news/detail-20250730-4613388.html" TargetMode="External" Id="rId391"/><Relationship Type="http://schemas.openxmlformats.org/officeDocument/2006/relationships/hyperlink" Target="https://www.100ppi.com/news/detail-20250731-4617684.html" TargetMode="External" Id="rId392"/><Relationship Type="http://schemas.openxmlformats.org/officeDocument/2006/relationships/hyperlink" Target="https://www.100ppi.com/news/detail-20250801-4621787.html" TargetMode="External" Id="rId393"/><Relationship Type="http://schemas.openxmlformats.org/officeDocument/2006/relationships/hyperlink" Target="https://www.100ppi.com/news/detail-20250805-4632236.html" TargetMode="External" Id="rId394"/><Relationship Type="http://schemas.openxmlformats.org/officeDocument/2006/relationships/hyperlink" Target="https://www.100ppi.com/news/detail-20250807-4640339.html" TargetMode="External" Id="rId395"/><Relationship Type="http://schemas.openxmlformats.org/officeDocument/2006/relationships/hyperlink" Target="https://www.100ppi.com/news/detail-20250808-4644396.html" TargetMode="External" Id="rId396"/><Relationship Type="http://schemas.openxmlformats.org/officeDocument/2006/relationships/hyperlink" Target="https://www.100ppi.com/news/detail-20250811-4651490.html" TargetMode="External" Id="rId397"/><Relationship Type="http://schemas.openxmlformats.org/officeDocument/2006/relationships/hyperlink" Target="https://www.100ppi.com/news/detail-20250812-4655328.html" TargetMode="External" Id="rId398"/><Relationship Type="http://schemas.openxmlformats.org/officeDocument/2006/relationships/hyperlink" Target="https://www.100ppi.com/news/detail-20250813-4659097.html" TargetMode="External" Id="rId399"/><Relationship Type="http://schemas.openxmlformats.org/officeDocument/2006/relationships/hyperlink" Target="https://www.100ppi.com/news/detail-20250814-4663615.html" TargetMode="External" Id="rId400"/><Relationship Type="http://schemas.openxmlformats.org/officeDocument/2006/relationships/hyperlink" Target="https://www.100ppi.com/news/detail-20250815-4667202.html" TargetMode="External" Id="rId401"/><Relationship Type="http://schemas.openxmlformats.org/officeDocument/2006/relationships/hyperlink" Target="https://www.100ppi.com/news/detail-20250819-4678715.html" TargetMode="External" Id="rId402"/><Relationship Type="http://schemas.openxmlformats.org/officeDocument/2006/relationships/hyperlink" Target="https://www.100ppi.com/news/detail-20250820-4682900.html" TargetMode="External" Id="rId403"/><Relationship Type="http://schemas.openxmlformats.org/officeDocument/2006/relationships/hyperlink" Target="https://www.100ppi.com/news/detail-20250821-4687118.html" TargetMode="External" Id="rId404"/><Relationship Type="http://schemas.openxmlformats.org/officeDocument/2006/relationships/hyperlink" Target="https://www.100ppi.com/news/detail-20250822-4691104.html" TargetMode="External" Id="rId405"/><Relationship Type="http://schemas.openxmlformats.org/officeDocument/2006/relationships/hyperlink" Target="https://www.100ppi.com/news/detail-20250826-4698643.html" TargetMode="External" Id="rId406"/><Relationship Type="http://schemas.openxmlformats.org/officeDocument/2006/relationships/hyperlink" Target="https://www.100ppi.com/news/detail-20250827-4702847.html" TargetMode="External" Id="rId407"/><Relationship Type="http://schemas.openxmlformats.org/officeDocument/2006/relationships/hyperlink" Target="https://www.100ppi.com/news/detail-20250828-4710149.html" TargetMode="External" Id="rId408"/><Relationship Type="http://schemas.openxmlformats.org/officeDocument/2006/relationships/hyperlink" Target="https://www.100ppi.com/news/detail-20250829-4714281.html" TargetMode="External" Id="rId409"/><Relationship Type="http://schemas.openxmlformats.org/officeDocument/2006/relationships/hyperlink" Target="https://www.100ppi.com/news/detail-20250901-4722782.html" TargetMode="External" Id="rId410"/><Relationship Type="http://schemas.openxmlformats.org/officeDocument/2006/relationships/hyperlink" Target="https://www.100ppi.com/news/detail-20250902-4727076.html" TargetMode="External" Id="rId411"/><Relationship Type="http://schemas.openxmlformats.org/officeDocument/2006/relationships/hyperlink" Target="https://www.100ppi.com/news/detail-20250903-4731166.html" TargetMode="External" Id="rId412"/><Relationship Type="http://schemas.openxmlformats.org/officeDocument/2006/relationships/hyperlink" Target="https://www.100ppi.com/news/detail-20250904-4734979.html" TargetMode="External" Id="rId413"/><Relationship Type="http://schemas.openxmlformats.org/officeDocument/2006/relationships/hyperlink" Target="https://www.100ppi.com/news/detail-20250905-4739043.html" TargetMode="External" Id="rId414"/><Relationship Type="http://schemas.openxmlformats.org/officeDocument/2006/relationships/hyperlink" Target="https://www.100ppi.com/news/detail-20250908-4746182.html" TargetMode="External" Id="rId415"/><Relationship Type="http://schemas.openxmlformats.org/officeDocument/2006/relationships/hyperlink" Target="https://www.100ppi.com/news/detail-20250909-4750834.html" TargetMode="External" Id="rId416"/><Relationship Type="http://schemas.openxmlformats.org/officeDocument/2006/relationships/hyperlink" Target="https://www.100ppi.com/news/detail-20250910-4755014.html" TargetMode="External" Id="rId417"/><Relationship Type="http://schemas.openxmlformats.org/officeDocument/2006/relationships/hyperlink" Target="https://www.100ppi.com/news/detail-20250911-4759128.html" TargetMode="External" Id="rId418"/><Relationship Type="http://schemas.openxmlformats.org/officeDocument/2006/relationships/hyperlink" Target="https://www.100ppi.com/news/detail-20250912-4763105.html" TargetMode="External" Id="rId419"/><Relationship Type="http://schemas.openxmlformats.org/officeDocument/2006/relationships/hyperlink" Target="https://www.100ppi.com/news/detail-20250916-4773782.html" TargetMode="External" Id="rId420"/><Relationship Type="http://schemas.openxmlformats.org/officeDocument/2006/relationships/hyperlink" Target="https://www.100ppi.com/news/detail-20250917-4777853.html" TargetMode="External" Id="rId421"/><Relationship Type="http://schemas.openxmlformats.org/officeDocument/2006/relationships/hyperlink" Target="https://www.100ppi.com/news/detail-20250918-4782183.html" TargetMode="External" Id="rId422"/><Relationship Type="http://schemas.openxmlformats.org/officeDocument/2006/relationships/hyperlink" Target="https://www.100ppi.com/news/detail-20250919-4786240.html" TargetMode="External" Id="rId423"/><Relationship Type="http://schemas.openxmlformats.org/officeDocument/2006/relationships/hyperlink" Target="https://www.100ppi.com/news/detail-20250922-4793182.html" TargetMode="External" Id="rId424"/><Relationship Type="http://schemas.openxmlformats.org/officeDocument/2006/relationships/hyperlink" Target="https://www.100ppi.com/news/detail-20250924-4801687.html" TargetMode="External" Id="rId425"/><Relationship Type="http://schemas.openxmlformats.org/officeDocument/2006/relationships/hyperlink" Target="https://www.100ppi.com/news/detail-20250925-4806009.html" TargetMode="External" Id="rId426"/><Relationship Type="http://schemas.openxmlformats.org/officeDocument/2006/relationships/hyperlink" Target="https://www.100ppi.com/news/detail-20250926-4810176.html" TargetMode="External" Id="rId427"/><Relationship Type="http://schemas.openxmlformats.org/officeDocument/2006/relationships/hyperlink" Target="https://www.100ppi.com/news/detail-20250929-4818457.html" TargetMode="External" Id="rId428"/><Relationship Type="http://schemas.openxmlformats.org/officeDocument/2006/relationships/hyperlink" Target="https://www.100ppi.com/news/detail-20250930-4822579.html" TargetMode="External" Id="rId429"/><Relationship Type="http://schemas.openxmlformats.org/officeDocument/2006/relationships/hyperlink" Target="https://www.100ppi.com/news/detail-20251009-4839805.html" TargetMode="External" Id="rId430"/><Relationship Type="http://schemas.openxmlformats.org/officeDocument/2006/relationships/hyperlink" Target="https://www.100ppi.com/news/detail-20251011-4848443.html" TargetMode="External" Id="rId431"/><Relationship Type="http://schemas.openxmlformats.org/officeDocument/2006/relationships/hyperlink" Target="https://www.100ppi.com/news/detail-20251027-4902373.html" TargetMode="External" Id="rId432"/><Relationship Type="http://schemas.openxmlformats.org/officeDocument/2006/relationships/hyperlink" Target="https://www.100ppi.com/news/detail-20251028-4906732.html" TargetMode="External" Id="rId433"/><Relationship Type="http://schemas.openxmlformats.org/officeDocument/2006/relationships/hyperlink" Target="https://www.100ppi.com/news/detail-20251029-4911064.html" TargetMode="External" Id="rId434"/><Relationship Type="http://schemas.openxmlformats.org/officeDocument/2006/relationships/hyperlink" Target="https://www.100ppi.com/news/detail-20251030-4915091.html" TargetMode="External" Id="rId435"/><Relationship Type="http://schemas.openxmlformats.org/officeDocument/2006/relationships/hyperlink" Target="https://www.100ppi.com/news/detail-20251031-4919672.html" TargetMode="External" Id="rId436"/><Relationship Type="http://schemas.openxmlformats.org/officeDocument/2006/relationships/hyperlink" Target="https://www.100ppi.com/news/detail-20251103-4927225.html" TargetMode="External" Id="rId437"/><Relationship Type="http://schemas.openxmlformats.org/officeDocument/2006/relationships/hyperlink" Target="https://www.100ppi.com/news/detail-20251104-4931442.html" TargetMode="External" Id="rId438"/><Relationship Type="http://schemas.openxmlformats.org/officeDocument/2006/relationships/hyperlink" Target="https://www.100ppi.com/news/detail-20251105-4935738.html" TargetMode="External" Id="rId439"/><Relationship Type="http://schemas.openxmlformats.org/officeDocument/2006/relationships/hyperlink" Target="https://www.100ppi.com/news/detail-20251106-4940025.html" TargetMode="External" Id="rId440"/><Relationship Type="http://schemas.openxmlformats.org/officeDocument/2006/relationships/hyperlink" Target="https://www.100ppi.com/news/detail-20251107-4944425.html" TargetMode="External" Id="rId441"/><Relationship Type="http://schemas.openxmlformats.org/officeDocument/2006/relationships/hyperlink" Target="https://www.100ppi.com/news/detail-20251110-4951097.html" TargetMode="External" Id="rId442"/><Relationship Type="http://schemas.openxmlformats.org/officeDocument/2006/relationships/hyperlink" Target="https://www.100ppi.com/news/detail-20251111-4955210.html" TargetMode="External" Id="rId443"/><Relationship Type="http://schemas.openxmlformats.org/officeDocument/2006/relationships/hyperlink" Target="https://www.100ppi.com/news/detail-20251112-4959222.html" TargetMode="External" Id="rId444"/><Relationship Type="http://schemas.openxmlformats.org/officeDocument/2006/relationships/hyperlink" Target="https://www.100ppi.com/news/detail-20251113-4963257.html" TargetMode="External" Id="rId445"/><Relationship Type="http://schemas.openxmlformats.org/officeDocument/2006/relationships/hyperlink" Target="https://www.100ppi.com/news/detail-20251114-4967618.html" TargetMode="External" Id="rId446"/><Relationship Type="http://schemas.openxmlformats.org/officeDocument/2006/relationships/hyperlink" Target="https://www.100ppi.com/news/detail-20251117-4975218.html" TargetMode="External" Id="rId447"/><Relationship Type="http://schemas.openxmlformats.org/officeDocument/2006/relationships/hyperlink" Target="https://www.100ppi.com/news/detail-20251119-4983920.html" TargetMode="External" Id="rId448"/><Relationship Type="http://schemas.openxmlformats.org/officeDocument/2006/relationships/hyperlink" Target="https://www.100ppi.com/news/detail-20251121-4992397.html" TargetMode="External" Id="rId449"/><Relationship Type="http://schemas.openxmlformats.org/officeDocument/2006/relationships/hyperlink" Target="https://www.100ppi.com/news/detail-20251124-4999249.html" TargetMode="External" Id="rId450"/><Relationship Type="http://schemas.openxmlformats.org/officeDocument/2006/relationships/hyperlink" Target="https://www.100ppi.com/news/detail-20251125-5003134.html" TargetMode="External" Id="rId451"/><Relationship Type="http://schemas.openxmlformats.org/officeDocument/2006/relationships/hyperlink" Target="https://www.100ppi.com/news/detail-20251126-5007197.html" TargetMode="External" Id="rId452"/><Relationship Type="http://schemas.openxmlformats.org/officeDocument/2006/relationships/hyperlink" Target="https://www.100ppi.com/news/detail-20251127-5011796.html" TargetMode="External" Id="rId453"/><Relationship Type="http://schemas.openxmlformats.org/officeDocument/2006/relationships/hyperlink" Target="https://www.100ppi.com/news/detail-20251202-5027965.html" TargetMode="External" Id="rId454"/><Relationship Type="http://schemas.openxmlformats.org/officeDocument/2006/relationships/hyperlink" Target="https://www.100ppi.com/news/detail-20251203-5032395.html" TargetMode="External" Id="rId455"/><Relationship Type="http://schemas.openxmlformats.org/officeDocument/2006/relationships/hyperlink" Target="https://www.100ppi.com/news/detail-20251204-5036919.html" TargetMode="External" Id="rId456"/><Relationship Type="http://schemas.openxmlformats.org/officeDocument/2006/relationships/hyperlink" Target="https://www.100ppi.com/news/detail-20251205-5041180.html" TargetMode="External" Id="rId457"/><Relationship Type="http://schemas.openxmlformats.org/officeDocument/2006/relationships/hyperlink" Target="https://www.100ppi.com/news/detail-20251209-5052468.html" TargetMode="External" Id="rId458"/><Relationship Type="http://schemas.openxmlformats.org/officeDocument/2006/relationships/hyperlink" Target="https://www.100ppi.com/news/detail-20251210-5057055.html" TargetMode="External" Id="rId459"/><Relationship Type="http://schemas.openxmlformats.org/officeDocument/2006/relationships/hyperlink" Target="https://www.100ppi.com/news/detail-20251211-5061604.html" TargetMode="External" Id="rId460"/><Relationship Type="http://schemas.openxmlformats.org/officeDocument/2006/relationships/hyperlink" Target="https://www.100ppi.com/news/detail-20251212-5066208.html" TargetMode="External" Id="rId461"/><Relationship Type="http://schemas.openxmlformats.org/officeDocument/2006/relationships/hyperlink" Target="https://www.100ppi.com/news/detail-20251215-5073246.html" TargetMode="External" Id="rId462"/><Relationship Type="http://schemas.openxmlformats.org/officeDocument/2006/relationships/hyperlink" Target="https://www.100ppi.com/news/detail-20251216-5077442.html" TargetMode="External" Id="rId463"/><Relationship Type="http://schemas.openxmlformats.org/officeDocument/2006/relationships/hyperlink" Target="https://www.100ppi.com/news/detail-20251217-5082053.html" TargetMode="External" Id="rId464"/><Relationship Type="http://schemas.openxmlformats.org/officeDocument/2006/relationships/hyperlink" Target="https://www.100ppi.com/news/detail-20251218-5086369.html" TargetMode="External" Id="rId465"/><Relationship Type="http://schemas.openxmlformats.org/officeDocument/2006/relationships/hyperlink" Target="https://www.100ppi.com/news/detail-20251219-5090377.html" TargetMode="External" Id="rId466"/><Relationship Type="http://schemas.openxmlformats.org/officeDocument/2006/relationships/hyperlink" Target="https://www.100ppi.com/news/detail-20251223-5102593.html" TargetMode="External" Id="rId467"/><Relationship Type="http://schemas.openxmlformats.org/officeDocument/2006/relationships/hyperlink" Target="https://www.100ppi.com/news/detail-20251224-5108014.html" TargetMode="External" Id="rId468"/><Relationship Type="http://schemas.openxmlformats.org/officeDocument/2006/relationships/hyperlink" Target="https://www.100ppi.com/news/detail-20251225-5112865.html" TargetMode="External" Id="rId469"/><Relationship Type="http://schemas.openxmlformats.org/officeDocument/2006/relationships/hyperlink" Target="https://www.100ppi.com/news/detail-20251229-5125979.html" TargetMode="External" Id="rId470"/><Relationship Type="http://schemas.openxmlformats.org/officeDocument/2006/relationships/hyperlink" Target="https://www.100ppi.com/news/detail-20251231-5137018.html" TargetMode="External" Id="rId471"/><Relationship Type="http://schemas.openxmlformats.org/officeDocument/2006/relationships/hyperlink" Target="https://www.100ppi.com/news/detail-20260104-5145232.html" TargetMode="External" Id="rId472"/><Relationship Type="http://schemas.openxmlformats.org/officeDocument/2006/relationships/hyperlink" Target="https://www.100ppi.com/news/detail-20260105-5150697.html" TargetMode="External" Id="rId473"/><Relationship Type="http://schemas.openxmlformats.org/officeDocument/2006/relationships/hyperlink" Target="https://www.100ppi.com/news/detail-20260107-5161665.html" TargetMode="External" Id="rId474"/><Relationship Type="http://schemas.openxmlformats.org/officeDocument/2006/relationships/hyperlink" Target="https://www.100ppi.com/news/detail-20260112-5180573.html" TargetMode="External" Id="rId475"/><Relationship Type="http://schemas.openxmlformats.org/officeDocument/2006/relationships/hyperlink" Target="https://www.100ppi.com/news/detail-20260113-5185432.html" TargetMode="External" Id="rId476"/><Relationship Type="http://schemas.openxmlformats.org/officeDocument/2006/relationships/hyperlink" Target="https://www.100ppi.com/news/detail-20260116-5201435.html" TargetMode="External" Id="rId477"/><Relationship Type="http://schemas.openxmlformats.org/officeDocument/2006/relationships/hyperlink" Target="https://www.100ppi.com/news/detail-20260119-5209969.html" TargetMode="External" Id="rId478"/><Relationship Type="http://schemas.openxmlformats.org/officeDocument/2006/relationships/hyperlink" Target="https://www.100ppi.com/news/detail-20260121-5221242.html" TargetMode="External" Id="rId479"/><Relationship Type="http://schemas.openxmlformats.org/officeDocument/2006/relationships/hyperlink" Target="https://www.100ppi.com/news/detail-20260122-5226701.html" TargetMode="External" Id="rId480"/><Relationship Type="http://schemas.openxmlformats.org/officeDocument/2006/relationships/hyperlink" Target="https://www.100ppi.com/news/detail-20260123-5232314.html" TargetMode="External" Id="rId481"/><Relationship Type="http://schemas.openxmlformats.org/officeDocument/2006/relationships/hyperlink" Target="https://www.100ppi.com/news/detail-20260126-5239990.html" TargetMode="External" Id="rId482"/><Relationship Type="http://schemas.openxmlformats.org/officeDocument/2006/relationships/hyperlink" Target="https://www.100ppi.com/news/detail-20260128-5251154.html" TargetMode="External" Id="rId483"/><Relationship Type="http://schemas.openxmlformats.org/officeDocument/2006/relationships/hyperlink" Target="https://www.100ppi.com/news/detail-20260129-5256526.html" TargetMode="External" Id="rId484"/><Relationship Type="http://schemas.openxmlformats.org/officeDocument/2006/relationships/hyperlink" Target="https://www.100ppi.com/news/detail-20260130-5261837.html" TargetMode="External" Id="rId485"/><Relationship Type="http://schemas.openxmlformats.org/officeDocument/2006/relationships/hyperlink" Target="https://www.100ppi.com/news/detail-20260202-5269872.html" TargetMode="External" Id="rId486"/><Relationship Type="http://schemas.openxmlformats.org/officeDocument/2006/relationships/hyperlink" Target="https://www.100ppi.com/news/detail-20260204-5280751.html" TargetMode="External" Id="rId487"/><Relationship Type="http://schemas.openxmlformats.org/officeDocument/2006/relationships/hyperlink" Target="https://www.100ppi.com/news/detail-20260205-5285040.html" TargetMode="External" Id="rId488"/><Relationship Type="http://schemas.openxmlformats.org/officeDocument/2006/relationships/hyperlink" Target="https://www.100ppi.com/news/detail-20260211-5300156.html" TargetMode="External" Id="rId489"/><Relationship Type="http://schemas.openxmlformats.org/officeDocument/2006/relationships/hyperlink" Target="https://www.100ppi.com/news/detail-20260212-5301687.html" TargetMode="External" Id="rId490"/><Relationship Type="http://schemas.openxmlformats.org/officeDocument/2006/relationships/hyperlink" Target="https://www.100ppi.com/news/detail-20260213-5303674.html" TargetMode="External" Id="rId491"/><Relationship Type="http://schemas.openxmlformats.org/officeDocument/2006/relationships/hyperlink" Target="https://www.100ppi.com/news/detail-20260224-5319839.html" TargetMode="External" Id="rId492"/><Relationship Type="http://schemas.openxmlformats.org/officeDocument/2006/relationships/hyperlink" Target="https://www.100ppi.com/news/detail-20260225-5324303.html" TargetMode="External" Id="rId493"/><Relationship Type="http://schemas.openxmlformats.org/officeDocument/2006/relationships/hyperlink" Target="https://www.100ppi.com/news/detail-20260227-5334669.html" TargetMode="External" Id="rId494"/><Relationship Type="http://schemas.openxmlformats.org/officeDocument/2006/relationships/hyperlink" Target="https://www.100ppi.com/news/detail-20260228-5339376.html" TargetMode="External" Id="rId495"/><Relationship Type="http://schemas.openxmlformats.org/officeDocument/2006/relationships/hyperlink" Target="https://www.100ppi.com/news/detail-20260303-5351063.html" TargetMode="External" Id="rId496"/><Relationship Type="http://schemas.openxmlformats.org/officeDocument/2006/relationships/hyperlink" Target="https://www.100ppi.com/news/detail-20260304-5356558.html" TargetMode="External" Id="rId497"/><Relationship Type="http://schemas.openxmlformats.org/officeDocument/2006/relationships/hyperlink" Target="https://www.100ppi.com/news/detail-20260305-5362593.html" TargetMode="External" Id="rId498"/><Relationship Type="http://schemas.openxmlformats.org/officeDocument/2006/relationships/hyperlink" Target="https://www.100ppi.com/news/detail-20260306-5368344.html" TargetMode="External" Id="rId499"/><Relationship Type="http://schemas.openxmlformats.org/officeDocument/2006/relationships/hyperlink" Target="https://www.100ppi.com/news/detail-20260311-5387991.html" TargetMode="External" Id="rId500"/><Relationship Type="http://schemas.openxmlformats.org/officeDocument/2006/relationships/hyperlink" Target="https://www.100ppi.com/news/detail-20260312-5393856.html" TargetMode="External" Id="rId501"/><Relationship Type="http://schemas.openxmlformats.org/officeDocument/2006/relationships/hyperlink" Target="https://www.100ppi.com/news/detail-20260316-5408421.html" TargetMode="External" Id="rId502"/><Relationship Type="http://schemas.openxmlformats.org/officeDocument/2006/relationships/hyperlink" Target="https://www.100ppi.com/news/detail-20260317-5413813.html" TargetMode="External" Id="rId503"/><Relationship Type="http://schemas.openxmlformats.org/officeDocument/2006/relationships/hyperlink" Target="https://www.100ppi.com/news/detail-20260319-5424967.html" TargetMode="External" Id="rId504"/><Relationship Type="http://schemas.openxmlformats.org/officeDocument/2006/relationships/hyperlink" Target="https://www.100ppi.com/news/detail-20260323-5439047.html" TargetMode="External" Id="rId505"/><Relationship Type="http://schemas.openxmlformats.org/officeDocument/2006/relationships/hyperlink" Target="https://www.100ppi.com/news/detail-20260324-5444770.html" TargetMode="External" Id="rId506"/><Relationship Type="http://schemas.openxmlformats.org/officeDocument/2006/relationships/hyperlink" Target="https://www.100ppi.com/news/detail-20260326-5455877.html" TargetMode="External" Id="rId507"/><Relationship Type="http://schemas.openxmlformats.org/officeDocument/2006/relationships/hyperlink" Target="https://www.100ppi.com/news/detail-20260331-5475514.html" TargetMode="External" Id="rId508"/><Relationship Type="http://schemas.openxmlformats.org/officeDocument/2006/relationships/hyperlink" Target="https://www.100ppi.com/news/detail-20260402-5486392.html" TargetMode="External" Id="rId509"/><Relationship Type="http://schemas.openxmlformats.org/officeDocument/2006/relationships/hyperlink" Target="https://www.100ppi.com/news/detail-20260407-5501975.html" TargetMode="External" Id="rId510"/><Relationship Type="http://schemas.openxmlformats.org/officeDocument/2006/relationships/hyperlink" Target="https://www.100ppi.com/news/detail-20260415-5537130.html" TargetMode="External" Id="rId511"/><Relationship Type="http://schemas.openxmlformats.org/officeDocument/2006/relationships/hyperlink" Target="https://www.100ppi.com/news/detail-20260422-5568373.html" TargetMode="External" Id="rId512"/><Relationship Type="http://schemas.openxmlformats.org/officeDocument/2006/relationships/hyperlink" Target="https://www.100ppi.com/news/detail-20260429-5598561.html" TargetMode="External" Id="rId513"/><Relationship Type="http://schemas.openxmlformats.org/officeDocument/2006/relationships/hyperlink" Target="https://www.100ppi.com/news/detail-20260509-5633234.html" TargetMode="External" Id="rId514"/><Relationship Type="http://schemas.openxmlformats.org/officeDocument/2006/relationships/hyperlink" Target="https://www.100ppi.com/news/detail-20260512-5646208.html" TargetMode="External" Id="rId515"/><Relationship Type="http://schemas.openxmlformats.org/officeDocument/2006/relationships/hyperlink" Target="https://www.100ppi.com/news/detail-20260519-5676512.html" TargetMode="External" Id="rId516"/><Relationship Type="http://schemas.openxmlformats.org/officeDocument/2006/relationships/hyperlink" Target="https://www.100ppi.com/news/detail-20260526-5707666.html" TargetMode="External" Id="rId517"/><Relationship Type="http://schemas.openxmlformats.org/officeDocument/2006/relationships/hyperlink" Target="https://www.100ppi.com/news/detail-20260602-5738944.html" TargetMode="External" Id="rId518"/><Relationship Type="http://schemas.openxmlformats.org/officeDocument/2006/relationships/hyperlink" Target="https://www.100ppi.com/news/detail-20260605-5755891.html" TargetMode="External" Id="rId519"/><Relationship Type="http://schemas.openxmlformats.org/officeDocument/2006/relationships/hyperlink" Target="https://www.100ppi.com/news/detail-20260609-5768828.html" TargetMode="External" Id="rId520"/><Relationship Type="http://schemas.openxmlformats.org/officeDocument/2006/relationships/hyperlink" Target="https://www.100ppi.com/news/detail-20260611-5775091.html" TargetMode="External" Id="rId521"/><Relationship Type="http://schemas.openxmlformats.org/officeDocument/2006/relationships/hyperlink" Target="https://www.100ppi.com/news/detail-20260615-5794252.html" TargetMode="External" Id="rId522"/><Relationship Type="http://schemas.openxmlformats.org/officeDocument/2006/relationships/hyperlink" Target="https://www.100ppi.com/news/detail-20260625-5839124.html" TargetMode="External" Id="rId523"/><Relationship Type="http://schemas.openxmlformats.org/officeDocument/2006/relationships/hyperlink" Target="https://www.100ppi.com/news/detail-20260701-5864527.html" TargetMode="External" Id="rId524"/><Relationship Type="http://schemas.openxmlformats.org/officeDocument/2006/relationships/hyperlink" Target="https://www.100ppi.com/news/detail-20260710-5907935.html" TargetMode="External" Id="rId525"/><Relationship Type="http://schemas.openxmlformats.org/officeDocument/2006/relationships/hyperlink" Target="https://www.100ppi.com/news/detail-20260717-5942035.html" TargetMode="External" Id="rId526"/><Relationship Type="http://schemas.openxmlformats.org/officeDocument/2006/relationships/hyperlink" Target="https://www.100ppi.com/news/detail-20260721-5957757.html" TargetMode="External" Id="rId527"/><Relationship Type="http://schemas.openxmlformats.org/officeDocument/2006/relationships/hyperlink" Target="https://www.100ppi.com/news/detail-20260728-5990717.html" TargetMode="External" Id="rId528"/><Relationship Type="http://schemas.openxmlformats.org/officeDocument/2006/relationships/hyperlink" Target="https://www.100ppi.com/news/detail-20231109-2928315.html" TargetMode="External" Id="rId529"/><Relationship Type="http://schemas.openxmlformats.org/officeDocument/2006/relationships/hyperlink" Target="https://www.100ppi.com/news/detail-20231110-2930711.html" TargetMode="External" Id="rId530"/><Relationship Type="http://schemas.openxmlformats.org/officeDocument/2006/relationships/hyperlink" Target="https://www.100ppi.com/news/detail-20231113-2935114.html" TargetMode="External" Id="rId531"/><Relationship Type="http://schemas.openxmlformats.org/officeDocument/2006/relationships/hyperlink" Target="https://www.100ppi.com/news/detail-20231114-2937697.html" TargetMode="External" Id="rId532"/><Relationship Type="http://schemas.openxmlformats.org/officeDocument/2006/relationships/hyperlink" Target="https://www.100ppi.com/news/detail-20231115-2940324.html" TargetMode="External" Id="rId533"/><Relationship Type="http://schemas.openxmlformats.org/officeDocument/2006/relationships/hyperlink" Target="https://www.100ppi.com/news/detail-20231116-2942682.html" TargetMode="External" Id="rId534"/><Relationship Type="http://schemas.openxmlformats.org/officeDocument/2006/relationships/hyperlink" Target="https://www.100ppi.com/news/detail-20231117-2945178.html" TargetMode="External" Id="rId535"/><Relationship Type="http://schemas.openxmlformats.org/officeDocument/2006/relationships/hyperlink" Target="https://www.100ppi.com/news/detail-20231120-2949108.html" TargetMode="External" Id="rId536"/><Relationship Type="http://schemas.openxmlformats.org/officeDocument/2006/relationships/hyperlink" Target="https://www.100ppi.com/news/detail-20231121-2951904.html" TargetMode="External" Id="rId537"/><Relationship Type="http://schemas.openxmlformats.org/officeDocument/2006/relationships/hyperlink" Target="https://www.100ppi.com/news/detail-20231122-2954718.html" TargetMode="External" Id="rId538"/><Relationship Type="http://schemas.openxmlformats.org/officeDocument/2006/relationships/hyperlink" Target="https://www.100ppi.com/news/detail-20231123-2957356.html" TargetMode="External" Id="rId539"/><Relationship Type="http://schemas.openxmlformats.org/officeDocument/2006/relationships/hyperlink" Target="https://www.100ppi.com/news/detail-20231124-2960115.html" TargetMode="External" Id="rId540"/><Relationship Type="http://schemas.openxmlformats.org/officeDocument/2006/relationships/hyperlink" Target="https://www.100ppi.com/news/detail-20231127-2964415.html" TargetMode="External" Id="rId541"/><Relationship Type="http://schemas.openxmlformats.org/officeDocument/2006/relationships/hyperlink" Target="https://www.100ppi.com/news/detail-20231128-2967365.html" TargetMode="External" Id="rId542"/><Relationship Type="http://schemas.openxmlformats.org/officeDocument/2006/relationships/hyperlink" Target="https://www.100ppi.com/news/detail-20231129-2970075.html" TargetMode="External" Id="rId543"/><Relationship Type="http://schemas.openxmlformats.org/officeDocument/2006/relationships/hyperlink" Target="https://www.100ppi.com/news/detail-20231130-2972826.html" TargetMode="External" Id="rId544"/><Relationship Type="http://schemas.openxmlformats.org/officeDocument/2006/relationships/hyperlink" Target="https://www.100ppi.com/news/detail-20231201-2975503.html" TargetMode="External" Id="rId545"/><Relationship Type="http://schemas.openxmlformats.org/officeDocument/2006/relationships/hyperlink" Target="https://www.100ppi.com/news/detail-20231204-2979592.html" TargetMode="External" Id="rId546"/><Relationship Type="http://schemas.openxmlformats.org/officeDocument/2006/relationships/hyperlink" Target="https://www.100ppi.com/news/detail-20231205-2982597.html" TargetMode="External" Id="rId547"/><Relationship Type="http://schemas.openxmlformats.org/officeDocument/2006/relationships/hyperlink" Target="https://www.100ppi.com/news/detail-20231206-2985542.html" TargetMode="External" Id="rId548"/><Relationship Type="http://schemas.openxmlformats.org/officeDocument/2006/relationships/hyperlink" Target="https://www.100ppi.com/news/detail-20231207-2988481.html" TargetMode="External" Id="rId549"/><Relationship Type="http://schemas.openxmlformats.org/officeDocument/2006/relationships/hyperlink" Target="https://www.100ppi.com/news/detail-20231208-2991119.html" TargetMode="External" Id="rId550"/><Relationship Type="http://schemas.openxmlformats.org/officeDocument/2006/relationships/hyperlink" Target="https://www.100ppi.com/news/detail-20231211-2995596.html" TargetMode="External" Id="rId551"/><Relationship Type="http://schemas.openxmlformats.org/officeDocument/2006/relationships/hyperlink" Target="https://www.100ppi.com/news/detail-20231212-2998446.html" TargetMode="External" Id="rId552"/><Relationship Type="http://schemas.openxmlformats.org/officeDocument/2006/relationships/hyperlink" Target="https://www.100ppi.com/news/detail-20231213-3001309.html" TargetMode="External" Id="rId553"/><Relationship Type="http://schemas.openxmlformats.org/officeDocument/2006/relationships/hyperlink" Target="https://www.100ppi.com/news/detail-20231214-3004010.html" TargetMode="External" Id="rId554"/><Relationship Type="http://schemas.openxmlformats.org/officeDocument/2006/relationships/hyperlink" Target="https://www.100ppi.com/news/detail-20231215-3006468.html" TargetMode="External" Id="rId555"/><Relationship Type="http://schemas.openxmlformats.org/officeDocument/2006/relationships/hyperlink" Target="https://www.100ppi.com/news/detail-20231218-3010750.html" TargetMode="External" Id="rId556"/><Relationship Type="http://schemas.openxmlformats.org/officeDocument/2006/relationships/hyperlink" Target="https://www.100ppi.com/news/detail-20231219-3013768.html" TargetMode="External" Id="rId557"/><Relationship Type="http://schemas.openxmlformats.org/officeDocument/2006/relationships/hyperlink" Target="https://www.100ppi.com/news/detail-20231220-3016664.html" TargetMode="External" Id="rId558"/><Relationship Type="http://schemas.openxmlformats.org/officeDocument/2006/relationships/hyperlink" Target="https://www.100ppi.com/news/detail-20231221-3019352.html" TargetMode="External" Id="rId559"/><Relationship Type="http://schemas.openxmlformats.org/officeDocument/2006/relationships/hyperlink" Target="https://www.100ppi.com/news/detail-20231222-3022110.html" TargetMode="External" Id="rId560"/><Relationship Type="http://schemas.openxmlformats.org/officeDocument/2006/relationships/hyperlink" Target="https://www.100ppi.com/news/detail-20231225-3026400.html" TargetMode="External" Id="rId561"/><Relationship Type="http://schemas.openxmlformats.org/officeDocument/2006/relationships/hyperlink" Target="https://www.100ppi.com/news/detail-20231226-3029566.html" TargetMode="External" Id="rId562"/><Relationship Type="http://schemas.openxmlformats.org/officeDocument/2006/relationships/hyperlink" Target="https://www.100ppi.com/news/detail-20231227-3032358.html" TargetMode="External" Id="rId563"/><Relationship Type="http://schemas.openxmlformats.org/officeDocument/2006/relationships/hyperlink" Target="https://www.100ppi.com/news/detail-20231228-3035225.html" TargetMode="External" Id="rId564"/><Relationship Type="http://schemas.openxmlformats.org/officeDocument/2006/relationships/hyperlink" Target="https://www.100ppi.com/news/detail-20231229-3037832.html" TargetMode="External" Id="rId565"/><Relationship Type="http://schemas.openxmlformats.org/officeDocument/2006/relationships/hyperlink" Target="https://www.100ppi.com/news/detail-20240101-3042020.html" TargetMode="External" Id="rId566"/><Relationship Type="http://schemas.openxmlformats.org/officeDocument/2006/relationships/hyperlink" Target="https://www.100ppi.com/news/detail-20240102-3042892.html" TargetMode="External" Id="rId567"/><Relationship Type="http://schemas.openxmlformats.org/officeDocument/2006/relationships/hyperlink" Target="https://www.100ppi.com/news/detail-20240103-3045955.html" TargetMode="External" Id="rId568"/><Relationship Type="http://schemas.openxmlformats.org/officeDocument/2006/relationships/hyperlink" Target="https://www.100ppi.com/news/detail-20240104-3048735.html" TargetMode="External" Id="rId569"/><Relationship Type="http://schemas.openxmlformats.org/officeDocument/2006/relationships/hyperlink" Target="https://www.100ppi.com/news/detail-20240105-3051433.html" TargetMode="External" Id="rId570"/><Relationship Type="http://schemas.openxmlformats.org/officeDocument/2006/relationships/hyperlink" Target="https://www.100ppi.com/news/detail-20240108-3056031.html" TargetMode="External" Id="rId571"/><Relationship Type="http://schemas.openxmlformats.org/officeDocument/2006/relationships/hyperlink" Target="https://www.100ppi.com/news/detail-20240109-3058944.html" TargetMode="External" Id="rId572"/><Relationship Type="http://schemas.openxmlformats.org/officeDocument/2006/relationships/hyperlink" Target="https://www.100ppi.com/news/detail-20240110-3061449.html" TargetMode="External" Id="rId573"/><Relationship Type="http://schemas.openxmlformats.org/officeDocument/2006/relationships/hyperlink" Target="https://www.100ppi.com/news/detail-20240111-3064013.html" TargetMode="External" Id="rId574"/><Relationship Type="http://schemas.openxmlformats.org/officeDocument/2006/relationships/hyperlink" Target="https://www.100ppi.com/news/detail-20240112-3066724.html" TargetMode="External" Id="rId575"/><Relationship Type="http://schemas.openxmlformats.org/officeDocument/2006/relationships/hyperlink" Target="https://www.100ppi.com/news/detail-20240115-3071270.html" TargetMode="External" Id="rId576"/><Relationship Type="http://schemas.openxmlformats.org/officeDocument/2006/relationships/hyperlink" Target="https://www.100ppi.com/news/detail-20240116-3073993.html" TargetMode="External" Id="rId577"/><Relationship Type="http://schemas.openxmlformats.org/officeDocument/2006/relationships/hyperlink" Target="https://www.100ppi.com/news/detail-20240117-3076824.html" TargetMode="External" Id="rId578"/><Relationship Type="http://schemas.openxmlformats.org/officeDocument/2006/relationships/hyperlink" Target="https://www.100ppi.com/news/detail-20240118-3079604.html" TargetMode="External" Id="rId579"/><Relationship Type="http://schemas.openxmlformats.org/officeDocument/2006/relationships/hyperlink" Target="https://www.100ppi.com/news/detail-20240119-3082249.html" TargetMode="External" Id="rId580"/><Relationship Type="http://schemas.openxmlformats.org/officeDocument/2006/relationships/hyperlink" Target="https://www.100ppi.com/news/detail-20240122-3086518.html" TargetMode="External" Id="rId581"/><Relationship Type="http://schemas.openxmlformats.org/officeDocument/2006/relationships/hyperlink" Target="https://www.100ppi.com/news/detail-20240123-3089488.html" TargetMode="External" Id="rId582"/><Relationship Type="http://schemas.openxmlformats.org/officeDocument/2006/relationships/hyperlink" Target="https://www.100ppi.com/news/detail-20240124-3092404.html" TargetMode="External" Id="rId583"/><Relationship Type="http://schemas.openxmlformats.org/officeDocument/2006/relationships/hyperlink" Target="https://www.100ppi.com/news/detail-20240125-3095198.html" TargetMode="External" Id="rId584"/><Relationship Type="http://schemas.openxmlformats.org/officeDocument/2006/relationships/hyperlink" Target="https://www.100ppi.com/news/detail-20240126-3097629.html" TargetMode="External" Id="rId585"/><Relationship Type="http://schemas.openxmlformats.org/officeDocument/2006/relationships/hyperlink" Target="https://www.100ppi.com/news/detail-20240129-3101340.html" TargetMode="External" Id="rId586"/><Relationship Type="http://schemas.openxmlformats.org/officeDocument/2006/relationships/hyperlink" Target="https://www.100ppi.com/news/detail-20240130-3103780.html" TargetMode="External" Id="rId587"/><Relationship Type="http://schemas.openxmlformats.org/officeDocument/2006/relationships/hyperlink" Target="https://www.100ppi.com/news/detail-20240131-3106060.html" TargetMode="External" Id="rId588"/><Relationship Type="http://schemas.openxmlformats.org/officeDocument/2006/relationships/hyperlink" Target="https://www.100ppi.com/news/detail-20240201-3108583.html" TargetMode="External" Id="rId589"/><Relationship Type="http://schemas.openxmlformats.org/officeDocument/2006/relationships/hyperlink" Target="https://www.100ppi.com/news/detail-20240202-3110745.html" TargetMode="External" Id="rId590"/><Relationship Type="http://schemas.openxmlformats.org/officeDocument/2006/relationships/hyperlink" Target="https://www.100ppi.com/news/detail-20240205-3114483.html" TargetMode="External" Id="rId591"/><Relationship Type="http://schemas.openxmlformats.org/officeDocument/2006/relationships/hyperlink" Target="https://www.100ppi.com/news/detail-20240206-3116171.html" TargetMode="External" Id="rId592"/><Relationship Type="http://schemas.openxmlformats.org/officeDocument/2006/relationships/hyperlink" Target="https://www.100ppi.com/news/detail-20240207-3117233.html" TargetMode="External" Id="rId593"/><Relationship Type="http://schemas.openxmlformats.org/officeDocument/2006/relationships/hyperlink" Target="https://www.100ppi.com/news/detail-20240208-3118342.html" TargetMode="External" Id="rId594"/><Relationship Type="http://schemas.openxmlformats.org/officeDocument/2006/relationships/hyperlink" Target="https://www.100ppi.com/news/detail-20240209-3118924.html" TargetMode="External" Id="rId595"/><Relationship Type="http://schemas.openxmlformats.org/officeDocument/2006/relationships/hyperlink" Target="https://www.100ppi.com/news/detail-20240212-3119592.html" TargetMode="External" Id="rId596"/><Relationship Type="http://schemas.openxmlformats.org/officeDocument/2006/relationships/hyperlink" Target="https://www.100ppi.com/news/detail-20240213-3119985.html" TargetMode="External" Id="rId597"/><Relationship Type="http://schemas.openxmlformats.org/officeDocument/2006/relationships/hyperlink" Target="https://www.100ppi.com/news/detail-20240214-3120567.html" TargetMode="External" Id="rId598"/><Relationship Type="http://schemas.openxmlformats.org/officeDocument/2006/relationships/hyperlink" Target="https://www.100ppi.com/news/detail-20240215-3121069.html" TargetMode="External" Id="rId599"/><Relationship Type="http://schemas.openxmlformats.org/officeDocument/2006/relationships/hyperlink" Target="https://www.100ppi.com/news/detail-20240216-3122042.html" TargetMode="External" Id="rId600"/><Relationship Type="http://schemas.openxmlformats.org/officeDocument/2006/relationships/hyperlink" Target="https://www.100ppi.com/news/detail-20240219-3127378.html" TargetMode="External" Id="rId601"/><Relationship Type="http://schemas.openxmlformats.org/officeDocument/2006/relationships/hyperlink" Target="https://www.100ppi.com/news/detail-20240220-3129886.html" TargetMode="External" Id="rId602"/><Relationship Type="http://schemas.openxmlformats.org/officeDocument/2006/relationships/hyperlink" Target="https://www.100ppi.com/news/detail-20240221-3132467.html" TargetMode="External" Id="rId603"/><Relationship Type="http://schemas.openxmlformats.org/officeDocument/2006/relationships/hyperlink" Target="https://www.100ppi.com/news/detail-20240222-3135195.html" TargetMode="External" Id="rId604"/><Relationship Type="http://schemas.openxmlformats.org/officeDocument/2006/relationships/hyperlink" Target="https://www.100ppi.com/news/detail-20240223-3138039.html" TargetMode="External" Id="rId605"/><Relationship Type="http://schemas.openxmlformats.org/officeDocument/2006/relationships/hyperlink" Target="https://www.100ppi.com/news/detail-20240226-3143086.html" TargetMode="External" Id="rId606"/><Relationship Type="http://schemas.openxmlformats.org/officeDocument/2006/relationships/hyperlink" Target="https://www.100ppi.com/news/detail-20240227-3146364.html" TargetMode="External" Id="rId607"/><Relationship Type="http://schemas.openxmlformats.org/officeDocument/2006/relationships/hyperlink" Target="https://www.100ppi.com/news/detail-20240228-3149123.html" TargetMode="External" Id="rId608"/><Relationship Type="http://schemas.openxmlformats.org/officeDocument/2006/relationships/hyperlink" Target="https://www.100ppi.com/news/detail-20240229-3151902.html" TargetMode="External" Id="rId609"/><Relationship Type="http://schemas.openxmlformats.org/officeDocument/2006/relationships/hyperlink" Target="https://www.100ppi.com/news/detail-20240301-3154956.html" TargetMode="External" Id="rId610"/><Relationship Type="http://schemas.openxmlformats.org/officeDocument/2006/relationships/hyperlink" Target="https://www.100ppi.com/news/detail-20240304-3159482.html" TargetMode="External" Id="rId611"/><Relationship Type="http://schemas.openxmlformats.org/officeDocument/2006/relationships/hyperlink" Target="https://www.100ppi.com/news/detail-20240305-3162441.html" TargetMode="External" Id="rId612"/><Relationship Type="http://schemas.openxmlformats.org/officeDocument/2006/relationships/hyperlink" Target="https://www.100ppi.com/news/detail-20240306-3165344.html" TargetMode="External" Id="rId613"/><Relationship Type="http://schemas.openxmlformats.org/officeDocument/2006/relationships/hyperlink" Target="https://www.100ppi.com/news/detail-20240307-3168013.html" TargetMode="External" Id="rId614"/><Relationship Type="http://schemas.openxmlformats.org/officeDocument/2006/relationships/hyperlink" Target="https://www.100ppi.com/news/detail-20240308-3170928.html" TargetMode="External" Id="rId615"/><Relationship Type="http://schemas.openxmlformats.org/officeDocument/2006/relationships/hyperlink" Target="https://www.100ppi.com/news/detail-20240311-3175745.html" TargetMode="External" Id="rId616"/><Relationship Type="http://schemas.openxmlformats.org/officeDocument/2006/relationships/hyperlink" Target="https://www.100ppi.com/news/detail-20240312-3178874.html" TargetMode="External" Id="rId617"/><Relationship Type="http://schemas.openxmlformats.org/officeDocument/2006/relationships/hyperlink" Target="https://www.100ppi.com/news/detail-20240313-3181973.html" TargetMode="External" Id="rId618"/><Relationship Type="http://schemas.openxmlformats.org/officeDocument/2006/relationships/hyperlink" Target="https://www.100ppi.com/news/detail-20240314-3184896.html" TargetMode="External" Id="rId619"/><Relationship Type="http://schemas.openxmlformats.org/officeDocument/2006/relationships/hyperlink" Target="https://www.100ppi.com/news/detail-20240315-3187673.html" TargetMode="External" Id="rId620"/><Relationship Type="http://schemas.openxmlformats.org/officeDocument/2006/relationships/hyperlink" Target="https://www.100ppi.com/news/detail-20240318-3192456.html" TargetMode="External" Id="rId621"/><Relationship Type="http://schemas.openxmlformats.org/officeDocument/2006/relationships/hyperlink" Target="https://www.100ppi.com/news/detail-20240319-3195522.html" TargetMode="External" Id="rId622"/><Relationship Type="http://schemas.openxmlformats.org/officeDocument/2006/relationships/hyperlink" Target="https://www.100ppi.com/news/detail-20240320-3198351.html" TargetMode="External" Id="rId623"/><Relationship Type="http://schemas.openxmlformats.org/officeDocument/2006/relationships/hyperlink" Target="https://www.100ppi.com/news/detail-20240321-3201184.html" TargetMode="External" Id="rId624"/><Relationship Type="http://schemas.openxmlformats.org/officeDocument/2006/relationships/hyperlink" Target="https://www.100ppi.com/news/detail-20240322-3203969.html" TargetMode="External" Id="rId625"/><Relationship Type="http://schemas.openxmlformats.org/officeDocument/2006/relationships/hyperlink" Target="https://www.100ppi.com/news/detail-20240325-3208139.html" TargetMode="External" Id="rId626"/><Relationship Type="http://schemas.openxmlformats.org/officeDocument/2006/relationships/hyperlink" Target="https://www.100ppi.com/news/detail-20240326-3211142.html" TargetMode="External" Id="rId627"/><Relationship Type="http://schemas.openxmlformats.org/officeDocument/2006/relationships/hyperlink" Target="https://www.100ppi.com/news/detail-20240327-3214212.html" TargetMode="External" Id="rId628"/><Relationship Type="http://schemas.openxmlformats.org/officeDocument/2006/relationships/hyperlink" Target="https://www.100ppi.com/news/detail-20240328-3217266.html" TargetMode="External" Id="rId629"/><Relationship Type="http://schemas.openxmlformats.org/officeDocument/2006/relationships/hyperlink" Target="https://www.100ppi.com/news/detail-20240329-3220260.html" TargetMode="External" Id="rId630"/><Relationship Type="http://schemas.openxmlformats.org/officeDocument/2006/relationships/hyperlink" Target="https://www.100ppi.com/news/detail-20240401-3224950.html" TargetMode="External" Id="rId631"/><Relationship Type="http://schemas.openxmlformats.org/officeDocument/2006/relationships/hyperlink" Target="https://www.100ppi.com/news/detail-20240402-3227776.html" TargetMode="External" Id="rId632"/><Relationship Type="http://schemas.openxmlformats.org/officeDocument/2006/relationships/hyperlink" Target="https://www.100ppi.com/news/detail-20240403-3230873.html" TargetMode="External" Id="rId633"/><Relationship Type="http://schemas.openxmlformats.org/officeDocument/2006/relationships/hyperlink" Target="https://www.100ppi.com/news/detail-20240404-3233914.html" TargetMode="External" Id="rId634"/><Relationship Type="http://schemas.openxmlformats.org/officeDocument/2006/relationships/hyperlink" Target="https://www.100ppi.com/news/detail-20240405-3235013.html" TargetMode="External" Id="rId635"/><Relationship Type="http://schemas.openxmlformats.org/officeDocument/2006/relationships/hyperlink" Target="https://www.100ppi.com/news/detail-20240408-3239382.html" TargetMode="External" Id="rId636"/><Relationship Type="http://schemas.openxmlformats.org/officeDocument/2006/relationships/hyperlink" Target="https://www.100ppi.com/news/detail-20240409-3242331.html" TargetMode="External" Id="rId637"/><Relationship Type="http://schemas.openxmlformats.org/officeDocument/2006/relationships/hyperlink" Target="https://www.100ppi.com/news/detail-20240410-3245390.html" TargetMode="External" Id="rId638"/><Relationship Type="http://schemas.openxmlformats.org/officeDocument/2006/relationships/hyperlink" Target="https://www.100ppi.com/news/detail-20240411-3248209.html" TargetMode="External" Id="rId639"/><Relationship Type="http://schemas.openxmlformats.org/officeDocument/2006/relationships/hyperlink" Target="https://www.100ppi.com/news/detail-20240412-3251281.html" TargetMode="External" Id="rId640"/><Relationship Type="http://schemas.openxmlformats.org/officeDocument/2006/relationships/hyperlink" Target="https://www.100ppi.com/news/detail-20240415-3255875.html" TargetMode="External" Id="rId641"/><Relationship Type="http://schemas.openxmlformats.org/officeDocument/2006/relationships/hyperlink" Target="https://www.100ppi.com/news/detail-20240416-3259055.html" TargetMode="External" Id="rId642"/><Relationship Type="http://schemas.openxmlformats.org/officeDocument/2006/relationships/hyperlink" Target="https://www.100ppi.com/news/detail-20240417-3262221.html" TargetMode="External" Id="rId643"/><Relationship Type="http://schemas.openxmlformats.org/officeDocument/2006/relationships/hyperlink" Target="https://www.100ppi.com/news/detail-20240418-3265311.html" TargetMode="External" Id="rId644"/><Relationship Type="http://schemas.openxmlformats.org/officeDocument/2006/relationships/hyperlink" Target="https://www.100ppi.com/news/detail-20240419-3268164.html" TargetMode="External" Id="rId645"/><Relationship Type="http://schemas.openxmlformats.org/officeDocument/2006/relationships/hyperlink" Target="https://www.100ppi.com/news/detail-20240422-3273013.html" TargetMode="External" Id="rId646"/><Relationship Type="http://schemas.openxmlformats.org/officeDocument/2006/relationships/hyperlink" Target="https://www.100ppi.com/news/detail-20240423-3276348.html" TargetMode="External" Id="rId647"/><Relationship Type="http://schemas.openxmlformats.org/officeDocument/2006/relationships/hyperlink" Target="https://www.100ppi.com/news/detail-20240424-3279262.html" TargetMode="External" Id="rId648"/><Relationship Type="http://schemas.openxmlformats.org/officeDocument/2006/relationships/hyperlink" Target="https://www.100ppi.com/news/detail-20240425-3282401.html" TargetMode="External" Id="rId649"/><Relationship Type="http://schemas.openxmlformats.org/officeDocument/2006/relationships/hyperlink" Target="https://www.100ppi.com/news/detail-20240426-3285532.html" TargetMode="External" Id="rId650"/><Relationship Type="http://schemas.openxmlformats.org/officeDocument/2006/relationships/hyperlink" Target="https://www.100ppi.com/news/detail-20240429-3292443.html" TargetMode="External" Id="rId651"/><Relationship Type="http://schemas.openxmlformats.org/officeDocument/2006/relationships/hyperlink" Target="https://www.100ppi.com/news/detail-20240430-3295140.html" TargetMode="External" Id="rId652"/><Relationship Type="http://schemas.openxmlformats.org/officeDocument/2006/relationships/hyperlink" Target="https://www.100ppi.com/news/detail-20240501-3298058.html" TargetMode="External" Id="rId653"/><Relationship Type="http://schemas.openxmlformats.org/officeDocument/2006/relationships/hyperlink" Target="https://www.100ppi.com/news/detail-20240502-3298833.html" TargetMode="External" Id="rId654"/><Relationship Type="http://schemas.openxmlformats.org/officeDocument/2006/relationships/hyperlink" Target="https://www.100ppi.com/news/detail-20240503-3299555.html" TargetMode="External" Id="rId655"/><Relationship Type="http://schemas.openxmlformats.org/officeDocument/2006/relationships/hyperlink" Target="https://www.100ppi.com/news/detail-20240506-3302051.html" TargetMode="External" Id="rId656"/><Relationship Type="http://schemas.openxmlformats.org/officeDocument/2006/relationships/hyperlink" Target="https://www.100ppi.com/news/detail-20240507-3305251.html" TargetMode="External" Id="rId657"/><Relationship Type="http://schemas.openxmlformats.org/officeDocument/2006/relationships/hyperlink" Target="https://www.100ppi.com/news/detail-20240508-3308496.html" TargetMode="External" Id="rId658"/><Relationship Type="http://schemas.openxmlformats.org/officeDocument/2006/relationships/hyperlink" Target="https://www.100ppi.com/news/detail-20240509-3311680.html" TargetMode="External" Id="rId659"/><Relationship Type="http://schemas.openxmlformats.org/officeDocument/2006/relationships/hyperlink" Target="https://www.100ppi.com/news/detail-20240510-3314925.html" TargetMode="External" Id="rId660"/><Relationship Type="http://schemas.openxmlformats.org/officeDocument/2006/relationships/hyperlink" Target="https://www.100ppi.com/news/detail-20240513-3321579.html" TargetMode="External" Id="rId661"/><Relationship Type="http://schemas.openxmlformats.org/officeDocument/2006/relationships/hyperlink" Target="https://www.100ppi.com/news/detail-20240514-3324967.html" TargetMode="External" Id="rId662"/><Relationship Type="http://schemas.openxmlformats.org/officeDocument/2006/relationships/hyperlink" Target="https://www.100ppi.com/news/detail-20240515-3328208.html" TargetMode="External" Id="rId663"/><Relationship Type="http://schemas.openxmlformats.org/officeDocument/2006/relationships/hyperlink" Target="https://www.100ppi.com/news/detail-20240516-3331485.html" TargetMode="External" Id="rId664"/><Relationship Type="http://schemas.openxmlformats.org/officeDocument/2006/relationships/hyperlink" Target="https://www.100ppi.com/news/detail-20240517-3334681.html" TargetMode="External" Id="rId665"/><Relationship Type="http://schemas.openxmlformats.org/officeDocument/2006/relationships/hyperlink" Target="https://www.100ppi.com/news/detail-20240520-3339792.html" TargetMode="External" Id="rId666"/><Relationship Type="http://schemas.openxmlformats.org/officeDocument/2006/relationships/hyperlink" Target="https://www.100ppi.com/news/detail-20240521-3343194.html" TargetMode="External" Id="rId667"/><Relationship Type="http://schemas.openxmlformats.org/officeDocument/2006/relationships/hyperlink" Target="https://www.100ppi.com/news/detail-20240522-3346605.html" TargetMode="External" Id="rId668"/><Relationship Type="http://schemas.openxmlformats.org/officeDocument/2006/relationships/hyperlink" Target="https://www.100ppi.com/news/detail-20240523-3349680.html" TargetMode="External" Id="rId669"/><Relationship Type="http://schemas.openxmlformats.org/officeDocument/2006/relationships/hyperlink" Target="https://www.100ppi.com/news/detail-20240524-3352539.html" TargetMode="External" Id="rId670"/><Relationship Type="http://schemas.openxmlformats.org/officeDocument/2006/relationships/hyperlink" Target="https://www.100ppi.com/news/detail-20240527-3357334.html" TargetMode="External" Id="rId671"/><Relationship Type="http://schemas.openxmlformats.org/officeDocument/2006/relationships/hyperlink" Target="https://www.100ppi.com/news/detail-20240528-3360805.html" TargetMode="External" Id="rId672"/><Relationship Type="http://schemas.openxmlformats.org/officeDocument/2006/relationships/hyperlink" Target="https://www.100ppi.com/news/detail-20240529-3364176.html" TargetMode="External" Id="rId673"/><Relationship Type="http://schemas.openxmlformats.org/officeDocument/2006/relationships/hyperlink" Target="https://www.100ppi.com/news/detail-20240530-3367451.html" TargetMode="External" Id="rId674"/><Relationship Type="http://schemas.openxmlformats.org/officeDocument/2006/relationships/hyperlink" Target="https://www.100ppi.com/news/detail-20240531-3370842.html" TargetMode="External" Id="rId675"/><Relationship Type="http://schemas.openxmlformats.org/officeDocument/2006/relationships/hyperlink" Target="https://www.100ppi.com/news/detail-20240603-3376221.html" TargetMode="External" Id="rId676"/><Relationship Type="http://schemas.openxmlformats.org/officeDocument/2006/relationships/hyperlink" Target="https://www.100ppi.com/news/detail-20240604-3379295.html" TargetMode="External" Id="rId677"/><Relationship Type="http://schemas.openxmlformats.org/officeDocument/2006/relationships/hyperlink" Target="https://www.100ppi.com/news/detail-20240605-3382831.html" TargetMode="External" Id="rId678"/><Relationship Type="http://schemas.openxmlformats.org/officeDocument/2006/relationships/hyperlink" Target="https://www.100ppi.com/news/detail-20240606-3386193.html" TargetMode="External" Id="rId679"/><Relationship Type="http://schemas.openxmlformats.org/officeDocument/2006/relationships/hyperlink" Target="https://www.100ppi.com/news/detail-20240607-3389199.html" TargetMode="External" Id="rId680"/><Relationship Type="http://schemas.openxmlformats.org/officeDocument/2006/relationships/hyperlink" Target="https://www.100ppi.com/news/detail-20240610-3394073.html" TargetMode="External" Id="rId681"/><Relationship Type="http://schemas.openxmlformats.org/officeDocument/2006/relationships/hyperlink" Target="https://www.100ppi.com/news/detail-20240611-3395139.html" TargetMode="External" Id="rId682"/><Relationship Type="http://schemas.openxmlformats.org/officeDocument/2006/relationships/hyperlink" Target="https://www.100ppi.com/news/detail-20240612-3398513.html" TargetMode="External" Id="rId683"/><Relationship Type="http://schemas.openxmlformats.org/officeDocument/2006/relationships/hyperlink" Target="https://www.100ppi.com/news/detail-20240613-3401856.html" TargetMode="External" Id="rId684"/><Relationship Type="http://schemas.openxmlformats.org/officeDocument/2006/relationships/hyperlink" Target="https://www.100ppi.com/news/detail-20240614-3405045.html" TargetMode="External" Id="rId685"/><Relationship Type="http://schemas.openxmlformats.org/officeDocument/2006/relationships/hyperlink" Target="https://www.100ppi.com/news/detail-20240617-3410454.html" TargetMode="External" Id="rId686"/><Relationship Type="http://schemas.openxmlformats.org/officeDocument/2006/relationships/hyperlink" Target="https://www.100ppi.com/news/detail-20240618-3413717.html" TargetMode="External" Id="rId687"/><Relationship Type="http://schemas.openxmlformats.org/officeDocument/2006/relationships/hyperlink" Target="https://www.100ppi.com/news/detail-20240619-3416602.html" TargetMode="External" Id="rId688"/><Relationship Type="http://schemas.openxmlformats.org/officeDocument/2006/relationships/hyperlink" Target="https://www.100ppi.com/news/detail-20240620-3419117.html" TargetMode="External" Id="rId689"/><Relationship Type="http://schemas.openxmlformats.org/officeDocument/2006/relationships/hyperlink" Target="https://www.100ppi.com/news/detail-20240621-3422316.html" TargetMode="External" Id="rId690"/><Relationship Type="http://schemas.openxmlformats.org/officeDocument/2006/relationships/hyperlink" Target="https://www.100ppi.com/news/detail-20240624-3427447.html" TargetMode="External" Id="rId691"/><Relationship Type="http://schemas.openxmlformats.org/officeDocument/2006/relationships/hyperlink" Target="https://www.100ppi.com/news/detail-20240625-3430836.html" TargetMode="External" Id="rId692"/><Relationship Type="http://schemas.openxmlformats.org/officeDocument/2006/relationships/hyperlink" Target="https://www.100ppi.com/news/detail-20240626-3433969.html" TargetMode="External" Id="rId693"/><Relationship Type="http://schemas.openxmlformats.org/officeDocument/2006/relationships/hyperlink" Target="https://www.100ppi.com/news/detail-20240627-3436961.html" TargetMode="External" Id="rId694"/><Relationship Type="http://schemas.openxmlformats.org/officeDocument/2006/relationships/hyperlink" Target="https://www.100ppi.com/news/detail-20240628-3439970.html" TargetMode="External" Id="rId695"/><Relationship Type="http://schemas.openxmlformats.org/officeDocument/2006/relationships/hyperlink" Target="https://www.100ppi.com/news/detail-20240701-3445252.html" TargetMode="External" Id="rId696"/><Relationship Type="http://schemas.openxmlformats.org/officeDocument/2006/relationships/hyperlink" Target="https://www.100ppi.com/news/detail-20240702-3448427.html" TargetMode="External" Id="rId697"/><Relationship Type="http://schemas.openxmlformats.org/officeDocument/2006/relationships/hyperlink" Target="https://www.100ppi.com/news/detail-20240703-3451233.html" TargetMode="External" Id="rId698"/><Relationship Type="http://schemas.openxmlformats.org/officeDocument/2006/relationships/hyperlink" Target="https://www.100ppi.com/news/detail-20240704-3454457.html" TargetMode="External" Id="rId699"/><Relationship Type="http://schemas.openxmlformats.org/officeDocument/2006/relationships/hyperlink" Target="https://www.100ppi.com/news/detail-20240705-3457621.html" TargetMode="External" Id="rId700"/><Relationship Type="http://schemas.openxmlformats.org/officeDocument/2006/relationships/hyperlink" Target="https://www.100ppi.com/news/detail-20240708-3462695.html" TargetMode="External" Id="rId701"/><Relationship Type="http://schemas.openxmlformats.org/officeDocument/2006/relationships/hyperlink" Target="https://www.100ppi.com/news/detail-20240709-3465785.html" TargetMode="External" Id="rId702"/><Relationship Type="http://schemas.openxmlformats.org/officeDocument/2006/relationships/hyperlink" Target="https://www.100ppi.com/news/detail-20240710-3469191.html" TargetMode="External" Id="rId703"/><Relationship Type="http://schemas.openxmlformats.org/officeDocument/2006/relationships/hyperlink" Target="https://www.100ppi.com/news/detail-20240711-3472690.html" TargetMode="External" Id="rId704"/><Relationship Type="http://schemas.openxmlformats.org/officeDocument/2006/relationships/hyperlink" Target="https://www.100ppi.com/news/detail-20240712-3475924.html" TargetMode="External" Id="rId705"/><Relationship Type="http://schemas.openxmlformats.org/officeDocument/2006/relationships/hyperlink" Target="https://www.100ppi.com/news/detail-20240715-3481785.html" TargetMode="External" Id="rId706"/><Relationship Type="http://schemas.openxmlformats.org/officeDocument/2006/relationships/hyperlink" Target="https://www.100ppi.com/news/detail-20240716-3485394.html" TargetMode="External" Id="rId707"/><Relationship Type="http://schemas.openxmlformats.org/officeDocument/2006/relationships/hyperlink" Target="https://www.100ppi.com/news/detail-20240717-3488930.html" TargetMode="External" Id="rId708"/><Relationship Type="http://schemas.openxmlformats.org/officeDocument/2006/relationships/hyperlink" Target="https://www.100ppi.com/news/detail-20240718-3492361.html" TargetMode="External" Id="rId709"/><Relationship Type="http://schemas.openxmlformats.org/officeDocument/2006/relationships/hyperlink" Target="https://www.100ppi.com/news/detail-20240719-3495440.html" TargetMode="External" Id="rId710"/><Relationship Type="http://schemas.openxmlformats.org/officeDocument/2006/relationships/hyperlink" Target="https://www.100ppi.com/news/detail-20240722-3501748.html" TargetMode="External" Id="rId711"/><Relationship Type="http://schemas.openxmlformats.org/officeDocument/2006/relationships/hyperlink" Target="https://www.100ppi.com/news/detail-20240723-3505272.html" TargetMode="External" Id="rId712"/><Relationship Type="http://schemas.openxmlformats.org/officeDocument/2006/relationships/hyperlink" Target="https://www.100ppi.com/news/detail-20240724-3508430.html" TargetMode="External" Id="rId713"/><Relationship Type="http://schemas.openxmlformats.org/officeDocument/2006/relationships/hyperlink" Target="https://www.100ppi.com/news/detail-20240725-3511903.html" TargetMode="External" Id="rId714"/><Relationship Type="http://schemas.openxmlformats.org/officeDocument/2006/relationships/hyperlink" Target="https://www.100ppi.com/news/detail-20240726-3514980.html" TargetMode="External" Id="rId715"/><Relationship Type="http://schemas.openxmlformats.org/officeDocument/2006/relationships/hyperlink" Target="https://www.100ppi.com/news/detail-20240729-3518667.html" TargetMode="External" Id="rId716"/><Relationship Type="http://schemas.openxmlformats.org/officeDocument/2006/relationships/hyperlink" Target="https://www.100ppi.com/news/detail-20240730-3522138.html" TargetMode="External" Id="rId717"/><Relationship Type="http://schemas.openxmlformats.org/officeDocument/2006/relationships/hyperlink" Target="https://www.100ppi.com/news/detail-20240731-3525198.html" TargetMode="External" Id="rId718"/><Relationship Type="http://schemas.openxmlformats.org/officeDocument/2006/relationships/hyperlink" Target="https://www.100ppi.com/news/detail-20240801-3528958.html" TargetMode="External" Id="rId719"/><Relationship Type="http://schemas.openxmlformats.org/officeDocument/2006/relationships/hyperlink" Target="https://www.100ppi.com/news/detail-20240802-3532738.html" TargetMode="External" Id="rId720"/><Relationship Type="http://schemas.openxmlformats.org/officeDocument/2006/relationships/hyperlink" Target="https://www.100ppi.com/news/detail-20240805-3538601.html" TargetMode="External" Id="rId721"/><Relationship Type="http://schemas.openxmlformats.org/officeDocument/2006/relationships/hyperlink" Target="https://www.100ppi.com/news/detail-20240806-3542422.html" TargetMode="External" Id="rId722"/><Relationship Type="http://schemas.openxmlformats.org/officeDocument/2006/relationships/hyperlink" Target="https://www.100ppi.com/news/detail-20240807-3546027.html" TargetMode="External" Id="rId723"/><Relationship Type="http://schemas.openxmlformats.org/officeDocument/2006/relationships/hyperlink" Target="https://www.100ppi.com/news/detail-20240808-3549837.html" TargetMode="External" Id="rId724"/><Relationship Type="http://schemas.openxmlformats.org/officeDocument/2006/relationships/hyperlink" Target="https://www.100ppi.com/news/detail-20240809-3553108.html" TargetMode="External" Id="rId725"/><Relationship Type="http://schemas.openxmlformats.org/officeDocument/2006/relationships/hyperlink" Target="https://www.100ppi.com/news/detail-20240812-3559808.html" TargetMode="External" Id="rId726"/><Relationship Type="http://schemas.openxmlformats.org/officeDocument/2006/relationships/hyperlink" Target="https://www.100ppi.com/news/detail-20240813-3563212.html" TargetMode="External" Id="rId727"/><Relationship Type="http://schemas.openxmlformats.org/officeDocument/2006/relationships/hyperlink" Target="https://www.100ppi.com/news/detail-20240814-3567114.html" TargetMode="External" Id="rId728"/><Relationship Type="http://schemas.openxmlformats.org/officeDocument/2006/relationships/hyperlink" Target="https://www.100ppi.com/news/detail-20240815-3570135.html" TargetMode="External" Id="rId729"/><Relationship Type="http://schemas.openxmlformats.org/officeDocument/2006/relationships/hyperlink" Target="https://www.100ppi.com/news/detail-20240816-3573511.html" TargetMode="External" Id="rId730"/><Relationship Type="http://schemas.openxmlformats.org/officeDocument/2006/relationships/hyperlink" Target="https://www.100ppi.com/news/detail-20240819-3579565.html" TargetMode="External" Id="rId731"/><Relationship Type="http://schemas.openxmlformats.org/officeDocument/2006/relationships/hyperlink" Target="https://www.100ppi.com/news/detail-20240820-3583414.html" TargetMode="External" Id="rId732"/><Relationship Type="http://schemas.openxmlformats.org/officeDocument/2006/relationships/hyperlink" Target="https://www.100ppi.com/news/detail-20240821-3587251.html" TargetMode="External" Id="rId733"/><Relationship Type="http://schemas.openxmlformats.org/officeDocument/2006/relationships/hyperlink" Target="https://www.100ppi.com/news/detail-20240822-3590766.html" TargetMode="External" Id="rId734"/><Relationship Type="http://schemas.openxmlformats.org/officeDocument/2006/relationships/hyperlink" Target="https://www.100ppi.com/news/detail-20240823-3594467.html" TargetMode="External" Id="rId735"/><Relationship Type="http://schemas.openxmlformats.org/officeDocument/2006/relationships/hyperlink" Target="https://www.100ppi.com/news/detail-20240826-3601826.html" TargetMode="External" Id="rId736"/><Relationship Type="http://schemas.openxmlformats.org/officeDocument/2006/relationships/hyperlink" Target="https://www.100ppi.com/news/detail-20240827-3605713.html" TargetMode="External" Id="rId737"/><Relationship Type="http://schemas.openxmlformats.org/officeDocument/2006/relationships/hyperlink" Target="https://www.100ppi.com/news/detail-20240828-3609613.html" TargetMode="External" Id="rId738"/><Relationship Type="http://schemas.openxmlformats.org/officeDocument/2006/relationships/hyperlink" Target="https://www.100ppi.com/news/detail-20240829-3613964.html" TargetMode="External" Id="rId739"/><Relationship Type="http://schemas.openxmlformats.org/officeDocument/2006/relationships/hyperlink" Target="https://www.100ppi.com/news/detail-20240830-3617904.html" TargetMode="External" Id="rId740"/><Relationship Type="http://schemas.openxmlformats.org/officeDocument/2006/relationships/hyperlink" Target="https://www.100ppi.com/news/detail-20240902-3624425.html" TargetMode="External" Id="rId741"/><Relationship Type="http://schemas.openxmlformats.org/officeDocument/2006/relationships/hyperlink" Target="https://www.100ppi.com/news/detail-20240903-3628093.html" TargetMode="External" Id="rId742"/><Relationship Type="http://schemas.openxmlformats.org/officeDocument/2006/relationships/hyperlink" Target="https://www.100ppi.com/news/detail-20240904-3632503.html" TargetMode="External" Id="rId743"/><Relationship Type="http://schemas.openxmlformats.org/officeDocument/2006/relationships/hyperlink" Target="https://www.100ppi.com/news/detail-20240905-3636302.html" TargetMode="External" Id="rId744"/><Relationship Type="http://schemas.openxmlformats.org/officeDocument/2006/relationships/hyperlink" Target="https://www.100ppi.com/news/detail-20240906-3640153.html" TargetMode="External" Id="rId745"/><Relationship Type="http://schemas.openxmlformats.org/officeDocument/2006/relationships/hyperlink" Target="https://www.100ppi.com/news/detail-20240909-3646620.html" TargetMode="External" Id="rId746"/><Relationship Type="http://schemas.openxmlformats.org/officeDocument/2006/relationships/hyperlink" Target="https://www.100ppi.com/news/detail-20240910-3650286.html" TargetMode="External" Id="rId747"/><Relationship Type="http://schemas.openxmlformats.org/officeDocument/2006/relationships/hyperlink" Target="https://www.100ppi.com/news/detail-20240911-3653285.html" TargetMode="External" Id="rId748"/><Relationship Type="http://schemas.openxmlformats.org/officeDocument/2006/relationships/hyperlink" Target="https://www.100ppi.com/news/detail-20240912-3657124.html" TargetMode="External" Id="rId749"/><Relationship Type="http://schemas.openxmlformats.org/officeDocument/2006/relationships/hyperlink" Target="https://www.100ppi.com/news/detail-20240913-3660542.html" TargetMode="External" Id="rId750"/><Relationship Type="http://schemas.openxmlformats.org/officeDocument/2006/relationships/hyperlink" Target="https://www.100ppi.com/news/detail-20240916-3668640.html" TargetMode="External" Id="rId751"/><Relationship Type="http://schemas.openxmlformats.org/officeDocument/2006/relationships/hyperlink" Target="https://www.100ppi.com/news/detail-20240917-3669789.html" TargetMode="External" Id="rId752"/><Relationship Type="http://schemas.openxmlformats.org/officeDocument/2006/relationships/hyperlink" Target="https://www.100ppi.com/news/detail-20240918-3670945.html" TargetMode="External" Id="rId753"/><Relationship Type="http://schemas.openxmlformats.org/officeDocument/2006/relationships/hyperlink" Target="https://www.100ppi.com/news/detail-20240919-3675222.html" TargetMode="External" Id="rId754"/><Relationship Type="http://schemas.openxmlformats.org/officeDocument/2006/relationships/hyperlink" Target="https://www.100ppi.com/news/detail-20240920-3678814.html" TargetMode="External" Id="rId755"/><Relationship Type="http://schemas.openxmlformats.org/officeDocument/2006/relationships/hyperlink" Target="https://www.100ppi.com/news/detail-20240923-3686041.html" TargetMode="External" Id="rId756"/><Relationship Type="http://schemas.openxmlformats.org/officeDocument/2006/relationships/hyperlink" Target="https://www.100ppi.com/news/detail-20240924-3689485.html" TargetMode="External" Id="rId757"/><Relationship Type="http://schemas.openxmlformats.org/officeDocument/2006/relationships/hyperlink" Target="https://www.100ppi.com/news/detail-20240925-3692515.html" TargetMode="External" Id="rId758"/><Relationship Type="http://schemas.openxmlformats.org/officeDocument/2006/relationships/hyperlink" Target="https://www.100ppi.com/news/detail-20240926-3695969.html" TargetMode="External" Id="rId759"/><Relationship Type="http://schemas.openxmlformats.org/officeDocument/2006/relationships/hyperlink" Target="https://www.100ppi.com/news/detail-20240927-3698642.html" TargetMode="External" Id="rId760"/><Relationship Type="http://schemas.openxmlformats.org/officeDocument/2006/relationships/hyperlink" Target="https://www.100ppi.com/news/detail-20240930-3707017.html" TargetMode="External" Id="rId761"/><Relationship Type="http://schemas.openxmlformats.org/officeDocument/2006/relationships/hyperlink" Target="https://www.100ppi.com/news/detail-20241001-3710284.html" TargetMode="External" Id="rId762"/><Relationship Type="http://schemas.openxmlformats.org/officeDocument/2006/relationships/hyperlink" Target="https://www.100ppi.com/news/detail-20241002-3710851.html" TargetMode="External" Id="rId763"/><Relationship Type="http://schemas.openxmlformats.org/officeDocument/2006/relationships/hyperlink" Target="https://www.100ppi.com/news/detail-20241003-3711439.html" TargetMode="External" Id="rId764"/><Relationship Type="http://schemas.openxmlformats.org/officeDocument/2006/relationships/hyperlink" Target="https://www.100ppi.com/news/detail-20241004-3712160.html" TargetMode="External" Id="rId765"/><Relationship Type="http://schemas.openxmlformats.org/officeDocument/2006/relationships/hyperlink" Target="https://www.100ppi.com/news/detail-20241007-3716033.html" TargetMode="External" Id="rId766"/><Relationship Type="http://schemas.openxmlformats.org/officeDocument/2006/relationships/hyperlink" Target="https://www.100ppi.com/news/detail-20241008-3717956.html" TargetMode="External" Id="rId767"/><Relationship Type="http://schemas.openxmlformats.org/officeDocument/2006/relationships/hyperlink" Target="https://www.100ppi.com/news/detail-20241009-3721484.html" TargetMode="External" Id="rId768"/><Relationship Type="http://schemas.openxmlformats.org/officeDocument/2006/relationships/hyperlink" Target="https://www.100ppi.com/news/detail-20241010-3724996.html" TargetMode="External" Id="rId769"/><Relationship Type="http://schemas.openxmlformats.org/officeDocument/2006/relationships/hyperlink" Target="https://www.100ppi.com/news/detail-20241011-3728425.html" TargetMode="External" Id="rId770"/><Relationship Type="http://schemas.openxmlformats.org/officeDocument/2006/relationships/hyperlink" Target="https://www.100ppi.com/news/detail-20241014-3736447.html" TargetMode="External" Id="rId771"/><Relationship Type="http://schemas.openxmlformats.org/officeDocument/2006/relationships/hyperlink" Target="https://www.100ppi.com/news/detail-20241015-3739882.html" TargetMode="External" Id="rId772"/><Relationship Type="http://schemas.openxmlformats.org/officeDocument/2006/relationships/hyperlink" Target="https://www.100ppi.com/news/detail-20241016-3743261.html" TargetMode="External" Id="rId773"/><Relationship Type="http://schemas.openxmlformats.org/officeDocument/2006/relationships/hyperlink" Target="https://www.100ppi.com/news/detail-20241017-3746741.html" TargetMode="External" Id="rId774"/><Relationship Type="http://schemas.openxmlformats.org/officeDocument/2006/relationships/hyperlink" Target="https://www.100ppi.com/news/detail-20241018-3750189.html" TargetMode="External" Id="rId775"/><Relationship Type="http://schemas.openxmlformats.org/officeDocument/2006/relationships/hyperlink" Target="https://www.100ppi.com/news/detail-20241021-3756722.html" TargetMode="External" Id="rId776"/><Relationship Type="http://schemas.openxmlformats.org/officeDocument/2006/relationships/hyperlink" Target="https://www.100ppi.com/news/detail-20241022-3760637.html" TargetMode="External" Id="rId777"/><Relationship Type="http://schemas.openxmlformats.org/officeDocument/2006/relationships/hyperlink" Target="https://www.100ppi.com/news/detail-20241023-3764441.html" TargetMode="External" Id="rId778"/><Relationship Type="http://schemas.openxmlformats.org/officeDocument/2006/relationships/hyperlink" Target="https://www.100ppi.com/news/detail-20241024-3767884.html" TargetMode="External" Id="rId779"/><Relationship Type="http://schemas.openxmlformats.org/officeDocument/2006/relationships/hyperlink" Target="https://www.100ppi.com/news/detail-20241025-3771480.html" TargetMode="External" Id="rId780"/><Relationship Type="http://schemas.openxmlformats.org/officeDocument/2006/relationships/hyperlink" Target="https://www.100ppi.com/news/detail-20241028-3776592.html" TargetMode="External" Id="rId781"/><Relationship Type="http://schemas.openxmlformats.org/officeDocument/2006/relationships/hyperlink" Target="https://www.100ppi.com/news/detail-20241029-3780078.html" TargetMode="External" Id="rId782"/><Relationship Type="http://schemas.openxmlformats.org/officeDocument/2006/relationships/hyperlink" Target="https://www.100ppi.com/news/detail-20241030-3783614.html" TargetMode="External" Id="rId783"/><Relationship Type="http://schemas.openxmlformats.org/officeDocument/2006/relationships/hyperlink" Target="https://www.100ppi.com/news/detail-20241031-3787254.html" TargetMode="External" Id="rId784"/><Relationship Type="http://schemas.openxmlformats.org/officeDocument/2006/relationships/hyperlink" Target="https://www.100ppi.com/news/detail-20241101-3790693.html" TargetMode="External" Id="rId785"/><Relationship Type="http://schemas.openxmlformats.org/officeDocument/2006/relationships/hyperlink" Target="https://www.100ppi.com/news/detail-20241104-3798115.html" TargetMode="External" Id="rId786"/><Relationship Type="http://schemas.openxmlformats.org/officeDocument/2006/relationships/hyperlink" Target="https://www.100ppi.com/news/detail-20241105-3801681.html" TargetMode="External" Id="rId787"/><Relationship Type="http://schemas.openxmlformats.org/officeDocument/2006/relationships/hyperlink" Target="https://www.100ppi.com/news/detail-20241106-3805157.html" TargetMode="External" Id="rId788"/><Relationship Type="http://schemas.openxmlformats.org/officeDocument/2006/relationships/hyperlink" Target="https://www.100ppi.com/news/detail-20241107-3808623.html" TargetMode="External" Id="rId789"/><Relationship Type="http://schemas.openxmlformats.org/officeDocument/2006/relationships/hyperlink" Target="https://www.100ppi.com/news/detail-20241108-3812024.html" TargetMode="External" Id="rId790"/><Relationship Type="http://schemas.openxmlformats.org/officeDocument/2006/relationships/hyperlink" Target="https://www.100ppi.com/news/detail-20241111-3818053.html" TargetMode="External" Id="rId791"/><Relationship Type="http://schemas.openxmlformats.org/officeDocument/2006/relationships/hyperlink" Target="https://www.100ppi.com/news/detail-20241112-3821562.html" TargetMode="External" Id="rId792"/><Relationship Type="http://schemas.openxmlformats.org/officeDocument/2006/relationships/hyperlink" Target="https://www.100ppi.com/news/detail-20241113-3825043.html" TargetMode="External" Id="rId793"/><Relationship Type="http://schemas.openxmlformats.org/officeDocument/2006/relationships/hyperlink" Target="https://www.100ppi.com/news/detail-20241114-3828554.html" TargetMode="External" Id="rId794"/><Relationship Type="http://schemas.openxmlformats.org/officeDocument/2006/relationships/hyperlink" Target="https://www.100ppi.com/news/detail-20241115-3831644.html" TargetMode="External" Id="rId795"/><Relationship Type="http://schemas.openxmlformats.org/officeDocument/2006/relationships/hyperlink" Target="https://www.100ppi.com/news/detail-20241118-3839086.html" TargetMode="External" Id="rId796"/><Relationship Type="http://schemas.openxmlformats.org/officeDocument/2006/relationships/hyperlink" Target="https://www.100ppi.com/news/detail-20241119-3842749.html" TargetMode="External" Id="rId797"/><Relationship Type="http://schemas.openxmlformats.org/officeDocument/2006/relationships/hyperlink" Target="https://www.100ppi.com/news/detail-20241120-3846289.html" TargetMode="External" Id="rId798"/><Relationship Type="http://schemas.openxmlformats.org/officeDocument/2006/relationships/hyperlink" Target="https://www.100ppi.com/news/detail-20241121-3849800.html" TargetMode="External" Id="rId799"/><Relationship Type="http://schemas.openxmlformats.org/officeDocument/2006/relationships/hyperlink" Target="https://www.100ppi.com/news/detail-20241122-3853091.html" TargetMode="External" Id="rId800"/><Relationship Type="http://schemas.openxmlformats.org/officeDocument/2006/relationships/hyperlink" Target="https://www.100ppi.com/news/detail-20241125-3858771.html" TargetMode="External" Id="rId801"/><Relationship Type="http://schemas.openxmlformats.org/officeDocument/2006/relationships/hyperlink" Target="https://www.100ppi.com/news/detail-20241126-3862109.html" TargetMode="External" Id="rId802"/><Relationship Type="http://schemas.openxmlformats.org/officeDocument/2006/relationships/hyperlink" Target="https://www.100ppi.com/news/detail-20241127-3865662.html" TargetMode="External" Id="rId803"/><Relationship Type="http://schemas.openxmlformats.org/officeDocument/2006/relationships/hyperlink" Target="https://www.100ppi.com/news/detail-20241128-3868922.html" TargetMode="External" Id="rId804"/><Relationship Type="http://schemas.openxmlformats.org/officeDocument/2006/relationships/hyperlink" Target="https://www.100ppi.com/news/detail-20241129-3871984.html" TargetMode="External" Id="rId805"/><Relationship Type="http://schemas.openxmlformats.org/officeDocument/2006/relationships/hyperlink" Target="https://www.100ppi.com/news/detail-20241202-3877724.html" TargetMode="External" Id="rId806"/><Relationship Type="http://schemas.openxmlformats.org/officeDocument/2006/relationships/hyperlink" Target="https://www.100ppi.com/news/detail-20241203-3881416.html" TargetMode="External" Id="rId807"/><Relationship Type="http://schemas.openxmlformats.org/officeDocument/2006/relationships/hyperlink" Target="https://www.100ppi.com/news/detail-20241204-3884991.html" TargetMode="External" Id="rId808"/><Relationship Type="http://schemas.openxmlformats.org/officeDocument/2006/relationships/hyperlink" Target="https://www.100ppi.com/news/detail-20241205-3888713.html" TargetMode="External" Id="rId809"/><Relationship Type="http://schemas.openxmlformats.org/officeDocument/2006/relationships/hyperlink" Target="https://www.100ppi.com/news/detail-20241206-3892216.html" TargetMode="External" Id="rId810"/><Relationship Type="http://schemas.openxmlformats.org/officeDocument/2006/relationships/hyperlink" Target="https://www.100ppi.com/news/detail-20241209-3899147.html" TargetMode="External" Id="rId811"/><Relationship Type="http://schemas.openxmlformats.org/officeDocument/2006/relationships/hyperlink" Target="https://www.100ppi.com/news/detail-20241210-3902584.html" TargetMode="External" Id="rId812"/><Relationship Type="http://schemas.openxmlformats.org/officeDocument/2006/relationships/hyperlink" Target="https://www.100ppi.com/news/detail-20241211-3906170.html" TargetMode="External" Id="rId813"/><Relationship Type="http://schemas.openxmlformats.org/officeDocument/2006/relationships/hyperlink" Target="https://www.100ppi.com/news/detail-20241212-3910011.html" TargetMode="External" Id="rId814"/><Relationship Type="http://schemas.openxmlformats.org/officeDocument/2006/relationships/hyperlink" Target="https://www.100ppi.com/news/detail-20241213-3913784.html" TargetMode="External" Id="rId815"/><Relationship Type="http://schemas.openxmlformats.org/officeDocument/2006/relationships/hyperlink" Target="https://www.100ppi.com/news/detail-20241216-3919886.html" TargetMode="External" Id="rId816"/><Relationship Type="http://schemas.openxmlformats.org/officeDocument/2006/relationships/hyperlink" Target="https://www.100ppi.com/news/detail-20241217-3923797.html" TargetMode="External" Id="rId817"/><Relationship Type="http://schemas.openxmlformats.org/officeDocument/2006/relationships/hyperlink" Target="https://www.100ppi.com/news/detail-20241218-3927638.html" TargetMode="External" Id="rId818"/><Relationship Type="http://schemas.openxmlformats.org/officeDocument/2006/relationships/hyperlink" Target="https://www.100ppi.com/news/detail-20241219-3931476.html" TargetMode="External" Id="rId819"/><Relationship Type="http://schemas.openxmlformats.org/officeDocument/2006/relationships/hyperlink" Target="https://www.100ppi.com/news/detail-20241220-3934684.html" TargetMode="External" Id="rId820"/><Relationship Type="http://schemas.openxmlformats.org/officeDocument/2006/relationships/hyperlink" Target="https://www.100ppi.com/news/detail-20241223-3942175.html" TargetMode="External" Id="rId821"/><Relationship Type="http://schemas.openxmlformats.org/officeDocument/2006/relationships/hyperlink" Target="https://www.100ppi.com/news/detail-20241224-3946139.html" TargetMode="External" Id="rId822"/><Relationship Type="http://schemas.openxmlformats.org/officeDocument/2006/relationships/hyperlink" Target="https://www.100ppi.com/news/detail-20241225-3950083.html" TargetMode="External" Id="rId823"/><Relationship Type="http://schemas.openxmlformats.org/officeDocument/2006/relationships/hyperlink" Target="https://www.100ppi.com/news/detail-20241226-3953887.html" TargetMode="External" Id="rId824"/><Relationship Type="http://schemas.openxmlformats.org/officeDocument/2006/relationships/hyperlink" Target="https://www.100ppi.com/news/detail-20241227-3957670.html" TargetMode="External" Id="rId825"/><Relationship Type="http://schemas.openxmlformats.org/officeDocument/2006/relationships/hyperlink" Target="https://www.100ppi.com/news/detail-20241230-3965171.html" TargetMode="External" Id="rId826"/><Relationship Type="http://schemas.openxmlformats.org/officeDocument/2006/relationships/hyperlink" Target="https://www.100ppi.com/news/detail-20241231-3969616.html" TargetMode="External" Id="rId827"/><Relationship Type="http://schemas.openxmlformats.org/officeDocument/2006/relationships/hyperlink" Target="https://www.100ppi.com/news/detail-20250101-3973473.html" TargetMode="External" Id="rId828"/><Relationship Type="http://schemas.openxmlformats.org/officeDocument/2006/relationships/hyperlink" Target="https://www.100ppi.com/news/detail-20250102-3974294.html" TargetMode="External" Id="rId829"/><Relationship Type="http://schemas.openxmlformats.org/officeDocument/2006/relationships/hyperlink" Target="https://www.100ppi.com/news/detail-20250103-3978176.html" TargetMode="External" Id="rId830"/><Relationship Type="http://schemas.openxmlformats.org/officeDocument/2006/relationships/hyperlink" Target="https://www.100ppi.com/news/detail-20250106-3984627.html" TargetMode="External" Id="rId831"/><Relationship Type="http://schemas.openxmlformats.org/officeDocument/2006/relationships/hyperlink" Target="https://www.100ppi.com/news/detail-20250107-3988308.html" TargetMode="External" Id="rId832"/><Relationship Type="http://schemas.openxmlformats.org/officeDocument/2006/relationships/hyperlink" Target="https://www.100ppi.com/news/detail-20250108-3992211.html" TargetMode="External" Id="rId833"/><Relationship Type="http://schemas.openxmlformats.org/officeDocument/2006/relationships/hyperlink" Target="https://www.100ppi.com/news/detail-20250109-3996060.html" TargetMode="External" Id="rId834"/><Relationship Type="http://schemas.openxmlformats.org/officeDocument/2006/relationships/hyperlink" Target="https://www.100ppi.com/news/detail-20250110-3999873.html" TargetMode="External" Id="rId835"/><Relationship Type="http://schemas.openxmlformats.org/officeDocument/2006/relationships/hyperlink" Target="https://www.100ppi.com/news/detail-20250113-4005115.html" TargetMode="External" Id="rId836"/><Relationship Type="http://schemas.openxmlformats.org/officeDocument/2006/relationships/hyperlink" Target="https://www.100ppi.com/news/detail-20250114-4008805.html" TargetMode="External" Id="rId837"/><Relationship Type="http://schemas.openxmlformats.org/officeDocument/2006/relationships/hyperlink" Target="https://www.100ppi.com/news/detail-20250115-4011947.html" TargetMode="External" Id="rId838"/><Relationship Type="http://schemas.openxmlformats.org/officeDocument/2006/relationships/hyperlink" Target="https://www.100ppi.com/news/detail-20250116-4015091.html" TargetMode="External" Id="rId839"/><Relationship Type="http://schemas.openxmlformats.org/officeDocument/2006/relationships/hyperlink" Target="https://www.100ppi.com/news/detail-20250117-4017867.html" TargetMode="External" Id="rId840"/><Relationship Type="http://schemas.openxmlformats.org/officeDocument/2006/relationships/hyperlink" Target="https://www.100ppi.com/news/detail-20250120-4022167.html" TargetMode="External" Id="rId841"/><Relationship Type="http://schemas.openxmlformats.org/officeDocument/2006/relationships/hyperlink" Target="https://www.100ppi.com/news/detail-20250121-4024710.html" TargetMode="External" Id="rId842"/><Relationship Type="http://schemas.openxmlformats.org/officeDocument/2006/relationships/hyperlink" Target="https://www.100ppi.com/news/detail-20250122-4026779.html" TargetMode="External" Id="rId843"/><Relationship Type="http://schemas.openxmlformats.org/officeDocument/2006/relationships/hyperlink" Target="https://www.100ppi.com/news/detail-20250123-4029176.html" TargetMode="External" Id="rId844"/><Relationship Type="http://schemas.openxmlformats.org/officeDocument/2006/relationships/hyperlink" Target="https://www.100ppi.com/news/detail-20250124-4030516.html" TargetMode="External" Id="rId845"/><Relationship Type="http://schemas.openxmlformats.org/officeDocument/2006/relationships/hyperlink" Target="https://www.100ppi.com/news/detail-20250127-4033054.html" TargetMode="External" Id="rId846"/><Relationship Type="http://schemas.openxmlformats.org/officeDocument/2006/relationships/hyperlink" Target="https://www.100ppi.com/news/detail-20250128-4033551.html" TargetMode="External" Id="rId847"/><Relationship Type="http://schemas.openxmlformats.org/officeDocument/2006/relationships/hyperlink" Target="https://www.100ppi.com/news/detail-20250129-4034069.html" TargetMode="External" Id="rId848"/><Relationship Type="http://schemas.openxmlformats.org/officeDocument/2006/relationships/hyperlink" Target="https://www.100ppi.com/news/detail-20250130-4034543.html" TargetMode="External" Id="rId849"/><Relationship Type="http://schemas.openxmlformats.org/officeDocument/2006/relationships/hyperlink" Target="https://www.100ppi.com/news/detail-20250131-4035155.html" TargetMode="External" Id="rId850"/><Relationship Type="http://schemas.openxmlformats.org/officeDocument/2006/relationships/hyperlink" Target="https://www.100ppi.com/news/detail-20250203-4038224.html" TargetMode="External" Id="rId851"/><Relationship Type="http://schemas.openxmlformats.org/officeDocument/2006/relationships/hyperlink" Target="https://www.100ppi.com/news/detail-20250204-4039953.html" TargetMode="External" Id="rId852"/><Relationship Type="http://schemas.openxmlformats.org/officeDocument/2006/relationships/hyperlink" Target="https://www.100ppi.com/news/detail-20250205-4041348.html" TargetMode="External" Id="rId853"/><Relationship Type="http://schemas.openxmlformats.org/officeDocument/2006/relationships/hyperlink" Target="https://www.100ppi.com/news/detail-20250206-4045103.html" TargetMode="External" Id="rId854"/><Relationship Type="http://schemas.openxmlformats.org/officeDocument/2006/relationships/hyperlink" Target="https://www.100ppi.com/news/detail-20250207-4048995.html" TargetMode="External" Id="rId855"/><Relationship Type="http://schemas.openxmlformats.org/officeDocument/2006/relationships/hyperlink" Target="https://www.100ppi.com/news/detail-20250210-4056993.html" TargetMode="External" Id="rId856"/><Relationship Type="http://schemas.openxmlformats.org/officeDocument/2006/relationships/hyperlink" Target="https://www.100ppi.com/news/detail-20250211-4061003.html" TargetMode="External" Id="rId857"/><Relationship Type="http://schemas.openxmlformats.org/officeDocument/2006/relationships/hyperlink" Target="https://www.100ppi.com/news/detail-20250212-4064717.html" TargetMode="External" Id="rId858"/><Relationship Type="http://schemas.openxmlformats.org/officeDocument/2006/relationships/hyperlink" Target="https://www.100ppi.com/news/detail-20250213-4068826.html" TargetMode="External" Id="rId859"/><Relationship Type="http://schemas.openxmlformats.org/officeDocument/2006/relationships/hyperlink" Target="https://www.100ppi.com/news/detail-20250214-4072393.html" TargetMode="External" Id="rId860"/><Relationship Type="http://schemas.openxmlformats.org/officeDocument/2006/relationships/hyperlink" Target="https://www.100ppi.com/news/detail-20250217-4078595.html" TargetMode="External" Id="rId861"/><Relationship Type="http://schemas.openxmlformats.org/officeDocument/2006/relationships/hyperlink" Target="https://www.100ppi.com/news/detail-20250218-4082688.html" TargetMode="External" Id="rId862"/><Relationship Type="http://schemas.openxmlformats.org/officeDocument/2006/relationships/hyperlink" Target="https://www.100ppi.com/news/detail-20250219-4086692.html" TargetMode="External" Id="rId863"/><Relationship Type="http://schemas.openxmlformats.org/officeDocument/2006/relationships/hyperlink" Target="https://www.100ppi.com/news/detail-20250220-4090372.html" TargetMode="External" Id="rId864"/><Relationship Type="http://schemas.openxmlformats.org/officeDocument/2006/relationships/hyperlink" Target="https://www.100ppi.com/news/detail-20250221-4094032.html" TargetMode="External" Id="rId865"/><Relationship Type="http://schemas.openxmlformats.org/officeDocument/2006/relationships/hyperlink" Target="https://www.100ppi.com/news/detail-20250224-4100673.html" TargetMode="External" Id="rId866"/><Relationship Type="http://schemas.openxmlformats.org/officeDocument/2006/relationships/hyperlink" Target="https://www.100ppi.com/news/detail-20250225-4104680.html" TargetMode="External" Id="rId867"/><Relationship Type="http://schemas.openxmlformats.org/officeDocument/2006/relationships/hyperlink" Target="https://www.100ppi.com/news/detail-20250226-4108457.html" TargetMode="External" Id="rId868"/><Relationship Type="http://schemas.openxmlformats.org/officeDocument/2006/relationships/hyperlink" Target="https://www.100ppi.com/news/detail-20250227-4112134.html" TargetMode="External" Id="rId869"/><Relationship Type="http://schemas.openxmlformats.org/officeDocument/2006/relationships/hyperlink" Target="https://www.100ppi.com/news/detail-20250228-4115688.html" TargetMode="External" Id="rId870"/><Relationship Type="http://schemas.openxmlformats.org/officeDocument/2006/relationships/hyperlink" Target="https://www.100ppi.com/news/detail-20250303-4121737.html" TargetMode="External" Id="rId871"/><Relationship Type="http://schemas.openxmlformats.org/officeDocument/2006/relationships/hyperlink" Target="https://www.100ppi.com/news/detail-20250304-4125298.html" TargetMode="External" Id="rId872"/><Relationship Type="http://schemas.openxmlformats.org/officeDocument/2006/relationships/hyperlink" Target="https://www.100ppi.com/news/detail-20250305-4129526.html" TargetMode="External" Id="rId873"/><Relationship Type="http://schemas.openxmlformats.org/officeDocument/2006/relationships/hyperlink" Target="https://www.100ppi.com/news/detail-20250306-4133494.html" TargetMode="External" Id="rId874"/><Relationship Type="http://schemas.openxmlformats.org/officeDocument/2006/relationships/hyperlink" Target="https://www.100ppi.com/news/detail-20250307-4136681.html" TargetMode="External" Id="rId875"/><Relationship Type="http://schemas.openxmlformats.org/officeDocument/2006/relationships/hyperlink" Target="https://www.100ppi.com/news/detail-20250310-4142913.html" TargetMode="External" Id="rId876"/><Relationship Type="http://schemas.openxmlformats.org/officeDocument/2006/relationships/hyperlink" Target="https://www.100ppi.com/news/detail-20250311-4147263.html" TargetMode="External" Id="rId877"/><Relationship Type="http://schemas.openxmlformats.org/officeDocument/2006/relationships/hyperlink" Target="https://www.100ppi.com/news/detail-20250312-4151229.html" TargetMode="External" Id="rId878"/><Relationship Type="http://schemas.openxmlformats.org/officeDocument/2006/relationships/hyperlink" Target="https://www.100ppi.com/news/detail-20250313-4154786.html" TargetMode="External" Id="rId879"/><Relationship Type="http://schemas.openxmlformats.org/officeDocument/2006/relationships/hyperlink" Target="https://www.100ppi.com/news/detail-20250314-4158669.html" TargetMode="External" Id="rId880"/><Relationship Type="http://schemas.openxmlformats.org/officeDocument/2006/relationships/hyperlink" Target="https://www.100ppi.com/news/detail-20250317-4164478.html" TargetMode="External" Id="rId881"/><Relationship Type="http://schemas.openxmlformats.org/officeDocument/2006/relationships/hyperlink" Target="https://www.100ppi.com/news/detail-20250318-4168608.html" TargetMode="External" Id="rId882"/><Relationship Type="http://schemas.openxmlformats.org/officeDocument/2006/relationships/hyperlink" Target="https://www.100ppi.com/news/detail-20250319-4172378.html" TargetMode="External" Id="rId883"/><Relationship Type="http://schemas.openxmlformats.org/officeDocument/2006/relationships/hyperlink" Target="https://www.100ppi.com/news/detail-20250320-4176370.html" TargetMode="External" Id="rId884"/><Relationship Type="http://schemas.openxmlformats.org/officeDocument/2006/relationships/hyperlink" Target="https://www.100ppi.com/news/detail-20250321-4180064.html" TargetMode="External" Id="rId885"/><Relationship Type="http://schemas.openxmlformats.org/officeDocument/2006/relationships/hyperlink" Target="https://www.100ppi.com/news/detail-20250324-4186798.html" TargetMode="External" Id="rId886"/><Relationship Type="http://schemas.openxmlformats.org/officeDocument/2006/relationships/hyperlink" Target="https://www.100ppi.com/news/detail-20250325-4190743.html" TargetMode="External" Id="rId887"/><Relationship Type="http://schemas.openxmlformats.org/officeDocument/2006/relationships/hyperlink" Target="https://www.100ppi.com/news/detail-20250326-4194584.html" TargetMode="External" Id="rId888"/><Relationship Type="http://schemas.openxmlformats.org/officeDocument/2006/relationships/hyperlink" Target="https://www.100ppi.com/news/detail-20250327-4197665.html" TargetMode="External" Id="rId889"/><Relationship Type="http://schemas.openxmlformats.org/officeDocument/2006/relationships/hyperlink" Target="https://www.100ppi.com/news/detail-20250328-4201446.html" TargetMode="External" Id="rId890"/><Relationship Type="http://schemas.openxmlformats.org/officeDocument/2006/relationships/hyperlink" Target="https://www.100ppi.com/news/detail-20250331-4207902.html" TargetMode="External" Id="rId891"/><Relationship Type="http://schemas.openxmlformats.org/officeDocument/2006/relationships/hyperlink" Target="https://www.100ppi.com/news/detail-20250401-4211341.html" TargetMode="External" Id="rId892"/><Relationship Type="http://schemas.openxmlformats.org/officeDocument/2006/relationships/hyperlink" Target="https://www.100ppi.com/news/detail-20250402-4215525.html" TargetMode="External" Id="rId893"/><Relationship Type="http://schemas.openxmlformats.org/officeDocument/2006/relationships/hyperlink" Target="https://www.100ppi.com/news/detail-20250403-4219583.html" TargetMode="External" Id="rId894"/><Relationship Type="http://schemas.openxmlformats.org/officeDocument/2006/relationships/hyperlink" Target="https://www.100ppi.com/news/detail-20250404-4222958.html" TargetMode="External" Id="rId895"/><Relationship Type="http://schemas.openxmlformats.org/officeDocument/2006/relationships/hyperlink" Target="https://www.100ppi.com/news/detail-20250407-4225632.html" TargetMode="External" Id="rId896"/><Relationship Type="http://schemas.openxmlformats.org/officeDocument/2006/relationships/hyperlink" Target="https://www.100ppi.com/news/detail-20250408-4229209.html" TargetMode="External" Id="rId897"/><Relationship Type="http://schemas.openxmlformats.org/officeDocument/2006/relationships/hyperlink" Target="https://www.100ppi.com/news/detail-20250409-4233414.html" TargetMode="External" Id="rId898"/><Relationship Type="http://schemas.openxmlformats.org/officeDocument/2006/relationships/hyperlink" Target="https://www.100ppi.com/news/detail-20250410-4237732.html" TargetMode="External" Id="rId899"/><Relationship Type="http://schemas.openxmlformats.org/officeDocument/2006/relationships/hyperlink" Target="https://www.100ppi.com/news/detail-20250411-4241455.html" TargetMode="External" Id="rId900"/><Relationship Type="http://schemas.openxmlformats.org/officeDocument/2006/relationships/hyperlink" Target="https://www.100ppi.com/news/detail-20250414-4247521.html" TargetMode="External" Id="rId901"/><Relationship Type="http://schemas.openxmlformats.org/officeDocument/2006/relationships/hyperlink" Target="https://www.100ppi.com/news/detail-20250415-4251309.html" TargetMode="External" Id="rId902"/><Relationship Type="http://schemas.openxmlformats.org/officeDocument/2006/relationships/hyperlink" Target="https://www.100ppi.com/news/detail-20250416-4255210.html" TargetMode="External" Id="rId903"/><Relationship Type="http://schemas.openxmlformats.org/officeDocument/2006/relationships/hyperlink" Target="https://www.100ppi.com/news/detail-20250417-4258029.html" TargetMode="External" Id="rId904"/><Relationship Type="http://schemas.openxmlformats.org/officeDocument/2006/relationships/hyperlink" Target="https://www.100ppi.com/news/detail-20250418-4262813.html" TargetMode="External" Id="rId905"/><Relationship Type="http://schemas.openxmlformats.org/officeDocument/2006/relationships/hyperlink" Target="https://www.100ppi.com/news/detail-20250421-4270762.html" TargetMode="External" Id="rId906"/><Relationship Type="http://schemas.openxmlformats.org/officeDocument/2006/relationships/hyperlink" Target="https://www.100ppi.com/news/detail-20250422-4274838.html" TargetMode="External" Id="rId907"/><Relationship Type="http://schemas.openxmlformats.org/officeDocument/2006/relationships/hyperlink" Target="https://www.100ppi.com/news/detail-20250423-4279040.html" TargetMode="External" Id="rId908"/><Relationship Type="http://schemas.openxmlformats.org/officeDocument/2006/relationships/hyperlink" Target="https://www.100ppi.com/news/detail-20250424-4283262.html" TargetMode="External" Id="rId909"/><Relationship Type="http://schemas.openxmlformats.org/officeDocument/2006/relationships/hyperlink" Target="https://www.100ppi.com/news/detail-20250425-4287134.html" TargetMode="External" Id="rId910"/><Relationship Type="http://schemas.openxmlformats.org/officeDocument/2006/relationships/hyperlink" Target="https://www.100ppi.com/news/detail-20250428-4296881.html" TargetMode="External" Id="rId911"/><Relationship Type="http://schemas.openxmlformats.org/officeDocument/2006/relationships/hyperlink" Target="https://www.100ppi.com/news/detail-20250429-4301055.html" TargetMode="External" Id="rId912"/><Relationship Type="http://schemas.openxmlformats.org/officeDocument/2006/relationships/hyperlink" Target="https://www.100ppi.com/news/detail-20250430-4304910.html" TargetMode="External" Id="rId913"/><Relationship Type="http://schemas.openxmlformats.org/officeDocument/2006/relationships/hyperlink" Target="https://www.100ppi.com/news/detail-20250501-4308601.html" TargetMode="External" Id="rId914"/><Relationship Type="http://schemas.openxmlformats.org/officeDocument/2006/relationships/hyperlink" Target="https://www.100ppi.com/news/detail-20250502-4310042.html" TargetMode="External" Id="rId915"/><Relationship Type="http://schemas.openxmlformats.org/officeDocument/2006/relationships/hyperlink" Target="https://www.100ppi.com/news/detail-20250505-4313453.html" TargetMode="External" Id="rId916"/><Relationship Type="http://schemas.openxmlformats.org/officeDocument/2006/relationships/hyperlink" Target="https://www.100ppi.com/news/detail-20250506-4316042.html" TargetMode="External" Id="rId917"/><Relationship Type="http://schemas.openxmlformats.org/officeDocument/2006/relationships/hyperlink" Target="https://www.100ppi.com/news/detail-20250507-4320406.html" TargetMode="External" Id="rId918"/><Relationship Type="http://schemas.openxmlformats.org/officeDocument/2006/relationships/hyperlink" Target="https://www.100ppi.com/news/detail-20250508-4324932.html" TargetMode="External" Id="rId919"/><Relationship Type="http://schemas.openxmlformats.org/officeDocument/2006/relationships/hyperlink" Target="https://www.100ppi.com/news/detail-20250509-4328709.html" TargetMode="External" Id="rId920"/><Relationship Type="http://schemas.openxmlformats.org/officeDocument/2006/relationships/hyperlink" Target="https://www.100ppi.com/news/detail-20250512-4335233.html" TargetMode="External" Id="rId921"/><Relationship Type="http://schemas.openxmlformats.org/officeDocument/2006/relationships/hyperlink" Target="https://www.100ppi.com/news/detail-20250513-4339662.html" TargetMode="External" Id="rId922"/><Relationship Type="http://schemas.openxmlformats.org/officeDocument/2006/relationships/hyperlink" Target="https://www.100ppi.com/news/detail-20250514-4343950.html" TargetMode="External" Id="rId923"/><Relationship Type="http://schemas.openxmlformats.org/officeDocument/2006/relationships/hyperlink" Target="https://www.100ppi.com/news/detail-20250515-4348806.html" TargetMode="External" Id="rId924"/><Relationship Type="http://schemas.openxmlformats.org/officeDocument/2006/relationships/hyperlink" Target="https://www.100ppi.com/news/detail-20250516-4353143.html" TargetMode="External" Id="rId925"/><Relationship Type="http://schemas.openxmlformats.org/officeDocument/2006/relationships/hyperlink" Target="https://www.100ppi.com/news/detail-20250519-4359383.html" TargetMode="External" Id="rId926"/><Relationship Type="http://schemas.openxmlformats.org/officeDocument/2006/relationships/hyperlink" Target="https://www.100ppi.com/news/detail-20250520-4363489.html" TargetMode="External" Id="rId927"/><Relationship Type="http://schemas.openxmlformats.org/officeDocument/2006/relationships/hyperlink" Target="https://www.100ppi.com/news/detail-20250521-4367803.html" TargetMode="External" Id="rId928"/><Relationship Type="http://schemas.openxmlformats.org/officeDocument/2006/relationships/hyperlink" Target="https://www.100ppi.com/news/detail-20250522-4371771.html" TargetMode="External" Id="rId929"/><Relationship Type="http://schemas.openxmlformats.org/officeDocument/2006/relationships/hyperlink" Target="https://www.100ppi.com/news/detail-20250523-4375865.html" TargetMode="External" Id="rId930"/><Relationship Type="http://schemas.openxmlformats.org/officeDocument/2006/relationships/hyperlink" Target="https://www.100ppi.com/news/detail-20250526-4382054.html" TargetMode="External" Id="rId931"/><Relationship Type="http://schemas.openxmlformats.org/officeDocument/2006/relationships/hyperlink" Target="https://www.100ppi.com/news/detail-20250527-4385710.html" TargetMode="External" Id="rId932"/><Relationship Type="http://schemas.openxmlformats.org/officeDocument/2006/relationships/hyperlink" Target="https://www.100ppi.com/news/detail-20250528-4389810.html" TargetMode="External" Id="rId933"/><Relationship Type="http://schemas.openxmlformats.org/officeDocument/2006/relationships/hyperlink" Target="https://www.100ppi.com/news/detail-20250529-4393815.html" TargetMode="External" Id="rId934"/><Relationship Type="http://schemas.openxmlformats.org/officeDocument/2006/relationships/hyperlink" Target="https://www.100ppi.com/news/detail-20250530-4398137.html" TargetMode="External" Id="rId935"/><Relationship Type="http://schemas.openxmlformats.org/officeDocument/2006/relationships/hyperlink" Target="https://www.100ppi.com/news/detail-20250602-4404831.html" TargetMode="External" Id="rId936"/><Relationship Type="http://schemas.openxmlformats.org/officeDocument/2006/relationships/hyperlink" Target="https://www.100ppi.com/news/detail-20250603-4406467.html" TargetMode="External" Id="rId937"/><Relationship Type="http://schemas.openxmlformats.org/officeDocument/2006/relationships/hyperlink" Target="https://www.100ppi.com/news/detail-20250604-4411017.html" TargetMode="External" Id="rId938"/><Relationship Type="http://schemas.openxmlformats.org/officeDocument/2006/relationships/hyperlink" Target="https://www.100ppi.com/news/detail-20250605-4415265.html" TargetMode="External" Id="rId939"/><Relationship Type="http://schemas.openxmlformats.org/officeDocument/2006/relationships/hyperlink" Target="https://www.100ppi.com/news/detail-20250606-4419378.html" TargetMode="External" Id="rId940"/><Relationship Type="http://schemas.openxmlformats.org/officeDocument/2006/relationships/hyperlink" Target="https://www.100ppi.com/news/detail-20250609-4426539.html" TargetMode="External" Id="rId941"/><Relationship Type="http://schemas.openxmlformats.org/officeDocument/2006/relationships/hyperlink" Target="https://www.100ppi.com/news/detail-20250610-4430922.html" TargetMode="External" Id="rId942"/><Relationship Type="http://schemas.openxmlformats.org/officeDocument/2006/relationships/hyperlink" Target="https://www.100ppi.com/news/detail-20250611-4435253.html" TargetMode="External" Id="rId943"/><Relationship Type="http://schemas.openxmlformats.org/officeDocument/2006/relationships/hyperlink" Target="https://www.100ppi.com/news/detail-20250612-4439558.html" TargetMode="External" Id="rId944"/><Relationship Type="http://schemas.openxmlformats.org/officeDocument/2006/relationships/hyperlink" Target="https://www.100ppi.com/news/detail-20250613-4443428.html" TargetMode="External" Id="rId945"/><Relationship Type="http://schemas.openxmlformats.org/officeDocument/2006/relationships/hyperlink" Target="https://www.100ppi.com/news/detail-20250616-4451048.html" TargetMode="External" Id="rId946"/><Relationship Type="http://schemas.openxmlformats.org/officeDocument/2006/relationships/hyperlink" Target="https://www.100ppi.com/news/detail-20250617-4456041.html" TargetMode="External" Id="rId947"/><Relationship Type="http://schemas.openxmlformats.org/officeDocument/2006/relationships/hyperlink" Target="https://www.100ppi.com/news/detail-20250618-4460154.html" TargetMode="External" Id="rId948"/><Relationship Type="http://schemas.openxmlformats.org/officeDocument/2006/relationships/hyperlink" Target="https://www.100ppi.com/news/detail-20250619-4464146.html" TargetMode="External" Id="rId949"/><Relationship Type="http://schemas.openxmlformats.org/officeDocument/2006/relationships/hyperlink" Target="https://www.100ppi.com/news/detail-20250620-4468550.html" TargetMode="External" Id="rId950"/><Relationship Type="http://schemas.openxmlformats.org/officeDocument/2006/relationships/hyperlink" Target="https://www.100ppi.com/news/detail-20250623-4476036.html" TargetMode="External" Id="rId951"/><Relationship Type="http://schemas.openxmlformats.org/officeDocument/2006/relationships/hyperlink" Target="https://www.100ppi.com/news/detail-20250624-4480504.html" TargetMode="External" Id="rId952"/><Relationship Type="http://schemas.openxmlformats.org/officeDocument/2006/relationships/hyperlink" Target="https://www.100ppi.com/news/detail-20250625-4484577.html" TargetMode="External" Id="rId953"/><Relationship Type="http://schemas.openxmlformats.org/officeDocument/2006/relationships/hyperlink" Target="https://www.100ppi.com/news/detail-20250626-4489498.html" TargetMode="External" Id="rId954"/><Relationship Type="http://schemas.openxmlformats.org/officeDocument/2006/relationships/hyperlink" Target="https://www.100ppi.com/news/detail-20250627-4493464.html" TargetMode="External" Id="rId955"/><Relationship Type="http://schemas.openxmlformats.org/officeDocument/2006/relationships/hyperlink" Target="https://www.100ppi.com/news/detail-20250630-4500175.html" TargetMode="External" Id="rId956"/><Relationship Type="http://schemas.openxmlformats.org/officeDocument/2006/relationships/hyperlink" Target="https://www.100ppi.com/news/detail-20250701-4504283.html" TargetMode="External" Id="rId957"/><Relationship Type="http://schemas.openxmlformats.org/officeDocument/2006/relationships/hyperlink" Target="https://www.100ppi.com/news/detail-20250702-4508647.html" TargetMode="External" Id="rId958"/><Relationship Type="http://schemas.openxmlformats.org/officeDocument/2006/relationships/hyperlink" Target="https://www.100ppi.com/news/detail-20250703-4513075.html" TargetMode="External" Id="rId959"/><Relationship Type="http://schemas.openxmlformats.org/officeDocument/2006/relationships/hyperlink" Target="https://www.100ppi.com/news/detail-20250704-4518088.html" TargetMode="External" Id="rId960"/><Relationship Type="http://schemas.openxmlformats.org/officeDocument/2006/relationships/hyperlink" Target="https://www.100ppi.com/news/detail-20250707-4525217.html" TargetMode="External" Id="rId961"/><Relationship Type="http://schemas.openxmlformats.org/officeDocument/2006/relationships/hyperlink" Target="https://www.100ppi.com/news/detail-20250708-4529496.html" TargetMode="External" Id="rId962"/><Relationship Type="http://schemas.openxmlformats.org/officeDocument/2006/relationships/hyperlink" Target="https://www.100ppi.com/news/detail-20250709-4533457.html" TargetMode="External" Id="rId963"/><Relationship Type="http://schemas.openxmlformats.org/officeDocument/2006/relationships/hyperlink" Target="https://www.100ppi.com/news/detail-20250710-4537807.html" TargetMode="External" Id="rId964"/><Relationship Type="http://schemas.openxmlformats.org/officeDocument/2006/relationships/hyperlink" Target="https://www.100ppi.com/news/detail-20250711-4541884.html" TargetMode="External" Id="rId965"/><Relationship Type="http://schemas.openxmlformats.org/officeDocument/2006/relationships/hyperlink" Target="https://www.100ppi.com/news/detail-20250714-4549320.html" TargetMode="External" Id="rId966"/><Relationship Type="http://schemas.openxmlformats.org/officeDocument/2006/relationships/hyperlink" Target="https://www.100ppi.com/news/detail-20250715-4554343.html" TargetMode="External" Id="rId967"/><Relationship Type="http://schemas.openxmlformats.org/officeDocument/2006/relationships/hyperlink" Target="https://www.100ppi.com/news/detail-20250716-4558823.html" TargetMode="External" Id="rId968"/><Relationship Type="http://schemas.openxmlformats.org/officeDocument/2006/relationships/hyperlink" Target="https://www.100ppi.com/news/detail-20250717-4563486.html" TargetMode="External" Id="rId969"/><Relationship Type="http://schemas.openxmlformats.org/officeDocument/2006/relationships/hyperlink" Target="https://www.100ppi.com/news/detail-20250718-4567786.html" TargetMode="External" Id="rId970"/><Relationship Type="http://schemas.openxmlformats.org/officeDocument/2006/relationships/hyperlink" Target="https://www.100ppi.com/news/detail-20250721-4575027.html" TargetMode="External" Id="rId971"/><Relationship Type="http://schemas.openxmlformats.org/officeDocument/2006/relationships/hyperlink" Target="https://www.100ppi.com/news/detail-20250722-4579511.html" TargetMode="External" Id="rId972"/><Relationship Type="http://schemas.openxmlformats.org/officeDocument/2006/relationships/hyperlink" Target="https://www.100ppi.com/news/detail-20250723-4583950.html" TargetMode="External" Id="rId973"/><Relationship Type="http://schemas.openxmlformats.org/officeDocument/2006/relationships/hyperlink" Target="https://www.100ppi.com/news/detail-20250724-4588330.html" TargetMode="External" Id="rId974"/><Relationship Type="http://schemas.openxmlformats.org/officeDocument/2006/relationships/hyperlink" Target="https://www.100ppi.com/news/detail-20250725-4592750.html" TargetMode="External" Id="rId975"/><Relationship Type="http://schemas.openxmlformats.org/officeDocument/2006/relationships/hyperlink" Target="https://www.100ppi.com/news/detail-20250728-4600324.html" TargetMode="External" Id="rId976"/><Relationship Type="http://schemas.openxmlformats.org/officeDocument/2006/relationships/hyperlink" Target="https://www.100ppi.com/news/detail-20250729-4604743.html" TargetMode="External" Id="rId977"/><Relationship Type="http://schemas.openxmlformats.org/officeDocument/2006/relationships/hyperlink" Target="https://www.100ppi.com/news/detail-20250730-4609195.html" TargetMode="External" Id="rId978"/><Relationship Type="http://schemas.openxmlformats.org/officeDocument/2006/relationships/hyperlink" Target="https://www.100ppi.com/news/detail-20250731-4613555.html" TargetMode="External" Id="rId979"/><Relationship Type="http://schemas.openxmlformats.org/officeDocument/2006/relationships/hyperlink" Target="https://www.100ppi.com/news/detail-20250801-4617930.html" TargetMode="External" Id="rId980"/><Relationship Type="http://schemas.openxmlformats.org/officeDocument/2006/relationships/hyperlink" Target="https://www.100ppi.com/news/detail-20250804-4624217.html" TargetMode="External" Id="rId981"/><Relationship Type="http://schemas.openxmlformats.org/officeDocument/2006/relationships/hyperlink" Target="https://www.100ppi.com/news/detail-20250805-4628318.html" TargetMode="External" Id="rId982"/><Relationship Type="http://schemas.openxmlformats.org/officeDocument/2006/relationships/hyperlink" Target="https://www.100ppi.com/news/detail-20250806-4632413.html" TargetMode="External" Id="rId983"/><Relationship Type="http://schemas.openxmlformats.org/officeDocument/2006/relationships/hyperlink" Target="https://www.100ppi.com/news/detail-20250807-4636421.html" TargetMode="External" Id="rId984"/><Relationship Type="http://schemas.openxmlformats.org/officeDocument/2006/relationships/hyperlink" Target="https://www.100ppi.com/news/detail-20250808-4640525.html" TargetMode="External" Id="rId985"/><Relationship Type="http://schemas.openxmlformats.org/officeDocument/2006/relationships/hyperlink" Target="https://www.100ppi.com/news/detail-20250811-4647970.html" TargetMode="External" Id="rId986"/><Relationship Type="http://schemas.openxmlformats.org/officeDocument/2006/relationships/hyperlink" Target="https://www.100ppi.com/news/detail-20250812-4651671.html" TargetMode="External" Id="rId987"/><Relationship Type="http://schemas.openxmlformats.org/officeDocument/2006/relationships/hyperlink" Target="https://www.100ppi.com/news/detail-20250813-4655524.html" TargetMode="External" Id="rId988"/><Relationship Type="http://schemas.openxmlformats.org/officeDocument/2006/relationships/hyperlink" Target="https://www.100ppi.com/news/detail-20250814-4659638.html" TargetMode="External" Id="rId989"/><Relationship Type="http://schemas.openxmlformats.org/officeDocument/2006/relationships/hyperlink" Target="https://www.100ppi.com/news/detail-20250815-4663849.html" TargetMode="External" Id="rId990"/><Relationship Type="http://schemas.openxmlformats.org/officeDocument/2006/relationships/hyperlink" Target="https://www.100ppi.com/news/detail-20250818-4670464.html" TargetMode="External" Id="rId991"/><Relationship Type="http://schemas.openxmlformats.org/officeDocument/2006/relationships/hyperlink" Target="https://www.100ppi.com/news/detail-20250819-4674608.html" TargetMode="External" Id="rId992"/><Relationship Type="http://schemas.openxmlformats.org/officeDocument/2006/relationships/hyperlink" Target="https://www.100ppi.com/news/detail-20250820-4678901.html" TargetMode="External" Id="rId993"/><Relationship Type="http://schemas.openxmlformats.org/officeDocument/2006/relationships/hyperlink" Target="https://www.100ppi.com/news/detail-20250821-4683076.html" TargetMode="External" Id="rId994"/><Relationship Type="http://schemas.openxmlformats.org/officeDocument/2006/relationships/hyperlink" Target="https://www.100ppi.com/news/detail-20250822-4687271.html" TargetMode="External" Id="rId995"/><Relationship Type="http://schemas.openxmlformats.org/officeDocument/2006/relationships/hyperlink" Target="https://www.100ppi.com/news/detail-20250825-4694044.html" TargetMode="External" Id="rId996"/><Relationship Type="http://schemas.openxmlformats.org/officeDocument/2006/relationships/hyperlink" Target="https://www.100ppi.com/news/detail-20250826-4698288.html" TargetMode="External" Id="rId997"/><Relationship Type="http://schemas.openxmlformats.org/officeDocument/2006/relationships/hyperlink" Target="https://www.100ppi.com/news/detail-20250827-4702518.html" TargetMode="External" Id="rId998"/><Relationship Type="http://schemas.openxmlformats.org/officeDocument/2006/relationships/hyperlink" Target="https://www.100ppi.com/news/detail-20250828-4706740.html" TargetMode="External" Id="rId999"/><Relationship Type="http://schemas.openxmlformats.org/officeDocument/2006/relationships/hyperlink" Target="https://www.100ppi.com/news/detail-20250829-4710306.html" TargetMode="External" Id="rId1000"/><Relationship Type="http://schemas.openxmlformats.org/officeDocument/2006/relationships/hyperlink" Target="https://www.100ppi.com/news/detail-20250901-4718079.html" TargetMode="External" Id="rId1001"/><Relationship Type="http://schemas.openxmlformats.org/officeDocument/2006/relationships/hyperlink" Target="https://www.100ppi.com/news/detail-20250902-4722966.html" TargetMode="External" Id="rId1002"/><Relationship Type="http://schemas.openxmlformats.org/officeDocument/2006/relationships/hyperlink" Target="https://www.100ppi.com/news/detail-20250903-4727233.html" TargetMode="External" Id="rId1003"/><Relationship Type="http://schemas.openxmlformats.org/officeDocument/2006/relationships/hyperlink" Target="https://www.100ppi.com/news/detail-20250904-4731357.html" TargetMode="External" Id="rId1004"/><Relationship Type="http://schemas.openxmlformats.org/officeDocument/2006/relationships/hyperlink" Target="https://www.100ppi.com/news/detail-20250905-4735299.html" TargetMode="External" Id="rId1005"/><Relationship Type="http://schemas.openxmlformats.org/officeDocument/2006/relationships/hyperlink" Target="https://www.100ppi.com/news/detail-20250908-4742316.html" TargetMode="External" Id="rId1006"/><Relationship Type="http://schemas.openxmlformats.org/officeDocument/2006/relationships/hyperlink" Target="https://www.100ppi.com/news/detail-20250909-4746353.html" TargetMode="External" Id="rId1007"/><Relationship Type="http://schemas.openxmlformats.org/officeDocument/2006/relationships/hyperlink" Target="https://www.100ppi.com/news/detail-20250910-4751165.html" TargetMode="External" Id="rId1008"/><Relationship Type="http://schemas.openxmlformats.org/officeDocument/2006/relationships/hyperlink" Target="https://www.100ppi.com/news/detail-20250911-4755284.html" TargetMode="External" Id="rId1009"/><Relationship Type="http://schemas.openxmlformats.org/officeDocument/2006/relationships/hyperlink" Target="https://www.100ppi.com/news/detail-20250912-4759484.html" TargetMode="External" Id="rId1010"/><Relationship Type="http://schemas.openxmlformats.org/officeDocument/2006/relationships/hyperlink" Target="https://www.100ppi.com/news/detail-20250915-4765438.html" TargetMode="External" Id="rId1011"/><Relationship Type="http://schemas.openxmlformats.org/officeDocument/2006/relationships/hyperlink" Target="https://www.100ppi.com/news/detail-20250916-4769721.html" TargetMode="External" Id="rId1012"/><Relationship Type="http://schemas.openxmlformats.org/officeDocument/2006/relationships/hyperlink" Target="https://www.100ppi.com/news/detail-20250917-4774004.html" TargetMode="External" Id="rId1013"/><Relationship Type="http://schemas.openxmlformats.org/officeDocument/2006/relationships/hyperlink" Target="https://www.100ppi.com/news/detail-20250918-4778142.html" TargetMode="External" Id="rId1014"/><Relationship Type="http://schemas.openxmlformats.org/officeDocument/2006/relationships/hyperlink" Target="https://www.100ppi.com/news/detail-20250919-4782399.html" TargetMode="External" Id="rId1015"/><Relationship Type="http://schemas.openxmlformats.org/officeDocument/2006/relationships/hyperlink" Target="https://www.100ppi.com/news/detail-20250922-4788994.html" TargetMode="External" Id="rId1016"/><Relationship Type="http://schemas.openxmlformats.org/officeDocument/2006/relationships/hyperlink" Target="https://www.100ppi.com/news/detail-20250923-4793344.html" TargetMode="External" Id="rId1017"/><Relationship Type="http://schemas.openxmlformats.org/officeDocument/2006/relationships/hyperlink" Target="https://www.100ppi.com/news/detail-20250924-4797622.html" TargetMode="External" Id="rId1018"/><Relationship Type="http://schemas.openxmlformats.org/officeDocument/2006/relationships/hyperlink" Target="https://www.100ppi.com/news/detail-20250925-4801896.html" TargetMode="External" Id="rId1019"/><Relationship Type="http://schemas.openxmlformats.org/officeDocument/2006/relationships/hyperlink" Target="https://www.100ppi.com/news/detail-20250926-4806173.html" TargetMode="External" Id="rId1020"/><Relationship Type="http://schemas.openxmlformats.org/officeDocument/2006/relationships/hyperlink" Target="https://www.100ppi.com/news/detail-20250929-4814908.html" TargetMode="External" Id="rId1021"/><Relationship Type="http://schemas.openxmlformats.org/officeDocument/2006/relationships/hyperlink" Target="https://www.100ppi.com/news/detail-20250930-4818804.html" TargetMode="External" Id="rId1022"/><Relationship Type="http://schemas.openxmlformats.org/officeDocument/2006/relationships/hyperlink" Target="https://www.100ppi.com/news/detail-20251001-4822818.html" TargetMode="External" Id="rId1023"/><Relationship Type="http://schemas.openxmlformats.org/officeDocument/2006/relationships/hyperlink" Target="https://www.100ppi.com/news/detail-20251002-4824407.html" TargetMode="External" Id="rId1024"/><Relationship Type="http://schemas.openxmlformats.org/officeDocument/2006/relationships/hyperlink" Target="https://www.100ppi.com/news/detail-20251003-4826029.html" TargetMode="External" Id="rId1025"/><Relationship Type="http://schemas.openxmlformats.org/officeDocument/2006/relationships/hyperlink" Target="https://www.100ppi.com/news/detail-20251006-4830085.html" TargetMode="External" Id="rId1026"/><Relationship Type="http://schemas.openxmlformats.org/officeDocument/2006/relationships/hyperlink" Target="https://www.100ppi.com/news/detail-20251007-4831801.html" TargetMode="External" Id="rId1027"/><Relationship Type="http://schemas.openxmlformats.org/officeDocument/2006/relationships/hyperlink" Target="https://www.100ppi.com/news/detail-20251008-4833378.html" TargetMode="External" Id="rId1028"/><Relationship Type="http://schemas.openxmlformats.org/officeDocument/2006/relationships/hyperlink" Target="https://www.100ppi.com/news/detail-20251009-4835638.html" TargetMode="External" Id="rId1029"/><Relationship Type="http://schemas.openxmlformats.org/officeDocument/2006/relationships/hyperlink" Target="https://www.100ppi.com/news/detail-20251010-4839980.html" TargetMode="External" Id="rId1030"/><Relationship Type="http://schemas.openxmlformats.org/officeDocument/2006/relationships/hyperlink" Target="https://www.100ppi.com/news/detail-20251011-4848065.html" TargetMode="External" Id="rId1031"/><Relationship Type="http://schemas.openxmlformats.org/officeDocument/2006/relationships/hyperlink" Target="https://www.100ppi.com/news/detail-20251013-4849465.html" TargetMode="External" Id="rId1032"/><Relationship Type="http://schemas.openxmlformats.org/officeDocument/2006/relationships/hyperlink" Target="https://www.100ppi.com/news/detail-20251014-4854362.html" TargetMode="External" Id="rId1033"/><Relationship Type="http://schemas.openxmlformats.org/officeDocument/2006/relationships/hyperlink" Target="https://www.100ppi.com/news/detail-20251015-4858751.html" TargetMode="External" Id="rId1034"/><Relationship Type="http://schemas.openxmlformats.org/officeDocument/2006/relationships/hyperlink" Target="https://www.100ppi.com/news/detail-20251016-4863033.html" TargetMode="External" Id="rId1035"/><Relationship Type="http://schemas.openxmlformats.org/officeDocument/2006/relationships/hyperlink" Target="https://www.100ppi.com/news/detail-20251017-4867482.html" TargetMode="External" Id="rId1036"/><Relationship Type="http://schemas.openxmlformats.org/officeDocument/2006/relationships/hyperlink" Target="https://www.100ppi.com/news/detail-20251020-4874186.html" TargetMode="External" Id="rId1037"/><Relationship Type="http://schemas.openxmlformats.org/officeDocument/2006/relationships/hyperlink" Target="https://www.100ppi.com/news/detail-20251021-4878610.html" TargetMode="External" Id="rId1038"/><Relationship Type="http://schemas.openxmlformats.org/officeDocument/2006/relationships/hyperlink" Target="https://www.100ppi.com/news/detail-20251022-4883049.html" TargetMode="External" Id="rId1039"/><Relationship Type="http://schemas.openxmlformats.org/officeDocument/2006/relationships/hyperlink" Target="https://www.100ppi.com/news/detail-20251023-4887462.html" TargetMode="External" Id="rId1040"/><Relationship Type="http://schemas.openxmlformats.org/officeDocument/2006/relationships/hyperlink" Target="https://www.100ppi.com/news/detail-20251024-4891823.html" TargetMode="External" Id="rId1041"/><Relationship Type="http://schemas.openxmlformats.org/officeDocument/2006/relationships/hyperlink" Target="https://www.100ppi.com/news/detail-20251027-4898191.html" TargetMode="External" Id="rId1042"/><Relationship Type="http://schemas.openxmlformats.org/officeDocument/2006/relationships/hyperlink" Target="https://www.100ppi.com/news/detail-20251028-4902615.html" TargetMode="External" Id="rId1043"/><Relationship Type="http://schemas.openxmlformats.org/officeDocument/2006/relationships/hyperlink" Target="https://www.100ppi.com/news/detail-20251029-4907048.html" TargetMode="External" Id="rId1044"/><Relationship Type="http://schemas.openxmlformats.org/officeDocument/2006/relationships/hyperlink" Target="https://www.100ppi.com/news/detail-20251030-4911272.html" TargetMode="External" Id="rId1045"/><Relationship Type="http://schemas.openxmlformats.org/officeDocument/2006/relationships/hyperlink" Target="https://www.100ppi.com/news/detail-20251031-4915625.html" TargetMode="External" Id="rId1046"/><Relationship Type="http://schemas.openxmlformats.org/officeDocument/2006/relationships/hyperlink" Target="https://www.100ppi.com/news/detail-20251103-4922979.html" TargetMode="External" Id="rId1047"/><Relationship Type="http://schemas.openxmlformats.org/officeDocument/2006/relationships/hyperlink" Target="https://www.100ppi.com/news/detail-20251104-4927461.html" TargetMode="External" Id="rId1048"/><Relationship Type="http://schemas.openxmlformats.org/officeDocument/2006/relationships/hyperlink" Target="https://www.100ppi.com/news/detail-20251105-4931644.html" TargetMode="External" Id="rId1049"/><Relationship Type="http://schemas.openxmlformats.org/officeDocument/2006/relationships/hyperlink" Target="https://www.100ppi.com/news/detail-20251106-4935939.html" TargetMode="External" Id="rId1050"/><Relationship Type="http://schemas.openxmlformats.org/officeDocument/2006/relationships/hyperlink" Target="https://www.100ppi.com/news/detail-20251107-4940234.html" TargetMode="External" Id="rId1051"/><Relationship Type="http://schemas.openxmlformats.org/officeDocument/2006/relationships/hyperlink" Target="https://www.100ppi.com/news/detail-20251110-4946864.html" TargetMode="External" Id="rId1052"/><Relationship Type="http://schemas.openxmlformats.org/officeDocument/2006/relationships/hyperlink" Target="https://www.100ppi.com/news/detail-20251111-4951334.html" TargetMode="External" Id="rId1053"/><Relationship Type="http://schemas.openxmlformats.org/officeDocument/2006/relationships/hyperlink" Target="https://www.100ppi.com/news/detail-20251112-4955417.html" TargetMode="External" Id="rId1054"/><Relationship Type="http://schemas.openxmlformats.org/officeDocument/2006/relationships/hyperlink" Target="https://www.100ppi.com/news/detail-20251113-4959450.html" TargetMode="External" Id="rId1055"/><Relationship Type="http://schemas.openxmlformats.org/officeDocument/2006/relationships/hyperlink" Target="https://www.100ppi.com/news/detail-20251114-4963486.html" TargetMode="External" Id="rId1056"/><Relationship Type="http://schemas.openxmlformats.org/officeDocument/2006/relationships/hyperlink" Target="https://www.100ppi.com/news/detail-20251117-4970476.html" TargetMode="External" Id="rId1057"/><Relationship Type="http://schemas.openxmlformats.org/officeDocument/2006/relationships/hyperlink" Target="https://www.100ppi.com/news/detail-20251118-4975549.html" TargetMode="External" Id="rId1058"/><Relationship Type="http://schemas.openxmlformats.org/officeDocument/2006/relationships/hyperlink" Target="https://www.100ppi.com/news/detail-20251119-4979901.html" TargetMode="External" Id="rId1059"/><Relationship Type="http://schemas.openxmlformats.org/officeDocument/2006/relationships/hyperlink" Target="https://www.100ppi.com/news/detail-20251120-4984306.html" TargetMode="External" Id="rId1060"/><Relationship Type="http://schemas.openxmlformats.org/officeDocument/2006/relationships/hyperlink" Target="https://www.100ppi.com/news/detail-20251121-4988462.html" TargetMode="External" Id="rId1061"/><Relationship Type="http://schemas.openxmlformats.org/officeDocument/2006/relationships/hyperlink" Target="https://www.100ppi.com/news/detail-20251124-4995402.html" TargetMode="External" Id="rId1062"/><Relationship Type="http://schemas.openxmlformats.org/officeDocument/2006/relationships/hyperlink" Target="https://www.100ppi.com/news/detail-20251125-4999464.html" TargetMode="External" Id="rId1063"/><Relationship Type="http://schemas.openxmlformats.org/officeDocument/2006/relationships/hyperlink" Target="https://www.100ppi.com/news/detail-20251126-5003351.html" TargetMode="External" Id="rId1064"/><Relationship Type="http://schemas.openxmlformats.org/officeDocument/2006/relationships/hyperlink" Target="https://www.100ppi.com/news/detail-20251127-5007777.html" TargetMode="External" Id="rId1065"/><Relationship Type="http://schemas.openxmlformats.org/officeDocument/2006/relationships/hyperlink" Target="https://www.100ppi.com/news/detail-20251128-5012022.html" TargetMode="External" Id="rId1066"/><Relationship Type="http://schemas.openxmlformats.org/officeDocument/2006/relationships/hyperlink" Target="https://www.100ppi.com/news/detail-20251201-5018955.html" TargetMode="External" Id="rId1067"/><Relationship Type="http://schemas.openxmlformats.org/officeDocument/2006/relationships/hyperlink" Target="https://www.100ppi.com/news/detail-20251202-5023595.html" TargetMode="External" Id="rId1068"/><Relationship Type="http://schemas.openxmlformats.org/officeDocument/2006/relationships/hyperlink" Target="https://www.100ppi.com/news/detail-20251203-5028193.html" TargetMode="External" Id="rId1069"/><Relationship Type="http://schemas.openxmlformats.org/officeDocument/2006/relationships/hyperlink" Target="https://www.100ppi.com/news/detail-20251204-5032603.html" TargetMode="External" Id="rId1070"/><Relationship Type="http://schemas.openxmlformats.org/officeDocument/2006/relationships/hyperlink" Target="https://www.100ppi.com/news/detail-20251205-5037138.html" TargetMode="External" Id="rId1071"/><Relationship Type="http://schemas.openxmlformats.org/officeDocument/2006/relationships/hyperlink" Target="https://www.100ppi.com/news/detail-20251208-5043575.html" TargetMode="External" Id="rId1072"/><Relationship Type="http://schemas.openxmlformats.org/officeDocument/2006/relationships/hyperlink" Target="https://www.100ppi.com/news/detail-20251209-5047975.html" TargetMode="External" Id="rId1073"/><Relationship Type="http://schemas.openxmlformats.org/officeDocument/2006/relationships/hyperlink" Target="https://www.100ppi.com/news/detail-20251210-5052684.html" TargetMode="External" Id="rId1074"/><Relationship Type="http://schemas.openxmlformats.org/officeDocument/2006/relationships/hyperlink" Target="https://www.100ppi.com/news/detail-20251211-5057260.html" TargetMode="External" Id="rId1075"/><Relationship Type="http://schemas.openxmlformats.org/officeDocument/2006/relationships/hyperlink" Target="https://www.100ppi.com/news/detail-20251212-5061898.html" TargetMode="External" Id="rId1076"/><Relationship Type="http://schemas.openxmlformats.org/officeDocument/2006/relationships/hyperlink" Target="https://www.100ppi.com/news/detail-20251215-5069036.html" TargetMode="External" Id="rId1077"/><Relationship Type="http://schemas.openxmlformats.org/officeDocument/2006/relationships/hyperlink" Target="https://www.100ppi.com/news/detail-20251216-5073430.html" TargetMode="External" Id="rId1078"/><Relationship Type="http://schemas.openxmlformats.org/officeDocument/2006/relationships/hyperlink" Target="https://www.100ppi.com/news/detail-20251217-5077841.html" TargetMode="External" Id="rId1079"/><Relationship Type="http://schemas.openxmlformats.org/officeDocument/2006/relationships/hyperlink" Target="https://www.100ppi.com/news/detail-20251218-5082238.html" TargetMode="External" Id="rId1080"/><Relationship Type="http://schemas.openxmlformats.org/officeDocument/2006/relationships/hyperlink" Target="https://www.100ppi.com/news/detail-20251219-5086561.html" TargetMode="External" Id="rId1081"/><Relationship Type="http://schemas.openxmlformats.org/officeDocument/2006/relationships/hyperlink" Target="https://www.100ppi.com/news/detail-20251222-5092609.html" TargetMode="External" Id="rId1082"/><Relationship Type="http://schemas.openxmlformats.org/officeDocument/2006/relationships/hyperlink" Target="https://www.100ppi.com/news/detail-20251223-5097248.html" TargetMode="External" Id="rId1083"/><Relationship Type="http://schemas.openxmlformats.org/officeDocument/2006/relationships/hyperlink" Target="https://www.100ppi.com/news/detail-20251224-5102773.html" TargetMode="External" Id="rId1084"/><Relationship Type="http://schemas.openxmlformats.org/officeDocument/2006/relationships/hyperlink" Target="https://www.100ppi.com/news/detail-20251225-5108182.html" TargetMode="External" Id="rId1085"/><Relationship Type="http://schemas.openxmlformats.org/officeDocument/2006/relationships/hyperlink" Target="https://www.100ppi.com/news/detail-20251226-5113029.html" TargetMode="External" Id="rId1086"/><Relationship Type="http://schemas.openxmlformats.org/officeDocument/2006/relationships/hyperlink" Target="https://www.100ppi.com/news/detail-20251229-5120680.html" TargetMode="External" Id="rId1087"/><Relationship Type="http://schemas.openxmlformats.org/officeDocument/2006/relationships/hyperlink" Target="https://www.100ppi.com/news/detail-20251230-5126171.html" TargetMode="External" Id="rId1088"/><Relationship Type="http://schemas.openxmlformats.org/officeDocument/2006/relationships/hyperlink" Target="https://www.100ppi.com/news/detail-20251231-5131686.html" TargetMode="External" Id="rId1089"/><Relationship Type="http://schemas.openxmlformats.org/officeDocument/2006/relationships/hyperlink" Target="https://www.100ppi.com/news/detail-20260101-5137171.html" TargetMode="External" Id="rId1090"/><Relationship Type="http://schemas.openxmlformats.org/officeDocument/2006/relationships/hyperlink" Target="https://www.100ppi.com/news/detail-20260102-5138338.html" TargetMode="External" Id="rId1091"/><Relationship Type="http://schemas.openxmlformats.org/officeDocument/2006/relationships/hyperlink" Target="https://www.100ppi.com/news/detail-20260105-5145416.html" TargetMode="External" Id="rId1092"/><Relationship Type="http://schemas.openxmlformats.org/officeDocument/2006/relationships/hyperlink" Target="https://www.100ppi.com/news/detail-20260106-5150916.html" TargetMode="External" Id="rId1093"/><Relationship Type="http://schemas.openxmlformats.org/officeDocument/2006/relationships/hyperlink" Target="https://www.100ppi.com/news/detail-20260107-5156579.html" TargetMode="External" Id="rId1094"/><Relationship Type="http://schemas.openxmlformats.org/officeDocument/2006/relationships/hyperlink" Target="https://www.100ppi.com/news/detail-20260108-5161906.html" TargetMode="External" Id="rId1095"/><Relationship Type="http://schemas.openxmlformats.org/officeDocument/2006/relationships/hyperlink" Target="https://www.100ppi.com/news/detail-20260109-5167217.html" TargetMode="External" Id="rId1096"/><Relationship Type="http://schemas.openxmlformats.org/officeDocument/2006/relationships/hyperlink" Target="https://www.100ppi.com/news/detail-20260112-5175333.html" TargetMode="External" Id="rId1097"/><Relationship Type="http://schemas.openxmlformats.org/officeDocument/2006/relationships/hyperlink" Target="https://www.100ppi.com/news/detail-20260113-5180763.html" TargetMode="External" Id="rId1098"/><Relationship Type="http://schemas.openxmlformats.org/officeDocument/2006/relationships/hyperlink" Target="https://www.100ppi.com/news/detail-20260114-5185631.html" TargetMode="External" Id="rId1099"/><Relationship Type="http://schemas.openxmlformats.org/officeDocument/2006/relationships/hyperlink" Target="https://www.100ppi.com/news/detail-20260115-5190982.html" TargetMode="External" Id="rId1100"/><Relationship Type="http://schemas.openxmlformats.org/officeDocument/2006/relationships/hyperlink" Target="https://www.100ppi.com/news/detail-20260116-5196155.html" TargetMode="External" Id="rId1101"/><Relationship Type="http://schemas.openxmlformats.org/officeDocument/2006/relationships/hyperlink" Target="https://www.100ppi.com/news/detail-20260119-5204480.html" TargetMode="External" Id="rId1102"/><Relationship Type="http://schemas.openxmlformats.org/officeDocument/2006/relationships/hyperlink" Target="https://www.100ppi.com/news/detail-20260120-5210177.html" TargetMode="External" Id="rId1103"/><Relationship Type="http://schemas.openxmlformats.org/officeDocument/2006/relationships/hyperlink" Target="https://www.100ppi.com/news/detail-20260121-5215835.html" TargetMode="External" Id="rId1104"/><Relationship Type="http://schemas.openxmlformats.org/officeDocument/2006/relationships/hyperlink" Target="https://www.100ppi.com/news/detail-20260122-5221461.html" TargetMode="External" Id="rId1105"/><Relationship Type="http://schemas.openxmlformats.org/officeDocument/2006/relationships/hyperlink" Target="https://www.100ppi.com/news/detail-20260123-5226917.html" TargetMode="External" Id="rId1106"/><Relationship Type="http://schemas.openxmlformats.org/officeDocument/2006/relationships/hyperlink" Target="https://www.100ppi.com/news/detail-20260126-5235672.html" TargetMode="External" Id="rId1107"/><Relationship Type="http://schemas.openxmlformats.org/officeDocument/2006/relationships/hyperlink" Target="https://www.100ppi.com/news/detail-20260127-5240173.html" TargetMode="External" Id="rId1108"/><Relationship Type="http://schemas.openxmlformats.org/officeDocument/2006/relationships/hyperlink" Target="https://www.100ppi.com/news/detail-20260128-5245711.html" TargetMode="External" Id="rId1109"/><Relationship Type="http://schemas.openxmlformats.org/officeDocument/2006/relationships/hyperlink" Target="https://www.100ppi.com/news/detail-20260129-5251333.html" TargetMode="External" Id="rId1110"/><Relationship Type="http://schemas.openxmlformats.org/officeDocument/2006/relationships/hyperlink" Target="https://www.100ppi.com/news/detail-20260130-5256723.html" TargetMode="External" Id="rId1111"/><Relationship Type="http://schemas.openxmlformats.org/officeDocument/2006/relationships/hyperlink" Target="https://www.100ppi.com/news/detail-20260202-5264563.html" TargetMode="External" Id="rId1112"/><Relationship Type="http://schemas.openxmlformats.org/officeDocument/2006/relationships/hyperlink" Target="https://www.100ppi.com/news/detail-20260203-5270134.html" TargetMode="External" Id="rId1113"/><Relationship Type="http://schemas.openxmlformats.org/officeDocument/2006/relationships/hyperlink" Target="https://www.100ppi.com/news/detail-20260204-5275655.html" TargetMode="External" Id="rId1114"/><Relationship Type="http://schemas.openxmlformats.org/officeDocument/2006/relationships/hyperlink" Target="https://www.100ppi.com/news/detail-20260205-5280960.html" TargetMode="External" Id="rId1115"/><Relationship Type="http://schemas.openxmlformats.org/officeDocument/2006/relationships/hyperlink" Target="https://www.100ppi.com/news/detail-20260206-5285258.html" TargetMode="External" Id="rId1116"/><Relationship Type="http://schemas.openxmlformats.org/officeDocument/2006/relationships/hyperlink" Target="https://www.100ppi.com/news/detail-20260209-5291615.html" TargetMode="External" Id="rId1117"/><Relationship Type="http://schemas.openxmlformats.org/officeDocument/2006/relationships/hyperlink" Target="https://www.100ppi.com/news/detail-20260210-5295198.html" TargetMode="External" Id="rId1118"/><Relationship Type="http://schemas.openxmlformats.org/officeDocument/2006/relationships/hyperlink" Target="https://www.100ppi.com/news/detail-20260211-5297848.html" TargetMode="External" Id="rId1119"/><Relationship Type="http://schemas.openxmlformats.org/officeDocument/2006/relationships/hyperlink" Target="https://www.100ppi.com/news/detail-20260212-5300324.html" TargetMode="External" Id="rId1120"/><Relationship Type="http://schemas.openxmlformats.org/officeDocument/2006/relationships/hyperlink" Target="https://www.100ppi.com/news/detail-20260213-5301901.html" TargetMode="External" Id="rId1121"/><Relationship Type="http://schemas.openxmlformats.org/officeDocument/2006/relationships/hyperlink" Target="https://www.100ppi.com/news/detail-20260216-5306005.html" TargetMode="External" Id="rId1122"/><Relationship Type="http://schemas.openxmlformats.org/officeDocument/2006/relationships/hyperlink" Target="https://www.100ppi.com/news/detail-20260217-5306756.html" TargetMode="External" Id="rId1123"/><Relationship Type="http://schemas.openxmlformats.org/officeDocument/2006/relationships/hyperlink" Target="https://www.100ppi.com/news/detail-20260218-5308114.html" TargetMode="External" Id="rId1124"/><Relationship Type="http://schemas.openxmlformats.org/officeDocument/2006/relationships/hyperlink" Target="https://www.100ppi.com/news/detail-20260219-5309756.html" TargetMode="External" Id="rId1125"/><Relationship Type="http://schemas.openxmlformats.org/officeDocument/2006/relationships/hyperlink" Target="https://www.100ppi.com/news/detail-20260220-5311119.html" TargetMode="External" Id="rId1126"/><Relationship Type="http://schemas.openxmlformats.org/officeDocument/2006/relationships/hyperlink" Target="https://www.100ppi.com/news/detail-20260223-5313885.html" TargetMode="External" Id="rId1127"/><Relationship Type="http://schemas.openxmlformats.org/officeDocument/2006/relationships/hyperlink" Target="https://www.100ppi.com/news/detail-20260224-5315631.html" TargetMode="External" Id="rId1128"/><Relationship Type="http://schemas.openxmlformats.org/officeDocument/2006/relationships/hyperlink" Target="https://www.100ppi.com/news/detail-20260225-5320017.html" TargetMode="External" Id="rId1129"/><Relationship Type="http://schemas.openxmlformats.org/officeDocument/2006/relationships/hyperlink" Target="https://www.100ppi.com/news/detail-20260226-5324532.html" TargetMode="External" Id="rId1130"/><Relationship Type="http://schemas.openxmlformats.org/officeDocument/2006/relationships/hyperlink" Target="https://www.100ppi.com/news/detail-20260227-5329070.html" TargetMode="External" Id="rId1131"/><Relationship Type="http://schemas.openxmlformats.org/officeDocument/2006/relationships/hyperlink" Target="https://www.100ppi.com/news/detail-20260302-5340795.html" TargetMode="External" Id="rId1132"/><Relationship Type="http://schemas.openxmlformats.org/officeDocument/2006/relationships/hyperlink" Target="https://www.100ppi.com/news/detail-20260303-5346044.html" TargetMode="External" Id="rId1133"/><Relationship Type="http://schemas.openxmlformats.org/officeDocument/2006/relationships/hyperlink" Target="https://www.100ppi.com/news/detail-20260304-5351325.html" TargetMode="External" Id="rId1134"/><Relationship Type="http://schemas.openxmlformats.org/officeDocument/2006/relationships/hyperlink" Target="https://www.100ppi.com/news/detail-20260305-5357138.html" TargetMode="External" Id="rId1135"/><Relationship Type="http://schemas.openxmlformats.org/officeDocument/2006/relationships/hyperlink" Target="https://www.100ppi.com/news/detail-20260306-5362851.html" TargetMode="External" Id="rId1136"/><Relationship Type="http://schemas.openxmlformats.org/officeDocument/2006/relationships/hyperlink" Target="https://www.100ppi.com/news/detail-20260309-5371721.html" TargetMode="External" Id="rId1137"/><Relationship Type="http://schemas.openxmlformats.org/officeDocument/2006/relationships/hyperlink" Target="https://www.100ppi.com/news/detail-20260310-5377539.html" TargetMode="External" Id="rId1138"/><Relationship Type="http://schemas.openxmlformats.org/officeDocument/2006/relationships/hyperlink" Target="https://www.100ppi.com/news/detail-20260311-5383112.html" TargetMode="External" Id="rId1139"/><Relationship Type="http://schemas.openxmlformats.org/officeDocument/2006/relationships/hyperlink" Target="https://www.100ppi.com/news/detail-20260312-5388359.html" TargetMode="External" Id="rId1140"/><Relationship Type="http://schemas.openxmlformats.org/officeDocument/2006/relationships/hyperlink" Target="https://www.100ppi.com/news/detail-20260313-5394079.html" TargetMode="External" Id="rId1141"/><Relationship Type="http://schemas.openxmlformats.org/officeDocument/2006/relationships/hyperlink" Target="https://www.100ppi.com/news/detail-20260316-5402873.html" TargetMode="External" Id="rId1142"/><Relationship Type="http://schemas.openxmlformats.org/officeDocument/2006/relationships/hyperlink" Target="https://www.100ppi.com/news/detail-20260317-5408630.html" TargetMode="External" Id="rId1143"/><Relationship Type="http://schemas.openxmlformats.org/officeDocument/2006/relationships/hyperlink" Target="https://www.100ppi.com/news/detail-20260318-5414013.html" TargetMode="External" Id="rId1144"/><Relationship Type="http://schemas.openxmlformats.org/officeDocument/2006/relationships/hyperlink" Target="https://www.100ppi.com/news/detail-20260319-5419617.html" TargetMode="External" Id="rId1145"/><Relationship Type="http://schemas.openxmlformats.org/officeDocument/2006/relationships/hyperlink" Target="https://www.100ppi.com/news/detail-20260320-5425208.html" TargetMode="External" Id="rId1146"/><Relationship Type="http://schemas.openxmlformats.org/officeDocument/2006/relationships/hyperlink" Target="https://www.100ppi.com/news/detail-20260323-5433407.html" TargetMode="External" Id="rId1147"/><Relationship Type="http://schemas.openxmlformats.org/officeDocument/2006/relationships/hyperlink" Target="https://www.100ppi.com/news/detail-20260324-5439271.html" TargetMode="External" Id="rId1148"/><Relationship Type="http://schemas.openxmlformats.org/officeDocument/2006/relationships/hyperlink" Target="https://www.100ppi.com/news/detail-20260325-5444989.html" TargetMode="External" Id="rId1149"/><Relationship Type="http://schemas.openxmlformats.org/officeDocument/2006/relationships/hyperlink" Target="https://www.100ppi.com/news/detail-20260326-5450429.html" TargetMode="External" Id="rId1150"/><Relationship Type="http://schemas.openxmlformats.org/officeDocument/2006/relationships/hyperlink" Target="https://www.100ppi.com/news/detail-20260327-5456075.html" TargetMode="External" Id="rId1151"/><Relationship Type="http://schemas.openxmlformats.org/officeDocument/2006/relationships/hyperlink" Target="https://www.100ppi.com/news/detail-20260330-5464316.html" TargetMode="External" Id="rId1152"/><Relationship Type="http://schemas.openxmlformats.org/officeDocument/2006/relationships/hyperlink" Target="https://www.100ppi.com/news/detail-20260331-5470062.html" TargetMode="External" Id="rId1153"/><Relationship Type="http://schemas.openxmlformats.org/officeDocument/2006/relationships/hyperlink" Target="https://www.100ppi.com/news/detail-20260401-5475692.html" TargetMode="External" Id="rId1154"/><Relationship Type="http://schemas.openxmlformats.org/officeDocument/2006/relationships/hyperlink" Target="https://www.100ppi.com/news/detail-20260402-5481387.html" TargetMode="External" Id="rId1155"/><Relationship Type="http://schemas.openxmlformats.org/officeDocument/2006/relationships/hyperlink" Target="https://www.100ppi.com/news/detail-20260403-5486630.html" TargetMode="External" Id="rId1156"/><Relationship Type="http://schemas.openxmlformats.org/officeDocument/2006/relationships/hyperlink" Target="https://www.100ppi.com/news/detail-20260406-5494622.html" TargetMode="External" Id="rId1157"/><Relationship Type="http://schemas.openxmlformats.org/officeDocument/2006/relationships/hyperlink" Target="https://www.100ppi.com/news/detail-20260407-5496398.html" TargetMode="External" Id="rId1158"/><Relationship Type="http://schemas.openxmlformats.org/officeDocument/2006/relationships/hyperlink" Target="https://www.100ppi.com/news/detail-20260408-5502185.html" TargetMode="External" Id="rId1159"/><Relationship Type="http://schemas.openxmlformats.org/officeDocument/2006/relationships/hyperlink" Target="https://www.100ppi.com/news/detail-20260409-5507874.html" TargetMode="External" Id="rId1160"/><Relationship Type="http://schemas.openxmlformats.org/officeDocument/2006/relationships/hyperlink" Target="https://www.100ppi.com/news/detail-20260410-5513307.html" TargetMode="External" Id="rId1161"/><Relationship Type="http://schemas.openxmlformats.org/officeDocument/2006/relationships/hyperlink" Target="https://www.100ppi.com/news/detail-20260413-5521399.html" TargetMode="External" Id="rId1162"/><Relationship Type="http://schemas.openxmlformats.org/officeDocument/2006/relationships/hyperlink" Target="https://www.100ppi.com/news/detail-20260414-5527153.html" TargetMode="External" Id="rId1163"/><Relationship Type="http://schemas.openxmlformats.org/officeDocument/2006/relationships/hyperlink" Target="https://www.100ppi.com/news/detail-20260415-5532194.html" TargetMode="External" Id="rId1164"/><Relationship Type="http://schemas.openxmlformats.org/officeDocument/2006/relationships/hyperlink" Target="https://www.100ppi.com/news/detail-20260416-5537368.html" TargetMode="External" Id="rId1165"/><Relationship Type="http://schemas.openxmlformats.org/officeDocument/2006/relationships/hyperlink" Target="https://www.100ppi.com/news/detail-20260417-5543093.html" TargetMode="External" Id="rId1166"/><Relationship Type="http://schemas.openxmlformats.org/officeDocument/2006/relationships/hyperlink" Target="https://www.100ppi.com/news/detail-20260420-5551748.html" TargetMode="External" Id="rId1167"/><Relationship Type="http://schemas.openxmlformats.org/officeDocument/2006/relationships/hyperlink" Target="https://www.100ppi.com/news/detail-20260421-5557545.html" TargetMode="External" Id="rId1168"/><Relationship Type="http://schemas.openxmlformats.org/officeDocument/2006/relationships/hyperlink" Target="https://www.100ppi.com/news/detail-20260422-5562731.html" TargetMode="External" Id="rId1169"/><Relationship Type="http://schemas.openxmlformats.org/officeDocument/2006/relationships/hyperlink" Target="https://www.100ppi.com/news/detail-20260423-5568628.html" TargetMode="External" Id="rId1170"/><Relationship Type="http://schemas.openxmlformats.org/officeDocument/2006/relationships/hyperlink" Target="https://www.100ppi.com/news/detail-20260424-5574353.html" TargetMode="External" Id="rId1171"/><Relationship Type="http://schemas.openxmlformats.org/officeDocument/2006/relationships/hyperlink" Target="https://www.100ppi.com/news/detail-20260427-5582173.html" TargetMode="External" Id="rId1172"/><Relationship Type="http://schemas.openxmlformats.org/officeDocument/2006/relationships/hyperlink" Target="https://www.100ppi.com/news/detail-20260428-5587606.html" TargetMode="External" Id="rId1173"/><Relationship Type="http://schemas.openxmlformats.org/officeDocument/2006/relationships/hyperlink" Target="https://www.100ppi.com/news/detail-20260429-5593157.html" TargetMode="External" Id="rId1174"/><Relationship Type="http://schemas.openxmlformats.org/officeDocument/2006/relationships/hyperlink" Target="https://www.100ppi.com/news/detail-20260430-5598814.html" TargetMode="External" Id="rId1175"/><Relationship Type="http://schemas.openxmlformats.org/officeDocument/2006/relationships/hyperlink" Target="https://www.100ppi.com/news/detail-20260501-5604124.html" TargetMode="External" Id="rId1176"/><Relationship Type="http://schemas.openxmlformats.org/officeDocument/2006/relationships/hyperlink" Target="https://www.100ppi.com/news/detail-20260504-5607712.html" TargetMode="External" Id="rId1177"/><Relationship Type="http://schemas.openxmlformats.org/officeDocument/2006/relationships/hyperlink" Target="https://www.100ppi.com/news/detail-20260505-5609490.html" TargetMode="External" Id="rId1178"/><Relationship Type="http://schemas.openxmlformats.org/officeDocument/2006/relationships/hyperlink" Target="https://www.100ppi.com/news/detail-20260506-5611431.html" TargetMode="External" Id="rId1179"/><Relationship Type="http://schemas.openxmlformats.org/officeDocument/2006/relationships/hyperlink" Target="https://www.100ppi.com/news/detail-20260507-5617139.html" TargetMode="External" Id="rId1180"/><Relationship Type="http://schemas.openxmlformats.org/officeDocument/2006/relationships/hyperlink" Target="https://www.100ppi.com/news/detail-20260508-5622821.html" TargetMode="External" Id="rId1181"/><Relationship Type="http://schemas.openxmlformats.org/officeDocument/2006/relationships/hyperlink" Target="https://www.100ppi.com/news/detail-20260511-5634793.html" TargetMode="External" Id="rId1182"/><Relationship Type="http://schemas.openxmlformats.org/officeDocument/2006/relationships/hyperlink" Target="https://www.100ppi.com/news/detail-20260512-5640647.html" TargetMode="External" Id="rId1183"/><Relationship Type="http://schemas.openxmlformats.org/officeDocument/2006/relationships/hyperlink" Target="https://www.100ppi.com/news/detail-20260513-5646387.html" TargetMode="External" Id="rId1184"/><Relationship Type="http://schemas.openxmlformats.org/officeDocument/2006/relationships/hyperlink" Target="https://www.100ppi.com/news/detail-20260514-5652176.html" TargetMode="External" Id="rId1185"/><Relationship Type="http://schemas.openxmlformats.org/officeDocument/2006/relationships/hyperlink" Target="https://www.100ppi.com/news/detail-20260515-5657952.html" TargetMode="External" Id="rId1186"/><Relationship Type="http://schemas.openxmlformats.org/officeDocument/2006/relationships/hyperlink" Target="https://www.100ppi.com/news/detail-20260518-5665128.html" TargetMode="External" Id="rId1187"/><Relationship Type="http://schemas.openxmlformats.org/officeDocument/2006/relationships/hyperlink" Target="https://www.100ppi.com/news/detail-20260519-5671124.html" TargetMode="External" Id="rId1188"/><Relationship Type="http://schemas.openxmlformats.org/officeDocument/2006/relationships/hyperlink" Target="https://www.100ppi.com/news/detail-20260520-5676726.html" TargetMode="External" Id="rId1189"/><Relationship Type="http://schemas.openxmlformats.org/officeDocument/2006/relationships/hyperlink" Target="https://www.100ppi.com/news/detail-20260521-5682355.html" TargetMode="External" Id="rId1190"/><Relationship Type="http://schemas.openxmlformats.org/officeDocument/2006/relationships/hyperlink" Target="https://www.100ppi.com/news/detail-20260522-5688004.html" TargetMode="External" Id="rId1191"/><Relationship Type="http://schemas.openxmlformats.org/officeDocument/2006/relationships/hyperlink" Target="https://www.100ppi.com/news/detail-20260525-5696417.html" TargetMode="External" Id="rId1192"/><Relationship Type="http://schemas.openxmlformats.org/officeDocument/2006/relationships/hyperlink" Target="https://www.100ppi.com/news/detail-20260526-5702081.html" TargetMode="External" Id="rId1193"/><Relationship Type="http://schemas.openxmlformats.org/officeDocument/2006/relationships/hyperlink" Target="https://www.100ppi.com/news/detail-20260527-5707850.html" TargetMode="External" Id="rId1194"/><Relationship Type="http://schemas.openxmlformats.org/officeDocument/2006/relationships/hyperlink" Target="https://www.100ppi.com/news/detail-20260528-5713669.html" TargetMode="External" Id="rId1195"/><Relationship Type="http://schemas.openxmlformats.org/officeDocument/2006/relationships/hyperlink" Target="https://www.100ppi.com/news/detail-20260529-5719084.html" TargetMode="External" Id="rId1196"/><Relationship Type="http://schemas.openxmlformats.org/officeDocument/2006/relationships/hyperlink" Target="https://www.100ppi.com/news/detail-20260601-5727549.html" TargetMode="External" Id="rId1197"/><Relationship Type="http://schemas.openxmlformats.org/officeDocument/2006/relationships/hyperlink" Target="https://www.100ppi.com/news/detail-20260602-5733519.html" TargetMode="External" Id="rId1198"/><Relationship Type="http://schemas.openxmlformats.org/officeDocument/2006/relationships/hyperlink" Target="https://www.100ppi.com/news/detail-20260603-5739148.html" TargetMode="External" Id="rId1199"/><Relationship Type="http://schemas.openxmlformats.org/officeDocument/2006/relationships/hyperlink" Target="https://www.100ppi.com/news/detail-20260604-5744954.html" TargetMode="External" Id="rId1200"/><Relationship Type="http://schemas.openxmlformats.org/officeDocument/2006/relationships/hyperlink" Target="https://www.100ppi.com/news/detail-20260605-5750383.html" TargetMode="External" Id="rId1201"/><Relationship Type="http://schemas.openxmlformats.org/officeDocument/2006/relationships/hyperlink" Target="https://www.100ppi.com/news/detail-20260608-5759648.html" TargetMode="External" Id="rId1202"/><Relationship Type="http://schemas.openxmlformats.org/officeDocument/2006/relationships/hyperlink" Target="https://www.100ppi.com/news/detail-20260609-5764433.html" TargetMode="External" Id="rId1203"/><Relationship Type="http://schemas.openxmlformats.org/officeDocument/2006/relationships/hyperlink" Target="https://www.100ppi.com/news/detail-20260610-5769016.html" TargetMode="External" Id="rId1204"/><Relationship Type="http://schemas.openxmlformats.org/officeDocument/2006/relationships/hyperlink" Target="https://www.100ppi.com/news/detail-20260611-5774720.html" TargetMode="External" Id="rId1205"/><Relationship Type="http://schemas.openxmlformats.org/officeDocument/2006/relationships/hyperlink" Target="https://www.100ppi.com/news/detail-20260612-5779473.html" TargetMode="External" Id="rId1206"/><Relationship Type="http://schemas.openxmlformats.org/officeDocument/2006/relationships/hyperlink" Target="https://www.100ppi.com/news/detail-20260615-5788562.html" TargetMode="External" Id="rId1207"/><Relationship Type="http://schemas.openxmlformats.org/officeDocument/2006/relationships/hyperlink" Target="https://www.100ppi.com/news/detail-20260616-5794641.html" TargetMode="External" Id="rId1208"/><Relationship Type="http://schemas.openxmlformats.org/officeDocument/2006/relationships/hyperlink" Target="https://www.100ppi.com/news/detail-20260617-5800509.html" TargetMode="External" Id="rId1209"/><Relationship Type="http://schemas.openxmlformats.org/officeDocument/2006/relationships/hyperlink" Target="https://www.100ppi.com/news/detail-20260618-5806259.html" TargetMode="External" Id="rId1210"/><Relationship Type="http://schemas.openxmlformats.org/officeDocument/2006/relationships/hyperlink" Target="https://www.100ppi.com/news/detail-20260619-5811908.html" TargetMode="External" Id="rId1211"/><Relationship Type="http://schemas.openxmlformats.org/officeDocument/2006/relationships/hyperlink" Target="https://www.100ppi.com/news/detail-20260622-5816088.html" TargetMode="External" Id="rId1212"/><Relationship Type="http://schemas.openxmlformats.org/officeDocument/2006/relationships/hyperlink" Target="https://www.100ppi.com/news/detail-20260623-5822133.html" TargetMode="External" Id="rId1213"/><Relationship Type="http://schemas.openxmlformats.org/officeDocument/2006/relationships/hyperlink" Target="https://www.100ppi.com/news/detail-20260624-5828036.html" TargetMode="External" Id="rId1214"/><Relationship Type="http://schemas.openxmlformats.org/officeDocument/2006/relationships/hyperlink" Target="https://www.100ppi.com/news/detail-20260625-5833820.html" TargetMode="External" Id="rId1215"/><Relationship Type="http://schemas.openxmlformats.org/officeDocument/2006/relationships/hyperlink" Target="https://www.100ppi.com/news/detail-20260626-5839326.html" TargetMode="External" Id="rId1216"/><Relationship Type="http://schemas.openxmlformats.org/officeDocument/2006/relationships/hyperlink" Target="https://www.100ppi.com/news/detail-20260629-5847560.html" TargetMode="External" Id="rId1217"/><Relationship Type="http://schemas.openxmlformats.org/officeDocument/2006/relationships/hyperlink" Target="https://www.100ppi.com/news/detail-20260630-5853377.html" TargetMode="External" Id="rId1218"/><Relationship Type="http://schemas.openxmlformats.org/officeDocument/2006/relationships/hyperlink" Target="https://www.100ppi.com/news/detail-20260701-5858751.html" TargetMode="External" Id="rId1219"/><Relationship Type="http://schemas.openxmlformats.org/officeDocument/2006/relationships/hyperlink" Target="https://www.100ppi.com/news/detail-20260702-5864692.html" TargetMode="External" Id="rId1220"/><Relationship Type="http://schemas.openxmlformats.org/officeDocument/2006/relationships/hyperlink" Target="https://www.100ppi.com/news/detail-20260703-5869469.html" TargetMode="External" Id="rId1221"/><Relationship Type="http://schemas.openxmlformats.org/officeDocument/2006/relationships/hyperlink" Target="https://www.100ppi.com/news/detail-20260706-5878295.html" TargetMode="External" Id="rId1222"/><Relationship Type="http://schemas.openxmlformats.org/officeDocument/2006/relationships/hyperlink" Target="https://www.100ppi.com/news/detail-20260707-5884538.html" TargetMode="External" Id="rId1223"/><Relationship Type="http://schemas.openxmlformats.org/officeDocument/2006/relationships/hyperlink" Target="https://www.100ppi.com/news/detail-20260708-5890357.html" TargetMode="External" Id="rId1224"/><Relationship Type="http://schemas.openxmlformats.org/officeDocument/2006/relationships/hyperlink" Target="https://www.100ppi.com/news/detail-20260709-5896459.html" TargetMode="External" Id="rId1225"/><Relationship Type="http://schemas.openxmlformats.org/officeDocument/2006/relationships/hyperlink" Target="https://www.100ppi.com/news/detail-20260710-5902448.html" TargetMode="External" Id="rId1226"/><Relationship Type="http://schemas.openxmlformats.org/officeDocument/2006/relationships/hyperlink" Target="https://www.100ppi.com/news/detail-20260713-5911932.html" TargetMode="External" Id="rId1227"/><Relationship Type="http://schemas.openxmlformats.org/officeDocument/2006/relationships/hyperlink" Target="https://www.100ppi.com/news/detail-20260714-5918187.html" TargetMode="External" Id="rId1228"/><Relationship Type="http://schemas.openxmlformats.org/officeDocument/2006/relationships/hyperlink" Target="https://www.100ppi.com/news/detail-20260715-5924234.html" TargetMode="External" Id="rId1229"/><Relationship Type="http://schemas.openxmlformats.org/officeDocument/2006/relationships/hyperlink" Target="https://www.100ppi.com/news/detail-20260716-5930119.html" TargetMode="External" Id="rId1230"/><Relationship Type="http://schemas.openxmlformats.org/officeDocument/2006/relationships/hyperlink" Target="https://www.100ppi.com/news/detail-20260717-5936248.html" TargetMode="External" Id="rId1231"/><Relationship Type="http://schemas.openxmlformats.org/officeDocument/2006/relationships/hyperlink" Target="https://www.100ppi.com/news/detail-20260720-5945698.html" TargetMode="External" Id="rId1232"/><Relationship Type="http://schemas.openxmlformats.org/officeDocument/2006/relationships/hyperlink" Target="https://www.100ppi.com/news/detail-20260721-5952135.html" TargetMode="External" Id="rId1233"/><Relationship Type="http://schemas.openxmlformats.org/officeDocument/2006/relationships/hyperlink" Target="https://www.100ppi.com/news/detail-20260722-5957930.html" TargetMode="External" Id="rId1234"/><Relationship Type="http://schemas.openxmlformats.org/officeDocument/2006/relationships/hyperlink" Target="https://www.100ppi.com/news/detail-20260723-5964048.html" TargetMode="External" Id="rId1235"/><Relationship Type="http://schemas.openxmlformats.org/officeDocument/2006/relationships/hyperlink" Target="https://www.100ppi.com/news/detail-20260724-5969896.html" TargetMode="External" Id="rId1236"/><Relationship Type="http://schemas.openxmlformats.org/officeDocument/2006/relationships/hyperlink" Target="https://www.100ppi.com/news/detail-20260727-5979159.html" TargetMode="External" Id="rId1237"/><Relationship Type="http://schemas.openxmlformats.org/officeDocument/2006/relationships/hyperlink" Target="https://www.100ppi.com/news/detail-20260728-5985440.html" TargetMode="External" Id="rId1238"/><Relationship Type="http://schemas.openxmlformats.org/officeDocument/2006/relationships/hyperlink" Target="https://www.100ppi.com/news/detail-20260729-5991127.html" TargetMode="External" Id="rId1239"/><Relationship Type="http://schemas.openxmlformats.org/officeDocument/2006/relationships/hyperlink" Target="https://www.100ppi.com/news/detail-20260730-5995921.html" TargetMode="External" Id="rId1240"/><Relationship Type="http://schemas.openxmlformats.org/officeDocument/2006/relationships/hyperlink" Target="https://www.100ppi.com/news/detail-20260731-6001379.html" TargetMode="External" Id="rId1241"/><Relationship Type="http://schemas.openxmlformats.org/officeDocument/2006/relationships/hyperlink" Target="https://www.100ppi.com/news/detail-20260803-6010396.html" TargetMode="External" Id="rId1242"/><Relationship Type="http://schemas.openxmlformats.org/officeDocument/2006/relationships/hyperlink" Target="https://www.100ppi.com/news/detail-20260804-6016510.html" TargetMode="External" Id="rId1243"/><Relationship Type="http://schemas.openxmlformats.org/officeDocument/2006/relationships/hyperlink" Target="https://www.100ppi.com/news/detail-20260805-6022437.html" TargetMode="External" Id="rId1244"/><Relationship Type="http://schemas.openxmlformats.org/officeDocument/2006/relationships/hyperlink" Target="https://www.100ppi.com/news/detail-20260806-6027803.html" TargetMode="External" Id="rId1245"/><Relationship Type="http://schemas.openxmlformats.org/officeDocument/2006/relationships/hyperlink" Target="https://www.100ppi.com/news/detail-20260807-6033504.html" TargetMode="External" Id="rId1246"/><Relationship Type="http://schemas.openxmlformats.org/officeDocument/2006/relationships/hyperlink" Target="https://www.100ppi.com/news/detail-20260810-6042738.html" TargetMode="External" Id="rId1247"/><Relationship Type="http://schemas.openxmlformats.org/officeDocument/2006/relationships/hyperlink" Target="https://www.100ppi.com/news/detail-20260811-6048996.html" TargetMode="External" Id="rId1248"/><Relationship Type="http://schemas.openxmlformats.org/officeDocument/2006/relationships/hyperlink" Target="https://www.100ppi.com/news/detail-20260812-6055009.html" TargetMode="External" Id="rId1249"/><Relationship Type="http://schemas.openxmlformats.org/officeDocument/2006/relationships/hyperlink" Target="https://www.100ppi.com/news/detail-20260813-6061015.html" TargetMode="External" Id="rId1250"/><Relationship Type="http://schemas.openxmlformats.org/officeDocument/2006/relationships/hyperlink" Target="https://www.100ppi.com/news/detail-20260814-6067044.html" TargetMode="External" Id="rId1251"/><Relationship Type="http://schemas.openxmlformats.org/officeDocument/2006/relationships/hyperlink" Target="https://www.100ppi.com/news/detail-20260817-6076667.html" TargetMode="External" Id="rId1252"/><Relationship Type="http://schemas.openxmlformats.org/officeDocument/2006/relationships/hyperlink" Target="https://www.100ppi.com/news/detail-20260818-6083105.html" TargetMode="External" Id="rId1253"/><Relationship Type="http://schemas.openxmlformats.org/officeDocument/2006/relationships/hyperlink" Target="https://www.100ppi.com/news/detail-20260819-6089408.html" TargetMode="External" Id="rId1254"/><Relationship Type="http://schemas.openxmlformats.org/officeDocument/2006/relationships/hyperlink" Target="https://www.100ppi.com/news/detail-20260820-6095584.html" TargetMode="External" Id="rId1255"/><Relationship Type="http://schemas.openxmlformats.org/officeDocument/2006/relationships/hyperlink" Target="https://www.100ppi.com/news/detail-20260821-6101306.html" TargetMode="External" Id="rId1256"/><Relationship Type="http://schemas.openxmlformats.org/officeDocument/2006/relationships/hyperlink" Target="https://www.100ppi.com/news/detail-20260824-6110428.html" TargetMode="External" Id="rId1257"/><Relationship Type="http://schemas.openxmlformats.org/officeDocument/2006/relationships/hyperlink" Target="https://www.100ppi.com/news/detail-20260825-6116588.html" TargetMode="External" Id="rId1258"/><Relationship Type="http://schemas.openxmlformats.org/officeDocument/2006/relationships/hyperlink" Target="https://www.100ppi.com/news/detail-20260826-6122272.html" TargetMode="External" Id="rId1259"/><Relationship Type="http://schemas.openxmlformats.org/officeDocument/2006/relationships/hyperlink" Target="https://www.100ppi.com/news/detail-20260827-6128024.html" TargetMode="External" Id="rId1260"/><Relationship Type="http://schemas.openxmlformats.org/officeDocument/2006/relationships/hyperlink" Target="https://www.100ppi.com/news/detail-20260828-6133663.html" TargetMode="External" Id="rId1261"/><Relationship Type="http://schemas.openxmlformats.org/officeDocument/2006/relationships/hyperlink" Target="https://www.100ppi.com/news/detail-20260831-6142799.html" TargetMode="External" Id="rId1262"/><Relationship Type="http://schemas.openxmlformats.org/officeDocument/2006/relationships/hyperlink" Target="https://www.100ppi.com/news/detail-20260901-6148977.html" TargetMode="External" Id="rId1263"/><Relationship Type="http://schemas.openxmlformats.org/officeDocument/2006/relationships/hyperlink" Target="https://www.100ppi.com/news/detail-20260902-6155060.html" TargetMode="External" Id="rId1264"/><Relationship Type="http://schemas.openxmlformats.org/officeDocument/2006/relationships/hyperlink" Target="https://www.100ppi.com/news/detail-20260903-6161189.html" TargetMode="External" Id="rId1265"/><Relationship Type="http://schemas.openxmlformats.org/officeDocument/2006/relationships/hyperlink" Target="https://www.100ppi.com/news/detail-20260904-6167202.html" TargetMode="External" Id="rId1266"/><Relationship Type="http://schemas.openxmlformats.org/officeDocument/2006/relationships/hyperlink" Target="https://www.100ppi.com/news/detail-20260907-6177240.html" TargetMode="External" Id="rId1267"/><Relationship Type="http://schemas.openxmlformats.org/officeDocument/2006/relationships/hyperlink" Target="https://www.100ppi.com/news/detail-20260908-6183373.html" TargetMode="External" Id="rId1268"/><Relationship Type="http://schemas.openxmlformats.org/officeDocument/2006/relationships/hyperlink" Target="https://www.100ppi.com/news/detail-20260909-6189327.html" TargetMode="External" Id="rId1269"/><Relationship Type="http://schemas.openxmlformats.org/officeDocument/2006/relationships/hyperlink" Target="https://www.100ppi.com/news/detail-20260910-6195219.html" TargetMode="External" Id="rId1270"/><Relationship Type="http://schemas.openxmlformats.org/officeDocument/2006/relationships/hyperlink" Target="https://www.100ppi.com/news/detail-20260911-6201193.html" TargetMode="External" Id="rId1271"/><Relationship Type="http://schemas.openxmlformats.org/officeDocument/2006/relationships/hyperlink" Target="https://www.100ppi.com/news/detail-20260914-6210754.html" TargetMode="External" Id="rId1272"/><Relationship Type="http://schemas.openxmlformats.org/officeDocument/2006/relationships/hyperlink" Target="https://www.100ppi.com/news/detail-20260915-6216996.html" TargetMode="External" Id="rId1273"/><Relationship Type="http://schemas.openxmlformats.org/officeDocument/2006/relationships/hyperlink" Target="https://www.100ppi.com/news/detail-20260916-6222887.html" TargetMode="External" Id="rId1274"/><Relationship Type="http://schemas.openxmlformats.org/officeDocument/2006/relationships/hyperlink" Target="https://www.100ppi.com/news/detail-20260917-6228605.html" TargetMode="External" Id="rId1275"/><Relationship Type="http://schemas.openxmlformats.org/officeDocument/2006/relationships/hyperlink" Target="https://www.100ppi.com/news/detail-20260918-6234402.html" TargetMode="External" Id="rId1276"/><Relationship Type="http://schemas.openxmlformats.org/officeDocument/2006/relationships/hyperlink" Target="https://www.100ppi.com/news/detail-20260921-6247706.html" TargetMode="External" Id="rId1277"/><Relationship Type="http://schemas.openxmlformats.org/officeDocument/2006/relationships/hyperlink" Target="https://www.100ppi.com/news/detail-20260922-6253790.html" TargetMode="External" Id="rId1278"/><Relationship Type="http://schemas.openxmlformats.org/officeDocument/2006/relationships/hyperlink" Target="https://www.100ppi.com/news/detail-20260923-6259617.html" TargetMode="External" Id="rId1279"/><Relationship Type="http://schemas.openxmlformats.org/officeDocument/2006/relationships/hyperlink" Target="https://www.100ppi.com/news/detail-20260924-6265317.html" TargetMode="External" Id="rId1280"/><Relationship Type="http://schemas.openxmlformats.org/officeDocument/2006/relationships/hyperlink" Target="https://www.100ppi.com/news/detail-20260925-6271105.html" TargetMode="External" Id="rId1281"/><Relationship Type="http://schemas.openxmlformats.org/officeDocument/2006/relationships/hyperlink" Target="https://www.100ppi.com/news/detail-20260928-6276282.html" TargetMode="External" Id="rId1282"/><Relationship Type="http://schemas.openxmlformats.org/officeDocument/2006/relationships/hyperlink" Target="https://www.100ppi.com/news/detail-20260929-6282635.html" TargetMode="External" Id="rId1283"/><Relationship Type="http://schemas.openxmlformats.org/officeDocument/2006/relationships/hyperlink" Target="https://www.100ppi.com/news/detail-20260930-6288393.html" TargetMode="External" Id="rId1284"/><Relationship Type="http://schemas.openxmlformats.org/officeDocument/2006/relationships/hyperlink" Target="https://www.100ppi.com/news/detail-20261001-6294122.html" TargetMode="External" Id="rId1285"/><Relationship Type="http://schemas.openxmlformats.org/officeDocument/2006/relationships/hyperlink" Target="https://www.100ppi.com/news/detail-20261002-6296102.html" TargetMode="External" Id="rId1286"/><Relationship Type="http://schemas.openxmlformats.org/officeDocument/2006/relationships/hyperlink" Target="https://www.100ppi.com/news/detail-20261005-6301492.html" TargetMode="External" Id="rId1287"/><Relationship Type="http://schemas.openxmlformats.org/officeDocument/2006/relationships/hyperlink" Target="https://www.100ppi.com/news/detail-20261006-6303427.html" TargetMode="External" Id="rId1288"/><Relationship Type="http://schemas.openxmlformats.org/officeDocument/2006/relationships/hyperlink" Target="https://www.100ppi.com/news/detail-20261007-6305704.html" TargetMode="External" Id="rId1289"/><Relationship Type="http://schemas.openxmlformats.org/officeDocument/2006/relationships/hyperlink" Target="https://www.100ppi.com/news/detail-20261008-6307765.html" TargetMode="External" Id="rId1290"/><Relationship Type="http://schemas.openxmlformats.org/officeDocument/2006/relationships/hyperlink" Target="https://www.100ppi.com/news/detail-20261009-6314010.html" TargetMode="External" Id="rId1291"/><Relationship Type="http://schemas.openxmlformats.org/officeDocument/2006/relationships/hyperlink" Target="https://www.100ppi.com/news/detail-20261012-6327943.html" TargetMode="External" Id="rId1292"/><Relationship Type="http://schemas.openxmlformats.org/officeDocument/2006/relationships/hyperlink" Target="https://www.100ppi.com/news/detail-20261013-6333681.html" TargetMode="External" Id="rId1293"/><Relationship Type="http://schemas.openxmlformats.org/officeDocument/2006/relationships/hyperlink" Target="https://www.100ppi.com/news/detail-20261014-6339370.html" TargetMode="External" Id="rId1294"/><Relationship Type="http://schemas.openxmlformats.org/officeDocument/2006/relationships/hyperlink" Target="https://www.100ppi.com/news/detail-20261015-6345525.html" TargetMode="External" Id="rId1295"/><Relationship Type="http://schemas.openxmlformats.org/officeDocument/2006/relationships/hyperlink" Target="https://www.100ppi.com/news/detail-20261016-6351551.html" TargetMode="External" Id="rId1296"/><Relationship Type="http://schemas.openxmlformats.org/officeDocument/2006/relationships/hyperlink" Target="https://www.100ppi.com/news/detail-20261019-6362003.html" TargetMode="External" Id="rId1297"/><Relationship Type="http://schemas.openxmlformats.org/officeDocument/2006/relationships/hyperlink" Target="https://www.100ppi.com/news/detail-20261020-6368391.html" TargetMode="External" Id="rId129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100ppi.com/news/detail-20240729-3521988.html" TargetMode="External" Id="rId1"/><Relationship Type="http://schemas.openxmlformats.org/officeDocument/2006/relationships/hyperlink" Target="https://www.100ppi.com/news/detail-20240812-3563055.html" TargetMode="External" Id="rId2"/><Relationship Type="http://schemas.openxmlformats.org/officeDocument/2006/relationships/hyperlink" Target="https://www.100ppi.com/news/detail-20240902-3627934.html" TargetMode="External" Id="rId3"/><Relationship Type="http://schemas.openxmlformats.org/officeDocument/2006/relationships/hyperlink" Target="https://www.100ppi.com/news/detail-20240902-3627934.html" TargetMode="External" Id="rId4"/><Relationship Type="http://schemas.openxmlformats.org/officeDocument/2006/relationships/hyperlink" Target="https://www.100ppi.com/news/detail-20240903-3632329.html" TargetMode="External" Id="rId5"/><Relationship Type="http://schemas.openxmlformats.org/officeDocument/2006/relationships/hyperlink" Target="https://www.100ppi.com/news/detail-20240904-3636142.html" TargetMode="External" Id="rId6"/><Relationship Type="http://schemas.openxmlformats.org/officeDocument/2006/relationships/hyperlink" Target="https://www.100ppi.com/news/detail-20240904-3636142.html" TargetMode="External" Id="rId7"/><Relationship Type="http://schemas.openxmlformats.org/officeDocument/2006/relationships/hyperlink" Target="https://www.100ppi.com/news/detail-20240905-3639991.html" TargetMode="External" Id="rId8"/><Relationship Type="http://schemas.openxmlformats.org/officeDocument/2006/relationships/hyperlink" Target="https://www.100ppi.com/news/detail-20240910-3653121.html" TargetMode="External" Id="rId9"/><Relationship Type="http://schemas.openxmlformats.org/officeDocument/2006/relationships/hyperlink" Target="https://www.100ppi.com/news/detail-20240911-3656964.html" TargetMode="External" Id="rId10"/><Relationship Type="http://schemas.openxmlformats.org/officeDocument/2006/relationships/hyperlink" Target="https://www.100ppi.com/news/detail-20240911-3656964.html" TargetMode="External" Id="rId11"/><Relationship Type="http://schemas.openxmlformats.org/officeDocument/2006/relationships/hyperlink" Target="https://www.100ppi.com/news/detail-20240912-3660382.html" TargetMode="External" Id="rId12"/><Relationship Type="http://schemas.openxmlformats.org/officeDocument/2006/relationships/hyperlink" Target="https://www.100ppi.com/news/detail-20240912-3660382.html" TargetMode="External" Id="rId13"/><Relationship Type="http://schemas.openxmlformats.org/officeDocument/2006/relationships/hyperlink" Target="https://www.100ppi.com/news/detail-20240913-3664121.html" TargetMode="External" Id="rId14"/><Relationship Type="http://schemas.openxmlformats.org/officeDocument/2006/relationships/hyperlink" Target="https://www.100ppi.com/news/detail-20240913-3664121.html" TargetMode="External" Id="rId15"/><Relationship Type="http://schemas.openxmlformats.org/officeDocument/2006/relationships/hyperlink" Target="https://www.100ppi.com/news/detail-20240914-3666544.html" TargetMode="External" Id="rId16"/><Relationship Type="http://schemas.openxmlformats.org/officeDocument/2006/relationships/hyperlink" Target="https://www.100ppi.com/news/detail-20240918-3675066.html" TargetMode="External" Id="rId17"/><Relationship Type="http://schemas.openxmlformats.org/officeDocument/2006/relationships/hyperlink" Target="https://www.100ppi.com/news/detail-20240918-3675066.html" TargetMode="External" Id="rId18"/><Relationship Type="http://schemas.openxmlformats.org/officeDocument/2006/relationships/hyperlink" Target="https://www.100ppi.com/news/detail-20240919-3678657.html" TargetMode="External" Id="rId19"/><Relationship Type="http://schemas.openxmlformats.org/officeDocument/2006/relationships/hyperlink" Target="https://www.100ppi.com/news/detail-20241021-3760471.html" TargetMode="External" Id="rId20"/><Relationship Type="http://schemas.openxmlformats.org/officeDocument/2006/relationships/hyperlink" Target="https://www.100ppi.com/news/detail-20250113-4008624.html" TargetMode="External" Id="rId21"/><Relationship Type="http://schemas.openxmlformats.org/officeDocument/2006/relationships/hyperlink" Target="https://www.100ppi.com/news/detail-20250124-4031416.html" TargetMode="External" Id="rId22"/><Relationship Type="http://schemas.openxmlformats.org/officeDocument/2006/relationships/hyperlink" Target="https://www.100ppi.com/news/detail-20250228-4118979.html" TargetMode="External" Id="rId23"/><Relationship Type="http://schemas.openxmlformats.org/officeDocument/2006/relationships/hyperlink" Target="https://www.100ppi.com/news/detail-20250303-4125114.html" TargetMode="External" Id="rId24"/><Relationship Type="http://schemas.openxmlformats.org/officeDocument/2006/relationships/hyperlink" Target="https://www.100ppi.com/news/detail-20250411-4245170.html" TargetMode="External" Id="rId25"/><Relationship Type="http://schemas.openxmlformats.org/officeDocument/2006/relationships/hyperlink" Target="https://www.100ppi.com/news/detail-20250411-4245170.html" TargetMode="External" Id="rId26"/><Relationship Type="http://schemas.openxmlformats.org/officeDocument/2006/relationships/hyperlink" Target="https://www.100ppi.com/news/detail-20250411-4245170.html" TargetMode="External" Id="rId27"/><Relationship Type="http://schemas.openxmlformats.org/officeDocument/2006/relationships/hyperlink" Target="https://www.100ppi.com/news/detail-20250415-4254991.html" TargetMode="External" Id="rId28"/><Relationship Type="http://schemas.openxmlformats.org/officeDocument/2006/relationships/hyperlink" Target="https://www.100ppi.com/news/detail-20250416-4257857.html" TargetMode="External" Id="rId29"/><Relationship Type="http://schemas.openxmlformats.org/officeDocument/2006/relationships/hyperlink" Target="https://www.100ppi.com/news/detail-20250417-4262317.html" TargetMode="External" Id="rId30"/><Relationship Type="http://schemas.openxmlformats.org/officeDocument/2006/relationships/hyperlink" Target="https://www.100ppi.com/news/detail-20250418-4266446.html" TargetMode="External" Id="rId31"/><Relationship Type="http://schemas.openxmlformats.org/officeDocument/2006/relationships/hyperlink" Target="https://www.100ppi.com/news/detail-20250422-4278901.html" TargetMode="External" Id="rId32"/><Relationship Type="http://schemas.openxmlformats.org/officeDocument/2006/relationships/hyperlink" Target="https://www.100ppi.com/news/detail-20250424-4286995.html" TargetMode="External" Id="rId33"/><Relationship Type="http://schemas.openxmlformats.org/officeDocument/2006/relationships/hyperlink" Target="https://www.100ppi.com/news/detail-20250425-4291441.html" TargetMode="External" Id="rId34"/><Relationship Type="http://schemas.openxmlformats.org/officeDocument/2006/relationships/hyperlink" Target="https://www.100ppi.com/news/detail-20250427-4296740.html" TargetMode="External" Id="rId35"/><Relationship Type="http://schemas.openxmlformats.org/officeDocument/2006/relationships/hyperlink" Target="https://www.100ppi.com/news/detail-20250428-4300919.html" TargetMode="External" Id="rId36"/><Relationship Type="http://schemas.openxmlformats.org/officeDocument/2006/relationships/hyperlink" Target="https://www.100ppi.com/news/detail-20250610-4434931.html" TargetMode="External" Id="rId37"/><Relationship Type="http://schemas.openxmlformats.org/officeDocument/2006/relationships/hyperlink" Target="https://www.100ppi.com/news/detail-20250611-4439365.html" TargetMode="External" Id="rId38"/><Relationship Type="http://schemas.openxmlformats.org/officeDocument/2006/relationships/hyperlink" Target="https://www.100ppi.com/news/detail-20250612-4442919.html" TargetMode="External" Id="rId39"/><Relationship Type="http://schemas.openxmlformats.org/officeDocument/2006/relationships/hyperlink" Target="https://www.100ppi.com/news/detail-20250613-4447246.html" TargetMode="External" Id="rId40"/><Relationship Type="http://schemas.openxmlformats.org/officeDocument/2006/relationships/hyperlink" Target="https://www.100ppi.com/news/detail-20250616-4455864.html" TargetMode="External" Id="rId41"/><Relationship Type="http://schemas.openxmlformats.org/officeDocument/2006/relationships/hyperlink" Target="https://www.100ppi.com/news/detail-20250617-4459669.html" TargetMode="External" Id="rId42"/><Relationship Type="http://schemas.openxmlformats.org/officeDocument/2006/relationships/hyperlink" Target="https://www.100ppi.com/news/detail-20250625-4488817.html" TargetMode="External" Id="rId43"/><Relationship Type="http://schemas.openxmlformats.org/officeDocument/2006/relationships/hyperlink" Target="https://www.100ppi.com/news/detail-20250625-4488817.html" TargetMode="External" Id="rId44"/><Relationship Type="http://schemas.openxmlformats.org/officeDocument/2006/relationships/hyperlink" Target="https://www.100ppi.com/news/detail-20250626-4493300.html" TargetMode="External" Id="rId45"/><Relationship Type="http://schemas.openxmlformats.org/officeDocument/2006/relationships/hyperlink" Target="https://www.100ppi.com/news/detail-20250627-4497300.html" TargetMode="External" Id="rId46"/><Relationship Type="http://schemas.openxmlformats.org/officeDocument/2006/relationships/hyperlink" Target="https://www.100ppi.com/news/detail-20250701-4508483.html" TargetMode="External" Id="rId47"/><Relationship Type="http://schemas.openxmlformats.org/officeDocument/2006/relationships/hyperlink" Target="https://www.100ppi.com/news/detail-20250702-4512903.html" TargetMode="External" Id="rId48"/><Relationship Type="http://schemas.openxmlformats.org/officeDocument/2006/relationships/hyperlink" Target="https://www.100ppi.com/news/detail-20250703-4517509.html" TargetMode="External" Id="rId49"/><Relationship Type="http://schemas.openxmlformats.org/officeDocument/2006/relationships/hyperlink" Target="https://www.100ppi.com/news/detail-20250704-4521963.html" TargetMode="External" Id="rId50"/><Relationship Type="http://schemas.openxmlformats.org/officeDocument/2006/relationships/hyperlink" Target="https://www.100ppi.com/news/detail-20250707-4528988.html" TargetMode="External" Id="rId51"/><Relationship Type="http://schemas.openxmlformats.org/officeDocument/2006/relationships/hyperlink" Target="https://www.100ppi.com/news/detail-20250708-4533276.html" TargetMode="External" Id="rId52"/><Relationship Type="http://schemas.openxmlformats.org/officeDocument/2006/relationships/hyperlink" Target="https://www.100ppi.com/news/detail-20250709-4537626.html" TargetMode="External" Id="rId53"/><Relationship Type="http://schemas.openxmlformats.org/officeDocument/2006/relationships/hyperlink" Target="https://www.100ppi.com/news/detail-20250710-4541726.html" TargetMode="External" Id="rId54"/><Relationship Type="http://schemas.openxmlformats.org/officeDocument/2006/relationships/hyperlink" Target="https://www.100ppi.com/news/detail-20250715-4558647.html" TargetMode="External" Id="rId55"/><Relationship Type="http://schemas.openxmlformats.org/officeDocument/2006/relationships/hyperlink" Target="https://www.100ppi.com/news/detail-20250716-4563014.html" TargetMode="External" Id="rId56"/><Relationship Type="http://schemas.openxmlformats.org/officeDocument/2006/relationships/hyperlink" Target="https://www.100ppi.com/news/detail-20250718-4568074.html" TargetMode="External" Id="rId57"/><Relationship Type="http://schemas.openxmlformats.org/officeDocument/2006/relationships/hyperlink" Target="https://www.100ppi.com/news/detail-20250722-4583745.html" TargetMode="External" Id="rId58"/><Relationship Type="http://schemas.openxmlformats.org/officeDocument/2006/relationships/hyperlink" Target="https://www.100ppi.com/news/detail-20250723-4588168.html" TargetMode="External" Id="rId59"/><Relationship Type="http://schemas.openxmlformats.org/officeDocument/2006/relationships/hyperlink" Target="https://www.100ppi.com/news/detail-20250729-4605045.html" TargetMode="External" Id="rId60"/><Relationship Type="http://schemas.openxmlformats.org/officeDocument/2006/relationships/hyperlink" Target="https://www.100ppi.com/news/detail-20250811-4651490.html" TargetMode="External" Id="rId61"/><Relationship Type="http://schemas.openxmlformats.org/officeDocument/2006/relationships/hyperlink" Target="https://www.100ppi.com/news/detail-20250812-4655328.html" TargetMode="External" Id="rId62"/><Relationship Type="http://schemas.openxmlformats.org/officeDocument/2006/relationships/hyperlink" Target="https://www.100ppi.com/news/detail-20250813-4659097.html" TargetMode="External" Id="rId63"/><Relationship Type="http://schemas.openxmlformats.org/officeDocument/2006/relationships/hyperlink" Target="https://www.100ppi.com/news/detail-20250814-4663615.html" TargetMode="External" Id="rId64"/><Relationship Type="http://schemas.openxmlformats.org/officeDocument/2006/relationships/hyperlink" Target="https://www.100ppi.com/news/detail-20250814-4663615.html" TargetMode="External" Id="rId65"/><Relationship Type="http://schemas.openxmlformats.org/officeDocument/2006/relationships/hyperlink" Target="https://www.100ppi.com/news/detail-20250815-4667202.html" TargetMode="External" Id="rId66"/><Relationship Type="http://schemas.openxmlformats.org/officeDocument/2006/relationships/hyperlink" Target="https://www.100ppi.com/news/detail-20250819-4678715.html" TargetMode="External" Id="rId67"/><Relationship Type="http://schemas.openxmlformats.org/officeDocument/2006/relationships/hyperlink" Target="https://www.100ppi.com/news/detail-20250820-4682900.html" TargetMode="External" Id="rId68"/><Relationship Type="http://schemas.openxmlformats.org/officeDocument/2006/relationships/hyperlink" Target="https://www.100ppi.com/news/detail-20250821-4687118.html" TargetMode="External" Id="rId69"/><Relationship Type="http://schemas.openxmlformats.org/officeDocument/2006/relationships/hyperlink" Target="https://www.100ppi.com/news/detail-20250822-4691104.html" TargetMode="External" Id="rId70"/><Relationship Type="http://schemas.openxmlformats.org/officeDocument/2006/relationships/hyperlink" Target="https://www.100ppi.com/news/detail-20250901-4722782.html" TargetMode="External" Id="rId71"/><Relationship Type="http://schemas.openxmlformats.org/officeDocument/2006/relationships/hyperlink" Target="https://www.100ppi.com/news/detail-20250905-4739043.html" TargetMode="External" Id="rId72"/><Relationship Type="http://schemas.openxmlformats.org/officeDocument/2006/relationships/hyperlink" Target="https://www.100ppi.com/news/detail-20250908-4746182.html" TargetMode="External" Id="rId73"/><Relationship Type="http://schemas.openxmlformats.org/officeDocument/2006/relationships/hyperlink" Target="https://www.100ppi.com/news/detail-20250909-4750834.html" TargetMode="External" Id="rId74"/><Relationship Type="http://schemas.openxmlformats.org/officeDocument/2006/relationships/hyperlink" Target="https://www.100ppi.com/news/detail-20250910-4755014.html" TargetMode="External" Id="rId75"/><Relationship Type="http://schemas.openxmlformats.org/officeDocument/2006/relationships/hyperlink" Target="https://www.100ppi.com/news/detail-20250911-4759128.html" TargetMode="External" Id="rId76"/><Relationship Type="http://schemas.openxmlformats.org/officeDocument/2006/relationships/hyperlink" Target="https://www.100ppi.com/news/detail-20250912-4763105.html" TargetMode="External" Id="rId77"/><Relationship Type="http://schemas.openxmlformats.org/officeDocument/2006/relationships/hyperlink" Target="https://www.100ppi.com/news/detail-20250916-4773782.html" TargetMode="External" Id="rId78"/><Relationship Type="http://schemas.openxmlformats.org/officeDocument/2006/relationships/hyperlink" Target="https://www.100ppi.com/news/detail-20250917-4777853.html" TargetMode="External" Id="rId79"/><Relationship Type="http://schemas.openxmlformats.org/officeDocument/2006/relationships/hyperlink" Target="https://www.100ppi.com/news/detail-20250918-4782183.html" TargetMode="External" Id="rId80"/><Relationship Type="http://schemas.openxmlformats.org/officeDocument/2006/relationships/hyperlink" Target="https://www.100ppi.com/news/detail-20250919-4786240.html" TargetMode="External" Id="rId81"/><Relationship Type="http://schemas.openxmlformats.org/officeDocument/2006/relationships/hyperlink" Target="https://www.100ppi.com/news/detail-20250922-4793182.html" TargetMode="External" Id="rId82"/></Relationships>
</file>

<file path=xl/worksheets/_rels/sheet11.xml.rels><Relationships xmlns="http://schemas.openxmlformats.org/package/2006/relationships"><Relationship Type="http://schemas.openxmlformats.org/officeDocument/2006/relationships/hyperlink" Target="https://soda.100ppi.com/news/list--12-1.html" TargetMode="External" Id="rId1"/><Relationship Type="http://schemas.openxmlformats.org/officeDocument/2006/relationships/hyperlink" Target="https://soda.100ppi.com/news/list--12-1.html" TargetMode="External" Id="rId2"/><Relationship Type="http://schemas.openxmlformats.org/officeDocument/2006/relationships/hyperlink" Target="https://www.100ppi.com/news/detail-20260701-5864527.html" TargetMode="External" Id="rId3"/><Relationship Type="http://schemas.openxmlformats.org/officeDocument/2006/relationships/hyperlink" Target="https://www.dfhjqh.com/news/1316.html" TargetMode="External" Id="rId4"/><Relationship Type="http://schemas.openxmlformats.org/officeDocument/2006/relationships/hyperlink" Target="https://www.100ppi.com/news/detail-20251225-5112865.html" TargetMode="External" Id="rId5"/><Relationship Type="http://schemas.openxmlformats.org/officeDocument/2006/relationships/hyperlink" Target="https://www.100ppi.com/news/detail-20260316-5408421.html" TargetMode="External" Id="rId6"/><Relationship Type="http://schemas.openxmlformats.org/officeDocument/2006/relationships/hyperlink" Target="https://www.100ppi.com/news/detail-20260728-5990717.html" TargetMode="External" Id="rId7"/></Relationships>
</file>

<file path=xl/worksheets/_rels/sheet14.xml.rels><Relationships xmlns="http://schemas.openxmlformats.org/package/2006/relationships"><Relationship Type="http://schemas.openxmlformats.org/officeDocument/2006/relationships/hyperlink" Target="https://soda.100ppi.com/news/list--12-1.html" TargetMode="External" Id="rId1"/><Relationship Type="http://schemas.openxmlformats.org/officeDocument/2006/relationships/hyperlink" Target="https://www.100ppi.com/news/detail-20260728-5990717.html" TargetMode="External" Id="rId2"/><Relationship Type="http://schemas.openxmlformats.org/officeDocument/2006/relationships/hyperlink" Target="https://www.100ppi.com/rawmex/detail-737.html" TargetMode="External" Id="rId3"/><Relationship Type="http://schemas.openxmlformats.org/officeDocument/2006/relationships/hyperlink" Target="https://www.dfhjqh.com/news/1316.html" TargetMode="External" Id="rId4"/></Relationships>
</file>

<file path=xl/worksheets/sheet1.xml><?xml version="1.0" encoding="utf-8"?>
<worksheet xmlns="http://schemas.openxmlformats.org/spreadsheetml/2006/main">
  <sheetPr>
    <tabColor rgb="0017395B"/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8" customWidth="1" min="3" max="3"/>
    <col width="17" customWidth="1" min="4" max="4"/>
    <col width="17" customWidth="1" min="5" max="5"/>
    <col width="17" customWidth="1" min="6" max="6"/>
  </cols>
  <sheetData>
    <row r="1" ht="30" customHeight="1">
      <c r="A1" s="1" t="inlineStr">
        <is>
          <t>纯碱（华东 · 重质）· 现货价格历史位置分析</t>
        </is>
      </c>
    </row>
    <row r="2" ht="30" customHeight="1">
      <c r="A2" s="2" t="inlineStr">
        <is>
          <t>本工作簿与同名 HTML 报告同源同数；所有统计量均为&lt;b&gt;可复核的 Excel 公式&lt;/b&gt;，改动「02 原始序列」里任一价格，04/05/06/07/08 表会随公式自动重算。</t>
        </is>
      </c>
    </row>
    <row r="5">
      <c r="A5" s="3" t="inlineStr">
        <is>
          <t>最新可靠报价（元/吨）</t>
        </is>
      </c>
      <c r="B5" s="4" t="n">
        <v>1215</v>
      </c>
      <c r="C5" s="3" t="inlineStr">
        <is>
          <t>数据日期</t>
        </is>
      </c>
      <c r="D5" s="5" t="inlineStr">
        <is>
          <t>2026-07-28</t>
        </is>
      </c>
      <c r="E5" s="3" t="inlineStr">
        <is>
          <t>3 年经验分位</t>
        </is>
      </c>
      <c r="F5" s="6" t="n">
        <v>0.28</v>
      </c>
    </row>
    <row r="7">
      <c r="A7" s="3" t="inlineStr">
        <is>
          <t>1 年经验分位</t>
        </is>
      </c>
      <c r="B7" s="6" t="n">
        <v>0.72</v>
      </c>
      <c r="C7" s="3" t="inlineStr">
        <is>
          <t>3 年最高</t>
        </is>
      </c>
      <c r="D7" s="4" t="n">
        <v>2100</v>
      </c>
      <c r="E7" s="3" t="inlineStr">
        <is>
          <t>3 年最低</t>
        </is>
      </c>
      <c r="F7" s="4" t="n">
        <v>1215</v>
      </c>
    </row>
    <row r="10" ht="75" customHeight="1">
      <c r="A10" s="7" t="inlineStr">
        <is>
          <t>一句话结论：华东重质纯碱当前 1215 元/吨，落在 2024-07-17 以来真实观测的 0.28% 分位——即历史上 99.72% 的报价日比今天更贵。但请注意：该口径的公开日度记录起点是 2024-07-17，「3 年」与「5 年」窗口的样本完全相同，这不是五年数据齐全。</t>
        </is>
      </c>
      <c r="B10" s="8" t="n"/>
      <c r="C10" s="8" t="n"/>
      <c r="D10" s="8" t="n"/>
      <c r="E10" s="8" t="n"/>
      <c r="F10" s="8" t="n"/>
    </row>
    <row r="12" ht="30" customHeight="1">
      <c r="A12" s="9" t="inlineStr">
        <is>
          <t>表</t>
        </is>
      </c>
      <c r="B12" s="9" t="inlineStr">
        <is>
          <t>内容</t>
        </is>
      </c>
      <c r="C12" s="9" t="inlineStr">
        <is>
          <t>关键说明</t>
        </is>
      </c>
    </row>
    <row r="13">
      <c r="A13" s="10" t="inlineStr">
        <is>
          <t>01 口径与基准日</t>
        </is>
      </c>
      <c r="B13" s="10" t="inlineStr">
        <is>
          <t>六项口径：规格/地区/含税/交付/单位/来源</t>
        </is>
      </c>
      <c r="C13" s="10" t="inlineStr">
        <is>
          <t>价格能不能用，先看这张表</t>
        </is>
      </c>
    </row>
    <row r="14">
      <c r="A14" s="11" t="inlineStr">
        <is>
          <t>02 原始序列(主)</t>
        </is>
      </c>
      <c r="B14" s="11" t="inlineStr">
        <is>
          <t>华东重质纯碱逐日 lo/hi/mid + 原文链接</t>
        </is>
      </c>
      <c r="C14" s="11" t="inlineStr">
        <is>
          <t>358 条真实观测，每条可点开核对</t>
        </is>
      </c>
    </row>
    <row r="15">
      <c r="A15" s="10" t="inlineStr">
        <is>
          <t>03 原始序列(辅助)</t>
        </is>
      </c>
      <c r="B15" s="10" t="inlineStr">
        <is>
          <t>华东轻质 + 全国基准价</t>
        </is>
      </c>
      <c r="C15" s="10" t="inlineStr">
        <is>
          <t>辅助口径，不作替换</t>
        </is>
      </c>
    </row>
    <row r="16">
      <c r="A16" s="11" t="inlineStr">
        <is>
          <t>04 历史分位(公式)</t>
        </is>
      </c>
      <c r="B16" s="11" t="inlineStr">
        <is>
          <t>PERCENTRANK / COUNTIF 双口径分位</t>
        </is>
      </c>
      <c r="C16" s="11" t="inlineStr">
        <is>
          <t>公式可改、可复核</t>
        </is>
      </c>
    </row>
    <row r="17">
      <c r="A17" s="10" t="inlineStr">
        <is>
          <t>05 统计指标(公式)</t>
        </is>
      </c>
      <c r="B17" s="10" t="inlineStr">
        <is>
          <t>max/min/均值/中位数/标准差/IQR/年化波动</t>
        </is>
      </c>
      <c r="C17" s="10" t="inlineStr">
        <is>
          <t>全部为 Excel 公式</t>
        </is>
      </c>
    </row>
    <row r="18">
      <c r="A18" s="11" t="inlineStr">
        <is>
          <t>06 分窗口统计(公式)</t>
        </is>
      </c>
      <c r="B18" s="11" t="inlineStr">
        <is>
          <t>5 个窗口 × 12 项指标</t>
        </is>
      </c>
      <c r="C18" s="11" t="inlineStr">
        <is>
          <t>样本不足的窗口明确写「不计算」</t>
        </is>
      </c>
    </row>
    <row r="19">
      <c r="A19" s="10" t="inlineStr">
        <is>
          <t>07 同期对比(公式)</t>
        </is>
      </c>
      <c r="B19" s="10" t="inlineStr">
        <is>
          <t>逐年同月均价 + 同比 + 季节性指数</t>
        </is>
      </c>
      <c r="C19" s="10" t="inlineStr">
        <is>
          <t>只呈现有真实观测的格子</t>
        </is>
      </c>
    </row>
    <row r="20">
      <c r="A20" s="11" t="inlineStr">
        <is>
          <t>08 季节性(公式)</t>
        </is>
      </c>
      <c r="B20" s="11" t="inlineStr">
        <is>
          <t>月 × 年矩阵</t>
        </is>
      </c>
      <c r="C20" s="11" t="inlineStr">
        <is>
          <t>空格＝无观测，非 0</t>
        </is>
      </c>
    </row>
    <row r="21">
      <c r="A21" s="10" t="inlineStr">
        <is>
          <t>09 异常点</t>
        </is>
      </c>
      <c r="B21" s="10" t="inlineStr">
        <is>
          <t>三条独立判据（水平/跳变/IQR）</t>
        </is>
      </c>
      <c r="C21" s="10" t="inlineStr">
        <is>
          <t>分别标注，不合并</t>
        </is>
      </c>
    </row>
    <row r="22">
      <c r="A22" s="11" t="inlineStr">
        <is>
          <t>10 事件时间线</t>
        </is>
      </c>
      <c r="B22" s="11" t="inlineStr">
        <is>
          <t>可核验事件 + 来源链接</t>
        </is>
      </c>
      <c r="C22" s="11" t="inlineStr">
        <is>
          <t>只写已发生事实</t>
        </is>
      </c>
    </row>
    <row r="23">
      <c r="A23" s="10" t="inlineStr">
        <is>
          <t>11 数据缺口</t>
        </is>
      </c>
      <c r="B23" s="10" t="inlineStr">
        <is>
          <t>连续缺失段 + 单日缺失</t>
        </is>
      </c>
      <c r="C23" s="10" t="inlineStr">
        <is>
          <t>不插值、不模拟</t>
        </is>
      </c>
    </row>
    <row r="24">
      <c r="A24" s="11" t="inlineStr">
        <is>
          <t>12 方法与公式说明</t>
        </is>
      </c>
      <c r="B24" s="11" t="inlineStr">
        <is>
          <t>每个统计量的公式与口径</t>
        </is>
      </c>
      <c r="C24" s="11" t="inlineStr">
        <is>
          <t>审阅用</t>
        </is>
      </c>
    </row>
    <row r="25">
      <c r="A25" s="10" t="inlineStr">
        <is>
          <t>13 来源清单</t>
        </is>
      </c>
      <c r="B25" s="10" t="inlineStr">
        <is>
          <t>文号/链接</t>
        </is>
      </c>
      <c r="C25" s="10" t="inlineStr">
        <is>
          <t>复核用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95B"/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6" customWidth="1" min="3" max="3"/>
    <col width="34" customWidth="1" min="4" max="4"/>
  </cols>
  <sheetData>
    <row r="1" ht="30" customHeight="1">
      <c r="A1" s="1" t="inlineStr">
        <is>
          <t>01 口径与基准日</t>
        </is>
      </c>
    </row>
    <row r="2" ht="30" customHeight="1">
      <c r="A2" s="2" t="inlineStr">
        <is>
          <t>缺任何一项，这个价格都不能拿去报价。</t>
        </is>
      </c>
    </row>
    <row r="4" ht="30" customHeight="1">
      <c r="A4" s="9" t="inlineStr">
        <is>
          <t>要素</t>
        </is>
      </c>
      <c r="B4" s="9" t="inlineStr">
        <is>
          <t>取值</t>
        </is>
      </c>
      <c r="C4" s="9" t="inlineStr">
        <is>
          <t>为什么重要</t>
        </is>
      </c>
      <c r="D4" s="9" t="inlineStr">
        <is>
          <t>来源/备注</t>
        </is>
      </c>
    </row>
    <row r="5">
      <c r="A5" s="10" t="inlineStr">
        <is>
          <t>品种</t>
        </is>
      </c>
      <c r="B5" s="10" t="inlineStr">
        <is>
          <t>纯碱</t>
        </is>
      </c>
      <c r="C5" s="10" t="inlineStr">
        <is>
          <t>只说「纯碱」不能报价，纯度是前提</t>
        </is>
      </c>
      <c r="D5" s="10" t="inlineStr">
        <is>
          <t>生意社商品库</t>
        </is>
      </c>
    </row>
    <row r="6">
      <c r="A6" s="11" t="inlineStr">
        <is>
          <t>规格</t>
        </is>
      </c>
      <c r="B6" s="11" t="inlineStr">
        <is>
          <t>重质纯碱（≥99.2%，GB/T 210-2022 优等品口径）</t>
        </is>
      </c>
      <c r="C6" s="11" t="inlineStr">
        <is>
          <t>重质与轻质价差常见 100–300 元/吨，混用即失真</t>
        </is>
      </c>
      <c r="D6" s="11" t="inlineStr">
        <is>
          <t>生意社 华东日评原文</t>
        </is>
      </c>
    </row>
    <row r="7">
      <c r="A7" s="10" t="inlineStr">
        <is>
          <t>地区</t>
        </is>
      </c>
      <c r="B7" s="10" t="inlineStr">
        <is>
          <t>华东</t>
        </is>
      </c>
      <c r="C7" s="10" t="inlineStr">
        <is>
          <t>华东与华北/华中价差显著，且基准价是全国口径</t>
        </is>
      </c>
      <c r="D7" s="10" t="inlineStr">
        <is>
          <t>生意社 华东日评</t>
        </is>
      </c>
    </row>
    <row r="8">
      <c r="A8" s="11" t="inlineStr">
        <is>
          <t>含税</t>
        </is>
      </c>
      <c r="B8" s="11" t="inlineStr">
        <is>
          <t>含税（增值税13%）</t>
        </is>
      </c>
      <c r="C8" s="11" t="inlineStr">
        <is>
          <t>含税与不含税差约 13%，必锝标明</t>
        </is>
      </c>
      <c r="D8" s="11" t="inlineStr">
        <is>
          <t>生意社报价说明</t>
        </is>
      </c>
    </row>
    <row r="9">
      <c r="A9" s="10" t="inlineStr">
        <is>
          <t>交付方式</t>
        </is>
      </c>
      <c r="B9" s="10" t="inlineStr">
        <is>
          <t>主流市场报价 / 实单商谈（非严格出厂或送到）</t>
        </is>
      </c>
      <c r="C9" s="10" t="inlineStr">
        <is>
          <t>出厂价 ≠ 送到价，运费与风险归属不同</t>
        </is>
      </c>
      <c r="D9" s="10" t="inlineStr">
        <is>
          <t>原文「实单以商谈为主」</t>
        </is>
      </c>
    </row>
    <row r="10">
      <c r="A10" s="11" t="inlineStr">
        <is>
          <t>单位</t>
        </is>
      </c>
      <c r="B10" s="11" t="inlineStr">
        <is>
          <t>元/吨</t>
        </is>
      </c>
      <c r="C10" s="11" t="inlineStr">
        <is>
          <t>与期货盘面 20 吨/手、元/吨保持同单位才可对比</t>
        </is>
      </c>
      <c r="D10" s="11" t="inlineStr">
        <is>
          <t>—</t>
        </is>
      </c>
    </row>
    <row r="11">
      <c r="A11" s="10" t="inlineStr">
        <is>
          <t>数据日期</t>
        </is>
      </c>
      <c r="B11" s="10" t="inlineStr">
        <is>
          <t>2026-07-28</t>
        </is>
      </c>
      <c r="C11" s="10" t="inlineStr">
        <is>
          <t>现货逐日报价，日期不同不可比</t>
        </is>
      </c>
      <c r="D11" s="10" t="inlineStr">
        <is>
          <t>—</t>
        </is>
      </c>
    </row>
    <row r="12">
      <c r="A12" s="11" t="inlineStr">
        <is>
          <t>来源</t>
        </is>
      </c>
      <c r="B12" s="11" t="inlineStr">
        <is>
          <t>生意社（100ppi.com）华东地区纯碱市场日评 + 生意社基准价</t>
        </is>
      </c>
      <c r="C12" s="11" t="inlineStr">
        <is>
          <t>每条价格都要能回溯到原文</t>
        </is>
      </c>
      <c r="D12" s="11" t="inlineStr">
        <is>
          <t>https://www.100ppi.com/news/list--12-1.html</t>
        </is>
      </c>
    </row>
    <row r="13">
      <c r="A13" s="10" t="inlineStr">
        <is>
          <t>最小样本门槛</t>
        </is>
      </c>
      <c r="B13" s="10" t="inlineStr">
        <is>
          <t>20 条有效观测</t>
        </is>
      </c>
      <c r="C13" s="10" t="inlineStr">
        <is>
          <t>低于此不做分位，避免拿 3 个点编出分位数</t>
        </is>
      </c>
      <c r="D13" s="10" t="inlineStr">
        <is>
          <t>本方法设定</t>
        </is>
      </c>
    </row>
    <row r="14">
      <c r="A14" s="11" t="inlineStr">
        <is>
          <t>分位口径</t>
        </is>
      </c>
      <c r="B14" s="11" t="inlineStr">
        <is>
          <t>经验分位（含并列 / 中位秩），另列区间位置</t>
        </is>
      </c>
      <c r="C14" s="11" t="inlineStr">
        <is>
          <t>三者含义不同，不可混用</t>
        </is>
      </c>
      <c r="D14" s="11" t="inlineStr">
        <is>
          <t>见「12 方法与公式」</t>
        </is>
      </c>
    </row>
    <row r="16" ht="45" customHeight="1">
      <c r="A16" s="7" t="inlineStr">
        <is>
          <t>⚠ 区域口径提醒：生意社「重质纯碱基准价」是全国样本，不是华东价。本报告把它作为辅助序列 S3 单列，用于判断「华东这个价是全国同步还是华东独有」，绝不用它替代华东区域报价。</t>
        </is>
      </c>
      <c r="B16" s="8" t="n"/>
      <c r="C16" s="8" t="n"/>
      <c r="D16" s="8" t="n"/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664C"/>
    <outlinePr summaryBelow="1" summaryRight="1"/>
    <pageSetUpPr/>
  </sheetPr>
  <dimension ref="A1:H3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5" customWidth="1" min="4" max="4"/>
    <col width="16" customWidth="1" min="5" max="5"/>
    <col width="11" customWidth="1" min="6" max="6"/>
    <col width="26" customWidth="1" min="7" max="7"/>
    <col width="42" customWidth="1" min="8" max="8"/>
  </cols>
  <sheetData>
    <row r="1" ht="30" customHeight="1">
      <c r="A1" s="1" t="inlineStr">
        <is>
          <t>02 原始序列 · 华东重质纯碱（主口径 S1）</t>
        </is>
      </c>
    </row>
    <row r="2" ht="30" customHeight="1">
      <c r="A2" s="2" t="inlineStr">
        <is>
          <t>每行一条真实观测。D/E/F 列是原始报价区间与中值；H 列可点开当日原文。改动 F 列任一数值，其余各表的公式会联动重算。</t>
        </is>
      </c>
    </row>
    <row r="4" ht="30" customHeight="1">
      <c r="A4" s="9" t="inlineStr">
        <is>
          <t>序号</t>
        </is>
      </c>
      <c r="B4" s="9" t="inlineStr">
        <is>
          <t>日期</t>
        </is>
      </c>
      <c r="C4" s="9" t="inlineStr">
        <is>
          <t>区间低端(元/吨)</t>
        </is>
      </c>
      <c r="D4" s="9" t="inlineStr">
        <is>
          <t>区间高端(元/吨)</t>
        </is>
      </c>
      <c r="E4" s="9" t="inlineStr">
        <is>
          <t>区间中值(元/吨)</t>
        </is>
      </c>
      <c r="F4" s="9" t="inlineStr">
        <is>
          <t>区间宽度</t>
        </is>
      </c>
      <c r="G4" s="9" t="inlineStr">
        <is>
          <t>口径</t>
        </is>
      </c>
      <c r="H4" s="9" t="inlineStr">
        <is>
          <t>原文链接</t>
        </is>
      </c>
    </row>
    <row r="5">
      <c r="A5" s="12" t="n">
        <v>1</v>
      </c>
      <c r="B5" s="13" t="n">
        <v>45490</v>
      </c>
      <c r="C5" s="14" t="n">
        <v>2000</v>
      </c>
      <c r="D5" s="14" t="n">
        <v>2200</v>
      </c>
      <c r="E5" s="15">
        <f>(C5+D5)/2</f>
        <v/>
      </c>
      <c r="F5" s="15">
        <f>D5-C5</f>
        <v/>
      </c>
      <c r="G5" s="16" t="inlineStr">
        <is>
          <t>主流市场报价</t>
        </is>
      </c>
      <c r="H5" s="17" t="inlineStr">
        <is>
          <t>打开原文</t>
        </is>
      </c>
    </row>
    <row r="6">
      <c r="A6" s="18" t="n">
        <v>2</v>
      </c>
      <c r="B6" s="19" t="n">
        <v>45491</v>
      </c>
      <c r="C6" s="20" t="n">
        <v>2000</v>
      </c>
      <c r="D6" s="20" t="n">
        <v>2200</v>
      </c>
      <c r="E6" s="21">
        <f>(C6+D6)/2</f>
        <v/>
      </c>
      <c r="F6" s="21">
        <f>D6-C6</f>
        <v/>
      </c>
      <c r="G6" s="22" t="inlineStr">
        <is>
          <t>主流市场报价</t>
        </is>
      </c>
      <c r="H6" s="23" t="inlineStr">
        <is>
          <t>打开原文</t>
        </is>
      </c>
    </row>
    <row r="7">
      <c r="A7" s="12" t="n">
        <v>3</v>
      </c>
      <c r="B7" s="13" t="n">
        <v>45492</v>
      </c>
      <c r="C7" s="14" t="n">
        <v>2000</v>
      </c>
      <c r="D7" s="14" t="n">
        <v>2200</v>
      </c>
      <c r="E7" s="15">
        <f>(C7+D7)/2</f>
        <v/>
      </c>
      <c r="F7" s="15">
        <f>D7-C7</f>
        <v/>
      </c>
      <c r="G7" s="16" t="inlineStr">
        <is>
          <t>主流市场报价</t>
        </is>
      </c>
      <c r="H7" s="17" t="inlineStr">
        <is>
          <t>打开原文</t>
        </is>
      </c>
    </row>
    <row r="8">
      <c r="A8" s="18" t="n">
        <v>4</v>
      </c>
      <c r="B8" s="19" t="n">
        <v>45495</v>
      </c>
      <c r="C8" s="20" t="n">
        <v>2000</v>
      </c>
      <c r="D8" s="20" t="n">
        <v>2200</v>
      </c>
      <c r="E8" s="21">
        <f>(C8+D8)/2</f>
        <v/>
      </c>
      <c r="F8" s="21">
        <f>D8-C8</f>
        <v/>
      </c>
      <c r="G8" s="22" t="inlineStr">
        <is>
          <t>主流市场报价</t>
        </is>
      </c>
      <c r="H8" s="23" t="inlineStr">
        <is>
          <t>打开原文</t>
        </is>
      </c>
    </row>
    <row r="9">
      <c r="A9" s="12" t="n">
        <v>5</v>
      </c>
      <c r="B9" s="13" t="n">
        <v>45496</v>
      </c>
      <c r="C9" s="14" t="n">
        <v>2000</v>
      </c>
      <c r="D9" s="14" t="n">
        <v>2200</v>
      </c>
      <c r="E9" s="15">
        <f>(C9+D9)/2</f>
        <v/>
      </c>
      <c r="F9" s="15">
        <f>D9-C9</f>
        <v/>
      </c>
      <c r="G9" s="16" t="inlineStr">
        <is>
          <t>主流市场报价</t>
        </is>
      </c>
      <c r="H9" s="17" t="inlineStr">
        <is>
          <t>打开原文</t>
        </is>
      </c>
    </row>
    <row r="10">
      <c r="A10" s="18" t="n">
        <v>6</v>
      </c>
      <c r="B10" s="19" t="n">
        <v>45497</v>
      </c>
      <c r="C10" s="20" t="n">
        <v>2000</v>
      </c>
      <c r="D10" s="20" t="n">
        <v>2200</v>
      </c>
      <c r="E10" s="21">
        <f>(C10+D10)/2</f>
        <v/>
      </c>
      <c r="F10" s="21">
        <f>D10-C10</f>
        <v/>
      </c>
      <c r="G10" s="22" t="inlineStr">
        <is>
          <t>主流市场报价</t>
        </is>
      </c>
      <c r="H10" s="23" t="inlineStr">
        <is>
          <t>打开原文</t>
        </is>
      </c>
    </row>
    <row r="11">
      <c r="A11" s="12" t="n">
        <v>7</v>
      </c>
      <c r="B11" s="13" t="n">
        <v>45498</v>
      </c>
      <c r="C11" s="14" t="n">
        <v>2000</v>
      </c>
      <c r="D11" s="14" t="n">
        <v>2200</v>
      </c>
      <c r="E11" s="15">
        <f>(C11+D11)/2</f>
        <v/>
      </c>
      <c r="F11" s="15">
        <f>D11-C11</f>
        <v/>
      </c>
      <c r="G11" s="16" t="inlineStr">
        <is>
          <t>主流市场报价</t>
        </is>
      </c>
      <c r="H11" s="17" t="inlineStr">
        <is>
          <t>打开原文</t>
        </is>
      </c>
    </row>
    <row r="12">
      <c r="A12" s="18" t="n">
        <v>8</v>
      </c>
      <c r="B12" s="19" t="n">
        <v>45499</v>
      </c>
      <c r="C12" s="20" t="n">
        <v>2000</v>
      </c>
      <c r="D12" s="20" t="n">
        <v>2200</v>
      </c>
      <c r="E12" s="21">
        <f>(C12+D12)/2</f>
        <v/>
      </c>
      <c r="F12" s="21">
        <f>D12-C12</f>
        <v/>
      </c>
      <c r="G12" s="22" t="inlineStr">
        <is>
          <t>主流市场报价</t>
        </is>
      </c>
      <c r="H12" s="23" t="inlineStr">
        <is>
          <t>打开原文</t>
        </is>
      </c>
    </row>
    <row r="13">
      <c r="A13" s="12" t="n">
        <v>9</v>
      </c>
      <c r="B13" s="13" t="n">
        <v>45502</v>
      </c>
      <c r="C13" s="14" t="n">
        <v>1950</v>
      </c>
      <c r="D13" s="14" t="n">
        <v>2100</v>
      </c>
      <c r="E13" s="15">
        <f>(C13+D13)/2</f>
        <v/>
      </c>
      <c r="F13" s="15">
        <f>D13-C13</f>
        <v/>
      </c>
      <c r="G13" s="16" t="inlineStr">
        <is>
          <t>主流市场报价</t>
        </is>
      </c>
      <c r="H13" s="17" t="inlineStr">
        <is>
          <t>打开原文</t>
        </is>
      </c>
    </row>
    <row r="14">
      <c r="A14" s="18" t="n">
        <v>10</v>
      </c>
      <c r="B14" s="19" t="n">
        <v>45503</v>
      </c>
      <c r="C14" s="20" t="n">
        <v>1950</v>
      </c>
      <c r="D14" s="20" t="n">
        <v>2100</v>
      </c>
      <c r="E14" s="21">
        <f>(C14+D14)/2</f>
        <v/>
      </c>
      <c r="F14" s="21">
        <f>D14-C14</f>
        <v/>
      </c>
      <c r="G14" s="22" t="inlineStr">
        <is>
          <t>主流市场报价</t>
        </is>
      </c>
      <c r="H14" s="23" t="inlineStr">
        <is>
          <t>打开原文</t>
        </is>
      </c>
    </row>
    <row r="15">
      <c r="A15" s="12" t="n">
        <v>11</v>
      </c>
      <c r="B15" s="13" t="n">
        <v>45504</v>
      </c>
      <c r="C15" s="14" t="n">
        <v>1900</v>
      </c>
      <c r="D15" s="14" t="n">
        <v>2100</v>
      </c>
      <c r="E15" s="15">
        <f>(C15+D15)/2</f>
        <v/>
      </c>
      <c r="F15" s="15">
        <f>D15-C15</f>
        <v/>
      </c>
      <c r="G15" s="16" t="inlineStr">
        <is>
          <t>主流市场报价</t>
        </is>
      </c>
      <c r="H15" s="17" t="inlineStr">
        <is>
          <t>打开原文</t>
        </is>
      </c>
    </row>
    <row r="16">
      <c r="A16" s="18" t="n">
        <v>12</v>
      </c>
      <c r="B16" s="19" t="n">
        <v>45505</v>
      </c>
      <c r="C16" s="20" t="n">
        <v>1900</v>
      </c>
      <c r="D16" s="20" t="n">
        <v>2100</v>
      </c>
      <c r="E16" s="21">
        <f>(C16+D16)/2</f>
        <v/>
      </c>
      <c r="F16" s="21">
        <f>D16-C16</f>
        <v/>
      </c>
      <c r="G16" s="22" t="inlineStr">
        <is>
          <t>主流市场报价</t>
        </is>
      </c>
      <c r="H16" s="23" t="inlineStr">
        <is>
          <t>打开原文</t>
        </is>
      </c>
    </row>
    <row r="17">
      <c r="A17" s="12" t="n">
        <v>13</v>
      </c>
      <c r="B17" s="13" t="n">
        <v>45506</v>
      </c>
      <c r="C17" s="14" t="n">
        <v>1900</v>
      </c>
      <c r="D17" s="14" t="n">
        <v>2100</v>
      </c>
      <c r="E17" s="15">
        <f>(C17+D17)/2</f>
        <v/>
      </c>
      <c r="F17" s="15">
        <f>D17-C17</f>
        <v/>
      </c>
      <c r="G17" s="16" t="inlineStr">
        <is>
          <t>主流市场报价</t>
        </is>
      </c>
      <c r="H17" s="17" t="inlineStr">
        <is>
          <t>打开原文</t>
        </is>
      </c>
    </row>
    <row r="18">
      <c r="A18" s="18" t="n">
        <v>14</v>
      </c>
      <c r="B18" s="19" t="n">
        <v>45509</v>
      </c>
      <c r="C18" s="20" t="n">
        <v>1900</v>
      </c>
      <c r="D18" s="20" t="n">
        <v>2100</v>
      </c>
      <c r="E18" s="21">
        <f>(C18+D18)/2</f>
        <v/>
      </c>
      <c r="F18" s="21">
        <f>D18-C18</f>
        <v/>
      </c>
      <c r="G18" s="22" t="inlineStr">
        <is>
          <t>主流市场报价</t>
        </is>
      </c>
      <c r="H18" s="23" t="inlineStr">
        <is>
          <t>打开原文</t>
        </is>
      </c>
    </row>
    <row r="19">
      <c r="A19" s="12" t="n">
        <v>15</v>
      </c>
      <c r="B19" s="13" t="n">
        <v>45510</v>
      </c>
      <c r="C19" s="14" t="n">
        <v>1900</v>
      </c>
      <c r="D19" s="14" t="n">
        <v>2100</v>
      </c>
      <c r="E19" s="15">
        <f>(C19+D19)/2</f>
        <v/>
      </c>
      <c r="F19" s="15">
        <f>D19-C19</f>
        <v/>
      </c>
      <c r="G19" s="16" t="inlineStr">
        <is>
          <t>主流市场报价</t>
        </is>
      </c>
      <c r="H19" s="17" t="inlineStr">
        <is>
          <t>打开原文</t>
        </is>
      </c>
    </row>
    <row r="20">
      <c r="A20" s="18" t="n">
        <v>16</v>
      </c>
      <c r="B20" s="19" t="n">
        <v>45511</v>
      </c>
      <c r="C20" s="20" t="n">
        <v>1900</v>
      </c>
      <c r="D20" s="20" t="n">
        <v>2100</v>
      </c>
      <c r="E20" s="21">
        <f>(C20+D20)/2</f>
        <v/>
      </c>
      <c r="F20" s="21">
        <f>D20-C20</f>
        <v/>
      </c>
      <c r="G20" s="22" t="inlineStr">
        <is>
          <t>主流市场报价</t>
        </is>
      </c>
      <c r="H20" s="23" t="inlineStr">
        <is>
          <t>打开原文</t>
        </is>
      </c>
    </row>
    <row r="21">
      <c r="A21" s="12" t="n">
        <v>17</v>
      </c>
      <c r="B21" s="13" t="n">
        <v>45512</v>
      </c>
      <c r="C21" s="14" t="n">
        <v>1900</v>
      </c>
      <c r="D21" s="14" t="n">
        <v>2100</v>
      </c>
      <c r="E21" s="15">
        <f>(C21+D21)/2</f>
        <v/>
      </c>
      <c r="F21" s="15">
        <f>D21-C21</f>
        <v/>
      </c>
      <c r="G21" s="16" t="inlineStr">
        <is>
          <t>主流市场报价</t>
        </is>
      </c>
      <c r="H21" s="17" t="inlineStr">
        <is>
          <t>打开原文</t>
        </is>
      </c>
    </row>
    <row r="22">
      <c r="A22" s="18" t="n">
        <v>18</v>
      </c>
      <c r="B22" s="19" t="n">
        <v>45513</v>
      </c>
      <c r="C22" s="20" t="n">
        <v>1900</v>
      </c>
      <c r="D22" s="20" t="n">
        <v>2100</v>
      </c>
      <c r="E22" s="21">
        <f>(C22+D22)/2</f>
        <v/>
      </c>
      <c r="F22" s="21">
        <f>D22-C22</f>
        <v/>
      </c>
      <c r="G22" s="22" t="inlineStr">
        <is>
          <t>主流市场报价</t>
        </is>
      </c>
      <c r="H22" s="23" t="inlineStr">
        <is>
          <t>打开原文</t>
        </is>
      </c>
    </row>
    <row r="23">
      <c r="A23" s="12" t="n">
        <v>19</v>
      </c>
      <c r="B23" s="13" t="n">
        <v>45516</v>
      </c>
      <c r="C23" s="14" t="n">
        <v>1850</v>
      </c>
      <c r="D23" s="14" t="n">
        <v>2000</v>
      </c>
      <c r="E23" s="15">
        <f>(C23+D23)/2</f>
        <v/>
      </c>
      <c r="F23" s="15">
        <f>D23-C23</f>
        <v/>
      </c>
      <c r="G23" s="16" t="inlineStr">
        <is>
          <t>主流市场报价</t>
        </is>
      </c>
      <c r="H23" s="17" t="inlineStr">
        <is>
          <t>打开原文</t>
        </is>
      </c>
    </row>
    <row r="24">
      <c r="A24" s="18" t="n">
        <v>20</v>
      </c>
      <c r="B24" s="19" t="n">
        <v>45517</v>
      </c>
      <c r="C24" s="20" t="n">
        <v>1850</v>
      </c>
      <c r="D24" s="20" t="n">
        <v>2000</v>
      </c>
      <c r="E24" s="21">
        <f>(C24+D24)/2</f>
        <v/>
      </c>
      <c r="F24" s="21">
        <f>D24-C24</f>
        <v/>
      </c>
      <c r="G24" s="22" t="inlineStr">
        <is>
          <t>主流市场报价</t>
        </is>
      </c>
      <c r="H24" s="23" t="inlineStr">
        <is>
          <t>打开原文</t>
        </is>
      </c>
    </row>
    <row r="25">
      <c r="A25" s="12" t="n">
        <v>21</v>
      </c>
      <c r="B25" s="13" t="n">
        <v>45518</v>
      </c>
      <c r="C25" s="14" t="n">
        <v>1850</v>
      </c>
      <c r="D25" s="14" t="n">
        <v>2000</v>
      </c>
      <c r="E25" s="15">
        <f>(C25+D25)/2</f>
        <v/>
      </c>
      <c r="F25" s="15">
        <f>D25-C25</f>
        <v/>
      </c>
      <c r="G25" s="16" t="inlineStr">
        <is>
          <t>主流市场报价</t>
        </is>
      </c>
      <c r="H25" s="17" t="inlineStr">
        <is>
          <t>打开原文</t>
        </is>
      </c>
    </row>
    <row r="26">
      <c r="A26" s="18" t="n">
        <v>22</v>
      </c>
      <c r="B26" s="19" t="n">
        <v>45519</v>
      </c>
      <c r="C26" s="20" t="n">
        <v>1850</v>
      </c>
      <c r="D26" s="20" t="n">
        <v>2000</v>
      </c>
      <c r="E26" s="21">
        <f>(C26+D26)/2</f>
        <v/>
      </c>
      <c r="F26" s="21">
        <f>D26-C26</f>
        <v/>
      </c>
      <c r="G26" s="22" t="inlineStr">
        <is>
          <t>主流市场报价</t>
        </is>
      </c>
      <c r="H26" s="23" t="inlineStr">
        <is>
          <t>打开原文</t>
        </is>
      </c>
    </row>
    <row r="27">
      <c r="A27" s="12" t="n">
        <v>23</v>
      </c>
      <c r="B27" s="13" t="n">
        <v>45520</v>
      </c>
      <c r="C27" s="14" t="n">
        <v>1850</v>
      </c>
      <c r="D27" s="14" t="n">
        <v>2000</v>
      </c>
      <c r="E27" s="15">
        <f>(C27+D27)/2</f>
        <v/>
      </c>
      <c r="F27" s="15">
        <f>D27-C27</f>
        <v/>
      </c>
      <c r="G27" s="16" t="inlineStr">
        <is>
          <t>主流市场报价</t>
        </is>
      </c>
      <c r="H27" s="17" t="inlineStr">
        <is>
          <t>打开原文</t>
        </is>
      </c>
    </row>
    <row r="28">
      <c r="A28" s="18" t="n">
        <v>24</v>
      </c>
      <c r="B28" s="19" t="n">
        <v>45523</v>
      </c>
      <c r="C28" s="20" t="n">
        <v>1850</v>
      </c>
      <c r="D28" s="20" t="n">
        <v>2000</v>
      </c>
      <c r="E28" s="21">
        <f>(C28+D28)/2</f>
        <v/>
      </c>
      <c r="F28" s="21">
        <f>D28-C28</f>
        <v/>
      </c>
      <c r="G28" s="22" t="inlineStr">
        <is>
          <t>主流市场报价</t>
        </is>
      </c>
      <c r="H28" s="23" t="inlineStr">
        <is>
          <t>打开原文</t>
        </is>
      </c>
    </row>
    <row r="29">
      <c r="A29" s="12" t="n">
        <v>25</v>
      </c>
      <c r="B29" s="13" t="n">
        <v>45524</v>
      </c>
      <c r="C29" s="14" t="n">
        <v>1850</v>
      </c>
      <c r="D29" s="14" t="n">
        <v>2000</v>
      </c>
      <c r="E29" s="15">
        <f>(C29+D29)/2</f>
        <v/>
      </c>
      <c r="F29" s="15">
        <f>D29-C29</f>
        <v/>
      </c>
      <c r="G29" s="16" t="inlineStr">
        <is>
          <t>主流市场报价</t>
        </is>
      </c>
      <c r="H29" s="17" t="inlineStr">
        <is>
          <t>打开原文</t>
        </is>
      </c>
    </row>
    <row r="30">
      <c r="A30" s="18" t="n">
        <v>26</v>
      </c>
      <c r="B30" s="19" t="n">
        <v>45525</v>
      </c>
      <c r="C30" s="20" t="n">
        <v>1850</v>
      </c>
      <c r="D30" s="20" t="n">
        <v>2000</v>
      </c>
      <c r="E30" s="21">
        <f>(C30+D30)/2</f>
        <v/>
      </c>
      <c r="F30" s="21">
        <f>D30-C30</f>
        <v/>
      </c>
      <c r="G30" s="22" t="inlineStr">
        <is>
          <t>主流市场报价</t>
        </is>
      </c>
      <c r="H30" s="23" t="inlineStr">
        <is>
          <t>打开原文</t>
        </is>
      </c>
    </row>
    <row r="31">
      <c r="A31" s="12" t="n">
        <v>27</v>
      </c>
      <c r="B31" s="13" t="n">
        <v>45526</v>
      </c>
      <c r="C31" s="14" t="n">
        <v>1850</v>
      </c>
      <c r="D31" s="14" t="n">
        <v>2000</v>
      </c>
      <c r="E31" s="15">
        <f>(C31+D31)/2</f>
        <v/>
      </c>
      <c r="F31" s="15">
        <f>D31-C31</f>
        <v/>
      </c>
      <c r="G31" s="16" t="inlineStr">
        <is>
          <t>主流市场报价</t>
        </is>
      </c>
      <c r="H31" s="17" t="inlineStr">
        <is>
          <t>打开原文</t>
        </is>
      </c>
    </row>
    <row r="32">
      <c r="A32" s="18" t="n">
        <v>28</v>
      </c>
      <c r="B32" s="19" t="n">
        <v>45527</v>
      </c>
      <c r="C32" s="20" t="n">
        <v>1850</v>
      </c>
      <c r="D32" s="20" t="n">
        <v>2000</v>
      </c>
      <c r="E32" s="21">
        <f>(C32+D32)/2</f>
        <v/>
      </c>
      <c r="F32" s="21">
        <f>D32-C32</f>
        <v/>
      </c>
      <c r="G32" s="22" t="inlineStr">
        <is>
          <t>主流市场报价</t>
        </is>
      </c>
      <c r="H32" s="23" t="inlineStr">
        <is>
          <t>打开原文</t>
        </is>
      </c>
    </row>
    <row r="33">
      <c r="A33" s="12" t="n">
        <v>29</v>
      </c>
      <c r="B33" s="13" t="n">
        <v>45530</v>
      </c>
      <c r="C33" s="14" t="n">
        <v>1750</v>
      </c>
      <c r="D33" s="14" t="n">
        <v>2000</v>
      </c>
      <c r="E33" s="15">
        <f>(C33+D33)/2</f>
        <v/>
      </c>
      <c r="F33" s="15">
        <f>D33-C33</f>
        <v/>
      </c>
      <c r="G33" s="16" t="inlineStr">
        <is>
          <t>主流市场报价</t>
        </is>
      </c>
      <c r="H33" s="17" t="inlineStr">
        <is>
          <t>打开原文</t>
        </is>
      </c>
    </row>
    <row r="34">
      <c r="A34" s="18" t="n">
        <v>30</v>
      </c>
      <c r="B34" s="19" t="n">
        <v>45531</v>
      </c>
      <c r="C34" s="20" t="n">
        <v>1750</v>
      </c>
      <c r="D34" s="20" t="n">
        <v>2000</v>
      </c>
      <c r="E34" s="21">
        <f>(C34+D34)/2</f>
        <v/>
      </c>
      <c r="F34" s="21">
        <f>D34-C34</f>
        <v/>
      </c>
      <c r="G34" s="22" t="inlineStr">
        <is>
          <t>主流市场报价</t>
        </is>
      </c>
      <c r="H34" s="23" t="inlineStr">
        <is>
          <t>打开原文</t>
        </is>
      </c>
    </row>
    <row r="35">
      <c r="A35" s="12" t="n">
        <v>31</v>
      </c>
      <c r="B35" s="13" t="n">
        <v>45532</v>
      </c>
      <c r="C35" s="14" t="n">
        <v>1750</v>
      </c>
      <c r="D35" s="14" t="n">
        <v>2000</v>
      </c>
      <c r="E35" s="15">
        <f>(C35+D35)/2</f>
        <v/>
      </c>
      <c r="F35" s="15">
        <f>D35-C35</f>
        <v/>
      </c>
      <c r="G35" s="16" t="inlineStr">
        <is>
          <t>主流市场报价</t>
        </is>
      </c>
      <c r="H35" s="17" t="inlineStr">
        <is>
          <t>打开原文</t>
        </is>
      </c>
    </row>
    <row r="36">
      <c r="A36" s="18" t="n">
        <v>32</v>
      </c>
      <c r="B36" s="19" t="n">
        <v>45533</v>
      </c>
      <c r="C36" s="20" t="n">
        <v>1750</v>
      </c>
      <c r="D36" s="20" t="n">
        <v>2000</v>
      </c>
      <c r="E36" s="21">
        <f>(C36+D36)/2</f>
        <v/>
      </c>
      <c r="F36" s="21">
        <f>D36-C36</f>
        <v/>
      </c>
      <c r="G36" s="22" t="inlineStr">
        <is>
          <t>主流市场报价</t>
        </is>
      </c>
      <c r="H36" s="23" t="inlineStr">
        <is>
          <t>打开原文</t>
        </is>
      </c>
    </row>
    <row r="37">
      <c r="A37" s="12" t="n">
        <v>33</v>
      </c>
      <c r="B37" s="13" t="n">
        <v>45534</v>
      </c>
      <c r="C37" s="14" t="n">
        <v>1750</v>
      </c>
      <c r="D37" s="14" t="n">
        <v>2000</v>
      </c>
      <c r="E37" s="15">
        <f>(C37+D37)/2</f>
        <v/>
      </c>
      <c r="F37" s="15">
        <f>D37-C37</f>
        <v/>
      </c>
      <c r="G37" s="16" t="inlineStr">
        <is>
          <t>主流市场报价</t>
        </is>
      </c>
      <c r="H37" s="17" t="inlineStr">
        <is>
          <t>打开原文</t>
        </is>
      </c>
    </row>
    <row r="38">
      <c r="A38" s="18" t="n">
        <v>34</v>
      </c>
      <c r="B38" s="19" t="n">
        <v>45537</v>
      </c>
      <c r="C38" s="20" t="n">
        <v>1600</v>
      </c>
      <c r="D38" s="20" t="n">
        <v>1900</v>
      </c>
      <c r="E38" s="21">
        <f>(C38+D38)/2</f>
        <v/>
      </c>
      <c r="F38" s="21">
        <f>D38-C38</f>
        <v/>
      </c>
      <c r="G38" s="22" t="inlineStr">
        <is>
          <t>主流市场报价</t>
        </is>
      </c>
      <c r="H38" s="23" t="inlineStr">
        <is>
          <t>打开原文</t>
        </is>
      </c>
    </row>
    <row r="39">
      <c r="A39" s="12" t="n">
        <v>35</v>
      </c>
      <c r="B39" s="13" t="n">
        <v>45538</v>
      </c>
      <c r="C39" s="14" t="n">
        <v>1600</v>
      </c>
      <c r="D39" s="14" t="n">
        <v>1900</v>
      </c>
      <c r="E39" s="15">
        <f>(C39+D39)/2</f>
        <v/>
      </c>
      <c r="F39" s="15">
        <f>D39-C39</f>
        <v/>
      </c>
      <c r="G39" s="16" t="inlineStr">
        <is>
          <t>主流市场报价</t>
        </is>
      </c>
      <c r="H39" s="17" t="inlineStr">
        <is>
          <t>打开原文</t>
        </is>
      </c>
    </row>
    <row r="40">
      <c r="A40" s="18" t="n">
        <v>36</v>
      </c>
      <c r="B40" s="19" t="n">
        <v>45539</v>
      </c>
      <c r="C40" s="20" t="n">
        <v>1600</v>
      </c>
      <c r="D40" s="20" t="n">
        <v>1800</v>
      </c>
      <c r="E40" s="21">
        <f>(C40+D40)/2</f>
        <v/>
      </c>
      <c r="F40" s="21">
        <f>D40-C40</f>
        <v/>
      </c>
      <c r="G40" s="22" t="inlineStr">
        <is>
          <t>主流市场报价</t>
        </is>
      </c>
      <c r="H40" s="23" t="inlineStr">
        <is>
          <t>打开原文</t>
        </is>
      </c>
    </row>
    <row r="41">
      <c r="A41" s="12" t="n">
        <v>37</v>
      </c>
      <c r="B41" s="13" t="n">
        <v>45540</v>
      </c>
      <c r="C41" s="14" t="n">
        <v>1600</v>
      </c>
      <c r="D41" s="14" t="n">
        <v>1800</v>
      </c>
      <c r="E41" s="15">
        <f>(C41+D41)/2</f>
        <v/>
      </c>
      <c r="F41" s="15">
        <f>D41-C41</f>
        <v/>
      </c>
      <c r="G41" s="16" t="inlineStr">
        <is>
          <t>主流市场报价</t>
        </is>
      </c>
      <c r="H41" s="17" t="inlineStr">
        <is>
          <t>打开原文</t>
        </is>
      </c>
    </row>
    <row r="42">
      <c r="A42" s="18" t="n">
        <v>38</v>
      </c>
      <c r="B42" s="19" t="n">
        <v>45541</v>
      </c>
      <c r="C42" s="20" t="n">
        <v>1600</v>
      </c>
      <c r="D42" s="20" t="n">
        <v>1800</v>
      </c>
      <c r="E42" s="21">
        <f>(C42+D42)/2</f>
        <v/>
      </c>
      <c r="F42" s="21">
        <f>D42-C42</f>
        <v/>
      </c>
      <c r="G42" s="22" t="inlineStr">
        <is>
          <t>主流市场报价</t>
        </is>
      </c>
      <c r="H42" s="23" t="inlineStr">
        <is>
          <t>打开原文</t>
        </is>
      </c>
    </row>
    <row r="43">
      <c r="A43" s="12" t="n">
        <v>39</v>
      </c>
      <c r="B43" s="13" t="n">
        <v>45544</v>
      </c>
      <c r="C43" s="14" t="n">
        <v>1550</v>
      </c>
      <c r="D43" s="14" t="n">
        <v>1800</v>
      </c>
      <c r="E43" s="15">
        <f>(C43+D43)/2</f>
        <v/>
      </c>
      <c r="F43" s="15">
        <f>D43-C43</f>
        <v/>
      </c>
      <c r="G43" s="16" t="inlineStr">
        <is>
          <t>主流市场报价</t>
        </is>
      </c>
      <c r="H43" s="17" t="inlineStr">
        <is>
          <t>打开原文</t>
        </is>
      </c>
    </row>
    <row r="44">
      <c r="A44" s="18" t="n">
        <v>40</v>
      </c>
      <c r="B44" s="19" t="n">
        <v>45545</v>
      </c>
      <c r="C44" s="20" t="n">
        <v>1550</v>
      </c>
      <c r="D44" s="20" t="n">
        <v>1800</v>
      </c>
      <c r="E44" s="21">
        <f>(C44+D44)/2</f>
        <v/>
      </c>
      <c r="F44" s="21">
        <f>D44-C44</f>
        <v/>
      </c>
      <c r="G44" s="22" t="inlineStr">
        <is>
          <t>主流市场报价</t>
        </is>
      </c>
      <c r="H44" s="23" t="inlineStr">
        <is>
          <t>打开原文</t>
        </is>
      </c>
    </row>
    <row r="45">
      <c r="A45" s="12" t="n">
        <v>41</v>
      </c>
      <c r="B45" s="13" t="n">
        <v>45546</v>
      </c>
      <c r="C45" s="14" t="n">
        <v>1500</v>
      </c>
      <c r="D45" s="14" t="n">
        <v>1750</v>
      </c>
      <c r="E45" s="15">
        <f>(C45+D45)/2</f>
        <v/>
      </c>
      <c r="F45" s="15">
        <f>D45-C45</f>
        <v/>
      </c>
      <c r="G45" s="16" t="inlineStr">
        <is>
          <t>主流市场报价</t>
        </is>
      </c>
      <c r="H45" s="17" t="inlineStr">
        <is>
          <t>打开原文</t>
        </is>
      </c>
    </row>
    <row r="46">
      <c r="A46" s="18" t="n">
        <v>42</v>
      </c>
      <c r="B46" s="19" t="n">
        <v>45547</v>
      </c>
      <c r="C46" s="20" t="n">
        <v>1500</v>
      </c>
      <c r="D46" s="20" t="n">
        <v>1750</v>
      </c>
      <c r="E46" s="21">
        <f>(C46+D46)/2</f>
        <v/>
      </c>
      <c r="F46" s="21">
        <f>D46-C46</f>
        <v/>
      </c>
      <c r="G46" s="22" t="inlineStr">
        <is>
          <t>主流市场报价</t>
        </is>
      </c>
      <c r="H46" s="23" t="inlineStr">
        <is>
          <t>打开原文</t>
        </is>
      </c>
    </row>
    <row r="47">
      <c r="A47" s="12" t="n">
        <v>43</v>
      </c>
      <c r="B47" s="13" t="n">
        <v>45548</v>
      </c>
      <c r="C47" s="14" t="n">
        <v>1500</v>
      </c>
      <c r="D47" s="14" t="n">
        <v>1750</v>
      </c>
      <c r="E47" s="15">
        <f>(C47+D47)/2</f>
        <v/>
      </c>
      <c r="F47" s="15">
        <f>D47-C47</f>
        <v/>
      </c>
      <c r="G47" s="16" t="inlineStr">
        <is>
          <t>主流市场报价</t>
        </is>
      </c>
      <c r="H47" s="17" t="inlineStr">
        <is>
          <t>打开原文</t>
        </is>
      </c>
    </row>
    <row r="48">
      <c r="A48" s="18" t="n">
        <v>44</v>
      </c>
      <c r="B48" s="19" t="n">
        <v>45549</v>
      </c>
      <c r="C48" s="20" t="n">
        <v>1500</v>
      </c>
      <c r="D48" s="20" t="n">
        <v>1750</v>
      </c>
      <c r="E48" s="21">
        <f>(C48+D48)/2</f>
        <v/>
      </c>
      <c r="F48" s="21">
        <f>D48-C48</f>
        <v/>
      </c>
      <c r="G48" s="22" t="inlineStr">
        <is>
          <t>主流市场报价</t>
        </is>
      </c>
      <c r="H48" s="23" t="inlineStr">
        <is>
          <t>打开原文</t>
        </is>
      </c>
    </row>
    <row r="49">
      <c r="A49" s="12" t="n">
        <v>45</v>
      </c>
      <c r="B49" s="13" t="n">
        <v>45553</v>
      </c>
      <c r="C49" s="14" t="n">
        <v>1450</v>
      </c>
      <c r="D49" s="14" t="n">
        <v>1700</v>
      </c>
      <c r="E49" s="15">
        <f>(C49+D49)/2</f>
        <v/>
      </c>
      <c r="F49" s="15">
        <f>D49-C49</f>
        <v/>
      </c>
      <c r="G49" s="16" t="inlineStr">
        <is>
          <t>主流市场报价</t>
        </is>
      </c>
      <c r="H49" s="17" t="inlineStr">
        <is>
          <t>打开原文</t>
        </is>
      </c>
    </row>
    <row r="50">
      <c r="A50" s="18" t="n">
        <v>46</v>
      </c>
      <c r="B50" s="19" t="n">
        <v>45554</v>
      </c>
      <c r="C50" s="20" t="n">
        <v>1450</v>
      </c>
      <c r="D50" s="20" t="n">
        <v>1700</v>
      </c>
      <c r="E50" s="21">
        <f>(C50+D50)/2</f>
        <v/>
      </c>
      <c r="F50" s="21">
        <f>D50-C50</f>
        <v/>
      </c>
      <c r="G50" s="22" t="inlineStr">
        <is>
          <t>主流市场报价</t>
        </is>
      </c>
      <c r="H50" s="23" t="inlineStr">
        <is>
          <t>打开原文</t>
        </is>
      </c>
    </row>
    <row r="51">
      <c r="A51" s="12" t="n">
        <v>47</v>
      </c>
      <c r="B51" s="13" t="n">
        <v>45555</v>
      </c>
      <c r="C51" s="14" t="n">
        <v>1450</v>
      </c>
      <c r="D51" s="14" t="n">
        <v>1700</v>
      </c>
      <c r="E51" s="15">
        <f>(C51+D51)/2</f>
        <v/>
      </c>
      <c r="F51" s="15">
        <f>D51-C51</f>
        <v/>
      </c>
      <c r="G51" s="16" t="inlineStr">
        <is>
          <t>主流市场报价</t>
        </is>
      </c>
      <c r="H51" s="17" t="inlineStr">
        <is>
          <t>打开原文</t>
        </is>
      </c>
    </row>
    <row r="52">
      <c r="A52" s="18" t="n">
        <v>48</v>
      </c>
      <c r="B52" s="19" t="n">
        <v>45558</v>
      </c>
      <c r="C52" s="20" t="n">
        <v>1450</v>
      </c>
      <c r="D52" s="20" t="n">
        <v>1700</v>
      </c>
      <c r="E52" s="21">
        <f>(C52+D52)/2</f>
        <v/>
      </c>
      <c r="F52" s="21">
        <f>D52-C52</f>
        <v/>
      </c>
      <c r="G52" s="22" t="inlineStr">
        <is>
          <t>主流市场报价</t>
        </is>
      </c>
      <c r="H52" s="23" t="inlineStr">
        <is>
          <t>打开原文</t>
        </is>
      </c>
    </row>
    <row r="53">
      <c r="A53" s="12" t="n">
        <v>49</v>
      </c>
      <c r="B53" s="13" t="n">
        <v>45559</v>
      </c>
      <c r="C53" s="14" t="n">
        <v>1450</v>
      </c>
      <c r="D53" s="14" t="n">
        <v>1700</v>
      </c>
      <c r="E53" s="15">
        <f>(C53+D53)/2</f>
        <v/>
      </c>
      <c r="F53" s="15">
        <f>D53-C53</f>
        <v/>
      </c>
      <c r="G53" s="16" t="inlineStr">
        <is>
          <t>主流市场报价</t>
        </is>
      </c>
      <c r="H53" s="17" t="inlineStr">
        <is>
          <t>打开原文</t>
        </is>
      </c>
    </row>
    <row r="54">
      <c r="A54" s="18" t="n">
        <v>50</v>
      </c>
      <c r="B54" s="19" t="n">
        <v>45560</v>
      </c>
      <c r="C54" s="20" t="n">
        <v>1450</v>
      </c>
      <c r="D54" s="20" t="n">
        <v>1700</v>
      </c>
      <c r="E54" s="21">
        <f>(C54+D54)/2</f>
        <v/>
      </c>
      <c r="F54" s="21">
        <f>D54-C54</f>
        <v/>
      </c>
      <c r="G54" s="22" t="inlineStr">
        <is>
          <t>主流市场报价</t>
        </is>
      </c>
      <c r="H54" s="23" t="inlineStr">
        <is>
          <t>打开原文</t>
        </is>
      </c>
    </row>
    <row r="55">
      <c r="A55" s="12" t="n">
        <v>51</v>
      </c>
      <c r="B55" s="13" t="n">
        <v>45561</v>
      </c>
      <c r="C55" s="14" t="n">
        <v>1450</v>
      </c>
      <c r="D55" s="14" t="n">
        <v>1700</v>
      </c>
      <c r="E55" s="15">
        <f>(C55+D55)/2</f>
        <v/>
      </c>
      <c r="F55" s="15">
        <f>D55-C55</f>
        <v/>
      </c>
      <c r="G55" s="16" t="inlineStr">
        <is>
          <t>主流市场报价</t>
        </is>
      </c>
      <c r="H55" s="17" t="inlineStr">
        <is>
          <t>打开原文</t>
        </is>
      </c>
    </row>
    <row r="56">
      <c r="A56" s="18" t="n">
        <v>52</v>
      </c>
      <c r="B56" s="19" t="n">
        <v>45562</v>
      </c>
      <c r="C56" s="20" t="n">
        <v>1450</v>
      </c>
      <c r="D56" s="20" t="n">
        <v>1700</v>
      </c>
      <c r="E56" s="21">
        <f>(C56+D56)/2</f>
        <v/>
      </c>
      <c r="F56" s="21">
        <f>D56-C56</f>
        <v/>
      </c>
      <c r="G56" s="22" t="inlineStr">
        <is>
          <t>主流市场报价</t>
        </is>
      </c>
      <c r="H56" s="23" t="inlineStr">
        <is>
          <t>打开原文</t>
        </is>
      </c>
    </row>
    <row r="57">
      <c r="A57" s="12" t="n">
        <v>53</v>
      </c>
      <c r="B57" s="13" t="n">
        <v>45564</v>
      </c>
      <c r="C57" s="14" t="n">
        <v>1500</v>
      </c>
      <c r="D57" s="14" t="n">
        <v>1700</v>
      </c>
      <c r="E57" s="15">
        <f>(C57+D57)/2</f>
        <v/>
      </c>
      <c r="F57" s="15">
        <f>D57-C57</f>
        <v/>
      </c>
      <c r="G57" s="16" t="inlineStr">
        <is>
          <t>主流市场报价</t>
        </is>
      </c>
      <c r="H57" s="17" t="inlineStr">
        <is>
          <t>打开原文</t>
        </is>
      </c>
    </row>
    <row r="58">
      <c r="A58" s="18" t="n">
        <v>54</v>
      </c>
      <c r="B58" s="19" t="n">
        <v>45573</v>
      </c>
      <c r="C58" s="20" t="n">
        <v>1550</v>
      </c>
      <c r="D58" s="20" t="n">
        <v>1700</v>
      </c>
      <c r="E58" s="21">
        <f>(C58+D58)/2</f>
        <v/>
      </c>
      <c r="F58" s="21">
        <f>D58-C58</f>
        <v/>
      </c>
      <c r="G58" s="22" t="inlineStr">
        <is>
          <t>主流市场报价</t>
        </is>
      </c>
      <c r="H58" s="23" t="inlineStr">
        <is>
          <t>打开原文</t>
        </is>
      </c>
    </row>
    <row r="59">
      <c r="A59" s="12" t="n">
        <v>55</v>
      </c>
      <c r="B59" s="13" t="n">
        <v>45574</v>
      </c>
      <c r="C59" s="14" t="n">
        <v>1550</v>
      </c>
      <c r="D59" s="14" t="n">
        <v>1700</v>
      </c>
      <c r="E59" s="15">
        <f>(C59+D59)/2</f>
        <v/>
      </c>
      <c r="F59" s="15">
        <f>D59-C59</f>
        <v/>
      </c>
      <c r="G59" s="16" t="inlineStr">
        <is>
          <t>主流市场报价</t>
        </is>
      </c>
      <c r="H59" s="17" t="inlineStr">
        <is>
          <t>打开原文</t>
        </is>
      </c>
    </row>
    <row r="60">
      <c r="A60" s="18" t="n">
        <v>56</v>
      </c>
      <c r="B60" s="19" t="n">
        <v>45575</v>
      </c>
      <c r="C60" s="20" t="n">
        <v>1550</v>
      </c>
      <c r="D60" s="20" t="n">
        <v>1700</v>
      </c>
      <c r="E60" s="21">
        <f>(C60+D60)/2</f>
        <v/>
      </c>
      <c r="F60" s="21">
        <f>D60-C60</f>
        <v/>
      </c>
      <c r="G60" s="22" t="inlineStr">
        <is>
          <t>主流市场报价</t>
        </is>
      </c>
      <c r="H60" s="23" t="inlineStr">
        <is>
          <t>打开原文</t>
        </is>
      </c>
    </row>
    <row r="61">
      <c r="A61" s="12" t="n">
        <v>57</v>
      </c>
      <c r="B61" s="13" t="n">
        <v>45576</v>
      </c>
      <c r="C61" s="14" t="n">
        <v>1550</v>
      </c>
      <c r="D61" s="14" t="n">
        <v>1700</v>
      </c>
      <c r="E61" s="15">
        <f>(C61+D61)/2</f>
        <v/>
      </c>
      <c r="F61" s="15">
        <f>D61-C61</f>
        <v/>
      </c>
      <c r="G61" s="16" t="inlineStr">
        <is>
          <t>主流市场报价</t>
        </is>
      </c>
      <c r="H61" s="17" t="inlineStr">
        <is>
          <t>打开原文</t>
        </is>
      </c>
    </row>
    <row r="62">
      <c r="A62" s="18" t="n">
        <v>58</v>
      </c>
      <c r="B62" s="19" t="n">
        <v>45577</v>
      </c>
      <c r="C62" s="20" t="n">
        <v>1550</v>
      </c>
      <c r="D62" s="20" t="n">
        <v>1700</v>
      </c>
      <c r="E62" s="21">
        <f>(C62+D62)/2</f>
        <v/>
      </c>
      <c r="F62" s="21">
        <f>D62-C62</f>
        <v/>
      </c>
      <c r="G62" s="22" t="inlineStr">
        <is>
          <t>主流市场报价</t>
        </is>
      </c>
      <c r="H62" s="23" t="inlineStr">
        <is>
          <t>打开原文</t>
        </is>
      </c>
    </row>
    <row r="63">
      <c r="A63" s="12" t="n">
        <v>59</v>
      </c>
      <c r="B63" s="13" t="n">
        <v>45580</v>
      </c>
      <c r="C63" s="14" t="n">
        <v>1550</v>
      </c>
      <c r="D63" s="14" t="n">
        <v>1700</v>
      </c>
      <c r="E63" s="15">
        <f>(C63+D63)/2</f>
        <v/>
      </c>
      <c r="F63" s="15">
        <f>D63-C63</f>
        <v/>
      </c>
      <c r="G63" s="16" t="inlineStr">
        <is>
          <t>主流市场报价</t>
        </is>
      </c>
      <c r="H63" s="17" t="inlineStr">
        <is>
          <t>打开原文</t>
        </is>
      </c>
    </row>
    <row r="64">
      <c r="A64" s="18" t="n">
        <v>60</v>
      </c>
      <c r="B64" s="19" t="n">
        <v>45581</v>
      </c>
      <c r="C64" s="20" t="n">
        <v>1550</v>
      </c>
      <c r="D64" s="20" t="n">
        <v>1700</v>
      </c>
      <c r="E64" s="21">
        <f>(C64+D64)/2</f>
        <v/>
      </c>
      <c r="F64" s="21">
        <f>D64-C64</f>
        <v/>
      </c>
      <c r="G64" s="22" t="inlineStr">
        <is>
          <t>主流市场报价</t>
        </is>
      </c>
      <c r="H64" s="23" t="inlineStr">
        <is>
          <t>打开原文</t>
        </is>
      </c>
    </row>
    <row r="65">
      <c r="A65" s="12" t="n">
        <v>61</v>
      </c>
      <c r="B65" s="13" t="n">
        <v>45582</v>
      </c>
      <c r="C65" s="14" t="n">
        <v>1550</v>
      </c>
      <c r="D65" s="14" t="n">
        <v>1700</v>
      </c>
      <c r="E65" s="15">
        <f>(C65+D65)/2</f>
        <v/>
      </c>
      <c r="F65" s="15">
        <f>D65-C65</f>
        <v/>
      </c>
      <c r="G65" s="16" t="inlineStr">
        <is>
          <t>主流市场报价</t>
        </is>
      </c>
      <c r="H65" s="17" t="inlineStr">
        <is>
          <t>打开原文</t>
        </is>
      </c>
    </row>
    <row r="66">
      <c r="A66" s="18" t="n">
        <v>62</v>
      </c>
      <c r="B66" s="19" t="n">
        <v>45583</v>
      </c>
      <c r="C66" s="20" t="n">
        <v>1550</v>
      </c>
      <c r="D66" s="20" t="n">
        <v>1700</v>
      </c>
      <c r="E66" s="21">
        <f>(C66+D66)/2</f>
        <v/>
      </c>
      <c r="F66" s="21">
        <f>D66-C66</f>
        <v/>
      </c>
      <c r="G66" s="22" t="inlineStr">
        <is>
          <t>主流市场报价</t>
        </is>
      </c>
      <c r="H66" s="23" t="inlineStr">
        <is>
          <t>打开原文</t>
        </is>
      </c>
    </row>
    <row r="67">
      <c r="A67" s="12" t="n">
        <v>63</v>
      </c>
      <c r="B67" s="13" t="n">
        <v>45586</v>
      </c>
      <c r="C67" s="14" t="n">
        <v>1500</v>
      </c>
      <c r="D67" s="14" t="n">
        <v>1650</v>
      </c>
      <c r="E67" s="15">
        <f>(C67+D67)/2</f>
        <v/>
      </c>
      <c r="F67" s="15">
        <f>D67-C67</f>
        <v/>
      </c>
      <c r="G67" s="16" t="inlineStr">
        <is>
          <t>主流市场报价</t>
        </is>
      </c>
      <c r="H67" s="17" t="inlineStr">
        <is>
          <t>打开原文</t>
        </is>
      </c>
    </row>
    <row r="68">
      <c r="A68" s="18" t="n">
        <v>64</v>
      </c>
      <c r="B68" s="19" t="n">
        <v>45587</v>
      </c>
      <c r="C68" s="20" t="n">
        <v>1500</v>
      </c>
      <c r="D68" s="20" t="n">
        <v>1650</v>
      </c>
      <c r="E68" s="21">
        <f>(C68+D68)/2</f>
        <v/>
      </c>
      <c r="F68" s="21">
        <f>D68-C68</f>
        <v/>
      </c>
      <c r="G68" s="22" t="inlineStr">
        <is>
          <t>主流市场报价</t>
        </is>
      </c>
      <c r="H68" s="23" t="inlineStr">
        <is>
          <t>打开原文</t>
        </is>
      </c>
    </row>
    <row r="69">
      <c r="A69" s="12" t="n">
        <v>65</v>
      </c>
      <c r="B69" s="13" t="n">
        <v>45589</v>
      </c>
      <c r="C69" s="14" t="n">
        <v>1500</v>
      </c>
      <c r="D69" s="14" t="n">
        <v>1650</v>
      </c>
      <c r="E69" s="15">
        <f>(C69+D69)/2</f>
        <v/>
      </c>
      <c r="F69" s="15">
        <f>D69-C69</f>
        <v/>
      </c>
      <c r="G69" s="16" t="inlineStr">
        <is>
          <t>主流市场报价</t>
        </is>
      </c>
      <c r="H69" s="17" t="inlineStr">
        <is>
          <t>打开原文</t>
        </is>
      </c>
    </row>
    <row r="70">
      <c r="A70" s="18" t="n">
        <v>66</v>
      </c>
      <c r="B70" s="19" t="n">
        <v>45590</v>
      </c>
      <c r="C70" s="20" t="n">
        <v>1500</v>
      </c>
      <c r="D70" s="20" t="n">
        <v>1650</v>
      </c>
      <c r="E70" s="21">
        <f>(C70+D70)/2</f>
        <v/>
      </c>
      <c r="F70" s="21">
        <f>D70-C70</f>
        <v/>
      </c>
      <c r="G70" s="22" t="inlineStr">
        <is>
          <t>主流市场报价</t>
        </is>
      </c>
      <c r="H70" s="23" t="inlineStr">
        <is>
          <t>打开原文</t>
        </is>
      </c>
    </row>
    <row r="71">
      <c r="A71" s="12" t="n">
        <v>67</v>
      </c>
      <c r="B71" s="13" t="n">
        <v>45593</v>
      </c>
      <c r="C71" s="14" t="n">
        <v>1500</v>
      </c>
      <c r="D71" s="14" t="n">
        <v>1650</v>
      </c>
      <c r="E71" s="15">
        <f>(C71+D71)/2</f>
        <v/>
      </c>
      <c r="F71" s="15">
        <f>D71-C71</f>
        <v/>
      </c>
      <c r="G71" s="16" t="inlineStr">
        <is>
          <t>主流市场报价</t>
        </is>
      </c>
      <c r="H71" s="17" t="inlineStr">
        <is>
          <t>打开原文</t>
        </is>
      </c>
    </row>
    <row r="72">
      <c r="A72" s="18" t="n">
        <v>68</v>
      </c>
      <c r="B72" s="19" t="n">
        <v>45594</v>
      </c>
      <c r="C72" s="20" t="n">
        <v>1500</v>
      </c>
      <c r="D72" s="20" t="n">
        <v>1650</v>
      </c>
      <c r="E72" s="21">
        <f>(C72+D72)/2</f>
        <v/>
      </c>
      <c r="F72" s="21">
        <f>D72-C72</f>
        <v/>
      </c>
      <c r="G72" s="22" t="inlineStr">
        <is>
          <t>主流市场报价</t>
        </is>
      </c>
      <c r="H72" s="23" t="inlineStr">
        <is>
          <t>打开原文</t>
        </is>
      </c>
    </row>
    <row r="73">
      <c r="A73" s="12" t="n">
        <v>69</v>
      </c>
      <c r="B73" s="13" t="n">
        <v>45595</v>
      </c>
      <c r="C73" s="14" t="n">
        <v>1500</v>
      </c>
      <c r="D73" s="14" t="n">
        <v>1650</v>
      </c>
      <c r="E73" s="15">
        <f>(C73+D73)/2</f>
        <v/>
      </c>
      <c r="F73" s="15">
        <f>D73-C73</f>
        <v/>
      </c>
      <c r="G73" s="16" t="inlineStr">
        <is>
          <t>主流市场报价</t>
        </is>
      </c>
      <c r="H73" s="17" t="inlineStr">
        <is>
          <t>打开原文</t>
        </is>
      </c>
    </row>
    <row r="74">
      <c r="A74" s="18" t="n">
        <v>70</v>
      </c>
      <c r="B74" s="19" t="n">
        <v>45596</v>
      </c>
      <c r="C74" s="20" t="n">
        <v>1500</v>
      </c>
      <c r="D74" s="20" t="n">
        <v>1650</v>
      </c>
      <c r="E74" s="21">
        <f>(C74+D74)/2</f>
        <v/>
      </c>
      <c r="F74" s="21">
        <f>D74-C74</f>
        <v/>
      </c>
      <c r="G74" s="22" t="inlineStr">
        <is>
          <t>主流市场报价</t>
        </is>
      </c>
      <c r="H74" s="23" t="inlineStr">
        <is>
          <t>打开原文</t>
        </is>
      </c>
    </row>
    <row r="75">
      <c r="A75" s="12" t="n">
        <v>71</v>
      </c>
      <c r="B75" s="13" t="n">
        <v>45597</v>
      </c>
      <c r="C75" s="14" t="n">
        <v>1500</v>
      </c>
      <c r="D75" s="14" t="n">
        <v>1650</v>
      </c>
      <c r="E75" s="15">
        <f>(C75+D75)/2</f>
        <v/>
      </c>
      <c r="F75" s="15">
        <f>D75-C75</f>
        <v/>
      </c>
      <c r="G75" s="16" t="inlineStr">
        <is>
          <t>主流市场报价</t>
        </is>
      </c>
      <c r="H75" s="17" t="inlineStr">
        <is>
          <t>打开原文</t>
        </is>
      </c>
    </row>
    <row r="76">
      <c r="A76" s="18" t="n">
        <v>72</v>
      </c>
      <c r="B76" s="19" t="n">
        <v>45600</v>
      </c>
      <c r="C76" s="20" t="n">
        <v>1500</v>
      </c>
      <c r="D76" s="20" t="n">
        <v>1650</v>
      </c>
      <c r="E76" s="21">
        <f>(C76+D76)/2</f>
        <v/>
      </c>
      <c r="F76" s="21">
        <f>D76-C76</f>
        <v/>
      </c>
      <c r="G76" s="22" t="inlineStr">
        <is>
          <t>主流市场报价</t>
        </is>
      </c>
      <c r="H76" s="23" t="inlineStr">
        <is>
          <t>打开原文</t>
        </is>
      </c>
    </row>
    <row r="77">
      <c r="A77" s="12" t="n">
        <v>73</v>
      </c>
      <c r="B77" s="13" t="n">
        <v>45601</v>
      </c>
      <c r="C77" s="14" t="n">
        <v>1500</v>
      </c>
      <c r="D77" s="14" t="n">
        <v>1650</v>
      </c>
      <c r="E77" s="15">
        <f>(C77+D77)/2</f>
        <v/>
      </c>
      <c r="F77" s="15">
        <f>D77-C77</f>
        <v/>
      </c>
      <c r="G77" s="16" t="inlineStr">
        <is>
          <t>主流市场报价</t>
        </is>
      </c>
      <c r="H77" s="17" t="inlineStr">
        <is>
          <t>打开原文</t>
        </is>
      </c>
    </row>
    <row r="78">
      <c r="A78" s="18" t="n">
        <v>74</v>
      </c>
      <c r="B78" s="19" t="n">
        <v>45602</v>
      </c>
      <c r="C78" s="20" t="n">
        <v>1500</v>
      </c>
      <c r="D78" s="20" t="n">
        <v>1650</v>
      </c>
      <c r="E78" s="21">
        <f>(C78+D78)/2</f>
        <v/>
      </c>
      <c r="F78" s="21">
        <f>D78-C78</f>
        <v/>
      </c>
      <c r="G78" s="22" t="inlineStr">
        <is>
          <t>主流市场报价</t>
        </is>
      </c>
      <c r="H78" s="23" t="inlineStr">
        <is>
          <t>打开原文</t>
        </is>
      </c>
    </row>
    <row r="79">
      <c r="A79" s="12" t="n">
        <v>75</v>
      </c>
      <c r="B79" s="13" t="n">
        <v>45603</v>
      </c>
      <c r="C79" s="14" t="n">
        <v>1500</v>
      </c>
      <c r="D79" s="14" t="n">
        <v>1650</v>
      </c>
      <c r="E79" s="15">
        <f>(C79+D79)/2</f>
        <v/>
      </c>
      <c r="F79" s="15">
        <f>D79-C79</f>
        <v/>
      </c>
      <c r="G79" s="16" t="inlineStr">
        <is>
          <t>主流市场报价</t>
        </is>
      </c>
      <c r="H79" s="17" t="inlineStr">
        <is>
          <t>打开原文</t>
        </is>
      </c>
    </row>
    <row r="80">
      <c r="A80" s="18" t="n">
        <v>76</v>
      </c>
      <c r="B80" s="19" t="n">
        <v>45604</v>
      </c>
      <c r="C80" s="20" t="n">
        <v>1500</v>
      </c>
      <c r="D80" s="20" t="n">
        <v>1650</v>
      </c>
      <c r="E80" s="21">
        <f>(C80+D80)/2</f>
        <v/>
      </c>
      <c r="F80" s="21">
        <f>D80-C80</f>
        <v/>
      </c>
      <c r="G80" s="22" t="inlineStr">
        <is>
          <t>主流市场报价</t>
        </is>
      </c>
      <c r="H80" s="23" t="inlineStr">
        <is>
          <t>打开原文</t>
        </is>
      </c>
    </row>
    <row r="81">
      <c r="A81" s="12" t="n">
        <v>77</v>
      </c>
      <c r="B81" s="13" t="n">
        <v>45607</v>
      </c>
      <c r="C81" s="14" t="n">
        <v>1500</v>
      </c>
      <c r="D81" s="14" t="n">
        <v>1650</v>
      </c>
      <c r="E81" s="15">
        <f>(C81+D81)/2</f>
        <v/>
      </c>
      <c r="F81" s="15">
        <f>D81-C81</f>
        <v/>
      </c>
      <c r="G81" s="16" t="inlineStr">
        <is>
          <t>主流市场报价</t>
        </is>
      </c>
      <c r="H81" s="17" t="inlineStr">
        <is>
          <t>打开原文</t>
        </is>
      </c>
    </row>
    <row r="82">
      <c r="A82" s="18" t="n">
        <v>78</v>
      </c>
      <c r="B82" s="19" t="n">
        <v>45608</v>
      </c>
      <c r="C82" s="20" t="n">
        <v>1500</v>
      </c>
      <c r="D82" s="20" t="n">
        <v>1650</v>
      </c>
      <c r="E82" s="21">
        <f>(C82+D82)/2</f>
        <v/>
      </c>
      <c r="F82" s="21">
        <f>D82-C82</f>
        <v/>
      </c>
      <c r="G82" s="22" t="inlineStr">
        <is>
          <t>主流市场报价</t>
        </is>
      </c>
      <c r="H82" s="23" t="inlineStr">
        <is>
          <t>打开原文</t>
        </is>
      </c>
    </row>
    <row r="83">
      <c r="A83" s="12" t="n">
        <v>79</v>
      </c>
      <c r="B83" s="13" t="n">
        <v>45609</v>
      </c>
      <c r="C83" s="14" t="n">
        <v>1500</v>
      </c>
      <c r="D83" s="14" t="n">
        <v>1650</v>
      </c>
      <c r="E83" s="15">
        <f>(C83+D83)/2</f>
        <v/>
      </c>
      <c r="F83" s="15">
        <f>D83-C83</f>
        <v/>
      </c>
      <c r="G83" s="16" t="inlineStr">
        <is>
          <t>主流市场报价</t>
        </is>
      </c>
      <c r="H83" s="17" t="inlineStr">
        <is>
          <t>打开原文</t>
        </is>
      </c>
    </row>
    <row r="84">
      <c r="A84" s="18" t="n">
        <v>80</v>
      </c>
      <c r="B84" s="19" t="n">
        <v>45610</v>
      </c>
      <c r="C84" s="20" t="n">
        <v>1500</v>
      </c>
      <c r="D84" s="20" t="n">
        <v>1650</v>
      </c>
      <c r="E84" s="21">
        <f>(C84+D84)/2</f>
        <v/>
      </c>
      <c r="F84" s="21">
        <f>D84-C84</f>
        <v/>
      </c>
      <c r="G84" s="22" t="inlineStr">
        <is>
          <t>主流市场报价</t>
        </is>
      </c>
      <c r="H84" s="23" t="inlineStr">
        <is>
          <t>打开原文</t>
        </is>
      </c>
    </row>
    <row r="85">
      <c r="A85" s="12" t="n">
        <v>81</v>
      </c>
      <c r="B85" s="13" t="n">
        <v>45611</v>
      </c>
      <c r="C85" s="14" t="n">
        <v>1500</v>
      </c>
      <c r="D85" s="14" t="n">
        <v>1650</v>
      </c>
      <c r="E85" s="15">
        <f>(C85+D85)/2</f>
        <v/>
      </c>
      <c r="F85" s="15">
        <f>D85-C85</f>
        <v/>
      </c>
      <c r="G85" s="16" t="inlineStr">
        <is>
          <t>主流市场报价</t>
        </is>
      </c>
      <c r="H85" s="17" t="inlineStr">
        <is>
          <t>打开原文</t>
        </is>
      </c>
    </row>
    <row r="86">
      <c r="A86" s="18" t="n">
        <v>82</v>
      </c>
      <c r="B86" s="19" t="n">
        <v>45614</v>
      </c>
      <c r="C86" s="20" t="n">
        <v>1500</v>
      </c>
      <c r="D86" s="20" t="n">
        <v>1650</v>
      </c>
      <c r="E86" s="21">
        <f>(C86+D86)/2</f>
        <v/>
      </c>
      <c r="F86" s="21">
        <f>D86-C86</f>
        <v/>
      </c>
      <c r="G86" s="22" t="inlineStr">
        <is>
          <t>主流市场报价</t>
        </is>
      </c>
      <c r="H86" s="23" t="inlineStr">
        <is>
          <t>打开原文</t>
        </is>
      </c>
    </row>
    <row r="87">
      <c r="A87" s="12" t="n">
        <v>83</v>
      </c>
      <c r="B87" s="13" t="n">
        <v>45615</v>
      </c>
      <c r="C87" s="14" t="n">
        <v>1500</v>
      </c>
      <c r="D87" s="14" t="n">
        <v>1650</v>
      </c>
      <c r="E87" s="15">
        <f>(C87+D87)/2</f>
        <v/>
      </c>
      <c r="F87" s="15">
        <f>D87-C87</f>
        <v/>
      </c>
      <c r="G87" s="16" t="inlineStr">
        <is>
          <t>主流市场报价</t>
        </is>
      </c>
      <c r="H87" s="17" t="inlineStr">
        <is>
          <t>打开原文</t>
        </is>
      </c>
    </row>
    <row r="88">
      <c r="A88" s="18" t="n">
        <v>84</v>
      </c>
      <c r="B88" s="19" t="n">
        <v>45616</v>
      </c>
      <c r="C88" s="20" t="n">
        <v>1500</v>
      </c>
      <c r="D88" s="20" t="n">
        <v>1650</v>
      </c>
      <c r="E88" s="21">
        <f>(C88+D88)/2</f>
        <v/>
      </c>
      <c r="F88" s="21">
        <f>D88-C88</f>
        <v/>
      </c>
      <c r="G88" s="22" t="inlineStr">
        <is>
          <t>主流市场报价</t>
        </is>
      </c>
      <c r="H88" s="23" t="inlineStr">
        <is>
          <t>打开原文</t>
        </is>
      </c>
    </row>
    <row r="89">
      <c r="A89" s="12" t="n">
        <v>85</v>
      </c>
      <c r="B89" s="13" t="n">
        <v>45617</v>
      </c>
      <c r="C89" s="14" t="n">
        <v>1500</v>
      </c>
      <c r="D89" s="14" t="n">
        <v>1650</v>
      </c>
      <c r="E89" s="15">
        <f>(C89+D89)/2</f>
        <v/>
      </c>
      <c r="F89" s="15">
        <f>D89-C89</f>
        <v/>
      </c>
      <c r="G89" s="16" t="inlineStr">
        <is>
          <t>主流市场报价</t>
        </is>
      </c>
      <c r="H89" s="17" t="inlineStr">
        <is>
          <t>打开原文</t>
        </is>
      </c>
    </row>
    <row r="90">
      <c r="A90" s="18" t="n">
        <v>86</v>
      </c>
      <c r="B90" s="19" t="n">
        <v>45618</v>
      </c>
      <c r="C90" s="20" t="n">
        <v>1500</v>
      </c>
      <c r="D90" s="20" t="n">
        <v>1650</v>
      </c>
      <c r="E90" s="21">
        <f>(C90+D90)/2</f>
        <v/>
      </c>
      <c r="F90" s="21">
        <f>D90-C90</f>
        <v/>
      </c>
      <c r="G90" s="22" t="inlineStr">
        <is>
          <t>主流市场报价</t>
        </is>
      </c>
      <c r="H90" s="23" t="inlineStr">
        <is>
          <t>打开原文</t>
        </is>
      </c>
    </row>
    <row r="91">
      <c r="A91" s="12" t="n">
        <v>87</v>
      </c>
      <c r="B91" s="13" t="n">
        <v>45621</v>
      </c>
      <c r="C91" s="14" t="n">
        <v>1500</v>
      </c>
      <c r="D91" s="14" t="n">
        <v>1650</v>
      </c>
      <c r="E91" s="15">
        <f>(C91+D91)/2</f>
        <v/>
      </c>
      <c r="F91" s="15">
        <f>D91-C91</f>
        <v/>
      </c>
      <c r="G91" s="16" t="inlineStr">
        <is>
          <t>主流市场报价</t>
        </is>
      </c>
      <c r="H91" s="17" t="inlineStr">
        <is>
          <t>打开原文</t>
        </is>
      </c>
    </row>
    <row r="92">
      <c r="A92" s="18" t="n">
        <v>88</v>
      </c>
      <c r="B92" s="19" t="n">
        <v>45622</v>
      </c>
      <c r="C92" s="20" t="n">
        <v>1500</v>
      </c>
      <c r="D92" s="20" t="n">
        <v>1650</v>
      </c>
      <c r="E92" s="21">
        <f>(C92+D92)/2</f>
        <v/>
      </c>
      <c r="F92" s="21">
        <f>D92-C92</f>
        <v/>
      </c>
      <c r="G92" s="22" t="inlineStr">
        <is>
          <t>主流市场报价</t>
        </is>
      </c>
      <c r="H92" s="23" t="inlineStr">
        <is>
          <t>打开原文</t>
        </is>
      </c>
    </row>
    <row r="93">
      <c r="A93" s="12" t="n">
        <v>89</v>
      </c>
      <c r="B93" s="13" t="n">
        <v>45623</v>
      </c>
      <c r="C93" s="14" t="n">
        <v>1500</v>
      </c>
      <c r="D93" s="14" t="n">
        <v>1650</v>
      </c>
      <c r="E93" s="15">
        <f>(C93+D93)/2</f>
        <v/>
      </c>
      <c r="F93" s="15">
        <f>D93-C93</f>
        <v/>
      </c>
      <c r="G93" s="16" t="inlineStr">
        <is>
          <t>主流市场报价</t>
        </is>
      </c>
      <c r="H93" s="17" t="inlineStr">
        <is>
          <t>打开原文</t>
        </is>
      </c>
    </row>
    <row r="94">
      <c r="A94" s="18" t="n">
        <v>90</v>
      </c>
      <c r="B94" s="19" t="n">
        <v>45624</v>
      </c>
      <c r="C94" s="20" t="n">
        <v>1500</v>
      </c>
      <c r="D94" s="20" t="n">
        <v>1650</v>
      </c>
      <c r="E94" s="21">
        <f>(C94+D94)/2</f>
        <v/>
      </c>
      <c r="F94" s="21">
        <f>D94-C94</f>
        <v/>
      </c>
      <c r="G94" s="22" t="inlineStr">
        <is>
          <t>主流市场报价</t>
        </is>
      </c>
      <c r="H94" s="23" t="inlineStr">
        <is>
          <t>打开原文</t>
        </is>
      </c>
    </row>
    <row r="95">
      <c r="A95" s="12" t="n">
        <v>91</v>
      </c>
      <c r="B95" s="13" t="n">
        <v>45625</v>
      </c>
      <c r="C95" s="14" t="n">
        <v>1500</v>
      </c>
      <c r="D95" s="14" t="n">
        <v>1650</v>
      </c>
      <c r="E95" s="15">
        <f>(C95+D95)/2</f>
        <v/>
      </c>
      <c r="F95" s="15">
        <f>D95-C95</f>
        <v/>
      </c>
      <c r="G95" s="16" t="inlineStr">
        <is>
          <t>主流市场报价</t>
        </is>
      </c>
      <c r="H95" s="17" t="inlineStr">
        <is>
          <t>打开原文</t>
        </is>
      </c>
    </row>
    <row r="96">
      <c r="A96" s="18" t="n">
        <v>92</v>
      </c>
      <c r="B96" s="19" t="n">
        <v>45628</v>
      </c>
      <c r="C96" s="20" t="n">
        <v>1500</v>
      </c>
      <c r="D96" s="20" t="n">
        <v>1650</v>
      </c>
      <c r="E96" s="21">
        <f>(C96+D96)/2</f>
        <v/>
      </c>
      <c r="F96" s="21">
        <f>D96-C96</f>
        <v/>
      </c>
      <c r="G96" s="22" t="inlineStr">
        <is>
          <t>主流市场报价</t>
        </is>
      </c>
      <c r="H96" s="23" t="inlineStr">
        <is>
          <t>打开原文</t>
        </is>
      </c>
    </row>
    <row r="97">
      <c r="A97" s="12" t="n">
        <v>93</v>
      </c>
      <c r="B97" s="13" t="n">
        <v>45629</v>
      </c>
      <c r="C97" s="14" t="n">
        <v>1500</v>
      </c>
      <c r="D97" s="14" t="n">
        <v>1650</v>
      </c>
      <c r="E97" s="15">
        <f>(C97+D97)/2</f>
        <v/>
      </c>
      <c r="F97" s="15">
        <f>D97-C97</f>
        <v/>
      </c>
      <c r="G97" s="16" t="inlineStr">
        <is>
          <t>主流市场报价</t>
        </is>
      </c>
      <c r="H97" s="17" t="inlineStr">
        <is>
          <t>打开原文</t>
        </is>
      </c>
    </row>
    <row r="98">
      <c r="A98" s="18" t="n">
        <v>94</v>
      </c>
      <c r="B98" s="19" t="n">
        <v>45630</v>
      </c>
      <c r="C98" s="20" t="n">
        <v>1500</v>
      </c>
      <c r="D98" s="20" t="n">
        <v>1650</v>
      </c>
      <c r="E98" s="21">
        <f>(C98+D98)/2</f>
        <v/>
      </c>
      <c r="F98" s="21">
        <f>D98-C98</f>
        <v/>
      </c>
      <c r="G98" s="22" t="inlineStr">
        <is>
          <t>主流市场报价</t>
        </is>
      </c>
      <c r="H98" s="23" t="inlineStr">
        <is>
          <t>打开原文</t>
        </is>
      </c>
    </row>
    <row r="99">
      <c r="A99" s="12" t="n">
        <v>95</v>
      </c>
      <c r="B99" s="13" t="n">
        <v>45631</v>
      </c>
      <c r="C99" s="14" t="n">
        <v>1500</v>
      </c>
      <c r="D99" s="14" t="n">
        <v>1650</v>
      </c>
      <c r="E99" s="15">
        <f>(C99+D99)/2</f>
        <v/>
      </c>
      <c r="F99" s="15">
        <f>D99-C99</f>
        <v/>
      </c>
      <c r="G99" s="16" t="inlineStr">
        <is>
          <t>主流市场报价</t>
        </is>
      </c>
      <c r="H99" s="17" t="inlineStr">
        <is>
          <t>打开原文</t>
        </is>
      </c>
    </row>
    <row r="100">
      <c r="A100" s="18" t="n">
        <v>96</v>
      </c>
      <c r="B100" s="19" t="n">
        <v>45632</v>
      </c>
      <c r="C100" s="20" t="n">
        <v>1500</v>
      </c>
      <c r="D100" s="20" t="n">
        <v>1650</v>
      </c>
      <c r="E100" s="21">
        <f>(C100+D100)/2</f>
        <v/>
      </c>
      <c r="F100" s="21">
        <f>D100-C100</f>
        <v/>
      </c>
      <c r="G100" s="22" t="inlineStr">
        <is>
          <t>主流市场报价</t>
        </is>
      </c>
      <c r="H100" s="23" t="inlineStr">
        <is>
          <t>打开原文</t>
        </is>
      </c>
    </row>
    <row r="101">
      <c r="A101" s="12" t="n">
        <v>97</v>
      </c>
      <c r="B101" s="13" t="n">
        <v>45636</v>
      </c>
      <c r="C101" s="14" t="n">
        <v>1500</v>
      </c>
      <c r="D101" s="14" t="n">
        <v>1650</v>
      </c>
      <c r="E101" s="15">
        <f>(C101+D101)/2</f>
        <v/>
      </c>
      <c r="F101" s="15">
        <f>D101-C101</f>
        <v/>
      </c>
      <c r="G101" s="16" t="inlineStr">
        <is>
          <t>主流市场报价</t>
        </is>
      </c>
      <c r="H101" s="17" t="inlineStr">
        <is>
          <t>打开原文</t>
        </is>
      </c>
    </row>
    <row r="102">
      <c r="A102" s="18" t="n">
        <v>98</v>
      </c>
      <c r="B102" s="19" t="n">
        <v>45637</v>
      </c>
      <c r="C102" s="20" t="n">
        <v>1500</v>
      </c>
      <c r="D102" s="20" t="n">
        <v>1650</v>
      </c>
      <c r="E102" s="21">
        <f>(C102+D102)/2</f>
        <v/>
      </c>
      <c r="F102" s="21">
        <f>D102-C102</f>
        <v/>
      </c>
      <c r="G102" s="22" t="inlineStr">
        <is>
          <t>主流市场报价</t>
        </is>
      </c>
      <c r="H102" s="23" t="inlineStr">
        <is>
          <t>打开原文</t>
        </is>
      </c>
    </row>
    <row r="103">
      <c r="A103" s="12" t="n">
        <v>99</v>
      </c>
      <c r="B103" s="13" t="n">
        <v>45638</v>
      </c>
      <c r="C103" s="14" t="n">
        <v>1500</v>
      </c>
      <c r="D103" s="14" t="n">
        <v>1650</v>
      </c>
      <c r="E103" s="15">
        <f>(C103+D103)/2</f>
        <v/>
      </c>
      <c r="F103" s="15">
        <f>D103-C103</f>
        <v/>
      </c>
      <c r="G103" s="16" t="inlineStr">
        <is>
          <t>主流市场报价</t>
        </is>
      </c>
      <c r="H103" s="17" t="inlineStr">
        <is>
          <t>打开原文</t>
        </is>
      </c>
    </row>
    <row r="104">
      <c r="A104" s="18" t="n">
        <v>100</v>
      </c>
      <c r="B104" s="19" t="n">
        <v>45639</v>
      </c>
      <c r="C104" s="20" t="n">
        <v>1500</v>
      </c>
      <c r="D104" s="20" t="n">
        <v>1650</v>
      </c>
      <c r="E104" s="21">
        <f>(C104+D104)/2</f>
        <v/>
      </c>
      <c r="F104" s="21">
        <f>D104-C104</f>
        <v/>
      </c>
      <c r="G104" s="22" t="inlineStr">
        <is>
          <t>主流市场报价</t>
        </is>
      </c>
      <c r="H104" s="23" t="inlineStr">
        <is>
          <t>打开原文</t>
        </is>
      </c>
    </row>
    <row r="105">
      <c r="A105" s="12" t="n">
        <v>101</v>
      </c>
      <c r="B105" s="13" t="n">
        <v>45642</v>
      </c>
      <c r="C105" s="14" t="n">
        <v>1500</v>
      </c>
      <c r="D105" s="14" t="n">
        <v>1650</v>
      </c>
      <c r="E105" s="15">
        <f>(C105+D105)/2</f>
        <v/>
      </c>
      <c r="F105" s="15">
        <f>D105-C105</f>
        <v/>
      </c>
      <c r="G105" s="16" t="inlineStr">
        <is>
          <t>主流市场报价</t>
        </is>
      </c>
      <c r="H105" s="17" t="inlineStr">
        <is>
          <t>打开原文</t>
        </is>
      </c>
    </row>
    <row r="106">
      <c r="A106" s="18" t="n">
        <v>102</v>
      </c>
      <c r="B106" s="19" t="n">
        <v>45643</v>
      </c>
      <c r="C106" s="20" t="n">
        <v>1500</v>
      </c>
      <c r="D106" s="20" t="n">
        <v>1650</v>
      </c>
      <c r="E106" s="21">
        <f>(C106+D106)/2</f>
        <v/>
      </c>
      <c r="F106" s="21">
        <f>D106-C106</f>
        <v/>
      </c>
      <c r="G106" s="22" t="inlineStr">
        <is>
          <t>主流市场报价</t>
        </is>
      </c>
      <c r="H106" s="23" t="inlineStr">
        <is>
          <t>打开原文</t>
        </is>
      </c>
    </row>
    <row r="107">
      <c r="A107" s="12" t="n">
        <v>103</v>
      </c>
      <c r="B107" s="13" t="n">
        <v>45644</v>
      </c>
      <c r="C107" s="14" t="n">
        <v>1500</v>
      </c>
      <c r="D107" s="14" t="n">
        <v>1650</v>
      </c>
      <c r="E107" s="15">
        <f>(C107+D107)/2</f>
        <v/>
      </c>
      <c r="F107" s="15">
        <f>D107-C107</f>
        <v/>
      </c>
      <c r="G107" s="16" t="inlineStr">
        <is>
          <t>主流市场报价</t>
        </is>
      </c>
      <c r="H107" s="17" t="inlineStr">
        <is>
          <t>打开原文</t>
        </is>
      </c>
    </row>
    <row r="108">
      <c r="A108" s="18" t="n">
        <v>104</v>
      </c>
      <c r="B108" s="19" t="n">
        <v>45645</v>
      </c>
      <c r="C108" s="20" t="n">
        <v>1500</v>
      </c>
      <c r="D108" s="20" t="n">
        <v>1650</v>
      </c>
      <c r="E108" s="21">
        <f>(C108+D108)/2</f>
        <v/>
      </c>
      <c r="F108" s="21">
        <f>D108-C108</f>
        <v/>
      </c>
      <c r="G108" s="22" t="inlineStr">
        <is>
          <t>主流市场报价</t>
        </is>
      </c>
      <c r="H108" s="23" t="inlineStr">
        <is>
          <t>打开原文</t>
        </is>
      </c>
    </row>
    <row r="109">
      <c r="A109" s="12" t="n">
        <v>105</v>
      </c>
      <c r="B109" s="13" t="n">
        <v>45646</v>
      </c>
      <c r="C109" s="14" t="n">
        <v>1500</v>
      </c>
      <c r="D109" s="14" t="n">
        <v>1650</v>
      </c>
      <c r="E109" s="15">
        <f>(C109+D109)/2</f>
        <v/>
      </c>
      <c r="F109" s="15">
        <f>D109-C109</f>
        <v/>
      </c>
      <c r="G109" s="16" t="inlineStr">
        <is>
          <t>主流市场报价</t>
        </is>
      </c>
      <c r="H109" s="17" t="inlineStr">
        <is>
          <t>打开原文</t>
        </is>
      </c>
    </row>
    <row r="110">
      <c r="A110" s="18" t="n">
        <v>106</v>
      </c>
      <c r="B110" s="19" t="n">
        <v>45649</v>
      </c>
      <c r="C110" s="20" t="n">
        <v>1500</v>
      </c>
      <c r="D110" s="20" t="n">
        <v>1650</v>
      </c>
      <c r="E110" s="21">
        <f>(C110+D110)/2</f>
        <v/>
      </c>
      <c r="F110" s="21">
        <f>D110-C110</f>
        <v/>
      </c>
      <c r="G110" s="22" t="inlineStr">
        <is>
          <t>主流市场报价</t>
        </is>
      </c>
      <c r="H110" s="23" t="inlineStr">
        <is>
          <t>打开原文</t>
        </is>
      </c>
    </row>
    <row r="111">
      <c r="A111" s="12" t="n">
        <v>107</v>
      </c>
      <c r="B111" s="13" t="n">
        <v>45650</v>
      </c>
      <c r="C111" s="14" t="n">
        <v>1500</v>
      </c>
      <c r="D111" s="14" t="n">
        <v>1650</v>
      </c>
      <c r="E111" s="15">
        <f>(C111+D111)/2</f>
        <v/>
      </c>
      <c r="F111" s="15">
        <f>D111-C111</f>
        <v/>
      </c>
      <c r="G111" s="16" t="inlineStr">
        <is>
          <t>主流市场报价</t>
        </is>
      </c>
      <c r="H111" s="17" t="inlineStr">
        <is>
          <t>打开原文</t>
        </is>
      </c>
    </row>
    <row r="112">
      <c r="A112" s="18" t="n">
        <v>108</v>
      </c>
      <c r="B112" s="19" t="n">
        <v>45651</v>
      </c>
      <c r="C112" s="20" t="n">
        <v>1500</v>
      </c>
      <c r="D112" s="20" t="n">
        <v>1650</v>
      </c>
      <c r="E112" s="21">
        <f>(C112+D112)/2</f>
        <v/>
      </c>
      <c r="F112" s="21">
        <f>D112-C112</f>
        <v/>
      </c>
      <c r="G112" s="22" t="inlineStr">
        <is>
          <t>主流市场报价</t>
        </is>
      </c>
      <c r="H112" s="23" t="inlineStr">
        <is>
          <t>打开原文</t>
        </is>
      </c>
    </row>
    <row r="113">
      <c r="A113" s="12" t="n">
        <v>109</v>
      </c>
      <c r="B113" s="13" t="n">
        <v>45652</v>
      </c>
      <c r="C113" s="14" t="n">
        <v>1500</v>
      </c>
      <c r="D113" s="14" t="n">
        <v>1650</v>
      </c>
      <c r="E113" s="15">
        <f>(C113+D113)/2</f>
        <v/>
      </c>
      <c r="F113" s="15">
        <f>D113-C113</f>
        <v/>
      </c>
      <c r="G113" s="16" t="inlineStr">
        <is>
          <t>主流市场报价</t>
        </is>
      </c>
      <c r="H113" s="17" t="inlineStr">
        <is>
          <t>打开原文</t>
        </is>
      </c>
    </row>
    <row r="114">
      <c r="A114" s="18" t="n">
        <v>110</v>
      </c>
      <c r="B114" s="19" t="n">
        <v>45653</v>
      </c>
      <c r="C114" s="20" t="n">
        <v>1500</v>
      </c>
      <c r="D114" s="20" t="n">
        <v>1650</v>
      </c>
      <c r="E114" s="21">
        <f>(C114+D114)/2</f>
        <v/>
      </c>
      <c r="F114" s="21">
        <f>D114-C114</f>
        <v/>
      </c>
      <c r="G114" s="22" t="inlineStr">
        <is>
          <t>主流市场报价</t>
        </is>
      </c>
      <c r="H114" s="23" t="inlineStr">
        <is>
          <t>打开原文</t>
        </is>
      </c>
    </row>
    <row r="115">
      <c r="A115" s="12" t="n">
        <v>111</v>
      </c>
      <c r="B115" s="13" t="n">
        <v>45657</v>
      </c>
      <c r="C115" s="14" t="n">
        <v>1500</v>
      </c>
      <c r="D115" s="14" t="n">
        <v>1650</v>
      </c>
      <c r="E115" s="15">
        <f>(C115+D115)/2</f>
        <v/>
      </c>
      <c r="F115" s="15">
        <f>D115-C115</f>
        <v/>
      </c>
      <c r="G115" s="16" t="inlineStr">
        <is>
          <t>主流市场报价</t>
        </is>
      </c>
      <c r="H115" s="17" t="inlineStr">
        <is>
          <t>打开原文</t>
        </is>
      </c>
    </row>
    <row r="116">
      <c r="A116" s="18" t="n">
        <v>112</v>
      </c>
      <c r="B116" s="19" t="n">
        <v>45659</v>
      </c>
      <c r="C116" s="20" t="n">
        <v>1500</v>
      </c>
      <c r="D116" s="20" t="n">
        <v>1650</v>
      </c>
      <c r="E116" s="21">
        <f>(C116+D116)/2</f>
        <v/>
      </c>
      <c r="F116" s="21">
        <f>D116-C116</f>
        <v/>
      </c>
      <c r="G116" s="22" t="inlineStr">
        <is>
          <t>主流市场报价</t>
        </is>
      </c>
      <c r="H116" s="23" t="inlineStr">
        <is>
          <t>打开原文</t>
        </is>
      </c>
    </row>
    <row r="117">
      <c r="A117" s="12" t="n">
        <v>113</v>
      </c>
      <c r="B117" s="13" t="n">
        <v>45660</v>
      </c>
      <c r="C117" s="14" t="n">
        <v>1500</v>
      </c>
      <c r="D117" s="14" t="n">
        <v>1650</v>
      </c>
      <c r="E117" s="15">
        <f>(C117+D117)/2</f>
        <v/>
      </c>
      <c r="F117" s="15">
        <f>D117-C117</f>
        <v/>
      </c>
      <c r="G117" s="16" t="inlineStr">
        <is>
          <t>主流市场报价</t>
        </is>
      </c>
      <c r="H117" s="17" t="inlineStr">
        <is>
          <t>打开原文</t>
        </is>
      </c>
    </row>
    <row r="118">
      <c r="A118" s="18" t="n">
        <v>114</v>
      </c>
      <c r="B118" s="19" t="n">
        <v>45663</v>
      </c>
      <c r="C118" s="20" t="n">
        <v>1500</v>
      </c>
      <c r="D118" s="20" t="n">
        <v>1650</v>
      </c>
      <c r="E118" s="21">
        <f>(C118+D118)/2</f>
        <v/>
      </c>
      <c r="F118" s="21">
        <f>D118-C118</f>
        <v/>
      </c>
      <c r="G118" s="22" t="inlineStr">
        <is>
          <t>主流市场报价</t>
        </is>
      </c>
      <c r="H118" s="23" t="inlineStr">
        <is>
          <t>打开原文</t>
        </is>
      </c>
    </row>
    <row r="119">
      <c r="A119" s="12" t="n">
        <v>115</v>
      </c>
      <c r="B119" s="13" t="n">
        <v>45664</v>
      </c>
      <c r="C119" s="14" t="n">
        <v>1500</v>
      </c>
      <c r="D119" s="14" t="n">
        <v>1650</v>
      </c>
      <c r="E119" s="15">
        <f>(C119+D119)/2</f>
        <v/>
      </c>
      <c r="F119" s="15">
        <f>D119-C119</f>
        <v/>
      </c>
      <c r="G119" s="16" t="inlineStr">
        <is>
          <t>主流市场报价</t>
        </is>
      </c>
      <c r="H119" s="17" t="inlineStr">
        <is>
          <t>打开原文</t>
        </is>
      </c>
    </row>
    <row r="120">
      <c r="A120" s="18" t="n">
        <v>116</v>
      </c>
      <c r="B120" s="19" t="n">
        <v>45665</v>
      </c>
      <c r="C120" s="20" t="n">
        <v>1500</v>
      </c>
      <c r="D120" s="20" t="n">
        <v>1650</v>
      </c>
      <c r="E120" s="21">
        <f>(C120+D120)/2</f>
        <v/>
      </c>
      <c r="F120" s="21">
        <f>D120-C120</f>
        <v/>
      </c>
      <c r="G120" s="22" t="inlineStr">
        <is>
          <t>主流市场报价</t>
        </is>
      </c>
      <c r="H120" s="23" t="inlineStr">
        <is>
          <t>打开原文</t>
        </is>
      </c>
    </row>
    <row r="121">
      <c r="A121" s="12" t="n">
        <v>117</v>
      </c>
      <c r="B121" s="13" t="n">
        <v>45666</v>
      </c>
      <c r="C121" s="14" t="n">
        <v>1500</v>
      </c>
      <c r="D121" s="14" t="n">
        <v>1650</v>
      </c>
      <c r="E121" s="15">
        <f>(C121+D121)/2</f>
        <v/>
      </c>
      <c r="F121" s="15">
        <f>D121-C121</f>
        <v/>
      </c>
      <c r="G121" s="16" t="inlineStr">
        <is>
          <t>主流市场报价</t>
        </is>
      </c>
      <c r="H121" s="17" t="inlineStr">
        <is>
          <t>打开原文</t>
        </is>
      </c>
    </row>
    <row r="122">
      <c r="A122" s="18" t="n">
        <v>118</v>
      </c>
      <c r="B122" s="19" t="n">
        <v>45667</v>
      </c>
      <c r="C122" s="20" t="n">
        <v>1500</v>
      </c>
      <c r="D122" s="20" t="n">
        <v>1650</v>
      </c>
      <c r="E122" s="21">
        <f>(C122+D122)/2</f>
        <v/>
      </c>
      <c r="F122" s="21">
        <f>D122-C122</f>
        <v/>
      </c>
      <c r="G122" s="22" t="inlineStr">
        <is>
          <t>主流市场报价</t>
        </is>
      </c>
      <c r="H122" s="23" t="inlineStr">
        <is>
          <t>打开原文</t>
        </is>
      </c>
    </row>
    <row r="123">
      <c r="A123" s="12" t="n">
        <v>119</v>
      </c>
      <c r="B123" s="13" t="n">
        <v>45670</v>
      </c>
      <c r="C123" s="14" t="n">
        <v>1420</v>
      </c>
      <c r="D123" s="14" t="n">
        <v>1600</v>
      </c>
      <c r="E123" s="15">
        <f>(C123+D123)/2</f>
        <v/>
      </c>
      <c r="F123" s="15">
        <f>D123-C123</f>
        <v/>
      </c>
      <c r="G123" s="16" t="inlineStr">
        <is>
          <t>主流市场报价</t>
        </is>
      </c>
      <c r="H123" s="17" t="inlineStr">
        <is>
          <t>打开原文</t>
        </is>
      </c>
    </row>
    <row r="124">
      <c r="A124" s="18" t="n">
        <v>120</v>
      </c>
      <c r="B124" s="19" t="n">
        <v>45671</v>
      </c>
      <c r="C124" s="20" t="n">
        <v>1420</v>
      </c>
      <c r="D124" s="20" t="n">
        <v>1600</v>
      </c>
      <c r="E124" s="21">
        <f>(C124+D124)/2</f>
        <v/>
      </c>
      <c r="F124" s="21">
        <f>D124-C124</f>
        <v/>
      </c>
      <c r="G124" s="22" t="inlineStr">
        <is>
          <t>主流市场报价</t>
        </is>
      </c>
      <c r="H124" s="23" t="inlineStr">
        <is>
          <t>打开原文</t>
        </is>
      </c>
    </row>
    <row r="125">
      <c r="A125" s="12" t="n">
        <v>121</v>
      </c>
      <c r="B125" s="13" t="n">
        <v>45672</v>
      </c>
      <c r="C125" s="14" t="n">
        <v>1420</v>
      </c>
      <c r="D125" s="14" t="n">
        <v>1600</v>
      </c>
      <c r="E125" s="15">
        <f>(C125+D125)/2</f>
        <v/>
      </c>
      <c r="F125" s="15">
        <f>D125-C125</f>
        <v/>
      </c>
      <c r="G125" s="16" t="inlineStr">
        <is>
          <t>主流市场报价</t>
        </is>
      </c>
      <c r="H125" s="17" t="inlineStr">
        <is>
          <t>打开原文</t>
        </is>
      </c>
    </row>
    <row r="126">
      <c r="A126" s="18" t="n">
        <v>122</v>
      </c>
      <c r="B126" s="19" t="n">
        <v>45673</v>
      </c>
      <c r="C126" s="20" t="n">
        <v>1420</v>
      </c>
      <c r="D126" s="20" t="n">
        <v>1600</v>
      </c>
      <c r="E126" s="21">
        <f>(C126+D126)/2</f>
        <v/>
      </c>
      <c r="F126" s="21">
        <f>D126-C126</f>
        <v/>
      </c>
      <c r="G126" s="22" t="inlineStr">
        <is>
          <t>主流市场报价</t>
        </is>
      </c>
      <c r="H126" s="23" t="inlineStr">
        <is>
          <t>打开原文</t>
        </is>
      </c>
    </row>
    <row r="127">
      <c r="A127" s="12" t="n">
        <v>123</v>
      </c>
      <c r="B127" s="13" t="n">
        <v>45674</v>
      </c>
      <c r="C127" s="14" t="n">
        <v>1420</v>
      </c>
      <c r="D127" s="14" t="n">
        <v>1600</v>
      </c>
      <c r="E127" s="15">
        <f>(C127+D127)/2</f>
        <v/>
      </c>
      <c r="F127" s="15">
        <f>D127-C127</f>
        <v/>
      </c>
      <c r="G127" s="16" t="inlineStr">
        <is>
          <t>主流市场报价</t>
        </is>
      </c>
      <c r="H127" s="17" t="inlineStr">
        <is>
          <t>打开原文</t>
        </is>
      </c>
    </row>
    <row r="128">
      <c r="A128" s="18" t="n">
        <v>124</v>
      </c>
      <c r="B128" s="19" t="n">
        <v>45677</v>
      </c>
      <c r="C128" s="20" t="n">
        <v>1420</v>
      </c>
      <c r="D128" s="20" t="n">
        <v>1600</v>
      </c>
      <c r="E128" s="21">
        <f>(C128+D128)/2</f>
        <v/>
      </c>
      <c r="F128" s="21">
        <f>D128-C128</f>
        <v/>
      </c>
      <c r="G128" s="22" t="inlineStr">
        <is>
          <t>主流市场报价</t>
        </is>
      </c>
      <c r="H128" s="23" t="inlineStr">
        <is>
          <t>打开原文</t>
        </is>
      </c>
    </row>
    <row r="129">
      <c r="A129" s="12" t="n">
        <v>125</v>
      </c>
      <c r="B129" s="13" t="n">
        <v>45678</v>
      </c>
      <c r="C129" s="14" t="n">
        <v>1420</v>
      </c>
      <c r="D129" s="14" t="n">
        <v>1600</v>
      </c>
      <c r="E129" s="15">
        <f>(C129+D129)/2</f>
        <v/>
      </c>
      <c r="F129" s="15">
        <f>D129-C129</f>
        <v/>
      </c>
      <c r="G129" s="16" t="inlineStr">
        <is>
          <t>主流市场报价</t>
        </is>
      </c>
      <c r="H129" s="17" t="inlineStr">
        <is>
          <t>打开原文</t>
        </is>
      </c>
    </row>
    <row r="130">
      <c r="A130" s="18" t="n">
        <v>126</v>
      </c>
      <c r="B130" s="19" t="n">
        <v>45679</v>
      </c>
      <c r="C130" s="20" t="n">
        <v>1420</v>
      </c>
      <c r="D130" s="20" t="n">
        <v>1600</v>
      </c>
      <c r="E130" s="21">
        <f>(C130+D130)/2</f>
        <v/>
      </c>
      <c r="F130" s="21">
        <f>D130-C130</f>
        <v/>
      </c>
      <c r="G130" s="22" t="inlineStr">
        <is>
          <t>主流市场报价</t>
        </is>
      </c>
      <c r="H130" s="23" t="inlineStr">
        <is>
          <t>打开原文</t>
        </is>
      </c>
    </row>
    <row r="131">
      <c r="A131" s="12" t="n">
        <v>127</v>
      </c>
      <c r="B131" s="13" t="n">
        <v>45680</v>
      </c>
      <c r="C131" s="14" t="n">
        <v>1420</v>
      </c>
      <c r="D131" s="14" t="n">
        <v>1600</v>
      </c>
      <c r="E131" s="15">
        <f>(C131+D131)/2</f>
        <v/>
      </c>
      <c r="F131" s="15">
        <f>D131-C131</f>
        <v/>
      </c>
      <c r="G131" s="16" t="inlineStr">
        <is>
          <t>主流市场报价</t>
        </is>
      </c>
      <c r="H131" s="17" t="inlineStr">
        <is>
          <t>打开原文</t>
        </is>
      </c>
    </row>
    <row r="132">
      <c r="A132" s="18" t="n">
        <v>128</v>
      </c>
      <c r="B132" s="19" t="n">
        <v>45681</v>
      </c>
      <c r="C132" s="20" t="n">
        <v>1420</v>
      </c>
      <c r="D132" s="20" t="n">
        <v>1600</v>
      </c>
      <c r="E132" s="21">
        <f>(C132+D132)/2</f>
        <v/>
      </c>
      <c r="F132" s="21">
        <f>D132-C132</f>
        <v/>
      </c>
      <c r="G132" s="22" t="inlineStr">
        <is>
          <t>主流市场报价</t>
        </is>
      </c>
      <c r="H132" s="23" t="inlineStr">
        <is>
          <t>打开原文</t>
        </is>
      </c>
    </row>
    <row r="133">
      <c r="A133" s="12" t="n">
        <v>129</v>
      </c>
      <c r="B133" s="13" t="n">
        <v>45682</v>
      </c>
      <c r="C133" s="14" t="n">
        <v>1420</v>
      </c>
      <c r="D133" s="14" t="n">
        <v>1600</v>
      </c>
      <c r="E133" s="15">
        <f>(C133+D133)/2</f>
        <v/>
      </c>
      <c r="F133" s="15">
        <f>D133-C133</f>
        <v/>
      </c>
      <c r="G133" s="16" t="inlineStr">
        <is>
          <t>主流市场报价</t>
        </is>
      </c>
      <c r="H133" s="17" t="inlineStr">
        <is>
          <t>打开原文</t>
        </is>
      </c>
    </row>
    <row r="134">
      <c r="A134" s="18" t="n">
        <v>130</v>
      </c>
      <c r="B134" s="19" t="n">
        <v>45694</v>
      </c>
      <c r="C134" s="20" t="n">
        <v>1420</v>
      </c>
      <c r="D134" s="20" t="n">
        <v>1550</v>
      </c>
      <c r="E134" s="21">
        <f>(C134+D134)/2</f>
        <v/>
      </c>
      <c r="F134" s="21">
        <f>D134-C134</f>
        <v/>
      </c>
      <c r="G134" s="22" t="inlineStr">
        <is>
          <t>主流市场报价</t>
        </is>
      </c>
      <c r="H134" s="23" t="inlineStr">
        <is>
          <t>打开原文</t>
        </is>
      </c>
    </row>
    <row r="135">
      <c r="A135" s="12" t="n">
        <v>131</v>
      </c>
      <c r="B135" s="13" t="n">
        <v>45695</v>
      </c>
      <c r="C135" s="14" t="n">
        <v>1420</v>
      </c>
      <c r="D135" s="14" t="n">
        <v>1550</v>
      </c>
      <c r="E135" s="15">
        <f>(C135+D135)/2</f>
        <v/>
      </c>
      <c r="F135" s="15">
        <f>D135-C135</f>
        <v/>
      </c>
      <c r="G135" s="16" t="inlineStr">
        <is>
          <t>主流市场报价</t>
        </is>
      </c>
      <c r="H135" s="17" t="inlineStr">
        <is>
          <t>打开原文</t>
        </is>
      </c>
    </row>
    <row r="136">
      <c r="A136" s="18" t="n">
        <v>132</v>
      </c>
      <c r="B136" s="19" t="n">
        <v>45696</v>
      </c>
      <c r="C136" s="20" t="n">
        <v>1420</v>
      </c>
      <c r="D136" s="20" t="n">
        <v>1550</v>
      </c>
      <c r="E136" s="21">
        <f>(C136+D136)/2</f>
        <v/>
      </c>
      <c r="F136" s="21">
        <f>D136-C136</f>
        <v/>
      </c>
      <c r="G136" s="22" t="inlineStr">
        <is>
          <t>主流市场报价</t>
        </is>
      </c>
      <c r="H136" s="23" t="inlineStr">
        <is>
          <t>打开原文</t>
        </is>
      </c>
    </row>
    <row r="137">
      <c r="A137" s="12" t="n">
        <v>133</v>
      </c>
      <c r="B137" s="13" t="n">
        <v>45698</v>
      </c>
      <c r="C137" s="14" t="n">
        <v>1400</v>
      </c>
      <c r="D137" s="14" t="n">
        <v>1500</v>
      </c>
      <c r="E137" s="15">
        <f>(C137+D137)/2</f>
        <v/>
      </c>
      <c r="F137" s="15">
        <f>D137-C137</f>
        <v/>
      </c>
      <c r="G137" s="16" t="inlineStr">
        <is>
          <t>主流市场报价</t>
        </is>
      </c>
      <c r="H137" s="17" t="inlineStr">
        <is>
          <t>打开原文</t>
        </is>
      </c>
    </row>
    <row r="138">
      <c r="A138" s="18" t="n">
        <v>134</v>
      </c>
      <c r="B138" s="19" t="n">
        <v>45699</v>
      </c>
      <c r="C138" s="20" t="n">
        <v>1400</v>
      </c>
      <c r="D138" s="20" t="n">
        <v>1500</v>
      </c>
      <c r="E138" s="21">
        <f>(C138+D138)/2</f>
        <v/>
      </c>
      <c r="F138" s="21">
        <f>D138-C138</f>
        <v/>
      </c>
      <c r="G138" s="22" t="inlineStr">
        <is>
          <t>主流市场报价</t>
        </is>
      </c>
      <c r="H138" s="23" t="inlineStr">
        <is>
          <t>打开原文</t>
        </is>
      </c>
    </row>
    <row r="139">
      <c r="A139" s="12" t="n">
        <v>135</v>
      </c>
      <c r="B139" s="13" t="n">
        <v>45700</v>
      </c>
      <c r="C139" s="14" t="n">
        <v>1400</v>
      </c>
      <c r="D139" s="14" t="n">
        <v>1500</v>
      </c>
      <c r="E139" s="15">
        <f>(C139+D139)/2</f>
        <v/>
      </c>
      <c r="F139" s="15">
        <f>D139-C139</f>
        <v/>
      </c>
      <c r="G139" s="16" t="inlineStr">
        <is>
          <t>主流市场报价</t>
        </is>
      </c>
      <c r="H139" s="17" t="inlineStr">
        <is>
          <t>打开原文</t>
        </is>
      </c>
    </row>
    <row r="140">
      <c r="A140" s="18" t="n">
        <v>136</v>
      </c>
      <c r="B140" s="19" t="n">
        <v>45701</v>
      </c>
      <c r="C140" s="20" t="n">
        <v>1400</v>
      </c>
      <c r="D140" s="20" t="n">
        <v>1500</v>
      </c>
      <c r="E140" s="21">
        <f>(C140+D140)/2</f>
        <v/>
      </c>
      <c r="F140" s="21">
        <f>D140-C140</f>
        <v/>
      </c>
      <c r="G140" s="22" t="inlineStr">
        <is>
          <t>主流市场报价</t>
        </is>
      </c>
      <c r="H140" s="23" t="inlineStr">
        <is>
          <t>打开原文</t>
        </is>
      </c>
    </row>
    <row r="141">
      <c r="A141" s="12" t="n">
        <v>137</v>
      </c>
      <c r="B141" s="13" t="n">
        <v>45702</v>
      </c>
      <c r="C141" s="14" t="n">
        <v>1400</v>
      </c>
      <c r="D141" s="14" t="n">
        <v>1500</v>
      </c>
      <c r="E141" s="15">
        <f>(C141+D141)/2</f>
        <v/>
      </c>
      <c r="F141" s="15">
        <f>D141-C141</f>
        <v/>
      </c>
      <c r="G141" s="16" t="inlineStr">
        <is>
          <t>主流市场报价</t>
        </is>
      </c>
      <c r="H141" s="17" t="inlineStr">
        <is>
          <t>打开原文</t>
        </is>
      </c>
    </row>
    <row r="142">
      <c r="A142" s="18" t="n">
        <v>138</v>
      </c>
      <c r="B142" s="19" t="n">
        <v>45705</v>
      </c>
      <c r="C142" s="20" t="n">
        <v>1400</v>
      </c>
      <c r="D142" s="20" t="n">
        <v>1500</v>
      </c>
      <c r="E142" s="21">
        <f>(C142+D142)/2</f>
        <v/>
      </c>
      <c r="F142" s="21">
        <f>D142-C142</f>
        <v/>
      </c>
      <c r="G142" s="22" t="inlineStr">
        <is>
          <t>主流市场报价</t>
        </is>
      </c>
      <c r="H142" s="23" t="inlineStr">
        <is>
          <t>打开原文</t>
        </is>
      </c>
    </row>
    <row r="143">
      <c r="A143" s="12" t="n">
        <v>139</v>
      </c>
      <c r="B143" s="13" t="n">
        <v>45707</v>
      </c>
      <c r="C143" s="14" t="n">
        <v>1400</v>
      </c>
      <c r="D143" s="14" t="n">
        <v>1500</v>
      </c>
      <c r="E143" s="15">
        <f>(C143+D143)/2</f>
        <v/>
      </c>
      <c r="F143" s="15">
        <f>D143-C143</f>
        <v/>
      </c>
      <c r="G143" s="16" t="inlineStr">
        <is>
          <t>主流市场报价</t>
        </is>
      </c>
      <c r="H143" s="17" t="inlineStr">
        <is>
          <t>打开原文</t>
        </is>
      </c>
    </row>
    <row r="144">
      <c r="A144" s="18" t="n">
        <v>140</v>
      </c>
      <c r="B144" s="19" t="n">
        <v>45708</v>
      </c>
      <c r="C144" s="20" t="n">
        <v>1400</v>
      </c>
      <c r="D144" s="20" t="n">
        <v>1500</v>
      </c>
      <c r="E144" s="21">
        <f>(C144+D144)/2</f>
        <v/>
      </c>
      <c r="F144" s="21">
        <f>D144-C144</f>
        <v/>
      </c>
      <c r="G144" s="22" t="inlineStr">
        <is>
          <t>主流市场报价</t>
        </is>
      </c>
      <c r="H144" s="23" t="inlineStr">
        <is>
          <t>打开原文</t>
        </is>
      </c>
    </row>
    <row r="145">
      <c r="A145" s="12" t="n">
        <v>141</v>
      </c>
      <c r="B145" s="13" t="n">
        <v>45709</v>
      </c>
      <c r="C145" s="14" t="n">
        <v>1400</v>
      </c>
      <c r="D145" s="14" t="n">
        <v>1500</v>
      </c>
      <c r="E145" s="15">
        <f>(C145+D145)/2</f>
        <v/>
      </c>
      <c r="F145" s="15">
        <f>D145-C145</f>
        <v/>
      </c>
      <c r="G145" s="16" t="inlineStr">
        <is>
          <t>主流市场报价</t>
        </is>
      </c>
      <c r="H145" s="17" t="inlineStr">
        <is>
          <t>打开原文</t>
        </is>
      </c>
    </row>
    <row r="146">
      <c r="A146" s="18" t="n">
        <v>142</v>
      </c>
      <c r="B146" s="19" t="n">
        <v>45712</v>
      </c>
      <c r="C146" s="20" t="n">
        <v>1400</v>
      </c>
      <c r="D146" s="20" t="n">
        <v>1500</v>
      </c>
      <c r="E146" s="21">
        <f>(C146+D146)/2</f>
        <v/>
      </c>
      <c r="F146" s="21">
        <f>D146-C146</f>
        <v/>
      </c>
      <c r="G146" s="22" t="inlineStr">
        <is>
          <t>主流市场报价</t>
        </is>
      </c>
      <c r="H146" s="23" t="inlineStr">
        <is>
          <t>打开原文</t>
        </is>
      </c>
    </row>
    <row r="147">
      <c r="A147" s="12" t="n">
        <v>143</v>
      </c>
      <c r="B147" s="13" t="n">
        <v>45713</v>
      </c>
      <c r="C147" s="14" t="n">
        <v>1400</v>
      </c>
      <c r="D147" s="14" t="n">
        <v>1500</v>
      </c>
      <c r="E147" s="15">
        <f>(C147+D147)/2</f>
        <v/>
      </c>
      <c r="F147" s="15">
        <f>D147-C147</f>
        <v/>
      </c>
      <c r="G147" s="16" t="inlineStr">
        <is>
          <t>主流市场报价</t>
        </is>
      </c>
      <c r="H147" s="17" t="inlineStr">
        <is>
          <t>打开原文</t>
        </is>
      </c>
    </row>
    <row r="148">
      <c r="A148" s="18" t="n">
        <v>144</v>
      </c>
      <c r="B148" s="19" t="n">
        <v>45714</v>
      </c>
      <c r="C148" s="20" t="n">
        <v>1400</v>
      </c>
      <c r="D148" s="20" t="n">
        <v>1500</v>
      </c>
      <c r="E148" s="21">
        <f>(C148+D148)/2</f>
        <v/>
      </c>
      <c r="F148" s="21">
        <f>D148-C148</f>
        <v/>
      </c>
      <c r="G148" s="22" t="inlineStr">
        <is>
          <t>主流市场报价</t>
        </is>
      </c>
      <c r="H148" s="23" t="inlineStr">
        <is>
          <t>打开原文</t>
        </is>
      </c>
    </row>
    <row r="149">
      <c r="A149" s="12" t="n">
        <v>145</v>
      </c>
      <c r="B149" s="13" t="n">
        <v>45716</v>
      </c>
      <c r="C149" s="14" t="n">
        <v>1500</v>
      </c>
      <c r="D149" s="14" t="n">
        <v>1550</v>
      </c>
      <c r="E149" s="15">
        <f>(C149+D149)/2</f>
        <v/>
      </c>
      <c r="F149" s="15">
        <f>D149-C149</f>
        <v/>
      </c>
      <c r="G149" s="16" t="inlineStr">
        <is>
          <t>主流市场报价</t>
        </is>
      </c>
      <c r="H149" s="17" t="inlineStr">
        <is>
          <t>打开原文</t>
        </is>
      </c>
    </row>
    <row r="150">
      <c r="A150" s="18" t="n">
        <v>146</v>
      </c>
      <c r="B150" s="19" t="n">
        <v>45719</v>
      </c>
      <c r="C150" s="20" t="n">
        <v>1550</v>
      </c>
      <c r="D150" s="20" t="n">
        <v>1650</v>
      </c>
      <c r="E150" s="21">
        <f>(C150+D150)/2</f>
        <v/>
      </c>
      <c r="F150" s="21">
        <f>D150-C150</f>
        <v/>
      </c>
      <c r="G150" s="22" t="inlineStr">
        <is>
          <t>主流市场报价</t>
        </is>
      </c>
      <c r="H150" s="23" t="inlineStr">
        <is>
          <t>打开原文</t>
        </is>
      </c>
    </row>
    <row r="151">
      <c r="A151" s="12" t="n">
        <v>147</v>
      </c>
      <c r="B151" s="13" t="n">
        <v>45720</v>
      </c>
      <c r="C151" s="14" t="n">
        <v>1550</v>
      </c>
      <c r="D151" s="14" t="n">
        <v>1650</v>
      </c>
      <c r="E151" s="15">
        <f>(C151+D151)/2</f>
        <v/>
      </c>
      <c r="F151" s="15">
        <f>D151-C151</f>
        <v/>
      </c>
      <c r="G151" s="16" t="inlineStr">
        <is>
          <t>主流市场报价</t>
        </is>
      </c>
      <c r="H151" s="17" t="inlineStr">
        <is>
          <t>打开原文</t>
        </is>
      </c>
    </row>
    <row r="152">
      <c r="A152" s="18" t="n">
        <v>148</v>
      </c>
      <c r="B152" s="19" t="n">
        <v>45721</v>
      </c>
      <c r="C152" s="20" t="n">
        <v>1550</v>
      </c>
      <c r="D152" s="20" t="n">
        <v>1650</v>
      </c>
      <c r="E152" s="21">
        <f>(C152+D152)/2</f>
        <v/>
      </c>
      <c r="F152" s="21">
        <f>D152-C152</f>
        <v/>
      </c>
      <c r="G152" s="22" t="inlineStr">
        <is>
          <t>主流市场报价</t>
        </is>
      </c>
      <c r="H152" s="23" t="inlineStr">
        <is>
          <t>打开原文</t>
        </is>
      </c>
    </row>
    <row r="153">
      <c r="A153" s="12" t="n">
        <v>149</v>
      </c>
      <c r="B153" s="13" t="n">
        <v>45722</v>
      </c>
      <c r="C153" s="14" t="n">
        <v>1550</v>
      </c>
      <c r="D153" s="14" t="n">
        <v>1650</v>
      </c>
      <c r="E153" s="15">
        <f>(C153+D153)/2</f>
        <v/>
      </c>
      <c r="F153" s="15">
        <f>D153-C153</f>
        <v/>
      </c>
      <c r="G153" s="16" t="inlineStr">
        <is>
          <t>主流市场报价</t>
        </is>
      </c>
      <c r="H153" s="17" t="inlineStr">
        <is>
          <t>打开原文</t>
        </is>
      </c>
    </row>
    <row r="154">
      <c r="A154" s="18" t="n">
        <v>150</v>
      </c>
      <c r="B154" s="19" t="n">
        <v>45723</v>
      </c>
      <c r="C154" s="20" t="n">
        <v>1550</v>
      </c>
      <c r="D154" s="20" t="n">
        <v>1650</v>
      </c>
      <c r="E154" s="21">
        <f>(C154+D154)/2</f>
        <v/>
      </c>
      <c r="F154" s="21">
        <f>D154-C154</f>
        <v/>
      </c>
      <c r="G154" s="22" t="inlineStr">
        <is>
          <t>主流市场报价</t>
        </is>
      </c>
      <c r="H154" s="23" t="inlineStr">
        <is>
          <t>打开原文</t>
        </is>
      </c>
    </row>
    <row r="155">
      <c r="A155" s="12" t="n">
        <v>151</v>
      </c>
      <c r="B155" s="13" t="n">
        <v>45726</v>
      </c>
      <c r="C155" s="14" t="n">
        <v>1550</v>
      </c>
      <c r="D155" s="14" t="n">
        <v>1650</v>
      </c>
      <c r="E155" s="15">
        <f>(C155+D155)/2</f>
        <v/>
      </c>
      <c r="F155" s="15">
        <f>D155-C155</f>
        <v/>
      </c>
      <c r="G155" s="16" t="inlineStr">
        <is>
          <t>主流市场报价</t>
        </is>
      </c>
      <c r="H155" s="17" t="inlineStr">
        <is>
          <t>打开原文</t>
        </is>
      </c>
    </row>
    <row r="156">
      <c r="A156" s="18" t="n">
        <v>152</v>
      </c>
      <c r="B156" s="19" t="n">
        <v>45727</v>
      </c>
      <c r="C156" s="20" t="n">
        <v>1550</v>
      </c>
      <c r="D156" s="20" t="n">
        <v>1650</v>
      </c>
      <c r="E156" s="21">
        <f>(C156+D156)/2</f>
        <v/>
      </c>
      <c r="F156" s="21">
        <f>D156-C156</f>
        <v/>
      </c>
      <c r="G156" s="22" t="inlineStr">
        <is>
          <t>主流市场报价</t>
        </is>
      </c>
      <c r="H156" s="23" t="inlineStr">
        <is>
          <t>打开原文</t>
        </is>
      </c>
    </row>
    <row r="157">
      <c r="A157" s="12" t="n">
        <v>153</v>
      </c>
      <c r="B157" s="13" t="n">
        <v>45728</v>
      </c>
      <c r="C157" s="14" t="n">
        <v>1550</v>
      </c>
      <c r="D157" s="14" t="n">
        <v>1650</v>
      </c>
      <c r="E157" s="15">
        <f>(C157+D157)/2</f>
        <v/>
      </c>
      <c r="F157" s="15">
        <f>D157-C157</f>
        <v/>
      </c>
      <c r="G157" s="16" t="inlineStr">
        <is>
          <t>主流市场报价</t>
        </is>
      </c>
      <c r="H157" s="17" t="inlineStr">
        <is>
          <t>打开原文</t>
        </is>
      </c>
    </row>
    <row r="158">
      <c r="A158" s="18" t="n">
        <v>154</v>
      </c>
      <c r="B158" s="19" t="n">
        <v>45729</v>
      </c>
      <c r="C158" s="20" t="n">
        <v>1500</v>
      </c>
      <c r="D158" s="20" t="n">
        <v>1650</v>
      </c>
      <c r="E158" s="21">
        <f>(C158+D158)/2</f>
        <v/>
      </c>
      <c r="F158" s="21">
        <f>D158-C158</f>
        <v/>
      </c>
      <c r="G158" s="22" t="inlineStr">
        <is>
          <t>主流市场报价</t>
        </is>
      </c>
      <c r="H158" s="23" t="inlineStr">
        <is>
          <t>打开原文</t>
        </is>
      </c>
    </row>
    <row r="159">
      <c r="A159" s="12" t="n">
        <v>155</v>
      </c>
      <c r="B159" s="13" t="n">
        <v>45730</v>
      </c>
      <c r="C159" s="14" t="n">
        <v>1500</v>
      </c>
      <c r="D159" s="14" t="n">
        <v>1650</v>
      </c>
      <c r="E159" s="15">
        <f>(C159+D159)/2</f>
        <v/>
      </c>
      <c r="F159" s="15">
        <f>D159-C159</f>
        <v/>
      </c>
      <c r="G159" s="16" t="inlineStr">
        <is>
          <t>主流市场报价</t>
        </is>
      </c>
      <c r="H159" s="17" t="inlineStr">
        <is>
          <t>打开原文</t>
        </is>
      </c>
    </row>
    <row r="160">
      <c r="A160" s="18" t="n">
        <v>156</v>
      </c>
      <c r="B160" s="19" t="n">
        <v>45734</v>
      </c>
      <c r="C160" s="20" t="n">
        <v>1500</v>
      </c>
      <c r="D160" s="20" t="n">
        <v>1650</v>
      </c>
      <c r="E160" s="21">
        <f>(C160+D160)/2</f>
        <v/>
      </c>
      <c r="F160" s="21">
        <f>D160-C160</f>
        <v/>
      </c>
      <c r="G160" s="22" t="inlineStr">
        <is>
          <t>主流市场报价</t>
        </is>
      </c>
      <c r="H160" s="23" t="inlineStr">
        <is>
          <t>打开原文</t>
        </is>
      </c>
    </row>
    <row r="161">
      <c r="A161" s="12" t="n">
        <v>157</v>
      </c>
      <c r="B161" s="13" t="n">
        <v>45735</v>
      </c>
      <c r="C161" s="14" t="n">
        <v>1500</v>
      </c>
      <c r="D161" s="14" t="n">
        <v>1650</v>
      </c>
      <c r="E161" s="15">
        <f>(C161+D161)/2</f>
        <v/>
      </c>
      <c r="F161" s="15">
        <f>D161-C161</f>
        <v/>
      </c>
      <c r="G161" s="16" t="inlineStr">
        <is>
          <t>主流市场报价</t>
        </is>
      </c>
      <c r="H161" s="17" t="inlineStr">
        <is>
          <t>打开原文</t>
        </is>
      </c>
    </row>
    <row r="162">
      <c r="A162" s="18" t="n">
        <v>158</v>
      </c>
      <c r="B162" s="19" t="n">
        <v>45736</v>
      </c>
      <c r="C162" s="20" t="n">
        <v>1500</v>
      </c>
      <c r="D162" s="20" t="n">
        <v>1650</v>
      </c>
      <c r="E162" s="21">
        <f>(C162+D162)/2</f>
        <v/>
      </c>
      <c r="F162" s="21">
        <f>D162-C162</f>
        <v/>
      </c>
      <c r="G162" s="22" t="inlineStr">
        <is>
          <t>主流市场报价</t>
        </is>
      </c>
      <c r="H162" s="23" t="inlineStr">
        <is>
          <t>打开原文</t>
        </is>
      </c>
    </row>
    <row r="163">
      <c r="A163" s="12" t="n">
        <v>159</v>
      </c>
      <c r="B163" s="13" t="n">
        <v>45737</v>
      </c>
      <c r="C163" s="14" t="n">
        <v>1500</v>
      </c>
      <c r="D163" s="14" t="n">
        <v>1650</v>
      </c>
      <c r="E163" s="15">
        <f>(C163+D163)/2</f>
        <v/>
      </c>
      <c r="F163" s="15">
        <f>D163-C163</f>
        <v/>
      </c>
      <c r="G163" s="16" t="inlineStr">
        <is>
          <t>主流市场报价</t>
        </is>
      </c>
      <c r="H163" s="17" t="inlineStr">
        <is>
          <t>打开原文</t>
        </is>
      </c>
    </row>
    <row r="164">
      <c r="A164" s="18" t="n">
        <v>160</v>
      </c>
      <c r="B164" s="19" t="n">
        <v>45741</v>
      </c>
      <c r="C164" s="20" t="n">
        <v>1500</v>
      </c>
      <c r="D164" s="20" t="n">
        <v>1600</v>
      </c>
      <c r="E164" s="21">
        <f>(C164+D164)/2</f>
        <v/>
      </c>
      <c r="F164" s="21">
        <f>D164-C164</f>
        <v/>
      </c>
      <c r="G164" s="22" t="inlineStr">
        <is>
          <t>主流市场报价</t>
        </is>
      </c>
      <c r="H164" s="23" t="inlineStr">
        <is>
          <t>打开原文</t>
        </is>
      </c>
    </row>
    <row r="165">
      <c r="A165" s="12" t="n">
        <v>161</v>
      </c>
      <c r="B165" s="13" t="n">
        <v>45742</v>
      </c>
      <c r="C165" s="14" t="n">
        <v>1500</v>
      </c>
      <c r="D165" s="14" t="n">
        <v>1600</v>
      </c>
      <c r="E165" s="15">
        <f>(C165+D165)/2</f>
        <v/>
      </c>
      <c r="F165" s="15">
        <f>D165-C165</f>
        <v/>
      </c>
      <c r="G165" s="16" t="inlineStr">
        <is>
          <t>主流市场报价</t>
        </is>
      </c>
      <c r="H165" s="17" t="inlineStr">
        <is>
          <t>打开原文</t>
        </is>
      </c>
    </row>
    <row r="166">
      <c r="A166" s="18" t="n">
        <v>162</v>
      </c>
      <c r="B166" s="19" t="n">
        <v>45743</v>
      </c>
      <c r="C166" s="20" t="n">
        <v>1500</v>
      </c>
      <c r="D166" s="20" t="n">
        <v>1600</v>
      </c>
      <c r="E166" s="21">
        <f>(C166+D166)/2</f>
        <v/>
      </c>
      <c r="F166" s="21">
        <f>D166-C166</f>
        <v/>
      </c>
      <c r="G166" s="22" t="inlineStr">
        <is>
          <t>主流市场报价</t>
        </is>
      </c>
      <c r="H166" s="23" t="inlineStr">
        <is>
          <t>打开原文</t>
        </is>
      </c>
    </row>
    <row r="167">
      <c r="A167" s="12" t="n">
        <v>163</v>
      </c>
      <c r="B167" s="13" t="n">
        <v>45744</v>
      </c>
      <c r="C167" s="14" t="n">
        <v>1500</v>
      </c>
      <c r="D167" s="14" t="n">
        <v>1600</v>
      </c>
      <c r="E167" s="15">
        <f>(C167+D167)/2</f>
        <v/>
      </c>
      <c r="F167" s="15">
        <f>D167-C167</f>
        <v/>
      </c>
      <c r="G167" s="16" t="inlineStr">
        <is>
          <t>主流市场报价</t>
        </is>
      </c>
      <c r="H167" s="17" t="inlineStr">
        <is>
          <t>打开原文</t>
        </is>
      </c>
    </row>
    <row r="168">
      <c r="A168" s="18" t="n">
        <v>164</v>
      </c>
      <c r="B168" s="19" t="n">
        <v>45749</v>
      </c>
      <c r="C168" s="20" t="n">
        <v>1500</v>
      </c>
      <c r="D168" s="20" t="n">
        <v>1600</v>
      </c>
      <c r="E168" s="21">
        <f>(C168+D168)/2</f>
        <v/>
      </c>
      <c r="F168" s="21">
        <f>D168-C168</f>
        <v/>
      </c>
      <c r="G168" s="22" t="inlineStr">
        <is>
          <t>主流市场报价</t>
        </is>
      </c>
      <c r="H168" s="23" t="inlineStr">
        <is>
          <t>打开原文</t>
        </is>
      </c>
    </row>
    <row r="169">
      <c r="A169" s="12" t="n">
        <v>165</v>
      </c>
      <c r="B169" s="13" t="n">
        <v>45750</v>
      </c>
      <c r="C169" s="14" t="n">
        <v>1500</v>
      </c>
      <c r="D169" s="14" t="n">
        <v>1550</v>
      </c>
      <c r="E169" s="15">
        <f>(C169+D169)/2</f>
        <v/>
      </c>
      <c r="F169" s="15">
        <f>D169-C169</f>
        <v/>
      </c>
      <c r="G169" s="16" t="inlineStr">
        <is>
          <t>主流市场报价</t>
        </is>
      </c>
      <c r="H169" s="17" t="inlineStr">
        <is>
          <t>打开原文</t>
        </is>
      </c>
    </row>
    <row r="170">
      <c r="A170" s="18" t="n">
        <v>166</v>
      </c>
      <c r="B170" s="19" t="n">
        <v>45755</v>
      </c>
      <c r="C170" s="20" t="n">
        <v>1500</v>
      </c>
      <c r="D170" s="20" t="n">
        <v>1550</v>
      </c>
      <c r="E170" s="21">
        <f>(C170+D170)/2</f>
        <v/>
      </c>
      <c r="F170" s="21">
        <f>D170-C170</f>
        <v/>
      </c>
      <c r="G170" s="22" t="inlineStr">
        <is>
          <t>主流市场报价</t>
        </is>
      </c>
      <c r="H170" s="23" t="inlineStr">
        <is>
          <t>打开原文</t>
        </is>
      </c>
    </row>
    <row r="171">
      <c r="A171" s="12" t="n">
        <v>167</v>
      </c>
      <c r="B171" s="13" t="n">
        <v>45758</v>
      </c>
      <c r="C171" s="14" t="n">
        <v>1450</v>
      </c>
      <c r="D171" s="14" t="n">
        <v>1500</v>
      </c>
      <c r="E171" s="15">
        <f>(C171+D171)/2</f>
        <v/>
      </c>
      <c r="F171" s="15">
        <f>D171-C171</f>
        <v/>
      </c>
      <c r="G171" s="16" t="inlineStr">
        <is>
          <t>主流市场报价</t>
        </is>
      </c>
      <c r="H171" s="17" t="inlineStr">
        <is>
          <t>打开原文</t>
        </is>
      </c>
    </row>
    <row r="172">
      <c r="A172" s="18" t="n">
        <v>168</v>
      </c>
      <c r="B172" s="19" t="n">
        <v>45762</v>
      </c>
      <c r="C172" s="20" t="n">
        <v>1400</v>
      </c>
      <c r="D172" s="20" t="n">
        <v>1500</v>
      </c>
      <c r="E172" s="21">
        <f>(C172+D172)/2</f>
        <v/>
      </c>
      <c r="F172" s="21">
        <f>D172-C172</f>
        <v/>
      </c>
      <c r="G172" s="22" t="inlineStr">
        <is>
          <t>主流市场报价</t>
        </is>
      </c>
      <c r="H172" s="23" t="inlineStr">
        <is>
          <t>打开原文</t>
        </is>
      </c>
    </row>
    <row r="173">
      <c r="A173" s="12" t="n">
        <v>169</v>
      </c>
      <c r="B173" s="13" t="n">
        <v>45763</v>
      </c>
      <c r="C173" s="14" t="n">
        <v>1400</v>
      </c>
      <c r="D173" s="14" t="n">
        <v>1500</v>
      </c>
      <c r="E173" s="15">
        <f>(C173+D173)/2</f>
        <v/>
      </c>
      <c r="F173" s="15">
        <f>D173-C173</f>
        <v/>
      </c>
      <c r="G173" s="16" t="inlineStr">
        <is>
          <t>主流市场报价</t>
        </is>
      </c>
      <c r="H173" s="17" t="inlineStr">
        <is>
          <t>打开原文</t>
        </is>
      </c>
    </row>
    <row r="174">
      <c r="A174" s="18" t="n">
        <v>170</v>
      </c>
      <c r="B174" s="19" t="n">
        <v>45764</v>
      </c>
      <c r="C174" s="20" t="n">
        <v>1400</v>
      </c>
      <c r="D174" s="20" t="n">
        <v>1500</v>
      </c>
      <c r="E174" s="21">
        <f>(C174+D174)/2</f>
        <v/>
      </c>
      <c r="F174" s="21">
        <f>D174-C174</f>
        <v/>
      </c>
      <c r="G174" s="22" t="inlineStr">
        <is>
          <t>主流市场报价</t>
        </is>
      </c>
      <c r="H174" s="23" t="inlineStr">
        <is>
          <t>打开原文</t>
        </is>
      </c>
    </row>
    <row r="175">
      <c r="A175" s="12" t="n">
        <v>171</v>
      </c>
      <c r="B175" s="13" t="n">
        <v>45765</v>
      </c>
      <c r="C175" s="14" t="n">
        <v>1400</v>
      </c>
      <c r="D175" s="14" t="n">
        <v>1500</v>
      </c>
      <c r="E175" s="15">
        <f>(C175+D175)/2</f>
        <v/>
      </c>
      <c r="F175" s="15">
        <f>D175-C175</f>
        <v/>
      </c>
      <c r="G175" s="16" t="inlineStr">
        <is>
          <t>主流市场报价</t>
        </is>
      </c>
      <c r="H175" s="17" t="inlineStr">
        <is>
          <t>打开原文</t>
        </is>
      </c>
    </row>
    <row r="176">
      <c r="A176" s="18" t="n">
        <v>172</v>
      </c>
      <c r="B176" s="19" t="n">
        <v>45769</v>
      </c>
      <c r="C176" s="20" t="n">
        <v>1400</v>
      </c>
      <c r="D176" s="20" t="n">
        <v>1500</v>
      </c>
      <c r="E176" s="21">
        <f>(C176+D176)/2</f>
        <v/>
      </c>
      <c r="F176" s="21">
        <f>D176-C176</f>
        <v/>
      </c>
      <c r="G176" s="22" t="inlineStr">
        <is>
          <t>主流市场报价</t>
        </is>
      </c>
      <c r="H176" s="23" t="inlineStr">
        <is>
          <t>打开原文</t>
        </is>
      </c>
    </row>
    <row r="177">
      <c r="A177" s="12" t="n">
        <v>173</v>
      </c>
      <c r="B177" s="13" t="n">
        <v>45771</v>
      </c>
      <c r="C177" s="14" t="n">
        <v>1400</v>
      </c>
      <c r="D177" s="14" t="n">
        <v>1500</v>
      </c>
      <c r="E177" s="15">
        <f>(C177+D177)/2</f>
        <v/>
      </c>
      <c r="F177" s="15">
        <f>D177-C177</f>
        <v/>
      </c>
      <c r="G177" s="16" t="inlineStr">
        <is>
          <t>主流市场报价</t>
        </is>
      </c>
      <c r="H177" s="17" t="inlineStr">
        <is>
          <t>打开原文</t>
        </is>
      </c>
    </row>
    <row r="178">
      <c r="A178" s="18" t="n">
        <v>174</v>
      </c>
      <c r="B178" s="19" t="n">
        <v>45772</v>
      </c>
      <c r="C178" s="20" t="n">
        <v>1400</v>
      </c>
      <c r="D178" s="20" t="n">
        <v>1500</v>
      </c>
      <c r="E178" s="21">
        <f>(C178+D178)/2</f>
        <v/>
      </c>
      <c r="F178" s="21">
        <f>D178-C178</f>
        <v/>
      </c>
      <c r="G178" s="22" t="inlineStr">
        <is>
          <t>主流市场报价</t>
        </is>
      </c>
      <c r="H178" s="23" t="inlineStr">
        <is>
          <t>打开原文</t>
        </is>
      </c>
    </row>
    <row r="179">
      <c r="A179" s="12" t="n">
        <v>175</v>
      </c>
      <c r="B179" s="13" t="n">
        <v>45774</v>
      </c>
      <c r="C179" s="14" t="n">
        <v>1400</v>
      </c>
      <c r="D179" s="14" t="n">
        <v>1500</v>
      </c>
      <c r="E179" s="15">
        <f>(C179+D179)/2</f>
        <v/>
      </c>
      <c r="F179" s="15">
        <f>D179-C179</f>
        <v/>
      </c>
      <c r="G179" s="16" t="inlineStr">
        <is>
          <t>主流市场报价</t>
        </is>
      </c>
      <c r="H179" s="17" t="inlineStr">
        <is>
          <t>打开原文</t>
        </is>
      </c>
    </row>
    <row r="180">
      <c r="A180" s="18" t="n">
        <v>176</v>
      </c>
      <c r="B180" s="19" t="n">
        <v>45775</v>
      </c>
      <c r="C180" s="20" t="n">
        <v>1400</v>
      </c>
      <c r="D180" s="20" t="n">
        <v>1500</v>
      </c>
      <c r="E180" s="21">
        <f>(C180+D180)/2</f>
        <v/>
      </c>
      <c r="F180" s="21">
        <f>D180-C180</f>
        <v/>
      </c>
      <c r="G180" s="22" t="inlineStr">
        <is>
          <t>主流市场报价</t>
        </is>
      </c>
      <c r="H180" s="23" t="inlineStr">
        <is>
          <t>打开原文</t>
        </is>
      </c>
    </row>
    <row r="181">
      <c r="A181" s="12" t="n">
        <v>177</v>
      </c>
      <c r="B181" s="13" t="n">
        <v>45776</v>
      </c>
      <c r="C181" s="14" t="n">
        <v>1400</v>
      </c>
      <c r="D181" s="14" t="n">
        <v>1500</v>
      </c>
      <c r="E181" s="15">
        <f>(C181+D181)/2</f>
        <v/>
      </c>
      <c r="F181" s="15">
        <f>D181-C181</f>
        <v/>
      </c>
      <c r="G181" s="16" t="inlineStr">
        <is>
          <t>主流市场报价</t>
        </is>
      </c>
      <c r="H181" s="17" t="inlineStr">
        <is>
          <t>打开原文</t>
        </is>
      </c>
    </row>
    <row r="182">
      <c r="A182" s="18" t="n">
        <v>178</v>
      </c>
      <c r="B182" s="19" t="n">
        <v>45777</v>
      </c>
      <c r="C182" s="20" t="n">
        <v>1400</v>
      </c>
      <c r="D182" s="20" t="n">
        <v>1500</v>
      </c>
      <c r="E182" s="21">
        <f>(C182+D182)/2</f>
        <v/>
      </c>
      <c r="F182" s="21">
        <f>D182-C182</f>
        <v/>
      </c>
      <c r="G182" s="22" t="inlineStr">
        <is>
          <t>主流市场报价</t>
        </is>
      </c>
      <c r="H182" s="23" t="inlineStr">
        <is>
          <t>打开原文</t>
        </is>
      </c>
    </row>
    <row r="183">
      <c r="A183" s="12" t="n">
        <v>179</v>
      </c>
      <c r="B183" s="13" t="n">
        <v>45784</v>
      </c>
      <c r="C183" s="14" t="n">
        <v>1400</v>
      </c>
      <c r="D183" s="14" t="n">
        <v>1500</v>
      </c>
      <c r="E183" s="15">
        <f>(C183+D183)/2</f>
        <v/>
      </c>
      <c r="F183" s="15">
        <f>D183-C183</f>
        <v/>
      </c>
      <c r="G183" s="16" t="inlineStr">
        <is>
          <t>主流市场报价</t>
        </is>
      </c>
      <c r="H183" s="17" t="inlineStr">
        <is>
          <t>打开原文</t>
        </is>
      </c>
    </row>
    <row r="184">
      <c r="A184" s="18" t="n">
        <v>180</v>
      </c>
      <c r="B184" s="19" t="n">
        <v>45786</v>
      </c>
      <c r="C184" s="20" t="n">
        <v>1400</v>
      </c>
      <c r="D184" s="20" t="n">
        <v>1500</v>
      </c>
      <c r="E184" s="21">
        <f>(C184+D184)/2</f>
        <v/>
      </c>
      <c r="F184" s="21">
        <f>D184-C184</f>
        <v/>
      </c>
      <c r="G184" s="22" t="inlineStr">
        <is>
          <t>主流市场报价</t>
        </is>
      </c>
      <c r="H184" s="23" t="inlineStr">
        <is>
          <t>打开原文</t>
        </is>
      </c>
    </row>
    <row r="185">
      <c r="A185" s="12" t="n">
        <v>181</v>
      </c>
      <c r="B185" s="13" t="n">
        <v>45789</v>
      </c>
      <c r="C185" s="14" t="n">
        <v>1400</v>
      </c>
      <c r="D185" s="14" t="n">
        <v>1500</v>
      </c>
      <c r="E185" s="15">
        <f>(C185+D185)/2</f>
        <v/>
      </c>
      <c r="F185" s="15">
        <f>D185-C185</f>
        <v/>
      </c>
      <c r="G185" s="16" t="inlineStr">
        <is>
          <t>主流市场报价</t>
        </is>
      </c>
      <c r="H185" s="17" t="inlineStr">
        <is>
          <t>打开原文</t>
        </is>
      </c>
    </row>
    <row r="186">
      <c r="A186" s="18" t="n">
        <v>182</v>
      </c>
      <c r="B186" s="19" t="n">
        <v>45790</v>
      </c>
      <c r="C186" s="20" t="n">
        <v>1400</v>
      </c>
      <c r="D186" s="20" t="n">
        <v>1500</v>
      </c>
      <c r="E186" s="21">
        <f>(C186+D186)/2</f>
        <v/>
      </c>
      <c r="F186" s="21">
        <f>D186-C186</f>
        <v/>
      </c>
      <c r="G186" s="22" t="inlineStr">
        <is>
          <t>主流市场报价</t>
        </is>
      </c>
      <c r="H186" s="23" t="inlineStr">
        <is>
          <t>打开原文</t>
        </is>
      </c>
    </row>
    <row r="187">
      <c r="A187" s="12" t="n">
        <v>183</v>
      </c>
      <c r="B187" s="13" t="n">
        <v>45791</v>
      </c>
      <c r="C187" s="14" t="n">
        <v>1400</v>
      </c>
      <c r="D187" s="14" t="n">
        <v>1500</v>
      </c>
      <c r="E187" s="15">
        <f>(C187+D187)/2</f>
        <v/>
      </c>
      <c r="F187" s="15">
        <f>D187-C187</f>
        <v/>
      </c>
      <c r="G187" s="16" t="inlineStr">
        <is>
          <t>主流市场报价</t>
        </is>
      </c>
      <c r="H187" s="17" t="inlineStr">
        <is>
          <t>打开原文</t>
        </is>
      </c>
    </row>
    <row r="188">
      <c r="A188" s="18" t="n">
        <v>184</v>
      </c>
      <c r="B188" s="19" t="n">
        <v>45792</v>
      </c>
      <c r="C188" s="20" t="n">
        <v>1400</v>
      </c>
      <c r="D188" s="20" t="n">
        <v>1500</v>
      </c>
      <c r="E188" s="21">
        <f>(C188+D188)/2</f>
        <v/>
      </c>
      <c r="F188" s="21">
        <f>D188-C188</f>
        <v/>
      </c>
      <c r="G188" s="22" t="inlineStr">
        <is>
          <t>主流市场报价</t>
        </is>
      </c>
      <c r="H188" s="23" t="inlineStr">
        <is>
          <t>打开原文</t>
        </is>
      </c>
    </row>
    <row r="189">
      <c r="A189" s="12" t="n">
        <v>185</v>
      </c>
      <c r="B189" s="13" t="n">
        <v>45793</v>
      </c>
      <c r="C189" s="14" t="n">
        <v>1400</v>
      </c>
      <c r="D189" s="14" t="n">
        <v>1500</v>
      </c>
      <c r="E189" s="15">
        <f>(C189+D189)/2</f>
        <v/>
      </c>
      <c r="F189" s="15">
        <f>D189-C189</f>
        <v/>
      </c>
      <c r="G189" s="16" t="inlineStr">
        <is>
          <t>主流市场报价</t>
        </is>
      </c>
      <c r="H189" s="17" t="inlineStr">
        <is>
          <t>打开原文</t>
        </is>
      </c>
    </row>
    <row r="190">
      <c r="A190" s="18" t="n">
        <v>186</v>
      </c>
      <c r="B190" s="19" t="n">
        <v>45796</v>
      </c>
      <c r="C190" s="20" t="n">
        <v>1400</v>
      </c>
      <c r="D190" s="20" t="n">
        <v>1500</v>
      </c>
      <c r="E190" s="21">
        <f>(C190+D190)/2</f>
        <v/>
      </c>
      <c r="F190" s="21">
        <f>D190-C190</f>
        <v/>
      </c>
      <c r="G190" s="22" t="inlineStr">
        <is>
          <t>主流市场报价</t>
        </is>
      </c>
      <c r="H190" s="23" t="inlineStr">
        <is>
          <t>打开原文</t>
        </is>
      </c>
    </row>
    <row r="191">
      <c r="A191" s="12" t="n">
        <v>187</v>
      </c>
      <c r="B191" s="13" t="n">
        <v>45798</v>
      </c>
      <c r="C191" s="14" t="n">
        <v>1400</v>
      </c>
      <c r="D191" s="14" t="n">
        <v>1500</v>
      </c>
      <c r="E191" s="15">
        <f>(C191+D191)/2</f>
        <v/>
      </c>
      <c r="F191" s="15">
        <f>D191-C191</f>
        <v/>
      </c>
      <c r="G191" s="16" t="inlineStr">
        <is>
          <t>主流市场报价</t>
        </is>
      </c>
      <c r="H191" s="17" t="inlineStr">
        <is>
          <t>打开原文</t>
        </is>
      </c>
    </row>
    <row r="192">
      <c r="A192" s="18" t="n">
        <v>188</v>
      </c>
      <c r="B192" s="19" t="n">
        <v>45803</v>
      </c>
      <c r="C192" s="20" t="n">
        <v>1400</v>
      </c>
      <c r="D192" s="20" t="n">
        <v>1500</v>
      </c>
      <c r="E192" s="21">
        <f>(C192+D192)/2</f>
        <v/>
      </c>
      <c r="F192" s="21">
        <f>D192-C192</f>
        <v/>
      </c>
      <c r="G192" s="22" t="inlineStr">
        <is>
          <t>主流市场报价</t>
        </is>
      </c>
      <c r="H192" s="23" t="inlineStr">
        <is>
          <t>打开原文</t>
        </is>
      </c>
    </row>
    <row r="193">
      <c r="A193" s="12" t="n">
        <v>189</v>
      </c>
      <c r="B193" s="13" t="n">
        <v>45805</v>
      </c>
      <c r="C193" s="14" t="n">
        <v>1380</v>
      </c>
      <c r="D193" s="14" t="n">
        <v>1500</v>
      </c>
      <c r="E193" s="15">
        <f>(C193+D193)/2</f>
        <v/>
      </c>
      <c r="F193" s="15">
        <f>D193-C193</f>
        <v/>
      </c>
      <c r="G193" s="16" t="inlineStr">
        <is>
          <t>主流市场报价</t>
        </is>
      </c>
      <c r="H193" s="17" t="inlineStr">
        <is>
          <t>打开原文</t>
        </is>
      </c>
    </row>
    <row r="194">
      <c r="A194" s="18" t="n">
        <v>190</v>
      </c>
      <c r="B194" s="19" t="n">
        <v>45807</v>
      </c>
      <c r="C194" s="20" t="n">
        <v>1380</v>
      </c>
      <c r="D194" s="20" t="n">
        <v>1500</v>
      </c>
      <c r="E194" s="21">
        <f>(C194+D194)/2</f>
        <v/>
      </c>
      <c r="F194" s="21">
        <f>D194-C194</f>
        <v/>
      </c>
      <c r="G194" s="22" t="inlineStr">
        <is>
          <t>主流市场报价</t>
        </is>
      </c>
      <c r="H194" s="23" t="inlineStr">
        <is>
          <t>打开原文</t>
        </is>
      </c>
    </row>
    <row r="195">
      <c r="A195" s="12" t="n">
        <v>191</v>
      </c>
      <c r="B195" s="13" t="n">
        <v>45812</v>
      </c>
      <c r="C195" s="14" t="n">
        <v>1350</v>
      </c>
      <c r="D195" s="14" t="n">
        <v>1450</v>
      </c>
      <c r="E195" s="15">
        <f>(C195+D195)/2</f>
        <v/>
      </c>
      <c r="F195" s="15">
        <f>D195-C195</f>
        <v/>
      </c>
      <c r="G195" s="16" t="inlineStr">
        <is>
          <t>主流市场报价</t>
        </is>
      </c>
      <c r="H195" s="17" t="inlineStr">
        <is>
          <t>打开原文</t>
        </is>
      </c>
    </row>
    <row r="196">
      <c r="A196" s="18" t="n">
        <v>192</v>
      </c>
      <c r="B196" s="19" t="n">
        <v>45813</v>
      </c>
      <c r="C196" s="20" t="n">
        <v>1350</v>
      </c>
      <c r="D196" s="20" t="n">
        <v>1450</v>
      </c>
      <c r="E196" s="21">
        <f>(C196+D196)/2</f>
        <v/>
      </c>
      <c r="F196" s="21">
        <f>D196-C196</f>
        <v/>
      </c>
      <c r="G196" s="22" t="inlineStr">
        <is>
          <t>主流市场报价</t>
        </is>
      </c>
      <c r="H196" s="23" t="inlineStr">
        <is>
          <t>打开原文</t>
        </is>
      </c>
    </row>
    <row r="197">
      <c r="A197" s="12" t="n">
        <v>193</v>
      </c>
      <c r="B197" s="13" t="n">
        <v>45814</v>
      </c>
      <c r="C197" s="14" t="n">
        <v>1350</v>
      </c>
      <c r="D197" s="14" t="n">
        <v>1450</v>
      </c>
      <c r="E197" s="15">
        <f>(C197+D197)/2</f>
        <v/>
      </c>
      <c r="F197" s="15">
        <f>D197-C197</f>
        <v/>
      </c>
      <c r="G197" s="16" t="inlineStr">
        <is>
          <t>主流市场报价</t>
        </is>
      </c>
      <c r="H197" s="17" t="inlineStr">
        <is>
          <t>打开原文</t>
        </is>
      </c>
    </row>
    <row r="198">
      <c r="A198" s="18" t="n">
        <v>194</v>
      </c>
      <c r="B198" s="19" t="n">
        <v>45818</v>
      </c>
      <c r="C198" s="20" t="n">
        <v>1350</v>
      </c>
      <c r="D198" s="20" t="n">
        <v>1400</v>
      </c>
      <c r="E198" s="21">
        <f>(C198+D198)/2</f>
        <v/>
      </c>
      <c r="F198" s="21">
        <f>D198-C198</f>
        <v/>
      </c>
      <c r="G198" s="22" t="inlineStr">
        <is>
          <t>主流市场报价</t>
        </is>
      </c>
      <c r="H198" s="23" t="inlineStr">
        <is>
          <t>打开原文</t>
        </is>
      </c>
    </row>
    <row r="199">
      <c r="A199" s="12" t="n">
        <v>195</v>
      </c>
      <c r="B199" s="13" t="n">
        <v>45819</v>
      </c>
      <c r="C199" s="14" t="n">
        <v>1350</v>
      </c>
      <c r="D199" s="14" t="n">
        <v>1400</v>
      </c>
      <c r="E199" s="15">
        <f>(C199+D199)/2</f>
        <v/>
      </c>
      <c r="F199" s="15">
        <f>D199-C199</f>
        <v/>
      </c>
      <c r="G199" s="16" t="inlineStr">
        <is>
          <t>主流市场报价</t>
        </is>
      </c>
      <c r="H199" s="17" t="inlineStr">
        <is>
          <t>打开原文</t>
        </is>
      </c>
    </row>
    <row r="200">
      <c r="A200" s="18" t="n">
        <v>196</v>
      </c>
      <c r="B200" s="19" t="n">
        <v>45820</v>
      </c>
      <c r="C200" s="20" t="n">
        <v>1350</v>
      </c>
      <c r="D200" s="20" t="n">
        <v>1400</v>
      </c>
      <c r="E200" s="21">
        <f>(C200+D200)/2</f>
        <v/>
      </c>
      <c r="F200" s="21">
        <f>D200-C200</f>
        <v/>
      </c>
      <c r="G200" s="22" t="inlineStr">
        <is>
          <t>主流市场报价</t>
        </is>
      </c>
      <c r="H200" s="23" t="inlineStr">
        <is>
          <t>打开原文</t>
        </is>
      </c>
    </row>
    <row r="201">
      <c r="A201" s="12" t="n">
        <v>197</v>
      </c>
      <c r="B201" s="13" t="n">
        <v>45821</v>
      </c>
      <c r="C201" s="14" t="n">
        <v>1350</v>
      </c>
      <c r="D201" s="14" t="n">
        <v>1400</v>
      </c>
      <c r="E201" s="15">
        <f>(C201+D201)/2</f>
        <v/>
      </c>
      <c r="F201" s="15">
        <f>D201-C201</f>
        <v/>
      </c>
      <c r="G201" s="16" t="inlineStr">
        <is>
          <t>主流市场报价</t>
        </is>
      </c>
      <c r="H201" s="17" t="inlineStr">
        <is>
          <t>打开原文</t>
        </is>
      </c>
    </row>
    <row r="202">
      <c r="A202" s="18" t="n">
        <v>198</v>
      </c>
      <c r="B202" s="19" t="n">
        <v>45824</v>
      </c>
      <c r="C202" s="20" t="n">
        <v>1350</v>
      </c>
      <c r="D202" s="20" t="n">
        <v>1400</v>
      </c>
      <c r="E202" s="21">
        <f>(C202+D202)/2</f>
        <v/>
      </c>
      <c r="F202" s="21">
        <f>D202-C202</f>
        <v/>
      </c>
      <c r="G202" s="22" t="inlineStr">
        <is>
          <t>主流市场报价</t>
        </is>
      </c>
      <c r="H202" s="23" t="inlineStr">
        <is>
          <t>打开原文</t>
        </is>
      </c>
    </row>
    <row r="203">
      <c r="A203" s="12" t="n">
        <v>199</v>
      </c>
      <c r="B203" s="13" t="n">
        <v>45825</v>
      </c>
      <c r="C203" s="14" t="n">
        <v>1350</v>
      </c>
      <c r="D203" s="14" t="n">
        <v>1400</v>
      </c>
      <c r="E203" s="15">
        <f>(C203+D203)/2</f>
        <v/>
      </c>
      <c r="F203" s="15">
        <f>D203-C203</f>
        <v/>
      </c>
      <c r="G203" s="16" t="inlineStr">
        <is>
          <t>主流市场报价</t>
        </is>
      </c>
      <c r="H203" s="17" t="inlineStr">
        <is>
          <t>打开原文</t>
        </is>
      </c>
    </row>
    <row r="204">
      <c r="A204" s="18" t="n">
        <v>200</v>
      </c>
      <c r="B204" s="19" t="n">
        <v>45826</v>
      </c>
      <c r="C204" s="20" t="n">
        <v>1350</v>
      </c>
      <c r="D204" s="20" t="n">
        <v>1400</v>
      </c>
      <c r="E204" s="21">
        <f>(C204+D204)/2</f>
        <v/>
      </c>
      <c r="F204" s="21">
        <f>D204-C204</f>
        <v/>
      </c>
      <c r="G204" s="22" t="inlineStr">
        <is>
          <t>主流市场报价</t>
        </is>
      </c>
      <c r="H204" s="23" t="inlineStr">
        <is>
          <t>打开原文</t>
        </is>
      </c>
    </row>
    <row r="205">
      <c r="A205" s="12" t="n">
        <v>201</v>
      </c>
      <c r="B205" s="13" t="n">
        <v>45827</v>
      </c>
      <c r="C205" s="14" t="n">
        <v>1350</v>
      </c>
      <c r="D205" s="14" t="n">
        <v>1400</v>
      </c>
      <c r="E205" s="15">
        <f>(C205+D205)/2</f>
        <v/>
      </c>
      <c r="F205" s="15">
        <f>D205-C205</f>
        <v/>
      </c>
      <c r="G205" s="16" t="inlineStr">
        <is>
          <t>主流市场报价</t>
        </is>
      </c>
      <c r="H205" s="17" t="inlineStr">
        <is>
          <t>打开原文</t>
        </is>
      </c>
    </row>
    <row r="206">
      <c r="A206" s="18" t="n">
        <v>202</v>
      </c>
      <c r="B206" s="19" t="n">
        <v>45828</v>
      </c>
      <c r="C206" s="20" t="n">
        <v>1350</v>
      </c>
      <c r="D206" s="20" t="n">
        <v>1400</v>
      </c>
      <c r="E206" s="21">
        <f>(C206+D206)/2</f>
        <v/>
      </c>
      <c r="F206" s="21">
        <f>D206-C206</f>
        <v/>
      </c>
      <c r="G206" s="22" t="inlineStr">
        <is>
          <t>主流市场报价</t>
        </is>
      </c>
      <c r="H206" s="23" t="inlineStr">
        <is>
          <t>打开原文</t>
        </is>
      </c>
    </row>
    <row r="207">
      <c r="A207" s="12" t="n">
        <v>203</v>
      </c>
      <c r="B207" s="13" t="n">
        <v>45832</v>
      </c>
      <c r="C207" s="14" t="n">
        <v>1350</v>
      </c>
      <c r="D207" s="14" t="n">
        <v>1400</v>
      </c>
      <c r="E207" s="15">
        <f>(C207+D207)/2</f>
        <v/>
      </c>
      <c r="F207" s="15">
        <f>D207-C207</f>
        <v/>
      </c>
      <c r="G207" s="16" t="inlineStr">
        <is>
          <t>主流市场报价</t>
        </is>
      </c>
      <c r="H207" s="17" t="inlineStr">
        <is>
          <t>打开原文</t>
        </is>
      </c>
    </row>
    <row r="208">
      <c r="A208" s="18" t="n">
        <v>204</v>
      </c>
      <c r="B208" s="19" t="n">
        <v>45833</v>
      </c>
      <c r="C208" s="20" t="n">
        <v>1300</v>
      </c>
      <c r="D208" s="20" t="n">
        <v>1350</v>
      </c>
      <c r="E208" s="21">
        <f>(C208+D208)/2</f>
        <v/>
      </c>
      <c r="F208" s="21">
        <f>D208-C208</f>
        <v/>
      </c>
      <c r="G208" s="22" t="inlineStr">
        <is>
          <t>主流市场报价</t>
        </is>
      </c>
      <c r="H208" s="23" t="inlineStr">
        <is>
          <t>打开原文</t>
        </is>
      </c>
    </row>
    <row r="209">
      <c r="A209" s="12" t="n">
        <v>205</v>
      </c>
      <c r="B209" s="13" t="n">
        <v>45834</v>
      </c>
      <c r="C209" s="14" t="n">
        <v>1250</v>
      </c>
      <c r="D209" s="14" t="n">
        <v>1350</v>
      </c>
      <c r="E209" s="15">
        <f>(C209+D209)/2</f>
        <v/>
      </c>
      <c r="F209" s="15">
        <f>D209-C209</f>
        <v/>
      </c>
      <c r="G209" s="16" t="inlineStr">
        <is>
          <t>主流市场报价</t>
        </is>
      </c>
      <c r="H209" s="17" t="inlineStr">
        <is>
          <t>打开原文</t>
        </is>
      </c>
    </row>
    <row r="210">
      <c r="A210" s="18" t="n">
        <v>206</v>
      </c>
      <c r="B210" s="19" t="n">
        <v>45835</v>
      </c>
      <c r="C210" s="20" t="n">
        <v>1250</v>
      </c>
      <c r="D210" s="20" t="n">
        <v>1350</v>
      </c>
      <c r="E210" s="21">
        <f>(C210+D210)/2</f>
        <v/>
      </c>
      <c r="F210" s="21">
        <f>D210-C210</f>
        <v/>
      </c>
      <c r="G210" s="22" t="inlineStr">
        <is>
          <t>主流市场报价</t>
        </is>
      </c>
      <c r="H210" s="23" t="inlineStr">
        <is>
          <t>打开原文</t>
        </is>
      </c>
    </row>
    <row r="211">
      <c r="A211" s="12" t="n">
        <v>207</v>
      </c>
      <c r="B211" s="13" t="n">
        <v>45839</v>
      </c>
      <c r="C211" s="14" t="n">
        <v>1230</v>
      </c>
      <c r="D211" s="14" t="n">
        <v>1350</v>
      </c>
      <c r="E211" s="15">
        <f>(C211+D211)/2</f>
        <v/>
      </c>
      <c r="F211" s="15">
        <f>D211-C211</f>
        <v/>
      </c>
      <c r="G211" s="16" t="inlineStr">
        <is>
          <t>主流市场报价</t>
        </is>
      </c>
      <c r="H211" s="17" t="inlineStr">
        <is>
          <t>打开原文</t>
        </is>
      </c>
    </row>
    <row r="212">
      <c r="A212" s="18" t="n">
        <v>208</v>
      </c>
      <c r="B212" s="19" t="n">
        <v>45840</v>
      </c>
      <c r="C212" s="20" t="n">
        <v>1200</v>
      </c>
      <c r="D212" s="20" t="n">
        <v>1350</v>
      </c>
      <c r="E212" s="21">
        <f>(C212+D212)/2</f>
        <v/>
      </c>
      <c r="F212" s="21">
        <f>D212-C212</f>
        <v/>
      </c>
      <c r="G212" s="22" t="inlineStr">
        <is>
          <t>主流市场报价</t>
        </is>
      </c>
      <c r="H212" s="23" t="inlineStr">
        <is>
          <t>打开原文</t>
        </is>
      </c>
    </row>
    <row r="213">
      <c r="A213" s="12" t="n">
        <v>209</v>
      </c>
      <c r="B213" s="13" t="n">
        <v>45841</v>
      </c>
      <c r="C213" s="14" t="n">
        <v>1200</v>
      </c>
      <c r="D213" s="14" t="n">
        <v>1350</v>
      </c>
      <c r="E213" s="15">
        <f>(C213+D213)/2</f>
        <v/>
      </c>
      <c r="F213" s="15">
        <f>D213-C213</f>
        <v/>
      </c>
      <c r="G213" s="16" t="inlineStr">
        <is>
          <t>主流市场报价</t>
        </is>
      </c>
      <c r="H213" s="17" t="inlineStr">
        <is>
          <t>打开原文</t>
        </is>
      </c>
    </row>
    <row r="214">
      <c r="A214" s="18" t="n">
        <v>210</v>
      </c>
      <c r="B214" s="19" t="n">
        <v>45842</v>
      </c>
      <c r="C214" s="20" t="n">
        <v>1200</v>
      </c>
      <c r="D214" s="20" t="n">
        <v>1350</v>
      </c>
      <c r="E214" s="21">
        <f>(C214+D214)/2</f>
        <v/>
      </c>
      <c r="F214" s="21">
        <f>D214-C214</f>
        <v/>
      </c>
      <c r="G214" s="22" t="inlineStr">
        <is>
          <t>主流市场报价</t>
        </is>
      </c>
      <c r="H214" s="23" t="inlineStr">
        <is>
          <t>打开原文</t>
        </is>
      </c>
    </row>
    <row r="215">
      <c r="A215" s="12" t="n">
        <v>211</v>
      </c>
      <c r="B215" s="13" t="n">
        <v>45845</v>
      </c>
      <c r="C215" s="14" t="n">
        <v>1200</v>
      </c>
      <c r="D215" s="14" t="n">
        <v>1350</v>
      </c>
      <c r="E215" s="15">
        <f>(C215+D215)/2</f>
        <v/>
      </c>
      <c r="F215" s="15">
        <f>D215-C215</f>
        <v/>
      </c>
      <c r="G215" s="16" t="inlineStr">
        <is>
          <t>主流市场报价</t>
        </is>
      </c>
      <c r="H215" s="17" t="inlineStr">
        <is>
          <t>打开原文</t>
        </is>
      </c>
    </row>
    <row r="216">
      <c r="A216" s="18" t="n">
        <v>212</v>
      </c>
      <c r="B216" s="19" t="n">
        <v>45846</v>
      </c>
      <c r="C216" s="20" t="n">
        <v>1200</v>
      </c>
      <c r="D216" s="20" t="n">
        <v>1350</v>
      </c>
      <c r="E216" s="21">
        <f>(C216+D216)/2</f>
        <v/>
      </c>
      <c r="F216" s="21">
        <f>D216-C216</f>
        <v/>
      </c>
      <c r="G216" s="22" t="inlineStr">
        <is>
          <t>主流市场报价</t>
        </is>
      </c>
      <c r="H216" s="23" t="inlineStr">
        <is>
          <t>打开原文</t>
        </is>
      </c>
    </row>
    <row r="217">
      <c r="A217" s="12" t="n">
        <v>213</v>
      </c>
      <c r="B217" s="13" t="n">
        <v>45847</v>
      </c>
      <c r="C217" s="14" t="n">
        <v>1200</v>
      </c>
      <c r="D217" s="14" t="n">
        <v>1350</v>
      </c>
      <c r="E217" s="15">
        <f>(C217+D217)/2</f>
        <v/>
      </c>
      <c r="F217" s="15">
        <f>D217-C217</f>
        <v/>
      </c>
      <c r="G217" s="16" t="inlineStr">
        <is>
          <t>主流市场报价</t>
        </is>
      </c>
      <c r="H217" s="17" t="inlineStr">
        <is>
          <t>打开原文</t>
        </is>
      </c>
    </row>
    <row r="218">
      <c r="A218" s="18" t="n">
        <v>214</v>
      </c>
      <c r="B218" s="19" t="n">
        <v>45848</v>
      </c>
      <c r="C218" s="20" t="n">
        <v>1200</v>
      </c>
      <c r="D218" s="20" t="n">
        <v>1350</v>
      </c>
      <c r="E218" s="21">
        <f>(C218+D218)/2</f>
        <v/>
      </c>
      <c r="F218" s="21">
        <f>D218-C218</f>
        <v/>
      </c>
      <c r="G218" s="22" t="inlineStr">
        <is>
          <t>主流市场报价</t>
        </is>
      </c>
      <c r="H218" s="23" t="inlineStr">
        <is>
          <t>打开原文</t>
        </is>
      </c>
    </row>
    <row r="219">
      <c r="A219" s="12" t="n">
        <v>215</v>
      </c>
      <c r="B219" s="13" t="n">
        <v>45853</v>
      </c>
      <c r="C219" s="14" t="n">
        <v>1200</v>
      </c>
      <c r="D219" s="14" t="n">
        <v>1350</v>
      </c>
      <c r="E219" s="15">
        <f>(C219+D219)/2</f>
        <v/>
      </c>
      <c r="F219" s="15">
        <f>D219-C219</f>
        <v/>
      </c>
      <c r="G219" s="16" t="inlineStr">
        <is>
          <t>主流市场报价</t>
        </is>
      </c>
      <c r="H219" s="17" t="inlineStr">
        <is>
          <t>打开原文</t>
        </is>
      </c>
    </row>
    <row r="220">
      <c r="A220" s="18" t="n">
        <v>216</v>
      </c>
      <c r="B220" s="19" t="n">
        <v>45854</v>
      </c>
      <c r="C220" s="20" t="n">
        <v>1200</v>
      </c>
      <c r="D220" s="20" t="n">
        <v>1350</v>
      </c>
      <c r="E220" s="21">
        <f>(C220+D220)/2</f>
        <v/>
      </c>
      <c r="F220" s="21">
        <f>D220-C220</f>
        <v/>
      </c>
      <c r="G220" s="22" t="inlineStr">
        <is>
          <t>主流市场报价</t>
        </is>
      </c>
      <c r="H220" s="23" t="inlineStr">
        <is>
          <t>打开原文</t>
        </is>
      </c>
    </row>
    <row r="221">
      <c r="A221" s="12" t="n">
        <v>217</v>
      </c>
      <c r="B221" s="13" t="n">
        <v>45856</v>
      </c>
      <c r="C221" s="14" t="n">
        <v>1200</v>
      </c>
      <c r="D221" s="14" t="n">
        <v>1350</v>
      </c>
      <c r="E221" s="15">
        <f>(C221+D221)/2</f>
        <v/>
      </c>
      <c r="F221" s="15">
        <f>D221-C221</f>
        <v/>
      </c>
      <c r="G221" s="16" t="inlineStr">
        <is>
          <t>主流市场报价</t>
        </is>
      </c>
      <c r="H221" s="17" t="inlineStr">
        <is>
          <t>打开原文</t>
        </is>
      </c>
    </row>
    <row r="222">
      <c r="A222" s="18" t="n">
        <v>218</v>
      </c>
      <c r="B222" s="19" t="n">
        <v>45860</v>
      </c>
      <c r="C222" s="20" t="n">
        <v>1200</v>
      </c>
      <c r="D222" s="20" t="n">
        <v>1350</v>
      </c>
      <c r="E222" s="21">
        <f>(C222+D222)/2</f>
        <v/>
      </c>
      <c r="F222" s="21">
        <f>D222-C222</f>
        <v/>
      </c>
      <c r="G222" s="22" t="inlineStr">
        <is>
          <t>主流市场报价</t>
        </is>
      </c>
      <c r="H222" s="23" t="inlineStr">
        <is>
          <t>打开原文</t>
        </is>
      </c>
    </row>
    <row r="223">
      <c r="A223" s="12" t="n">
        <v>219</v>
      </c>
      <c r="B223" s="13" t="n">
        <v>45861</v>
      </c>
      <c r="C223" s="14" t="n">
        <v>1250</v>
      </c>
      <c r="D223" s="14" t="n">
        <v>1350</v>
      </c>
      <c r="E223" s="15">
        <f>(C223+D223)/2</f>
        <v/>
      </c>
      <c r="F223" s="15">
        <f>D223-C223</f>
        <v/>
      </c>
      <c r="G223" s="16" t="inlineStr">
        <is>
          <t>主流市场报价</t>
        </is>
      </c>
      <c r="H223" s="17" t="inlineStr">
        <is>
          <t>打开原文</t>
        </is>
      </c>
    </row>
    <row r="224">
      <c r="A224" s="18" t="n">
        <v>220</v>
      </c>
      <c r="B224" s="19" t="n">
        <v>45867</v>
      </c>
      <c r="C224" s="20" t="n">
        <v>1350</v>
      </c>
      <c r="D224" s="20" t="n">
        <v>1400</v>
      </c>
      <c r="E224" s="21">
        <f>(C224+D224)/2</f>
        <v/>
      </c>
      <c r="F224" s="21">
        <f>D224-C224</f>
        <v/>
      </c>
      <c r="G224" s="22" t="inlineStr">
        <is>
          <t>主流市场报价</t>
        </is>
      </c>
      <c r="H224" s="23" t="inlineStr">
        <is>
          <t>打开原文</t>
        </is>
      </c>
    </row>
    <row r="225">
      <c r="A225" s="12" t="n">
        <v>221</v>
      </c>
      <c r="B225" s="13" t="n">
        <v>45868</v>
      </c>
      <c r="C225" s="14" t="n">
        <v>1350</v>
      </c>
      <c r="D225" s="14" t="n">
        <v>1400</v>
      </c>
      <c r="E225" s="15">
        <f>(C225+D225)/2</f>
        <v/>
      </c>
      <c r="F225" s="15">
        <f>D225-C225</f>
        <v/>
      </c>
      <c r="G225" s="16" t="inlineStr">
        <is>
          <t>主流市场报价</t>
        </is>
      </c>
      <c r="H225" s="17" t="inlineStr">
        <is>
          <t>打开原文</t>
        </is>
      </c>
    </row>
    <row r="226">
      <c r="A226" s="18" t="n">
        <v>222</v>
      </c>
      <c r="B226" s="19" t="n">
        <v>45869</v>
      </c>
      <c r="C226" s="20" t="n">
        <v>1350</v>
      </c>
      <c r="D226" s="20" t="n">
        <v>1400</v>
      </c>
      <c r="E226" s="21">
        <f>(C226+D226)/2</f>
        <v/>
      </c>
      <c r="F226" s="21">
        <f>D226-C226</f>
        <v/>
      </c>
      <c r="G226" s="22" t="inlineStr">
        <is>
          <t>主流市场报价</t>
        </is>
      </c>
      <c r="H226" s="23" t="inlineStr">
        <is>
          <t>打开原文</t>
        </is>
      </c>
    </row>
    <row r="227">
      <c r="A227" s="12" t="n">
        <v>223</v>
      </c>
      <c r="B227" s="13" t="n">
        <v>45870</v>
      </c>
      <c r="C227" s="14" t="n">
        <v>1350</v>
      </c>
      <c r="D227" s="14" t="n">
        <v>1400</v>
      </c>
      <c r="E227" s="15">
        <f>(C227+D227)/2</f>
        <v/>
      </c>
      <c r="F227" s="15">
        <f>D227-C227</f>
        <v/>
      </c>
      <c r="G227" s="16" t="inlineStr">
        <is>
          <t>主流市场报价</t>
        </is>
      </c>
      <c r="H227" s="17" t="inlineStr">
        <is>
          <t>打开原文</t>
        </is>
      </c>
    </row>
    <row r="228">
      <c r="A228" s="18" t="n">
        <v>224</v>
      </c>
      <c r="B228" s="19" t="n">
        <v>45874</v>
      </c>
      <c r="C228" s="20" t="n">
        <v>1300</v>
      </c>
      <c r="D228" s="20" t="n">
        <v>1400</v>
      </c>
      <c r="E228" s="21">
        <f>(C228+D228)/2</f>
        <v/>
      </c>
      <c r="F228" s="21">
        <f>D228-C228</f>
        <v/>
      </c>
      <c r="G228" s="22" t="inlineStr">
        <is>
          <t>主流市场报价</t>
        </is>
      </c>
      <c r="H228" s="23" t="inlineStr">
        <is>
          <t>打开原文</t>
        </is>
      </c>
    </row>
    <row r="229">
      <c r="A229" s="12" t="n">
        <v>225</v>
      </c>
      <c r="B229" s="13" t="n">
        <v>45876</v>
      </c>
      <c r="C229" s="14" t="n">
        <v>1300</v>
      </c>
      <c r="D229" s="14" t="n">
        <v>1400</v>
      </c>
      <c r="E229" s="15">
        <f>(C229+D229)/2</f>
        <v/>
      </c>
      <c r="F229" s="15">
        <f>D229-C229</f>
        <v/>
      </c>
      <c r="G229" s="16" t="inlineStr">
        <is>
          <t>主流市场报价</t>
        </is>
      </c>
      <c r="H229" s="17" t="inlineStr">
        <is>
          <t>打开原文</t>
        </is>
      </c>
    </row>
    <row r="230">
      <c r="A230" s="18" t="n">
        <v>226</v>
      </c>
      <c r="B230" s="19" t="n">
        <v>45877</v>
      </c>
      <c r="C230" s="20" t="n">
        <v>1300</v>
      </c>
      <c r="D230" s="20" t="n">
        <v>1400</v>
      </c>
      <c r="E230" s="21">
        <f>(C230+D230)/2</f>
        <v/>
      </c>
      <c r="F230" s="21">
        <f>D230-C230</f>
        <v/>
      </c>
      <c r="G230" s="22" t="inlineStr">
        <is>
          <t>主流市场报价</t>
        </is>
      </c>
      <c r="H230" s="23" t="inlineStr">
        <is>
          <t>打开原文</t>
        </is>
      </c>
    </row>
    <row r="231">
      <c r="A231" s="12" t="n">
        <v>227</v>
      </c>
      <c r="B231" s="13" t="n">
        <v>45880</v>
      </c>
      <c r="C231" s="14" t="n">
        <v>1300</v>
      </c>
      <c r="D231" s="14" t="n">
        <v>1350</v>
      </c>
      <c r="E231" s="15">
        <f>(C231+D231)/2</f>
        <v/>
      </c>
      <c r="F231" s="15">
        <f>D231-C231</f>
        <v/>
      </c>
      <c r="G231" s="16" t="inlineStr">
        <is>
          <t>主流市场报价</t>
        </is>
      </c>
      <c r="H231" s="17" t="inlineStr">
        <is>
          <t>打开原文</t>
        </is>
      </c>
    </row>
    <row r="232">
      <c r="A232" s="18" t="n">
        <v>228</v>
      </c>
      <c r="B232" s="19" t="n">
        <v>45881</v>
      </c>
      <c r="C232" s="20" t="n">
        <v>1300</v>
      </c>
      <c r="D232" s="20" t="n">
        <v>1350</v>
      </c>
      <c r="E232" s="21">
        <f>(C232+D232)/2</f>
        <v/>
      </c>
      <c r="F232" s="21">
        <f>D232-C232</f>
        <v/>
      </c>
      <c r="G232" s="22" t="inlineStr">
        <is>
          <t>主流市场报价</t>
        </is>
      </c>
      <c r="H232" s="23" t="inlineStr">
        <is>
          <t>打开原文</t>
        </is>
      </c>
    </row>
    <row r="233">
      <c r="A233" s="12" t="n">
        <v>229</v>
      </c>
      <c r="B233" s="13" t="n">
        <v>45882</v>
      </c>
      <c r="C233" s="14" t="n">
        <v>1300</v>
      </c>
      <c r="D233" s="14" t="n">
        <v>1350</v>
      </c>
      <c r="E233" s="15">
        <f>(C233+D233)/2</f>
        <v/>
      </c>
      <c r="F233" s="15">
        <f>D233-C233</f>
        <v/>
      </c>
      <c r="G233" s="16" t="inlineStr">
        <is>
          <t>主流市场报价</t>
        </is>
      </c>
      <c r="H233" s="17" t="inlineStr">
        <is>
          <t>打开原文</t>
        </is>
      </c>
    </row>
    <row r="234">
      <c r="A234" s="18" t="n">
        <v>230</v>
      </c>
      <c r="B234" s="19" t="n">
        <v>45883</v>
      </c>
      <c r="C234" s="20" t="n">
        <v>1250</v>
      </c>
      <c r="D234" s="20" t="n">
        <v>1300</v>
      </c>
      <c r="E234" s="21">
        <f>(C234+D234)/2</f>
        <v/>
      </c>
      <c r="F234" s="21">
        <f>D234-C234</f>
        <v/>
      </c>
      <c r="G234" s="22" t="inlineStr">
        <is>
          <t>主流市场报价</t>
        </is>
      </c>
      <c r="H234" s="23" t="inlineStr">
        <is>
          <t>打开原文</t>
        </is>
      </c>
    </row>
    <row r="235">
      <c r="A235" s="12" t="n">
        <v>231</v>
      </c>
      <c r="B235" s="13" t="n">
        <v>45884</v>
      </c>
      <c r="C235" s="14" t="n">
        <v>1250</v>
      </c>
      <c r="D235" s="14" t="n">
        <v>1300</v>
      </c>
      <c r="E235" s="15">
        <f>(C235+D235)/2</f>
        <v/>
      </c>
      <c r="F235" s="15">
        <f>D235-C235</f>
        <v/>
      </c>
      <c r="G235" s="16" t="inlineStr">
        <is>
          <t>主流市场报价</t>
        </is>
      </c>
      <c r="H235" s="17" t="inlineStr">
        <is>
          <t>打开原文</t>
        </is>
      </c>
    </row>
    <row r="236">
      <c r="A236" s="18" t="n">
        <v>232</v>
      </c>
      <c r="B236" s="19" t="n">
        <v>45888</v>
      </c>
      <c r="C236" s="20" t="n">
        <v>1250</v>
      </c>
      <c r="D236" s="20" t="n">
        <v>1300</v>
      </c>
      <c r="E236" s="21">
        <f>(C236+D236)/2</f>
        <v/>
      </c>
      <c r="F236" s="21">
        <f>D236-C236</f>
        <v/>
      </c>
      <c r="G236" s="22" t="inlineStr">
        <is>
          <t>主流市场报价</t>
        </is>
      </c>
      <c r="H236" s="23" t="inlineStr">
        <is>
          <t>打开原文</t>
        </is>
      </c>
    </row>
    <row r="237">
      <c r="A237" s="12" t="n">
        <v>233</v>
      </c>
      <c r="B237" s="13" t="n">
        <v>45889</v>
      </c>
      <c r="C237" s="14" t="n">
        <v>1250</v>
      </c>
      <c r="D237" s="14" t="n">
        <v>1300</v>
      </c>
      <c r="E237" s="15">
        <f>(C237+D237)/2</f>
        <v/>
      </c>
      <c r="F237" s="15">
        <f>D237-C237</f>
        <v/>
      </c>
      <c r="G237" s="16" t="inlineStr">
        <is>
          <t>主流市场报价</t>
        </is>
      </c>
      <c r="H237" s="17" t="inlineStr">
        <is>
          <t>打开原文</t>
        </is>
      </c>
    </row>
    <row r="238">
      <c r="A238" s="18" t="n">
        <v>234</v>
      </c>
      <c r="B238" s="19" t="n">
        <v>45890</v>
      </c>
      <c r="C238" s="20" t="n">
        <v>1250</v>
      </c>
      <c r="D238" s="20" t="n">
        <v>1300</v>
      </c>
      <c r="E238" s="21">
        <f>(C238+D238)/2</f>
        <v/>
      </c>
      <c r="F238" s="21">
        <f>D238-C238</f>
        <v/>
      </c>
      <c r="G238" s="22" t="inlineStr">
        <is>
          <t>主流市场报价</t>
        </is>
      </c>
      <c r="H238" s="23" t="inlineStr">
        <is>
          <t>打开原文</t>
        </is>
      </c>
    </row>
    <row r="239">
      <c r="A239" s="12" t="n">
        <v>235</v>
      </c>
      <c r="B239" s="13" t="n">
        <v>45891</v>
      </c>
      <c r="C239" s="14" t="n">
        <v>1250</v>
      </c>
      <c r="D239" s="14" t="n">
        <v>1300</v>
      </c>
      <c r="E239" s="15">
        <f>(C239+D239)/2</f>
        <v/>
      </c>
      <c r="F239" s="15">
        <f>D239-C239</f>
        <v/>
      </c>
      <c r="G239" s="16" t="inlineStr">
        <is>
          <t>主流市场报价</t>
        </is>
      </c>
      <c r="H239" s="17" t="inlineStr">
        <is>
          <t>打开原文</t>
        </is>
      </c>
    </row>
    <row r="240">
      <c r="A240" s="18" t="n">
        <v>236</v>
      </c>
      <c r="B240" s="19" t="n">
        <v>45895</v>
      </c>
      <c r="C240" s="20" t="n">
        <v>1250</v>
      </c>
      <c r="D240" s="20" t="n">
        <v>1300</v>
      </c>
      <c r="E240" s="21">
        <f>(C240+D240)/2</f>
        <v/>
      </c>
      <c r="F240" s="21">
        <f>D240-C240</f>
        <v/>
      </c>
      <c r="G240" s="22" t="inlineStr">
        <is>
          <t>主流市场报价</t>
        </is>
      </c>
      <c r="H240" s="23" t="inlineStr">
        <is>
          <t>打开原文</t>
        </is>
      </c>
    </row>
    <row r="241">
      <c r="A241" s="12" t="n">
        <v>237</v>
      </c>
      <c r="B241" s="13" t="n">
        <v>45896</v>
      </c>
      <c r="C241" s="14" t="n">
        <v>1250</v>
      </c>
      <c r="D241" s="14" t="n">
        <v>1300</v>
      </c>
      <c r="E241" s="15">
        <f>(C241+D241)/2</f>
        <v/>
      </c>
      <c r="F241" s="15">
        <f>D241-C241</f>
        <v/>
      </c>
      <c r="G241" s="16" t="inlineStr">
        <is>
          <t>主流市场报价</t>
        </is>
      </c>
      <c r="H241" s="17" t="inlineStr">
        <is>
          <t>打开原文</t>
        </is>
      </c>
    </row>
    <row r="242">
      <c r="A242" s="18" t="n">
        <v>238</v>
      </c>
      <c r="B242" s="19" t="n">
        <v>45897</v>
      </c>
      <c r="C242" s="20" t="n">
        <v>1250</v>
      </c>
      <c r="D242" s="20" t="n">
        <v>1300</v>
      </c>
      <c r="E242" s="21">
        <f>(C242+D242)/2</f>
        <v/>
      </c>
      <c r="F242" s="21">
        <f>D242-C242</f>
        <v/>
      </c>
      <c r="G242" s="22" t="inlineStr">
        <is>
          <t>主流市场报价</t>
        </is>
      </c>
      <c r="H242" s="23" t="inlineStr">
        <is>
          <t>打开原文</t>
        </is>
      </c>
    </row>
    <row r="243">
      <c r="A243" s="12" t="n">
        <v>239</v>
      </c>
      <c r="B243" s="13" t="n">
        <v>45898</v>
      </c>
      <c r="C243" s="14" t="n">
        <v>1250</v>
      </c>
      <c r="D243" s="14" t="n">
        <v>1300</v>
      </c>
      <c r="E243" s="15">
        <f>(C243+D243)/2</f>
        <v/>
      </c>
      <c r="F243" s="15">
        <f>D243-C243</f>
        <v/>
      </c>
      <c r="G243" s="16" t="inlineStr">
        <is>
          <t>主流市场报价</t>
        </is>
      </c>
      <c r="H243" s="17" t="inlineStr">
        <is>
          <t>打开原文</t>
        </is>
      </c>
    </row>
    <row r="244">
      <c r="A244" s="18" t="n">
        <v>240</v>
      </c>
      <c r="B244" s="19" t="n">
        <v>45901</v>
      </c>
      <c r="C244" s="20" t="n">
        <v>1230</v>
      </c>
      <c r="D244" s="20" t="n">
        <v>1300</v>
      </c>
      <c r="E244" s="21">
        <f>(C244+D244)/2</f>
        <v/>
      </c>
      <c r="F244" s="21">
        <f>D244-C244</f>
        <v/>
      </c>
      <c r="G244" s="22" t="inlineStr">
        <is>
          <t>主流市场报价</t>
        </is>
      </c>
      <c r="H244" s="23" t="inlineStr">
        <is>
          <t>打开原文</t>
        </is>
      </c>
    </row>
    <row r="245">
      <c r="A245" s="12" t="n">
        <v>241</v>
      </c>
      <c r="B245" s="13" t="n">
        <v>45902</v>
      </c>
      <c r="C245" s="14" t="n">
        <v>1200</v>
      </c>
      <c r="D245" s="14" t="n">
        <v>1300</v>
      </c>
      <c r="E245" s="15">
        <f>(C245+D245)/2</f>
        <v/>
      </c>
      <c r="F245" s="15">
        <f>D245-C245</f>
        <v/>
      </c>
      <c r="G245" s="16" t="inlineStr">
        <is>
          <t>主流市场报价</t>
        </is>
      </c>
      <c r="H245" s="17" t="inlineStr">
        <is>
          <t>打开原文</t>
        </is>
      </c>
    </row>
    <row r="246">
      <c r="A246" s="18" t="n">
        <v>242</v>
      </c>
      <c r="B246" s="19" t="n">
        <v>45903</v>
      </c>
      <c r="C246" s="20" t="n">
        <v>1200</v>
      </c>
      <c r="D246" s="20" t="n">
        <v>1300</v>
      </c>
      <c r="E246" s="21">
        <f>(C246+D246)/2</f>
        <v/>
      </c>
      <c r="F246" s="21">
        <f>D246-C246</f>
        <v/>
      </c>
      <c r="G246" s="22" t="inlineStr">
        <is>
          <t>主流市场报价</t>
        </is>
      </c>
      <c r="H246" s="23" t="inlineStr">
        <is>
          <t>打开原文</t>
        </is>
      </c>
    </row>
    <row r="247">
      <c r="A247" s="12" t="n">
        <v>243</v>
      </c>
      <c r="B247" s="13" t="n">
        <v>45904</v>
      </c>
      <c r="C247" s="14" t="n">
        <v>1200</v>
      </c>
      <c r="D247" s="14" t="n">
        <v>1300</v>
      </c>
      <c r="E247" s="15">
        <f>(C247+D247)/2</f>
        <v/>
      </c>
      <c r="F247" s="15">
        <f>D247-C247</f>
        <v/>
      </c>
      <c r="G247" s="16" t="inlineStr">
        <is>
          <t>主流市场报价</t>
        </is>
      </c>
      <c r="H247" s="17" t="inlineStr">
        <is>
          <t>打开原文</t>
        </is>
      </c>
    </row>
    <row r="248">
      <c r="A248" s="18" t="n">
        <v>244</v>
      </c>
      <c r="B248" s="19" t="n">
        <v>45905</v>
      </c>
      <c r="C248" s="20" t="n">
        <v>1200</v>
      </c>
      <c r="D248" s="20" t="n">
        <v>1300</v>
      </c>
      <c r="E248" s="21">
        <f>(C248+D248)/2</f>
        <v/>
      </c>
      <c r="F248" s="21">
        <f>D248-C248</f>
        <v/>
      </c>
      <c r="G248" s="22" t="inlineStr">
        <is>
          <t>主流市场报价</t>
        </is>
      </c>
      <c r="H248" s="23" t="inlineStr">
        <is>
          <t>打开原文</t>
        </is>
      </c>
    </row>
    <row r="249">
      <c r="A249" s="12" t="n">
        <v>245</v>
      </c>
      <c r="B249" s="13" t="n">
        <v>45908</v>
      </c>
      <c r="C249" s="14" t="n">
        <v>1200</v>
      </c>
      <c r="D249" s="14" t="n">
        <v>1300</v>
      </c>
      <c r="E249" s="15">
        <f>(C249+D249)/2</f>
        <v/>
      </c>
      <c r="F249" s="15">
        <f>D249-C249</f>
        <v/>
      </c>
      <c r="G249" s="16" t="inlineStr">
        <is>
          <t>主流市场报价</t>
        </is>
      </c>
      <c r="H249" s="17" t="inlineStr">
        <is>
          <t>打开原文</t>
        </is>
      </c>
    </row>
    <row r="250">
      <c r="A250" s="18" t="n">
        <v>246</v>
      </c>
      <c r="B250" s="19" t="n">
        <v>45909</v>
      </c>
      <c r="C250" s="20" t="n">
        <v>1200</v>
      </c>
      <c r="D250" s="20" t="n">
        <v>1300</v>
      </c>
      <c r="E250" s="21">
        <f>(C250+D250)/2</f>
        <v/>
      </c>
      <c r="F250" s="21">
        <f>D250-C250</f>
        <v/>
      </c>
      <c r="G250" s="22" t="inlineStr">
        <is>
          <t>主流市场报价</t>
        </is>
      </c>
      <c r="H250" s="23" t="inlineStr">
        <is>
          <t>打开原文</t>
        </is>
      </c>
    </row>
    <row r="251">
      <c r="A251" s="12" t="n">
        <v>247</v>
      </c>
      <c r="B251" s="13" t="n">
        <v>45910</v>
      </c>
      <c r="C251" s="14" t="n">
        <v>1200</v>
      </c>
      <c r="D251" s="14" t="n">
        <v>1300</v>
      </c>
      <c r="E251" s="15">
        <f>(C251+D251)/2</f>
        <v/>
      </c>
      <c r="F251" s="15">
        <f>D251-C251</f>
        <v/>
      </c>
      <c r="G251" s="16" t="inlineStr">
        <is>
          <t>主流市场报价</t>
        </is>
      </c>
      <c r="H251" s="17" t="inlineStr">
        <is>
          <t>打开原文</t>
        </is>
      </c>
    </row>
    <row r="252">
      <c r="A252" s="18" t="n">
        <v>248</v>
      </c>
      <c r="B252" s="19" t="n">
        <v>45911</v>
      </c>
      <c r="C252" s="20" t="n">
        <v>1200</v>
      </c>
      <c r="D252" s="20" t="n">
        <v>1300</v>
      </c>
      <c r="E252" s="21">
        <f>(C252+D252)/2</f>
        <v/>
      </c>
      <c r="F252" s="21">
        <f>D252-C252</f>
        <v/>
      </c>
      <c r="G252" s="22" t="inlineStr">
        <is>
          <t>主流市场报价</t>
        </is>
      </c>
      <c r="H252" s="23" t="inlineStr">
        <is>
          <t>打开原文</t>
        </is>
      </c>
    </row>
    <row r="253">
      <c r="A253" s="12" t="n">
        <v>249</v>
      </c>
      <c r="B253" s="13" t="n">
        <v>45912</v>
      </c>
      <c r="C253" s="14" t="n">
        <v>1200</v>
      </c>
      <c r="D253" s="14" t="n">
        <v>1300</v>
      </c>
      <c r="E253" s="15">
        <f>(C253+D253)/2</f>
        <v/>
      </c>
      <c r="F253" s="15">
        <f>D253-C253</f>
        <v/>
      </c>
      <c r="G253" s="16" t="inlineStr">
        <is>
          <t>主流市场报价</t>
        </is>
      </c>
      <c r="H253" s="17" t="inlineStr">
        <is>
          <t>打开原文</t>
        </is>
      </c>
    </row>
    <row r="254">
      <c r="A254" s="18" t="n">
        <v>250</v>
      </c>
      <c r="B254" s="19" t="n">
        <v>45916</v>
      </c>
      <c r="C254" s="20" t="n">
        <v>1200</v>
      </c>
      <c r="D254" s="20" t="n">
        <v>1300</v>
      </c>
      <c r="E254" s="21">
        <f>(C254+D254)/2</f>
        <v/>
      </c>
      <c r="F254" s="21">
        <f>D254-C254</f>
        <v/>
      </c>
      <c r="G254" s="22" t="inlineStr">
        <is>
          <t>主流市场报价</t>
        </is>
      </c>
      <c r="H254" s="23" t="inlineStr">
        <is>
          <t>打开原文</t>
        </is>
      </c>
    </row>
    <row r="255">
      <c r="A255" s="12" t="n">
        <v>251</v>
      </c>
      <c r="B255" s="13" t="n">
        <v>45917</v>
      </c>
      <c r="C255" s="14" t="n">
        <v>1200</v>
      </c>
      <c r="D255" s="14" t="n">
        <v>1300</v>
      </c>
      <c r="E255" s="15">
        <f>(C255+D255)/2</f>
        <v/>
      </c>
      <c r="F255" s="15">
        <f>D255-C255</f>
        <v/>
      </c>
      <c r="G255" s="16" t="inlineStr">
        <is>
          <t>主流市场报价</t>
        </is>
      </c>
      <c r="H255" s="17" t="inlineStr">
        <is>
          <t>打开原文</t>
        </is>
      </c>
    </row>
    <row r="256">
      <c r="A256" s="18" t="n">
        <v>252</v>
      </c>
      <c r="B256" s="19" t="n">
        <v>45918</v>
      </c>
      <c r="C256" s="20" t="n">
        <v>1200</v>
      </c>
      <c r="D256" s="20" t="n">
        <v>1300</v>
      </c>
      <c r="E256" s="21">
        <f>(C256+D256)/2</f>
        <v/>
      </c>
      <c r="F256" s="21">
        <f>D256-C256</f>
        <v/>
      </c>
      <c r="G256" s="22" t="inlineStr">
        <is>
          <t>主流市场报价</t>
        </is>
      </c>
      <c r="H256" s="23" t="inlineStr">
        <is>
          <t>打开原文</t>
        </is>
      </c>
    </row>
    <row r="257">
      <c r="A257" s="12" t="n">
        <v>253</v>
      </c>
      <c r="B257" s="13" t="n">
        <v>45919</v>
      </c>
      <c r="C257" s="14" t="n">
        <v>1200</v>
      </c>
      <c r="D257" s="14" t="n">
        <v>1300</v>
      </c>
      <c r="E257" s="15">
        <f>(C257+D257)/2</f>
        <v/>
      </c>
      <c r="F257" s="15">
        <f>D257-C257</f>
        <v/>
      </c>
      <c r="G257" s="16" t="inlineStr">
        <is>
          <t>主流市场报价</t>
        </is>
      </c>
      <c r="H257" s="17" t="inlineStr">
        <is>
          <t>打开原文</t>
        </is>
      </c>
    </row>
    <row r="258">
      <c r="A258" s="18" t="n">
        <v>254</v>
      </c>
      <c r="B258" s="19" t="n">
        <v>45922</v>
      </c>
      <c r="C258" s="20" t="n">
        <v>1200</v>
      </c>
      <c r="D258" s="20" t="n">
        <v>1300</v>
      </c>
      <c r="E258" s="21">
        <f>(C258+D258)/2</f>
        <v/>
      </c>
      <c r="F258" s="21">
        <f>D258-C258</f>
        <v/>
      </c>
      <c r="G258" s="22" t="inlineStr">
        <is>
          <t>主流市场报价</t>
        </is>
      </c>
      <c r="H258" s="23" t="inlineStr">
        <is>
          <t>打开原文</t>
        </is>
      </c>
    </row>
    <row r="259">
      <c r="A259" s="12" t="n">
        <v>255</v>
      </c>
      <c r="B259" s="13" t="n">
        <v>45924</v>
      </c>
      <c r="C259" s="14" t="n">
        <v>1200</v>
      </c>
      <c r="D259" s="14" t="n">
        <v>1300</v>
      </c>
      <c r="E259" s="15">
        <f>(C259+D259)/2</f>
        <v/>
      </c>
      <c r="F259" s="15">
        <f>D259-C259</f>
        <v/>
      </c>
      <c r="G259" s="16" t="inlineStr">
        <is>
          <t>主流市场报价</t>
        </is>
      </c>
      <c r="H259" s="17" t="inlineStr">
        <is>
          <t>打开原文</t>
        </is>
      </c>
    </row>
    <row r="260">
      <c r="A260" s="18" t="n">
        <v>256</v>
      </c>
      <c r="B260" s="19" t="n">
        <v>45925</v>
      </c>
      <c r="C260" s="20" t="n">
        <v>1200</v>
      </c>
      <c r="D260" s="20" t="n">
        <v>1300</v>
      </c>
      <c r="E260" s="21">
        <f>(C260+D260)/2</f>
        <v/>
      </c>
      <c r="F260" s="21">
        <f>D260-C260</f>
        <v/>
      </c>
      <c r="G260" s="22" t="inlineStr">
        <is>
          <t>主流市场报价</t>
        </is>
      </c>
      <c r="H260" s="23" t="inlineStr">
        <is>
          <t>打开原文</t>
        </is>
      </c>
    </row>
    <row r="261">
      <c r="A261" s="12" t="n">
        <v>257</v>
      </c>
      <c r="B261" s="13" t="n">
        <v>45926</v>
      </c>
      <c r="C261" s="14" t="n">
        <v>1200</v>
      </c>
      <c r="D261" s="14" t="n">
        <v>1300</v>
      </c>
      <c r="E261" s="15">
        <f>(C261+D261)/2</f>
        <v/>
      </c>
      <c r="F261" s="15">
        <f>D261-C261</f>
        <v/>
      </c>
      <c r="G261" s="16" t="inlineStr">
        <is>
          <t>主流市场报价</t>
        </is>
      </c>
      <c r="H261" s="17" t="inlineStr">
        <is>
          <t>打开原文</t>
        </is>
      </c>
    </row>
    <row r="262">
      <c r="A262" s="18" t="n">
        <v>258</v>
      </c>
      <c r="B262" s="19" t="n">
        <v>45929</v>
      </c>
      <c r="C262" s="20" t="n">
        <v>1200</v>
      </c>
      <c r="D262" s="20" t="n">
        <v>1300</v>
      </c>
      <c r="E262" s="21">
        <f>(C262+D262)/2</f>
        <v/>
      </c>
      <c r="F262" s="21">
        <f>D262-C262</f>
        <v/>
      </c>
      <c r="G262" s="22" t="inlineStr">
        <is>
          <t>主流市场报价</t>
        </is>
      </c>
      <c r="H262" s="23" t="inlineStr">
        <is>
          <t>打开原文</t>
        </is>
      </c>
    </row>
    <row r="263">
      <c r="A263" s="12" t="n">
        <v>259</v>
      </c>
      <c r="B263" s="13" t="n">
        <v>45930</v>
      </c>
      <c r="C263" s="14" t="n">
        <v>1200</v>
      </c>
      <c r="D263" s="14" t="n">
        <v>1300</v>
      </c>
      <c r="E263" s="15">
        <f>(C263+D263)/2</f>
        <v/>
      </c>
      <c r="F263" s="15">
        <f>D263-C263</f>
        <v/>
      </c>
      <c r="G263" s="16" t="inlineStr">
        <is>
          <t>主流市场报价</t>
        </is>
      </c>
      <c r="H263" s="17" t="inlineStr">
        <is>
          <t>打开原文</t>
        </is>
      </c>
    </row>
    <row r="264">
      <c r="A264" s="18" t="n">
        <v>260</v>
      </c>
      <c r="B264" s="19" t="n">
        <v>45939</v>
      </c>
      <c r="C264" s="20" t="n">
        <v>1200</v>
      </c>
      <c r="D264" s="20" t="n">
        <v>1300</v>
      </c>
      <c r="E264" s="21">
        <f>(C264+D264)/2</f>
        <v/>
      </c>
      <c r="F264" s="21">
        <f>D264-C264</f>
        <v/>
      </c>
      <c r="G264" s="22" t="inlineStr">
        <is>
          <t>主流市场报价</t>
        </is>
      </c>
      <c r="H264" s="23" t="inlineStr">
        <is>
          <t>打开原文</t>
        </is>
      </c>
    </row>
    <row r="265">
      <c r="A265" s="12" t="n">
        <v>261</v>
      </c>
      <c r="B265" s="13" t="n">
        <v>45941</v>
      </c>
      <c r="C265" s="14" t="n">
        <v>1200</v>
      </c>
      <c r="D265" s="14" t="n">
        <v>1300</v>
      </c>
      <c r="E265" s="15">
        <f>(C265+D265)/2</f>
        <v/>
      </c>
      <c r="F265" s="15">
        <f>D265-C265</f>
        <v/>
      </c>
      <c r="G265" s="16" t="inlineStr">
        <is>
          <t>主流市场报价</t>
        </is>
      </c>
      <c r="H265" s="17" t="inlineStr">
        <is>
          <t>打开原文</t>
        </is>
      </c>
    </row>
    <row r="266">
      <c r="A266" s="18" t="n">
        <v>262</v>
      </c>
      <c r="B266" s="19" t="n">
        <v>45957</v>
      </c>
      <c r="C266" s="20" t="n">
        <v>1200</v>
      </c>
      <c r="D266" s="20" t="n">
        <v>1300</v>
      </c>
      <c r="E266" s="21">
        <f>(C266+D266)/2</f>
        <v/>
      </c>
      <c r="F266" s="21">
        <f>D266-C266</f>
        <v/>
      </c>
      <c r="G266" s="22" t="inlineStr">
        <is>
          <t>主流市场报价</t>
        </is>
      </c>
      <c r="H266" s="23" t="inlineStr">
        <is>
          <t>打开原文</t>
        </is>
      </c>
    </row>
    <row r="267">
      <c r="A267" s="12" t="n">
        <v>263</v>
      </c>
      <c r="B267" s="13" t="n">
        <v>45958</v>
      </c>
      <c r="C267" s="14" t="n">
        <v>1200</v>
      </c>
      <c r="D267" s="14" t="n">
        <v>1300</v>
      </c>
      <c r="E267" s="15">
        <f>(C267+D267)/2</f>
        <v/>
      </c>
      <c r="F267" s="15">
        <f>D267-C267</f>
        <v/>
      </c>
      <c r="G267" s="16" t="inlineStr">
        <is>
          <t>主流市场报价</t>
        </is>
      </c>
      <c r="H267" s="17" t="inlineStr">
        <is>
          <t>打开原文</t>
        </is>
      </c>
    </row>
    <row r="268">
      <c r="A268" s="18" t="n">
        <v>264</v>
      </c>
      <c r="B268" s="19" t="n">
        <v>45959</v>
      </c>
      <c r="C268" s="20" t="n">
        <v>1200</v>
      </c>
      <c r="D268" s="20" t="n">
        <v>1300</v>
      </c>
      <c r="E268" s="21">
        <f>(C268+D268)/2</f>
        <v/>
      </c>
      <c r="F268" s="21">
        <f>D268-C268</f>
        <v/>
      </c>
      <c r="G268" s="22" t="inlineStr">
        <is>
          <t>主流市场报价</t>
        </is>
      </c>
      <c r="H268" s="23" t="inlineStr">
        <is>
          <t>打开原文</t>
        </is>
      </c>
    </row>
    <row r="269">
      <c r="A269" s="12" t="n">
        <v>265</v>
      </c>
      <c r="B269" s="13" t="n">
        <v>45960</v>
      </c>
      <c r="C269" s="14" t="n">
        <v>1200</v>
      </c>
      <c r="D269" s="14" t="n">
        <v>1300</v>
      </c>
      <c r="E269" s="15">
        <f>(C269+D269)/2</f>
        <v/>
      </c>
      <c r="F269" s="15">
        <f>D269-C269</f>
        <v/>
      </c>
      <c r="G269" s="16" t="inlineStr">
        <is>
          <t>主流市场报价</t>
        </is>
      </c>
      <c r="H269" s="17" t="inlineStr">
        <is>
          <t>打开原文</t>
        </is>
      </c>
    </row>
    <row r="270">
      <c r="A270" s="18" t="n">
        <v>266</v>
      </c>
      <c r="B270" s="19" t="n">
        <v>45961</v>
      </c>
      <c r="C270" s="20" t="n">
        <v>1200</v>
      </c>
      <c r="D270" s="20" t="n">
        <v>1300</v>
      </c>
      <c r="E270" s="21">
        <f>(C270+D270)/2</f>
        <v/>
      </c>
      <c r="F270" s="21">
        <f>D270-C270</f>
        <v/>
      </c>
      <c r="G270" s="22" t="inlineStr">
        <is>
          <t>主流市场报价</t>
        </is>
      </c>
      <c r="H270" s="23" t="inlineStr">
        <is>
          <t>打开原文</t>
        </is>
      </c>
    </row>
    <row r="271">
      <c r="A271" s="12" t="n">
        <v>267</v>
      </c>
      <c r="B271" s="13" t="n">
        <v>45964</v>
      </c>
      <c r="C271" s="14" t="n">
        <v>1200</v>
      </c>
      <c r="D271" s="14" t="n">
        <v>1300</v>
      </c>
      <c r="E271" s="15">
        <f>(C271+D271)/2</f>
        <v/>
      </c>
      <c r="F271" s="15">
        <f>D271-C271</f>
        <v/>
      </c>
      <c r="G271" s="16" t="inlineStr">
        <is>
          <t>主流市场报价</t>
        </is>
      </c>
      <c r="H271" s="17" t="inlineStr">
        <is>
          <t>打开原文</t>
        </is>
      </c>
    </row>
    <row r="272">
      <c r="A272" s="18" t="n">
        <v>268</v>
      </c>
      <c r="B272" s="19" t="n">
        <v>45965</v>
      </c>
      <c r="C272" s="20" t="n">
        <v>1200</v>
      </c>
      <c r="D272" s="20" t="n">
        <v>1300</v>
      </c>
      <c r="E272" s="21">
        <f>(C272+D272)/2</f>
        <v/>
      </c>
      <c r="F272" s="21">
        <f>D272-C272</f>
        <v/>
      </c>
      <c r="G272" s="22" t="inlineStr">
        <is>
          <t>主流市场报价</t>
        </is>
      </c>
      <c r="H272" s="23" t="inlineStr">
        <is>
          <t>打开原文</t>
        </is>
      </c>
    </row>
    <row r="273">
      <c r="A273" s="12" t="n">
        <v>269</v>
      </c>
      <c r="B273" s="13" t="n">
        <v>45966</v>
      </c>
      <c r="C273" s="14" t="n">
        <v>1200</v>
      </c>
      <c r="D273" s="14" t="n">
        <v>1300</v>
      </c>
      <c r="E273" s="15">
        <f>(C273+D273)/2</f>
        <v/>
      </c>
      <c r="F273" s="15">
        <f>D273-C273</f>
        <v/>
      </c>
      <c r="G273" s="16" t="inlineStr">
        <is>
          <t>主流市场报价</t>
        </is>
      </c>
      <c r="H273" s="17" t="inlineStr">
        <is>
          <t>打开原文</t>
        </is>
      </c>
    </row>
    <row r="274">
      <c r="A274" s="18" t="n">
        <v>270</v>
      </c>
      <c r="B274" s="19" t="n">
        <v>45967</v>
      </c>
      <c r="C274" s="20" t="n">
        <v>1200</v>
      </c>
      <c r="D274" s="20" t="n">
        <v>1300</v>
      </c>
      <c r="E274" s="21">
        <f>(C274+D274)/2</f>
        <v/>
      </c>
      <c r="F274" s="21">
        <f>D274-C274</f>
        <v/>
      </c>
      <c r="G274" s="22" t="inlineStr">
        <is>
          <t>主流市场报价</t>
        </is>
      </c>
      <c r="H274" s="23" t="inlineStr">
        <is>
          <t>打开原文</t>
        </is>
      </c>
    </row>
    <row r="275">
      <c r="A275" s="12" t="n">
        <v>271</v>
      </c>
      <c r="B275" s="13" t="n">
        <v>45968</v>
      </c>
      <c r="C275" s="14" t="n">
        <v>1200</v>
      </c>
      <c r="D275" s="14" t="n">
        <v>1300</v>
      </c>
      <c r="E275" s="15">
        <f>(C275+D275)/2</f>
        <v/>
      </c>
      <c r="F275" s="15">
        <f>D275-C275</f>
        <v/>
      </c>
      <c r="G275" s="16" t="inlineStr">
        <is>
          <t>主流市场报价</t>
        </is>
      </c>
      <c r="H275" s="17" t="inlineStr">
        <is>
          <t>打开原文</t>
        </is>
      </c>
    </row>
    <row r="276">
      <c r="A276" s="18" t="n">
        <v>272</v>
      </c>
      <c r="B276" s="19" t="n">
        <v>45971</v>
      </c>
      <c r="C276" s="20" t="n">
        <v>1200</v>
      </c>
      <c r="D276" s="20" t="n">
        <v>1300</v>
      </c>
      <c r="E276" s="21">
        <f>(C276+D276)/2</f>
        <v/>
      </c>
      <c r="F276" s="21">
        <f>D276-C276</f>
        <v/>
      </c>
      <c r="G276" s="22" t="inlineStr">
        <is>
          <t>主流市场报价</t>
        </is>
      </c>
      <c r="H276" s="23" t="inlineStr">
        <is>
          <t>打开原文</t>
        </is>
      </c>
    </row>
    <row r="277">
      <c r="A277" s="12" t="n">
        <v>273</v>
      </c>
      <c r="B277" s="13" t="n">
        <v>45972</v>
      </c>
      <c r="C277" s="14" t="n">
        <v>1200</v>
      </c>
      <c r="D277" s="14" t="n">
        <v>1300</v>
      </c>
      <c r="E277" s="15">
        <f>(C277+D277)/2</f>
        <v/>
      </c>
      <c r="F277" s="15">
        <f>D277-C277</f>
        <v/>
      </c>
      <c r="G277" s="16" t="inlineStr">
        <is>
          <t>主流市场报价</t>
        </is>
      </c>
      <c r="H277" s="17" t="inlineStr">
        <is>
          <t>打开原文</t>
        </is>
      </c>
    </row>
    <row r="278">
      <c r="A278" s="18" t="n">
        <v>274</v>
      </c>
      <c r="B278" s="19" t="n">
        <v>45973</v>
      </c>
      <c r="C278" s="20" t="n">
        <v>1200</v>
      </c>
      <c r="D278" s="20" t="n">
        <v>1300</v>
      </c>
      <c r="E278" s="21">
        <f>(C278+D278)/2</f>
        <v/>
      </c>
      <c r="F278" s="21">
        <f>D278-C278</f>
        <v/>
      </c>
      <c r="G278" s="22" t="inlineStr">
        <is>
          <t>主流市场报价</t>
        </is>
      </c>
      <c r="H278" s="23" t="inlineStr">
        <is>
          <t>打开原文</t>
        </is>
      </c>
    </row>
    <row r="279">
      <c r="A279" s="12" t="n">
        <v>275</v>
      </c>
      <c r="B279" s="13" t="n">
        <v>45974</v>
      </c>
      <c r="C279" s="14" t="n">
        <v>1200</v>
      </c>
      <c r="D279" s="14" t="n">
        <v>1300</v>
      </c>
      <c r="E279" s="15">
        <f>(C279+D279)/2</f>
        <v/>
      </c>
      <c r="F279" s="15">
        <f>D279-C279</f>
        <v/>
      </c>
      <c r="G279" s="16" t="inlineStr">
        <is>
          <t>主流市场报价</t>
        </is>
      </c>
      <c r="H279" s="17" t="inlineStr">
        <is>
          <t>打开原文</t>
        </is>
      </c>
    </row>
    <row r="280">
      <c r="A280" s="18" t="n">
        <v>276</v>
      </c>
      <c r="B280" s="19" t="n">
        <v>45975</v>
      </c>
      <c r="C280" s="20" t="n">
        <v>1200</v>
      </c>
      <c r="D280" s="20" t="n">
        <v>1300</v>
      </c>
      <c r="E280" s="21">
        <f>(C280+D280)/2</f>
        <v/>
      </c>
      <c r="F280" s="21">
        <f>D280-C280</f>
        <v/>
      </c>
      <c r="G280" s="22" t="inlineStr">
        <is>
          <t>主流市场报价</t>
        </is>
      </c>
      <c r="H280" s="23" t="inlineStr">
        <is>
          <t>打开原文</t>
        </is>
      </c>
    </row>
    <row r="281">
      <c r="A281" s="12" t="n">
        <v>277</v>
      </c>
      <c r="B281" s="13" t="n">
        <v>45978</v>
      </c>
      <c r="C281" s="14" t="n">
        <v>1200</v>
      </c>
      <c r="D281" s="14" t="n">
        <v>1300</v>
      </c>
      <c r="E281" s="15">
        <f>(C281+D281)/2</f>
        <v/>
      </c>
      <c r="F281" s="15">
        <f>D281-C281</f>
        <v/>
      </c>
      <c r="G281" s="16" t="inlineStr">
        <is>
          <t>主流市场报价</t>
        </is>
      </c>
      <c r="H281" s="17" t="inlineStr">
        <is>
          <t>打开原文</t>
        </is>
      </c>
    </row>
    <row r="282">
      <c r="A282" s="18" t="n">
        <v>278</v>
      </c>
      <c r="B282" s="19" t="n">
        <v>45980</v>
      </c>
      <c r="C282" s="20" t="n">
        <v>1200</v>
      </c>
      <c r="D282" s="20" t="n">
        <v>1300</v>
      </c>
      <c r="E282" s="21">
        <f>(C282+D282)/2</f>
        <v/>
      </c>
      <c r="F282" s="21">
        <f>D282-C282</f>
        <v/>
      </c>
      <c r="G282" s="22" t="inlineStr">
        <is>
          <t>主流市场报价</t>
        </is>
      </c>
      <c r="H282" s="23" t="inlineStr">
        <is>
          <t>打开原文</t>
        </is>
      </c>
    </row>
    <row r="283">
      <c r="A283" s="12" t="n">
        <v>279</v>
      </c>
      <c r="B283" s="13" t="n">
        <v>45982</v>
      </c>
      <c r="C283" s="14" t="n">
        <v>1200</v>
      </c>
      <c r="D283" s="14" t="n">
        <v>1300</v>
      </c>
      <c r="E283" s="15">
        <f>(C283+D283)/2</f>
        <v/>
      </c>
      <c r="F283" s="15">
        <f>D283-C283</f>
        <v/>
      </c>
      <c r="G283" s="16" t="inlineStr">
        <is>
          <t>主流市场报价</t>
        </is>
      </c>
      <c r="H283" s="17" t="inlineStr">
        <is>
          <t>打开原文</t>
        </is>
      </c>
    </row>
    <row r="284">
      <c r="A284" s="18" t="n">
        <v>280</v>
      </c>
      <c r="B284" s="19" t="n">
        <v>45985</v>
      </c>
      <c r="C284" s="20" t="n">
        <v>1200</v>
      </c>
      <c r="D284" s="20" t="n">
        <v>1300</v>
      </c>
      <c r="E284" s="21">
        <f>(C284+D284)/2</f>
        <v/>
      </c>
      <c r="F284" s="21">
        <f>D284-C284</f>
        <v/>
      </c>
      <c r="G284" s="22" t="inlineStr">
        <is>
          <t>主流市场报价</t>
        </is>
      </c>
      <c r="H284" s="23" t="inlineStr">
        <is>
          <t>打开原文</t>
        </is>
      </c>
    </row>
    <row r="285">
      <c r="A285" s="12" t="n">
        <v>281</v>
      </c>
      <c r="B285" s="13" t="n">
        <v>45986</v>
      </c>
      <c r="C285" s="14" t="n">
        <v>1200</v>
      </c>
      <c r="D285" s="14" t="n">
        <v>1300</v>
      </c>
      <c r="E285" s="15">
        <f>(C285+D285)/2</f>
        <v/>
      </c>
      <c r="F285" s="15">
        <f>D285-C285</f>
        <v/>
      </c>
      <c r="G285" s="16" t="inlineStr">
        <is>
          <t>主流市场报价</t>
        </is>
      </c>
      <c r="H285" s="17" t="inlineStr">
        <is>
          <t>打开原文</t>
        </is>
      </c>
    </row>
    <row r="286">
      <c r="A286" s="18" t="n">
        <v>282</v>
      </c>
      <c r="B286" s="19" t="n">
        <v>45987</v>
      </c>
      <c r="C286" s="20" t="n">
        <v>1200</v>
      </c>
      <c r="D286" s="20" t="n">
        <v>1300</v>
      </c>
      <c r="E286" s="21">
        <f>(C286+D286)/2</f>
        <v/>
      </c>
      <c r="F286" s="21">
        <f>D286-C286</f>
        <v/>
      </c>
      <c r="G286" s="22" t="inlineStr">
        <is>
          <t>主流市场报价</t>
        </is>
      </c>
      <c r="H286" s="23" t="inlineStr">
        <is>
          <t>打开原文</t>
        </is>
      </c>
    </row>
    <row r="287">
      <c r="A287" s="12" t="n">
        <v>283</v>
      </c>
      <c r="B287" s="13" t="n">
        <v>45988</v>
      </c>
      <c r="C287" s="14" t="n">
        <v>1200</v>
      </c>
      <c r="D287" s="14" t="n">
        <v>1300</v>
      </c>
      <c r="E287" s="15">
        <f>(C287+D287)/2</f>
        <v/>
      </c>
      <c r="F287" s="15">
        <f>D287-C287</f>
        <v/>
      </c>
      <c r="G287" s="16" t="inlineStr">
        <is>
          <t>主流市场报价</t>
        </is>
      </c>
      <c r="H287" s="17" t="inlineStr">
        <is>
          <t>打开原文</t>
        </is>
      </c>
    </row>
    <row r="288">
      <c r="A288" s="18" t="n">
        <v>284</v>
      </c>
      <c r="B288" s="19" t="n">
        <v>45993</v>
      </c>
      <c r="C288" s="20" t="n">
        <v>1200</v>
      </c>
      <c r="D288" s="20" t="n">
        <v>1300</v>
      </c>
      <c r="E288" s="21">
        <f>(C288+D288)/2</f>
        <v/>
      </c>
      <c r="F288" s="21">
        <f>D288-C288</f>
        <v/>
      </c>
      <c r="G288" s="22" t="inlineStr">
        <is>
          <t>主流市场报价</t>
        </is>
      </c>
      <c r="H288" s="23" t="inlineStr">
        <is>
          <t>打开原文</t>
        </is>
      </c>
    </row>
    <row r="289">
      <c r="A289" s="12" t="n">
        <v>285</v>
      </c>
      <c r="B289" s="13" t="n">
        <v>45994</v>
      </c>
      <c r="C289" s="14" t="n">
        <v>1200</v>
      </c>
      <c r="D289" s="14" t="n">
        <v>1300</v>
      </c>
      <c r="E289" s="15">
        <f>(C289+D289)/2</f>
        <v/>
      </c>
      <c r="F289" s="15">
        <f>D289-C289</f>
        <v/>
      </c>
      <c r="G289" s="16" t="inlineStr">
        <is>
          <t>主流市场报价</t>
        </is>
      </c>
      <c r="H289" s="17" t="inlineStr">
        <is>
          <t>打开原文</t>
        </is>
      </c>
    </row>
    <row r="290">
      <c r="A290" s="18" t="n">
        <v>286</v>
      </c>
      <c r="B290" s="19" t="n">
        <v>45995</v>
      </c>
      <c r="C290" s="20" t="n">
        <v>1200</v>
      </c>
      <c r="D290" s="20" t="n">
        <v>1300</v>
      </c>
      <c r="E290" s="21">
        <f>(C290+D290)/2</f>
        <v/>
      </c>
      <c r="F290" s="21">
        <f>D290-C290</f>
        <v/>
      </c>
      <c r="G290" s="22" t="inlineStr">
        <is>
          <t>主流市场报价</t>
        </is>
      </c>
      <c r="H290" s="23" t="inlineStr">
        <is>
          <t>打开原文</t>
        </is>
      </c>
    </row>
    <row r="291">
      <c r="A291" s="12" t="n">
        <v>287</v>
      </c>
      <c r="B291" s="13" t="n">
        <v>45996</v>
      </c>
      <c r="C291" s="14" t="n">
        <v>1200</v>
      </c>
      <c r="D291" s="14" t="n">
        <v>1300</v>
      </c>
      <c r="E291" s="15">
        <f>(C291+D291)/2</f>
        <v/>
      </c>
      <c r="F291" s="15">
        <f>D291-C291</f>
        <v/>
      </c>
      <c r="G291" s="16" t="inlineStr">
        <is>
          <t>主流市场报价</t>
        </is>
      </c>
      <c r="H291" s="17" t="inlineStr">
        <is>
          <t>打开原文</t>
        </is>
      </c>
    </row>
    <row r="292">
      <c r="A292" s="18" t="n">
        <v>288</v>
      </c>
      <c r="B292" s="19" t="n">
        <v>46000</v>
      </c>
      <c r="C292" s="20" t="n">
        <v>1200</v>
      </c>
      <c r="D292" s="20" t="n">
        <v>1300</v>
      </c>
      <c r="E292" s="21">
        <f>(C292+D292)/2</f>
        <v/>
      </c>
      <c r="F292" s="21">
        <f>D292-C292</f>
        <v/>
      </c>
      <c r="G292" s="22" t="inlineStr">
        <is>
          <t>主流市场报价</t>
        </is>
      </c>
      <c r="H292" s="23" t="inlineStr">
        <is>
          <t>打开原文</t>
        </is>
      </c>
    </row>
    <row r="293">
      <c r="A293" s="12" t="n">
        <v>289</v>
      </c>
      <c r="B293" s="13" t="n">
        <v>46001</v>
      </c>
      <c r="C293" s="14" t="n">
        <v>1200</v>
      </c>
      <c r="D293" s="14" t="n">
        <v>1300</v>
      </c>
      <c r="E293" s="15">
        <f>(C293+D293)/2</f>
        <v/>
      </c>
      <c r="F293" s="15">
        <f>D293-C293</f>
        <v/>
      </c>
      <c r="G293" s="16" t="inlineStr">
        <is>
          <t>主流市场报价</t>
        </is>
      </c>
      <c r="H293" s="17" t="inlineStr">
        <is>
          <t>打开原文</t>
        </is>
      </c>
    </row>
    <row r="294">
      <c r="A294" s="18" t="n">
        <v>290</v>
      </c>
      <c r="B294" s="19" t="n">
        <v>46002</v>
      </c>
      <c r="C294" s="20" t="n">
        <v>1200</v>
      </c>
      <c r="D294" s="20" t="n">
        <v>1300</v>
      </c>
      <c r="E294" s="21">
        <f>(C294+D294)/2</f>
        <v/>
      </c>
      <c r="F294" s="21">
        <f>D294-C294</f>
        <v/>
      </c>
      <c r="G294" s="22" t="inlineStr">
        <is>
          <t>主流市场报价</t>
        </is>
      </c>
      <c r="H294" s="23" t="inlineStr">
        <is>
          <t>打开原文</t>
        </is>
      </c>
    </row>
    <row r="295">
      <c r="A295" s="12" t="n">
        <v>291</v>
      </c>
      <c r="B295" s="13" t="n">
        <v>46003</v>
      </c>
      <c r="C295" s="14" t="n">
        <v>1200</v>
      </c>
      <c r="D295" s="14" t="n">
        <v>1300</v>
      </c>
      <c r="E295" s="15">
        <f>(C295+D295)/2</f>
        <v/>
      </c>
      <c r="F295" s="15">
        <f>D295-C295</f>
        <v/>
      </c>
      <c r="G295" s="16" t="inlineStr">
        <is>
          <t>主流市场报价</t>
        </is>
      </c>
      <c r="H295" s="17" t="inlineStr">
        <is>
          <t>打开原文</t>
        </is>
      </c>
    </row>
    <row r="296">
      <c r="A296" s="18" t="n">
        <v>292</v>
      </c>
      <c r="B296" s="19" t="n">
        <v>46006</v>
      </c>
      <c r="C296" s="20" t="n">
        <v>1200</v>
      </c>
      <c r="D296" s="20" t="n">
        <v>1300</v>
      </c>
      <c r="E296" s="21">
        <f>(C296+D296)/2</f>
        <v/>
      </c>
      <c r="F296" s="21">
        <f>D296-C296</f>
        <v/>
      </c>
      <c r="G296" s="22" t="inlineStr">
        <is>
          <t>主流市场报价</t>
        </is>
      </c>
      <c r="H296" s="23" t="inlineStr">
        <is>
          <t>打开原文</t>
        </is>
      </c>
    </row>
    <row r="297">
      <c r="A297" s="12" t="n">
        <v>293</v>
      </c>
      <c r="B297" s="13" t="n">
        <v>46007</v>
      </c>
      <c r="C297" s="14" t="n">
        <v>1200</v>
      </c>
      <c r="D297" s="14" t="n">
        <v>1300</v>
      </c>
      <c r="E297" s="15">
        <f>(C297+D297)/2</f>
        <v/>
      </c>
      <c r="F297" s="15">
        <f>D297-C297</f>
        <v/>
      </c>
      <c r="G297" s="16" t="inlineStr">
        <is>
          <t>主流市场报价</t>
        </is>
      </c>
      <c r="H297" s="17" t="inlineStr">
        <is>
          <t>打开原文</t>
        </is>
      </c>
    </row>
    <row r="298">
      <c r="A298" s="18" t="n">
        <v>294</v>
      </c>
      <c r="B298" s="19" t="n">
        <v>46008</v>
      </c>
      <c r="C298" s="20" t="n">
        <v>1200</v>
      </c>
      <c r="D298" s="20" t="n">
        <v>1300</v>
      </c>
      <c r="E298" s="21">
        <f>(C298+D298)/2</f>
        <v/>
      </c>
      <c r="F298" s="21">
        <f>D298-C298</f>
        <v/>
      </c>
      <c r="G298" s="22" t="inlineStr">
        <is>
          <t>主流市场报价</t>
        </is>
      </c>
      <c r="H298" s="23" t="inlineStr">
        <is>
          <t>打开原文</t>
        </is>
      </c>
    </row>
    <row r="299">
      <c r="A299" s="12" t="n">
        <v>295</v>
      </c>
      <c r="B299" s="13" t="n">
        <v>46009</v>
      </c>
      <c r="C299" s="14" t="n">
        <v>1200</v>
      </c>
      <c r="D299" s="14" t="n">
        <v>1300</v>
      </c>
      <c r="E299" s="15">
        <f>(C299+D299)/2</f>
        <v/>
      </c>
      <c r="F299" s="15">
        <f>D299-C299</f>
        <v/>
      </c>
      <c r="G299" s="16" t="inlineStr">
        <is>
          <t>主流市场报价</t>
        </is>
      </c>
      <c r="H299" s="17" t="inlineStr">
        <is>
          <t>打开原文</t>
        </is>
      </c>
    </row>
    <row r="300">
      <c r="A300" s="18" t="n">
        <v>296</v>
      </c>
      <c r="B300" s="19" t="n">
        <v>46010</v>
      </c>
      <c r="C300" s="20" t="n">
        <v>1200</v>
      </c>
      <c r="D300" s="20" t="n">
        <v>1300</v>
      </c>
      <c r="E300" s="21">
        <f>(C300+D300)/2</f>
        <v/>
      </c>
      <c r="F300" s="21">
        <f>D300-C300</f>
        <v/>
      </c>
      <c r="G300" s="22" t="inlineStr">
        <is>
          <t>主流市场报价</t>
        </is>
      </c>
      <c r="H300" s="23" t="inlineStr">
        <is>
          <t>打开原文</t>
        </is>
      </c>
    </row>
    <row r="301">
      <c r="A301" s="12" t="n">
        <v>297</v>
      </c>
      <c r="B301" s="13" t="n">
        <v>46014</v>
      </c>
      <c r="C301" s="14" t="n">
        <v>1200</v>
      </c>
      <c r="D301" s="14" t="n">
        <v>1300</v>
      </c>
      <c r="E301" s="15">
        <f>(C301+D301)/2</f>
        <v/>
      </c>
      <c r="F301" s="15">
        <f>D301-C301</f>
        <v/>
      </c>
      <c r="G301" s="16" t="inlineStr">
        <is>
          <t>主流市场报价</t>
        </is>
      </c>
      <c r="H301" s="17" t="inlineStr">
        <is>
          <t>打开原文</t>
        </is>
      </c>
    </row>
    <row r="302">
      <c r="A302" s="18" t="n">
        <v>298</v>
      </c>
      <c r="B302" s="19" t="n">
        <v>46015</v>
      </c>
      <c r="C302" s="20" t="n">
        <v>1200</v>
      </c>
      <c r="D302" s="20" t="n">
        <v>1300</v>
      </c>
      <c r="E302" s="21">
        <f>(C302+D302)/2</f>
        <v/>
      </c>
      <c r="F302" s="21">
        <f>D302-C302</f>
        <v/>
      </c>
      <c r="G302" s="22" t="inlineStr">
        <is>
          <t>主流市场报价</t>
        </is>
      </c>
      <c r="H302" s="23" t="inlineStr">
        <is>
          <t>打开原文</t>
        </is>
      </c>
    </row>
    <row r="303">
      <c r="A303" s="12" t="n">
        <v>299</v>
      </c>
      <c r="B303" s="13" t="n">
        <v>46016</v>
      </c>
      <c r="C303" s="14" t="n">
        <v>1200</v>
      </c>
      <c r="D303" s="14" t="n">
        <v>1300</v>
      </c>
      <c r="E303" s="15">
        <f>(C303+D303)/2</f>
        <v/>
      </c>
      <c r="F303" s="15">
        <f>D303-C303</f>
        <v/>
      </c>
      <c r="G303" s="16" t="inlineStr">
        <is>
          <t>主流市场报价</t>
        </is>
      </c>
      <c r="H303" s="17" t="inlineStr">
        <is>
          <t>打开原文</t>
        </is>
      </c>
    </row>
    <row r="304">
      <c r="A304" s="18" t="n">
        <v>300</v>
      </c>
      <c r="B304" s="19" t="n">
        <v>46020</v>
      </c>
      <c r="C304" s="20" t="n">
        <v>1200</v>
      </c>
      <c r="D304" s="20" t="n">
        <v>1300</v>
      </c>
      <c r="E304" s="21">
        <f>(C304+D304)/2</f>
        <v/>
      </c>
      <c r="F304" s="21">
        <f>D304-C304</f>
        <v/>
      </c>
      <c r="G304" s="22" t="inlineStr">
        <is>
          <t>主流市场报价</t>
        </is>
      </c>
      <c r="H304" s="23" t="inlineStr">
        <is>
          <t>打开原文</t>
        </is>
      </c>
    </row>
    <row r="305">
      <c r="A305" s="12" t="n">
        <v>301</v>
      </c>
      <c r="B305" s="13" t="n">
        <v>46022</v>
      </c>
      <c r="C305" s="14" t="n">
        <v>1200</v>
      </c>
      <c r="D305" s="14" t="n">
        <v>1300</v>
      </c>
      <c r="E305" s="15">
        <f>(C305+D305)/2</f>
        <v/>
      </c>
      <c r="F305" s="15">
        <f>D305-C305</f>
        <v/>
      </c>
      <c r="G305" s="16" t="inlineStr">
        <is>
          <t>主流市场报价</t>
        </is>
      </c>
      <c r="H305" s="17" t="inlineStr">
        <is>
          <t>打开原文</t>
        </is>
      </c>
    </row>
    <row r="306">
      <c r="A306" s="18" t="n">
        <v>302</v>
      </c>
      <c r="B306" s="19" t="n">
        <v>46026</v>
      </c>
      <c r="C306" s="20" t="n">
        <v>1170</v>
      </c>
      <c r="D306" s="20" t="n">
        <v>1300</v>
      </c>
      <c r="E306" s="21">
        <f>(C306+D306)/2</f>
        <v/>
      </c>
      <c r="F306" s="21">
        <f>D306-C306</f>
        <v/>
      </c>
      <c r="G306" s="22" t="inlineStr">
        <is>
          <t>主流市场报价</t>
        </is>
      </c>
      <c r="H306" s="23" t="inlineStr">
        <is>
          <t>打开原文</t>
        </is>
      </c>
    </row>
    <row r="307">
      <c r="A307" s="12" t="n">
        <v>303</v>
      </c>
      <c r="B307" s="13" t="n">
        <v>46027</v>
      </c>
      <c r="C307" s="14" t="n">
        <v>1170</v>
      </c>
      <c r="D307" s="14" t="n">
        <v>1300</v>
      </c>
      <c r="E307" s="15">
        <f>(C307+D307)/2</f>
        <v/>
      </c>
      <c r="F307" s="15">
        <f>D307-C307</f>
        <v/>
      </c>
      <c r="G307" s="16" t="inlineStr">
        <is>
          <t>主流市场报价</t>
        </is>
      </c>
      <c r="H307" s="17" t="inlineStr">
        <is>
          <t>打开原文</t>
        </is>
      </c>
    </row>
    <row r="308">
      <c r="A308" s="18" t="n">
        <v>304</v>
      </c>
      <c r="B308" s="19" t="n">
        <v>46029</v>
      </c>
      <c r="C308" s="20" t="n">
        <v>1170</v>
      </c>
      <c r="D308" s="20" t="n">
        <v>1300</v>
      </c>
      <c r="E308" s="21">
        <f>(C308+D308)/2</f>
        <v/>
      </c>
      <c r="F308" s="21">
        <f>D308-C308</f>
        <v/>
      </c>
      <c r="G308" s="22" t="inlineStr">
        <is>
          <t>主流市场报价</t>
        </is>
      </c>
      <c r="H308" s="23" t="inlineStr">
        <is>
          <t>打开原文</t>
        </is>
      </c>
    </row>
    <row r="309">
      <c r="A309" s="12" t="n">
        <v>305</v>
      </c>
      <c r="B309" s="13" t="n">
        <v>46034</v>
      </c>
      <c r="C309" s="14" t="n">
        <v>1170</v>
      </c>
      <c r="D309" s="14" t="n">
        <v>1300</v>
      </c>
      <c r="E309" s="15">
        <f>(C309+D309)/2</f>
        <v/>
      </c>
      <c r="F309" s="15">
        <f>D309-C309</f>
        <v/>
      </c>
      <c r="G309" s="16" t="inlineStr">
        <is>
          <t>主流市场报价</t>
        </is>
      </c>
      <c r="H309" s="17" t="inlineStr">
        <is>
          <t>打开原文</t>
        </is>
      </c>
    </row>
    <row r="310">
      <c r="A310" s="18" t="n">
        <v>306</v>
      </c>
      <c r="B310" s="19" t="n">
        <v>46035</v>
      </c>
      <c r="C310" s="20" t="n">
        <v>1170</v>
      </c>
      <c r="D310" s="20" t="n">
        <v>1300</v>
      </c>
      <c r="E310" s="21">
        <f>(C310+D310)/2</f>
        <v/>
      </c>
      <c r="F310" s="21">
        <f>D310-C310</f>
        <v/>
      </c>
      <c r="G310" s="22" t="inlineStr">
        <is>
          <t>主流市场报价</t>
        </is>
      </c>
      <c r="H310" s="23" t="inlineStr">
        <is>
          <t>打开原文</t>
        </is>
      </c>
    </row>
    <row r="311">
      <c r="A311" s="12" t="n">
        <v>307</v>
      </c>
      <c r="B311" s="13" t="n">
        <v>46038</v>
      </c>
      <c r="C311" s="14" t="n">
        <v>1170</v>
      </c>
      <c r="D311" s="14" t="n">
        <v>1300</v>
      </c>
      <c r="E311" s="15">
        <f>(C311+D311)/2</f>
        <v/>
      </c>
      <c r="F311" s="15">
        <f>D311-C311</f>
        <v/>
      </c>
      <c r="G311" s="16" t="inlineStr">
        <is>
          <t>主流市场报价</t>
        </is>
      </c>
      <c r="H311" s="17" t="inlineStr">
        <is>
          <t>打开原文</t>
        </is>
      </c>
    </row>
    <row r="312">
      <c r="A312" s="18" t="n">
        <v>308</v>
      </c>
      <c r="B312" s="19" t="n">
        <v>46041</v>
      </c>
      <c r="C312" s="20" t="n">
        <v>1170</v>
      </c>
      <c r="D312" s="20" t="n">
        <v>1300</v>
      </c>
      <c r="E312" s="21">
        <f>(C312+D312)/2</f>
        <v/>
      </c>
      <c r="F312" s="21">
        <f>D312-C312</f>
        <v/>
      </c>
      <c r="G312" s="22" t="inlineStr">
        <is>
          <t>主流市场报价</t>
        </is>
      </c>
      <c r="H312" s="23" t="inlineStr">
        <is>
          <t>打开原文</t>
        </is>
      </c>
    </row>
    <row r="313">
      <c r="A313" s="12" t="n">
        <v>309</v>
      </c>
      <c r="B313" s="13" t="n">
        <v>46043</v>
      </c>
      <c r="C313" s="14" t="n">
        <v>1170</v>
      </c>
      <c r="D313" s="14" t="n">
        <v>1300</v>
      </c>
      <c r="E313" s="15">
        <f>(C313+D313)/2</f>
        <v/>
      </c>
      <c r="F313" s="15">
        <f>D313-C313</f>
        <v/>
      </c>
      <c r="G313" s="16" t="inlineStr">
        <is>
          <t>主流市场报价</t>
        </is>
      </c>
      <c r="H313" s="17" t="inlineStr">
        <is>
          <t>打开原文</t>
        </is>
      </c>
    </row>
    <row r="314">
      <c r="A314" s="18" t="n">
        <v>310</v>
      </c>
      <c r="B314" s="19" t="n">
        <v>46044</v>
      </c>
      <c r="C314" s="20" t="n">
        <v>1170</v>
      </c>
      <c r="D314" s="20" t="n">
        <v>1300</v>
      </c>
      <c r="E314" s="21">
        <f>(C314+D314)/2</f>
        <v/>
      </c>
      <c r="F314" s="21">
        <f>D314-C314</f>
        <v/>
      </c>
      <c r="G314" s="22" t="inlineStr">
        <is>
          <t>主流市场报价</t>
        </is>
      </c>
      <c r="H314" s="23" t="inlineStr">
        <is>
          <t>打开原文</t>
        </is>
      </c>
    </row>
    <row r="315">
      <c r="A315" s="12" t="n">
        <v>311</v>
      </c>
      <c r="B315" s="13" t="n">
        <v>46045</v>
      </c>
      <c r="C315" s="14" t="n">
        <v>1170</v>
      </c>
      <c r="D315" s="14" t="n">
        <v>1300</v>
      </c>
      <c r="E315" s="15">
        <f>(C315+D315)/2</f>
        <v/>
      </c>
      <c r="F315" s="15">
        <f>D315-C315</f>
        <v/>
      </c>
      <c r="G315" s="16" t="inlineStr">
        <is>
          <t>主流市场报价</t>
        </is>
      </c>
      <c r="H315" s="17" t="inlineStr">
        <is>
          <t>打开原文</t>
        </is>
      </c>
    </row>
    <row r="316">
      <c r="A316" s="18" t="n">
        <v>312</v>
      </c>
      <c r="B316" s="19" t="n">
        <v>46048</v>
      </c>
      <c r="C316" s="20" t="n">
        <v>1170</v>
      </c>
      <c r="D316" s="20" t="n">
        <v>1300</v>
      </c>
      <c r="E316" s="21">
        <f>(C316+D316)/2</f>
        <v/>
      </c>
      <c r="F316" s="21">
        <f>D316-C316</f>
        <v/>
      </c>
      <c r="G316" s="22" t="inlineStr">
        <is>
          <t>主流市场报价</t>
        </is>
      </c>
      <c r="H316" s="23" t="inlineStr">
        <is>
          <t>打开原文</t>
        </is>
      </c>
    </row>
    <row r="317">
      <c r="A317" s="12" t="n">
        <v>313</v>
      </c>
      <c r="B317" s="13" t="n">
        <v>46050</v>
      </c>
      <c r="C317" s="14" t="n">
        <v>1170</v>
      </c>
      <c r="D317" s="14" t="n">
        <v>1300</v>
      </c>
      <c r="E317" s="15">
        <f>(C317+D317)/2</f>
        <v/>
      </c>
      <c r="F317" s="15">
        <f>D317-C317</f>
        <v/>
      </c>
      <c r="G317" s="16" t="inlineStr">
        <is>
          <t>主流市场报价</t>
        </is>
      </c>
      <c r="H317" s="17" t="inlineStr">
        <is>
          <t>打开原文</t>
        </is>
      </c>
    </row>
    <row r="318">
      <c r="A318" s="18" t="n">
        <v>314</v>
      </c>
      <c r="B318" s="19" t="n">
        <v>46051</v>
      </c>
      <c r="C318" s="20" t="n">
        <v>1170</v>
      </c>
      <c r="D318" s="20" t="n">
        <v>1300</v>
      </c>
      <c r="E318" s="21">
        <f>(C318+D318)/2</f>
        <v/>
      </c>
      <c r="F318" s="21">
        <f>D318-C318</f>
        <v/>
      </c>
      <c r="G318" s="22" t="inlineStr">
        <is>
          <t>主流市场报价</t>
        </is>
      </c>
      <c r="H318" s="23" t="inlineStr">
        <is>
          <t>打开原文</t>
        </is>
      </c>
    </row>
    <row r="319">
      <c r="A319" s="12" t="n">
        <v>315</v>
      </c>
      <c r="B319" s="13" t="n">
        <v>46052</v>
      </c>
      <c r="C319" s="14" t="n">
        <v>1170</v>
      </c>
      <c r="D319" s="14" t="n">
        <v>1300</v>
      </c>
      <c r="E319" s="15">
        <f>(C319+D319)/2</f>
        <v/>
      </c>
      <c r="F319" s="15">
        <f>D319-C319</f>
        <v/>
      </c>
      <c r="G319" s="16" t="inlineStr">
        <is>
          <t>主流市场报价</t>
        </is>
      </c>
      <c r="H319" s="17" t="inlineStr">
        <is>
          <t>打开原文</t>
        </is>
      </c>
    </row>
    <row r="320">
      <c r="A320" s="18" t="n">
        <v>316</v>
      </c>
      <c r="B320" s="19" t="n">
        <v>46055</v>
      </c>
      <c r="C320" s="20" t="n">
        <v>1170</v>
      </c>
      <c r="D320" s="20" t="n">
        <v>1300</v>
      </c>
      <c r="E320" s="21">
        <f>(C320+D320)/2</f>
        <v/>
      </c>
      <c r="F320" s="21">
        <f>D320-C320</f>
        <v/>
      </c>
      <c r="G320" s="22" t="inlineStr">
        <is>
          <t>主流市场报价</t>
        </is>
      </c>
      <c r="H320" s="23" t="inlineStr">
        <is>
          <t>打开原文</t>
        </is>
      </c>
    </row>
    <row r="321">
      <c r="A321" s="12" t="n">
        <v>317</v>
      </c>
      <c r="B321" s="13" t="n">
        <v>46057</v>
      </c>
      <c r="C321" s="14" t="n">
        <v>1170</v>
      </c>
      <c r="D321" s="14" t="n">
        <v>1300</v>
      </c>
      <c r="E321" s="15">
        <f>(C321+D321)/2</f>
        <v/>
      </c>
      <c r="F321" s="15">
        <f>D321-C321</f>
        <v/>
      </c>
      <c r="G321" s="16" t="inlineStr">
        <is>
          <t>主流市场报价</t>
        </is>
      </c>
      <c r="H321" s="17" t="inlineStr">
        <is>
          <t>打开原文</t>
        </is>
      </c>
    </row>
    <row r="322">
      <c r="A322" s="18" t="n">
        <v>318</v>
      </c>
      <c r="B322" s="19" t="n">
        <v>46058</v>
      </c>
      <c r="C322" s="20" t="n">
        <v>1170</v>
      </c>
      <c r="D322" s="20" t="n">
        <v>1300</v>
      </c>
      <c r="E322" s="21">
        <f>(C322+D322)/2</f>
        <v/>
      </c>
      <c r="F322" s="21">
        <f>D322-C322</f>
        <v/>
      </c>
      <c r="G322" s="22" t="inlineStr">
        <is>
          <t>主流市场报价</t>
        </is>
      </c>
      <c r="H322" s="23" t="inlineStr">
        <is>
          <t>打开原文</t>
        </is>
      </c>
    </row>
    <row r="323">
      <c r="A323" s="12" t="n">
        <v>319</v>
      </c>
      <c r="B323" s="13" t="n">
        <v>46064</v>
      </c>
      <c r="C323" s="14" t="n">
        <v>1170</v>
      </c>
      <c r="D323" s="14" t="n">
        <v>1300</v>
      </c>
      <c r="E323" s="15">
        <f>(C323+D323)/2</f>
        <v/>
      </c>
      <c r="F323" s="15">
        <f>D323-C323</f>
        <v/>
      </c>
      <c r="G323" s="16" t="inlineStr">
        <is>
          <t>主流市场报价</t>
        </is>
      </c>
      <c r="H323" s="17" t="inlineStr">
        <is>
          <t>打开原文</t>
        </is>
      </c>
    </row>
    <row r="324">
      <c r="A324" s="18" t="n">
        <v>320</v>
      </c>
      <c r="B324" s="19" t="n">
        <v>46065</v>
      </c>
      <c r="C324" s="20" t="n">
        <v>1170</v>
      </c>
      <c r="D324" s="20" t="n">
        <v>1300</v>
      </c>
      <c r="E324" s="21">
        <f>(C324+D324)/2</f>
        <v/>
      </c>
      <c r="F324" s="21">
        <f>D324-C324</f>
        <v/>
      </c>
      <c r="G324" s="22" t="inlineStr">
        <is>
          <t>主流市场报价</t>
        </is>
      </c>
      <c r="H324" s="23" t="inlineStr">
        <is>
          <t>打开原文</t>
        </is>
      </c>
    </row>
    <row r="325">
      <c r="A325" s="12" t="n">
        <v>321</v>
      </c>
      <c r="B325" s="13" t="n">
        <v>46066</v>
      </c>
      <c r="C325" s="14" t="n">
        <v>1170</v>
      </c>
      <c r="D325" s="14" t="n">
        <v>1300</v>
      </c>
      <c r="E325" s="15">
        <f>(C325+D325)/2</f>
        <v/>
      </c>
      <c r="F325" s="15">
        <f>D325-C325</f>
        <v/>
      </c>
      <c r="G325" s="16" t="inlineStr">
        <is>
          <t>主流市场报价</t>
        </is>
      </c>
      <c r="H325" s="17" t="inlineStr">
        <is>
          <t>打开原文</t>
        </is>
      </c>
    </row>
    <row r="326">
      <c r="A326" s="18" t="n">
        <v>322</v>
      </c>
      <c r="B326" s="19" t="n">
        <v>46077</v>
      </c>
      <c r="C326" s="20" t="n">
        <v>1170</v>
      </c>
      <c r="D326" s="20" t="n">
        <v>1300</v>
      </c>
      <c r="E326" s="21">
        <f>(C326+D326)/2</f>
        <v/>
      </c>
      <c r="F326" s="21">
        <f>D326-C326</f>
        <v/>
      </c>
      <c r="G326" s="22" t="inlineStr">
        <is>
          <t>主流市场报价</t>
        </is>
      </c>
      <c r="H326" s="23" t="inlineStr">
        <is>
          <t>打开原文</t>
        </is>
      </c>
    </row>
    <row r="327">
      <c r="A327" s="12" t="n">
        <v>323</v>
      </c>
      <c r="B327" s="13" t="n">
        <v>46078</v>
      </c>
      <c r="C327" s="14" t="n">
        <v>1170</v>
      </c>
      <c r="D327" s="14" t="n">
        <v>1300</v>
      </c>
      <c r="E327" s="15">
        <f>(C327+D327)/2</f>
        <v/>
      </c>
      <c r="F327" s="15">
        <f>D327-C327</f>
        <v/>
      </c>
      <c r="G327" s="16" t="inlineStr">
        <is>
          <t>主流市场报价</t>
        </is>
      </c>
      <c r="H327" s="17" t="inlineStr">
        <is>
          <t>打开原文</t>
        </is>
      </c>
    </row>
    <row r="328">
      <c r="A328" s="18" t="n">
        <v>324</v>
      </c>
      <c r="B328" s="19" t="n">
        <v>46080</v>
      </c>
      <c r="C328" s="20" t="n">
        <v>1170</v>
      </c>
      <c r="D328" s="20" t="n">
        <v>1300</v>
      </c>
      <c r="E328" s="21">
        <f>(C328+D328)/2</f>
        <v/>
      </c>
      <c r="F328" s="21">
        <f>D328-C328</f>
        <v/>
      </c>
      <c r="G328" s="22" t="inlineStr">
        <is>
          <t>主流市场报价</t>
        </is>
      </c>
      <c r="H328" s="23" t="inlineStr">
        <is>
          <t>打开原文</t>
        </is>
      </c>
    </row>
    <row r="329">
      <c r="A329" s="12" t="n">
        <v>325</v>
      </c>
      <c r="B329" s="13" t="n">
        <v>46081</v>
      </c>
      <c r="C329" s="14" t="n">
        <v>1170</v>
      </c>
      <c r="D329" s="14" t="n">
        <v>1300</v>
      </c>
      <c r="E329" s="15">
        <f>(C329+D329)/2</f>
        <v/>
      </c>
      <c r="F329" s="15">
        <f>D329-C329</f>
        <v/>
      </c>
      <c r="G329" s="16" t="inlineStr">
        <is>
          <t>主流市场报价（实单商谈）</t>
        </is>
      </c>
      <c r="H329" s="17" t="inlineStr">
        <is>
          <t>打开原文</t>
        </is>
      </c>
    </row>
    <row r="330">
      <c r="A330" s="18" t="n">
        <v>326</v>
      </c>
      <c r="B330" s="19" t="n">
        <v>46084</v>
      </c>
      <c r="C330" s="20" t="n">
        <v>1170</v>
      </c>
      <c r="D330" s="20" t="n">
        <v>1300</v>
      </c>
      <c r="E330" s="21">
        <f>(C330+D330)/2</f>
        <v/>
      </c>
      <c r="F330" s="21">
        <f>D330-C330</f>
        <v/>
      </c>
      <c r="G330" s="22" t="inlineStr">
        <is>
          <t>主流市场报价（实单商谈）</t>
        </is>
      </c>
      <c r="H330" s="23" t="inlineStr">
        <is>
          <t>打开原文</t>
        </is>
      </c>
    </row>
    <row r="331">
      <c r="A331" s="12" t="n">
        <v>327</v>
      </c>
      <c r="B331" s="13" t="n">
        <v>46085</v>
      </c>
      <c r="C331" s="14" t="n">
        <v>1170</v>
      </c>
      <c r="D331" s="14" t="n">
        <v>1300</v>
      </c>
      <c r="E331" s="15">
        <f>(C331+D331)/2</f>
        <v/>
      </c>
      <c r="F331" s="15">
        <f>D331-C331</f>
        <v/>
      </c>
      <c r="G331" s="16" t="inlineStr">
        <is>
          <t>主流市场报价（实单商谈）</t>
        </is>
      </c>
      <c r="H331" s="17" t="inlineStr">
        <is>
          <t>打开原文</t>
        </is>
      </c>
    </row>
    <row r="332">
      <c r="A332" s="18" t="n">
        <v>328</v>
      </c>
      <c r="B332" s="19" t="n">
        <v>46086</v>
      </c>
      <c r="C332" s="20" t="n">
        <v>1170</v>
      </c>
      <c r="D332" s="20" t="n">
        <v>1300</v>
      </c>
      <c r="E332" s="21">
        <f>(C332+D332)/2</f>
        <v/>
      </c>
      <c r="F332" s="21">
        <f>D332-C332</f>
        <v/>
      </c>
      <c r="G332" s="22" t="inlineStr">
        <is>
          <t>主流市场报价（实单商谈）</t>
        </is>
      </c>
      <c r="H332" s="23" t="inlineStr">
        <is>
          <t>打开原文</t>
        </is>
      </c>
    </row>
    <row r="333">
      <c r="A333" s="12" t="n">
        <v>329</v>
      </c>
      <c r="B333" s="13" t="n">
        <v>46087</v>
      </c>
      <c r="C333" s="14" t="n">
        <v>1170</v>
      </c>
      <c r="D333" s="14" t="n">
        <v>1300</v>
      </c>
      <c r="E333" s="15">
        <f>(C333+D333)/2</f>
        <v/>
      </c>
      <c r="F333" s="15">
        <f>D333-C333</f>
        <v/>
      </c>
      <c r="G333" s="16" t="inlineStr">
        <is>
          <t>主流市场报价（实单商谈）</t>
        </is>
      </c>
      <c r="H333" s="17" t="inlineStr">
        <is>
          <t>打开原文</t>
        </is>
      </c>
    </row>
    <row r="334">
      <c r="A334" s="18" t="n">
        <v>330</v>
      </c>
      <c r="B334" s="19" t="n">
        <v>46092</v>
      </c>
      <c r="C334" s="20" t="n">
        <v>1200</v>
      </c>
      <c r="D334" s="20" t="n">
        <v>1300</v>
      </c>
      <c r="E334" s="21">
        <f>(C334+D334)/2</f>
        <v/>
      </c>
      <c r="F334" s="21">
        <f>D334-C334</f>
        <v/>
      </c>
      <c r="G334" s="22" t="inlineStr">
        <is>
          <t>主流市场报价（实单商谈）</t>
        </is>
      </c>
      <c r="H334" s="23" t="inlineStr">
        <is>
          <t>打开原文</t>
        </is>
      </c>
    </row>
    <row r="335">
      <c r="A335" s="12" t="n">
        <v>331</v>
      </c>
      <c r="B335" s="13" t="n">
        <v>46093</v>
      </c>
      <c r="C335" s="14" t="n">
        <v>1200</v>
      </c>
      <c r="D335" s="14" t="n">
        <v>1300</v>
      </c>
      <c r="E335" s="15">
        <f>(C335+D335)/2</f>
        <v/>
      </c>
      <c r="F335" s="15">
        <f>D335-C335</f>
        <v/>
      </c>
      <c r="G335" s="16" t="inlineStr">
        <is>
          <t>主流市场报价（实单商谈）</t>
        </is>
      </c>
      <c r="H335" s="17" t="inlineStr">
        <is>
          <t>打开原文</t>
        </is>
      </c>
    </row>
    <row r="336">
      <c r="A336" s="18" t="n">
        <v>332</v>
      </c>
      <c r="B336" s="19" t="n">
        <v>46097</v>
      </c>
      <c r="C336" s="20" t="n">
        <v>1200</v>
      </c>
      <c r="D336" s="20" t="n">
        <v>1300</v>
      </c>
      <c r="E336" s="21">
        <f>(C336+D336)/2</f>
        <v/>
      </c>
      <c r="F336" s="21">
        <f>D336-C336</f>
        <v/>
      </c>
      <c r="G336" s="22" t="inlineStr">
        <is>
          <t>主流市场报价（实单商谈）</t>
        </is>
      </c>
      <c r="H336" s="23" t="inlineStr">
        <is>
          <t>打开原文</t>
        </is>
      </c>
    </row>
    <row r="337">
      <c r="A337" s="12" t="n">
        <v>333</v>
      </c>
      <c r="B337" s="13" t="n">
        <v>46098</v>
      </c>
      <c r="C337" s="14" t="n">
        <v>1200</v>
      </c>
      <c r="D337" s="14" t="n">
        <v>1300</v>
      </c>
      <c r="E337" s="15">
        <f>(C337+D337)/2</f>
        <v/>
      </c>
      <c r="F337" s="15">
        <f>D337-C337</f>
        <v/>
      </c>
      <c r="G337" s="16" t="inlineStr">
        <is>
          <t>主流市场报价（实单商谈）</t>
        </is>
      </c>
      <c r="H337" s="17" t="inlineStr">
        <is>
          <t>打开原文</t>
        </is>
      </c>
    </row>
    <row r="338">
      <c r="A338" s="18" t="n">
        <v>334</v>
      </c>
      <c r="B338" s="19" t="n">
        <v>46100</v>
      </c>
      <c r="C338" s="20" t="n">
        <v>1200</v>
      </c>
      <c r="D338" s="20" t="n">
        <v>1300</v>
      </c>
      <c r="E338" s="21">
        <f>(C338+D338)/2</f>
        <v/>
      </c>
      <c r="F338" s="21">
        <f>D338-C338</f>
        <v/>
      </c>
      <c r="G338" s="22" t="inlineStr">
        <is>
          <t>主流市场报价（实单商谈）</t>
        </is>
      </c>
      <c r="H338" s="23" t="inlineStr">
        <is>
          <t>打开原文</t>
        </is>
      </c>
    </row>
    <row r="339">
      <c r="A339" s="12" t="n">
        <v>335</v>
      </c>
      <c r="B339" s="13" t="n">
        <v>46104</v>
      </c>
      <c r="C339" s="14" t="n">
        <v>1200</v>
      </c>
      <c r="D339" s="14" t="n">
        <v>1300</v>
      </c>
      <c r="E339" s="15">
        <f>(C339+D339)/2</f>
        <v/>
      </c>
      <c r="F339" s="15">
        <f>D339-C339</f>
        <v/>
      </c>
      <c r="G339" s="16" t="inlineStr">
        <is>
          <t>主流市场报价（实单商谈）</t>
        </is>
      </c>
      <c r="H339" s="17" t="inlineStr">
        <is>
          <t>打开原文</t>
        </is>
      </c>
    </row>
    <row r="340">
      <c r="A340" s="18" t="n">
        <v>336</v>
      </c>
      <c r="B340" s="19" t="n">
        <v>46105</v>
      </c>
      <c r="C340" s="20" t="n">
        <v>1200</v>
      </c>
      <c r="D340" s="20" t="n">
        <v>1300</v>
      </c>
      <c r="E340" s="21">
        <f>(C340+D340)/2</f>
        <v/>
      </c>
      <c r="F340" s="21">
        <f>D340-C340</f>
        <v/>
      </c>
      <c r="G340" s="22" t="inlineStr">
        <is>
          <t>主流市场报价（实单商谈）</t>
        </is>
      </c>
      <c r="H340" s="23" t="inlineStr">
        <is>
          <t>打开原文</t>
        </is>
      </c>
    </row>
    <row r="341">
      <c r="A341" s="12" t="n">
        <v>337</v>
      </c>
      <c r="B341" s="13" t="n">
        <v>46107</v>
      </c>
      <c r="C341" s="14" t="n">
        <v>1200</v>
      </c>
      <c r="D341" s="14" t="n">
        <v>1300</v>
      </c>
      <c r="E341" s="15">
        <f>(C341+D341)/2</f>
        <v/>
      </c>
      <c r="F341" s="15">
        <f>D341-C341</f>
        <v/>
      </c>
      <c r="G341" s="16" t="inlineStr">
        <is>
          <t>主流市场报价（实单商谈）</t>
        </is>
      </c>
      <c r="H341" s="17" t="inlineStr">
        <is>
          <t>打开原文</t>
        </is>
      </c>
    </row>
    <row r="342">
      <c r="A342" s="18" t="n">
        <v>338</v>
      </c>
      <c r="B342" s="19" t="n">
        <v>46112</v>
      </c>
      <c r="C342" s="20" t="n">
        <v>1200</v>
      </c>
      <c r="D342" s="20" t="n">
        <v>1300</v>
      </c>
      <c r="E342" s="21">
        <f>(C342+D342)/2</f>
        <v/>
      </c>
      <c r="F342" s="21">
        <f>D342-C342</f>
        <v/>
      </c>
      <c r="G342" s="22" t="inlineStr">
        <is>
          <t>主流市场报价（实单商谈）</t>
        </is>
      </c>
      <c r="H342" s="23" t="inlineStr">
        <is>
          <t>打开原文</t>
        </is>
      </c>
    </row>
    <row r="343">
      <c r="A343" s="12" t="n">
        <v>339</v>
      </c>
      <c r="B343" s="13" t="n">
        <v>46114</v>
      </c>
      <c r="C343" s="14" t="n">
        <v>1200</v>
      </c>
      <c r="D343" s="14" t="n">
        <v>1300</v>
      </c>
      <c r="E343" s="15">
        <f>(C343+D343)/2</f>
        <v/>
      </c>
      <c r="F343" s="15">
        <f>D343-C343</f>
        <v/>
      </c>
      <c r="G343" s="16" t="inlineStr">
        <is>
          <t>主流市场报价（实单商谈）</t>
        </is>
      </c>
      <c r="H343" s="17" t="inlineStr">
        <is>
          <t>打开原文</t>
        </is>
      </c>
    </row>
    <row r="344">
      <c r="A344" s="18" t="n">
        <v>340</v>
      </c>
      <c r="B344" s="19" t="n">
        <v>46119</v>
      </c>
      <c r="C344" s="20" t="n">
        <v>1200</v>
      </c>
      <c r="D344" s="20" t="n">
        <v>1300</v>
      </c>
      <c r="E344" s="21">
        <f>(C344+D344)/2</f>
        <v/>
      </c>
      <c r="F344" s="21">
        <f>D344-C344</f>
        <v/>
      </c>
      <c r="G344" s="22" t="inlineStr">
        <is>
          <t>主流市场报价（实单商谈）</t>
        </is>
      </c>
      <c r="H344" s="23" t="inlineStr">
        <is>
          <t>打开原文</t>
        </is>
      </c>
    </row>
    <row r="345">
      <c r="A345" s="12" t="n">
        <v>341</v>
      </c>
      <c r="B345" s="13" t="n">
        <v>46127</v>
      </c>
      <c r="C345" s="14" t="n">
        <v>1200</v>
      </c>
      <c r="D345" s="14" t="n">
        <v>1300</v>
      </c>
      <c r="E345" s="15">
        <f>(C345+D345)/2</f>
        <v/>
      </c>
      <c r="F345" s="15">
        <f>D345-C345</f>
        <v/>
      </c>
      <c r="G345" s="16" t="inlineStr">
        <is>
          <t>主流市场报价（实单商谈）</t>
        </is>
      </c>
      <c r="H345" s="17" t="inlineStr">
        <is>
          <t>打开原文</t>
        </is>
      </c>
    </row>
    <row r="346">
      <c r="A346" s="18" t="n">
        <v>342</v>
      </c>
      <c r="B346" s="19" t="n">
        <v>46134</v>
      </c>
      <c r="C346" s="20" t="n">
        <v>1200</v>
      </c>
      <c r="D346" s="20" t="n">
        <v>1300</v>
      </c>
      <c r="E346" s="21">
        <f>(C346+D346)/2</f>
        <v/>
      </c>
      <c r="F346" s="21">
        <f>D346-C346</f>
        <v/>
      </c>
      <c r="G346" s="22" t="inlineStr">
        <is>
          <t>主流市场报价（实单商谈）</t>
        </is>
      </c>
      <c r="H346" s="23" t="inlineStr">
        <is>
          <t>打开原文</t>
        </is>
      </c>
    </row>
    <row r="347">
      <c r="A347" s="12" t="n">
        <v>343</v>
      </c>
      <c r="B347" s="13" t="n">
        <v>46141</v>
      </c>
      <c r="C347" s="14" t="n">
        <v>1200</v>
      </c>
      <c r="D347" s="14" t="n">
        <v>1300</v>
      </c>
      <c r="E347" s="15">
        <f>(C347+D347)/2</f>
        <v/>
      </c>
      <c r="F347" s="15">
        <f>D347-C347</f>
        <v/>
      </c>
      <c r="G347" s="16" t="inlineStr">
        <is>
          <t>主流市场报价（实单商谈）</t>
        </is>
      </c>
      <c r="H347" s="17" t="inlineStr">
        <is>
          <t>打开原文</t>
        </is>
      </c>
    </row>
    <row r="348">
      <c r="A348" s="18" t="n">
        <v>344</v>
      </c>
      <c r="B348" s="19" t="n">
        <v>46151</v>
      </c>
      <c r="C348" s="20" t="n">
        <v>1200</v>
      </c>
      <c r="D348" s="20" t="n">
        <v>1300</v>
      </c>
      <c r="E348" s="21">
        <f>(C348+D348)/2</f>
        <v/>
      </c>
      <c r="F348" s="21">
        <f>D348-C348</f>
        <v/>
      </c>
      <c r="G348" s="22" t="inlineStr">
        <is>
          <t>主流市场报价（实单商谈）</t>
        </is>
      </c>
      <c r="H348" s="23" t="inlineStr">
        <is>
          <t>打开原文</t>
        </is>
      </c>
    </row>
    <row r="349">
      <c r="A349" s="12" t="n">
        <v>345</v>
      </c>
      <c r="B349" s="13" t="n">
        <v>46154</v>
      </c>
      <c r="C349" s="14" t="n">
        <v>1200</v>
      </c>
      <c r="D349" s="14" t="n">
        <v>1300</v>
      </c>
      <c r="E349" s="15">
        <f>(C349+D349)/2</f>
        <v/>
      </c>
      <c r="F349" s="15">
        <f>D349-C349</f>
        <v/>
      </c>
      <c r="G349" s="16" t="inlineStr">
        <is>
          <t>主流市场报价（实单商谈）</t>
        </is>
      </c>
      <c r="H349" s="17" t="inlineStr">
        <is>
          <t>打开原文</t>
        </is>
      </c>
    </row>
    <row r="350">
      <c r="A350" s="18" t="n">
        <v>346</v>
      </c>
      <c r="B350" s="19" t="n">
        <v>46161</v>
      </c>
      <c r="C350" s="20" t="n">
        <v>1200</v>
      </c>
      <c r="D350" s="20" t="n">
        <v>1300</v>
      </c>
      <c r="E350" s="21">
        <f>(C350+D350)/2</f>
        <v/>
      </c>
      <c r="F350" s="21">
        <f>D350-C350</f>
        <v/>
      </c>
      <c r="G350" s="22" t="inlineStr">
        <is>
          <t>主流市场报价（实单商谈）</t>
        </is>
      </c>
      <c r="H350" s="23" t="inlineStr">
        <is>
          <t>打开原文</t>
        </is>
      </c>
    </row>
    <row r="351">
      <c r="A351" s="12" t="n">
        <v>347</v>
      </c>
      <c r="B351" s="13" t="n">
        <v>46168</v>
      </c>
      <c r="C351" s="14" t="n">
        <v>1200</v>
      </c>
      <c r="D351" s="14" t="n">
        <v>1300</v>
      </c>
      <c r="E351" s="15">
        <f>(C351+D351)/2</f>
        <v/>
      </c>
      <c r="F351" s="15">
        <f>D351-C351</f>
        <v/>
      </c>
      <c r="G351" s="16" t="inlineStr">
        <is>
          <t>主流市场报价（实单商谈）</t>
        </is>
      </c>
      <c r="H351" s="17" t="inlineStr">
        <is>
          <t>打开原文</t>
        </is>
      </c>
    </row>
    <row r="352">
      <c r="A352" s="18" t="n">
        <v>348</v>
      </c>
      <c r="B352" s="19" t="n">
        <v>46175</v>
      </c>
      <c r="C352" s="20" t="n">
        <v>1200</v>
      </c>
      <c r="D352" s="20" t="n">
        <v>1300</v>
      </c>
      <c r="E352" s="21">
        <f>(C352+D352)/2</f>
        <v/>
      </c>
      <c r="F352" s="21">
        <f>D352-C352</f>
        <v/>
      </c>
      <c r="G352" s="22" t="inlineStr">
        <is>
          <t>主流市场报价（实单商谈）</t>
        </is>
      </c>
      <c r="H352" s="23" t="inlineStr">
        <is>
          <t>打开原文</t>
        </is>
      </c>
    </row>
    <row r="353">
      <c r="A353" s="12" t="n">
        <v>349</v>
      </c>
      <c r="B353" s="13" t="n">
        <v>46178</v>
      </c>
      <c r="C353" s="14" t="n">
        <v>1200</v>
      </c>
      <c r="D353" s="14" t="n">
        <v>1300</v>
      </c>
      <c r="E353" s="15">
        <f>(C353+D353)/2</f>
        <v/>
      </c>
      <c r="F353" s="15">
        <f>D353-C353</f>
        <v/>
      </c>
      <c r="G353" s="16" t="inlineStr">
        <is>
          <t>主流市场报价（实单商谈）</t>
        </is>
      </c>
      <c r="H353" s="17" t="inlineStr">
        <is>
          <t>打开原文</t>
        </is>
      </c>
    </row>
    <row r="354">
      <c r="A354" s="18" t="n">
        <v>350</v>
      </c>
      <c r="B354" s="19" t="n">
        <v>46182</v>
      </c>
      <c r="C354" s="20" t="n">
        <v>1200</v>
      </c>
      <c r="D354" s="20" t="n">
        <v>1300</v>
      </c>
      <c r="E354" s="21">
        <f>(C354+D354)/2</f>
        <v/>
      </c>
      <c r="F354" s="21">
        <f>D354-C354</f>
        <v/>
      </c>
      <c r="G354" s="22" t="inlineStr">
        <is>
          <t>主流市场报价（实单商谈）</t>
        </is>
      </c>
      <c r="H354" s="23" t="inlineStr">
        <is>
          <t>打开原文</t>
        </is>
      </c>
    </row>
    <row r="355">
      <c r="A355" s="12" t="n">
        <v>351</v>
      </c>
      <c r="B355" s="13" t="n">
        <v>46184</v>
      </c>
      <c r="C355" s="14" t="n">
        <v>1200</v>
      </c>
      <c r="D355" s="14" t="n">
        <v>1300</v>
      </c>
      <c r="E355" s="15">
        <f>(C355+D355)/2</f>
        <v/>
      </c>
      <c r="F355" s="15">
        <f>D355-C355</f>
        <v/>
      </c>
      <c r="G355" s="16" t="inlineStr">
        <is>
          <t>主流市场报价（实单商谈）</t>
        </is>
      </c>
      <c r="H355" s="17" t="inlineStr">
        <is>
          <t>打开原文</t>
        </is>
      </c>
    </row>
    <row r="356">
      <c r="A356" s="18" t="n">
        <v>352</v>
      </c>
      <c r="B356" s="19" t="n">
        <v>46188</v>
      </c>
      <c r="C356" s="20" t="n">
        <v>1200</v>
      </c>
      <c r="D356" s="20" t="n">
        <v>1300</v>
      </c>
      <c r="E356" s="21">
        <f>(C356+D356)/2</f>
        <v/>
      </c>
      <c r="F356" s="21">
        <f>D356-C356</f>
        <v/>
      </c>
      <c r="G356" s="22" t="inlineStr">
        <is>
          <t>主流市场报价（实单商谈）</t>
        </is>
      </c>
      <c r="H356" s="23" t="inlineStr">
        <is>
          <t>打开原文</t>
        </is>
      </c>
    </row>
    <row r="357">
      <c r="A357" s="12" t="n">
        <v>353</v>
      </c>
      <c r="B357" s="13" t="n">
        <v>46198</v>
      </c>
      <c r="C357" s="14" t="n">
        <v>1180</v>
      </c>
      <c r="D357" s="14" t="n">
        <v>1300</v>
      </c>
      <c r="E357" s="15">
        <f>(C357+D357)/2</f>
        <v/>
      </c>
      <c r="F357" s="15">
        <f>D357-C357</f>
        <v/>
      </c>
      <c r="G357" s="16" t="inlineStr">
        <is>
          <t>主流市场报价（实单商谈）</t>
        </is>
      </c>
      <c r="H357" s="17" t="inlineStr">
        <is>
          <t>打开原文</t>
        </is>
      </c>
    </row>
    <row r="358">
      <c r="A358" s="18" t="n">
        <v>354</v>
      </c>
      <c r="B358" s="19" t="n">
        <v>46204</v>
      </c>
      <c r="C358" s="20" t="n">
        <v>1180</v>
      </c>
      <c r="D358" s="20" t="n">
        <v>1300</v>
      </c>
      <c r="E358" s="21">
        <f>(C358+D358)/2</f>
        <v/>
      </c>
      <c r="F358" s="21">
        <f>D358-C358</f>
        <v/>
      </c>
      <c r="G358" s="22" t="inlineStr">
        <is>
          <t>主流市场报价（实单商谈）</t>
        </is>
      </c>
      <c r="H358" s="23" t="inlineStr">
        <is>
          <t>打开原文</t>
        </is>
      </c>
    </row>
    <row r="359">
      <c r="A359" s="12" t="n">
        <v>355</v>
      </c>
      <c r="B359" s="13" t="n">
        <v>46213</v>
      </c>
      <c r="C359" s="14" t="n">
        <v>1180</v>
      </c>
      <c r="D359" s="14" t="n">
        <v>1300</v>
      </c>
      <c r="E359" s="15">
        <f>(C359+D359)/2</f>
        <v/>
      </c>
      <c r="F359" s="15">
        <f>D359-C359</f>
        <v/>
      </c>
      <c r="G359" s="16" t="inlineStr">
        <is>
          <t>主流市场报价（实单商谈）</t>
        </is>
      </c>
      <c r="H359" s="17" t="inlineStr">
        <is>
          <t>打开原文</t>
        </is>
      </c>
    </row>
    <row r="360">
      <c r="A360" s="18" t="n">
        <v>356</v>
      </c>
      <c r="B360" s="19" t="n">
        <v>46220</v>
      </c>
      <c r="C360" s="20" t="n">
        <v>1180</v>
      </c>
      <c r="D360" s="20" t="n">
        <v>1300</v>
      </c>
      <c r="E360" s="21">
        <f>(C360+D360)/2</f>
        <v/>
      </c>
      <c r="F360" s="21">
        <f>D360-C360</f>
        <v/>
      </c>
      <c r="G360" s="22" t="inlineStr">
        <is>
          <t>主流市场报价（实单商谈）</t>
        </is>
      </c>
      <c r="H360" s="23" t="inlineStr">
        <is>
          <t>打开原文</t>
        </is>
      </c>
    </row>
    <row r="361">
      <c r="A361" s="12" t="n">
        <v>357</v>
      </c>
      <c r="B361" s="13" t="n">
        <v>46224</v>
      </c>
      <c r="C361" s="14" t="n">
        <v>1180</v>
      </c>
      <c r="D361" s="14" t="n">
        <v>1300</v>
      </c>
      <c r="E361" s="15">
        <f>(C361+D361)/2</f>
        <v/>
      </c>
      <c r="F361" s="15">
        <f>D361-C361</f>
        <v/>
      </c>
      <c r="G361" s="16" t="inlineStr">
        <is>
          <t>主流市场报价（实单商谈）</t>
        </is>
      </c>
      <c r="H361" s="17" t="inlineStr">
        <is>
          <t>打开原文</t>
        </is>
      </c>
    </row>
    <row r="362">
      <c r="A362" s="18" t="n">
        <v>358</v>
      </c>
      <c r="B362" s="19" t="n">
        <v>46231</v>
      </c>
      <c r="C362" s="20" t="n">
        <v>1180</v>
      </c>
      <c r="D362" s="20" t="n">
        <v>1250</v>
      </c>
      <c r="E362" s="21">
        <f>(C362+D362)/2</f>
        <v/>
      </c>
      <c r="F362" s="21">
        <f>D362-C362</f>
        <v/>
      </c>
      <c r="G362" s="22" t="inlineStr">
        <is>
          <t>主流市场报价（实单商谈）</t>
        </is>
      </c>
      <c r="H362" s="23" t="inlineStr">
        <is>
          <t>打开原文</t>
        </is>
      </c>
    </row>
    <row r="364" ht="30" customHeight="1">
      <c r="A364" s="24" t="inlineStr">
        <is>
          <t>共 358 条观测，2024-07-17 至 2026-07-28。E/F 列为公式（=(C+D)/2、=D-C），不做四舍五入存储，显示层保留两位。</t>
        </is>
      </c>
      <c r="B364" s="25" t="n"/>
      <c r="C364" s="25" t="n"/>
      <c r="D364" s="25" t="n"/>
      <c r="E364" s="25" t="n"/>
      <c r="F364" s="25" t="n"/>
      <c r="G364" s="25" t="n"/>
      <c r="H364" s="25" t="n"/>
    </row>
  </sheetData>
  <autoFilter ref="A4:H362"/>
  <mergeCells count="3">
    <mergeCell ref="A364:H364"/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A8FA6"/>
    <outlinePr summaryBelow="1" summaryRight="1"/>
    <pageSetUpPr/>
  </sheetPr>
  <dimension ref="A1:H130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5" customWidth="1" min="4" max="4"/>
    <col width="14" customWidth="1" min="5" max="5"/>
    <col width="10" customWidth="1" min="6" max="6"/>
    <col width="24" customWidth="1" min="7" max="7"/>
    <col width="40" customWidth="1" min="8" max="8"/>
  </cols>
  <sheetData>
    <row r="1" ht="30" customHeight="1">
      <c r="A1" s="1" t="inlineStr">
        <is>
          <t>03 原始序列 · 辅助口径（S2 华东轻质 / S3 全国基准）</t>
        </is>
      </c>
    </row>
    <row r="2" ht="30" customHeight="1">
      <c r="A2" s="2" t="inlineStr">
        <is>
          <t>两条辅助序列各自独立，不与主序列拼接、不互换。</t>
        </is>
      </c>
    </row>
    <row r="5" ht="22" customHeight="1">
      <c r="A5" s="26" t="inlineStr">
        <is>
          <t>S2 华东·轻质纯碱·主流市场区间中值</t>
        </is>
      </c>
    </row>
    <row r="6" ht="30" customHeight="1">
      <c r="A6" s="9" t="inlineStr">
        <is>
          <t>序号</t>
        </is>
      </c>
      <c r="B6" s="9" t="inlineStr">
        <is>
          <t>日期</t>
        </is>
      </c>
      <c r="C6" s="9" t="inlineStr">
        <is>
          <t>区间低端</t>
        </is>
      </c>
      <c r="D6" s="9" t="inlineStr">
        <is>
          <t>区间高端</t>
        </is>
      </c>
      <c r="E6" s="9" t="inlineStr">
        <is>
          <t>中值</t>
        </is>
      </c>
      <c r="F6" s="9" t="inlineStr">
        <is>
          <t>宽度</t>
        </is>
      </c>
      <c r="G6" s="9" t="inlineStr">
        <is>
          <t>口径</t>
        </is>
      </c>
      <c r="H6" s="9" t="inlineStr">
        <is>
          <t>原文链接</t>
        </is>
      </c>
    </row>
    <row r="7">
      <c r="A7" s="12" t="n">
        <v>1</v>
      </c>
      <c r="B7" s="13" t="n">
        <v>44970</v>
      </c>
      <c r="C7" s="14" t="n">
        <v>2700</v>
      </c>
      <c r="D7" s="14" t="n">
        <v>2900</v>
      </c>
      <c r="E7" s="15">
        <f>(C7+D7)/2</f>
        <v/>
      </c>
      <c r="F7" s="15">
        <f>D7-C7</f>
        <v/>
      </c>
      <c r="G7" s="16" t="inlineStr">
        <is>
          <t>主流市场报价</t>
        </is>
      </c>
      <c r="H7" s="17" t="inlineStr">
        <is>
          <t>打开原文</t>
        </is>
      </c>
    </row>
    <row r="8">
      <c r="A8" s="18" t="n">
        <v>2</v>
      </c>
      <c r="B8" s="19" t="n">
        <v>44974</v>
      </c>
      <c r="C8" s="20" t="n">
        <v>2700</v>
      </c>
      <c r="D8" s="20" t="n">
        <v>2900</v>
      </c>
      <c r="E8" s="21">
        <f>(C8+D8)/2</f>
        <v/>
      </c>
      <c r="F8" s="21">
        <f>D8-C8</f>
        <v/>
      </c>
      <c r="G8" s="22" t="inlineStr">
        <is>
          <t>主流市场报价</t>
        </is>
      </c>
      <c r="H8" s="23" t="inlineStr">
        <is>
          <t>打开原文</t>
        </is>
      </c>
    </row>
    <row r="9">
      <c r="A9" s="12" t="n">
        <v>3</v>
      </c>
      <c r="B9" s="13" t="n">
        <v>44978</v>
      </c>
      <c r="C9" s="14" t="n">
        <v>2700</v>
      </c>
      <c r="D9" s="14" t="n">
        <v>2900</v>
      </c>
      <c r="E9" s="15">
        <f>(C9+D9)/2</f>
        <v/>
      </c>
      <c r="F9" s="15">
        <f>D9-C9</f>
        <v/>
      </c>
      <c r="G9" s="16" t="inlineStr">
        <is>
          <t>主流市场报价</t>
        </is>
      </c>
      <c r="H9" s="17" t="inlineStr">
        <is>
          <t>打开原文</t>
        </is>
      </c>
    </row>
    <row r="10">
      <c r="A10" s="18" t="n">
        <v>4</v>
      </c>
      <c r="B10" s="19" t="n">
        <v>44979</v>
      </c>
      <c r="C10" s="20" t="n">
        <v>2700</v>
      </c>
      <c r="D10" s="20" t="n">
        <v>2900</v>
      </c>
      <c r="E10" s="21">
        <f>(C10+D10)/2</f>
        <v/>
      </c>
      <c r="F10" s="21">
        <f>D10-C10</f>
        <v/>
      </c>
      <c r="G10" s="22" t="inlineStr">
        <is>
          <t>主流市场报价</t>
        </is>
      </c>
      <c r="H10" s="23" t="inlineStr">
        <is>
          <t>打开原文</t>
        </is>
      </c>
    </row>
    <row r="11">
      <c r="A11" s="12" t="n">
        <v>5</v>
      </c>
      <c r="B11" s="13" t="n">
        <v>44981</v>
      </c>
      <c r="C11" s="14" t="n">
        <v>2700</v>
      </c>
      <c r="D11" s="14" t="n">
        <v>2900</v>
      </c>
      <c r="E11" s="15">
        <f>(C11+D11)/2</f>
        <v/>
      </c>
      <c r="F11" s="15">
        <f>D11-C11</f>
        <v/>
      </c>
      <c r="G11" s="16" t="inlineStr">
        <is>
          <t>主流市场报价</t>
        </is>
      </c>
      <c r="H11" s="17" t="inlineStr">
        <is>
          <t>打开原文</t>
        </is>
      </c>
    </row>
    <row r="12">
      <c r="A12" s="18" t="n">
        <v>6</v>
      </c>
      <c r="B12" s="19" t="n">
        <v>44985</v>
      </c>
      <c r="C12" s="20" t="n">
        <v>2700</v>
      </c>
      <c r="D12" s="20" t="n">
        <v>2900</v>
      </c>
      <c r="E12" s="21">
        <f>(C12+D12)/2</f>
        <v/>
      </c>
      <c r="F12" s="21">
        <f>D12-C12</f>
        <v/>
      </c>
      <c r="G12" s="22" t="inlineStr">
        <is>
          <t>主流市场报价</t>
        </is>
      </c>
      <c r="H12" s="23" t="inlineStr">
        <is>
          <t>打开原文</t>
        </is>
      </c>
    </row>
    <row r="13">
      <c r="A13" s="12" t="n">
        <v>7</v>
      </c>
      <c r="B13" s="13" t="n">
        <v>44991</v>
      </c>
      <c r="C13" s="14" t="n">
        <v>2700</v>
      </c>
      <c r="D13" s="14" t="n">
        <v>2900</v>
      </c>
      <c r="E13" s="15">
        <f>(C13+D13)/2</f>
        <v/>
      </c>
      <c r="F13" s="15">
        <f>D13-C13</f>
        <v/>
      </c>
      <c r="G13" s="16" t="inlineStr">
        <is>
          <t>主流市场报价</t>
        </is>
      </c>
      <c r="H13" s="17" t="inlineStr">
        <is>
          <t>打开原文</t>
        </is>
      </c>
    </row>
    <row r="14">
      <c r="A14" s="18" t="n">
        <v>8</v>
      </c>
      <c r="B14" s="19" t="n">
        <v>45013</v>
      </c>
      <c r="C14" s="20" t="n">
        <v>2650</v>
      </c>
      <c r="D14" s="20" t="n">
        <v>2850</v>
      </c>
      <c r="E14" s="21">
        <f>(C14+D14)/2</f>
        <v/>
      </c>
      <c r="F14" s="21">
        <f>D14-C14</f>
        <v/>
      </c>
      <c r="G14" s="22" t="inlineStr">
        <is>
          <t>主流市场报价</t>
        </is>
      </c>
      <c r="H14" s="23" t="inlineStr">
        <is>
          <t>打开原文</t>
        </is>
      </c>
    </row>
    <row r="15">
      <c r="A15" s="12" t="n">
        <v>9</v>
      </c>
      <c r="B15" s="13" t="n">
        <v>45014</v>
      </c>
      <c r="C15" s="14" t="n">
        <v>2650</v>
      </c>
      <c r="D15" s="14" t="n">
        <v>2850</v>
      </c>
      <c r="E15" s="15">
        <f>(C15+D15)/2</f>
        <v/>
      </c>
      <c r="F15" s="15">
        <f>D15-C15</f>
        <v/>
      </c>
      <c r="G15" s="16" t="inlineStr">
        <is>
          <t>主流市场报价</t>
        </is>
      </c>
      <c r="H15" s="17" t="inlineStr">
        <is>
          <t>打开原文</t>
        </is>
      </c>
    </row>
    <row r="16">
      <c r="A16" s="18" t="n">
        <v>10</v>
      </c>
      <c r="B16" s="19" t="n">
        <v>45015</v>
      </c>
      <c r="C16" s="20" t="n">
        <v>2650</v>
      </c>
      <c r="D16" s="20" t="n">
        <v>2850</v>
      </c>
      <c r="E16" s="21">
        <f>(C16+D16)/2</f>
        <v/>
      </c>
      <c r="F16" s="21">
        <f>D16-C16</f>
        <v/>
      </c>
      <c r="G16" s="22" t="inlineStr">
        <is>
          <t>主流市场报价</t>
        </is>
      </c>
      <c r="H16" s="23" t="inlineStr">
        <is>
          <t>打开原文</t>
        </is>
      </c>
    </row>
    <row r="17">
      <c r="A17" s="12" t="n">
        <v>11</v>
      </c>
      <c r="B17" s="13" t="n">
        <v>45029</v>
      </c>
      <c r="C17" s="14" t="n">
        <v>2600</v>
      </c>
      <c r="D17" s="14" t="n">
        <v>2800</v>
      </c>
      <c r="E17" s="15">
        <f>(C17+D17)/2</f>
        <v/>
      </c>
      <c r="F17" s="15">
        <f>D17-C17</f>
        <v/>
      </c>
      <c r="G17" s="16" t="inlineStr">
        <is>
          <t>主流市场报价</t>
        </is>
      </c>
      <c r="H17" s="17" t="inlineStr">
        <is>
          <t>打开原文</t>
        </is>
      </c>
    </row>
    <row r="18">
      <c r="A18" s="18" t="n">
        <v>12</v>
      </c>
      <c r="B18" s="19" t="n">
        <v>45030</v>
      </c>
      <c r="C18" s="20" t="n">
        <v>2600</v>
      </c>
      <c r="D18" s="20" t="n">
        <v>2800</v>
      </c>
      <c r="E18" s="21">
        <f>(C18+D18)/2</f>
        <v/>
      </c>
      <c r="F18" s="21">
        <f>D18-C18</f>
        <v/>
      </c>
      <c r="G18" s="22" t="inlineStr">
        <is>
          <t>主流市场报价</t>
        </is>
      </c>
      <c r="H18" s="23" t="inlineStr">
        <is>
          <t>打开原文</t>
        </is>
      </c>
    </row>
    <row r="19">
      <c r="A19" s="12" t="n">
        <v>13</v>
      </c>
      <c r="B19" s="13" t="n">
        <v>45033</v>
      </c>
      <c r="C19" s="14" t="n">
        <v>2600</v>
      </c>
      <c r="D19" s="14" t="n">
        <v>2800</v>
      </c>
      <c r="E19" s="15">
        <f>(C19+D19)/2</f>
        <v/>
      </c>
      <c r="F19" s="15">
        <f>D19-C19</f>
        <v/>
      </c>
      <c r="G19" s="16" t="inlineStr">
        <is>
          <t>主流市场报价</t>
        </is>
      </c>
      <c r="H19" s="17" t="inlineStr">
        <is>
          <t>打开原文</t>
        </is>
      </c>
    </row>
    <row r="20">
      <c r="A20" s="18" t="n">
        <v>14</v>
      </c>
      <c r="B20" s="19" t="n">
        <v>45034</v>
      </c>
      <c r="C20" s="20" t="n">
        <v>2600</v>
      </c>
      <c r="D20" s="20" t="n">
        <v>2800</v>
      </c>
      <c r="E20" s="21">
        <f>(C20+D20)/2</f>
        <v/>
      </c>
      <c r="F20" s="21">
        <f>D20-C20</f>
        <v/>
      </c>
      <c r="G20" s="22" t="inlineStr">
        <is>
          <t>主流市场报价</t>
        </is>
      </c>
      <c r="H20" s="23" t="inlineStr">
        <is>
          <t>打开原文</t>
        </is>
      </c>
    </row>
    <row r="21">
      <c r="A21" s="12" t="n">
        <v>15</v>
      </c>
      <c r="B21" s="13" t="n">
        <v>45035</v>
      </c>
      <c r="C21" s="14" t="n">
        <v>2600</v>
      </c>
      <c r="D21" s="14" t="n">
        <v>2800</v>
      </c>
      <c r="E21" s="15">
        <f>(C21+D21)/2</f>
        <v/>
      </c>
      <c r="F21" s="15">
        <f>D21-C21</f>
        <v/>
      </c>
      <c r="G21" s="16" t="inlineStr">
        <is>
          <t>主流市场报价</t>
        </is>
      </c>
      <c r="H21" s="17" t="inlineStr">
        <is>
          <t>打开原文</t>
        </is>
      </c>
    </row>
    <row r="22">
      <c r="A22" s="18" t="n">
        <v>16</v>
      </c>
      <c r="B22" s="19" t="n">
        <v>45036</v>
      </c>
      <c r="C22" s="20" t="n">
        <v>2600</v>
      </c>
      <c r="D22" s="20" t="n">
        <v>2800</v>
      </c>
      <c r="E22" s="21">
        <f>(C22+D22)/2</f>
        <v/>
      </c>
      <c r="F22" s="21">
        <f>D22-C22</f>
        <v/>
      </c>
      <c r="G22" s="22" t="inlineStr">
        <is>
          <t>主流市场报价</t>
        </is>
      </c>
      <c r="H22" s="23" t="inlineStr">
        <is>
          <t>打开原文</t>
        </is>
      </c>
    </row>
    <row r="23">
      <c r="A23" s="12" t="n">
        <v>17</v>
      </c>
      <c r="B23" s="13" t="n">
        <v>45037</v>
      </c>
      <c r="C23" s="14" t="n">
        <v>2600</v>
      </c>
      <c r="D23" s="14" t="n">
        <v>2800</v>
      </c>
      <c r="E23" s="15">
        <f>(C23+D23)/2</f>
        <v/>
      </c>
      <c r="F23" s="15">
        <f>D23-C23</f>
        <v/>
      </c>
      <c r="G23" s="16" t="inlineStr">
        <is>
          <t>主流市场报价</t>
        </is>
      </c>
      <c r="H23" s="17" t="inlineStr">
        <is>
          <t>打开原文</t>
        </is>
      </c>
    </row>
    <row r="24">
      <c r="A24" s="18" t="n">
        <v>18</v>
      </c>
      <c r="B24" s="19" t="n">
        <v>45039</v>
      </c>
      <c r="C24" s="20" t="n">
        <v>2600</v>
      </c>
      <c r="D24" s="20" t="n">
        <v>2800</v>
      </c>
      <c r="E24" s="21">
        <f>(C24+D24)/2</f>
        <v/>
      </c>
      <c r="F24" s="21">
        <f>D24-C24</f>
        <v/>
      </c>
      <c r="G24" s="22" t="inlineStr">
        <is>
          <t>主流市场报价</t>
        </is>
      </c>
      <c r="H24" s="23" t="inlineStr">
        <is>
          <t>打开原文</t>
        </is>
      </c>
    </row>
    <row r="25">
      <c r="A25" s="12" t="n">
        <v>19</v>
      </c>
      <c r="B25" s="13" t="n">
        <v>45040</v>
      </c>
      <c r="C25" s="14" t="n">
        <v>2550</v>
      </c>
      <c r="D25" s="14" t="n">
        <v>2750</v>
      </c>
      <c r="E25" s="15">
        <f>(C25+D25)/2</f>
        <v/>
      </c>
      <c r="F25" s="15">
        <f>D25-C25</f>
        <v/>
      </c>
      <c r="G25" s="16" t="inlineStr">
        <is>
          <t>主流市场报价</t>
        </is>
      </c>
      <c r="H25" s="17" t="inlineStr">
        <is>
          <t>打开原文</t>
        </is>
      </c>
    </row>
    <row r="26">
      <c r="A26" s="18" t="n">
        <v>20</v>
      </c>
      <c r="B26" s="19" t="n">
        <v>45050</v>
      </c>
      <c r="C26" s="20" t="n">
        <v>2500</v>
      </c>
      <c r="D26" s="20" t="n">
        <v>2700</v>
      </c>
      <c r="E26" s="21">
        <f>(C26+D26)/2</f>
        <v/>
      </c>
      <c r="F26" s="21">
        <f>D26-C26</f>
        <v/>
      </c>
      <c r="G26" s="22" t="inlineStr">
        <is>
          <t>主流市场报价</t>
        </is>
      </c>
      <c r="H26" s="23" t="inlineStr">
        <is>
          <t>打开原文</t>
        </is>
      </c>
    </row>
    <row r="27">
      <c r="A27" s="12" t="n">
        <v>21</v>
      </c>
      <c r="B27" s="13" t="n">
        <v>45051</v>
      </c>
      <c r="C27" s="14" t="n">
        <v>2500</v>
      </c>
      <c r="D27" s="14" t="n">
        <v>2700</v>
      </c>
      <c r="E27" s="15">
        <f>(C27+D27)/2</f>
        <v/>
      </c>
      <c r="F27" s="15">
        <f>D27-C27</f>
        <v/>
      </c>
      <c r="G27" s="16" t="inlineStr">
        <is>
          <t>主流市场报价</t>
        </is>
      </c>
      <c r="H27" s="17" t="inlineStr">
        <is>
          <t>打开原文</t>
        </is>
      </c>
    </row>
    <row r="28">
      <c r="A28" s="18" t="n">
        <v>22</v>
      </c>
      <c r="B28" s="19" t="n">
        <v>45052</v>
      </c>
      <c r="C28" s="20" t="n">
        <v>2500</v>
      </c>
      <c r="D28" s="20" t="n">
        <v>2700</v>
      </c>
      <c r="E28" s="21">
        <f>(C28+D28)/2</f>
        <v/>
      </c>
      <c r="F28" s="21">
        <f>D28-C28</f>
        <v/>
      </c>
      <c r="G28" s="22" t="inlineStr">
        <is>
          <t>主流市场报价</t>
        </is>
      </c>
      <c r="H28" s="23" t="inlineStr">
        <is>
          <t>打开原文</t>
        </is>
      </c>
    </row>
    <row r="29">
      <c r="A29" s="12" t="n">
        <v>23</v>
      </c>
      <c r="B29" s="13" t="n">
        <v>45058</v>
      </c>
      <c r="C29" s="14" t="n">
        <v>2500</v>
      </c>
      <c r="D29" s="14" t="n">
        <v>2700</v>
      </c>
      <c r="E29" s="15">
        <f>(C29+D29)/2</f>
        <v/>
      </c>
      <c r="F29" s="15">
        <f>D29-C29</f>
        <v/>
      </c>
      <c r="G29" s="16" t="inlineStr">
        <is>
          <t>主流市场报价</t>
        </is>
      </c>
      <c r="H29" s="17" t="inlineStr">
        <is>
          <t>打开原文</t>
        </is>
      </c>
    </row>
    <row r="30">
      <c r="A30" s="18" t="n">
        <v>24</v>
      </c>
      <c r="B30" s="19" t="n">
        <v>45061</v>
      </c>
      <c r="C30" s="20" t="n">
        <v>2500</v>
      </c>
      <c r="D30" s="20" t="n">
        <v>2700</v>
      </c>
      <c r="E30" s="21">
        <f>(C30+D30)/2</f>
        <v/>
      </c>
      <c r="F30" s="21">
        <f>D30-C30</f>
        <v/>
      </c>
      <c r="G30" s="22" t="inlineStr">
        <is>
          <t>主流市场报价</t>
        </is>
      </c>
      <c r="H30" s="23" t="inlineStr">
        <is>
          <t>打开原文</t>
        </is>
      </c>
    </row>
    <row r="31">
      <c r="A31" s="12" t="n">
        <v>25</v>
      </c>
      <c r="B31" s="13" t="n">
        <v>45063</v>
      </c>
      <c r="C31" s="14" t="n">
        <v>2500</v>
      </c>
      <c r="D31" s="14" t="n">
        <v>2700</v>
      </c>
      <c r="E31" s="15">
        <f>(C31+D31)/2</f>
        <v/>
      </c>
      <c r="F31" s="15">
        <f>D31-C31</f>
        <v/>
      </c>
      <c r="G31" s="16" t="inlineStr">
        <is>
          <t>主流市场报价</t>
        </is>
      </c>
      <c r="H31" s="17" t="inlineStr">
        <is>
          <t>打开原文</t>
        </is>
      </c>
    </row>
    <row r="32">
      <c r="A32" s="18" t="n">
        <v>26</v>
      </c>
      <c r="B32" s="19" t="n">
        <v>45064</v>
      </c>
      <c r="C32" s="20" t="n">
        <v>2500</v>
      </c>
      <c r="D32" s="20" t="n">
        <v>2700</v>
      </c>
      <c r="E32" s="21">
        <f>(C32+D32)/2</f>
        <v/>
      </c>
      <c r="F32" s="21">
        <f>D32-C32</f>
        <v/>
      </c>
      <c r="G32" s="22" t="inlineStr">
        <is>
          <t>主流市场报价</t>
        </is>
      </c>
      <c r="H32" s="23" t="inlineStr">
        <is>
          <t>打开原文</t>
        </is>
      </c>
    </row>
    <row r="33">
      <c r="A33" s="12" t="n">
        <v>27</v>
      </c>
      <c r="B33" s="13" t="n">
        <v>45097</v>
      </c>
      <c r="C33" s="14" t="n">
        <v>1900</v>
      </c>
      <c r="D33" s="14" t="n">
        <v>2100</v>
      </c>
      <c r="E33" s="15">
        <f>(C33+D33)/2</f>
        <v/>
      </c>
      <c r="F33" s="15">
        <f>D33-C33</f>
        <v/>
      </c>
      <c r="G33" s="16" t="inlineStr">
        <is>
          <t>主流市场报价</t>
        </is>
      </c>
      <c r="H33" s="17" t="inlineStr">
        <is>
          <t>打开原文</t>
        </is>
      </c>
    </row>
    <row r="34">
      <c r="A34" s="18" t="n">
        <v>28</v>
      </c>
      <c r="B34" s="19" t="n">
        <v>45098</v>
      </c>
      <c r="C34" s="20" t="n">
        <v>1900</v>
      </c>
      <c r="D34" s="20" t="n">
        <v>2100</v>
      </c>
      <c r="E34" s="21">
        <f>(C34+D34)/2</f>
        <v/>
      </c>
      <c r="F34" s="21">
        <f>D34-C34</f>
        <v/>
      </c>
      <c r="G34" s="22" t="inlineStr">
        <is>
          <t>主流市场报价</t>
        </is>
      </c>
      <c r="H34" s="23" t="inlineStr">
        <is>
          <t>打开原文</t>
        </is>
      </c>
    </row>
    <row r="35">
      <c r="A35" s="12" t="n">
        <v>29</v>
      </c>
      <c r="B35" s="13" t="n">
        <v>45103</v>
      </c>
      <c r="C35" s="14" t="n">
        <v>1900</v>
      </c>
      <c r="D35" s="14" t="n">
        <v>2100</v>
      </c>
      <c r="E35" s="15">
        <f>(C35+D35)/2</f>
        <v/>
      </c>
      <c r="F35" s="15">
        <f>D35-C35</f>
        <v/>
      </c>
      <c r="G35" s="16" t="inlineStr">
        <is>
          <t>主流市场报价</t>
        </is>
      </c>
      <c r="H35" s="17" t="inlineStr">
        <is>
          <t>打开原文</t>
        </is>
      </c>
    </row>
    <row r="36">
      <c r="A36" s="18" t="n">
        <v>30</v>
      </c>
      <c r="B36" s="19" t="n">
        <v>45106</v>
      </c>
      <c r="C36" s="20" t="n">
        <v>1900</v>
      </c>
      <c r="D36" s="20" t="n">
        <v>2100</v>
      </c>
      <c r="E36" s="21">
        <f>(C36+D36)/2</f>
        <v/>
      </c>
      <c r="F36" s="21">
        <f>D36-C36</f>
        <v/>
      </c>
      <c r="G36" s="22" t="inlineStr">
        <is>
          <t>主流市场报价</t>
        </is>
      </c>
      <c r="H36" s="23" t="inlineStr">
        <is>
          <t>打开原文</t>
        </is>
      </c>
    </row>
    <row r="37">
      <c r="A37" s="12" t="n">
        <v>31</v>
      </c>
      <c r="B37" s="13" t="n">
        <v>45111</v>
      </c>
      <c r="C37" s="14" t="n">
        <v>1900</v>
      </c>
      <c r="D37" s="14" t="n">
        <v>2100</v>
      </c>
      <c r="E37" s="15">
        <f>(C37+D37)/2</f>
        <v/>
      </c>
      <c r="F37" s="15">
        <f>D37-C37</f>
        <v/>
      </c>
      <c r="G37" s="16" t="inlineStr">
        <is>
          <t>主流市场报价</t>
        </is>
      </c>
      <c r="H37" s="17" t="inlineStr">
        <is>
          <t>打开原文</t>
        </is>
      </c>
    </row>
    <row r="38">
      <c r="A38" s="18" t="n">
        <v>32</v>
      </c>
      <c r="B38" s="19" t="n">
        <v>45113</v>
      </c>
      <c r="C38" s="20" t="n">
        <v>1900</v>
      </c>
      <c r="D38" s="20" t="n">
        <v>2100</v>
      </c>
      <c r="E38" s="21">
        <f>(C38+D38)/2</f>
        <v/>
      </c>
      <c r="F38" s="21">
        <f>D38-C38</f>
        <v/>
      </c>
      <c r="G38" s="22" t="inlineStr">
        <is>
          <t>主流市场报价</t>
        </is>
      </c>
      <c r="H38" s="23" t="inlineStr">
        <is>
          <t>打开原文</t>
        </is>
      </c>
    </row>
    <row r="39">
      <c r="A39" s="12" t="n">
        <v>33</v>
      </c>
      <c r="B39" s="13" t="n">
        <v>45117</v>
      </c>
      <c r="C39" s="14" t="n">
        <v>1900</v>
      </c>
      <c r="D39" s="14" t="n">
        <v>2100</v>
      </c>
      <c r="E39" s="15">
        <f>(C39+D39)/2</f>
        <v/>
      </c>
      <c r="F39" s="15">
        <f>D39-C39</f>
        <v/>
      </c>
      <c r="G39" s="16" t="inlineStr">
        <is>
          <t>主流市场报价</t>
        </is>
      </c>
      <c r="H39" s="17" t="inlineStr">
        <is>
          <t>打开原文</t>
        </is>
      </c>
    </row>
    <row r="40">
      <c r="A40" s="18" t="n">
        <v>34</v>
      </c>
      <c r="B40" s="19" t="n">
        <v>45125</v>
      </c>
      <c r="C40" s="20" t="n">
        <v>1900</v>
      </c>
      <c r="D40" s="20" t="n">
        <v>2100</v>
      </c>
      <c r="E40" s="21">
        <f>(C40+D40)/2</f>
        <v/>
      </c>
      <c r="F40" s="21">
        <f>D40-C40</f>
        <v/>
      </c>
      <c r="G40" s="22" t="inlineStr">
        <is>
          <t>主流市场报价</t>
        </is>
      </c>
      <c r="H40" s="23" t="inlineStr">
        <is>
          <t>打开原文</t>
        </is>
      </c>
    </row>
    <row r="41">
      <c r="A41" s="12" t="n">
        <v>35</v>
      </c>
      <c r="B41" s="13" t="n">
        <v>45127</v>
      </c>
      <c r="C41" s="14" t="n">
        <v>1900</v>
      </c>
      <c r="D41" s="14" t="n">
        <v>2100</v>
      </c>
      <c r="E41" s="15">
        <f>(C41+D41)/2</f>
        <v/>
      </c>
      <c r="F41" s="15">
        <f>D41-C41</f>
        <v/>
      </c>
      <c r="G41" s="16" t="inlineStr">
        <is>
          <t>主流市场报价</t>
        </is>
      </c>
      <c r="H41" s="17" t="inlineStr">
        <is>
          <t>打开原文</t>
        </is>
      </c>
    </row>
    <row r="42">
      <c r="A42" s="18" t="n">
        <v>36</v>
      </c>
      <c r="B42" s="19" t="n">
        <v>45132</v>
      </c>
      <c r="C42" s="20" t="n">
        <v>1950</v>
      </c>
      <c r="D42" s="20" t="n">
        <v>2150</v>
      </c>
      <c r="E42" s="21">
        <f>(C42+D42)/2</f>
        <v/>
      </c>
      <c r="F42" s="21">
        <f>D42-C42</f>
        <v/>
      </c>
      <c r="G42" s="22" t="inlineStr">
        <is>
          <t>主流市场报价</t>
        </is>
      </c>
      <c r="H42" s="23" t="inlineStr">
        <is>
          <t>打开原文</t>
        </is>
      </c>
    </row>
    <row r="43">
      <c r="A43" s="12" t="n">
        <v>37</v>
      </c>
      <c r="B43" s="13" t="n">
        <v>45134</v>
      </c>
      <c r="C43" s="14" t="n">
        <v>1950</v>
      </c>
      <c r="D43" s="14" t="n">
        <v>2150</v>
      </c>
      <c r="E43" s="15">
        <f>(C43+D43)/2</f>
        <v/>
      </c>
      <c r="F43" s="15">
        <f>D43-C43</f>
        <v/>
      </c>
      <c r="G43" s="16" t="inlineStr">
        <is>
          <t>主流市场报价</t>
        </is>
      </c>
      <c r="H43" s="17" t="inlineStr">
        <is>
          <t>打开原文</t>
        </is>
      </c>
    </row>
    <row r="44">
      <c r="A44" s="18" t="n">
        <v>38</v>
      </c>
      <c r="B44" s="19" t="n">
        <v>45149</v>
      </c>
      <c r="C44" s="20" t="n">
        <v>2000</v>
      </c>
      <c r="D44" s="20" t="n">
        <v>2200</v>
      </c>
      <c r="E44" s="21">
        <f>(C44+D44)/2</f>
        <v/>
      </c>
      <c r="F44" s="21">
        <f>D44-C44</f>
        <v/>
      </c>
      <c r="G44" s="22" t="inlineStr">
        <is>
          <t>主流市场报价</t>
        </is>
      </c>
      <c r="H44" s="23" t="inlineStr">
        <is>
          <t>打开原文</t>
        </is>
      </c>
    </row>
    <row r="45">
      <c r="A45" s="12" t="n">
        <v>39</v>
      </c>
      <c r="B45" s="13" t="n">
        <v>45153</v>
      </c>
      <c r="C45" s="14" t="n">
        <v>2000</v>
      </c>
      <c r="D45" s="14" t="n">
        <v>2200</v>
      </c>
      <c r="E45" s="15">
        <f>(C45+D45)/2</f>
        <v/>
      </c>
      <c r="F45" s="15">
        <f>D45-C45</f>
        <v/>
      </c>
      <c r="G45" s="16" t="inlineStr">
        <is>
          <t>主流市场报价</t>
        </is>
      </c>
      <c r="H45" s="17" t="inlineStr">
        <is>
          <t>打开原文</t>
        </is>
      </c>
    </row>
    <row r="46">
      <c r="A46" s="18" t="n">
        <v>40</v>
      </c>
      <c r="B46" s="19" t="n">
        <v>45155</v>
      </c>
      <c r="C46" s="20" t="n">
        <v>2000</v>
      </c>
      <c r="D46" s="20" t="n">
        <v>2200</v>
      </c>
      <c r="E46" s="21">
        <f>(C46+D46)/2</f>
        <v/>
      </c>
      <c r="F46" s="21">
        <f>D46-C46</f>
        <v/>
      </c>
      <c r="G46" s="22" t="inlineStr">
        <is>
          <t>主流市场报价</t>
        </is>
      </c>
      <c r="H46" s="23" t="inlineStr">
        <is>
          <t>打开原文</t>
        </is>
      </c>
    </row>
    <row r="47">
      <c r="A47" s="12" t="n">
        <v>41</v>
      </c>
      <c r="B47" s="13" t="n">
        <v>45156</v>
      </c>
      <c r="C47" s="14" t="n">
        <v>2000</v>
      </c>
      <c r="D47" s="14" t="n">
        <v>2200</v>
      </c>
      <c r="E47" s="15">
        <f>(C47+D47)/2</f>
        <v/>
      </c>
      <c r="F47" s="15">
        <f>D47-C47</f>
        <v/>
      </c>
      <c r="G47" s="16" t="inlineStr">
        <is>
          <t>主流市场报价</t>
        </is>
      </c>
      <c r="H47" s="17" t="inlineStr">
        <is>
          <t>打开原文</t>
        </is>
      </c>
    </row>
    <row r="48">
      <c r="A48" s="18" t="n">
        <v>42</v>
      </c>
      <c r="B48" s="19" t="n">
        <v>45166</v>
      </c>
      <c r="C48" s="20" t="n">
        <v>2700</v>
      </c>
      <c r="D48" s="20" t="n">
        <v>3000</v>
      </c>
      <c r="E48" s="21">
        <f>(C48+D48)/2</f>
        <v/>
      </c>
      <c r="F48" s="21">
        <f>D48-C48</f>
        <v/>
      </c>
      <c r="G48" s="22" t="inlineStr">
        <is>
          <t>主流市场报价</t>
        </is>
      </c>
      <c r="H48" s="23" t="inlineStr">
        <is>
          <t>打开原文</t>
        </is>
      </c>
    </row>
    <row r="49">
      <c r="A49" s="12" t="n">
        <v>43</v>
      </c>
      <c r="B49" s="13" t="n">
        <v>45177</v>
      </c>
      <c r="C49" s="14" t="n">
        <v>2900</v>
      </c>
      <c r="D49" s="14" t="n">
        <v>3100</v>
      </c>
      <c r="E49" s="15">
        <f>(C49+D49)/2</f>
        <v/>
      </c>
      <c r="F49" s="15">
        <f>D49-C49</f>
        <v/>
      </c>
      <c r="G49" s="16" t="inlineStr">
        <is>
          <t>主流市场报价</t>
        </is>
      </c>
      <c r="H49" s="17" t="inlineStr">
        <is>
          <t>打开原文</t>
        </is>
      </c>
    </row>
    <row r="50">
      <c r="A50" s="18" t="n">
        <v>44</v>
      </c>
      <c r="B50" s="19" t="n">
        <v>45182</v>
      </c>
      <c r="C50" s="20" t="n">
        <v>2900</v>
      </c>
      <c r="D50" s="20" t="n">
        <v>3100</v>
      </c>
      <c r="E50" s="21">
        <f>(C50+D50)/2</f>
        <v/>
      </c>
      <c r="F50" s="21">
        <f>D50-C50</f>
        <v/>
      </c>
      <c r="G50" s="22" t="inlineStr">
        <is>
          <t>主流市场报价</t>
        </is>
      </c>
      <c r="H50" s="23" t="inlineStr">
        <is>
          <t>打开原文</t>
        </is>
      </c>
    </row>
    <row r="51">
      <c r="A51" s="12" t="n">
        <v>45</v>
      </c>
      <c r="B51" s="13" t="n">
        <v>45183</v>
      </c>
      <c r="C51" s="14" t="n">
        <v>3000</v>
      </c>
      <c r="D51" s="14" t="n">
        <v>3200</v>
      </c>
      <c r="E51" s="15">
        <f>(C51+D51)/2</f>
        <v/>
      </c>
      <c r="F51" s="15">
        <f>D51-C51</f>
        <v/>
      </c>
      <c r="G51" s="16" t="inlineStr">
        <is>
          <t>主流市场报价</t>
        </is>
      </c>
      <c r="H51" s="17" t="inlineStr">
        <is>
          <t>打开原文</t>
        </is>
      </c>
    </row>
    <row r="52">
      <c r="A52" s="18" t="n">
        <v>46</v>
      </c>
      <c r="B52" s="19" t="n">
        <v>45219</v>
      </c>
      <c r="C52" s="20" t="n">
        <v>2500</v>
      </c>
      <c r="D52" s="20" t="n">
        <v>2900</v>
      </c>
      <c r="E52" s="21">
        <f>(C52+D52)/2</f>
        <v/>
      </c>
      <c r="F52" s="21">
        <f>D52-C52</f>
        <v/>
      </c>
      <c r="G52" s="22" t="inlineStr">
        <is>
          <t>主流市场报价</t>
        </is>
      </c>
      <c r="H52" s="23" t="inlineStr">
        <is>
          <t>打开原文</t>
        </is>
      </c>
    </row>
    <row r="53">
      <c r="A53" s="12" t="n">
        <v>47</v>
      </c>
      <c r="B53" s="13" t="n">
        <v>45232</v>
      </c>
      <c r="C53" s="14" t="n">
        <v>2100</v>
      </c>
      <c r="D53" s="14" t="n">
        <v>2500</v>
      </c>
      <c r="E53" s="15">
        <f>(C53+D53)/2</f>
        <v/>
      </c>
      <c r="F53" s="15">
        <f>D53-C53</f>
        <v/>
      </c>
      <c r="G53" s="16" t="inlineStr">
        <is>
          <t>主流市场报价</t>
        </is>
      </c>
      <c r="H53" s="17" t="inlineStr">
        <is>
          <t>打开原文</t>
        </is>
      </c>
    </row>
    <row r="54">
      <c r="A54" s="18" t="n">
        <v>48</v>
      </c>
      <c r="B54" s="19" t="n">
        <v>45233</v>
      </c>
      <c r="C54" s="20" t="n">
        <v>2100</v>
      </c>
      <c r="D54" s="20" t="n">
        <v>2400</v>
      </c>
      <c r="E54" s="21">
        <f>(C54+D54)/2</f>
        <v/>
      </c>
      <c r="F54" s="21">
        <f>D54-C54</f>
        <v/>
      </c>
      <c r="G54" s="22" t="inlineStr">
        <is>
          <t>主流市场报价</t>
        </is>
      </c>
      <c r="H54" s="23" t="inlineStr">
        <is>
          <t>打开原文</t>
        </is>
      </c>
    </row>
    <row r="55">
      <c r="A55" s="12" t="n">
        <v>49</v>
      </c>
      <c r="B55" s="13" t="n">
        <v>45236</v>
      </c>
      <c r="C55" s="14" t="n">
        <v>2100</v>
      </c>
      <c r="D55" s="14" t="n">
        <v>2400</v>
      </c>
      <c r="E55" s="15">
        <f>(C55+D55)/2</f>
        <v/>
      </c>
      <c r="F55" s="15">
        <f>D55-C55</f>
        <v/>
      </c>
      <c r="G55" s="16" t="inlineStr">
        <is>
          <t>主流市场报价</t>
        </is>
      </c>
      <c r="H55" s="17" t="inlineStr">
        <is>
          <t>打开原文</t>
        </is>
      </c>
    </row>
    <row r="56">
      <c r="A56" s="18" t="n">
        <v>50</v>
      </c>
      <c r="B56" s="19" t="n">
        <v>45237</v>
      </c>
      <c r="C56" s="20" t="n">
        <v>2100</v>
      </c>
      <c r="D56" s="20" t="n">
        <v>2400</v>
      </c>
      <c r="E56" s="21">
        <f>(C56+D56)/2</f>
        <v/>
      </c>
      <c r="F56" s="21">
        <f>D56-C56</f>
        <v/>
      </c>
      <c r="G56" s="22" t="inlineStr">
        <is>
          <t>主流市场报价</t>
        </is>
      </c>
      <c r="H56" s="23" t="inlineStr">
        <is>
          <t>打开原文</t>
        </is>
      </c>
    </row>
    <row r="57">
      <c r="A57" s="12" t="n">
        <v>51</v>
      </c>
      <c r="B57" s="13" t="n">
        <v>45239</v>
      </c>
      <c r="C57" s="14" t="n">
        <v>1900</v>
      </c>
      <c r="D57" s="14" t="n">
        <v>2200</v>
      </c>
      <c r="E57" s="15">
        <f>(C57+D57)/2</f>
        <v/>
      </c>
      <c r="F57" s="15">
        <f>D57-C57</f>
        <v/>
      </c>
      <c r="G57" s="16" t="inlineStr">
        <is>
          <t>主流市场报价</t>
        </is>
      </c>
      <c r="H57" s="17" t="inlineStr">
        <is>
          <t>打开原文</t>
        </is>
      </c>
    </row>
    <row r="58">
      <c r="A58" s="18" t="n">
        <v>52</v>
      </c>
      <c r="B58" s="19" t="n">
        <v>45243</v>
      </c>
      <c r="C58" s="20" t="n">
        <v>2000</v>
      </c>
      <c r="D58" s="20" t="n">
        <v>2200</v>
      </c>
      <c r="E58" s="21">
        <f>(C58+D58)/2</f>
        <v/>
      </c>
      <c r="F58" s="21">
        <f>D58-C58</f>
        <v/>
      </c>
      <c r="G58" s="22" t="inlineStr">
        <is>
          <t>主流市场报价</t>
        </is>
      </c>
      <c r="H58" s="23" t="inlineStr">
        <is>
          <t>打开原文</t>
        </is>
      </c>
    </row>
    <row r="59">
      <c r="A59" s="12" t="n">
        <v>53</v>
      </c>
      <c r="B59" s="13" t="n">
        <v>45244</v>
      </c>
      <c r="C59" s="14" t="n">
        <v>2100</v>
      </c>
      <c r="D59" s="14" t="n">
        <v>2350</v>
      </c>
      <c r="E59" s="15">
        <f>(C59+D59)/2</f>
        <v/>
      </c>
      <c r="F59" s="15">
        <f>D59-C59</f>
        <v/>
      </c>
      <c r="G59" s="16" t="inlineStr">
        <is>
          <t>主流市场报价</t>
        </is>
      </c>
      <c r="H59" s="17" t="inlineStr">
        <is>
          <t>打开原文</t>
        </is>
      </c>
    </row>
    <row r="60">
      <c r="A60" s="18" t="n">
        <v>54</v>
      </c>
      <c r="B60" s="19" t="n">
        <v>45247</v>
      </c>
      <c r="C60" s="20" t="n">
        <v>2150</v>
      </c>
      <c r="D60" s="20" t="n">
        <v>2350</v>
      </c>
      <c r="E60" s="21">
        <f>(C60+D60)/2</f>
        <v/>
      </c>
      <c r="F60" s="21">
        <f>D60-C60</f>
        <v/>
      </c>
      <c r="G60" s="22" t="inlineStr">
        <is>
          <t>主流市场报价</t>
        </is>
      </c>
      <c r="H60" s="23" t="inlineStr">
        <is>
          <t>打开原文</t>
        </is>
      </c>
    </row>
    <row r="61">
      <c r="A61" s="12" t="n">
        <v>55</v>
      </c>
      <c r="B61" s="13" t="n">
        <v>45250</v>
      </c>
      <c r="C61" s="14" t="n">
        <v>2250</v>
      </c>
      <c r="D61" s="14" t="n">
        <v>2400</v>
      </c>
      <c r="E61" s="15">
        <f>(C61+D61)/2</f>
        <v/>
      </c>
      <c r="F61" s="15">
        <f>D61-C61</f>
        <v/>
      </c>
      <c r="G61" s="16" t="inlineStr">
        <is>
          <t>主流市场报价</t>
        </is>
      </c>
      <c r="H61" s="17" t="inlineStr">
        <is>
          <t>打开原文</t>
        </is>
      </c>
    </row>
    <row r="62">
      <c r="A62" s="18" t="n">
        <v>56</v>
      </c>
      <c r="B62" s="19" t="n">
        <v>45251</v>
      </c>
      <c r="C62" s="20" t="n">
        <v>2250</v>
      </c>
      <c r="D62" s="20" t="n">
        <v>2400</v>
      </c>
      <c r="E62" s="21">
        <f>(C62+D62)/2</f>
        <v/>
      </c>
      <c r="F62" s="21">
        <f>D62-C62</f>
        <v/>
      </c>
      <c r="G62" s="22" t="inlineStr">
        <is>
          <t>主流市场报价</t>
        </is>
      </c>
      <c r="H62" s="23" t="inlineStr">
        <is>
          <t>打开原文</t>
        </is>
      </c>
    </row>
    <row r="63">
      <c r="A63" s="12" t="n">
        <v>57</v>
      </c>
      <c r="B63" s="13" t="n">
        <v>45252</v>
      </c>
      <c r="C63" s="14" t="n">
        <v>2250</v>
      </c>
      <c r="D63" s="14" t="n">
        <v>2450</v>
      </c>
      <c r="E63" s="15">
        <f>(C63+D63)/2</f>
        <v/>
      </c>
      <c r="F63" s="15">
        <f>D63-C63</f>
        <v/>
      </c>
      <c r="G63" s="16" t="inlineStr">
        <is>
          <t>主流市场报价</t>
        </is>
      </c>
      <c r="H63" s="17" t="inlineStr">
        <is>
          <t>打开原文</t>
        </is>
      </c>
    </row>
    <row r="64">
      <c r="A64" s="18" t="n">
        <v>58</v>
      </c>
      <c r="B64" s="19" t="n">
        <v>45257</v>
      </c>
      <c r="C64" s="20" t="n">
        <v>2350</v>
      </c>
      <c r="D64" s="20" t="n">
        <v>2550</v>
      </c>
      <c r="E64" s="21">
        <f>(C64+D64)/2</f>
        <v/>
      </c>
      <c r="F64" s="21">
        <f>D64-C64</f>
        <v/>
      </c>
      <c r="G64" s="22" t="inlineStr">
        <is>
          <t>主流市场报价</t>
        </is>
      </c>
      <c r="H64" s="23" t="inlineStr">
        <is>
          <t>打开原文</t>
        </is>
      </c>
    </row>
    <row r="65">
      <c r="A65" s="12" t="n">
        <v>59</v>
      </c>
      <c r="B65" s="13" t="n">
        <v>45261</v>
      </c>
      <c r="C65" s="14" t="n">
        <v>2600</v>
      </c>
      <c r="D65" s="14" t="n">
        <v>2800</v>
      </c>
      <c r="E65" s="15">
        <f>(C65+D65)/2</f>
        <v/>
      </c>
      <c r="F65" s="15">
        <f>D65-C65</f>
        <v/>
      </c>
      <c r="G65" s="16" t="inlineStr">
        <is>
          <t>主流市场报价</t>
        </is>
      </c>
      <c r="H65" s="17" t="inlineStr">
        <is>
          <t>打开原文</t>
        </is>
      </c>
    </row>
    <row r="66">
      <c r="A66" s="18" t="n">
        <v>60</v>
      </c>
      <c r="B66" s="19" t="n">
        <v>45264</v>
      </c>
      <c r="C66" s="20" t="n">
        <v>2650</v>
      </c>
      <c r="D66" s="20" t="n">
        <v>2850</v>
      </c>
      <c r="E66" s="21">
        <f>(C66+D66)/2</f>
        <v/>
      </c>
      <c r="F66" s="21">
        <f>D66-C66</f>
        <v/>
      </c>
      <c r="G66" s="22" t="inlineStr">
        <is>
          <t>主流市场报价</t>
        </is>
      </c>
      <c r="H66" s="23" t="inlineStr">
        <is>
          <t>打开原文</t>
        </is>
      </c>
    </row>
    <row r="67">
      <c r="A67" s="12" t="n">
        <v>61</v>
      </c>
      <c r="B67" s="13" t="n">
        <v>45265</v>
      </c>
      <c r="C67" s="14" t="n">
        <v>2650</v>
      </c>
      <c r="D67" s="14" t="n">
        <v>2850</v>
      </c>
      <c r="E67" s="15">
        <f>(C67+D67)/2</f>
        <v/>
      </c>
      <c r="F67" s="15">
        <f>D67-C67</f>
        <v/>
      </c>
      <c r="G67" s="16" t="inlineStr">
        <is>
          <t>主流市场报价</t>
        </is>
      </c>
      <c r="H67" s="17" t="inlineStr">
        <is>
          <t>打开原文</t>
        </is>
      </c>
    </row>
    <row r="68">
      <c r="A68" s="18" t="n">
        <v>62</v>
      </c>
      <c r="B68" s="19" t="n">
        <v>45266</v>
      </c>
      <c r="C68" s="20" t="n">
        <v>2650</v>
      </c>
      <c r="D68" s="20" t="n">
        <v>2850</v>
      </c>
      <c r="E68" s="21">
        <f>(C68+D68)/2</f>
        <v/>
      </c>
      <c r="F68" s="21">
        <f>D68-C68</f>
        <v/>
      </c>
      <c r="G68" s="22" t="inlineStr">
        <is>
          <t>主流市场报价</t>
        </is>
      </c>
      <c r="H68" s="23" t="inlineStr">
        <is>
          <t>打开原文</t>
        </is>
      </c>
    </row>
    <row r="69">
      <c r="A69" s="12" t="n">
        <v>63</v>
      </c>
      <c r="B69" s="13" t="n">
        <v>45267</v>
      </c>
      <c r="C69" s="14" t="n">
        <v>2650</v>
      </c>
      <c r="D69" s="14" t="n">
        <v>2850</v>
      </c>
      <c r="E69" s="15">
        <f>(C69+D69)/2</f>
        <v/>
      </c>
      <c r="F69" s="15">
        <f>D69-C69</f>
        <v/>
      </c>
      <c r="G69" s="16" t="inlineStr">
        <is>
          <t>主流市场报价</t>
        </is>
      </c>
      <c r="H69" s="17" t="inlineStr">
        <is>
          <t>打开原文</t>
        </is>
      </c>
    </row>
    <row r="70">
      <c r="A70" s="18" t="n">
        <v>64</v>
      </c>
      <c r="B70" s="19" t="n">
        <v>45268</v>
      </c>
      <c r="C70" s="20" t="n">
        <v>2650</v>
      </c>
      <c r="D70" s="20" t="n">
        <v>2850</v>
      </c>
      <c r="E70" s="21">
        <f>(C70+D70)/2</f>
        <v/>
      </c>
      <c r="F70" s="21">
        <f>D70-C70</f>
        <v/>
      </c>
      <c r="G70" s="22" t="inlineStr">
        <is>
          <t>主流市场报价</t>
        </is>
      </c>
      <c r="H70" s="23" t="inlineStr">
        <is>
          <t>打开原文</t>
        </is>
      </c>
    </row>
    <row r="71">
      <c r="A71" s="12" t="n">
        <v>65</v>
      </c>
      <c r="B71" s="13" t="n">
        <v>45271</v>
      </c>
      <c r="C71" s="14" t="n">
        <v>2650</v>
      </c>
      <c r="D71" s="14" t="n">
        <v>2850</v>
      </c>
      <c r="E71" s="15">
        <f>(C71+D71)/2</f>
        <v/>
      </c>
      <c r="F71" s="15">
        <f>D71-C71</f>
        <v/>
      </c>
      <c r="G71" s="16" t="inlineStr">
        <is>
          <t>主流市场报价</t>
        </is>
      </c>
      <c r="H71" s="17" t="inlineStr">
        <is>
          <t>打开原文</t>
        </is>
      </c>
    </row>
    <row r="72">
      <c r="A72" s="18" t="n">
        <v>66</v>
      </c>
      <c r="B72" s="19" t="n">
        <v>45273</v>
      </c>
      <c r="C72" s="20" t="n">
        <v>2700</v>
      </c>
      <c r="D72" s="20" t="n">
        <v>2850</v>
      </c>
      <c r="E72" s="21">
        <f>(C72+D72)/2</f>
        <v/>
      </c>
      <c r="F72" s="21">
        <f>D72-C72</f>
        <v/>
      </c>
      <c r="G72" s="22" t="inlineStr">
        <is>
          <t>主流市场报价</t>
        </is>
      </c>
      <c r="H72" s="23" t="inlineStr">
        <is>
          <t>打开原文</t>
        </is>
      </c>
    </row>
    <row r="73">
      <c r="A73" s="12" t="n">
        <v>67</v>
      </c>
      <c r="B73" s="13" t="n">
        <v>45274</v>
      </c>
      <c r="C73" s="14" t="n">
        <v>2700</v>
      </c>
      <c r="D73" s="14" t="n">
        <v>2850</v>
      </c>
      <c r="E73" s="15">
        <f>(C73+D73)/2</f>
        <v/>
      </c>
      <c r="F73" s="15">
        <f>D73-C73</f>
        <v/>
      </c>
      <c r="G73" s="16" t="inlineStr">
        <is>
          <t>主流市场报价</t>
        </is>
      </c>
      <c r="H73" s="17" t="inlineStr">
        <is>
          <t>打开原文</t>
        </is>
      </c>
    </row>
    <row r="74">
      <c r="A74" s="18" t="n">
        <v>68</v>
      </c>
      <c r="B74" s="19" t="n">
        <v>45275</v>
      </c>
      <c r="C74" s="20" t="n">
        <v>2700</v>
      </c>
      <c r="D74" s="20" t="n">
        <v>2850</v>
      </c>
      <c r="E74" s="21">
        <f>(C74+D74)/2</f>
        <v/>
      </c>
      <c r="F74" s="21">
        <f>D74-C74</f>
        <v/>
      </c>
      <c r="G74" s="22" t="inlineStr">
        <is>
          <t>主流市场报价</t>
        </is>
      </c>
      <c r="H74" s="23" t="inlineStr">
        <is>
          <t>打开原文</t>
        </is>
      </c>
    </row>
    <row r="75">
      <c r="A75" s="12" t="n">
        <v>69</v>
      </c>
      <c r="B75" s="13" t="n">
        <v>45278</v>
      </c>
      <c r="C75" s="14" t="n">
        <v>2700</v>
      </c>
      <c r="D75" s="14" t="n">
        <v>2850</v>
      </c>
      <c r="E75" s="15">
        <f>(C75+D75)/2</f>
        <v/>
      </c>
      <c r="F75" s="15">
        <f>D75-C75</f>
        <v/>
      </c>
      <c r="G75" s="16" t="inlineStr">
        <is>
          <t>主流市场报价</t>
        </is>
      </c>
      <c r="H75" s="17" t="inlineStr">
        <is>
          <t>打开原文</t>
        </is>
      </c>
    </row>
    <row r="76">
      <c r="A76" s="18" t="n">
        <v>70</v>
      </c>
      <c r="B76" s="19" t="n">
        <v>45279</v>
      </c>
      <c r="C76" s="20" t="n">
        <v>2700</v>
      </c>
      <c r="D76" s="20" t="n">
        <v>2850</v>
      </c>
      <c r="E76" s="21">
        <f>(C76+D76)/2</f>
        <v/>
      </c>
      <c r="F76" s="21">
        <f>D76-C76</f>
        <v/>
      </c>
      <c r="G76" s="22" t="inlineStr">
        <is>
          <t>主流市场报价</t>
        </is>
      </c>
      <c r="H76" s="23" t="inlineStr">
        <is>
          <t>打开原文</t>
        </is>
      </c>
    </row>
    <row r="77">
      <c r="A77" s="12" t="n">
        <v>71</v>
      </c>
      <c r="B77" s="13" t="n">
        <v>45280</v>
      </c>
      <c r="C77" s="14" t="n">
        <v>2700</v>
      </c>
      <c r="D77" s="14" t="n">
        <v>2850</v>
      </c>
      <c r="E77" s="15">
        <f>(C77+D77)/2</f>
        <v/>
      </c>
      <c r="F77" s="15">
        <f>D77-C77</f>
        <v/>
      </c>
      <c r="G77" s="16" t="inlineStr">
        <is>
          <t>主流市场报价</t>
        </is>
      </c>
      <c r="H77" s="17" t="inlineStr">
        <is>
          <t>打开原文</t>
        </is>
      </c>
    </row>
    <row r="78">
      <c r="A78" s="18" t="n">
        <v>72</v>
      </c>
      <c r="B78" s="19" t="n">
        <v>45281</v>
      </c>
      <c r="C78" s="20" t="n">
        <v>2700</v>
      </c>
      <c r="D78" s="20" t="n">
        <v>2850</v>
      </c>
      <c r="E78" s="21">
        <f>(C78+D78)/2</f>
        <v/>
      </c>
      <c r="F78" s="21">
        <f>D78-C78</f>
        <v/>
      </c>
      <c r="G78" s="22" t="inlineStr">
        <is>
          <t>主流市场报价</t>
        </is>
      </c>
      <c r="H78" s="23" t="inlineStr">
        <is>
          <t>打开原文</t>
        </is>
      </c>
    </row>
    <row r="79">
      <c r="A79" s="12" t="n">
        <v>73</v>
      </c>
      <c r="B79" s="13" t="n">
        <v>45282</v>
      </c>
      <c r="C79" s="14" t="n">
        <v>2700</v>
      </c>
      <c r="D79" s="14" t="n">
        <v>2850</v>
      </c>
      <c r="E79" s="15">
        <f>(C79+D79)/2</f>
        <v/>
      </c>
      <c r="F79" s="15">
        <f>D79-C79</f>
        <v/>
      </c>
      <c r="G79" s="16" t="inlineStr">
        <is>
          <t>主流市场报价</t>
        </is>
      </c>
      <c r="H79" s="17" t="inlineStr">
        <is>
          <t>打开原文</t>
        </is>
      </c>
    </row>
    <row r="80">
      <c r="A80" s="18" t="n">
        <v>74</v>
      </c>
      <c r="B80" s="19" t="n">
        <v>45296</v>
      </c>
      <c r="C80" s="20" t="n">
        <v>2600</v>
      </c>
      <c r="D80" s="20" t="n">
        <v>2800</v>
      </c>
      <c r="E80" s="21">
        <f>(C80+D80)/2</f>
        <v/>
      </c>
      <c r="F80" s="21">
        <f>D80-C80</f>
        <v/>
      </c>
      <c r="G80" s="22" t="inlineStr">
        <is>
          <t>主流市场报价</t>
        </is>
      </c>
      <c r="H80" s="23" t="inlineStr">
        <is>
          <t>打开原文</t>
        </is>
      </c>
    </row>
    <row r="81">
      <c r="A81" s="12" t="n">
        <v>75</v>
      </c>
      <c r="B81" s="13" t="n">
        <v>45299</v>
      </c>
      <c r="C81" s="14" t="n">
        <v>2500</v>
      </c>
      <c r="D81" s="14" t="n">
        <v>2750</v>
      </c>
      <c r="E81" s="15">
        <f>(C81+D81)/2</f>
        <v/>
      </c>
      <c r="F81" s="15">
        <f>D81-C81</f>
        <v/>
      </c>
      <c r="G81" s="16" t="inlineStr">
        <is>
          <t>主流市场报价</t>
        </is>
      </c>
      <c r="H81" s="17" t="inlineStr">
        <is>
          <t>打开原文</t>
        </is>
      </c>
    </row>
    <row r="82">
      <c r="A82" s="18" t="n">
        <v>76</v>
      </c>
      <c r="B82" s="19" t="n">
        <v>45307</v>
      </c>
      <c r="C82" s="20" t="n">
        <v>2200</v>
      </c>
      <c r="D82" s="20" t="n">
        <v>2400</v>
      </c>
      <c r="E82" s="21">
        <f>(C82+D82)/2</f>
        <v/>
      </c>
      <c r="F82" s="21">
        <f>D82-C82</f>
        <v/>
      </c>
      <c r="G82" s="22" t="inlineStr">
        <is>
          <t>主流市场报价</t>
        </is>
      </c>
      <c r="H82" s="23" t="inlineStr">
        <is>
          <t>打开原文</t>
        </is>
      </c>
    </row>
    <row r="83">
      <c r="A83" s="12" t="n">
        <v>77</v>
      </c>
      <c r="B83" s="13" t="n">
        <v>45308</v>
      </c>
      <c r="C83" s="14" t="n">
        <v>2200</v>
      </c>
      <c r="D83" s="14" t="n">
        <v>2400</v>
      </c>
      <c r="E83" s="15">
        <f>(C83+D83)/2</f>
        <v/>
      </c>
      <c r="F83" s="15">
        <f>D83-C83</f>
        <v/>
      </c>
      <c r="G83" s="16" t="inlineStr">
        <is>
          <t>主流市场报价</t>
        </is>
      </c>
      <c r="H83" s="17" t="inlineStr">
        <is>
          <t>打开原文</t>
        </is>
      </c>
    </row>
    <row r="84">
      <c r="A84" s="18" t="n">
        <v>78</v>
      </c>
      <c r="B84" s="19" t="n">
        <v>45309</v>
      </c>
      <c r="C84" s="20" t="n">
        <v>2200</v>
      </c>
      <c r="D84" s="20" t="n">
        <v>2400</v>
      </c>
      <c r="E84" s="21">
        <f>(C84+D84)/2</f>
        <v/>
      </c>
      <c r="F84" s="21">
        <f>D84-C84</f>
        <v/>
      </c>
      <c r="G84" s="22" t="inlineStr">
        <is>
          <t>主流市场报价</t>
        </is>
      </c>
      <c r="H84" s="23" t="inlineStr">
        <is>
          <t>打开原文</t>
        </is>
      </c>
    </row>
    <row r="85">
      <c r="A85" s="12" t="n">
        <v>79</v>
      </c>
      <c r="B85" s="13" t="n">
        <v>45310</v>
      </c>
      <c r="C85" s="14" t="n">
        <v>2200</v>
      </c>
      <c r="D85" s="14" t="n">
        <v>2400</v>
      </c>
      <c r="E85" s="15">
        <f>(C85+D85)/2</f>
        <v/>
      </c>
      <c r="F85" s="15">
        <f>D85-C85</f>
        <v/>
      </c>
      <c r="G85" s="16" t="inlineStr">
        <is>
          <t>主流市场报价</t>
        </is>
      </c>
      <c r="H85" s="17" t="inlineStr">
        <is>
          <t>打开原文</t>
        </is>
      </c>
    </row>
    <row r="86">
      <c r="A86" s="18" t="n">
        <v>80</v>
      </c>
      <c r="B86" s="19" t="n">
        <v>45313</v>
      </c>
      <c r="C86" s="20" t="n">
        <v>2200</v>
      </c>
      <c r="D86" s="20" t="n">
        <v>2400</v>
      </c>
      <c r="E86" s="21">
        <f>(C86+D86)/2</f>
        <v/>
      </c>
      <c r="F86" s="21">
        <f>D86-C86</f>
        <v/>
      </c>
      <c r="G86" s="22" t="inlineStr">
        <is>
          <t>主流市场报价</t>
        </is>
      </c>
      <c r="H86" s="23" t="inlineStr">
        <is>
          <t>打开原文</t>
        </is>
      </c>
    </row>
    <row r="87">
      <c r="A87" s="12" t="n">
        <v>81</v>
      </c>
      <c r="B87" s="13" t="n">
        <v>45314</v>
      </c>
      <c r="C87" s="14" t="n">
        <v>2200</v>
      </c>
      <c r="D87" s="14" t="n">
        <v>2400</v>
      </c>
      <c r="E87" s="15">
        <f>(C87+D87)/2</f>
        <v/>
      </c>
      <c r="F87" s="15">
        <f>D87-C87</f>
        <v/>
      </c>
      <c r="G87" s="16" t="inlineStr">
        <is>
          <t>主流市场报价</t>
        </is>
      </c>
      <c r="H87" s="17" t="inlineStr">
        <is>
          <t>打开原文</t>
        </is>
      </c>
    </row>
    <row r="88">
      <c r="A88" s="18" t="n">
        <v>82</v>
      </c>
      <c r="B88" s="19" t="n">
        <v>45315</v>
      </c>
      <c r="C88" s="20" t="n">
        <v>2200</v>
      </c>
      <c r="D88" s="20" t="n">
        <v>2400</v>
      </c>
      <c r="E88" s="21">
        <f>(C88+D88)/2</f>
        <v/>
      </c>
      <c r="F88" s="21">
        <f>D88-C88</f>
        <v/>
      </c>
      <c r="G88" s="22" t="inlineStr">
        <is>
          <t>主流市场报价</t>
        </is>
      </c>
      <c r="H88" s="23" t="inlineStr">
        <is>
          <t>打开原文</t>
        </is>
      </c>
    </row>
    <row r="89">
      <c r="A89" s="12" t="n">
        <v>83</v>
      </c>
      <c r="B89" s="13" t="n">
        <v>45316</v>
      </c>
      <c r="C89" s="14" t="n">
        <v>2200</v>
      </c>
      <c r="D89" s="14" t="n">
        <v>2400</v>
      </c>
      <c r="E89" s="15">
        <f>(C89+D89)/2</f>
        <v/>
      </c>
      <c r="F89" s="15">
        <f>D89-C89</f>
        <v/>
      </c>
      <c r="G89" s="16" t="inlineStr">
        <is>
          <t>主流市场报价</t>
        </is>
      </c>
      <c r="H89" s="17" t="inlineStr">
        <is>
          <t>打开原文</t>
        </is>
      </c>
    </row>
    <row r="90">
      <c r="A90" s="18" t="n">
        <v>84</v>
      </c>
      <c r="B90" s="19" t="n">
        <v>45317</v>
      </c>
      <c r="C90" s="20" t="n">
        <v>2200</v>
      </c>
      <c r="D90" s="20" t="n">
        <v>2400</v>
      </c>
      <c r="E90" s="21">
        <f>(C90+D90)/2</f>
        <v/>
      </c>
      <c r="F90" s="21">
        <f>D90-C90</f>
        <v/>
      </c>
      <c r="G90" s="22" t="inlineStr">
        <is>
          <t>主流市场报价</t>
        </is>
      </c>
      <c r="H90" s="23" t="inlineStr">
        <is>
          <t>打开原文</t>
        </is>
      </c>
    </row>
    <row r="91">
      <c r="A91" s="12" t="n">
        <v>85</v>
      </c>
      <c r="B91" s="13" t="n">
        <v>45320</v>
      </c>
      <c r="C91" s="14" t="n">
        <v>2200</v>
      </c>
      <c r="D91" s="14" t="n">
        <v>2400</v>
      </c>
      <c r="E91" s="15">
        <f>(C91+D91)/2</f>
        <v/>
      </c>
      <c r="F91" s="15">
        <f>D91-C91</f>
        <v/>
      </c>
      <c r="G91" s="16" t="inlineStr">
        <is>
          <t>主流市场报价</t>
        </is>
      </c>
      <c r="H91" s="17" t="inlineStr">
        <is>
          <t>打开原文</t>
        </is>
      </c>
    </row>
    <row r="92">
      <c r="A92" s="18" t="n">
        <v>86</v>
      </c>
      <c r="B92" s="19" t="n">
        <v>45321</v>
      </c>
      <c r="C92" s="20" t="n">
        <v>2200</v>
      </c>
      <c r="D92" s="20" t="n">
        <v>2400</v>
      </c>
      <c r="E92" s="21">
        <f>(C92+D92)/2</f>
        <v/>
      </c>
      <c r="F92" s="21">
        <f>D92-C92</f>
        <v/>
      </c>
      <c r="G92" s="22" t="inlineStr">
        <is>
          <t>主流市场报价</t>
        </is>
      </c>
      <c r="H92" s="23" t="inlineStr">
        <is>
          <t>打开原文</t>
        </is>
      </c>
    </row>
    <row r="93">
      <c r="A93" s="12" t="n">
        <v>87</v>
      </c>
      <c r="B93" s="13" t="n">
        <v>45322</v>
      </c>
      <c r="C93" s="14" t="n">
        <v>2200</v>
      </c>
      <c r="D93" s="14" t="n">
        <v>2400</v>
      </c>
      <c r="E93" s="15">
        <f>(C93+D93)/2</f>
        <v/>
      </c>
      <c r="F93" s="15">
        <f>D93-C93</f>
        <v/>
      </c>
      <c r="G93" s="16" t="inlineStr">
        <is>
          <t>主流市场报价</t>
        </is>
      </c>
      <c r="H93" s="17" t="inlineStr">
        <is>
          <t>打开原文</t>
        </is>
      </c>
    </row>
    <row r="94">
      <c r="A94" s="18" t="n">
        <v>88</v>
      </c>
      <c r="B94" s="19" t="n">
        <v>45323</v>
      </c>
      <c r="C94" s="20" t="n">
        <v>2200</v>
      </c>
      <c r="D94" s="20" t="n">
        <v>2400</v>
      </c>
      <c r="E94" s="21">
        <f>(C94+D94)/2</f>
        <v/>
      </c>
      <c r="F94" s="21">
        <f>D94-C94</f>
        <v/>
      </c>
      <c r="G94" s="22" t="inlineStr">
        <is>
          <t>主流市场报价</t>
        </is>
      </c>
      <c r="H94" s="23" t="inlineStr">
        <is>
          <t>打开原文</t>
        </is>
      </c>
    </row>
    <row r="95">
      <c r="A95" s="12" t="n">
        <v>89</v>
      </c>
      <c r="B95" s="13" t="n">
        <v>45324</v>
      </c>
      <c r="C95" s="14" t="n">
        <v>2200</v>
      </c>
      <c r="D95" s="14" t="n">
        <v>2400</v>
      </c>
      <c r="E95" s="15">
        <f>(C95+D95)/2</f>
        <v/>
      </c>
      <c r="F95" s="15">
        <f>D95-C95</f>
        <v/>
      </c>
      <c r="G95" s="16" t="inlineStr">
        <is>
          <t>主流市场报价</t>
        </is>
      </c>
      <c r="H95" s="17" t="inlineStr">
        <is>
          <t>打开原文</t>
        </is>
      </c>
    </row>
    <row r="96">
      <c r="A96" s="18" t="n">
        <v>90</v>
      </c>
      <c r="B96" s="19" t="n">
        <v>45326</v>
      </c>
      <c r="C96" s="20" t="n">
        <v>2200</v>
      </c>
      <c r="D96" s="20" t="n">
        <v>2400</v>
      </c>
      <c r="E96" s="21">
        <f>(C96+D96)/2</f>
        <v/>
      </c>
      <c r="F96" s="21">
        <f>D96-C96</f>
        <v/>
      </c>
      <c r="G96" s="22" t="inlineStr">
        <is>
          <t>主流市场报价</t>
        </is>
      </c>
      <c r="H96" s="23" t="inlineStr">
        <is>
          <t>打开原文</t>
        </is>
      </c>
    </row>
    <row r="97">
      <c r="A97" s="12" t="n">
        <v>91</v>
      </c>
      <c r="B97" s="13" t="n">
        <v>45328</v>
      </c>
      <c r="C97" s="14" t="n">
        <v>2200</v>
      </c>
      <c r="D97" s="14" t="n">
        <v>2400</v>
      </c>
      <c r="E97" s="15">
        <f>(C97+D97)/2</f>
        <v/>
      </c>
      <c r="F97" s="15">
        <f>D97-C97</f>
        <v/>
      </c>
      <c r="G97" s="16" t="inlineStr">
        <is>
          <t>主流市场报价</t>
        </is>
      </c>
      <c r="H97" s="17" t="inlineStr">
        <is>
          <t>打开原文</t>
        </is>
      </c>
    </row>
    <row r="98">
      <c r="A98" s="18" t="n">
        <v>92</v>
      </c>
      <c r="B98" s="19" t="n">
        <v>45343</v>
      </c>
      <c r="C98" s="20" t="n">
        <v>2200</v>
      </c>
      <c r="D98" s="20" t="n">
        <v>2400</v>
      </c>
      <c r="E98" s="21">
        <f>(C98+D98)/2</f>
        <v/>
      </c>
      <c r="F98" s="21">
        <f>D98-C98</f>
        <v/>
      </c>
      <c r="G98" s="22" t="inlineStr">
        <is>
          <t>主流市场报价</t>
        </is>
      </c>
      <c r="H98" s="23" t="inlineStr">
        <is>
          <t>打开原文</t>
        </is>
      </c>
    </row>
    <row r="99">
      <c r="A99" s="12" t="n">
        <v>93</v>
      </c>
      <c r="B99" s="13" t="n">
        <v>45344</v>
      </c>
      <c r="C99" s="14" t="n">
        <v>2200</v>
      </c>
      <c r="D99" s="14" t="n">
        <v>2400</v>
      </c>
      <c r="E99" s="15">
        <f>(C99+D99)/2</f>
        <v/>
      </c>
      <c r="F99" s="15">
        <f>D99-C99</f>
        <v/>
      </c>
      <c r="G99" s="16" t="inlineStr">
        <is>
          <t>主流市场报价</t>
        </is>
      </c>
      <c r="H99" s="17" t="inlineStr">
        <is>
          <t>打开原文</t>
        </is>
      </c>
    </row>
    <row r="100">
      <c r="A100" s="18" t="n">
        <v>94</v>
      </c>
      <c r="B100" s="19" t="n">
        <v>45345</v>
      </c>
      <c r="C100" s="20" t="n">
        <v>2200</v>
      </c>
      <c r="D100" s="20" t="n">
        <v>2400</v>
      </c>
      <c r="E100" s="21">
        <f>(C100+D100)/2</f>
        <v/>
      </c>
      <c r="F100" s="21">
        <f>D100-C100</f>
        <v/>
      </c>
      <c r="G100" s="22" t="inlineStr">
        <is>
          <t>主流市场报价</t>
        </is>
      </c>
      <c r="H100" s="23" t="inlineStr">
        <is>
          <t>打开原文</t>
        </is>
      </c>
    </row>
    <row r="101">
      <c r="A101" s="12" t="n">
        <v>95</v>
      </c>
      <c r="B101" s="13" t="n">
        <v>45348</v>
      </c>
      <c r="C101" s="14" t="n">
        <v>2100</v>
      </c>
      <c r="D101" s="14" t="n">
        <v>2400</v>
      </c>
      <c r="E101" s="15">
        <f>(C101+D101)/2</f>
        <v/>
      </c>
      <c r="F101" s="15">
        <f>D101-C101</f>
        <v/>
      </c>
      <c r="G101" s="16" t="inlineStr">
        <is>
          <t>主流市场报价</t>
        </is>
      </c>
      <c r="H101" s="17" t="inlineStr">
        <is>
          <t>打开原文</t>
        </is>
      </c>
    </row>
    <row r="102">
      <c r="A102" s="18" t="n">
        <v>96</v>
      </c>
      <c r="B102" s="19" t="n">
        <v>45349</v>
      </c>
      <c r="C102" s="20" t="n">
        <v>2100</v>
      </c>
      <c r="D102" s="20" t="n">
        <v>2400</v>
      </c>
      <c r="E102" s="21">
        <f>(C102+D102)/2</f>
        <v/>
      </c>
      <c r="F102" s="21">
        <f>D102-C102</f>
        <v/>
      </c>
      <c r="G102" s="22" t="inlineStr">
        <is>
          <t>主流市场报价</t>
        </is>
      </c>
      <c r="H102" s="23" t="inlineStr">
        <is>
          <t>打开原文</t>
        </is>
      </c>
    </row>
    <row r="103">
      <c r="A103" s="12" t="n">
        <v>97</v>
      </c>
      <c r="B103" s="13" t="n">
        <v>45350</v>
      </c>
      <c r="C103" s="14" t="n">
        <v>2100</v>
      </c>
      <c r="D103" s="14" t="n">
        <v>2400</v>
      </c>
      <c r="E103" s="15">
        <f>(C103+D103)/2</f>
        <v/>
      </c>
      <c r="F103" s="15">
        <f>D103-C103</f>
        <v/>
      </c>
      <c r="G103" s="16" t="inlineStr">
        <is>
          <t>主流市场报价</t>
        </is>
      </c>
      <c r="H103" s="17" t="inlineStr">
        <is>
          <t>打开原文</t>
        </is>
      </c>
    </row>
    <row r="104">
      <c r="A104" s="18" t="n">
        <v>98</v>
      </c>
      <c r="B104" s="19" t="n">
        <v>45351</v>
      </c>
      <c r="C104" s="20" t="n">
        <v>2100</v>
      </c>
      <c r="D104" s="20" t="n">
        <v>2400</v>
      </c>
      <c r="E104" s="21">
        <f>(C104+D104)/2</f>
        <v/>
      </c>
      <c r="F104" s="21">
        <f>D104-C104</f>
        <v/>
      </c>
      <c r="G104" s="22" t="inlineStr">
        <is>
          <t>主流市场报价</t>
        </is>
      </c>
      <c r="H104" s="23" t="inlineStr">
        <is>
          <t>打开原文</t>
        </is>
      </c>
    </row>
    <row r="105">
      <c r="A105" s="12" t="n">
        <v>99</v>
      </c>
      <c r="B105" s="13" t="n">
        <v>45352</v>
      </c>
      <c r="C105" s="14" t="n">
        <v>2100</v>
      </c>
      <c r="D105" s="14" t="n">
        <v>2400</v>
      </c>
      <c r="E105" s="15">
        <f>(C105+D105)/2</f>
        <v/>
      </c>
      <c r="F105" s="15">
        <f>D105-C105</f>
        <v/>
      </c>
      <c r="G105" s="16" t="inlineStr">
        <is>
          <t>主流市场报价</t>
        </is>
      </c>
      <c r="H105" s="17" t="inlineStr">
        <is>
          <t>打开原文</t>
        </is>
      </c>
    </row>
    <row r="106">
      <c r="A106" s="18" t="n">
        <v>100</v>
      </c>
      <c r="B106" s="19" t="n">
        <v>45355</v>
      </c>
      <c r="C106" s="20" t="n">
        <v>2100</v>
      </c>
      <c r="D106" s="20" t="n">
        <v>2400</v>
      </c>
      <c r="E106" s="21">
        <f>(C106+D106)/2</f>
        <v/>
      </c>
      <c r="F106" s="21">
        <f>D106-C106</f>
        <v/>
      </c>
      <c r="G106" s="22" t="inlineStr">
        <is>
          <t>主流市场报价</t>
        </is>
      </c>
      <c r="H106" s="23" t="inlineStr">
        <is>
          <t>打开原文</t>
        </is>
      </c>
    </row>
    <row r="107">
      <c r="A107" s="12" t="n">
        <v>101</v>
      </c>
      <c r="B107" s="13" t="n">
        <v>45356</v>
      </c>
      <c r="C107" s="14" t="n">
        <v>2100</v>
      </c>
      <c r="D107" s="14" t="n">
        <v>2400</v>
      </c>
      <c r="E107" s="15">
        <f>(C107+D107)/2</f>
        <v/>
      </c>
      <c r="F107" s="15">
        <f>D107-C107</f>
        <v/>
      </c>
      <c r="G107" s="16" t="inlineStr">
        <is>
          <t>主流市场报价</t>
        </is>
      </c>
      <c r="H107" s="17" t="inlineStr">
        <is>
          <t>打开原文</t>
        </is>
      </c>
    </row>
    <row r="108">
      <c r="A108" s="18" t="n">
        <v>102</v>
      </c>
      <c r="B108" s="19" t="n">
        <v>45357</v>
      </c>
      <c r="C108" s="20" t="n">
        <v>1900</v>
      </c>
      <c r="D108" s="20" t="n">
        <v>2200</v>
      </c>
      <c r="E108" s="21">
        <f>(C108+D108)/2</f>
        <v/>
      </c>
      <c r="F108" s="21">
        <f>D108-C108</f>
        <v/>
      </c>
      <c r="G108" s="22" t="inlineStr">
        <is>
          <t>主流市场报价</t>
        </is>
      </c>
      <c r="H108" s="23" t="inlineStr">
        <is>
          <t>打开原文</t>
        </is>
      </c>
    </row>
    <row r="109">
      <c r="A109" s="12" t="n">
        <v>103</v>
      </c>
      <c r="B109" s="13" t="n">
        <v>45358</v>
      </c>
      <c r="C109" s="14" t="n">
        <v>1900</v>
      </c>
      <c r="D109" s="14" t="n">
        <v>2200</v>
      </c>
      <c r="E109" s="15">
        <f>(C109+D109)/2</f>
        <v/>
      </c>
      <c r="F109" s="15">
        <f>D109-C109</f>
        <v/>
      </c>
      <c r="G109" s="16" t="inlineStr">
        <is>
          <t>主流市场报价</t>
        </is>
      </c>
      <c r="H109" s="17" t="inlineStr">
        <is>
          <t>打开原文</t>
        </is>
      </c>
    </row>
    <row r="110">
      <c r="A110" s="18" t="n">
        <v>104</v>
      </c>
      <c r="B110" s="19" t="n">
        <v>45359</v>
      </c>
      <c r="C110" s="20" t="n">
        <v>1900</v>
      </c>
      <c r="D110" s="20" t="n">
        <v>2200</v>
      </c>
      <c r="E110" s="21">
        <f>(C110+D110)/2</f>
        <v/>
      </c>
      <c r="F110" s="21">
        <f>D110-C110</f>
        <v/>
      </c>
      <c r="G110" s="22" t="inlineStr">
        <is>
          <t>主流市场报价</t>
        </is>
      </c>
      <c r="H110" s="23" t="inlineStr">
        <is>
          <t>打开原文</t>
        </is>
      </c>
    </row>
    <row r="111">
      <c r="A111" s="12" t="n">
        <v>105</v>
      </c>
      <c r="B111" s="13" t="n">
        <v>45362</v>
      </c>
      <c r="C111" s="14" t="n">
        <v>1900</v>
      </c>
      <c r="D111" s="14" t="n">
        <v>2200</v>
      </c>
      <c r="E111" s="15">
        <f>(C111+D111)/2</f>
        <v/>
      </c>
      <c r="F111" s="15">
        <f>D111-C111</f>
        <v/>
      </c>
      <c r="G111" s="16" t="inlineStr">
        <is>
          <t>主流市场报价</t>
        </is>
      </c>
      <c r="H111" s="17" t="inlineStr">
        <is>
          <t>打开原文</t>
        </is>
      </c>
    </row>
    <row r="112">
      <c r="A112" s="18" t="n">
        <v>106</v>
      </c>
      <c r="B112" s="19" t="n">
        <v>45363</v>
      </c>
      <c r="C112" s="20" t="n">
        <v>1900</v>
      </c>
      <c r="D112" s="20" t="n">
        <v>2200</v>
      </c>
      <c r="E112" s="21">
        <f>(C112+D112)/2</f>
        <v/>
      </c>
      <c r="F112" s="21">
        <f>D112-C112</f>
        <v/>
      </c>
      <c r="G112" s="22" t="inlineStr">
        <is>
          <t>主流市场报价</t>
        </is>
      </c>
      <c r="H112" s="23" t="inlineStr">
        <is>
          <t>打开原文</t>
        </is>
      </c>
    </row>
    <row r="113">
      <c r="A113" s="12" t="n">
        <v>107</v>
      </c>
      <c r="B113" s="13" t="n">
        <v>45364</v>
      </c>
      <c r="C113" s="14" t="n">
        <v>1900</v>
      </c>
      <c r="D113" s="14" t="n">
        <v>2200</v>
      </c>
      <c r="E113" s="15">
        <f>(C113+D113)/2</f>
        <v/>
      </c>
      <c r="F113" s="15">
        <f>D113-C113</f>
        <v/>
      </c>
      <c r="G113" s="16" t="inlineStr">
        <is>
          <t>主流市场报价</t>
        </is>
      </c>
      <c r="H113" s="17" t="inlineStr">
        <is>
          <t>打开原文</t>
        </is>
      </c>
    </row>
    <row r="114">
      <c r="A114" s="18" t="n">
        <v>108</v>
      </c>
      <c r="B114" s="19" t="n">
        <v>45365</v>
      </c>
      <c r="C114" s="20" t="n">
        <v>1900</v>
      </c>
      <c r="D114" s="20" t="n">
        <v>2200</v>
      </c>
      <c r="E114" s="21">
        <f>(C114+D114)/2</f>
        <v/>
      </c>
      <c r="F114" s="21">
        <f>D114-C114</f>
        <v/>
      </c>
      <c r="G114" s="22" t="inlineStr">
        <is>
          <t>主流市场报价</t>
        </is>
      </c>
      <c r="H114" s="23" t="inlineStr">
        <is>
          <t>打开原文</t>
        </is>
      </c>
    </row>
    <row r="115">
      <c r="A115" s="12" t="n">
        <v>109</v>
      </c>
      <c r="B115" s="13" t="n">
        <v>45366</v>
      </c>
      <c r="C115" s="14" t="n">
        <v>1900</v>
      </c>
      <c r="D115" s="14" t="n">
        <v>2200</v>
      </c>
      <c r="E115" s="15">
        <f>(C115+D115)/2</f>
        <v/>
      </c>
      <c r="F115" s="15">
        <f>D115-C115</f>
        <v/>
      </c>
      <c r="G115" s="16" t="inlineStr">
        <is>
          <t>主流市场报价</t>
        </is>
      </c>
      <c r="H115" s="17" t="inlineStr">
        <is>
          <t>打开原文</t>
        </is>
      </c>
    </row>
    <row r="116">
      <c r="A116" s="18" t="n">
        <v>110</v>
      </c>
      <c r="B116" s="19" t="n">
        <v>45369</v>
      </c>
      <c r="C116" s="20" t="n">
        <v>1900</v>
      </c>
      <c r="D116" s="20" t="n">
        <v>2200</v>
      </c>
      <c r="E116" s="21">
        <f>(C116+D116)/2</f>
        <v/>
      </c>
      <c r="F116" s="21">
        <f>D116-C116</f>
        <v/>
      </c>
      <c r="G116" s="22" t="inlineStr">
        <is>
          <t>主流市场报价</t>
        </is>
      </c>
      <c r="H116" s="23" t="inlineStr">
        <is>
          <t>打开原文</t>
        </is>
      </c>
    </row>
    <row r="117">
      <c r="A117" s="12" t="n">
        <v>111</v>
      </c>
      <c r="B117" s="13" t="n">
        <v>45370</v>
      </c>
      <c r="C117" s="14" t="n">
        <v>1900</v>
      </c>
      <c r="D117" s="14" t="n">
        <v>2200</v>
      </c>
      <c r="E117" s="15">
        <f>(C117+D117)/2</f>
        <v/>
      </c>
      <c r="F117" s="15">
        <f>D117-C117</f>
        <v/>
      </c>
      <c r="G117" s="16" t="inlineStr">
        <is>
          <t>主流市场报价</t>
        </is>
      </c>
      <c r="H117" s="17" t="inlineStr">
        <is>
          <t>打开原文</t>
        </is>
      </c>
    </row>
    <row r="118">
      <c r="A118" s="18" t="n">
        <v>112</v>
      </c>
      <c r="B118" s="19" t="n">
        <v>45371</v>
      </c>
      <c r="C118" s="20" t="n">
        <v>1900</v>
      </c>
      <c r="D118" s="20" t="n">
        <v>2200</v>
      </c>
      <c r="E118" s="21">
        <f>(C118+D118)/2</f>
        <v/>
      </c>
      <c r="F118" s="21">
        <f>D118-C118</f>
        <v/>
      </c>
      <c r="G118" s="22" t="inlineStr">
        <is>
          <t>主流市场报价</t>
        </is>
      </c>
      <c r="H118" s="23" t="inlineStr">
        <is>
          <t>打开原文</t>
        </is>
      </c>
    </row>
    <row r="119">
      <c r="A119" s="12" t="n">
        <v>113</v>
      </c>
      <c r="B119" s="13" t="n">
        <v>45372</v>
      </c>
      <c r="C119" s="14" t="n">
        <v>1900</v>
      </c>
      <c r="D119" s="14" t="n">
        <v>2200</v>
      </c>
      <c r="E119" s="15">
        <f>(C119+D119)/2</f>
        <v/>
      </c>
      <c r="F119" s="15">
        <f>D119-C119</f>
        <v/>
      </c>
      <c r="G119" s="16" t="inlineStr">
        <is>
          <t>主流市场报价</t>
        </is>
      </c>
      <c r="H119" s="17" t="inlineStr">
        <is>
          <t>打开原文</t>
        </is>
      </c>
    </row>
    <row r="120">
      <c r="A120" s="18" t="n">
        <v>114</v>
      </c>
      <c r="B120" s="19" t="n">
        <v>45376</v>
      </c>
      <c r="C120" s="20" t="n">
        <v>1900</v>
      </c>
      <c r="D120" s="20" t="n">
        <v>2200</v>
      </c>
      <c r="E120" s="21">
        <f>(C120+D120)/2</f>
        <v/>
      </c>
      <c r="F120" s="21">
        <f>D120-C120</f>
        <v/>
      </c>
      <c r="G120" s="22" t="inlineStr">
        <is>
          <t>主流市场报价</t>
        </is>
      </c>
      <c r="H120" s="23" t="inlineStr">
        <is>
          <t>打开原文</t>
        </is>
      </c>
    </row>
    <row r="121">
      <c r="A121" s="12" t="n">
        <v>115</v>
      </c>
      <c r="B121" s="13" t="n">
        <v>45379</v>
      </c>
      <c r="C121" s="14" t="n">
        <v>1900</v>
      </c>
      <c r="D121" s="14" t="n">
        <v>2200</v>
      </c>
      <c r="E121" s="15">
        <f>(C121+D121)/2</f>
        <v/>
      </c>
      <c r="F121" s="15">
        <f>D121-C121</f>
        <v/>
      </c>
      <c r="G121" s="16" t="inlineStr">
        <is>
          <t>主流市场报价</t>
        </is>
      </c>
      <c r="H121" s="17" t="inlineStr">
        <is>
          <t>打开原文</t>
        </is>
      </c>
    </row>
    <row r="122">
      <c r="A122" s="18" t="n">
        <v>116</v>
      </c>
      <c r="B122" s="19" t="n">
        <v>45380</v>
      </c>
      <c r="C122" s="20" t="n">
        <v>1900</v>
      </c>
      <c r="D122" s="20" t="n">
        <v>2200</v>
      </c>
      <c r="E122" s="21">
        <f>(C122+D122)/2</f>
        <v/>
      </c>
      <c r="F122" s="21">
        <f>D122-C122</f>
        <v/>
      </c>
      <c r="G122" s="22" t="inlineStr">
        <is>
          <t>主流市场报价</t>
        </is>
      </c>
      <c r="H122" s="23" t="inlineStr">
        <is>
          <t>打开原文</t>
        </is>
      </c>
    </row>
    <row r="123">
      <c r="A123" s="12" t="n">
        <v>117</v>
      </c>
      <c r="B123" s="13" t="n">
        <v>45383</v>
      </c>
      <c r="C123" s="14" t="n">
        <v>1900</v>
      </c>
      <c r="D123" s="14" t="n">
        <v>2200</v>
      </c>
      <c r="E123" s="15">
        <f>(C123+D123)/2</f>
        <v/>
      </c>
      <c r="F123" s="15">
        <f>D123-C123</f>
        <v/>
      </c>
      <c r="G123" s="16" t="inlineStr">
        <is>
          <t>主流市场报价</t>
        </is>
      </c>
      <c r="H123" s="17" t="inlineStr">
        <is>
          <t>打开原文</t>
        </is>
      </c>
    </row>
    <row r="124">
      <c r="A124" s="18" t="n">
        <v>118</v>
      </c>
      <c r="B124" s="19" t="n">
        <v>45384</v>
      </c>
      <c r="C124" s="20" t="n">
        <v>1900</v>
      </c>
      <c r="D124" s="20" t="n">
        <v>2200</v>
      </c>
      <c r="E124" s="21">
        <f>(C124+D124)/2</f>
        <v/>
      </c>
      <c r="F124" s="21">
        <f>D124-C124</f>
        <v/>
      </c>
      <c r="G124" s="22" t="inlineStr">
        <is>
          <t>主流市场报价</t>
        </is>
      </c>
      <c r="H124" s="23" t="inlineStr">
        <is>
          <t>打开原文</t>
        </is>
      </c>
    </row>
    <row r="125">
      <c r="A125" s="12" t="n">
        <v>119</v>
      </c>
      <c r="B125" s="13" t="n">
        <v>45385</v>
      </c>
      <c r="C125" s="14" t="n">
        <v>1900</v>
      </c>
      <c r="D125" s="14" t="n">
        <v>2200</v>
      </c>
      <c r="E125" s="15">
        <f>(C125+D125)/2</f>
        <v/>
      </c>
      <c r="F125" s="15">
        <f>D125-C125</f>
        <v/>
      </c>
      <c r="G125" s="16" t="inlineStr">
        <is>
          <t>主流市场报价</t>
        </is>
      </c>
      <c r="H125" s="17" t="inlineStr">
        <is>
          <t>打开原文</t>
        </is>
      </c>
    </row>
    <row r="126">
      <c r="A126" s="18" t="n">
        <v>120</v>
      </c>
      <c r="B126" s="19" t="n">
        <v>45392</v>
      </c>
      <c r="C126" s="20" t="n">
        <v>1850</v>
      </c>
      <c r="D126" s="20" t="n">
        <v>2050</v>
      </c>
      <c r="E126" s="21">
        <f>(C126+D126)/2</f>
        <v/>
      </c>
      <c r="F126" s="21">
        <f>D126-C126</f>
        <v/>
      </c>
      <c r="G126" s="22" t="inlineStr">
        <is>
          <t>主流市场报价</t>
        </is>
      </c>
      <c r="H126" s="23" t="inlineStr">
        <is>
          <t>打开原文</t>
        </is>
      </c>
    </row>
    <row r="127">
      <c r="A127" s="12" t="n">
        <v>121</v>
      </c>
      <c r="B127" s="13" t="n">
        <v>45393</v>
      </c>
      <c r="C127" s="14" t="n">
        <v>1850</v>
      </c>
      <c r="D127" s="14" t="n">
        <v>2050</v>
      </c>
      <c r="E127" s="15">
        <f>(C127+D127)/2</f>
        <v/>
      </c>
      <c r="F127" s="15">
        <f>D127-C127</f>
        <v/>
      </c>
      <c r="G127" s="16" t="inlineStr">
        <is>
          <t>主流市场报价</t>
        </is>
      </c>
      <c r="H127" s="17" t="inlineStr">
        <is>
          <t>打开原文</t>
        </is>
      </c>
    </row>
    <row r="128">
      <c r="A128" s="18" t="n">
        <v>122</v>
      </c>
      <c r="B128" s="19" t="n">
        <v>45394</v>
      </c>
      <c r="C128" s="20" t="n">
        <v>1850</v>
      </c>
      <c r="D128" s="20" t="n">
        <v>2050</v>
      </c>
      <c r="E128" s="21">
        <f>(C128+D128)/2</f>
        <v/>
      </c>
      <c r="F128" s="21">
        <f>D128-C128</f>
        <v/>
      </c>
      <c r="G128" s="22" t="inlineStr">
        <is>
          <t>主流市场报价</t>
        </is>
      </c>
      <c r="H128" s="23" t="inlineStr">
        <is>
          <t>打开原文</t>
        </is>
      </c>
    </row>
    <row r="129">
      <c r="A129" s="12" t="n">
        <v>123</v>
      </c>
      <c r="B129" s="13" t="n">
        <v>45397</v>
      </c>
      <c r="C129" s="14" t="n">
        <v>1850</v>
      </c>
      <c r="D129" s="14" t="n">
        <v>2050</v>
      </c>
      <c r="E129" s="15">
        <f>(C129+D129)/2</f>
        <v/>
      </c>
      <c r="F129" s="15">
        <f>D129-C129</f>
        <v/>
      </c>
      <c r="G129" s="16" t="inlineStr">
        <is>
          <t>主流市场报价</t>
        </is>
      </c>
      <c r="H129" s="17" t="inlineStr">
        <is>
          <t>打开原文</t>
        </is>
      </c>
    </row>
    <row r="130">
      <c r="A130" s="18" t="n">
        <v>124</v>
      </c>
      <c r="B130" s="19" t="n">
        <v>45398</v>
      </c>
      <c r="C130" s="20" t="n">
        <v>1850</v>
      </c>
      <c r="D130" s="20" t="n">
        <v>2050</v>
      </c>
      <c r="E130" s="21">
        <f>(C130+D130)/2</f>
        <v/>
      </c>
      <c r="F130" s="21">
        <f>D130-C130</f>
        <v/>
      </c>
      <c r="G130" s="22" t="inlineStr">
        <is>
          <t>主流市场报价</t>
        </is>
      </c>
      <c r="H130" s="23" t="inlineStr">
        <is>
          <t>打开原文</t>
        </is>
      </c>
    </row>
    <row r="131">
      <c r="A131" s="12" t="n">
        <v>125</v>
      </c>
      <c r="B131" s="13" t="n">
        <v>45399</v>
      </c>
      <c r="C131" s="14" t="n">
        <v>1850</v>
      </c>
      <c r="D131" s="14" t="n">
        <v>2050</v>
      </c>
      <c r="E131" s="15">
        <f>(C131+D131)/2</f>
        <v/>
      </c>
      <c r="F131" s="15">
        <f>D131-C131</f>
        <v/>
      </c>
      <c r="G131" s="16" t="inlineStr">
        <is>
          <t>主流市场报价</t>
        </is>
      </c>
      <c r="H131" s="17" t="inlineStr">
        <is>
          <t>打开原文</t>
        </is>
      </c>
    </row>
    <row r="132">
      <c r="A132" s="18" t="n">
        <v>126</v>
      </c>
      <c r="B132" s="19" t="n">
        <v>45400</v>
      </c>
      <c r="C132" s="20" t="n">
        <v>1850</v>
      </c>
      <c r="D132" s="20" t="n">
        <v>2050</v>
      </c>
      <c r="E132" s="21">
        <f>(C132+D132)/2</f>
        <v/>
      </c>
      <c r="F132" s="21">
        <f>D132-C132</f>
        <v/>
      </c>
      <c r="G132" s="22" t="inlineStr">
        <is>
          <t>主流市场报价</t>
        </is>
      </c>
      <c r="H132" s="23" t="inlineStr">
        <is>
          <t>打开原文</t>
        </is>
      </c>
    </row>
    <row r="133">
      <c r="A133" s="12" t="n">
        <v>127</v>
      </c>
      <c r="B133" s="13" t="n">
        <v>45401</v>
      </c>
      <c r="C133" s="14" t="n">
        <v>1850</v>
      </c>
      <c r="D133" s="14" t="n">
        <v>2050</v>
      </c>
      <c r="E133" s="15">
        <f>(C133+D133)/2</f>
        <v/>
      </c>
      <c r="F133" s="15">
        <f>D133-C133</f>
        <v/>
      </c>
      <c r="G133" s="16" t="inlineStr">
        <is>
          <t>主流市场报价</t>
        </is>
      </c>
      <c r="H133" s="17" t="inlineStr">
        <is>
          <t>打开原文</t>
        </is>
      </c>
    </row>
    <row r="134">
      <c r="A134" s="18" t="n">
        <v>128</v>
      </c>
      <c r="B134" s="19" t="n">
        <v>45404</v>
      </c>
      <c r="C134" s="20" t="n">
        <v>1950</v>
      </c>
      <c r="D134" s="20" t="n">
        <v>2200</v>
      </c>
      <c r="E134" s="21">
        <f>(C134+D134)/2</f>
        <v/>
      </c>
      <c r="F134" s="21">
        <f>D134-C134</f>
        <v/>
      </c>
      <c r="G134" s="22" t="inlineStr">
        <is>
          <t>主流市场报价</t>
        </is>
      </c>
      <c r="H134" s="23" t="inlineStr">
        <is>
          <t>打开原文</t>
        </is>
      </c>
    </row>
    <row r="135">
      <c r="A135" s="12" t="n">
        <v>129</v>
      </c>
      <c r="B135" s="13" t="n">
        <v>45405</v>
      </c>
      <c r="C135" s="14" t="n">
        <v>1950</v>
      </c>
      <c r="D135" s="14" t="n">
        <v>2200</v>
      </c>
      <c r="E135" s="15">
        <f>(C135+D135)/2</f>
        <v/>
      </c>
      <c r="F135" s="15">
        <f>D135-C135</f>
        <v/>
      </c>
      <c r="G135" s="16" t="inlineStr">
        <is>
          <t>主流市场报价</t>
        </is>
      </c>
      <c r="H135" s="17" t="inlineStr">
        <is>
          <t>打开原文</t>
        </is>
      </c>
    </row>
    <row r="136">
      <c r="A136" s="18" t="n">
        <v>130</v>
      </c>
      <c r="B136" s="19" t="n">
        <v>45406</v>
      </c>
      <c r="C136" s="20" t="n">
        <v>1950</v>
      </c>
      <c r="D136" s="20" t="n">
        <v>2200</v>
      </c>
      <c r="E136" s="21">
        <f>(C136+D136)/2</f>
        <v/>
      </c>
      <c r="F136" s="21">
        <f>D136-C136</f>
        <v/>
      </c>
      <c r="G136" s="22" t="inlineStr">
        <is>
          <t>主流市场报价</t>
        </is>
      </c>
      <c r="H136" s="23" t="inlineStr">
        <is>
          <t>打开原文</t>
        </is>
      </c>
    </row>
    <row r="137">
      <c r="A137" s="12" t="n">
        <v>131</v>
      </c>
      <c r="B137" s="13" t="n">
        <v>45407</v>
      </c>
      <c r="C137" s="14" t="n">
        <v>1950</v>
      </c>
      <c r="D137" s="14" t="n">
        <v>2200</v>
      </c>
      <c r="E137" s="15">
        <f>(C137+D137)/2</f>
        <v/>
      </c>
      <c r="F137" s="15">
        <f>D137-C137</f>
        <v/>
      </c>
      <c r="G137" s="16" t="inlineStr">
        <is>
          <t>主流市场报价</t>
        </is>
      </c>
      <c r="H137" s="17" t="inlineStr">
        <is>
          <t>打开原文</t>
        </is>
      </c>
    </row>
    <row r="138">
      <c r="A138" s="18" t="n">
        <v>132</v>
      </c>
      <c r="B138" s="19" t="n">
        <v>45408</v>
      </c>
      <c r="C138" s="20" t="n">
        <v>1950</v>
      </c>
      <c r="D138" s="20" t="n">
        <v>2200</v>
      </c>
      <c r="E138" s="21">
        <f>(C138+D138)/2</f>
        <v/>
      </c>
      <c r="F138" s="21">
        <f>D138-C138</f>
        <v/>
      </c>
      <c r="G138" s="22" t="inlineStr">
        <is>
          <t>主流市场报价</t>
        </is>
      </c>
      <c r="H138" s="23" t="inlineStr">
        <is>
          <t>打开原文</t>
        </is>
      </c>
    </row>
    <row r="139">
      <c r="A139" s="12" t="n">
        <v>133</v>
      </c>
      <c r="B139" s="13" t="n">
        <v>45411</v>
      </c>
      <c r="C139" s="14" t="n">
        <v>1950</v>
      </c>
      <c r="D139" s="14" t="n">
        <v>2200</v>
      </c>
      <c r="E139" s="15">
        <f>(C139+D139)/2</f>
        <v/>
      </c>
      <c r="F139" s="15">
        <f>D139-C139</f>
        <v/>
      </c>
      <c r="G139" s="16" t="inlineStr">
        <is>
          <t>主流市场报价</t>
        </is>
      </c>
      <c r="H139" s="17" t="inlineStr">
        <is>
          <t>打开原文</t>
        </is>
      </c>
    </row>
    <row r="140">
      <c r="A140" s="18" t="n">
        <v>134</v>
      </c>
      <c r="B140" s="19" t="n">
        <v>45412</v>
      </c>
      <c r="C140" s="20" t="n">
        <v>1950</v>
      </c>
      <c r="D140" s="20" t="n">
        <v>2200</v>
      </c>
      <c r="E140" s="21">
        <f>(C140+D140)/2</f>
        <v/>
      </c>
      <c r="F140" s="21">
        <f>D140-C140</f>
        <v/>
      </c>
      <c r="G140" s="22" t="inlineStr">
        <is>
          <t>主流市场报价</t>
        </is>
      </c>
      <c r="H140" s="23" t="inlineStr">
        <is>
          <t>打开原文</t>
        </is>
      </c>
    </row>
    <row r="141">
      <c r="A141" s="12" t="n">
        <v>135</v>
      </c>
      <c r="B141" s="13" t="n">
        <v>45433</v>
      </c>
      <c r="C141" s="14" t="n">
        <v>2100</v>
      </c>
      <c r="D141" s="14" t="n">
        <v>2250</v>
      </c>
      <c r="E141" s="15">
        <f>(C141+D141)/2</f>
        <v/>
      </c>
      <c r="F141" s="15">
        <f>D141-C141</f>
        <v/>
      </c>
      <c r="G141" s="16" t="inlineStr">
        <is>
          <t>主流市场报价</t>
        </is>
      </c>
      <c r="H141" s="17" t="inlineStr">
        <is>
          <t>打开原文</t>
        </is>
      </c>
    </row>
    <row r="142">
      <c r="A142" s="18" t="n">
        <v>136</v>
      </c>
      <c r="B142" s="19" t="n">
        <v>45434</v>
      </c>
      <c r="C142" s="20" t="n">
        <v>2100</v>
      </c>
      <c r="D142" s="20" t="n">
        <v>2250</v>
      </c>
      <c r="E142" s="21">
        <f>(C142+D142)/2</f>
        <v/>
      </c>
      <c r="F142" s="21">
        <f>D142-C142</f>
        <v/>
      </c>
      <c r="G142" s="22" t="inlineStr">
        <is>
          <t>主流市场报价</t>
        </is>
      </c>
      <c r="H142" s="23" t="inlineStr">
        <is>
          <t>打开原文</t>
        </is>
      </c>
    </row>
    <row r="143">
      <c r="A143" s="12" t="n">
        <v>137</v>
      </c>
      <c r="B143" s="13" t="n">
        <v>45435</v>
      </c>
      <c r="C143" s="14" t="n">
        <v>2100</v>
      </c>
      <c r="D143" s="14" t="n">
        <v>2250</v>
      </c>
      <c r="E143" s="15">
        <f>(C143+D143)/2</f>
        <v/>
      </c>
      <c r="F143" s="15">
        <f>D143-C143</f>
        <v/>
      </c>
      <c r="G143" s="16" t="inlineStr">
        <is>
          <t>主流市场报价</t>
        </is>
      </c>
      <c r="H143" s="17" t="inlineStr">
        <is>
          <t>打开原文</t>
        </is>
      </c>
    </row>
    <row r="144">
      <c r="A144" s="18" t="n">
        <v>138</v>
      </c>
      <c r="B144" s="19" t="n">
        <v>45436</v>
      </c>
      <c r="C144" s="20" t="n">
        <v>2100</v>
      </c>
      <c r="D144" s="20" t="n">
        <v>2250</v>
      </c>
      <c r="E144" s="21">
        <f>(C144+D144)/2</f>
        <v/>
      </c>
      <c r="F144" s="21">
        <f>D144-C144</f>
        <v/>
      </c>
      <c r="G144" s="22" t="inlineStr">
        <is>
          <t>主流市场报价</t>
        </is>
      </c>
      <c r="H144" s="23" t="inlineStr">
        <is>
          <t>打开原文</t>
        </is>
      </c>
    </row>
    <row r="145">
      <c r="A145" s="12" t="n">
        <v>139</v>
      </c>
      <c r="B145" s="13" t="n">
        <v>45439</v>
      </c>
      <c r="C145" s="14" t="n">
        <v>2100</v>
      </c>
      <c r="D145" s="14" t="n">
        <v>2250</v>
      </c>
      <c r="E145" s="15">
        <f>(C145+D145)/2</f>
        <v/>
      </c>
      <c r="F145" s="15">
        <f>D145-C145</f>
        <v/>
      </c>
      <c r="G145" s="16" t="inlineStr">
        <is>
          <t>主流市场报价</t>
        </is>
      </c>
      <c r="H145" s="17" t="inlineStr">
        <is>
          <t>打开原文</t>
        </is>
      </c>
    </row>
    <row r="146">
      <c r="A146" s="18" t="n">
        <v>140</v>
      </c>
      <c r="B146" s="19" t="n">
        <v>45440</v>
      </c>
      <c r="C146" s="20" t="n">
        <v>2100</v>
      </c>
      <c r="D146" s="20" t="n">
        <v>2250</v>
      </c>
      <c r="E146" s="21">
        <f>(C146+D146)/2</f>
        <v/>
      </c>
      <c r="F146" s="21">
        <f>D146-C146</f>
        <v/>
      </c>
      <c r="G146" s="22" t="inlineStr">
        <is>
          <t>主流市场报价</t>
        </is>
      </c>
      <c r="H146" s="23" t="inlineStr">
        <is>
          <t>打开原文</t>
        </is>
      </c>
    </row>
    <row r="147">
      <c r="A147" s="12" t="n">
        <v>141</v>
      </c>
      <c r="B147" s="13" t="n">
        <v>45441</v>
      </c>
      <c r="C147" s="14" t="n">
        <v>2100</v>
      </c>
      <c r="D147" s="14" t="n">
        <v>2250</v>
      </c>
      <c r="E147" s="15">
        <f>(C147+D147)/2</f>
        <v/>
      </c>
      <c r="F147" s="15">
        <f>D147-C147</f>
        <v/>
      </c>
      <c r="G147" s="16" t="inlineStr">
        <is>
          <t>主流市场报价</t>
        </is>
      </c>
      <c r="H147" s="17" t="inlineStr">
        <is>
          <t>打开原文</t>
        </is>
      </c>
    </row>
    <row r="148">
      <c r="A148" s="18" t="n">
        <v>142</v>
      </c>
      <c r="B148" s="19" t="n">
        <v>45442</v>
      </c>
      <c r="C148" s="20" t="n">
        <v>2100</v>
      </c>
      <c r="D148" s="20" t="n">
        <v>2250</v>
      </c>
      <c r="E148" s="21">
        <f>(C148+D148)/2</f>
        <v/>
      </c>
      <c r="F148" s="21">
        <f>D148-C148</f>
        <v/>
      </c>
      <c r="G148" s="22" t="inlineStr">
        <is>
          <t>主流市场报价</t>
        </is>
      </c>
      <c r="H148" s="23" t="inlineStr">
        <is>
          <t>打开原文</t>
        </is>
      </c>
    </row>
    <row r="149">
      <c r="A149" s="12" t="n">
        <v>143</v>
      </c>
      <c r="B149" s="13" t="n">
        <v>45443</v>
      </c>
      <c r="C149" s="14" t="n">
        <v>2100</v>
      </c>
      <c r="D149" s="14" t="n">
        <v>2300</v>
      </c>
      <c r="E149" s="15">
        <f>(C149+D149)/2</f>
        <v/>
      </c>
      <c r="F149" s="15">
        <f>D149-C149</f>
        <v/>
      </c>
      <c r="G149" s="16" t="inlineStr">
        <is>
          <t>主流市场报价</t>
        </is>
      </c>
      <c r="H149" s="17" t="inlineStr">
        <is>
          <t>打开原文</t>
        </is>
      </c>
    </row>
    <row r="150">
      <c r="A150" s="18" t="n">
        <v>144</v>
      </c>
      <c r="B150" s="19" t="n">
        <v>45446</v>
      </c>
      <c r="C150" s="20" t="n">
        <v>2100</v>
      </c>
      <c r="D150" s="20" t="n">
        <v>2300</v>
      </c>
      <c r="E150" s="21">
        <f>(C150+D150)/2</f>
        <v/>
      </c>
      <c r="F150" s="21">
        <f>D150-C150</f>
        <v/>
      </c>
      <c r="G150" s="22" t="inlineStr">
        <is>
          <t>主流市场报价</t>
        </is>
      </c>
      <c r="H150" s="23" t="inlineStr">
        <is>
          <t>打开原文</t>
        </is>
      </c>
    </row>
    <row r="151">
      <c r="A151" s="12" t="n">
        <v>145</v>
      </c>
      <c r="B151" s="13" t="n">
        <v>45447</v>
      </c>
      <c r="C151" s="14" t="n">
        <v>2100</v>
      </c>
      <c r="D151" s="14" t="n">
        <v>2300</v>
      </c>
      <c r="E151" s="15">
        <f>(C151+D151)/2</f>
        <v/>
      </c>
      <c r="F151" s="15">
        <f>D151-C151</f>
        <v/>
      </c>
      <c r="G151" s="16" t="inlineStr">
        <is>
          <t>主流市场报价</t>
        </is>
      </c>
      <c r="H151" s="17" t="inlineStr">
        <is>
          <t>打开原文</t>
        </is>
      </c>
    </row>
    <row r="152">
      <c r="A152" s="18" t="n">
        <v>146</v>
      </c>
      <c r="B152" s="19" t="n">
        <v>45448</v>
      </c>
      <c r="C152" s="20" t="n">
        <v>2100</v>
      </c>
      <c r="D152" s="20" t="n">
        <v>2300</v>
      </c>
      <c r="E152" s="21">
        <f>(C152+D152)/2</f>
        <v/>
      </c>
      <c r="F152" s="21">
        <f>D152-C152</f>
        <v/>
      </c>
      <c r="G152" s="22" t="inlineStr">
        <is>
          <t>主流市场报价</t>
        </is>
      </c>
      <c r="H152" s="23" t="inlineStr">
        <is>
          <t>打开原文</t>
        </is>
      </c>
    </row>
    <row r="153">
      <c r="A153" s="12" t="n">
        <v>147</v>
      </c>
      <c r="B153" s="13" t="n">
        <v>45449</v>
      </c>
      <c r="C153" s="14" t="n">
        <v>2100</v>
      </c>
      <c r="D153" s="14" t="n">
        <v>2300</v>
      </c>
      <c r="E153" s="15">
        <f>(C153+D153)/2</f>
        <v/>
      </c>
      <c r="F153" s="15">
        <f>D153-C153</f>
        <v/>
      </c>
      <c r="G153" s="16" t="inlineStr">
        <is>
          <t>主流市场报价</t>
        </is>
      </c>
      <c r="H153" s="17" t="inlineStr">
        <is>
          <t>打开原文</t>
        </is>
      </c>
    </row>
    <row r="154">
      <c r="A154" s="18" t="n">
        <v>148</v>
      </c>
      <c r="B154" s="19" t="n">
        <v>45450</v>
      </c>
      <c r="C154" s="20" t="n">
        <v>2100</v>
      </c>
      <c r="D154" s="20" t="n">
        <v>2300</v>
      </c>
      <c r="E154" s="21">
        <f>(C154+D154)/2</f>
        <v/>
      </c>
      <c r="F154" s="21">
        <f>D154-C154</f>
        <v/>
      </c>
      <c r="G154" s="22" t="inlineStr">
        <is>
          <t>主流市场报价</t>
        </is>
      </c>
      <c r="H154" s="23" t="inlineStr">
        <is>
          <t>打开原文</t>
        </is>
      </c>
    </row>
    <row r="155">
      <c r="A155" s="12" t="n">
        <v>149</v>
      </c>
      <c r="B155" s="13" t="n">
        <v>45457</v>
      </c>
      <c r="C155" s="14" t="n">
        <v>2100</v>
      </c>
      <c r="D155" s="14" t="n">
        <v>2300</v>
      </c>
      <c r="E155" s="15">
        <f>(C155+D155)/2</f>
        <v/>
      </c>
      <c r="F155" s="15">
        <f>D155-C155</f>
        <v/>
      </c>
      <c r="G155" s="16" t="inlineStr">
        <is>
          <t>主流市场报价</t>
        </is>
      </c>
      <c r="H155" s="17" t="inlineStr">
        <is>
          <t>打开原文</t>
        </is>
      </c>
    </row>
    <row r="156">
      <c r="A156" s="18" t="n">
        <v>150</v>
      </c>
      <c r="B156" s="19" t="n">
        <v>45460</v>
      </c>
      <c r="C156" s="20" t="n">
        <v>2000</v>
      </c>
      <c r="D156" s="20" t="n">
        <v>2250</v>
      </c>
      <c r="E156" s="21">
        <f>(C156+D156)/2</f>
        <v/>
      </c>
      <c r="F156" s="21">
        <f>D156-C156</f>
        <v/>
      </c>
      <c r="G156" s="22" t="inlineStr">
        <is>
          <t>主流市场报价</t>
        </is>
      </c>
      <c r="H156" s="23" t="inlineStr">
        <is>
          <t>打开原文</t>
        </is>
      </c>
    </row>
    <row r="157">
      <c r="A157" s="12" t="n">
        <v>151</v>
      </c>
      <c r="B157" s="13" t="n">
        <v>45461</v>
      </c>
      <c r="C157" s="14" t="n">
        <v>2000</v>
      </c>
      <c r="D157" s="14" t="n">
        <v>2250</v>
      </c>
      <c r="E157" s="15">
        <f>(C157+D157)/2</f>
        <v/>
      </c>
      <c r="F157" s="15">
        <f>D157-C157</f>
        <v/>
      </c>
      <c r="G157" s="16" t="inlineStr">
        <is>
          <t>主流市场报价</t>
        </is>
      </c>
      <c r="H157" s="17" t="inlineStr">
        <is>
          <t>打开原文</t>
        </is>
      </c>
    </row>
    <row r="158">
      <c r="A158" s="18" t="n">
        <v>152</v>
      </c>
      <c r="B158" s="19" t="n">
        <v>45462</v>
      </c>
      <c r="C158" s="20" t="n">
        <v>2000</v>
      </c>
      <c r="D158" s="20" t="n">
        <v>2250</v>
      </c>
      <c r="E158" s="21">
        <f>(C158+D158)/2</f>
        <v/>
      </c>
      <c r="F158" s="21">
        <f>D158-C158</f>
        <v/>
      </c>
      <c r="G158" s="22" t="inlineStr">
        <is>
          <t>主流市场报价</t>
        </is>
      </c>
      <c r="H158" s="23" t="inlineStr">
        <is>
          <t>打开原文</t>
        </is>
      </c>
    </row>
    <row r="159">
      <c r="A159" s="12" t="n">
        <v>153</v>
      </c>
      <c r="B159" s="13" t="n">
        <v>45463</v>
      </c>
      <c r="C159" s="14" t="n">
        <v>2000</v>
      </c>
      <c r="D159" s="14" t="n">
        <v>2250</v>
      </c>
      <c r="E159" s="15">
        <f>(C159+D159)/2</f>
        <v/>
      </c>
      <c r="F159" s="15">
        <f>D159-C159</f>
        <v/>
      </c>
      <c r="G159" s="16" t="inlineStr">
        <is>
          <t>主流市场报价</t>
        </is>
      </c>
      <c r="H159" s="17" t="inlineStr">
        <is>
          <t>打开原文</t>
        </is>
      </c>
    </row>
    <row r="160">
      <c r="A160" s="18" t="n">
        <v>154</v>
      </c>
      <c r="B160" s="19" t="n">
        <v>45464</v>
      </c>
      <c r="C160" s="20" t="n">
        <v>2000</v>
      </c>
      <c r="D160" s="20" t="n">
        <v>2250</v>
      </c>
      <c r="E160" s="21">
        <f>(C160+D160)/2</f>
        <v/>
      </c>
      <c r="F160" s="21">
        <f>D160-C160</f>
        <v/>
      </c>
      <c r="G160" s="22" t="inlineStr">
        <is>
          <t>主流市场报价</t>
        </is>
      </c>
      <c r="H160" s="23" t="inlineStr">
        <is>
          <t>打开原文</t>
        </is>
      </c>
    </row>
    <row r="161">
      <c r="A161" s="12" t="n">
        <v>155</v>
      </c>
      <c r="B161" s="13" t="n">
        <v>45467</v>
      </c>
      <c r="C161" s="14" t="n">
        <v>2000</v>
      </c>
      <c r="D161" s="14" t="n">
        <v>2250</v>
      </c>
      <c r="E161" s="15">
        <f>(C161+D161)/2</f>
        <v/>
      </c>
      <c r="F161" s="15">
        <f>D161-C161</f>
        <v/>
      </c>
      <c r="G161" s="16" t="inlineStr">
        <is>
          <t>主流市场报价</t>
        </is>
      </c>
      <c r="H161" s="17" t="inlineStr">
        <is>
          <t>打开原文</t>
        </is>
      </c>
    </row>
    <row r="162">
      <c r="A162" s="18" t="n">
        <v>156</v>
      </c>
      <c r="B162" s="19" t="n">
        <v>45469</v>
      </c>
      <c r="C162" s="20" t="n">
        <v>2000</v>
      </c>
      <c r="D162" s="20" t="n">
        <v>2250</v>
      </c>
      <c r="E162" s="21">
        <f>(C162+D162)/2</f>
        <v/>
      </c>
      <c r="F162" s="21">
        <f>D162-C162</f>
        <v/>
      </c>
      <c r="G162" s="22" t="inlineStr">
        <is>
          <t>主流市场报价</t>
        </is>
      </c>
      <c r="H162" s="23" t="inlineStr">
        <is>
          <t>打开原文</t>
        </is>
      </c>
    </row>
    <row r="163">
      <c r="A163" s="12" t="n">
        <v>157</v>
      </c>
      <c r="B163" s="13" t="n">
        <v>45470</v>
      </c>
      <c r="C163" s="14" t="n">
        <v>2000</v>
      </c>
      <c r="D163" s="14" t="n">
        <v>2250</v>
      </c>
      <c r="E163" s="15">
        <f>(C163+D163)/2</f>
        <v/>
      </c>
      <c r="F163" s="15">
        <f>D163-C163</f>
        <v/>
      </c>
      <c r="G163" s="16" t="inlineStr">
        <is>
          <t>主流市场报价</t>
        </is>
      </c>
      <c r="H163" s="17" t="inlineStr">
        <is>
          <t>打开原文</t>
        </is>
      </c>
    </row>
    <row r="164">
      <c r="A164" s="18" t="n">
        <v>158</v>
      </c>
      <c r="B164" s="19" t="n">
        <v>45471</v>
      </c>
      <c r="C164" s="20" t="n">
        <v>2000</v>
      </c>
      <c r="D164" s="20" t="n">
        <v>2250</v>
      </c>
      <c r="E164" s="21">
        <f>(C164+D164)/2</f>
        <v/>
      </c>
      <c r="F164" s="21">
        <f>D164-C164</f>
        <v/>
      </c>
      <c r="G164" s="22" t="inlineStr">
        <is>
          <t>主流市场报价</t>
        </is>
      </c>
      <c r="H164" s="23" t="inlineStr">
        <is>
          <t>打开原文</t>
        </is>
      </c>
    </row>
    <row r="165">
      <c r="A165" s="12" t="n">
        <v>159</v>
      </c>
      <c r="B165" s="13" t="n">
        <v>45474</v>
      </c>
      <c r="C165" s="14" t="n">
        <v>1900</v>
      </c>
      <c r="D165" s="14" t="n">
        <v>2150</v>
      </c>
      <c r="E165" s="15">
        <f>(C165+D165)/2</f>
        <v/>
      </c>
      <c r="F165" s="15">
        <f>D165-C165</f>
        <v/>
      </c>
      <c r="G165" s="16" t="inlineStr">
        <is>
          <t>主流市场报价</t>
        </is>
      </c>
      <c r="H165" s="17" t="inlineStr">
        <is>
          <t>打开原文</t>
        </is>
      </c>
    </row>
    <row r="166">
      <c r="A166" s="18" t="n">
        <v>160</v>
      </c>
      <c r="B166" s="19" t="n">
        <v>45475</v>
      </c>
      <c r="C166" s="20" t="n">
        <v>1900</v>
      </c>
      <c r="D166" s="20" t="n">
        <v>2150</v>
      </c>
      <c r="E166" s="21">
        <f>(C166+D166)/2</f>
        <v/>
      </c>
      <c r="F166" s="21">
        <f>D166-C166</f>
        <v/>
      </c>
      <c r="G166" s="22" t="inlineStr">
        <is>
          <t>主流市场报价</t>
        </is>
      </c>
      <c r="H166" s="23" t="inlineStr">
        <is>
          <t>打开原文</t>
        </is>
      </c>
    </row>
    <row r="167">
      <c r="A167" s="12" t="n">
        <v>161</v>
      </c>
      <c r="B167" s="13" t="n">
        <v>45476</v>
      </c>
      <c r="C167" s="14" t="n">
        <v>1900</v>
      </c>
      <c r="D167" s="14" t="n">
        <v>2150</v>
      </c>
      <c r="E167" s="15">
        <f>(C167+D167)/2</f>
        <v/>
      </c>
      <c r="F167" s="15">
        <f>D167-C167</f>
        <v/>
      </c>
      <c r="G167" s="16" t="inlineStr">
        <is>
          <t>主流市场报价</t>
        </is>
      </c>
      <c r="H167" s="17" t="inlineStr">
        <is>
          <t>打开原文</t>
        </is>
      </c>
    </row>
    <row r="168">
      <c r="A168" s="18" t="n">
        <v>162</v>
      </c>
      <c r="B168" s="19" t="n">
        <v>45477</v>
      </c>
      <c r="C168" s="20" t="n">
        <v>1950</v>
      </c>
      <c r="D168" s="20" t="n">
        <v>2150</v>
      </c>
      <c r="E168" s="21">
        <f>(C168+D168)/2</f>
        <v/>
      </c>
      <c r="F168" s="21">
        <f>D168-C168</f>
        <v/>
      </c>
      <c r="G168" s="22" t="inlineStr">
        <is>
          <t>主流市场报价</t>
        </is>
      </c>
      <c r="H168" s="23" t="inlineStr">
        <is>
          <t>打开原文</t>
        </is>
      </c>
    </row>
    <row r="169">
      <c r="A169" s="12" t="n">
        <v>163</v>
      </c>
      <c r="B169" s="13" t="n">
        <v>45478</v>
      </c>
      <c r="C169" s="14" t="n">
        <v>1950</v>
      </c>
      <c r="D169" s="14" t="n">
        <v>2150</v>
      </c>
      <c r="E169" s="15">
        <f>(C169+D169)/2</f>
        <v/>
      </c>
      <c r="F169" s="15">
        <f>D169-C169</f>
        <v/>
      </c>
      <c r="G169" s="16" t="inlineStr">
        <is>
          <t>主流市场报价</t>
        </is>
      </c>
      <c r="H169" s="17" t="inlineStr">
        <is>
          <t>打开原文</t>
        </is>
      </c>
    </row>
    <row r="170">
      <c r="A170" s="18" t="n">
        <v>164</v>
      </c>
      <c r="B170" s="19" t="n">
        <v>45481</v>
      </c>
      <c r="C170" s="20" t="n">
        <v>1950</v>
      </c>
      <c r="D170" s="20" t="n">
        <v>2150</v>
      </c>
      <c r="E170" s="21">
        <f>(C170+D170)/2</f>
        <v/>
      </c>
      <c r="F170" s="21">
        <f>D170-C170</f>
        <v/>
      </c>
      <c r="G170" s="22" t="inlineStr">
        <is>
          <t>主流市场报价</t>
        </is>
      </c>
      <c r="H170" s="23" t="inlineStr">
        <is>
          <t>打开原文</t>
        </is>
      </c>
    </row>
    <row r="171">
      <c r="A171" s="12" t="n">
        <v>165</v>
      </c>
      <c r="B171" s="13" t="n">
        <v>45482</v>
      </c>
      <c r="C171" s="14" t="n">
        <v>1950</v>
      </c>
      <c r="D171" s="14" t="n">
        <v>2150</v>
      </c>
      <c r="E171" s="15">
        <f>(C171+D171)/2</f>
        <v/>
      </c>
      <c r="F171" s="15">
        <f>D171-C171</f>
        <v/>
      </c>
      <c r="G171" s="16" t="inlineStr">
        <is>
          <t>主流市场报价</t>
        </is>
      </c>
      <c r="H171" s="17" t="inlineStr">
        <is>
          <t>打开原文</t>
        </is>
      </c>
    </row>
    <row r="172">
      <c r="A172" s="18" t="n">
        <v>166</v>
      </c>
      <c r="B172" s="19" t="n">
        <v>45483</v>
      </c>
      <c r="C172" s="20" t="n">
        <v>1950</v>
      </c>
      <c r="D172" s="20" t="n">
        <v>2150</v>
      </c>
      <c r="E172" s="21">
        <f>(C172+D172)/2</f>
        <v/>
      </c>
      <c r="F172" s="21">
        <f>D172-C172</f>
        <v/>
      </c>
      <c r="G172" s="22" t="inlineStr">
        <is>
          <t>主流市场报价</t>
        </is>
      </c>
      <c r="H172" s="23" t="inlineStr">
        <is>
          <t>打开原文</t>
        </is>
      </c>
    </row>
    <row r="173">
      <c r="A173" s="12" t="n">
        <v>167</v>
      </c>
      <c r="B173" s="13" t="n">
        <v>45484</v>
      </c>
      <c r="C173" s="14" t="n">
        <v>1950</v>
      </c>
      <c r="D173" s="14" t="n">
        <v>2150</v>
      </c>
      <c r="E173" s="15">
        <f>(C173+D173)/2</f>
        <v/>
      </c>
      <c r="F173" s="15">
        <f>D173-C173</f>
        <v/>
      </c>
      <c r="G173" s="16" t="inlineStr">
        <is>
          <t>主流市场报价</t>
        </is>
      </c>
      <c r="H173" s="17" t="inlineStr">
        <is>
          <t>打开原文</t>
        </is>
      </c>
    </row>
    <row r="174">
      <c r="A174" s="18" t="n">
        <v>168</v>
      </c>
      <c r="B174" s="19" t="n">
        <v>45485</v>
      </c>
      <c r="C174" s="20" t="n">
        <v>1950</v>
      </c>
      <c r="D174" s="20" t="n">
        <v>2150</v>
      </c>
      <c r="E174" s="21">
        <f>(C174+D174)/2</f>
        <v/>
      </c>
      <c r="F174" s="21">
        <f>D174-C174</f>
        <v/>
      </c>
      <c r="G174" s="22" t="inlineStr">
        <is>
          <t>主流市场报价</t>
        </is>
      </c>
      <c r="H174" s="23" t="inlineStr">
        <is>
          <t>打开原文</t>
        </is>
      </c>
    </row>
    <row r="175">
      <c r="A175" s="12" t="n">
        <v>169</v>
      </c>
      <c r="B175" s="13" t="n">
        <v>45488</v>
      </c>
      <c r="C175" s="14" t="n">
        <v>1900</v>
      </c>
      <c r="D175" s="14" t="n">
        <v>2150</v>
      </c>
      <c r="E175" s="15">
        <f>(C175+D175)/2</f>
        <v/>
      </c>
      <c r="F175" s="15">
        <f>D175-C175</f>
        <v/>
      </c>
      <c r="G175" s="16" t="inlineStr">
        <is>
          <t>主流市场报价</t>
        </is>
      </c>
      <c r="H175" s="17" t="inlineStr">
        <is>
          <t>打开原文</t>
        </is>
      </c>
    </row>
    <row r="176">
      <c r="A176" s="18" t="n">
        <v>170</v>
      </c>
      <c r="B176" s="19" t="n">
        <v>45489</v>
      </c>
      <c r="C176" s="20" t="n">
        <v>1900</v>
      </c>
      <c r="D176" s="20" t="n">
        <v>2150</v>
      </c>
      <c r="E176" s="21">
        <f>(C176+D176)/2</f>
        <v/>
      </c>
      <c r="F176" s="21">
        <f>D176-C176</f>
        <v/>
      </c>
      <c r="G176" s="22" t="inlineStr">
        <is>
          <t>主流市场报价</t>
        </is>
      </c>
      <c r="H176" s="23" t="inlineStr">
        <is>
          <t>打开原文</t>
        </is>
      </c>
    </row>
    <row r="177">
      <c r="A177" s="12" t="n">
        <v>171</v>
      </c>
      <c r="B177" s="13" t="n">
        <v>45490</v>
      </c>
      <c r="C177" s="14" t="n">
        <v>1900</v>
      </c>
      <c r="D177" s="14" t="n">
        <v>2150</v>
      </c>
      <c r="E177" s="15">
        <f>(C177+D177)/2</f>
        <v/>
      </c>
      <c r="F177" s="15">
        <f>D177-C177</f>
        <v/>
      </c>
      <c r="G177" s="16" t="inlineStr">
        <is>
          <t>主流市场报价</t>
        </is>
      </c>
      <c r="H177" s="17" t="inlineStr">
        <is>
          <t>打开原文</t>
        </is>
      </c>
    </row>
    <row r="178">
      <c r="A178" s="18" t="n">
        <v>172</v>
      </c>
      <c r="B178" s="19" t="n">
        <v>45491</v>
      </c>
      <c r="C178" s="20" t="n">
        <v>1900</v>
      </c>
      <c r="D178" s="20" t="n">
        <v>2150</v>
      </c>
      <c r="E178" s="21">
        <f>(C178+D178)/2</f>
        <v/>
      </c>
      <c r="F178" s="21">
        <f>D178-C178</f>
        <v/>
      </c>
      <c r="G178" s="22" t="inlineStr">
        <is>
          <t>主流市场报价</t>
        </is>
      </c>
      <c r="H178" s="23" t="inlineStr">
        <is>
          <t>打开原文</t>
        </is>
      </c>
    </row>
    <row r="179">
      <c r="A179" s="12" t="n">
        <v>173</v>
      </c>
      <c r="B179" s="13" t="n">
        <v>45492</v>
      </c>
      <c r="C179" s="14" t="n">
        <v>1900</v>
      </c>
      <c r="D179" s="14" t="n">
        <v>2150</v>
      </c>
      <c r="E179" s="15">
        <f>(C179+D179)/2</f>
        <v/>
      </c>
      <c r="F179" s="15">
        <f>D179-C179</f>
        <v/>
      </c>
      <c r="G179" s="16" t="inlineStr">
        <is>
          <t>主流市场报价</t>
        </is>
      </c>
      <c r="H179" s="17" t="inlineStr">
        <is>
          <t>打开原文</t>
        </is>
      </c>
    </row>
    <row r="180">
      <c r="A180" s="18" t="n">
        <v>174</v>
      </c>
      <c r="B180" s="19" t="n">
        <v>45495</v>
      </c>
      <c r="C180" s="20" t="n">
        <v>1850</v>
      </c>
      <c r="D180" s="20" t="n">
        <v>2050</v>
      </c>
      <c r="E180" s="21">
        <f>(C180+D180)/2</f>
        <v/>
      </c>
      <c r="F180" s="21">
        <f>D180-C180</f>
        <v/>
      </c>
      <c r="G180" s="22" t="inlineStr">
        <is>
          <t>主流市场报价</t>
        </is>
      </c>
      <c r="H180" s="23" t="inlineStr">
        <is>
          <t>打开原文</t>
        </is>
      </c>
    </row>
    <row r="181">
      <c r="A181" s="12" t="n">
        <v>175</v>
      </c>
      <c r="B181" s="13" t="n">
        <v>45496</v>
      </c>
      <c r="C181" s="14" t="n">
        <v>1850</v>
      </c>
      <c r="D181" s="14" t="n">
        <v>2050</v>
      </c>
      <c r="E181" s="15">
        <f>(C181+D181)/2</f>
        <v/>
      </c>
      <c r="F181" s="15">
        <f>D181-C181</f>
        <v/>
      </c>
      <c r="G181" s="16" t="inlineStr">
        <is>
          <t>主流市场报价</t>
        </is>
      </c>
      <c r="H181" s="17" t="inlineStr">
        <is>
          <t>打开原文</t>
        </is>
      </c>
    </row>
    <row r="182">
      <c r="A182" s="18" t="n">
        <v>176</v>
      </c>
      <c r="B182" s="19" t="n">
        <v>45497</v>
      </c>
      <c r="C182" s="20" t="n">
        <v>1850</v>
      </c>
      <c r="D182" s="20" t="n">
        <v>2050</v>
      </c>
      <c r="E182" s="21">
        <f>(C182+D182)/2</f>
        <v/>
      </c>
      <c r="F182" s="21">
        <f>D182-C182</f>
        <v/>
      </c>
      <c r="G182" s="22" t="inlineStr">
        <is>
          <t>主流市场报价</t>
        </is>
      </c>
      <c r="H182" s="23" t="inlineStr">
        <is>
          <t>打开原文</t>
        </is>
      </c>
    </row>
    <row r="183">
      <c r="A183" s="12" t="n">
        <v>177</v>
      </c>
      <c r="B183" s="13" t="n">
        <v>45498</v>
      </c>
      <c r="C183" s="14" t="n">
        <v>1850</v>
      </c>
      <c r="D183" s="14" t="n">
        <v>2050</v>
      </c>
      <c r="E183" s="15">
        <f>(C183+D183)/2</f>
        <v/>
      </c>
      <c r="F183" s="15">
        <f>D183-C183</f>
        <v/>
      </c>
      <c r="G183" s="16" t="inlineStr">
        <is>
          <t>主流市场报价</t>
        </is>
      </c>
      <c r="H183" s="17" t="inlineStr">
        <is>
          <t>打开原文</t>
        </is>
      </c>
    </row>
    <row r="184">
      <c r="A184" s="18" t="n">
        <v>178</v>
      </c>
      <c r="B184" s="19" t="n">
        <v>45499</v>
      </c>
      <c r="C184" s="20" t="n">
        <v>1850</v>
      </c>
      <c r="D184" s="20" t="n">
        <v>2050</v>
      </c>
      <c r="E184" s="21">
        <f>(C184+D184)/2</f>
        <v/>
      </c>
      <c r="F184" s="21">
        <f>D184-C184</f>
        <v/>
      </c>
      <c r="G184" s="22" t="inlineStr">
        <is>
          <t>主流市场报价</t>
        </is>
      </c>
      <c r="H184" s="23" t="inlineStr">
        <is>
          <t>打开原文</t>
        </is>
      </c>
    </row>
    <row r="185">
      <c r="A185" s="12" t="n">
        <v>179</v>
      </c>
      <c r="B185" s="13" t="n">
        <v>45502</v>
      </c>
      <c r="C185" s="14" t="n">
        <v>1800</v>
      </c>
      <c r="D185" s="14" t="n">
        <v>2050</v>
      </c>
      <c r="E185" s="15">
        <f>(C185+D185)/2</f>
        <v/>
      </c>
      <c r="F185" s="15">
        <f>D185-C185</f>
        <v/>
      </c>
      <c r="G185" s="16" t="inlineStr">
        <is>
          <t>主流市场报价</t>
        </is>
      </c>
      <c r="H185" s="17" t="inlineStr">
        <is>
          <t>打开原文</t>
        </is>
      </c>
    </row>
    <row r="186">
      <c r="A186" s="18" t="n">
        <v>180</v>
      </c>
      <c r="B186" s="19" t="n">
        <v>45503</v>
      </c>
      <c r="C186" s="20" t="n">
        <v>1800</v>
      </c>
      <c r="D186" s="20" t="n">
        <v>2050</v>
      </c>
      <c r="E186" s="21">
        <f>(C186+D186)/2</f>
        <v/>
      </c>
      <c r="F186" s="21">
        <f>D186-C186</f>
        <v/>
      </c>
      <c r="G186" s="22" t="inlineStr">
        <is>
          <t>主流市场报价</t>
        </is>
      </c>
      <c r="H186" s="23" t="inlineStr">
        <is>
          <t>打开原文</t>
        </is>
      </c>
    </row>
    <row r="187">
      <c r="A187" s="12" t="n">
        <v>181</v>
      </c>
      <c r="B187" s="13" t="n">
        <v>45504</v>
      </c>
      <c r="C187" s="14" t="n">
        <v>1750</v>
      </c>
      <c r="D187" s="14" t="n">
        <v>2000</v>
      </c>
      <c r="E187" s="15">
        <f>(C187+D187)/2</f>
        <v/>
      </c>
      <c r="F187" s="15">
        <f>D187-C187</f>
        <v/>
      </c>
      <c r="G187" s="16" t="inlineStr">
        <is>
          <t>主流市场报价</t>
        </is>
      </c>
      <c r="H187" s="17" t="inlineStr">
        <is>
          <t>打开原文</t>
        </is>
      </c>
    </row>
    <row r="188">
      <c r="A188" s="18" t="n">
        <v>182</v>
      </c>
      <c r="B188" s="19" t="n">
        <v>45505</v>
      </c>
      <c r="C188" s="20" t="n">
        <v>1750</v>
      </c>
      <c r="D188" s="20" t="n">
        <v>2000</v>
      </c>
      <c r="E188" s="21">
        <f>(C188+D188)/2</f>
        <v/>
      </c>
      <c r="F188" s="21">
        <f>D188-C188</f>
        <v/>
      </c>
      <c r="G188" s="22" t="inlineStr">
        <is>
          <t>主流市场报价</t>
        </is>
      </c>
      <c r="H188" s="23" t="inlineStr">
        <is>
          <t>打开原文</t>
        </is>
      </c>
    </row>
    <row r="189">
      <c r="A189" s="12" t="n">
        <v>183</v>
      </c>
      <c r="B189" s="13" t="n">
        <v>45506</v>
      </c>
      <c r="C189" s="14" t="n">
        <v>1750</v>
      </c>
      <c r="D189" s="14" t="n">
        <v>2000</v>
      </c>
      <c r="E189" s="15">
        <f>(C189+D189)/2</f>
        <v/>
      </c>
      <c r="F189" s="15">
        <f>D189-C189</f>
        <v/>
      </c>
      <c r="G189" s="16" t="inlineStr">
        <is>
          <t>主流市场报价</t>
        </is>
      </c>
      <c r="H189" s="17" t="inlineStr">
        <is>
          <t>打开原文</t>
        </is>
      </c>
    </row>
    <row r="190">
      <c r="A190" s="18" t="n">
        <v>184</v>
      </c>
      <c r="B190" s="19" t="n">
        <v>45509</v>
      </c>
      <c r="C190" s="20" t="n">
        <v>1750</v>
      </c>
      <c r="D190" s="20" t="n">
        <v>2000</v>
      </c>
      <c r="E190" s="21">
        <f>(C190+D190)/2</f>
        <v/>
      </c>
      <c r="F190" s="21">
        <f>D190-C190</f>
        <v/>
      </c>
      <c r="G190" s="22" t="inlineStr">
        <is>
          <t>主流市场报价</t>
        </is>
      </c>
      <c r="H190" s="23" t="inlineStr">
        <is>
          <t>打开原文</t>
        </is>
      </c>
    </row>
    <row r="191">
      <c r="A191" s="12" t="n">
        <v>185</v>
      </c>
      <c r="B191" s="13" t="n">
        <v>45510</v>
      </c>
      <c r="C191" s="14" t="n">
        <v>1750</v>
      </c>
      <c r="D191" s="14" t="n">
        <v>2000</v>
      </c>
      <c r="E191" s="15">
        <f>(C191+D191)/2</f>
        <v/>
      </c>
      <c r="F191" s="15">
        <f>D191-C191</f>
        <v/>
      </c>
      <c r="G191" s="16" t="inlineStr">
        <is>
          <t>主流市场报价</t>
        </is>
      </c>
      <c r="H191" s="17" t="inlineStr">
        <is>
          <t>打开原文</t>
        </is>
      </c>
    </row>
    <row r="192">
      <c r="A192" s="18" t="n">
        <v>186</v>
      </c>
      <c r="B192" s="19" t="n">
        <v>45511</v>
      </c>
      <c r="C192" s="20" t="n">
        <v>1750</v>
      </c>
      <c r="D192" s="20" t="n">
        <v>2000</v>
      </c>
      <c r="E192" s="21">
        <f>(C192+D192)/2</f>
        <v/>
      </c>
      <c r="F192" s="21">
        <f>D192-C192</f>
        <v/>
      </c>
      <c r="G192" s="22" t="inlineStr">
        <is>
          <t>主流市场报价</t>
        </is>
      </c>
      <c r="H192" s="23" t="inlineStr">
        <is>
          <t>打开原文</t>
        </is>
      </c>
    </row>
    <row r="193">
      <c r="A193" s="12" t="n">
        <v>187</v>
      </c>
      <c r="B193" s="13" t="n">
        <v>45512</v>
      </c>
      <c r="C193" s="14" t="n">
        <v>1750</v>
      </c>
      <c r="D193" s="14" t="n">
        <v>2000</v>
      </c>
      <c r="E193" s="15">
        <f>(C193+D193)/2</f>
        <v/>
      </c>
      <c r="F193" s="15">
        <f>D193-C193</f>
        <v/>
      </c>
      <c r="G193" s="16" t="inlineStr">
        <is>
          <t>主流市场报价</t>
        </is>
      </c>
      <c r="H193" s="17" t="inlineStr">
        <is>
          <t>打开原文</t>
        </is>
      </c>
    </row>
    <row r="194">
      <c r="A194" s="18" t="n">
        <v>188</v>
      </c>
      <c r="B194" s="19" t="n">
        <v>45513</v>
      </c>
      <c r="C194" s="20" t="n">
        <v>1750</v>
      </c>
      <c r="D194" s="20" t="n">
        <v>2000</v>
      </c>
      <c r="E194" s="21">
        <f>(C194+D194)/2</f>
        <v/>
      </c>
      <c r="F194" s="21">
        <f>D194-C194</f>
        <v/>
      </c>
      <c r="G194" s="22" t="inlineStr">
        <is>
          <t>主流市场报价</t>
        </is>
      </c>
      <c r="H194" s="23" t="inlineStr">
        <is>
          <t>打开原文</t>
        </is>
      </c>
    </row>
    <row r="195">
      <c r="A195" s="12" t="n">
        <v>189</v>
      </c>
      <c r="B195" s="13" t="n">
        <v>45516</v>
      </c>
      <c r="C195" s="14" t="n">
        <v>1750</v>
      </c>
      <c r="D195" s="14" t="n">
        <v>2000</v>
      </c>
      <c r="E195" s="15">
        <f>(C195+D195)/2</f>
        <v/>
      </c>
      <c r="F195" s="15">
        <f>D195-C195</f>
        <v/>
      </c>
      <c r="G195" s="16" t="inlineStr">
        <is>
          <t>主流市场报价</t>
        </is>
      </c>
      <c r="H195" s="17" t="inlineStr">
        <is>
          <t>打开原文</t>
        </is>
      </c>
    </row>
    <row r="196">
      <c r="A196" s="18" t="n">
        <v>190</v>
      </c>
      <c r="B196" s="19" t="n">
        <v>45517</v>
      </c>
      <c r="C196" s="20" t="n">
        <v>1750</v>
      </c>
      <c r="D196" s="20" t="n">
        <v>2000</v>
      </c>
      <c r="E196" s="21">
        <f>(C196+D196)/2</f>
        <v/>
      </c>
      <c r="F196" s="21">
        <f>D196-C196</f>
        <v/>
      </c>
      <c r="G196" s="22" t="inlineStr">
        <is>
          <t>主流市场报价</t>
        </is>
      </c>
      <c r="H196" s="23" t="inlineStr">
        <is>
          <t>打开原文</t>
        </is>
      </c>
    </row>
    <row r="197">
      <c r="A197" s="12" t="n">
        <v>191</v>
      </c>
      <c r="B197" s="13" t="n">
        <v>45518</v>
      </c>
      <c r="C197" s="14" t="n">
        <v>1750</v>
      </c>
      <c r="D197" s="14" t="n">
        <v>2000</v>
      </c>
      <c r="E197" s="15">
        <f>(C197+D197)/2</f>
        <v/>
      </c>
      <c r="F197" s="15">
        <f>D197-C197</f>
        <v/>
      </c>
      <c r="G197" s="16" t="inlineStr">
        <is>
          <t>主流市场报价</t>
        </is>
      </c>
      <c r="H197" s="17" t="inlineStr">
        <is>
          <t>打开原文</t>
        </is>
      </c>
    </row>
    <row r="198">
      <c r="A198" s="18" t="n">
        <v>192</v>
      </c>
      <c r="B198" s="19" t="n">
        <v>45519</v>
      </c>
      <c r="C198" s="20" t="n">
        <v>1750</v>
      </c>
      <c r="D198" s="20" t="n">
        <v>2000</v>
      </c>
      <c r="E198" s="21">
        <f>(C198+D198)/2</f>
        <v/>
      </c>
      <c r="F198" s="21">
        <f>D198-C198</f>
        <v/>
      </c>
      <c r="G198" s="22" t="inlineStr">
        <is>
          <t>主流市场报价</t>
        </is>
      </c>
      <c r="H198" s="23" t="inlineStr">
        <is>
          <t>打开原文</t>
        </is>
      </c>
    </row>
    <row r="199">
      <c r="A199" s="12" t="n">
        <v>193</v>
      </c>
      <c r="B199" s="13" t="n">
        <v>45520</v>
      </c>
      <c r="C199" s="14" t="n">
        <v>1750</v>
      </c>
      <c r="D199" s="14" t="n">
        <v>2000</v>
      </c>
      <c r="E199" s="15">
        <f>(C199+D199)/2</f>
        <v/>
      </c>
      <c r="F199" s="15">
        <f>D199-C199</f>
        <v/>
      </c>
      <c r="G199" s="16" t="inlineStr">
        <is>
          <t>主流市场报价</t>
        </is>
      </c>
      <c r="H199" s="17" t="inlineStr">
        <is>
          <t>打开原文</t>
        </is>
      </c>
    </row>
    <row r="200">
      <c r="A200" s="18" t="n">
        <v>194</v>
      </c>
      <c r="B200" s="19" t="n">
        <v>45523</v>
      </c>
      <c r="C200" s="20" t="n">
        <v>1700</v>
      </c>
      <c r="D200" s="20" t="n">
        <v>2000</v>
      </c>
      <c r="E200" s="21">
        <f>(C200+D200)/2</f>
        <v/>
      </c>
      <c r="F200" s="21">
        <f>D200-C200</f>
        <v/>
      </c>
      <c r="G200" s="22" t="inlineStr">
        <is>
          <t>主流市场报价</t>
        </is>
      </c>
      <c r="H200" s="23" t="inlineStr">
        <is>
          <t>打开原文</t>
        </is>
      </c>
    </row>
    <row r="201">
      <c r="A201" s="12" t="n">
        <v>195</v>
      </c>
      <c r="B201" s="13" t="n">
        <v>45524</v>
      </c>
      <c r="C201" s="14" t="n">
        <v>1700</v>
      </c>
      <c r="D201" s="14" t="n">
        <v>2000</v>
      </c>
      <c r="E201" s="15">
        <f>(C201+D201)/2</f>
        <v/>
      </c>
      <c r="F201" s="15">
        <f>D201-C201</f>
        <v/>
      </c>
      <c r="G201" s="16" t="inlineStr">
        <is>
          <t>主流市场报价</t>
        </is>
      </c>
      <c r="H201" s="17" t="inlineStr">
        <is>
          <t>打开原文</t>
        </is>
      </c>
    </row>
    <row r="202">
      <c r="A202" s="18" t="n">
        <v>196</v>
      </c>
      <c r="B202" s="19" t="n">
        <v>45525</v>
      </c>
      <c r="C202" s="20" t="n">
        <v>1650</v>
      </c>
      <c r="D202" s="20" t="n">
        <v>2000</v>
      </c>
      <c r="E202" s="21">
        <f>(C202+D202)/2</f>
        <v/>
      </c>
      <c r="F202" s="21">
        <f>D202-C202</f>
        <v/>
      </c>
      <c r="G202" s="22" t="inlineStr">
        <is>
          <t>主流市场报价</t>
        </is>
      </c>
      <c r="H202" s="23" t="inlineStr">
        <is>
          <t>打开原文</t>
        </is>
      </c>
    </row>
    <row r="203">
      <c r="A203" s="12" t="n">
        <v>197</v>
      </c>
      <c r="B203" s="13" t="n">
        <v>45526</v>
      </c>
      <c r="C203" s="14" t="n">
        <v>1650</v>
      </c>
      <c r="D203" s="14" t="n">
        <v>2000</v>
      </c>
      <c r="E203" s="15">
        <f>(C203+D203)/2</f>
        <v/>
      </c>
      <c r="F203" s="15">
        <f>D203-C203</f>
        <v/>
      </c>
      <c r="G203" s="16" t="inlineStr">
        <is>
          <t>主流市场报价</t>
        </is>
      </c>
      <c r="H203" s="17" t="inlineStr">
        <is>
          <t>打开原文</t>
        </is>
      </c>
    </row>
    <row r="204">
      <c r="A204" s="18" t="n">
        <v>198</v>
      </c>
      <c r="B204" s="19" t="n">
        <v>45527</v>
      </c>
      <c r="C204" s="20" t="n">
        <v>1650</v>
      </c>
      <c r="D204" s="20" t="n">
        <v>2000</v>
      </c>
      <c r="E204" s="21">
        <f>(C204+D204)/2</f>
        <v/>
      </c>
      <c r="F204" s="21">
        <f>D204-C204</f>
        <v/>
      </c>
      <c r="G204" s="22" t="inlineStr">
        <is>
          <t>主流市场报价</t>
        </is>
      </c>
      <c r="H204" s="23" t="inlineStr">
        <is>
          <t>打开原文</t>
        </is>
      </c>
    </row>
    <row r="205">
      <c r="A205" s="12" t="n">
        <v>199</v>
      </c>
      <c r="B205" s="13" t="n">
        <v>45530</v>
      </c>
      <c r="C205" s="14" t="n">
        <v>1650</v>
      </c>
      <c r="D205" s="14" t="n">
        <v>1970</v>
      </c>
      <c r="E205" s="15">
        <f>(C205+D205)/2</f>
        <v/>
      </c>
      <c r="F205" s="15">
        <f>D205-C205</f>
        <v/>
      </c>
      <c r="G205" s="16" t="inlineStr">
        <is>
          <t>主流市场报价</t>
        </is>
      </c>
      <c r="H205" s="17" t="inlineStr">
        <is>
          <t>打开原文</t>
        </is>
      </c>
    </row>
    <row r="206">
      <c r="A206" s="18" t="n">
        <v>200</v>
      </c>
      <c r="B206" s="19" t="n">
        <v>45531</v>
      </c>
      <c r="C206" s="20" t="n">
        <v>1650</v>
      </c>
      <c r="D206" s="20" t="n">
        <v>1970</v>
      </c>
      <c r="E206" s="21">
        <f>(C206+D206)/2</f>
        <v/>
      </c>
      <c r="F206" s="21">
        <f>D206-C206</f>
        <v/>
      </c>
      <c r="G206" s="22" t="inlineStr">
        <is>
          <t>主流市场报价</t>
        </is>
      </c>
      <c r="H206" s="23" t="inlineStr">
        <is>
          <t>打开原文</t>
        </is>
      </c>
    </row>
    <row r="207">
      <c r="A207" s="12" t="n">
        <v>201</v>
      </c>
      <c r="B207" s="13" t="n">
        <v>45532</v>
      </c>
      <c r="C207" s="14" t="n">
        <v>1650</v>
      </c>
      <c r="D207" s="14" t="n">
        <v>1970</v>
      </c>
      <c r="E207" s="15">
        <f>(C207+D207)/2</f>
        <v/>
      </c>
      <c r="F207" s="15">
        <f>D207-C207</f>
        <v/>
      </c>
      <c r="G207" s="16" t="inlineStr">
        <is>
          <t>主流市场报价</t>
        </is>
      </c>
      <c r="H207" s="17" t="inlineStr">
        <is>
          <t>打开原文</t>
        </is>
      </c>
    </row>
    <row r="208">
      <c r="A208" s="18" t="n">
        <v>202</v>
      </c>
      <c r="B208" s="19" t="n">
        <v>45533</v>
      </c>
      <c r="C208" s="20" t="n">
        <v>1650</v>
      </c>
      <c r="D208" s="20" t="n">
        <v>1970</v>
      </c>
      <c r="E208" s="21">
        <f>(C208+D208)/2</f>
        <v/>
      </c>
      <c r="F208" s="21">
        <f>D208-C208</f>
        <v/>
      </c>
      <c r="G208" s="22" t="inlineStr">
        <is>
          <t>主流市场报价</t>
        </is>
      </c>
      <c r="H208" s="23" t="inlineStr">
        <is>
          <t>打开原文</t>
        </is>
      </c>
    </row>
    <row r="209">
      <c r="A209" s="12" t="n">
        <v>203</v>
      </c>
      <c r="B209" s="13" t="n">
        <v>45534</v>
      </c>
      <c r="C209" s="14" t="n">
        <v>1650</v>
      </c>
      <c r="D209" s="14" t="n">
        <v>1970</v>
      </c>
      <c r="E209" s="15">
        <f>(C209+D209)/2</f>
        <v/>
      </c>
      <c r="F209" s="15">
        <f>D209-C209</f>
        <v/>
      </c>
      <c r="G209" s="16" t="inlineStr">
        <is>
          <t>主流市场报价</t>
        </is>
      </c>
      <c r="H209" s="17" t="inlineStr">
        <is>
          <t>打开原文</t>
        </is>
      </c>
    </row>
    <row r="210">
      <c r="A210" s="18" t="n">
        <v>204</v>
      </c>
      <c r="B210" s="19" t="n">
        <v>45537</v>
      </c>
      <c r="C210" s="20" t="n">
        <v>1550</v>
      </c>
      <c r="D210" s="20" t="n">
        <v>1870</v>
      </c>
      <c r="E210" s="21">
        <f>(C210+D210)/2</f>
        <v/>
      </c>
      <c r="F210" s="21">
        <f>D210-C210</f>
        <v/>
      </c>
      <c r="G210" s="22" t="inlineStr">
        <is>
          <t>主流市场报价</t>
        </is>
      </c>
      <c r="H210" s="23" t="inlineStr">
        <is>
          <t>打开原文</t>
        </is>
      </c>
    </row>
    <row r="211">
      <c r="A211" s="12" t="n">
        <v>205</v>
      </c>
      <c r="B211" s="13" t="n">
        <v>45538</v>
      </c>
      <c r="C211" s="14" t="n">
        <v>1550</v>
      </c>
      <c r="D211" s="14" t="n">
        <v>1870</v>
      </c>
      <c r="E211" s="15">
        <f>(C211+D211)/2</f>
        <v/>
      </c>
      <c r="F211" s="15">
        <f>D211-C211</f>
        <v/>
      </c>
      <c r="G211" s="16" t="inlineStr">
        <is>
          <t>主流市场报价</t>
        </is>
      </c>
      <c r="H211" s="17" t="inlineStr">
        <is>
          <t>打开原文</t>
        </is>
      </c>
    </row>
    <row r="212">
      <c r="A212" s="18" t="n">
        <v>206</v>
      </c>
      <c r="B212" s="19" t="n">
        <v>45539</v>
      </c>
      <c r="C212" s="20" t="n">
        <v>1550</v>
      </c>
      <c r="D212" s="20" t="n">
        <v>1850</v>
      </c>
      <c r="E212" s="21">
        <f>(C212+D212)/2</f>
        <v/>
      </c>
      <c r="F212" s="21">
        <f>D212-C212</f>
        <v/>
      </c>
      <c r="G212" s="22" t="inlineStr">
        <is>
          <t>主流市场报价</t>
        </is>
      </c>
      <c r="H212" s="23" t="inlineStr">
        <is>
          <t>打开原文</t>
        </is>
      </c>
    </row>
    <row r="213">
      <c r="A213" s="12" t="n">
        <v>207</v>
      </c>
      <c r="B213" s="13" t="n">
        <v>45540</v>
      </c>
      <c r="C213" s="14" t="n">
        <v>1550</v>
      </c>
      <c r="D213" s="14" t="n">
        <v>1850</v>
      </c>
      <c r="E213" s="15">
        <f>(C213+D213)/2</f>
        <v/>
      </c>
      <c r="F213" s="15">
        <f>D213-C213</f>
        <v/>
      </c>
      <c r="G213" s="16" t="inlineStr">
        <is>
          <t>主流市场报价</t>
        </is>
      </c>
      <c r="H213" s="17" t="inlineStr">
        <is>
          <t>打开原文</t>
        </is>
      </c>
    </row>
    <row r="214">
      <c r="A214" s="18" t="n">
        <v>208</v>
      </c>
      <c r="B214" s="19" t="n">
        <v>45541</v>
      </c>
      <c r="C214" s="20" t="n">
        <v>1550</v>
      </c>
      <c r="D214" s="20" t="n">
        <v>1850</v>
      </c>
      <c r="E214" s="21">
        <f>(C214+D214)/2</f>
        <v/>
      </c>
      <c r="F214" s="21">
        <f>D214-C214</f>
        <v/>
      </c>
      <c r="G214" s="22" t="inlineStr">
        <is>
          <t>主流市场报价</t>
        </is>
      </c>
      <c r="H214" s="23" t="inlineStr">
        <is>
          <t>打开原文</t>
        </is>
      </c>
    </row>
    <row r="215">
      <c r="A215" s="12" t="n">
        <v>209</v>
      </c>
      <c r="B215" s="13" t="n">
        <v>45544</v>
      </c>
      <c r="C215" s="14" t="n">
        <v>1500</v>
      </c>
      <c r="D215" s="14" t="n">
        <v>1850</v>
      </c>
      <c r="E215" s="15">
        <f>(C215+D215)/2</f>
        <v/>
      </c>
      <c r="F215" s="15">
        <f>D215-C215</f>
        <v/>
      </c>
      <c r="G215" s="16" t="inlineStr">
        <is>
          <t>主流市场报价</t>
        </is>
      </c>
      <c r="H215" s="17" t="inlineStr">
        <is>
          <t>打开原文</t>
        </is>
      </c>
    </row>
    <row r="216">
      <c r="A216" s="18" t="n">
        <v>210</v>
      </c>
      <c r="B216" s="19" t="n">
        <v>45545</v>
      </c>
      <c r="C216" s="20" t="n">
        <v>1500</v>
      </c>
      <c r="D216" s="20" t="n">
        <v>1850</v>
      </c>
      <c r="E216" s="21">
        <f>(C216+D216)/2</f>
        <v/>
      </c>
      <c r="F216" s="21">
        <f>D216-C216</f>
        <v/>
      </c>
      <c r="G216" s="22" t="inlineStr">
        <is>
          <t>主流市场报价</t>
        </is>
      </c>
      <c r="H216" s="23" t="inlineStr">
        <is>
          <t>打开原文</t>
        </is>
      </c>
    </row>
    <row r="217">
      <c r="A217" s="12" t="n">
        <v>211</v>
      </c>
      <c r="B217" s="13" t="n">
        <v>45546</v>
      </c>
      <c r="C217" s="14" t="n">
        <v>1450</v>
      </c>
      <c r="D217" s="14" t="n">
        <v>1750</v>
      </c>
      <c r="E217" s="15">
        <f>(C217+D217)/2</f>
        <v/>
      </c>
      <c r="F217" s="15">
        <f>D217-C217</f>
        <v/>
      </c>
      <c r="G217" s="16" t="inlineStr">
        <is>
          <t>主流市场报价</t>
        </is>
      </c>
      <c r="H217" s="17" t="inlineStr">
        <is>
          <t>打开原文</t>
        </is>
      </c>
    </row>
    <row r="218">
      <c r="A218" s="18" t="n">
        <v>212</v>
      </c>
      <c r="B218" s="19" t="n">
        <v>45547</v>
      </c>
      <c r="C218" s="20" t="n">
        <v>1450</v>
      </c>
      <c r="D218" s="20" t="n">
        <v>1750</v>
      </c>
      <c r="E218" s="21">
        <f>(C218+D218)/2</f>
        <v/>
      </c>
      <c r="F218" s="21">
        <f>D218-C218</f>
        <v/>
      </c>
      <c r="G218" s="22" t="inlineStr">
        <is>
          <t>主流市场报价</t>
        </is>
      </c>
      <c r="H218" s="23" t="inlineStr">
        <is>
          <t>打开原文</t>
        </is>
      </c>
    </row>
    <row r="219">
      <c r="A219" s="12" t="n">
        <v>213</v>
      </c>
      <c r="B219" s="13" t="n">
        <v>45548</v>
      </c>
      <c r="C219" s="14" t="n">
        <v>1450</v>
      </c>
      <c r="D219" s="14" t="n">
        <v>1750</v>
      </c>
      <c r="E219" s="15">
        <f>(C219+D219)/2</f>
        <v/>
      </c>
      <c r="F219" s="15">
        <f>D219-C219</f>
        <v/>
      </c>
      <c r="G219" s="16" t="inlineStr">
        <is>
          <t>主流市场报价</t>
        </is>
      </c>
      <c r="H219" s="17" t="inlineStr">
        <is>
          <t>打开原文</t>
        </is>
      </c>
    </row>
    <row r="220">
      <c r="A220" s="18" t="n">
        <v>214</v>
      </c>
      <c r="B220" s="19" t="n">
        <v>45549</v>
      </c>
      <c r="C220" s="20" t="n">
        <v>1450</v>
      </c>
      <c r="D220" s="20" t="n">
        <v>1750</v>
      </c>
      <c r="E220" s="21">
        <f>(C220+D220)/2</f>
        <v/>
      </c>
      <c r="F220" s="21">
        <f>D220-C220</f>
        <v/>
      </c>
      <c r="G220" s="22" t="inlineStr">
        <is>
          <t>主流市场报价</t>
        </is>
      </c>
      <c r="H220" s="23" t="inlineStr">
        <is>
          <t>打开原文</t>
        </is>
      </c>
    </row>
    <row r="221">
      <c r="A221" s="12" t="n">
        <v>215</v>
      </c>
      <c r="B221" s="13" t="n">
        <v>45553</v>
      </c>
      <c r="C221" s="14" t="n">
        <v>1400</v>
      </c>
      <c r="D221" s="14" t="n">
        <v>1650</v>
      </c>
      <c r="E221" s="15">
        <f>(C221+D221)/2</f>
        <v/>
      </c>
      <c r="F221" s="15">
        <f>D221-C221</f>
        <v/>
      </c>
      <c r="G221" s="16" t="inlineStr">
        <is>
          <t>主流市场报价</t>
        </is>
      </c>
      <c r="H221" s="17" t="inlineStr">
        <is>
          <t>打开原文</t>
        </is>
      </c>
    </row>
    <row r="222">
      <c r="A222" s="18" t="n">
        <v>216</v>
      </c>
      <c r="B222" s="19" t="n">
        <v>45554</v>
      </c>
      <c r="C222" s="20" t="n">
        <v>1400</v>
      </c>
      <c r="D222" s="20" t="n">
        <v>1650</v>
      </c>
      <c r="E222" s="21">
        <f>(C222+D222)/2</f>
        <v/>
      </c>
      <c r="F222" s="21">
        <f>D222-C222</f>
        <v/>
      </c>
      <c r="G222" s="22" t="inlineStr">
        <is>
          <t>主流市场报价</t>
        </is>
      </c>
      <c r="H222" s="23" t="inlineStr">
        <is>
          <t>打开原文</t>
        </is>
      </c>
    </row>
    <row r="223">
      <c r="A223" s="12" t="n">
        <v>217</v>
      </c>
      <c r="B223" s="13" t="n">
        <v>45555</v>
      </c>
      <c r="C223" s="14" t="n">
        <v>1400</v>
      </c>
      <c r="D223" s="14" t="n">
        <v>1650</v>
      </c>
      <c r="E223" s="15">
        <f>(C223+D223)/2</f>
        <v/>
      </c>
      <c r="F223" s="15">
        <f>D223-C223</f>
        <v/>
      </c>
      <c r="G223" s="16" t="inlineStr">
        <is>
          <t>主流市场报价</t>
        </is>
      </c>
      <c r="H223" s="17" t="inlineStr">
        <is>
          <t>打开原文</t>
        </is>
      </c>
    </row>
    <row r="224">
      <c r="A224" s="18" t="n">
        <v>218</v>
      </c>
      <c r="B224" s="19" t="n">
        <v>45558</v>
      </c>
      <c r="C224" s="20" t="n">
        <v>1400</v>
      </c>
      <c r="D224" s="20" t="n">
        <v>1600</v>
      </c>
      <c r="E224" s="21">
        <f>(C224+D224)/2</f>
        <v/>
      </c>
      <c r="F224" s="21">
        <f>D224-C224</f>
        <v/>
      </c>
      <c r="G224" s="22" t="inlineStr">
        <is>
          <t>主流市场报价</t>
        </is>
      </c>
      <c r="H224" s="23" t="inlineStr">
        <is>
          <t>打开原文</t>
        </is>
      </c>
    </row>
    <row r="225">
      <c r="A225" s="12" t="n">
        <v>219</v>
      </c>
      <c r="B225" s="13" t="n">
        <v>45559</v>
      </c>
      <c r="C225" s="14" t="n">
        <v>1400</v>
      </c>
      <c r="D225" s="14" t="n">
        <v>1600</v>
      </c>
      <c r="E225" s="15">
        <f>(C225+D225)/2</f>
        <v/>
      </c>
      <c r="F225" s="15">
        <f>D225-C225</f>
        <v/>
      </c>
      <c r="G225" s="16" t="inlineStr">
        <is>
          <t>主流市场报价</t>
        </is>
      </c>
      <c r="H225" s="17" t="inlineStr">
        <is>
          <t>打开原文</t>
        </is>
      </c>
    </row>
    <row r="226">
      <c r="A226" s="18" t="n">
        <v>220</v>
      </c>
      <c r="B226" s="19" t="n">
        <v>45560</v>
      </c>
      <c r="C226" s="20" t="n">
        <v>1400</v>
      </c>
      <c r="D226" s="20" t="n">
        <v>1600</v>
      </c>
      <c r="E226" s="21">
        <f>(C226+D226)/2</f>
        <v/>
      </c>
      <c r="F226" s="21">
        <f>D226-C226</f>
        <v/>
      </c>
      <c r="G226" s="22" t="inlineStr">
        <is>
          <t>主流市场报价</t>
        </is>
      </c>
      <c r="H226" s="23" t="inlineStr">
        <is>
          <t>打开原文</t>
        </is>
      </c>
    </row>
    <row r="227">
      <c r="A227" s="12" t="n">
        <v>221</v>
      </c>
      <c r="B227" s="13" t="n">
        <v>45561</v>
      </c>
      <c r="C227" s="14" t="n">
        <v>1400</v>
      </c>
      <c r="D227" s="14" t="n">
        <v>1600</v>
      </c>
      <c r="E227" s="15">
        <f>(C227+D227)/2</f>
        <v/>
      </c>
      <c r="F227" s="15">
        <f>D227-C227</f>
        <v/>
      </c>
      <c r="G227" s="16" t="inlineStr">
        <is>
          <t>主流市场报价</t>
        </is>
      </c>
      <c r="H227" s="17" t="inlineStr">
        <is>
          <t>打开原文</t>
        </is>
      </c>
    </row>
    <row r="228">
      <c r="A228" s="18" t="n">
        <v>222</v>
      </c>
      <c r="B228" s="19" t="n">
        <v>45562</v>
      </c>
      <c r="C228" s="20" t="n">
        <v>1430</v>
      </c>
      <c r="D228" s="20" t="n">
        <v>1600</v>
      </c>
      <c r="E228" s="21">
        <f>(C228+D228)/2</f>
        <v/>
      </c>
      <c r="F228" s="21">
        <f>D228-C228</f>
        <v/>
      </c>
      <c r="G228" s="22" t="inlineStr">
        <is>
          <t>主流市场报价</t>
        </is>
      </c>
      <c r="H228" s="23" t="inlineStr">
        <is>
          <t>打开原文</t>
        </is>
      </c>
    </row>
    <row r="229">
      <c r="A229" s="12" t="n">
        <v>223</v>
      </c>
      <c r="B229" s="13" t="n">
        <v>45564</v>
      </c>
      <c r="C229" s="14" t="n">
        <v>1450</v>
      </c>
      <c r="D229" s="14" t="n">
        <v>1600</v>
      </c>
      <c r="E229" s="15">
        <f>(C229+D229)/2</f>
        <v/>
      </c>
      <c r="F229" s="15">
        <f>D229-C229</f>
        <v/>
      </c>
      <c r="G229" s="16" t="inlineStr">
        <is>
          <t>主流市场报价</t>
        </is>
      </c>
      <c r="H229" s="17" t="inlineStr">
        <is>
          <t>打开原文</t>
        </is>
      </c>
    </row>
    <row r="230">
      <c r="A230" s="18" t="n">
        <v>224</v>
      </c>
      <c r="B230" s="19" t="n">
        <v>45573</v>
      </c>
      <c r="C230" s="20" t="n">
        <v>1500</v>
      </c>
      <c r="D230" s="20" t="n">
        <v>1600</v>
      </c>
      <c r="E230" s="21">
        <f>(C230+D230)/2</f>
        <v/>
      </c>
      <c r="F230" s="21">
        <f>D230-C230</f>
        <v/>
      </c>
      <c r="G230" s="22" t="inlineStr">
        <is>
          <t>主流市场报价</t>
        </is>
      </c>
      <c r="H230" s="23" t="inlineStr">
        <is>
          <t>打开原文</t>
        </is>
      </c>
    </row>
    <row r="231">
      <c r="A231" s="12" t="n">
        <v>225</v>
      </c>
      <c r="B231" s="13" t="n">
        <v>45574</v>
      </c>
      <c r="C231" s="14" t="n">
        <v>1500</v>
      </c>
      <c r="D231" s="14" t="n">
        <v>1600</v>
      </c>
      <c r="E231" s="15">
        <f>(C231+D231)/2</f>
        <v/>
      </c>
      <c r="F231" s="15">
        <f>D231-C231</f>
        <v/>
      </c>
      <c r="G231" s="16" t="inlineStr">
        <is>
          <t>主流市场报价</t>
        </is>
      </c>
      <c r="H231" s="17" t="inlineStr">
        <is>
          <t>打开原文</t>
        </is>
      </c>
    </row>
    <row r="232">
      <c r="A232" s="18" t="n">
        <v>226</v>
      </c>
      <c r="B232" s="19" t="n">
        <v>45575</v>
      </c>
      <c r="C232" s="20" t="n">
        <v>1500</v>
      </c>
      <c r="D232" s="20" t="n">
        <v>1600</v>
      </c>
      <c r="E232" s="21">
        <f>(C232+D232)/2</f>
        <v/>
      </c>
      <c r="F232" s="21">
        <f>D232-C232</f>
        <v/>
      </c>
      <c r="G232" s="22" t="inlineStr">
        <is>
          <t>主流市场报价</t>
        </is>
      </c>
      <c r="H232" s="23" t="inlineStr">
        <is>
          <t>打开原文</t>
        </is>
      </c>
    </row>
    <row r="233">
      <c r="A233" s="12" t="n">
        <v>227</v>
      </c>
      <c r="B233" s="13" t="n">
        <v>45576</v>
      </c>
      <c r="C233" s="14" t="n">
        <v>1500</v>
      </c>
      <c r="D233" s="14" t="n">
        <v>1600</v>
      </c>
      <c r="E233" s="15">
        <f>(C233+D233)/2</f>
        <v/>
      </c>
      <c r="F233" s="15">
        <f>D233-C233</f>
        <v/>
      </c>
      <c r="G233" s="16" t="inlineStr">
        <is>
          <t>主流市场报价</t>
        </is>
      </c>
      <c r="H233" s="17" t="inlineStr">
        <is>
          <t>打开原文</t>
        </is>
      </c>
    </row>
    <row r="234">
      <c r="A234" s="18" t="n">
        <v>228</v>
      </c>
      <c r="B234" s="19" t="n">
        <v>45577</v>
      </c>
      <c r="C234" s="20" t="n">
        <v>1500</v>
      </c>
      <c r="D234" s="20" t="n">
        <v>1600</v>
      </c>
      <c r="E234" s="21">
        <f>(C234+D234)/2</f>
        <v/>
      </c>
      <c r="F234" s="21">
        <f>D234-C234</f>
        <v/>
      </c>
      <c r="G234" s="22" t="inlineStr">
        <is>
          <t>主流市场报价</t>
        </is>
      </c>
      <c r="H234" s="23" t="inlineStr">
        <is>
          <t>打开原文</t>
        </is>
      </c>
    </row>
    <row r="235">
      <c r="A235" s="12" t="n">
        <v>229</v>
      </c>
      <c r="B235" s="13" t="n">
        <v>45580</v>
      </c>
      <c r="C235" s="14" t="n">
        <v>1500</v>
      </c>
      <c r="D235" s="14" t="n">
        <v>1600</v>
      </c>
      <c r="E235" s="15">
        <f>(C235+D235)/2</f>
        <v/>
      </c>
      <c r="F235" s="15">
        <f>D235-C235</f>
        <v/>
      </c>
      <c r="G235" s="16" t="inlineStr">
        <is>
          <t>主流市场报价</t>
        </is>
      </c>
      <c r="H235" s="17" t="inlineStr">
        <is>
          <t>打开原文</t>
        </is>
      </c>
    </row>
    <row r="236">
      <c r="A236" s="18" t="n">
        <v>230</v>
      </c>
      <c r="B236" s="19" t="n">
        <v>45581</v>
      </c>
      <c r="C236" s="20" t="n">
        <v>1500</v>
      </c>
      <c r="D236" s="20" t="n">
        <v>1600</v>
      </c>
      <c r="E236" s="21">
        <f>(C236+D236)/2</f>
        <v/>
      </c>
      <c r="F236" s="21">
        <f>D236-C236</f>
        <v/>
      </c>
      <c r="G236" s="22" t="inlineStr">
        <is>
          <t>主流市场报价</t>
        </is>
      </c>
      <c r="H236" s="23" t="inlineStr">
        <is>
          <t>打开原文</t>
        </is>
      </c>
    </row>
    <row r="237">
      <c r="A237" s="12" t="n">
        <v>231</v>
      </c>
      <c r="B237" s="13" t="n">
        <v>45582</v>
      </c>
      <c r="C237" s="14" t="n">
        <v>1500</v>
      </c>
      <c r="D237" s="14" t="n">
        <v>1600</v>
      </c>
      <c r="E237" s="15">
        <f>(C237+D237)/2</f>
        <v/>
      </c>
      <c r="F237" s="15">
        <f>D237-C237</f>
        <v/>
      </c>
      <c r="G237" s="16" t="inlineStr">
        <is>
          <t>主流市场报价</t>
        </is>
      </c>
      <c r="H237" s="17" t="inlineStr">
        <is>
          <t>打开原文</t>
        </is>
      </c>
    </row>
    <row r="238">
      <c r="A238" s="18" t="n">
        <v>232</v>
      </c>
      <c r="B238" s="19" t="n">
        <v>45583</v>
      </c>
      <c r="C238" s="20" t="n">
        <v>1450</v>
      </c>
      <c r="D238" s="20" t="n">
        <v>1600</v>
      </c>
      <c r="E238" s="21">
        <f>(C238+D238)/2</f>
        <v/>
      </c>
      <c r="F238" s="21">
        <f>D238-C238</f>
        <v/>
      </c>
      <c r="G238" s="22" t="inlineStr">
        <is>
          <t>主流市场报价</t>
        </is>
      </c>
      <c r="H238" s="23" t="inlineStr">
        <is>
          <t>打开原文</t>
        </is>
      </c>
    </row>
    <row r="239">
      <c r="A239" s="12" t="n">
        <v>233</v>
      </c>
      <c r="B239" s="13" t="n">
        <v>45586</v>
      </c>
      <c r="C239" s="14" t="n">
        <v>1420</v>
      </c>
      <c r="D239" s="14" t="n">
        <v>1600</v>
      </c>
      <c r="E239" s="15">
        <f>(C239+D239)/2</f>
        <v/>
      </c>
      <c r="F239" s="15">
        <f>D239-C239</f>
        <v/>
      </c>
      <c r="G239" s="16" t="inlineStr">
        <is>
          <t>主流市场报价</t>
        </is>
      </c>
      <c r="H239" s="17" t="inlineStr">
        <is>
          <t>打开原文</t>
        </is>
      </c>
    </row>
    <row r="240">
      <c r="A240" s="18" t="n">
        <v>234</v>
      </c>
      <c r="B240" s="19" t="n">
        <v>45587</v>
      </c>
      <c r="C240" s="20" t="n">
        <v>1420</v>
      </c>
      <c r="D240" s="20" t="n">
        <v>1600</v>
      </c>
      <c r="E240" s="21">
        <f>(C240+D240)/2</f>
        <v/>
      </c>
      <c r="F240" s="21">
        <f>D240-C240</f>
        <v/>
      </c>
      <c r="G240" s="22" t="inlineStr">
        <is>
          <t>主流市场报价</t>
        </is>
      </c>
      <c r="H240" s="23" t="inlineStr">
        <is>
          <t>打开原文</t>
        </is>
      </c>
    </row>
    <row r="241">
      <c r="A241" s="12" t="n">
        <v>235</v>
      </c>
      <c r="B241" s="13" t="n">
        <v>45589</v>
      </c>
      <c r="C241" s="14" t="n">
        <v>1420</v>
      </c>
      <c r="D241" s="14" t="n">
        <v>1600</v>
      </c>
      <c r="E241" s="15">
        <f>(C241+D241)/2</f>
        <v/>
      </c>
      <c r="F241" s="15">
        <f>D241-C241</f>
        <v/>
      </c>
      <c r="G241" s="16" t="inlineStr">
        <is>
          <t>主流市场报价</t>
        </is>
      </c>
      <c r="H241" s="17" t="inlineStr">
        <is>
          <t>打开原文</t>
        </is>
      </c>
    </row>
    <row r="242">
      <c r="A242" s="18" t="n">
        <v>236</v>
      </c>
      <c r="B242" s="19" t="n">
        <v>45590</v>
      </c>
      <c r="C242" s="20" t="n">
        <v>1420</v>
      </c>
      <c r="D242" s="20" t="n">
        <v>1600</v>
      </c>
      <c r="E242" s="21">
        <f>(C242+D242)/2</f>
        <v/>
      </c>
      <c r="F242" s="21">
        <f>D242-C242</f>
        <v/>
      </c>
      <c r="G242" s="22" t="inlineStr">
        <is>
          <t>主流市场报价</t>
        </is>
      </c>
      <c r="H242" s="23" t="inlineStr">
        <is>
          <t>打开原文</t>
        </is>
      </c>
    </row>
    <row r="243">
      <c r="A243" s="12" t="n">
        <v>237</v>
      </c>
      <c r="B243" s="13" t="n">
        <v>45593</v>
      </c>
      <c r="C243" s="14" t="n">
        <v>1420</v>
      </c>
      <c r="D243" s="14" t="n">
        <v>1600</v>
      </c>
      <c r="E243" s="15">
        <f>(C243+D243)/2</f>
        <v/>
      </c>
      <c r="F243" s="15">
        <f>D243-C243</f>
        <v/>
      </c>
      <c r="G243" s="16" t="inlineStr">
        <is>
          <t>主流市场报价</t>
        </is>
      </c>
      <c r="H243" s="17" t="inlineStr">
        <is>
          <t>打开原文</t>
        </is>
      </c>
    </row>
    <row r="244">
      <c r="A244" s="18" t="n">
        <v>238</v>
      </c>
      <c r="B244" s="19" t="n">
        <v>45594</v>
      </c>
      <c r="C244" s="20" t="n">
        <v>1420</v>
      </c>
      <c r="D244" s="20" t="n">
        <v>1600</v>
      </c>
      <c r="E244" s="21">
        <f>(C244+D244)/2</f>
        <v/>
      </c>
      <c r="F244" s="21">
        <f>D244-C244</f>
        <v/>
      </c>
      <c r="G244" s="22" t="inlineStr">
        <is>
          <t>主流市场报价</t>
        </is>
      </c>
      <c r="H244" s="23" t="inlineStr">
        <is>
          <t>打开原文</t>
        </is>
      </c>
    </row>
    <row r="245">
      <c r="A245" s="12" t="n">
        <v>239</v>
      </c>
      <c r="B245" s="13" t="n">
        <v>45595</v>
      </c>
      <c r="C245" s="14" t="n">
        <v>1420</v>
      </c>
      <c r="D245" s="14" t="n">
        <v>1600</v>
      </c>
      <c r="E245" s="15">
        <f>(C245+D245)/2</f>
        <v/>
      </c>
      <c r="F245" s="15">
        <f>D245-C245</f>
        <v/>
      </c>
      <c r="G245" s="16" t="inlineStr">
        <is>
          <t>主流市场报价</t>
        </is>
      </c>
      <c r="H245" s="17" t="inlineStr">
        <is>
          <t>打开原文</t>
        </is>
      </c>
    </row>
    <row r="246">
      <c r="A246" s="18" t="n">
        <v>240</v>
      </c>
      <c r="B246" s="19" t="n">
        <v>45596</v>
      </c>
      <c r="C246" s="20" t="n">
        <v>1420</v>
      </c>
      <c r="D246" s="20" t="n">
        <v>1600</v>
      </c>
      <c r="E246" s="21">
        <f>(C246+D246)/2</f>
        <v/>
      </c>
      <c r="F246" s="21">
        <f>D246-C246</f>
        <v/>
      </c>
      <c r="G246" s="22" t="inlineStr">
        <is>
          <t>主流市场报价</t>
        </is>
      </c>
      <c r="H246" s="23" t="inlineStr">
        <is>
          <t>打开原文</t>
        </is>
      </c>
    </row>
    <row r="247">
      <c r="A247" s="12" t="n">
        <v>241</v>
      </c>
      <c r="B247" s="13" t="n">
        <v>45597</v>
      </c>
      <c r="C247" s="14" t="n">
        <v>1420</v>
      </c>
      <c r="D247" s="14" t="n">
        <v>1600</v>
      </c>
      <c r="E247" s="15">
        <f>(C247+D247)/2</f>
        <v/>
      </c>
      <c r="F247" s="15">
        <f>D247-C247</f>
        <v/>
      </c>
      <c r="G247" s="16" t="inlineStr">
        <is>
          <t>主流市场报价</t>
        </is>
      </c>
      <c r="H247" s="17" t="inlineStr">
        <is>
          <t>打开原文</t>
        </is>
      </c>
    </row>
    <row r="248">
      <c r="A248" s="18" t="n">
        <v>242</v>
      </c>
      <c r="B248" s="19" t="n">
        <v>45600</v>
      </c>
      <c r="C248" s="20" t="n">
        <v>1420</v>
      </c>
      <c r="D248" s="20" t="n">
        <v>1600</v>
      </c>
      <c r="E248" s="21">
        <f>(C248+D248)/2</f>
        <v/>
      </c>
      <c r="F248" s="21">
        <f>D248-C248</f>
        <v/>
      </c>
      <c r="G248" s="22" t="inlineStr">
        <is>
          <t>主流市场报价</t>
        </is>
      </c>
      <c r="H248" s="23" t="inlineStr">
        <is>
          <t>打开原文</t>
        </is>
      </c>
    </row>
    <row r="249">
      <c r="A249" s="12" t="n">
        <v>243</v>
      </c>
      <c r="B249" s="13" t="n">
        <v>45601</v>
      </c>
      <c r="C249" s="14" t="n">
        <v>1420</v>
      </c>
      <c r="D249" s="14" t="n">
        <v>1600</v>
      </c>
      <c r="E249" s="15">
        <f>(C249+D249)/2</f>
        <v/>
      </c>
      <c r="F249" s="15">
        <f>D249-C249</f>
        <v/>
      </c>
      <c r="G249" s="16" t="inlineStr">
        <is>
          <t>主流市场报价</t>
        </is>
      </c>
      <c r="H249" s="17" t="inlineStr">
        <is>
          <t>打开原文</t>
        </is>
      </c>
    </row>
    <row r="250">
      <c r="A250" s="18" t="n">
        <v>244</v>
      </c>
      <c r="B250" s="19" t="n">
        <v>45602</v>
      </c>
      <c r="C250" s="20" t="n">
        <v>1420</v>
      </c>
      <c r="D250" s="20" t="n">
        <v>1600</v>
      </c>
      <c r="E250" s="21">
        <f>(C250+D250)/2</f>
        <v/>
      </c>
      <c r="F250" s="21">
        <f>D250-C250</f>
        <v/>
      </c>
      <c r="G250" s="22" t="inlineStr">
        <is>
          <t>主流市场报价</t>
        </is>
      </c>
      <c r="H250" s="23" t="inlineStr">
        <is>
          <t>打开原文</t>
        </is>
      </c>
    </row>
    <row r="251">
      <c r="A251" s="12" t="n">
        <v>245</v>
      </c>
      <c r="B251" s="13" t="n">
        <v>45603</v>
      </c>
      <c r="C251" s="14" t="n">
        <v>1420</v>
      </c>
      <c r="D251" s="14" t="n">
        <v>1600</v>
      </c>
      <c r="E251" s="15">
        <f>(C251+D251)/2</f>
        <v/>
      </c>
      <c r="F251" s="15">
        <f>D251-C251</f>
        <v/>
      </c>
      <c r="G251" s="16" t="inlineStr">
        <is>
          <t>主流市场报价</t>
        </is>
      </c>
      <c r="H251" s="17" t="inlineStr">
        <is>
          <t>打开原文</t>
        </is>
      </c>
    </row>
    <row r="252">
      <c r="A252" s="18" t="n">
        <v>246</v>
      </c>
      <c r="B252" s="19" t="n">
        <v>45604</v>
      </c>
      <c r="C252" s="20" t="n">
        <v>1420</v>
      </c>
      <c r="D252" s="20" t="n">
        <v>1600</v>
      </c>
      <c r="E252" s="21">
        <f>(C252+D252)/2</f>
        <v/>
      </c>
      <c r="F252" s="21">
        <f>D252-C252</f>
        <v/>
      </c>
      <c r="G252" s="22" t="inlineStr">
        <is>
          <t>主流市场报价</t>
        </is>
      </c>
      <c r="H252" s="23" t="inlineStr">
        <is>
          <t>打开原文</t>
        </is>
      </c>
    </row>
    <row r="253">
      <c r="A253" s="12" t="n">
        <v>247</v>
      </c>
      <c r="B253" s="13" t="n">
        <v>45607</v>
      </c>
      <c r="C253" s="14" t="n">
        <v>1420</v>
      </c>
      <c r="D253" s="14" t="n">
        <v>1600</v>
      </c>
      <c r="E253" s="15">
        <f>(C253+D253)/2</f>
        <v/>
      </c>
      <c r="F253" s="15">
        <f>D253-C253</f>
        <v/>
      </c>
      <c r="G253" s="16" t="inlineStr">
        <is>
          <t>主流市场报价</t>
        </is>
      </c>
      <c r="H253" s="17" t="inlineStr">
        <is>
          <t>打开原文</t>
        </is>
      </c>
    </row>
    <row r="254">
      <c r="A254" s="18" t="n">
        <v>248</v>
      </c>
      <c r="B254" s="19" t="n">
        <v>45608</v>
      </c>
      <c r="C254" s="20" t="n">
        <v>1420</v>
      </c>
      <c r="D254" s="20" t="n">
        <v>1600</v>
      </c>
      <c r="E254" s="21">
        <f>(C254+D254)/2</f>
        <v/>
      </c>
      <c r="F254" s="21">
        <f>D254-C254</f>
        <v/>
      </c>
      <c r="G254" s="22" t="inlineStr">
        <is>
          <t>主流市场报价</t>
        </is>
      </c>
      <c r="H254" s="23" t="inlineStr">
        <is>
          <t>打开原文</t>
        </is>
      </c>
    </row>
    <row r="255">
      <c r="A255" s="12" t="n">
        <v>249</v>
      </c>
      <c r="B255" s="13" t="n">
        <v>45609</v>
      </c>
      <c r="C255" s="14" t="n">
        <v>1420</v>
      </c>
      <c r="D255" s="14" t="n">
        <v>1600</v>
      </c>
      <c r="E255" s="15">
        <f>(C255+D255)/2</f>
        <v/>
      </c>
      <c r="F255" s="15">
        <f>D255-C255</f>
        <v/>
      </c>
      <c r="G255" s="16" t="inlineStr">
        <is>
          <t>主流市场报价</t>
        </is>
      </c>
      <c r="H255" s="17" t="inlineStr">
        <is>
          <t>打开原文</t>
        </is>
      </c>
    </row>
    <row r="256">
      <c r="A256" s="18" t="n">
        <v>250</v>
      </c>
      <c r="B256" s="19" t="n">
        <v>45610</v>
      </c>
      <c r="C256" s="20" t="n">
        <v>1420</v>
      </c>
      <c r="D256" s="20" t="n">
        <v>1600</v>
      </c>
      <c r="E256" s="21">
        <f>(C256+D256)/2</f>
        <v/>
      </c>
      <c r="F256" s="21">
        <f>D256-C256</f>
        <v/>
      </c>
      <c r="G256" s="22" t="inlineStr">
        <is>
          <t>主流市场报价</t>
        </is>
      </c>
      <c r="H256" s="23" t="inlineStr">
        <is>
          <t>打开原文</t>
        </is>
      </c>
    </row>
    <row r="257">
      <c r="A257" s="12" t="n">
        <v>251</v>
      </c>
      <c r="B257" s="13" t="n">
        <v>45611</v>
      </c>
      <c r="C257" s="14" t="n">
        <v>1420</v>
      </c>
      <c r="D257" s="14" t="n">
        <v>1600</v>
      </c>
      <c r="E257" s="15">
        <f>(C257+D257)/2</f>
        <v/>
      </c>
      <c r="F257" s="15">
        <f>D257-C257</f>
        <v/>
      </c>
      <c r="G257" s="16" t="inlineStr">
        <is>
          <t>主流市场报价</t>
        </is>
      </c>
      <c r="H257" s="17" t="inlineStr">
        <is>
          <t>打开原文</t>
        </is>
      </c>
    </row>
    <row r="258">
      <c r="A258" s="18" t="n">
        <v>252</v>
      </c>
      <c r="B258" s="19" t="n">
        <v>45614</v>
      </c>
      <c r="C258" s="20" t="n">
        <v>1420</v>
      </c>
      <c r="D258" s="20" t="n">
        <v>1600</v>
      </c>
      <c r="E258" s="21">
        <f>(C258+D258)/2</f>
        <v/>
      </c>
      <c r="F258" s="21">
        <f>D258-C258</f>
        <v/>
      </c>
      <c r="G258" s="22" t="inlineStr">
        <is>
          <t>主流市场报价</t>
        </is>
      </c>
      <c r="H258" s="23" t="inlineStr">
        <is>
          <t>打开原文</t>
        </is>
      </c>
    </row>
    <row r="259">
      <c r="A259" s="12" t="n">
        <v>253</v>
      </c>
      <c r="B259" s="13" t="n">
        <v>45615</v>
      </c>
      <c r="C259" s="14" t="n">
        <v>1420</v>
      </c>
      <c r="D259" s="14" t="n">
        <v>1600</v>
      </c>
      <c r="E259" s="15">
        <f>(C259+D259)/2</f>
        <v/>
      </c>
      <c r="F259" s="15">
        <f>D259-C259</f>
        <v/>
      </c>
      <c r="G259" s="16" t="inlineStr">
        <is>
          <t>主流市场报价</t>
        </is>
      </c>
      <c r="H259" s="17" t="inlineStr">
        <is>
          <t>打开原文</t>
        </is>
      </c>
    </row>
    <row r="260">
      <c r="A260" s="18" t="n">
        <v>254</v>
      </c>
      <c r="B260" s="19" t="n">
        <v>45616</v>
      </c>
      <c r="C260" s="20" t="n">
        <v>1420</v>
      </c>
      <c r="D260" s="20" t="n">
        <v>1600</v>
      </c>
      <c r="E260" s="21">
        <f>(C260+D260)/2</f>
        <v/>
      </c>
      <c r="F260" s="21">
        <f>D260-C260</f>
        <v/>
      </c>
      <c r="G260" s="22" t="inlineStr">
        <is>
          <t>主流市场报价</t>
        </is>
      </c>
      <c r="H260" s="23" t="inlineStr">
        <is>
          <t>打开原文</t>
        </is>
      </c>
    </row>
    <row r="261">
      <c r="A261" s="12" t="n">
        <v>255</v>
      </c>
      <c r="B261" s="13" t="n">
        <v>45617</v>
      </c>
      <c r="C261" s="14" t="n">
        <v>1420</v>
      </c>
      <c r="D261" s="14" t="n">
        <v>1600</v>
      </c>
      <c r="E261" s="15">
        <f>(C261+D261)/2</f>
        <v/>
      </c>
      <c r="F261" s="15">
        <f>D261-C261</f>
        <v/>
      </c>
      <c r="G261" s="16" t="inlineStr">
        <is>
          <t>主流市场报价</t>
        </is>
      </c>
      <c r="H261" s="17" t="inlineStr">
        <is>
          <t>打开原文</t>
        </is>
      </c>
    </row>
    <row r="262">
      <c r="A262" s="18" t="n">
        <v>256</v>
      </c>
      <c r="B262" s="19" t="n">
        <v>45618</v>
      </c>
      <c r="C262" s="20" t="n">
        <v>1420</v>
      </c>
      <c r="D262" s="20" t="n">
        <v>1600</v>
      </c>
      <c r="E262" s="21">
        <f>(C262+D262)/2</f>
        <v/>
      </c>
      <c r="F262" s="21">
        <f>D262-C262</f>
        <v/>
      </c>
      <c r="G262" s="22" t="inlineStr">
        <is>
          <t>主流市场报价</t>
        </is>
      </c>
      <c r="H262" s="23" t="inlineStr">
        <is>
          <t>打开原文</t>
        </is>
      </c>
    </row>
    <row r="263">
      <c r="A263" s="12" t="n">
        <v>257</v>
      </c>
      <c r="B263" s="13" t="n">
        <v>45621</v>
      </c>
      <c r="C263" s="14" t="n">
        <v>1420</v>
      </c>
      <c r="D263" s="14" t="n">
        <v>1600</v>
      </c>
      <c r="E263" s="15">
        <f>(C263+D263)/2</f>
        <v/>
      </c>
      <c r="F263" s="15">
        <f>D263-C263</f>
        <v/>
      </c>
      <c r="G263" s="16" t="inlineStr">
        <is>
          <t>主流市场报价</t>
        </is>
      </c>
      <c r="H263" s="17" t="inlineStr">
        <is>
          <t>打开原文</t>
        </is>
      </c>
    </row>
    <row r="264">
      <c r="A264" s="18" t="n">
        <v>258</v>
      </c>
      <c r="B264" s="19" t="n">
        <v>45622</v>
      </c>
      <c r="C264" s="20" t="n">
        <v>1450</v>
      </c>
      <c r="D264" s="20" t="n">
        <v>1600</v>
      </c>
      <c r="E264" s="21">
        <f>(C264+D264)/2</f>
        <v/>
      </c>
      <c r="F264" s="21">
        <f>D264-C264</f>
        <v/>
      </c>
      <c r="G264" s="22" t="inlineStr">
        <is>
          <t>主流市场报价</t>
        </is>
      </c>
      <c r="H264" s="23" t="inlineStr">
        <is>
          <t>打开原文</t>
        </is>
      </c>
    </row>
    <row r="265">
      <c r="A265" s="12" t="n">
        <v>259</v>
      </c>
      <c r="B265" s="13" t="n">
        <v>45623</v>
      </c>
      <c r="C265" s="14" t="n">
        <v>1450</v>
      </c>
      <c r="D265" s="14" t="n">
        <v>1600</v>
      </c>
      <c r="E265" s="15">
        <f>(C265+D265)/2</f>
        <v/>
      </c>
      <c r="F265" s="15">
        <f>D265-C265</f>
        <v/>
      </c>
      <c r="G265" s="16" t="inlineStr">
        <is>
          <t>主流市场报价</t>
        </is>
      </c>
      <c r="H265" s="17" t="inlineStr">
        <is>
          <t>打开原文</t>
        </is>
      </c>
    </row>
    <row r="266">
      <c r="A266" s="18" t="n">
        <v>260</v>
      </c>
      <c r="B266" s="19" t="n">
        <v>45624</v>
      </c>
      <c r="C266" s="20" t="n">
        <v>1450</v>
      </c>
      <c r="D266" s="20" t="n">
        <v>1600</v>
      </c>
      <c r="E266" s="21">
        <f>(C266+D266)/2</f>
        <v/>
      </c>
      <c r="F266" s="21">
        <f>D266-C266</f>
        <v/>
      </c>
      <c r="G266" s="22" t="inlineStr">
        <is>
          <t>主流市场报价</t>
        </is>
      </c>
      <c r="H266" s="23" t="inlineStr">
        <is>
          <t>打开原文</t>
        </is>
      </c>
    </row>
    <row r="267">
      <c r="A267" s="12" t="n">
        <v>261</v>
      </c>
      <c r="B267" s="13" t="n">
        <v>45625</v>
      </c>
      <c r="C267" s="14" t="n">
        <v>1450</v>
      </c>
      <c r="D267" s="14" t="n">
        <v>1600</v>
      </c>
      <c r="E267" s="15">
        <f>(C267+D267)/2</f>
        <v/>
      </c>
      <c r="F267" s="15">
        <f>D267-C267</f>
        <v/>
      </c>
      <c r="G267" s="16" t="inlineStr">
        <is>
          <t>主流市场报价</t>
        </is>
      </c>
      <c r="H267" s="17" t="inlineStr">
        <is>
          <t>打开原文</t>
        </is>
      </c>
    </row>
    <row r="268">
      <c r="A268" s="18" t="n">
        <v>262</v>
      </c>
      <c r="B268" s="19" t="n">
        <v>45628</v>
      </c>
      <c r="C268" s="20" t="n">
        <v>1450</v>
      </c>
      <c r="D268" s="20" t="n">
        <v>1600</v>
      </c>
      <c r="E268" s="21">
        <f>(C268+D268)/2</f>
        <v/>
      </c>
      <c r="F268" s="21">
        <f>D268-C268</f>
        <v/>
      </c>
      <c r="G268" s="22" t="inlineStr">
        <is>
          <t>主流市场报价</t>
        </is>
      </c>
      <c r="H268" s="23" t="inlineStr">
        <is>
          <t>打开原文</t>
        </is>
      </c>
    </row>
    <row r="269">
      <c r="A269" s="12" t="n">
        <v>263</v>
      </c>
      <c r="B269" s="13" t="n">
        <v>45629</v>
      </c>
      <c r="C269" s="14" t="n">
        <v>1450</v>
      </c>
      <c r="D269" s="14" t="n">
        <v>1600</v>
      </c>
      <c r="E269" s="15">
        <f>(C269+D269)/2</f>
        <v/>
      </c>
      <c r="F269" s="15">
        <f>D269-C269</f>
        <v/>
      </c>
      <c r="G269" s="16" t="inlineStr">
        <is>
          <t>主流市场报价</t>
        </is>
      </c>
      <c r="H269" s="17" t="inlineStr">
        <is>
          <t>打开原文</t>
        </is>
      </c>
    </row>
    <row r="270">
      <c r="A270" s="18" t="n">
        <v>264</v>
      </c>
      <c r="B270" s="19" t="n">
        <v>45630</v>
      </c>
      <c r="C270" s="20" t="n">
        <v>1450</v>
      </c>
      <c r="D270" s="20" t="n">
        <v>1600</v>
      </c>
      <c r="E270" s="21">
        <f>(C270+D270)/2</f>
        <v/>
      </c>
      <c r="F270" s="21">
        <f>D270-C270</f>
        <v/>
      </c>
      <c r="G270" s="22" t="inlineStr">
        <is>
          <t>主流市场报价</t>
        </is>
      </c>
      <c r="H270" s="23" t="inlineStr">
        <is>
          <t>打开原文</t>
        </is>
      </c>
    </row>
    <row r="271">
      <c r="A271" s="12" t="n">
        <v>265</v>
      </c>
      <c r="B271" s="13" t="n">
        <v>45631</v>
      </c>
      <c r="C271" s="14" t="n">
        <v>1450</v>
      </c>
      <c r="D271" s="14" t="n">
        <v>1600</v>
      </c>
      <c r="E271" s="15">
        <f>(C271+D271)/2</f>
        <v/>
      </c>
      <c r="F271" s="15">
        <f>D271-C271</f>
        <v/>
      </c>
      <c r="G271" s="16" t="inlineStr">
        <is>
          <t>主流市场报价</t>
        </is>
      </c>
      <c r="H271" s="17" t="inlineStr">
        <is>
          <t>打开原文</t>
        </is>
      </c>
    </row>
    <row r="272">
      <c r="A272" s="18" t="n">
        <v>266</v>
      </c>
      <c r="B272" s="19" t="n">
        <v>45632</v>
      </c>
      <c r="C272" s="20" t="n">
        <v>1450</v>
      </c>
      <c r="D272" s="20" t="n">
        <v>1600</v>
      </c>
      <c r="E272" s="21">
        <f>(C272+D272)/2</f>
        <v/>
      </c>
      <c r="F272" s="21">
        <f>D272-C272</f>
        <v/>
      </c>
      <c r="G272" s="22" t="inlineStr">
        <is>
          <t>主流市场报价</t>
        </is>
      </c>
      <c r="H272" s="23" t="inlineStr">
        <is>
          <t>打开原文</t>
        </is>
      </c>
    </row>
    <row r="273">
      <c r="A273" s="12" t="n">
        <v>267</v>
      </c>
      <c r="B273" s="13" t="n">
        <v>45636</v>
      </c>
      <c r="C273" s="14" t="n">
        <v>1450</v>
      </c>
      <c r="D273" s="14" t="n">
        <v>1600</v>
      </c>
      <c r="E273" s="15">
        <f>(C273+D273)/2</f>
        <v/>
      </c>
      <c r="F273" s="15">
        <f>D273-C273</f>
        <v/>
      </c>
      <c r="G273" s="16" t="inlineStr">
        <is>
          <t>主流市场报价</t>
        </is>
      </c>
      <c r="H273" s="17" t="inlineStr">
        <is>
          <t>打开原文</t>
        </is>
      </c>
    </row>
    <row r="274">
      <c r="A274" s="18" t="n">
        <v>268</v>
      </c>
      <c r="B274" s="19" t="n">
        <v>45637</v>
      </c>
      <c r="C274" s="20" t="n">
        <v>1450</v>
      </c>
      <c r="D274" s="20" t="n">
        <v>1600</v>
      </c>
      <c r="E274" s="21">
        <f>(C274+D274)/2</f>
        <v/>
      </c>
      <c r="F274" s="21">
        <f>D274-C274</f>
        <v/>
      </c>
      <c r="G274" s="22" t="inlineStr">
        <is>
          <t>主流市场报价</t>
        </is>
      </c>
      <c r="H274" s="23" t="inlineStr">
        <is>
          <t>打开原文</t>
        </is>
      </c>
    </row>
    <row r="275">
      <c r="A275" s="12" t="n">
        <v>269</v>
      </c>
      <c r="B275" s="13" t="n">
        <v>45638</v>
      </c>
      <c r="C275" s="14" t="n">
        <v>1450</v>
      </c>
      <c r="D275" s="14" t="n">
        <v>1600</v>
      </c>
      <c r="E275" s="15">
        <f>(C275+D275)/2</f>
        <v/>
      </c>
      <c r="F275" s="15">
        <f>D275-C275</f>
        <v/>
      </c>
      <c r="G275" s="16" t="inlineStr">
        <is>
          <t>主流市场报价</t>
        </is>
      </c>
      <c r="H275" s="17" t="inlineStr">
        <is>
          <t>打开原文</t>
        </is>
      </c>
    </row>
    <row r="276">
      <c r="A276" s="18" t="n">
        <v>270</v>
      </c>
      <c r="B276" s="19" t="n">
        <v>45639</v>
      </c>
      <c r="C276" s="20" t="n">
        <v>1450</v>
      </c>
      <c r="D276" s="20" t="n">
        <v>1600</v>
      </c>
      <c r="E276" s="21">
        <f>(C276+D276)/2</f>
        <v/>
      </c>
      <c r="F276" s="21">
        <f>D276-C276</f>
        <v/>
      </c>
      <c r="G276" s="22" t="inlineStr">
        <is>
          <t>主流市场报价</t>
        </is>
      </c>
      <c r="H276" s="23" t="inlineStr">
        <is>
          <t>打开原文</t>
        </is>
      </c>
    </row>
    <row r="277">
      <c r="A277" s="12" t="n">
        <v>271</v>
      </c>
      <c r="B277" s="13" t="n">
        <v>45642</v>
      </c>
      <c r="C277" s="14" t="n">
        <v>1450</v>
      </c>
      <c r="D277" s="14" t="n">
        <v>1600</v>
      </c>
      <c r="E277" s="15">
        <f>(C277+D277)/2</f>
        <v/>
      </c>
      <c r="F277" s="15">
        <f>D277-C277</f>
        <v/>
      </c>
      <c r="G277" s="16" t="inlineStr">
        <is>
          <t>主流市场报价</t>
        </is>
      </c>
      <c r="H277" s="17" t="inlineStr">
        <is>
          <t>打开原文</t>
        </is>
      </c>
    </row>
    <row r="278">
      <c r="A278" s="18" t="n">
        <v>272</v>
      </c>
      <c r="B278" s="19" t="n">
        <v>45643</v>
      </c>
      <c r="C278" s="20" t="n">
        <v>1450</v>
      </c>
      <c r="D278" s="20" t="n">
        <v>1600</v>
      </c>
      <c r="E278" s="21">
        <f>(C278+D278)/2</f>
        <v/>
      </c>
      <c r="F278" s="21">
        <f>D278-C278</f>
        <v/>
      </c>
      <c r="G278" s="22" t="inlineStr">
        <is>
          <t>主流市场报价</t>
        </is>
      </c>
      <c r="H278" s="23" t="inlineStr">
        <is>
          <t>打开原文</t>
        </is>
      </c>
    </row>
    <row r="279">
      <c r="A279" s="12" t="n">
        <v>273</v>
      </c>
      <c r="B279" s="13" t="n">
        <v>45644</v>
      </c>
      <c r="C279" s="14" t="n">
        <v>1450</v>
      </c>
      <c r="D279" s="14" t="n">
        <v>1600</v>
      </c>
      <c r="E279" s="15">
        <f>(C279+D279)/2</f>
        <v/>
      </c>
      <c r="F279" s="15">
        <f>D279-C279</f>
        <v/>
      </c>
      <c r="G279" s="16" t="inlineStr">
        <is>
          <t>主流市场报价</t>
        </is>
      </c>
      <c r="H279" s="17" t="inlineStr">
        <is>
          <t>打开原文</t>
        </is>
      </c>
    </row>
    <row r="280">
      <c r="A280" s="18" t="n">
        <v>274</v>
      </c>
      <c r="B280" s="19" t="n">
        <v>45645</v>
      </c>
      <c r="C280" s="20" t="n">
        <v>1450</v>
      </c>
      <c r="D280" s="20" t="n">
        <v>1600</v>
      </c>
      <c r="E280" s="21">
        <f>(C280+D280)/2</f>
        <v/>
      </c>
      <c r="F280" s="21">
        <f>D280-C280</f>
        <v/>
      </c>
      <c r="G280" s="22" t="inlineStr">
        <is>
          <t>主流市场报价</t>
        </is>
      </c>
      <c r="H280" s="23" t="inlineStr">
        <is>
          <t>打开原文</t>
        </is>
      </c>
    </row>
    <row r="281">
      <c r="A281" s="12" t="n">
        <v>275</v>
      </c>
      <c r="B281" s="13" t="n">
        <v>45646</v>
      </c>
      <c r="C281" s="14" t="n">
        <v>1450</v>
      </c>
      <c r="D281" s="14" t="n">
        <v>1600</v>
      </c>
      <c r="E281" s="15">
        <f>(C281+D281)/2</f>
        <v/>
      </c>
      <c r="F281" s="15">
        <f>D281-C281</f>
        <v/>
      </c>
      <c r="G281" s="16" t="inlineStr">
        <is>
          <t>主流市场报价</t>
        </is>
      </c>
      <c r="H281" s="17" t="inlineStr">
        <is>
          <t>打开原文</t>
        </is>
      </c>
    </row>
    <row r="282">
      <c r="A282" s="18" t="n">
        <v>276</v>
      </c>
      <c r="B282" s="19" t="n">
        <v>45649</v>
      </c>
      <c r="C282" s="20" t="n">
        <v>1450</v>
      </c>
      <c r="D282" s="20" t="n">
        <v>1600</v>
      </c>
      <c r="E282" s="21">
        <f>(C282+D282)/2</f>
        <v/>
      </c>
      <c r="F282" s="21">
        <f>D282-C282</f>
        <v/>
      </c>
      <c r="G282" s="22" t="inlineStr">
        <is>
          <t>主流市场报价</t>
        </is>
      </c>
      <c r="H282" s="23" t="inlineStr">
        <is>
          <t>打开原文</t>
        </is>
      </c>
    </row>
    <row r="283">
      <c r="A283" s="12" t="n">
        <v>277</v>
      </c>
      <c r="B283" s="13" t="n">
        <v>45650</v>
      </c>
      <c r="C283" s="14" t="n">
        <v>1450</v>
      </c>
      <c r="D283" s="14" t="n">
        <v>1600</v>
      </c>
      <c r="E283" s="15">
        <f>(C283+D283)/2</f>
        <v/>
      </c>
      <c r="F283" s="15">
        <f>D283-C283</f>
        <v/>
      </c>
      <c r="G283" s="16" t="inlineStr">
        <is>
          <t>主流市场报价</t>
        </is>
      </c>
      <c r="H283" s="17" t="inlineStr">
        <is>
          <t>打开原文</t>
        </is>
      </c>
    </row>
    <row r="284">
      <c r="A284" s="18" t="n">
        <v>278</v>
      </c>
      <c r="B284" s="19" t="n">
        <v>45651</v>
      </c>
      <c r="C284" s="20" t="n">
        <v>1450</v>
      </c>
      <c r="D284" s="20" t="n">
        <v>1600</v>
      </c>
      <c r="E284" s="21">
        <f>(C284+D284)/2</f>
        <v/>
      </c>
      <c r="F284" s="21">
        <f>D284-C284</f>
        <v/>
      </c>
      <c r="G284" s="22" t="inlineStr">
        <is>
          <t>主流市场报价</t>
        </is>
      </c>
      <c r="H284" s="23" t="inlineStr">
        <is>
          <t>打开原文</t>
        </is>
      </c>
    </row>
    <row r="285">
      <c r="A285" s="12" t="n">
        <v>279</v>
      </c>
      <c r="B285" s="13" t="n">
        <v>45652</v>
      </c>
      <c r="C285" s="14" t="n">
        <v>1450</v>
      </c>
      <c r="D285" s="14" t="n">
        <v>1600</v>
      </c>
      <c r="E285" s="15">
        <f>(C285+D285)/2</f>
        <v/>
      </c>
      <c r="F285" s="15">
        <f>D285-C285</f>
        <v/>
      </c>
      <c r="G285" s="16" t="inlineStr">
        <is>
          <t>主流市场报价</t>
        </is>
      </c>
      <c r="H285" s="17" t="inlineStr">
        <is>
          <t>打开原文</t>
        </is>
      </c>
    </row>
    <row r="286">
      <c r="A286" s="18" t="n">
        <v>280</v>
      </c>
      <c r="B286" s="19" t="n">
        <v>45653</v>
      </c>
      <c r="C286" s="20" t="n">
        <v>1450</v>
      </c>
      <c r="D286" s="20" t="n">
        <v>1600</v>
      </c>
      <c r="E286" s="21">
        <f>(C286+D286)/2</f>
        <v/>
      </c>
      <c r="F286" s="21">
        <f>D286-C286</f>
        <v/>
      </c>
      <c r="G286" s="22" t="inlineStr">
        <is>
          <t>主流市场报价</t>
        </is>
      </c>
      <c r="H286" s="23" t="inlineStr">
        <is>
          <t>打开原文</t>
        </is>
      </c>
    </row>
    <row r="287">
      <c r="A287" s="12" t="n">
        <v>281</v>
      </c>
      <c r="B287" s="13" t="n">
        <v>45657</v>
      </c>
      <c r="C287" s="14" t="n">
        <v>1450</v>
      </c>
      <c r="D287" s="14" t="n">
        <v>1600</v>
      </c>
      <c r="E287" s="15">
        <f>(C287+D287)/2</f>
        <v/>
      </c>
      <c r="F287" s="15">
        <f>D287-C287</f>
        <v/>
      </c>
      <c r="G287" s="16" t="inlineStr">
        <is>
          <t>主流市场报价</t>
        </is>
      </c>
      <c r="H287" s="17" t="inlineStr">
        <is>
          <t>打开原文</t>
        </is>
      </c>
    </row>
    <row r="288">
      <c r="A288" s="18" t="n">
        <v>282</v>
      </c>
      <c r="B288" s="19" t="n">
        <v>45659</v>
      </c>
      <c r="C288" s="20" t="n">
        <v>1450</v>
      </c>
      <c r="D288" s="20" t="n">
        <v>1550</v>
      </c>
      <c r="E288" s="21">
        <f>(C288+D288)/2</f>
        <v/>
      </c>
      <c r="F288" s="21">
        <f>D288-C288</f>
        <v/>
      </c>
      <c r="G288" s="22" t="inlineStr">
        <is>
          <t>主流市场报价</t>
        </is>
      </c>
      <c r="H288" s="23" t="inlineStr">
        <is>
          <t>打开原文</t>
        </is>
      </c>
    </row>
    <row r="289">
      <c r="A289" s="12" t="n">
        <v>283</v>
      </c>
      <c r="B289" s="13" t="n">
        <v>45660</v>
      </c>
      <c r="C289" s="14" t="n">
        <v>1450</v>
      </c>
      <c r="D289" s="14" t="n">
        <v>1550</v>
      </c>
      <c r="E289" s="15">
        <f>(C289+D289)/2</f>
        <v/>
      </c>
      <c r="F289" s="15">
        <f>D289-C289</f>
        <v/>
      </c>
      <c r="G289" s="16" t="inlineStr">
        <is>
          <t>主流市场报价</t>
        </is>
      </c>
      <c r="H289" s="17" t="inlineStr">
        <is>
          <t>打开原文</t>
        </is>
      </c>
    </row>
    <row r="290">
      <c r="A290" s="18" t="n">
        <v>284</v>
      </c>
      <c r="B290" s="19" t="n">
        <v>45663</v>
      </c>
      <c r="C290" s="20" t="n">
        <v>1420</v>
      </c>
      <c r="D290" s="20" t="n">
        <v>1550</v>
      </c>
      <c r="E290" s="21">
        <f>(C290+D290)/2</f>
        <v/>
      </c>
      <c r="F290" s="21">
        <f>D290-C290</f>
        <v/>
      </c>
      <c r="G290" s="22" t="inlineStr">
        <is>
          <t>主流市场报价</t>
        </is>
      </c>
      <c r="H290" s="23" t="inlineStr">
        <is>
          <t>打开原文</t>
        </is>
      </c>
    </row>
    <row r="291">
      <c r="A291" s="12" t="n">
        <v>285</v>
      </c>
      <c r="B291" s="13" t="n">
        <v>45664</v>
      </c>
      <c r="C291" s="14" t="n">
        <v>1400</v>
      </c>
      <c r="D291" s="14" t="n">
        <v>1550</v>
      </c>
      <c r="E291" s="15">
        <f>(C291+D291)/2</f>
        <v/>
      </c>
      <c r="F291" s="15">
        <f>D291-C291</f>
        <v/>
      </c>
      <c r="G291" s="16" t="inlineStr">
        <is>
          <t>主流市场报价</t>
        </is>
      </c>
      <c r="H291" s="17" t="inlineStr">
        <is>
          <t>打开原文</t>
        </is>
      </c>
    </row>
    <row r="292">
      <c r="A292" s="18" t="n">
        <v>286</v>
      </c>
      <c r="B292" s="19" t="n">
        <v>45665</v>
      </c>
      <c r="C292" s="20" t="n">
        <v>1400</v>
      </c>
      <c r="D292" s="20" t="n">
        <v>1550</v>
      </c>
      <c r="E292" s="21">
        <f>(C292+D292)/2</f>
        <v/>
      </c>
      <c r="F292" s="21">
        <f>D292-C292</f>
        <v/>
      </c>
      <c r="G292" s="22" t="inlineStr">
        <is>
          <t>主流市场报价</t>
        </is>
      </c>
      <c r="H292" s="23" t="inlineStr">
        <is>
          <t>打开原文</t>
        </is>
      </c>
    </row>
    <row r="293">
      <c r="A293" s="12" t="n">
        <v>287</v>
      </c>
      <c r="B293" s="13" t="n">
        <v>45666</v>
      </c>
      <c r="C293" s="14" t="n">
        <v>1400</v>
      </c>
      <c r="D293" s="14" t="n">
        <v>1550</v>
      </c>
      <c r="E293" s="15">
        <f>(C293+D293)/2</f>
        <v/>
      </c>
      <c r="F293" s="15">
        <f>D293-C293</f>
        <v/>
      </c>
      <c r="G293" s="16" t="inlineStr">
        <is>
          <t>主流市场报价</t>
        </is>
      </c>
      <c r="H293" s="17" t="inlineStr">
        <is>
          <t>打开原文</t>
        </is>
      </c>
    </row>
    <row r="294">
      <c r="A294" s="18" t="n">
        <v>288</v>
      </c>
      <c r="B294" s="19" t="n">
        <v>45667</v>
      </c>
      <c r="C294" s="20" t="n">
        <v>1400</v>
      </c>
      <c r="D294" s="20" t="n">
        <v>1550</v>
      </c>
      <c r="E294" s="21">
        <f>(C294+D294)/2</f>
        <v/>
      </c>
      <c r="F294" s="21">
        <f>D294-C294</f>
        <v/>
      </c>
      <c r="G294" s="22" t="inlineStr">
        <is>
          <t>主流市场报价</t>
        </is>
      </c>
      <c r="H294" s="23" t="inlineStr">
        <is>
          <t>打开原文</t>
        </is>
      </c>
    </row>
    <row r="295">
      <c r="A295" s="12" t="n">
        <v>289</v>
      </c>
      <c r="B295" s="13" t="n">
        <v>45670</v>
      </c>
      <c r="C295" s="14" t="n">
        <v>1380</v>
      </c>
      <c r="D295" s="14" t="n">
        <v>1500</v>
      </c>
      <c r="E295" s="15">
        <f>(C295+D295)/2</f>
        <v/>
      </c>
      <c r="F295" s="15">
        <f>D295-C295</f>
        <v/>
      </c>
      <c r="G295" s="16" t="inlineStr">
        <is>
          <t>主流市场报价</t>
        </is>
      </c>
      <c r="H295" s="17" t="inlineStr">
        <is>
          <t>打开原文</t>
        </is>
      </c>
    </row>
    <row r="296">
      <c r="A296" s="18" t="n">
        <v>290</v>
      </c>
      <c r="B296" s="19" t="n">
        <v>45671</v>
      </c>
      <c r="C296" s="20" t="n">
        <v>1380</v>
      </c>
      <c r="D296" s="20" t="n">
        <v>1500</v>
      </c>
      <c r="E296" s="21">
        <f>(C296+D296)/2</f>
        <v/>
      </c>
      <c r="F296" s="21">
        <f>D296-C296</f>
        <v/>
      </c>
      <c r="G296" s="22" t="inlineStr">
        <is>
          <t>主流市场报价</t>
        </is>
      </c>
      <c r="H296" s="23" t="inlineStr">
        <is>
          <t>打开原文</t>
        </is>
      </c>
    </row>
    <row r="297">
      <c r="A297" s="12" t="n">
        <v>291</v>
      </c>
      <c r="B297" s="13" t="n">
        <v>45672</v>
      </c>
      <c r="C297" s="14" t="n">
        <v>1380</v>
      </c>
      <c r="D297" s="14" t="n">
        <v>1500</v>
      </c>
      <c r="E297" s="15">
        <f>(C297+D297)/2</f>
        <v/>
      </c>
      <c r="F297" s="15">
        <f>D297-C297</f>
        <v/>
      </c>
      <c r="G297" s="16" t="inlineStr">
        <is>
          <t>主流市场报价</t>
        </is>
      </c>
      <c r="H297" s="17" t="inlineStr">
        <is>
          <t>打开原文</t>
        </is>
      </c>
    </row>
    <row r="298">
      <c r="A298" s="18" t="n">
        <v>292</v>
      </c>
      <c r="B298" s="19" t="n">
        <v>45673</v>
      </c>
      <c r="C298" s="20" t="n">
        <v>1380</v>
      </c>
      <c r="D298" s="20" t="n">
        <v>1500</v>
      </c>
      <c r="E298" s="21">
        <f>(C298+D298)/2</f>
        <v/>
      </c>
      <c r="F298" s="21">
        <f>D298-C298</f>
        <v/>
      </c>
      <c r="G298" s="22" t="inlineStr">
        <is>
          <t>主流市场报价</t>
        </is>
      </c>
      <c r="H298" s="23" t="inlineStr">
        <is>
          <t>打开原文</t>
        </is>
      </c>
    </row>
    <row r="299">
      <c r="A299" s="12" t="n">
        <v>293</v>
      </c>
      <c r="B299" s="13" t="n">
        <v>45674</v>
      </c>
      <c r="C299" s="14" t="n">
        <v>1380</v>
      </c>
      <c r="D299" s="14" t="n">
        <v>1500</v>
      </c>
      <c r="E299" s="15">
        <f>(C299+D299)/2</f>
        <v/>
      </c>
      <c r="F299" s="15">
        <f>D299-C299</f>
        <v/>
      </c>
      <c r="G299" s="16" t="inlineStr">
        <is>
          <t>主流市场报价</t>
        </is>
      </c>
      <c r="H299" s="17" t="inlineStr">
        <is>
          <t>打开原文</t>
        </is>
      </c>
    </row>
    <row r="300">
      <c r="A300" s="18" t="n">
        <v>294</v>
      </c>
      <c r="B300" s="19" t="n">
        <v>45677</v>
      </c>
      <c r="C300" s="20" t="n">
        <v>1380</v>
      </c>
      <c r="D300" s="20" t="n">
        <v>1500</v>
      </c>
      <c r="E300" s="21">
        <f>(C300+D300)/2</f>
        <v/>
      </c>
      <c r="F300" s="21">
        <f>D300-C300</f>
        <v/>
      </c>
      <c r="G300" s="22" t="inlineStr">
        <is>
          <t>主流市场报价</t>
        </is>
      </c>
      <c r="H300" s="23" t="inlineStr">
        <is>
          <t>打开原文</t>
        </is>
      </c>
    </row>
    <row r="301">
      <c r="A301" s="12" t="n">
        <v>295</v>
      </c>
      <c r="B301" s="13" t="n">
        <v>45678</v>
      </c>
      <c r="C301" s="14" t="n">
        <v>1380</v>
      </c>
      <c r="D301" s="14" t="n">
        <v>1500</v>
      </c>
      <c r="E301" s="15">
        <f>(C301+D301)/2</f>
        <v/>
      </c>
      <c r="F301" s="15">
        <f>D301-C301</f>
        <v/>
      </c>
      <c r="G301" s="16" t="inlineStr">
        <is>
          <t>主流市场报价</t>
        </is>
      </c>
      <c r="H301" s="17" t="inlineStr">
        <is>
          <t>打开原文</t>
        </is>
      </c>
    </row>
    <row r="302">
      <c r="A302" s="18" t="n">
        <v>296</v>
      </c>
      <c r="B302" s="19" t="n">
        <v>45679</v>
      </c>
      <c r="C302" s="20" t="n">
        <v>1380</v>
      </c>
      <c r="D302" s="20" t="n">
        <v>1500</v>
      </c>
      <c r="E302" s="21">
        <f>(C302+D302)/2</f>
        <v/>
      </c>
      <c r="F302" s="21">
        <f>D302-C302</f>
        <v/>
      </c>
      <c r="G302" s="22" t="inlineStr">
        <is>
          <t>主流市场报价</t>
        </is>
      </c>
      <c r="H302" s="23" t="inlineStr">
        <is>
          <t>打开原文</t>
        </is>
      </c>
    </row>
    <row r="303">
      <c r="A303" s="12" t="n">
        <v>297</v>
      </c>
      <c r="B303" s="13" t="n">
        <v>45680</v>
      </c>
      <c r="C303" s="14" t="n">
        <v>1380</v>
      </c>
      <c r="D303" s="14" t="n">
        <v>1500</v>
      </c>
      <c r="E303" s="15">
        <f>(C303+D303)/2</f>
        <v/>
      </c>
      <c r="F303" s="15">
        <f>D303-C303</f>
        <v/>
      </c>
      <c r="G303" s="16" t="inlineStr">
        <is>
          <t>主流市场报价</t>
        </is>
      </c>
      <c r="H303" s="17" t="inlineStr">
        <is>
          <t>打开原文</t>
        </is>
      </c>
    </row>
    <row r="304">
      <c r="A304" s="18" t="n">
        <v>298</v>
      </c>
      <c r="B304" s="19" t="n">
        <v>45681</v>
      </c>
      <c r="C304" s="20" t="n">
        <v>1380</v>
      </c>
      <c r="D304" s="20" t="n">
        <v>1500</v>
      </c>
      <c r="E304" s="21">
        <f>(C304+D304)/2</f>
        <v/>
      </c>
      <c r="F304" s="21">
        <f>D304-C304</f>
        <v/>
      </c>
      <c r="G304" s="22" t="inlineStr">
        <is>
          <t>主流市场报价</t>
        </is>
      </c>
      <c r="H304" s="23" t="inlineStr">
        <is>
          <t>打开原文</t>
        </is>
      </c>
    </row>
    <row r="305">
      <c r="A305" s="12" t="n">
        <v>299</v>
      </c>
      <c r="B305" s="13" t="n">
        <v>45682</v>
      </c>
      <c r="C305" s="14" t="n">
        <v>1380</v>
      </c>
      <c r="D305" s="14" t="n">
        <v>1500</v>
      </c>
      <c r="E305" s="15">
        <f>(C305+D305)/2</f>
        <v/>
      </c>
      <c r="F305" s="15">
        <f>D305-C305</f>
        <v/>
      </c>
      <c r="G305" s="16" t="inlineStr">
        <is>
          <t>主流市场报价</t>
        </is>
      </c>
      <c r="H305" s="17" t="inlineStr">
        <is>
          <t>打开原文</t>
        </is>
      </c>
    </row>
    <row r="306">
      <c r="A306" s="18" t="n">
        <v>300</v>
      </c>
      <c r="B306" s="19" t="n">
        <v>45694</v>
      </c>
      <c r="C306" s="20" t="n">
        <v>1350</v>
      </c>
      <c r="D306" s="20" t="n">
        <v>1500</v>
      </c>
      <c r="E306" s="21">
        <f>(C306+D306)/2</f>
        <v/>
      </c>
      <c r="F306" s="21">
        <f>D306-C306</f>
        <v/>
      </c>
      <c r="G306" s="22" t="inlineStr">
        <is>
          <t>主流市场报价</t>
        </is>
      </c>
      <c r="H306" s="23" t="inlineStr">
        <is>
          <t>打开原文</t>
        </is>
      </c>
    </row>
    <row r="307">
      <c r="A307" s="12" t="n">
        <v>301</v>
      </c>
      <c r="B307" s="13" t="n">
        <v>45695</v>
      </c>
      <c r="C307" s="14" t="n">
        <v>1350</v>
      </c>
      <c r="D307" s="14" t="n">
        <v>1500</v>
      </c>
      <c r="E307" s="15">
        <f>(C307+D307)/2</f>
        <v/>
      </c>
      <c r="F307" s="15">
        <f>D307-C307</f>
        <v/>
      </c>
      <c r="G307" s="16" t="inlineStr">
        <is>
          <t>主流市场报价</t>
        </is>
      </c>
      <c r="H307" s="17" t="inlineStr">
        <is>
          <t>打开原文</t>
        </is>
      </c>
    </row>
    <row r="308">
      <c r="A308" s="18" t="n">
        <v>302</v>
      </c>
      <c r="B308" s="19" t="n">
        <v>45696</v>
      </c>
      <c r="C308" s="20" t="n">
        <v>1350</v>
      </c>
      <c r="D308" s="20" t="n">
        <v>1500</v>
      </c>
      <c r="E308" s="21">
        <f>(C308+D308)/2</f>
        <v/>
      </c>
      <c r="F308" s="21">
        <f>D308-C308</f>
        <v/>
      </c>
      <c r="G308" s="22" t="inlineStr">
        <is>
          <t>主流市场报价</t>
        </is>
      </c>
      <c r="H308" s="23" t="inlineStr">
        <is>
          <t>打开原文</t>
        </is>
      </c>
    </row>
    <row r="309">
      <c r="A309" s="12" t="n">
        <v>303</v>
      </c>
      <c r="B309" s="13" t="n">
        <v>45698</v>
      </c>
      <c r="C309" s="14" t="n">
        <v>1320</v>
      </c>
      <c r="D309" s="14" t="n">
        <v>1500</v>
      </c>
      <c r="E309" s="15">
        <f>(C309+D309)/2</f>
        <v/>
      </c>
      <c r="F309" s="15">
        <f>D309-C309</f>
        <v/>
      </c>
      <c r="G309" s="16" t="inlineStr">
        <is>
          <t>主流市场报价</t>
        </is>
      </c>
      <c r="H309" s="17" t="inlineStr">
        <is>
          <t>打开原文</t>
        </is>
      </c>
    </row>
    <row r="310">
      <c r="A310" s="18" t="n">
        <v>304</v>
      </c>
      <c r="B310" s="19" t="n">
        <v>45699</v>
      </c>
      <c r="C310" s="20" t="n">
        <v>1320</v>
      </c>
      <c r="D310" s="20" t="n">
        <v>1500</v>
      </c>
      <c r="E310" s="21">
        <f>(C310+D310)/2</f>
        <v/>
      </c>
      <c r="F310" s="21">
        <f>D310-C310</f>
        <v/>
      </c>
      <c r="G310" s="22" t="inlineStr">
        <is>
          <t>主流市场报价</t>
        </is>
      </c>
      <c r="H310" s="23" t="inlineStr">
        <is>
          <t>打开原文</t>
        </is>
      </c>
    </row>
    <row r="311">
      <c r="A311" s="12" t="n">
        <v>305</v>
      </c>
      <c r="B311" s="13" t="n">
        <v>45700</v>
      </c>
      <c r="C311" s="14" t="n">
        <v>1320</v>
      </c>
      <c r="D311" s="14" t="n">
        <v>1500</v>
      </c>
      <c r="E311" s="15">
        <f>(C311+D311)/2</f>
        <v/>
      </c>
      <c r="F311" s="15">
        <f>D311-C311</f>
        <v/>
      </c>
      <c r="G311" s="16" t="inlineStr">
        <is>
          <t>主流市场报价</t>
        </is>
      </c>
      <c r="H311" s="17" t="inlineStr">
        <is>
          <t>打开原文</t>
        </is>
      </c>
    </row>
    <row r="312">
      <c r="A312" s="18" t="n">
        <v>306</v>
      </c>
      <c r="B312" s="19" t="n">
        <v>45701</v>
      </c>
      <c r="C312" s="20" t="n">
        <v>1320</v>
      </c>
      <c r="D312" s="20" t="n">
        <v>1500</v>
      </c>
      <c r="E312" s="21">
        <f>(C312+D312)/2</f>
        <v/>
      </c>
      <c r="F312" s="21">
        <f>D312-C312</f>
        <v/>
      </c>
      <c r="G312" s="22" t="inlineStr">
        <is>
          <t>主流市场报价</t>
        </is>
      </c>
      <c r="H312" s="23" t="inlineStr">
        <is>
          <t>打开原文</t>
        </is>
      </c>
    </row>
    <row r="313">
      <c r="A313" s="12" t="n">
        <v>307</v>
      </c>
      <c r="B313" s="13" t="n">
        <v>45702</v>
      </c>
      <c r="C313" s="14" t="n">
        <v>1320</v>
      </c>
      <c r="D313" s="14" t="n">
        <v>1500</v>
      </c>
      <c r="E313" s="15">
        <f>(C313+D313)/2</f>
        <v/>
      </c>
      <c r="F313" s="15">
        <f>D313-C313</f>
        <v/>
      </c>
      <c r="G313" s="16" t="inlineStr">
        <is>
          <t>主流市场报价</t>
        </is>
      </c>
      <c r="H313" s="17" t="inlineStr">
        <is>
          <t>打开原文</t>
        </is>
      </c>
    </row>
    <row r="314">
      <c r="A314" s="18" t="n">
        <v>308</v>
      </c>
      <c r="B314" s="19" t="n">
        <v>45705</v>
      </c>
      <c r="C314" s="20" t="n">
        <v>1320</v>
      </c>
      <c r="D314" s="20" t="n">
        <v>1500</v>
      </c>
      <c r="E314" s="21">
        <f>(C314+D314)/2</f>
        <v/>
      </c>
      <c r="F314" s="21">
        <f>D314-C314</f>
        <v/>
      </c>
      <c r="G314" s="22" t="inlineStr">
        <is>
          <t>主流市场报价</t>
        </is>
      </c>
      <c r="H314" s="23" t="inlineStr">
        <is>
          <t>打开原文</t>
        </is>
      </c>
    </row>
    <row r="315">
      <c r="A315" s="12" t="n">
        <v>309</v>
      </c>
      <c r="B315" s="13" t="n">
        <v>45707</v>
      </c>
      <c r="C315" s="14" t="n">
        <v>1320</v>
      </c>
      <c r="D315" s="14" t="n">
        <v>1500</v>
      </c>
      <c r="E315" s="15">
        <f>(C315+D315)/2</f>
        <v/>
      </c>
      <c r="F315" s="15">
        <f>D315-C315</f>
        <v/>
      </c>
      <c r="G315" s="16" t="inlineStr">
        <is>
          <t>主流市场报价</t>
        </is>
      </c>
      <c r="H315" s="17" t="inlineStr">
        <is>
          <t>打开原文</t>
        </is>
      </c>
    </row>
    <row r="316">
      <c r="A316" s="18" t="n">
        <v>310</v>
      </c>
      <c r="B316" s="19" t="n">
        <v>45708</v>
      </c>
      <c r="C316" s="20" t="n">
        <v>1320</v>
      </c>
      <c r="D316" s="20" t="n">
        <v>1500</v>
      </c>
      <c r="E316" s="21">
        <f>(C316+D316)/2</f>
        <v/>
      </c>
      <c r="F316" s="21">
        <f>D316-C316</f>
        <v/>
      </c>
      <c r="G316" s="22" t="inlineStr">
        <is>
          <t>主流市场报价</t>
        </is>
      </c>
      <c r="H316" s="23" t="inlineStr">
        <is>
          <t>打开原文</t>
        </is>
      </c>
    </row>
    <row r="317">
      <c r="A317" s="12" t="n">
        <v>311</v>
      </c>
      <c r="B317" s="13" t="n">
        <v>45709</v>
      </c>
      <c r="C317" s="14" t="n">
        <v>1320</v>
      </c>
      <c r="D317" s="14" t="n">
        <v>1500</v>
      </c>
      <c r="E317" s="15">
        <f>(C317+D317)/2</f>
        <v/>
      </c>
      <c r="F317" s="15">
        <f>D317-C317</f>
        <v/>
      </c>
      <c r="G317" s="16" t="inlineStr">
        <is>
          <t>主流市场报价</t>
        </is>
      </c>
      <c r="H317" s="17" t="inlineStr">
        <is>
          <t>打开原文</t>
        </is>
      </c>
    </row>
    <row r="318">
      <c r="A318" s="18" t="n">
        <v>312</v>
      </c>
      <c r="B318" s="19" t="n">
        <v>45712</v>
      </c>
      <c r="C318" s="20" t="n">
        <v>1320</v>
      </c>
      <c r="D318" s="20" t="n">
        <v>1500</v>
      </c>
      <c r="E318" s="21">
        <f>(C318+D318)/2</f>
        <v/>
      </c>
      <c r="F318" s="21">
        <f>D318-C318</f>
        <v/>
      </c>
      <c r="G318" s="22" t="inlineStr">
        <is>
          <t>主流市场报价</t>
        </is>
      </c>
      <c r="H318" s="23" t="inlineStr">
        <is>
          <t>打开原文</t>
        </is>
      </c>
    </row>
    <row r="319">
      <c r="A319" s="12" t="n">
        <v>313</v>
      </c>
      <c r="B319" s="13" t="n">
        <v>45713</v>
      </c>
      <c r="C319" s="14" t="n">
        <v>1320</v>
      </c>
      <c r="D319" s="14" t="n">
        <v>1500</v>
      </c>
      <c r="E319" s="15">
        <f>(C319+D319)/2</f>
        <v/>
      </c>
      <c r="F319" s="15">
        <f>D319-C319</f>
        <v/>
      </c>
      <c r="G319" s="16" t="inlineStr">
        <is>
          <t>主流市场报价</t>
        </is>
      </c>
      <c r="H319" s="17" t="inlineStr">
        <is>
          <t>打开原文</t>
        </is>
      </c>
    </row>
    <row r="320">
      <c r="A320" s="18" t="n">
        <v>314</v>
      </c>
      <c r="B320" s="19" t="n">
        <v>45714</v>
      </c>
      <c r="C320" s="20" t="n">
        <v>1320</v>
      </c>
      <c r="D320" s="20" t="n">
        <v>1500</v>
      </c>
      <c r="E320" s="21">
        <f>(C320+D320)/2</f>
        <v/>
      </c>
      <c r="F320" s="21">
        <f>D320-C320</f>
        <v/>
      </c>
      <c r="G320" s="22" t="inlineStr">
        <is>
          <t>主流市场报价</t>
        </is>
      </c>
      <c r="H320" s="23" t="inlineStr">
        <is>
          <t>打开原文</t>
        </is>
      </c>
    </row>
    <row r="321">
      <c r="A321" s="12" t="n">
        <v>315</v>
      </c>
      <c r="B321" s="13" t="n">
        <v>45716</v>
      </c>
      <c r="C321" s="14" t="n">
        <v>1480</v>
      </c>
      <c r="D321" s="14" t="n">
        <v>1550</v>
      </c>
      <c r="E321" s="15">
        <f>(C321+D321)/2</f>
        <v/>
      </c>
      <c r="F321" s="15">
        <f>D321-C321</f>
        <v/>
      </c>
      <c r="G321" s="16" t="inlineStr">
        <is>
          <t>主流市场报价</t>
        </is>
      </c>
      <c r="H321" s="17" t="inlineStr">
        <is>
          <t>打开原文</t>
        </is>
      </c>
    </row>
    <row r="322">
      <c r="A322" s="18" t="n">
        <v>316</v>
      </c>
      <c r="B322" s="19" t="n">
        <v>45719</v>
      </c>
      <c r="C322" s="20" t="n">
        <v>1480</v>
      </c>
      <c r="D322" s="20" t="n">
        <v>1550</v>
      </c>
      <c r="E322" s="21">
        <f>(C322+D322)/2</f>
        <v/>
      </c>
      <c r="F322" s="21">
        <f>D322-C322</f>
        <v/>
      </c>
      <c r="G322" s="22" t="inlineStr">
        <is>
          <t>主流市场报价</t>
        </is>
      </c>
      <c r="H322" s="23" t="inlineStr">
        <is>
          <t>打开原文</t>
        </is>
      </c>
    </row>
    <row r="323">
      <c r="A323" s="12" t="n">
        <v>317</v>
      </c>
      <c r="B323" s="13" t="n">
        <v>45720</v>
      </c>
      <c r="C323" s="14" t="n">
        <v>1480</v>
      </c>
      <c r="D323" s="14" t="n">
        <v>1550</v>
      </c>
      <c r="E323" s="15">
        <f>(C323+D323)/2</f>
        <v/>
      </c>
      <c r="F323" s="15">
        <f>D323-C323</f>
        <v/>
      </c>
      <c r="G323" s="16" t="inlineStr">
        <is>
          <t>主流市场报价</t>
        </is>
      </c>
      <c r="H323" s="17" t="inlineStr">
        <is>
          <t>打开原文</t>
        </is>
      </c>
    </row>
    <row r="324">
      <c r="A324" s="18" t="n">
        <v>318</v>
      </c>
      <c r="B324" s="19" t="n">
        <v>45721</v>
      </c>
      <c r="C324" s="20" t="n">
        <v>1480</v>
      </c>
      <c r="D324" s="20" t="n">
        <v>1550</v>
      </c>
      <c r="E324" s="21">
        <f>(C324+D324)/2</f>
        <v/>
      </c>
      <c r="F324" s="21">
        <f>D324-C324</f>
        <v/>
      </c>
      <c r="G324" s="22" t="inlineStr">
        <is>
          <t>主流市场报价</t>
        </is>
      </c>
      <c r="H324" s="23" t="inlineStr">
        <is>
          <t>打开原文</t>
        </is>
      </c>
    </row>
    <row r="325">
      <c r="A325" s="12" t="n">
        <v>319</v>
      </c>
      <c r="B325" s="13" t="n">
        <v>45722</v>
      </c>
      <c r="C325" s="14" t="n">
        <v>1480</v>
      </c>
      <c r="D325" s="14" t="n">
        <v>1550</v>
      </c>
      <c r="E325" s="15">
        <f>(C325+D325)/2</f>
        <v/>
      </c>
      <c r="F325" s="15">
        <f>D325-C325</f>
        <v/>
      </c>
      <c r="G325" s="16" t="inlineStr">
        <is>
          <t>主流市场报价</t>
        </is>
      </c>
      <c r="H325" s="17" t="inlineStr">
        <is>
          <t>打开原文</t>
        </is>
      </c>
    </row>
    <row r="326">
      <c r="A326" s="18" t="n">
        <v>320</v>
      </c>
      <c r="B326" s="19" t="n">
        <v>45723</v>
      </c>
      <c r="C326" s="20" t="n">
        <v>1480</v>
      </c>
      <c r="D326" s="20" t="n">
        <v>1550</v>
      </c>
      <c r="E326" s="21">
        <f>(C326+D326)/2</f>
        <v/>
      </c>
      <c r="F326" s="21">
        <f>D326-C326</f>
        <v/>
      </c>
      <c r="G326" s="22" t="inlineStr">
        <is>
          <t>主流市场报价</t>
        </is>
      </c>
      <c r="H326" s="23" t="inlineStr">
        <is>
          <t>打开原文</t>
        </is>
      </c>
    </row>
    <row r="327">
      <c r="A327" s="12" t="n">
        <v>321</v>
      </c>
      <c r="B327" s="13" t="n">
        <v>45726</v>
      </c>
      <c r="C327" s="14" t="n">
        <v>1450</v>
      </c>
      <c r="D327" s="14" t="n">
        <v>1550</v>
      </c>
      <c r="E327" s="15">
        <f>(C327+D327)/2</f>
        <v/>
      </c>
      <c r="F327" s="15">
        <f>D327-C327</f>
        <v/>
      </c>
      <c r="G327" s="16" t="inlineStr">
        <is>
          <t>主流市场报价</t>
        </is>
      </c>
      <c r="H327" s="17" t="inlineStr">
        <is>
          <t>打开原文</t>
        </is>
      </c>
    </row>
    <row r="328">
      <c r="A328" s="18" t="n">
        <v>322</v>
      </c>
      <c r="B328" s="19" t="n">
        <v>45727</v>
      </c>
      <c r="C328" s="20" t="n">
        <v>1450</v>
      </c>
      <c r="D328" s="20" t="n">
        <v>1550</v>
      </c>
      <c r="E328" s="21">
        <f>(C328+D328)/2</f>
        <v/>
      </c>
      <c r="F328" s="21">
        <f>D328-C328</f>
        <v/>
      </c>
      <c r="G328" s="22" t="inlineStr">
        <is>
          <t>主流市场报价</t>
        </is>
      </c>
      <c r="H328" s="23" t="inlineStr">
        <is>
          <t>打开原文</t>
        </is>
      </c>
    </row>
    <row r="329">
      <c r="A329" s="12" t="n">
        <v>323</v>
      </c>
      <c r="B329" s="13" t="n">
        <v>45728</v>
      </c>
      <c r="C329" s="14" t="n">
        <v>1450</v>
      </c>
      <c r="D329" s="14" t="n">
        <v>1550</v>
      </c>
      <c r="E329" s="15">
        <f>(C329+D329)/2</f>
        <v/>
      </c>
      <c r="F329" s="15">
        <f>D329-C329</f>
        <v/>
      </c>
      <c r="G329" s="16" t="inlineStr">
        <is>
          <t>主流市场报价</t>
        </is>
      </c>
      <c r="H329" s="17" t="inlineStr">
        <is>
          <t>打开原文</t>
        </is>
      </c>
    </row>
    <row r="330">
      <c r="A330" s="18" t="n">
        <v>324</v>
      </c>
      <c r="B330" s="19" t="n">
        <v>45729</v>
      </c>
      <c r="C330" s="20" t="n">
        <v>1420</v>
      </c>
      <c r="D330" s="20" t="n">
        <v>1550</v>
      </c>
      <c r="E330" s="21">
        <f>(C330+D330)/2</f>
        <v/>
      </c>
      <c r="F330" s="21">
        <f>D330-C330</f>
        <v/>
      </c>
      <c r="G330" s="22" t="inlineStr">
        <is>
          <t>主流市场报价</t>
        </is>
      </c>
      <c r="H330" s="23" t="inlineStr">
        <is>
          <t>打开原文</t>
        </is>
      </c>
    </row>
    <row r="331">
      <c r="A331" s="12" t="n">
        <v>325</v>
      </c>
      <c r="B331" s="13" t="n">
        <v>45730</v>
      </c>
      <c r="C331" s="14" t="n">
        <v>1420</v>
      </c>
      <c r="D331" s="14" t="n">
        <v>1550</v>
      </c>
      <c r="E331" s="15">
        <f>(C331+D331)/2</f>
        <v/>
      </c>
      <c r="F331" s="15">
        <f>D331-C331</f>
        <v/>
      </c>
      <c r="G331" s="16" t="inlineStr">
        <is>
          <t>主流市场报价</t>
        </is>
      </c>
      <c r="H331" s="17" t="inlineStr">
        <is>
          <t>打开原文</t>
        </is>
      </c>
    </row>
    <row r="332">
      <c r="A332" s="18" t="n">
        <v>326</v>
      </c>
      <c r="B332" s="19" t="n">
        <v>45734</v>
      </c>
      <c r="C332" s="20" t="n">
        <v>1350</v>
      </c>
      <c r="D332" s="20" t="n">
        <v>1550</v>
      </c>
      <c r="E332" s="21">
        <f>(C332+D332)/2</f>
        <v/>
      </c>
      <c r="F332" s="21">
        <f>D332-C332</f>
        <v/>
      </c>
      <c r="G332" s="22" t="inlineStr">
        <is>
          <t>主流市场报价</t>
        </is>
      </c>
      <c r="H332" s="23" t="inlineStr">
        <is>
          <t>打开原文</t>
        </is>
      </c>
    </row>
    <row r="333">
      <c r="A333" s="12" t="n">
        <v>327</v>
      </c>
      <c r="B333" s="13" t="n">
        <v>45735</v>
      </c>
      <c r="C333" s="14" t="n">
        <v>1350</v>
      </c>
      <c r="D333" s="14" t="n">
        <v>1550</v>
      </c>
      <c r="E333" s="15">
        <f>(C333+D333)/2</f>
        <v/>
      </c>
      <c r="F333" s="15">
        <f>D333-C333</f>
        <v/>
      </c>
      <c r="G333" s="16" t="inlineStr">
        <is>
          <t>主流市场报价</t>
        </is>
      </c>
      <c r="H333" s="17" t="inlineStr">
        <is>
          <t>打开原文</t>
        </is>
      </c>
    </row>
    <row r="334">
      <c r="A334" s="18" t="n">
        <v>328</v>
      </c>
      <c r="B334" s="19" t="n">
        <v>45736</v>
      </c>
      <c r="C334" s="20" t="n">
        <v>1350</v>
      </c>
      <c r="D334" s="20" t="n">
        <v>1550</v>
      </c>
      <c r="E334" s="21">
        <f>(C334+D334)/2</f>
        <v/>
      </c>
      <c r="F334" s="21">
        <f>D334-C334</f>
        <v/>
      </c>
      <c r="G334" s="22" t="inlineStr">
        <is>
          <t>主流市场报价</t>
        </is>
      </c>
      <c r="H334" s="23" t="inlineStr">
        <is>
          <t>打开原文</t>
        </is>
      </c>
    </row>
    <row r="335">
      <c r="A335" s="12" t="n">
        <v>329</v>
      </c>
      <c r="B335" s="13" t="n">
        <v>45737</v>
      </c>
      <c r="C335" s="14" t="n">
        <v>1350</v>
      </c>
      <c r="D335" s="14" t="n">
        <v>1550</v>
      </c>
      <c r="E335" s="15">
        <f>(C335+D335)/2</f>
        <v/>
      </c>
      <c r="F335" s="15">
        <f>D335-C335</f>
        <v/>
      </c>
      <c r="G335" s="16" t="inlineStr">
        <is>
          <t>主流市场报价</t>
        </is>
      </c>
      <c r="H335" s="17" t="inlineStr">
        <is>
          <t>打开原文</t>
        </is>
      </c>
    </row>
    <row r="336">
      <c r="A336" s="18" t="n">
        <v>330</v>
      </c>
      <c r="B336" s="19" t="n">
        <v>45741</v>
      </c>
      <c r="C336" s="20" t="n">
        <v>1350</v>
      </c>
      <c r="D336" s="20" t="n">
        <v>1550</v>
      </c>
      <c r="E336" s="21">
        <f>(C336+D336)/2</f>
        <v/>
      </c>
      <c r="F336" s="21">
        <f>D336-C336</f>
        <v/>
      </c>
      <c r="G336" s="22" t="inlineStr">
        <is>
          <t>主流市场报价</t>
        </is>
      </c>
      <c r="H336" s="23" t="inlineStr">
        <is>
          <t>打开原文</t>
        </is>
      </c>
    </row>
    <row r="337">
      <c r="A337" s="12" t="n">
        <v>331</v>
      </c>
      <c r="B337" s="13" t="n">
        <v>45742</v>
      </c>
      <c r="C337" s="14" t="n">
        <v>1350</v>
      </c>
      <c r="D337" s="14" t="n">
        <v>1550</v>
      </c>
      <c r="E337" s="15">
        <f>(C337+D337)/2</f>
        <v/>
      </c>
      <c r="F337" s="15">
        <f>D337-C337</f>
        <v/>
      </c>
      <c r="G337" s="16" t="inlineStr">
        <is>
          <t>主流市场报价</t>
        </is>
      </c>
      <c r="H337" s="17" t="inlineStr">
        <is>
          <t>打开原文</t>
        </is>
      </c>
    </row>
    <row r="338">
      <c r="A338" s="18" t="n">
        <v>332</v>
      </c>
      <c r="B338" s="19" t="n">
        <v>45743</v>
      </c>
      <c r="C338" s="20" t="n">
        <v>1350</v>
      </c>
      <c r="D338" s="20" t="n">
        <v>1550</v>
      </c>
      <c r="E338" s="21">
        <f>(C338+D338)/2</f>
        <v/>
      </c>
      <c r="F338" s="21">
        <f>D338-C338</f>
        <v/>
      </c>
      <c r="G338" s="22" t="inlineStr">
        <is>
          <t>主流市场报价</t>
        </is>
      </c>
      <c r="H338" s="23" t="inlineStr">
        <is>
          <t>打开原文</t>
        </is>
      </c>
    </row>
    <row r="339">
      <c r="A339" s="12" t="n">
        <v>333</v>
      </c>
      <c r="B339" s="13" t="n">
        <v>45744</v>
      </c>
      <c r="C339" s="14" t="n">
        <v>1350</v>
      </c>
      <c r="D339" s="14" t="n">
        <v>1550</v>
      </c>
      <c r="E339" s="15">
        <f>(C339+D339)/2</f>
        <v/>
      </c>
      <c r="F339" s="15">
        <f>D339-C339</f>
        <v/>
      </c>
      <c r="G339" s="16" t="inlineStr">
        <is>
          <t>主流市场报价</t>
        </is>
      </c>
      <c r="H339" s="17" t="inlineStr">
        <is>
          <t>打开原文</t>
        </is>
      </c>
    </row>
    <row r="340">
      <c r="A340" s="18" t="n">
        <v>334</v>
      </c>
      <c r="B340" s="19" t="n">
        <v>45749</v>
      </c>
      <c r="C340" s="20" t="n">
        <v>1330</v>
      </c>
      <c r="D340" s="20" t="n">
        <v>1500</v>
      </c>
      <c r="E340" s="21">
        <f>(C340+D340)/2</f>
        <v/>
      </c>
      <c r="F340" s="21">
        <f>D340-C340</f>
        <v/>
      </c>
      <c r="G340" s="22" t="inlineStr">
        <is>
          <t>主流市场报价</t>
        </is>
      </c>
      <c r="H340" s="23" t="inlineStr">
        <is>
          <t>打开原文</t>
        </is>
      </c>
    </row>
    <row r="341">
      <c r="A341" s="12" t="n">
        <v>335</v>
      </c>
      <c r="B341" s="13" t="n">
        <v>45750</v>
      </c>
      <c r="C341" s="14" t="n">
        <v>1320</v>
      </c>
      <c r="D341" s="14" t="n">
        <v>1500</v>
      </c>
      <c r="E341" s="15">
        <f>(C341+D341)/2</f>
        <v/>
      </c>
      <c r="F341" s="15">
        <f>D341-C341</f>
        <v/>
      </c>
      <c r="G341" s="16" t="inlineStr">
        <is>
          <t>主流市场报价</t>
        </is>
      </c>
      <c r="H341" s="17" t="inlineStr">
        <is>
          <t>打开原文</t>
        </is>
      </c>
    </row>
    <row r="342">
      <c r="A342" s="18" t="n">
        <v>336</v>
      </c>
      <c r="B342" s="19" t="n">
        <v>45755</v>
      </c>
      <c r="C342" s="20" t="n">
        <v>1320</v>
      </c>
      <c r="D342" s="20" t="n">
        <v>1500</v>
      </c>
      <c r="E342" s="21">
        <f>(C342+D342)/2</f>
        <v/>
      </c>
      <c r="F342" s="21">
        <f>D342-C342</f>
        <v/>
      </c>
      <c r="G342" s="22" t="inlineStr">
        <is>
          <t>主流市场报价</t>
        </is>
      </c>
      <c r="H342" s="23" t="inlineStr">
        <is>
          <t>打开原文</t>
        </is>
      </c>
    </row>
    <row r="343">
      <c r="A343" s="12" t="n">
        <v>337</v>
      </c>
      <c r="B343" s="13" t="n">
        <v>45758</v>
      </c>
      <c r="C343" s="14" t="n">
        <v>1320</v>
      </c>
      <c r="D343" s="14" t="n">
        <v>1500</v>
      </c>
      <c r="E343" s="15">
        <f>(C343+D343)/2</f>
        <v/>
      </c>
      <c r="F343" s="15">
        <f>D343-C343</f>
        <v/>
      </c>
      <c r="G343" s="16" t="inlineStr">
        <is>
          <t>主流市场报价</t>
        </is>
      </c>
      <c r="H343" s="17" t="inlineStr">
        <is>
          <t>打开原文</t>
        </is>
      </c>
    </row>
    <row r="344">
      <c r="A344" s="18" t="n">
        <v>338</v>
      </c>
      <c r="B344" s="19" t="n">
        <v>45762</v>
      </c>
      <c r="C344" s="20" t="n">
        <v>1280</v>
      </c>
      <c r="D344" s="20" t="n">
        <v>1500</v>
      </c>
      <c r="E344" s="21">
        <f>(C344+D344)/2</f>
        <v/>
      </c>
      <c r="F344" s="21">
        <f>D344-C344</f>
        <v/>
      </c>
      <c r="G344" s="22" t="inlineStr">
        <is>
          <t>主流市场报价</t>
        </is>
      </c>
      <c r="H344" s="23" t="inlineStr">
        <is>
          <t>打开原文</t>
        </is>
      </c>
    </row>
    <row r="345">
      <c r="A345" s="12" t="n">
        <v>339</v>
      </c>
      <c r="B345" s="13" t="n">
        <v>45763</v>
      </c>
      <c r="C345" s="14" t="n">
        <v>1280</v>
      </c>
      <c r="D345" s="14" t="n">
        <v>1500</v>
      </c>
      <c r="E345" s="15">
        <f>(C345+D345)/2</f>
        <v/>
      </c>
      <c r="F345" s="15">
        <f>D345-C345</f>
        <v/>
      </c>
      <c r="G345" s="16" t="inlineStr">
        <is>
          <t>主流市场报价</t>
        </is>
      </c>
      <c r="H345" s="17" t="inlineStr">
        <is>
          <t>打开原文</t>
        </is>
      </c>
    </row>
    <row r="346">
      <c r="A346" s="18" t="n">
        <v>340</v>
      </c>
      <c r="B346" s="19" t="n">
        <v>45764</v>
      </c>
      <c r="C346" s="20" t="n">
        <v>1280</v>
      </c>
      <c r="D346" s="20" t="n">
        <v>1500</v>
      </c>
      <c r="E346" s="21">
        <f>(C346+D346)/2</f>
        <v/>
      </c>
      <c r="F346" s="21">
        <f>D346-C346</f>
        <v/>
      </c>
      <c r="G346" s="22" t="inlineStr">
        <is>
          <t>主流市场报价</t>
        </is>
      </c>
      <c r="H346" s="23" t="inlineStr">
        <is>
          <t>打开原文</t>
        </is>
      </c>
    </row>
    <row r="347">
      <c r="A347" s="12" t="n">
        <v>341</v>
      </c>
      <c r="B347" s="13" t="n">
        <v>45765</v>
      </c>
      <c r="C347" s="14" t="n">
        <v>1280</v>
      </c>
      <c r="D347" s="14" t="n">
        <v>1500</v>
      </c>
      <c r="E347" s="15">
        <f>(C347+D347)/2</f>
        <v/>
      </c>
      <c r="F347" s="15">
        <f>D347-C347</f>
        <v/>
      </c>
      <c r="G347" s="16" t="inlineStr">
        <is>
          <t>主流市场报价</t>
        </is>
      </c>
      <c r="H347" s="17" t="inlineStr">
        <is>
          <t>打开原文</t>
        </is>
      </c>
    </row>
    <row r="348">
      <c r="A348" s="18" t="n">
        <v>342</v>
      </c>
      <c r="B348" s="19" t="n">
        <v>45769</v>
      </c>
      <c r="C348" s="20" t="n">
        <v>1280</v>
      </c>
      <c r="D348" s="20" t="n">
        <v>1500</v>
      </c>
      <c r="E348" s="21">
        <f>(C348+D348)/2</f>
        <v/>
      </c>
      <c r="F348" s="21">
        <f>D348-C348</f>
        <v/>
      </c>
      <c r="G348" s="22" t="inlineStr">
        <is>
          <t>主流市场报价</t>
        </is>
      </c>
      <c r="H348" s="23" t="inlineStr">
        <is>
          <t>打开原文</t>
        </is>
      </c>
    </row>
    <row r="349">
      <c r="A349" s="12" t="n">
        <v>343</v>
      </c>
      <c r="B349" s="13" t="n">
        <v>45771</v>
      </c>
      <c r="C349" s="14" t="n">
        <v>1280</v>
      </c>
      <c r="D349" s="14" t="n">
        <v>1500</v>
      </c>
      <c r="E349" s="15">
        <f>(C349+D349)/2</f>
        <v/>
      </c>
      <c r="F349" s="15">
        <f>D349-C349</f>
        <v/>
      </c>
      <c r="G349" s="16" t="inlineStr">
        <is>
          <t>主流市场报价</t>
        </is>
      </c>
      <c r="H349" s="17" t="inlineStr">
        <is>
          <t>打开原文</t>
        </is>
      </c>
    </row>
    <row r="350">
      <c r="A350" s="18" t="n">
        <v>344</v>
      </c>
      <c r="B350" s="19" t="n">
        <v>45772</v>
      </c>
      <c r="C350" s="20" t="n">
        <v>1280</v>
      </c>
      <c r="D350" s="20" t="n">
        <v>1500</v>
      </c>
      <c r="E350" s="21">
        <f>(C350+D350)/2</f>
        <v/>
      </c>
      <c r="F350" s="21">
        <f>D350-C350</f>
        <v/>
      </c>
      <c r="G350" s="22" t="inlineStr">
        <is>
          <t>主流市场报价</t>
        </is>
      </c>
      <c r="H350" s="23" t="inlineStr">
        <is>
          <t>打开原文</t>
        </is>
      </c>
    </row>
    <row r="351">
      <c r="A351" s="12" t="n">
        <v>345</v>
      </c>
      <c r="B351" s="13" t="n">
        <v>45774</v>
      </c>
      <c r="C351" s="14" t="n">
        <v>1280</v>
      </c>
      <c r="D351" s="14" t="n">
        <v>1500</v>
      </c>
      <c r="E351" s="15">
        <f>(C351+D351)/2</f>
        <v/>
      </c>
      <c r="F351" s="15">
        <f>D351-C351</f>
        <v/>
      </c>
      <c r="G351" s="16" t="inlineStr">
        <is>
          <t>主流市场报价</t>
        </is>
      </c>
      <c r="H351" s="17" t="inlineStr">
        <is>
          <t>打开原文</t>
        </is>
      </c>
    </row>
    <row r="352">
      <c r="A352" s="18" t="n">
        <v>346</v>
      </c>
      <c r="B352" s="19" t="n">
        <v>45775</v>
      </c>
      <c r="C352" s="20" t="n">
        <v>1300</v>
      </c>
      <c r="D352" s="20" t="n">
        <v>1500</v>
      </c>
      <c r="E352" s="21">
        <f>(C352+D352)/2</f>
        <v/>
      </c>
      <c r="F352" s="21">
        <f>D352-C352</f>
        <v/>
      </c>
      <c r="G352" s="22" t="inlineStr">
        <is>
          <t>主流市场报价</t>
        </is>
      </c>
      <c r="H352" s="23" t="inlineStr">
        <is>
          <t>打开原文</t>
        </is>
      </c>
    </row>
    <row r="353">
      <c r="A353" s="12" t="n">
        <v>347</v>
      </c>
      <c r="B353" s="13" t="n">
        <v>45776</v>
      </c>
      <c r="C353" s="14" t="n">
        <v>1300</v>
      </c>
      <c r="D353" s="14" t="n">
        <v>1500</v>
      </c>
      <c r="E353" s="15">
        <f>(C353+D353)/2</f>
        <v/>
      </c>
      <c r="F353" s="15">
        <f>D353-C353</f>
        <v/>
      </c>
      <c r="G353" s="16" t="inlineStr">
        <is>
          <t>主流市场报价</t>
        </is>
      </c>
      <c r="H353" s="17" t="inlineStr">
        <is>
          <t>打开原文</t>
        </is>
      </c>
    </row>
    <row r="354">
      <c r="A354" s="18" t="n">
        <v>348</v>
      </c>
      <c r="B354" s="19" t="n">
        <v>45777</v>
      </c>
      <c r="C354" s="20" t="n">
        <v>1300</v>
      </c>
      <c r="D354" s="20" t="n">
        <v>1500</v>
      </c>
      <c r="E354" s="21">
        <f>(C354+D354)/2</f>
        <v/>
      </c>
      <c r="F354" s="21">
        <f>D354-C354</f>
        <v/>
      </c>
      <c r="G354" s="22" t="inlineStr">
        <is>
          <t>主流市场报价</t>
        </is>
      </c>
      <c r="H354" s="23" t="inlineStr">
        <is>
          <t>打开原文</t>
        </is>
      </c>
    </row>
    <row r="355">
      <c r="A355" s="12" t="n">
        <v>349</v>
      </c>
      <c r="B355" s="13" t="n">
        <v>45784</v>
      </c>
      <c r="C355" s="14" t="n">
        <v>1300</v>
      </c>
      <c r="D355" s="14" t="n">
        <v>1500</v>
      </c>
      <c r="E355" s="15">
        <f>(C355+D355)/2</f>
        <v/>
      </c>
      <c r="F355" s="15">
        <f>D355-C355</f>
        <v/>
      </c>
      <c r="G355" s="16" t="inlineStr">
        <is>
          <t>主流市场报价</t>
        </is>
      </c>
      <c r="H355" s="17" t="inlineStr">
        <is>
          <t>打开原文</t>
        </is>
      </c>
    </row>
    <row r="356">
      <c r="A356" s="18" t="n">
        <v>350</v>
      </c>
      <c r="B356" s="19" t="n">
        <v>45786</v>
      </c>
      <c r="C356" s="20" t="n">
        <v>1300</v>
      </c>
      <c r="D356" s="20" t="n">
        <v>1500</v>
      </c>
      <c r="E356" s="21">
        <f>(C356+D356)/2</f>
        <v/>
      </c>
      <c r="F356" s="21">
        <f>D356-C356</f>
        <v/>
      </c>
      <c r="G356" s="22" t="inlineStr">
        <is>
          <t>主流市场报价</t>
        </is>
      </c>
      <c r="H356" s="23" t="inlineStr">
        <is>
          <t>打开原文</t>
        </is>
      </c>
    </row>
    <row r="357">
      <c r="A357" s="12" t="n">
        <v>351</v>
      </c>
      <c r="B357" s="13" t="n">
        <v>45789</v>
      </c>
      <c r="C357" s="14" t="n">
        <v>1300</v>
      </c>
      <c r="D357" s="14" t="n">
        <v>1500</v>
      </c>
      <c r="E357" s="15">
        <f>(C357+D357)/2</f>
        <v/>
      </c>
      <c r="F357" s="15">
        <f>D357-C357</f>
        <v/>
      </c>
      <c r="G357" s="16" t="inlineStr">
        <is>
          <t>主流市场报价</t>
        </is>
      </c>
      <c r="H357" s="17" t="inlineStr">
        <is>
          <t>打开原文</t>
        </is>
      </c>
    </row>
    <row r="358">
      <c r="A358" s="18" t="n">
        <v>352</v>
      </c>
      <c r="B358" s="19" t="n">
        <v>45790</v>
      </c>
      <c r="C358" s="20" t="n">
        <v>1300</v>
      </c>
      <c r="D358" s="20" t="n">
        <v>1500</v>
      </c>
      <c r="E358" s="21">
        <f>(C358+D358)/2</f>
        <v/>
      </c>
      <c r="F358" s="21">
        <f>D358-C358</f>
        <v/>
      </c>
      <c r="G358" s="22" t="inlineStr">
        <is>
          <t>主流市场报价</t>
        </is>
      </c>
      <c r="H358" s="23" t="inlineStr">
        <is>
          <t>打开原文</t>
        </is>
      </c>
    </row>
    <row r="359">
      <c r="A359" s="12" t="n">
        <v>353</v>
      </c>
      <c r="B359" s="13" t="n">
        <v>45791</v>
      </c>
      <c r="C359" s="14" t="n">
        <v>1300</v>
      </c>
      <c r="D359" s="14" t="n">
        <v>1500</v>
      </c>
      <c r="E359" s="15">
        <f>(C359+D359)/2</f>
        <v/>
      </c>
      <c r="F359" s="15">
        <f>D359-C359</f>
        <v/>
      </c>
      <c r="G359" s="16" t="inlineStr">
        <is>
          <t>主流市场报价</t>
        </is>
      </c>
      <c r="H359" s="17" t="inlineStr">
        <is>
          <t>打开原文</t>
        </is>
      </c>
    </row>
    <row r="360">
      <c r="A360" s="18" t="n">
        <v>354</v>
      </c>
      <c r="B360" s="19" t="n">
        <v>45792</v>
      </c>
      <c r="C360" s="20" t="n">
        <v>1300</v>
      </c>
      <c r="D360" s="20" t="n">
        <v>1500</v>
      </c>
      <c r="E360" s="21">
        <f>(C360+D360)/2</f>
        <v/>
      </c>
      <c r="F360" s="21">
        <f>D360-C360</f>
        <v/>
      </c>
      <c r="G360" s="22" t="inlineStr">
        <is>
          <t>主流市场报价</t>
        </is>
      </c>
      <c r="H360" s="23" t="inlineStr">
        <is>
          <t>打开原文</t>
        </is>
      </c>
    </row>
    <row r="361">
      <c r="A361" s="12" t="n">
        <v>355</v>
      </c>
      <c r="B361" s="13" t="n">
        <v>45793</v>
      </c>
      <c r="C361" s="14" t="n">
        <v>1300</v>
      </c>
      <c r="D361" s="14" t="n">
        <v>1500</v>
      </c>
      <c r="E361" s="15">
        <f>(C361+D361)/2</f>
        <v/>
      </c>
      <c r="F361" s="15">
        <f>D361-C361</f>
        <v/>
      </c>
      <c r="G361" s="16" t="inlineStr">
        <is>
          <t>主流市场报价</t>
        </is>
      </c>
      <c r="H361" s="17" t="inlineStr">
        <is>
          <t>打开原文</t>
        </is>
      </c>
    </row>
    <row r="362">
      <c r="A362" s="18" t="n">
        <v>356</v>
      </c>
      <c r="B362" s="19" t="n">
        <v>45796</v>
      </c>
      <c r="C362" s="20" t="n">
        <v>1300</v>
      </c>
      <c r="D362" s="20" t="n">
        <v>1500</v>
      </c>
      <c r="E362" s="21">
        <f>(C362+D362)/2</f>
        <v/>
      </c>
      <c r="F362" s="21">
        <f>D362-C362</f>
        <v/>
      </c>
      <c r="G362" s="22" t="inlineStr">
        <is>
          <t>主流市场报价</t>
        </is>
      </c>
      <c r="H362" s="23" t="inlineStr">
        <is>
          <t>打开原文</t>
        </is>
      </c>
    </row>
    <row r="363">
      <c r="A363" s="12" t="n">
        <v>357</v>
      </c>
      <c r="B363" s="13" t="n">
        <v>45798</v>
      </c>
      <c r="C363" s="14" t="n">
        <v>1300</v>
      </c>
      <c r="D363" s="14" t="n">
        <v>1500</v>
      </c>
      <c r="E363" s="15">
        <f>(C363+D363)/2</f>
        <v/>
      </c>
      <c r="F363" s="15">
        <f>D363-C363</f>
        <v/>
      </c>
      <c r="G363" s="16" t="inlineStr">
        <is>
          <t>主流市场报价</t>
        </is>
      </c>
      <c r="H363" s="17" t="inlineStr">
        <is>
          <t>打开原文</t>
        </is>
      </c>
    </row>
    <row r="364">
      <c r="A364" s="18" t="n">
        <v>358</v>
      </c>
      <c r="B364" s="19" t="n">
        <v>45803</v>
      </c>
      <c r="C364" s="20" t="n">
        <v>1300</v>
      </c>
      <c r="D364" s="20" t="n">
        <v>1500</v>
      </c>
      <c r="E364" s="21">
        <f>(C364+D364)/2</f>
        <v/>
      </c>
      <c r="F364" s="21">
        <f>D364-C364</f>
        <v/>
      </c>
      <c r="G364" s="22" t="inlineStr">
        <is>
          <t>主流市场报价</t>
        </is>
      </c>
      <c r="H364" s="23" t="inlineStr">
        <is>
          <t>打开原文</t>
        </is>
      </c>
    </row>
    <row r="365">
      <c r="A365" s="12" t="n">
        <v>359</v>
      </c>
      <c r="B365" s="13" t="n">
        <v>45805</v>
      </c>
      <c r="C365" s="14" t="n">
        <v>1280</v>
      </c>
      <c r="D365" s="14" t="n">
        <v>1450</v>
      </c>
      <c r="E365" s="15">
        <f>(C365+D365)/2</f>
        <v/>
      </c>
      <c r="F365" s="15">
        <f>D365-C365</f>
        <v/>
      </c>
      <c r="G365" s="16" t="inlineStr">
        <is>
          <t>主流市场报价</t>
        </is>
      </c>
      <c r="H365" s="17" t="inlineStr">
        <is>
          <t>打开原文</t>
        </is>
      </c>
    </row>
    <row r="366">
      <c r="A366" s="18" t="n">
        <v>360</v>
      </c>
      <c r="B366" s="19" t="n">
        <v>45807</v>
      </c>
      <c r="C366" s="20" t="n">
        <v>1280</v>
      </c>
      <c r="D366" s="20" t="n">
        <v>1450</v>
      </c>
      <c r="E366" s="21">
        <f>(C366+D366)/2</f>
        <v/>
      </c>
      <c r="F366" s="21">
        <f>D366-C366</f>
        <v/>
      </c>
      <c r="G366" s="22" t="inlineStr">
        <is>
          <t>主流市场报价</t>
        </is>
      </c>
      <c r="H366" s="23" t="inlineStr">
        <is>
          <t>打开原文</t>
        </is>
      </c>
    </row>
    <row r="367">
      <c r="A367" s="12" t="n">
        <v>361</v>
      </c>
      <c r="B367" s="13" t="n">
        <v>45812</v>
      </c>
      <c r="C367" s="14" t="n">
        <v>1280</v>
      </c>
      <c r="D367" s="14" t="n">
        <v>1400</v>
      </c>
      <c r="E367" s="15">
        <f>(C367+D367)/2</f>
        <v/>
      </c>
      <c r="F367" s="15">
        <f>D367-C367</f>
        <v/>
      </c>
      <c r="G367" s="16" t="inlineStr">
        <is>
          <t>主流市场报价</t>
        </is>
      </c>
      <c r="H367" s="17" t="inlineStr">
        <is>
          <t>打开原文</t>
        </is>
      </c>
    </row>
    <row r="368">
      <c r="A368" s="18" t="n">
        <v>362</v>
      </c>
      <c r="B368" s="19" t="n">
        <v>45813</v>
      </c>
      <c r="C368" s="20" t="n">
        <v>1280</v>
      </c>
      <c r="D368" s="20" t="n">
        <v>1400</v>
      </c>
      <c r="E368" s="21">
        <f>(C368+D368)/2</f>
        <v/>
      </c>
      <c r="F368" s="21">
        <f>D368-C368</f>
        <v/>
      </c>
      <c r="G368" s="22" t="inlineStr">
        <is>
          <t>主流市场报价</t>
        </is>
      </c>
      <c r="H368" s="23" t="inlineStr">
        <is>
          <t>打开原文</t>
        </is>
      </c>
    </row>
    <row r="369">
      <c r="A369" s="12" t="n">
        <v>363</v>
      </c>
      <c r="B369" s="13" t="n">
        <v>45814</v>
      </c>
      <c r="C369" s="14" t="n">
        <v>1280</v>
      </c>
      <c r="D369" s="14" t="n">
        <v>1400</v>
      </c>
      <c r="E369" s="15">
        <f>(C369+D369)/2</f>
        <v/>
      </c>
      <c r="F369" s="15">
        <f>D369-C369</f>
        <v/>
      </c>
      <c r="G369" s="16" t="inlineStr">
        <is>
          <t>主流市场报价</t>
        </is>
      </c>
      <c r="H369" s="17" t="inlineStr">
        <is>
          <t>打开原文</t>
        </is>
      </c>
    </row>
    <row r="370">
      <c r="A370" s="18" t="n">
        <v>364</v>
      </c>
      <c r="B370" s="19" t="n">
        <v>45818</v>
      </c>
      <c r="C370" s="20" t="n">
        <v>1230</v>
      </c>
      <c r="D370" s="20" t="n">
        <v>1400</v>
      </c>
      <c r="E370" s="21">
        <f>(C370+D370)/2</f>
        <v/>
      </c>
      <c r="F370" s="21">
        <f>D370-C370</f>
        <v/>
      </c>
      <c r="G370" s="22" t="inlineStr">
        <is>
          <t>主流市场报价</t>
        </is>
      </c>
      <c r="H370" s="23" t="inlineStr">
        <is>
          <t>打开原文</t>
        </is>
      </c>
    </row>
    <row r="371">
      <c r="A371" s="12" t="n">
        <v>365</v>
      </c>
      <c r="B371" s="13" t="n">
        <v>45819</v>
      </c>
      <c r="C371" s="14" t="n">
        <v>1230</v>
      </c>
      <c r="D371" s="14" t="n">
        <v>1400</v>
      </c>
      <c r="E371" s="15">
        <f>(C371+D371)/2</f>
        <v/>
      </c>
      <c r="F371" s="15">
        <f>D371-C371</f>
        <v/>
      </c>
      <c r="G371" s="16" t="inlineStr">
        <is>
          <t>主流市场报价</t>
        </is>
      </c>
      <c r="H371" s="17" t="inlineStr">
        <is>
          <t>打开原文</t>
        </is>
      </c>
    </row>
    <row r="372">
      <c r="A372" s="18" t="n">
        <v>366</v>
      </c>
      <c r="B372" s="19" t="n">
        <v>45820</v>
      </c>
      <c r="C372" s="20" t="n">
        <v>1210</v>
      </c>
      <c r="D372" s="20" t="n">
        <v>1400</v>
      </c>
      <c r="E372" s="21">
        <f>(C372+D372)/2</f>
        <v/>
      </c>
      <c r="F372" s="21">
        <f>D372-C372</f>
        <v/>
      </c>
      <c r="G372" s="22" t="inlineStr">
        <is>
          <t>主流市场报价</t>
        </is>
      </c>
      <c r="H372" s="23" t="inlineStr">
        <is>
          <t>打开原文</t>
        </is>
      </c>
    </row>
    <row r="373">
      <c r="A373" s="12" t="n">
        <v>367</v>
      </c>
      <c r="B373" s="13" t="n">
        <v>45821</v>
      </c>
      <c r="C373" s="14" t="n">
        <v>1210</v>
      </c>
      <c r="D373" s="14" t="n">
        <v>1400</v>
      </c>
      <c r="E373" s="15">
        <f>(C373+D373)/2</f>
        <v/>
      </c>
      <c r="F373" s="15">
        <f>D373-C373</f>
        <v/>
      </c>
      <c r="G373" s="16" t="inlineStr">
        <is>
          <t>主流市场报价</t>
        </is>
      </c>
      <c r="H373" s="17" t="inlineStr">
        <is>
          <t>打开原文</t>
        </is>
      </c>
    </row>
    <row r="374">
      <c r="A374" s="18" t="n">
        <v>368</v>
      </c>
      <c r="B374" s="19" t="n">
        <v>45824</v>
      </c>
      <c r="C374" s="20" t="n">
        <v>1210</v>
      </c>
      <c r="D374" s="20" t="n">
        <v>1400</v>
      </c>
      <c r="E374" s="21">
        <f>(C374+D374)/2</f>
        <v/>
      </c>
      <c r="F374" s="21">
        <f>D374-C374</f>
        <v/>
      </c>
      <c r="G374" s="22" t="inlineStr">
        <is>
          <t>主流市场报价</t>
        </is>
      </c>
      <c r="H374" s="23" t="inlineStr">
        <is>
          <t>打开原文</t>
        </is>
      </c>
    </row>
    <row r="375">
      <c r="A375" s="12" t="n">
        <v>369</v>
      </c>
      <c r="B375" s="13" t="n">
        <v>45825</v>
      </c>
      <c r="C375" s="14" t="n">
        <v>1210</v>
      </c>
      <c r="D375" s="14" t="n">
        <v>1400</v>
      </c>
      <c r="E375" s="15">
        <f>(C375+D375)/2</f>
        <v/>
      </c>
      <c r="F375" s="15">
        <f>D375-C375</f>
        <v/>
      </c>
      <c r="G375" s="16" t="inlineStr">
        <is>
          <t>主流市场报价</t>
        </is>
      </c>
      <c r="H375" s="17" t="inlineStr">
        <is>
          <t>打开原文</t>
        </is>
      </c>
    </row>
    <row r="376">
      <c r="A376" s="18" t="n">
        <v>370</v>
      </c>
      <c r="B376" s="19" t="n">
        <v>45826</v>
      </c>
      <c r="C376" s="20" t="n">
        <v>1170</v>
      </c>
      <c r="D376" s="20" t="n">
        <v>1400</v>
      </c>
      <c r="E376" s="21">
        <f>(C376+D376)/2</f>
        <v/>
      </c>
      <c r="F376" s="21">
        <f>D376-C376</f>
        <v/>
      </c>
      <c r="G376" s="22" t="inlineStr">
        <is>
          <t>主流市场报价</t>
        </is>
      </c>
      <c r="H376" s="23" t="inlineStr">
        <is>
          <t>打开原文</t>
        </is>
      </c>
    </row>
    <row r="377">
      <c r="A377" s="12" t="n">
        <v>371</v>
      </c>
      <c r="B377" s="13" t="n">
        <v>45827</v>
      </c>
      <c r="C377" s="14" t="n">
        <v>1170</v>
      </c>
      <c r="D377" s="14" t="n">
        <v>1400</v>
      </c>
      <c r="E377" s="15">
        <f>(C377+D377)/2</f>
        <v/>
      </c>
      <c r="F377" s="15">
        <f>D377-C377</f>
        <v/>
      </c>
      <c r="G377" s="16" t="inlineStr">
        <is>
          <t>主流市场报价</t>
        </is>
      </c>
      <c r="H377" s="17" t="inlineStr">
        <is>
          <t>打开原文</t>
        </is>
      </c>
    </row>
    <row r="378">
      <c r="A378" s="18" t="n">
        <v>372</v>
      </c>
      <c r="B378" s="19" t="n">
        <v>45828</v>
      </c>
      <c r="C378" s="20" t="n">
        <v>1170</v>
      </c>
      <c r="D378" s="20" t="n">
        <v>1400</v>
      </c>
      <c r="E378" s="21">
        <f>(C378+D378)/2</f>
        <v/>
      </c>
      <c r="F378" s="21">
        <f>D378-C378</f>
        <v/>
      </c>
      <c r="G378" s="22" t="inlineStr">
        <is>
          <t>主流市场报价</t>
        </is>
      </c>
      <c r="H378" s="23" t="inlineStr">
        <is>
          <t>打开原文</t>
        </is>
      </c>
    </row>
    <row r="379">
      <c r="A379" s="12" t="n">
        <v>373</v>
      </c>
      <c r="B379" s="13" t="n">
        <v>45832</v>
      </c>
      <c r="C379" s="14" t="n">
        <v>1170</v>
      </c>
      <c r="D379" s="14" t="n">
        <v>1400</v>
      </c>
      <c r="E379" s="15">
        <f>(C379+D379)/2</f>
        <v/>
      </c>
      <c r="F379" s="15">
        <f>D379-C379</f>
        <v/>
      </c>
      <c r="G379" s="16" t="inlineStr">
        <is>
          <t>主流市场报价</t>
        </is>
      </c>
      <c r="H379" s="17" t="inlineStr">
        <is>
          <t>打开原文</t>
        </is>
      </c>
    </row>
    <row r="380">
      <c r="A380" s="18" t="n">
        <v>374</v>
      </c>
      <c r="B380" s="19" t="n">
        <v>45833</v>
      </c>
      <c r="C380" s="20" t="n">
        <v>1170</v>
      </c>
      <c r="D380" s="20" t="n">
        <v>1350</v>
      </c>
      <c r="E380" s="21">
        <f>(C380+D380)/2</f>
        <v/>
      </c>
      <c r="F380" s="21">
        <f>D380-C380</f>
        <v/>
      </c>
      <c r="G380" s="22" t="inlineStr">
        <is>
          <t>主流市场报价</t>
        </is>
      </c>
      <c r="H380" s="23" t="inlineStr">
        <is>
          <t>打开原文</t>
        </is>
      </c>
    </row>
    <row r="381">
      <c r="A381" s="12" t="n">
        <v>375</v>
      </c>
      <c r="B381" s="13" t="n">
        <v>45834</v>
      </c>
      <c r="C381" s="14" t="n">
        <v>1150</v>
      </c>
      <c r="D381" s="14" t="n">
        <v>1350</v>
      </c>
      <c r="E381" s="15">
        <f>(C381+D381)/2</f>
        <v/>
      </c>
      <c r="F381" s="15">
        <f>D381-C381</f>
        <v/>
      </c>
      <c r="G381" s="16" t="inlineStr">
        <is>
          <t>主流市场报价</t>
        </is>
      </c>
      <c r="H381" s="17" t="inlineStr">
        <is>
          <t>打开原文</t>
        </is>
      </c>
    </row>
    <row r="382">
      <c r="A382" s="18" t="n">
        <v>376</v>
      </c>
      <c r="B382" s="19" t="n">
        <v>45835</v>
      </c>
      <c r="C382" s="20" t="n">
        <v>1150</v>
      </c>
      <c r="D382" s="20" t="n">
        <v>1350</v>
      </c>
      <c r="E382" s="21">
        <f>(C382+D382)/2</f>
        <v/>
      </c>
      <c r="F382" s="21">
        <f>D382-C382</f>
        <v/>
      </c>
      <c r="G382" s="22" t="inlineStr">
        <is>
          <t>主流市场报价</t>
        </is>
      </c>
      <c r="H382" s="23" t="inlineStr">
        <is>
          <t>打开原文</t>
        </is>
      </c>
    </row>
    <row r="383">
      <c r="A383" s="12" t="n">
        <v>377</v>
      </c>
      <c r="B383" s="13" t="n">
        <v>45839</v>
      </c>
      <c r="C383" s="14" t="n">
        <v>1140</v>
      </c>
      <c r="D383" s="14" t="n">
        <v>1300</v>
      </c>
      <c r="E383" s="15">
        <f>(C383+D383)/2</f>
        <v/>
      </c>
      <c r="F383" s="15">
        <f>D383-C383</f>
        <v/>
      </c>
      <c r="G383" s="16" t="inlineStr">
        <is>
          <t>主流市场报价</t>
        </is>
      </c>
      <c r="H383" s="17" t="inlineStr">
        <is>
          <t>打开原文</t>
        </is>
      </c>
    </row>
    <row r="384">
      <c r="A384" s="18" t="n">
        <v>378</v>
      </c>
      <c r="B384" s="19" t="n">
        <v>45840</v>
      </c>
      <c r="C384" s="20" t="n">
        <v>1100</v>
      </c>
      <c r="D384" s="20" t="n">
        <v>1250</v>
      </c>
      <c r="E384" s="21">
        <f>(C384+D384)/2</f>
        <v/>
      </c>
      <c r="F384" s="21">
        <f>D384-C384</f>
        <v/>
      </c>
      <c r="G384" s="22" t="inlineStr">
        <is>
          <t>主流市场报价</t>
        </is>
      </c>
      <c r="H384" s="23" t="inlineStr">
        <is>
          <t>打开原文</t>
        </is>
      </c>
    </row>
    <row r="385">
      <c r="A385" s="12" t="n">
        <v>379</v>
      </c>
      <c r="B385" s="13" t="n">
        <v>45841</v>
      </c>
      <c r="C385" s="14" t="n">
        <v>1100</v>
      </c>
      <c r="D385" s="14" t="n">
        <v>1250</v>
      </c>
      <c r="E385" s="15">
        <f>(C385+D385)/2</f>
        <v/>
      </c>
      <c r="F385" s="15">
        <f>D385-C385</f>
        <v/>
      </c>
      <c r="G385" s="16" t="inlineStr">
        <is>
          <t>主流市场报价</t>
        </is>
      </c>
      <c r="H385" s="17" t="inlineStr">
        <is>
          <t>打开原文</t>
        </is>
      </c>
    </row>
    <row r="386">
      <c r="A386" s="18" t="n">
        <v>380</v>
      </c>
      <c r="B386" s="19" t="n">
        <v>45842</v>
      </c>
      <c r="C386" s="20" t="n">
        <v>1100</v>
      </c>
      <c r="D386" s="20" t="n">
        <v>1250</v>
      </c>
      <c r="E386" s="21">
        <f>(C386+D386)/2</f>
        <v/>
      </c>
      <c r="F386" s="21">
        <f>D386-C386</f>
        <v/>
      </c>
      <c r="G386" s="22" t="inlineStr">
        <is>
          <t>主流市场报价</t>
        </is>
      </c>
      <c r="H386" s="23" t="inlineStr">
        <is>
          <t>打开原文</t>
        </is>
      </c>
    </row>
    <row r="387">
      <c r="A387" s="12" t="n">
        <v>381</v>
      </c>
      <c r="B387" s="13" t="n">
        <v>45845</v>
      </c>
      <c r="C387" s="14" t="n">
        <v>1090</v>
      </c>
      <c r="D387" s="14" t="n">
        <v>1250</v>
      </c>
      <c r="E387" s="15">
        <f>(C387+D387)/2</f>
        <v/>
      </c>
      <c r="F387" s="15">
        <f>D387-C387</f>
        <v/>
      </c>
      <c r="G387" s="16" t="inlineStr">
        <is>
          <t>主流市场报价</t>
        </is>
      </c>
      <c r="H387" s="17" t="inlineStr">
        <is>
          <t>打开原文</t>
        </is>
      </c>
    </row>
    <row r="388">
      <c r="A388" s="18" t="n">
        <v>382</v>
      </c>
      <c r="B388" s="19" t="n">
        <v>45846</v>
      </c>
      <c r="C388" s="20" t="n">
        <v>1090</v>
      </c>
      <c r="D388" s="20" t="n">
        <v>1250</v>
      </c>
      <c r="E388" s="21">
        <f>(C388+D388)/2</f>
        <v/>
      </c>
      <c r="F388" s="21">
        <f>D388-C388</f>
        <v/>
      </c>
      <c r="G388" s="22" t="inlineStr">
        <is>
          <t>主流市场报价</t>
        </is>
      </c>
      <c r="H388" s="23" t="inlineStr">
        <is>
          <t>打开原文</t>
        </is>
      </c>
    </row>
    <row r="389">
      <c r="A389" s="12" t="n">
        <v>383</v>
      </c>
      <c r="B389" s="13" t="n">
        <v>45847</v>
      </c>
      <c r="C389" s="14" t="n">
        <v>1050</v>
      </c>
      <c r="D389" s="14" t="n">
        <v>1200</v>
      </c>
      <c r="E389" s="15">
        <f>(C389+D389)/2</f>
        <v/>
      </c>
      <c r="F389" s="15">
        <f>D389-C389</f>
        <v/>
      </c>
      <c r="G389" s="16" t="inlineStr">
        <is>
          <t>主流市场报价</t>
        </is>
      </c>
      <c r="H389" s="17" t="inlineStr">
        <is>
          <t>打开原文</t>
        </is>
      </c>
    </row>
    <row r="390">
      <c r="A390" s="18" t="n">
        <v>384</v>
      </c>
      <c r="B390" s="19" t="n">
        <v>45848</v>
      </c>
      <c r="C390" s="20" t="n">
        <v>1050</v>
      </c>
      <c r="D390" s="20" t="n">
        <v>1200</v>
      </c>
      <c r="E390" s="21">
        <f>(C390+D390)/2</f>
        <v/>
      </c>
      <c r="F390" s="21">
        <f>D390-C390</f>
        <v/>
      </c>
      <c r="G390" s="22" t="inlineStr">
        <is>
          <t>主流市场报价</t>
        </is>
      </c>
      <c r="H390" s="23" t="inlineStr">
        <is>
          <t>打开原文</t>
        </is>
      </c>
    </row>
    <row r="391">
      <c r="A391" s="12" t="n">
        <v>385</v>
      </c>
      <c r="B391" s="13" t="n">
        <v>45853</v>
      </c>
      <c r="C391" s="14" t="n">
        <v>1050</v>
      </c>
      <c r="D391" s="14" t="n">
        <v>1200</v>
      </c>
      <c r="E391" s="15">
        <f>(C391+D391)/2</f>
        <v/>
      </c>
      <c r="F391" s="15">
        <f>D391-C391</f>
        <v/>
      </c>
      <c r="G391" s="16" t="inlineStr">
        <is>
          <t>主流市场报价</t>
        </is>
      </c>
      <c r="H391" s="17" t="inlineStr">
        <is>
          <t>打开原文</t>
        </is>
      </c>
    </row>
    <row r="392">
      <c r="A392" s="18" t="n">
        <v>386</v>
      </c>
      <c r="B392" s="19" t="n">
        <v>45854</v>
      </c>
      <c r="C392" s="20" t="n">
        <v>1050</v>
      </c>
      <c r="D392" s="20" t="n">
        <v>1200</v>
      </c>
      <c r="E392" s="21">
        <f>(C392+D392)/2</f>
        <v/>
      </c>
      <c r="F392" s="21">
        <f>D392-C392</f>
        <v/>
      </c>
      <c r="G392" s="22" t="inlineStr">
        <is>
          <t>主流市场报价</t>
        </is>
      </c>
      <c r="H392" s="23" t="inlineStr">
        <is>
          <t>打开原文</t>
        </is>
      </c>
    </row>
    <row r="393">
      <c r="A393" s="12" t="n">
        <v>387</v>
      </c>
      <c r="B393" s="13" t="n">
        <v>45856</v>
      </c>
      <c r="C393" s="14" t="n">
        <v>1080</v>
      </c>
      <c r="D393" s="14" t="n">
        <v>1200</v>
      </c>
      <c r="E393" s="15">
        <f>(C393+D393)/2</f>
        <v/>
      </c>
      <c r="F393" s="15">
        <f>D393-C393</f>
        <v/>
      </c>
      <c r="G393" s="16" t="inlineStr">
        <is>
          <t>主流市场报价</t>
        </is>
      </c>
      <c r="H393" s="17" t="inlineStr">
        <is>
          <t>打开原文</t>
        </is>
      </c>
    </row>
    <row r="394">
      <c r="A394" s="18" t="n">
        <v>388</v>
      </c>
      <c r="B394" s="19" t="n">
        <v>45860</v>
      </c>
      <c r="C394" s="20" t="n">
        <v>1100</v>
      </c>
      <c r="D394" s="20" t="n">
        <v>1200</v>
      </c>
      <c r="E394" s="21">
        <f>(C394+D394)/2</f>
        <v/>
      </c>
      <c r="F394" s="21">
        <f>D394-C394</f>
        <v/>
      </c>
      <c r="G394" s="22" t="inlineStr">
        <is>
          <t>主流市场报价</t>
        </is>
      </c>
      <c r="H394" s="23" t="inlineStr">
        <is>
          <t>打开原文</t>
        </is>
      </c>
    </row>
    <row r="395">
      <c r="A395" s="12" t="n">
        <v>389</v>
      </c>
      <c r="B395" s="13" t="n">
        <v>45861</v>
      </c>
      <c r="C395" s="14" t="n">
        <v>1100</v>
      </c>
      <c r="D395" s="14" t="n">
        <v>1250</v>
      </c>
      <c r="E395" s="15">
        <f>(C395+D395)/2</f>
        <v/>
      </c>
      <c r="F395" s="15">
        <f>D395-C395</f>
        <v/>
      </c>
      <c r="G395" s="16" t="inlineStr">
        <is>
          <t>主流市场报价</t>
        </is>
      </c>
      <c r="H395" s="17" t="inlineStr">
        <is>
          <t>打开原文</t>
        </is>
      </c>
    </row>
    <row r="396">
      <c r="A396" s="18" t="n">
        <v>390</v>
      </c>
      <c r="B396" s="19" t="n">
        <v>45867</v>
      </c>
      <c r="C396" s="20" t="n">
        <v>1280</v>
      </c>
      <c r="D396" s="20" t="n">
        <v>1400</v>
      </c>
      <c r="E396" s="21">
        <f>(C396+D396)/2</f>
        <v/>
      </c>
      <c r="F396" s="21">
        <f>D396-C396</f>
        <v/>
      </c>
      <c r="G396" s="22" t="inlineStr">
        <is>
          <t>主流市场报价</t>
        </is>
      </c>
      <c r="H396" s="23" t="inlineStr">
        <is>
          <t>打开原文</t>
        </is>
      </c>
    </row>
    <row r="397">
      <c r="A397" s="12" t="n">
        <v>391</v>
      </c>
      <c r="B397" s="13" t="n">
        <v>45868</v>
      </c>
      <c r="C397" s="14" t="n">
        <v>1250</v>
      </c>
      <c r="D397" s="14" t="n">
        <v>1400</v>
      </c>
      <c r="E397" s="15">
        <f>(C397+D397)/2</f>
        <v/>
      </c>
      <c r="F397" s="15">
        <f>D397-C397</f>
        <v/>
      </c>
      <c r="G397" s="16" t="inlineStr">
        <is>
          <t>主流市场报价</t>
        </is>
      </c>
      <c r="H397" s="17" t="inlineStr">
        <is>
          <t>打开原文</t>
        </is>
      </c>
    </row>
    <row r="398">
      <c r="A398" s="18" t="n">
        <v>392</v>
      </c>
      <c r="B398" s="19" t="n">
        <v>45869</v>
      </c>
      <c r="C398" s="20" t="n">
        <v>1250</v>
      </c>
      <c r="D398" s="20" t="n">
        <v>1400</v>
      </c>
      <c r="E398" s="21">
        <f>(C398+D398)/2</f>
        <v/>
      </c>
      <c r="F398" s="21">
        <f>D398-C398</f>
        <v/>
      </c>
      <c r="G398" s="22" t="inlineStr">
        <is>
          <t>主流市场报价</t>
        </is>
      </c>
      <c r="H398" s="23" t="inlineStr">
        <is>
          <t>打开原文</t>
        </is>
      </c>
    </row>
    <row r="399">
      <c r="A399" s="12" t="n">
        <v>393</v>
      </c>
      <c r="B399" s="13" t="n">
        <v>45870</v>
      </c>
      <c r="C399" s="14" t="n">
        <v>1250</v>
      </c>
      <c r="D399" s="14" t="n">
        <v>1400</v>
      </c>
      <c r="E399" s="15">
        <f>(C399+D399)/2</f>
        <v/>
      </c>
      <c r="F399" s="15">
        <f>D399-C399</f>
        <v/>
      </c>
      <c r="G399" s="16" t="inlineStr">
        <is>
          <t>主流市场报价</t>
        </is>
      </c>
      <c r="H399" s="17" t="inlineStr">
        <is>
          <t>打开原文</t>
        </is>
      </c>
    </row>
    <row r="400">
      <c r="A400" s="18" t="n">
        <v>394</v>
      </c>
      <c r="B400" s="19" t="n">
        <v>45874</v>
      </c>
      <c r="C400" s="20" t="n">
        <v>1200</v>
      </c>
      <c r="D400" s="20" t="n">
        <v>1400</v>
      </c>
      <c r="E400" s="21">
        <f>(C400+D400)/2</f>
        <v/>
      </c>
      <c r="F400" s="21">
        <f>D400-C400</f>
        <v/>
      </c>
      <c r="G400" s="22" t="inlineStr">
        <is>
          <t>主流市场报价</t>
        </is>
      </c>
      <c r="H400" s="23" t="inlineStr">
        <is>
          <t>打开原文</t>
        </is>
      </c>
    </row>
    <row r="401">
      <c r="A401" s="12" t="n">
        <v>395</v>
      </c>
      <c r="B401" s="13" t="n">
        <v>45876</v>
      </c>
      <c r="C401" s="14" t="n">
        <v>1150</v>
      </c>
      <c r="D401" s="14" t="n">
        <v>1400</v>
      </c>
      <c r="E401" s="15">
        <f>(C401+D401)/2</f>
        <v/>
      </c>
      <c r="F401" s="15">
        <f>D401-C401</f>
        <v/>
      </c>
      <c r="G401" s="16" t="inlineStr">
        <is>
          <t>主流市场报价</t>
        </is>
      </c>
      <c r="H401" s="17" t="inlineStr">
        <is>
          <t>打开原文</t>
        </is>
      </c>
    </row>
    <row r="402">
      <c r="A402" s="18" t="n">
        <v>396</v>
      </c>
      <c r="B402" s="19" t="n">
        <v>45877</v>
      </c>
      <c r="C402" s="20" t="n">
        <v>1150</v>
      </c>
      <c r="D402" s="20" t="n">
        <v>1400</v>
      </c>
      <c r="E402" s="21">
        <f>(C402+D402)/2</f>
        <v/>
      </c>
      <c r="F402" s="21">
        <f>D402-C402</f>
        <v/>
      </c>
      <c r="G402" s="22" t="inlineStr">
        <is>
          <t>主流市场报价</t>
        </is>
      </c>
      <c r="H402" s="23" t="inlineStr">
        <is>
          <t>打开原文</t>
        </is>
      </c>
    </row>
    <row r="403">
      <c r="A403" s="12" t="n">
        <v>397</v>
      </c>
      <c r="B403" s="13" t="n">
        <v>45880</v>
      </c>
      <c r="C403" s="14" t="n">
        <v>1140</v>
      </c>
      <c r="D403" s="14" t="n">
        <v>1400</v>
      </c>
      <c r="E403" s="15">
        <f>(C403+D403)/2</f>
        <v/>
      </c>
      <c r="F403" s="15">
        <f>D403-C403</f>
        <v/>
      </c>
      <c r="G403" s="16" t="inlineStr">
        <is>
          <t>主流市场报价</t>
        </is>
      </c>
      <c r="H403" s="17" t="inlineStr">
        <is>
          <t>打开原文</t>
        </is>
      </c>
    </row>
    <row r="404">
      <c r="A404" s="18" t="n">
        <v>398</v>
      </c>
      <c r="B404" s="19" t="n">
        <v>45881</v>
      </c>
      <c r="C404" s="20" t="n">
        <v>1140</v>
      </c>
      <c r="D404" s="20" t="n">
        <v>1400</v>
      </c>
      <c r="E404" s="21">
        <f>(C404+D404)/2</f>
        <v/>
      </c>
      <c r="F404" s="21">
        <f>D404-C404</f>
        <v/>
      </c>
      <c r="G404" s="22" t="inlineStr">
        <is>
          <t>主流市场报价</t>
        </is>
      </c>
      <c r="H404" s="23" t="inlineStr">
        <is>
          <t>打开原文</t>
        </is>
      </c>
    </row>
    <row r="405">
      <c r="A405" s="12" t="n">
        <v>399</v>
      </c>
      <c r="B405" s="13" t="n">
        <v>45882</v>
      </c>
      <c r="C405" s="14" t="n">
        <v>1140</v>
      </c>
      <c r="D405" s="14" t="n">
        <v>1400</v>
      </c>
      <c r="E405" s="15">
        <f>(C405+D405)/2</f>
        <v/>
      </c>
      <c r="F405" s="15">
        <f>D405-C405</f>
        <v/>
      </c>
      <c r="G405" s="16" t="inlineStr">
        <is>
          <t>主流市场报价</t>
        </is>
      </c>
      <c r="H405" s="17" t="inlineStr">
        <is>
          <t>打开原文</t>
        </is>
      </c>
    </row>
    <row r="406">
      <c r="A406" s="18" t="n">
        <v>400</v>
      </c>
      <c r="B406" s="19" t="n">
        <v>45883</v>
      </c>
      <c r="C406" s="20" t="n">
        <v>1140</v>
      </c>
      <c r="D406" s="20" t="n">
        <v>1400</v>
      </c>
      <c r="E406" s="21">
        <f>(C406+D406)/2</f>
        <v/>
      </c>
      <c r="F406" s="21">
        <f>D406-C406</f>
        <v/>
      </c>
      <c r="G406" s="22" t="inlineStr">
        <is>
          <t>主流市场报价</t>
        </is>
      </c>
      <c r="H406" s="23" t="inlineStr">
        <is>
          <t>打开原文</t>
        </is>
      </c>
    </row>
    <row r="407">
      <c r="A407" s="12" t="n">
        <v>401</v>
      </c>
      <c r="B407" s="13" t="n">
        <v>45884</v>
      </c>
      <c r="C407" s="14" t="n">
        <v>1140</v>
      </c>
      <c r="D407" s="14" t="n">
        <v>1400</v>
      </c>
      <c r="E407" s="15">
        <f>(C407+D407)/2</f>
        <v/>
      </c>
      <c r="F407" s="15">
        <f>D407-C407</f>
        <v/>
      </c>
      <c r="G407" s="16" t="inlineStr">
        <is>
          <t>主流市场报价</t>
        </is>
      </c>
      <c r="H407" s="17" t="inlineStr">
        <is>
          <t>打开原文</t>
        </is>
      </c>
    </row>
    <row r="408">
      <c r="A408" s="18" t="n">
        <v>402</v>
      </c>
      <c r="B408" s="19" t="n">
        <v>45888</v>
      </c>
      <c r="C408" s="20" t="n">
        <v>1130</v>
      </c>
      <c r="D408" s="20" t="n">
        <v>1400</v>
      </c>
      <c r="E408" s="21">
        <f>(C408+D408)/2</f>
        <v/>
      </c>
      <c r="F408" s="21">
        <f>D408-C408</f>
        <v/>
      </c>
      <c r="G408" s="22" t="inlineStr">
        <is>
          <t>主流市场报价</t>
        </is>
      </c>
      <c r="H408" s="23" t="inlineStr">
        <is>
          <t>打开原文</t>
        </is>
      </c>
    </row>
    <row r="409">
      <c r="A409" s="12" t="n">
        <v>403</v>
      </c>
      <c r="B409" s="13" t="n">
        <v>45889</v>
      </c>
      <c r="C409" s="14" t="n">
        <v>1130</v>
      </c>
      <c r="D409" s="14" t="n">
        <v>1400</v>
      </c>
      <c r="E409" s="15">
        <f>(C409+D409)/2</f>
        <v/>
      </c>
      <c r="F409" s="15">
        <f>D409-C409</f>
        <v/>
      </c>
      <c r="G409" s="16" t="inlineStr">
        <is>
          <t>主流市场报价</t>
        </is>
      </c>
      <c r="H409" s="17" t="inlineStr">
        <is>
          <t>打开原文</t>
        </is>
      </c>
    </row>
    <row r="410">
      <c r="A410" s="18" t="n">
        <v>404</v>
      </c>
      <c r="B410" s="19" t="n">
        <v>45890</v>
      </c>
      <c r="C410" s="20" t="n">
        <v>1130</v>
      </c>
      <c r="D410" s="20" t="n">
        <v>1400</v>
      </c>
      <c r="E410" s="21">
        <f>(C410+D410)/2</f>
        <v/>
      </c>
      <c r="F410" s="21">
        <f>D410-C410</f>
        <v/>
      </c>
      <c r="G410" s="22" t="inlineStr">
        <is>
          <t>主流市场报价</t>
        </is>
      </c>
      <c r="H410" s="23" t="inlineStr">
        <is>
          <t>打开原文</t>
        </is>
      </c>
    </row>
    <row r="411">
      <c r="A411" s="12" t="n">
        <v>405</v>
      </c>
      <c r="B411" s="13" t="n">
        <v>45891</v>
      </c>
      <c r="C411" s="14" t="n">
        <v>1130</v>
      </c>
      <c r="D411" s="14" t="n">
        <v>1400</v>
      </c>
      <c r="E411" s="15">
        <f>(C411+D411)/2</f>
        <v/>
      </c>
      <c r="F411" s="15">
        <f>D411-C411</f>
        <v/>
      </c>
      <c r="G411" s="16" t="inlineStr">
        <is>
          <t>主流市场报价</t>
        </is>
      </c>
      <c r="H411" s="17" t="inlineStr">
        <is>
          <t>打开原文</t>
        </is>
      </c>
    </row>
    <row r="412">
      <c r="A412" s="18" t="n">
        <v>406</v>
      </c>
      <c r="B412" s="19" t="n">
        <v>45895</v>
      </c>
      <c r="C412" s="20" t="n">
        <v>1130</v>
      </c>
      <c r="D412" s="20" t="n">
        <v>1400</v>
      </c>
      <c r="E412" s="21">
        <f>(C412+D412)/2</f>
        <v/>
      </c>
      <c r="F412" s="21">
        <f>D412-C412</f>
        <v/>
      </c>
      <c r="G412" s="22" t="inlineStr">
        <is>
          <t>主流市场报价</t>
        </is>
      </c>
      <c r="H412" s="23" t="inlineStr">
        <is>
          <t>打开原文</t>
        </is>
      </c>
    </row>
    <row r="413">
      <c r="A413" s="12" t="n">
        <v>407</v>
      </c>
      <c r="B413" s="13" t="n">
        <v>45896</v>
      </c>
      <c r="C413" s="14" t="n">
        <v>1120</v>
      </c>
      <c r="D413" s="14" t="n">
        <v>1400</v>
      </c>
      <c r="E413" s="15">
        <f>(C413+D413)/2</f>
        <v/>
      </c>
      <c r="F413" s="15">
        <f>D413-C413</f>
        <v/>
      </c>
      <c r="G413" s="16" t="inlineStr">
        <is>
          <t>主流市场报价</t>
        </is>
      </c>
      <c r="H413" s="17" t="inlineStr">
        <is>
          <t>打开原文</t>
        </is>
      </c>
    </row>
    <row r="414">
      <c r="A414" s="18" t="n">
        <v>408</v>
      </c>
      <c r="B414" s="19" t="n">
        <v>45897</v>
      </c>
      <c r="C414" s="20" t="n">
        <v>1110</v>
      </c>
      <c r="D414" s="20" t="n">
        <v>1400</v>
      </c>
      <c r="E414" s="21">
        <f>(C414+D414)/2</f>
        <v/>
      </c>
      <c r="F414" s="21">
        <f>D414-C414</f>
        <v/>
      </c>
      <c r="G414" s="22" t="inlineStr">
        <is>
          <t>主流市场报价</t>
        </is>
      </c>
      <c r="H414" s="23" t="inlineStr">
        <is>
          <t>打开原文</t>
        </is>
      </c>
    </row>
    <row r="415">
      <c r="A415" s="12" t="n">
        <v>409</v>
      </c>
      <c r="B415" s="13" t="n">
        <v>45898</v>
      </c>
      <c r="C415" s="14" t="n">
        <v>1110</v>
      </c>
      <c r="D415" s="14" t="n">
        <v>1400</v>
      </c>
      <c r="E415" s="15">
        <f>(C415+D415)/2</f>
        <v/>
      </c>
      <c r="F415" s="15">
        <f>D415-C415</f>
        <v/>
      </c>
      <c r="G415" s="16" t="inlineStr">
        <is>
          <t>主流市场报价</t>
        </is>
      </c>
      <c r="H415" s="17" t="inlineStr">
        <is>
          <t>打开原文</t>
        </is>
      </c>
    </row>
    <row r="416">
      <c r="A416" s="18" t="n">
        <v>410</v>
      </c>
      <c r="B416" s="19" t="n">
        <v>45901</v>
      </c>
      <c r="C416" s="20" t="n">
        <v>1100</v>
      </c>
      <c r="D416" s="20" t="n">
        <v>1400</v>
      </c>
      <c r="E416" s="21">
        <f>(C416+D416)/2</f>
        <v/>
      </c>
      <c r="F416" s="21">
        <f>D416-C416</f>
        <v/>
      </c>
      <c r="G416" s="22" t="inlineStr">
        <is>
          <t>主流市场报价</t>
        </is>
      </c>
      <c r="H416" s="23" t="inlineStr">
        <is>
          <t>打开原文</t>
        </is>
      </c>
    </row>
    <row r="417">
      <c r="A417" s="12" t="n">
        <v>411</v>
      </c>
      <c r="B417" s="13" t="n">
        <v>45902</v>
      </c>
      <c r="C417" s="14" t="n">
        <v>1100</v>
      </c>
      <c r="D417" s="14" t="n">
        <v>1400</v>
      </c>
      <c r="E417" s="15">
        <f>(C417+D417)/2</f>
        <v/>
      </c>
      <c r="F417" s="15">
        <f>D417-C417</f>
        <v/>
      </c>
      <c r="G417" s="16" t="inlineStr">
        <is>
          <t>主流市场报价</t>
        </is>
      </c>
      <c r="H417" s="17" t="inlineStr">
        <is>
          <t>打开原文</t>
        </is>
      </c>
    </row>
    <row r="418">
      <c r="A418" s="18" t="n">
        <v>412</v>
      </c>
      <c r="B418" s="19" t="n">
        <v>45903</v>
      </c>
      <c r="C418" s="20" t="n">
        <v>1100</v>
      </c>
      <c r="D418" s="20" t="n">
        <v>1400</v>
      </c>
      <c r="E418" s="21">
        <f>(C418+D418)/2</f>
        <v/>
      </c>
      <c r="F418" s="21">
        <f>D418-C418</f>
        <v/>
      </c>
      <c r="G418" s="22" t="inlineStr">
        <is>
          <t>主流市场报价</t>
        </is>
      </c>
      <c r="H418" s="23" t="inlineStr">
        <is>
          <t>打开原文</t>
        </is>
      </c>
    </row>
    <row r="419">
      <c r="A419" s="12" t="n">
        <v>413</v>
      </c>
      <c r="B419" s="13" t="n">
        <v>45904</v>
      </c>
      <c r="C419" s="14" t="n">
        <v>1100</v>
      </c>
      <c r="D419" s="14" t="n">
        <v>1400</v>
      </c>
      <c r="E419" s="15">
        <f>(C419+D419)/2</f>
        <v/>
      </c>
      <c r="F419" s="15">
        <f>D419-C419</f>
        <v/>
      </c>
      <c r="G419" s="16" t="inlineStr">
        <is>
          <t>主流市场报价</t>
        </is>
      </c>
      <c r="H419" s="17" t="inlineStr">
        <is>
          <t>打开原文</t>
        </is>
      </c>
    </row>
    <row r="420">
      <c r="A420" s="18" t="n">
        <v>414</v>
      </c>
      <c r="B420" s="19" t="n">
        <v>45905</v>
      </c>
      <c r="C420" s="20" t="n">
        <v>1100</v>
      </c>
      <c r="D420" s="20" t="n">
        <v>1400</v>
      </c>
      <c r="E420" s="21">
        <f>(C420+D420)/2</f>
        <v/>
      </c>
      <c r="F420" s="21">
        <f>D420-C420</f>
        <v/>
      </c>
      <c r="G420" s="22" t="inlineStr">
        <is>
          <t>主流市场报价</t>
        </is>
      </c>
      <c r="H420" s="23" t="inlineStr">
        <is>
          <t>打开原文</t>
        </is>
      </c>
    </row>
    <row r="421">
      <c r="A421" s="12" t="n">
        <v>415</v>
      </c>
      <c r="B421" s="13" t="n">
        <v>45908</v>
      </c>
      <c r="C421" s="14" t="n">
        <v>1100</v>
      </c>
      <c r="D421" s="14" t="n">
        <v>1400</v>
      </c>
      <c r="E421" s="15">
        <f>(C421+D421)/2</f>
        <v/>
      </c>
      <c r="F421" s="15">
        <f>D421-C421</f>
        <v/>
      </c>
      <c r="G421" s="16" t="inlineStr">
        <is>
          <t>主流市场报价</t>
        </is>
      </c>
      <c r="H421" s="17" t="inlineStr">
        <is>
          <t>打开原文</t>
        </is>
      </c>
    </row>
    <row r="422">
      <c r="A422" s="18" t="n">
        <v>416</v>
      </c>
      <c r="B422" s="19" t="n">
        <v>45909</v>
      </c>
      <c r="C422" s="20" t="n">
        <v>1100</v>
      </c>
      <c r="D422" s="20" t="n">
        <v>1400</v>
      </c>
      <c r="E422" s="21">
        <f>(C422+D422)/2</f>
        <v/>
      </c>
      <c r="F422" s="21">
        <f>D422-C422</f>
        <v/>
      </c>
      <c r="G422" s="22" t="inlineStr">
        <is>
          <t>主流市场报价</t>
        </is>
      </c>
      <c r="H422" s="23" t="inlineStr">
        <is>
          <t>打开原文</t>
        </is>
      </c>
    </row>
    <row r="423">
      <c r="A423" s="12" t="n">
        <v>417</v>
      </c>
      <c r="B423" s="13" t="n">
        <v>45910</v>
      </c>
      <c r="C423" s="14" t="n">
        <v>1100</v>
      </c>
      <c r="D423" s="14" t="n">
        <v>1400</v>
      </c>
      <c r="E423" s="15">
        <f>(C423+D423)/2</f>
        <v/>
      </c>
      <c r="F423" s="15">
        <f>D423-C423</f>
        <v/>
      </c>
      <c r="G423" s="16" t="inlineStr">
        <is>
          <t>主流市场报价</t>
        </is>
      </c>
      <c r="H423" s="17" t="inlineStr">
        <is>
          <t>打开原文</t>
        </is>
      </c>
    </row>
    <row r="424">
      <c r="A424" s="18" t="n">
        <v>418</v>
      </c>
      <c r="B424" s="19" t="n">
        <v>45911</v>
      </c>
      <c r="C424" s="20" t="n">
        <v>1100</v>
      </c>
      <c r="D424" s="20" t="n">
        <v>1400</v>
      </c>
      <c r="E424" s="21">
        <f>(C424+D424)/2</f>
        <v/>
      </c>
      <c r="F424" s="21">
        <f>D424-C424</f>
        <v/>
      </c>
      <c r="G424" s="22" t="inlineStr">
        <is>
          <t>主流市场报价</t>
        </is>
      </c>
      <c r="H424" s="23" t="inlineStr">
        <is>
          <t>打开原文</t>
        </is>
      </c>
    </row>
    <row r="425">
      <c r="A425" s="12" t="n">
        <v>419</v>
      </c>
      <c r="B425" s="13" t="n">
        <v>45912</v>
      </c>
      <c r="C425" s="14" t="n">
        <v>1100</v>
      </c>
      <c r="D425" s="14" t="n">
        <v>1400</v>
      </c>
      <c r="E425" s="15">
        <f>(C425+D425)/2</f>
        <v/>
      </c>
      <c r="F425" s="15">
        <f>D425-C425</f>
        <v/>
      </c>
      <c r="G425" s="16" t="inlineStr">
        <is>
          <t>主流市场报价</t>
        </is>
      </c>
      <c r="H425" s="17" t="inlineStr">
        <is>
          <t>打开原文</t>
        </is>
      </c>
    </row>
    <row r="426">
      <c r="A426" s="18" t="n">
        <v>420</v>
      </c>
      <c r="B426" s="19" t="n">
        <v>45916</v>
      </c>
      <c r="C426" s="20" t="n">
        <v>1100</v>
      </c>
      <c r="D426" s="20" t="n">
        <v>1400</v>
      </c>
      <c r="E426" s="21">
        <f>(C426+D426)/2</f>
        <v/>
      </c>
      <c r="F426" s="21">
        <f>D426-C426</f>
        <v/>
      </c>
      <c r="G426" s="22" t="inlineStr">
        <is>
          <t>主流市场报价</t>
        </is>
      </c>
      <c r="H426" s="23" t="inlineStr">
        <is>
          <t>打开原文</t>
        </is>
      </c>
    </row>
    <row r="427">
      <c r="A427" s="12" t="n">
        <v>421</v>
      </c>
      <c r="B427" s="13" t="n">
        <v>45917</v>
      </c>
      <c r="C427" s="14" t="n">
        <v>1100</v>
      </c>
      <c r="D427" s="14" t="n">
        <v>1400</v>
      </c>
      <c r="E427" s="15">
        <f>(C427+D427)/2</f>
        <v/>
      </c>
      <c r="F427" s="15">
        <f>D427-C427</f>
        <v/>
      </c>
      <c r="G427" s="16" t="inlineStr">
        <is>
          <t>主流市场报价</t>
        </is>
      </c>
      <c r="H427" s="17" t="inlineStr">
        <is>
          <t>打开原文</t>
        </is>
      </c>
    </row>
    <row r="428">
      <c r="A428" s="18" t="n">
        <v>422</v>
      </c>
      <c r="B428" s="19" t="n">
        <v>45918</v>
      </c>
      <c r="C428" s="20" t="n">
        <v>1100</v>
      </c>
      <c r="D428" s="20" t="n">
        <v>1400</v>
      </c>
      <c r="E428" s="21">
        <f>(C428+D428)/2</f>
        <v/>
      </c>
      <c r="F428" s="21">
        <f>D428-C428</f>
        <v/>
      </c>
      <c r="G428" s="22" t="inlineStr">
        <is>
          <t>主流市场报价</t>
        </is>
      </c>
      <c r="H428" s="23" t="inlineStr">
        <is>
          <t>打开原文</t>
        </is>
      </c>
    </row>
    <row r="429">
      <c r="A429" s="12" t="n">
        <v>423</v>
      </c>
      <c r="B429" s="13" t="n">
        <v>45919</v>
      </c>
      <c r="C429" s="14" t="n">
        <v>1100</v>
      </c>
      <c r="D429" s="14" t="n">
        <v>1400</v>
      </c>
      <c r="E429" s="15">
        <f>(C429+D429)/2</f>
        <v/>
      </c>
      <c r="F429" s="15">
        <f>D429-C429</f>
        <v/>
      </c>
      <c r="G429" s="16" t="inlineStr">
        <is>
          <t>主流市场报价</t>
        </is>
      </c>
      <c r="H429" s="17" t="inlineStr">
        <is>
          <t>打开原文</t>
        </is>
      </c>
    </row>
    <row r="430">
      <c r="A430" s="18" t="n">
        <v>424</v>
      </c>
      <c r="B430" s="19" t="n">
        <v>45922</v>
      </c>
      <c r="C430" s="20" t="n">
        <v>1100</v>
      </c>
      <c r="D430" s="20" t="n">
        <v>1400</v>
      </c>
      <c r="E430" s="21">
        <f>(C430+D430)/2</f>
        <v/>
      </c>
      <c r="F430" s="21">
        <f>D430-C430</f>
        <v/>
      </c>
      <c r="G430" s="22" t="inlineStr">
        <is>
          <t>主流市场报价</t>
        </is>
      </c>
      <c r="H430" s="23" t="inlineStr">
        <is>
          <t>打开原文</t>
        </is>
      </c>
    </row>
    <row r="431">
      <c r="A431" s="12" t="n">
        <v>425</v>
      </c>
      <c r="B431" s="13" t="n">
        <v>45924</v>
      </c>
      <c r="C431" s="14" t="n">
        <v>1100</v>
      </c>
      <c r="D431" s="14" t="n">
        <v>1400</v>
      </c>
      <c r="E431" s="15">
        <f>(C431+D431)/2</f>
        <v/>
      </c>
      <c r="F431" s="15">
        <f>D431-C431</f>
        <v/>
      </c>
      <c r="G431" s="16" t="inlineStr">
        <is>
          <t>主流市场报价</t>
        </is>
      </c>
      <c r="H431" s="17" t="inlineStr">
        <is>
          <t>打开原文</t>
        </is>
      </c>
    </row>
    <row r="432">
      <c r="A432" s="18" t="n">
        <v>426</v>
      </c>
      <c r="B432" s="19" t="n">
        <v>45925</v>
      </c>
      <c r="C432" s="20" t="n">
        <v>1100</v>
      </c>
      <c r="D432" s="20" t="n">
        <v>1400</v>
      </c>
      <c r="E432" s="21">
        <f>(C432+D432)/2</f>
        <v/>
      </c>
      <c r="F432" s="21">
        <f>D432-C432</f>
        <v/>
      </c>
      <c r="G432" s="22" t="inlineStr">
        <is>
          <t>主流市场报价</t>
        </is>
      </c>
      <c r="H432" s="23" t="inlineStr">
        <is>
          <t>打开原文</t>
        </is>
      </c>
    </row>
    <row r="433">
      <c r="A433" s="12" t="n">
        <v>427</v>
      </c>
      <c r="B433" s="13" t="n">
        <v>45926</v>
      </c>
      <c r="C433" s="14" t="n">
        <v>1100</v>
      </c>
      <c r="D433" s="14" t="n">
        <v>1400</v>
      </c>
      <c r="E433" s="15">
        <f>(C433+D433)/2</f>
        <v/>
      </c>
      <c r="F433" s="15">
        <f>D433-C433</f>
        <v/>
      </c>
      <c r="G433" s="16" t="inlineStr">
        <is>
          <t>主流市场报价</t>
        </is>
      </c>
      <c r="H433" s="17" t="inlineStr">
        <is>
          <t>打开原文</t>
        </is>
      </c>
    </row>
    <row r="434">
      <c r="A434" s="18" t="n">
        <v>428</v>
      </c>
      <c r="B434" s="19" t="n">
        <v>45929</v>
      </c>
      <c r="C434" s="20" t="n">
        <v>1100</v>
      </c>
      <c r="D434" s="20" t="n">
        <v>1400</v>
      </c>
      <c r="E434" s="21">
        <f>(C434+D434)/2</f>
        <v/>
      </c>
      <c r="F434" s="21">
        <f>D434-C434</f>
        <v/>
      </c>
      <c r="G434" s="22" t="inlineStr">
        <is>
          <t>主流市场报价</t>
        </is>
      </c>
      <c r="H434" s="23" t="inlineStr">
        <is>
          <t>打开原文</t>
        </is>
      </c>
    </row>
    <row r="435">
      <c r="A435" s="12" t="n">
        <v>429</v>
      </c>
      <c r="B435" s="13" t="n">
        <v>45930</v>
      </c>
      <c r="C435" s="14" t="n">
        <v>1100</v>
      </c>
      <c r="D435" s="14" t="n">
        <v>1400</v>
      </c>
      <c r="E435" s="15">
        <f>(C435+D435)/2</f>
        <v/>
      </c>
      <c r="F435" s="15">
        <f>D435-C435</f>
        <v/>
      </c>
      <c r="G435" s="16" t="inlineStr">
        <is>
          <t>主流市场报价</t>
        </is>
      </c>
      <c r="H435" s="17" t="inlineStr">
        <is>
          <t>打开原文</t>
        </is>
      </c>
    </row>
    <row r="436">
      <c r="A436" s="18" t="n">
        <v>430</v>
      </c>
      <c r="B436" s="19" t="n">
        <v>45939</v>
      </c>
      <c r="C436" s="20" t="n">
        <v>1100</v>
      </c>
      <c r="D436" s="20" t="n">
        <v>1400</v>
      </c>
      <c r="E436" s="21">
        <f>(C436+D436)/2</f>
        <v/>
      </c>
      <c r="F436" s="21">
        <f>D436-C436</f>
        <v/>
      </c>
      <c r="G436" s="22" t="inlineStr">
        <is>
          <t>主流市场报价</t>
        </is>
      </c>
      <c r="H436" s="23" t="inlineStr">
        <is>
          <t>打开原文</t>
        </is>
      </c>
    </row>
    <row r="437">
      <c r="A437" s="12" t="n">
        <v>431</v>
      </c>
      <c r="B437" s="13" t="n">
        <v>45941</v>
      </c>
      <c r="C437" s="14" t="n">
        <v>1100</v>
      </c>
      <c r="D437" s="14" t="n">
        <v>1400</v>
      </c>
      <c r="E437" s="15">
        <f>(C437+D437)/2</f>
        <v/>
      </c>
      <c r="F437" s="15">
        <f>D437-C437</f>
        <v/>
      </c>
      <c r="G437" s="16" t="inlineStr">
        <is>
          <t>主流市场报价</t>
        </is>
      </c>
      <c r="H437" s="17" t="inlineStr">
        <is>
          <t>打开原文</t>
        </is>
      </c>
    </row>
    <row r="438">
      <c r="A438" s="18" t="n">
        <v>432</v>
      </c>
      <c r="B438" s="19" t="n">
        <v>45957</v>
      </c>
      <c r="C438" s="20" t="n">
        <v>1100</v>
      </c>
      <c r="D438" s="20" t="n">
        <v>1400</v>
      </c>
      <c r="E438" s="21">
        <f>(C438+D438)/2</f>
        <v/>
      </c>
      <c r="F438" s="21">
        <f>D438-C438</f>
        <v/>
      </c>
      <c r="G438" s="22" t="inlineStr">
        <is>
          <t>主流市场报价</t>
        </is>
      </c>
      <c r="H438" s="23" t="inlineStr">
        <is>
          <t>打开原文</t>
        </is>
      </c>
    </row>
    <row r="439">
      <c r="A439" s="12" t="n">
        <v>433</v>
      </c>
      <c r="B439" s="13" t="n">
        <v>45958</v>
      </c>
      <c r="C439" s="14" t="n">
        <v>1100</v>
      </c>
      <c r="D439" s="14" t="n">
        <v>1400</v>
      </c>
      <c r="E439" s="15">
        <f>(C439+D439)/2</f>
        <v/>
      </c>
      <c r="F439" s="15">
        <f>D439-C439</f>
        <v/>
      </c>
      <c r="G439" s="16" t="inlineStr">
        <is>
          <t>主流市场报价</t>
        </is>
      </c>
      <c r="H439" s="17" t="inlineStr">
        <is>
          <t>打开原文</t>
        </is>
      </c>
    </row>
    <row r="440">
      <c r="A440" s="18" t="n">
        <v>434</v>
      </c>
      <c r="B440" s="19" t="n">
        <v>45959</v>
      </c>
      <c r="C440" s="20" t="n">
        <v>1100</v>
      </c>
      <c r="D440" s="20" t="n">
        <v>1400</v>
      </c>
      <c r="E440" s="21">
        <f>(C440+D440)/2</f>
        <v/>
      </c>
      <c r="F440" s="21">
        <f>D440-C440</f>
        <v/>
      </c>
      <c r="G440" s="22" t="inlineStr">
        <is>
          <t>主流市场报价</t>
        </is>
      </c>
      <c r="H440" s="23" t="inlineStr">
        <is>
          <t>打开原文</t>
        </is>
      </c>
    </row>
    <row r="441">
      <c r="A441" s="12" t="n">
        <v>435</v>
      </c>
      <c r="B441" s="13" t="n">
        <v>45960</v>
      </c>
      <c r="C441" s="14" t="n">
        <v>1100</v>
      </c>
      <c r="D441" s="14" t="n">
        <v>1400</v>
      </c>
      <c r="E441" s="15">
        <f>(C441+D441)/2</f>
        <v/>
      </c>
      <c r="F441" s="15">
        <f>D441-C441</f>
        <v/>
      </c>
      <c r="G441" s="16" t="inlineStr">
        <is>
          <t>主流市场报价</t>
        </is>
      </c>
      <c r="H441" s="17" t="inlineStr">
        <is>
          <t>打开原文</t>
        </is>
      </c>
    </row>
    <row r="442">
      <c r="A442" s="18" t="n">
        <v>436</v>
      </c>
      <c r="B442" s="19" t="n">
        <v>45961</v>
      </c>
      <c r="C442" s="20" t="n">
        <v>1100</v>
      </c>
      <c r="D442" s="20" t="n">
        <v>1400</v>
      </c>
      <c r="E442" s="21">
        <f>(C442+D442)/2</f>
        <v/>
      </c>
      <c r="F442" s="21">
        <f>D442-C442</f>
        <v/>
      </c>
      <c r="G442" s="22" t="inlineStr">
        <is>
          <t>主流市场报价</t>
        </is>
      </c>
      <c r="H442" s="23" t="inlineStr">
        <is>
          <t>打开原文</t>
        </is>
      </c>
    </row>
    <row r="443">
      <c r="A443" s="12" t="n">
        <v>437</v>
      </c>
      <c r="B443" s="13" t="n">
        <v>45964</v>
      </c>
      <c r="C443" s="14" t="n">
        <v>1100</v>
      </c>
      <c r="D443" s="14" t="n">
        <v>1400</v>
      </c>
      <c r="E443" s="15">
        <f>(C443+D443)/2</f>
        <v/>
      </c>
      <c r="F443" s="15">
        <f>D443-C443</f>
        <v/>
      </c>
      <c r="G443" s="16" t="inlineStr">
        <is>
          <t>主流市场报价</t>
        </is>
      </c>
      <c r="H443" s="17" t="inlineStr">
        <is>
          <t>打开原文</t>
        </is>
      </c>
    </row>
    <row r="444">
      <c r="A444" s="18" t="n">
        <v>438</v>
      </c>
      <c r="B444" s="19" t="n">
        <v>45965</v>
      </c>
      <c r="C444" s="20" t="n">
        <v>1100</v>
      </c>
      <c r="D444" s="20" t="n">
        <v>1400</v>
      </c>
      <c r="E444" s="21">
        <f>(C444+D444)/2</f>
        <v/>
      </c>
      <c r="F444" s="21">
        <f>D444-C444</f>
        <v/>
      </c>
      <c r="G444" s="22" t="inlineStr">
        <is>
          <t>主流市场报价</t>
        </is>
      </c>
      <c r="H444" s="23" t="inlineStr">
        <is>
          <t>打开原文</t>
        </is>
      </c>
    </row>
    <row r="445">
      <c r="A445" s="12" t="n">
        <v>439</v>
      </c>
      <c r="B445" s="13" t="n">
        <v>45966</v>
      </c>
      <c r="C445" s="14" t="n">
        <v>1100</v>
      </c>
      <c r="D445" s="14" t="n">
        <v>1400</v>
      </c>
      <c r="E445" s="15">
        <f>(C445+D445)/2</f>
        <v/>
      </c>
      <c r="F445" s="15">
        <f>D445-C445</f>
        <v/>
      </c>
      <c r="G445" s="16" t="inlineStr">
        <is>
          <t>主流市场报价</t>
        </is>
      </c>
      <c r="H445" s="17" t="inlineStr">
        <is>
          <t>打开原文</t>
        </is>
      </c>
    </row>
    <row r="446">
      <c r="A446" s="18" t="n">
        <v>440</v>
      </c>
      <c r="B446" s="19" t="n">
        <v>45967</v>
      </c>
      <c r="C446" s="20" t="n">
        <v>1100</v>
      </c>
      <c r="D446" s="20" t="n">
        <v>1400</v>
      </c>
      <c r="E446" s="21">
        <f>(C446+D446)/2</f>
        <v/>
      </c>
      <c r="F446" s="21">
        <f>D446-C446</f>
        <v/>
      </c>
      <c r="G446" s="22" t="inlineStr">
        <is>
          <t>主流市场报价</t>
        </is>
      </c>
      <c r="H446" s="23" t="inlineStr">
        <is>
          <t>打开原文</t>
        </is>
      </c>
    </row>
    <row r="447">
      <c r="A447" s="12" t="n">
        <v>441</v>
      </c>
      <c r="B447" s="13" t="n">
        <v>45968</v>
      </c>
      <c r="C447" s="14" t="n">
        <v>1100</v>
      </c>
      <c r="D447" s="14" t="n">
        <v>1400</v>
      </c>
      <c r="E447" s="15">
        <f>(C447+D447)/2</f>
        <v/>
      </c>
      <c r="F447" s="15">
        <f>D447-C447</f>
        <v/>
      </c>
      <c r="G447" s="16" t="inlineStr">
        <is>
          <t>主流市场报价</t>
        </is>
      </c>
      <c r="H447" s="17" t="inlineStr">
        <is>
          <t>打开原文</t>
        </is>
      </c>
    </row>
    <row r="448">
      <c r="A448" s="18" t="n">
        <v>442</v>
      </c>
      <c r="B448" s="19" t="n">
        <v>45971</v>
      </c>
      <c r="C448" s="20" t="n">
        <v>1120</v>
      </c>
      <c r="D448" s="20" t="n">
        <v>1400</v>
      </c>
      <c r="E448" s="21">
        <f>(C448+D448)/2</f>
        <v/>
      </c>
      <c r="F448" s="21">
        <f>D448-C448</f>
        <v/>
      </c>
      <c r="G448" s="22" t="inlineStr">
        <is>
          <t>主流市场报价</t>
        </is>
      </c>
      <c r="H448" s="23" t="inlineStr">
        <is>
          <t>打开原文</t>
        </is>
      </c>
    </row>
    <row r="449">
      <c r="A449" s="12" t="n">
        <v>443</v>
      </c>
      <c r="B449" s="13" t="n">
        <v>45972</v>
      </c>
      <c r="C449" s="14" t="n">
        <v>1120</v>
      </c>
      <c r="D449" s="14" t="n">
        <v>1400</v>
      </c>
      <c r="E449" s="15">
        <f>(C449+D449)/2</f>
        <v/>
      </c>
      <c r="F449" s="15">
        <f>D449-C449</f>
        <v/>
      </c>
      <c r="G449" s="16" t="inlineStr">
        <is>
          <t>主流市场报价</t>
        </is>
      </c>
      <c r="H449" s="17" t="inlineStr">
        <is>
          <t>打开原文</t>
        </is>
      </c>
    </row>
    <row r="450">
      <c r="A450" s="18" t="n">
        <v>444</v>
      </c>
      <c r="B450" s="19" t="n">
        <v>45973</v>
      </c>
      <c r="C450" s="20" t="n">
        <v>1120</v>
      </c>
      <c r="D450" s="20" t="n">
        <v>1400</v>
      </c>
      <c r="E450" s="21">
        <f>(C450+D450)/2</f>
        <v/>
      </c>
      <c r="F450" s="21">
        <f>D450-C450</f>
        <v/>
      </c>
      <c r="G450" s="22" t="inlineStr">
        <is>
          <t>主流市场报价</t>
        </is>
      </c>
      <c r="H450" s="23" t="inlineStr">
        <is>
          <t>打开原文</t>
        </is>
      </c>
    </row>
    <row r="451">
      <c r="A451" s="12" t="n">
        <v>445</v>
      </c>
      <c r="B451" s="13" t="n">
        <v>45974</v>
      </c>
      <c r="C451" s="14" t="n">
        <v>1120</v>
      </c>
      <c r="D451" s="14" t="n">
        <v>1400</v>
      </c>
      <c r="E451" s="15">
        <f>(C451+D451)/2</f>
        <v/>
      </c>
      <c r="F451" s="15">
        <f>D451-C451</f>
        <v/>
      </c>
      <c r="G451" s="16" t="inlineStr">
        <is>
          <t>主流市场报价</t>
        </is>
      </c>
      <c r="H451" s="17" t="inlineStr">
        <is>
          <t>打开原文</t>
        </is>
      </c>
    </row>
    <row r="452">
      <c r="A452" s="18" t="n">
        <v>446</v>
      </c>
      <c r="B452" s="19" t="n">
        <v>45975</v>
      </c>
      <c r="C452" s="20" t="n">
        <v>1120</v>
      </c>
      <c r="D452" s="20" t="n">
        <v>1400</v>
      </c>
      <c r="E452" s="21">
        <f>(C452+D452)/2</f>
        <v/>
      </c>
      <c r="F452" s="21">
        <f>D452-C452</f>
        <v/>
      </c>
      <c r="G452" s="22" t="inlineStr">
        <is>
          <t>主流市场报价</t>
        </is>
      </c>
      <c r="H452" s="23" t="inlineStr">
        <is>
          <t>打开原文</t>
        </is>
      </c>
    </row>
    <row r="453">
      <c r="A453" s="12" t="n">
        <v>447</v>
      </c>
      <c r="B453" s="13" t="n">
        <v>45978</v>
      </c>
      <c r="C453" s="14" t="n">
        <v>1120</v>
      </c>
      <c r="D453" s="14" t="n">
        <v>1400</v>
      </c>
      <c r="E453" s="15">
        <f>(C453+D453)/2</f>
        <v/>
      </c>
      <c r="F453" s="15">
        <f>D453-C453</f>
        <v/>
      </c>
      <c r="G453" s="16" t="inlineStr">
        <is>
          <t>主流市场报价</t>
        </is>
      </c>
      <c r="H453" s="17" t="inlineStr">
        <is>
          <t>打开原文</t>
        </is>
      </c>
    </row>
    <row r="454">
      <c r="A454" s="18" t="n">
        <v>448</v>
      </c>
      <c r="B454" s="19" t="n">
        <v>45980</v>
      </c>
      <c r="C454" s="20" t="n">
        <v>1150</v>
      </c>
      <c r="D454" s="20" t="n">
        <v>1450</v>
      </c>
      <c r="E454" s="21">
        <f>(C454+D454)/2</f>
        <v/>
      </c>
      <c r="F454" s="21">
        <f>D454-C454</f>
        <v/>
      </c>
      <c r="G454" s="22" t="inlineStr">
        <is>
          <t>主流市场报价</t>
        </is>
      </c>
      <c r="H454" s="23" t="inlineStr">
        <is>
          <t>打开原文</t>
        </is>
      </c>
    </row>
    <row r="455">
      <c r="A455" s="12" t="n">
        <v>449</v>
      </c>
      <c r="B455" s="13" t="n">
        <v>45982</v>
      </c>
      <c r="C455" s="14" t="n">
        <v>1150</v>
      </c>
      <c r="D455" s="14" t="n">
        <v>1450</v>
      </c>
      <c r="E455" s="15">
        <f>(C455+D455)/2</f>
        <v/>
      </c>
      <c r="F455" s="15">
        <f>D455-C455</f>
        <v/>
      </c>
      <c r="G455" s="16" t="inlineStr">
        <is>
          <t>主流市场报价</t>
        </is>
      </c>
      <c r="H455" s="17" t="inlineStr">
        <is>
          <t>打开原文</t>
        </is>
      </c>
    </row>
    <row r="456">
      <c r="A456" s="18" t="n">
        <v>450</v>
      </c>
      <c r="B456" s="19" t="n">
        <v>45985</v>
      </c>
      <c r="C456" s="20" t="n">
        <v>1150</v>
      </c>
      <c r="D456" s="20" t="n">
        <v>1500</v>
      </c>
      <c r="E456" s="21">
        <f>(C456+D456)/2</f>
        <v/>
      </c>
      <c r="F456" s="21">
        <f>D456-C456</f>
        <v/>
      </c>
      <c r="G456" s="22" t="inlineStr">
        <is>
          <t>主流市场报价</t>
        </is>
      </c>
      <c r="H456" s="23" t="inlineStr">
        <is>
          <t>打开原文</t>
        </is>
      </c>
    </row>
    <row r="457">
      <c r="A457" s="12" t="n">
        <v>451</v>
      </c>
      <c r="B457" s="13" t="n">
        <v>45986</v>
      </c>
      <c r="C457" s="14" t="n">
        <v>1150</v>
      </c>
      <c r="D457" s="14" t="n">
        <v>1500</v>
      </c>
      <c r="E457" s="15">
        <f>(C457+D457)/2</f>
        <v/>
      </c>
      <c r="F457" s="15">
        <f>D457-C457</f>
        <v/>
      </c>
      <c r="G457" s="16" t="inlineStr">
        <is>
          <t>主流市场报价</t>
        </is>
      </c>
      <c r="H457" s="17" t="inlineStr">
        <is>
          <t>打开原文</t>
        </is>
      </c>
    </row>
    <row r="458">
      <c r="A458" s="18" t="n">
        <v>452</v>
      </c>
      <c r="B458" s="19" t="n">
        <v>45987</v>
      </c>
      <c r="C458" s="20" t="n">
        <v>1180</v>
      </c>
      <c r="D458" s="20" t="n">
        <v>1550</v>
      </c>
      <c r="E458" s="21">
        <f>(C458+D458)/2</f>
        <v/>
      </c>
      <c r="F458" s="21">
        <f>D458-C458</f>
        <v/>
      </c>
      <c r="G458" s="22" t="inlineStr">
        <is>
          <t>主流市场报价</t>
        </is>
      </c>
      <c r="H458" s="23" t="inlineStr">
        <is>
          <t>打开原文</t>
        </is>
      </c>
    </row>
    <row r="459">
      <c r="A459" s="12" t="n">
        <v>453</v>
      </c>
      <c r="B459" s="13" t="n">
        <v>45988</v>
      </c>
      <c r="C459" s="14" t="n">
        <v>1180</v>
      </c>
      <c r="D459" s="14" t="n">
        <v>1550</v>
      </c>
      <c r="E459" s="15">
        <f>(C459+D459)/2</f>
        <v/>
      </c>
      <c r="F459" s="15">
        <f>D459-C459</f>
        <v/>
      </c>
      <c r="G459" s="16" t="inlineStr">
        <is>
          <t>主流市场报价</t>
        </is>
      </c>
      <c r="H459" s="17" t="inlineStr">
        <is>
          <t>打开原文</t>
        </is>
      </c>
    </row>
    <row r="460">
      <c r="A460" s="18" t="n">
        <v>454</v>
      </c>
      <c r="B460" s="19" t="n">
        <v>45993</v>
      </c>
      <c r="C460" s="20" t="n">
        <v>1200</v>
      </c>
      <c r="D460" s="20" t="n">
        <v>1600</v>
      </c>
      <c r="E460" s="21">
        <f>(C460+D460)/2</f>
        <v/>
      </c>
      <c r="F460" s="21">
        <f>D460-C460</f>
        <v/>
      </c>
      <c r="G460" s="22" t="inlineStr">
        <is>
          <t>主流市场报价</t>
        </is>
      </c>
      <c r="H460" s="23" t="inlineStr">
        <is>
          <t>打开原文</t>
        </is>
      </c>
    </row>
    <row r="461">
      <c r="A461" s="12" t="n">
        <v>455</v>
      </c>
      <c r="B461" s="13" t="n">
        <v>45994</v>
      </c>
      <c r="C461" s="14" t="n">
        <v>1200</v>
      </c>
      <c r="D461" s="14" t="n">
        <v>1600</v>
      </c>
      <c r="E461" s="15">
        <f>(C461+D461)/2</f>
        <v/>
      </c>
      <c r="F461" s="15">
        <f>D461-C461</f>
        <v/>
      </c>
      <c r="G461" s="16" t="inlineStr">
        <is>
          <t>主流市场报价</t>
        </is>
      </c>
      <c r="H461" s="17" t="inlineStr">
        <is>
          <t>打开原文</t>
        </is>
      </c>
    </row>
    <row r="462">
      <c r="A462" s="18" t="n">
        <v>456</v>
      </c>
      <c r="B462" s="19" t="n">
        <v>45995</v>
      </c>
      <c r="C462" s="20" t="n">
        <v>1200</v>
      </c>
      <c r="D462" s="20" t="n">
        <v>1600</v>
      </c>
      <c r="E462" s="21">
        <f>(C462+D462)/2</f>
        <v/>
      </c>
      <c r="F462" s="21">
        <f>D462-C462</f>
        <v/>
      </c>
      <c r="G462" s="22" t="inlineStr">
        <is>
          <t>主流市场报价</t>
        </is>
      </c>
      <c r="H462" s="23" t="inlineStr">
        <is>
          <t>打开原文</t>
        </is>
      </c>
    </row>
    <row r="463">
      <c r="A463" s="12" t="n">
        <v>457</v>
      </c>
      <c r="B463" s="13" t="n">
        <v>45996</v>
      </c>
      <c r="C463" s="14" t="n">
        <v>1200</v>
      </c>
      <c r="D463" s="14" t="n">
        <v>1600</v>
      </c>
      <c r="E463" s="15">
        <f>(C463+D463)/2</f>
        <v/>
      </c>
      <c r="F463" s="15">
        <f>D463-C463</f>
        <v/>
      </c>
      <c r="G463" s="16" t="inlineStr">
        <is>
          <t>主流市场报价</t>
        </is>
      </c>
      <c r="H463" s="17" t="inlineStr">
        <is>
          <t>打开原文</t>
        </is>
      </c>
    </row>
    <row r="464">
      <c r="A464" s="18" t="n">
        <v>458</v>
      </c>
      <c r="B464" s="19" t="n">
        <v>46000</v>
      </c>
      <c r="C464" s="20" t="n">
        <v>1200</v>
      </c>
      <c r="D464" s="20" t="n">
        <v>1600</v>
      </c>
      <c r="E464" s="21">
        <f>(C464+D464)/2</f>
        <v/>
      </c>
      <c r="F464" s="21">
        <f>D464-C464</f>
        <v/>
      </c>
      <c r="G464" s="22" t="inlineStr">
        <is>
          <t>主流市场报价</t>
        </is>
      </c>
      <c r="H464" s="23" t="inlineStr">
        <is>
          <t>打开原文</t>
        </is>
      </c>
    </row>
    <row r="465">
      <c r="A465" s="12" t="n">
        <v>459</v>
      </c>
      <c r="B465" s="13" t="n">
        <v>46001</v>
      </c>
      <c r="C465" s="14" t="n">
        <v>1200</v>
      </c>
      <c r="D465" s="14" t="n">
        <v>1600</v>
      </c>
      <c r="E465" s="15">
        <f>(C465+D465)/2</f>
        <v/>
      </c>
      <c r="F465" s="15">
        <f>D465-C465</f>
        <v/>
      </c>
      <c r="G465" s="16" t="inlineStr">
        <is>
          <t>主流市场报价</t>
        </is>
      </c>
      <c r="H465" s="17" t="inlineStr">
        <is>
          <t>打开原文</t>
        </is>
      </c>
    </row>
    <row r="466">
      <c r="A466" s="18" t="n">
        <v>460</v>
      </c>
      <c r="B466" s="19" t="n">
        <v>46002</v>
      </c>
      <c r="C466" s="20" t="n">
        <v>1200</v>
      </c>
      <c r="D466" s="20" t="n">
        <v>1600</v>
      </c>
      <c r="E466" s="21">
        <f>(C466+D466)/2</f>
        <v/>
      </c>
      <c r="F466" s="21">
        <f>D466-C466</f>
        <v/>
      </c>
      <c r="G466" s="22" t="inlineStr">
        <is>
          <t>主流市场报价</t>
        </is>
      </c>
      <c r="H466" s="23" t="inlineStr">
        <is>
          <t>打开原文</t>
        </is>
      </c>
    </row>
    <row r="467">
      <c r="A467" s="12" t="n">
        <v>461</v>
      </c>
      <c r="B467" s="13" t="n">
        <v>46003</v>
      </c>
      <c r="C467" s="14" t="n">
        <v>1200</v>
      </c>
      <c r="D467" s="14" t="n">
        <v>1600</v>
      </c>
      <c r="E467" s="15">
        <f>(C467+D467)/2</f>
        <v/>
      </c>
      <c r="F467" s="15">
        <f>D467-C467</f>
        <v/>
      </c>
      <c r="G467" s="16" t="inlineStr">
        <is>
          <t>主流市场报价</t>
        </is>
      </c>
      <c r="H467" s="17" t="inlineStr">
        <is>
          <t>打开原文</t>
        </is>
      </c>
    </row>
    <row r="468">
      <c r="A468" s="18" t="n">
        <v>462</v>
      </c>
      <c r="B468" s="19" t="n">
        <v>46006</v>
      </c>
      <c r="C468" s="20" t="n">
        <v>1200</v>
      </c>
      <c r="D468" s="20" t="n">
        <v>1600</v>
      </c>
      <c r="E468" s="21">
        <f>(C468+D468)/2</f>
        <v/>
      </c>
      <c r="F468" s="21">
        <f>D468-C468</f>
        <v/>
      </c>
      <c r="G468" s="22" t="inlineStr">
        <is>
          <t>主流市场报价</t>
        </is>
      </c>
      <c r="H468" s="23" t="inlineStr">
        <is>
          <t>打开原文</t>
        </is>
      </c>
    </row>
    <row r="469">
      <c r="A469" s="12" t="n">
        <v>463</v>
      </c>
      <c r="B469" s="13" t="n">
        <v>46007</v>
      </c>
      <c r="C469" s="14" t="n">
        <v>1200</v>
      </c>
      <c r="D469" s="14" t="n">
        <v>1600</v>
      </c>
      <c r="E469" s="15">
        <f>(C469+D469)/2</f>
        <v/>
      </c>
      <c r="F469" s="15">
        <f>D469-C469</f>
        <v/>
      </c>
      <c r="G469" s="16" t="inlineStr">
        <is>
          <t>主流市场报价</t>
        </is>
      </c>
      <c r="H469" s="17" t="inlineStr">
        <is>
          <t>打开原文</t>
        </is>
      </c>
    </row>
    <row r="470">
      <c r="A470" s="18" t="n">
        <v>464</v>
      </c>
      <c r="B470" s="19" t="n">
        <v>46008</v>
      </c>
      <c r="C470" s="20" t="n">
        <v>1200</v>
      </c>
      <c r="D470" s="20" t="n">
        <v>1600</v>
      </c>
      <c r="E470" s="21">
        <f>(C470+D470)/2</f>
        <v/>
      </c>
      <c r="F470" s="21">
        <f>D470-C470</f>
        <v/>
      </c>
      <c r="G470" s="22" t="inlineStr">
        <is>
          <t>主流市场报价</t>
        </is>
      </c>
      <c r="H470" s="23" t="inlineStr">
        <is>
          <t>打开原文</t>
        </is>
      </c>
    </row>
    <row r="471">
      <c r="A471" s="12" t="n">
        <v>465</v>
      </c>
      <c r="B471" s="13" t="n">
        <v>46009</v>
      </c>
      <c r="C471" s="14" t="n">
        <v>1180</v>
      </c>
      <c r="D471" s="14" t="n">
        <v>1600</v>
      </c>
      <c r="E471" s="15">
        <f>(C471+D471)/2</f>
        <v/>
      </c>
      <c r="F471" s="15">
        <f>D471-C471</f>
        <v/>
      </c>
      <c r="G471" s="16" t="inlineStr">
        <is>
          <t>主流市场报价</t>
        </is>
      </c>
      <c r="H471" s="17" t="inlineStr">
        <is>
          <t>打开原文</t>
        </is>
      </c>
    </row>
    <row r="472">
      <c r="A472" s="18" t="n">
        <v>466</v>
      </c>
      <c r="B472" s="19" t="n">
        <v>46010</v>
      </c>
      <c r="C472" s="20" t="n">
        <v>1180</v>
      </c>
      <c r="D472" s="20" t="n">
        <v>1600</v>
      </c>
      <c r="E472" s="21">
        <f>(C472+D472)/2</f>
        <v/>
      </c>
      <c r="F472" s="21">
        <f>D472-C472</f>
        <v/>
      </c>
      <c r="G472" s="22" t="inlineStr">
        <is>
          <t>主流市场报价</t>
        </is>
      </c>
      <c r="H472" s="23" t="inlineStr">
        <is>
          <t>打开原文</t>
        </is>
      </c>
    </row>
    <row r="473">
      <c r="A473" s="12" t="n">
        <v>467</v>
      </c>
      <c r="B473" s="13" t="n">
        <v>46014</v>
      </c>
      <c r="C473" s="14" t="n">
        <v>1180</v>
      </c>
      <c r="D473" s="14" t="n">
        <v>1600</v>
      </c>
      <c r="E473" s="15">
        <f>(C473+D473)/2</f>
        <v/>
      </c>
      <c r="F473" s="15">
        <f>D473-C473</f>
        <v/>
      </c>
      <c r="G473" s="16" t="inlineStr">
        <is>
          <t>主流市场报价</t>
        </is>
      </c>
      <c r="H473" s="17" t="inlineStr">
        <is>
          <t>打开原文</t>
        </is>
      </c>
    </row>
    <row r="474">
      <c r="A474" s="18" t="n">
        <v>468</v>
      </c>
      <c r="B474" s="19" t="n">
        <v>46015</v>
      </c>
      <c r="C474" s="20" t="n">
        <v>1160</v>
      </c>
      <c r="D474" s="20" t="n">
        <v>1600</v>
      </c>
      <c r="E474" s="21">
        <f>(C474+D474)/2</f>
        <v/>
      </c>
      <c r="F474" s="21">
        <f>D474-C474</f>
        <v/>
      </c>
      <c r="G474" s="22" t="inlineStr">
        <is>
          <t>主流市场报价</t>
        </is>
      </c>
      <c r="H474" s="23" t="inlineStr">
        <is>
          <t>打开原文</t>
        </is>
      </c>
    </row>
    <row r="475">
      <c r="A475" s="12" t="n">
        <v>469</v>
      </c>
      <c r="B475" s="13" t="n">
        <v>46016</v>
      </c>
      <c r="C475" s="14" t="n">
        <v>1140</v>
      </c>
      <c r="D475" s="14" t="n">
        <v>1600</v>
      </c>
      <c r="E475" s="15">
        <f>(C475+D475)/2</f>
        <v/>
      </c>
      <c r="F475" s="15">
        <f>D475-C475</f>
        <v/>
      </c>
      <c r="G475" s="16" t="inlineStr">
        <is>
          <t>主流市场报价</t>
        </is>
      </c>
      <c r="H475" s="17" t="inlineStr">
        <is>
          <t>打开原文</t>
        </is>
      </c>
    </row>
    <row r="476">
      <c r="A476" s="18" t="n">
        <v>470</v>
      </c>
      <c r="B476" s="19" t="n">
        <v>46020</v>
      </c>
      <c r="C476" s="20" t="n">
        <v>1140</v>
      </c>
      <c r="D476" s="20" t="n">
        <v>1600</v>
      </c>
      <c r="E476" s="21">
        <f>(C476+D476)/2</f>
        <v/>
      </c>
      <c r="F476" s="21">
        <f>D476-C476</f>
        <v/>
      </c>
      <c r="G476" s="22" t="inlineStr">
        <is>
          <t>主流市场报价</t>
        </is>
      </c>
      <c r="H476" s="23" t="inlineStr">
        <is>
          <t>打开原文</t>
        </is>
      </c>
    </row>
    <row r="477">
      <c r="A477" s="12" t="n">
        <v>471</v>
      </c>
      <c r="B477" s="13" t="n">
        <v>46022</v>
      </c>
      <c r="C477" s="14" t="n">
        <v>1140</v>
      </c>
      <c r="D477" s="14" t="n">
        <v>1600</v>
      </c>
      <c r="E477" s="15">
        <f>(C477+D477)/2</f>
        <v/>
      </c>
      <c r="F477" s="15">
        <f>D477-C477</f>
        <v/>
      </c>
      <c r="G477" s="16" t="inlineStr">
        <is>
          <t>主流市场报价</t>
        </is>
      </c>
      <c r="H477" s="17" t="inlineStr">
        <is>
          <t>打开原文</t>
        </is>
      </c>
    </row>
    <row r="478">
      <c r="A478" s="18" t="n">
        <v>472</v>
      </c>
      <c r="B478" s="19" t="n">
        <v>46026</v>
      </c>
      <c r="C478" s="20" t="n">
        <v>1120</v>
      </c>
      <c r="D478" s="20" t="n">
        <v>1560</v>
      </c>
      <c r="E478" s="21">
        <f>(C478+D478)/2</f>
        <v/>
      </c>
      <c r="F478" s="21">
        <f>D478-C478</f>
        <v/>
      </c>
      <c r="G478" s="22" t="inlineStr">
        <is>
          <t>主流市场报价</t>
        </is>
      </c>
      <c r="H478" s="23" t="inlineStr">
        <is>
          <t>打开原文</t>
        </is>
      </c>
    </row>
    <row r="479">
      <c r="A479" s="12" t="n">
        <v>473</v>
      </c>
      <c r="B479" s="13" t="n">
        <v>46027</v>
      </c>
      <c r="C479" s="14" t="n">
        <v>1120</v>
      </c>
      <c r="D479" s="14" t="n">
        <v>1560</v>
      </c>
      <c r="E479" s="15">
        <f>(C479+D479)/2</f>
        <v/>
      </c>
      <c r="F479" s="15">
        <f>D479-C479</f>
        <v/>
      </c>
      <c r="G479" s="16" t="inlineStr">
        <is>
          <t>主流市场报价</t>
        </is>
      </c>
      <c r="H479" s="17" t="inlineStr">
        <is>
          <t>打开原文</t>
        </is>
      </c>
    </row>
    <row r="480">
      <c r="A480" s="18" t="n">
        <v>474</v>
      </c>
      <c r="B480" s="19" t="n">
        <v>46029</v>
      </c>
      <c r="C480" s="20" t="n">
        <v>1120</v>
      </c>
      <c r="D480" s="20" t="n">
        <v>1560</v>
      </c>
      <c r="E480" s="21">
        <f>(C480+D480)/2</f>
        <v/>
      </c>
      <c r="F480" s="21">
        <f>D480-C480</f>
        <v/>
      </c>
      <c r="G480" s="22" t="inlineStr">
        <is>
          <t>主流市场报价</t>
        </is>
      </c>
      <c r="H480" s="23" t="inlineStr">
        <is>
          <t>打开原文</t>
        </is>
      </c>
    </row>
    <row r="481">
      <c r="A481" s="12" t="n">
        <v>475</v>
      </c>
      <c r="B481" s="13" t="n">
        <v>46034</v>
      </c>
      <c r="C481" s="14" t="n">
        <v>1120</v>
      </c>
      <c r="D481" s="14" t="n">
        <v>1560</v>
      </c>
      <c r="E481" s="15">
        <f>(C481+D481)/2</f>
        <v/>
      </c>
      <c r="F481" s="15">
        <f>D481-C481</f>
        <v/>
      </c>
      <c r="G481" s="16" t="inlineStr">
        <is>
          <t>主流市场报价</t>
        </is>
      </c>
      <c r="H481" s="17" t="inlineStr">
        <is>
          <t>打开原文</t>
        </is>
      </c>
    </row>
    <row r="482">
      <c r="A482" s="18" t="n">
        <v>476</v>
      </c>
      <c r="B482" s="19" t="n">
        <v>46035</v>
      </c>
      <c r="C482" s="20" t="n">
        <v>1120</v>
      </c>
      <c r="D482" s="20" t="n">
        <v>1560</v>
      </c>
      <c r="E482" s="21">
        <f>(C482+D482)/2</f>
        <v/>
      </c>
      <c r="F482" s="21">
        <f>D482-C482</f>
        <v/>
      </c>
      <c r="G482" s="22" t="inlineStr">
        <is>
          <t>主流市场报价</t>
        </is>
      </c>
      <c r="H482" s="23" t="inlineStr">
        <is>
          <t>打开原文</t>
        </is>
      </c>
    </row>
    <row r="483">
      <c r="A483" s="12" t="n">
        <v>477</v>
      </c>
      <c r="B483" s="13" t="n">
        <v>46038</v>
      </c>
      <c r="C483" s="14" t="n">
        <v>1120</v>
      </c>
      <c r="D483" s="14" t="n">
        <v>1560</v>
      </c>
      <c r="E483" s="15">
        <f>(C483+D483)/2</f>
        <v/>
      </c>
      <c r="F483" s="15">
        <f>D483-C483</f>
        <v/>
      </c>
      <c r="G483" s="16" t="inlineStr">
        <is>
          <t>主流市场报价</t>
        </is>
      </c>
      <c r="H483" s="17" t="inlineStr">
        <is>
          <t>打开原文</t>
        </is>
      </c>
    </row>
    <row r="484">
      <c r="A484" s="18" t="n">
        <v>478</v>
      </c>
      <c r="B484" s="19" t="n">
        <v>46041</v>
      </c>
      <c r="C484" s="20" t="n">
        <v>1120</v>
      </c>
      <c r="D484" s="20" t="n">
        <v>1560</v>
      </c>
      <c r="E484" s="21">
        <f>(C484+D484)/2</f>
        <v/>
      </c>
      <c r="F484" s="21">
        <f>D484-C484</f>
        <v/>
      </c>
      <c r="G484" s="22" t="inlineStr">
        <is>
          <t>主流市场报价</t>
        </is>
      </c>
      <c r="H484" s="23" t="inlineStr">
        <is>
          <t>打开原文</t>
        </is>
      </c>
    </row>
    <row r="485">
      <c r="A485" s="12" t="n">
        <v>479</v>
      </c>
      <c r="B485" s="13" t="n">
        <v>46043</v>
      </c>
      <c r="C485" s="14" t="n">
        <v>1120</v>
      </c>
      <c r="D485" s="14" t="n">
        <v>1560</v>
      </c>
      <c r="E485" s="15">
        <f>(C485+D485)/2</f>
        <v/>
      </c>
      <c r="F485" s="15">
        <f>D485-C485</f>
        <v/>
      </c>
      <c r="G485" s="16" t="inlineStr">
        <is>
          <t>主流市场报价</t>
        </is>
      </c>
      <c r="H485" s="17" t="inlineStr">
        <is>
          <t>打开原文</t>
        </is>
      </c>
    </row>
    <row r="486">
      <c r="A486" s="18" t="n">
        <v>480</v>
      </c>
      <c r="B486" s="19" t="n">
        <v>46044</v>
      </c>
      <c r="C486" s="20" t="n">
        <v>1120</v>
      </c>
      <c r="D486" s="20" t="n">
        <v>1560</v>
      </c>
      <c r="E486" s="21">
        <f>(C486+D486)/2</f>
        <v/>
      </c>
      <c r="F486" s="21">
        <f>D486-C486</f>
        <v/>
      </c>
      <c r="G486" s="22" t="inlineStr">
        <is>
          <t>主流市场报价</t>
        </is>
      </c>
      <c r="H486" s="23" t="inlineStr">
        <is>
          <t>打开原文</t>
        </is>
      </c>
    </row>
    <row r="487">
      <c r="A487" s="12" t="n">
        <v>481</v>
      </c>
      <c r="B487" s="13" t="n">
        <v>46045</v>
      </c>
      <c r="C487" s="14" t="n">
        <v>1120</v>
      </c>
      <c r="D487" s="14" t="n">
        <v>1560</v>
      </c>
      <c r="E487" s="15">
        <f>(C487+D487)/2</f>
        <v/>
      </c>
      <c r="F487" s="15">
        <f>D487-C487</f>
        <v/>
      </c>
      <c r="G487" s="16" t="inlineStr">
        <is>
          <t>主流市场报价</t>
        </is>
      </c>
      <c r="H487" s="17" t="inlineStr">
        <is>
          <t>打开原文</t>
        </is>
      </c>
    </row>
    <row r="488">
      <c r="A488" s="18" t="n">
        <v>482</v>
      </c>
      <c r="B488" s="19" t="n">
        <v>46048</v>
      </c>
      <c r="C488" s="20" t="n">
        <v>1120</v>
      </c>
      <c r="D488" s="20" t="n">
        <v>1560</v>
      </c>
      <c r="E488" s="21">
        <f>(C488+D488)/2</f>
        <v/>
      </c>
      <c r="F488" s="21">
        <f>D488-C488</f>
        <v/>
      </c>
      <c r="G488" s="22" t="inlineStr">
        <is>
          <t>主流市场报价</t>
        </is>
      </c>
      <c r="H488" s="23" t="inlineStr">
        <is>
          <t>打开原文</t>
        </is>
      </c>
    </row>
    <row r="489">
      <c r="A489" s="12" t="n">
        <v>483</v>
      </c>
      <c r="B489" s="13" t="n">
        <v>46050</v>
      </c>
      <c r="C489" s="14" t="n">
        <v>1120</v>
      </c>
      <c r="D489" s="14" t="n">
        <v>1560</v>
      </c>
      <c r="E489" s="15">
        <f>(C489+D489)/2</f>
        <v/>
      </c>
      <c r="F489" s="15">
        <f>D489-C489</f>
        <v/>
      </c>
      <c r="G489" s="16" t="inlineStr">
        <is>
          <t>主流市场报价</t>
        </is>
      </c>
      <c r="H489" s="17" t="inlineStr">
        <is>
          <t>打开原文</t>
        </is>
      </c>
    </row>
    <row r="490">
      <c r="A490" s="18" t="n">
        <v>484</v>
      </c>
      <c r="B490" s="19" t="n">
        <v>46051</v>
      </c>
      <c r="C490" s="20" t="n">
        <v>1120</v>
      </c>
      <c r="D490" s="20" t="n">
        <v>1560</v>
      </c>
      <c r="E490" s="21">
        <f>(C490+D490)/2</f>
        <v/>
      </c>
      <c r="F490" s="21">
        <f>D490-C490</f>
        <v/>
      </c>
      <c r="G490" s="22" t="inlineStr">
        <is>
          <t>主流市场报价</t>
        </is>
      </c>
      <c r="H490" s="23" t="inlineStr">
        <is>
          <t>打开原文</t>
        </is>
      </c>
    </row>
    <row r="491">
      <c r="A491" s="12" t="n">
        <v>485</v>
      </c>
      <c r="B491" s="13" t="n">
        <v>46052</v>
      </c>
      <c r="C491" s="14" t="n">
        <v>1120</v>
      </c>
      <c r="D491" s="14" t="n">
        <v>1560</v>
      </c>
      <c r="E491" s="15">
        <f>(C491+D491)/2</f>
        <v/>
      </c>
      <c r="F491" s="15">
        <f>D491-C491</f>
        <v/>
      </c>
      <c r="G491" s="16" t="inlineStr">
        <is>
          <t>主流市场报价</t>
        </is>
      </c>
      <c r="H491" s="17" t="inlineStr">
        <is>
          <t>打开原文</t>
        </is>
      </c>
    </row>
    <row r="492">
      <c r="A492" s="18" t="n">
        <v>486</v>
      </c>
      <c r="B492" s="19" t="n">
        <v>46055</v>
      </c>
      <c r="C492" s="20" t="n">
        <v>1120</v>
      </c>
      <c r="D492" s="20" t="n">
        <v>1560</v>
      </c>
      <c r="E492" s="21">
        <f>(C492+D492)/2</f>
        <v/>
      </c>
      <c r="F492" s="21">
        <f>D492-C492</f>
        <v/>
      </c>
      <c r="G492" s="22" t="inlineStr">
        <is>
          <t>主流市场报价</t>
        </is>
      </c>
      <c r="H492" s="23" t="inlineStr">
        <is>
          <t>打开原文</t>
        </is>
      </c>
    </row>
    <row r="493">
      <c r="A493" s="12" t="n">
        <v>487</v>
      </c>
      <c r="B493" s="13" t="n">
        <v>46057</v>
      </c>
      <c r="C493" s="14" t="n">
        <v>1120</v>
      </c>
      <c r="D493" s="14" t="n">
        <v>1560</v>
      </c>
      <c r="E493" s="15">
        <f>(C493+D493)/2</f>
        <v/>
      </c>
      <c r="F493" s="15">
        <f>D493-C493</f>
        <v/>
      </c>
      <c r="G493" s="16" t="inlineStr">
        <is>
          <t>主流市场报价</t>
        </is>
      </c>
      <c r="H493" s="17" t="inlineStr">
        <is>
          <t>打开原文</t>
        </is>
      </c>
    </row>
    <row r="494">
      <c r="A494" s="18" t="n">
        <v>488</v>
      </c>
      <c r="B494" s="19" t="n">
        <v>46058</v>
      </c>
      <c r="C494" s="20" t="n">
        <v>1120</v>
      </c>
      <c r="D494" s="20" t="n">
        <v>1560</v>
      </c>
      <c r="E494" s="21">
        <f>(C494+D494)/2</f>
        <v/>
      </c>
      <c r="F494" s="21">
        <f>D494-C494</f>
        <v/>
      </c>
      <c r="G494" s="22" t="inlineStr">
        <is>
          <t>主流市场报价</t>
        </is>
      </c>
      <c r="H494" s="23" t="inlineStr">
        <is>
          <t>打开原文</t>
        </is>
      </c>
    </row>
    <row r="495">
      <c r="A495" s="12" t="n">
        <v>489</v>
      </c>
      <c r="B495" s="13" t="n">
        <v>46064</v>
      </c>
      <c r="C495" s="14" t="n">
        <v>1120</v>
      </c>
      <c r="D495" s="14" t="n">
        <v>1560</v>
      </c>
      <c r="E495" s="15">
        <f>(C495+D495)/2</f>
        <v/>
      </c>
      <c r="F495" s="15">
        <f>D495-C495</f>
        <v/>
      </c>
      <c r="G495" s="16" t="inlineStr">
        <is>
          <t>主流市场报价</t>
        </is>
      </c>
      <c r="H495" s="17" t="inlineStr">
        <is>
          <t>打开原文</t>
        </is>
      </c>
    </row>
    <row r="496">
      <c r="A496" s="18" t="n">
        <v>490</v>
      </c>
      <c r="B496" s="19" t="n">
        <v>46065</v>
      </c>
      <c r="C496" s="20" t="n">
        <v>1120</v>
      </c>
      <c r="D496" s="20" t="n">
        <v>1560</v>
      </c>
      <c r="E496" s="21">
        <f>(C496+D496)/2</f>
        <v/>
      </c>
      <c r="F496" s="21">
        <f>D496-C496</f>
        <v/>
      </c>
      <c r="G496" s="22" t="inlineStr">
        <is>
          <t>主流市场报价</t>
        </is>
      </c>
      <c r="H496" s="23" t="inlineStr">
        <is>
          <t>打开原文</t>
        </is>
      </c>
    </row>
    <row r="497">
      <c r="A497" s="12" t="n">
        <v>491</v>
      </c>
      <c r="B497" s="13" t="n">
        <v>46066</v>
      </c>
      <c r="C497" s="14" t="n">
        <v>1120</v>
      </c>
      <c r="D497" s="14" t="n">
        <v>1560</v>
      </c>
      <c r="E497" s="15">
        <f>(C497+D497)/2</f>
        <v/>
      </c>
      <c r="F497" s="15">
        <f>D497-C497</f>
        <v/>
      </c>
      <c r="G497" s="16" t="inlineStr">
        <is>
          <t>主流市场报价</t>
        </is>
      </c>
      <c r="H497" s="17" t="inlineStr">
        <is>
          <t>打开原文</t>
        </is>
      </c>
    </row>
    <row r="498">
      <c r="A498" s="18" t="n">
        <v>492</v>
      </c>
      <c r="B498" s="19" t="n">
        <v>46077</v>
      </c>
      <c r="C498" s="20" t="n">
        <v>1120</v>
      </c>
      <c r="D498" s="20" t="n">
        <v>1560</v>
      </c>
      <c r="E498" s="21">
        <f>(C498+D498)/2</f>
        <v/>
      </c>
      <c r="F498" s="21">
        <f>D498-C498</f>
        <v/>
      </c>
      <c r="G498" s="22" t="inlineStr">
        <is>
          <t>主流市场报价</t>
        </is>
      </c>
      <c r="H498" s="23" t="inlineStr">
        <is>
          <t>打开原文</t>
        </is>
      </c>
    </row>
    <row r="499">
      <c r="A499" s="12" t="n">
        <v>493</v>
      </c>
      <c r="B499" s="13" t="n">
        <v>46078</v>
      </c>
      <c r="C499" s="14" t="n">
        <v>1120</v>
      </c>
      <c r="D499" s="14" t="n">
        <v>1560</v>
      </c>
      <c r="E499" s="15">
        <f>(C499+D499)/2</f>
        <v/>
      </c>
      <c r="F499" s="15">
        <f>D499-C499</f>
        <v/>
      </c>
      <c r="G499" s="16" t="inlineStr">
        <is>
          <t>主流市场报价</t>
        </is>
      </c>
      <c r="H499" s="17" t="inlineStr">
        <is>
          <t>打开原文</t>
        </is>
      </c>
    </row>
    <row r="500">
      <c r="A500" s="18" t="n">
        <v>494</v>
      </c>
      <c r="B500" s="19" t="n">
        <v>46080</v>
      </c>
      <c r="C500" s="20" t="n">
        <v>1120</v>
      </c>
      <c r="D500" s="20" t="n">
        <v>1560</v>
      </c>
      <c r="E500" s="21">
        <f>(C500+D500)/2</f>
        <v/>
      </c>
      <c r="F500" s="21">
        <f>D500-C500</f>
        <v/>
      </c>
      <c r="G500" s="22" t="inlineStr">
        <is>
          <t>主流市场报价</t>
        </is>
      </c>
      <c r="H500" s="23" t="inlineStr">
        <is>
          <t>打开原文</t>
        </is>
      </c>
    </row>
    <row r="501">
      <c r="A501" s="12" t="n">
        <v>495</v>
      </c>
      <c r="B501" s="13" t="n">
        <v>46081</v>
      </c>
      <c r="C501" s="14" t="n">
        <v>1120</v>
      </c>
      <c r="D501" s="14" t="n">
        <v>1560</v>
      </c>
      <c r="E501" s="15">
        <f>(C501+D501)/2</f>
        <v/>
      </c>
      <c r="F501" s="15">
        <f>D501-C501</f>
        <v/>
      </c>
      <c r="G501" s="16" t="inlineStr">
        <is>
          <t>主流市场报价（实单商谈）</t>
        </is>
      </c>
      <c r="H501" s="17" t="inlineStr">
        <is>
          <t>打开原文</t>
        </is>
      </c>
    </row>
    <row r="502">
      <c r="A502" s="18" t="n">
        <v>496</v>
      </c>
      <c r="B502" s="19" t="n">
        <v>46084</v>
      </c>
      <c r="C502" s="20" t="n">
        <v>1120</v>
      </c>
      <c r="D502" s="20" t="n">
        <v>1560</v>
      </c>
      <c r="E502" s="21">
        <f>(C502+D502)/2</f>
        <v/>
      </c>
      <c r="F502" s="21">
        <f>D502-C502</f>
        <v/>
      </c>
      <c r="G502" s="22" t="inlineStr">
        <is>
          <t>主流市场报价（实单商谈）</t>
        </is>
      </c>
      <c r="H502" s="23" t="inlineStr">
        <is>
          <t>打开原文</t>
        </is>
      </c>
    </row>
    <row r="503">
      <c r="A503" s="12" t="n">
        <v>497</v>
      </c>
      <c r="B503" s="13" t="n">
        <v>46085</v>
      </c>
      <c r="C503" s="14" t="n">
        <v>1120</v>
      </c>
      <c r="D503" s="14" t="n">
        <v>1560</v>
      </c>
      <c r="E503" s="15">
        <f>(C503+D503)/2</f>
        <v/>
      </c>
      <c r="F503" s="15">
        <f>D503-C503</f>
        <v/>
      </c>
      <c r="G503" s="16" t="inlineStr">
        <is>
          <t>主流市场报价（实单商谈）</t>
        </is>
      </c>
      <c r="H503" s="17" t="inlineStr">
        <is>
          <t>打开原文</t>
        </is>
      </c>
    </row>
    <row r="504">
      <c r="A504" s="18" t="n">
        <v>498</v>
      </c>
      <c r="B504" s="19" t="n">
        <v>46086</v>
      </c>
      <c r="C504" s="20" t="n">
        <v>1120</v>
      </c>
      <c r="D504" s="20" t="n">
        <v>1560</v>
      </c>
      <c r="E504" s="21">
        <f>(C504+D504)/2</f>
        <v/>
      </c>
      <c r="F504" s="21">
        <f>D504-C504</f>
        <v/>
      </c>
      <c r="G504" s="22" t="inlineStr">
        <is>
          <t>主流市场报价（实单商谈）</t>
        </is>
      </c>
      <c r="H504" s="23" t="inlineStr">
        <is>
          <t>打开原文</t>
        </is>
      </c>
    </row>
    <row r="505">
      <c r="A505" s="12" t="n">
        <v>499</v>
      </c>
      <c r="B505" s="13" t="n">
        <v>46087</v>
      </c>
      <c r="C505" s="14" t="n">
        <v>1120</v>
      </c>
      <c r="D505" s="14" t="n">
        <v>1560</v>
      </c>
      <c r="E505" s="15">
        <f>(C505+D505)/2</f>
        <v/>
      </c>
      <c r="F505" s="15">
        <f>D505-C505</f>
        <v/>
      </c>
      <c r="G505" s="16" t="inlineStr">
        <is>
          <t>主流市场报价（实单商谈）</t>
        </is>
      </c>
      <c r="H505" s="17" t="inlineStr">
        <is>
          <t>打开原文</t>
        </is>
      </c>
    </row>
    <row r="506">
      <c r="A506" s="18" t="n">
        <v>500</v>
      </c>
      <c r="B506" s="19" t="n">
        <v>46092</v>
      </c>
      <c r="C506" s="20" t="n">
        <v>1150</v>
      </c>
      <c r="D506" s="20" t="n">
        <v>1560</v>
      </c>
      <c r="E506" s="21">
        <f>(C506+D506)/2</f>
        <v/>
      </c>
      <c r="F506" s="21">
        <f>D506-C506</f>
        <v/>
      </c>
      <c r="G506" s="22" t="inlineStr">
        <is>
          <t>主流市场报价（实单商谈）</t>
        </is>
      </c>
      <c r="H506" s="23" t="inlineStr">
        <is>
          <t>打开原文</t>
        </is>
      </c>
    </row>
    <row r="507">
      <c r="A507" s="12" t="n">
        <v>501</v>
      </c>
      <c r="B507" s="13" t="n">
        <v>46093</v>
      </c>
      <c r="C507" s="14" t="n">
        <v>1150</v>
      </c>
      <c r="D507" s="14" t="n">
        <v>1560</v>
      </c>
      <c r="E507" s="15">
        <f>(C507+D507)/2</f>
        <v/>
      </c>
      <c r="F507" s="15">
        <f>D507-C507</f>
        <v/>
      </c>
      <c r="G507" s="16" t="inlineStr">
        <is>
          <t>主流市场报价（实单商谈）</t>
        </is>
      </c>
      <c r="H507" s="17" t="inlineStr">
        <is>
          <t>打开原文</t>
        </is>
      </c>
    </row>
    <row r="508">
      <c r="A508" s="18" t="n">
        <v>502</v>
      </c>
      <c r="B508" s="19" t="n">
        <v>46097</v>
      </c>
      <c r="C508" s="20" t="n">
        <v>1150</v>
      </c>
      <c r="D508" s="20" t="n">
        <v>1560</v>
      </c>
      <c r="E508" s="21">
        <f>(C508+D508)/2</f>
        <v/>
      </c>
      <c r="F508" s="21">
        <f>D508-C508</f>
        <v/>
      </c>
      <c r="G508" s="22" t="inlineStr">
        <is>
          <t>主流市场报价（实单商谈）</t>
        </is>
      </c>
      <c r="H508" s="23" t="inlineStr">
        <is>
          <t>打开原文</t>
        </is>
      </c>
    </row>
    <row r="509">
      <c r="A509" s="12" t="n">
        <v>503</v>
      </c>
      <c r="B509" s="13" t="n">
        <v>46098</v>
      </c>
      <c r="C509" s="14" t="n">
        <v>1150</v>
      </c>
      <c r="D509" s="14" t="n">
        <v>1560</v>
      </c>
      <c r="E509" s="15">
        <f>(C509+D509)/2</f>
        <v/>
      </c>
      <c r="F509" s="15">
        <f>D509-C509</f>
        <v/>
      </c>
      <c r="G509" s="16" t="inlineStr">
        <is>
          <t>主流市场报价（实单商谈）</t>
        </is>
      </c>
      <c r="H509" s="17" t="inlineStr">
        <is>
          <t>打开原文</t>
        </is>
      </c>
    </row>
    <row r="510">
      <c r="A510" s="18" t="n">
        <v>504</v>
      </c>
      <c r="B510" s="19" t="n">
        <v>46100</v>
      </c>
      <c r="C510" s="20" t="n">
        <v>1150</v>
      </c>
      <c r="D510" s="20" t="n">
        <v>1560</v>
      </c>
      <c r="E510" s="21">
        <f>(C510+D510)/2</f>
        <v/>
      </c>
      <c r="F510" s="21">
        <f>D510-C510</f>
        <v/>
      </c>
      <c r="G510" s="22" t="inlineStr">
        <is>
          <t>主流市场报价（实单商谈）</t>
        </is>
      </c>
      <c r="H510" s="23" t="inlineStr">
        <is>
          <t>打开原文</t>
        </is>
      </c>
    </row>
    <row r="511">
      <c r="A511" s="12" t="n">
        <v>505</v>
      </c>
      <c r="B511" s="13" t="n">
        <v>46104</v>
      </c>
      <c r="C511" s="14" t="n">
        <v>1150</v>
      </c>
      <c r="D511" s="14" t="n">
        <v>1560</v>
      </c>
      <c r="E511" s="15">
        <f>(C511+D511)/2</f>
        <v/>
      </c>
      <c r="F511" s="15">
        <f>D511-C511</f>
        <v/>
      </c>
      <c r="G511" s="16" t="inlineStr">
        <is>
          <t>主流市场报价（实单商谈）</t>
        </is>
      </c>
      <c r="H511" s="17" t="inlineStr">
        <is>
          <t>打开原文</t>
        </is>
      </c>
    </row>
    <row r="512">
      <c r="A512" s="18" t="n">
        <v>506</v>
      </c>
      <c r="B512" s="19" t="n">
        <v>46105</v>
      </c>
      <c r="C512" s="20" t="n">
        <v>1150</v>
      </c>
      <c r="D512" s="20" t="n">
        <v>1560</v>
      </c>
      <c r="E512" s="21">
        <f>(C512+D512)/2</f>
        <v/>
      </c>
      <c r="F512" s="21">
        <f>D512-C512</f>
        <v/>
      </c>
      <c r="G512" s="22" t="inlineStr">
        <is>
          <t>主流市场报价（实单商谈）</t>
        </is>
      </c>
      <c r="H512" s="23" t="inlineStr">
        <is>
          <t>打开原文</t>
        </is>
      </c>
    </row>
    <row r="513">
      <c r="A513" s="12" t="n">
        <v>507</v>
      </c>
      <c r="B513" s="13" t="n">
        <v>46107</v>
      </c>
      <c r="C513" s="14" t="n">
        <v>1150</v>
      </c>
      <c r="D513" s="14" t="n">
        <v>1560</v>
      </c>
      <c r="E513" s="15">
        <f>(C513+D513)/2</f>
        <v/>
      </c>
      <c r="F513" s="15">
        <f>D513-C513</f>
        <v/>
      </c>
      <c r="G513" s="16" t="inlineStr">
        <is>
          <t>主流市场报价（实单商谈）</t>
        </is>
      </c>
      <c r="H513" s="17" t="inlineStr">
        <is>
          <t>打开原文</t>
        </is>
      </c>
    </row>
    <row r="514">
      <c r="A514" s="18" t="n">
        <v>508</v>
      </c>
      <c r="B514" s="19" t="n">
        <v>46112</v>
      </c>
      <c r="C514" s="20" t="n">
        <v>1150</v>
      </c>
      <c r="D514" s="20" t="n">
        <v>1560</v>
      </c>
      <c r="E514" s="21">
        <f>(C514+D514)/2</f>
        <v/>
      </c>
      <c r="F514" s="21">
        <f>D514-C514</f>
        <v/>
      </c>
      <c r="G514" s="22" t="inlineStr">
        <is>
          <t>主流市场报价（实单商谈）</t>
        </is>
      </c>
      <c r="H514" s="23" t="inlineStr">
        <is>
          <t>打开原文</t>
        </is>
      </c>
    </row>
    <row r="515">
      <c r="A515" s="12" t="n">
        <v>509</v>
      </c>
      <c r="B515" s="13" t="n">
        <v>46114</v>
      </c>
      <c r="C515" s="14" t="n">
        <v>1150</v>
      </c>
      <c r="D515" s="14" t="n">
        <v>1560</v>
      </c>
      <c r="E515" s="15">
        <f>(C515+D515)/2</f>
        <v/>
      </c>
      <c r="F515" s="15">
        <f>D515-C515</f>
        <v/>
      </c>
      <c r="G515" s="16" t="inlineStr">
        <is>
          <t>主流市场报价（实单商谈）</t>
        </is>
      </c>
      <c r="H515" s="17" t="inlineStr">
        <is>
          <t>打开原文</t>
        </is>
      </c>
    </row>
    <row r="516">
      <c r="A516" s="18" t="n">
        <v>510</v>
      </c>
      <c r="B516" s="19" t="n">
        <v>46119</v>
      </c>
      <c r="C516" s="20" t="n">
        <v>1150</v>
      </c>
      <c r="D516" s="20" t="n">
        <v>1560</v>
      </c>
      <c r="E516" s="21">
        <f>(C516+D516)/2</f>
        <v/>
      </c>
      <c r="F516" s="21">
        <f>D516-C516</f>
        <v/>
      </c>
      <c r="G516" s="22" t="inlineStr">
        <is>
          <t>主流市场报价（实单商谈）</t>
        </is>
      </c>
      <c r="H516" s="23" t="inlineStr">
        <is>
          <t>打开原文</t>
        </is>
      </c>
    </row>
    <row r="517">
      <c r="A517" s="12" t="n">
        <v>511</v>
      </c>
      <c r="B517" s="13" t="n">
        <v>46127</v>
      </c>
      <c r="C517" s="14" t="n">
        <v>1150</v>
      </c>
      <c r="D517" s="14" t="n">
        <v>1560</v>
      </c>
      <c r="E517" s="15">
        <f>(C517+D517)/2</f>
        <v/>
      </c>
      <c r="F517" s="15">
        <f>D517-C517</f>
        <v/>
      </c>
      <c r="G517" s="16" t="inlineStr">
        <is>
          <t>主流市场报价（实单商谈）</t>
        </is>
      </c>
      <c r="H517" s="17" t="inlineStr">
        <is>
          <t>打开原文</t>
        </is>
      </c>
    </row>
    <row r="518">
      <c r="A518" s="18" t="n">
        <v>512</v>
      </c>
      <c r="B518" s="19" t="n">
        <v>46134</v>
      </c>
      <c r="C518" s="20" t="n">
        <v>1150</v>
      </c>
      <c r="D518" s="20" t="n">
        <v>1560</v>
      </c>
      <c r="E518" s="21">
        <f>(C518+D518)/2</f>
        <v/>
      </c>
      <c r="F518" s="21">
        <f>D518-C518</f>
        <v/>
      </c>
      <c r="G518" s="22" t="inlineStr">
        <is>
          <t>主流市场报价（实单商谈）</t>
        </is>
      </c>
      <c r="H518" s="23" t="inlineStr">
        <is>
          <t>打开原文</t>
        </is>
      </c>
    </row>
    <row r="519">
      <c r="A519" s="12" t="n">
        <v>513</v>
      </c>
      <c r="B519" s="13" t="n">
        <v>46141</v>
      </c>
      <c r="C519" s="14" t="n">
        <v>1150</v>
      </c>
      <c r="D519" s="14" t="n">
        <v>1560</v>
      </c>
      <c r="E519" s="15">
        <f>(C519+D519)/2</f>
        <v/>
      </c>
      <c r="F519" s="15">
        <f>D519-C519</f>
        <v/>
      </c>
      <c r="G519" s="16" t="inlineStr">
        <is>
          <t>主流市场报价（实单商谈）</t>
        </is>
      </c>
      <c r="H519" s="17" t="inlineStr">
        <is>
          <t>打开原文</t>
        </is>
      </c>
    </row>
    <row r="520">
      <c r="A520" s="18" t="n">
        <v>514</v>
      </c>
      <c r="B520" s="19" t="n">
        <v>46151</v>
      </c>
      <c r="C520" s="20" t="n">
        <v>1150</v>
      </c>
      <c r="D520" s="20" t="n">
        <v>1560</v>
      </c>
      <c r="E520" s="21">
        <f>(C520+D520)/2</f>
        <v/>
      </c>
      <c r="F520" s="21">
        <f>D520-C520</f>
        <v/>
      </c>
      <c r="G520" s="22" t="inlineStr">
        <is>
          <t>主流市场报价（实单商谈）</t>
        </is>
      </c>
      <c r="H520" s="23" t="inlineStr">
        <is>
          <t>打开原文</t>
        </is>
      </c>
    </row>
    <row r="521">
      <c r="A521" s="12" t="n">
        <v>515</v>
      </c>
      <c r="B521" s="13" t="n">
        <v>46154</v>
      </c>
      <c r="C521" s="14" t="n">
        <v>1100</v>
      </c>
      <c r="D521" s="14" t="n">
        <v>1560</v>
      </c>
      <c r="E521" s="15">
        <f>(C521+D521)/2</f>
        <v/>
      </c>
      <c r="F521" s="15">
        <f>D521-C521</f>
        <v/>
      </c>
      <c r="G521" s="16" t="inlineStr">
        <is>
          <t>主流市场报价（实单商谈）</t>
        </is>
      </c>
      <c r="H521" s="17" t="inlineStr">
        <is>
          <t>打开原文</t>
        </is>
      </c>
    </row>
    <row r="522">
      <c r="A522" s="18" t="n">
        <v>516</v>
      </c>
      <c r="B522" s="19" t="n">
        <v>46161</v>
      </c>
      <c r="C522" s="20" t="n">
        <v>1100</v>
      </c>
      <c r="D522" s="20" t="n">
        <v>1560</v>
      </c>
      <c r="E522" s="21">
        <f>(C522+D522)/2</f>
        <v/>
      </c>
      <c r="F522" s="21">
        <f>D522-C522</f>
        <v/>
      </c>
      <c r="G522" s="22" t="inlineStr">
        <is>
          <t>主流市场报价（实单商谈）</t>
        </is>
      </c>
      <c r="H522" s="23" t="inlineStr">
        <is>
          <t>打开原文</t>
        </is>
      </c>
    </row>
    <row r="523">
      <c r="A523" s="12" t="n">
        <v>517</v>
      </c>
      <c r="B523" s="13" t="n">
        <v>46168</v>
      </c>
      <c r="C523" s="14" t="n">
        <v>1100</v>
      </c>
      <c r="D523" s="14" t="n">
        <v>1560</v>
      </c>
      <c r="E523" s="15">
        <f>(C523+D523)/2</f>
        <v/>
      </c>
      <c r="F523" s="15">
        <f>D523-C523</f>
        <v/>
      </c>
      <c r="G523" s="16" t="inlineStr">
        <is>
          <t>主流市场报价（实单商谈）</t>
        </is>
      </c>
      <c r="H523" s="17" t="inlineStr">
        <is>
          <t>打开原文</t>
        </is>
      </c>
    </row>
    <row r="524">
      <c r="A524" s="18" t="n">
        <v>518</v>
      </c>
      <c r="B524" s="19" t="n">
        <v>46175</v>
      </c>
      <c r="C524" s="20" t="n">
        <v>1080</v>
      </c>
      <c r="D524" s="20" t="n">
        <v>1560</v>
      </c>
      <c r="E524" s="21">
        <f>(C524+D524)/2</f>
        <v/>
      </c>
      <c r="F524" s="21">
        <f>D524-C524</f>
        <v/>
      </c>
      <c r="G524" s="22" t="inlineStr">
        <is>
          <t>主流市场报价（实单商谈）</t>
        </is>
      </c>
      <c r="H524" s="23" t="inlineStr">
        <is>
          <t>打开原文</t>
        </is>
      </c>
    </row>
    <row r="525">
      <c r="A525" s="12" t="n">
        <v>519</v>
      </c>
      <c r="B525" s="13" t="n">
        <v>46178</v>
      </c>
      <c r="C525" s="14" t="n">
        <v>1080</v>
      </c>
      <c r="D525" s="14" t="n">
        <v>1560</v>
      </c>
      <c r="E525" s="15">
        <f>(C525+D525)/2</f>
        <v/>
      </c>
      <c r="F525" s="15">
        <f>D525-C525</f>
        <v/>
      </c>
      <c r="G525" s="16" t="inlineStr">
        <is>
          <t>主流市场报价（实单商谈）</t>
        </is>
      </c>
      <c r="H525" s="17" t="inlineStr">
        <is>
          <t>打开原文</t>
        </is>
      </c>
    </row>
    <row r="526">
      <c r="A526" s="18" t="n">
        <v>520</v>
      </c>
      <c r="B526" s="19" t="n">
        <v>46182</v>
      </c>
      <c r="C526" s="20" t="n">
        <v>1080</v>
      </c>
      <c r="D526" s="20" t="n">
        <v>1560</v>
      </c>
      <c r="E526" s="21">
        <f>(C526+D526)/2</f>
        <v/>
      </c>
      <c r="F526" s="21">
        <f>D526-C526</f>
        <v/>
      </c>
      <c r="G526" s="22" t="inlineStr">
        <is>
          <t>主流市场报价（实单商谈）</t>
        </is>
      </c>
      <c r="H526" s="23" t="inlineStr">
        <is>
          <t>打开原文</t>
        </is>
      </c>
    </row>
    <row r="527">
      <c r="A527" s="12" t="n">
        <v>521</v>
      </c>
      <c r="B527" s="13" t="n">
        <v>46184</v>
      </c>
      <c r="C527" s="14" t="n">
        <v>1080</v>
      </c>
      <c r="D527" s="14" t="n">
        <v>1560</v>
      </c>
      <c r="E527" s="15">
        <f>(C527+D527)/2</f>
        <v/>
      </c>
      <c r="F527" s="15">
        <f>D527-C527</f>
        <v/>
      </c>
      <c r="G527" s="16" t="inlineStr">
        <is>
          <t>主流市场报价（实单商谈）</t>
        </is>
      </c>
      <c r="H527" s="17" t="inlineStr">
        <is>
          <t>打开原文</t>
        </is>
      </c>
    </row>
    <row r="528">
      <c r="A528" s="18" t="n">
        <v>522</v>
      </c>
      <c r="B528" s="19" t="n">
        <v>46188</v>
      </c>
      <c r="C528" s="20" t="n">
        <v>1080</v>
      </c>
      <c r="D528" s="20" t="n">
        <v>1560</v>
      </c>
      <c r="E528" s="21">
        <f>(C528+D528)/2</f>
        <v/>
      </c>
      <c r="F528" s="21">
        <f>D528-C528</f>
        <v/>
      </c>
      <c r="G528" s="22" t="inlineStr">
        <is>
          <t>主流市场报价（实单商谈）</t>
        </is>
      </c>
      <c r="H528" s="23" t="inlineStr">
        <is>
          <t>打开原文</t>
        </is>
      </c>
    </row>
    <row r="529">
      <c r="A529" s="12" t="n">
        <v>523</v>
      </c>
      <c r="B529" s="13" t="n">
        <v>46198</v>
      </c>
      <c r="C529" s="14" t="n">
        <v>1070</v>
      </c>
      <c r="D529" s="14" t="n">
        <v>1560</v>
      </c>
      <c r="E529" s="15">
        <f>(C529+D529)/2</f>
        <v/>
      </c>
      <c r="F529" s="15">
        <f>D529-C529</f>
        <v/>
      </c>
      <c r="G529" s="16" t="inlineStr">
        <is>
          <t>主流市场报价（实单商谈）</t>
        </is>
      </c>
      <c r="H529" s="17" t="inlineStr">
        <is>
          <t>打开原文</t>
        </is>
      </c>
    </row>
    <row r="530">
      <c r="A530" s="18" t="n">
        <v>524</v>
      </c>
      <c r="B530" s="19" t="n">
        <v>46204</v>
      </c>
      <c r="C530" s="20" t="n">
        <v>1070</v>
      </c>
      <c r="D530" s="20" t="n">
        <v>1560</v>
      </c>
      <c r="E530" s="21">
        <f>(C530+D530)/2</f>
        <v/>
      </c>
      <c r="F530" s="21">
        <f>D530-C530</f>
        <v/>
      </c>
      <c r="G530" s="22" t="inlineStr">
        <is>
          <t>主流市场报价（实单商谈）</t>
        </is>
      </c>
      <c r="H530" s="23" t="inlineStr">
        <is>
          <t>打开原文</t>
        </is>
      </c>
    </row>
    <row r="531">
      <c r="A531" s="12" t="n">
        <v>525</v>
      </c>
      <c r="B531" s="13" t="n">
        <v>46213</v>
      </c>
      <c r="C531" s="14" t="n">
        <v>1050</v>
      </c>
      <c r="D531" s="14" t="n">
        <v>1560</v>
      </c>
      <c r="E531" s="15">
        <f>(C531+D531)/2</f>
        <v/>
      </c>
      <c r="F531" s="15">
        <f>D531-C531</f>
        <v/>
      </c>
      <c r="G531" s="16" t="inlineStr">
        <is>
          <t>主流市场报价（实单商谈）</t>
        </is>
      </c>
      <c r="H531" s="17" t="inlineStr">
        <is>
          <t>打开原文</t>
        </is>
      </c>
    </row>
    <row r="532">
      <c r="A532" s="18" t="n">
        <v>526</v>
      </c>
      <c r="B532" s="19" t="n">
        <v>46220</v>
      </c>
      <c r="C532" s="20" t="n">
        <v>1050</v>
      </c>
      <c r="D532" s="20" t="n">
        <v>1560</v>
      </c>
      <c r="E532" s="21">
        <f>(C532+D532)/2</f>
        <v/>
      </c>
      <c r="F532" s="21">
        <f>D532-C532</f>
        <v/>
      </c>
      <c r="G532" s="22" t="inlineStr">
        <is>
          <t>主流市场报价（实单商谈）</t>
        </is>
      </c>
      <c r="H532" s="23" t="inlineStr">
        <is>
          <t>打开原文</t>
        </is>
      </c>
    </row>
    <row r="533">
      <c r="A533" s="12" t="n">
        <v>527</v>
      </c>
      <c r="B533" s="13" t="n">
        <v>46224</v>
      </c>
      <c r="C533" s="14" t="n">
        <v>1050</v>
      </c>
      <c r="D533" s="14" t="n">
        <v>1560</v>
      </c>
      <c r="E533" s="15">
        <f>(C533+D533)/2</f>
        <v/>
      </c>
      <c r="F533" s="15">
        <f>D533-C533</f>
        <v/>
      </c>
      <c r="G533" s="16" t="inlineStr">
        <is>
          <t>主流市场报价（实单商谈）</t>
        </is>
      </c>
      <c r="H533" s="17" t="inlineStr">
        <is>
          <t>打开原文</t>
        </is>
      </c>
    </row>
    <row r="534">
      <c r="A534" s="18" t="n">
        <v>528</v>
      </c>
      <c r="B534" s="19" t="n">
        <v>46231</v>
      </c>
      <c r="C534" s="20" t="n">
        <v>980</v>
      </c>
      <c r="D534" s="20" t="n">
        <v>1560</v>
      </c>
      <c r="E534" s="21">
        <f>(C534+D534)/2</f>
        <v/>
      </c>
      <c r="F534" s="21">
        <f>D534-C534</f>
        <v/>
      </c>
      <c r="G534" s="22" t="inlineStr">
        <is>
          <t>主流市场报价（实单商谈）</t>
        </is>
      </c>
      <c r="H534" s="23" t="inlineStr">
        <is>
          <t>打开原文</t>
        </is>
      </c>
    </row>
    <row r="535" ht="30" customHeight="1">
      <c r="A535" s="24" t="inlineStr">
        <is>
          <t>S2 华东 共 528 条观测（2023-02-13 至 2026-07-28）。</t>
        </is>
      </c>
      <c r="B535" s="25" t="n"/>
      <c r="C535" s="25" t="n"/>
      <c r="D535" s="25" t="n"/>
      <c r="E535" s="25" t="n"/>
      <c r="F535" s="25" t="n"/>
      <c r="G535" s="25" t="n"/>
      <c r="H535" s="25" t="n"/>
    </row>
    <row r="537" ht="22" customHeight="1">
      <c r="A537" s="26" t="inlineStr">
        <is>
          <t>S3 全国·重质纯碱·生意社基准价（单点）</t>
        </is>
      </c>
    </row>
    <row r="538" ht="30" customHeight="1">
      <c r="A538" s="9" t="inlineStr">
        <is>
          <t>序号</t>
        </is>
      </c>
      <c r="B538" s="9" t="inlineStr">
        <is>
          <t>日期</t>
        </is>
      </c>
      <c r="C538" s="9" t="inlineStr">
        <is>
          <t>基准价</t>
        </is>
      </c>
      <c r="D538" s="9" t="inlineStr"/>
      <c r="E538" s="9" t="inlineStr"/>
      <c r="F538" s="9" t="inlineStr"/>
      <c r="G538" s="9" t="inlineStr">
        <is>
          <t>口径</t>
        </is>
      </c>
      <c r="H538" s="9" t="inlineStr">
        <is>
          <t>原文链接</t>
        </is>
      </c>
    </row>
    <row r="539">
      <c r="A539" s="12" t="n">
        <v>1</v>
      </c>
      <c r="B539" s="13" t="n">
        <v>45239</v>
      </c>
      <c r="C539" s="14" t="n">
        <v>2360</v>
      </c>
      <c r="D539" s="27" t="n"/>
      <c r="E539" s="27" t="n"/>
      <c r="F539" s="27" t="n"/>
      <c r="G539" s="16" t="inlineStr">
        <is>
          <t>全国基准价</t>
        </is>
      </c>
      <c r="H539" s="17" t="inlineStr">
        <is>
          <t>打开原文</t>
        </is>
      </c>
    </row>
    <row r="540">
      <c r="A540" s="18" t="n">
        <v>2</v>
      </c>
      <c r="B540" s="19" t="n">
        <v>45240</v>
      </c>
      <c r="C540" s="20" t="n">
        <v>2340</v>
      </c>
      <c r="D540" s="28" t="n"/>
      <c r="E540" s="28" t="n"/>
      <c r="F540" s="28" t="n"/>
      <c r="G540" s="22" t="inlineStr">
        <is>
          <t>全国基准价</t>
        </is>
      </c>
      <c r="H540" s="23" t="inlineStr">
        <is>
          <t>打开原文</t>
        </is>
      </c>
    </row>
    <row r="541">
      <c r="A541" s="12" t="n">
        <v>3</v>
      </c>
      <c r="B541" s="13" t="n">
        <v>45243</v>
      </c>
      <c r="C541" s="14" t="n">
        <v>2340</v>
      </c>
      <c r="D541" s="27" t="n"/>
      <c r="E541" s="27" t="n"/>
      <c r="F541" s="27" t="n"/>
      <c r="G541" s="16" t="inlineStr">
        <is>
          <t>全国基准价</t>
        </is>
      </c>
      <c r="H541" s="17" t="inlineStr">
        <is>
          <t>打开原文</t>
        </is>
      </c>
    </row>
    <row r="542">
      <c r="A542" s="18" t="n">
        <v>4</v>
      </c>
      <c r="B542" s="19" t="n">
        <v>45244</v>
      </c>
      <c r="C542" s="20" t="n">
        <v>2340</v>
      </c>
      <c r="D542" s="28" t="n"/>
      <c r="E542" s="28" t="n"/>
      <c r="F542" s="28" t="n"/>
      <c r="G542" s="22" t="inlineStr">
        <is>
          <t>全国基准价</t>
        </is>
      </c>
      <c r="H542" s="23" t="inlineStr">
        <is>
          <t>打开原文</t>
        </is>
      </c>
    </row>
    <row r="543">
      <c r="A543" s="12" t="n">
        <v>5</v>
      </c>
      <c r="B543" s="13" t="n">
        <v>45245</v>
      </c>
      <c r="C543" s="14" t="n">
        <v>2360</v>
      </c>
      <c r="D543" s="27" t="n"/>
      <c r="E543" s="27" t="n"/>
      <c r="F543" s="27" t="n"/>
      <c r="G543" s="16" t="inlineStr">
        <is>
          <t>全国基准价</t>
        </is>
      </c>
      <c r="H543" s="17" t="inlineStr">
        <is>
          <t>打开原文</t>
        </is>
      </c>
    </row>
    <row r="544">
      <c r="A544" s="18" t="n">
        <v>6</v>
      </c>
      <c r="B544" s="19" t="n">
        <v>45246</v>
      </c>
      <c r="C544" s="20" t="n">
        <v>2370</v>
      </c>
      <c r="D544" s="28" t="n"/>
      <c r="E544" s="28" t="n"/>
      <c r="F544" s="28" t="n"/>
      <c r="G544" s="22" t="inlineStr">
        <is>
          <t>全国基准价</t>
        </is>
      </c>
      <c r="H544" s="23" t="inlineStr">
        <is>
          <t>打开原文</t>
        </is>
      </c>
    </row>
    <row r="545">
      <c r="A545" s="12" t="n">
        <v>7</v>
      </c>
      <c r="B545" s="13" t="n">
        <v>45247</v>
      </c>
      <c r="C545" s="14" t="n">
        <v>2370</v>
      </c>
      <c r="D545" s="27" t="n"/>
      <c r="E545" s="27" t="n"/>
      <c r="F545" s="27" t="n"/>
      <c r="G545" s="16" t="inlineStr">
        <is>
          <t>全国基准价</t>
        </is>
      </c>
      <c r="H545" s="17" t="inlineStr">
        <is>
          <t>打开原文</t>
        </is>
      </c>
    </row>
    <row r="546">
      <c r="A546" s="18" t="n">
        <v>8</v>
      </c>
      <c r="B546" s="19" t="n">
        <v>45250</v>
      </c>
      <c r="C546" s="20" t="n">
        <v>2370</v>
      </c>
      <c r="D546" s="28" t="n"/>
      <c r="E546" s="28" t="n"/>
      <c r="F546" s="28" t="n"/>
      <c r="G546" s="22" t="inlineStr">
        <is>
          <t>全国基准价</t>
        </is>
      </c>
      <c r="H546" s="23" t="inlineStr">
        <is>
          <t>打开原文</t>
        </is>
      </c>
    </row>
    <row r="547">
      <c r="A547" s="12" t="n">
        <v>9</v>
      </c>
      <c r="B547" s="13" t="n">
        <v>45251</v>
      </c>
      <c r="C547" s="14" t="n">
        <v>2410</v>
      </c>
      <c r="D547" s="27" t="n"/>
      <c r="E547" s="27" t="n"/>
      <c r="F547" s="27" t="n"/>
      <c r="G547" s="16" t="inlineStr">
        <is>
          <t>全国基准价</t>
        </is>
      </c>
      <c r="H547" s="17" t="inlineStr">
        <is>
          <t>打开原文</t>
        </is>
      </c>
    </row>
    <row r="548">
      <c r="A548" s="18" t="n">
        <v>10</v>
      </c>
      <c r="B548" s="19" t="n">
        <v>45252</v>
      </c>
      <c r="C548" s="20" t="n">
        <v>2450</v>
      </c>
      <c r="D548" s="28" t="n"/>
      <c r="E548" s="28" t="n"/>
      <c r="F548" s="28" t="n"/>
      <c r="G548" s="22" t="inlineStr">
        <is>
          <t>全国基准价</t>
        </is>
      </c>
      <c r="H548" s="23" t="inlineStr">
        <is>
          <t>打开原文</t>
        </is>
      </c>
    </row>
    <row r="549">
      <c r="A549" s="12" t="n">
        <v>11</v>
      </c>
      <c r="B549" s="13" t="n">
        <v>45253</v>
      </c>
      <c r="C549" s="14" t="n">
        <v>2490</v>
      </c>
      <c r="D549" s="27" t="n"/>
      <c r="E549" s="27" t="n"/>
      <c r="F549" s="27" t="n"/>
      <c r="G549" s="16" t="inlineStr">
        <is>
          <t>全国基准价</t>
        </is>
      </c>
      <c r="H549" s="17" t="inlineStr">
        <is>
          <t>打开原文</t>
        </is>
      </c>
    </row>
    <row r="550">
      <c r="A550" s="18" t="n">
        <v>12</v>
      </c>
      <c r="B550" s="19" t="n">
        <v>45254</v>
      </c>
      <c r="C550" s="20" t="n">
        <v>2490</v>
      </c>
      <c r="D550" s="28" t="n"/>
      <c r="E550" s="28" t="n"/>
      <c r="F550" s="28" t="n"/>
      <c r="G550" s="22" t="inlineStr">
        <is>
          <t>全国基准价</t>
        </is>
      </c>
      <c r="H550" s="23" t="inlineStr">
        <is>
          <t>打开原文</t>
        </is>
      </c>
    </row>
    <row r="551">
      <c r="A551" s="12" t="n">
        <v>13</v>
      </c>
      <c r="B551" s="13" t="n">
        <v>45257</v>
      </c>
      <c r="C551" s="14" t="n">
        <v>2490</v>
      </c>
      <c r="D551" s="27" t="n"/>
      <c r="E551" s="27" t="n"/>
      <c r="F551" s="27" t="n"/>
      <c r="G551" s="16" t="inlineStr">
        <is>
          <t>全国基准价</t>
        </is>
      </c>
      <c r="H551" s="17" t="inlineStr">
        <is>
          <t>打开原文</t>
        </is>
      </c>
    </row>
    <row r="552">
      <c r="A552" s="18" t="n">
        <v>14</v>
      </c>
      <c r="B552" s="19" t="n">
        <v>45258</v>
      </c>
      <c r="C552" s="20" t="n">
        <v>2560</v>
      </c>
      <c r="D552" s="28" t="n"/>
      <c r="E552" s="28" t="n"/>
      <c r="F552" s="28" t="n"/>
      <c r="G552" s="22" t="inlineStr">
        <is>
          <t>全国基准价</t>
        </is>
      </c>
      <c r="H552" s="23" t="inlineStr">
        <is>
          <t>打开原文</t>
        </is>
      </c>
    </row>
    <row r="553">
      <c r="A553" s="12" t="n">
        <v>15</v>
      </c>
      <c r="B553" s="13" t="n">
        <v>45259</v>
      </c>
      <c r="C553" s="14" t="n">
        <v>2630</v>
      </c>
      <c r="D553" s="27" t="n"/>
      <c r="E553" s="27" t="n"/>
      <c r="F553" s="27" t="n"/>
      <c r="G553" s="16" t="inlineStr">
        <is>
          <t>全国基准价</t>
        </is>
      </c>
      <c r="H553" s="17" t="inlineStr">
        <is>
          <t>打开原文</t>
        </is>
      </c>
    </row>
    <row r="554">
      <c r="A554" s="18" t="n">
        <v>16</v>
      </c>
      <c r="B554" s="19" t="n">
        <v>45260</v>
      </c>
      <c r="C554" s="20" t="n">
        <v>2670</v>
      </c>
      <c r="D554" s="28" t="n"/>
      <c r="E554" s="28" t="n"/>
      <c r="F554" s="28" t="n"/>
      <c r="G554" s="22" t="inlineStr">
        <is>
          <t>全国基准价</t>
        </is>
      </c>
      <c r="H554" s="23" t="inlineStr">
        <is>
          <t>打开原文</t>
        </is>
      </c>
    </row>
    <row r="555">
      <c r="A555" s="12" t="n">
        <v>17</v>
      </c>
      <c r="B555" s="13" t="n">
        <v>45261</v>
      </c>
      <c r="C555" s="14" t="n">
        <v>2730</v>
      </c>
      <c r="D555" s="27" t="n"/>
      <c r="E555" s="27" t="n"/>
      <c r="F555" s="27" t="n"/>
      <c r="G555" s="16" t="inlineStr">
        <is>
          <t>全国基准价</t>
        </is>
      </c>
      <c r="H555" s="17" t="inlineStr">
        <is>
          <t>打开原文</t>
        </is>
      </c>
    </row>
    <row r="556">
      <c r="A556" s="18" t="n">
        <v>18</v>
      </c>
      <c r="B556" s="19" t="n">
        <v>45264</v>
      </c>
      <c r="C556" s="20" t="n">
        <v>2770</v>
      </c>
      <c r="D556" s="28" t="n"/>
      <c r="E556" s="28" t="n"/>
      <c r="F556" s="28" t="n"/>
      <c r="G556" s="22" t="inlineStr">
        <is>
          <t>全国基准价</t>
        </is>
      </c>
      <c r="H556" s="23" t="inlineStr">
        <is>
          <t>打开原文</t>
        </is>
      </c>
    </row>
    <row r="557">
      <c r="A557" s="12" t="n">
        <v>19</v>
      </c>
      <c r="B557" s="13" t="n">
        <v>45265</v>
      </c>
      <c r="C557" s="14" t="n">
        <v>2820</v>
      </c>
      <c r="D557" s="27" t="n"/>
      <c r="E557" s="27" t="n"/>
      <c r="F557" s="27" t="n"/>
      <c r="G557" s="16" t="inlineStr">
        <is>
          <t>全国基准价</t>
        </is>
      </c>
      <c r="H557" s="17" t="inlineStr">
        <is>
          <t>打开原文</t>
        </is>
      </c>
    </row>
    <row r="558">
      <c r="A558" s="18" t="n">
        <v>20</v>
      </c>
      <c r="B558" s="19" t="n">
        <v>45266</v>
      </c>
      <c r="C558" s="20" t="n">
        <v>2840</v>
      </c>
      <c r="D558" s="28" t="n"/>
      <c r="E558" s="28" t="n"/>
      <c r="F558" s="28" t="n"/>
      <c r="G558" s="22" t="inlineStr">
        <is>
          <t>全国基准价</t>
        </is>
      </c>
      <c r="H558" s="23" t="inlineStr">
        <is>
          <t>打开原文</t>
        </is>
      </c>
    </row>
    <row r="559">
      <c r="A559" s="12" t="n">
        <v>21</v>
      </c>
      <c r="B559" s="13" t="n">
        <v>45267</v>
      </c>
      <c r="C559" s="14" t="n">
        <v>2870</v>
      </c>
      <c r="D559" s="27" t="n"/>
      <c r="E559" s="27" t="n"/>
      <c r="F559" s="27" t="n"/>
      <c r="G559" s="16" t="inlineStr">
        <is>
          <t>全国基准价</t>
        </is>
      </c>
      <c r="H559" s="17" t="inlineStr">
        <is>
          <t>打开原文</t>
        </is>
      </c>
    </row>
    <row r="560">
      <c r="A560" s="18" t="n">
        <v>22</v>
      </c>
      <c r="B560" s="19" t="n">
        <v>45268</v>
      </c>
      <c r="C560" s="20" t="n">
        <v>2870</v>
      </c>
      <c r="D560" s="28" t="n"/>
      <c r="E560" s="28" t="n"/>
      <c r="F560" s="28" t="n"/>
      <c r="G560" s="22" t="inlineStr">
        <is>
          <t>全国基准价</t>
        </is>
      </c>
      <c r="H560" s="23" t="inlineStr">
        <is>
          <t>打开原文</t>
        </is>
      </c>
    </row>
    <row r="561">
      <c r="A561" s="12" t="n">
        <v>23</v>
      </c>
      <c r="B561" s="13" t="n">
        <v>45271</v>
      </c>
      <c r="C561" s="14" t="n">
        <v>2870</v>
      </c>
      <c r="D561" s="27" t="n"/>
      <c r="E561" s="27" t="n"/>
      <c r="F561" s="27" t="n"/>
      <c r="G561" s="16" t="inlineStr">
        <is>
          <t>全国基准价</t>
        </is>
      </c>
      <c r="H561" s="17" t="inlineStr">
        <is>
          <t>打开原文</t>
        </is>
      </c>
    </row>
    <row r="562">
      <c r="A562" s="18" t="n">
        <v>24</v>
      </c>
      <c r="B562" s="19" t="n">
        <v>45272</v>
      </c>
      <c r="C562" s="20" t="n">
        <v>2870</v>
      </c>
      <c r="D562" s="28" t="n"/>
      <c r="E562" s="28" t="n"/>
      <c r="F562" s="28" t="n"/>
      <c r="G562" s="22" t="inlineStr">
        <is>
          <t>全国基准价</t>
        </is>
      </c>
      <c r="H562" s="23" t="inlineStr">
        <is>
          <t>打开原文</t>
        </is>
      </c>
    </row>
    <row r="563">
      <c r="A563" s="12" t="n">
        <v>25</v>
      </c>
      <c r="B563" s="13" t="n">
        <v>45273</v>
      </c>
      <c r="C563" s="14" t="n">
        <v>2910</v>
      </c>
      <c r="D563" s="27" t="n"/>
      <c r="E563" s="27" t="n"/>
      <c r="F563" s="27" t="n"/>
      <c r="G563" s="16" t="inlineStr">
        <is>
          <t>全国基准价</t>
        </is>
      </c>
      <c r="H563" s="17" t="inlineStr">
        <is>
          <t>打开原文</t>
        </is>
      </c>
    </row>
    <row r="564">
      <c r="A564" s="18" t="n">
        <v>26</v>
      </c>
      <c r="B564" s="19" t="n">
        <v>45274</v>
      </c>
      <c r="C564" s="20" t="n">
        <v>2910</v>
      </c>
      <c r="D564" s="28" t="n"/>
      <c r="E564" s="28" t="n"/>
      <c r="F564" s="28" t="n"/>
      <c r="G564" s="22" t="inlineStr">
        <is>
          <t>全国基准价</t>
        </is>
      </c>
      <c r="H564" s="23" t="inlineStr">
        <is>
          <t>打开原文</t>
        </is>
      </c>
    </row>
    <row r="565">
      <c r="A565" s="12" t="n">
        <v>27</v>
      </c>
      <c r="B565" s="13" t="n">
        <v>45275</v>
      </c>
      <c r="C565" s="14" t="n">
        <v>2910</v>
      </c>
      <c r="D565" s="27" t="n"/>
      <c r="E565" s="27" t="n"/>
      <c r="F565" s="27" t="n"/>
      <c r="G565" s="16" t="inlineStr">
        <is>
          <t>全国基准价</t>
        </is>
      </c>
      <c r="H565" s="17" t="inlineStr">
        <is>
          <t>打开原文</t>
        </is>
      </c>
    </row>
    <row r="566">
      <c r="A566" s="18" t="n">
        <v>28</v>
      </c>
      <c r="B566" s="19" t="n">
        <v>45278</v>
      </c>
      <c r="C566" s="20" t="n">
        <v>2910</v>
      </c>
      <c r="D566" s="28" t="n"/>
      <c r="E566" s="28" t="n"/>
      <c r="F566" s="28" t="n"/>
      <c r="G566" s="22" t="inlineStr">
        <is>
          <t>全国基准价</t>
        </is>
      </c>
      <c r="H566" s="23" t="inlineStr">
        <is>
          <t>打开原文</t>
        </is>
      </c>
    </row>
    <row r="567">
      <c r="A567" s="12" t="n">
        <v>29</v>
      </c>
      <c r="B567" s="13" t="n">
        <v>45279</v>
      </c>
      <c r="C567" s="14" t="n">
        <v>2910</v>
      </c>
      <c r="D567" s="27" t="n"/>
      <c r="E567" s="27" t="n"/>
      <c r="F567" s="27" t="n"/>
      <c r="G567" s="16" t="inlineStr">
        <is>
          <t>全国基准价</t>
        </is>
      </c>
      <c r="H567" s="17" t="inlineStr">
        <is>
          <t>打开原文</t>
        </is>
      </c>
    </row>
    <row r="568">
      <c r="A568" s="18" t="n">
        <v>30</v>
      </c>
      <c r="B568" s="19" t="n">
        <v>45280</v>
      </c>
      <c r="C568" s="20" t="n">
        <v>2910</v>
      </c>
      <c r="D568" s="28" t="n"/>
      <c r="E568" s="28" t="n"/>
      <c r="F568" s="28" t="n"/>
      <c r="G568" s="22" t="inlineStr">
        <is>
          <t>全国基准价</t>
        </is>
      </c>
      <c r="H568" s="23" t="inlineStr">
        <is>
          <t>打开原文</t>
        </is>
      </c>
    </row>
    <row r="569">
      <c r="A569" s="12" t="n">
        <v>31</v>
      </c>
      <c r="B569" s="13" t="n">
        <v>45281</v>
      </c>
      <c r="C569" s="14" t="n">
        <v>2910</v>
      </c>
      <c r="D569" s="27" t="n"/>
      <c r="E569" s="27" t="n"/>
      <c r="F569" s="27" t="n"/>
      <c r="G569" s="16" t="inlineStr">
        <is>
          <t>全国基准价</t>
        </is>
      </c>
      <c r="H569" s="17" t="inlineStr">
        <is>
          <t>打开原文</t>
        </is>
      </c>
    </row>
    <row r="570">
      <c r="A570" s="18" t="n">
        <v>32</v>
      </c>
      <c r="B570" s="19" t="n">
        <v>45282</v>
      </c>
      <c r="C570" s="20" t="n">
        <v>2910</v>
      </c>
      <c r="D570" s="28" t="n"/>
      <c r="E570" s="28" t="n"/>
      <c r="F570" s="28" t="n"/>
      <c r="G570" s="22" t="inlineStr">
        <is>
          <t>全国基准价</t>
        </is>
      </c>
      <c r="H570" s="23" t="inlineStr">
        <is>
          <t>打开原文</t>
        </is>
      </c>
    </row>
    <row r="571">
      <c r="A571" s="12" t="n">
        <v>33</v>
      </c>
      <c r="B571" s="13" t="n">
        <v>45285</v>
      </c>
      <c r="C571" s="14" t="n">
        <v>2910</v>
      </c>
      <c r="D571" s="27" t="n"/>
      <c r="E571" s="27" t="n"/>
      <c r="F571" s="27" t="n"/>
      <c r="G571" s="16" t="inlineStr">
        <is>
          <t>全国基准价</t>
        </is>
      </c>
      <c r="H571" s="17" t="inlineStr">
        <is>
          <t>打开原文</t>
        </is>
      </c>
    </row>
    <row r="572">
      <c r="A572" s="18" t="n">
        <v>34</v>
      </c>
      <c r="B572" s="19" t="n">
        <v>45286</v>
      </c>
      <c r="C572" s="20" t="n">
        <v>2910</v>
      </c>
      <c r="D572" s="28" t="n"/>
      <c r="E572" s="28" t="n"/>
      <c r="F572" s="28" t="n"/>
      <c r="G572" s="22" t="inlineStr">
        <is>
          <t>全国基准价</t>
        </is>
      </c>
      <c r="H572" s="23" t="inlineStr">
        <is>
          <t>打开原文</t>
        </is>
      </c>
    </row>
    <row r="573">
      <c r="A573" s="12" t="n">
        <v>35</v>
      </c>
      <c r="B573" s="13" t="n">
        <v>45287</v>
      </c>
      <c r="C573" s="14" t="n">
        <v>2910</v>
      </c>
      <c r="D573" s="27" t="n"/>
      <c r="E573" s="27" t="n"/>
      <c r="F573" s="27" t="n"/>
      <c r="G573" s="16" t="inlineStr">
        <is>
          <t>全国基准价</t>
        </is>
      </c>
      <c r="H573" s="17" t="inlineStr">
        <is>
          <t>打开原文</t>
        </is>
      </c>
    </row>
    <row r="574">
      <c r="A574" s="18" t="n">
        <v>36</v>
      </c>
      <c r="B574" s="19" t="n">
        <v>45288</v>
      </c>
      <c r="C574" s="20" t="n">
        <v>2910</v>
      </c>
      <c r="D574" s="28" t="n"/>
      <c r="E574" s="28" t="n"/>
      <c r="F574" s="28" t="n"/>
      <c r="G574" s="22" t="inlineStr">
        <is>
          <t>全国基准价</t>
        </is>
      </c>
      <c r="H574" s="23" t="inlineStr">
        <is>
          <t>打开原文</t>
        </is>
      </c>
    </row>
    <row r="575">
      <c r="A575" s="12" t="n">
        <v>37</v>
      </c>
      <c r="B575" s="13" t="n">
        <v>45289</v>
      </c>
      <c r="C575" s="14" t="n">
        <v>2910</v>
      </c>
      <c r="D575" s="27" t="n"/>
      <c r="E575" s="27" t="n"/>
      <c r="F575" s="27" t="n"/>
      <c r="G575" s="16" t="inlineStr">
        <is>
          <t>全国基准价</t>
        </is>
      </c>
      <c r="H575" s="17" t="inlineStr">
        <is>
          <t>打开原文</t>
        </is>
      </c>
    </row>
    <row r="576">
      <c r="A576" s="18" t="n">
        <v>38</v>
      </c>
      <c r="B576" s="19" t="n">
        <v>45292</v>
      </c>
      <c r="C576" s="20" t="n">
        <v>2910</v>
      </c>
      <c r="D576" s="28" t="n"/>
      <c r="E576" s="28" t="n"/>
      <c r="F576" s="28" t="n"/>
      <c r="G576" s="22" t="inlineStr">
        <is>
          <t>全国基准价</t>
        </is>
      </c>
      <c r="H576" s="23" t="inlineStr">
        <is>
          <t>打开原文</t>
        </is>
      </c>
    </row>
    <row r="577">
      <c r="A577" s="12" t="n">
        <v>39</v>
      </c>
      <c r="B577" s="13" t="n">
        <v>45293</v>
      </c>
      <c r="C577" s="14" t="n">
        <v>2910</v>
      </c>
      <c r="D577" s="27" t="n"/>
      <c r="E577" s="27" t="n"/>
      <c r="F577" s="27" t="n"/>
      <c r="G577" s="16" t="inlineStr">
        <is>
          <t>全国基准价</t>
        </is>
      </c>
      <c r="H577" s="17" t="inlineStr">
        <is>
          <t>打开原文</t>
        </is>
      </c>
    </row>
    <row r="578">
      <c r="A578" s="18" t="n">
        <v>40</v>
      </c>
      <c r="B578" s="19" t="n">
        <v>45294</v>
      </c>
      <c r="C578" s="20" t="n">
        <v>2870</v>
      </c>
      <c r="D578" s="28" t="n"/>
      <c r="E578" s="28" t="n"/>
      <c r="F578" s="28" t="n"/>
      <c r="G578" s="22" t="inlineStr">
        <is>
          <t>全国基准价</t>
        </is>
      </c>
      <c r="H578" s="23" t="inlineStr">
        <is>
          <t>打开原文</t>
        </is>
      </c>
    </row>
    <row r="579">
      <c r="A579" s="12" t="n">
        <v>41</v>
      </c>
      <c r="B579" s="13" t="n">
        <v>45295</v>
      </c>
      <c r="C579" s="14" t="n">
        <v>2860</v>
      </c>
      <c r="D579" s="27" t="n"/>
      <c r="E579" s="27" t="n"/>
      <c r="F579" s="27" t="n"/>
      <c r="G579" s="16" t="inlineStr">
        <is>
          <t>全国基准价</t>
        </is>
      </c>
      <c r="H579" s="17" t="inlineStr">
        <is>
          <t>打开原文</t>
        </is>
      </c>
    </row>
    <row r="580">
      <c r="A580" s="18" t="n">
        <v>42</v>
      </c>
      <c r="B580" s="19" t="n">
        <v>45296</v>
      </c>
      <c r="C580" s="20" t="n">
        <v>2840</v>
      </c>
      <c r="D580" s="28" t="n"/>
      <c r="E580" s="28" t="n"/>
      <c r="F580" s="28" t="n"/>
      <c r="G580" s="22" t="inlineStr">
        <is>
          <t>全国基准价</t>
        </is>
      </c>
      <c r="H580" s="23" t="inlineStr">
        <is>
          <t>打开原文</t>
        </is>
      </c>
    </row>
    <row r="581">
      <c r="A581" s="12" t="n">
        <v>43</v>
      </c>
      <c r="B581" s="13" t="n">
        <v>45299</v>
      </c>
      <c r="C581" s="14" t="n">
        <v>2840</v>
      </c>
      <c r="D581" s="27" t="n"/>
      <c r="E581" s="27" t="n"/>
      <c r="F581" s="27" t="n"/>
      <c r="G581" s="16" t="inlineStr">
        <is>
          <t>全国基准价</t>
        </is>
      </c>
      <c r="H581" s="17" t="inlineStr">
        <is>
          <t>打开原文</t>
        </is>
      </c>
    </row>
    <row r="582">
      <c r="A582" s="18" t="n">
        <v>44</v>
      </c>
      <c r="B582" s="19" t="n">
        <v>45300</v>
      </c>
      <c r="C582" s="20" t="n">
        <v>2800</v>
      </c>
      <c r="D582" s="28" t="n"/>
      <c r="E582" s="28" t="n"/>
      <c r="F582" s="28" t="n"/>
      <c r="G582" s="22" t="inlineStr">
        <is>
          <t>全国基准价</t>
        </is>
      </c>
      <c r="H582" s="23" t="inlineStr">
        <is>
          <t>打开原文</t>
        </is>
      </c>
    </row>
    <row r="583">
      <c r="A583" s="12" t="n">
        <v>45</v>
      </c>
      <c r="B583" s="13" t="n">
        <v>45301</v>
      </c>
      <c r="C583" s="14" t="n">
        <v>2780</v>
      </c>
      <c r="D583" s="27" t="n"/>
      <c r="E583" s="27" t="n"/>
      <c r="F583" s="27" t="n"/>
      <c r="G583" s="16" t="inlineStr">
        <is>
          <t>全国基准价</t>
        </is>
      </c>
      <c r="H583" s="17" t="inlineStr">
        <is>
          <t>打开原文</t>
        </is>
      </c>
    </row>
    <row r="584">
      <c r="A584" s="18" t="n">
        <v>46</v>
      </c>
      <c r="B584" s="19" t="n">
        <v>45302</v>
      </c>
      <c r="C584" s="20" t="n">
        <v>2780</v>
      </c>
      <c r="D584" s="28" t="n"/>
      <c r="E584" s="28" t="n"/>
      <c r="F584" s="28" t="n"/>
      <c r="G584" s="22" t="inlineStr">
        <is>
          <t>全国基准价</t>
        </is>
      </c>
      <c r="H584" s="23" t="inlineStr">
        <is>
          <t>打开原文</t>
        </is>
      </c>
    </row>
    <row r="585">
      <c r="A585" s="12" t="n">
        <v>47</v>
      </c>
      <c r="B585" s="13" t="n">
        <v>45303</v>
      </c>
      <c r="C585" s="14" t="n">
        <v>2710</v>
      </c>
      <c r="D585" s="27" t="n"/>
      <c r="E585" s="27" t="n"/>
      <c r="F585" s="27" t="n"/>
      <c r="G585" s="16" t="inlineStr">
        <is>
          <t>全国基准价</t>
        </is>
      </c>
      <c r="H585" s="17" t="inlineStr">
        <is>
          <t>打开原文</t>
        </is>
      </c>
    </row>
    <row r="586">
      <c r="A586" s="18" t="n">
        <v>48</v>
      </c>
      <c r="B586" s="19" t="n">
        <v>45306</v>
      </c>
      <c r="C586" s="20" t="n">
        <v>2700</v>
      </c>
      <c r="D586" s="28" t="n"/>
      <c r="E586" s="28" t="n"/>
      <c r="F586" s="28" t="n"/>
      <c r="G586" s="22" t="inlineStr">
        <is>
          <t>全国基准价</t>
        </is>
      </c>
      <c r="H586" s="23" t="inlineStr">
        <is>
          <t>打开原文</t>
        </is>
      </c>
    </row>
    <row r="587">
      <c r="A587" s="12" t="n">
        <v>49</v>
      </c>
      <c r="B587" s="13" t="n">
        <v>45307</v>
      </c>
      <c r="C587" s="14" t="n">
        <v>2670</v>
      </c>
      <c r="D587" s="27" t="n"/>
      <c r="E587" s="27" t="n"/>
      <c r="F587" s="27" t="n"/>
      <c r="G587" s="16" t="inlineStr">
        <is>
          <t>全国基准价</t>
        </is>
      </c>
      <c r="H587" s="17" t="inlineStr">
        <is>
          <t>打开原文</t>
        </is>
      </c>
    </row>
    <row r="588">
      <c r="A588" s="18" t="n">
        <v>50</v>
      </c>
      <c r="B588" s="19" t="n">
        <v>45308</v>
      </c>
      <c r="C588" s="20" t="n">
        <v>2650</v>
      </c>
      <c r="D588" s="28" t="n"/>
      <c r="E588" s="28" t="n"/>
      <c r="F588" s="28" t="n"/>
      <c r="G588" s="22" t="inlineStr">
        <is>
          <t>全国基准价</t>
        </is>
      </c>
      <c r="H588" s="23" t="inlineStr">
        <is>
          <t>打开原文</t>
        </is>
      </c>
    </row>
    <row r="589">
      <c r="A589" s="12" t="n">
        <v>51</v>
      </c>
      <c r="B589" s="13" t="n">
        <v>45309</v>
      </c>
      <c r="C589" s="14" t="n">
        <v>2650</v>
      </c>
      <c r="D589" s="27" t="n"/>
      <c r="E589" s="27" t="n"/>
      <c r="F589" s="27" t="n"/>
      <c r="G589" s="16" t="inlineStr">
        <is>
          <t>全国基准价</t>
        </is>
      </c>
      <c r="H589" s="17" t="inlineStr">
        <is>
          <t>打开原文</t>
        </is>
      </c>
    </row>
    <row r="590">
      <c r="A590" s="18" t="n">
        <v>52</v>
      </c>
      <c r="B590" s="19" t="n">
        <v>45310</v>
      </c>
      <c r="C590" s="20" t="n">
        <v>2630</v>
      </c>
      <c r="D590" s="28" t="n"/>
      <c r="E590" s="28" t="n"/>
      <c r="F590" s="28" t="n"/>
      <c r="G590" s="22" t="inlineStr">
        <is>
          <t>全国基准价</t>
        </is>
      </c>
      <c r="H590" s="23" t="inlineStr">
        <is>
          <t>打开原文</t>
        </is>
      </c>
    </row>
    <row r="591">
      <c r="A591" s="12" t="n">
        <v>53</v>
      </c>
      <c r="B591" s="13" t="n">
        <v>45313</v>
      </c>
      <c r="C591" s="14" t="n">
        <v>2630</v>
      </c>
      <c r="D591" s="27" t="n"/>
      <c r="E591" s="27" t="n"/>
      <c r="F591" s="27" t="n"/>
      <c r="G591" s="16" t="inlineStr">
        <is>
          <t>全国基准价</t>
        </is>
      </c>
      <c r="H591" s="17" t="inlineStr">
        <is>
          <t>打开原文</t>
        </is>
      </c>
    </row>
    <row r="592">
      <c r="A592" s="18" t="n">
        <v>54</v>
      </c>
      <c r="B592" s="19" t="n">
        <v>45314</v>
      </c>
      <c r="C592" s="20" t="n">
        <v>2470</v>
      </c>
      <c r="D592" s="28" t="n"/>
      <c r="E592" s="28" t="n"/>
      <c r="F592" s="28" t="n"/>
      <c r="G592" s="22" t="inlineStr">
        <is>
          <t>全国基准价</t>
        </is>
      </c>
      <c r="H592" s="23" t="inlineStr">
        <is>
          <t>打开原文</t>
        </is>
      </c>
    </row>
    <row r="593">
      <c r="A593" s="12" t="n">
        <v>55</v>
      </c>
      <c r="B593" s="13" t="n">
        <v>45315</v>
      </c>
      <c r="C593" s="14" t="n">
        <v>2470</v>
      </c>
      <c r="D593" s="27" t="n"/>
      <c r="E593" s="27" t="n"/>
      <c r="F593" s="27" t="n"/>
      <c r="G593" s="16" t="inlineStr">
        <is>
          <t>全国基准价</t>
        </is>
      </c>
      <c r="H593" s="17" t="inlineStr">
        <is>
          <t>打开原文</t>
        </is>
      </c>
    </row>
    <row r="594">
      <c r="A594" s="18" t="n">
        <v>56</v>
      </c>
      <c r="B594" s="19" t="n">
        <v>45316</v>
      </c>
      <c r="C594" s="20" t="n">
        <v>2470</v>
      </c>
      <c r="D594" s="28" t="n"/>
      <c r="E594" s="28" t="n"/>
      <c r="F594" s="28" t="n"/>
      <c r="G594" s="22" t="inlineStr">
        <is>
          <t>全国基准价</t>
        </is>
      </c>
      <c r="H594" s="23" t="inlineStr">
        <is>
          <t>打开原文</t>
        </is>
      </c>
    </row>
    <row r="595">
      <c r="A595" s="12" t="n">
        <v>57</v>
      </c>
      <c r="B595" s="13" t="n">
        <v>45317</v>
      </c>
      <c r="C595" s="14" t="n">
        <v>2470</v>
      </c>
      <c r="D595" s="27" t="n"/>
      <c r="E595" s="27" t="n"/>
      <c r="F595" s="27" t="n"/>
      <c r="G595" s="16" t="inlineStr">
        <is>
          <t>全国基准价</t>
        </is>
      </c>
      <c r="H595" s="17" t="inlineStr">
        <is>
          <t>打开原文</t>
        </is>
      </c>
    </row>
    <row r="596">
      <c r="A596" s="18" t="n">
        <v>58</v>
      </c>
      <c r="B596" s="19" t="n">
        <v>45320</v>
      </c>
      <c r="C596" s="20" t="n">
        <v>2470</v>
      </c>
      <c r="D596" s="28" t="n"/>
      <c r="E596" s="28" t="n"/>
      <c r="F596" s="28" t="n"/>
      <c r="G596" s="22" t="inlineStr">
        <is>
          <t>全国基准价</t>
        </is>
      </c>
      <c r="H596" s="23" t="inlineStr">
        <is>
          <t>打开原文</t>
        </is>
      </c>
    </row>
    <row r="597">
      <c r="A597" s="12" t="n">
        <v>59</v>
      </c>
      <c r="B597" s="13" t="n">
        <v>45321</v>
      </c>
      <c r="C597" s="14" t="n">
        <v>2470</v>
      </c>
      <c r="D597" s="27" t="n"/>
      <c r="E597" s="27" t="n"/>
      <c r="F597" s="27" t="n"/>
      <c r="G597" s="16" t="inlineStr">
        <is>
          <t>全国基准价</t>
        </is>
      </c>
      <c r="H597" s="17" t="inlineStr">
        <is>
          <t>打开原文</t>
        </is>
      </c>
    </row>
    <row r="598">
      <c r="A598" s="18" t="n">
        <v>60</v>
      </c>
      <c r="B598" s="19" t="n">
        <v>45322</v>
      </c>
      <c r="C598" s="20" t="n">
        <v>2470</v>
      </c>
      <c r="D598" s="28" t="n"/>
      <c r="E598" s="28" t="n"/>
      <c r="F598" s="28" t="n"/>
      <c r="G598" s="22" t="inlineStr">
        <is>
          <t>全国基准价</t>
        </is>
      </c>
      <c r="H598" s="23" t="inlineStr">
        <is>
          <t>打开原文</t>
        </is>
      </c>
    </row>
    <row r="599">
      <c r="A599" s="12" t="n">
        <v>61</v>
      </c>
      <c r="B599" s="13" t="n">
        <v>45323</v>
      </c>
      <c r="C599" s="14" t="n">
        <v>2470</v>
      </c>
      <c r="D599" s="27" t="n"/>
      <c r="E599" s="27" t="n"/>
      <c r="F599" s="27" t="n"/>
      <c r="G599" s="16" t="inlineStr">
        <is>
          <t>全国基准价</t>
        </is>
      </c>
      <c r="H599" s="17" t="inlineStr">
        <is>
          <t>打开原文</t>
        </is>
      </c>
    </row>
    <row r="600">
      <c r="A600" s="18" t="n">
        <v>62</v>
      </c>
      <c r="B600" s="19" t="n">
        <v>45324</v>
      </c>
      <c r="C600" s="20" t="n">
        <v>2470</v>
      </c>
      <c r="D600" s="28" t="n"/>
      <c r="E600" s="28" t="n"/>
      <c r="F600" s="28" t="n"/>
      <c r="G600" s="22" t="inlineStr">
        <is>
          <t>全国基准价</t>
        </is>
      </c>
      <c r="H600" s="23" t="inlineStr">
        <is>
          <t>打开原文</t>
        </is>
      </c>
    </row>
    <row r="601">
      <c r="A601" s="12" t="n">
        <v>63</v>
      </c>
      <c r="B601" s="13" t="n">
        <v>45327</v>
      </c>
      <c r="C601" s="14" t="n">
        <v>2470</v>
      </c>
      <c r="D601" s="27" t="n"/>
      <c r="E601" s="27" t="n"/>
      <c r="F601" s="27" t="n"/>
      <c r="G601" s="16" t="inlineStr">
        <is>
          <t>全国基准价</t>
        </is>
      </c>
      <c r="H601" s="17" t="inlineStr">
        <is>
          <t>打开原文</t>
        </is>
      </c>
    </row>
    <row r="602">
      <c r="A602" s="18" t="n">
        <v>64</v>
      </c>
      <c r="B602" s="19" t="n">
        <v>45328</v>
      </c>
      <c r="C602" s="20" t="n">
        <v>2470</v>
      </c>
      <c r="D602" s="28" t="n"/>
      <c r="E602" s="28" t="n"/>
      <c r="F602" s="28" t="n"/>
      <c r="G602" s="22" t="inlineStr">
        <is>
          <t>全国基准价</t>
        </is>
      </c>
      <c r="H602" s="23" t="inlineStr">
        <is>
          <t>打开原文</t>
        </is>
      </c>
    </row>
    <row r="603">
      <c r="A603" s="12" t="n">
        <v>65</v>
      </c>
      <c r="B603" s="13" t="n">
        <v>45329</v>
      </c>
      <c r="C603" s="14" t="n">
        <v>2470</v>
      </c>
      <c r="D603" s="27" t="n"/>
      <c r="E603" s="27" t="n"/>
      <c r="F603" s="27" t="n"/>
      <c r="G603" s="16" t="inlineStr">
        <is>
          <t>全国基准价</t>
        </is>
      </c>
      <c r="H603" s="17" t="inlineStr">
        <is>
          <t>打开原文</t>
        </is>
      </c>
    </row>
    <row r="604">
      <c r="A604" s="18" t="n">
        <v>66</v>
      </c>
      <c r="B604" s="19" t="n">
        <v>45330</v>
      </c>
      <c r="C604" s="20" t="n">
        <v>2470</v>
      </c>
      <c r="D604" s="28" t="n"/>
      <c r="E604" s="28" t="n"/>
      <c r="F604" s="28" t="n"/>
      <c r="G604" s="22" t="inlineStr">
        <is>
          <t>全国基准价</t>
        </is>
      </c>
      <c r="H604" s="23" t="inlineStr">
        <is>
          <t>打开原文</t>
        </is>
      </c>
    </row>
    <row r="605">
      <c r="A605" s="12" t="n">
        <v>67</v>
      </c>
      <c r="B605" s="13" t="n">
        <v>45331</v>
      </c>
      <c r="C605" s="14" t="n">
        <v>2470</v>
      </c>
      <c r="D605" s="27" t="n"/>
      <c r="E605" s="27" t="n"/>
      <c r="F605" s="27" t="n"/>
      <c r="G605" s="16" t="inlineStr">
        <is>
          <t>全国基准价</t>
        </is>
      </c>
      <c r="H605" s="17" t="inlineStr">
        <is>
          <t>打开原文</t>
        </is>
      </c>
    </row>
    <row r="606">
      <c r="A606" s="18" t="n">
        <v>68</v>
      </c>
      <c r="B606" s="19" t="n">
        <v>45334</v>
      </c>
      <c r="C606" s="20" t="n">
        <v>2470</v>
      </c>
      <c r="D606" s="28" t="n"/>
      <c r="E606" s="28" t="n"/>
      <c r="F606" s="28" t="n"/>
      <c r="G606" s="22" t="inlineStr">
        <is>
          <t>全国基准价</t>
        </is>
      </c>
      <c r="H606" s="23" t="inlineStr">
        <is>
          <t>打开原文</t>
        </is>
      </c>
    </row>
    <row r="607">
      <c r="A607" s="12" t="n">
        <v>69</v>
      </c>
      <c r="B607" s="13" t="n">
        <v>45335</v>
      </c>
      <c r="C607" s="14" t="n">
        <v>2470</v>
      </c>
      <c r="D607" s="27" t="n"/>
      <c r="E607" s="27" t="n"/>
      <c r="F607" s="27" t="n"/>
      <c r="G607" s="16" t="inlineStr">
        <is>
          <t>全国基准价</t>
        </is>
      </c>
      <c r="H607" s="17" t="inlineStr">
        <is>
          <t>打开原文</t>
        </is>
      </c>
    </row>
    <row r="608">
      <c r="A608" s="18" t="n">
        <v>70</v>
      </c>
      <c r="B608" s="19" t="n">
        <v>45336</v>
      </c>
      <c r="C608" s="20" t="n">
        <v>2470</v>
      </c>
      <c r="D608" s="28" t="n"/>
      <c r="E608" s="28" t="n"/>
      <c r="F608" s="28" t="n"/>
      <c r="G608" s="22" t="inlineStr">
        <is>
          <t>全国基准价</t>
        </is>
      </c>
      <c r="H608" s="23" t="inlineStr">
        <is>
          <t>打开原文</t>
        </is>
      </c>
    </row>
    <row r="609">
      <c r="A609" s="12" t="n">
        <v>71</v>
      </c>
      <c r="B609" s="13" t="n">
        <v>45337</v>
      </c>
      <c r="C609" s="14" t="n">
        <v>2470</v>
      </c>
      <c r="D609" s="27" t="n"/>
      <c r="E609" s="27" t="n"/>
      <c r="F609" s="27" t="n"/>
      <c r="G609" s="16" t="inlineStr">
        <is>
          <t>全国基准价</t>
        </is>
      </c>
      <c r="H609" s="17" t="inlineStr">
        <is>
          <t>打开原文</t>
        </is>
      </c>
    </row>
    <row r="610">
      <c r="A610" s="18" t="n">
        <v>72</v>
      </c>
      <c r="B610" s="19" t="n">
        <v>45338</v>
      </c>
      <c r="C610" s="20" t="n">
        <v>2470</v>
      </c>
      <c r="D610" s="28" t="n"/>
      <c r="E610" s="28" t="n"/>
      <c r="F610" s="28" t="n"/>
      <c r="G610" s="22" t="inlineStr">
        <is>
          <t>全国基准价</t>
        </is>
      </c>
      <c r="H610" s="23" t="inlineStr">
        <is>
          <t>打开原文</t>
        </is>
      </c>
    </row>
    <row r="611">
      <c r="A611" s="12" t="n">
        <v>73</v>
      </c>
      <c r="B611" s="13" t="n">
        <v>45341</v>
      </c>
      <c r="C611" s="14" t="n">
        <v>2470</v>
      </c>
      <c r="D611" s="27" t="n"/>
      <c r="E611" s="27" t="n"/>
      <c r="F611" s="27" t="n"/>
      <c r="G611" s="16" t="inlineStr">
        <is>
          <t>全国基准价</t>
        </is>
      </c>
      <c r="H611" s="17" t="inlineStr">
        <is>
          <t>打开原文</t>
        </is>
      </c>
    </row>
    <row r="612">
      <c r="A612" s="18" t="n">
        <v>74</v>
      </c>
      <c r="B612" s="19" t="n">
        <v>45342</v>
      </c>
      <c r="C612" s="20" t="n">
        <v>2470</v>
      </c>
      <c r="D612" s="28" t="n"/>
      <c r="E612" s="28" t="n"/>
      <c r="F612" s="28" t="n"/>
      <c r="G612" s="22" t="inlineStr">
        <is>
          <t>全国基准价</t>
        </is>
      </c>
      <c r="H612" s="23" t="inlineStr">
        <is>
          <t>打开原文</t>
        </is>
      </c>
    </row>
    <row r="613">
      <c r="A613" s="12" t="n">
        <v>75</v>
      </c>
      <c r="B613" s="13" t="n">
        <v>45343</v>
      </c>
      <c r="C613" s="14" t="n">
        <v>2410</v>
      </c>
      <c r="D613" s="27" t="n"/>
      <c r="E613" s="27" t="n"/>
      <c r="F613" s="27" t="n"/>
      <c r="G613" s="16" t="inlineStr">
        <is>
          <t>全国基准价</t>
        </is>
      </c>
      <c r="H613" s="17" t="inlineStr">
        <is>
          <t>打开原文</t>
        </is>
      </c>
    </row>
    <row r="614">
      <c r="A614" s="18" t="n">
        <v>76</v>
      </c>
      <c r="B614" s="19" t="n">
        <v>45344</v>
      </c>
      <c r="C614" s="20" t="n">
        <v>2410</v>
      </c>
      <c r="D614" s="28" t="n"/>
      <c r="E614" s="28" t="n"/>
      <c r="F614" s="28" t="n"/>
      <c r="G614" s="22" t="inlineStr">
        <is>
          <t>全国基准价</t>
        </is>
      </c>
      <c r="H614" s="23" t="inlineStr">
        <is>
          <t>打开原文</t>
        </is>
      </c>
    </row>
    <row r="615">
      <c r="A615" s="12" t="n">
        <v>77</v>
      </c>
      <c r="B615" s="13" t="n">
        <v>45345</v>
      </c>
      <c r="C615" s="14" t="n">
        <v>2410</v>
      </c>
      <c r="D615" s="27" t="n"/>
      <c r="E615" s="27" t="n"/>
      <c r="F615" s="27" t="n"/>
      <c r="G615" s="16" t="inlineStr">
        <is>
          <t>全国基准价</t>
        </is>
      </c>
      <c r="H615" s="17" t="inlineStr">
        <is>
          <t>打开原文</t>
        </is>
      </c>
    </row>
    <row r="616">
      <c r="A616" s="18" t="n">
        <v>78</v>
      </c>
      <c r="B616" s="19" t="n">
        <v>45348</v>
      </c>
      <c r="C616" s="20" t="n">
        <v>2400</v>
      </c>
      <c r="D616" s="28" t="n"/>
      <c r="E616" s="28" t="n"/>
      <c r="F616" s="28" t="n"/>
      <c r="G616" s="22" t="inlineStr">
        <is>
          <t>全国基准价</t>
        </is>
      </c>
      <c r="H616" s="23" t="inlineStr">
        <is>
          <t>打开原文</t>
        </is>
      </c>
    </row>
    <row r="617">
      <c r="A617" s="12" t="n">
        <v>79</v>
      </c>
      <c r="B617" s="13" t="n">
        <v>45349</v>
      </c>
      <c r="C617" s="14" t="n">
        <v>2370</v>
      </c>
      <c r="D617" s="27" t="n"/>
      <c r="E617" s="27" t="n"/>
      <c r="F617" s="27" t="n"/>
      <c r="G617" s="16" t="inlineStr">
        <is>
          <t>全国基准价</t>
        </is>
      </c>
      <c r="H617" s="17" t="inlineStr">
        <is>
          <t>打开原文</t>
        </is>
      </c>
    </row>
    <row r="618">
      <c r="A618" s="18" t="n">
        <v>80</v>
      </c>
      <c r="B618" s="19" t="n">
        <v>45350</v>
      </c>
      <c r="C618" s="20" t="n">
        <v>2370</v>
      </c>
      <c r="D618" s="28" t="n"/>
      <c r="E618" s="28" t="n"/>
      <c r="F618" s="28" t="n"/>
      <c r="G618" s="22" t="inlineStr">
        <is>
          <t>全国基准价</t>
        </is>
      </c>
      <c r="H618" s="23" t="inlineStr">
        <is>
          <t>打开原文</t>
        </is>
      </c>
    </row>
    <row r="619">
      <c r="A619" s="12" t="n">
        <v>81</v>
      </c>
      <c r="B619" s="13" t="n">
        <v>45351</v>
      </c>
      <c r="C619" s="14" t="n">
        <v>2360</v>
      </c>
      <c r="D619" s="27" t="n"/>
      <c r="E619" s="27" t="n"/>
      <c r="F619" s="27" t="n"/>
      <c r="G619" s="16" t="inlineStr">
        <is>
          <t>全国基准价</t>
        </is>
      </c>
      <c r="H619" s="17" t="inlineStr">
        <is>
          <t>打开原文</t>
        </is>
      </c>
    </row>
    <row r="620">
      <c r="A620" s="18" t="n">
        <v>82</v>
      </c>
      <c r="B620" s="19" t="n">
        <v>45352</v>
      </c>
      <c r="C620" s="20" t="n">
        <v>2360</v>
      </c>
      <c r="D620" s="28" t="n"/>
      <c r="E620" s="28" t="n"/>
      <c r="F620" s="28" t="n"/>
      <c r="G620" s="22" t="inlineStr">
        <is>
          <t>全国基准价</t>
        </is>
      </c>
      <c r="H620" s="23" t="inlineStr">
        <is>
          <t>打开原文</t>
        </is>
      </c>
    </row>
    <row r="621">
      <c r="A621" s="12" t="n">
        <v>83</v>
      </c>
      <c r="B621" s="13" t="n">
        <v>45355</v>
      </c>
      <c r="C621" s="14" t="n">
        <v>2340</v>
      </c>
      <c r="D621" s="27" t="n"/>
      <c r="E621" s="27" t="n"/>
      <c r="F621" s="27" t="n"/>
      <c r="G621" s="16" t="inlineStr">
        <is>
          <t>全国基准价</t>
        </is>
      </c>
      <c r="H621" s="17" t="inlineStr">
        <is>
          <t>打开原文</t>
        </is>
      </c>
    </row>
    <row r="622">
      <c r="A622" s="18" t="n">
        <v>84</v>
      </c>
      <c r="B622" s="19" t="n">
        <v>45356</v>
      </c>
      <c r="C622" s="20" t="n">
        <v>2340</v>
      </c>
      <c r="D622" s="28" t="n"/>
      <c r="E622" s="28" t="n"/>
      <c r="F622" s="28" t="n"/>
      <c r="G622" s="22" t="inlineStr">
        <is>
          <t>全国基准价</t>
        </is>
      </c>
      <c r="H622" s="23" t="inlineStr">
        <is>
          <t>打开原文</t>
        </is>
      </c>
    </row>
    <row r="623">
      <c r="A623" s="12" t="n">
        <v>85</v>
      </c>
      <c r="B623" s="13" t="n">
        <v>45357</v>
      </c>
      <c r="C623" s="14" t="n">
        <v>2340</v>
      </c>
      <c r="D623" s="27" t="n"/>
      <c r="E623" s="27" t="n"/>
      <c r="F623" s="27" t="n"/>
      <c r="G623" s="16" t="inlineStr">
        <is>
          <t>全国基准价</t>
        </is>
      </c>
      <c r="H623" s="17" t="inlineStr">
        <is>
          <t>打开原文</t>
        </is>
      </c>
    </row>
    <row r="624">
      <c r="A624" s="18" t="n">
        <v>86</v>
      </c>
      <c r="B624" s="19" t="n">
        <v>45358</v>
      </c>
      <c r="C624" s="20" t="n">
        <v>2280</v>
      </c>
      <c r="D624" s="28" t="n"/>
      <c r="E624" s="28" t="n"/>
      <c r="F624" s="28" t="n"/>
      <c r="G624" s="22" t="inlineStr">
        <is>
          <t>全国基准价</t>
        </is>
      </c>
      <c r="H624" s="23" t="inlineStr">
        <is>
          <t>打开原文</t>
        </is>
      </c>
    </row>
    <row r="625">
      <c r="A625" s="12" t="n">
        <v>87</v>
      </c>
      <c r="B625" s="13" t="n">
        <v>45359</v>
      </c>
      <c r="C625" s="14" t="n">
        <v>2220</v>
      </c>
      <c r="D625" s="27" t="n"/>
      <c r="E625" s="27" t="n"/>
      <c r="F625" s="27" t="n"/>
      <c r="G625" s="16" t="inlineStr">
        <is>
          <t>全国基准价</t>
        </is>
      </c>
      <c r="H625" s="17" t="inlineStr">
        <is>
          <t>打开原文</t>
        </is>
      </c>
    </row>
    <row r="626">
      <c r="A626" s="18" t="n">
        <v>88</v>
      </c>
      <c r="B626" s="19" t="n">
        <v>45362</v>
      </c>
      <c r="C626" s="20" t="n">
        <v>2220</v>
      </c>
      <c r="D626" s="28" t="n"/>
      <c r="E626" s="28" t="n"/>
      <c r="F626" s="28" t="n"/>
      <c r="G626" s="22" t="inlineStr">
        <is>
          <t>全国基准价</t>
        </is>
      </c>
      <c r="H626" s="23" t="inlineStr">
        <is>
          <t>打开原文</t>
        </is>
      </c>
    </row>
    <row r="627">
      <c r="A627" s="12" t="n">
        <v>89</v>
      </c>
      <c r="B627" s="13" t="n">
        <v>45363</v>
      </c>
      <c r="C627" s="14" t="n">
        <v>2180</v>
      </c>
      <c r="D627" s="27" t="n"/>
      <c r="E627" s="27" t="n"/>
      <c r="F627" s="27" t="n"/>
      <c r="G627" s="16" t="inlineStr">
        <is>
          <t>全国基准价</t>
        </is>
      </c>
      <c r="H627" s="17" t="inlineStr">
        <is>
          <t>打开原文</t>
        </is>
      </c>
    </row>
    <row r="628">
      <c r="A628" s="18" t="n">
        <v>90</v>
      </c>
      <c r="B628" s="19" t="n">
        <v>45364</v>
      </c>
      <c r="C628" s="20" t="n">
        <v>2180</v>
      </c>
      <c r="D628" s="28" t="n"/>
      <c r="E628" s="28" t="n"/>
      <c r="F628" s="28" t="n"/>
      <c r="G628" s="22" t="inlineStr">
        <is>
          <t>全国基准价</t>
        </is>
      </c>
      <c r="H628" s="23" t="inlineStr">
        <is>
          <t>打开原文</t>
        </is>
      </c>
    </row>
    <row r="629">
      <c r="A629" s="12" t="n">
        <v>91</v>
      </c>
      <c r="B629" s="13" t="n">
        <v>45365</v>
      </c>
      <c r="C629" s="14" t="n">
        <v>2180</v>
      </c>
      <c r="D629" s="27" t="n"/>
      <c r="E629" s="27" t="n"/>
      <c r="F629" s="27" t="n"/>
      <c r="G629" s="16" t="inlineStr">
        <is>
          <t>全国基准价</t>
        </is>
      </c>
      <c r="H629" s="17" t="inlineStr">
        <is>
          <t>打开原文</t>
        </is>
      </c>
    </row>
    <row r="630">
      <c r="A630" s="18" t="n">
        <v>92</v>
      </c>
      <c r="B630" s="19" t="n">
        <v>45366</v>
      </c>
      <c r="C630" s="20" t="n">
        <v>2110</v>
      </c>
      <c r="D630" s="28" t="n"/>
      <c r="E630" s="28" t="n"/>
      <c r="F630" s="28" t="n"/>
      <c r="G630" s="22" t="inlineStr">
        <is>
          <t>全国基准价</t>
        </is>
      </c>
      <c r="H630" s="23" t="inlineStr">
        <is>
          <t>打开原文</t>
        </is>
      </c>
    </row>
    <row r="631">
      <c r="A631" s="12" t="n">
        <v>93</v>
      </c>
      <c r="B631" s="13" t="n">
        <v>45369</v>
      </c>
      <c r="C631" s="14" t="n">
        <v>2110</v>
      </c>
      <c r="D631" s="27" t="n"/>
      <c r="E631" s="27" t="n"/>
      <c r="F631" s="27" t="n"/>
      <c r="G631" s="16" t="inlineStr">
        <is>
          <t>全国基准价</t>
        </is>
      </c>
      <c r="H631" s="17" t="inlineStr">
        <is>
          <t>打开原文</t>
        </is>
      </c>
    </row>
    <row r="632">
      <c r="A632" s="18" t="n">
        <v>94</v>
      </c>
      <c r="B632" s="19" t="n">
        <v>45370</v>
      </c>
      <c r="C632" s="20" t="n">
        <v>2110</v>
      </c>
      <c r="D632" s="28" t="n"/>
      <c r="E632" s="28" t="n"/>
      <c r="F632" s="28" t="n"/>
      <c r="G632" s="22" t="inlineStr">
        <is>
          <t>全国基准价</t>
        </is>
      </c>
      <c r="H632" s="23" t="inlineStr">
        <is>
          <t>打开原文</t>
        </is>
      </c>
    </row>
    <row r="633">
      <c r="A633" s="12" t="n">
        <v>95</v>
      </c>
      <c r="B633" s="13" t="n">
        <v>45371</v>
      </c>
      <c r="C633" s="14" t="n">
        <v>2110</v>
      </c>
      <c r="D633" s="27" t="n"/>
      <c r="E633" s="27" t="n"/>
      <c r="F633" s="27" t="n"/>
      <c r="G633" s="16" t="inlineStr">
        <is>
          <t>全国基准价</t>
        </is>
      </c>
      <c r="H633" s="17" t="inlineStr">
        <is>
          <t>打开原文</t>
        </is>
      </c>
    </row>
    <row r="634">
      <c r="A634" s="18" t="n">
        <v>96</v>
      </c>
      <c r="B634" s="19" t="n">
        <v>45372</v>
      </c>
      <c r="C634" s="20" t="n">
        <v>2110</v>
      </c>
      <c r="D634" s="28" t="n"/>
      <c r="E634" s="28" t="n"/>
      <c r="F634" s="28" t="n"/>
      <c r="G634" s="22" t="inlineStr">
        <is>
          <t>全国基准价</t>
        </is>
      </c>
      <c r="H634" s="23" t="inlineStr">
        <is>
          <t>打开原文</t>
        </is>
      </c>
    </row>
    <row r="635">
      <c r="A635" s="12" t="n">
        <v>97</v>
      </c>
      <c r="B635" s="13" t="n">
        <v>45373</v>
      </c>
      <c r="C635" s="14" t="n">
        <v>2100</v>
      </c>
      <c r="D635" s="27" t="n"/>
      <c r="E635" s="27" t="n"/>
      <c r="F635" s="27" t="n"/>
      <c r="G635" s="16" t="inlineStr">
        <is>
          <t>全国基准价</t>
        </is>
      </c>
      <c r="H635" s="17" t="inlineStr">
        <is>
          <t>打开原文</t>
        </is>
      </c>
    </row>
    <row r="636">
      <c r="A636" s="18" t="n">
        <v>98</v>
      </c>
      <c r="B636" s="19" t="n">
        <v>45376</v>
      </c>
      <c r="C636" s="20" t="n">
        <v>2100</v>
      </c>
      <c r="D636" s="28" t="n"/>
      <c r="E636" s="28" t="n"/>
      <c r="F636" s="28" t="n"/>
      <c r="G636" s="22" t="inlineStr">
        <is>
          <t>全国基准价</t>
        </is>
      </c>
      <c r="H636" s="23" t="inlineStr">
        <is>
          <t>打开原文</t>
        </is>
      </c>
    </row>
    <row r="637">
      <c r="A637" s="12" t="n">
        <v>99</v>
      </c>
      <c r="B637" s="13" t="n">
        <v>45377</v>
      </c>
      <c r="C637" s="14" t="n">
        <v>2100</v>
      </c>
      <c r="D637" s="27" t="n"/>
      <c r="E637" s="27" t="n"/>
      <c r="F637" s="27" t="n"/>
      <c r="G637" s="16" t="inlineStr">
        <is>
          <t>全国基准价</t>
        </is>
      </c>
      <c r="H637" s="17" t="inlineStr">
        <is>
          <t>打开原文</t>
        </is>
      </c>
    </row>
    <row r="638">
      <c r="A638" s="18" t="n">
        <v>100</v>
      </c>
      <c r="B638" s="19" t="n">
        <v>45378</v>
      </c>
      <c r="C638" s="20" t="n">
        <v>2100</v>
      </c>
      <c r="D638" s="28" t="n"/>
      <c r="E638" s="28" t="n"/>
      <c r="F638" s="28" t="n"/>
      <c r="G638" s="22" t="inlineStr">
        <is>
          <t>全国基准价</t>
        </is>
      </c>
      <c r="H638" s="23" t="inlineStr">
        <is>
          <t>打开原文</t>
        </is>
      </c>
    </row>
    <row r="639">
      <c r="A639" s="12" t="n">
        <v>101</v>
      </c>
      <c r="B639" s="13" t="n">
        <v>45379</v>
      </c>
      <c r="C639" s="14" t="n">
        <v>2090</v>
      </c>
      <c r="D639" s="27" t="n"/>
      <c r="E639" s="27" t="n"/>
      <c r="F639" s="27" t="n"/>
      <c r="G639" s="16" t="inlineStr">
        <is>
          <t>全国基准价</t>
        </is>
      </c>
      <c r="H639" s="17" t="inlineStr">
        <is>
          <t>打开原文</t>
        </is>
      </c>
    </row>
    <row r="640">
      <c r="A640" s="18" t="n">
        <v>102</v>
      </c>
      <c r="B640" s="19" t="n">
        <v>45380</v>
      </c>
      <c r="C640" s="20" t="n">
        <v>2090</v>
      </c>
      <c r="D640" s="28" t="n"/>
      <c r="E640" s="28" t="n"/>
      <c r="F640" s="28" t="n"/>
      <c r="G640" s="22" t="inlineStr">
        <is>
          <t>全国基准价</t>
        </is>
      </c>
      <c r="H640" s="23" t="inlineStr">
        <is>
          <t>打开原文</t>
        </is>
      </c>
    </row>
    <row r="641">
      <c r="A641" s="12" t="n">
        <v>103</v>
      </c>
      <c r="B641" s="13" t="n">
        <v>45383</v>
      </c>
      <c r="C641" s="14" t="n">
        <v>2090</v>
      </c>
      <c r="D641" s="27" t="n"/>
      <c r="E641" s="27" t="n"/>
      <c r="F641" s="27" t="n"/>
      <c r="G641" s="16" t="inlineStr">
        <is>
          <t>全国基准价</t>
        </is>
      </c>
      <c r="H641" s="17" t="inlineStr">
        <is>
          <t>打开原文</t>
        </is>
      </c>
    </row>
    <row r="642">
      <c r="A642" s="18" t="n">
        <v>104</v>
      </c>
      <c r="B642" s="19" t="n">
        <v>45384</v>
      </c>
      <c r="C642" s="20" t="n">
        <v>2090</v>
      </c>
      <c r="D642" s="28" t="n"/>
      <c r="E642" s="28" t="n"/>
      <c r="F642" s="28" t="n"/>
      <c r="G642" s="22" t="inlineStr">
        <is>
          <t>全国基准价</t>
        </is>
      </c>
      <c r="H642" s="23" t="inlineStr">
        <is>
          <t>打开原文</t>
        </is>
      </c>
    </row>
    <row r="643">
      <c r="A643" s="12" t="n">
        <v>105</v>
      </c>
      <c r="B643" s="13" t="n">
        <v>45385</v>
      </c>
      <c r="C643" s="14" t="n">
        <v>2090</v>
      </c>
      <c r="D643" s="27" t="n"/>
      <c r="E643" s="27" t="n"/>
      <c r="F643" s="27" t="n"/>
      <c r="G643" s="16" t="inlineStr">
        <is>
          <t>全国基准价</t>
        </is>
      </c>
      <c r="H643" s="17" t="inlineStr">
        <is>
          <t>打开原文</t>
        </is>
      </c>
    </row>
    <row r="644">
      <c r="A644" s="18" t="n">
        <v>106</v>
      </c>
      <c r="B644" s="19" t="n">
        <v>45386</v>
      </c>
      <c r="C644" s="20" t="n">
        <v>2090</v>
      </c>
      <c r="D644" s="28" t="n"/>
      <c r="E644" s="28" t="n"/>
      <c r="F644" s="28" t="n"/>
      <c r="G644" s="22" t="inlineStr">
        <is>
          <t>全国基准价</t>
        </is>
      </c>
      <c r="H644" s="23" t="inlineStr">
        <is>
          <t>打开原文</t>
        </is>
      </c>
    </row>
    <row r="645">
      <c r="A645" s="12" t="n">
        <v>107</v>
      </c>
      <c r="B645" s="13" t="n">
        <v>45387</v>
      </c>
      <c r="C645" s="14" t="n">
        <v>2090</v>
      </c>
      <c r="D645" s="27" t="n"/>
      <c r="E645" s="27" t="n"/>
      <c r="F645" s="27" t="n"/>
      <c r="G645" s="16" t="inlineStr">
        <is>
          <t>全国基准价</t>
        </is>
      </c>
      <c r="H645" s="17" t="inlineStr">
        <is>
          <t>打开原文</t>
        </is>
      </c>
    </row>
    <row r="646">
      <c r="A646" s="18" t="n">
        <v>108</v>
      </c>
      <c r="B646" s="19" t="n">
        <v>45390</v>
      </c>
      <c r="C646" s="20" t="n">
        <v>2080</v>
      </c>
      <c r="D646" s="28" t="n"/>
      <c r="E646" s="28" t="n"/>
      <c r="F646" s="28" t="n"/>
      <c r="G646" s="22" t="inlineStr">
        <is>
          <t>全国基准价</t>
        </is>
      </c>
      <c r="H646" s="23" t="inlineStr">
        <is>
          <t>打开原文</t>
        </is>
      </c>
    </row>
    <row r="647">
      <c r="A647" s="12" t="n">
        <v>109</v>
      </c>
      <c r="B647" s="13" t="n">
        <v>45391</v>
      </c>
      <c r="C647" s="14" t="n">
        <v>2080</v>
      </c>
      <c r="D647" s="27" t="n"/>
      <c r="E647" s="27" t="n"/>
      <c r="F647" s="27" t="n"/>
      <c r="G647" s="16" t="inlineStr">
        <is>
          <t>全国基准价</t>
        </is>
      </c>
      <c r="H647" s="17" t="inlineStr">
        <is>
          <t>打开原文</t>
        </is>
      </c>
    </row>
    <row r="648">
      <c r="A648" s="18" t="n">
        <v>110</v>
      </c>
      <c r="B648" s="19" t="n">
        <v>45392</v>
      </c>
      <c r="C648" s="20" t="n">
        <v>2080</v>
      </c>
      <c r="D648" s="28" t="n"/>
      <c r="E648" s="28" t="n"/>
      <c r="F648" s="28" t="n"/>
      <c r="G648" s="22" t="inlineStr">
        <is>
          <t>全国基准价</t>
        </is>
      </c>
      <c r="H648" s="23" t="inlineStr">
        <is>
          <t>打开原文</t>
        </is>
      </c>
    </row>
    <row r="649">
      <c r="A649" s="12" t="n">
        <v>111</v>
      </c>
      <c r="B649" s="13" t="n">
        <v>45393</v>
      </c>
      <c r="C649" s="14" t="n">
        <v>2080</v>
      </c>
      <c r="D649" s="27" t="n"/>
      <c r="E649" s="27" t="n"/>
      <c r="F649" s="27" t="n"/>
      <c r="G649" s="16" t="inlineStr">
        <is>
          <t>全国基准价</t>
        </is>
      </c>
      <c r="H649" s="17" t="inlineStr">
        <is>
          <t>打开原文</t>
        </is>
      </c>
    </row>
    <row r="650">
      <c r="A650" s="18" t="n">
        <v>112</v>
      </c>
      <c r="B650" s="19" t="n">
        <v>45394</v>
      </c>
      <c r="C650" s="20" t="n">
        <v>2080</v>
      </c>
      <c r="D650" s="28" t="n"/>
      <c r="E650" s="28" t="n"/>
      <c r="F650" s="28" t="n"/>
      <c r="G650" s="22" t="inlineStr">
        <is>
          <t>全国基准价</t>
        </is>
      </c>
      <c r="H650" s="23" t="inlineStr">
        <is>
          <t>打开原文</t>
        </is>
      </c>
    </row>
    <row r="651">
      <c r="A651" s="12" t="n">
        <v>113</v>
      </c>
      <c r="B651" s="13" t="n">
        <v>45397</v>
      </c>
      <c r="C651" s="14" t="n">
        <v>2080</v>
      </c>
      <c r="D651" s="27" t="n"/>
      <c r="E651" s="27" t="n"/>
      <c r="F651" s="27" t="n"/>
      <c r="G651" s="16" t="inlineStr">
        <is>
          <t>全国基准价</t>
        </is>
      </c>
      <c r="H651" s="17" t="inlineStr">
        <is>
          <t>打开原文</t>
        </is>
      </c>
    </row>
    <row r="652">
      <c r="A652" s="18" t="n">
        <v>114</v>
      </c>
      <c r="B652" s="19" t="n">
        <v>45398</v>
      </c>
      <c r="C652" s="20" t="n">
        <v>2080</v>
      </c>
      <c r="D652" s="28" t="n"/>
      <c r="E652" s="28" t="n"/>
      <c r="F652" s="28" t="n"/>
      <c r="G652" s="22" t="inlineStr">
        <is>
          <t>全国基准价</t>
        </is>
      </c>
      <c r="H652" s="23" t="inlineStr">
        <is>
          <t>打开原文</t>
        </is>
      </c>
    </row>
    <row r="653">
      <c r="A653" s="12" t="n">
        <v>115</v>
      </c>
      <c r="B653" s="13" t="n">
        <v>45399</v>
      </c>
      <c r="C653" s="14" t="n">
        <v>2080</v>
      </c>
      <c r="D653" s="27" t="n"/>
      <c r="E653" s="27" t="n"/>
      <c r="F653" s="27" t="n"/>
      <c r="G653" s="16" t="inlineStr">
        <is>
          <t>全国基准价</t>
        </is>
      </c>
      <c r="H653" s="17" t="inlineStr">
        <is>
          <t>打开原文</t>
        </is>
      </c>
    </row>
    <row r="654">
      <c r="A654" s="18" t="n">
        <v>116</v>
      </c>
      <c r="B654" s="19" t="n">
        <v>45400</v>
      </c>
      <c r="C654" s="20" t="n">
        <v>2080</v>
      </c>
      <c r="D654" s="28" t="n"/>
      <c r="E654" s="28" t="n"/>
      <c r="F654" s="28" t="n"/>
      <c r="G654" s="22" t="inlineStr">
        <is>
          <t>全国基准价</t>
        </is>
      </c>
      <c r="H654" s="23" t="inlineStr">
        <is>
          <t>打开原文</t>
        </is>
      </c>
    </row>
    <row r="655">
      <c r="A655" s="12" t="n">
        <v>117</v>
      </c>
      <c r="B655" s="13" t="n">
        <v>45401</v>
      </c>
      <c r="C655" s="14" t="n">
        <v>2080</v>
      </c>
      <c r="D655" s="27" t="n"/>
      <c r="E655" s="27" t="n"/>
      <c r="F655" s="27" t="n"/>
      <c r="G655" s="16" t="inlineStr">
        <is>
          <t>全国基准价</t>
        </is>
      </c>
      <c r="H655" s="17" t="inlineStr">
        <is>
          <t>打开原文</t>
        </is>
      </c>
    </row>
    <row r="656">
      <c r="A656" s="18" t="n">
        <v>118</v>
      </c>
      <c r="B656" s="19" t="n">
        <v>45404</v>
      </c>
      <c r="C656" s="20" t="n">
        <v>2080</v>
      </c>
      <c r="D656" s="28" t="n"/>
      <c r="E656" s="28" t="n"/>
      <c r="F656" s="28" t="n"/>
      <c r="G656" s="22" t="inlineStr">
        <is>
          <t>全国基准价</t>
        </is>
      </c>
      <c r="H656" s="23" t="inlineStr">
        <is>
          <t>打开原文</t>
        </is>
      </c>
    </row>
    <row r="657">
      <c r="A657" s="12" t="n">
        <v>119</v>
      </c>
      <c r="B657" s="13" t="n">
        <v>45405</v>
      </c>
      <c r="C657" s="14" t="n">
        <v>2080</v>
      </c>
      <c r="D657" s="27" t="n"/>
      <c r="E657" s="27" t="n"/>
      <c r="F657" s="27" t="n"/>
      <c r="G657" s="16" t="inlineStr">
        <is>
          <t>全国基准价</t>
        </is>
      </c>
      <c r="H657" s="17" t="inlineStr">
        <is>
          <t>打开原文</t>
        </is>
      </c>
    </row>
    <row r="658">
      <c r="A658" s="18" t="n">
        <v>120</v>
      </c>
      <c r="B658" s="19" t="n">
        <v>45406</v>
      </c>
      <c r="C658" s="20" t="n">
        <v>2110</v>
      </c>
      <c r="D658" s="28" t="n"/>
      <c r="E658" s="28" t="n"/>
      <c r="F658" s="28" t="n"/>
      <c r="G658" s="22" t="inlineStr">
        <is>
          <t>全国基准价</t>
        </is>
      </c>
      <c r="H658" s="23" t="inlineStr">
        <is>
          <t>打开原文</t>
        </is>
      </c>
    </row>
    <row r="659">
      <c r="A659" s="12" t="n">
        <v>121</v>
      </c>
      <c r="B659" s="13" t="n">
        <v>45407</v>
      </c>
      <c r="C659" s="14" t="n">
        <v>2150</v>
      </c>
      <c r="D659" s="27" t="n"/>
      <c r="E659" s="27" t="n"/>
      <c r="F659" s="27" t="n"/>
      <c r="G659" s="16" t="inlineStr">
        <is>
          <t>全国基准价</t>
        </is>
      </c>
      <c r="H659" s="17" t="inlineStr">
        <is>
          <t>打开原文</t>
        </is>
      </c>
    </row>
    <row r="660">
      <c r="A660" s="18" t="n">
        <v>122</v>
      </c>
      <c r="B660" s="19" t="n">
        <v>45408</v>
      </c>
      <c r="C660" s="20" t="n">
        <v>2150</v>
      </c>
      <c r="D660" s="28" t="n"/>
      <c r="E660" s="28" t="n"/>
      <c r="F660" s="28" t="n"/>
      <c r="G660" s="22" t="inlineStr">
        <is>
          <t>全国基准价</t>
        </is>
      </c>
      <c r="H660" s="23" t="inlineStr">
        <is>
          <t>打开原文</t>
        </is>
      </c>
    </row>
    <row r="661">
      <c r="A661" s="12" t="n">
        <v>123</v>
      </c>
      <c r="B661" s="13" t="n">
        <v>45411</v>
      </c>
      <c r="C661" s="14" t="n">
        <v>2190</v>
      </c>
      <c r="D661" s="27" t="n"/>
      <c r="E661" s="27" t="n"/>
      <c r="F661" s="27" t="n"/>
      <c r="G661" s="16" t="inlineStr">
        <is>
          <t>全国基准价</t>
        </is>
      </c>
      <c r="H661" s="17" t="inlineStr">
        <is>
          <t>打开原文</t>
        </is>
      </c>
    </row>
    <row r="662">
      <c r="A662" s="18" t="n">
        <v>124</v>
      </c>
      <c r="B662" s="19" t="n">
        <v>45412</v>
      </c>
      <c r="C662" s="20" t="n">
        <v>2210</v>
      </c>
      <c r="D662" s="28" t="n"/>
      <c r="E662" s="28" t="n"/>
      <c r="F662" s="28" t="n"/>
      <c r="G662" s="22" t="inlineStr">
        <is>
          <t>全国基准价</t>
        </is>
      </c>
      <c r="H662" s="23" t="inlineStr">
        <is>
          <t>打开原文</t>
        </is>
      </c>
    </row>
    <row r="663">
      <c r="A663" s="12" t="n">
        <v>125</v>
      </c>
      <c r="B663" s="13" t="n">
        <v>45413</v>
      </c>
      <c r="C663" s="14" t="n">
        <v>2210</v>
      </c>
      <c r="D663" s="27" t="n"/>
      <c r="E663" s="27" t="n"/>
      <c r="F663" s="27" t="n"/>
      <c r="G663" s="16" t="inlineStr">
        <is>
          <t>全国基准价</t>
        </is>
      </c>
      <c r="H663" s="17" t="inlineStr">
        <is>
          <t>打开原文</t>
        </is>
      </c>
    </row>
    <row r="664">
      <c r="A664" s="18" t="n">
        <v>126</v>
      </c>
      <c r="B664" s="19" t="n">
        <v>45414</v>
      </c>
      <c r="C664" s="20" t="n">
        <v>2210</v>
      </c>
      <c r="D664" s="28" t="n"/>
      <c r="E664" s="28" t="n"/>
      <c r="F664" s="28" t="n"/>
      <c r="G664" s="22" t="inlineStr">
        <is>
          <t>全国基准价</t>
        </is>
      </c>
      <c r="H664" s="23" t="inlineStr">
        <is>
          <t>打开原文</t>
        </is>
      </c>
    </row>
    <row r="665">
      <c r="A665" s="12" t="n">
        <v>127</v>
      </c>
      <c r="B665" s="13" t="n">
        <v>45415</v>
      </c>
      <c r="C665" s="14" t="n">
        <v>2210</v>
      </c>
      <c r="D665" s="27" t="n"/>
      <c r="E665" s="27" t="n"/>
      <c r="F665" s="27" t="n"/>
      <c r="G665" s="16" t="inlineStr">
        <is>
          <t>全国基准价</t>
        </is>
      </c>
      <c r="H665" s="17" t="inlineStr">
        <is>
          <t>打开原文</t>
        </is>
      </c>
    </row>
    <row r="666">
      <c r="A666" s="18" t="n">
        <v>128</v>
      </c>
      <c r="B666" s="19" t="n">
        <v>45418</v>
      </c>
      <c r="C666" s="20" t="n">
        <v>2210</v>
      </c>
      <c r="D666" s="28" t="n"/>
      <c r="E666" s="28" t="n"/>
      <c r="F666" s="28" t="n"/>
      <c r="G666" s="22" t="inlineStr">
        <is>
          <t>全国基准价</t>
        </is>
      </c>
      <c r="H666" s="23" t="inlineStr">
        <is>
          <t>打开原文</t>
        </is>
      </c>
    </row>
    <row r="667">
      <c r="A667" s="12" t="n">
        <v>129</v>
      </c>
      <c r="B667" s="13" t="n">
        <v>45419</v>
      </c>
      <c r="C667" s="14" t="n">
        <v>2210</v>
      </c>
      <c r="D667" s="27" t="n"/>
      <c r="E667" s="27" t="n"/>
      <c r="F667" s="27" t="n"/>
      <c r="G667" s="16" t="inlineStr">
        <is>
          <t>全国基准价</t>
        </is>
      </c>
      <c r="H667" s="17" t="inlineStr">
        <is>
          <t>打开原文</t>
        </is>
      </c>
    </row>
    <row r="668">
      <c r="A668" s="18" t="n">
        <v>130</v>
      </c>
      <c r="B668" s="19" t="n">
        <v>45420</v>
      </c>
      <c r="C668" s="20" t="n">
        <v>2210</v>
      </c>
      <c r="D668" s="28" t="n"/>
      <c r="E668" s="28" t="n"/>
      <c r="F668" s="28" t="n"/>
      <c r="G668" s="22" t="inlineStr">
        <is>
          <t>全国基准价</t>
        </is>
      </c>
      <c r="H668" s="23" t="inlineStr">
        <is>
          <t>打开原文</t>
        </is>
      </c>
    </row>
    <row r="669">
      <c r="A669" s="12" t="n">
        <v>131</v>
      </c>
      <c r="B669" s="13" t="n">
        <v>45421</v>
      </c>
      <c r="C669" s="14" t="n">
        <v>2230</v>
      </c>
      <c r="D669" s="27" t="n"/>
      <c r="E669" s="27" t="n"/>
      <c r="F669" s="27" t="n"/>
      <c r="G669" s="16" t="inlineStr">
        <is>
          <t>全国基准价</t>
        </is>
      </c>
      <c r="H669" s="17" t="inlineStr">
        <is>
          <t>打开原文</t>
        </is>
      </c>
    </row>
    <row r="670">
      <c r="A670" s="18" t="n">
        <v>132</v>
      </c>
      <c r="B670" s="19" t="n">
        <v>45422</v>
      </c>
      <c r="C670" s="20" t="n">
        <v>2230</v>
      </c>
      <c r="D670" s="28" t="n"/>
      <c r="E670" s="28" t="n"/>
      <c r="F670" s="28" t="n"/>
      <c r="G670" s="22" t="inlineStr">
        <is>
          <t>全国基准价</t>
        </is>
      </c>
      <c r="H670" s="23" t="inlineStr">
        <is>
          <t>打开原文</t>
        </is>
      </c>
    </row>
    <row r="671">
      <c r="A671" s="12" t="n">
        <v>133</v>
      </c>
      <c r="B671" s="13" t="n">
        <v>45425</v>
      </c>
      <c r="C671" s="14" t="n">
        <v>2230</v>
      </c>
      <c r="D671" s="27" t="n"/>
      <c r="E671" s="27" t="n"/>
      <c r="F671" s="27" t="n"/>
      <c r="G671" s="16" t="inlineStr">
        <is>
          <t>全国基准价</t>
        </is>
      </c>
      <c r="H671" s="17" t="inlineStr">
        <is>
          <t>打开原文</t>
        </is>
      </c>
    </row>
    <row r="672">
      <c r="A672" s="18" t="n">
        <v>134</v>
      </c>
      <c r="B672" s="19" t="n">
        <v>45426</v>
      </c>
      <c r="C672" s="20" t="n">
        <v>2230</v>
      </c>
      <c r="D672" s="28" t="n"/>
      <c r="E672" s="28" t="n"/>
      <c r="F672" s="28" t="n"/>
      <c r="G672" s="22" t="inlineStr">
        <is>
          <t>全国基准价</t>
        </is>
      </c>
      <c r="H672" s="23" t="inlineStr">
        <is>
          <t>打开原文</t>
        </is>
      </c>
    </row>
    <row r="673">
      <c r="A673" s="12" t="n">
        <v>135</v>
      </c>
      <c r="B673" s="13" t="n">
        <v>45427</v>
      </c>
      <c r="C673" s="14" t="n">
        <v>2230</v>
      </c>
      <c r="D673" s="27" t="n"/>
      <c r="E673" s="27" t="n"/>
      <c r="F673" s="27" t="n"/>
      <c r="G673" s="16" t="inlineStr">
        <is>
          <t>全国基准价</t>
        </is>
      </c>
      <c r="H673" s="17" t="inlineStr">
        <is>
          <t>打开原文</t>
        </is>
      </c>
    </row>
    <row r="674">
      <c r="A674" s="18" t="n">
        <v>136</v>
      </c>
      <c r="B674" s="19" t="n">
        <v>45428</v>
      </c>
      <c r="C674" s="20" t="n">
        <v>2230</v>
      </c>
      <c r="D674" s="28" t="n"/>
      <c r="E674" s="28" t="n"/>
      <c r="F674" s="28" t="n"/>
      <c r="G674" s="22" t="inlineStr">
        <is>
          <t>全国基准价</t>
        </is>
      </c>
      <c r="H674" s="23" t="inlineStr">
        <is>
          <t>打开原文</t>
        </is>
      </c>
    </row>
    <row r="675">
      <c r="A675" s="12" t="n">
        <v>137</v>
      </c>
      <c r="B675" s="13" t="n">
        <v>45429</v>
      </c>
      <c r="C675" s="14" t="n">
        <v>2230</v>
      </c>
      <c r="D675" s="27" t="n"/>
      <c r="E675" s="27" t="n"/>
      <c r="F675" s="27" t="n"/>
      <c r="G675" s="16" t="inlineStr">
        <is>
          <t>全国基准价</t>
        </is>
      </c>
      <c r="H675" s="17" t="inlineStr">
        <is>
          <t>打开原文</t>
        </is>
      </c>
    </row>
    <row r="676">
      <c r="A676" s="18" t="n">
        <v>138</v>
      </c>
      <c r="B676" s="19" t="n">
        <v>45432</v>
      </c>
      <c r="C676" s="20" t="n">
        <v>2230</v>
      </c>
      <c r="D676" s="28" t="n"/>
      <c r="E676" s="28" t="n"/>
      <c r="F676" s="28" t="n"/>
      <c r="G676" s="22" t="inlineStr">
        <is>
          <t>全国基准价</t>
        </is>
      </c>
      <c r="H676" s="23" t="inlineStr">
        <is>
          <t>打开原文</t>
        </is>
      </c>
    </row>
    <row r="677">
      <c r="A677" s="12" t="n">
        <v>139</v>
      </c>
      <c r="B677" s="13" t="n">
        <v>45433</v>
      </c>
      <c r="C677" s="14" t="n">
        <v>2270</v>
      </c>
      <c r="D677" s="27" t="n"/>
      <c r="E677" s="27" t="n"/>
      <c r="F677" s="27" t="n"/>
      <c r="G677" s="16" t="inlineStr">
        <is>
          <t>全国基准价</t>
        </is>
      </c>
      <c r="H677" s="17" t="inlineStr">
        <is>
          <t>打开原文</t>
        </is>
      </c>
    </row>
    <row r="678">
      <c r="A678" s="18" t="n">
        <v>140</v>
      </c>
      <c r="B678" s="19" t="n">
        <v>45434</v>
      </c>
      <c r="C678" s="20" t="n">
        <v>2270</v>
      </c>
      <c r="D678" s="28" t="n"/>
      <c r="E678" s="28" t="n"/>
      <c r="F678" s="28" t="n"/>
      <c r="G678" s="22" t="inlineStr">
        <is>
          <t>全国基准价</t>
        </is>
      </c>
      <c r="H678" s="23" t="inlineStr">
        <is>
          <t>打开原文</t>
        </is>
      </c>
    </row>
    <row r="679">
      <c r="A679" s="12" t="n">
        <v>141</v>
      </c>
      <c r="B679" s="13" t="n">
        <v>45435</v>
      </c>
      <c r="C679" s="14" t="n">
        <v>2270</v>
      </c>
      <c r="D679" s="27" t="n"/>
      <c r="E679" s="27" t="n"/>
      <c r="F679" s="27" t="n"/>
      <c r="G679" s="16" t="inlineStr">
        <is>
          <t>全国基准价</t>
        </is>
      </c>
      <c r="H679" s="17" t="inlineStr">
        <is>
          <t>打开原文</t>
        </is>
      </c>
    </row>
    <row r="680">
      <c r="A680" s="18" t="n">
        <v>142</v>
      </c>
      <c r="B680" s="19" t="n">
        <v>45436</v>
      </c>
      <c r="C680" s="20" t="n">
        <v>2270</v>
      </c>
      <c r="D680" s="28" t="n"/>
      <c r="E680" s="28" t="n"/>
      <c r="F680" s="28" t="n"/>
      <c r="G680" s="22" t="inlineStr">
        <is>
          <t>全国基准价</t>
        </is>
      </c>
      <c r="H680" s="23" t="inlineStr">
        <is>
          <t>打开原文</t>
        </is>
      </c>
    </row>
    <row r="681">
      <c r="A681" s="12" t="n">
        <v>143</v>
      </c>
      <c r="B681" s="13" t="n">
        <v>45439</v>
      </c>
      <c r="C681" s="14" t="n">
        <v>2270</v>
      </c>
      <c r="D681" s="27" t="n"/>
      <c r="E681" s="27" t="n"/>
      <c r="F681" s="27" t="n"/>
      <c r="G681" s="16" t="inlineStr">
        <is>
          <t>全国基准价</t>
        </is>
      </c>
      <c r="H681" s="17" t="inlineStr">
        <is>
          <t>打开原文</t>
        </is>
      </c>
    </row>
    <row r="682">
      <c r="A682" s="18" t="n">
        <v>144</v>
      </c>
      <c r="B682" s="19" t="n">
        <v>45440</v>
      </c>
      <c r="C682" s="20" t="n">
        <v>2270</v>
      </c>
      <c r="D682" s="28" t="n"/>
      <c r="E682" s="28" t="n"/>
      <c r="F682" s="28" t="n"/>
      <c r="G682" s="22" t="inlineStr">
        <is>
          <t>全国基准价</t>
        </is>
      </c>
      <c r="H682" s="23" t="inlineStr">
        <is>
          <t>打开原文</t>
        </is>
      </c>
    </row>
    <row r="683">
      <c r="A683" s="12" t="n">
        <v>145</v>
      </c>
      <c r="B683" s="13" t="n">
        <v>45441</v>
      </c>
      <c r="C683" s="14" t="n">
        <v>2270</v>
      </c>
      <c r="D683" s="27" t="n"/>
      <c r="E683" s="27" t="n"/>
      <c r="F683" s="27" t="n"/>
      <c r="G683" s="16" t="inlineStr">
        <is>
          <t>全国基准价</t>
        </is>
      </c>
      <c r="H683" s="17" t="inlineStr">
        <is>
          <t>打开原文</t>
        </is>
      </c>
    </row>
    <row r="684">
      <c r="A684" s="18" t="n">
        <v>146</v>
      </c>
      <c r="B684" s="19" t="n">
        <v>45442</v>
      </c>
      <c r="C684" s="20" t="n">
        <v>2270</v>
      </c>
      <c r="D684" s="28" t="n"/>
      <c r="E684" s="28" t="n"/>
      <c r="F684" s="28" t="n"/>
      <c r="G684" s="22" t="inlineStr">
        <is>
          <t>全国基准价</t>
        </is>
      </c>
      <c r="H684" s="23" t="inlineStr">
        <is>
          <t>打开原文</t>
        </is>
      </c>
    </row>
    <row r="685">
      <c r="A685" s="12" t="n">
        <v>147</v>
      </c>
      <c r="B685" s="13" t="n">
        <v>45443</v>
      </c>
      <c r="C685" s="14" t="n">
        <v>2270</v>
      </c>
      <c r="D685" s="27" t="n"/>
      <c r="E685" s="27" t="n"/>
      <c r="F685" s="27" t="n"/>
      <c r="G685" s="16" t="inlineStr">
        <is>
          <t>全国基准价</t>
        </is>
      </c>
      <c r="H685" s="17" t="inlineStr">
        <is>
          <t>打开原文</t>
        </is>
      </c>
    </row>
    <row r="686">
      <c r="A686" s="18" t="n">
        <v>148</v>
      </c>
      <c r="B686" s="19" t="n">
        <v>45446</v>
      </c>
      <c r="C686" s="20" t="n">
        <v>2270</v>
      </c>
      <c r="D686" s="28" t="n"/>
      <c r="E686" s="28" t="n"/>
      <c r="F686" s="28" t="n"/>
      <c r="G686" s="22" t="inlineStr">
        <is>
          <t>全国基准价</t>
        </is>
      </c>
      <c r="H686" s="23" t="inlineStr">
        <is>
          <t>打开原文</t>
        </is>
      </c>
    </row>
    <row r="687">
      <c r="A687" s="12" t="n">
        <v>149</v>
      </c>
      <c r="B687" s="13" t="n">
        <v>45447</v>
      </c>
      <c r="C687" s="14" t="n">
        <v>2270</v>
      </c>
      <c r="D687" s="27" t="n"/>
      <c r="E687" s="27" t="n"/>
      <c r="F687" s="27" t="n"/>
      <c r="G687" s="16" t="inlineStr">
        <is>
          <t>全国基准价</t>
        </is>
      </c>
      <c r="H687" s="17" t="inlineStr">
        <is>
          <t>打开原文</t>
        </is>
      </c>
    </row>
    <row r="688">
      <c r="A688" s="18" t="n">
        <v>150</v>
      </c>
      <c r="B688" s="19" t="n">
        <v>45448</v>
      </c>
      <c r="C688" s="20" t="n">
        <v>2310</v>
      </c>
      <c r="D688" s="28" t="n"/>
      <c r="E688" s="28" t="n"/>
      <c r="F688" s="28" t="n"/>
      <c r="G688" s="22" t="inlineStr">
        <is>
          <t>全国基准价</t>
        </is>
      </c>
      <c r="H688" s="23" t="inlineStr">
        <is>
          <t>打开原文</t>
        </is>
      </c>
    </row>
    <row r="689">
      <c r="A689" s="12" t="n">
        <v>151</v>
      </c>
      <c r="B689" s="13" t="n">
        <v>45449</v>
      </c>
      <c r="C689" s="14" t="n">
        <v>2310</v>
      </c>
      <c r="D689" s="27" t="n"/>
      <c r="E689" s="27" t="n"/>
      <c r="F689" s="27" t="n"/>
      <c r="G689" s="16" t="inlineStr">
        <is>
          <t>全国基准价</t>
        </is>
      </c>
      <c r="H689" s="17" t="inlineStr">
        <is>
          <t>打开原文</t>
        </is>
      </c>
    </row>
    <row r="690">
      <c r="A690" s="18" t="n">
        <v>152</v>
      </c>
      <c r="B690" s="19" t="n">
        <v>45450</v>
      </c>
      <c r="C690" s="20" t="n">
        <v>2310</v>
      </c>
      <c r="D690" s="28" t="n"/>
      <c r="E690" s="28" t="n"/>
      <c r="F690" s="28" t="n"/>
      <c r="G690" s="22" t="inlineStr">
        <is>
          <t>全国基准价</t>
        </is>
      </c>
      <c r="H690" s="23" t="inlineStr">
        <is>
          <t>打开原文</t>
        </is>
      </c>
    </row>
    <row r="691">
      <c r="A691" s="12" t="n">
        <v>153</v>
      </c>
      <c r="B691" s="13" t="n">
        <v>45453</v>
      </c>
      <c r="C691" s="14" t="n">
        <v>2310</v>
      </c>
      <c r="D691" s="27" t="n"/>
      <c r="E691" s="27" t="n"/>
      <c r="F691" s="27" t="n"/>
      <c r="G691" s="16" t="inlineStr">
        <is>
          <t>全国基准价</t>
        </is>
      </c>
      <c r="H691" s="17" t="inlineStr">
        <is>
          <t>打开原文</t>
        </is>
      </c>
    </row>
    <row r="692">
      <c r="A692" s="18" t="n">
        <v>154</v>
      </c>
      <c r="B692" s="19" t="n">
        <v>45454</v>
      </c>
      <c r="C692" s="20" t="n">
        <v>2310</v>
      </c>
      <c r="D692" s="28" t="n"/>
      <c r="E692" s="28" t="n"/>
      <c r="F692" s="28" t="n"/>
      <c r="G692" s="22" t="inlineStr">
        <is>
          <t>全国基准价</t>
        </is>
      </c>
      <c r="H692" s="23" t="inlineStr">
        <is>
          <t>打开原文</t>
        </is>
      </c>
    </row>
    <row r="693">
      <c r="A693" s="12" t="n">
        <v>155</v>
      </c>
      <c r="B693" s="13" t="n">
        <v>45455</v>
      </c>
      <c r="C693" s="14" t="n">
        <v>2290</v>
      </c>
      <c r="D693" s="27" t="n"/>
      <c r="E693" s="27" t="n"/>
      <c r="F693" s="27" t="n"/>
      <c r="G693" s="16" t="inlineStr">
        <is>
          <t>全国基准价</t>
        </is>
      </c>
      <c r="H693" s="17" t="inlineStr">
        <is>
          <t>打开原文</t>
        </is>
      </c>
    </row>
    <row r="694">
      <c r="A694" s="18" t="n">
        <v>156</v>
      </c>
      <c r="B694" s="19" t="n">
        <v>45456</v>
      </c>
      <c r="C694" s="20" t="n">
        <v>2290</v>
      </c>
      <c r="D694" s="28" t="n"/>
      <c r="E694" s="28" t="n"/>
      <c r="F694" s="28" t="n"/>
      <c r="G694" s="22" t="inlineStr">
        <is>
          <t>全国基准价</t>
        </is>
      </c>
      <c r="H694" s="23" t="inlineStr">
        <is>
          <t>打开原文</t>
        </is>
      </c>
    </row>
    <row r="695">
      <c r="A695" s="12" t="n">
        <v>157</v>
      </c>
      <c r="B695" s="13" t="n">
        <v>45457</v>
      </c>
      <c r="C695" s="14" t="n">
        <v>2290</v>
      </c>
      <c r="D695" s="27" t="n"/>
      <c r="E695" s="27" t="n"/>
      <c r="F695" s="27" t="n"/>
      <c r="G695" s="16" t="inlineStr">
        <is>
          <t>全国基准价</t>
        </is>
      </c>
      <c r="H695" s="17" t="inlineStr">
        <is>
          <t>打开原文</t>
        </is>
      </c>
    </row>
    <row r="696">
      <c r="A696" s="18" t="n">
        <v>158</v>
      </c>
      <c r="B696" s="19" t="n">
        <v>45460</v>
      </c>
      <c r="C696" s="20" t="n">
        <v>2290</v>
      </c>
      <c r="D696" s="28" t="n"/>
      <c r="E696" s="28" t="n"/>
      <c r="F696" s="28" t="n"/>
      <c r="G696" s="22" t="inlineStr">
        <is>
          <t>全国基准价</t>
        </is>
      </c>
      <c r="H696" s="23" t="inlineStr">
        <is>
          <t>打开原文</t>
        </is>
      </c>
    </row>
    <row r="697">
      <c r="A697" s="12" t="n">
        <v>159</v>
      </c>
      <c r="B697" s="13" t="n">
        <v>45461</v>
      </c>
      <c r="C697" s="14" t="n">
        <v>2230</v>
      </c>
      <c r="D697" s="27" t="n"/>
      <c r="E697" s="27" t="n"/>
      <c r="F697" s="27" t="n"/>
      <c r="G697" s="16" t="inlineStr">
        <is>
          <t>全国基准价</t>
        </is>
      </c>
      <c r="H697" s="17" t="inlineStr">
        <is>
          <t>打开原文</t>
        </is>
      </c>
    </row>
    <row r="698">
      <c r="A698" s="18" t="n">
        <v>160</v>
      </c>
      <c r="B698" s="19" t="n">
        <v>45462</v>
      </c>
      <c r="C698" s="20" t="n">
        <v>2230</v>
      </c>
      <c r="D698" s="28" t="n"/>
      <c r="E698" s="28" t="n"/>
      <c r="F698" s="28" t="n"/>
      <c r="G698" s="22" t="inlineStr">
        <is>
          <t>全国基准价</t>
        </is>
      </c>
      <c r="H698" s="23" t="inlineStr">
        <is>
          <t>打开原文</t>
        </is>
      </c>
    </row>
    <row r="699">
      <c r="A699" s="12" t="n">
        <v>161</v>
      </c>
      <c r="B699" s="13" t="n">
        <v>45463</v>
      </c>
      <c r="C699" s="14" t="n">
        <v>2230</v>
      </c>
      <c r="D699" s="27" t="n"/>
      <c r="E699" s="27" t="n"/>
      <c r="F699" s="27" t="n"/>
      <c r="G699" s="16" t="inlineStr">
        <is>
          <t>全国基准价</t>
        </is>
      </c>
      <c r="H699" s="17" t="inlineStr">
        <is>
          <t>打开原文</t>
        </is>
      </c>
    </row>
    <row r="700">
      <c r="A700" s="18" t="n">
        <v>162</v>
      </c>
      <c r="B700" s="19" t="n">
        <v>45464</v>
      </c>
      <c r="C700" s="20" t="n">
        <v>2230</v>
      </c>
      <c r="D700" s="28" t="n"/>
      <c r="E700" s="28" t="n"/>
      <c r="F700" s="28" t="n"/>
      <c r="G700" s="22" t="inlineStr">
        <is>
          <t>全国基准价</t>
        </is>
      </c>
      <c r="H700" s="23" t="inlineStr">
        <is>
          <t>打开原文</t>
        </is>
      </c>
    </row>
    <row r="701">
      <c r="A701" s="12" t="n">
        <v>163</v>
      </c>
      <c r="B701" s="13" t="n">
        <v>45467</v>
      </c>
      <c r="C701" s="14" t="n">
        <v>2230</v>
      </c>
      <c r="D701" s="27" t="n"/>
      <c r="E701" s="27" t="n"/>
      <c r="F701" s="27" t="n"/>
      <c r="G701" s="16" t="inlineStr">
        <is>
          <t>全国基准价</t>
        </is>
      </c>
      <c r="H701" s="17" t="inlineStr">
        <is>
          <t>打开原文</t>
        </is>
      </c>
    </row>
    <row r="702">
      <c r="A702" s="18" t="n">
        <v>164</v>
      </c>
      <c r="B702" s="19" t="n">
        <v>45468</v>
      </c>
      <c r="C702" s="20" t="n">
        <v>2230</v>
      </c>
      <c r="D702" s="28" t="n"/>
      <c r="E702" s="28" t="n"/>
      <c r="F702" s="28" t="n"/>
      <c r="G702" s="22" t="inlineStr">
        <is>
          <t>全国基准价</t>
        </is>
      </c>
      <c r="H702" s="23" t="inlineStr">
        <is>
          <t>打开原文</t>
        </is>
      </c>
    </row>
    <row r="703">
      <c r="A703" s="12" t="n">
        <v>165</v>
      </c>
      <c r="B703" s="13" t="n">
        <v>45469</v>
      </c>
      <c r="C703" s="14" t="n">
        <v>2230</v>
      </c>
      <c r="D703" s="27" t="n"/>
      <c r="E703" s="27" t="n"/>
      <c r="F703" s="27" t="n"/>
      <c r="G703" s="16" t="inlineStr">
        <is>
          <t>全国基准价</t>
        </is>
      </c>
      <c r="H703" s="17" t="inlineStr">
        <is>
          <t>打开原文</t>
        </is>
      </c>
    </row>
    <row r="704">
      <c r="A704" s="18" t="n">
        <v>166</v>
      </c>
      <c r="B704" s="19" t="n">
        <v>45470</v>
      </c>
      <c r="C704" s="20" t="n">
        <v>2230</v>
      </c>
      <c r="D704" s="28" t="n"/>
      <c r="E704" s="28" t="n"/>
      <c r="F704" s="28" t="n"/>
      <c r="G704" s="22" t="inlineStr">
        <is>
          <t>全国基准价</t>
        </is>
      </c>
      <c r="H704" s="23" t="inlineStr">
        <is>
          <t>打开原文</t>
        </is>
      </c>
    </row>
    <row r="705">
      <c r="A705" s="12" t="n">
        <v>167</v>
      </c>
      <c r="B705" s="13" t="n">
        <v>45471</v>
      </c>
      <c r="C705" s="14" t="n">
        <v>2230</v>
      </c>
      <c r="D705" s="27" t="n"/>
      <c r="E705" s="27" t="n"/>
      <c r="F705" s="27" t="n"/>
      <c r="G705" s="16" t="inlineStr">
        <is>
          <t>全国基准价</t>
        </is>
      </c>
      <c r="H705" s="17" t="inlineStr">
        <is>
          <t>打开原文</t>
        </is>
      </c>
    </row>
    <row r="706">
      <c r="A706" s="18" t="n">
        <v>168</v>
      </c>
      <c r="B706" s="19" t="n">
        <v>45474</v>
      </c>
      <c r="C706" s="20" t="n">
        <v>2230</v>
      </c>
      <c r="D706" s="28" t="n"/>
      <c r="E706" s="28" t="n"/>
      <c r="F706" s="28" t="n"/>
      <c r="G706" s="22" t="inlineStr">
        <is>
          <t>全国基准价</t>
        </is>
      </c>
      <c r="H706" s="23" t="inlineStr">
        <is>
          <t>打开原文</t>
        </is>
      </c>
    </row>
    <row r="707">
      <c r="A707" s="12" t="n">
        <v>169</v>
      </c>
      <c r="B707" s="13" t="n">
        <v>45475</v>
      </c>
      <c r="C707" s="14" t="n">
        <v>2210</v>
      </c>
      <c r="D707" s="27" t="n"/>
      <c r="E707" s="27" t="n"/>
      <c r="F707" s="27" t="n"/>
      <c r="G707" s="16" t="inlineStr">
        <is>
          <t>全国基准价</t>
        </is>
      </c>
      <c r="H707" s="17" t="inlineStr">
        <is>
          <t>打开原文</t>
        </is>
      </c>
    </row>
    <row r="708">
      <c r="A708" s="18" t="n">
        <v>170</v>
      </c>
      <c r="B708" s="19" t="n">
        <v>45476</v>
      </c>
      <c r="C708" s="20" t="n">
        <v>2210</v>
      </c>
      <c r="D708" s="28" t="n"/>
      <c r="E708" s="28" t="n"/>
      <c r="F708" s="28" t="n"/>
      <c r="G708" s="22" t="inlineStr">
        <is>
          <t>全国基准价</t>
        </is>
      </c>
      <c r="H708" s="23" t="inlineStr">
        <is>
          <t>打开原文</t>
        </is>
      </c>
    </row>
    <row r="709">
      <c r="A709" s="12" t="n">
        <v>171</v>
      </c>
      <c r="B709" s="13" t="n">
        <v>45477</v>
      </c>
      <c r="C709" s="14" t="n">
        <v>2210</v>
      </c>
      <c r="D709" s="27" t="n"/>
      <c r="E709" s="27" t="n"/>
      <c r="F709" s="27" t="n"/>
      <c r="G709" s="16" t="inlineStr">
        <is>
          <t>全国基准价</t>
        </is>
      </c>
      <c r="H709" s="17" t="inlineStr">
        <is>
          <t>打开原文</t>
        </is>
      </c>
    </row>
    <row r="710">
      <c r="A710" s="18" t="n">
        <v>172</v>
      </c>
      <c r="B710" s="19" t="n">
        <v>45478</v>
      </c>
      <c r="C710" s="20" t="n">
        <v>2210</v>
      </c>
      <c r="D710" s="28" t="n"/>
      <c r="E710" s="28" t="n"/>
      <c r="F710" s="28" t="n"/>
      <c r="G710" s="22" t="inlineStr">
        <is>
          <t>全国基准价</t>
        </is>
      </c>
      <c r="H710" s="23" t="inlineStr">
        <is>
          <t>打开原文</t>
        </is>
      </c>
    </row>
    <row r="711">
      <c r="A711" s="12" t="n">
        <v>173</v>
      </c>
      <c r="B711" s="13" t="n">
        <v>45481</v>
      </c>
      <c r="C711" s="14" t="n">
        <v>2210</v>
      </c>
      <c r="D711" s="27" t="n"/>
      <c r="E711" s="27" t="n"/>
      <c r="F711" s="27" t="n"/>
      <c r="G711" s="16" t="inlineStr">
        <is>
          <t>全国基准价</t>
        </is>
      </c>
      <c r="H711" s="17" t="inlineStr">
        <is>
          <t>打开原文</t>
        </is>
      </c>
    </row>
    <row r="712">
      <c r="A712" s="18" t="n">
        <v>174</v>
      </c>
      <c r="B712" s="19" t="n">
        <v>45482</v>
      </c>
      <c r="C712" s="20" t="n">
        <v>2210</v>
      </c>
      <c r="D712" s="28" t="n"/>
      <c r="E712" s="28" t="n"/>
      <c r="F712" s="28" t="n"/>
      <c r="G712" s="22" t="inlineStr">
        <is>
          <t>全国基准价</t>
        </is>
      </c>
      <c r="H712" s="23" t="inlineStr">
        <is>
          <t>打开原文</t>
        </is>
      </c>
    </row>
    <row r="713">
      <c r="A713" s="12" t="n">
        <v>175</v>
      </c>
      <c r="B713" s="13" t="n">
        <v>45483</v>
      </c>
      <c r="C713" s="14" t="n">
        <v>2210</v>
      </c>
      <c r="D713" s="27" t="n"/>
      <c r="E713" s="27" t="n"/>
      <c r="F713" s="27" t="n"/>
      <c r="G713" s="16" t="inlineStr">
        <is>
          <t>全国基准价</t>
        </is>
      </c>
      <c r="H713" s="17" t="inlineStr">
        <is>
          <t>打开原文</t>
        </is>
      </c>
    </row>
    <row r="714">
      <c r="A714" s="18" t="n">
        <v>176</v>
      </c>
      <c r="B714" s="19" t="n">
        <v>45484</v>
      </c>
      <c r="C714" s="20" t="n">
        <v>2210</v>
      </c>
      <c r="D714" s="28" t="n"/>
      <c r="E714" s="28" t="n"/>
      <c r="F714" s="28" t="n"/>
      <c r="G714" s="22" t="inlineStr">
        <is>
          <t>全国基准价</t>
        </is>
      </c>
      <c r="H714" s="23" t="inlineStr">
        <is>
          <t>打开原文</t>
        </is>
      </c>
    </row>
    <row r="715">
      <c r="A715" s="12" t="n">
        <v>177</v>
      </c>
      <c r="B715" s="13" t="n">
        <v>45485</v>
      </c>
      <c r="C715" s="14" t="n">
        <v>2210</v>
      </c>
      <c r="D715" s="27" t="n"/>
      <c r="E715" s="27" t="n"/>
      <c r="F715" s="27" t="n"/>
      <c r="G715" s="16" t="inlineStr">
        <is>
          <t>全国基准价</t>
        </is>
      </c>
      <c r="H715" s="17" t="inlineStr">
        <is>
          <t>打开原文</t>
        </is>
      </c>
    </row>
    <row r="716">
      <c r="A716" s="18" t="n">
        <v>178</v>
      </c>
      <c r="B716" s="19" t="n">
        <v>45488</v>
      </c>
      <c r="C716" s="20" t="n">
        <v>2210</v>
      </c>
      <c r="D716" s="28" t="n"/>
      <c r="E716" s="28" t="n"/>
      <c r="F716" s="28" t="n"/>
      <c r="G716" s="22" t="inlineStr">
        <is>
          <t>全国基准价</t>
        </is>
      </c>
      <c r="H716" s="23" t="inlineStr">
        <is>
          <t>打开原文</t>
        </is>
      </c>
    </row>
    <row r="717">
      <c r="A717" s="12" t="n">
        <v>179</v>
      </c>
      <c r="B717" s="13" t="n">
        <v>45489</v>
      </c>
      <c r="C717" s="14" t="n">
        <v>2210</v>
      </c>
      <c r="D717" s="27" t="n"/>
      <c r="E717" s="27" t="n"/>
      <c r="F717" s="27" t="n"/>
      <c r="G717" s="16" t="inlineStr">
        <is>
          <t>全国基准价</t>
        </is>
      </c>
      <c r="H717" s="17" t="inlineStr">
        <is>
          <t>打开原文</t>
        </is>
      </c>
    </row>
    <row r="718">
      <c r="A718" s="18" t="n">
        <v>180</v>
      </c>
      <c r="B718" s="19" t="n">
        <v>45490</v>
      </c>
      <c r="C718" s="20" t="n">
        <v>2180</v>
      </c>
      <c r="D718" s="28" t="n"/>
      <c r="E718" s="28" t="n"/>
      <c r="F718" s="28" t="n"/>
      <c r="G718" s="22" t="inlineStr">
        <is>
          <t>全国基准价</t>
        </is>
      </c>
      <c r="H718" s="23" t="inlineStr">
        <is>
          <t>打开原文</t>
        </is>
      </c>
    </row>
    <row r="719">
      <c r="A719" s="12" t="n">
        <v>181</v>
      </c>
      <c r="B719" s="13" t="n">
        <v>45491</v>
      </c>
      <c r="C719" s="14" t="n">
        <v>2180</v>
      </c>
      <c r="D719" s="27" t="n"/>
      <c r="E719" s="27" t="n"/>
      <c r="F719" s="27" t="n"/>
      <c r="G719" s="16" t="inlineStr">
        <is>
          <t>全国基准价</t>
        </is>
      </c>
      <c r="H719" s="17" t="inlineStr">
        <is>
          <t>打开原文</t>
        </is>
      </c>
    </row>
    <row r="720">
      <c r="A720" s="18" t="n">
        <v>182</v>
      </c>
      <c r="B720" s="19" t="n">
        <v>45492</v>
      </c>
      <c r="C720" s="20" t="n">
        <v>2170</v>
      </c>
      <c r="D720" s="28" t="n"/>
      <c r="E720" s="28" t="n"/>
      <c r="F720" s="28" t="n"/>
      <c r="G720" s="22" t="inlineStr">
        <is>
          <t>全国基准价</t>
        </is>
      </c>
      <c r="H720" s="23" t="inlineStr">
        <is>
          <t>打开原文</t>
        </is>
      </c>
    </row>
    <row r="721">
      <c r="A721" s="12" t="n">
        <v>183</v>
      </c>
      <c r="B721" s="13" t="n">
        <v>45495</v>
      </c>
      <c r="C721" s="14" t="n">
        <v>2170</v>
      </c>
      <c r="D721" s="27" t="n"/>
      <c r="E721" s="27" t="n"/>
      <c r="F721" s="27" t="n"/>
      <c r="G721" s="16" t="inlineStr">
        <is>
          <t>全国基准价</t>
        </is>
      </c>
      <c r="H721" s="17" t="inlineStr">
        <is>
          <t>打开原文</t>
        </is>
      </c>
    </row>
    <row r="722">
      <c r="A722" s="18" t="n">
        <v>184</v>
      </c>
      <c r="B722" s="19" t="n">
        <v>45496</v>
      </c>
      <c r="C722" s="20" t="n">
        <v>2170</v>
      </c>
      <c r="D722" s="28" t="n"/>
      <c r="E722" s="28" t="n"/>
      <c r="F722" s="28" t="n"/>
      <c r="G722" s="22" t="inlineStr">
        <is>
          <t>全国基准价</t>
        </is>
      </c>
      <c r="H722" s="23" t="inlineStr">
        <is>
          <t>打开原文</t>
        </is>
      </c>
    </row>
    <row r="723">
      <c r="A723" s="12" t="n">
        <v>185</v>
      </c>
      <c r="B723" s="13" t="n">
        <v>45497</v>
      </c>
      <c r="C723" s="14" t="n">
        <v>2170</v>
      </c>
      <c r="D723" s="27" t="n"/>
      <c r="E723" s="27" t="n"/>
      <c r="F723" s="27" t="n"/>
      <c r="G723" s="16" t="inlineStr">
        <is>
          <t>全国基准价</t>
        </is>
      </c>
      <c r="H723" s="17" t="inlineStr">
        <is>
          <t>打开原文</t>
        </is>
      </c>
    </row>
    <row r="724">
      <c r="A724" s="18" t="n">
        <v>186</v>
      </c>
      <c r="B724" s="19" t="n">
        <v>45498</v>
      </c>
      <c r="C724" s="20" t="n">
        <v>2170</v>
      </c>
      <c r="D724" s="28" t="n"/>
      <c r="E724" s="28" t="n"/>
      <c r="F724" s="28" t="n"/>
      <c r="G724" s="22" t="inlineStr">
        <is>
          <t>全国基准价</t>
        </is>
      </c>
      <c r="H724" s="23" t="inlineStr">
        <is>
          <t>打开原文</t>
        </is>
      </c>
    </row>
    <row r="725">
      <c r="A725" s="12" t="n">
        <v>187</v>
      </c>
      <c r="B725" s="13" t="n">
        <v>45499</v>
      </c>
      <c r="C725" s="14" t="n">
        <v>2170</v>
      </c>
      <c r="D725" s="27" t="n"/>
      <c r="E725" s="27" t="n"/>
      <c r="F725" s="27" t="n"/>
      <c r="G725" s="16" t="inlineStr">
        <is>
          <t>全国基准价</t>
        </is>
      </c>
      <c r="H725" s="17" t="inlineStr">
        <is>
          <t>打开原文</t>
        </is>
      </c>
    </row>
    <row r="726">
      <c r="A726" s="18" t="n">
        <v>188</v>
      </c>
      <c r="B726" s="19" t="n">
        <v>45502</v>
      </c>
      <c r="C726" s="20" t="n">
        <v>2170</v>
      </c>
      <c r="D726" s="28" t="n"/>
      <c r="E726" s="28" t="n"/>
      <c r="F726" s="28" t="n"/>
      <c r="G726" s="22" t="inlineStr">
        <is>
          <t>全国基准价</t>
        </is>
      </c>
      <c r="H726" s="23" t="inlineStr">
        <is>
          <t>打开原文</t>
        </is>
      </c>
    </row>
    <row r="727">
      <c r="A727" s="12" t="n">
        <v>189</v>
      </c>
      <c r="B727" s="13" t="n">
        <v>45503</v>
      </c>
      <c r="C727" s="14" t="n">
        <v>2160</v>
      </c>
      <c r="D727" s="27" t="n"/>
      <c r="E727" s="27" t="n"/>
      <c r="F727" s="27" t="n"/>
      <c r="G727" s="16" t="inlineStr">
        <is>
          <t>全国基准价</t>
        </is>
      </c>
      <c r="H727" s="17" t="inlineStr">
        <is>
          <t>打开原文</t>
        </is>
      </c>
    </row>
    <row r="728">
      <c r="A728" s="18" t="n">
        <v>190</v>
      </c>
      <c r="B728" s="19" t="n">
        <v>45504</v>
      </c>
      <c r="C728" s="20" t="n">
        <v>2160</v>
      </c>
      <c r="D728" s="28" t="n"/>
      <c r="E728" s="28" t="n"/>
      <c r="F728" s="28" t="n"/>
      <c r="G728" s="22" t="inlineStr">
        <is>
          <t>全国基准价</t>
        </is>
      </c>
      <c r="H728" s="23" t="inlineStr">
        <is>
          <t>打开原文</t>
        </is>
      </c>
    </row>
    <row r="729">
      <c r="A729" s="12" t="n">
        <v>191</v>
      </c>
      <c r="B729" s="13" t="n">
        <v>45505</v>
      </c>
      <c r="C729" s="14" t="n">
        <v>2140</v>
      </c>
      <c r="D729" s="27" t="n"/>
      <c r="E729" s="27" t="n"/>
      <c r="F729" s="27" t="n"/>
      <c r="G729" s="16" t="inlineStr">
        <is>
          <t>全国基准价</t>
        </is>
      </c>
      <c r="H729" s="17" t="inlineStr">
        <is>
          <t>打开原文</t>
        </is>
      </c>
    </row>
    <row r="730">
      <c r="A730" s="18" t="n">
        <v>192</v>
      </c>
      <c r="B730" s="19" t="n">
        <v>45506</v>
      </c>
      <c r="C730" s="20" t="n">
        <v>2120</v>
      </c>
      <c r="D730" s="28" t="n"/>
      <c r="E730" s="28" t="n"/>
      <c r="F730" s="28" t="n"/>
      <c r="G730" s="22" t="inlineStr">
        <is>
          <t>全国基准价</t>
        </is>
      </c>
      <c r="H730" s="23" t="inlineStr">
        <is>
          <t>打开原文</t>
        </is>
      </c>
    </row>
    <row r="731">
      <c r="A731" s="12" t="n">
        <v>193</v>
      </c>
      <c r="B731" s="13" t="n">
        <v>45509</v>
      </c>
      <c r="C731" s="14" t="n">
        <v>2120</v>
      </c>
      <c r="D731" s="27" t="n"/>
      <c r="E731" s="27" t="n"/>
      <c r="F731" s="27" t="n"/>
      <c r="G731" s="16" t="inlineStr">
        <is>
          <t>全国基准价</t>
        </is>
      </c>
      <c r="H731" s="17" t="inlineStr">
        <is>
          <t>打开原文</t>
        </is>
      </c>
    </row>
    <row r="732">
      <c r="A732" s="18" t="n">
        <v>194</v>
      </c>
      <c r="B732" s="19" t="n">
        <v>45510</v>
      </c>
      <c r="C732" s="20" t="n">
        <v>2120</v>
      </c>
      <c r="D732" s="28" t="n"/>
      <c r="E732" s="28" t="n"/>
      <c r="F732" s="28" t="n"/>
      <c r="G732" s="22" t="inlineStr">
        <is>
          <t>全国基准价</t>
        </is>
      </c>
      <c r="H732" s="23" t="inlineStr">
        <is>
          <t>打开原文</t>
        </is>
      </c>
    </row>
    <row r="733">
      <c r="A733" s="12" t="n">
        <v>195</v>
      </c>
      <c r="B733" s="13" t="n">
        <v>45511</v>
      </c>
      <c r="C733" s="14" t="n">
        <v>2120</v>
      </c>
      <c r="D733" s="27" t="n"/>
      <c r="E733" s="27" t="n"/>
      <c r="F733" s="27" t="n"/>
      <c r="G733" s="16" t="inlineStr">
        <is>
          <t>全国基准价</t>
        </is>
      </c>
      <c r="H733" s="17" t="inlineStr">
        <is>
          <t>打开原文</t>
        </is>
      </c>
    </row>
    <row r="734">
      <c r="A734" s="18" t="n">
        <v>196</v>
      </c>
      <c r="B734" s="19" t="n">
        <v>45512</v>
      </c>
      <c r="C734" s="20" t="n">
        <v>2120</v>
      </c>
      <c r="D734" s="28" t="n"/>
      <c r="E734" s="28" t="n"/>
      <c r="F734" s="28" t="n"/>
      <c r="G734" s="22" t="inlineStr">
        <is>
          <t>全国基准价</t>
        </is>
      </c>
      <c r="H734" s="23" t="inlineStr">
        <is>
          <t>打开原文</t>
        </is>
      </c>
    </row>
    <row r="735">
      <c r="A735" s="12" t="n">
        <v>197</v>
      </c>
      <c r="B735" s="13" t="n">
        <v>45513</v>
      </c>
      <c r="C735" s="14" t="n">
        <v>2120</v>
      </c>
      <c r="D735" s="27" t="n"/>
      <c r="E735" s="27" t="n"/>
      <c r="F735" s="27" t="n"/>
      <c r="G735" s="16" t="inlineStr">
        <is>
          <t>全国基准价</t>
        </is>
      </c>
      <c r="H735" s="17" t="inlineStr">
        <is>
          <t>打开原文</t>
        </is>
      </c>
    </row>
    <row r="736">
      <c r="A736" s="18" t="n">
        <v>198</v>
      </c>
      <c r="B736" s="19" t="n">
        <v>45516</v>
      </c>
      <c r="C736" s="20" t="n">
        <v>2120</v>
      </c>
      <c r="D736" s="28" t="n"/>
      <c r="E736" s="28" t="n"/>
      <c r="F736" s="28" t="n"/>
      <c r="G736" s="22" t="inlineStr">
        <is>
          <t>全国基准价</t>
        </is>
      </c>
      <c r="H736" s="23" t="inlineStr">
        <is>
          <t>打开原文</t>
        </is>
      </c>
    </row>
    <row r="737">
      <c r="A737" s="12" t="n">
        <v>199</v>
      </c>
      <c r="B737" s="13" t="n">
        <v>45517</v>
      </c>
      <c r="C737" s="14" t="n">
        <v>2110</v>
      </c>
      <c r="D737" s="27" t="n"/>
      <c r="E737" s="27" t="n"/>
      <c r="F737" s="27" t="n"/>
      <c r="G737" s="16" t="inlineStr">
        <is>
          <t>全国基准价</t>
        </is>
      </c>
      <c r="H737" s="17" t="inlineStr">
        <is>
          <t>打开原文</t>
        </is>
      </c>
    </row>
    <row r="738">
      <c r="A738" s="18" t="n">
        <v>200</v>
      </c>
      <c r="B738" s="19" t="n">
        <v>45518</v>
      </c>
      <c r="C738" s="20" t="n">
        <v>2110</v>
      </c>
      <c r="D738" s="28" t="n"/>
      <c r="E738" s="28" t="n"/>
      <c r="F738" s="28" t="n"/>
      <c r="G738" s="22" t="inlineStr">
        <is>
          <t>全国基准价</t>
        </is>
      </c>
      <c r="H738" s="23" t="inlineStr">
        <is>
          <t>打开原文</t>
        </is>
      </c>
    </row>
    <row r="739">
      <c r="A739" s="12" t="n">
        <v>201</v>
      </c>
      <c r="B739" s="13" t="n">
        <v>45519</v>
      </c>
      <c r="C739" s="14" t="n">
        <v>2110</v>
      </c>
      <c r="D739" s="27" t="n"/>
      <c r="E739" s="27" t="n"/>
      <c r="F739" s="27" t="n"/>
      <c r="G739" s="16" t="inlineStr">
        <is>
          <t>全国基准价</t>
        </is>
      </c>
      <c r="H739" s="17" t="inlineStr">
        <is>
          <t>打开原文</t>
        </is>
      </c>
    </row>
    <row r="740">
      <c r="A740" s="18" t="n">
        <v>202</v>
      </c>
      <c r="B740" s="19" t="n">
        <v>45520</v>
      </c>
      <c r="C740" s="20" t="n">
        <v>2110</v>
      </c>
      <c r="D740" s="28" t="n"/>
      <c r="E740" s="28" t="n"/>
      <c r="F740" s="28" t="n"/>
      <c r="G740" s="22" t="inlineStr">
        <is>
          <t>全国基准价</t>
        </is>
      </c>
      <c r="H740" s="23" t="inlineStr">
        <is>
          <t>打开原文</t>
        </is>
      </c>
    </row>
    <row r="741">
      <c r="A741" s="12" t="n">
        <v>203</v>
      </c>
      <c r="B741" s="13" t="n">
        <v>45523</v>
      </c>
      <c r="C741" s="14" t="n">
        <v>2110</v>
      </c>
      <c r="D741" s="27" t="n"/>
      <c r="E741" s="27" t="n"/>
      <c r="F741" s="27" t="n"/>
      <c r="G741" s="16" t="inlineStr">
        <is>
          <t>全国基准价</t>
        </is>
      </c>
      <c r="H741" s="17" t="inlineStr">
        <is>
          <t>打开原文</t>
        </is>
      </c>
    </row>
    <row r="742">
      <c r="A742" s="18" t="n">
        <v>204</v>
      </c>
      <c r="B742" s="19" t="n">
        <v>45524</v>
      </c>
      <c r="C742" s="20" t="n">
        <v>2100</v>
      </c>
      <c r="D742" s="28" t="n"/>
      <c r="E742" s="28" t="n"/>
      <c r="F742" s="28" t="n"/>
      <c r="G742" s="22" t="inlineStr">
        <is>
          <t>全国基准价</t>
        </is>
      </c>
      <c r="H742" s="23" t="inlineStr">
        <is>
          <t>打开原文</t>
        </is>
      </c>
    </row>
    <row r="743">
      <c r="A743" s="12" t="n">
        <v>205</v>
      </c>
      <c r="B743" s="13" t="n">
        <v>45525</v>
      </c>
      <c r="C743" s="14" t="n">
        <v>2100</v>
      </c>
      <c r="D743" s="27" t="n"/>
      <c r="E743" s="27" t="n"/>
      <c r="F743" s="27" t="n"/>
      <c r="G743" s="16" t="inlineStr">
        <is>
          <t>全国基准价</t>
        </is>
      </c>
      <c r="H743" s="17" t="inlineStr">
        <is>
          <t>打开原文</t>
        </is>
      </c>
    </row>
    <row r="744">
      <c r="A744" s="18" t="n">
        <v>206</v>
      </c>
      <c r="B744" s="19" t="n">
        <v>45526</v>
      </c>
      <c r="C744" s="20" t="n">
        <v>2100</v>
      </c>
      <c r="D744" s="28" t="n"/>
      <c r="E744" s="28" t="n"/>
      <c r="F744" s="28" t="n"/>
      <c r="G744" s="22" t="inlineStr">
        <is>
          <t>全国基准价</t>
        </is>
      </c>
      <c r="H744" s="23" t="inlineStr">
        <is>
          <t>打开原文</t>
        </is>
      </c>
    </row>
    <row r="745">
      <c r="A745" s="12" t="n">
        <v>207</v>
      </c>
      <c r="B745" s="13" t="n">
        <v>45527</v>
      </c>
      <c r="C745" s="14" t="n">
        <v>2100</v>
      </c>
      <c r="D745" s="27" t="n"/>
      <c r="E745" s="27" t="n"/>
      <c r="F745" s="27" t="n"/>
      <c r="G745" s="16" t="inlineStr">
        <is>
          <t>全国基准价</t>
        </is>
      </c>
      <c r="H745" s="17" t="inlineStr">
        <is>
          <t>打开原文</t>
        </is>
      </c>
    </row>
    <row r="746">
      <c r="A746" s="18" t="n">
        <v>208</v>
      </c>
      <c r="B746" s="19" t="n">
        <v>45530</v>
      </c>
      <c r="C746" s="20" t="n">
        <v>2100</v>
      </c>
      <c r="D746" s="28" t="n"/>
      <c r="E746" s="28" t="n"/>
      <c r="F746" s="28" t="n"/>
      <c r="G746" s="22" t="inlineStr">
        <is>
          <t>全国基准价</t>
        </is>
      </c>
      <c r="H746" s="23" t="inlineStr">
        <is>
          <t>打开原文</t>
        </is>
      </c>
    </row>
    <row r="747">
      <c r="A747" s="12" t="n">
        <v>209</v>
      </c>
      <c r="B747" s="13" t="n">
        <v>45531</v>
      </c>
      <c r="C747" s="14" t="n">
        <v>2090</v>
      </c>
      <c r="D747" s="27" t="n"/>
      <c r="E747" s="27" t="n"/>
      <c r="F747" s="27" t="n"/>
      <c r="G747" s="16" t="inlineStr">
        <is>
          <t>全国基准价</t>
        </is>
      </c>
      <c r="H747" s="17" t="inlineStr">
        <is>
          <t>打开原文</t>
        </is>
      </c>
    </row>
    <row r="748">
      <c r="A748" s="18" t="n">
        <v>210</v>
      </c>
      <c r="B748" s="19" t="n">
        <v>45532</v>
      </c>
      <c r="C748" s="20" t="n">
        <v>2090</v>
      </c>
      <c r="D748" s="28" t="n"/>
      <c r="E748" s="28" t="n"/>
      <c r="F748" s="28" t="n"/>
      <c r="G748" s="22" t="inlineStr">
        <is>
          <t>全国基准价</t>
        </is>
      </c>
      <c r="H748" s="23" t="inlineStr">
        <is>
          <t>打开原文</t>
        </is>
      </c>
    </row>
    <row r="749">
      <c r="A749" s="12" t="n">
        <v>211</v>
      </c>
      <c r="B749" s="13" t="n">
        <v>45533</v>
      </c>
      <c r="C749" s="14" t="n">
        <v>2090</v>
      </c>
      <c r="D749" s="27" t="n"/>
      <c r="E749" s="27" t="n"/>
      <c r="F749" s="27" t="n"/>
      <c r="G749" s="16" t="inlineStr">
        <is>
          <t>全国基准价</t>
        </is>
      </c>
      <c r="H749" s="17" t="inlineStr">
        <is>
          <t>打开原文</t>
        </is>
      </c>
    </row>
    <row r="750">
      <c r="A750" s="18" t="n">
        <v>212</v>
      </c>
      <c r="B750" s="19" t="n">
        <v>45534</v>
      </c>
      <c r="C750" s="20" t="n">
        <v>2090</v>
      </c>
      <c r="D750" s="28" t="n"/>
      <c r="E750" s="28" t="n"/>
      <c r="F750" s="28" t="n"/>
      <c r="G750" s="22" t="inlineStr">
        <is>
          <t>全国基准价</t>
        </is>
      </c>
      <c r="H750" s="23" t="inlineStr">
        <is>
          <t>打开原文</t>
        </is>
      </c>
    </row>
    <row r="751">
      <c r="A751" s="12" t="n">
        <v>213</v>
      </c>
      <c r="B751" s="13" t="n">
        <v>45537</v>
      </c>
      <c r="C751" s="14" t="n">
        <v>2090</v>
      </c>
      <c r="D751" s="27" t="n"/>
      <c r="E751" s="27" t="n"/>
      <c r="F751" s="27" t="n"/>
      <c r="G751" s="16" t="inlineStr">
        <is>
          <t>全国基准价</t>
        </is>
      </c>
      <c r="H751" s="17" t="inlineStr">
        <is>
          <t>打开原文</t>
        </is>
      </c>
    </row>
    <row r="752">
      <c r="A752" s="18" t="n">
        <v>214</v>
      </c>
      <c r="B752" s="19" t="n">
        <v>45538</v>
      </c>
      <c r="C752" s="20" t="n">
        <v>2070</v>
      </c>
      <c r="D752" s="28" t="n"/>
      <c r="E752" s="28" t="n"/>
      <c r="F752" s="28" t="n"/>
      <c r="G752" s="22" t="inlineStr">
        <is>
          <t>全国基准价</t>
        </is>
      </c>
      <c r="H752" s="23" t="inlineStr">
        <is>
          <t>打开原文</t>
        </is>
      </c>
    </row>
    <row r="753">
      <c r="A753" s="12" t="n">
        <v>215</v>
      </c>
      <c r="B753" s="13" t="n">
        <v>45539</v>
      </c>
      <c r="C753" s="14" t="n">
        <v>2070</v>
      </c>
      <c r="D753" s="27" t="n"/>
      <c r="E753" s="27" t="n"/>
      <c r="F753" s="27" t="n"/>
      <c r="G753" s="16" t="inlineStr">
        <is>
          <t>全国基准价</t>
        </is>
      </c>
      <c r="H753" s="17" t="inlineStr">
        <is>
          <t>打开原文</t>
        </is>
      </c>
    </row>
    <row r="754">
      <c r="A754" s="18" t="n">
        <v>216</v>
      </c>
      <c r="B754" s="19" t="n">
        <v>45540</v>
      </c>
      <c r="C754" s="20" t="n">
        <v>2070</v>
      </c>
      <c r="D754" s="28" t="n"/>
      <c r="E754" s="28" t="n"/>
      <c r="F754" s="28" t="n"/>
      <c r="G754" s="22" t="inlineStr">
        <is>
          <t>全国基准价</t>
        </is>
      </c>
      <c r="H754" s="23" t="inlineStr">
        <is>
          <t>打开原文</t>
        </is>
      </c>
    </row>
    <row r="755">
      <c r="A755" s="12" t="n">
        <v>217</v>
      </c>
      <c r="B755" s="13" t="n">
        <v>45541</v>
      </c>
      <c r="C755" s="14" t="n">
        <v>2070</v>
      </c>
      <c r="D755" s="27" t="n"/>
      <c r="E755" s="27" t="n"/>
      <c r="F755" s="27" t="n"/>
      <c r="G755" s="16" t="inlineStr">
        <is>
          <t>全国基准价</t>
        </is>
      </c>
      <c r="H755" s="17" t="inlineStr">
        <is>
          <t>打开原文</t>
        </is>
      </c>
    </row>
    <row r="756">
      <c r="A756" s="18" t="n">
        <v>218</v>
      </c>
      <c r="B756" s="19" t="n">
        <v>45544</v>
      </c>
      <c r="C756" s="20" t="n">
        <v>2070</v>
      </c>
      <c r="D756" s="28" t="n"/>
      <c r="E756" s="28" t="n"/>
      <c r="F756" s="28" t="n"/>
      <c r="G756" s="22" t="inlineStr">
        <is>
          <t>全国基准价</t>
        </is>
      </c>
      <c r="H756" s="23" t="inlineStr">
        <is>
          <t>打开原文</t>
        </is>
      </c>
    </row>
    <row r="757">
      <c r="A757" s="12" t="n">
        <v>219</v>
      </c>
      <c r="B757" s="13" t="n">
        <v>45545</v>
      </c>
      <c r="C757" s="14" t="n">
        <v>2060</v>
      </c>
      <c r="D757" s="27" t="n"/>
      <c r="E757" s="27" t="n"/>
      <c r="F757" s="27" t="n"/>
      <c r="G757" s="16" t="inlineStr">
        <is>
          <t>全国基准价</t>
        </is>
      </c>
      <c r="H757" s="17" t="inlineStr">
        <is>
          <t>打开原文</t>
        </is>
      </c>
    </row>
    <row r="758">
      <c r="A758" s="18" t="n">
        <v>220</v>
      </c>
      <c r="B758" s="19" t="n">
        <v>45546</v>
      </c>
      <c r="C758" s="20" t="n">
        <v>2060</v>
      </c>
      <c r="D758" s="28" t="n"/>
      <c r="E758" s="28" t="n"/>
      <c r="F758" s="28" t="n"/>
      <c r="G758" s="22" t="inlineStr">
        <is>
          <t>全国基准价</t>
        </is>
      </c>
      <c r="H758" s="23" t="inlineStr">
        <is>
          <t>打开原文</t>
        </is>
      </c>
    </row>
    <row r="759">
      <c r="A759" s="12" t="n">
        <v>221</v>
      </c>
      <c r="B759" s="13" t="n">
        <v>45547</v>
      </c>
      <c r="C759" s="14" t="n">
        <v>2020</v>
      </c>
      <c r="D759" s="27" t="n"/>
      <c r="E759" s="27" t="n"/>
      <c r="F759" s="27" t="n"/>
      <c r="G759" s="16" t="inlineStr">
        <is>
          <t>全国基准价</t>
        </is>
      </c>
      <c r="H759" s="17" t="inlineStr">
        <is>
          <t>打开原文</t>
        </is>
      </c>
    </row>
    <row r="760">
      <c r="A760" s="18" t="n">
        <v>222</v>
      </c>
      <c r="B760" s="19" t="n">
        <v>45548</v>
      </c>
      <c r="C760" s="20" t="n">
        <v>2020</v>
      </c>
      <c r="D760" s="28" t="n"/>
      <c r="E760" s="28" t="n"/>
      <c r="F760" s="28" t="n"/>
      <c r="G760" s="22" t="inlineStr">
        <is>
          <t>全国基准价</t>
        </is>
      </c>
      <c r="H760" s="23" t="inlineStr">
        <is>
          <t>打开原文</t>
        </is>
      </c>
    </row>
    <row r="761">
      <c r="A761" s="12" t="n">
        <v>223</v>
      </c>
      <c r="B761" s="13" t="n">
        <v>45551</v>
      </c>
      <c r="C761" s="14" t="n">
        <v>2020</v>
      </c>
      <c r="D761" s="27" t="n"/>
      <c r="E761" s="27" t="n"/>
      <c r="F761" s="27" t="n"/>
      <c r="G761" s="16" t="inlineStr">
        <is>
          <t>全国基准价</t>
        </is>
      </c>
      <c r="H761" s="17" t="inlineStr">
        <is>
          <t>打开原文</t>
        </is>
      </c>
    </row>
    <row r="762">
      <c r="A762" s="18" t="n">
        <v>224</v>
      </c>
      <c r="B762" s="19" t="n">
        <v>45552</v>
      </c>
      <c r="C762" s="20" t="n">
        <v>2020</v>
      </c>
      <c r="D762" s="28" t="n"/>
      <c r="E762" s="28" t="n"/>
      <c r="F762" s="28" t="n"/>
      <c r="G762" s="22" t="inlineStr">
        <is>
          <t>全国基准价</t>
        </is>
      </c>
      <c r="H762" s="23" t="inlineStr">
        <is>
          <t>打开原文</t>
        </is>
      </c>
    </row>
    <row r="763">
      <c r="A763" s="12" t="n">
        <v>225</v>
      </c>
      <c r="B763" s="13" t="n">
        <v>45553</v>
      </c>
      <c r="C763" s="14" t="n">
        <v>2020</v>
      </c>
      <c r="D763" s="27" t="n"/>
      <c r="E763" s="27" t="n"/>
      <c r="F763" s="27" t="n"/>
      <c r="G763" s="16" t="inlineStr">
        <is>
          <t>全国基准价</t>
        </is>
      </c>
      <c r="H763" s="17" t="inlineStr">
        <is>
          <t>打开原文</t>
        </is>
      </c>
    </row>
    <row r="764">
      <c r="A764" s="18" t="n">
        <v>226</v>
      </c>
      <c r="B764" s="19" t="n">
        <v>45554</v>
      </c>
      <c r="C764" s="20" t="n">
        <v>2000</v>
      </c>
      <c r="D764" s="28" t="n"/>
      <c r="E764" s="28" t="n"/>
      <c r="F764" s="28" t="n"/>
      <c r="G764" s="22" t="inlineStr">
        <is>
          <t>全国基准价</t>
        </is>
      </c>
      <c r="H764" s="23" t="inlineStr">
        <is>
          <t>打开原文</t>
        </is>
      </c>
    </row>
    <row r="765">
      <c r="A765" s="12" t="n">
        <v>227</v>
      </c>
      <c r="B765" s="13" t="n">
        <v>45555</v>
      </c>
      <c r="C765" s="14" t="n">
        <v>1890</v>
      </c>
      <c r="D765" s="27" t="n"/>
      <c r="E765" s="27" t="n"/>
      <c r="F765" s="27" t="n"/>
      <c r="G765" s="16" t="inlineStr">
        <is>
          <t>全国基准价</t>
        </is>
      </c>
      <c r="H765" s="17" t="inlineStr">
        <is>
          <t>打开原文</t>
        </is>
      </c>
    </row>
    <row r="766">
      <c r="A766" s="18" t="n">
        <v>228</v>
      </c>
      <c r="B766" s="19" t="n">
        <v>45558</v>
      </c>
      <c r="C766" s="20" t="n">
        <v>1890</v>
      </c>
      <c r="D766" s="28" t="n"/>
      <c r="E766" s="28" t="n"/>
      <c r="F766" s="28" t="n"/>
      <c r="G766" s="22" t="inlineStr">
        <is>
          <t>全国基准价</t>
        </is>
      </c>
      <c r="H766" s="23" t="inlineStr">
        <is>
          <t>打开原文</t>
        </is>
      </c>
    </row>
    <row r="767">
      <c r="A767" s="12" t="n">
        <v>229</v>
      </c>
      <c r="B767" s="13" t="n">
        <v>45559</v>
      </c>
      <c r="C767" s="14" t="n">
        <v>1860</v>
      </c>
      <c r="D767" s="27" t="n"/>
      <c r="E767" s="27" t="n"/>
      <c r="F767" s="27" t="n"/>
      <c r="G767" s="16" t="inlineStr">
        <is>
          <t>全国基准价</t>
        </is>
      </c>
      <c r="H767" s="17" t="inlineStr">
        <is>
          <t>打开原文</t>
        </is>
      </c>
    </row>
    <row r="768">
      <c r="A768" s="18" t="n">
        <v>230</v>
      </c>
      <c r="B768" s="19" t="n">
        <v>45560</v>
      </c>
      <c r="C768" s="20" t="n">
        <v>1860</v>
      </c>
      <c r="D768" s="28" t="n"/>
      <c r="E768" s="28" t="n"/>
      <c r="F768" s="28" t="n"/>
      <c r="G768" s="22" t="inlineStr">
        <is>
          <t>全国基准价</t>
        </is>
      </c>
      <c r="H768" s="23" t="inlineStr">
        <is>
          <t>打开原文</t>
        </is>
      </c>
    </row>
    <row r="769">
      <c r="A769" s="12" t="n">
        <v>231</v>
      </c>
      <c r="B769" s="13" t="n">
        <v>45561</v>
      </c>
      <c r="C769" s="14" t="n">
        <v>1860</v>
      </c>
      <c r="D769" s="27" t="n"/>
      <c r="E769" s="27" t="n"/>
      <c r="F769" s="27" t="n"/>
      <c r="G769" s="16" t="inlineStr">
        <is>
          <t>全国基准价</t>
        </is>
      </c>
      <c r="H769" s="17" t="inlineStr">
        <is>
          <t>打开原文</t>
        </is>
      </c>
    </row>
    <row r="770">
      <c r="A770" s="18" t="n">
        <v>232</v>
      </c>
      <c r="B770" s="19" t="n">
        <v>45562</v>
      </c>
      <c r="C770" s="20" t="n">
        <v>1770</v>
      </c>
      <c r="D770" s="28" t="n"/>
      <c r="E770" s="28" t="n"/>
      <c r="F770" s="28" t="n"/>
      <c r="G770" s="22" t="inlineStr">
        <is>
          <t>全国基准价</t>
        </is>
      </c>
      <c r="H770" s="23" t="inlineStr">
        <is>
          <t>打开原文</t>
        </is>
      </c>
    </row>
    <row r="771">
      <c r="A771" s="12" t="n">
        <v>233</v>
      </c>
      <c r="B771" s="13" t="n">
        <v>45565</v>
      </c>
      <c r="C771" s="14" t="n">
        <v>1780</v>
      </c>
      <c r="D771" s="27" t="n"/>
      <c r="E771" s="27" t="n"/>
      <c r="F771" s="27" t="n"/>
      <c r="G771" s="16" t="inlineStr">
        <is>
          <t>全国基准价</t>
        </is>
      </c>
      <c r="H771" s="17" t="inlineStr">
        <is>
          <t>打开原文</t>
        </is>
      </c>
    </row>
    <row r="772">
      <c r="A772" s="18" t="n">
        <v>234</v>
      </c>
      <c r="B772" s="19" t="n">
        <v>45566</v>
      </c>
      <c r="C772" s="20" t="n">
        <v>1780</v>
      </c>
      <c r="D772" s="28" t="n"/>
      <c r="E772" s="28" t="n"/>
      <c r="F772" s="28" t="n"/>
      <c r="G772" s="22" t="inlineStr">
        <is>
          <t>全国基准价</t>
        </is>
      </c>
      <c r="H772" s="23" t="inlineStr">
        <is>
          <t>打开原文</t>
        </is>
      </c>
    </row>
    <row r="773">
      <c r="A773" s="12" t="n">
        <v>235</v>
      </c>
      <c r="B773" s="13" t="n">
        <v>45567</v>
      </c>
      <c r="C773" s="14" t="n">
        <v>1780</v>
      </c>
      <c r="D773" s="27" t="n"/>
      <c r="E773" s="27" t="n"/>
      <c r="F773" s="27" t="n"/>
      <c r="G773" s="16" t="inlineStr">
        <is>
          <t>全国基准价</t>
        </is>
      </c>
      <c r="H773" s="17" t="inlineStr">
        <is>
          <t>打开原文</t>
        </is>
      </c>
    </row>
    <row r="774">
      <c r="A774" s="18" t="n">
        <v>236</v>
      </c>
      <c r="B774" s="19" t="n">
        <v>45568</v>
      </c>
      <c r="C774" s="20" t="n">
        <v>1780</v>
      </c>
      <c r="D774" s="28" t="n"/>
      <c r="E774" s="28" t="n"/>
      <c r="F774" s="28" t="n"/>
      <c r="G774" s="22" t="inlineStr">
        <is>
          <t>全国基准价</t>
        </is>
      </c>
      <c r="H774" s="23" t="inlineStr">
        <is>
          <t>打开原文</t>
        </is>
      </c>
    </row>
    <row r="775">
      <c r="A775" s="12" t="n">
        <v>237</v>
      </c>
      <c r="B775" s="13" t="n">
        <v>45569</v>
      </c>
      <c r="C775" s="14" t="n">
        <v>1780</v>
      </c>
      <c r="D775" s="27" t="n"/>
      <c r="E775" s="27" t="n"/>
      <c r="F775" s="27" t="n"/>
      <c r="G775" s="16" t="inlineStr">
        <is>
          <t>全国基准价</t>
        </is>
      </c>
      <c r="H775" s="17" t="inlineStr">
        <is>
          <t>打开原文</t>
        </is>
      </c>
    </row>
    <row r="776">
      <c r="A776" s="18" t="n">
        <v>238</v>
      </c>
      <c r="B776" s="19" t="n">
        <v>45572</v>
      </c>
      <c r="C776" s="20" t="n">
        <v>1780</v>
      </c>
      <c r="D776" s="28" t="n"/>
      <c r="E776" s="28" t="n"/>
      <c r="F776" s="28" t="n"/>
      <c r="G776" s="22" t="inlineStr">
        <is>
          <t>全国基准价</t>
        </is>
      </c>
      <c r="H776" s="23" t="inlineStr">
        <is>
          <t>打开原文</t>
        </is>
      </c>
    </row>
    <row r="777">
      <c r="A777" s="12" t="n">
        <v>239</v>
      </c>
      <c r="B777" s="13" t="n">
        <v>45573</v>
      </c>
      <c r="C777" s="14" t="n">
        <v>1780</v>
      </c>
      <c r="D777" s="27" t="n"/>
      <c r="E777" s="27" t="n"/>
      <c r="F777" s="27" t="n"/>
      <c r="G777" s="16" t="inlineStr">
        <is>
          <t>全国基准价</t>
        </is>
      </c>
      <c r="H777" s="17" t="inlineStr">
        <is>
          <t>打开原文</t>
        </is>
      </c>
    </row>
    <row r="778">
      <c r="A778" s="18" t="n">
        <v>240</v>
      </c>
      <c r="B778" s="19" t="n">
        <v>45574</v>
      </c>
      <c r="C778" s="20" t="n">
        <v>1790</v>
      </c>
      <c r="D778" s="28" t="n"/>
      <c r="E778" s="28" t="n"/>
      <c r="F778" s="28" t="n"/>
      <c r="G778" s="22" t="inlineStr">
        <is>
          <t>全国基准价</t>
        </is>
      </c>
      <c r="H778" s="23" t="inlineStr">
        <is>
          <t>打开原文</t>
        </is>
      </c>
    </row>
    <row r="779">
      <c r="A779" s="12" t="n">
        <v>241</v>
      </c>
      <c r="B779" s="13" t="n">
        <v>45575</v>
      </c>
      <c r="C779" s="14" t="n">
        <v>1790</v>
      </c>
      <c r="D779" s="27" t="n"/>
      <c r="E779" s="27" t="n"/>
      <c r="F779" s="27" t="n"/>
      <c r="G779" s="16" t="inlineStr">
        <is>
          <t>全国基准价</t>
        </is>
      </c>
      <c r="H779" s="17" t="inlineStr">
        <is>
          <t>打开原文</t>
        </is>
      </c>
    </row>
    <row r="780">
      <c r="A780" s="18" t="n">
        <v>242</v>
      </c>
      <c r="B780" s="19" t="n">
        <v>45576</v>
      </c>
      <c r="C780" s="20" t="n">
        <v>1790</v>
      </c>
      <c r="D780" s="28" t="n"/>
      <c r="E780" s="28" t="n"/>
      <c r="F780" s="28" t="n"/>
      <c r="G780" s="22" t="inlineStr">
        <is>
          <t>全国基准价</t>
        </is>
      </c>
      <c r="H780" s="23" t="inlineStr">
        <is>
          <t>打开原文</t>
        </is>
      </c>
    </row>
    <row r="781">
      <c r="A781" s="12" t="n">
        <v>243</v>
      </c>
      <c r="B781" s="13" t="n">
        <v>45579</v>
      </c>
      <c r="C781" s="14" t="n">
        <v>1790</v>
      </c>
      <c r="D781" s="27" t="n"/>
      <c r="E781" s="27" t="n"/>
      <c r="F781" s="27" t="n"/>
      <c r="G781" s="16" t="inlineStr">
        <is>
          <t>全国基准价</t>
        </is>
      </c>
      <c r="H781" s="17" t="inlineStr">
        <is>
          <t>打开原文</t>
        </is>
      </c>
    </row>
    <row r="782">
      <c r="A782" s="18" t="n">
        <v>244</v>
      </c>
      <c r="B782" s="19" t="n">
        <v>45580</v>
      </c>
      <c r="C782" s="20" t="n">
        <v>1790</v>
      </c>
      <c r="D782" s="28" t="n"/>
      <c r="E782" s="28" t="n"/>
      <c r="F782" s="28" t="n"/>
      <c r="G782" s="22" t="inlineStr">
        <is>
          <t>全国基准价</t>
        </is>
      </c>
      <c r="H782" s="23" t="inlineStr">
        <is>
          <t>打开原文</t>
        </is>
      </c>
    </row>
    <row r="783">
      <c r="A783" s="12" t="n">
        <v>245</v>
      </c>
      <c r="B783" s="13" t="n">
        <v>45581</v>
      </c>
      <c r="C783" s="14" t="n">
        <v>1790</v>
      </c>
      <c r="D783" s="27" t="n"/>
      <c r="E783" s="27" t="n"/>
      <c r="F783" s="27" t="n"/>
      <c r="G783" s="16" t="inlineStr">
        <is>
          <t>全国基准价</t>
        </is>
      </c>
      <c r="H783" s="17" t="inlineStr">
        <is>
          <t>打开原文</t>
        </is>
      </c>
    </row>
    <row r="784">
      <c r="A784" s="18" t="n">
        <v>246</v>
      </c>
      <c r="B784" s="19" t="n">
        <v>45582</v>
      </c>
      <c r="C784" s="20" t="n">
        <v>1790</v>
      </c>
      <c r="D784" s="28" t="n"/>
      <c r="E784" s="28" t="n"/>
      <c r="F784" s="28" t="n"/>
      <c r="G784" s="22" t="inlineStr">
        <is>
          <t>全国基准价</t>
        </is>
      </c>
      <c r="H784" s="23" t="inlineStr">
        <is>
          <t>打开原文</t>
        </is>
      </c>
    </row>
    <row r="785">
      <c r="A785" s="12" t="n">
        <v>247</v>
      </c>
      <c r="B785" s="13" t="n">
        <v>45583</v>
      </c>
      <c r="C785" s="14" t="n">
        <v>1790</v>
      </c>
      <c r="D785" s="27" t="n"/>
      <c r="E785" s="27" t="n"/>
      <c r="F785" s="27" t="n"/>
      <c r="G785" s="16" t="inlineStr">
        <is>
          <t>全国基准价</t>
        </is>
      </c>
      <c r="H785" s="17" t="inlineStr">
        <is>
          <t>打开原文</t>
        </is>
      </c>
    </row>
    <row r="786">
      <c r="A786" s="18" t="n">
        <v>248</v>
      </c>
      <c r="B786" s="19" t="n">
        <v>45586</v>
      </c>
      <c r="C786" s="20" t="n">
        <v>1790</v>
      </c>
      <c r="D786" s="28" t="n"/>
      <c r="E786" s="28" t="n"/>
      <c r="F786" s="28" t="n"/>
      <c r="G786" s="22" t="inlineStr">
        <is>
          <t>全国基准价</t>
        </is>
      </c>
      <c r="H786" s="23" t="inlineStr">
        <is>
          <t>打开原文</t>
        </is>
      </c>
    </row>
    <row r="787">
      <c r="A787" s="12" t="n">
        <v>249</v>
      </c>
      <c r="B787" s="13" t="n">
        <v>45587</v>
      </c>
      <c r="C787" s="14" t="n">
        <v>1750</v>
      </c>
      <c r="D787" s="27" t="n"/>
      <c r="E787" s="27" t="n"/>
      <c r="F787" s="27" t="n"/>
      <c r="G787" s="16" t="inlineStr">
        <is>
          <t>全国基准价</t>
        </is>
      </c>
      <c r="H787" s="17" t="inlineStr">
        <is>
          <t>打开原文</t>
        </is>
      </c>
    </row>
    <row r="788">
      <c r="A788" s="18" t="n">
        <v>250</v>
      </c>
      <c r="B788" s="19" t="n">
        <v>45588</v>
      </c>
      <c r="C788" s="20" t="n">
        <v>1750</v>
      </c>
      <c r="D788" s="28" t="n"/>
      <c r="E788" s="28" t="n"/>
      <c r="F788" s="28" t="n"/>
      <c r="G788" s="22" t="inlineStr">
        <is>
          <t>全国基准价</t>
        </is>
      </c>
      <c r="H788" s="23" t="inlineStr">
        <is>
          <t>打开原文</t>
        </is>
      </c>
    </row>
    <row r="789">
      <c r="A789" s="12" t="n">
        <v>251</v>
      </c>
      <c r="B789" s="13" t="n">
        <v>45589</v>
      </c>
      <c r="C789" s="14" t="n">
        <v>1750</v>
      </c>
      <c r="D789" s="27" t="n"/>
      <c r="E789" s="27" t="n"/>
      <c r="F789" s="27" t="n"/>
      <c r="G789" s="16" t="inlineStr">
        <is>
          <t>全国基准价</t>
        </is>
      </c>
      <c r="H789" s="17" t="inlineStr">
        <is>
          <t>打开原文</t>
        </is>
      </c>
    </row>
    <row r="790">
      <c r="A790" s="18" t="n">
        <v>252</v>
      </c>
      <c r="B790" s="19" t="n">
        <v>45590</v>
      </c>
      <c r="C790" s="20" t="n">
        <v>1750</v>
      </c>
      <c r="D790" s="28" t="n"/>
      <c r="E790" s="28" t="n"/>
      <c r="F790" s="28" t="n"/>
      <c r="G790" s="22" t="inlineStr">
        <is>
          <t>全国基准价</t>
        </is>
      </c>
      <c r="H790" s="23" t="inlineStr">
        <is>
          <t>打开原文</t>
        </is>
      </c>
    </row>
    <row r="791">
      <c r="A791" s="12" t="n">
        <v>253</v>
      </c>
      <c r="B791" s="13" t="n">
        <v>45593</v>
      </c>
      <c r="C791" s="14" t="n">
        <v>1750</v>
      </c>
      <c r="D791" s="27" t="n"/>
      <c r="E791" s="27" t="n"/>
      <c r="F791" s="27" t="n"/>
      <c r="G791" s="16" t="inlineStr">
        <is>
          <t>全国基准价</t>
        </is>
      </c>
      <c r="H791" s="17" t="inlineStr">
        <is>
          <t>打开原文</t>
        </is>
      </c>
    </row>
    <row r="792">
      <c r="A792" s="18" t="n">
        <v>254</v>
      </c>
      <c r="B792" s="19" t="n">
        <v>45594</v>
      </c>
      <c r="C792" s="20" t="n">
        <v>1750</v>
      </c>
      <c r="D792" s="28" t="n"/>
      <c r="E792" s="28" t="n"/>
      <c r="F792" s="28" t="n"/>
      <c r="G792" s="22" t="inlineStr">
        <is>
          <t>全国基准价</t>
        </is>
      </c>
      <c r="H792" s="23" t="inlineStr">
        <is>
          <t>打开原文</t>
        </is>
      </c>
    </row>
    <row r="793">
      <c r="A793" s="12" t="n">
        <v>255</v>
      </c>
      <c r="B793" s="13" t="n">
        <v>45595</v>
      </c>
      <c r="C793" s="14" t="n">
        <v>1750</v>
      </c>
      <c r="D793" s="27" t="n"/>
      <c r="E793" s="27" t="n"/>
      <c r="F793" s="27" t="n"/>
      <c r="G793" s="16" t="inlineStr">
        <is>
          <t>全国基准价</t>
        </is>
      </c>
      <c r="H793" s="17" t="inlineStr">
        <is>
          <t>打开原文</t>
        </is>
      </c>
    </row>
    <row r="794">
      <c r="A794" s="18" t="n">
        <v>256</v>
      </c>
      <c r="B794" s="19" t="n">
        <v>45596</v>
      </c>
      <c r="C794" s="20" t="n">
        <v>1750</v>
      </c>
      <c r="D794" s="28" t="n"/>
      <c r="E794" s="28" t="n"/>
      <c r="F794" s="28" t="n"/>
      <c r="G794" s="22" t="inlineStr">
        <is>
          <t>全国基准价</t>
        </is>
      </c>
      <c r="H794" s="23" t="inlineStr">
        <is>
          <t>打开原文</t>
        </is>
      </c>
    </row>
    <row r="795">
      <c r="A795" s="12" t="n">
        <v>257</v>
      </c>
      <c r="B795" s="13" t="n">
        <v>45597</v>
      </c>
      <c r="C795" s="14" t="n">
        <v>1750</v>
      </c>
      <c r="D795" s="27" t="n"/>
      <c r="E795" s="27" t="n"/>
      <c r="F795" s="27" t="n"/>
      <c r="G795" s="16" t="inlineStr">
        <is>
          <t>全国基准价</t>
        </is>
      </c>
      <c r="H795" s="17" t="inlineStr">
        <is>
          <t>打开原文</t>
        </is>
      </c>
    </row>
    <row r="796">
      <c r="A796" s="18" t="n">
        <v>258</v>
      </c>
      <c r="B796" s="19" t="n">
        <v>45600</v>
      </c>
      <c r="C796" s="20" t="n">
        <v>1750</v>
      </c>
      <c r="D796" s="28" t="n"/>
      <c r="E796" s="28" t="n"/>
      <c r="F796" s="28" t="n"/>
      <c r="G796" s="22" t="inlineStr">
        <is>
          <t>全国基准价</t>
        </is>
      </c>
      <c r="H796" s="23" t="inlineStr">
        <is>
          <t>打开原文</t>
        </is>
      </c>
    </row>
    <row r="797">
      <c r="A797" s="12" t="n">
        <v>259</v>
      </c>
      <c r="B797" s="13" t="n">
        <v>45601</v>
      </c>
      <c r="C797" s="14" t="n">
        <v>1670</v>
      </c>
      <c r="D797" s="27" t="n"/>
      <c r="E797" s="27" t="n"/>
      <c r="F797" s="27" t="n"/>
      <c r="G797" s="16" t="inlineStr">
        <is>
          <t>全国基准价</t>
        </is>
      </c>
      <c r="H797" s="17" t="inlineStr">
        <is>
          <t>打开原文</t>
        </is>
      </c>
    </row>
    <row r="798">
      <c r="A798" s="18" t="n">
        <v>260</v>
      </c>
      <c r="B798" s="19" t="n">
        <v>45602</v>
      </c>
      <c r="C798" s="20" t="n">
        <v>1670</v>
      </c>
      <c r="D798" s="28" t="n"/>
      <c r="E798" s="28" t="n"/>
      <c r="F798" s="28" t="n"/>
      <c r="G798" s="22" t="inlineStr">
        <is>
          <t>全国基准价</t>
        </is>
      </c>
      <c r="H798" s="23" t="inlineStr">
        <is>
          <t>打开原文</t>
        </is>
      </c>
    </row>
    <row r="799">
      <c r="A799" s="12" t="n">
        <v>261</v>
      </c>
      <c r="B799" s="13" t="n">
        <v>45603</v>
      </c>
      <c r="C799" s="14" t="n">
        <v>1670</v>
      </c>
      <c r="D799" s="27" t="n"/>
      <c r="E799" s="27" t="n"/>
      <c r="F799" s="27" t="n"/>
      <c r="G799" s="16" t="inlineStr">
        <is>
          <t>全国基准价</t>
        </is>
      </c>
      <c r="H799" s="17" t="inlineStr">
        <is>
          <t>打开原文</t>
        </is>
      </c>
    </row>
    <row r="800">
      <c r="A800" s="18" t="n">
        <v>262</v>
      </c>
      <c r="B800" s="19" t="n">
        <v>45604</v>
      </c>
      <c r="C800" s="20" t="n">
        <v>1670</v>
      </c>
      <c r="D800" s="28" t="n"/>
      <c r="E800" s="28" t="n"/>
      <c r="F800" s="28" t="n"/>
      <c r="G800" s="22" t="inlineStr">
        <is>
          <t>全国基准价</t>
        </is>
      </c>
      <c r="H800" s="23" t="inlineStr">
        <is>
          <t>打开原文</t>
        </is>
      </c>
    </row>
    <row r="801">
      <c r="A801" s="12" t="n">
        <v>263</v>
      </c>
      <c r="B801" s="13" t="n">
        <v>45607</v>
      </c>
      <c r="C801" s="14" t="n">
        <v>1670</v>
      </c>
      <c r="D801" s="27" t="n"/>
      <c r="E801" s="27" t="n"/>
      <c r="F801" s="27" t="n"/>
      <c r="G801" s="16" t="inlineStr">
        <is>
          <t>全国基准价</t>
        </is>
      </c>
      <c r="H801" s="17" t="inlineStr">
        <is>
          <t>打开原文</t>
        </is>
      </c>
    </row>
    <row r="802">
      <c r="A802" s="18" t="n">
        <v>264</v>
      </c>
      <c r="B802" s="19" t="n">
        <v>45608</v>
      </c>
      <c r="C802" s="20" t="n">
        <v>1670</v>
      </c>
      <c r="D802" s="28" t="n"/>
      <c r="E802" s="28" t="n"/>
      <c r="F802" s="28" t="n"/>
      <c r="G802" s="22" t="inlineStr">
        <is>
          <t>全国基准价</t>
        </is>
      </c>
      <c r="H802" s="23" t="inlineStr">
        <is>
          <t>打开原文</t>
        </is>
      </c>
    </row>
    <row r="803">
      <c r="A803" s="12" t="n">
        <v>265</v>
      </c>
      <c r="B803" s="13" t="n">
        <v>45609</v>
      </c>
      <c r="C803" s="14" t="n">
        <v>1670</v>
      </c>
      <c r="D803" s="27" t="n"/>
      <c r="E803" s="27" t="n"/>
      <c r="F803" s="27" t="n"/>
      <c r="G803" s="16" t="inlineStr">
        <is>
          <t>全国基准价</t>
        </is>
      </c>
      <c r="H803" s="17" t="inlineStr">
        <is>
          <t>打开原文</t>
        </is>
      </c>
    </row>
    <row r="804">
      <c r="A804" s="18" t="n">
        <v>266</v>
      </c>
      <c r="B804" s="19" t="n">
        <v>45610</v>
      </c>
      <c r="C804" s="20" t="n">
        <v>1670</v>
      </c>
      <c r="D804" s="28" t="n"/>
      <c r="E804" s="28" t="n"/>
      <c r="F804" s="28" t="n"/>
      <c r="G804" s="22" t="inlineStr">
        <is>
          <t>全国基准价</t>
        </is>
      </c>
      <c r="H804" s="23" t="inlineStr">
        <is>
          <t>打开原文</t>
        </is>
      </c>
    </row>
    <row r="805">
      <c r="A805" s="12" t="n">
        <v>267</v>
      </c>
      <c r="B805" s="13" t="n">
        <v>45611</v>
      </c>
      <c r="C805" s="14" t="n">
        <v>1670</v>
      </c>
      <c r="D805" s="27" t="n"/>
      <c r="E805" s="27" t="n"/>
      <c r="F805" s="27" t="n"/>
      <c r="G805" s="16" t="inlineStr">
        <is>
          <t>全国基准价</t>
        </is>
      </c>
      <c r="H805" s="17" t="inlineStr">
        <is>
          <t>打开原文</t>
        </is>
      </c>
    </row>
    <row r="806">
      <c r="A806" s="18" t="n">
        <v>268</v>
      </c>
      <c r="B806" s="19" t="n">
        <v>45614</v>
      </c>
      <c r="C806" s="20" t="n">
        <v>1670</v>
      </c>
      <c r="D806" s="28" t="n"/>
      <c r="E806" s="28" t="n"/>
      <c r="F806" s="28" t="n"/>
      <c r="G806" s="22" t="inlineStr">
        <is>
          <t>全国基准价</t>
        </is>
      </c>
      <c r="H806" s="23" t="inlineStr">
        <is>
          <t>打开原文</t>
        </is>
      </c>
    </row>
    <row r="807">
      <c r="A807" s="12" t="n">
        <v>269</v>
      </c>
      <c r="B807" s="13" t="n">
        <v>45615</v>
      </c>
      <c r="C807" s="14" t="n">
        <v>1670</v>
      </c>
      <c r="D807" s="27" t="n"/>
      <c r="E807" s="27" t="n"/>
      <c r="F807" s="27" t="n"/>
      <c r="G807" s="16" t="inlineStr">
        <is>
          <t>全国基准价</t>
        </is>
      </c>
      <c r="H807" s="17" t="inlineStr">
        <is>
          <t>打开原文</t>
        </is>
      </c>
    </row>
    <row r="808">
      <c r="A808" s="18" t="n">
        <v>270</v>
      </c>
      <c r="B808" s="19" t="n">
        <v>45616</v>
      </c>
      <c r="C808" s="20" t="n">
        <v>1670</v>
      </c>
      <c r="D808" s="28" t="n"/>
      <c r="E808" s="28" t="n"/>
      <c r="F808" s="28" t="n"/>
      <c r="G808" s="22" t="inlineStr">
        <is>
          <t>全国基准价</t>
        </is>
      </c>
      <c r="H808" s="23" t="inlineStr">
        <is>
          <t>打开原文</t>
        </is>
      </c>
    </row>
    <row r="809">
      <c r="A809" s="12" t="n">
        <v>271</v>
      </c>
      <c r="B809" s="13" t="n">
        <v>45617</v>
      </c>
      <c r="C809" s="14" t="n">
        <v>1670</v>
      </c>
      <c r="D809" s="27" t="n"/>
      <c r="E809" s="27" t="n"/>
      <c r="F809" s="27" t="n"/>
      <c r="G809" s="16" t="inlineStr">
        <is>
          <t>全国基准价</t>
        </is>
      </c>
      <c r="H809" s="17" t="inlineStr">
        <is>
          <t>打开原文</t>
        </is>
      </c>
    </row>
    <row r="810">
      <c r="A810" s="18" t="n">
        <v>272</v>
      </c>
      <c r="B810" s="19" t="n">
        <v>45618</v>
      </c>
      <c r="C810" s="20" t="n">
        <v>1670</v>
      </c>
      <c r="D810" s="28" t="n"/>
      <c r="E810" s="28" t="n"/>
      <c r="F810" s="28" t="n"/>
      <c r="G810" s="22" t="inlineStr">
        <is>
          <t>全国基准价</t>
        </is>
      </c>
      <c r="H810" s="23" t="inlineStr">
        <is>
          <t>打开原文</t>
        </is>
      </c>
    </row>
    <row r="811">
      <c r="A811" s="12" t="n">
        <v>273</v>
      </c>
      <c r="B811" s="13" t="n">
        <v>45621</v>
      </c>
      <c r="C811" s="14" t="n">
        <v>1670</v>
      </c>
      <c r="D811" s="27" t="n"/>
      <c r="E811" s="27" t="n"/>
      <c r="F811" s="27" t="n"/>
      <c r="G811" s="16" t="inlineStr">
        <is>
          <t>全国基准价</t>
        </is>
      </c>
      <c r="H811" s="17" t="inlineStr">
        <is>
          <t>打开原文</t>
        </is>
      </c>
    </row>
    <row r="812">
      <c r="A812" s="18" t="n">
        <v>274</v>
      </c>
      <c r="B812" s="19" t="n">
        <v>45622</v>
      </c>
      <c r="C812" s="20" t="n">
        <v>1670</v>
      </c>
      <c r="D812" s="28" t="n"/>
      <c r="E812" s="28" t="n"/>
      <c r="F812" s="28" t="n"/>
      <c r="G812" s="22" t="inlineStr">
        <is>
          <t>全国基准价</t>
        </is>
      </c>
      <c r="H812" s="23" t="inlineStr">
        <is>
          <t>打开原文</t>
        </is>
      </c>
    </row>
    <row r="813">
      <c r="A813" s="12" t="n">
        <v>275</v>
      </c>
      <c r="B813" s="13" t="n">
        <v>45623</v>
      </c>
      <c r="C813" s="14" t="n">
        <v>1670</v>
      </c>
      <c r="D813" s="27" t="n"/>
      <c r="E813" s="27" t="n"/>
      <c r="F813" s="27" t="n"/>
      <c r="G813" s="16" t="inlineStr">
        <is>
          <t>全国基准价</t>
        </is>
      </c>
      <c r="H813" s="17" t="inlineStr">
        <is>
          <t>打开原文</t>
        </is>
      </c>
    </row>
    <row r="814">
      <c r="A814" s="18" t="n">
        <v>276</v>
      </c>
      <c r="B814" s="19" t="n">
        <v>45624</v>
      </c>
      <c r="C814" s="20" t="n">
        <v>1670</v>
      </c>
      <c r="D814" s="28" t="n"/>
      <c r="E814" s="28" t="n"/>
      <c r="F814" s="28" t="n"/>
      <c r="G814" s="22" t="inlineStr">
        <is>
          <t>全国基准价</t>
        </is>
      </c>
      <c r="H814" s="23" t="inlineStr">
        <is>
          <t>打开原文</t>
        </is>
      </c>
    </row>
    <row r="815">
      <c r="A815" s="12" t="n">
        <v>277</v>
      </c>
      <c r="B815" s="13" t="n">
        <v>45625</v>
      </c>
      <c r="C815" s="14" t="n">
        <v>1670</v>
      </c>
      <c r="D815" s="27" t="n"/>
      <c r="E815" s="27" t="n"/>
      <c r="F815" s="27" t="n"/>
      <c r="G815" s="16" t="inlineStr">
        <is>
          <t>全国基准价</t>
        </is>
      </c>
      <c r="H815" s="17" t="inlineStr">
        <is>
          <t>打开原文</t>
        </is>
      </c>
    </row>
    <row r="816">
      <c r="A816" s="18" t="n">
        <v>278</v>
      </c>
      <c r="B816" s="19" t="n">
        <v>45628</v>
      </c>
      <c r="C816" s="20" t="n">
        <v>1670</v>
      </c>
      <c r="D816" s="28" t="n"/>
      <c r="E816" s="28" t="n"/>
      <c r="F816" s="28" t="n"/>
      <c r="G816" s="22" t="inlineStr">
        <is>
          <t>全国基准价</t>
        </is>
      </c>
      <c r="H816" s="23" t="inlineStr">
        <is>
          <t>打开原文</t>
        </is>
      </c>
    </row>
    <row r="817">
      <c r="A817" s="12" t="n">
        <v>279</v>
      </c>
      <c r="B817" s="13" t="n">
        <v>45629</v>
      </c>
      <c r="C817" s="14" t="n">
        <v>1670</v>
      </c>
      <c r="D817" s="27" t="n"/>
      <c r="E817" s="27" t="n"/>
      <c r="F817" s="27" t="n"/>
      <c r="G817" s="16" t="inlineStr">
        <is>
          <t>全国基准价</t>
        </is>
      </c>
      <c r="H817" s="17" t="inlineStr">
        <is>
          <t>打开原文</t>
        </is>
      </c>
    </row>
    <row r="818">
      <c r="A818" s="18" t="n">
        <v>280</v>
      </c>
      <c r="B818" s="19" t="n">
        <v>45630</v>
      </c>
      <c r="C818" s="20" t="n">
        <v>1670</v>
      </c>
      <c r="D818" s="28" t="n"/>
      <c r="E818" s="28" t="n"/>
      <c r="F818" s="28" t="n"/>
      <c r="G818" s="22" t="inlineStr">
        <is>
          <t>全国基准价</t>
        </is>
      </c>
      <c r="H818" s="23" t="inlineStr">
        <is>
          <t>打开原文</t>
        </is>
      </c>
    </row>
    <row r="819">
      <c r="A819" s="12" t="n">
        <v>281</v>
      </c>
      <c r="B819" s="13" t="n">
        <v>45631</v>
      </c>
      <c r="C819" s="14" t="n">
        <v>1670</v>
      </c>
      <c r="D819" s="27" t="n"/>
      <c r="E819" s="27" t="n"/>
      <c r="F819" s="27" t="n"/>
      <c r="G819" s="16" t="inlineStr">
        <is>
          <t>全国基准价</t>
        </is>
      </c>
      <c r="H819" s="17" t="inlineStr">
        <is>
          <t>打开原文</t>
        </is>
      </c>
    </row>
    <row r="820">
      <c r="A820" s="18" t="n">
        <v>282</v>
      </c>
      <c r="B820" s="19" t="n">
        <v>45632</v>
      </c>
      <c r="C820" s="20" t="n">
        <v>1670</v>
      </c>
      <c r="D820" s="28" t="n"/>
      <c r="E820" s="28" t="n"/>
      <c r="F820" s="28" t="n"/>
      <c r="G820" s="22" t="inlineStr">
        <is>
          <t>全国基准价</t>
        </is>
      </c>
      <c r="H820" s="23" t="inlineStr">
        <is>
          <t>打开原文</t>
        </is>
      </c>
    </row>
    <row r="821">
      <c r="A821" s="12" t="n">
        <v>283</v>
      </c>
      <c r="B821" s="13" t="n">
        <v>45635</v>
      </c>
      <c r="C821" s="14" t="n">
        <v>1670</v>
      </c>
      <c r="D821" s="27" t="n"/>
      <c r="E821" s="27" t="n"/>
      <c r="F821" s="27" t="n"/>
      <c r="G821" s="16" t="inlineStr">
        <is>
          <t>全国基准价</t>
        </is>
      </c>
      <c r="H821" s="17" t="inlineStr">
        <is>
          <t>打开原文</t>
        </is>
      </c>
    </row>
    <row r="822">
      <c r="A822" s="18" t="n">
        <v>284</v>
      </c>
      <c r="B822" s="19" t="n">
        <v>45636</v>
      </c>
      <c r="C822" s="20" t="n">
        <v>1650</v>
      </c>
      <c r="D822" s="28" t="n"/>
      <c r="E822" s="28" t="n"/>
      <c r="F822" s="28" t="n"/>
      <c r="G822" s="22" t="inlineStr">
        <is>
          <t>全国基准价</t>
        </is>
      </c>
      <c r="H822" s="23" t="inlineStr">
        <is>
          <t>打开原文</t>
        </is>
      </c>
    </row>
    <row r="823">
      <c r="A823" s="12" t="n">
        <v>285</v>
      </c>
      <c r="B823" s="13" t="n">
        <v>45637</v>
      </c>
      <c r="C823" s="14" t="n">
        <v>1650</v>
      </c>
      <c r="D823" s="27" t="n"/>
      <c r="E823" s="27" t="n"/>
      <c r="F823" s="27" t="n"/>
      <c r="G823" s="16" t="inlineStr">
        <is>
          <t>全国基准价</t>
        </is>
      </c>
      <c r="H823" s="17" t="inlineStr">
        <is>
          <t>打开原文</t>
        </is>
      </c>
    </row>
    <row r="824">
      <c r="A824" s="18" t="n">
        <v>286</v>
      </c>
      <c r="B824" s="19" t="n">
        <v>45638</v>
      </c>
      <c r="C824" s="20" t="n">
        <v>1650</v>
      </c>
      <c r="D824" s="28" t="n"/>
      <c r="E824" s="28" t="n"/>
      <c r="F824" s="28" t="n"/>
      <c r="G824" s="22" t="inlineStr">
        <is>
          <t>全国基准价</t>
        </is>
      </c>
      <c r="H824" s="23" t="inlineStr">
        <is>
          <t>打开原文</t>
        </is>
      </c>
    </row>
    <row r="825">
      <c r="A825" s="12" t="n">
        <v>287</v>
      </c>
      <c r="B825" s="13" t="n">
        <v>45639</v>
      </c>
      <c r="C825" s="14" t="n">
        <v>1650</v>
      </c>
      <c r="D825" s="27" t="n"/>
      <c r="E825" s="27" t="n"/>
      <c r="F825" s="27" t="n"/>
      <c r="G825" s="16" t="inlineStr">
        <is>
          <t>全国基准价</t>
        </is>
      </c>
      <c r="H825" s="17" t="inlineStr">
        <is>
          <t>打开原文</t>
        </is>
      </c>
    </row>
    <row r="826">
      <c r="A826" s="18" t="n">
        <v>288</v>
      </c>
      <c r="B826" s="19" t="n">
        <v>45642</v>
      </c>
      <c r="C826" s="20" t="n">
        <v>1650</v>
      </c>
      <c r="D826" s="28" t="n"/>
      <c r="E826" s="28" t="n"/>
      <c r="F826" s="28" t="n"/>
      <c r="G826" s="22" t="inlineStr">
        <is>
          <t>全国基准价</t>
        </is>
      </c>
      <c r="H826" s="23" t="inlineStr">
        <is>
          <t>打开原文</t>
        </is>
      </c>
    </row>
    <row r="827">
      <c r="A827" s="12" t="n">
        <v>289</v>
      </c>
      <c r="B827" s="13" t="n">
        <v>45643</v>
      </c>
      <c r="C827" s="14" t="n">
        <v>1650</v>
      </c>
      <c r="D827" s="27" t="n"/>
      <c r="E827" s="27" t="n"/>
      <c r="F827" s="27" t="n"/>
      <c r="G827" s="16" t="inlineStr">
        <is>
          <t>全国基准价</t>
        </is>
      </c>
      <c r="H827" s="17" t="inlineStr">
        <is>
          <t>打开原文</t>
        </is>
      </c>
    </row>
    <row r="828">
      <c r="A828" s="18" t="n">
        <v>290</v>
      </c>
      <c r="B828" s="19" t="n">
        <v>45644</v>
      </c>
      <c r="C828" s="20" t="n">
        <v>1650</v>
      </c>
      <c r="D828" s="28" t="n"/>
      <c r="E828" s="28" t="n"/>
      <c r="F828" s="28" t="n"/>
      <c r="G828" s="22" t="inlineStr">
        <is>
          <t>全国基准价</t>
        </is>
      </c>
      <c r="H828" s="23" t="inlineStr">
        <is>
          <t>打开原文</t>
        </is>
      </c>
    </row>
    <row r="829">
      <c r="A829" s="12" t="n">
        <v>291</v>
      </c>
      <c r="B829" s="13" t="n">
        <v>45645</v>
      </c>
      <c r="C829" s="14" t="n">
        <v>1650</v>
      </c>
      <c r="D829" s="27" t="n"/>
      <c r="E829" s="27" t="n"/>
      <c r="F829" s="27" t="n"/>
      <c r="G829" s="16" t="inlineStr">
        <is>
          <t>全国基准价</t>
        </is>
      </c>
      <c r="H829" s="17" t="inlineStr">
        <is>
          <t>打开原文</t>
        </is>
      </c>
    </row>
    <row r="830">
      <c r="A830" s="18" t="n">
        <v>292</v>
      </c>
      <c r="B830" s="19" t="n">
        <v>45646</v>
      </c>
      <c r="C830" s="20" t="n">
        <v>1650</v>
      </c>
      <c r="D830" s="28" t="n"/>
      <c r="E830" s="28" t="n"/>
      <c r="F830" s="28" t="n"/>
      <c r="G830" s="22" t="inlineStr">
        <is>
          <t>全国基准价</t>
        </is>
      </c>
      <c r="H830" s="23" t="inlineStr">
        <is>
          <t>打开原文</t>
        </is>
      </c>
    </row>
    <row r="831">
      <c r="A831" s="12" t="n">
        <v>293</v>
      </c>
      <c r="B831" s="13" t="n">
        <v>45649</v>
      </c>
      <c r="C831" s="14" t="n">
        <v>1650</v>
      </c>
      <c r="D831" s="27" t="n"/>
      <c r="E831" s="27" t="n"/>
      <c r="F831" s="27" t="n"/>
      <c r="G831" s="16" t="inlineStr">
        <is>
          <t>全国基准价</t>
        </is>
      </c>
      <c r="H831" s="17" t="inlineStr">
        <is>
          <t>打开原文</t>
        </is>
      </c>
    </row>
    <row r="832">
      <c r="A832" s="18" t="n">
        <v>294</v>
      </c>
      <c r="B832" s="19" t="n">
        <v>45650</v>
      </c>
      <c r="C832" s="20" t="n">
        <v>1650</v>
      </c>
      <c r="D832" s="28" t="n"/>
      <c r="E832" s="28" t="n"/>
      <c r="F832" s="28" t="n"/>
      <c r="G832" s="22" t="inlineStr">
        <is>
          <t>全国基准价</t>
        </is>
      </c>
      <c r="H832" s="23" t="inlineStr">
        <is>
          <t>打开原文</t>
        </is>
      </c>
    </row>
    <row r="833">
      <c r="A833" s="12" t="n">
        <v>295</v>
      </c>
      <c r="B833" s="13" t="n">
        <v>45651</v>
      </c>
      <c r="C833" s="14" t="n">
        <v>1650</v>
      </c>
      <c r="D833" s="27" t="n"/>
      <c r="E833" s="27" t="n"/>
      <c r="F833" s="27" t="n"/>
      <c r="G833" s="16" t="inlineStr">
        <is>
          <t>全国基准价</t>
        </is>
      </c>
      <c r="H833" s="17" t="inlineStr">
        <is>
          <t>打开原文</t>
        </is>
      </c>
    </row>
    <row r="834">
      <c r="A834" s="18" t="n">
        <v>296</v>
      </c>
      <c r="B834" s="19" t="n">
        <v>45652</v>
      </c>
      <c r="C834" s="20" t="n">
        <v>1650</v>
      </c>
      <c r="D834" s="28" t="n"/>
      <c r="E834" s="28" t="n"/>
      <c r="F834" s="28" t="n"/>
      <c r="G834" s="22" t="inlineStr">
        <is>
          <t>全国基准价</t>
        </is>
      </c>
      <c r="H834" s="23" t="inlineStr">
        <is>
          <t>打开原文</t>
        </is>
      </c>
    </row>
    <row r="835">
      <c r="A835" s="12" t="n">
        <v>297</v>
      </c>
      <c r="B835" s="13" t="n">
        <v>45653</v>
      </c>
      <c r="C835" s="14" t="n">
        <v>1650</v>
      </c>
      <c r="D835" s="27" t="n"/>
      <c r="E835" s="27" t="n"/>
      <c r="F835" s="27" t="n"/>
      <c r="G835" s="16" t="inlineStr">
        <is>
          <t>全国基准价</t>
        </is>
      </c>
      <c r="H835" s="17" t="inlineStr">
        <is>
          <t>打开原文</t>
        </is>
      </c>
    </row>
    <row r="836">
      <c r="A836" s="18" t="n">
        <v>298</v>
      </c>
      <c r="B836" s="19" t="n">
        <v>45656</v>
      </c>
      <c r="C836" s="20" t="n">
        <v>1650</v>
      </c>
      <c r="D836" s="28" t="n"/>
      <c r="E836" s="28" t="n"/>
      <c r="F836" s="28" t="n"/>
      <c r="G836" s="22" t="inlineStr">
        <is>
          <t>全国基准价</t>
        </is>
      </c>
      <c r="H836" s="23" t="inlineStr">
        <is>
          <t>打开原文</t>
        </is>
      </c>
    </row>
    <row r="837">
      <c r="A837" s="12" t="n">
        <v>299</v>
      </c>
      <c r="B837" s="13" t="n">
        <v>45657</v>
      </c>
      <c r="C837" s="14" t="n">
        <v>1650</v>
      </c>
      <c r="D837" s="27" t="n"/>
      <c r="E837" s="27" t="n"/>
      <c r="F837" s="27" t="n"/>
      <c r="G837" s="16" t="inlineStr">
        <is>
          <t>全国基准价</t>
        </is>
      </c>
      <c r="H837" s="17" t="inlineStr">
        <is>
          <t>打开原文</t>
        </is>
      </c>
    </row>
    <row r="838">
      <c r="A838" s="18" t="n">
        <v>300</v>
      </c>
      <c r="B838" s="19" t="n">
        <v>45658</v>
      </c>
      <c r="C838" s="20" t="n">
        <v>1650</v>
      </c>
      <c r="D838" s="28" t="n"/>
      <c r="E838" s="28" t="n"/>
      <c r="F838" s="28" t="n"/>
      <c r="G838" s="22" t="inlineStr">
        <is>
          <t>全国基准价</t>
        </is>
      </c>
      <c r="H838" s="23" t="inlineStr">
        <is>
          <t>打开原文</t>
        </is>
      </c>
    </row>
    <row r="839">
      <c r="A839" s="12" t="n">
        <v>301</v>
      </c>
      <c r="B839" s="13" t="n">
        <v>45659</v>
      </c>
      <c r="C839" s="14" t="n">
        <v>1650</v>
      </c>
      <c r="D839" s="27" t="n"/>
      <c r="E839" s="27" t="n"/>
      <c r="F839" s="27" t="n"/>
      <c r="G839" s="16" t="inlineStr">
        <is>
          <t>全国基准价</t>
        </is>
      </c>
      <c r="H839" s="17" t="inlineStr">
        <is>
          <t>打开原文</t>
        </is>
      </c>
    </row>
    <row r="840">
      <c r="A840" s="18" t="n">
        <v>302</v>
      </c>
      <c r="B840" s="19" t="n">
        <v>45660</v>
      </c>
      <c r="C840" s="20" t="n">
        <v>1640</v>
      </c>
      <c r="D840" s="28" t="n"/>
      <c r="E840" s="28" t="n"/>
      <c r="F840" s="28" t="n"/>
      <c r="G840" s="22" t="inlineStr">
        <is>
          <t>全国基准价</t>
        </is>
      </c>
      <c r="H840" s="23" t="inlineStr">
        <is>
          <t>打开原文</t>
        </is>
      </c>
    </row>
    <row r="841">
      <c r="A841" s="12" t="n">
        <v>303</v>
      </c>
      <c r="B841" s="13" t="n">
        <v>45663</v>
      </c>
      <c r="C841" s="14" t="n">
        <v>1640</v>
      </c>
      <c r="D841" s="27" t="n"/>
      <c r="E841" s="27" t="n"/>
      <c r="F841" s="27" t="n"/>
      <c r="G841" s="16" t="inlineStr">
        <is>
          <t>全国基准价</t>
        </is>
      </c>
      <c r="H841" s="17" t="inlineStr">
        <is>
          <t>打开原文</t>
        </is>
      </c>
    </row>
    <row r="842">
      <c r="A842" s="18" t="n">
        <v>304</v>
      </c>
      <c r="B842" s="19" t="n">
        <v>45664</v>
      </c>
      <c r="C842" s="20" t="n">
        <v>1640</v>
      </c>
      <c r="D842" s="28" t="n"/>
      <c r="E842" s="28" t="n"/>
      <c r="F842" s="28" t="n"/>
      <c r="G842" s="22" t="inlineStr">
        <is>
          <t>全国基准价</t>
        </is>
      </c>
      <c r="H842" s="23" t="inlineStr">
        <is>
          <t>打开原文</t>
        </is>
      </c>
    </row>
    <row r="843">
      <c r="A843" s="12" t="n">
        <v>305</v>
      </c>
      <c r="B843" s="13" t="n">
        <v>45665</v>
      </c>
      <c r="C843" s="14" t="n">
        <v>1640</v>
      </c>
      <c r="D843" s="27" t="n"/>
      <c r="E843" s="27" t="n"/>
      <c r="F843" s="27" t="n"/>
      <c r="G843" s="16" t="inlineStr">
        <is>
          <t>全国基准价</t>
        </is>
      </c>
      <c r="H843" s="17" t="inlineStr">
        <is>
          <t>打开原文</t>
        </is>
      </c>
    </row>
    <row r="844">
      <c r="A844" s="18" t="n">
        <v>306</v>
      </c>
      <c r="B844" s="19" t="n">
        <v>45666</v>
      </c>
      <c r="C844" s="20" t="n">
        <v>1640</v>
      </c>
      <c r="D844" s="28" t="n"/>
      <c r="E844" s="28" t="n"/>
      <c r="F844" s="28" t="n"/>
      <c r="G844" s="22" t="inlineStr">
        <is>
          <t>全国基准价</t>
        </is>
      </c>
      <c r="H844" s="23" t="inlineStr">
        <is>
          <t>打开原文</t>
        </is>
      </c>
    </row>
    <row r="845">
      <c r="A845" s="12" t="n">
        <v>307</v>
      </c>
      <c r="B845" s="13" t="n">
        <v>45667</v>
      </c>
      <c r="C845" s="14" t="n">
        <v>1640</v>
      </c>
      <c r="D845" s="27" t="n"/>
      <c r="E845" s="27" t="n"/>
      <c r="F845" s="27" t="n"/>
      <c r="G845" s="16" t="inlineStr">
        <is>
          <t>全国基准价</t>
        </is>
      </c>
      <c r="H845" s="17" t="inlineStr">
        <is>
          <t>打开原文</t>
        </is>
      </c>
    </row>
    <row r="846">
      <c r="A846" s="18" t="n">
        <v>308</v>
      </c>
      <c r="B846" s="19" t="n">
        <v>45670</v>
      </c>
      <c r="C846" s="20" t="n">
        <v>1640</v>
      </c>
      <c r="D846" s="28" t="n"/>
      <c r="E846" s="28" t="n"/>
      <c r="F846" s="28" t="n"/>
      <c r="G846" s="22" t="inlineStr">
        <is>
          <t>全国基准价</t>
        </is>
      </c>
      <c r="H846" s="23" t="inlineStr">
        <is>
          <t>打开原文</t>
        </is>
      </c>
    </row>
    <row r="847">
      <c r="A847" s="12" t="n">
        <v>309</v>
      </c>
      <c r="B847" s="13" t="n">
        <v>45671</v>
      </c>
      <c r="C847" s="14" t="n">
        <v>1620</v>
      </c>
      <c r="D847" s="27" t="n"/>
      <c r="E847" s="27" t="n"/>
      <c r="F847" s="27" t="n"/>
      <c r="G847" s="16" t="inlineStr">
        <is>
          <t>全国基准价</t>
        </is>
      </c>
      <c r="H847" s="17" t="inlineStr">
        <is>
          <t>打开原文</t>
        </is>
      </c>
    </row>
    <row r="848">
      <c r="A848" s="18" t="n">
        <v>310</v>
      </c>
      <c r="B848" s="19" t="n">
        <v>45672</v>
      </c>
      <c r="C848" s="20" t="n">
        <v>1620</v>
      </c>
      <c r="D848" s="28" t="n"/>
      <c r="E848" s="28" t="n"/>
      <c r="F848" s="28" t="n"/>
      <c r="G848" s="22" t="inlineStr">
        <is>
          <t>全国基准价</t>
        </is>
      </c>
      <c r="H848" s="23" t="inlineStr">
        <is>
          <t>打开原文</t>
        </is>
      </c>
    </row>
    <row r="849">
      <c r="A849" s="12" t="n">
        <v>311</v>
      </c>
      <c r="B849" s="13" t="n">
        <v>45673</v>
      </c>
      <c r="C849" s="14" t="n">
        <v>1620</v>
      </c>
      <c r="D849" s="27" t="n"/>
      <c r="E849" s="27" t="n"/>
      <c r="F849" s="27" t="n"/>
      <c r="G849" s="16" t="inlineStr">
        <is>
          <t>全国基准价</t>
        </is>
      </c>
      <c r="H849" s="17" t="inlineStr">
        <is>
          <t>打开原文</t>
        </is>
      </c>
    </row>
    <row r="850">
      <c r="A850" s="18" t="n">
        <v>312</v>
      </c>
      <c r="B850" s="19" t="n">
        <v>45674</v>
      </c>
      <c r="C850" s="20" t="n">
        <v>1620</v>
      </c>
      <c r="D850" s="28" t="n"/>
      <c r="E850" s="28" t="n"/>
      <c r="F850" s="28" t="n"/>
      <c r="G850" s="22" t="inlineStr">
        <is>
          <t>全国基准价</t>
        </is>
      </c>
      <c r="H850" s="23" t="inlineStr">
        <is>
          <t>打开原文</t>
        </is>
      </c>
    </row>
    <row r="851">
      <c r="A851" s="12" t="n">
        <v>313</v>
      </c>
      <c r="B851" s="13" t="n">
        <v>45677</v>
      </c>
      <c r="C851" s="14" t="n">
        <v>1620</v>
      </c>
      <c r="D851" s="27" t="n"/>
      <c r="E851" s="27" t="n"/>
      <c r="F851" s="27" t="n"/>
      <c r="G851" s="16" t="inlineStr">
        <is>
          <t>全国基准价</t>
        </is>
      </c>
      <c r="H851" s="17" t="inlineStr">
        <is>
          <t>打开原文</t>
        </is>
      </c>
    </row>
    <row r="852">
      <c r="A852" s="18" t="n">
        <v>314</v>
      </c>
      <c r="B852" s="19" t="n">
        <v>45678</v>
      </c>
      <c r="C852" s="20" t="n">
        <v>1620</v>
      </c>
      <c r="D852" s="28" t="n"/>
      <c r="E852" s="28" t="n"/>
      <c r="F852" s="28" t="n"/>
      <c r="G852" s="22" t="inlineStr">
        <is>
          <t>全国基准价</t>
        </is>
      </c>
      <c r="H852" s="23" t="inlineStr">
        <is>
          <t>打开原文</t>
        </is>
      </c>
    </row>
    <row r="853">
      <c r="A853" s="12" t="n">
        <v>315</v>
      </c>
      <c r="B853" s="13" t="n">
        <v>45679</v>
      </c>
      <c r="C853" s="14" t="n">
        <v>1620</v>
      </c>
      <c r="D853" s="27" t="n"/>
      <c r="E853" s="27" t="n"/>
      <c r="F853" s="27" t="n"/>
      <c r="G853" s="16" t="inlineStr">
        <is>
          <t>全国基准价</t>
        </is>
      </c>
      <c r="H853" s="17" t="inlineStr">
        <is>
          <t>打开原文</t>
        </is>
      </c>
    </row>
    <row r="854">
      <c r="A854" s="18" t="n">
        <v>316</v>
      </c>
      <c r="B854" s="19" t="n">
        <v>45680</v>
      </c>
      <c r="C854" s="20" t="n">
        <v>1620</v>
      </c>
      <c r="D854" s="28" t="n"/>
      <c r="E854" s="28" t="n"/>
      <c r="F854" s="28" t="n"/>
      <c r="G854" s="22" t="inlineStr">
        <is>
          <t>全国基准价</t>
        </is>
      </c>
      <c r="H854" s="23" t="inlineStr">
        <is>
          <t>打开原文</t>
        </is>
      </c>
    </row>
    <row r="855">
      <c r="A855" s="12" t="n">
        <v>317</v>
      </c>
      <c r="B855" s="13" t="n">
        <v>45681</v>
      </c>
      <c r="C855" s="14" t="n">
        <v>1620</v>
      </c>
      <c r="D855" s="27" t="n"/>
      <c r="E855" s="27" t="n"/>
      <c r="F855" s="27" t="n"/>
      <c r="G855" s="16" t="inlineStr">
        <is>
          <t>全国基准价</t>
        </is>
      </c>
      <c r="H855" s="17" t="inlineStr">
        <is>
          <t>打开原文</t>
        </is>
      </c>
    </row>
    <row r="856">
      <c r="A856" s="18" t="n">
        <v>318</v>
      </c>
      <c r="B856" s="19" t="n">
        <v>45684</v>
      </c>
      <c r="C856" s="20" t="n">
        <v>1620</v>
      </c>
      <c r="D856" s="28" t="n"/>
      <c r="E856" s="28" t="n"/>
      <c r="F856" s="28" t="n"/>
      <c r="G856" s="22" t="inlineStr">
        <is>
          <t>全国基准价</t>
        </is>
      </c>
      <c r="H856" s="23" t="inlineStr">
        <is>
          <t>打开原文</t>
        </is>
      </c>
    </row>
    <row r="857">
      <c r="A857" s="12" t="n">
        <v>319</v>
      </c>
      <c r="B857" s="13" t="n">
        <v>45685</v>
      </c>
      <c r="C857" s="14" t="n">
        <v>1620</v>
      </c>
      <c r="D857" s="27" t="n"/>
      <c r="E857" s="27" t="n"/>
      <c r="F857" s="27" t="n"/>
      <c r="G857" s="16" t="inlineStr">
        <is>
          <t>全国基准价</t>
        </is>
      </c>
      <c r="H857" s="17" t="inlineStr">
        <is>
          <t>打开原文</t>
        </is>
      </c>
    </row>
    <row r="858">
      <c r="A858" s="18" t="n">
        <v>320</v>
      </c>
      <c r="B858" s="19" t="n">
        <v>45686</v>
      </c>
      <c r="C858" s="20" t="n">
        <v>1620</v>
      </c>
      <c r="D858" s="28" t="n"/>
      <c r="E858" s="28" t="n"/>
      <c r="F858" s="28" t="n"/>
      <c r="G858" s="22" t="inlineStr">
        <is>
          <t>全国基准价</t>
        </is>
      </c>
      <c r="H858" s="23" t="inlineStr">
        <is>
          <t>打开原文</t>
        </is>
      </c>
    </row>
    <row r="859">
      <c r="A859" s="12" t="n">
        <v>321</v>
      </c>
      <c r="B859" s="13" t="n">
        <v>45687</v>
      </c>
      <c r="C859" s="14" t="n">
        <v>1620</v>
      </c>
      <c r="D859" s="27" t="n"/>
      <c r="E859" s="27" t="n"/>
      <c r="F859" s="27" t="n"/>
      <c r="G859" s="16" t="inlineStr">
        <is>
          <t>全国基准价</t>
        </is>
      </c>
      <c r="H859" s="17" t="inlineStr">
        <is>
          <t>打开原文</t>
        </is>
      </c>
    </row>
    <row r="860">
      <c r="A860" s="18" t="n">
        <v>322</v>
      </c>
      <c r="B860" s="19" t="n">
        <v>45688</v>
      </c>
      <c r="C860" s="20" t="n">
        <v>1620</v>
      </c>
      <c r="D860" s="28" t="n"/>
      <c r="E860" s="28" t="n"/>
      <c r="F860" s="28" t="n"/>
      <c r="G860" s="22" t="inlineStr">
        <is>
          <t>全国基准价</t>
        </is>
      </c>
      <c r="H860" s="23" t="inlineStr">
        <is>
          <t>打开原文</t>
        </is>
      </c>
    </row>
    <row r="861">
      <c r="A861" s="12" t="n">
        <v>323</v>
      </c>
      <c r="B861" s="13" t="n">
        <v>45691</v>
      </c>
      <c r="C861" s="14" t="n">
        <v>1620</v>
      </c>
      <c r="D861" s="27" t="n"/>
      <c r="E861" s="27" t="n"/>
      <c r="F861" s="27" t="n"/>
      <c r="G861" s="16" t="inlineStr">
        <is>
          <t>全国基准价</t>
        </is>
      </c>
      <c r="H861" s="17" t="inlineStr">
        <is>
          <t>打开原文</t>
        </is>
      </c>
    </row>
    <row r="862">
      <c r="A862" s="18" t="n">
        <v>324</v>
      </c>
      <c r="B862" s="19" t="n">
        <v>45692</v>
      </c>
      <c r="C862" s="20" t="n">
        <v>1620</v>
      </c>
      <c r="D862" s="28" t="n"/>
      <c r="E862" s="28" t="n"/>
      <c r="F862" s="28" t="n"/>
      <c r="G862" s="22" t="inlineStr">
        <is>
          <t>全国基准价</t>
        </is>
      </c>
      <c r="H862" s="23" t="inlineStr">
        <is>
          <t>打开原文</t>
        </is>
      </c>
    </row>
    <row r="863">
      <c r="A863" s="12" t="n">
        <v>325</v>
      </c>
      <c r="B863" s="13" t="n">
        <v>45693</v>
      </c>
      <c r="C863" s="14" t="n">
        <v>1620</v>
      </c>
      <c r="D863" s="27" t="n"/>
      <c r="E863" s="27" t="n"/>
      <c r="F863" s="27" t="n"/>
      <c r="G863" s="16" t="inlineStr">
        <is>
          <t>全国基准价</t>
        </is>
      </c>
      <c r="H863" s="17" t="inlineStr">
        <is>
          <t>打开原文</t>
        </is>
      </c>
    </row>
    <row r="864">
      <c r="A864" s="18" t="n">
        <v>326</v>
      </c>
      <c r="B864" s="19" t="n">
        <v>45694</v>
      </c>
      <c r="C864" s="20" t="n">
        <v>1590</v>
      </c>
      <c r="D864" s="28" t="n"/>
      <c r="E864" s="28" t="n"/>
      <c r="F864" s="28" t="n"/>
      <c r="G864" s="22" t="inlineStr">
        <is>
          <t>全国基准价</t>
        </is>
      </c>
      <c r="H864" s="23" t="inlineStr">
        <is>
          <t>打开原文</t>
        </is>
      </c>
    </row>
    <row r="865">
      <c r="A865" s="12" t="n">
        <v>327</v>
      </c>
      <c r="B865" s="13" t="n">
        <v>45695</v>
      </c>
      <c r="C865" s="14" t="n">
        <v>1590</v>
      </c>
      <c r="D865" s="27" t="n"/>
      <c r="E865" s="27" t="n"/>
      <c r="F865" s="27" t="n"/>
      <c r="G865" s="16" t="inlineStr">
        <is>
          <t>全国基准价</t>
        </is>
      </c>
      <c r="H865" s="17" t="inlineStr">
        <is>
          <t>打开原文</t>
        </is>
      </c>
    </row>
    <row r="866">
      <c r="A866" s="18" t="n">
        <v>328</v>
      </c>
      <c r="B866" s="19" t="n">
        <v>45698</v>
      </c>
      <c r="C866" s="20" t="n">
        <v>1560</v>
      </c>
      <c r="D866" s="28" t="n"/>
      <c r="E866" s="28" t="n"/>
      <c r="F866" s="28" t="n"/>
      <c r="G866" s="22" t="inlineStr">
        <is>
          <t>全国基准价</t>
        </is>
      </c>
      <c r="H866" s="23" t="inlineStr">
        <is>
          <t>打开原文</t>
        </is>
      </c>
    </row>
    <row r="867">
      <c r="A867" s="12" t="n">
        <v>329</v>
      </c>
      <c r="B867" s="13" t="n">
        <v>45699</v>
      </c>
      <c r="C867" s="14" t="n">
        <v>1530</v>
      </c>
      <c r="D867" s="27" t="n"/>
      <c r="E867" s="27" t="n"/>
      <c r="F867" s="27" t="n"/>
      <c r="G867" s="16" t="inlineStr">
        <is>
          <t>全国基准价</t>
        </is>
      </c>
      <c r="H867" s="17" t="inlineStr">
        <is>
          <t>打开原文</t>
        </is>
      </c>
    </row>
    <row r="868">
      <c r="A868" s="18" t="n">
        <v>330</v>
      </c>
      <c r="B868" s="19" t="n">
        <v>45700</v>
      </c>
      <c r="C868" s="20" t="n">
        <v>1530</v>
      </c>
      <c r="D868" s="28" t="n"/>
      <c r="E868" s="28" t="n"/>
      <c r="F868" s="28" t="n"/>
      <c r="G868" s="22" t="inlineStr">
        <is>
          <t>全国基准价</t>
        </is>
      </c>
      <c r="H868" s="23" t="inlineStr">
        <is>
          <t>打开原文</t>
        </is>
      </c>
    </row>
    <row r="869">
      <c r="A869" s="12" t="n">
        <v>331</v>
      </c>
      <c r="B869" s="13" t="n">
        <v>45701</v>
      </c>
      <c r="C869" s="14" t="n">
        <v>1530</v>
      </c>
      <c r="D869" s="27" t="n"/>
      <c r="E869" s="27" t="n"/>
      <c r="F869" s="27" t="n"/>
      <c r="G869" s="16" t="inlineStr">
        <is>
          <t>全国基准价</t>
        </is>
      </c>
      <c r="H869" s="17" t="inlineStr">
        <is>
          <t>打开原文</t>
        </is>
      </c>
    </row>
    <row r="870">
      <c r="A870" s="18" t="n">
        <v>332</v>
      </c>
      <c r="B870" s="19" t="n">
        <v>45702</v>
      </c>
      <c r="C870" s="20" t="n">
        <v>1530</v>
      </c>
      <c r="D870" s="28" t="n"/>
      <c r="E870" s="28" t="n"/>
      <c r="F870" s="28" t="n"/>
      <c r="G870" s="22" t="inlineStr">
        <is>
          <t>全国基准价</t>
        </is>
      </c>
      <c r="H870" s="23" t="inlineStr">
        <is>
          <t>打开原文</t>
        </is>
      </c>
    </row>
    <row r="871">
      <c r="A871" s="12" t="n">
        <v>333</v>
      </c>
      <c r="B871" s="13" t="n">
        <v>45705</v>
      </c>
      <c r="C871" s="14" t="n">
        <v>1530</v>
      </c>
      <c r="D871" s="27" t="n"/>
      <c r="E871" s="27" t="n"/>
      <c r="F871" s="27" t="n"/>
      <c r="G871" s="16" t="inlineStr">
        <is>
          <t>全国基准价</t>
        </is>
      </c>
      <c r="H871" s="17" t="inlineStr">
        <is>
          <t>打开原文</t>
        </is>
      </c>
    </row>
    <row r="872">
      <c r="A872" s="18" t="n">
        <v>334</v>
      </c>
      <c r="B872" s="19" t="n">
        <v>45706</v>
      </c>
      <c r="C872" s="20" t="n">
        <v>1530</v>
      </c>
      <c r="D872" s="28" t="n"/>
      <c r="E872" s="28" t="n"/>
      <c r="F872" s="28" t="n"/>
      <c r="G872" s="22" t="inlineStr">
        <is>
          <t>全国基准价</t>
        </is>
      </c>
      <c r="H872" s="23" t="inlineStr">
        <is>
          <t>打开原文</t>
        </is>
      </c>
    </row>
    <row r="873">
      <c r="A873" s="12" t="n">
        <v>335</v>
      </c>
      <c r="B873" s="13" t="n">
        <v>45707</v>
      </c>
      <c r="C873" s="14" t="n">
        <v>1530</v>
      </c>
      <c r="D873" s="27" t="n"/>
      <c r="E873" s="27" t="n"/>
      <c r="F873" s="27" t="n"/>
      <c r="G873" s="16" t="inlineStr">
        <is>
          <t>全国基准价</t>
        </is>
      </c>
      <c r="H873" s="17" t="inlineStr">
        <is>
          <t>打开原文</t>
        </is>
      </c>
    </row>
    <row r="874">
      <c r="A874" s="18" t="n">
        <v>336</v>
      </c>
      <c r="B874" s="19" t="n">
        <v>45708</v>
      </c>
      <c r="C874" s="20" t="n">
        <v>1530</v>
      </c>
      <c r="D874" s="28" t="n"/>
      <c r="E874" s="28" t="n"/>
      <c r="F874" s="28" t="n"/>
      <c r="G874" s="22" t="inlineStr">
        <is>
          <t>全国基准价</t>
        </is>
      </c>
      <c r="H874" s="23" t="inlineStr">
        <is>
          <t>打开原文</t>
        </is>
      </c>
    </row>
    <row r="875">
      <c r="A875" s="12" t="n">
        <v>337</v>
      </c>
      <c r="B875" s="13" t="n">
        <v>45709</v>
      </c>
      <c r="C875" s="14" t="n">
        <v>1496</v>
      </c>
      <c r="D875" s="27" t="n"/>
      <c r="E875" s="27" t="n"/>
      <c r="F875" s="27" t="n"/>
      <c r="G875" s="16" t="inlineStr">
        <is>
          <t>全国基准价</t>
        </is>
      </c>
      <c r="H875" s="17" t="inlineStr">
        <is>
          <t>打开原文</t>
        </is>
      </c>
    </row>
    <row r="876">
      <c r="A876" s="18" t="n">
        <v>338</v>
      </c>
      <c r="B876" s="19" t="n">
        <v>45712</v>
      </c>
      <c r="C876" s="20" t="n">
        <v>1496</v>
      </c>
      <c r="D876" s="28" t="n"/>
      <c r="E876" s="28" t="n"/>
      <c r="F876" s="28" t="n"/>
      <c r="G876" s="22" t="inlineStr">
        <is>
          <t>全国基准价</t>
        </is>
      </c>
      <c r="H876" s="23" t="inlineStr">
        <is>
          <t>打开原文</t>
        </is>
      </c>
    </row>
    <row r="877">
      <c r="A877" s="12" t="n">
        <v>339</v>
      </c>
      <c r="B877" s="13" t="n">
        <v>45713</v>
      </c>
      <c r="C877" s="14" t="n">
        <v>1496</v>
      </c>
      <c r="D877" s="27" t="n"/>
      <c r="E877" s="27" t="n"/>
      <c r="F877" s="27" t="n"/>
      <c r="G877" s="16" t="inlineStr">
        <is>
          <t>全国基准价</t>
        </is>
      </c>
      <c r="H877" s="17" t="inlineStr">
        <is>
          <t>打开原文</t>
        </is>
      </c>
    </row>
    <row r="878">
      <c r="A878" s="18" t="n">
        <v>340</v>
      </c>
      <c r="B878" s="19" t="n">
        <v>45714</v>
      </c>
      <c r="C878" s="20" t="n">
        <v>1496</v>
      </c>
      <c r="D878" s="28" t="n"/>
      <c r="E878" s="28" t="n"/>
      <c r="F878" s="28" t="n"/>
      <c r="G878" s="22" t="inlineStr">
        <is>
          <t>全国基准价</t>
        </is>
      </c>
      <c r="H878" s="23" t="inlineStr">
        <is>
          <t>打开原文</t>
        </is>
      </c>
    </row>
    <row r="879">
      <c r="A879" s="12" t="n">
        <v>341</v>
      </c>
      <c r="B879" s="13" t="n">
        <v>45715</v>
      </c>
      <c r="C879" s="14" t="n">
        <v>1506</v>
      </c>
      <c r="D879" s="27" t="n"/>
      <c r="E879" s="27" t="n"/>
      <c r="F879" s="27" t="n"/>
      <c r="G879" s="16" t="inlineStr">
        <is>
          <t>全国基准价</t>
        </is>
      </c>
      <c r="H879" s="17" t="inlineStr">
        <is>
          <t>打开原文</t>
        </is>
      </c>
    </row>
    <row r="880">
      <c r="A880" s="18" t="n">
        <v>342</v>
      </c>
      <c r="B880" s="19" t="n">
        <v>45716</v>
      </c>
      <c r="C880" s="20" t="n">
        <v>1506</v>
      </c>
      <c r="D880" s="28" t="n"/>
      <c r="E880" s="28" t="n"/>
      <c r="F880" s="28" t="n"/>
      <c r="G880" s="22" t="inlineStr">
        <is>
          <t>全国基准价</t>
        </is>
      </c>
      <c r="H880" s="23" t="inlineStr">
        <is>
          <t>打开原文</t>
        </is>
      </c>
    </row>
    <row r="881">
      <c r="A881" s="12" t="n">
        <v>343</v>
      </c>
      <c r="B881" s="13" t="n">
        <v>45719</v>
      </c>
      <c r="C881" s="14" t="n">
        <v>1538</v>
      </c>
      <c r="D881" s="27" t="n"/>
      <c r="E881" s="27" t="n"/>
      <c r="F881" s="27" t="n"/>
      <c r="G881" s="16" t="inlineStr">
        <is>
          <t>全国基准价</t>
        </is>
      </c>
      <c r="H881" s="17" t="inlineStr">
        <is>
          <t>打开原文</t>
        </is>
      </c>
    </row>
    <row r="882">
      <c r="A882" s="18" t="n">
        <v>344</v>
      </c>
      <c r="B882" s="19" t="n">
        <v>45720</v>
      </c>
      <c r="C882" s="20" t="n">
        <v>1558</v>
      </c>
      <c r="D882" s="28" t="n"/>
      <c r="E882" s="28" t="n"/>
      <c r="F882" s="28" t="n"/>
      <c r="G882" s="22" t="inlineStr">
        <is>
          <t>全国基准价</t>
        </is>
      </c>
      <c r="H882" s="23" t="inlineStr">
        <is>
          <t>打开原文</t>
        </is>
      </c>
    </row>
    <row r="883">
      <c r="A883" s="12" t="n">
        <v>345</v>
      </c>
      <c r="B883" s="13" t="n">
        <v>45721</v>
      </c>
      <c r="C883" s="14" t="n">
        <v>1558</v>
      </c>
      <c r="D883" s="27" t="n"/>
      <c r="E883" s="27" t="n"/>
      <c r="F883" s="27" t="n"/>
      <c r="G883" s="16" t="inlineStr">
        <is>
          <t>全国基准价</t>
        </is>
      </c>
      <c r="H883" s="17" t="inlineStr">
        <is>
          <t>打开原文</t>
        </is>
      </c>
    </row>
    <row r="884">
      <c r="A884" s="18" t="n">
        <v>346</v>
      </c>
      <c r="B884" s="19" t="n">
        <v>45722</v>
      </c>
      <c r="C884" s="20" t="n">
        <v>1558</v>
      </c>
      <c r="D884" s="28" t="n"/>
      <c r="E884" s="28" t="n"/>
      <c r="F884" s="28" t="n"/>
      <c r="G884" s="22" t="inlineStr">
        <is>
          <t>全国基准价</t>
        </is>
      </c>
      <c r="H884" s="23" t="inlineStr">
        <is>
          <t>打开原文</t>
        </is>
      </c>
    </row>
    <row r="885">
      <c r="A885" s="12" t="n">
        <v>347</v>
      </c>
      <c r="B885" s="13" t="n">
        <v>45723</v>
      </c>
      <c r="C885" s="14" t="n">
        <v>1558</v>
      </c>
      <c r="D885" s="27" t="n"/>
      <c r="E885" s="27" t="n"/>
      <c r="F885" s="27" t="n"/>
      <c r="G885" s="16" t="inlineStr">
        <is>
          <t>全国基准价</t>
        </is>
      </c>
      <c r="H885" s="17" t="inlineStr">
        <is>
          <t>打开原文</t>
        </is>
      </c>
    </row>
    <row r="886">
      <c r="A886" s="18" t="n">
        <v>348</v>
      </c>
      <c r="B886" s="19" t="n">
        <v>45726</v>
      </c>
      <c r="C886" s="20" t="n">
        <v>1558</v>
      </c>
      <c r="D886" s="28" t="n"/>
      <c r="E886" s="28" t="n"/>
      <c r="F886" s="28" t="n"/>
      <c r="G886" s="22" t="inlineStr">
        <is>
          <t>全国基准价</t>
        </is>
      </c>
      <c r="H886" s="23" t="inlineStr">
        <is>
          <t>打开原文</t>
        </is>
      </c>
    </row>
    <row r="887">
      <c r="A887" s="12" t="n">
        <v>349</v>
      </c>
      <c r="B887" s="13" t="n">
        <v>45727</v>
      </c>
      <c r="C887" s="14" t="n">
        <v>1558</v>
      </c>
      <c r="D887" s="27" t="n"/>
      <c r="E887" s="27" t="n"/>
      <c r="F887" s="27" t="n"/>
      <c r="G887" s="16" t="inlineStr">
        <is>
          <t>全国基准价</t>
        </is>
      </c>
      <c r="H887" s="17" t="inlineStr">
        <is>
          <t>打开原文</t>
        </is>
      </c>
    </row>
    <row r="888">
      <c r="A888" s="18" t="n">
        <v>350</v>
      </c>
      <c r="B888" s="19" t="n">
        <v>45728</v>
      </c>
      <c r="C888" s="20" t="n">
        <v>1558</v>
      </c>
      <c r="D888" s="28" t="n"/>
      <c r="E888" s="28" t="n"/>
      <c r="F888" s="28" t="n"/>
      <c r="G888" s="22" t="inlineStr">
        <is>
          <t>全国基准价</t>
        </is>
      </c>
      <c r="H888" s="23" t="inlineStr">
        <is>
          <t>打开原文</t>
        </is>
      </c>
    </row>
    <row r="889">
      <c r="A889" s="12" t="n">
        <v>351</v>
      </c>
      <c r="B889" s="13" t="n">
        <v>45729</v>
      </c>
      <c r="C889" s="14" t="n">
        <v>1558</v>
      </c>
      <c r="D889" s="27" t="n"/>
      <c r="E889" s="27" t="n"/>
      <c r="F889" s="27" t="n"/>
      <c r="G889" s="16" t="inlineStr">
        <is>
          <t>全国基准价</t>
        </is>
      </c>
      <c r="H889" s="17" t="inlineStr">
        <is>
          <t>打开原文</t>
        </is>
      </c>
    </row>
    <row r="890">
      <c r="A890" s="18" t="n">
        <v>352</v>
      </c>
      <c r="B890" s="19" t="n">
        <v>45730</v>
      </c>
      <c r="C890" s="20" t="n">
        <v>1558</v>
      </c>
      <c r="D890" s="28" t="n"/>
      <c r="E890" s="28" t="n"/>
      <c r="F890" s="28" t="n"/>
      <c r="G890" s="22" t="inlineStr">
        <is>
          <t>全国基准价</t>
        </is>
      </c>
      <c r="H890" s="23" t="inlineStr">
        <is>
          <t>打开原文</t>
        </is>
      </c>
    </row>
    <row r="891">
      <c r="A891" s="12" t="n">
        <v>353</v>
      </c>
      <c r="B891" s="13" t="n">
        <v>45733</v>
      </c>
      <c r="C891" s="14" t="n">
        <v>1558</v>
      </c>
      <c r="D891" s="27" t="n"/>
      <c r="E891" s="27" t="n"/>
      <c r="F891" s="27" t="n"/>
      <c r="G891" s="16" t="inlineStr">
        <is>
          <t>全国基准价</t>
        </is>
      </c>
      <c r="H891" s="17" t="inlineStr">
        <is>
          <t>打开原文</t>
        </is>
      </c>
    </row>
    <row r="892">
      <c r="A892" s="18" t="n">
        <v>354</v>
      </c>
      <c r="B892" s="19" t="n">
        <v>45734</v>
      </c>
      <c r="C892" s="20" t="n">
        <v>1558</v>
      </c>
      <c r="D892" s="28" t="n"/>
      <c r="E892" s="28" t="n"/>
      <c r="F892" s="28" t="n"/>
      <c r="G892" s="22" t="inlineStr">
        <is>
          <t>全国基准价</t>
        </is>
      </c>
      <c r="H892" s="23" t="inlineStr">
        <is>
          <t>打开原文</t>
        </is>
      </c>
    </row>
    <row r="893">
      <c r="A893" s="12" t="n">
        <v>355</v>
      </c>
      <c r="B893" s="13" t="n">
        <v>45735</v>
      </c>
      <c r="C893" s="14" t="n">
        <v>1558</v>
      </c>
      <c r="D893" s="27" t="n"/>
      <c r="E893" s="27" t="n"/>
      <c r="F893" s="27" t="n"/>
      <c r="G893" s="16" t="inlineStr">
        <is>
          <t>全国基准价</t>
        </is>
      </c>
      <c r="H893" s="17" t="inlineStr">
        <is>
          <t>打开原文</t>
        </is>
      </c>
    </row>
    <row r="894">
      <c r="A894" s="18" t="n">
        <v>356</v>
      </c>
      <c r="B894" s="19" t="n">
        <v>45736</v>
      </c>
      <c r="C894" s="20" t="n">
        <v>1558</v>
      </c>
      <c r="D894" s="28" t="n"/>
      <c r="E894" s="28" t="n"/>
      <c r="F894" s="28" t="n"/>
      <c r="G894" s="22" t="inlineStr">
        <is>
          <t>全国基准价</t>
        </is>
      </c>
      <c r="H894" s="23" t="inlineStr">
        <is>
          <t>打开原文</t>
        </is>
      </c>
    </row>
    <row r="895">
      <c r="A895" s="12" t="n">
        <v>357</v>
      </c>
      <c r="B895" s="13" t="n">
        <v>45737</v>
      </c>
      <c r="C895" s="14" t="n">
        <v>1558</v>
      </c>
      <c r="D895" s="27" t="n"/>
      <c r="E895" s="27" t="n"/>
      <c r="F895" s="27" t="n"/>
      <c r="G895" s="16" t="inlineStr">
        <is>
          <t>全国基准价</t>
        </is>
      </c>
      <c r="H895" s="17" t="inlineStr">
        <is>
          <t>打开原文</t>
        </is>
      </c>
    </row>
    <row r="896">
      <c r="A896" s="18" t="n">
        <v>358</v>
      </c>
      <c r="B896" s="19" t="n">
        <v>45740</v>
      </c>
      <c r="C896" s="20" t="n">
        <v>1558</v>
      </c>
      <c r="D896" s="28" t="n"/>
      <c r="E896" s="28" t="n"/>
      <c r="F896" s="28" t="n"/>
      <c r="G896" s="22" t="inlineStr">
        <is>
          <t>全国基准价</t>
        </is>
      </c>
      <c r="H896" s="23" t="inlineStr">
        <is>
          <t>打开原文</t>
        </is>
      </c>
    </row>
    <row r="897">
      <c r="A897" s="12" t="n">
        <v>359</v>
      </c>
      <c r="B897" s="13" t="n">
        <v>45741</v>
      </c>
      <c r="C897" s="14" t="n">
        <v>1538</v>
      </c>
      <c r="D897" s="27" t="n"/>
      <c r="E897" s="27" t="n"/>
      <c r="F897" s="27" t="n"/>
      <c r="G897" s="16" t="inlineStr">
        <is>
          <t>全国基准价</t>
        </is>
      </c>
      <c r="H897" s="17" t="inlineStr">
        <is>
          <t>打开原文</t>
        </is>
      </c>
    </row>
    <row r="898">
      <c r="A898" s="18" t="n">
        <v>360</v>
      </c>
      <c r="B898" s="19" t="n">
        <v>45742</v>
      </c>
      <c r="C898" s="20" t="n">
        <v>1538</v>
      </c>
      <c r="D898" s="28" t="n"/>
      <c r="E898" s="28" t="n"/>
      <c r="F898" s="28" t="n"/>
      <c r="G898" s="22" t="inlineStr">
        <is>
          <t>全国基准价</t>
        </is>
      </c>
      <c r="H898" s="23" t="inlineStr">
        <is>
          <t>打开原文</t>
        </is>
      </c>
    </row>
    <row r="899">
      <c r="A899" s="12" t="n">
        <v>361</v>
      </c>
      <c r="B899" s="13" t="n">
        <v>45743</v>
      </c>
      <c r="C899" s="14" t="n">
        <v>1538</v>
      </c>
      <c r="D899" s="27" t="n"/>
      <c r="E899" s="27" t="n"/>
      <c r="F899" s="27" t="n"/>
      <c r="G899" s="16" t="inlineStr">
        <is>
          <t>全国基准价</t>
        </is>
      </c>
      <c r="H899" s="17" t="inlineStr">
        <is>
          <t>打开原文</t>
        </is>
      </c>
    </row>
    <row r="900">
      <c r="A900" s="18" t="n">
        <v>362</v>
      </c>
      <c r="B900" s="19" t="n">
        <v>45744</v>
      </c>
      <c r="C900" s="20" t="n">
        <v>1538</v>
      </c>
      <c r="D900" s="28" t="n"/>
      <c r="E900" s="28" t="n"/>
      <c r="F900" s="28" t="n"/>
      <c r="G900" s="22" t="inlineStr">
        <is>
          <t>全国基准价</t>
        </is>
      </c>
      <c r="H900" s="23" t="inlineStr">
        <is>
          <t>打开原文</t>
        </is>
      </c>
    </row>
    <row r="901">
      <c r="A901" s="12" t="n">
        <v>363</v>
      </c>
      <c r="B901" s="13" t="n">
        <v>45747</v>
      </c>
      <c r="C901" s="14" t="n">
        <v>1538</v>
      </c>
      <c r="D901" s="27" t="n"/>
      <c r="E901" s="27" t="n"/>
      <c r="F901" s="27" t="n"/>
      <c r="G901" s="16" t="inlineStr">
        <is>
          <t>全国基准价</t>
        </is>
      </c>
      <c r="H901" s="17" t="inlineStr">
        <is>
          <t>打开原文</t>
        </is>
      </c>
    </row>
    <row r="902">
      <c r="A902" s="18" t="n">
        <v>364</v>
      </c>
      <c r="B902" s="19" t="n">
        <v>45748</v>
      </c>
      <c r="C902" s="20" t="n">
        <v>1538</v>
      </c>
      <c r="D902" s="28" t="n"/>
      <c r="E902" s="28" t="n"/>
      <c r="F902" s="28" t="n"/>
      <c r="G902" s="22" t="inlineStr">
        <is>
          <t>全国基准价</t>
        </is>
      </c>
      <c r="H902" s="23" t="inlineStr">
        <is>
          <t>打开原文</t>
        </is>
      </c>
    </row>
    <row r="903">
      <c r="A903" s="12" t="n">
        <v>365</v>
      </c>
      <c r="B903" s="13" t="n">
        <v>45749</v>
      </c>
      <c r="C903" s="14" t="n">
        <v>1498</v>
      </c>
      <c r="D903" s="27" t="n"/>
      <c r="E903" s="27" t="n"/>
      <c r="F903" s="27" t="n"/>
      <c r="G903" s="16" t="inlineStr">
        <is>
          <t>全国基准价</t>
        </is>
      </c>
      <c r="H903" s="17" t="inlineStr">
        <is>
          <t>打开原文</t>
        </is>
      </c>
    </row>
    <row r="904">
      <c r="A904" s="18" t="n">
        <v>366</v>
      </c>
      <c r="B904" s="19" t="n">
        <v>45750</v>
      </c>
      <c r="C904" s="20" t="n">
        <v>1527.5</v>
      </c>
      <c r="D904" s="28" t="n"/>
      <c r="E904" s="28" t="n"/>
      <c r="F904" s="28" t="n"/>
      <c r="G904" s="22" t="inlineStr">
        <is>
          <t>全国基准价</t>
        </is>
      </c>
      <c r="H904" s="23" t="inlineStr">
        <is>
          <t>打开原文</t>
        </is>
      </c>
    </row>
    <row r="905">
      <c r="A905" s="12" t="n">
        <v>367</v>
      </c>
      <c r="B905" s="13" t="n">
        <v>45751</v>
      </c>
      <c r="C905" s="14" t="n">
        <v>1527.5</v>
      </c>
      <c r="D905" s="27" t="n"/>
      <c r="E905" s="27" t="n"/>
      <c r="F905" s="27" t="n"/>
      <c r="G905" s="16" t="inlineStr">
        <is>
          <t>全国基准价</t>
        </is>
      </c>
      <c r="H905" s="17" t="inlineStr">
        <is>
          <t>打开原文</t>
        </is>
      </c>
    </row>
    <row r="906">
      <c r="A906" s="18" t="n">
        <v>368</v>
      </c>
      <c r="B906" s="19" t="n">
        <v>45754</v>
      </c>
      <c r="C906" s="20" t="n">
        <v>1527.5</v>
      </c>
      <c r="D906" s="28" t="n"/>
      <c r="E906" s="28" t="n"/>
      <c r="F906" s="28" t="n"/>
      <c r="G906" s="22" t="inlineStr">
        <is>
          <t>全国基准价</t>
        </is>
      </c>
      <c r="H906" s="23" t="inlineStr">
        <is>
          <t>打开原文</t>
        </is>
      </c>
    </row>
    <row r="907">
      <c r="A907" s="12" t="n">
        <v>369</v>
      </c>
      <c r="B907" s="13" t="n">
        <v>45755</v>
      </c>
      <c r="C907" s="14" t="n">
        <v>1515</v>
      </c>
      <c r="D907" s="27" t="n"/>
      <c r="E907" s="27" t="n"/>
      <c r="F907" s="27" t="n"/>
      <c r="G907" s="16" t="inlineStr">
        <is>
          <t>全国基准价</t>
        </is>
      </c>
      <c r="H907" s="17" t="inlineStr">
        <is>
          <t>打开原文</t>
        </is>
      </c>
    </row>
    <row r="908">
      <c r="A908" s="18" t="n">
        <v>370</v>
      </c>
      <c r="B908" s="19" t="n">
        <v>45756</v>
      </c>
      <c r="C908" s="20" t="n">
        <v>1515</v>
      </c>
      <c r="D908" s="28" t="n"/>
      <c r="E908" s="28" t="n"/>
      <c r="F908" s="28" t="n"/>
      <c r="G908" s="22" t="inlineStr">
        <is>
          <t>全国基准价</t>
        </is>
      </c>
      <c r="H908" s="23" t="inlineStr">
        <is>
          <t>打开原文</t>
        </is>
      </c>
    </row>
    <row r="909">
      <c r="A909" s="12" t="n">
        <v>371</v>
      </c>
      <c r="B909" s="13" t="n">
        <v>45757</v>
      </c>
      <c r="C909" s="14" t="n">
        <v>1515</v>
      </c>
      <c r="D909" s="27" t="n"/>
      <c r="E909" s="27" t="n"/>
      <c r="F909" s="27" t="n"/>
      <c r="G909" s="16" t="inlineStr">
        <is>
          <t>全国基准价</t>
        </is>
      </c>
      <c r="H909" s="17" t="inlineStr">
        <is>
          <t>打开原文</t>
        </is>
      </c>
    </row>
    <row r="910">
      <c r="A910" s="18" t="n">
        <v>372</v>
      </c>
      <c r="B910" s="19" t="n">
        <v>45758</v>
      </c>
      <c r="C910" s="20" t="n">
        <v>1502.5</v>
      </c>
      <c r="D910" s="28" t="n"/>
      <c r="E910" s="28" t="n"/>
      <c r="F910" s="28" t="n"/>
      <c r="G910" s="22" t="inlineStr">
        <is>
          <t>全国基准价</t>
        </is>
      </c>
      <c r="H910" s="23" t="inlineStr">
        <is>
          <t>打开原文</t>
        </is>
      </c>
    </row>
    <row r="911">
      <c r="A911" s="12" t="n">
        <v>373</v>
      </c>
      <c r="B911" s="13" t="n">
        <v>45761</v>
      </c>
      <c r="C911" s="14" t="n">
        <v>1502.5</v>
      </c>
      <c r="D911" s="27" t="n"/>
      <c r="E911" s="27" t="n"/>
      <c r="F911" s="27" t="n"/>
      <c r="G911" s="16" t="inlineStr">
        <is>
          <t>全国基准价</t>
        </is>
      </c>
      <c r="H911" s="17" t="inlineStr">
        <is>
          <t>打开原文</t>
        </is>
      </c>
    </row>
    <row r="912">
      <c r="A912" s="18" t="n">
        <v>374</v>
      </c>
      <c r="B912" s="19" t="n">
        <v>45762</v>
      </c>
      <c r="C912" s="20" t="n">
        <v>1502.5</v>
      </c>
      <c r="D912" s="28" t="n"/>
      <c r="E912" s="28" t="n"/>
      <c r="F912" s="28" t="n"/>
      <c r="G912" s="22" t="inlineStr">
        <is>
          <t>全国基准价</t>
        </is>
      </c>
      <c r="H912" s="23" t="inlineStr">
        <is>
          <t>打开原文</t>
        </is>
      </c>
    </row>
    <row r="913">
      <c r="A913" s="12" t="n">
        <v>375</v>
      </c>
      <c r="B913" s="13" t="n">
        <v>45763</v>
      </c>
      <c r="C913" s="14" t="n">
        <v>1502.5</v>
      </c>
      <c r="D913" s="27" t="n"/>
      <c r="E913" s="27" t="n"/>
      <c r="F913" s="27" t="n"/>
      <c r="G913" s="16" t="inlineStr">
        <is>
          <t>全国基准价</t>
        </is>
      </c>
      <c r="H913" s="17" t="inlineStr">
        <is>
          <t>打开原文</t>
        </is>
      </c>
    </row>
    <row r="914">
      <c r="A914" s="18" t="n">
        <v>376</v>
      </c>
      <c r="B914" s="19" t="n">
        <v>45764</v>
      </c>
      <c r="C914" s="20" t="n">
        <v>1502.5</v>
      </c>
      <c r="D914" s="28" t="n"/>
      <c r="E914" s="28" t="n"/>
      <c r="F914" s="28" t="n"/>
      <c r="G914" s="22" t="inlineStr">
        <is>
          <t>全国基准价</t>
        </is>
      </c>
      <c r="H914" s="23" t="inlineStr">
        <is>
          <t>打开原文</t>
        </is>
      </c>
    </row>
    <row r="915">
      <c r="A915" s="12" t="n">
        <v>377</v>
      </c>
      <c r="B915" s="13" t="n">
        <v>45765</v>
      </c>
      <c r="C915" s="14" t="n">
        <v>1502.5</v>
      </c>
      <c r="D915" s="27" t="n"/>
      <c r="E915" s="27" t="n"/>
      <c r="F915" s="27" t="n"/>
      <c r="G915" s="16" t="inlineStr">
        <is>
          <t>全国基准价</t>
        </is>
      </c>
      <c r="H915" s="17" t="inlineStr">
        <is>
          <t>打开原文</t>
        </is>
      </c>
    </row>
    <row r="916">
      <c r="A916" s="18" t="n">
        <v>378</v>
      </c>
      <c r="B916" s="19" t="n">
        <v>45768</v>
      </c>
      <c r="C916" s="20" t="n">
        <v>1502.5</v>
      </c>
      <c r="D916" s="28" t="n"/>
      <c r="E916" s="28" t="n"/>
      <c r="F916" s="28" t="n"/>
      <c r="G916" s="22" t="inlineStr">
        <is>
          <t>全国基准价</t>
        </is>
      </c>
      <c r="H916" s="23" t="inlineStr">
        <is>
          <t>打开原文</t>
        </is>
      </c>
    </row>
    <row r="917">
      <c r="A917" s="12" t="n">
        <v>379</v>
      </c>
      <c r="B917" s="13" t="n">
        <v>45769</v>
      </c>
      <c r="C917" s="14" t="n">
        <v>1502.5</v>
      </c>
      <c r="D917" s="27" t="n"/>
      <c r="E917" s="27" t="n"/>
      <c r="F917" s="27" t="n"/>
      <c r="G917" s="16" t="inlineStr">
        <is>
          <t>全国基准价</t>
        </is>
      </c>
      <c r="H917" s="17" t="inlineStr">
        <is>
          <t>打开原文</t>
        </is>
      </c>
    </row>
    <row r="918">
      <c r="A918" s="18" t="n">
        <v>380</v>
      </c>
      <c r="B918" s="19" t="n">
        <v>45770</v>
      </c>
      <c r="C918" s="20" t="n">
        <v>1502.5</v>
      </c>
      <c r="D918" s="28" t="n"/>
      <c r="E918" s="28" t="n"/>
      <c r="F918" s="28" t="n"/>
      <c r="G918" s="22" t="inlineStr">
        <is>
          <t>全国基准价</t>
        </is>
      </c>
      <c r="H918" s="23" t="inlineStr">
        <is>
          <t>打开原文</t>
        </is>
      </c>
    </row>
    <row r="919">
      <c r="A919" s="12" t="n">
        <v>381</v>
      </c>
      <c r="B919" s="13" t="n">
        <v>45771</v>
      </c>
      <c r="C919" s="14" t="n">
        <v>1502.5</v>
      </c>
      <c r="D919" s="27" t="n"/>
      <c r="E919" s="27" t="n"/>
      <c r="F919" s="27" t="n"/>
      <c r="G919" s="16" t="inlineStr">
        <is>
          <t>全国基准价</t>
        </is>
      </c>
      <c r="H919" s="17" t="inlineStr">
        <is>
          <t>打开原文</t>
        </is>
      </c>
    </row>
    <row r="920">
      <c r="A920" s="18" t="n">
        <v>382</v>
      </c>
      <c r="B920" s="19" t="n">
        <v>45772</v>
      </c>
      <c r="C920" s="20" t="n">
        <v>1502.5</v>
      </c>
      <c r="D920" s="28" t="n"/>
      <c r="E920" s="28" t="n"/>
      <c r="F920" s="28" t="n"/>
      <c r="G920" s="22" t="inlineStr">
        <is>
          <t>全国基准价</t>
        </is>
      </c>
      <c r="H920" s="23" t="inlineStr">
        <is>
          <t>打开原文</t>
        </is>
      </c>
    </row>
    <row r="921">
      <c r="A921" s="12" t="n">
        <v>383</v>
      </c>
      <c r="B921" s="13" t="n">
        <v>45775</v>
      </c>
      <c r="C921" s="14" t="n">
        <v>1502.5</v>
      </c>
      <c r="D921" s="27" t="n"/>
      <c r="E921" s="27" t="n"/>
      <c r="F921" s="27" t="n"/>
      <c r="G921" s="16" t="inlineStr">
        <is>
          <t>全国基准价</t>
        </is>
      </c>
      <c r="H921" s="17" t="inlineStr">
        <is>
          <t>打开原文</t>
        </is>
      </c>
    </row>
    <row r="922">
      <c r="A922" s="18" t="n">
        <v>384</v>
      </c>
      <c r="B922" s="19" t="n">
        <v>45776</v>
      </c>
      <c r="C922" s="20" t="n">
        <v>1502.5</v>
      </c>
      <c r="D922" s="28" t="n"/>
      <c r="E922" s="28" t="n"/>
      <c r="F922" s="28" t="n"/>
      <c r="G922" s="22" t="inlineStr">
        <is>
          <t>全国基准价</t>
        </is>
      </c>
      <c r="H922" s="23" t="inlineStr">
        <is>
          <t>打开原文</t>
        </is>
      </c>
    </row>
    <row r="923">
      <c r="A923" s="12" t="n">
        <v>385</v>
      </c>
      <c r="B923" s="13" t="n">
        <v>45777</v>
      </c>
      <c r="C923" s="14" t="n">
        <v>1502.5</v>
      </c>
      <c r="D923" s="27" t="n"/>
      <c r="E923" s="27" t="n"/>
      <c r="F923" s="27" t="n"/>
      <c r="G923" s="16" t="inlineStr">
        <is>
          <t>全国基准价</t>
        </is>
      </c>
      <c r="H923" s="17" t="inlineStr">
        <is>
          <t>打开原文</t>
        </is>
      </c>
    </row>
    <row r="924">
      <c r="A924" s="18" t="n">
        <v>386</v>
      </c>
      <c r="B924" s="19" t="n">
        <v>45778</v>
      </c>
      <c r="C924" s="20" t="n">
        <v>1502.5</v>
      </c>
      <c r="D924" s="28" t="n"/>
      <c r="E924" s="28" t="n"/>
      <c r="F924" s="28" t="n"/>
      <c r="G924" s="22" t="inlineStr">
        <is>
          <t>全国基准价</t>
        </is>
      </c>
      <c r="H924" s="23" t="inlineStr">
        <is>
          <t>打开原文</t>
        </is>
      </c>
    </row>
    <row r="925">
      <c r="A925" s="12" t="n">
        <v>387</v>
      </c>
      <c r="B925" s="13" t="n">
        <v>45779</v>
      </c>
      <c r="C925" s="14" t="n">
        <v>1502.5</v>
      </c>
      <c r="D925" s="27" t="n"/>
      <c r="E925" s="27" t="n"/>
      <c r="F925" s="27" t="n"/>
      <c r="G925" s="16" t="inlineStr">
        <is>
          <t>全国基准价</t>
        </is>
      </c>
      <c r="H925" s="17" t="inlineStr">
        <is>
          <t>打开原文</t>
        </is>
      </c>
    </row>
    <row r="926">
      <c r="A926" s="18" t="n">
        <v>388</v>
      </c>
      <c r="B926" s="19" t="n">
        <v>45782</v>
      </c>
      <c r="C926" s="20" t="n">
        <v>1502.5</v>
      </c>
      <c r="D926" s="28" t="n"/>
      <c r="E926" s="28" t="n"/>
      <c r="F926" s="28" t="n"/>
      <c r="G926" s="22" t="inlineStr">
        <is>
          <t>全国基准价</t>
        </is>
      </c>
      <c r="H926" s="23" t="inlineStr">
        <is>
          <t>打开原文</t>
        </is>
      </c>
    </row>
    <row r="927">
      <c r="A927" s="12" t="n">
        <v>389</v>
      </c>
      <c r="B927" s="13" t="n">
        <v>45783</v>
      </c>
      <c r="C927" s="14" t="n">
        <v>1502.5</v>
      </c>
      <c r="D927" s="27" t="n"/>
      <c r="E927" s="27" t="n"/>
      <c r="F927" s="27" t="n"/>
      <c r="G927" s="16" t="inlineStr">
        <is>
          <t>全国基准价</t>
        </is>
      </c>
      <c r="H927" s="17" t="inlineStr">
        <is>
          <t>打开原文</t>
        </is>
      </c>
    </row>
    <row r="928">
      <c r="A928" s="18" t="n">
        <v>390</v>
      </c>
      <c r="B928" s="19" t="n">
        <v>45784</v>
      </c>
      <c r="C928" s="20" t="n">
        <v>1502.5</v>
      </c>
      <c r="D928" s="28" t="n"/>
      <c r="E928" s="28" t="n"/>
      <c r="F928" s="28" t="n"/>
      <c r="G928" s="22" t="inlineStr">
        <is>
          <t>全国基准价</t>
        </is>
      </c>
      <c r="H928" s="23" t="inlineStr">
        <is>
          <t>打开原文</t>
        </is>
      </c>
    </row>
    <row r="929">
      <c r="A929" s="12" t="n">
        <v>391</v>
      </c>
      <c r="B929" s="13" t="n">
        <v>45785</v>
      </c>
      <c r="C929" s="14" t="n">
        <v>1462.5</v>
      </c>
      <c r="D929" s="27" t="n"/>
      <c r="E929" s="27" t="n"/>
      <c r="F929" s="27" t="n"/>
      <c r="G929" s="16" t="inlineStr">
        <is>
          <t>全国基准价</t>
        </is>
      </c>
      <c r="H929" s="17" t="inlineStr">
        <is>
          <t>打开原文</t>
        </is>
      </c>
    </row>
    <row r="930">
      <c r="A930" s="18" t="n">
        <v>392</v>
      </c>
      <c r="B930" s="19" t="n">
        <v>45786</v>
      </c>
      <c r="C930" s="20" t="n">
        <v>1462.5</v>
      </c>
      <c r="D930" s="28" t="n"/>
      <c r="E930" s="28" t="n"/>
      <c r="F930" s="28" t="n"/>
      <c r="G930" s="22" t="inlineStr">
        <is>
          <t>全国基准价</t>
        </is>
      </c>
      <c r="H930" s="23" t="inlineStr">
        <is>
          <t>打开原文</t>
        </is>
      </c>
    </row>
    <row r="931">
      <c r="A931" s="12" t="n">
        <v>393</v>
      </c>
      <c r="B931" s="13" t="n">
        <v>45789</v>
      </c>
      <c r="C931" s="14" t="n">
        <v>1462.5</v>
      </c>
      <c r="D931" s="27" t="n"/>
      <c r="E931" s="27" t="n"/>
      <c r="F931" s="27" t="n"/>
      <c r="G931" s="16" t="inlineStr">
        <is>
          <t>全国基准价</t>
        </is>
      </c>
      <c r="H931" s="17" t="inlineStr">
        <is>
          <t>打开原文</t>
        </is>
      </c>
    </row>
    <row r="932">
      <c r="A932" s="18" t="n">
        <v>394</v>
      </c>
      <c r="B932" s="19" t="n">
        <v>45790</v>
      </c>
      <c r="C932" s="20" t="n">
        <v>1462.5</v>
      </c>
      <c r="D932" s="28" t="n"/>
      <c r="E932" s="28" t="n"/>
      <c r="F932" s="28" t="n"/>
      <c r="G932" s="22" t="inlineStr">
        <is>
          <t>全国基准价</t>
        </is>
      </c>
      <c r="H932" s="23" t="inlineStr">
        <is>
          <t>打开原文</t>
        </is>
      </c>
    </row>
    <row r="933">
      <c r="A933" s="12" t="n">
        <v>395</v>
      </c>
      <c r="B933" s="13" t="n">
        <v>45791</v>
      </c>
      <c r="C933" s="14" t="n">
        <v>1462.5</v>
      </c>
      <c r="D933" s="27" t="n"/>
      <c r="E933" s="27" t="n"/>
      <c r="F933" s="27" t="n"/>
      <c r="G933" s="16" t="inlineStr">
        <is>
          <t>全国基准价</t>
        </is>
      </c>
      <c r="H933" s="17" t="inlineStr">
        <is>
          <t>打开原文</t>
        </is>
      </c>
    </row>
    <row r="934">
      <c r="A934" s="18" t="n">
        <v>396</v>
      </c>
      <c r="B934" s="19" t="n">
        <v>45792</v>
      </c>
      <c r="C934" s="20" t="n">
        <v>1462.5</v>
      </c>
      <c r="D934" s="28" t="n"/>
      <c r="E934" s="28" t="n"/>
      <c r="F934" s="28" t="n"/>
      <c r="G934" s="22" t="inlineStr">
        <is>
          <t>全国基准价</t>
        </is>
      </c>
      <c r="H934" s="23" t="inlineStr">
        <is>
          <t>打开原文</t>
        </is>
      </c>
    </row>
    <row r="935">
      <c r="A935" s="12" t="n">
        <v>397</v>
      </c>
      <c r="B935" s="13" t="n">
        <v>45793</v>
      </c>
      <c r="C935" s="14" t="n">
        <v>1462.5</v>
      </c>
      <c r="D935" s="27" t="n"/>
      <c r="E935" s="27" t="n"/>
      <c r="F935" s="27" t="n"/>
      <c r="G935" s="16" t="inlineStr">
        <is>
          <t>全国基准价</t>
        </is>
      </c>
      <c r="H935" s="17" t="inlineStr">
        <is>
          <t>打开原文</t>
        </is>
      </c>
    </row>
    <row r="936">
      <c r="A936" s="18" t="n">
        <v>398</v>
      </c>
      <c r="B936" s="19" t="n">
        <v>45796</v>
      </c>
      <c r="C936" s="20" t="n">
        <v>1462.5</v>
      </c>
      <c r="D936" s="28" t="n"/>
      <c r="E936" s="28" t="n"/>
      <c r="F936" s="28" t="n"/>
      <c r="G936" s="22" t="inlineStr">
        <is>
          <t>全国基准价</t>
        </is>
      </c>
      <c r="H936" s="23" t="inlineStr">
        <is>
          <t>打开原文</t>
        </is>
      </c>
    </row>
    <row r="937">
      <c r="A937" s="12" t="n">
        <v>399</v>
      </c>
      <c r="B937" s="13" t="n">
        <v>45797</v>
      </c>
      <c r="C937" s="14" t="n">
        <v>1462.5</v>
      </c>
      <c r="D937" s="27" t="n"/>
      <c r="E937" s="27" t="n"/>
      <c r="F937" s="27" t="n"/>
      <c r="G937" s="16" t="inlineStr">
        <is>
          <t>全国基准价</t>
        </is>
      </c>
      <c r="H937" s="17" t="inlineStr">
        <is>
          <t>打开原文</t>
        </is>
      </c>
    </row>
    <row r="938">
      <c r="A938" s="18" t="n">
        <v>400</v>
      </c>
      <c r="B938" s="19" t="n">
        <v>45798</v>
      </c>
      <c r="C938" s="20" t="n">
        <v>1462.5</v>
      </c>
      <c r="D938" s="28" t="n"/>
      <c r="E938" s="28" t="n"/>
      <c r="F938" s="28" t="n"/>
      <c r="G938" s="22" t="inlineStr">
        <is>
          <t>全国基准价</t>
        </is>
      </c>
      <c r="H938" s="23" t="inlineStr">
        <is>
          <t>打开原文</t>
        </is>
      </c>
    </row>
    <row r="939">
      <c r="A939" s="12" t="n">
        <v>401</v>
      </c>
      <c r="B939" s="13" t="n">
        <v>45799</v>
      </c>
      <c r="C939" s="14" t="n">
        <v>1462.5</v>
      </c>
      <c r="D939" s="27" t="n"/>
      <c r="E939" s="27" t="n"/>
      <c r="F939" s="27" t="n"/>
      <c r="G939" s="16" t="inlineStr">
        <is>
          <t>全国基准价</t>
        </is>
      </c>
      <c r="H939" s="17" t="inlineStr">
        <is>
          <t>打开原文</t>
        </is>
      </c>
    </row>
    <row r="940">
      <c r="A940" s="18" t="n">
        <v>402</v>
      </c>
      <c r="B940" s="19" t="n">
        <v>45800</v>
      </c>
      <c r="C940" s="20" t="n">
        <v>1462.5</v>
      </c>
      <c r="D940" s="28" t="n"/>
      <c r="E940" s="28" t="n"/>
      <c r="F940" s="28" t="n"/>
      <c r="G940" s="22" t="inlineStr">
        <is>
          <t>全国基准价</t>
        </is>
      </c>
      <c r="H940" s="23" t="inlineStr">
        <is>
          <t>打开原文</t>
        </is>
      </c>
    </row>
    <row r="941">
      <c r="A941" s="12" t="n">
        <v>403</v>
      </c>
      <c r="B941" s="13" t="n">
        <v>45803</v>
      </c>
      <c r="C941" s="14" t="n">
        <v>1462.5</v>
      </c>
      <c r="D941" s="27" t="n"/>
      <c r="E941" s="27" t="n"/>
      <c r="F941" s="27" t="n"/>
      <c r="G941" s="16" t="inlineStr">
        <is>
          <t>全国基准价</t>
        </is>
      </c>
      <c r="H941" s="17" t="inlineStr">
        <is>
          <t>打开原文</t>
        </is>
      </c>
    </row>
    <row r="942">
      <c r="A942" s="18" t="n">
        <v>404</v>
      </c>
      <c r="B942" s="19" t="n">
        <v>45804</v>
      </c>
      <c r="C942" s="20" t="n">
        <v>1462.5</v>
      </c>
      <c r="D942" s="28" t="n"/>
      <c r="E942" s="28" t="n"/>
      <c r="F942" s="28" t="n"/>
      <c r="G942" s="22" t="inlineStr">
        <is>
          <t>全国基准价</t>
        </is>
      </c>
      <c r="H942" s="23" t="inlineStr">
        <is>
          <t>打开原文</t>
        </is>
      </c>
    </row>
    <row r="943">
      <c r="A943" s="12" t="n">
        <v>405</v>
      </c>
      <c r="B943" s="13" t="n">
        <v>45805</v>
      </c>
      <c r="C943" s="14" t="n">
        <v>1450</v>
      </c>
      <c r="D943" s="27" t="n"/>
      <c r="E943" s="27" t="n"/>
      <c r="F943" s="27" t="n"/>
      <c r="G943" s="16" t="inlineStr">
        <is>
          <t>全国基准价</t>
        </is>
      </c>
      <c r="H943" s="17" t="inlineStr">
        <is>
          <t>打开原文</t>
        </is>
      </c>
    </row>
    <row r="944">
      <c r="A944" s="18" t="n">
        <v>406</v>
      </c>
      <c r="B944" s="19" t="n">
        <v>45806</v>
      </c>
      <c r="C944" s="20" t="n">
        <v>1450</v>
      </c>
      <c r="D944" s="28" t="n"/>
      <c r="E944" s="28" t="n"/>
      <c r="F944" s="28" t="n"/>
      <c r="G944" s="22" t="inlineStr">
        <is>
          <t>全国基准价</t>
        </is>
      </c>
      <c r="H944" s="23" t="inlineStr">
        <is>
          <t>打开原文</t>
        </is>
      </c>
    </row>
    <row r="945">
      <c r="A945" s="12" t="n">
        <v>407</v>
      </c>
      <c r="B945" s="13" t="n">
        <v>45807</v>
      </c>
      <c r="C945" s="14" t="n">
        <v>1450</v>
      </c>
      <c r="D945" s="27" t="n"/>
      <c r="E945" s="27" t="n"/>
      <c r="F945" s="27" t="n"/>
      <c r="G945" s="16" t="inlineStr">
        <is>
          <t>全国基准价</t>
        </is>
      </c>
      <c r="H945" s="17" t="inlineStr">
        <is>
          <t>打开原文</t>
        </is>
      </c>
    </row>
    <row r="946">
      <c r="A946" s="18" t="n">
        <v>408</v>
      </c>
      <c r="B946" s="19" t="n">
        <v>45810</v>
      </c>
      <c r="C946" s="20" t="n">
        <v>1450</v>
      </c>
      <c r="D946" s="28" t="n"/>
      <c r="E946" s="28" t="n"/>
      <c r="F946" s="28" t="n"/>
      <c r="G946" s="22" t="inlineStr">
        <is>
          <t>全国基准价</t>
        </is>
      </c>
      <c r="H946" s="23" t="inlineStr">
        <is>
          <t>打开原文</t>
        </is>
      </c>
    </row>
    <row r="947">
      <c r="A947" s="12" t="n">
        <v>409</v>
      </c>
      <c r="B947" s="13" t="n">
        <v>45811</v>
      </c>
      <c r="C947" s="14" t="n">
        <v>1450</v>
      </c>
      <c r="D947" s="27" t="n"/>
      <c r="E947" s="27" t="n"/>
      <c r="F947" s="27" t="n"/>
      <c r="G947" s="16" t="inlineStr">
        <is>
          <t>全国基准价</t>
        </is>
      </c>
      <c r="H947" s="17" t="inlineStr">
        <is>
          <t>打开原文</t>
        </is>
      </c>
    </row>
    <row r="948">
      <c r="A948" s="18" t="n">
        <v>410</v>
      </c>
      <c r="B948" s="19" t="n">
        <v>45812</v>
      </c>
      <c r="C948" s="20" t="n">
        <v>1430</v>
      </c>
      <c r="D948" s="28" t="n"/>
      <c r="E948" s="28" t="n"/>
      <c r="F948" s="28" t="n"/>
      <c r="G948" s="22" t="inlineStr">
        <is>
          <t>全国基准价</t>
        </is>
      </c>
      <c r="H948" s="23" t="inlineStr">
        <is>
          <t>打开原文</t>
        </is>
      </c>
    </row>
    <row r="949">
      <c r="A949" s="12" t="n">
        <v>411</v>
      </c>
      <c r="B949" s="13" t="n">
        <v>45813</v>
      </c>
      <c r="C949" s="14" t="n">
        <v>1375</v>
      </c>
      <c r="D949" s="27" t="n"/>
      <c r="E949" s="27" t="n"/>
      <c r="F949" s="27" t="n"/>
      <c r="G949" s="16" t="inlineStr">
        <is>
          <t>全国基准价</t>
        </is>
      </c>
      <c r="H949" s="17" t="inlineStr">
        <is>
          <t>打开原文</t>
        </is>
      </c>
    </row>
    <row r="950">
      <c r="A950" s="18" t="n">
        <v>412</v>
      </c>
      <c r="B950" s="19" t="n">
        <v>45814</v>
      </c>
      <c r="C950" s="20" t="n">
        <v>1375</v>
      </c>
      <c r="D950" s="28" t="n"/>
      <c r="E950" s="28" t="n"/>
      <c r="F950" s="28" t="n"/>
      <c r="G950" s="22" t="inlineStr">
        <is>
          <t>全国基准价</t>
        </is>
      </c>
      <c r="H950" s="23" t="inlineStr">
        <is>
          <t>打开原文</t>
        </is>
      </c>
    </row>
    <row r="951">
      <c r="A951" s="12" t="n">
        <v>413</v>
      </c>
      <c r="B951" s="13" t="n">
        <v>45817</v>
      </c>
      <c r="C951" s="14" t="n">
        <v>1375</v>
      </c>
      <c r="D951" s="27" t="n"/>
      <c r="E951" s="27" t="n"/>
      <c r="F951" s="27" t="n"/>
      <c r="G951" s="16" t="inlineStr">
        <is>
          <t>全国基准价</t>
        </is>
      </c>
      <c r="H951" s="17" t="inlineStr">
        <is>
          <t>打开原文</t>
        </is>
      </c>
    </row>
    <row r="952">
      <c r="A952" s="18" t="n">
        <v>414</v>
      </c>
      <c r="B952" s="19" t="n">
        <v>45818</v>
      </c>
      <c r="C952" s="20" t="n">
        <v>1370</v>
      </c>
      <c r="D952" s="28" t="n"/>
      <c r="E952" s="28" t="n"/>
      <c r="F952" s="28" t="n"/>
      <c r="G952" s="22" t="inlineStr">
        <is>
          <t>全国基准价</t>
        </is>
      </c>
      <c r="H952" s="23" t="inlineStr">
        <is>
          <t>打开原文</t>
        </is>
      </c>
    </row>
    <row r="953">
      <c r="A953" s="12" t="n">
        <v>415</v>
      </c>
      <c r="B953" s="13" t="n">
        <v>45819</v>
      </c>
      <c r="C953" s="14" t="n">
        <v>1370</v>
      </c>
      <c r="D953" s="27" t="n"/>
      <c r="E953" s="27" t="n"/>
      <c r="F953" s="27" t="n"/>
      <c r="G953" s="16" t="inlineStr">
        <is>
          <t>全国基准价</t>
        </is>
      </c>
      <c r="H953" s="17" t="inlineStr">
        <is>
          <t>打开原文</t>
        </is>
      </c>
    </row>
    <row r="954">
      <c r="A954" s="18" t="n">
        <v>416</v>
      </c>
      <c r="B954" s="19" t="n">
        <v>45820</v>
      </c>
      <c r="C954" s="20" t="n">
        <v>1370</v>
      </c>
      <c r="D954" s="28" t="n"/>
      <c r="E954" s="28" t="n"/>
      <c r="F954" s="28" t="n"/>
      <c r="G954" s="22" t="inlineStr">
        <is>
          <t>全国基准价</t>
        </is>
      </c>
      <c r="H954" s="23" t="inlineStr">
        <is>
          <t>打开原文</t>
        </is>
      </c>
    </row>
    <row r="955">
      <c r="A955" s="12" t="n">
        <v>417</v>
      </c>
      <c r="B955" s="13" t="n">
        <v>45821</v>
      </c>
      <c r="C955" s="14" t="n">
        <v>1370</v>
      </c>
      <c r="D955" s="27" t="n"/>
      <c r="E955" s="27" t="n"/>
      <c r="F955" s="27" t="n"/>
      <c r="G955" s="16" t="inlineStr">
        <is>
          <t>全国基准价</t>
        </is>
      </c>
      <c r="H955" s="17" t="inlineStr">
        <is>
          <t>打开原文</t>
        </is>
      </c>
    </row>
    <row r="956">
      <c r="A956" s="18" t="n">
        <v>418</v>
      </c>
      <c r="B956" s="19" t="n">
        <v>45824</v>
      </c>
      <c r="C956" s="20" t="n">
        <v>1370</v>
      </c>
      <c r="D956" s="28" t="n"/>
      <c r="E956" s="28" t="n"/>
      <c r="F956" s="28" t="n"/>
      <c r="G956" s="22" t="inlineStr">
        <is>
          <t>全国基准价</t>
        </is>
      </c>
      <c r="H956" s="23" t="inlineStr">
        <is>
          <t>打开原文</t>
        </is>
      </c>
    </row>
    <row r="957">
      <c r="A957" s="12" t="n">
        <v>419</v>
      </c>
      <c r="B957" s="13" t="n">
        <v>45825</v>
      </c>
      <c r="C957" s="14" t="n">
        <v>1370</v>
      </c>
      <c r="D957" s="27" t="n"/>
      <c r="E957" s="27" t="n"/>
      <c r="F957" s="27" t="n"/>
      <c r="G957" s="16" t="inlineStr">
        <is>
          <t>全国基准价</t>
        </is>
      </c>
      <c r="H957" s="17" t="inlineStr">
        <is>
          <t>打开原文</t>
        </is>
      </c>
    </row>
    <row r="958">
      <c r="A958" s="18" t="n">
        <v>420</v>
      </c>
      <c r="B958" s="19" t="n">
        <v>45826</v>
      </c>
      <c r="C958" s="20" t="n">
        <v>1370</v>
      </c>
      <c r="D958" s="28" t="n"/>
      <c r="E958" s="28" t="n"/>
      <c r="F958" s="28" t="n"/>
      <c r="G958" s="22" t="inlineStr">
        <is>
          <t>全国基准价</t>
        </is>
      </c>
      <c r="H958" s="23" t="inlineStr">
        <is>
          <t>打开原文</t>
        </is>
      </c>
    </row>
    <row r="959">
      <c r="A959" s="12" t="n">
        <v>421</v>
      </c>
      <c r="B959" s="13" t="n">
        <v>45827</v>
      </c>
      <c r="C959" s="14" t="n">
        <v>1370</v>
      </c>
      <c r="D959" s="27" t="n"/>
      <c r="E959" s="27" t="n"/>
      <c r="F959" s="27" t="n"/>
      <c r="G959" s="16" t="inlineStr">
        <is>
          <t>全国基准价</t>
        </is>
      </c>
      <c r="H959" s="17" t="inlineStr">
        <is>
          <t>打开原文</t>
        </is>
      </c>
    </row>
    <row r="960">
      <c r="A960" s="18" t="n">
        <v>422</v>
      </c>
      <c r="B960" s="19" t="n">
        <v>45828</v>
      </c>
      <c r="C960" s="20" t="n">
        <v>1370</v>
      </c>
      <c r="D960" s="28" t="n"/>
      <c r="E960" s="28" t="n"/>
      <c r="F960" s="28" t="n"/>
      <c r="G960" s="22" t="inlineStr">
        <is>
          <t>全国基准价</t>
        </is>
      </c>
      <c r="H960" s="23" t="inlineStr">
        <is>
          <t>打开原文</t>
        </is>
      </c>
    </row>
    <row r="961">
      <c r="A961" s="12" t="n">
        <v>423</v>
      </c>
      <c r="B961" s="13" t="n">
        <v>45831</v>
      </c>
      <c r="C961" s="14" t="n">
        <v>1370</v>
      </c>
      <c r="D961" s="27" t="n"/>
      <c r="E961" s="27" t="n"/>
      <c r="F961" s="27" t="n"/>
      <c r="G961" s="16" t="inlineStr">
        <is>
          <t>全国基准价</t>
        </is>
      </c>
      <c r="H961" s="17" t="inlineStr">
        <is>
          <t>打开原文</t>
        </is>
      </c>
    </row>
    <row r="962">
      <c r="A962" s="18" t="n">
        <v>424</v>
      </c>
      <c r="B962" s="19" t="n">
        <v>45832</v>
      </c>
      <c r="C962" s="20" t="n">
        <v>1350</v>
      </c>
      <c r="D962" s="28" t="n"/>
      <c r="E962" s="28" t="n"/>
      <c r="F962" s="28" t="n"/>
      <c r="G962" s="22" t="inlineStr">
        <is>
          <t>全国基准价</t>
        </is>
      </c>
      <c r="H962" s="23" t="inlineStr">
        <is>
          <t>打开原文</t>
        </is>
      </c>
    </row>
    <row r="963">
      <c r="A963" s="12" t="n">
        <v>425</v>
      </c>
      <c r="B963" s="13" t="n">
        <v>45833</v>
      </c>
      <c r="C963" s="14" t="n">
        <v>1350</v>
      </c>
      <c r="D963" s="27" t="n"/>
      <c r="E963" s="27" t="n"/>
      <c r="F963" s="27" t="n"/>
      <c r="G963" s="16" t="inlineStr">
        <is>
          <t>全国基准价</t>
        </is>
      </c>
      <c r="H963" s="17" t="inlineStr">
        <is>
          <t>打开原文</t>
        </is>
      </c>
    </row>
    <row r="964">
      <c r="A964" s="18" t="n">
        <v>426</v>
      </c>
      <c r="B964" s="19" t="n">
        <v>45834</v>
      </c>
      <c r="C964" s="20" t="n">
        <v>1337.5</v>
      </c>
      <c r="D964" s="28" t="n"/>
      <c r="E964" s="28" t="n"/>
      <c r="F964" s="28" t="n"/>
      <c r="G964" s="22" t="inlineStr">
        <is>
          <t>全国基准价</t>
        </is>
      </c>
      <c r="H964" s="23" t="inlineStr">
        <is>
          <t>打开原文</t>
        </is>
      </c>
    </row>
    <row r="965">
      <c r="A965" s="12" t="n">
        <v>427</v>
      </c>
      <c r="B965" s="13" t="n">
        <v>45835</v>
      </c>
      <c r="C965" s="14" t="n">
        <v>1337.5</v>
      </c>
      <c r="D965" s="27" t="n"/>
      <c r="E965" s="27" t="n"/>
      <c r="F965" s="27" t="n"/>
      <c r="G965" s="16" t="inlineStr">
        <is>
          <t>全国基准价</t>
        </is>
      </c>
      <c r="H965" s="17" t="inlineStr">
        <is>
          <t>打开原文</t>
        </is>
      </c>
    </row>
    <row r="966">
      <c r="A966" s="18" t="n">
        <v>428</v>
      </c>
      <c r="B966" s="19" t="n">
        <v>45838</v>
      </c>
      <c r="C966" s="20" t="n">
        <v>1337.5</v>
      </c>
      <c r="D966" s="28" t="n"/>
      <c r="E966" s="28" t="n"/>
      <c r="F966" s="28" t="n"/>
      <c r="G966" s="22" t="inlineStr">
        <is>
          <t>全国基准价</t>
        </is>
      </c>
      <c r="H966" s="23" t="inlineStr">
        <is>
          <t>打开原文</t>
        </is>
      </c>
    </row>
    <row r="967">
      <c r="A967" s="12" t="n">
        <v>429</v>
      </c>
      <c r="B967" s="13" t="n">
        <v>45839</v>
      </c>
      <c r="C967" s="14" t="n">
        <v>1325</v>
      </c>
      <c r="D967" s="27" t="n"/>
      <c r="E967" s="27" t="n"/>
      <c r="F967" s="27" t="n"/>
      <c r="G967" s="16" t="inlineStr">
        <is>
          <t>全国基准价</t>
        </is>
      </c>
      <c r="H967" s="17" t="inlineStr">
        <is>
          <t>打开原文</t>
        </is>
      </c>
    </row>
    <row r="968">
      <c r="A968" s="18" t="n">
        <v>430</v>
      </c>
      <c r="B968" s="19" t="n">
        <v>45840</v>
      </c>
      <c r="C968" s="20" t="n">
        <v>1325</v>
      </c>
      <c r="D968" s="28" t="n"/>
      <c r="E968" s="28" t="n"/>
      <c r="F968" s="28" t="n"/>
      <c r="G968" s="22" t="inlineStr">
        <is>
          <t>全国基准价</t>
        </is>
      </c>
      <c r="H968" s="23" t="inlineStr">
        <is>
          <t>打开原文</t>
        </is>
      </c>
    </row>
    <row r="969">
      <c r="A969" s="12" t="n">
        <v>431</v>
      </c>
      <c r="B969" s="13" t="n">
        <v>45841</v>
      </c>
      <c r="C969" s="14" t="n">
        <v>1252.5</v>
      </c>
      <c r="D969" s="27" t="n"/>
      <c r="E969" s="27" t="n"/>
      <c r="F969" s="27" t="n"/>
      <c r="G969" s="16" t="inlineStr">
        <is>
          <t>全国基准价</t>
        </is>
      </c>
      <c r="H969" s="17" t="inlineStr">
        <is>
          <t>打开原文</t>
        </is>
      </c>
    </row>
    <row r="970">
      <c r="A970" s="18" t="n">
        <v>432</v>
      </c>
      <c r="B970" s="19" t="n">
        <v>45842</v>
      </c>
      <c r="C970" s="20" t="n">
        <v>1252.5</v>
      </c>
      <c r="D970" s="28" t="n"/>
      <c r="E970" s="28" t="n"/>
      <c r="F970" s="28" t="n"/>
      <c r="G970" s="22" t="inlineStr">
        <is>
          <t>全国基准价</t>
        </is>
      </c>
      <c r="H970" s="23" t="inlineStr">
        <is>
          <t>打开原文</t>
        </is>
      </c>
    </row>
    <row r="971">
      <c r="A971" s="12" t="n">
        <v>433</v>
      </c>
      <c r="B971" s="13" t="n">
        <v>45845</v>
      </c>
      <c r="C971" s="14" t="n">
        <v>1252.5</v>
      </c>
      <c r="D971" s="27" t="n"/>
      <c r="E971" s="27" t="n"/>
      <c r="F971" s="27" t="n"/>
      <c r="G971" s="16" t="inlineStr">
        <is>
          <t>全国基准价</t>
        </is>
      </c>
      <c r="H971" s="17" t="inlineStr">
        <is>
          <t>打开原文</t>
        </is>
      </c>
    </row>
    <row r="972">
      <c r="A972" s="18" t="n">
        <v>434</v>
      </c>
      <c r="B972" s="19" t="n">
        <v>45846</v>
      </c>
      <c r="C972" s="20" t="n">
        <v>1252.5</v>
      </c>
      <c r="D972" s="28" t="n"/>
      <c r="E972" s="28" t="n"/>
      <c r="F972" s="28" t="n"/>
      <c r="G972" s="22" t="inlineStr">
        <is>
          <t>全国基准价</t>
        </is>
      </c>
      <c r="H972" s="23" t="inlineStr">
        <is>
          <t>打开原文</t>
        </is>
      </c>
    </row>
    <row r="973">
      <c r="A973" s="12" t="n">
        <v>435</v>
      </c>
      <c r="B973" s="13" t="n">
        <v>45847</v>
      </c>
      <c r="C973" s="14" t="n">
        <v>1252.5</v>
      </c>
      <c r="D973" s="27" t="n"/>
      <c r="E973" s="27" t="n"/>
      <c r="F973" s="27" t="n"/>
      <c r="G973" s="16" t="inlineStr">
        <is>
          <t>全国基准价</t>
        </is>
      </c>
      <c r="H973" s="17" t="inlineStr">
        <is>
          <t>打开原文</t>
        </is>
      </c>
    </row>
    <row r="974">
      <c r="A974" s="18" t="n">
        <v>436</v>
      </c>
      <c r="B974" s="19" t="n">
        <v>45848</v>
      </c>
      <c r="C974" s="20" t="n">
        <v>1247.5</v>
      </c>
      <c r="D974" s="28" t="n"/>
      <c r="E974" s="28" t="n"/>
      <c r="F974" s="28" t="n"/>
      <c r="G974" s="22" t="inlineStr">
        <is>
          <t>全国基准价</t>
        </is>
      </c>
      <c r="H974" s="23" t="inlineStr">
        <is>
          <t>打开原文</t>
        </is>
      </c>
    </row>
    <row r="975">
      <c r="A975" s="12" t="n">
        <v>437</v>
      </c>
      <c r="B975" s="13" t="n">
        <v>45849</v>
      </c>
      <c r="C975" s="14" t="n">
        <v>1247.5</v>
      </c>
      <c r="D975" s="27" t="n"/>
      <c r="E975" s="27" t="n"/>
      <c r="F975" s="27" t="n"/>
      <c r="G975" s="16" t="inlineStr">
        <is>
          <t>全国基准价</t>
        </is>
      </c>
      <c r="H975" s="17" t="inlineStr">
        <is>
          <t>打开原文</t>
        </is>
      </c>
    </row>
    <row r="976">
      <c r="A976" s="18" t="n">
        <v>438</v>
      </c>
      <c r="B976" s="19" t="n">
        <v>45852</v>
      </c>
      <c r="C976" s="20" t="n">
        <v>1247.5</v>
      </c>
      <c r="D976" s="28" t="n"/>
      <c r="E976" s="28" t="n"/>
      <c r="F976" s="28" t="n"/>
      <c r="G976" s="22" t="inlineStr">
        <is>
          <t>全国基准价</t>
        </is>
      </c>
      <c r="H976" s="23" t="inlineStr">
        <is>
          <t>打开原文</t>
        </is>
      </c>
    </row>
    <row r="977">
      <c r="A977" s="12" t="n">
        <v>439</v>
      </c>
      <c r="B977" s="13" t="n">
        <v>45853</v>
      </c>
      <c r="C977" s="14" t="n">
        <v>1247.5</v>
      </c>
      <c r="D977" s="27" t="n"/>
      <c r="E977" s="27" t="n"/>
      <c r="F977" s="27" t="n"/>
      <c r="G977" s="16" t="inlineStr">
        <is>
          <t>全国基准价</t>
        </is>
      </c>
      <c r="H977" s="17" t="inlineStr">
        <is>
          <t>打开原文</t>
        </is>
      </c>
    </row>
    <row r="978">
      <c r="A978" s="18" t="n">
        <v>440</v>
      </c>
      <c r="B978" s="19" t="n">
        <v>45854</v>
      </c>
      <c r="C978" s="20" t="n">
        <v>1247.5</v>
      </c>
      <c r="D978" s="28" t="n"/>
      <c r="E978" s="28" t="n"/>
      <c r="F978" s="28" t="n"/>
      <c r="G978" s="22" t="inlineStr">
        <is>
          <t>全国基准价</t>
        </is>
      </c>
      <c r="H978" s="23" t="inlineStr">
        <is>
          <t>打开原文</t>
        </is>
      </c>
    </row>
    <row r="979">
      <c r="A979" s="12" t="n">
        <v>441</v>
      </c>
      <c r="B979" s="13" t="n">
        <v>45855</v>
      </c>
      <c r="C979" s="14" t="n">
        <v>1247.5</v>
      </c>
      <c r="D979" s="27" t="n"/>
      <c r="E979" s="27" t="n"/>
      <c r="F979" s="27" t="n"/>
      <c r="G979" s="16" t="inlineStr">
        <is>
          <t>全国基准价</t>
        </is>
      </c>
      <c r="H979" s="17" t="inlineStr">
        <is>
          <t>打开原文</t>
        </is>
      </c>
    </row>
    <row r="980">
      <c r="A980" s="18" t="n">
        <v>442</v>
      </c>
      <c r="B980" s="19" t="n">
        <v>45856</v>
      </c>
      <c r="C980" s="20" t="n">
        <v>1250</v>
      </c>
      <c r="D980" s="28" t="n"/>
      <c r="E980" s="28" t="n"/>
      <c r="F980" s="28" t="n"/>
      <c r="G980" s="22" t="inlineStr">
        <is>
          <t>全国基准价</t>
        </is>
      </c>
      <c r="H980" s="23" t="inlineStr">
        <is>
          <t>打开原文</t>
        </is>
      </c>
    </row>
    <row r="981">
      <c r="A981" s="12" t="n">
        <v>443</v>
      </c>
      <c r="B981" s="13" t="n">
        <v>45859</v>
      </c>
      <c r="C981" s="14" t="n">
        <v>1250</v>
      </c>
      <c r="D981" s="27" t="n"/>
      <c r="E981" s="27" t="n"/>
      <c r="F981" s="27" t="n"/>
      <c r="G981" s="16" t="inlineStr">
        <is>
          <t>全国基准价</t>
        </is>
      </c>
      <c r="H981" s="17" t="inlineStr">
        <is>
          <t>打开原文</t>
        </is>
      </c>
    </row>
    <row r="982">
      <c r="A982" s="18" t="n">
        <v>444</v>
      </c>
      <c r="B982" s="19" t="n">
        <v>45860</v>
      </c>
      <c r="C982" s="20" t="n">
        <v>1250</v>
      </c>
      <c r="D982" s="28" t="n"/>
      <c r="E982" s="28" t="n"/>
      <c r="F982" s="28" t="n"/>
      <c r="G982" s="22" t="inlineStr">
        <is>
          <t>全国基准价</t>
        </is>
      </c>
      <c r="H982" s="23" t="inlineStr">
        <is>
          <t>打开原文</t>
        </is>
      </c>
    </row>
    <row r="983">
      <c r="A983" s="12" t="n">
        <v>445</v>
      </c>
      <c r="B983" s="13" t="n">
        <v>45861</v>
      </c>
      <c r="C983" s="14" t="n">
        <v>1250</v>
      </c>
      <c r="D983" s="27" t="n"/>
      <c r="E983" s="27" t="n"/>
      <c r="F983" s="27" t="n"/>
      <c r="G983" s="16" t="inlineStr">
        <is>
          <t>全国基准价</t>
        </is>
      </c>
      <c r="H983" s="17" t="inlineStr">
        <is>
          <t>打开原文</t>
        </is>
      </c>
    </row>
    <row r="984">
      <c r="A984" s="18" t="n">
        <v>446</v>
      </c>
      <c r="B984" s="19" t="n">
        <v>45862</v>
      </c>
      <c r="C984" s="20" t="n">
        <v>1270</v>
      </c>
      <c r="D984" s="28" t="n"/>
      <c r="E984" s="28" t="n"/>
      <c r="F984" s="28" t="n"/>
      <c r="G984" s="22" t="inlineStr">
        <is>
          <t>全国基准价</t>
        </is>
      </c>
      <c r="H984" s="23" t="inlineStr">
        <is>
          <t>打开原文</t>
        </is>
      </c>
    </row>
    <row r="985">
      <c r="A985" s="12" t="n">
        <v>447</v>
      </c>
      <c r="B985" s="13" t="n">
        <v>45863</v>
      </c>
      <c r="C985" s="14" t="n">
        <v>1272.5</v>
      </c>
      <c r="D985" s="27" t="n"/>
      <c r="E985" s="27" t="n"/>
      <c r="F985" s="27" t="n"/>
      <c r="G985" s="16" t="inlineStr">
        <is>
          <t>全国基准价</t>
        </is>
      </c>
      <c r="H985" s="17" t="inlineStr">
        <is>
          <t>打开原文</t>
        </is>
      </c>
    </row>
    <row r="986">
      <c r="A986" s="18" t="n">
        <v>448</v>
      </c>
      <c r="B986" s="19" t="n">
        <v>45866</v>
      </c>
      <c r="C986" s="20" t="n">
        <v>1315</v>
      </c>
      <c r="D986" s="28" t="n"/>
      <c r="E986" s="28" t="n"/>
      <c r="F986" s="28" t="n"/>
      <c r="G986" s="22" t="inlineStr">
        <is>
          <t>全国基准价</t>
        </is>
      </c>
      <c r="H986" s="23" t="inlineStr">
        <is>
          <t>打开原文</t>
        </is>
      </c>
    </row>
    <row r="987">
      <c r="A987" s="12" t="n">
        <v>449</v>
      </c>
      <c r="B987" s="13" t="n">
        <v>45867</v>
      </c>
      <c r="C987" s="14" t="n">
        <v>1315</v>
      </c>
      <c r="D987" s="27" t="n"/>
      <c r="E987" s="27" t="n"/>
      <c r="F987" s="27" t="n"/>
      <c r="G987" s="16" t="inlineStr">
        <is>
          <t>全国基准价</t>
        </is>
      </c>
      <c r="H987" s="17" t="inlineStr">
        <is>
          <t>打开原文</t>
        </is>
      </c>
    </row>
    <row r="988">
      <c r="A988" s="18" t="n">
        <v>450</v>
      </c>
      <c r="B988" s="19" t="n">
        <v>45868</v>
      </c>
      <c r="C988" s="20" t="n">
        <v>1315</v>
      </c>
      <c r="D988" s="28" t="n"/>
      <c r="E988" s="28" t="n"/>
      <c r="F988" s="28" t="n"/>
      <c r="G988" s="22" t="inlineStr">
        <is>
          <t>全国基准价</t>
        </is>
      </c>
      <c r="H988" s="23" t="inlineStr">
        <is>
          <t>打开原文</t>
        </is>
      </c>
    </row>
    <row r="989">
      <c r="A989" s="12" t="n">
        <v>451</v>
      </c>
      <c r="B989" s="13" t="n">
        <v>45869</v>
      </c>
      <c r="C989" s="14" t="n">
        <v>1315</v>
      </c>
      <c r="D989" s="27" t="n"/>
      <c r="E989" s="27" t="n"/>
      <c r="F989" s="27" t="n"/>
      <c r="G989" s="16" t="inlineStr">
        <is>
          <t>全国基准价</t>
        </is>
      </c>
      <c r="H989" s="17" t="inlineStr">
        <is>
          <t>打开原文</t>
        </is>
      </c>
    </row>
    <row r="990">
      <c r="A990" s="18" t="n">
        <v>452</v>
      </c>
      <c r="B990" s="19" t="n">
        <v>45870</v>
      </c>
      <c r="C990" s="20" t="n">
        <v>1315</v>
      </c>
      <c r="D990" s="28" t="n"/>
      <c r="E990" s="28" t="n"/>
      <c r="F990" s="28" t="n"/>
      <c r="G990" s="22" t="inlineStr">
        <is>
          <t>全国基准价</t>
        </is>
      </c>
      <c r="H990" s="23" t="inlineStr">
        <is>
          <t>打开原文</t>
        </is>
      </c>
    </row>
    <row r="991">
      <c r="A991" s="12" t="n">
        <v>453</v>
      </c>
      <c r="B991" s="13" t="n">
        <v>45873</v>
      </c>
      <c r="C991" s="14" t="n">
        <v>1315</v>
      </c>
      <c r="D991" s="27" t="n"/>
      <c r="E991" s="27" t="n"/>
      <c r="F991" s="27" t="n"/>
      <c r="G991" s="16" t="inlineStr">
        <is>
          <t>全国基准价</t>
        </is>
      </c>
      <c r="H991" s="17" t="inlineStr">
        <is>
          <t>打开原文</t>
        </is>
      </c>
    </row>
    <row r="992">
      <c r="A992" s="18" t="n">
        <v>454</v>
      </c>
      <c r="B992" s="19" t="n">
        <v>45874</v>
      </c>
      <c r="C992" s="20" t="n">
        <v>1315</v>
      </c>
      <c r="D992" s="28" t="n"/>
      <c r="E992" s="28" t="n"/>
      <c r="F992" s="28" t="n"/>
      <c r="G992" s="22" t="inlineStr">
        <is>
          <t>全国基准价</t>
        </is>
      </c>
      <c r="H992" s="23" t="inlineStr">
        <is>
          <t>打开原文</t>
        </is>
      </c>
    </row>
    <row r="993">
      <c r="A993" s="12" t="n">
        <v>455</v>
      </c>
      <c r="B993" s="13" t="n">
        <v>45875</v>
      </c>
      <c r="C993" s="14" t="n">
        <v>1315</v>
      </c>
      <c r="D993" s="27" t="n"/>
      <c r="E993" s="27" t="n"/>
      <c r="F993" s="27" t="n"/>
      <c r="G993" s="16" t="inlineStr">
        <is>
          <t>全国基准价</t>
        </is>
      </c>
      <c r="H993" s="17" t="inlineStr">
        <is>
          <t>打开原文</t>
        </is>
      </c>
    </row>
    <row r="994">
      <c r="A994" s="18" t="n">
        <v>456</v>
      </c>
      <c r="B994" s="19" t="n">
        <v>45876</v>
      </c>
      <c r="C994" s="20" t="n">
        <v>1302.5</v>
      </c>
      <c r="D994" s="28" t="n"/>
      <c r="E994" s="28" t="n"/>
      <c r="F994" s="28" t="n"/>
      <c r="G994" s="22" t="inlineStr">
        <is>
          <t>全国基准价</t>
        </is>
      </c>
      <c r="H994" s="23" t="inlineStr">
        <is>
          <t>打开原文</t>
        </is>
      </c>
    </row>
    <row r="995">
      <c r="A995" s="12" t="n">
        <v>457</v>
      </c>
      <c r="B995" s="13" t="n">
        <v>45877</v>
      </c>
      <c r="C995" s="14" t="n">
        <v>1302.5</v>
      </c>
      <c r="D995" s="27" t="n"/>
      <c r="E995" s="27" t="n"/>
      <c r="F995" s="27" t="n"/>
      <c r="G995" s="16" t="inlineStr">
        <is>
          <t>全国基准价</t>
        </is>
      </c>
      <c r="H995" s="17" t="inlineStr">
        <is>
          <t>打开原文</t>
        </is>
      </c>
    </row>
    <row r="996">
      <c r="A996" s="18" t="n">
        <v>458</v>
      </c>
      <c r="B996" s="19" t="n">
        <v>45880</v>
      </c>
      <c r="C996" s="20" t="n">
        <v>1302.5</v>
      </c>
      <c r="D996" s="28" t="n"/>
      <c r="E996" s="28" t="n"/>
      <c r="F996" s="28" t="n"/>
      <c r="G996" s="22" t="inlineStr">
        <is>
          <t>全国基准价</t>
        </is>
      </c>
      <c r="H996" s="23" t="inlineStr">
        <is>
          <t>打开原文</t>
        </is>
      </c>
    </row>
    <row r="997">
      <c r="A997" s="12" t="n">
        <v>459</v>
      </c>
      <c r="B997" s="13" t="n">
        <v>45881</v>
      </c>
      <c r="C997" s="14" t="n">
        <v>1302.5</v>
      </c>
      <c r="D997" s="27" t="n"/>
      <c r="E997" s="27" t="n"/>
      <c r="F997" s="27" t="n"/>
      <c r="G997" s="16" t="inlineStr">
        <is>
          <t>全国基准价</t>
        </is>
      </c>
      <c r="H997" s="17" t="inlineStr">
        <is>
          <t>打开原文</t>
        </is>
      </c>
    </row>
    <row r="998">
      <c r="A998" s="18" t="n">
        <v>460</v>
      </c>
      <c r="B998" s="19" t="n">
        <v>45882</v>
      </c>
      <c r="C998" s="20" t="n">
        <v>1302.5</v>
      </c>
      <c r="D998" s="28" t="n"/>
      <c r="E998" s="28" t="n"/>
      <c r="F998" s="28" t="n"/>
      <c r="G998" s="22" t="inlineStr">
        <is>
          <t>全国基准价</t>
        </is>
      </c>
      <c r="H998" s="23" t="inlineStr">
        <is>
          <t>打开原文</t>
        </is>
      </c>
    </row>
    <row r="999">
      <c r="A999" s="12" t="n">
        <v>461</v>
      </c>
      <c r="B999" s="13" t="n">
        <v>45883</v>
      </c>
      <c r="C999" s="14" t="n">
        <v>1302.5</v>
      </c>
      <c r="D999" s="27" t="n"/>
      <c r="E999" s="27" t="n"/>
      <c r="F999" s="27" t="n"/>
      <c r="G999" s="16" t="inlineStr">
        <is>
          <t>全国基准价</t>
        </is>
      </c>
      <c r="H999" s="17" t="inlineStr">
        <is>
          <t>打开原文</t>
        </is>
      </c>
    </row>
    <row r="1000">
      <c r="A1000" s="18" t="n">
        <v>462</v>
      </c>
      <c r="B1000" s="19" t="n">
        <v>45884</v>
      </c>
      <c r="C1000" s="20" t="n">
        <v>1290</v>
      </c>
      <c r="D1000" s="28" t="n"/>
      <c r="E1000" s="28" t="n"/>
      <c r="F1000" s="28" t="n"/>
      <c r="G1000" s="22" t="inlineStr">
        <is>
          <t>全国基准价</t>
        </is>
      </c>
      <c r="H1000" s="23" t="inlineStr">
        <is>
          <t>打开原文</t>
        </is>
      </c>
    </row>
    <row r="1001">
      <c r="A1001" s="12" t="n">
        <v>463</v>
      </c>
      <c r="B1001" s="13" t="n">
        <v>45887</v>
      </c>
      <c r="C1001" s="14" t="n">
        <v>1290</v>
      </c>
      <c r="D1001" s="27" t="n"/>
      <c r="E1001" s="27" t="n"/>
      <c r="F1001" s="27" t="n"/>
      <c r="G1001" s="16" t="inlineStr">
        <is>
          <t>全国基准价</t>
        </is>
      </c>
      <c r="H1001" s="17" t="inlineStr">
        <is>
          <t>打开原文</t>
        </is>
      </c>
    </row>
    <row r="1002">
      <c r="A1002" s="18" t="n">
        <v>464</v>
      </c>
      <c r="B1002" s="19" t="n">
        <v>45888</v>
      </c>
      <c r="C1002" s="20" t="n">
        <v>1290</v>
      </c>
      <c r="D1002" s="28" t="n"/>
      <c r="E1002" s="28" t="n"/>
      <c r="F1002" s="28" t="n"/>
      <c r="G1002" s="22" t="inlineStr">
        <is>
          <t>全国基准价</t>
        </is>
      </c>
      <c r="H1002" s="23" t="inlineStr">
        <is>
          <t>打开原文</t>
        </is>
      </c>
    </row>
    <row r="1003">
      <c r="A1003" s="12" t="n">
        <v>465</v>
      </c>
      <c r="B1003" s="13" t="n">
        <v>45889</v>
      </c>
      <c r="C1003" s="14" t="n">
        <v>1290</v>
      </c>
      <c r="D1003" s="27" t="n"/>
      <c r="E1003" s="27" t="n"/>
      <c r="F1003" s="27" t="n"/>
      <c r="G1003" s="16" t="inlineStr">
        <is>
          <t>全国基准价</t>
        </is>
      </c>
      <c r="H1003" s="17" t="inlineStr">
        <is>
          <t>打开原文</t>
        </is>
      </c>
    </row>
    <row r="1004">
      <c r="A1004" s="18" t="n">
        <v>466</v>
      </c>
      <c r="B1004" s="19" t="n">
        <v>45890</v>
      </c>
      <c r="C1004" s="20" t="n">
        <v>1290</v>
      </c>
      <c r="D1004" s="28" t="n"/>
      <c r="E1004" s="28" t="n"/>
      <c r="F1004" s="28" t="n"/>
      <c r="G1004" s="22" t="inlineStr">
        <is>
          <t>全国基准价</t>
        </is>
      </c>
      <c r="H1004" s="23" t="inlineStr">
        <is>
          <t>打开原文</t>
        </is>
      </c>
    </row>
    <row r="1005">
      <c r="A1005" s="12" t="n">
        <v>467</v>
      </c>
      <c r="B1005" s="13" t="n">
        <v>45891</v>
      </c>
      <c r="C1005" s="14" t="n">
        <v>1290</v>
      </c>
      <c r="D1005" s="27" t="n"/>
      <c r="E1005" s="27" t="n"/>
      <c r="F1005" s="27" t="n"/>
      <c r="G1005" s="16" t="inlineStr">
        <is>
          <t>全国基准价</t>
        </is>
      </c>
      <c r="H1005" s="17" t="inlineStr">
        <is>
          <t>打开原文</t>
        </is>
      </c>
    </row>
    <row r="1006">
      <c r="A1006" s="18" t="n">
        <v>468</v>
      </c>
      <c r="B1006" s="19" t="n">
        <v>45894</v>
      </c>
      <c r="C1006" s="20" t="n">
        <v>1290</v>
      </c>
      <c r="D1006" s="28" t="n"/>
      <c r="E1006" s="28" t="n"/>
      <c r="F1006" s="28" t="n"/>
      <c r="G1006" s="22" t="inlineStr">
        <is>
          <t>全国基准价</t>
        </is>
      </c>
      <c r="H1006" s="23" t="inlineStr">
        <is>
          <t>打开原文</t>
        </is>
      </c>
    </row>
    <row r="1007">
      <c r="A1007" s="12" t="n">
        <v>469</v>
      </c>
      <c r="B1007" s="13" t="n">
        <v>45895</v>
      </c>
      <c r="C1007" s="14" t="n">
        <v>1290</v>
      </c>
      <c r="D1007" s="27" t="n"/>
      <c r="E1007" s="27" t="n"/>
      <c r="F1007" s="27" t="n"/>
      <c r="G1007" s="16" t="inlineStr">
        <is>
          <t>全国基准价</t>
        </is>
      </c>
      <c r="H1007" s="17" t="inlineStr">
        <is>
          <t>打开原文</t>
        </is>
      </c>
    </row>
    <row r="1008">
      <c r="A1008" s="18" t="n">
        <v>470</v>
      </c>
      <c r="B1008" s="19" t="n">
        <v>45896</v>
      </c>
      <c r="C1008" s="20" t="n">
        <v>1290</v>
      </c>
      <c r="D1008" s="28" t="n"/>
      <c r="E1008" s="28" t="n"/>
      <c r="F1008" s="28" t="n"/>
      <c r="G1008" s="22" t="inlineStr">
        <is>
          <t>全国基准价</t>
        </is>
      </c>
      <c r="H1008" s="23" t="inlineStr">
        <is>
          <t>打开原文</t>
        </is>
      </c>
    </row>
    <row r="1009">
      <c r="A1009" s="12" t="n">
        <v>471</v>
      </c>
      <c r="B1009" s="13" t="n">
        <v>45897</v>
      </c>
      <c r="C1009" s="14" t="n">
        <v>1290</v>
      </c>
      <c r="D1009" s="27" t="n"/>
      <c r="E1009" s="27" t="n"/>
      <c r="F1009" s="27" t="n"/>
      <c r="G1009" s="16" t="inlineStr">
        <is>
          <t>全国基准价</t>
        </is>
      </c>
      <c r="H1009" s="17" t="inlineStr">
        <is>
          <t>打开原文</t>
        </is>
      </c>
    </row>
    <row r="1010">
      <c r="A1010" s="18" t="n">
        <v>472</v>
      </c>
      <c r="B1010" s="19" t="n">
        <v>45898</v>
      </c>
      <c r="C1010" s="20" t="n">
        <v>1290</v>
      </c>
      <c r="D1010" s="28" t="n"/>
      <c r="E1010" s="28" t="n"/>
      <c r="F1010" s="28" t="n"/>
      <c r="G1010" s="22" t="inlineStr">
        <is>
          <t>全国基准价</t>
        </is>
      </c>
      <c r="H1010" s="23" t="inlineStr">
        <is>
          <t>打开原文</t>
        </is>
      </c>
    </row>
    <row r="1011">
      <c r="A1011" s="12" t="n">
        <v>473</v>
      </c>
      <c r="B1011" s="13" t="n">
        <v>45901</v>
      </c>
      <c r="C1011" s="14" t="n">
        <v>1290</v>
      </c>
      <c r="D1011" s="27" t="n"/>
      <c r="E1011" s="27" t="n"/>
      <c r="F1011" s="27" t="n"/>
      <c r="G1011" s="16" t="inlineStr">
        <is>
          <t>全国基准价</t>
        </is>
      </c>
      <c r="H1011" s="17" t="inlineStr">
        <is>
          <t>打开原文</t>
        </is>
      </c>
    </row>
    <row r="1012">
      <c r="A1012" s="18" t="n">
        <v>474</v>
      </c>
      <c r="B1012" s="19" t="n">
        <v>45902</v>
      </c>
      <c r="C1012" s="20" t="n">
        <v>1290</v>
      </c>
      <c r="D1012" s="28" t="n"/>
      <c r="E1012" s="28" t="n"/>
      <c r="F1012" s="28" t="n"/>
      <c r="G1012" s="22" t="inlineStr">
        <is>
          <t>全国基准价</t>
        </is>
      </c>
      <c r="H1012" s="23" t="inlineStr">
        <is>
          <t>打开原文</t>
        </is>
      </c>
    </row>
    <row r="1013">
      <c r="A1013" s="12" t="n">
        <v>475</v>
      </c>
      <c r="B1013" s="13" t="n">
        <v>45903</v>
      </c>
      <c r="C1013" s="14" t="n">
        <v>1262.5</v>
      </c>
      <c r="D1013" s="27" t="n"/>
      <c r="E1013" s="27" t="n"/>
      <c r="F1013" s="27" t="n"/>
      <c r="G1013" s="16" t="inlineStr">
        <is>
          <t>全国基准价</t>
        </is>
      </c>
      <c r="H1013" s="17" t="inlineStr">
        <is>
          <t>打开原文</t>
        </is>
      </c>
    </row>
    <row r="1014">
      <c r="A1014" s="18" t="n">
        <v>476</v>
      </c>
      <c r="B1014" s="19" t="n">
        <v>45904</v>
      </c>
      <c r="C1014" s="20" t="n">
        <v>1262.5</v>
      </c>
      <c r="D1014" s="28" t="n"/>
      <c r="E1014" s="28" t="n"/>
      <c r="F1014" s="28" t="n"/>
      <c r="G1014" s="22" t="inlineStr">
        <is>
          <t>全国基准价</t>
        </is>
      </c>
      <c r="H1014" s="23" t="inlineStr">
        <is>
          <t>打开原文</t>
        </is>
      </c>
    </row>
    <row r="1015">
      <c r="A1015" s="12" t="n">
        <v>477</v>
      </c>
      <c r="B1015" s="13" t="n">
        <v>45905</v>
      </c>
      <c r="C1015" s="14" t="n">
        <v>1262.5</v>
      </c>
      <c r="D1015" s="27" t="n"/>
      <c r="E1015" s="27" t="n"/>
      <c r="F1015" s="27" t="n"/>
      <c r="G1015" s="16" t="inlineStr">
        <is>
          <t>全国基准价</t>
        </is>
      </c>
      <c r="H1015" s="17" t="inlineStr">
        <is>
          <t>打开原文</t>
        </is>
      </c>
    </row>
    <row r="1016">
      <c r="A1016" s="18" t="n">
        <v>478</v>
      </c>
      <c r="B1016" s="19" t="n">
        <v>45908</v>
      </c>
      <c r="C1016" s="20" t="n">
        <v>1262.5</v>
      </c>
      <c r="D1016" s="28" t="n"/>
      <c r="E1016" s="28" t="n"/>
      <c r="F1016" s="28" t="n"/>
      <c r="G1016" s="22" t="inlineStr">
        <is>
          <t>全国基准价</t>
        </is>
      </c>
      <c r="H1016" s="23" t="inlineStr">
        <is>
          <t>打开原文</t>
        </is>
      </c>
    </row>
    <row r="1017">
      <c r="A1017" s="12" t="n">
        <v>479</v>
      </c>
      <c r="B1017" s="13" t="n">
        <v>45909</v>
      </c>
      <c r="C1017" s="14" t="n">
        <v>1262.5</v>
      </c>
      <c r="D1017" s="27" t="n"/>
      <c r="E1017" s="27" t="n"/>
      <c r="F1017" s="27" t="n"/>
      <c r="G1017" s="16" t="inlineStr">
        <is>
          <t>全国基准价</t>
        </is>
      </c>
      <c r="H1017" s="17" t="inlineStr">
        <is>
          <t>打开原文</t>
        </is>
      </c>
    </row>
    <row r="1018">
      <c r="A1018" s="18" t="n">
        <v>480</v>
      </c>
      <c r="B1018" s="19" t="n">
        <v>45910</v>
      </c>
      <c r="C1018" s="20" t="n">
        <v>1262.5</v>
      </c>
      <c r="D1018" s="28" t="n"/>
      <c r="E1018" s="28" t="n"/>
      <c r="F1018" s="28" t="n"/>
      <c r="G1018" s="22" t="inlineStr">
        <is>
          <t>全国基准价</t>
        </is>
      </c>
      <c r="H1018" s="23" t="inlineStr">
        <is>
          <t>打开原文</t>
        </is>
      </c>
    </row>
    <row r="1019">
      <c r="A1019" s="12" t="n">
        <v>481</v>
      </c>
      <c r="B1019" s="13" t="n">
        <v>45911</v>
      </c>
      <c r="C1019" s="14" t="n">
        <v>1262.5</v>
      </c>
      <c r="D1019" s="27" t="n"/>
      <c r="E1019" s="27" t="n"/>
      <c r="F1019" s="27" t="n"/>
      <c r="G1019" s="16" t="inlineStr">
        <is>
          <t>全国基准价</t>
        </is>
      </c>
      <c r="H1019" s="17" t="inlineStr">
        <is>
          <t>打开原文</t>
        </is>
      </c>
    </row>
    <row r="1020">
      <c r="A1020" s="18" t="n">
        <v>482</v>
      </c>
      <c r="B1020" s="19" t="n">
        <v>45912</v>
      </c>
      <c r="C1020" s="20" t="n">
        <v>1262.5</v>
      </c>
      <c r="D1020" s="28" t="n"/>
      <c r="E1020" s="28" t="n"/>
      <c r="F1020" s="28" t="n"/>
      <c r="G1020" s="22" t="inlineStr">
        <is>
          <t>全国基准价</t>
        </is>
      </c>
      <c r="H1020" s="23" t="inlineStr">
        <is>
          <t>打开原文</t>
        </is>
      </c>
    </row>
    <row r="1021">
      <c r="A1021" s="12" t="n">
        <v>483</v>
      </c>
      <c r="B1021" s="13" t="n">
        <v>45915</v>
      </c>
      <c r="C1021" s="14" t="n">
        <v>1262.5</v>
      </c>
      <c r="D1021" s="27" t="n"/>
      <c r="E1021" s="27" t="n"/>
      <c r="F1021" s="27" t="n"/>
      <c r="G1021" s="16" t="inlineStr">
        <is>
          <t>全国基准价</t>
        </is>
      </c>
      <c r="H1021" s="17" t="inlineStr">
        <is>
          <t>打开原文</t>
        </is>
      </c>
    </row>
    <row r="1022">
      <c r="A1022" s="18" t="n">
        <v>484</v>
      </c>
      <c r="B1022" s="19" t="n">
        <v>45916</v>
      </c>
      <c r="C1022" s="20" t="n">
        <v>1262.5</v>
      </c>
      <c r="D1022" s="28" t="n"/>
      <c r="E1022" s="28" t="n"/>
      <c r="F1022" s="28" t="n"/>
      <c r="G1022" s="22" t="inlineStr">
        <is>
          <t>全国基准价</t>
        </is>
      </c>
      <c r="H1022" s="23" t="inlineStr">
        <is>
          <t>打开原文</t>
        </is>
      </c>
    </row>
    <row r="1023">
      <c r="A1023" s="12" t="n">
        <v>485</v>
      </c>
      <c r="B1023" s="13" t="n">
        <v>45917</v>
      </c>
      <c r="C1023" s="14" t="n">
        <v>1262.5</v>
      </c>
      <c r="D1023" s="27" t="n"/>
      <c r="E1023" s="27" t="n"/>
      <c r="F1023" s="27" t="n"/>
      <c r="G1023" s="16" t="inlineStr">
        <is>
          <t>全国基准价</t>
        </is>
      </c>
      <c r="H1023" s="17" t="inlineStr">
        <is>
          <t>打开原文</t>
        </is>
      </c>
    </row>
    <row r="1024">
      <c r="A1024" s="18" t="n">
        <v>486</v>
      </c>
      <c r="B1024" s="19" t="n">
        <v>45918</v>
      </c>
      <c r="C1024" s="20" t="n">
        <v>1262.5</v>
      </c>
      <c r="D1024" s="28" t="n"/>
      <c r="E1024" s="28" t="n"/>
      <c r="F1024" s="28" t="n"/>
      <c r="G1024" s="22" t="inlineStr">
        <is>
          <t>全国基准价</t>
        </is>
      </c>
      <c r="H1024" s="23" t="inlineStr">
        <is>
          <t>打开原文</t>
        </is>
      </c>
    </row>
    <row r="1025">
      <c r="A1025" s="12" t="n">
        <v>487</v>
      </c>
      <c r="B1025" s="13" t="n">
        <v>45919</v>
      </c>
      <c r="C1025" s="14" t="n">
        <v>1262.5</v>
      </c>
      <c r="D1025" s="27" t="n"/>
      <c r="E1025" s="27" t="n"/>
      <c r="F1025" s="27" t="n"/>
      <c r="G1025" s="16" t="inlineStr">
        <is>
          <t>全国基准价</t>
        </is>
      </c>
      <c r="H1025" s="17" t="inlineStr">
        <is>
          <t>打开原文</t>
        </is>
      </c>
    </row>
    <row r="1026">
      <c r="A1026" s="18" t="n">
        <v>488</v>
      </c>
      <c r="B1026" s="19" t="n">
        <v>45922</v>
      </c>
      <c r="C1026" s="20" t="n">
        <v>1262.5</v>
      </c>
      <c r="D1026" s="28" t="n"/>
      <c r="E1026" s="28" t="n"/>
      <c r="F1026" s="28" t="n"/>
      <c r="G1026" s="22" t="inlineStr">
        <is>
          <t>全国基准价</t>
        </is>
      </c>
      <c r="H1026" s="23" t="inlineStr">
        <is>
          <t>打开原文</t>
        </is>
      </c>
    </row>
    <row r="1027">
      <c r="A1027" s="12" t="n">
        <v>489</v>
      </c>
      <c r="B1027" s="13" t="n">
        <v>45923</v>
      </c>
      <c r="C1027" s="14" t="n">
        <v>1262.5</v>
      </c>
      <c r="D1027" s="27" t="n"/>
      <c r="E1027" s="27" t="n"/>
      <c r="F1027" s="27" t="n"/>
      <c r="G1027" s="16" t="inlineStr">
        <is>
          <t>全国基准价</t>
        </is>
      </c>
      <c r="H1027" s="17" t="inlineStr">
        <is>
          <t>打开原文</t>
        </is>
      </c>
    </row>
    <row r="1028">
      <c r="A1028" s="18" t="n">
        <v>490</v>
      </c>
      <c r="B1028" s="19" t="n">
        <v>45924</v>
      </c>
      <c r="C1028" s="20" t="n">
        <v>1262.5</v>
      </c>
      <c r="D1028" s="28" t="n"/>
      <c r="E1028" s="28" t="n"/>
      <c r="F1028" s="28" t="n"/>
      <c r="G1028" s="22" t="inlineStr">
        <is>
          <t>全国基准价</t>
        </is>
      </c>
      <c r="H1028" s="23" t="inlineStr">
        <is>
          <t>打开原文</t>
        </is>
      </c>
    </row>
    <row r="1029">
      <c r="A1029" s="12" t="n">
        <v>491</v>
      </c>
      <c r="B1029" s="13" t="n">
        <v>45925</v>
      </c>
      <c r="C1029" s="14" t="n">
        <v>1262.5</v>
      </c>
      <c r="D1029" s="27" t="n"/>
      <c r="E1029" s="27" t="n"/>
      <c r="F1029" s="27" t="n"/>
      <c r="G1029" s="16" t="inlineStr">
        <is>
          <t>全国基准价</t>
        </is>
      </c>
      <c r="H1029" s="17" t="inlineStr">
        <is>
          <t>打开原文</t>
        </is>
      </c>
    </row>
    <row r="1030">
      <c r="A1030" s="18" t="n">
        <v>492</v>
      </c>
      <c r="B1030" s="19" t="n">
        <v>45926</v>
      </c>
      <c r="C1030" s="20" t="n">
        <v>1262.5</v>
      </c>
      <c r="D1030" s="28" t="n"/>
      <c r="E1030" s="28" t="n"/>
      <c r="F1030" s="28" t="n"/>
      <c r="G1030" s="22" t="inlineStr">
        <is>
          <t>全国基准价</t>
        </is>
      </c>
      <c r="H1030" s="23" t="inlineStr">
        <is>
          <t>打开原文</t>
        </is>
      </c>
    </row>
    <row r="1031">
      <c r="A1031" s="12" t="n">
        <v>493</v>
      </c>
      <c r="B1031" s="13" t="n">
        <v>45929</v>
      </c>
      <c r="C1031" s="14" t="n">
        <v>1262.5</v>
      </c>
      <c r="D1031" s="27" t="n"/>
      <c r="E1031" s="27" t="n"/>
      <c r="F1031" s="27" t="n"/>
      <c r="G1031" s="16" t="inlineStr">
        <is>
          <t>全国基准价</t>
        </is>
      </c>
      <c r="H1031" s="17" t="inlineStr">
        <is>
          <t>打开原文</t>
        </is>
      </c>
    </row>
    <row r="1032">
      <c r="A1032" s="18" t="n">
        <v>494</v>
      </c>
      <c r="B1032" s="19" t="n">
        <v>45930</v>
      </c>
      <c r="C1032" s="20" t="n">
        <v>1262.5</v>
      </c>
      <c r="D1032" s="28" t="n"/>
      <c r="E1032" s="28" t="n"/>
      <c r="F1032" s="28" t="n"/>
      <c r="G1032" s="22" t="inlineStr">
        <is>
          <t>全国基准价</t>
        </is>
      </c>
      <c r="H1032" s="23" t="inlineStr">
        <is>
          <t>打开原文</t>
        </is>
      </c>
    </row>
    <row r="1033">
      <c r="A1033" s="12" t="n">
        <v>495</v>
      </c>
      <c r="B1033" s="13" t="n">
        <v>45931</v>
      </c>
      <c r="C1033" s="14" t="n">
        <v>1262.5</v>
      </c>
      <c r="D1033" s="27" t="n"/>
      <c r="E1033" s="27" t="n"/>
      <c r="F1033" s="27" t="n"/>
      <c r="G1033" s="16" t="inlineStr">
        <is>
          <t>全国基准价</t>
        </is>
      </c>
      <c r="H1033" s="17" t="inlineStr">
        <is>
          <t>打开原文</t>
        </is>
      </c>
    </row>
    <row r="1034">
      <c r="A1034" s="18" t="n">
        <v>496</v>
      </c>
      <c r="B1034" s="19" t="n">
        <v>45932</v>
      </c>
      <c r="C1034" s="20" t="n">
        <v>1262.5</v>
      </c>
      <c r="D1034" s="28" t="n"/>
      <c r="E1034" s="28" t="n"/>
      <c r="F1034" s="28" t="n"/>
      <c r="G1034" s="22" t="inlineStr">
        <is>
          <t>全国基准价</t>
        </is>
      </c>
      <c r="H1034" s="23" t="inlineStr">
        <is>
          <t>打开原文</t>
        </is>
      </c>
    </row>
    <row r="1035">
      <c r="A1035" s="12" t="n">
        <v>497</v>
      </c>
      <c r="B1035" s="13" t="n">
        <v>45933</v>
      </c>
      <c r="C1035" s="14" t="n">
        <v>1262.5</v>
      </c>
      <c r="D1035" s="27" t="n"/>
      <c r="E1035" s="27" t="n"/>
      <c r="F1035" s="27" t="n"/>
      <c r="G1035" s="16" t="inlineStr">
        <is>
          <t>全国基准价</t>
        </is>
      </c>
      <c r="H1035" s="17" t="inlineStr">
        <is>
          <t>打开原文</t>
        </is>
      </c>
    </row>
    <row r="1036">
      <c r="A1036" s="18" t="n">
        <v>498</v>
      </c>
      <c r="B1036" s="19" t="n">
        <v>45936</v>
      </c>
      <c r="C1036" s="20" t="n">
        <v>1262.5</v>
      </c>
      <c r="D1036" s="28" t="n"/>
      <c r="E1036" s="28" t="n"/>
      <c r="F1036" s="28" t="n"/>
      <c r="G1036" s="22" t="inlineStr">
        <is>
          <t>全国基准价</t>
        </is>
      </c>
      <c r="H1036" s="23" t="inlineStr">
        <is>
          <t>打开原文</t>
        </is>
      </c>
    </row>
    <row r="1037">
      <c r="A1037" s="12" t="n">
        <v>499</v>
      </c>
      <c r="B1037" s="13" t="n">
        <v>45937</v>
      </c>
      <c r="C1037" s="14" t="n">
        <v>1262.5</v>
      </c>
      <c r="D1037" s="27" t="n"/>
      <c r="E1037" s="27" t="n"/>
      <c r="F1037" s="27" t="n"/>
      <c r="G1037" s="16" t="inlineStr">
        <is>
          <t>全国基准价</t>
        </is>
      </c>
      <c r="H1037" s="17" t="inlineStr">
        <is>
          <t>打开原文</t>
        </is>
      </c>
    </row>
    <row r="1038">
      <c r="A1038" s="18" t="n">
        <v>500</v>
      </c>
      <c r="B1038" s="19" t="n">
        <v>45938</v>
      </c>
      <c r="C1038" s="20" t="n">
        <v>1262.5</v>
      </c>
      <c r="D1038" s="28" t="n"/>
      <c r="E1038" s="28" t="n"/>
      <c r="F1038" s="28" t="n"/>
      <c r="G1038" s="22" t="inlineStr">
        <is>
          <t>全国基准价</t>
        </is>
      </c>
      <c r="H1038" s="23" t="inlineStr">
        <is>
          <t>打开原文</t>
        </is>
      </c>
    </row>
    <row r="1039">
      <c r="A1039" s="12" t="n">
        <v>501</v>
      </c>
      <c r="B1039" s="13" t="n">
        <v>45939</v>
      </c>
      <c r="C1039" s="14" t="n">
        <v>1262.5</v>
      </c>
      <c r="D1039" s="27" t="n"/>
      <c r="E1039" s="27" t="n"/>
      <c r="F1039" s="27" t="n"/>
      <c r="G1039" s="16" t="inlineStr">
        <is>
          <t>全国基准价</t>
        </is>
      </c>
      <c r="H1039" s="17" t="inlineStr">
        <is>
          <t>打开原文</t>
        </is>
      </c>
    </row>
    <row r="1040">
      <c r="A1040" s="18" t="n">
        <v>502</v>
      </c>
      <c r="B1040" s="19" t="n">
        <v>45940</v>
      </c>
      <c r="C1040" s="20" t="n">
        <v>1262.5</v>
      </c>
      <c r="D1040" s="28" t="n"/>
      <c r="E1040" s="28" t="n"/>
      <c r="F1040" s="28" t="n"/>
      <c r="G1040" s="22" t="inlineStr">
        <is>
          <t>全国基准价</t>
        </is>
      </c>
      <c r="H1040" s="23" t="inlineStr">
        <is>
          <t>打开原文</t>
        </is>
      </c>
    </row>
    <row r="1041">
      <c r="A1041" s="12" t="n">
        <v>503</v>
      </c>
      <c r="B1041" s="13" t="n">
        <v>45941</v>
      </c>
      <c r="C1041" s="14" t="n">
        <v>1262.5</v>
      </c>
      <c r="D1041" s="27" t="n"/>
      <c r="E1041" s="27" t="n"/>
      <c r="F1041" s="27" t="n"/>
      <c r="G1041" s="16" t="inlineStr">
        <is>
          <t>全国基准价</t>
        </is>
      </c>
      <c r="H1041" s="17" t="inlineStr">
        <is>
          <t>打开原文</t>
        </is>
      </c>
    </row>
    <row r="1042">
      <c r="A1042" s="18" t="n">
        <v>504</v>
      </c>
      <c r="B1042" s="19" t="n">
        <v>45943</v>
      </c>
      <c r="C1042" s="20" t="n">
        <v>1218.57</v>
      </c>
      <c r="D1042" s="28" t="n"/>
      <c r="E1042" s="28" t="n"/>
      <c r="F1042" s="28" t="n"/>
      <c r="G1042" s="22" t="inlineStr">
        <is>
          <t>全国基准价</t>
        </is>
      </c>
      <c r="H1042" s="23" t="inlineStr">
        <is>
          <t>打开原文</t>
        </is>
      </c>
    </row>
    <row r="1043">
      <c r="A1043" s="12" t="n">
        <v>505</v>
      </c>
      <c r="B1043" s="13" t="n">
        <v>45944</v>
      </c>
      <c r="C1043" s="14" t="n">
        <v>1218.57</v>
      </c>
      <c r="D1043" s="27" t="n"/>
      <c r="E1043" s="27" t="n"/>
      <c r="F1043" s="27" t="n"/>
      <c r="G1043" s="16" t="inlineStr">
        <is>
          <t>全国基准价</t>
        </is>
      </c>
      <c r="H1043" s="17" t="inlineStr">
        <is>
          <t>打开原文</t>
        </is>
      </c>
    </row>
    <row r="1044">
      <c r="A1044" s="18" t="n">
        <v>506</v>
      </c>
      <c r="B1044" s="19" t="n">
        <v>45945</v>
      </c>
      <c r="C1044" s="20" t="n">
        <v>1218.57</v>
      </c>
      <c r="D1044" s="28" t="n"/>
      <c r="E1044" s="28" t="n"/>
      <c r="F1044" s="28" t="n"/>
      <c r="G1044" s="22" t="inlineStr">
        <is>
          <t>全国基准价</t>
        </is>
      </c>
      <c r="H1044" s="23" t="inlineStr">
        <is>
          <t>打开原文</t>
        </is>
      </c>
    </row>
    <row r="1045">
      <c r="A1045" s="12" t="n">
        <v>507</v>
      </c>
      <c r="B1045" s="13" t="n">
        <v>45946</v>
      </c>
      <c r="C1045" s="14" t="n">
        <v>1214.29</v>
      </c>
      <c r="D1045" s="27" t="n"/>
      <c r="E1045" s="27" t="n"/>
      <c r="F1045" s="27" t="n"/>
      <c r="G1045" s="16" t="inlineStr">
        <is>
          <t>全国基准价</t>
        </is>
      </c>
      <c r="H1045" s="17" t="inlineStr">
        <is>
          <t>打开原文</t>
        </is>
      </c>
    </row>
    <row r="1046">
      <c r="A1046" s="18" t="n">
        <v>508</v>
      </c>
      <c r="B1046" s="19" t="n">
        <v>45947</v>
      </c>
      <c r="C1046" s="20" t="n">
        <v>1214.29</v>
      </c>
      <c r="D1046" s="28" t="n"/>
      <c r="E1046" s="28" t="n"/>
      <c r="F1046" s="28" t="n"/>
      <c r="G1046" s="22" t="inlineStr">
        <is>
          <t>全国基准价</t>
        </is>
      </c>
      <c r="H1046" s="23" t="inlineStr">
        <is>
          <t>打开原文</t>
        </is>
      </c>
    </row>
    <row r="1047">
      <c r="A1047" s="12" t="n">
        <v>509</v>
      </c>
      <c r="B1047" s="13" t="n">
        <v>45950</v>
      </c>
      <c r="C1047" s="14" t="n">
        <v>1207.86</v>
      </c>
      <c r="D1047" s="27" t="n"/>
      <c r="E1047" s="27" t="n"/>
      <c r="F1047" s="27" t="n"/>
      <c r="G1047" s="16" t="inlineStr">
        <is>
          <t>全国基准价</t>
        </is>
      </c>
      <c r="H1047" s="17" t="inlineStr">
        <is>
          <t>打开原文</t>
        </is>
      </c>
    </row>
    <row r="1048">
      <c r="A1048" s="18" t="n">
        <v>510</v>
      </c>
      <c r="B1048" s="19" t="n">
        <v>45951</v>
      </c>
      <c r="C1048" s="20" t="n">
        <v>1207.86</v>
      </c>
      <c r="D1048" s="28" t="n"/>
      <c r="E1048" s="28" t="n"/>
      <c r="F1048" s="28" t="n"/>
      <c r="G1048" s="22" t="inlineStr">
        <is>
          <t>全国基准价</t>
        </is>
      </c>
      <c r="H1048" s="23" t="inlineStr">
        <is>
          <t>打开原文</t>
        </is>
      </c>
    </row>
    <row r="1049">
      <c r="A1049" s="12" t="n">
        <v>511</v>
      </c>
      <c r="B1049" s="13" t="n">
        <v>45952</v>
      </c>
      <c r="C1049" s="14" t="n">
        <v>1203.57</v>
      </c>
      <c r="D1049" s="27" t="n"/>
      <c r="E1049" s="27" t="n"/>
      <c r="F1049" s="27" t="n"/>
      <c r="G1049" s="16" t="inlineStr">
        <is>
          <t>全国基准价</t>
        </is>
      </c>
      <c r="H1049" s="17" t="inlineStr">
        <is>
          <t>打开原文</t>
        </is>
      </c>
    </row>
    <row r="1050">
      <c r="A1050" s="18" t="n">
        <v>512</v>
      </c>
      <c r="B1050" s="19" t="n">
        <v>45953</v>
      </c>
      <c r="C1050" s="20" t="n">
        <v>1203.57</v>
      </c>
      <c r="D1050" s="28" t="n"/>
      <c r="E1050" s="28" t="n"/>
      <c r="F1050" s="28" t="n"/>
      <c r="G1050" s="22" t="inlineStr">
        <is>
          <t>全国基准价</t>
        </is>
      </c>
      <c r="H1050" s="23" t="inlineStr">
        <is>
          <t>打开原文</t>
        </is>
      </c>
    </row>
    <row r="1051">
      <c r="A1051" s="12" t="n">
        <v>513</v>
      </c>
      <c r="B1051" s="13" t="n">
        <v>45954</v>
      </c>
      <c r="C1051" s="14" t="n">
        <v>1205.71</v>
      </c>
      <c r="D1051" s="27" t="n"/>
      <c r="E1051" s="27" t="n"/>
      <c r="F1051" s="27" t="n"/>
      <c r="G1051" s="16" t="inlineStr">
        <is>
          <t>全国基准价</t>
        </is>
      </c>
      <c r="H1051" s="17" t="inlineStr">
        <is>
          <t>打开原文</t>
        </is>
      </c>
    </row>
    <row r="1052">
      <c r="A1052" s="18" t="n">
        <v>514</v>
      </c>
      <c r="B1052" s="19" t="n">
        <v>45957</v>
      </c>
      <c r="C1052" s="20" t="n">
        <v>1205.71</v>
      </c>
      <c r="D1052" s="28" t="n"/>
      <c r="E1052" s="28" t="n"/>
      <c r="F1052" s="28" t="n"/>
      <c r="G1052" s="22" t="inlineStr">
        <is>
          <t>全国基准价</t>
        </is>
      </c>
      <c r="H1052" s="23" t="inlineStr">
        <is>
          <t>打开原文</t>
        </is>
      </c>
    </row>
    <row r="1053">
      <c r="A1053" s="12" t="n">
        <v>515</v>
      </c>
      <c r="B1053" s="13" t="n">
        <v>45958</v>
      </c>
      <c r="C1053" s="14" t="n">
        <v>1210</v>
      </c>
      <c r="D1053" s="27" t="n"/>
      <c r="E1053" s="27" t="n"/>
      <c r="F1053" s="27" t="n"/>
      <c r="G1053" s="16" t="inlineStr">
        <is>
          <t>全国基准价</t>
        </is>
      </c>
      <c r="H1053" s="17" t="inlineStr">
        <is>
          <t>打开原文</t>
        </is>
      </c>
    </row>
    <row r="1054">
      <c r="A1054" s="18" t="n">
        <v>516</v>
      </c>
      <c r="B1054" s="19" t="n">
        <v>45959</v>
      </c>
      <c r="C1054" s="20" t="n">
        <v>1210</v>
      </c>
      <c r="D1054" s="28" t="n"/>
      <c r="E1054" s="28" t="n"/>
      <c r="F1054" s="28" t="n"/>
      <c r="G1054" s="22" t="inlineStr">
        <is>
          <t>全国基准价</t>
        </is>
      </c>
      <c r="H1054" s="23" t="inlineStr">
        <is>
          <t>打开原文</t>
        </is>
      </c>
    </row>
    <row r="1055">
      <c r="A1055" s="12" t="n">
        <v>517</v>
      </c>
      <c r="B1055" s="13" t="n">
        <v>45960</v>
      </c>
      <c r="C1055" s="14" t="n">
        <v>1210</v>
      </c>
      <c r="D1055" s="27" t="n"/>
      <c r="E1055" s="27" t="n"/>
      <c r="F1055" s="27" t="n"/>
      <c r="G1055" s="16" t="inlineStr">
        <is>
          <t>全国基准价</t>
        </is>
      </c>
      <c r="H1055" s="17" t="inlineStr">
        <is>
          <t>打开原文</t>
        </is>
      </c>
    </row>
    <row r="1056">
      <c r="A1056" s="18" t="n">
        <v>518</v>
      </c>
      <c r="B1056" s="19" t="n">
        <v>45961</v>
      </c>
      <c r="C1056" s="20" t="n">
        <v>1212.14</v>
      </c>
      <c r="D1056" s="28" t="n"/>
      <c r="E1056" s="28" t="n"/>
      <c r="F1056" s="28" t="n"/>
      <c r="G1056" s="22" t="inlineStr">
        <is>
          <t>全国基准价</t>
        </is>
      </c>
      <c r="H1056" s="23" t="inlineStr">
        <is>
          <t>打开原文</t>
        </is>
      </c>
    </row>
    <row r="1057">
      <c r="A1057" s="12" t="n">
        <v>519</v>
      </c>
      <c r="B1057" s="13" t="n">
        <v>45964</v>
      </c>
      <c r="C1057" s="14" t="n">
        <v>1212.14</v>
      </c>
      <c r="D1057" s="27" t="n"/>
      <c r="E1057" s="27" t="n"/>
      <c r="F1057" s="27" t="n"/>
      <c r="G1057" s="16" t="inlineStr">
        <is>
          <t>全国基准价</t>
        </is>
      </c>
      <c r="H1057" s="17" t="inlineStr">
        <is>
          <t>打开原文</t>
        </is>
      </c>
    </row>
    <row r="1058">
      <c r="A1058" s="18" t="n">
        <v>520</v>
      </c>
      <c r="B1058" s="19" t="n">
        <v>45965</v>
      </c>
      <c r="C1058" s="20" t="n">
        <v>1204.29</v>
      </c>
      <c r="D1058" s="28" t="n"/>
      <c r="E1058" s="28" t="n"/>
      <c r="F1058" s="28" t="n"/>
      <c r="G1058" s="22" t="inlineStr">
        <is>
          <t>全国基准价</t>
        </is>
      </c>
      <c r="H1058" s="23" t="inlineStr">
        <is>
          <t>打开原文</t>
        </is>
      </c>
    </row>
    <row r="1059">
      <c r="A1059" s="12" t="n">
        <v>521</v>
      </c>
      <c r="B1059" s="13" t="n">
        <v>45966</v>
      </c>
      <c r="C1059" s="14" t="n">
        <v>1203.57</v>
      </c>
      <c r="D1059" s="27" t="n"/>
      <c r="E1059" s="27" t="n"/>
      <c r="F1059" s="27" t="n"/>
      <c r="G1059" s="16" t="inlineStr">
        <is>
          <t>全国基准价</t>
        </is>
      </c>
      <c r="H1059" s="17" t="inlineStr">
        <is>
          <t>打开原文</t>
        </is>
      </c>
    </row>
    <row r="1060">
      <c r="A1060" s="18" t="n">
        <v>522</v>
      </c>
      <c r="B1060" s="19" t="n">
        <v>45967</v>
      </c>
      <c r="C1060" s="20" t="n">
        <v>1203.57</v>
      </c>
      <c r="D1060" s="28" t="n"/>
      <c r="E1060" s="28" t="n"/>
      <c r="F1060" s="28" t="n"/>
      <c r="G1060" s="22" t="inlineStr">
        <is>
          <t>全国基准价</t>
        </is>
      </c>
      <c r="H1060" s="23" t="inlineStr">
        <is>
          <t>打开原文</t>
        </is>
      </c>
    </row>
    <row r="1061">
      <c r="A1061" s="12" t="n">
        <v>523</v>
      </c>
      <c r="B1061" s="13" t="n">
        <v>45968</v>
      </c>
      <c r="C1061" s="14" t="n">
        <v>1203.57</v>
      </c>
      <c r="D1061" s="27" t="n"/>
      <c r="E1061" s="27" t="n"/>
      <c r="F1061" s="27" t="n"/>
      <c r="G1061" s="16" t="inlineStr">
        <is>
          <t>全国基准价</t>
        </is>
      </c>
      <c r="H1061" s="17" t="inlineStr">
        <is>
          <t>打开原文</t>
        </is>
      </c>
    </row>
    <row r="1062">
      <c r="A1062" s="18" t="n">
        <v>524</v>
      </c>
      <c r="B1062" s="19" t="n">
        <v>45971</v>
      </c>
      <c r="C1062" s="20" t="n">
        <v>1206.43</v>
      </c>
      <c r="D1062" s="28" t="n"/>
      <c r="E1062" s="28" t="n"/>
      <c r="F1062" s="28" t="n"/>
      <c r="G1062" s="22" t="inlineStr">
        <is>
          <t>全国基准价</t>
        </is>
      </c>
      <c r="H1062" s="23" t="inlineStr">
        <is>
          <t>打开原文</t>
        </is>
      </c>
    </row>
    <row r="1063">
      <c r="A1063" s="12" t="n">
        <v>525</v>
      </c>
      <c r="B1063" s="13" t="n">
        <v>45972</v>
      </c>
      <c r="C1063" s="14" t="n">
        <v>1207.86</v>
      </c>
      <c r="D1063" s="27" t="n"/>
      <c r="E1063" s="27" t="n"/>
      <c r="F1063" s="27" t="n"/>
      <c r="G1063" s="16" t="inlineStr">
        <is>
          <t>全国基准价</t>
        </is>
      </c>
      <c r="H1063" s="17" t="inlineStr">
        <is>
          <t>打开原文</t>
        </is>
      </c>
    </row>
    <row r="1064">
      <c r="A1064" s="18" t="n">
        <v>526</v>
      </c>
      <c r="B1064" s="19" t="n">
        <v>45973</v>
      </c>
      <c r="C1064" s="20" t="n">
        <v>1212.14</v>
      </c>
      <c r="D1064" s="28" t="n"/>
      <c r="E1064" s="28" t="n"/>
      <c r="F1064" s="28" t="n"/>
      <c r="G1064" s="22" t="inlineStr">
        <is>
          <t>全国基准价</t>
        </is>
      </c>
      <c r="H1064" s="23" t="inlineStr">
        <is>
          <t>打开原文</t>
        </is>
      </c>
    </row>
    <row r="1065">
      <c r="A1065" s="12" t="n">
        <v>527</v>
      </c>
      <c r="B1065" s="13" t="n">
        <v>45974</v>
      </c>
      <c r="C1065" s="14" t="n">
        <v>1211.43</v>
      </c>
      <c r="D1065" s="27" t="n"/>
      <c r="E1065" s="27" t="n"/>
      <c r="F1065" s="27" t="n"/>
      <c r="G1065" s="16" t="inlineStr">
        <is>
          <t>全国基准价</t>
        </is>
      </c>
      <c r="H1065" s="17" t="inlineStr">
        <is>
          <t>打开原文</t>
        </is>
      </c>
    </row>
    <row r="1066">
      <c r="A1066" s="18" t="n">
        <v>528</v>
      </c>
      <c r="B1066" s="19" t="n">
        <v>45975</v>
      </c>
      <c r="C1066" s="20" t="n">
        <v>1214.29</v>
      </c>
      <c r="D1066" s="28" t="n"/>
      <c r="E1066" s="28" t="n"/>
      <c r="F1066" s="28" t="n"/>
      <c r="G1066" s="22" t="inlineStr">
        <is>
          <t>全国基准价</t>
        </is>
      </c>
      <c r="H1066" s="23" t="inlineStr">
        <is>
          <t>打开原文</t>
        </is>
      </c>
    </row>
    <row r="1067">
      <c r="A1067" s="12" t="n">
        <v>529</v>
      </c>
      <c r="B1067" s="13" t="n">
        <v>45978</v>
      </c>
      <c r="C1067" s="14" t="n">
        <v>1213.57</v>
      </c>
      <c r="D1067" s="27" t="n"/>
      <c r="E1067" s="27" t="n"/>
      <c r="F1067" s="27" t="n"/>
      <c r="G1067" s="16" t="inlineStr">
        <is>
          <t>全国基准价</t>
        </is>
      </c>
      <c r="H1067" s="17" t="inlineStr">
        <is>
          <t>打开原文</t>
        </is>
      </c>
    </row>
    <row r="1068">
      <c r="A1068" s="18" t="n">
        <v>530</v>
      </c>
      <c r="B1068" s="19" t="n">
        <v>45979</v>
      </c>
      <c r="C1068" s="20" t="n">
        <v>1218.57</v>
      </c>
      <c r="D1068" s="28" t="n"/>
      <c r="E1068" s="28" t="n"/>
      <c r="F1068" s="28" t="n"/>
      <c r="G1068" s="22" t="inlineStr">
        <is>
          <t>全国基准价</t>
        </is>
      </c>
      <c r="H1068" s="23" t="inlineStr">
        <is>
          <t>打开原文</t>
        </is>
      </c>
    </row>
    <row r="1069">
      <c r="A1069" s="12" t="n">
        <v>531</v>
      </c>
      <c r="B1069" s="13" t="n">
        <v>45980</v>
      </c>
      <c r="C1069" s="14" t="n">
        <v>1218.57</v>
      </c>
      <c r="D1069" s="27" t="n"/>
      <c r="E1069" s="27" t="n"/>
      <c r="F1069" s="27" t="n"/>
      <c r="G1069" s="16" t="inlineStr">
        <is>
          <t>全国基准价</t>
        </is>
      </c>
      <c r="H1069" s="17" t="inlineStr">
        <is>
          <t>打开原文</t>
        </is>
      </c>
    </row>
    <row r="1070">
      <c r="A1070" s="18" t="n">
        <v>532</v>
      </c>
      <c r="B1070" s="19" t="n">
        <v>45981</v>
      </c>
      <c r="C1070" s="20" t="n">
        <v>1215</v>
      </c>
      <c r="D1070" s="28" t="n"/>
      <c r="E1070" s="28" t="n"/>
      <c r="F1070" s="28" t="n"/>
      <c r="G1070" s="22" t="inlineStr">
        <is>
          <t>全国基准价</t>
        </is>
      </c>
      <c r="H1070" s="23" t="inlineStr">
        <is>
          <t>打开原文</t>
        </is>
      </c>
    </row>
    <row r="1071">
      <c r="A1071" s="12" t="n">
        <v>533</v>
      </c>
      <c r="B1071" s="13" t="n">
        <v>45982</v>
      </c>
      <c r="C1071" s="14" t="n">
        <v>1207.14</v>
      </c>
      <c r="D1071" s="27" t="n"/>
      <c r="E1071" s="27" t="n"/>
      <c r="F1071" s="27" t="n"/>
      <c r="G1071" s="16" t="inlineStr">
        <is>
          <t>全国基准价</t>
        </is>
      </c>
      <c r="H1071" s="17" t="inlineStr">
        <is>
          <t>打开原文</t>
        </is>
      </c>
    </row>
    <row r="1072">
      <c r="A1072" s="18" t="n">
        <v>534</v>
      </c>
      <c r="B1072" s="19" t="n">
        <v>45985</v>
      </c>
      <c r="C1072" s="20" t="n">
        <v>1207.14</v>
      </c>
      <c r="D1072" s="28" t="n"/>
      <c r="E1072" s="28" t="n"/>
      <c r="F1072" s="28" t="n"/>
      <c r="G1072" s="22" t="inlineStr">
        <is>
          <t>全国基准价</t>
        </is>
      </c>
      <c r="H1072" s="23" t="inlineStr">
        <is>
          <t>打开原文</t>
        </is>
      </c>
    </row>
    <row r="1073">
      <c r="A1073" s="12" t="n">
        <v>535</v>
      </c>
      <c r="B1073" s="13" t="n">
        <v>45986</v>
      </c>
      <c r="C1073" s="14" t="n">
        <v>1207.86</v>
      </c>
      <c r="D1073" s="27" t="n"/>
      <c r="E1073" s="27" t="n"/>
      <c r="F1073" s="27" t="n"/>
      <c r="G1073" s="16" t="inlineStr">
        <is>
          <t>全国基准价</t>
        </is>
      </c>
      <c r="H1073" s="17" t="inlineStr">
        <is>
          <t>打开原文</t>
        </is>
      </c>
    </row>
    <row r="1074">
      <c r="A1074" s="18" t="n">
        <v>536</v>
      </c>
      <c r="B1074" s="19" t="n">
        <v>45987</v>
      </c>
      <c r="C1074" s="20" t="n">
        <v>1207.86</v>
      </c>
      <c r="D1074" s="28" t="n"/>
      <c r="E1074" s="28" t="n"/>
      <c r="F1074" s="28" t="n"/>
      <c r="G1074" s="22" t="inlineStr">
        <is>
          <t>全国基准价</t>
        </is>
      </c>
      <c r="H1074" s="23" t="inlineStr">
        <is>
          <t>打开原文</t>
        </is>
      </c>
    </row>
    <row r="1075">
      <c r="A1075" s="12" t="n">
        <v>537</v>
      </c>
      <c r="B1075" s="13" t="n">
        <v>45988</v>
      </c>
      <c r="C1075" s="14" t="n">
        <v>1207.86</v>
      </c>
      <c r="D1075" s="27" t="n"/>
      <c r="E1075" s="27" t="n"/>
      <c r="F1075" s="27" t="n"/>
      <c r="G1075" s="16" t="inlineStr">
        <is>
          <t>全国基准价</t>
        </is>
      </c>
      <c r="H1075" s="17" t="inlineStr">
        <is>
          <t>打开原文</t>
        </is>
      </c>
    </row>
    <row r="1076">
      <c r="A1076" s="18" t="n">
        <v>538</v>
      </c>
      <c r="B1076" s="19" t="n">
        <v>45989</v>
      </c>
      <c r="C1076" s="20" t="n">
        <v>1207.86</v>
      </c>
      <c r="D1076" s="28" t="n"/>
      <c r="E1076" s="28" t="n"/>
      <c r="F1076" s="28" t="n"/>
      <c r="G1076" s="22" t="inlineStr">
        <is>
          <t>全国基准价</t>
        </is>
      </c>
      <c r="H1076" s="23" t="inlineStr">
        <is>
          <t>打开原文</t>
        </is>
      </c>
    </row>
    <row r="1077">
      <c r="A1077" s="12" t="n">
        <v>539</v>
      </c>
      <c r="B1077" s="13" t="n">
        <v>45992</v>
      </c>
      <c r="C1077" s="14" t="n">
        <v>1206.43</v>
      </c>
      <c r="D1077" s="27" t="n"/>
      <c r="E1077" s="27" t="n"/>
      <c r="F1077" s="27" t="n"/>
      <c r="G1077" s="16" t="inlineStr">
        <is>
          <t>全国基准价</t>
        </is>
      </c>
      <c r="H1077" s="17" t="inlineStr">
        <is>
          <t>打开原文</t>
        </is>
      </c>
    </row>
    <row r="1078">
      <c r="A1078" s="18" t="n">
        <v>540</v>
      </c>
      <c r="B1078" s="19" t="n">
        <v>45993</v>
      </c>
      <c r="C1078" s="20" t="n">
        <v>1206.43</v>
      </c>
      <c r="D1078" s="28" t="n"/>
      <c r="E1078" s="28" t="n"/>
      <c r="F1078" s="28" t="n"/>
      <c r="G1078" s="22" t="inlineStr">
        <is>
          <t>全国基准价</t>
        </is>
      </c>
      <c r="H1078" s="23" t="inlineStr">
        <is>
          <t>打开原文</t>
        </is>
      </c>
    </row>
    <row r="1079">
      <c r="A1079" s="12" t="n">
        <v>541</v>
      </c>
      <c r="B1079" s="13" t="n">
        <v>45994</v>
      </c>
      <c r="C1079" s="14" t="n">
        <v>1209.29</v>
      </c>
      <c r="D1079" s="27" t="n"/>
      <c r="E1079" s="27" t="n"/>
      <c r="F1079" s="27" t="n"/>
      <c r="G1079" s="16" t="inlineStr">
        <is>
          <t>全国基准价</t>
        </is>
      </c>
      <c r="H1079" s="17" t="inlineStr">
        <is>
          <t>打开原文</t>
        </is>
      </c>
    </row>
    <row r="1080">
      <c r="A1080" s="18" t="n">
        <v>542</v>
      </c>
      <c r="B1080" s="19" t="n">
        <v>45995</v>
      </c>
      <c r="C1080" s="20" t="n">
        <v>1206.43</v>
      </c>
      <c r="D1080" s="28" t="n"/>
      <c r="E1080" s="28" t="n"/>
      <c r="F1080" s="28" t="n"/>
      <c r="G1080" s="22" t="inlineStr">
        <is>
          <t>全国基准价</t>
        </is>
      </c>
      <c r="H1080" s="23" t="inlineStr">
        <is>
          <t>打开原文</t>
        </is>
      </c>
    </row>
    <row r="1081">
      <c r="A1081" s="12" t="n">
        <v>543</v>
      </c>
      <c r="B1081" s="13" t="n">
        <v>45996</v>
      </c>
      <c r="C1081" s="14" t="n">
        <v>1205.71</v>
      </c>
      <c r="D1081" s="27" t="n"/>
      <c r="E1081" s="27" t="n"/>
      <c r="F1081" s="27" t="n"/>
      <c r="G1081" s="16" t="inlineStr">
        <is>
          <t>全国基准价</t>
        </is>
      </c>
      <c r="H1081" s="17" t="inlineStr">
        <is>
          <t>打开原文</t>
        </is>
      </c>
    </row>
    <row r="1082">
      <c r="A1082" s="18" t="n">
        <v>544</v>
      </c>
      <c r="B1082" s="19" t="n">
        <v>45999</v>
      </c>
      <c r="C1082" s="20" t="n">
        <v>1205.71</v>
      </c>
      <c r="D1082" s="28" t="n"/>
      <c r="E1082" s="28" t="n"/>
      <c r="F1082" s="28" t="n"/>
      <c r="G1082" s="22" t="inlineStr">
        <is>
          <t>全国基准价</t>
        </is>
      </c>
      <c r="H1082" s="23" t="inlineStr">
        <is>
          <t>打开原文</t>
        </is>
      </c>
    </row>
    <row r="1083">
      <c r="A1083" s="12" t="n">
        <v>545</v>
      </c>
      <c r="B1083" s="13" t="n">
        <v>46000</v>
      </c>
      <c r="C1083" s="14" t="n">
        <v>1205.71</v>
      </c>
      <c r="D1083" s="27" t="n"/>
      <c r="E1083" s="27" t="n"/>
      <c r="F1083" s="27" t="n"/>
      <c r="G1083" s="16" t="inlineStr">
        <is>
          <t>全国基准价</t>
        </is>
      </c>
      <c r="H1083" s="17" t="inlineStr">
        <is>
          <t>打开原文</t>
        </is>
      </c>
    </row>
    <row r="1084">
      <c r="A1084" s="18" t="n">
        <v>546</v>
      </c>
      <c r="B1084" s="19" t="n">
        <v>46001</v>
      </c>
      <c r="C1084" s="20" t="n">
        <v>1221.43</v>
      </c>
      <c r="D1084" s="28" t="n"/>
      <c r="E1084" s="28" t="n"/>
      <c r="F1084" s="28" t="n"/>
      <c r="G1084" s="22" t="inlineStr">
        <is>
          <t>全国基准价</t>
        </is>
      </c>
      <c r="H1084" s="23" t="inlineStr">
        <is>
          <t>打开原文</t>
        </is>
      </c>
    </row>
    <row r="1085">
      <c r="A1085" s="12" t="n">
        <v>547</v>
      </c>
      <c r="B1085" s="13" t="n">
        <v>46002</v>
      </c>
      <c r="C1085" s="14" t="n">
        <v>1222.86</v>
      </c>
      <c r="D1085" s="27" t="n"/>
      <c r="E1085" s="27" t="n"/>
      <c r="F1085" s="27" t="n"/>
      <c r="G1085" s="16" t="inlineStr">
        <is>
          <t>全国基准价</t>
        </is>
      </c>
      <c r="H1085" s="17" t="inlineStr">
        <is>
          <t>打开原文</t>
        </is>
      </c>
    </row>
    <row r="1086">
      <c r="A1086" s="18" t="n">
        <v>548</v>
      </c>
      <c r="B1086" s="19" t="n">
        <v>46003</v>
      </c>
      <c r="C1086" s="20" t="n">
        <v>1222.86</v>
      </c>
      <c r="D1086" s="28" t="n"/>
      <c r="E1086" s="28" t="n"/>
      <c r="F1086" s="28" t="n"/>
      <c r="G1086" s="22" t="inlineStr">
        <is>
          <t>全国基准价</t>
        </is>
      </c>
      <c r="H1086" s="23" t="inlineStr">
        <is>
          <t>打开原文</t>
        </is>
      </c>
    </row>
    <row r="1087">
      <c r="A1087" s="12" t="n">
        <v>549</v>
      </c>
      <c r="B1087" s="13" t="n">
        <v>46006</v>
      </c>
      <c r="C1087" s="14" t="n">
        <v>1222.86</v>
      </c>
      <c r="D1087" s="27" t="n"/>
      <c r="E1087" s="27" t="n"/>
      <c r="F1087" s="27" t="n"/>
      <c r="G1087" s="16" t="inlineStr">
        <is>
          <t>全国基准价</t>
        </is>
      </c>
      <c r="H1087" s="17" t="inlineStr">
        <is>
          <t>打开原文</t>
        </is>
      </c>
    </row>
    <row r="1088">
      <c r="A1088" s="18" t="n">
        <v>550</v>
      </c>
      <c r="B1088" s="19" t="n">
        <v>46007</v>
      </c>
      <c r="C1088" s="20" t="n">
        <v>1222.86</v>
      </c>
      <c r="D1088" s="28" t="n"/>
      <c r="E1088" s="28" t="n"/>
      <c r="F1088" s="28" t="n"/>
      <c r="G1088" s="22" t="inlineStr">
        <is>
          <t>全国基准价</t>
        </is>
      </c>
      <c r="H1088" s="23" t="inlineStr">
        <is>
          <t>打开原文</t>
        </is>
      </c>
    </row>
    <row r="1089">
      <c r="A1089" s="12" t="n">
        <v>551</v>
      </c>
      <c r="B1089" s="13" t="n">
        <v>46008</v>
      </c>
      <c r="C1089" s="14" t="n">
        <v>1222.86</v>
      </c>
      <c r="D1089" s="27" t="n"/>
      <c r="E1089" s="27" t="n"/>
      <c r="F1089" s="27" t="n"/>
      <c r="G1089" s="16" t="inlineStr">
        <is>
          <t>全国基准价</t>
        </is>
      </c>
      <c r="H1089" s="17" t="inlineStr">
        <is>
          <t>打开原文</t>
        </is>
      </c>
    </row>
    <row r="1090">
      <c r="A1090" s="18" t="n">
        <v>552</v>
      </c>
      <c r="B1090" s="19" t="n">
        <v>46009</v>
      </c>
      <c r="C1090" s="20" t="n">
        <v>1222.86</v>
      </c>
      <c r="D1090" s="28" t="n"/>
      <c r="E1090" s="28" t="n"/>
      <c r="F1090" s="28" t="n"/>
      <c r="G1090" s="22" t="inlineStr">
        <is>
          <t>全国基准价</t>
        </is>
      </c>
      <c r="H1090" s="23" t="inlineStr">
        <is>
          <t>打开原文</t>
        </is>
      </c>
    </row>
    <row r="1091">
      <c r="A1091" s="12" t="n">
        <v>553</v>
      </c>
      <c r="B1091" s="13" t="n">
        <v>46010</v>
      </c>
      <c r="C1091" s="14" t="n">
        <v>1222.86</v>
      </c>
      <c r="D1091" s="27" t="n"/>
      <c r="E1091" s="27" t="n"/>
      <c r="F1091" s="27" t="n"/>
      <c r="G1091" s="16" t="inlineStr">
        <is>
          <t>全国基准价</t>
        </is>
      </c>
      <c r="H1091" s="17" t="inlineStr">
        <is>
          <t>打开原文</t>
        </is>
      </c>
    </row>
    <row r="1092">
      <c r="A1092" s="18" t="n">
        <v>554</v>
      </c>
      <c r="B1092" s="19" t="n">
        <v>46013</v>
      </c>
      <c r="C1092" s="20" t="n">
        <v>1222.86</v>
      </c>
      <c r="D1092" s="28" t="n"/>
      <c r="E1092" s="28" t="n"/>
      <c r="F1092" s="28" t="n"/>
      <c r="G1092" s="22" t="inlineStr">
        <is>
          <t>全国基准价</t>
        </is>
      </c>
      <c r="H1092" s="23" t="inlineStr">
        <is>
          <t>打开原文</t>
        </is>
      </c>
    </row>
    <row r="1093">
      <c r="A1093" s="12" t="n">
        <v>555</v>
      </c>
      <c r="B1093" s="13" t="n">
        <v>46014</v>
      </c>
      <c r="C1093" s="14" t="n">
        <v>1222.86</v>
      </c>
      <c r="D1093" s="27" t="n"/>
      <c r="E1093" s="27" t="n"/>
      <c r="F1093" s="27" t="n"/>
      <c r="G1093" s="16" t="inlineStr">
        <is>
          <t>全国基准价</t>
        </is>
      </c>
      <c r="H1093" s="17" t="inlineStr">
        <is>
          <t>打开原文</t>
        </is>
      </c>
    </row>
    <row r="1094">
      <c r="A1094" s="18" t="n">
        <v>556</v>
      </c>
      <c r="B1094" s="19" t="n">
        <v>46015</v>
      </c>
      <c r="C1094" s="20" t="n">
        <v>1222.86</v>
      </c>
      <c r="D1094" s="28" t="n"/>
      <c r="E1094" s="28" t="n"/>
      <c r="F1094" s="28" t="n"/>
      <c r="G1094" s="22" t="inlineStr">
        <is>
          <t>全国基准价</t>
        </is>
      </c>
      <c r="H1094" s="23" t="inlineStr">
        <is>
          <t>打开原文</t>
        </is>
      </c>
    </row>
    <row r="1095">
      <c r="A1095" s="12" t="n">
        <v>557</v>
      </c>
      <c r="B1095" s="13" t="n">
        <v>46016</v>
      </c>
      <c r="C1095" s="14" t="n">
        <v>1225.71</v>
      </c>
      <c r="D1095" s="27" t="n"/>
      <c r="E1095" s="27" t="n"/>
      <c r="F1095" s="27" t="n"/>
      <c r="G1095" s="16" t="inlineStr">
        <is>
          <t>全国基准价</t>
        </is>
      </c>
      <c r="H1095" s="17" t="inlineStr">
        <is>
          <t>打开原文</t>
        </is>
      </c>
    </row>
    <row r="1096">
      <c r="A1096" s="18" t="n">
        <v>558</v>
      </c>
      <c r="B1096" s="19" t="n">
        <v>46017</v>
      </c>
      <c r="C1096" s="20" t="n">
        <v>1225.71</v>
      </c>
      <c r="D1096" s="28" t="n"/>
      <c r="E1096" s="28" t="n"/>
      <c r="F1096" s="28" t="n"/>
      <c r="G1096" s="22" t="inlineStr">
        <is>
          <t>全国基准价</t>
        </is>
      </c>
      <c r="H1096" s="23" t="inlineStr">
        <is>
          <t>打开原文</t>
        </is>
      </c>
    </row>
    <row r="1097">
      <c r="A1097" s="12" t="n">
        <v>559</v>
      </c>
      <c r="B1097" s="13" t="n">
        <v>46020</v>
      </c>
      <c r="C1097" s="14" t="n">
        <v>1225.71</v>
      </c>
      <c r="D1097" s="27" t="n"/>
      <c r="E1097" s="27" t="n"/>
      <c r="F1097" s="27" t="n"/>
      <c r="G1097" s="16" t="inlineStr">
        <is>
          <t>全国基准价</t>
        </is>
      </c>
      <c r="H1097" s="17" t="inlineStr">
        <is>
          <t>打开原文</t>
        </is>
      </c>
    </row>
    <row r="1098">
      <c r="A1098" s="18" t="n">
        <v>560</v>
      </c>
      <c r="B1098" s="19" t="n">
        <v>46021</v>
      </c>
      <c r="C1098" s="20" t="n">
        <v>1225.71</v>
      </c>
      <c r="D1098" s="28" t="n"/>
      <c r="E1098" s="28" t="n"/>
      <c r="F1098" s="28" t="n"/>
      <c r="G1098" s="22" t="inlineStr">
        <is>
          <t>全国基准价</t>
        </is>
      </c>
      <c r="H1098" s="23" t="inlineStr">
        <is>
          <t>打开原文</t>
        </is>
      </c>
    </row>
    <row r="1099">
      <c r="A1099" s="12" t="n">
        <v>561</v>
      </c>
      <c r="B1099" s="13" t="n">
        <v>46022</v>
      </c>
      <c r="C1099" s="14" t="n">
        <v>1225.71</v>
      </c>
      <c r="D1099" s="27" t="n"/>
      <c r="E1099" s="27" t="n"/>
      <c r="F1099" s="27" t="n"/>
      <c r="G1099" s="16" t="inlineStr">
        <is>
          <t>全国基准价</t>
        </is>
      </c>
      <c r="H1099" s="17" t="inlineStr">
        <is>
          <t>打开原文</t>
        </is>
      </c>
    </row>
    <row r="1100">
      <c r="A1100" s="18" t="n">
        <v>562</v>
      </c>
      <c r="B1100" s="19" t="n">
        <v>46023</v>
      </c>
      <c r="C1100" s="20" t="n">
        <v>1225.71</v>
      </c>
      <c r="D1100" s="28" t="n"/>
      <c r="E1100" s="28" t="n"/>
      <c r="F1100" s="28" t="n"/>
      <c r="G1100" s="22" t="inlineStr">
        <is>
          <t>全国基准价</t>
        </is>
      </c>
      <c r="H1100" s="23" t="inlineStr">
        <is>
          <t>打开原文</t>
        </is>
      </c>
    </row>
    <row r="1101">
      <c r="A1101" s="12" t="n">
        <v>563</v>
      </c>
      <c r="B1101" s="13" t="n">
        <v>46024</v>
      </c>
      <c r="C1101" s="14" t="n">
        <v>1225.71</v>
      </c>
      <c r="D1101" s="27" t="n"/>
      <c r="E1101" s="27" t="n"/>
      <c r="F1101" s="27" t="n"/>
      <c r="G1101" s="16" t="inlineStr">
        <is>
          <t>全国基准价</t>
        </is>
      </c>
      <c r="H1101" s="17" t="inlineStr">
        <is>
          <t>打开原文</t>
        </is>
      </c>
    </row>
    <row r="1102">
      <c r="A1102" s="18" t="n">
        <v>564</v>
      </c>
      <c r="B1102" s="19" t="n">
        <v>46027</v>
      </c>
      <c r="C1102" s="20" t="n">
        <v>1215.71</v>
      </c>
      <c r="D1102" s="28" t="n"/>
      <c r="E1102" s="28" t="n"/>
      <c r="F1102" s="28" t="n"/>
      <c r="G1102" s="22" t="inlineStr">
        <is>
          <t>全国基准价</t>
        </is>
      </c>
      <c r="H1102" s="23" t="inlineStr">
        <is>
          <t>打开原文</t>
        </is>
      </c>
    </row>
    <row r="1103">
      <c r="A1103" s="12" t="n">
        <v>565</v>
      </c>
      <c r="B1103" s="13" t="n">
        <v>46028</v>
      </c>
      <c r="C1103" s="14" t="n">
        <v>1208.57</v>
      </c>
      <c r="D1103" s="27" t="n"/>
      <c r="E1103" s="27" t="n"/>
      <c r="F1103" s="27" t="n"/>
      <c r="G1103" s="16" t="inlineStr">
        <is>
          <t>全国基准价</t>
        </is>
      </c>
      <c r="H1103" s="17" t="inlineStr">
        <is>
          <t>打开原文</t>
        </is>
      </c>
    </row>
    <row r="1104">
      <c r="A1104" s="18" t="n">
        <v>566</v>
      </c>
      <c r="B1104" s="19" t="n">
        <v>46029</v>
      </c>
      <c r="C1104" s="20" t="n">
        <v>1214.29</v>
      </c>
      <c r="D1104" s="28" t="n"/>
      <c r="E1104" s="28" t="n"/>
      <c r="F1104" s="28" t="n"/>
      <c r="G1104" s="22" t="inlineStr">
        <is>
          <t>全国基准价</t>
        </is>
      </c>
      <c r="H1104" s="23" t="inlineStr">
        <is>
          <t>打开原文</t>
        </is>
      </c>
    </row>
    <row r="1105">
      <c r="A1105" s="12" t="n">
        <v>567</v>
      </c>
      <c r="B1105" s="13" t="n">
        <v>46030</v>
      </c>
      <c r="C1105" s="14" t="n">
        <v>1214.29</v>
      </c>
      <c r="D1105" s="27" t="n"/>
      <c r="E1105" s="27" t="n"/>
      <c r="F1105" s="27" t="n"/>
      <c r="G1105" s="16" t="inlineStr">
        <is>
          <t>全国基准价</t>
        </is>
      </c>
      <c r="H1105" s="17" t="inlineStr">
        <is>
          <t>打开原文</t>
        </is>
      </c>
    </row>
    <row r="1106">
      <c r="A1106" s="18" t="n">
        <v>568</v>
      </c>
      <c r="B1106" s="19" t="n">
        <v>46031</v>
      </c>
      <c r="C1106" s="20" t="n">
        <v>1218.57</v>
      </c>
      <c r="D1106" s="28" t="n"/>
      <c r="E1106" s="28" t="n"/>
      <c r="F1106" s="28" t="n"/>
      <c r="G1106" s="22" t="inlineStr">
        <is>
          <t>全国基准价</t>
        </is>
      </c>
      <c r="H1106" s="23" t="inlineStr">
        <is>
          <t>打开原文</t>
        </is>
      </c>
    </row>
    <row r="1107">
      <c r="A1107" s="12" t="n">
        <v>569</v>
      </c>
      <c r="B1107" s="13" t="n">
        <v>46034</v>
      </c>
      <c r="C1107" s="14" t="n">
        <v>1218.57</v>
      </c>
      <c r="D1107" s="27" t="n"/>
      <c r="E1107" s="27" t="n"/>
      <c r="F1107" s="27" t="n"/>
      <c r="G1107" s="16" t="inlineStr">
        <is>
          <t>全国基准价</t>
        </is>
      </c>
      <c r="H1107" s="17" t="inlineStr">
        <is>
          <t>打开原文</t>
        </is>
      </c>
    </row>
    <row r="1108">
      <c r="A1108" s="18" t="n">
        <v>570</v>
      </c>
      <c r="B1108" s="19" t="n">
        <v>46035</v>
      </c>
      <c r="C1108" s="20" t="n">
        <v>1218.57</v>
      </c>
      <c r="D1108" s="28" t="n"/>
      <c r="E1108" s="28" t="n"/>
      <c r="F1108" s="28" t="n"/>
      <c r="G1108" s="22" t="inlineStr">
        <is>
          <t>全国基准价</t>
        </is>
      </c>
      <c r="H1108" s="23" t="inlineStr">
        <is>
          <t>打开原文</t>
        </is>
      </c>
    </row>
    <row r="1109">
      <c r="A1109" s="12" t="n">
        <v>571</v>
      </c>
      <c r="B1109" s="13" t="n">
        <v>46036</v>
      </c>
      <c r="C1109" s="14" t="n">
        <v>1214.29</v>
      </c>
      <c r="D1109" s="27" t="n"/>
      <c r="E1109" s="27" t="n"/>
      <c r="F1109" s="27" t="n"/>
      <c r="G1109" s="16" t="inlineStr">
        <is>
          <t>全国基准价</t>
        </is>
      </c>
      <c r="H1109" s="17" t="inlineStr">
        <is>
          <t>打开原文</t>
        </is>
      </c>
    </row>
    <row r="1110">
      <c r="A1110" s="18" t="n">
        <v>572</v>
      </c>
      <c r="B1110" s="19" t="n">
        <v>46037</v>
      </c>
      <c r="C1110" s="20" t="n">
        <v>1214.29</v>
      </c>
      <c r="D1110" s="28" t="n"/>
      <c r="E1110" s="28" t="n"/>
      <c r="F1110" s="28" t="n"/>
      <c r="G1110" s="22" t="inlineStr">
        <is>
          <t>全国基准价</t>
        </is>
      </c>
      <c r="H1110" s="23" t="inlineStr">
        <is>
          <t>打开原文</t>
        </is>
      </c>
    </row>
    <row r="1111">
      <c r="A1111" s="12" t="n">
        <v>573</v>
      </c>
      <c r="B1111" s="13" t="n">
        <v>46038</v>
      </c>
      <c r="C1111" s="14" t="n">
        <v>1214.29</v>
      </c>
      <c r="D1111" s="27" t="n"/>
      <c r="E1111" s="27" t="n"/>
      <c r="F1111" s="27" t="n"/>
      <c r="G1111" s="16" t="inlineStr">
        <is>
          <t>全国基准价</t>
        </is>
      </c>
      <c r="H1111" s="17" t="inlineStr">
        <is>
          <t>打开原文</t>
        </is>
      </c>
    </row>
    <row r="1112">
      <c r="A1112" s="18" t="n">
        <v>574</v>
      </c>
      <c r="B1112" s="19" t="n">
        <v>46041</v>
      </c>
      <c r="C1112" s="20" t="n">
        <v>1214.29</v>
      </c>
      <c r="D1112" s="28" t="n"/>
      <c r="E1112" s="28" t="n"/>
      <c r="F1112" s="28" t="n"/>
      <c r="G1112" s="22" t="inlineStr">
        <is>
          <t>全国基准价</t>
        </is>
      </c>
      <c r="H1112" s="23" t="inlineStr">
        <is>
          <t>打开原文</t>
        </is>
      </c>
    </row>
    <row r="1113">
      <c r="A1113" s="12" t="n">
        <v>575</v>
      </c>
      <c r="B1113" s="13" t="n">
        <v>46042</v>
      </c>
      <c r="C1113" s="14" t="n">
        <v>1214.29</v>
      </c>
      <c r="D1113" s="27" t="n"/>
      <c r="E1113" s="27" t="n"/>
      <c r="F1113" s="27" t="n"/>
      <c r="G1113" s="16" t="inlineStr">
        <is>
          <t>全国基准价</t>
        </is>
      </c>
      <c r="H1113" s="17" t="inlineStr">
        <is>
          <t>打开原文</t>
        </is>
      </c>
    </row>
    <row r="1114">
      <c r="A1114" s="18" t="n">
        <v>576</v>
      </c>
      <c r="B1114" s="19" t="n">
        <v>46043</v>
      </c>
      <c r="C1114" s="20" t="n">
        <v>1204.29</v>
      </c>
      <c r="D1114" s="28" t="n"/>
      <c r="E1114" s="28" t="n"/>
      <c r="F1114" s="28" t="n"/>
      <c r="G1114" s="22" t="inlineStr">
        <is>
          <t>全国基准价</t>
        </is>
      </c>
      <c r="H1114" s="23" t="inlineStr">
        <is>
          <t>打开原文</t>
        </is>
      </c>
    </row>
    <row r="1115">
      <c r="A1115" s="12" t="n">
        <v>577</v>
      </c>
      <c r="B1115" s="13" t="n">
        <v>46044</v>
      </c>
      <c r="C1115" s="14" t="n">
        <v>1202.86</v>
      </c>
      <c r="D1115" s="27" t="n"/>
      <c r="E1115" s="27" t="n"/>
      <c r="F1115" s="27" t="n"/>
      <c r="G1115" s="16" t="inlineStr">
        <is>
          <t>全国基准价</t>
        </is>
      </c>
      <c r="H1115" s="17" t="inlineStr">
        <is>
          <t>打开原文</t>
        </is>
      </c>
    </row>
    <row r="1116">
      <c r="A1116" s="18" t="n">
        <v>578</v>
      </c>
      <c r="B1116" s="19" t="n">
        <v>46045</v>
      </c>
      <c r="C1116" s="20" t="n">
        <v>1202.86</v>
      </c>
      <c r="D1116" s="28" t="n"/>
      <c r="E1116" s="28" t="n"/>
      <c r="F1116" s="28" t="n"/>
      <c r="G1116" s="22" t="inlineStr">
        <is>
          <t>全国基准价</t>
        </is>
      </c>
      <c r="H1116" s="23" t="inlineStr">
        <is>
          <t>打开原文</t>
        </is>
      </c>
    </row>
    <row r="1117">
      <c r="A1117" s="12" t="n">
        <v>579</v>
      </c>
      <c r="B1117" s="13" t="n">
        <v>46048</v>
      </c>
      <c r="C1117" s="14" t="n">
        <v>1202.86</v>
      </c>
      <c r="D1117" s="27" t="n"/>
      <c r="E1117" s="27" t="n"/>
      <c r="F1117" s="27" t="n"/>
      <c r="G1117" s="16" t="inlineStr">
        <is>
          <t>全国基准价</t>
        </is>
      </c>
      <c r="H1117" s="17" t="inlineStr">
        <is>
          <t>打开原文</t>
        </is>
      </c>
    </row>
    <row r="1118">
      <c r="A1118" s="18" t="n">
        <v>580</v>
      </c>
      <c r="B1118" s="19" t="n">
        <v>46049</v>
      </c>
      <c r="C1118" s="20" t="n">
        <v>1202.86</v>
      </c>
      <c r="D1118" s="28" t="n"/>
      <c r="E1118" s="28" t="n"/>
      <c r="F1118" s="28" t="n"/>
      <c r="G1118" s="22" t="inlineStr">
        <is>
          <t>全国基准价</t>
        </is>
      </c>
      <c r="H1118" s="23" t="inlineStr">
        <is>
          <t>打开原文</t>
        </is>
      </c>
    </row>
    <row r="1119">
      <c r="A1119" s="12" t="n">
        <v>581</v>
      </c>
      <c r="B1119" s="13" t="n">
        <v>46050</v>
      </c>
      <c r="C1119" s="14" t="n">
        <v>1202.86</v>
      </c>
      <c r="D1119" s="27" t="n"/>
      <c r="E1119" s="27" t="n"/>
      <c r="F1119" s="27" t="n"/>
      <c r="G1119" s="16" t="inlineStr">
        <is>
          <t>全国基准价</t>
        </is>
      </c>
      <c r="H1119" s="17" t="inlineStr">
        <is>
          <t>打开原文</t>
        </is>
      </c>
    </row>
    <row r="1120">
      <c r="A1120" s="18" t="n">
        <v>582</v>
      </c>
      <c r="B1120" s="19" t="n">
        <v>46051</v>
      </c>
      <c r="C1120" s="20" t="n">
        <v>1202.86</v>
      </c>
      <c r="D1120" s="28" t="n"/>
      <c r="E1120" s="28" t="n"/>
      <c r="F1120" s="28" t="n"/>
      <c r="G1120" s="22" t="inlineStr">
        <is>
          <t>全国基准价</t>
        </is>
      </c>
      <c r="H1120" s="23" t="inlineStr">
        <is>
          <t>打开原文</t>
        </is>
      </c>
    </row>
    <row r="1121">
      <c r="A1121" s="12" t="n">
        <v>583</v>
      </c>
      <c r="B1121" s="13" t="n">
        <v>46052</v>
      </c>
      <c r="C1121" s="14" t="n">
        <v>1202.86</v>
      </c>
      <c r="D1121" s="27" t="n"/>
      <c r="E1121" s="27" t="n"/>
      <c r="F1121" s="27" t="n"/>
      <c r="G1121" s="16" t="inlineStr">
        <is>
          <t>全国基准价</t>
        </is>
      </c>
      <c r="H1121" s="17" t="inlineStr">
        <is>
          <t>打开原文</t>
        </is>
      </c>
    </row>
    <row r="1122">
      <c r="A1122" s="18" t="n">
        <v>584</v>
      </c>
      <c r="B1122" s="19" t="n">
        <v>46055</v>
      </c>
      <c r="C1122" s="20" t="n">
        <v>1202.86</v>
      </c>
      <c r="D1122" s="28" t="n"/>
      <c r="E1122" s="28" t="n"/>
      <c r="F1122" s="28" t="n"/>
      <c r="G1122" s="22" t="inlineStr">
        <is>
          <t>全国基准价</t>
        </is>
      </c>
      <c r="H1122" s="23" t="inlineStr">
        <is>
          <t>打开原文</t>
        </is>
      </c>
    </row>
    <row r="1123">
      <c r="A1123" s="12" t="n">
        <v>585</v>
      </c>
      <c r="B1123" s="13" t="n">
        <v>46056</v>
      </c>
      <c r="C1123" s="14" t="n">
        <v>1202.86</v>
      </c>
      <c r="D1123" s="27" t="n"/>
      <c r="E1123" s="27" t="n"/>
      <c r="F1123" s="27" t="n"/>
      <c r="G1123" s="16" t="inlineStr">
        <is>
          <t>全国基准价</t>
        </is>
      </c>
      <c r="H1123" s="17" t="inlineStr">
        <is>
          <t>打开原文</t>
        </is>
      </c>
    </row>
    <row r="1124">
      <c r="A1124" s="18" t="n">
        <v>586</v>
      </c>
      <c r="B1124" s="19" t="n">
        <v>46057</v>
      </c>
      <c r="C1124" s="20" t="n">
        <v>1201.43</v>
      </c>
      <c r="D1124" s="28" t="n"/>
      <c r="E1124" s="28" t="n"/>
      <c r="F1124" s="28" t="n"/>
      <c r="G1124" s="22" t="inlineStr">
        <is>
          <t>全国基准价</t>
        </is>
      </c>
      <c r="H1124" s="23" t="inlineStr">
        <is>
          <t>打开原文</t>
        </is>
      </c>
    </row>
    <row r="1125">
      <c r="A1125" s="12" t="n">
        <v>587</v>
      </c>
      <c r="B1125" s="13" t="n">
        <v>46058</v>
      </c>
      <c r="C1125" s="14" t="n">
        <v>1201.43</v>
      </c>
      <c r="D1125" s="27" t="n"/>
      <c r="E1125" s="27" t="n"/>
      <c r="F1125" s="27" t="n"/>
      <c r="G1125" s="16" t="inlineStr">
        <is>
          <t>全国基准价</t>
        </is>
      </c>
      <c r="H1125" s="17" t="inlineStr">
        <is>
          <t>打开原文</t>
        </is>
      </c>
    </row>
    <row r="1126">
      <c r="A1126" s="18" t="n">
        <v>588</v>
      </c>
      <c r="B1126" s="19" t="n">
        <v>46059</v>
      </c>
      <c r="C1126" s="20" t="n">
        <v>1201.43</v>
      </c>
      <c r="D1126" s="28" t="n"/>
      <c r="E1126" s="28" t="n"/>
      <c r="F1126" s="28" t="n"/>
      <c r="G1126" s="22" t="inlineStr">
        <is>
          <t>全国基准价</t>
        </is>
      </c>
      <c r="H1126" s="23" t="inlineStr">
        <is>
          <t>打开原文</t>
        </is>
      </c>
    </row>
    <row r="1127">
      <c r="A1127" s="12" t="n">
        <v>589</v>
      </c>
      <c r="B1127" s="13" t="n">
        <v>46062</v>
      </c>
      <c r="C1127" s="14" t="n">
        <v>1201.43</v>
      </c>
      <c r="D1127" s="27" t="n"/>
      <c r="E1127" s="27" t="n"/>
      <c r="F1127" s="27" t="n"/>
      <c r="G1127" s="16" t="inlineStr">
        <is>
          <t>全国基准价</t>
        </is>
      </c>
      <c r="H1127" s="17" t="inlineStr">
        <is>
          <t>打开原文</t>
        </is>
      </c>
    </row>
    <row r="1128">
      <c r="A1128" s="18" t="n">
        <v>590</v>
      </c>
      <c r="B1128" s="19" t="n">
        <v>46063</v>
      </c>
      <c r="C1128" s="20" t="n">
        <v>1201.43</v>
      </c>
      <c r="D1128" s="28" t="n"/>
      <c r="E1128" s="28" t="n"/>
      <c r="F1128" s="28" t="n"/>
      <c r="G1128" s="22" t="inlineStr">
        <is>
          <t>全国基准价</t>
        </is>
      </c>
      <c r="H1128" s="23" t="inlineStr">
        <is>
          <t>打开原文</t>
        </is>
      </c>
    </row>
    <row r="1129">
      <c r="A1129" s="12" t="n">
        <v>591</v>
      </c>
      <c r="B1129" s="13" t="n">
        <v>46064</v>
      </c>
      <c r="C1129" s="14" t="n">
        <v>1201.43</v>
      </c>
      <c r="D1129" s="27" t="n"/>
      <c r="E1129" s="27" t="n"/>
      <c r="F1129" s="27" t="n"/>
      <c r="G1129" s="16" t="inlineStr">
        <is>
          <t>全国基准价</t>
        </is>
      </c>
      <c r="H1129" s="17" t="inlineStr">
        <is>
          <t>打开原文</t>
        </is>
      </c>
    </row>
    <row r="1130">
      <c r="A1130" s="18" t="n">
        <v>592</v>
      </c>
      <c r="B1130" s="19" t="n">
        <v>46065</v>
      </c>
      <c r="C1130" s="20" t="n">
        <v>1201.43</v>
      </c>
      <c r="D1130" s="28" t="n"/>
      <c r="E1130" s="28" t="n"/>
      <c r="F1130" s="28" t="n"/>
      <c r="G1130" s="22" t="inlineStr">
        <is>
          <t>全国基准价</t>
        </is>
      </c>
      <c r="H1130" s="23" t="inlineStr">
        <is>
          <t>打开原文</t>
        </is>
      </c>
    </row>
    <row r="1131">
      <c r="A1131" s="12" t="n">
        <v>593</v>
      </c>
      <c r="B1131" s="13" t="n">
        <v>46066</v>
      </c>
      <c r="C1131" s="14" t="n">
        <v>1201.43</v>
      </c>
      <c r="D1131" s="27" t="n"/>
      <c r="E1131" s="27" t="n"/>
      <c r="F1131" s="27" t="n"/>
      <c r="G1131" s="16" t="inlineStr">
        <is>
          <t>全国基准价</t>
        </is>
      </c>
      <c r="H1131" s="17" t="inlineStr">
        <is>
          <t>打开原文</t>
        </is>
      </c>
    </row>
    <row r="1132">
      <c r="A1132" s="18" t="n">
        <v>594</v>
      </c>
      <c r="B1132" s="19" t="n">
        <v>46069</v>
      </c>
      <c r="C1132" s="20" t="n">
        <v>1201.43</v>
      </c>
      <c r="D1132" s="28" t="n"/>
      <c r="E1132" s="28" t="n"/>
      <c r="F1132" s="28" t="n"/>
      <c r="G1132" s="22" t="inlineStr">
        <is>
          <t>全国基准价</t>
        </is>
      </c>
      <c r="H1132" s="23" t="inlineStr">
        <is>
          <t>打开原文</t>
        </is>
      </c>
    </row>
    <row r="1133">
      <c r="A1133" s="12" t="n">
        <v>595</v>
      </c>
      <c r="B1133" s="13" t="n">
        <v>46070</v>
      </c>
      <c r="C1133" s="14" t="n">
        <v>1201.43</v>
      </c>
      <c r="D1133" s="27" t="n"/>
      <c r="E1133" s="27" t="n"/>
      <c r="F1133" s="27" t="n"/>
      <c r="G1133" s="16" t="inlineStr">
        <is>
          <t>全国基准价</t>
        </is>
      </c>
      <c r="H1133" s="17" t="inlineStr">
        <is>
          <t>打开原文</t>
        </is>
      </c>
    </row>
    <row r="1134">
      <c r="A1134" s="18" t="n">
        <v>596</v>
      </c>
      <c r="B1134" s="19" t="n">
        <v>46071</v>
      </c>
      <c r="C1134" s="20" t="n">
        <v>1201.43</v>
      </c>
      <c r="D1134" s="28" t="n"/>
      <c r="E1134" s="28" t="n"/>
      <c r="F1134" s="28" t="n"/>
      <c r="G1134" s="22" t="inlineStr">
        <is>
          <t>全国基准价</t>
        </is>
      </c>
      <c r="H1134" s="23" t="inlineStr">
        <is>
          <t>打开原文</t>
        </is>
      </c>
    </row>
    <row r="1135">
      <c r="A1135" s="12" t="n">
        <v>597</v>
      </c>
      <c r="B1135" s="13" t="n">
        <v>46072</v>
      </c>
      <c r="C1135" s="14" t="n">
        <v>1201.43</v>
      </c>
      <c r="D1135" s="27" t="n"/>
      <c r="E1135" s="27" t="n"/>
      <c r="F1135" s="27" t="n"/>
      <c r="G1135" s="16" t="inlineStr">
        <is>
          <t>全国基准价</t>
        </is>
      </c>
      <c r="H1135" s="17" t="inlineStr">
        <is>
          <t>打开原文</t>
        </is>
      </c>
    </row>
    <row r="1136">
      <c r="A1136" s="18" t="n">
        <v>598</v>
      </c>
      <c r="B1136" s="19" t="n">
        <v>46073</v>
      </c>
      <c r="C1136" s="20" t="n">
        <v>1201.43</v>
      </c>
      <c r="D1136" s="28" t="n"/>
      <c r="E1136" s="28" t="n"/>
      <c r="F1136" s="28" t="n"/>
      <c r="G1136" s="22" t="inlineStr">
        <is>
          <t>全国基准价</t>
        </is>
      </c>
      <c r="H1136" s="23" t="inlineStr">
        <is>
          <t>打开原文</t>
        </is>
      </c>
    </row>
    <row r="1137">
      <c r="A1137" s="12" t="n">
        <v>599</v>
      </c>
      <c r="B1137" s="13" t="n">
        <v>46076</v>
      </c>
      <c r="C1137" s="14" t="n">
        <v>1201.43</v>
      </c>
      <c r="D1137" s="27" t="n"/>
      <c r="E1137" s="27" t="n"/>
      <c r="F1137" s="27" t="n"/>
      <c r="G1137" s="16" t="inlineStr">
        <is>
          <t>全国基准价</t>
        </is>
      </c>
      <c r="H1137" s="17" t="inlineStr">
        <is>
          <t>打开原文</t>
        </is>
      </c>
    </row>
    <row r="1138">
      <c r="A1138" s="18" t="n">
        <v>600</v>
      </c>
      <c r="B1138" s="19" t="n">
        <v>46077</v>
      </c>
      <c r="C1138" s="20" t="n">
        <v>1201.43</v>
      </c>
      <c r="D1138" s="28" t="n"/>
      <c r="E1138" s="28" t="n"/>
      <c r="F1138" s="28" t="n"/>
      <c r="G1138" s="22" t="inlineStr">
        <is>
          <t>全国基准价</t>
        </is>
      </c>
      <c r="H1138" s="23" t="inlineStr">
        <is>
          <t>打开原文</t>
        </is>
      </c>
    </row>
    <row r="1139">
      <c r="A1139" s="12" t="n">
        <v>601</v>
      </c>
      <c r="B1139" s="13" t="n">
        <v>46078</v>
      </c>
      <c r="C1139" s="14" t="n">
        <v>1202.86</v>
      </c>
      <c r="D1139" s="27" t="n"/>
      <c r="E1139" s="27" t="n"/>
      <c r="F1139" s="27" t="n"/>
      <c r="G1139" s="16" t="inlineStr">
        <is>
          <t>全国基准价</t>
        </is>
      </c>
      <c r="H1139" s="17" t="inlineStr">
        <is>
          <t>打开原文</t>
        </is>
      </c>
    </row>
    <row r="1140">
      <c r="A1140" s="18" t="n">
        <v>602</v>
      </c>
      <c r="B1140" s="19" t="n">
        <v>46079</v>
      </c>
      <c r="C1140" s="20" t="n">
        <v>1202.86</v>
      </c>
      <c r="D1140" s="28" t="n"/>
      <c r="E1140" s="28" t="n"/>
      <c r="F1140" s="28" t="n"/>
      <c r="G1140" s="22" t="inlineStr">
        <is>
          <t>全国基准价</t>
        </is>
      </c>
      <c r="H1140" s="23" t="inlineStr">
        <is>
          <t>打开原文</t>
        </is>
      </c>
    </row>
    <row r="1141">
      <c r="A1141" s="12" t="n">
        <v>603</v>
      </c>
      <c r="B1141" s="13" t="n">
        <v>46080</v>
      </c>
      <c r="C1141" s="14" t="n">
        <v>1202.86</v>
      </c>
      <c r="D1141" s="27" t="n"/>
      <c r="E1141" s="27" t="n"/>
      <c r="F1141" s="27" t="n"/>
      <c r="G1141" s="16" t="inlineStr">
        <is>
          <t>全国基准价</t>
        </is>
      </c>
      <c r="H1141" s="17" t="inlineStr">
        <is>
          <t>打开原文</t>
        </is>
      </c>
    </row>
    <row r="1142">
      <c r="A1142" s="18" t="n">
        <v>604</v>
      </c>
      <c r="B1142" s="19" t="n">
        <v>46083</v>
      </c>
      <c r="C1142" s="20" t="n">
        <v>1202.86</v>
      </c>
      <c r="D1142" s="28" t="n"/>
      <c r="E1142" s="28" t="n"/>
      <c r="F1142" s="28" t="n"/>
      <c r="G1142" s="22" t="inlineStr">
        <is>
          <t>全国基准价</t>
        </is>
      </c>
      <c r="H1142" s="23" t="inlineStr">
        <is>
          <t>打开原文</t>
        </is>
      </c>
    </row>
    <row r="1143">
      <c r="A1143" s="12" t="n">
        <v>605</v>
      </c>
      <c r="B1143" s="13" t="n">
        <v>46084</v>
      </c>
      <c r="C1143" s="14" t="n">
        <v>1202.86</v>
      </c>
      <c r="D1143" s="27" t="n"/>
      <c r="E1143" s="27" t="n"/>
      <c r="F1143" s="27" t="n"/>
      <c r="G1143" s="16" t="inlineStr">
        <is>
          <t>全国基准价</t>
        </is>
      </c>
      <c r="H1143" s="17" t="inlineStr">
        <is>
          <t>打开原文</t>
        </is>
      </c>
    </row>
    <row r="1144">
      <c r="A1144" s="18" t="n">
        <v>606</v>
      </c>
      <c r="B1144" s="19" t="n">
        <v>46085</v>
      </c>
      <c r="C1144" s="20" t="n">
        <v>1202.86</v>
      </c>
      <c r="D1144" s="28" t="n"/>
      <c r="E1144" s="28" t="n"/>
      <c r="F1144" s="28" t="n"/>
      <c r="G1144" s="22" t="inlineStr">
        <is>
          <t>全国基准价</t>
        </is>
      </c>
      <c r="H1144" s="23" t="inlineStr">
        <is>
          <t>打开原文</t>
        </is>
      </c>
    </row>
    <row r="1145">
      <c r="A1145" s="12" t="n">
        <v>607</v>
      </c>
      <c r="B1145" s="13" t="n">
        <v>46086</v>
      </c>
      <c r="C1145" s="14" t="n">
        <v>1202.86</v>
      </c>
      <c r="D1145" s="27" t="n"/>
      <c r="E1145" s="27" t="n"/>
      <c r="F1145" s="27" t="n"/>
      <c r="G1145" s="16" t="inlineStr">
        <is>
          <t>全国基准价</t>
        </is>
      </c>
      <c r="H1145" s="17" t="inlineStr">
        <is>
          <t>打开原文</t>
        </is>
      </c>
    </row>
    <row r="1146">
      <c r="A1146" s="18" t="n">
        <v>608</v>
      </c>
      <c r="B1146" s="19" t="n">
        <v>46087</v>
      </c>
      <c r="C1146" s="20" t="n">
        <v>1202.86</v>
      </c>
      <c r="D1146" s="28" t="n"/>
      <c r="E1146" s="28" t="n"/>
      <c r="F1146" s="28" t="n"/>
      <c r="G1146" s="22" t="inlineStr">
        <is>
          <t>全国基准价</t>
        </is>
      </c>
      <c r="H1146" s="23" t="inlineStr">
        <is>
          <t>打开原文</t>
        </is>
      </c>
    </row>
    <row r="1147">
      <c r="A1147" s="12" t="n">
        <v>609</v>
      </c>
      <c r="B1147" s="13" t="n">
        <v>46090</v>
      </c>
      <c r="C1147" s="14" t="n">
        <v>1212.86</v>
      </c>
      <c r="D1147" s="27" t="n"/>
      <c r="E1147" s="27" t="n"/>
      <c r="F1147" s="27" t="n"/>
      <c r="G1147" s="16" t="inlineStr">
        <is>
          <t>全国基准价</t>
        </is>
      </c>
      <c r="H1147" s="17" t="inlineStr">
        <is>
          <t>打开原文</t>
        </is>
      </c>
    </row>
    <row r="1148">
      <c r="A1148" s="18" t="n">
        <v>610</v>
      </c>
      <c r="B1148" s="19" t="n">
        <v>46091</v>
      </c>
      <c r="C1148" s="20" t="n">
        <v>1230</v>
      </c>
      <c r="D1148" s="28" t="n"/>
      <c r="E1148" s="28" t="n"/>
      <c r="F1148" s="28" t="n"/>
      <c r="G1148" s="22" t="inlineStr">
        <is>
          <t>全国基准价</t>
        </is>
      </c>
      <c r="H1148" s="23" t="inlineStr">
        <is>
          <t>打开原文</t>
        </is>
      </c>
    </row>
    <row r="1149">
      <c r="A1149" s="12" t="n">
        <v>611</v>
      </c>
      <c r="B1149" s="13" t="n">
        <v>46092</v>
      </c>
      <c r="C1149" s="14" t="n">
        <v>1235.71</v>
      </c>
      <c r="D1149" s="27" t="n"/>
      <c r="E1149" s="27" t="n"/>
      <c r="F1149" s="27" t="n"/>
      <c r="G1149" s="16" t="inlineStr">
        <is>
          <t>全国基准价</t>
        </is>
      </c>
      <c r="H1149" s="17" t="inlineStr">
        <is>
          <t>打开原文</t>
        </is>
      </c>
    </row>
    <row r="1150">
      <c r="A1150" s="18" t="n">
        <v>612</v>
      </c>
      <c r="B1150" s="19" t="n">
        <v>46093</v>
      </c>
      <c r="C1150" s="20" t="n">
        <v>1235.71</v>
      </c>
      <c r="D1150" s="28" t="n"/>
      <c r="E1150" s="28" t="n"/>
      <c r="F1150" s="28" t="n"/>
      <c r="G1150" s="22" t="inlineStr">
        <is>
          <t>全国基准价</t>
        </is>
      </c>
      <c r="H1150" s="23" t="inlineStr">
        <is>
          <t>打开原文</t>
        </is>
      </c>
    </row>
    <row r="1151">
      <c r="A1151" s="12" t="n">
        <v>613</v>
      </c>
      <c r="B1151" s="13" t="n">
        <v>46094</v>
      </c>
      <c r="C1151" s="14" t="n">
        <v>1239.29</v>
      </c>
      <c r="D1151" s="27" t="n"/>
      <c r="E1151" s="27" t="n"/>
      <c r="F1151" s="27" t="n"/>
      <c r="G1151" s="16" t="inlineStr">
        <is>
          <t>全国基准价</t>
        </is>
      </c>
      <c r="H1151" s="17" t="inlineStr">
        <is>
          <t>打开原文</t>
        </is>
      </c>
    </row>
    <row r="1152">
      <c r="A1152" s="18" t="n">
        <v>614</v>
      </c>
      <c r="B1152" s="19" t="n">
        <v>46097</v>
      </c>
      <c r="C1152" s="20" t="n">
        <v>1250.71</v>
      </c>
      <c r="D1152" s="28" t="n"/>
      <c r="E1152" s="28" t="n"/>
      <c r="F1152" s="28" t="n"/>
      <c r="G1152" s="22" t="inlineStr">
        <is>
          <t>全国基准价</t>
        </is>
      </c>
      <c r="H1152" s="23" t="inlineStr">
        <is>
          <t>打开原文</t>
        </is>
      </c>
    </row>
    <row r="1153">
      <c r="A1153" s="12" t="n">
        <v>615</v>
      </c>
      <c r="B1153" s="13" t="n">
        <v>46098</v>
      </c>
      <c r="C1153" s="14" t="n">
        <v>1250.71</v>
      </c>
      <c r="D1153" s="27" t="n"/>
      <c r="E1153" s="27" t="n"/>
      <c r="F1153" s="27" t="n"/>
      <c r="G1153" s="16" t="inlineStr">
        <is>
          <t>全国基准价</t>
        </is>
      </c>
      <c r="H1153" s="17" t="inlineStr">
        <is>
          <t>打开原文</t>
        </is>
      </c>
    </row>
    <row r="1154">
      <c r="A1154" s="18" t="n">
        <v>616</v>
      </c>
      <c r="B1154" s="19" t="n">
        <v>46099</v>
      </c>
      <c r="C1154" s="20" t="n">
        <v>1248.57</v>
      </c>
      <c r="D1154" s="28" t="n"/>
      <c r="E1154" s="28" t="n"/>
      <c r="F1154" s="28" t="n"/>
      <c r="G1154" s="22" t="inlineStr">
        <is>
          <t>全国基准价</t>
        </is>
      </c>
      <c r="H1154" s="23" t="inlineStr">
        <is>
          <t>打开原文</t>
        </is>
      </c>
    </row>
    <row r="1155">
      <c r="A1155" s="12" t="n">
        <v>617</v>
      </c>
      <c r="B1155" s="13" t="n">
        <v>46100</v>
      </c>
      <c r="C1155" s="14" t="n">
        <v>1248.57</v>
      </c>
      <c r="D1155" s="27" t="n"/>
      <c r="E1155" s="27" t="n"/>
      <c r="F1155" s="27" t="n"/>
      <c r="G1155" s="16" t="inlineStr">
        <is>
          <t>全国基准价</t>
        </is>
      </c>
      <c r="H1155" s="17" t="inlineStr">
        <is>
          <t>打开原文</t>
        </is>
      </c>
    </row>
    <row r="1156">
      <c r="A1156" s="18" t="n">
        <v>618</v>
      </c>
      <c r="B1156" s="19" t="n">
        <v>46101</v>
      </c>
      <c r="C1156" s="20" t="n">
        <v>1247.14</v>
      </c>
      <c r="D1156" s="28" t="n"/>
      <c r="E1156" s="28" t="n"/>
      <c r="F1156" s="28" t="n"/>
      <c r="G1156" s="22" t="inlineStr">
        <is>
          <t>全国基准价</t>
        </is>
      </c>
      <c r="H1156" s="23" t="inlineStr">
        <is>
          <t>打开原文</t>
        </is>
      </c>
    </row>
    <row r="1157">
      <c r="A1157" s="12" t="n">
        <v>619</v>
      </c>
      <c r="B1157" s="13" t="n">
        <v>46104</v>
      </c>
      <c r="C1157" s="14" t="n">
        <v>1247.14</v>
      </c>
      <c r="D1157" s="27" t="n"/>
      <c r="E1157" s="27" t="n"/>
      <c r="F1157" s="27" t="n"/>
      <c r="G1157" s="16" t="inlineStr">
        <is>
          <t>全国基准价</t>
        </is>
      </c>
      <c r="H1157" s="17" t="inlineStr">
        <is>
          <t>打开原文</t>
        </is>
      </c>
    </row>
    <row r="1158">
      <c r="A1158" s="18" t="n">
        <v>620</v>
      </c>
      <c r="B1158" s="19" t="n">
        <v>46105</v>
      </c>
      <c r="C1158" s="20" t="n">
        <v>1255</v>
      </c>
      <c r="D1158" s="28" t="n"/>
      <c r="E1158" s="28" t="n"/>
      <c r="F1158" s="28" t="n"/>
      <c r="G1158" s="22" t="inlineStr">
        <is>
          <t>全国基准价</t>
        </is>
      </c>
      <c r="H1158" s="23" t="inlineStr">
        <is>
          <t>打开原文</t>
        </is>
      </c>
    </row>
    <row r="1159">
      <c r="A1159" s="12" t="n">
        <v>621</v>
      </c>
      <c r="B1159" s="13" t="n">
        <v>46106</v>
      </c>
      <c r="C1159" s="14" t="n">
        <v>1256.43</v>
      </c>
      <c r="D1159" s="27" t="n"/>
      <c r="E1159" s="27" t="n"/>
      <c r="F1159" s="27" t="n"/>
      <c r="G1159" s="16" t="inlineStr">
        <is>
          <t>全国基准价</t>
        </is>
      </c>
      <c r="H1159" s="17" t="inlineStr">
        <is>
          <t>打开原文</t>
        </is>
      </c>
    </row>
    <row r="1160">
      <c r="A1160" s="18" t="n">
        <v>622</v>
      </c>
      <c r="B1160" s="19" t="n">
        <v>46107</v>
      </c>
      <c r="C1160" s="20" t="n">
        <v>1255</v>
      </c>
      <c r="D1160" s="28" t="n"/>
      <c r="E1160" s="28" t="n"/>
      <c r="F1160" s="28" t="n"/>
      <c r="G1160" s="22" t="inlineStr">
        <is>
          <t>全国基准价</t>
        </is>
      </c>
      <c r="H1160" s="23" t="inlineStr">
        <is>
          <t>打开原文</t>
        </is>
      </c>
    </row>
    <row r="1161">
      <c r="A1161" s="12" t="n">
        <v>623</v>
      </c>
      <c r="B1161" s="13" t="n">
        <v>46108</v>
      </c>
      <c r="C1161" s="14" t="n">
        <v>1249.29</v>
      </c>
      <c r="D1161" s="27" t="n"/>
      <c r="E1161" s="27" t="n"/>
      <c r="F1161" s="27" t="n"/>
      <c r="G1161" s="16" t="inlineStr">
        <is>
          <t>全国基准价</t>
        </is>
      </c>
      <c r="H1161" s="17" t="inlineStr">
        <is>
          <t>打开原文</t>
        </is>
      </c>
    </row>
    <row r="1162">
      <c r="A1162" s="18" t="n">
        <v>624</v>
      </c>
      <c r="B1162" s="19" t="n">
        <v>46111</v>
      </c>
      <c r="C1162" s="20" t="n">
        <v>1249.29</v>
      </c>
      <c r="D1162" s="28" t="n"/>
      <c r="E1162" s="28" t="n"/>
      <c r="F1162" s="28" t="n"/>
      <c r="G1162" s="22" t="inlineStr">
        <is>
          <t>全国基准价</t>
        </is>
      </c>
      <c r="H1162" s="23" t="inlineStr">
        <is>
          <t>打开原文</t>
        </is>
      </c>
    </row>
    <row r="1163">
      <c r="A1163" s="12" t="n">
        <v>625</v>
      </c>
      <c r="B1163" s="13" t="n">
        <v>46112</v>
      </c>
      <c r="C1163" s="14" t="n">
        <v>1246.43</v>
      </c>
      <c r="D1163" s="27" t="n"/>
      <c r="E1163" s="27" t="n"/>
      <c r="F1163" s="27" t="n"/>
      <c r="G1163" s="16" t="inlineStr">
        <is>
          <t>全国基准价</t>
        </is>
      </c>
      <c r="H1163" s="17" t="inlineStr">
        <is>
          <t>打开原文</t>
        </is>
      </c>
    </row>
    <row r="1164">
      <c r="A1164" s="18" t="n">
        <v>626</v>
      </c>
      <c r="B1164" s="19" t="n">
        <v>46113</v>
      </c>
      <c r="C1164" s="20" t="n">
        <v>1246.43</v>
      </c>
      <c r="D1164" s="28" t="n"/>
      <c r="E1164" s="28" t="n"/>
      <c r="F1164" s="28" t="n"/>
      <c r="G1164" s="22" t="inlineStr">
        <is>
          <t>全国基准价</t>
        </is>
      </c>
      <c r="H1164" s="23" t="inlineStr">
        <is>
          <t>打开原文</t>
        </is>
      </c>
    </row>
    <row r="1165">
      <c r="A1165" s="12" t="n">
        <v>627</v>
      </c>
      <c r="B1165" s="13" t="n">
        <v>46114</v>
      </c>
      <c r="C1165" s="14" t="n">
        <v>1245</v>
      </c>
      <c r="D1165" s="27" t="n"/>
      <c r="E1165" s="27" t="n"/>
      <c r="F1165" s="27" t="n"/>
      <c r="G1165" s="16" t="inlineStr">
        <is>
          <t>全国基准价</t>
        </is>
      </c>
      <c r="H1165" s="17" t="inlineStr">
        <is>
          <t>打开原文</t>
        </is>
      </c>
    </row>
    <row r="1166">
      <c r="A1166" s="18" t="n">
        <v>628</v>
      </c>
      <c r="B1166" s="19" t="n">
        <v>46115</v>
      </c>
      <c r="C1166" s="20" t="n">
        <v>1242.86</v>
      </c>
      <c r="D1166" s="28" t="n"/>
      <c r="E1166" s="28" t="n"/>
      <c r="F1166" s="28" t="n"/>
      <c r="G1166" s="22" t="inlineStr">
        <is>
          <t>全国基准价</t>
        </is>
      </c>
      <c r="H1166" s="23" t="inlineStr">
        <is>
          <t>打开原文</t>
        </is>
      </c>
    </row>
    <row r="1167">
      <c r="A1167" s="12" t="n">
        <v>629</v>
      </c>
      <c r="B1167" s="13" t="n">
        <v>46118</v>
      </c>
      <c r="C1167" s="14" t="n">
        <v>1242.86</v>
      </c>
      <c r="D1167" s="27" t="n"/>
      <c r="E1167" s="27" t="n"/>
      <c r="F1167" s="27" t="n"/>
      <c r="G1167" s="16" t="inlineStr">
        <is>
          <t>全国基准价</t>
        </is>
      </c>
      <c r="H1167" s="17" t="inlineStr">
        <is>
          <t>打开原文</t>
        </is>
      </c>
    </row>
    <row r="1168">
      <c r="A1168" s="18" t="n">
        <v>630</v>
      </c>
      <c r="B1168" s="19" t="n">
        <v>46119</v>
      </c>
      <c r="C1168" s="20" t="n">
        <v>1242.86</v>
      </c>
      <c r="D1168" s="28" t="n"/>
      <c r="E1168" s="28" t="n"/>
      <c r="F1168" s="28" t="n"/>
      <c r="G1168" s="22" t="inlineStr">
        <is>
          <t>全国基准价</t>
        </is>
      </c>
      <c r="H1168" s="23" t="inlineStr">
        <is>
          <t>打开原文</t>
        </is>
      </c>
    </row>
    <row r="1169">
      <c r="A1169" s="12" t="n">
        <v>631</v>
      </c>
      <c r="B1169" s="13" t="n">
        <v>46120</v>
      </c>
      <c r="C1169" s="14" t="n">
        <v>1240</v>
      </c>
      <c r="D1169" s="27" t="n"/>
      <c r="E1169" s="27" t="n"/>
      <c r="F1169" s="27" t="n"/>
      <c r="G1169" s="16" t="inlineStr">
        <is>
          <t>全国基准价</t>
        </is>
      </c>
      <c r="H1169" s="17" t="inlineStr">
        <is>
          <t>打开原文</t>
        </is>
      </c>
    </row>
    <row r="1170">
      <c r="A1170" s="18" t="n">
        <v>632</v>
      </c>
      <c r="B1170" s="19" t="n">
        <v>46121</v>
      </c>
      <c r="C1170" s="20" t="n">
        <v>1240</v>
      </c>
      <c r="D1170" s="28" t="n"/>
      <c r="E1170" s="28" t="n"/>
      <c r="F1170" s="28" t="n"/>
      <c r="G1170" s="22" t="inlineStr">
        <is>
          <t>全国基准价</t>
        </is>
      </c>
      <c r="H1170" s="23" t="inlineStr">
        <is>
          <t>打开原文</t>
        </is>
      </c>
    </row>
    <row r="1171">
      <c r="A1171" s="12" t="n">
        <v>633</v>
      </c>
      <c r="B1171" s="13" t="n">
        <v>46122</v>
      </c>
      <c r="C1171" s="14" t="n">
        <v>1240</v>
      </c>
      <c r="D1171" s="27" t="n"/>
      <c r="E1171" s="27" t="n"/>
      <c r="F1171" s="27" t="n"/>
      <c r="G1171" s="16" t="inlineStr">
        <is>
          <t>全国基准价</t>
        </is>
      </c>
      <c r="H1171" s="17" t="inlineStr">
        <is>
          <t>打开原文</t>
        </is>
      </c>
    </row>
    <row r="1172">
      <c r="A1172" s="18" t="n">
        <v>634</v>
      </c>
      <c r="B1172" s="19" t="n">
        <v>46125</v>
      </c>
      <c r="C1172" s="20" t="n">
        <v>1240</v>
      </c>
      <c r="D1172" s="28" t="n"/>
      <c r="E1172" s="28" t="n"/>
      <c r="F1172" s="28" t="n"/>
      <c r="G1172" s="22" t="inlineStr">
        <is>
          <t>全国基准价</t>
        </is>
      </c>
      <c r="H1172" s="23" t="inlineStr">
        <is>
          <t>打开原文</t>
        </is>
      </c>
    </row>
    <row r="1173">
      <c r="A1173" s="12" t="n">
        <v>635</v>
      </c>
      <c r="B1173" s="13" t="n">
        <v>46126</v>
      </c>
      <c r="C1173" s="14" t="n">
        <v>1240</v>
      </c>
      <c r="D1173" s="27" t="n"/>
      <c r="E1173" s="27" t="n"/>
      <c r="F1173" s="27" t="n"/>
      <c r="G1173" s="16" t="inlineStr">
        <is>
          <t>全国基准价</t>
        </is>
      </c>
      <c r="H1173" s="17" t="inlineStr">
        <is>
          <t>打开原文</t>
        </is>
      </c>
    </row>
    <row r="1174">
      <c r="A1174" s="18" t="n">
        <v>636</v>
      </c>
      <c r="B1174" s="19" t="n">
        <v>46127</v>
      </c>
      <c r="C1174" s="20" t="n">
        <v>1240</v>
      </c>
      <c r="D1174" s="28" t="n"/>
      <c r="E1174" s="28" t="n"/>
      <c r="F1174" s="28" t="n"/>
      <c r="G1174" s="22" t="inlineStr">
        <is>
          <t>全国基准价</t>
        </is>
      </c>
      <c r="H1174" s="23" t="inlineStr">
        <is>
          <t>打开原文</t>
        </is>
      </c>
    </row>
    <row r="1175">
      <c r="A1175" s="12" t="n">
        <v>637</v>
      </c>
      <c r="B1175" s="13" t="n">
        <v>46128</v>
      </c>
      <c r="C1175" s="14" t="n">
        <v>1240</v>
      </c>
      <c r="D1175" s="27" t="n"/>
      <c r="E1175" s="27" t="n"/>
      <c r="F1175" s="27" t="n"/>
      <c r="G1175" s="16" t="inlineStr">
        <is>
          <t>全国基准价</t>
        </is>
      </c>
      <c r="H1175" s="17" t="inlineStr">
        <is>
          <t>打开原文</t>
        </is>
      </c>
    </row>
    <row r="1176">
      <c r="A1176" s="18" t="n">
        <v>638</v>
      </c>
      <c r="B1176" s="19" t="n">
        <v>46129</v>
      </c>
      <c r="C1176" s="20" t="n">
        <v>1241.43</v>
      </c>
      <c r="D1176" s="28" t="n"/>
      <c r="E1176" s="28" t="n"/>
      <c r="F1176" s="28" t="n"/>
      <c r="G1176" s="22" t="inlineStr">
        <is>
          <t>全国基准价</t>
        </is>
      </c>
      <c r="H1176" s="23" t="inlineStr">
        <is>
          <t>打开原文</t>
        </is>
      </c>
    </row>
    <row r="1177">
      <c r="A1177" s="12" t="n">
        <v>639</v>
      </c>
      <c r="B1177" s="13" t="n">
        <v>46132</v>
      </c>
      <c r="C1177" s="14" t="n">
        <v>1240.71</v>
      </c>
      <c r="D1177" s="27" t="n"/>
      <c r="E1177" s="27" t="n"/>
      <c r="F1177" s="27" t="n"/>
      <c r="G1177" s="16" t="inlineStr">
        <is>
          <t>全国基准价</t>
        </is>
      </c>
      <c r="H1177" s="17" t="inlineStr">
        <is>
          <t>打开原文</t>
        </is>
      </c>
    </row>
    <row r="1178">
      <c r="A1178" s="18" t="n">
        <v>640</v>
      </c>
      <c r="B1178" s="19" t="n">
        <v>46133</v>
      </c>
      <c r="C1178" s="20" t="n">
        <v>1240.71</v>
      </c>
      <c r="D1178" s="28" t="n"/>
      <c r="E1178" s="28" t="n"/>
      <c r="F1178" s="28" t="n"/>
      <c r="G1178" s="22" t="inlineStr">
        <is>
          <t>全国基准价</t>
        </is>
      </c>
      <c r="H1178" s="23" t="inlineStr">
        <is>
          <t>打开原文</t>
        </is>
      </c>
    </row>
    <row r="1179">
      <c r="A1179" s="12" t="n">
        <v>641</v>
      </c>
      <c r="B1179" s="13" t="n">
        <v>46134</v>
      </c>
      <c r="C1179" s="14" t="n">
        <v>1240.71</v>
      </c>
      <c r="D1179" s="27" t="n"/>
      <c r="E1179" s="27" t="n"/>
      <c r="F1179" s="27" t="n"/>
      <c r="G1179" s="16" t="inlineStr">
        <is>
          <t>全国基准价</t>
        </is>
      </c>
      <c r="H1179" s="17" t="inlineStr">
        <is>
          <t>打开原文</t>
        </is>
      </c>
    </row>
    <row r="1180">
      <c r="A1180" s="18" t="n">
        <v>642</v>
      </c>
      <c r="B1180" s="19" t="n">
        <v>46135</v>
      </c>
      <c r="C1180" s="20" t="n">
        <v>1240.71</v>
      </c>
      <c r="D1180" s="28" t="n"/>
      <c r="E1180" s="28" t="n"/>
      <c r="F1180" s="28" t="n"/>
      <c r="G1180" s="22" t="inlineStr">
        <is>
          <t>全国基准价</t>
        </is>
      </c>
      <c r="H1180" s="23" t="inlineStr">
        <is>
          <t>打开原文</t>
        </is>
      </c>
    </row>
    <row r="1181">
      <c r="A1181" s="12" t="n">
        <v>643</v>
      </c>
      <c r="B1181" s="13" t="n">
        <v>46136</v>
      </c>
      <c r="C1181" s="14" t="n">
        <v>1240.71</v>
      </c>
      <c r="D1181" s="27" t="n"/>
      <c r="E1181" s="27" t="n"/>
      <c r="F1181" s="27" t="n"/>
      <c r="G1181" s="16" t="inlineStr">
        <is>
          <t>全国基准价</t>
        </is>
      </c>
      <c r="H1181" s="17" t="inlineStr">
        <is>
          <t>打开原文</t>
        </is>
      </c>
    </row>
    <row r="1182">
      <c r="A1182" s="18" t="n">
        <v>644</v>
      </c>
      <c r="B1182" s="19" t="n">
        <v>46139</v>
      </c>
      <c r="C1182" s="20" t="n">
        <v>1239.29</v>
      </c>
      <c r="D1182" s="28" t="n"/>
      <c r="E1182" s="28" t="n"/>
      <c r="F1182" s="28" t="n"/>
      <c r="G1182" s="22" t="inlineStr">
        <is>
          <t>全国基准价</t>
        </is>
      </c>
      <c r="H1182" s="23" t="inlineStr">
        <is>
          <t>打开原文</t>
        </is>
      </c>
    </row>
    <row r="1183">
      <c r="A1183" s="12" t="n">
        <v>645</v>
      </c>
      <c r="B1183" s="13" t="n">
        <v>46140</v>
      </c>
      <c r="C1183" s="14" t="n">
        <v>1239.29</v>
      </c>
      <c r="D1183" s="27" t="n"/>
      <c r="E1183" s="27" t="n"/>
      <c r="F1183" s="27" t="n"/>
      <c r="G1183" s="16" t="inlineStr">
        <is>
          <t>全国基准价</t>
        </is>
      </c>
      <c r="H1183" s="17" t="inlineStr">
        <is>
          <t>打开原文</t>
        </is>
      </c>
    </row>
    <row r="1184">
      <c r="A1184" s="18" t="n">
        <v>646</v>
      </c>
      <c r="B1184" s="19" t="n">
        <v>46141</v>
      </c>
      <c r="C1184" s="20" t="n">
        <v>1239.29</v>
      </c>
      <c r="D1184" s="28" t="n"/>
      <c r="E1184" s="28" t="n"/>
      <c r="F1184" s="28" t="n"/>
      <c r="G1184" s="22" t="inlineStr">
        <is>
          <t>全国基准价</t>
        </is>
      </c>
      <c r="H1184" s="23" t="inlineStr">
        <is>
          <t>打开原文</t>
        </is>
      </c>
    </row>
    <row r="1185">
      <c r="A1185" s="12" t="n">
        <v>647</v>
      </c>
      <c r="B1185" s="13" t="n">
        <v>46142</v>
      </c>
      <c r="C1185" s="14" t="n">
        <v>1239.29</v>
      </c>
      <c r="D1185" s="27" t="n"/>
      <c r="E1185" s="27" t="n"/>
      <c r="F1185" s="27" t="n"/>
      <c r="G1185" s="16" t="inlineStr">
        <is>
          <t>全国基准价</t>
        </is>
      </c>
      <c r="H1185" s="17" t="inlineStr">
        <is>
          <t>打开原文</t>
        </is>
      </c>
    </row>
    <row r="1186">
      <c r="A1186" s="18" t="n">
        <v>648</v>
      </c>
      <c r="B1186" s="19" t="n">
        <v>46143</v>
      </c>
      <c r="C1186" s="20" t="n">
        <v>1239.29</v>
      </c>
      <c r="D1186" s="28" t="n"/>
      <c r="E1186" s="28" t="n"/>
      <c r="F1186" s="28" t="n"/>
      <c r="G1186" s="22" t="inlineStr">
        <is>
          <t>全国基准价</t>
        </is>
      </c>
      <c r="H1186" s="23" t="inlineStr">
        <is>
          <t>打开原文</t>
        </is>
      </c>
    </row>
    <row r="1187">
      <c r="A1187" s="12" t="n">
        <v>649</v>
      </c>
      <c r="B1187" s="13" t="n">
        <v>46146</v>
      </c>
      <c r="C1187" s="14" t="n">
        <v>1239.29</v>
      </c>
      <c r="D1187" s="27" t="n"/>
      <c r="E1187" s="27" t="n"/>
      <c r="F1187" s="27" t="n"/>
      <c r="G1187" s="16" t="inlineStr">
        <is>
          <t>全国基准价</t>
        </is>
      </c>
      <c r="H1187" s="17" t="inlineStr">
        <is>
          <t>打开原文</t>
        </is>
      </c>
    </row>
    <row r="1188">
      <c r="A1188" s="18" t="n">
        <v>650</v>
      </c>
      <c r="B1188" s="19" t="n">
        <v>46147</v>
      </c>
      <c r="C1188" s="20" t="n">
        <v>1239.29</v>
      </c>
      <c r="D1188" s="28" t="n"/>
      <c r="E1188" s="28" t="n"/>
      <c r="F1188" s="28" t="n"/>
      <c r="G1188" s="22" t="inlineStr">
        <is>
          <t>全国基准价</t>
        </is>
      </c>
      <c r="H1188" s="23" t="inlineStr">
        <is>
          <t>打开原文</t>
        </is>
      </c>
    </row>
    <row r="1189">
      <c r="A1189" s="12" t="n">
        <v>651</v>
      </c>
      <c r="B1189" s="13" t="n">
        <v>46148</v>
      </c>
      <c r="C1189" s="14" t="n">
        <v>1239.29</v>
      </c>
      <c r="D1189" s="27" t="n"/>
      <c r="E1189" s="27" t="n"/>
      <c r="F1189" s="27" t="n"/>
      <c r="G1189" s="16" t="inlineStr">
        <is>
          <t>全国基准价</t>
        </is>
      </c>
      <c r="H1189" s="17" t="inlineStr">
        <is>
          <t>打开原文</t>
        </is>
      </c>
    </row>
    <row r="1190">
      <c r="A1190" s="18" t="n">
        <v>652</v>
      </c>
      <c r="B1190" s="19" t="n">
        <v>46149</v>
      </c>
      <c r="C1190" s="20" t="n">
        <v>1239.29</v>
      </c>
      <c r="D1190" s="28" t="n"/>
      <c r="E1190" s="28" t="n"/>
      <c r="F1190" s="28" t="n"/>
      <c r="G1190" s="22" t="inlineStr">
        <is>
          <t>全国基准价</t>
        </is>
      </c>
      <c r="H1190" s="23" t="inlineStr">
        <is>
          <t>打开原文</t>
        </is>
      </c>
    </row>
    <row r="1191">
      <c r="A1191" s="12" t="n">
        <v>653</v>
      </c>
      <c r="B1191" s="13" t="n">
        <v>46150</v>
      </c>
      <c r="C1191" s="14" t="n">
        <v>1241.43</v>
      </c>
      <c r="D1191" s="27" t="n"/>
      <c r="E1191" s="27" t="n"/>
      <c r="F1191" s="27" t="n"/>
      <c r="G1191" s="16" t="inlineStr">
        <is>
          <t>全国基准价</t>
        </is>
      </c>
      <c r="H1191" s="17" t="inlineStr">
        <is>
          <t>打开原文</t>
        </is>
      </c>
    </row>
    <row r="1192">
      <c r="A1192" s="18" t="n">
        <v>654</v>
      </c>
      <c r="B1192" s="19" t="n">
        <v>46153</v>
      </c>
      <c r="C1192" s="20" t="n">
        <v>1241.43</v>
      </c>
      <c r="D1192" s="28" t="n"/>
      <c r="E1192" s="28" t="n"/>
      <c r="F1192" s="28" t="n"/>
      <c r="G1192" s="22" t="inlineStr">
        <is>
          <t>全国基准价</t>
        </is>
      </c>
      <c r="H1192" s="23" t="inlineStr">
        <is>
          <t>打开原文</t>
        </is>
      </c>
    </row>
    <row r="1193">
      <c r="A1193" s="12" t="n">
        <v>655</v>
      </c>
      <c r="B1193" s="13" t="n">
        <v>46154</v>
      </c>
      <c r="C1193" s="14" t="n">
        <v>1232.14</v>
      </c>
      <c r="D1193" s="27" t="n"/>
      <c r="E1193" s="27" t="n"/>
      <c r="F1193" s="27" t="n"/>
      <c r="G1193" s="16" t="inlineStr">
        <is>
          <t>全国基准价</t>
        </is>
      </c>
      <c r="H1193" s="17" t="inlineStr">
        <is>
          <t>打开原文</t>
        </is>
      </c>
    </row>
    <row r="1194">
      <c r="A1194" s="18" t="n">
        <v>656</v>
      </c>
      <c r="B1194" s="19" t="n">
        <v>46155</v>
      </c>
      <c r="C1194" s="20" t="n">
        <v>1232.14</v>
      </c>
      <c r="D1194" s="28" t="n"/>
      <c r="E1194" s="28" t="n"/>
      <c r="F1194" s="28" t="n"/>
      <c r="G1194" s="22" t="inlineStr">
        <is>
          <t>全国基准价</t>
        </is>
      </c>
      <c r="H1194" s="23" t="inlineStr">
        <is>
          <t>打开原文</t>
        </is>
      </c>
    </row>
    <row r="1195">
      <c r="A1195" s="12" t="n">
        <v>657</v>
      </c>
      <c r="B1195" s="13" t="n">
        <v>46156</v>
      </c>
      <c r="C1195" s="14" t="n">
        <v>1232.14</v>
      </c>
      <c r="D1195" s="27" t="n"/>
      <c r="E1195" s="27" t="n"/>
      <c r="F1195" s="27" t="n"/>
      <c r="G1195" s="16" t="inlineStr">
        <is>
          <t>全国基准价</t>
        </is>
      </c>
      <c r="H1195" s="17" t="inlineStr">
        <is>
          <t>打开原文</t>
        </is>
      </c>
    </row>
    <row r="1196">
      <c r="A1196" s="18" t="n">
        <v>658</v>
      </c>
      <c r="B1196" s="19" t="n">
        <v>46157</v>
      </c>
      <c r="C1196" s="20" t="n">
        <v>1232.14</v>
      </c>
      <c r="D1196" s="28" t="n"/>
      <c r="E1196" s="28" t="n"/>
      <c r="F1196" s="28" t="n"/>
      <c r="G1196" s="22" t="inlineStr">
        <is>
          <t>全国基准价</t>
        </is>
      </c>
      <c r="H1196" s="23" t="inlineStr">
        <is>
          <t>打开原文</t>
        </is>
      </c>
    </row>
    <row r="1197">
      <c r="A1197" s="12" t="n">
        <v>659</v>
      </c>
      <c r="B1197" s="13" t="n">
        <v>46160</v>
      </c>
      <c r="C1197" s="14" t="n">
        <v>1226.43</v>
      </c>
      <c r="D1197" s="27" t="n"/>
      <c r="E1197" s="27" t="n"/>
      <c r="F1197" s="27" t="n"/>
      <c r="G1197" s="16" t="inlineStr">
        <is>
          <t>全国基准价</t>
        </is>
      </c>
      <c r="H1197" s="17" t="inlineStr">
        <is>
          <t>打开原文</t>
        </is>
      </c>
    </row>
    <row r="1198">
      <c r="A1198" s="18" t="n">
        <v>660</v>
      </c>
      <c r="B1198" s="19" t="n">
        <v>46161</v>
      </c>
      <c r="C1198" s="20" t="n">
        <v>1226.43</v>
      </c>
      <c r="D1198" s="28" t="n"/>
      <c r="E1198" s="28" t="n"/>
      <c r="F1198" s="28" t="n"/>
      <c r="G1198" s="22" t="inlineStr">
        <is>
          <t>全国基准价</t>
        </is>
      </c>
      <c r="H1198" s="23" t="inlineStr">
        <is>
          <t>打开原文</t>
        </is>
      </c>
    </row>
    <row r="1199">
      <c r="A1199" s="12" t="n">
        <v>661</v>
      </c>
      <c r="B1199" s="13" t="n">
        <v>46162</v>
      </c>
      <c r="C1199" s="14" t="n">
        <v>1226.43</v>
      </c>
      <c r="D1199" s="27" t="n"/>
      <c r="E1199" s="27" t="n"/>
      <c r="F1199" s="27" t="n"/>
      <c r="G1199" s="16" t="inlineStr">
        <is>
          <t>全国基准价</t>
        </is>
      </c>
      <c r="H1199" s="17" t="inlineStr">
        <is>
          <t>打开原文</t>
        </is>
      </c>
    </row>
    <row r="1200">
      <c r="A1200" s="18" t="n">
        <v>662</v>
      </c>
      <c r="B1200" s="19" t="n">
        <v>46163</v>
      </c>
      <c r="C1200" s="20" t="n">
        <v>1226.43</v>
      </c>
      <c r="D1200" s="28" t="n"/>
      <c r="E1200" s="28" t="n"/>
      <c r="F1200" s="28" t="n"/>
      <c r="G1200" s="22" t="inlineStr">
        <is>
          <t>全国基准价</t>
        </is>
      </c>
      <c r="H1200" s="23" t="inlineStr">
        <is>
          <t>打开原文</t>
        </is>
      </c>
    </row>
    <row r="1201">
      <c r="A1201" s="12" t="n">
        <v>663</v>
      </c>
      <c r="B1201" s="13" t="n">
        <v>46164</v>
      </c>
      <c r="C1201" s="14" t="n">
        <v>1226.43</v>
      </c>
      <c r="D1201" s="27" t="n"/>
      <c r="E1201" s="27" t="n"/>
      <c r="F1201" s="27" t="n"/>
      <c r="G1201" s="16" t="inlineStr">
        <is>
          <t>全国基准价</t>
        </is>
      </c>
      <c r="H1201" s="17" t="inlineStr">
        <is>
          <t>打开原文</t>
        </is>
      </c>
    </row>
    <row r="1202">
      <c r="A1202" s="18" t="n">
        <v>664</v>
      </c>
      <c r="B1202" s="19" t="n">
        <v>46167</v>
      </c>
      <c r="C1202" s="20" t="n">
        <v>1226.43</v>
      </c>
      <c r="D1202" s="28" t="n"/>
      <c r="E1202" s="28" t="n"/>
      <c r="F1202" s="28" t="n"/>
      <c r="G1202" s="22" t="inlineStr">
        <is>
          <t>全国基准价</t>
        </is>
      </c>
      <c r="H1202" s="23" t="inlineStr">
        <is>
          <t>打开原文</t>
        </is>
      </c>
    </row>
    <row r="1203">
      <c r="A1203" s="12" t="n">
        <v>665</v>
      </c>
      <c r="B1203" s="13" t="n">
        <v>46168</v>
      </c>
      <c r="C1203" s="14" t="n">
        <v>1229.29</v>
      </c>
      <c r="D1203" s="27" t="n"/>
      <c r="E1203" s="27" t="n"/>
      <c r="F1203" s="27" t="n"/>
      <c r="G1203" s="16" t="inlineStr">
        <is>
          <t>全国基准价</t>
        </is>
      </c>
      <c r="H1203" s="17" t="inlineStr">
        <is>
          <t>打开原文</t>
        </is>
      </c>
    </row>
    <row r="1204">
      <c r="A1204" s="18" t="n">
        <v>666</v>
      </c>
      <c r="B1204" s="19" t="n">
        <v>46169</v>
      </c>
      <c r="C1204" s="20" t="n">
        <v>1227.14</v>
      </c>
      <c r="D1204" s="28" t="n"/>
      <c r="E1204" s="28" t="n"/>
      <c r="F1204" s="28" t="n"/>
      <c r="G1204" s="22" t="inlineStr">
        <is>
          <t>全国基准价</t>
        </is>
      </c>
      <c r="H1204" s="23" t="inlineStr">
        <is>
          <t>打开原文</t>
        </is>
      </c>
    </row>
    <row r="1205">
      <c r="A1205" s="12" t="n">
        <v>667</v>
      </c>
      <c r="B1205" s="13" t="n">
        <v>46170</v>
      </c>
      <c r="C1205" s="14" t="n">
        <v>1227.14</v>
      </c>
      <c r="D1205" s="27" t="n"/>
      <c r="E1205" s="27" t="n"/>
      <c r="F1205" s="27" t="n"/>
      <c r="G1205" s="16" t="inlineStr">
        <is>
          <t>全国基准价</t>
        </is>
      </c>
      <c r="H1205" s="17" t="inlineStr">
        <is>
          <t>打开原文</t>
        </is>
      </c>
    </row>
    <row r="1206">
      <c r="A1206" s="18" t="n">
        <v>668</v>
      </c>
      <c r="B1206" s="19" t="n">
        <v>46171</v>
      </c>
      <c r="C1206" s="20" t="n">
        <v>1227.14</v>
      </c>
      <c r="D1206" s="28" t="n"/>
      <c r="E1206" s="28" t="n"/>
      <c r="F1206" s="28" t="n"/>
      <c r="G1206" s="22" t="inlineStr">
        <is>
          <t>全国基准价</t>
        </is>
      </c>
      <c r="H1206" s="23" t="inlineStr">
        <is>
          <t>打开原文</t>
        </is>
      </c>
    </row>
    <row r="1207">
      <c r="A1207" s="12" t="n">
        <v>669</v>
      </c>
      <c r="B1207" s="13" t="n">
        <v>46174</v>
      </c>
      <c r="C1207" s="14" t="n">
        <v>1227.14</v>
      </c>
      <c r="D1207" s="27" t="n"/>
      <c r="E1207" s="27" t="n"/>
      <c r="F1207" s="27" t="n"/>
      <c r="G1207" s="16" t="inlineStr">
        <is>
          <t>全国基准价</t>
        </is>
      </c>
      <c r="H1207" s="17" t="inlineStr">
        <is>
          <t>打开原文</t>
        </is>
      </c>
    </row>
    <row r="1208">
      <c r="A1208" s="18" t="n">
        <v>670</v>
      </c>
      <c r="B1208" s="19" t="n">
        <v>46175</v>
      </c>
      <c r="C1208" s="20" t="n">
        <v>1227.14</v>
      </c>
      <c r="D1208" s="28" t="n"/>
      <c r="E1208" s="28" t="n"/>
      <c r="F1208" s="28" t="n"/>
      <c r="G1208" s="22" t="inlineStr">
        <is>
          <t>全国基准价</t>
        </is>
      </c>
      <c r="H1208" s="23" t="inlineStr">
        <is>
          <t>打开原文</t>
        </is>
      </c>
    </row>
    <row r="1209">
      <c r="A1209" s="12" t="n">
        <v>671</v>
      </c>
      <c r="B1209" s="13" t="n">
        <v>46176</v>
      </c>
      <c r="C1209" s="14" t="n">
        <v>1227.14</v>
      </c>
      <c r="D1209" s="27" t="n"/>
      <c r="E1209" s="27" t="n"/>
      <c r="F1209" s="27" t="n"/>
      <c r="G1209" s="16" t="inlineStr">
        <is>
          <t>全国基准价</t>
        </is>
      </c>
      <c r="H1209" s="17" t="inlineStr">
        <is>
          <t>打开原文</t>
        </is>
      </c>
    </row>
    <row r="1210">
      <c r="A1210" s="18" t="n">
        <v>672</v>
      </c>
      <c r="B1210" s="19" t="n">
        <v>46177</v>
      </c>
      <c r="C1210" s="20" t="n">
        <v>1227.14</v>
      </c>
      <c r="D1210" s="28" t="n"/>
      <c r="E1210" s="28" t="n"/>
      <c r="F1210" s="28" t="n"/>
      <c r="G1210" s="22" t="inlineStr">
        <is>
          <t>全国基准价</t>
        </is>
      </c>
      <c r="H1210" s="23" t="inlineStr">
        <is>
          <t>打开原文</t>
        </is>
      </c>
    </row>
    <row r="1211">
      <c r="A1211" s="12" t="n">
        <v>673</v>
      </c>
      <c r="B1211" s="13" t="n">
        <v>46178</v>
      </c>
      <c r="C1211" s="14" t="n">
        <v>1225.71</v>
      </c>
      <c r="D1211" s="27" t="n"/>
      <c r="E1211" s="27" t="n"/>
      <c r="F1211" s="27" t="n"/>
      <c r="G1211" s="16" t="inlineStr">
        <is>
          <t>全国基准价</t>
        </is>
      </c>
      <c r="H1211" s="17" t="inlineStr">
        <is>
          <t>打开原文</t>
        </is>
      </c>
    </row>
    <row r="1212">
      <c r="A1212" s="18" t="n">
        <v>674</v>
      </c>
      <c r="B1212" s="19" t="n">
        <v>46181</v>
      </c>
      <c r="C1212" s="20" t="n">
        <v>1218.57</v>
      </c>
      <c r="D1212" s="28" t="n"/>
      <c r="E1212" s="28" t="n"/>
      <c r="F1212" s="28" t="n"/>
      <c r="G1212" s="22" t="inlineStr">
        <is>
          <t>全国基准价</t>
        </is>
      </c>
      <c r="H1212" s="23" t="inlineStr">
        <is>
          <t>打开原文</t>
        </is>
      </c>
    </row>
    <row r="1213">
      <c r="A1213" s="12" t="n">
        <v>675</v>
      </c>
      <c r="B1213" s="13" t="n">
        <v>46182</v>
      </c>
      <c r="C1213" s="14" t="n">
        <v>1215.71</v>
      </c>
      <c r="D1213" s="27" t="n"/>
      <c r="E1213" s="27" t="n"/>
      <c r="F1213" s="27" t="n"/>
      <c r="G1213" s="16" t="inlineStr">
        <is>
          <t>全国基准价</t>
        </is>
      </c>
      <c r="H1213" s="17" t="inlineStr">
        <is>
          <t>打开原文</t>
        </is>
      </c>
    </row>
    <row r="1214">
      <c r="A1214" s="18" t="n">
        <v>676</v>
      </c>
      <c r="B1214" s="19" t="n">
        <v>46183</v>
      </c>
      <c r="C1214" s="20" t="n">
        <v>1215.71</v>
      </c>
      <c r="D1214" s="28" t="n"/>
      <c r="E1214" s="28" t="n"/>
      <c r="F1214" s="28" t="n"/>
      <c r="G1214" s="22" t="inlineStr">
        <is>
          <t>全国基准价</t>
        </is>
      </c>
      <c r="H1214" s="23" t="inlineStr">
        <is>
          <t>打开原文</t>
        </is>
      </c>
    </row>
    <row r="1215">
      <c r="A1215" s="12" t="n">
        <v>677</v>
      </c>
      <c r="B1215" s="13" t="n">
        <v>46184</v>
      </c>
      <c r="C1215" s="14" t="n">
        <v>1214.29</v>
      </c>
      <c r="D1215" s="27" t="n"/>
      <c r="E1215" s="27" t="n"/>
      <c r="F1215" s="27" t="n"/>
      <c r="G1215" s="16" t="inlineStr">
        <is>
          <t>全国基准价</t>
        </is>
      </c>
      <c r="H1215" s="17" t="inlineStr">
        <is>
          <t>打开原文</t>
        </is>
      </c>
    </row>
    <row r="1216">
      <c r="A1216" s="18" t="n">
        <v>678</v>
      </c>
      <c r="B1216" s="19" t="n">
        <v>46185</v>
      </c>
      <c r="C1216" s="20" t="n">
        <v>1214.29</v>
      </c>
      <c r="D1216" s="28" t="n"/>
      <c r="E1216" s="28" t="n"/>
      <c r="F1216" s="28" t="n"/>
      <c r="G1216" s="22" t="inlineStr">
        <is>
          <t>全国基准价</t>
        </is>
      </c>
      <c r="H1216" s="23" t="inlineStr">
        <is>
          <t>打开原文</t>
        </is>
      </c>
    </row>
    <row r="1217">
      <c r="A1217" s="12" t="n">
        <v>679</v>
      </c>
      <c r="B1217" s="13" t="n">
        <v>46188</v>
      </c>
      <c r="C1217" s="14" t="n">
        <v>1214.29</v>
      </c>
      <c r="D1217" s="27" t="n"/>
      <c r="E1217" s="27" t="n"/>
      <c r="F1217" s="27" t="n"/>
      <c r="G1217" s="16" t="inlineStr">
        <is>
          <t>全国基准价</t>
        </is>
      </c>
      <c r="H1217" s="17" t="inlineStr">
        <is>
          <t>打开原文</t>
        </is>
      </c>
    </row>
    <row r="1218">
      <c r="A1218" s="18" t="n">
        <v>680</v>
      </c>
      <c r="B1218" s="19" t="n">
        <v>46189</v>
      </c>
      <c r="C1218" s="20" t="n">
        <v>1216.43</v>
      </c>
      <c r="D1218" s="28" t="n"/>
      <c r="E1218" s="28" t="n"/>
      <c r="F1218" s="28" t="n"/>
      <c r="G1218" s="22" t="inlineStr">
        <is>
          <t>全国基准价</t>
        </is>
      </c>
      <c r="H1218" s="23" t="inlineStr">
        <is>
          <t>打开原文</t>
        </is>
      </c>
    </row>
    <row r="1219">
      <c r="A1219" s="12" t="n">
        <v>681</v>
      </c>
      <c r="B1219" s="13" t="n">
        <v>46190</v>
      </c>
      <c r="C1219" s="14" t="n">
        <v>1216.43</v>
      </c>
      <c r="D1219" s="27" t="n"/>
      <c r="E1219" s="27" t="n"/>
      <c r="F1219" s="27" t="n"/>
      <c r="G1219" s="16" t="inlineStr">
        <is>
          <t>全国基准价</t>
        </is>
      </c>
      <c r="H1219" s="17" t="inlineStr">
        <is>
          <t>打开原文</t>
        </is>
      </c>
    </row>
    <row r="1220">
      <c r="A1220" s="18" t="n">
        <v>682</v>
      </c>
      <c r="B1220" s="19" t="n">
        <v>46191</v>
      </c>
      <c r="C1220" s="20" t="n">
        <v>1216.43</v>
      </c>
      <c r="D1220" s="28" t="n"/>
      <c r="E1220" s="28" t="n"/>
      <c r="F1220" s="28" t="n"/>
      <c r="G1220" s="22" t="inlineStr">
        <is>
          <t>全国基准价</t>
        </is>
      </c>
      <c r="H1220" s="23" t="inlineStr">
        <is>
          <t>打开原文</t>
        </is>
      </c>
    </row>
    <row r="1221">
      <c r="A1221" s="12" t="n">
        <v>683</v>
      </c>
      <c r="B1221" s="13" t="n">
        <v>46192</v>
      </c>
      <c r="C1221" s="14" t="n">
        <v>1204.29</v>
      </c>
      <c r="D1221" s="27" t="n"/>
      <c r="E1221" s="27" t="n"/>
      <c r="F1221" s="27" t="n"/>
      <c r="G1221" s="16" t="inlineStr">
        <is>
          <t>全国基准价</t>
        </is>
      </c>
      <c r="H1221" s="17" t="inlineStr">
        <is>
          <t>打开原文</t>
        </is>
      </c>
    </row>
    <row r="1222">
      <c r="A1222" s="18" t="n">
        <v>684</v>
      </c>
      <c r="B1222" s="19" t="n">
        <v>46195</v>
      </c>
      <c r="C1222" s="20" t="n">
        <v>1204.29</v>
      </c>
      <c r="D1222" s="28" t="n"/>
      <c r="E1222" s="28" t="n"/>
      <c r="F1222" s="28" t="n"/>
      <c r="G1222" s="22" t="inlineStr">
        <is>
          <t>全国基准价</t>
        </is>
      </c>
      <c r="H1222" s="23" t="inlineStr">
        <is>
          <t>打开原文</t>
        </is>
      </c>
    </row>
    <row r="1223">
      <c r="A1223" s="12" t="n">
        <v>685</v>
      </c>
      <c r="B1223" s="13" t="n">
        <v>46196</v>
      </c>
      <c r="C1223" s="14" t="n">
        <v>1204.29</v>
      </c>
      <c r="D1223" s="27" t="n"/>
      <c r="E1223" s="27" t="n"/>
      <c r="F1223" s="27" t="n"/>
      <c r="G1223" s="16" t="inlineStr">
        <is>
          <t>全国基准价</t>
        </is>
      </c>
      <c r="H1223" s="17" t="inlineStr">
        <is>
          <t>打开原文</t>
        </is>
      </c>
    </row>
    <row r="1224">
      <c r="A1224" s="18" t="n">
        <v>686</v>
      </c>
      <c r="B1224" s="19" t="n">
        <v>46197</v>
      </c>
      <c r="C1224" s="20" t="n">
        <v>1204.29</v>
      </c>
      <c r="D1224" s="28" t="n"/>
      <c r="E1224" s="28" t="n"/>
      <c r="F1224" s="28" t="n"/>
      <c r="G1224" s="22" t="inlineStr">
        <is>
          <t>全国基准价</t>
        </is>
      </c>
      <c r="H1224" s="23" t="inlineStr">
        <is>
          <t>打开原文</t>
        </is>
      </c>
    </row>
    <row r="1225">
      <c r="A1225" s="12" t="n">
        <v>687</v>
      </c>
      <c r="B1225" s="13" t="n">
        <v>46198</v>
      </c>
      <c r="C1225" s="14" t="n">
        <v>1204.29</v>
      </c>
      <c r="D1225" s="27" t="n"/>
      <c r="E1225" s="27" t="n"/>
      <c r="F1225" s="27" t="n"/>
      <c r="G1225" s="16" t="inlineStr">
        <is>
          <t>全国基准价</t>
        </is>
      </c>
      <c r="H1225" s="17" t="inlineStr">
        <is>
          <t>打开原文</t>
        </is>
      </c>
    </row>
    <row r="1226">
      <c r="A1226" s="18" t="n">
        <v>688</v>
      </c>
      <c r="B1226" s="19" t="n">
        <v>46199</v>
      </c>
      <c r="C1226" s="20" t="n">
        <v>1202.86</v>
      </c>
      <c r="D1226" s="28" t="n"/>
      <c r="E1226" s="28" t="n"/>
      <c r="F1226" s="28" t="n"/>
      <c r="G1226" s="22" t="inlineStr">
        <is>
          <t>全国基准价</t>
        </is>
      </c>
      <c r="H1226" s="23" t="inlineStr">
        <is>
          <t>打开原文</t>
        </is>
      </c>
    </row>
    <row r="1227">
      <c r="A1227" s="12" t="n">
        <v>689</v>
      </c>
      <c r="B1227" s="13" t="n">
        <v>46202</v>
      </c>
      <c r="C1227" s="14" t="n">
        <v>1195.71</v>
      </c>
      <c r="D1227" s="27" t="n"/>
      <c r="E1227" s="27" t="n"/>
      <c r="F1227" s="27" t="n"/>
      <c r="G1227" s="16" t="inlineStr">
        <is>
          <t>全国基准价</t>
        </is>
      </c>
      <c r="H1227" s="17" t="inlineStr">
        <is>
          <t>打开原文</t>
        </is>
      </c>
    </row>
    <row r="1228">
      <c r="A1228" s="18" t="n">
        <v>690</v>
      </c>
      <c r="B1228" s="19" t="n">
        <v>46203</v>
      </c>
      <c r="C1228" s="20" t="n">
        <v>1195.71</v>
      </c>
      <c r="D1228" s="28" t="n"/>
      <c r="E1228" s="28" t="n"/>
      <c r="F1228" s="28" t="n"/>
      <c r="G1228" s="22" t="inlineStr">
        <is>
          <t>全国基准价</t>
        </is>
      </c>
      <c r="H1228" s="23" t="inlineStr">
        <is>
          <t>打开原文</t>
        </is>
      </c>
    </row>
    <row r="1229">
      <c r="A1229" s="12" t="n">
        <v>691</v>
      </c>
      <c r="B1229" s="13" t="n">
        <v>46204</v>
      </c>
      <c r="C1229" s="14" t="n">
        <v>1191.43</v>
      </c>
      <c r="D1229" s="27" t="n"/>
      <c r="E1229" s="27" t="n"/>
      <c r="F1229" s="27" t="n"/>
      <c r="G1229" s="16" t="inlineStr">
        <is>
          <t>全国基准价</t>
        </is>
      </c>
      <c r="H1229" s="17" t="inlineStr">
        <is>
          <t>打开原文</t>
        </is>
      </c>
    </row>
    <row r="1230">
      <c r="A1230" s="18" t="n">
        <v>692</v>
      </c>
      <c r="B1230" s="19" t="n">
        <v>46205</v>
      </c>
      <c r="C1230" s="20" t="n">
        <v>1164.29</v>
      </c>
      <c r="D1230" s="28" t="n"/>
      <c r="E1230" s="28" t="n"/>
      <c r="F1230" s="28" t="n"/>
      <c r="G1230" s="22" t="inlineStr">
        <is>
          <t>全国基准价</t>
        </is>
      </c>
      <c r="H1230" s="23" t="inlineStr">
        <is>
          <t>打开原文</t>
        </is>
      </c>
    </row>
    <row r="1231">
      <c r="A1231" s="12" t="n">
        <v>693</v>
      </c>
      <c r="B1231" s="13" t="n">
        <v>46206</v>
      </c>
      <c r="C1231" s="14" t="n">
        <v>1164.29</v>
      </c>
      <c r="D1231" s="27" t="n"/>
      <c r="E1231" s="27" t="n"/>
      <c r="F1231" s="27" t="n"/>
      <c r="G1231" s="16" t="inlineStr">
        <is>
          <t>全国基准价</t>
        </is>
      </c>
      <c r="H1231" s="17" t="inlineStr">
        <is>
          <t>打开原文</t>
        </is>
      </c>
    </row>
    <row r="1232">
      <c r="A1232" s="18" t="n">
        <v>694</v>
      </c>
      <c r="B1232" s="19" t="n">
        <v>46209</v>
      </c>
      <c r="C1232" s="20" t="n">
        <v>1164.29</v>
      </c>
      <c r="D1232" s="28" t="n"/>
      <c r="E1232" s="28" t="n"/>
      <c r="F1232" s="28" t="n"/>
      <c r="G1232" s="22" t="inlineStr">
        <is>
          <t>全国基准价</t>
        </is>
      </c>
      <c r="H1232" s="23" t="inlineStr">
        <is>
          <t>打开原文</t>
        </is>
      </c>
    </row>
    <row r="1233">
      <c r="A1233" s="12" t="n">
        <v>695</v>
      </c>
      <c r="B1233" s="13" t="n">
        <v>46210</v>
      </c>
      <c r="C1233" s="14" t="n">
        <v>1161.43</v>
      </c>
      <c r="D1233" s="27" t="n"/>
      <c r="E1233" s="27" t="n"/>
      <c r="F1233" s="27" t="n"/>
      <c r="G1233" s="16" t="inlineStr">
        <is>
          <t>全国基准价</t>
        </is>
      </c>
      <c r="H1233" s="17" t="inlineStr">
        <is>
          <t>打开原文</t>
        </is>
      </c>
    </row>
    <row r="1234">
      <c r="A1234" s="18" t="n">
        <v>696</v>
      </c>
      <c r="B1234" s="19" t="n">
        <v>46211</v>
      </c>
      <c r="C1234" s="20" t="n">
        <v>1158.57</v>
      </c>
      <c r="D1234" s="28" t="n"/>
      <c r="E1234" s="28" t="n"/>
      <c r="F1234" s="28" t="n"/>
      <c r="G1234" s="22" t="inlineStr">
        <is>
          <t>全国基准价</t>
        </is>
      </c>
      <c r="H1234" s="23" t="inlineStr">
        <is>
          <t>打开原文</t>
        </is>
      </c>
    </row>
    <row r="1235">
      <c r="A1235" s="12" t="n">
        <v>697</v>
      </c>
      <c r="B1235" s="13" t="n">
        <v>46212</v>
      </c>
      <c r="C1235" s="14" t="n">
        <v>1158.57</v>
      </c>
      <c r="D1235" s="27" t="n"/>
      <c r="E1235" s="27" t="n"/>
      <c r="F1235" s="27" t="n"/>
      <c r="G1235" s="16" t="inlineStr">
        <is>
          <t>全国基准价</t>
        </is>
      </c>
      <c r="H1235" s="17" t="inlineStr">
        <is>
          <t>打开原文</t>
        </is>
      </c>
    </row>
    <row r="1236">
      <c r="A1236" s="18" t="n">
        <v>698</v>
      </c>
      <c r="B1236" s="19" t="n">
        <v>46213</v>
      </c>
      <c r="C1236" s="20" t="n">
        <v>1158.57</v>
      </c>
      <c r="D1236" s="28" t="n"/>
      <c r="E1236" s="28" t="n"/>
      <c r="F1236" s="28" t="n"/>
      <c r="G1236" s="22" t="inlineStr">
        <is>
          <t>全国基准价</t>
        </is>
      </c>
      <c r="H1236" s="23" t="inlineStr">
        <is>
          <t>打开原文</t>
        </is>
      </c>
    </row>
    <row r="1237">
      <c r="A1237" s="12" t="n">
        <v>699</v>
      </c>
      <c r="B1237" s="13" t="n">
        <v>46216</v>
      </c>
      <c r="C1237" s="14" t="n">
        <v>1160</v>
      </c>
      <c r="D1237" s="27" t="n"/>
      <c r="E1237" s="27" t="n"/>
      <c r="F1237" s="27" t="n"/>
      <c r="G1237" s="16" t="inlineStr">
        <is>
          <t>全国基准价</t>
        </is>
      </c>
      <c r="H1237" s="17" t="inlineStr">
        <is>
          <t>打开原文</t>
        </is>
      </c>
    </row>
    <row r="1238">
      <c r="A1238" s="18" t="n">
        <v>700</v>
      </c>
      <c r="B1238" s="19" t="n">
        <v>46217</v>
      </c>
      <c r="C1238" s="20" t="n">
        <v>1160</v>
      </c>
      <c r="D1238" s="28" t="n"/>
      <c r="E1238" s="28" t="n"/>
      <c r="F1238" s="28" t="n"/>
      <c r="G1238" s="22" t="inlineStr">
        <is>
          <t>全国基准价</t>
        </is>
      </c>
      <c r="H1238" s="23" t="inlineStr">
        <is>
          <t>打开原文</t>
        </is>
      </c>
    </row>
    <row r="1239">
      <c r="A1239" s="12" t="n">
        <v>701</v>
      </c>
      <c r="B1239" s="13" t="n">
        <v>46218</v>
      </c>
      <c r="C1239" s="14" t="n">
        <v>1155.71</v>
      </c>
      <c r="D1239" s="27" t="n"/>
      <c r="E1239" s="27" t="n"/>
      <c r="F1239" s="27" t="n"/>
      <c r="G1239" s="16" t="inlineStr">
        <is>
          <t>全国基准价</t>
        </is>
      </c>
      <c r="H1239" s="17" t="inlineStr">
        <is>
          <t>打开原文</t>
        </is>
      </c>
    </row>
    <row r="1240">
      <c r="A1240" s="18" t="n">
        <v>702</v>
      </c>
      <c r="B1240" s="19" t="n">
        <v>46219</v>
      </c>
      <c r="C1240" s="20" t="n">
        <v>1152.86</v>
      </c>
      <c r="D1240" s="28" t="n"/>
      <c r="E1240" s="28" t="n"/>
      <c r="F1240" s="28" t="n"/>
      <c r="G1240" s="22" t="inlineStr">
        <is>
          <t>全国基准价</t>
        </is>
      </c>
      <c r="H1240" s="23" t="inlineStr">
        <is>
          <t>打开原文</t>
        </is>
      </c>
    </row>
    <row r="1241">
      <c r="A1241" s="12" t="n">
        <v>703</v>
      </c>
      <c r="B1241" s="13" t="n">
        <v>46220</v>
      </c>
      <c r="C1241" s="14" t="n">
        <v>1152.86</v>
      </c>
      <c r="D1241" s="27" t="n"/>
      <c r="E1241" s="27" t="n"/>
      <c r="F1241" s="27" t="n"/>
      <c r="G1241" s="16" t="inlineStr">
        <is>
          <t>全国基准价</t>
        </is>
      </c>
      <c r="H1241" s="17" t="inlineStr">
        <is>
          <t>打开原文</t>
        </is>
      </c>
    </row>
    <row r="1242">
      <c r="A1242" s="18" t="n">
        <v>704</v>
      </c>
      <c r="B1242" s="19" t="n">
        <v>46223</v>
      </c>
      <c r="C1242" s="20" t="n">
        <v>1152.86</v>
      </c>
      <c r="D1242" s="28" t="n"/>
      <c r="E1242" s="28" t="n"/>
      <c r="F1242" s="28" t="n"/>
      <c r="G1242" s="22" t="inlineStr">
        <is>
          <t>全国基准价</t>
        </is>
      </c>
      <c r="H1242" s="23" t="inlineStr">
        <is>
          <t>打开原文</t>
        </is>
      </c>
    </row>
    <row r="1243">
      <c r="A1243" s="12" t="n">
        <v>705</v>
      </c>
      <c r="B1243" s="13" t="n">
        <v>46224</v>
      </c>
      <c r="C1243" s="14" t="n">
        <v>1152.86</v>
      </c>
      <c r="D1243" s="27" t="n"/>
      <c r="E1243" s="27" t="n"/>
      <c r="F1243" s="27" t="n"/>
      <c r="G1243" s="16" t="inlineStr">
        <is>
          <t>全国基准价</t>
        </is>
      </c>
      <c r="H1243" s="17" t="inlineStr">
        <is>
          <t>打开原文</t>
        </is>
      </c>
    </row>
    <row r="1244">
      <c r="A1244" s="18" t="n">
        <v>706</v>
      </c>
      <c r="B1244" s="19" t="n">
        <v>46225</v>
      </c>
      <c r="C1244" s="20" t="n">
        <v>1152.86</v>
      </c>
      <c r="D1244" s="28" t="n"/>
      <c r="E1244" s="28" t="n"/>
      <c r="F1244" s="28" t="n"/>
      <c r="G1244" s="22" t="inlineStr">
        <is>
          <t>全国基准价</t>
        </is>
      </c>
      <c r="H1244" s="23" t="inlineStr">
        <is>
          <t>打开原文</t>
        </is>
      </c>
    </row>
    <row r="1245">
      <c r="A1245" s="12" t="n">
        <v>707</v>
      </c>
      <c r="B1245" s="13" t="n">
        <v>46226</v>
      </c>
      <c r="C1245" s="14" t="n">
        <v>1152.86</v>
      </c>
      <c r="D1245" s="27" t="n"/>
      <c r="E1245" s="27" t="n"/>
      <c r="F1245" s="27" t="n"/>
      <c r="G1245" s="16" t="inlineStr">
        <is>
          <t>全国基准价</t>
        </is>
      </c>
      <c r="H1245" s="17" t="inlineStr">
        <is>
          <t>打开原文</t>
        </is>
      </c>
    </row>
    <row r="1246">
      <c r="A1246" s="18" t="n">
        <v>708</v>
      </c>
      <c r="B1246" s="19" t="n">
        <v>46227</v>
      </c>
      <c r="C1246" s="20" t="n">
        <v>1152.86</v>
      </c>
      <c r="D1246" s="28" t="n"/>
      <c r="E1246" s="28" t="n"/>
      <c r="F1246" s="28" t="n"/>
      <c r="G1246" s="22" t="inlineStr">
        <is>
          <t>全国基准价</t>
        </is>
      </c>
      <c r="H1246" s="23" t="inlineStr">
        <is>
          <t>打开原文</t>
        </is>
      </c>
    </row>
    <row r="1247">
      <c r="A1247" s="12" t="n">
        <v>709</v>
      </c>
      <c r="B1247" s="13" t="n">
        <v>46230</v>
      </c>
      <c r="C1247" s="14" t="n">
        <v>1152.86</v>
      </c>
      <c r="D1247" s="27" t="n"/>
      <c r="E1247" s="27" t="n"/>
      <c r="F1247" s="27" t="n"/>
      <c r="G1247" s="16" t="inlineStr">
        <is>
          <t>全国基准价</t>
        </is>
      </c>
      <c r="H1247" s="17" t="inlineStr">
        <is>
          <t>打开原文</t>
        </is>
      </c>
    </row>
    <row r="1248">
      <c r="A1248" s="18" t="n">
        <v>710</v>
      </c>
      <c r="B1248" s="19" t="n">
        <v>46231</v>
      </c>
      <c r="C1248" s="20" t="n">
        <v>1144.29</v>
      </c>
      <c r="D1248" s="28" t="n"/>
      <c r="E1248" s="28" t="n"/>
      <c r="F1248" s="28" t="n"/>
      <c r="G1248" s="22" t="inlineStr">
        <is>
          <t>全国基准价</t>
        </is>
      </c>
      <c r="H1248" s="23" t="inlineStr">
        <is>
          <t>打开原文</t>
        </is>
      </c>
    </row>
    <row r="1249">
      <c r="A1249" s="12" t="n">
        <v>711</v>
      </c>
      <c r="B1249" s="13" t="n">
        <v>46232</v>
      </c>
      <c r="C1249" s="14" t="n">
        <v>1144.29</v>
      </c>
      <c r="D1249" s="27" t="n"/>
      <c r="E1249" s="27" t="n"/>
      <c r="F1249" s="27" t="n"/>
      <c r="G1249" s="16" t="inlineStr">
        <is>
          <t>全国基准价</t>
        </is>
      </c>
      <c r="H1249" s="17" t="inlineStr">
        <is>
          <t>打开原文</t>
        </is>
      </c>
    </row>
    <row r="1250">
      <c r="A1250" s="18" t="n">
        <v>712</v>
      </c>
      <c r="B1250" s="19" t="n">
        <v>46233</v>
      </c>
      <c r="C1250" s="20" t="n">
        <v>1144.29</v>
      </c>
      <c r="D1250" s="28" t="n"/>
      <c r="E1250" s="28" t="n"/>
      <c r="F1250" s="28" t="n"/>
      <c r="G1250" s="22" t="inlineStr">
        <is>
          <t>全国基准价</t>
        </is>
      </c>
      <c r="H1250" s="23" t="inlineStr">
        <is>
          <t>打开原文</t>
        </is>
      </c>
    </row>
    <row r="1251">
      <c r="A1251" s="12" t="n">
        <v>713</v>
      </c>
      <c r="B1251" s="13" t="n">
        <v>46234</v>
      </c>
      <c r="C1251" s="14" t="n">
        <v>1140</v>
      </c>
      <c r="D1251" s="27" t="n"/>
      <c r="E1251" s="27" t="n"/>
      <c r="F1251" s="27" t="n"/>
      <c r="G1251" s="16" t="inlineStr">
        <is>
          <t>全国基准价</t>
        </is>
      </c>
      <c r="H1251" s="17" t="inlineStr">
        <is>
          <t>打开原文</t>
        </is>
      </c>
    </row>
    <row r="1252">
      <c r="A1252" s="18" t="n">
        <v>714</v>
      </c>
      <c r="B1252" s="19" t="n">
        <v>46237</v>
      </c>
      <c r="C1252" s="20" t="n">
        <v>1104.29</v>
      </c>
      <c r="D1252" s="28" t="n"/>
      <c r="E1252" s="28" t="n"/>
      <c r="F1252" s="28" t="n"/>
      <c r="G1252" s="22" t="inlineStr">
        <is>
          <t>全国基准价</t>
        </is>
      </c>
      <c r="H1252" s="23" t="inlineStr">
        <is>
          <t>打开原文</t>
        </is>
      </c>
    </row>
    <row r="1253">
      <c r="A1253" s="12" t="n">
        <v>715</v>
      </c>
      <c r="B1253" s="13" t="n">
        <v>46238</v>
      </c>
      <c r="C1253" s="14" t="n">
        <v>1090</v>
      </c>
      <c r="D1253" s="27" t="n"/>
      <c r="E1253" s="27" t="n"/>
      <c r="F1253" s="27" t="n"/>
      <c r="G1253" s="16" t="inlineStr">
        <is>
          <t>全国基准价</t>
        </is>
      </c>
      <c r="H1253" s="17" t="inlineStr">
        <is>
          <t>打开原文</t>
        </is>
      </c>
    </row>
    <row r="1254">
      <c r="A1254" s="18" t="n">
        <v>716</v>
      </c>
      <c r="B1254" s="19" t="n">
        <v>46239</v>
      </c>
      <c r="C1254" s="20" t="n">
        <v>1090</v>
      </c>
      <c r="D1254" s="28" t="n"/>
      <c r="E1254" s="28" t="n"/>
      <c r="F1254" s="28" t="n"/>
      <c r="G1254" s="22" t="inlineStr">
        <is>
          <t>全国基准价</t>
        </is>
      </c>
      <c r="H1254" s="23" t="inlineStr">
        <is>
          <t>打开原文</t>
        </is>
      </c>
    </row>
    <row r="1255">
      <c r="A1255" s="12" t="n">
        <v>717</v>
      </c>
      <c r="B1255" s="13" t="n">
        <v>46240</v>
      </c>
      <c r="C1255" s="14" t="n">
        <v>1090</v>
      </c>
      <c r="D1255" s="27" t="n"/>
      <c r="E1255" s="27" t="n"/>
      <c r="F1255" s="27" t="n"/>
      <c r="G1255" s="16" t="inlineStr">
        <is>
          <t>全国基准价</t>
        </is>
      </c>
      <c r="H1255" s="17" t="inlineStr">
        <is>
          <t>打开原文</t>
        </is>
      </c>
    </row>
    <row r="1256">
      <c r="A1256" s="18" t="n">
        <v>718</v>
      </c>
      <c r="B1256" s="19" t="n">
        <v>46241</v>
      </c>
      <c r="C1256" s="20" t="n">
        <v>1090</v>
      </c>
      <c r="D1256" s="28" t="n"/>
      <c r="E1256" s="28" t="n"/>
      <c r="F1256" s="28" t="n"/>
      <c r="G1256" s="22" t="inlineStr">
        <is>
          <t>全国基准价</t>
        </is>
      </c>
      <c r="H1256" s="23" t="inlineStr">
        <is>
          <t>打开原文</t>
        </is>
      </c>
    </row>
    <row r="1257">
      <c r="A1257" s="12" t="n">
        <v>719</v>
      </c>
      <c r="B1257" s="13" t="n">
        <v>46244</v>
      </c>
      <c r="C1257" s="14" t="n">
        <v>1090</v>
      </c>
      <c r="D1257" s="27" t="n"/>
      <c r="E1257" s="27" t="n"/>
      <c r="F1257" s="27" t="n"/>
      <c r="G1257" s="16" t="inlineStr">
        <is>
          <t>全国基准价</t>
        </is>
      </c>
      <c r="H1257" s="17" t="inlineStr">
        <is>
          <t>打开原文</t>
        </is>
      </c>
    </row>
    <row r="1258">
      <c r="A1258" s="18" t="n">
        <v>720</v>
      </c>
      <c r="B1258" s="19" t="n">
        <v>46245</v>
      </c>
      <c r="C1258" s="20" t="n">
        <v>1090</v>
      </c>
      <c r="D1258" s="28" t="n"/>
      <c r="E1258" s="28" t="n"/>
      <c r="F1258" s="28" t="n"/>
      <c r="G1258" s="22" t="inlineStr">
        <is>
          <t>全国基准价</t>
        </is>
      </c>
      <c r="H1258" s="23" t="inlineStr">
        <is>
          <t>打开原文</t>
        </is>
      </c>
    </row>
    <row r="1259">
      <c r="A1259" s="12" t="n">
        <v>721</v>
      </c>
      <c r="B1259" s="13" t="n">
        <v>46246</v>
      </c>
      <c r="C1259" s="14" t="n">
        <v>1090</v>
      </c>
      <c r="D1259" s="27" t="n"/>
      <c r="E1259" s="27" t="n"/>
      <c r="F1259" s="27" t="n"/>
      <c r="G1259" s="16" t="inlineStr">
        <is>
          <t>全国基准价</t>
        </is>
      </c>
      <c r="H1259" s="17" t="inlineStr">
        <is>
          <t>打开原文</t>
        </is>
      </c>
    </row>
    <row r="1260">
      <c r="A1260" s="18" t="n">
        <v>722</v>
      </c>
      <c r="B1260" s="19" t="n">
        <v>46247</v>
      </c>
      <c r="C1260" s="20" t="n">
        <v>1090</v>
      </c>
      <c r="D1260" s="28" t="n"/>
      <c r="E1260" s="28" t="n"/>
      <c r="F1260" s="28" t="n"/>
      <c r="G1260" s="22" t="inlineStr">
        <is>
          <t>全国基准价</t>
        </is>
      </c>
      <c r="H1260" s="23" t="inlineStr">
        <is>
          <t>打开原文</t>
        </is>
      </c>
    </row>
    <row r="1261">
      <c r="A1261" s="12" t="n">
        <v>723</v>
      </c>
      <c r="B1261" s="13" t="n">
        <v>46248</v>
      </c>
      <c r="C1261" s="14" t="n">
        <v>1090</v>
      </c>
      <c r="D1261" s="27" t="n"/>
      <c r="E1261" s="27" t="n"/>
      <c r="F1261" s="27" t="n"/>
      <c r="G1261" s="16" t="inlineStr">
        <is>
          <t>全国基准价</t>
        </is>
      </c>
      <c r="H1261" s="17" t="inlineStr">
        <is>
          <t>打开原文</t>
        </is>
      </c>
    </row>
    <row r="1262">
      <c r="A1262" s="18" t="n">
        <v>724</v>
      </c>
      <c r="B1262" s="19" t="n">
        <v>46251</v>
      </c>
      <c r="C1262" s="20" t="n">
        <v>1090</v>
      </c>
      <c r="D1262" s="28" t="n"/>
      <c r="E1262" s="28" t="n"/>
      <c r="F1262" s="28" t="n"/>
      <c r="G1262" s="22" t="inlineStr">
        <is>
          <t>全国基准价</t>
        </is>
      </c>
      <c r="H1262" s="23" t="inlineStr">
        <is>
          <t>打开原文</t>
        </is>
      </c>
    </row>
    <row r="1263">
      <c r="A1263" s="12" t="n">
        <v>725</v>
      </c>
      <c r="B1263" s="13" t="n">
        <v>46252</v>
      </c>
      <c r="C1263" s="14" t="n">
        <v>1090</v>
      </c>
      <c r="D1263" s="27" t="n"/>
      <c r="E1263" s="27" t="n"/>
      <c r="F1263" s="27" t="n"/>
      <c r="G1263" s="16" t="inlineStr">
        <is>
          <t>全国基准价</t>
        </is>
      </c>
      <c r="H1263" s="17" t="inlineStr">
        <is>
          <t>打开原文</t>
        </is>
      </c>
    </row>
    <row r="1264">
      <c r="A1264" s="18" t="n">
        <v>726</v>
      </c>
      <c r="B1264" s="19" t="n">
        <v>46253</v>
      </c>
      <c r="C1264" s="20" t="n">
        <v>1090</v>
      </c>
      <c r="D1264" s="28" t="n"/>
      <c r="E1264" s="28" t="n"/>
      <c r="F1264" s="28" t="n"/>
      <c r="G1264" s="22" t="inlineStr">
        <is>
          <t>全国基准价</t>
        </is>
      </c>
      <c r="H1264" s="23" t="inlineStr">
        <is>
          <t>打开原文</t>
        </is>
      </c>
    </row>
    <row r="1265">
      <c r="A1265" s="12" t="n">
        <v>727</v>
      </c>
      <c r="B1265" s="13" t="n">
        <v>46254</v>
      </c>
      <c r="C1265" s="14" t="n">
        <v>1090</v>
      </c>
      <c r="D1265" s="27" t="n"/>
      <c r="E1265" s="27" t="n"/>
      <c r="F1265" s="27" t="n"/>
      <c r="G1265" s="16" t="inlineStr">
        <is>
          <t>全国基准价</t>
        </is>
      </c>
      <c r="H1265" s="17" t="inlineStr">
        <is>
          <t>打开原文</t>
        </is>
      </c>
    </row>
    <row r="1266">
      <c r="A1266" s="18" t="n">
        <v>728</v>
      </c>
      <c r="B1266" s="19" t="n">
        <v>46255</v>
      </c>
      <c r="C1266" s="20" t="n">
        <v>1090</v>
      </c>
      <c r="D1266" s="28" t="n"/>
      <c r="E1266" s="28" t="n"/>
      <c r="F1266" s="28" t="n"/>
      <c r="G1266" s="22" t="inlineStr">
        <is>
          <t>全国基准价</t>
        </is>
      </c>
      <c r="H1266" s="23" t="inlineStr">
        <is>
          <t>打开原文</t>
        </is>
      </c>
    </row>
    <row r="1267">
      <c r="A1267" s="12" t="n">
        <v>729</v>
      </c>
      <c r="B1267" s="13" t="n">
        <v>46258</v>
      </c>
      <c r="C1267" s="14" t="n">
        <v>1090</v>
      </c>
      <c r="D1267" s="27" t="n"/>
      <c r="E1267" s="27" t="n"/>
      <c r="F1267" s="27" t="n"/>
      <c r="G1267" s="16" t="inlineStr">
        <is>
          <t>全国基准价</t>
        </is>
      </c>
      <c r="H1267" s="17" t="inlineStr">
        <is>
          <t>打开原文</t>
        </is>
      </c>
    </row>
    <row r="1268">
      <c r="A1268" s="18" t="n">
        <v>730</v>
      </c>
      <c r="B1268" s="19" t="n">
        <v>46259</v>
      </c>
      <c r="C1268" s="20" t="n">
        <v>1090</v>
      </c>
      <c r="D1268" s="28" t="n"/>
      <c r="E1268" s="28" t="n"/>
      <c r="F1268" s="28" t="n"/>
      <c r="G1268" s="22" t="inlineStr">
        <is>
          <t>全国基准价</t>
        </is>
      </c>
      <c r="H1268" s="23" t="inlineStr">
        <is>
          <t>打开原文</t>
        </is>
      </c>
    </row>
    <row r="1269">
      <c r="A1269" s="12" t="n">
        <v>731</v>
      </c>
      <c r="B1269" s="13" t="n">
        <v>46260</v>
      </c>
      <c r="C1269" s="14" t="n">
        <v>1090</v>
      </c>
      <c r="D1269" s="27" t="n"/>
      <c r="E1269" s="27" t="n"/>
      <c r="F1269" s="27" t="n"/>
      <c r="G1269" s="16" t="inlineStr">
        <is>
          <t>全国基准价</t>
        </is>
      </c>
      <c r="H1269" s="17" t="inlineStr">
        <is>
          <t>打开原文</t>
        </is>
      </c>
    </row>
    <row r="1270">
      <c r="A1270" s="18" t="n">
        <v>732</v>
      </c>
      <c r="B1270" s="19" t="n">
        <v>46261</v>
      </c>
      <c r="C1270" s="20" t="n">
        <v>1087.14</v>
      </c>
      <c r="D1270" s="28" t="n"/>
      <c r="E1270" s="28" t="n"/>
      <c r="F1270" s="28" t="n"/>
      <c r="G1270" s="22" t="inlineStr">
        <is>
          <t>全国基准价</t>
        </is>
      </c>
      <c r="H1270" s="23" t="inlineStr">
        <is>
          <t>打开原文</t>
        </is>
      </c>
    </row>
    <row r="1271">
      <c r="A1271" s="12" t="n">
        <v>733</v>
      </c>
      <c r="B1271" s="13" t="n">
        <v>46262</v>
      </c>
      <c r="C1271" s="14" t="n">
        <v>1087.14</v>
      </c>
      <c r="D1271" s="27" t="n"/>
      <c r="E1271" s="27" t="n"/>
      <c r="F1271" s="27" t="n"/>
      <c r="G1271" s="16" t="inlineStr">
        <is>
          <t>全国基准价</t>
        </is>
      </c>
      <c r="H1271" s="17" t="inlineStr">
        <is>
          <t>打开原文</t>
        </is>
      </c>
    </row>
    <row r="1272">
      <c r="A1272" s="18" t="n">
        <v>734</v>
      </c>
      <c r="B1272" s="19" t="n">
        <v>46265</v>
      </c>
      <c r="C1272" s="20" t="n">
        <v>1087.14</v>
      </c>
      <c r="D1272" s="28" t="n"/>
      <c r="E1272" s="28" t="n"/>
      <c r="F1272" s="28" t="n"/>
      <c r="G1272" s="22" t="inlineStr">
        <is>
          <t>全国基准价</t>
        </is>
      </c>
      <c r="H1272" s="23" t="inlineStr">
        <is>
          <t>打开原文</t>
        </is>
      </c>
    </row>
    <row r="1273">
      <c r="A1273" s="12" t="n">
        <v>735</v>
      </c>
      <c r="B1273" s="13" t="n">
        <v>46266</v>
      </c>
      <c r="C1273" s="14" t="n">
        <v>1087.14</v>
      </c>
      <c r="D1273" s="27" t="n"/>
      <c r="E1273" s="27" t="n"/>
      <c r="F1273" s="27" t="n"/>
      <c r="G1273" s="16" t="inlineStr">
        <is>
          <t>全国基准价</t>
        </is>
      </c>
      <c r="H1273" s="17" t="inlineStr">
        <is>
          <t>打开原文</t>
        </is>
      </c>
    </row>
    <row r="1274">
      <c r="A1274" s="18" t="n">
        <v>736</v>
      </c>
      <c r="B1274" s="19" t="n">
        <v>46267</v>
      </c>
      <c r="C1274" s="20" t="n">
        <v>1087.14</v>
      </c>
      <c r="D1274" s="28" t="n"/>
      <c r="E1274" s="28" t="n"/>
      <c r="F1274" s="28" t="n"/>
      <c r="G1274" s="22" t="inlineStr">
        <is>
          <t>全国基准价</t>
        </is>
      </c>
      <c r="H1274" s="23" t="inlineStr">
        <is>
          <t>打开原文</t>
        </is>
      </c>
    </row>
    <row r="1275">
      <c r="A1275" s="12" t="n">
        <v>737</v>
      </c>
      <c r="B1275" s="13" t="n">
        <v>46268</v>
      </c>
      <c r="C1275" s="14" t="n">
        <v>1087.14</v>
      </c>
      <c r="D1275" s="27" t="n"/>
      <c r="E1275" s="27" t="n"/>
      <c r="F1275" s="27" t="n"/>
      <c r="G1275" s="16" t="inlineStr">
        <is>
          <t>全国基准价</t>
        </is>
      </c>
      <c r="H1275" s="17" t="inlineStr">
        <is>
          <t>打开原文</t>
        </is>
      </c>
    </row>
    <row r="1276">
      <c r="A1276" s="18" t="n">
        <v>738</v>
      </c>
      <c r="B1276" s="19" t="n">
        <v>46269</v>
      </c>
      <c r="C1276" s="20" t="n">
        <v>1087.14</v>
      </c>
      <c r="D1276" s="28" t="n"/>
      <c r="E1276" s="28" t="n"/>
      <c r="F1276" s="28" t="n"/>
      <c r="G1276" s="22" t="inlineStr">
        <is>
          <t>全国基准价</t>
        </is>
      </c>
      <c r="H1276" s="23" t="inlineStr">
        <is>
          <t>打开原文</t>
        </is>
      </c>
    </row>
    <row r="1277">
      <c r="A1277" s="12" t="n">
        <v>739</v>
      </c>
      <c r="B1277" s="13" t="n">
        <v>46272</v>
      </c>
      <c r="C1277" s="14" t="n">
        <v>1087.14</v>
      </c>
      <c r="D1277" s="27" t="n"/>
      <c r="E1277" s="27" t="n"/>
      <c r="F1277" s="27" t="n"/>
      <c r="G1277" s="16" t="inlineStr">
        <is>
          <t>全国基准价</t>
        </is>
      </c>
      <c r="H1277" s="17" t="inlineStr">
        <is>
          <t>打开原文</t>
        </is>
      </c>
    </row>
    <row r="1278">
      <c r="A1278" s="18" t="n">
        <v>740</v>
      </c>
      <c r="B1278" s="19" t="n">
        <v>46273</v>
      </c>
      <c r="C1278" s="20" t="n">
        <v>1087.14</v>
      </c>
      <c r="D1278" s="28" t="n"/>
      <c r="E1278" s="28" t="n"/>
      <c r="F1278" s="28" t="n"/>
      <c r="G1278" s="22" t="inlineStr">
        <is>
          <t>全国基准价</t>
        </is>
      </c>
      <c r="H1278" s="23" t="inlineStr">
        <is>
          <t>打开原文</t>
        </is>
      </c>
    </row>
    <row r="1279">
      <c r="A1279" s="12" t="n">
        <v>741</v>
      </c>
      <c r="B1279" s="13" t="n">
        <v>46274</v>
      </c>
      <c r="C1279" s="14" t="n">
        <v>1087.14</v>
      </c>
      <c r="D1279" s="27" t="n"/>
      <c r="E1279" s="27" t="n"/>
      <c r="F1279" s="27" t="n"/>
      <c r="G1279" s="16" t="inlineStr">
        <is>
          <t>全国基准价</t>
        </is>
      </c>
      <c r="H1279" s="17" t="inlineStr">
        <is>
          <t>打开原文</t>
        </is>
      </c>
    </row>
    <row r="1280">
      <c r="A1280" s="18" t="n">
        <v>742</v>
      </c>
      <c r="B1280" s="19" t="n">
        <v>46275</v>
      </c>
      <c r="C1280" s="20" t="n">
        <v>1090</v>
      </c>
      <c r="D1280" s="28" t="n"/>
      <c r="E1280" s="28" t="n"/>
      <c r="F1280" s="28" t="n"/>
      <c r="G1280" s="22" t="inlineStr">
        <is>
          <t>全国基准价</t>
        </is>
      </c>
      <c r="H1280" s="23" t="inlineStr">
        <is>
          <t>打开原文</t>
        </is>
      </c>
    </row>
    <row r="1281">
      <c r="A1281" s="12" t="n">
        <v>743</v>
      </c>
      <c r="B1281" s="13" t="n">
        <v>46276</v>
      </c>
      <c r="C1281" s="14" t="n">
        <v>1090</v>
      </c>
      <c r="D1281" s="27" t="n"/>
      <c r="E1281" s="27" t="n"/>
      <c r="F1281" s="27" t="n"/>
      <c r="G1281" s="16" t="inlineStr">
        <is>
          <t>全国基准价</t>
        </is>
      </c>
      <c r="H1281" s="17" t="inlineStr">
        <is>
          <t>打开原文</t>
        </is>
      </c>
    </row>
    <row r="1282">
      <c r="A1282" s="18" t="n">
        <v>744</v>
      </c>
      <c r="B1282" s="19" t="n">
        <v>46279</v>
      </c>
      <c r="C1282" s="20" t="n">
        <v>1090</v>
      </c>
      <c r="D1282" s="28" t="n"/>
      <c r="E1282" s="28" t="n"/>
      <c r="F1282" s="28" t="n"/>
      <c r="G1282" s="22" t="inlineStr">
        <is>
          <t>全国基准价</t>
        </is>
      </c>
      <c r="H1282" s="23" t="inlineStr">
        <is>
          <t>打开原文</t>
        </is>
      </c>
    </row>
    <row r="1283">
      <c r="A1283" s="12" t="n">
        <v>745</v>
      </c>
      <c r="B1283" s="13" t="n">
        <v>46280</v>
      </c>
      <c r="C1283" s="14" t="n">
        <v>1090</v>
      </c>
      <c r="D1283" s="27" t="n"/>
      <c r="E1283" s="27" t="n"/>
      <c r="F1283" s="27" t="n"/>
      <c r="G1283" s="16" t="inlineStr">
        <is>
          <t>全国基准价</t>
        </is>
      </c>
      <c r="H1283" s="17" t="inlineStr">
        <is>
          <t>打开原文</t>
        </is>
      </c>
    </row>
    <row r="1284">
      <c r="A1284" s="18" t="n">
        <v>746</v>
      </c>
      <c r="B1284" s="19" t="n">
        <v>46281</v>
      </c>
      <c r="C1284" s="20" t="n">
        <v>1090</v>
      </c>
      <c r="D1284" s="28" t="n"/>
      <c r="E1284" s="28" t="n"/>
      <c r="F1284" s="28" t="n"/>
      <c r="G1284" s="22" t="inlineStr">
        <is>
          <t>全国基准价</t>
        </is>
      </c>
      <c r="H1284" s="23" t="inlineStr">
        <is>
          <t>打开原文</t>
        </is>
      </c>
    </row>
    <row r="1285">
      <c r="A1285" s="12" t="n">
        <v>747</v>
      </c>
      <c r="B1285" s="13" t="n">
        <v>46282</v>
      </c>
      <c r="C1285" s="14" t="n">
        <v>1080</v>
      </c>
      <c r="D1285" s="27" t="n"/>
      <c r="E1285" s="27" t="n"/>
      <c r="F1285" s="27" t="n"/>
      <c r="G1285" s="16" t="inlineStr">
        <is>
          <t>全国基准价</t>
        </is>
      </c>
      <c r="H1285" s="17" t="inlineStr">
        <is>
          <t>打开原文</t>
        </is>
      </c>
    </row>
    <row r="1286">
      <c r="A1286" s="18" t="n">
        <v>748</v>
      </c>
      <c r="B1286" s="19" t="n">
        <v>46283</v>
      </c>
      <c r="C1286" s="20" t="n">
        <v>1077.14</v>
      </c>
      <c r="D1286" s="28" t="n"/>
      <c r="E1286" s="28" t="n"/>
      <c r="F1286" s="28" t="n"/>
      <c r="G1286" s="22" t="inlineStr">
        <is>
          <t>全国基准价</t>
        </is>
      </c>
      <c r="H1286" s="23" t="inlineStr">
        <is>
          <t>打开原文</t>
        </is>
      </c>
    </row>
    <row r="1287">
      <c r="A1287" s="12" t="n">
        <v>749</v>
      </c>
      <c r="B1287" s="13" t="n">
        <v>46286</v>
      </c>
      <c r="C1287" s="14" t="n">
        <v>1077.14</v>
      </c>
      <c r="D1287" s="27" t="n"/>
      <c r="E1287" s="27" t="n"/>
      <c r="F1287" s="27" t="n"/>
      <c r="G1287" s="16" t="inlineStr">
        <is>
          <t>全国基准价</t>
        </is>
      </c>
      <c r="H1287" s="17" t="inlineStr">
        <is>
          <t>打开原文</t>
        </is>
      </c>
    </row>
    <row r="1288">
      <c r="A1288" s="18" t="n">
        <v>750</v>
      </c>
      <c r="B1288" s="19" t="n">
        <v>46287</v>
      </c>
      <c r="C1288" s="20" t="n">
        <v>1077.14</v>
      </c>
      <c r="D1288" s="28" t="n"/>
      <c r="E1288" s="28" t="n"/>
      <c r="F1288" s="28" t="n"/>
      <c r="G1288" s="22" t="inlineStr">
        <is>
          <t>全国基准价</t>
        </is>
      </c>
      <c r="H1288" s="23" t="inlineStr">
        <is>
          <t>打开原文</t>
        </is>
      </c>
    </row>
    <row r="1289">
      <c r="A1289" s="12" t="n">
        <v>751</v>
      </c>
      <c r="B1289" s="13" t="n">
        <v>46288</v>
      </c>
      <c r="C1289" s="14" t="n">
        <v>1077.14</v>
      </c>
      <c r="D1289" s="27" t="n"/>
      <c r="E1289" s="27" t="n"/>
      <c r="F1289" s="27" t="n"/>
      <c r="G1289" s="16" t="inlineStr">
        <is>
          <t>全国基准价</t>
        </is>
      </c>
      <c r="H1289" s="17" t="inlineStr">
        <is>
          <t>打开原文</t>
        </is>
      </c>
    </row>
    <row r="1290">
      <c r="A1290" s="18" t="n">
        <v>752</v>
      </c>
      <c r="B1290" s="19" t="n">
        <v>46289</v>
      </c>
      <c r="C1290" s="20" t="n">
        <v>1077.14</v>
      </c>
      <c r="D1290" s="28" t="n"/>
      <c r="E1290" s="28" t="n"/>
      <c r="F1290" s="28" t="n"/>
      <c r="G1290" s="22" t="inlineStr">
        <is>
          <t>全国基准价</t>
        </is>
      </c>
      <c r="H1290" s="23" t="inlineStr">
        <is>
          <t>打开原文</t>
        </is>
      </c>
    </row>
    <row r="1291">
      <c r="A1291" s="12" t="n">
        <v>753</v>
      </c>
      <c r="B1291" s="13" t="n">
        <v>46290</v>
      </c>
      <c r="C1291" s="14" t="n">
        <v>1075.71</v>
      </c>
      <c r="D1291" s="27" t="n"/>
      <c r="E1291" s="27" t="n"/>
      <c r="F1291" s="27" t="n"/>
      <c r="G1291" s="16" t="inlineStr">
        <is>
          <t>全国基准价</t>
        </is>
      </c>
      <c r="H1291" s="17" t="inlineStr">
        <is>
          <t>打开原文</t>
        </is>
      </c>
    </row>
    <row r="1292">
      <c r="A1292" s="18" t="n">
        <v>754</v>
      </c>
      <c r="B1292" s="19" t="n">
        <v>46293</v>
      </c>
      <c r="C1292" s="20" t="n">
        <v>1075.71</v>
      </c>
      <c r="D1292" s="28" t="n"/>
      <c r="E1292" s="28" t="n"/>
      <c r="F1292" s="28" t="n"/>
      <c r="G1292" s="22" t="inlineStr">
        <is>
          <t>全国基准价</t>
        </is>
      </c>
      <c r="H1292" s="23" t="inlineStr">
        <is>
          <t>打开原文</t>
        </is>
      </c>
    </row>
    <row r="1293">
      <c r="A1293" s="12" t="n">
        <v>755</v>
      </c>
      <c r="B1293" s="13" t="n">
        <v>46294</v>
      </c>
      <c r="C1293" s="14" t="n">
        <v>1075.71</v>
      </c>
      <c r="D1293" s="27" t="n"/>
      <c r="E1293" s="27" t="n"/>
      <c r="F1293" s="27" t="n"/>
      <c r="G1293" s="16" t="inlineStr">
        <is>
          <t>全国基准价</t>
        </is>
      </c>
      <c r="H1293" s="17" t="inlineStr">
        <is>
          <t>打开原文</t>
        </is>
      </c>
    </row>
    <row r="1294">
      <c r="A1294" s="18" t="n">
        <v>756</v>
      </c>
      <c r="B1294" s="19" t="n">
        <v>46295</v>
      </c>
      <c r="C1294" s="20" t="n">
        <v>1075.71</v>
      </c>
      <c r="D1294" s="28" t="n"/>
      <c r="E1294" s="28" t="n"/>
      <c r="F1294" s="28" t="n"/>
      <c r="G1294" s="22" t="inlineStr">
        <is>
          <t>全国基准价</t>
        </is>
      </c>
      <c r="H1294" s="23" t="inlineStr">
        <is>
          <t>打开原文</t>
        </is>
      </c>
    </row>
    <row r="1295">
      <c r="A1295" s="12" t="n">
        <v>757</v>
      </c>
      <c r="B1295" s="13" t="n">
        <v>46296</v>
      </c>
      <c r="C1295" s="14" t="n">
        <v>1075.71</v>
      </c>
      <c r="D1295" s="27" t="n"/>
      <c r="E1295" s="27" t="n"/>
      <c r="F1295" s="27" t="n"/>
      <c r="G1295" s="16" t="inlineStr">
        <is>
          <t>全国基准价</t>
        </is>
      </c>
      <c r="H1295" s="17" t="inlineStr">
        <is>
          <t>打开原文</t>
        </is>
      </c>
    </row>
    <row r="1296">
      <c r="A1296" s="18" t="n">
        <v>758</v>
      </c>
      <c r="B1296" s="19" t="n">
        <v>46297</v>
      </c>
      <c r="C1296" s="20" t="n">
        <v>1075.71</v>
      </c>
      <c r="D1296" s="28" t="n"/>
      <c r="E1296" s="28" t="n"/>
      <c r="F1296" s="28" t="n"/>
      <c r="G1296" s="22" t="inlineStr">
        <is>
          <t>全国基准价</t>
        </is>
      </c>
      <c r="H1296" s="23" t="inlineStr">
        <is>
          <t>打开原文</t>
        </is>
      </c>
    </row>
    <row r="1297">
      <c r="A1297" s="12" t="n">
        <v>759</v>
      </c>
      <c r="B1297" s="13" t="n">
        <v>46300</v>
      </c>
      <c r="C1297" s="14" t="n">
        <v>1075.71</v>
      </c>
      <c r="D1297" s="27" t="n"/>
      <c r="E1297" s="27" t="n"/>
      <c r="F1297" s="27" t="n"/>
      <c r="G1297" s="16" t="inlineStr">
        <is>
          <t>全国基准价</t>
        </is>
      </c>
      <c r="H1297" s="17" t="inlineStr">
        <is>
          <t>打开原文</t>
        </is>
      </c>
    </row>
    <row r="1298">
      <c r="A1298" s="18" t="n">
        <v>760</v>
      </c>
      <c r="B1298" s="19" t="n">
        <v>46301</v>
      </c>
      <c r="C1298" s="20" t="n">
        <v>1075.71</v>
      </c>
      <c r="D1298" s="28" t="n"/>
      <c r="E1298" s="28" t="n"/>
      <c r="F1298" s="28" t="n"/>
      <c r="G1298" s="22" t="inlineStr">
        <is>
          <t>全国基准价</t>
        </is>
      </c>
      <c r="H1298" s="23" t="inlineStr">
        <is>
          <t>打开原文</t>
        </is>
      </c>
    </row>
    <row r="1299">
      <c r="A1299" s="12" t="n">
        <v>761</v>
      </c>
      <c r="B1299" s="13" t="n">
        <v>46302</v>
      </c>
      <c r="C1299" s="14" t="n">
        <v>1075.71</v>
      </c>
      <c r="D1299" s="27" t="n"/>
      <c r="E1299" s="27" t="n"/>
      <c r="F1299" s="27" t="n"/>
      <c r="G1299" s="16" t="inlineStr">
        <is>
          <t>全国基准价</t>
        </is>
      </c>
      <c r="H1299" s="17" t="inlineStr">
        <is>
          <t>打开原文</t>
        </is>
      </c>
    </row>
    <row r="1300">
      <c r="A1300" s="18" t="n">
        <v>762</v>
      </c>
      <c r="B1300" s="19" t="n">
        <v>46303</v>
      </c>
      <c r="C1300" s="20" t="n">
        <v>1075.71</v>
      </c>
      <c r="D1300" s="28" t="n"/>
      <c r="E1300" s="28" t="n"/>
      <c r="F1300" s="28" t="n"/>
      <c r="G1300" s="22" t="inlineStr">
        <is>
          <t>全国基准价</t>
        </is>
      </c>
      <c r="H1300" s="23" t="inlineStr">
        <is>
          <t>打开原文</t>
        </is>
      </c>
    </row>
    <row r="1301">
      <c r="A1301" s="12" t="n">
        <v>763</v>
      </c>
      <c r="B1301" s="13" t="n">
        <v>46304</v>
      </c>
      <c r="C1301" s="14" t="n">
        <v>1074.29</v>
      </c>
      <c r="D1301" s="27" t="n"/>
      <c r="E1301" s="27" t="n"/>
      <c r="F1301" s="27" t="n"/>
      <c r="G1301" s="16" t="inlineStr">
        <is>
          <t>全国基准价</t>
        </is>
      </c>
      <c r="H1301" s="17" t="inlineStr">
        <is>
          <t>打开原文</t>
        </is>
      </c>
    </row>
    <row r="1302">
      <c r="A1302" s="18" t="n">
        <v>764</v>
      </c>
      <c r="B1302" s="19" t="n">
        <v>46307</v>
      </c>
      <c r="C1302" s="20" t="n">
        <v>1074.29</v>
      </c>
      <c r="D1302" s="28" t="n"/>
      <c r="E1302" s="28" t="n"/>
      <c r="F1302" s="28" t="n"/>
      <c r="G1302" s="22" t="inlineStr">
        <is>
          <t>全国基准价</t>
        </is>
      </c>
      <c r="H1302" s="23" t="inlineStr">
        <is>
          <t>打开原文</t>
        </is>
      </c>
    </row>
    <row r="1303">
      <c r="A1303" s="12" t="n">
        <v>765</v>
      </c>
      <c r="B1303" s="13" t="n">
        <v>46308</v>
      </c>
      <c r="C1303" s="14" t="n">
        <v>1071.43</v>
      </c>
      <c r="D1303" s="27" t="n"/>
      <c r="E1303" s="27" t="n"/>
      <c r="F1303" s="27" t="n"/>
      <c r="G1303" s="16" t="inlineStr">
        <is>
          <t>全国基准价</t>
        </is>
      </c>
      <c r="H1303" s="17" t="inlineStr">
        <is>
          <t>打开原文</t>
        </is>
      </c>
    </row>
    <row r="1304">
      <c r="A1304" s="18" t="n">
        <v>766</v>
      </c>
      <c r="B1304" s="19" t="n">
        <v>46309</v>
      </c>
      <c r="C1304" s="20" t="n">
        <v>1064.29</v>
      </c>
      <c r="D1304" s="28" t="n"/>
      <c r="E1304" s="28" t="n"/>
      <c r="F1304" s="28" t="n"/>
      <c r="G1304" s="22" t="inlineStr">
        <is>
          <t>全国基准价</t>
        </is>
      </c>
      <c r="H1304" s="23" t="inlineStr">
        <is>
          <t>打开原文</t>
        </is>
      </c>
    </row>
    <row r="1305">
      <c r="A1305" s="12" t="n">
        <v>767</v>
      </c>
      <c r="B1305" s="13" t="n">
        <v>46310</v>
      </c>
      <c r="C1305" s="14" t="n">
        <v>1062.86</v>
      </c>
      <c r="D1305" s="27" t="n"/>
      <c r="E1305" s="27" t="n"/>
      <c r="F1305" s="27" t="n"/>
      <c r="G1305" s="16" t="inlineStr">
        <is>
          <t>全国基准价</t>
        </is>
      </c>
      <c r="H1305" s="17" t="inlineStr">
        <is>
          <t>打开原文</t>
        </is>
      </c>
    </row>
    <row r="1306">
      <c r="A1306" s="18" t="n">
        <v>768</v>
      </c>
      <c r="B1306" s="19" t="n">
        <v>46311</v>
      </c>
      <c r="C1306" s="20" t="n">
        <v>1062.86</v>
      </c>
      <c r="D1306" s="28" t="n"/>
      <c r="E1306" s="28" t="n"/>
      <c r="F1306" s="28" t="n"/>
      <c r="G1306" s="22" t="inlineStr">
        <is>
          <t>全国基准价</t>
        </is>
      </c>
      <c r="H1306" s="23" t="inlineStr">
        <is>
          <t>打开原文</t>
        </is>
      </c>
    </row>
    <row r="1307">
      <c r="A1307" s="12" t="n">
        <v>769</v>
      </c>
      <c r="B1307" s="13" t="n">
        <v>46314</v>
      </c>
      <c r="C1307" s="14" t="n">
        <v>1062.86</v>
      </c>
      <c r="D1307" s="27" t="n"/>
      <c r="E1307" s="27" t="n"/>
      <c r="F1307" s="27" t="n"/>
      <c r="G1307" s="16" t="inlineStr">
        <is>
          <t>全国基准价</t>
        </is>
      </c>
      <c r="H1307" s="17" t="inlineStr">
        <is>
          <t>打开原文</t>
        </is>
      </c>
    </row>
    <row r="1308">
      <c r="A1308" s="18" t="n">
        <v>770</v>
      </c>
      <c r="B1308" s="19" t="n">
        <v>46315</v>
      </c>
      <c r="C1308" s="20" t="n">
        <v>1062.86</v>
      </c>
      <c r="D1308" s="28" t="n"/>
      <c r="E1308" s="28" t="n"/>
      <c r="F1308" s="28" t="n"/>
      <c r="G1308" s="22" t="inlineStr">
        <is>
          <t>全国基准价</t>
        </is>
      </c>
      <c r="H1308" s="23" t="inlineStr">
        <is>
          <t>打开原文</t>
        </is>
      </c>
    </row>
    <row r="1309" ht="30" customHeight="1">
      <c r="A1309" s="24" t="inlineStr">
        <is>
          <t>S3 全国 共 770 条观测（2023-11-09 至 2026-10-20）。</t>
        </is>
      </c>
      <c r="B1309" s="25" t="n"/>
      <c r="C1309" s="25" t="n"/>
      <c r="D1309" s="25" t="n"/>
      <c r="E1309" s="25" t="n"/>
      <c r="F1309" s="25" t="n"/>
      <c r="G1309" s="25" t="n"/>
      <c r="H1309" s="25" t="n"/>
    </row>
  </sheetData>
  <mergeCells count="776">
    <mergeCell ref="C1293:F1293"/>
    <mergeCell ref="C1176:F1176"/>
    <mergeCell ref="C703:F703"/>
    <mergeCell ref="C970:F970"/>
    <mergeCell ref="C1268:F1268"/>
    <mergeCell ref="C911:F911"/>
    <mergeCell ref="C848:F848"/>
    <mergeCell ref="C1084:F1084"/>
    <mergeCell ref="C556:F556"/>
    <mergeCell ref="C823:F823"/>
    <mergeCell ref="C627:F627"/>
    <mergeCell ref="C761:F761"/>
    <mergeCell ref="C1059:F1059"/>
    <mergeCell ref="C614:F614"/>
    <mergeCell ref="C1148:F1148"/>
    <mergeCell ref="C558:F558"/>
    <mergeCell ref="C825:F825"/>
    <mergeCell ref="C629:F629"/>
    <mergeCell ref="C681:F681"/>
    <mergeCell ref="C800:F800"/>
    <mergeCell ref="C619:F619"/>
    <mergeCell ref="C996:F996"/>
    <mergeCell ref="C1123:F1123"/>
    <mergeCell ref="C914:F914"/>
    <mergeCell ref="C591:F591"/>
    <mergeCell ref="C889:F889"/>
    <mergeCell ref="C1060:F1060"/>
    <mergeCell ref="C683:F683"/>
    <mergeCell ref="C1125:F1125"/>
    <mergeCell ref="C1296:F1296"/>
    <mergeCell ref="C981:F981"/>
    <mergeCell ref="C891:F891"/>
    <mergeCell ref="C1062:F1062"/>
    <mergeCell ref="C920:F920"/>
    <mergeCell ref="C916:F916"/>
    <mergeCell ref="C903:F903"/>
    <mergeCell ref="C1201:F1201"/>
    <mergeCell ref="C551:F551"/>
    <mergeCell ref="C1299:F1299"/>
    <mergeCell ref="C709:F709"/>
    <mergeCell ref="C1007:F1007"/>
    <mergeCell ref="C1278:F1278"/>
    <mergeCell ref="C774:F774"/>
    <mergeCell ref="C945:F945"/>
    <mergeCell ref="C1078:F1078"/>
    <mergeCell ref="C1072:F1072"/>
    <mergeCell ref="C1138:F1138"/>
    <mergeCell ref="C1249:F1249"/>
    <mergeCell ref="C932:F932"/>
    <mergeCell ref="C1230:F1230"/>
    <mergeCell ref="C917:F917"/>
    <mergeCell ref="C602:F602"/>
    <mergeCell ref="C773:F773"/>
    <mergeCell ref="C540:F540"/>
    <mergeCell ref="C711:F711"/>
    <mergeCell ref="C838:F838"/>
    <mergeCell ref="C1009:F1009"/>
    <mergeCell ref="C1202:F1202"/>
    <mergeCell ref="C1136:F1136"/>
    <mergeCell ref="C1307:F1307"/>
    <mergeCell ref="C1294:F1294"/>
    <mergeCell ref="C604:F604"/>
    <mergeCell ref="C775:F775"/>
    <mergeCell ref="C946:F946"/>
    <mergeCell ref="C902:F902"/>
    <mergeCell ref="C1073:F1073"/>
    <mergeCell ref="C1244:F1244"/>
    <mergeCell ref="C564:F564"/>
    <mergeCell ref="C566:F566"/>
    <mergeCell ref="C693:F693"/>
    <mergeCell ref="C864:F864"/>
    <mergeCell ref="C1131:F1131"/>
    <mergeCell ref="C553:F553"/>
    <mergeCell ref="C851:F851"/>
    <mergeCell ref="C1027:F1027"/>
    <mergeCell ref="C1149:F1149"/>
    <mergeCell ref="C1087:F1087"/>
    <mergeCell ref="C1220:F1220"/>
    <mergeCell ref="C1214:F1214"/>
    <mergeCell ref="C630:F630"/>
    <mergeCell ref="C866:F866"/>
    <mergeCell ref="C617:F617"/>
    <mergeCell ref="C722:F722"/>
    <mergeCell ref="C1133:F1133"/>
    <mergeCell ref="C793:F793"/>
    <mergeCell ref="C915:F915"/>
    <mergeCell ref="C853:F853"/>
    <mergeCell ref="C1189:F1189"/>
    <mergeCell ref="C1151:F1151"/>
    <mergeCell ref="C939:F939"/>
    <mergeCell ref="C632:F632"/>
    <mergeCell ref="C1126:F1126"/>
    <mergeCell ref="C930:F930"/>
    <mergeCell ref="C1197:F1197"/>
    <mergeCell ref="C724:F724"/>
    <mergeCell ref="C607:F607"/>
    <mergeCell ref="C1191:F1191"/>
    <mergeCell ref="C1215:F1215"/>
    <mergeCell ref="C699:F699"/>
    <mergeCell ref="C941:F941"/>
    <mergeCell ref="C1239:F1239"/>
    <mergeCell ref="C788:F788"/>
    <mergeCell ref="C636:F636"/>
    <mergeCell ref="C907:F907"/>
    <mergeCell ref="C1053:F1053"/>
    <mergeCell ref="C844:F844"/>
    <mergeCell ref="C819:F819"/>
    <mergeCell ref="C1015:F1015"/>
    <mergeCell ref="C1080:F1080"/>
    <mergeCell ref="C1251:F1251"/>
    <mergeCell ref="C1217:F1217"/>
    <mergeCell ref="C846:F846"/>
    <mergeCell ref="C1017:F1017"/>
    <mergeCell ref="C1144:F1144"/>
    <mergeCell ref="C560:F560"/>
    <mergeCell ref="C554:F554"/>
    <mergeCell ref="C625:F625"/>
    <mergeCell ref="C541:F541"/>
    <mergeCell ref="C612:F612"/>
    <mergeCell ref="C839:F839"/>
    <mergeCell ref="C1010:F1010"/>
    <mergeCell ref="C910:F910"/>
    <mergeCell ref="C1081:F1081"/>
    <mergeCell ref="C904:F904"/>
    <mergeCell ref="C1075:F1075"/>
    <mergeCell ref="C1146:F1146"/>
    <mergeCell ref="C1246:F1246"/>
    <mergeCell ref="C854:F854"/>
    <mergeCell ref="C605:F605"/>
    <mergeCell ref="C841:F841"/>
    <mergeCell ref="C1012:F1012"/>
    <mergeCell ref="C912:F912"/>
    <mergeCell ref="C1083:F1083"/>
    <mergeCell ref="C1254:F1254"/>
    <mergeCell ref="C1210:F1210"/>
    <mergeCell ref="C620:F620"/>
    <mergeCell ref="C791:F791"/>
    <mergeCell ref="C778:F778"/>
    <mergeCell ref="C1141:F1141"/>
    <mergeCell ref="C872:F872"/>
    <mergeCell ref="C1157:F1157"/>
    <mergeCell ref="C743:F743"/>
    <mergeCell ref="C936:F936"/>
    <mergeCell ref="C730:F730"/>
    <mergeCell ref="C1172:F1172"/>
    <mergeCell ref="C1159:F1159"/>
    <mergeCell ref="C631:F631"/>
    <mergeCell ref="C569:F569"/>
    <mergeCell ref="C867:F867"/>
    <mergeCell ref="C938:F938"/>
    <mergeCell ref="C994:F994"/>
    <mergeCell ref="C794:F794"/>
    <mergeCell ref="C965:F965"/>
    <mergeCell ref="C1236:F1236"/>
    <mergeCell ref="C1030:F1030"/>
    <mergeCell ref="C1223:F1223"/>
    <mergeCell ref="C633:F633"/>
    <mergeCell ref="C682:F682"/>
    <mergeCell ref="C738:F738"/>
    <mergeCell ref="C809:F809"/>
    <mergeCell ref="C725:F725"/>
    <mergeCell ref="C1167:F1167"/>
    <mergeCell ref="C796:F796"/>
    <mergeCell ref="C967:F967"/>
    <mergeCell ref="C1238:F1238"/>
    <mergeCell ref="C1094:F1094"/>
    <mergeCell ref="C1265:F1265"/>
    <mergeCell ref="C1259:F1259"/>
    <mergeCell ref="C771:F771"/>
    <mergeCell ref="C933:F933"/>
    <mergeCell ref="C1025:F1025"/>
    <mergeCell ref="C1292:F1292"/>
    <mergeCell ref="C835:F835"/>
    <mergeCell ref="C1071:F1071"/>
    <mergeCell ref="C1242:F1242"/>
    <mergeCell ref="C885:F885"/>
    <mergeCell ref="C562:F562"/>
    <mergeCell ref="C860:F860"/>
    <mergeCell ref="C651:F651"/>
    <mergeCell ref="C626:F626"/>
    <mergeCell ref="C862:F862"/>
    <mergeCell ref="C718:F718"/>
    <mergeCell ref="C1160:F1160"/>
    <mergeCell ref="C960:F960"/>
    <mergeCell ref="C849:F849"/>
    <mergeCell ref="C653:F653"/>
    <mergeCell ref="C680:F680"/>
    <mergeCell ref="C1147:F1147"/>
    <mergeCell ref="C1218:F1218"/>
    <mergeCell ref="C557:F557"/>
    <mergeCell ref="C628:F628"/>
    <mergeCell ref="C655:F655"/>
    <mergeCell ref="C926:F926"/>
    <mergeCell ref="C720:F720"/>
    <mergeCell ref="C1162:F1162"/>
    <mergeCell ref="C913:F913"/>
    <mergeCell ref="C962:F962"/>
    <mergeCell ref="C1018:F1018"/>
    <mergeCell ref="C1211:F1211"/>
    <mergeCell ref="C1260:F1260"/>
    <mergeCell ref="C980:F980"/>
    <mergeCell ref="C863:F863"/>
    <mergeCell ref="C1247:F1247"/>
    <mergeCell ref="C657:F657"/>
    <mergeCell ref="C928:F928"/>
    <mergeCell ref="C1099:F1099"/>
    <mergeCell ref="C784:F784"/>
    <mergeCell ref="C955:F955"/>
    <mergeCell ref="C1226:F1226"/>
    <mergeCell ref="C1020:F1020"/>
    <mergeCell ref="C1213:F1213"/>
    <mergeCell ref="C786:F786"/>
    <mergeCell ref="C957:F957"/>
    <mergeCell ref="C875:F875"/>
    <mergeCell ref="C1173:F1173"/>
    <mergeCell ref="A5:H5"/>
    <mergeCell ref="C1165:F1165"/>
    <mergeCell ref="C581:F581"/>
    <mergeCell ref="C575:F575"/>
    <mergeCell ref="C746:F746"/>
    <mergeCell ref="C873:F873"/>
    <mergeCell ref="C1044:F1044"/>
    <mergeCell ref="C1115:F1115"/>
    <mergeCell ref="C733:F733"/>
    <mergeCell ref="C1175:F1175"/>
    <mergeCell ref="C1031:F1031"/>
    <mergeCell ref="C1102:F1102"/>
    <mergeCell ref="C1273:F1273"/>
    <mergeCell ref="C1096:F1096"/>
    <mergeCell ref="C1267:F1267"/>
    <mergeCell ref="C639:F639"/>
    <mergeCell ref="C810:F810"/>
    <mergeCell ref="C577:F577"/>
    <mergeCell ref="C1046:F1046"/>
    <mergeCell ref="C675:F675"/>
    <mergeCell ref="C731:F731"/>
    <mergeCell ref="C797:F797"/>
    <mergeCell ref="C1033:F1033"/>
    <mergeCell ref="C576:F576"/>
    <mergeCell ref="C747:F747"/>
    <mergeCell ref="C641:F641"/>
    <mergeCell ref="C812:F812"/>
    <mergeCell ref="C983:F983"/>
    <mergeCell ref="C1110:F1110"/>
    <mergeCell ref="C799:F799"/>
    <mergeCell ref="C1097:F1097"/>
    <mergeCell ref="C670:F670"/>
    <mergeCell ref="C1283:F1283"/>
    <mergeCell ref="A535:H535"/>
    <mergeCell ref="C1128:F1128"/>
    <mergeCell ref="C603:F603"/>
    <mergeCell ref="C652:F652"/>
    <mergeCell ref="C590:F590"/>
    <mergeCell ref="C894:F894"/>
    <mergeCell ref="C888:F888"/>
    <mergeCell ref="A537:H537"/>
    <mergeCell ref="C1186:F1186"/>
    <mergeCell ref="C986:F986"/>
    <mergeCell ref="C1257:F1257"/>
    <mergeCell ref="C667:F667"/>
    <mergeCell ref="C1232:F1232"/>
    <mergeCell ref="C654:F654"/>
    <mergeCell ref="C1170:F1170"/>
    <mergeCell ref="C952:F952"/>
    <mergeCell ref="C752:F752"/>
    <mergeCell ref="C1001:F1001"/>
    <mergeCell ref="C1188:F1188"/>
    <mergeCell ref="C1286:F1286"/>
    <mergeCell ref="C721:F721"/>
    <mergeCell ref="C696:F696"/>
    <mergeCell ref="C1163:F1163"/>
    <mergeCell ref="C1261:F1261"/>
    <mergeCell ref="C1150:F1150"/>
    <mergeCell ref="C954:F954"/>
    <mergeCell ref="C1252:F1252"/>
    <mergeCell ref="C736:F736"/>
    <mergeCell ref="C1288:F1288"/>
    <mergeCell ref="C589:F589"/>
    <mergeCell ref="C760:F760"/>
    <mergeCell ref="C1263:F1263"/>
    <mergeCell ref="C673:F673"/>
    <mergeCell ref="C881:F881"/>
    <mergeCell ref="C1117:F1117"/>
    <mergeCell ref="C868:F868"/>
    <mergeCell ref="C647:F647"/>
    <mergeCell ref="C622:F622"/>
    <mergeCell ref="C818:F818"/>
    <mergeCell ref="C883:F883"/>
    <mergeCell ref="C1054:F1054"/>
    <mergeCell ref="C1181:F1181"/>
    <mergeCell ref="C1168:F1168"/>
    <mergeCell ref="C1143:F1143"/>
    <mergeCell ref="C578:F578"/>
    <mergeCell ref="C749:F749"/>
    <mergeCell ref="C649:F649"/>
    <mergeCell ref="C820:F820"/>
    <mergeCell ref="C676:F676"/>
    <mergeCell ref="C876:F876"/>
    <mergeCell ref="C947:F947"/>
    <mergeCell ref="C1047:F1047"/>
    <mergeCell ref="C1118:F1118"/>
    <mergeCell ref="C1245:F1245"/>
    <mergeCell ref="C1105:F1105"/>
    <mergeCell ref="C1281:F1281"/>
    <mergeCell ref="C586:F586"/>
    <mergeCell ref="C642:F642"/>
    <mergeCell ref="C691:F691"/>
    <mergeCell ref="C813:F813"/>
    <mergeCell ref="C884:F884"/>
    <mergeCell ref="C1055:F1055"/>
    <mergeCell ref="C878:F878"/>
    <mergeCell ref="C678:F678"/>
    <mergeCell ref="C1049:F1049"/>
    <mergeCell ref="C1120:F1120"/>
    <mergeCell ref="C976:F976"/>
    <mergeCell ref="C1182:F1182"/>
    <mergeCell ref="C579:F579"/>
    <mergeCell ref="C644:F644"/>
    <mergeCell ref="C815:F815"/>
    <mergeCell ref="C978:F978"/>
    <mergeCell ref="C1100:F1100"/>
    <mergeCell ref="C1276:F1276"/>
    <mergeCell ref="C1194:F1194"/>
    <mergeCell ref="C702:F702"/>
    <mergeCell ref="C596:F596"/>
    <mergeCell ref="C767:F767"/>
    <mergeCell ref="C1065:F1065"/>
    <mergeCell ref="C925:F925"/>
    <mergeCell ref="C1196:F1196"/>
    <mergeCell ref="C668:F668"/>
    <mergeCell ref="C1052:F1052"/>
    <mergeCell ref="C704:F704"/>
    <mergeCell ref="C1171:F1171"/>
    <mergeCell ref="C660:F660"/>
    <mergeCell ref="C831:F831"/>
    <mergeCell ref="C1002:F1002"/>
    <mergeCell ref="C610:F610"/>
    <mergeCell ref="C1225:F1225"/>
    <mergeCell ref="C597:F597"/>
    <mergeCell ref="C768:F768"/>
    <mergeCell ref="C762:F762"/>
    <mergeCell ref="C1029:F1029"/>
    <mergeCell ref="C833:F833"/>
    <mergeCell ref="C1004:F1004"/>
    <mergeCell ref="C1302:F1302"/>
    <mergeCell ref="C991:F991"/>
    <mergeCell ref="C1289:F1289"/>
    <mergeCell ref="C1093:F1093"/>
    <mergeCell ref="C745:F745"/>
    <mergeCell ref="C1304:F1304"/>
    <mergeCell ref="C828:F828"/>
    <mergeCell ref="C559:F559"/>
    <mergeCell ref="C1095:F1095"/>
    <mergeCell ref="C1266:F1266"/>
    <mergeCell ref="C909:F909"/>
    <mergeCell ref="C1207:F1207"/>
    <mergeCell ref="C859:F859"/>
    <mergeCell ref="C973:F973"/>
    <mergeCell ref="A1309:H1309"/>
    <mergeCell ref="C948:F948"/>
    <mergeCell ref="C923:F923"/>
    <mergeCell ref="C886:F886"/>
    <mergeCell ref="C997:F997"/>
    <mergeCell ref="C742:F742"/>
    <mergeCell ref="C717:F717"/>
    <mergeCell ref="C984:F984"/>
    <mergeCell ref="C1040:F1040"/>
    <mergeCell ref="C1119:F1119"/>
    <mergeCell ref="C594:F594"/>
    <mergeCell ref="C1184:F1184"/>
    <mergeCell ref="C1190:F1190"/>
    <mergeCell ref="C1282:F1282"/>
    <mergeCell ref="C692:F692"/>
    <mergeCell ref="C963:F963"/>
    <mergeCell ref="C763:F763"/>
    <mergeCell ref="C999:F999"/>
    <mergeCell ref="C1121:F1121"/>
    <mergeCell ref="C977:F977"/>
    <mergeCell ref="C781:F781"/>
    <mergeCell ref="C1048:F1048"/>
    <mergeCell ref="C719:F719"/>
    <mergeCell ref="C1248:F1248"/>
    <mergeCell ref="C1297:F1297"/>
    <mergeCell ref="C1284:F1284"/>
    <mergeCell ref="C585:F585"/>
    <mergeCell ref="C694:F694"/>
    <mergeCell ref="C887:F887"/>
    <mergeCell ref="C821:F821"/>
    <mergeCell ref="C992:F992"/>
    <mergeCell ref="C1185:F1185"/>
    <mergeCell ref="C979:F979"/>
    <mergeCell ref="C587:F587"/>
    <mergeCell ref="C758:F758"/>
    <mergeCell ref="C929:F929"/>
    <mergeCell ref="C1279:F1279"/>
    <mergeCell ref="C618:F618"/>
    <mergeCell ref="C599:F599"/>
    <mergeCell ref="C770:F770"/>
    <mergeCell ref="C897:F897"/>
    <mergeCell ref="C1068:F1068"/>
    <mergeCell ref="C968:F968"/>
    <mergeCell ref="C1139:F1139"/>
    <mergeCell ref="C549:F549"/>
    <mergeCell ref="C707:F707"/>
    <mergeCell ref="C663:F663"/>
    <mergeCell ref="C712:F712"/>
    <mergeCell ref="C834:F834"/>
    <mergeCell ref="C905:F905"/>
    <mergeCell ref="C961:F961"/>
    <mergeCell ref="C899:F899"/>
    <mergeCell ref="C1005:F1005"/>
    <mergeCell ref="C1070:F1070"/>
    <mergeCell ref="C1076:F1076"/>
    <mergeCell ref="C613:F613"/>
    <mergeCell ref="C1132:F1132"/>
    <mergeCell ref="C1203:F1203"/>
    <mergeCell ref="C1241:F1241"/>
    <mergeCell ref="C1045:F1045"/>
    <mergeCell ref="C1295:F1295"/>
    <mergeCell ref="C600:F600"/>
    <mergeCell ref="C705:F705"/>
    <mergeCell ref="C898:F898"/>
    <mergeCell ref="C836:F836"/>
    <mergeCell ref="C1134:F1134"/>
    <mergeCell ref="C934:F934"/>
    <mergeCell ref="C1305:F1305"/>
    <mergeCell ref="C811:F811"/>
    <mergeCell ref="C900:F900"/>
    <mergeCell ref="C669:F669"/>
    <mergeCell ref="C689:F689"/>
    <mergeCell ref="C931:F931"/>
    <mergeCell ref="C1192:F1192"/>
    <mergeCell ref="C852:F852"/>
    <mergeCell ref="C1023:F1023"/>
    <mergeCell ref="C700:F700"/>
    <mergeCell ref="C998:F998"/>
    <mergeCell ref="C802:F802"/>
    <mergeCell ref="C1008:F1008"/>
    <mergeCell ref="C547:F547"/>
    <mergeCell ref="C989:F989"/>
    <mergeCell ref="C789:F789"/>
    <mergeCell ref="C1231:F1231"/>
    <mergeCell ref="C783:F783"/>
    <mergeCell ref="C1221:F1221"/>
    <mergeCell ref="C1274:F1274"/>
    <mergeCell ref="C1212:F1212"/>
    <mergeCell ref="C1000:F1000"/>
    <mergeCell ref="C1298:F1298"/>
    <mergeCell ref="C1187:F1187"/>
    <mergeCell ref="C847:F847"/>
    <mergeCell ref="C1285:F1285"/>
    <mergeCell ref="C695:F695"/>
    <mergeCell ref="C766:F766"/>
    <mergeCell ref="C1064:F1064"/>
    <mergeCell ref="C1300:F1300"/>
    <mergeCell ref="C1216:F1216"/>
    <mergeCell ref="C1287:F1287"/>
    <mergeCell ref="C624:F624"/>
    <mergeCell ref="C684:F684"/>
    <mergeCell ref="C842:F842"/>
    <mergeCell ref="C969:F969"/>
    <mergeCell ref="C944:F944"/>
    <mergeCell ref="C1140:F1140"/>
    <mergeCell ref="C550:F550"/>
    <mergeCell ref="C1205:F1205"/>
    <mergeCell ref="C621:F621"/>
    <mergeCell ref="C615:F615"/>
    <mergeCell ref="C919:F919"/>
    <mergeCell ref="C857:F857"/>
    <mergeCell ref="C1303:F1303"/>
    <mergeCell ref="C664:F664"/>
    <mergeCell ref="C713:F713"/>
    <mergeCell ref="C906:F906"/>
    <mergeCell ref="C1011:F1011"/>
    <mergeCell ref="C949:F949"/>
    <mergeCell ref="C1142:F1142"/>
    <mergeCell ref="C1269:F1269"/>
    <mergeCell ref="C552:F552"/>
    <mergeCell ref="C1240:F1240"/>
    <mergeCell ref="C623:F623"/>
    <mergeCell ref="C679:F679"/>
    <mergeCell ref="C650:F650"/>
    <mergeCell ref="C850:F850"/>
    <mergeCell ref="C921:F921"/>
    <mergeCell ref="C777:F777"/>
    <mergeCell ref="C1219:F1219"/>
    <mergeCell ref="C715:F715"/>
    <mergeCell ref="C837:F837"/>
    <mergeCell ref="C908:F908"/>
    <mergeCell ref="C1013:F1013"/>
    <mergeCell ref="C1206:F1206"/>
    <mergeCell ref="C1200:F1200"/>
    <mergeCell ref="C616:F616"/>
    <mergeCell ref="C779:F779"/>
    <mergeCell ref="C950:F950"/>
    <mergeCell ref="C1077:F1077"/>
    <mergeCell ref="C1235:F1235"/>
    <mergeCell ref="C568:F568"/>
    <mergeCell ref="C555:F555"/>
    <mergeCell ref="C726:F726"/>
    <mergeCell ref="C1233:F1233"/>
    <mergeCell ref="C1089:F1089"/>
    <mergeCell ref="C570:F570"/>
    <mergeCell ref="C741:F741"/>
    <mergeCell ref="C728:F728"/>
    <mergeCell ref="C855:F855"/>
    <mergeCell ref="C1026:F1026"/>
    <mergeCell ref="C1153:F1153"/>
    <mergeCell ref="C1091:F1091"/>
    <mergeCell ref="C1224:F1224"/>
    <mergeCell ref="C563:F563"/>
    <mergeCell ref="C1262:F1262"/>
    <mergeCell ref="C634:F634"/>
    <mergeCell ref="C805:F805"/>
    <mergeCell ref="C1103:F1103"/>
    <mergeCell ref="C1237:F1237"/>
    <mergeCell ref="C792:F792"/>
    <mergeCell ref="C1308:F1308"/>
    <mergeCell ref="C1090:F1090"/>
    <mergeCell ref="C1028:F1028"/>
    <mergeCell ref="C1155:F1155"/>
    <mergeCell ref="C565:F565"/>
    <mergeCell ref="C832:F832"/>
    <mergeCell ref="C807:F807"/>
    <mergeCell ref="C1003:F1003"/>
    <mergeCell ref="C1074:F1074"/>
    <mergeCell ref="C1130:F1130"/>
    <mergeCell ref="C856:F856"/>
    <mergeCell ref="C1301:F1301"/>
    <mergeCell ref="C1092:F1092"/>
    <mergeCell ref="C598:F598"/>
    <mergeCell ref="C896:F896"/>
    <mergeCell ref="C1067:F1067"/>
    <mergeCell ref="C665:F665"/>
    <mergeCell ref="C1234:F1234"/>
    <mergeCell ref="C640:F640"/>
    <mergeCell ref="C710:F710"/>
    <mergeCell ref="A1:H1"/>
    <mergeCell ref="C1019:F1019"/>
    <mergeCell ref="C739:F739"/>
    <mergeCell ref="C1255:F1255"/>
    <mergeCell ref="C975:F975"/>
    <mergeCell ref="C858:F858"/>
    <mergeCell ref="C543:F543"/>
    <mergeCell ref="C714:F714"/>
    <mergeCell ref="C785:F785"/>
    <mergeCell ref="C1021:F1021"/>
    <mergeCell ref="C1208:F1208"/>
    <mergeCell ref="C1039:F1039"/>
    <mergeCell ref="C922:F922"/>
    <mergeCell ref="C1306:F1306"/>
    <mergeCell ref="C545:F545"/>
    <mergeCell ref="C716:F716"/>
    <mergeCell ref="C787:F787"/>
    <mergeCell ref="C843:F843"/>
    <mergeCell ref="C958:F958"/>
    <mergeCell ref="C1014:F1014"/>
    <mergeCell ref="C1085:F1085"/>
    <mergeCell ref="C1145:F1145"/>
    <mergeCell ref="C1079:F1079"/>
    <mergeCell ref="C1158:F1158"/>
    <mergeCell ref="C1250:F1250"/>
    <mergeCell ref="C1256:F1256"/>
    <mergeCell ref="C780:F780"/>
    <mergeCell ref="C951:F951"/>
    <mergeCell ref="C1222:F1222"/>
    <mergeCell ref="C845:F845"/>
    <mergeCell ref="C1016:F1016"/>
    <mergeCell ref="C795:F795"/>
    <mergeCell ref="C546:F546"/>
    <mergeCell ref="C782:F782"/>
    <mergeCell ref="C953:F953"/>
    <mergeCell ref="C1174:F1174"/>
    <mergeCell ref="C1161:F1161"/>
    <mergeCell ref="C571:F571"/>
    <mergeCell ref="C698:F698"/>
    <mergeCell ref="C869:F869"/>
    <mergeCell ref="C940:F940"/>
    <mergeCell ref="C734:F734"/>
    <mergeCell ref="C927:F927"/>
    <mergeCell ref="C1032:F1032"/>
    <mergeCell ref="C635:F635"/>
    <mergeCell ref="C806:F806"/>
    <mergeCell ref="C573:F573"/>
    <mergeCell ref="C744:F744"/>
    <mergeCell ref="C877:F877"/>
    <mergeCell ref="C871:F871"/>
    <mergeCell ref="C671:F671"/>
    <mergeCell ref="C727:F727"/>
    <mergeCell ref="C942:F942"/>
    <mergeCell ref="C798:F798"/>
    <mergeCell ref="C548:F548"/>
    <mergeCell ref="C1042:F1042"/>
    <mergeCell ref="C1113:F1113"/>
    <mergeCell ref="C1169:F1169"/>
    <mergeCell ref="C1034:F1034"/>
    <mergeCell ref="C572:F572"/>
    <mergeCell ref="C1156:F1156"/>
    <mergeCell ref="C1227:F1227"/>
    <mergeCell ref="C637:F637"/>
    <mergeCell ref="C686:F686"/>
    <mergeCell ref="C808:F808"/>
    <mergeCell ref="C935:F935"/>
    <mergeCell ref="C735:F735"/>
    <mergeCell ref="C729:F729"/>
    <mergeCell ref="C971:F971"/>
    <mergeCell ref="C1098:F1098"/>
    <mergeCell ref="C574:F574"/>
    <mergeCell ref="C666:F666"/>
    <mergeCell ref="C937:F937"/>
    <mergeCell ref="C1108:F1108"/>
    <mergeCell ref="C966:F966"/>
    <mergeCell ref="C697:F697"/>
    <mergeCell ref="C1253:F1253"/>
    <mergeCell ref="C584:F584"/>
    <mergeCell ref="C755:F755"/>
    <mergeCell ref="C826:F826"/>
    <mergeCell ref="C1022:F1022"/>
    <mergeCell ref="C1124:F1124"/>
    <mergeCell ref="C1258:F1258"/>
    <mergeCell ref="C801:F801"/>
    <mergeCell ref="C1111:F1111"/>
    <mergeCell ref="C861:F861"/>
    <mergeCell ref="C1086:F1086"/>
    <mergeCell ref="C757:F757"/>
    <mergeCell ref="C1024:F1024"/>
    <mergeCell ref="C1195:F1195"/>
    <mergeCell ref="C567:F567"/>
    <mergeCell ref="C561:F561"/>
    <mergeCell ref="C732:F732"/>
    <mergeCell ref="C803:F803"/>
    <mergeCell ref="C865:F865"/>
    <mergeCell ref="C1101:F1101"/>
    <mergeCell ref="C790:F790"/>
    <mergeCell ref="C1088:F1088"/>
    <mergeCell ref="C723:F723"/>
    <mergeCell ref="C661:F661"/>
    <mergeCell ref="C643:F643"/>
    <mergeCell ref="C748:F748"/>
    <mergeCell ref="C879:F879"/>
    <mergeCell ref="C539:F539"/>
    <mergeCell ref="C1177:F1177"/>
    <mergeCell ref="C1164:F1164"/>
    <mergeCell ref="C685:F685"/>
    <mergeCell ref="C756:F756"/>
    <mergeCell ref="C816:F816"/>
    <mergeCell ref="C750:F750"/>
    <mergeCell ref="C943:F943"/>
    <mergeCell ref="C1114:F1114"/>
    <mergeCell ref="C737:F737"/>
    <mergeCell ref="A2:H2"/>
    <mergeCell ref="C1179:F1179"/>
    <mergeCell ref="C1035:F1035"/>
    <mergeCell ref="C1106:F1106"/>
    <mergeCell ref="C1228:F1228"/>
    <mergeCell ref="C1166:F1166"/>
    <mergeCell ref="C1271:F1271"/>
    <mergeCell ref="C638:F638"/>
    <mergeCell ref="C687:F687"/>
    <mergeCell ref="C880:F880"/>
    <mergeCell ref="C814:F814"/>
    <mergeCell ref="C985:F985"/>
    <mergeCell ref="C874:F874"/>
    <mergeCell ref="C1178:F1178"/>
    <mergeCell ref="C1116:F1116"/>
    <mergeCell ref="C972:F972"/>
    <mergeCell ref="C1243:F1243"/>
    <mergeCell ref="C1270:F1270"/>
    <mergeCell ref="C1037:F1037"/>
    <mergeCell ref="C580:F580"/>
    <mergeCell ref="C751:F751"/>
    <mergeCell ref="C1183:F1183"/>
    <mergeCell ref="C987:F987"/>
    <mergeCell ref="C1036:F1036"/>
    <mergeCell ref="C974:F974"/>
    <mergeCell ref="C1272:F1272"/>
    <mergeCell ref="C592:F592"/>
    <mergeCell ref="C890:F890"/>
    <mergeCell ref="C1061:F1061"/>
    <mergeCell ref="C656:F656"/>
    <mergeCell ref="C827:F827"/>
    <mergeCell ref="C765:F765"/>
    <mergeCell ref="C1069:F1069"/>
    <mergeCell ref="C892:F892"/>
    <mergeCell ref="C1063:F1063"/>
    <mergeCell ref="C990:F990"/>
    <mergeCell ref="C1050:F1050"/>
    <mergeCell ref="C593:F593"/>
    <mergeCell ref="C658:F658"/>
    <mergeCell ref="C829:F829"/>
    <mergeCell ref="C1152:F1152"/>
    <mergeCell ref="C956:F956"/>
    <mergeCell ref="C1127:F1127"/>
    <mergeCell ref="C804:F804"/>
    <mergeCell ref="C608:F608"/>
    <mergeCell ref="C1290:F1290"/>
    <mergeCell ref="C595:F595"/>
    <mergeCell ref="C893:F893"/>
    <mergeCell ref="C1154:F1154"/>
    <mergeCell ref="C1129:F1129"/>
    <mergeCell ref="C662:F662"/>
    <mergeCell ref="C1104:F1104"/>
    <mergeCell ref="C918:F918"/>
    <mergeCell ref="C870:F870"/>
    <mergeCell ref="C1056:F1056"/>
    <mergeCell ref="C982:F982"/>
    <mergeCell ref="C776:F776"/>
    <mergeCell ref="C1043:F1043"/>
    <mergeCell ref="C822:F822"/>
    <mergeCell ref="C882:F882"/>
    <mergeCell ref="C542:F542"/>
    <mergeCell ref="C1058:F1058"/>
    <mergeCell ref="C1180:F1180"/>
    <mergeCell ref="C840:F840"/>
    <mergeCell ref="C1107:F1107"/>
    <mergeCell ref="C1082:F1082"/>
    <mergeCell ref="C688:F688"/>
    <mergeCell ref="C1277:F1277"/>
    <mergeCell ref="C588:F588"/>
    <mergeCell ref="C759:F759"/>
    <mergeCell ref="C582:F582"/>
    <mergeCell ref="C753:F753"/>
    <mergeCell ref="C824:F824"/>
    <mergeCell ref="C995:F995"/>
    <mergeCell ref="C1051:F1051"/>
    <mergeCell ref="C606:F606"/>
    <mergeCell ref="C740:F740"/>
    <mergeCell ref="C544:F544"/>
    <mergeCell ref="C1057:F1057"/>
    <mergeCell ref="C1038:F1038"/>
    <mergeCell ref="C1122:F1122"/>
    <mergeCell ref="C1109:F1109"/>
    <mergeCell ref="C1209:F1209"/>
    <mergeCell ref="C1280:F1280"/>
    <mergeCell ref="C690:F690"/>
    <mergeCell ref="C646:F646"/>
    <mergeCell ref="C817:F817"/>
    <mergeCell ref="C988:F988"/>
    <mergeCell ref="C583:F583"/>
    <mergeCell ref="C754:F754"/>
    <mergeCell ref="C648:F648"/>
    <mergeCell ref="C677:F677"/>
    <mergeCell ref="C1275:F1275"/>
    <mergeCell ref="C769:F769"/>
    <mergeCell ref="C1198:F1198"/>
    <mergeCell ref="C1041:F1041"/>
    <mergeCell ref="C706:F706"/>
    <mergeCell ref="C964:F964"/>
    <mergeCell ref="C1135:F1135"/>
    <mergeCell ref="C672:F672"/>
    <mergeCell ref="C830:F830"/>
    <mergeCell ref="C659:F659"/>
    <mergeCell ref="C708:F708"/>
    <mergeCell ref="C764:F764"/>
    <mergeCell ref="C901:F901"/>
    <mergeCell ref="C895:F895"/>
    <mergeCell ref="C1006:F1006"/>
    <mergeCell ref="C1066:F1066"/>
    <mergeCell ref="C1137:F1137"/>
    <mergeCell ref="C609:F609"/>
    <mergeCell ref="C993:F993"/>
    <mergeCell ref="C1193:F1193"/>
    <mergeCell ref="C1199:F1199"/>
    <mergeCell ref="C1264:F1264"/>
    <mergeCell ref="C674:F674"/>
    <mergeCell ref="C645:F645"/>
    <mergeCell ref="C701:F701"/>
    <mergeCell ref="C1112:F1112"/>
    <mergeCell ref="C601:F601"/>
    <mergeCell ref="C772:F772"/>
    <mergeCell ref="C1229:F1229"/>
    <mergeCell ref="C1291:F1291"/>
    <mergeCell ref="C1204:F1204"/>
    <mergeCell ref="C959:F959"/>
    <mergeCell ref="C924:F924"/>
    <mergeCell ref="C611:F611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0" r:id="rId24"/>
    <hyperlink xmlns:r="http://schemas.openxmlformats.org/officeDocument/2006/relationships" ref="H31" r:id="rId25"/>
    <hyperlink xmlns:r="http://schemas.openxmlformats.org/officeDocument/2006/relationships" ref="H32" r:id="rId26"/>
    <hyperlink xmlns:r="http://schemas.openxmlformats.org/officeDocument/2006/relationships" ref="H33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3" r:id="rId37"/>
    <hyperlink xmlns:r="http://schemas.openxmlformats.org/officeDocument/2006/relationships" ref="H44" r:id="rId38"/>
    <hyperlink xmlns:r="http://schemas.openxmlformats.org/officeDocument/2006/relationships" ref="H45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3" r:id="rId47"/>
    <hyperlink xmlns:r="http://schemas.openxmlformats.org/officeDocument/2006/relationships" ref="H54" r:id="rId48"/>
    <hyperlink xmlns:r="http://schemas.openxmlformats.org/officeDocument/2006/relationships" ref="H55" r:id="rId49"/>
    <hyperlink xmlns:r="http://schemas.openxmlformats.org/officeDocument/2006/relationships" ref="H56" r:id="rId50"/>
    <hyperlink xmlns:r="http://schemas.openxmlformats.org/officeDocument/2006/relationships" ref="H57" r:id="rId51"/>
    <hyperlink xmlns:r="http://schemas.openxmlformats.org/officeDocument/2006/relationships" ref="H58" r:id="rId52"/>
    <hyperlink xmlns:r="http://schemas.openxmlformats.org/officeDocument/2006/relationships" ref="H59" r:id="rId53"/>
    <hyperlink xmlns:r="http://schemas.openxmlformats.org/officeDocument/2006/relationships" ref="H60" r:id="rId54"/>
    <hyperlink xmlns:r="http://schemas.openxmlformats.org/officeDocument/2006/relationships" ref="H61" r:id="rId55"/>
    <hyperlink xmlns:r="http://schemas.openxmlformats.org/officeDocument/2006/relationships" ref="H62" r:id="rId56"/>
    <hyperlink xmlns:r="http://schemas.openxmlformats.org/officeDocument/2006/relationships" ref="H63" r:id="rId57"/>
    <hyperlink xmlns:r="http://schemas.openxmlformats.org/officeDocument/2006/relationships" ref="H64" r:id="rId58"/>
    <hyperlink xmlns:r="http://schemas.openxmlformats.org/officeDocument/2006/relationships" ref="H65" r:id="rId59"/>
    <hyperlink xmlns:r="http://schemas.openxmlformats.org/officeDocument/2006/relationships" ref="H66" r:id="rId60"/>
    <hyperlink xmlns:r="http://schemas.openxmlformats.org/officeDocument/2006/relationships" ref="H67" r:id="rId61"/>
    <hyperlink xmlns:r="http://schemas.openxmlformats.org/officeDocument/2006/relationships" ref="H68" r:id="rId62"/>
    <hyperlink xmlns:r="http://schemas.openxmlformats.org/officeDocument/2006/relationships" ref="H69" r:id="rId63"/>
    <hyperlink xmlns:r="http://schemas.openxmlformats.org/officeDocument/2006/relationships" ref="H70" r:id="rId64"/>
    <hyperlink xmlns:r="http://schemas.openxmlformats.org/officeDocument/2006/relationships" ref="H71" r:id="rId65"/>
    <hyperlink xmlns:r="http://schemas.openxmlformats.org/officeDocument/2006/relationships" ref="H72" r:id="rId66"/>
    <hyperlink xmlns:r="http://schemas.openxmlformats.org/officeDocument/2006/relationships" ref="H73" r:id="rId67"/>
    <hyperlink xmlns:r="http://schemas.openxmlformats.org/officeDocument/2006/relationships" ref="H74" r:id="rId68"/>
    <hyperlink xmlns:r="http://schemas.openxmlformats.org/officeDocument/2006/relationships" ref="H75" r:id="rId69"/>
    <hyperlink xmlns:r="http://schemas.openxmlformats.org/officeDocument/2006/relationships" ref="H76" r:id="rId70"/>
    <hyperlink xmlns:r="http://schemas.openxmlformats.org/officeDocument/2006/relationships" ref="H77" r:id="rId71"/>
    <hyperlink xmlns:r="http://schemas.openxmlformats.org/officeDocument/2006/relationships" ref="H78" r:id="rId72"/>
    <hyperlink xmlns:r="http://schemas.openxmlformats.org/officeDocument/2006/relationships" ref="H79" r:id="rId73"/>
    <hyperlink xmlns:r="http://schemas.openxmlformats.org/officeDocument/2006/relationships" ref="H80" r:id="rId74"/>
    <hyperlink xmlns:r="http://schemas.openxmlformats.org/officeDocument/2006/relationships" ref="H81" r:id="rId75"/>
    <hyperlink xmlns:r="http://schemas.openxmlformats.org/officeDocument/2006/relationships" ref="H82" r:id="rId76"/>
    <hyperlink xmlns:r="http://schemas.openxmlformats.org/officeDocument/2006/relationships" ref="H83" r:id="rId77"/>
    <hyperlink xmlns:r="http://schemas.openxmlformats.org/officeDocument/2006/relationships" ref="H84" r:id="rId78"/>
    <hyperlink xmlns:r="http://schemas.openxmlformats.org/officeDocument/2006/relationships" ref="H85" r:id="rId79"/>
    <hyperlink xmlns:r="http://schemas.openxmlformats.org/officeDocument/2006/relationships" ref="H86" r:id="rId80"/>
    <hyperlink xmlns:r="http://schemas.openxmlformats.org/officeDocument/2006/relationships" ref="H87" r:id="rId81"/>
    <hyperlink xmlns:r="http://schemas.openxmlformats.org/officeDocument/2006/relationships" ref="H88" r:id="rId82"/>
    <hyperlink xmlns:r="http://schemas.openxmlformats.org/officeDocument/2006/relationships" ref="H89" r:id="rId83"/>
    <hyperlink xmlns:r="http://schemas.openxmlformats.org/officeDocument/2006/relationships" ref="H90" r:id="rId84"/>
    <hyperlink xmlns:r="http://schemas.openxmlformats.org/officeDocument/2006/relationships" ref="H91" r:id="rId85"/>
    <hyperlink xmlns:r="http://schemas.openxmlformats.org/officeDocument/2006/relationships" ref="H92" r:id="rId86"/>
    <hyperlink xmlns:r="http://schemas.openxmlformats.org/officeDocument/2006/relationships" ref="H93" r:id="rId87"/>
    <hyperlink xmlns:r="http://schemas.openxmlformats.org/officeDocument/2006/relationships" ref="H94" r:id="rId88"/>
    <hyperlink xmlns:r="http://schemas.openxmlformats.org/officeDocument/2006/relationships" ref="H95" r:id="rId89"/>
    <hyperlink xmlns:r="http://schemas.openxmlformats.org/officeDocument/2006/relationships" ref="H96" r:id="rId90"/>
    <hyperlink xmlns:r="http://schemas.openxmlformats.org/officeDocument/2006/relationships" ref="H97" r:id="rId91"/>
    <hyperlink xmlns:r="http://schemas.openxmlformats.org/officeDocument/2006/relationships" ref="H98" r:id="rId92"/>
    <hyperlink xmlns:r="http://schemas.openxmlformats.org/officeDocument/2006/relationships" ref="H99" r:id="rId93"/>
    <hyperlink xmlns:r="http://schemas.openxmlformats.org/officeDocument/2006/relationships" ref="H100" r:id="rId94"/>
    <hyperlink xmlns:r="http://schemas.openxmlformats.org/officeDocument/2006/relationships" ref="H101" r:id="rId95"/>
    <hyperlink xmlns:r="http://schemas.openxmlformats.org/officeDocument/2006/relationships" ref="H102" r:id="rId96"/>
    <hyperlink xmlns:r="http://schemas.openxmlformats.org/officeDocument/2006/relationships" ref="H103" r:id="rId97"/>
    <hyperlink xmlns:r="http://schemas.openxmlformats.org/officeDocument/2006/relationships" ref="H104" r:id="rId98"/>
    <hyperlink xmlns:r="http://schemas.openxmlformats.org/officeDocument/2006/relationships" ref="H105" r:id="rId99"/>
    <hyperlink xmlns:r="http://schemas.openxmlformats.org/officeDocument/2006/relationships" ref="H106" r:id="rId100"/>
    <hyperlink xmlns:r="http://schemas.openxmlformats.org/officeDocument/2006/relationships" ref="H107" r:id="rId101"/>
    <hyperlink xmlns:r="http://schemas.openxmlformats.org/officeDocument/2006/relationships" ref="H108" r:id="rId102"/>
    <hyperlink xmlns:r="http://schemas.openxmlformats.org/officeDocument/2006/relationships" ref="H109" r:id="rId103"/>
    <hyperlink xmlns:r="http://schemas.openxmlformats.org/officeDocument/2006/relationships" ref="H110" r:id="rId104"/>
    <hyperlink xmlns:r="http://schemas.openxmlformats.org/officeDocument/2006/relationships" ref="H111" r:id="rId105"/>
    <hyperlink xmlns:r="http://schemas.openxmlformats.org/officeDocument/2006/relationships" ref="H112" r:id="rId106"/>
    <hyperlink xmlns:r="http://schemas.openxmlformats.org/officeDocument/2006/relationships" ref="H113" r:id="rId107"/>
    <hyperlink xmlns:r="http://schemas.openxmlformats.org/officeDocument/2006/relationships" ref="H114" r:id="rId108"/>
    <hyperlink xmlns:r="http://schemas.openxmlformats.org/officeDocument/2006/relationships" ref="H115" r:id="rId109"/>
    <hyperlink xmlns:r="http://schemas.openxmlformats.org/officeDocument/2006/relationships" ref="H116" r:id="rId110"/>
    <hyperlink xmlns:r="http://schemas.openxmlformats.org/officeDocument/2006/relationships" ref="H117" r:id="rId111"/>
    <hyperlink xmlns:r="http://schemas.openxmlformats.org/officeDocument/2006/relationships" ref="H118" r:id="rId112"/>
    <hyperlink xmlns:r="http://schemas.openxmlformats.org/officeDocument/2006/relationships" ref="H119" r:id="rId113"/>
    <hyperlink xmlns:r="http://schemas.openxmlformats.org/officeDocument/2006/relationships" ref="H120" r:id="rId114"/>
    <hyperlink xmlns:r="http://schemas.openxmlformats.org/officeDocument/2006/relationships" ref="H121" r:id="rId115"/>
    <hyperlink xmlns:r="http://schemas.openxmlformats.org/officeDocument/2006/relationships" ref="H122" r:id="rId116"/>
    <hyperlink xmlns:r="http://schemas.openxmlformats.org/officeDocument/2006/relationships" ref="H123" r:id="rId117"/>
    <hyperlink xmlns:r="http://schemas.openxmlformats.org/officeDocument/2006/relationships" ref="H124" r:id="rId118"/>
    <hyperlink xmlns:r="http://schemas.openxmlformats.org/officeDocument/2006/relationships" ref="H125" r:id="rId119"/>
    <hyperlink xmlns:r="http://schemas.openxmlformats.org/officeDocument/2006/relationships" ref="H126" r:id="rId120"/>
    <hyperlink xmlns:r="http://schemas.openxmlformats.org/officeDocument/2006/relationships" ref="H127" r:id="rId121"/>
    <hyperlink xmlns:r="http://schemas.openxmlformats.org/officeDocument/2006/relationships" ref="H128" r:id="rId122"/>
    <hyperlink xmlns:r="http://schemas.openxmlformats.org/officeDocument/2006/relationships" ref="H129" r:id="rId123"/>
    <hyperlink xmlns:r="http://schemas.openxmlformats.org/officeDocument/2006/relationships" ref="H130" r:id="rId124"/>
    <hyperlink xmlns:r="http://schemas.openxmlformats.org/officeDocument/2006/relationships" ref="H131" r:id="rId125"/>
    <hyperlink xmlns:r="http://schemas.openxmlformats.org/officeDocument/2006/relationships" ref="H132" r:id="rId126"/>
    <hyperlink xmlns:r="http://schemas.openxmlformats.org/officeDocument/2006/relationships" ref="H133" r:id="rId127"/>
    <hyperlink xmlns:r="http://schemas.openxmlformats.org/officeDocument/2006/relationships" ref="H134" r:id="rId128"/>
    <hyperlink xmlns:r="http://schemas.openxmlformats.org/officeDocument/2006/relationships" ref="H135" r:id="rId129"/>
    <hyperlink xmlns:r="http://schemas.openxmlformats.org/officeDocument/2006/relationships" ref="H136" r:id="rId130"/>
    <hyperlink xmlns:r="http://schemas.openxmlformats.org/officeDocument/2006/relationships" ref="H137" r:id="rId131"/>
    <hyperlink xmlns:r="http://schemas.openxmlformats.org/officeDocument/2006/relationships" ref="H138" r:id="rId132"/>
    <hyperlink xmlns:r="http://schemas.openxmlformats.org/officeDocument/2006/relationships" ref="H139" r:id="rId133"/>
    <hyperlink xmlns:r="http://schemas.openxmlformats.org/officeDocument/2006/relationships" ref="H140" r:id="rId134"/>
    <hyperlink xmlns:r="http://schemas.openxmlformats.org/officeDocument/2006/relationships" ref="H141" r:id="rId135"/>
    <hyperlink xmlns:r="http://schemas.openxmlformats.org/officeDocument/2006/relationships" ref="H142" r:id="rId136"/>
    <hyperlink xmlns:r="http://schemas.openxmlformats.org/officeDocument/2006/relationships" ref="H143" r:id="rId137"/>
    <hyperlink xmlns:r="http://schemas.openxmlformats.org/officeDocument/2006/relationships" ref="H144" r:id="rId138"/>
    <hyperlink xmlns:r="http://schemas.openxmlformats.org/officeDocument/2006/relationships" ref="H145" r:id="rId139"/>
    <hyperlink xmlns:r="http://schemas.openxmlformats.org/officeDocument/2006/relationships" ref="H146" r:id="rId140"/>
    <hyperlink xmlns:r="http://schemas.openxmlformats.org/officeDocument/2006/relationships" ref="H147" r:id="rId141"/>
    <hyperlink xmlns:r="http://schemas.openxmlformats.org/officeDocument/2006/relationships" ref="H148" r:id="rId142"/>
    <hyperlink xmlns:r="http://schemas.openxmlformats.org/officeDocument/2006/relationships" ref="H149" r:id="rId143"/>
    <hyperlink xmlns:r="http://schemas.openxmlformats.org/officeDocument/2006/relationships" ref="H150" r:id="rId144"/>
    <hyperlink xmlns:r="http://schemas.openxmlformats.org/officeDocument/2006/relationships" ref="H151" r:id="rId145"/>
    <hyperlink xmlns:r="http://schemas.openxmlformats.org/officeDocument/2006/relationships" ref="H152" r:id="rId146"/>
    <hyperlink xmlns:r="http://schemas.openxmlformats.org/officeDocument/2006/relationships" ref="H153" r:id="rId147"/>
    <hyperlink xmlns:r="http://schemas.openxmlformats.org/officeDocument/2006/relationships" ref="H154" r:id="rId148"/>
    <hyperlink xmlns:r="http://schemas.openxmlformats.org/officeDocument/2006/relationships" ref="H155" r:id="rId149"/>
    <hyperlink xmlns:r="http://schemas.openxmlformats.org/officeDocument/2006/relationships" ref="H156" r:id="rId150"/>
    <hyperlink xmlns:r="http://schemas.openxmlformats.org/officeDocument/2006/relationships" ref="H157" r:id="rId151"/>
    <hyperlink xmlns:r="http://schemas.openxmlformats.org/officeDocument/2006/relationships" ref="H158" r:id="rId152"/>
    <hyperlink xmlns:r="http://schemas.openxmlformats.org/officeDocument/2006/relationships" ref="H159" r:id="rId153"/>
    <hyperlink xmlns:r="http://schemas.openxmlformats.org/officeDocument/2006/relationships" ref="H160" r:id="rId154"/>
    <hyperlink xmlns:r="http://schemas.openxmlformats.org/officeDocument/2006/relationships" ref="H161" r:id="rId155"/>
    <hyperlink xmlns:r="http://schemas.openxmlformats.org/officeDocument/2006/relationships" ref="H162" r:id="rId156"/>
    <hyperlink xmlns:r="http://schemas.openxmlformats.org/officeDocument/2006/relationships" ref="H163" r:id="rId157"/>
    <hyperlink xmlns:r="http://schemas.openxmlformats.org/officeDocument/2006/relationships" ref="H164" r:id="rId158"/>
    <hyperlink xmlns:r="http://schemas.openxmlformats.org/officeDocument/2006/relationships" ref="H165" r:id="rId159"/>
    <hyperlink xmlns:r="http://schemas.openxmlformats.org/officeDocument/2006/relationships" ref="H166" r:id="rId160"/>
    <hyperlink xmlns:r="http://schemas.openxmlformats.org/officeDocument/2006/relationships" ref="H167" r:id="rId161"/>
    <hyperlink xmlns:r="http://schemas.openxmlformats.org/officeDocument/2006/relationships" ref="H168" r:id="rId162"/>
    <hyperlink xmlns:r="http://schemas.openxmlformats.org/officeDocument/2006/relationships" ref="H169" r:id="rId163"/>
    <hyperlink xmlns:r="http://schemas.openxmlformats.org/officeDocument/2006/relationships" ref="H170" r:id="rId164"/>
    <hyperlink xmlns:r="http://schemas.openxmlformats.org/officeDocument/2006/relationships" ref="H171" r:id="rId165"/>
    <hyperlink xmlns:r="http://schemas.openxmlformats.org/officeDocument/2006/relationships" ref="H172" r:id="rId166"/>
    <hyperlink xmlns:r="http://schemas.openxmlformats.org/officeDocument/2006/relationships" ref="H173" r:id="rId167"/>
    <hyperlink xmlns:r="http://schemas.openxmlformats.org/officeDocument/2006/relationships" ref="H174" r:id="rId168"/>
    <hyperlink xmlns:r="http://schemas.openxmlformats.org/officeDocument/2006/relationships" ref="H175" r:id="rId169"/>
    <hyperlink xmlns:r="http://schemas.openxmlformats.org/officeDocument/2006/relationships" ref="H176" r:id="rId170"/>
    <hyperlink xmlns:r="http://schemas.openxmlformats.org/officeDocument/2006/relationships" ref="H177" r:id="rId171"/>
    <hyperlink xmlns:r="http://schemas.openxmlformats.org/officeDocument/2006/relationships" ref="H178" r:id="rId172"/>
    <hyperlink xmlns:r="http://schemas.openxmlformats.org/officeDocument/2006/relationships" ref="H179" r:id="rId173"/>
    <hyperlink xmlns:r="http://schemas.openxmlformats.org/officeDocument/2006/relationships" ref="H180" r:id="rId174"/>
    <hyperlink xmlns:r="http://schemas.openxmlformats.org/officeDocument/2006/relationships" ref="H181" r:id="rId175"/>
    <hyperlink xmlns:r="http://schemas.openxmlformats.org/officeDocument/2006/relationships" ref="H182" r:id="rId176"/>
    <hyperlink xmlns:r="http://schemas.openxmlformats.org/officeDocument/2006/relationships" ref="H183" r:id="rId177"/>
    <hyperlink xmlns:r="http://schemas.openxmlformats.org/officeDocument/2006/relationships" ref="H184" r:id="rId178"/>
    <hyperlink xmlns:r="http://schemas.openxmlformats.org/officeDocument/2006/relationships" ref="H185" r:id="rId179"/>
    <hyperlink xmlns:r="http://schemas.openxmlformats.org/officeDocument/2006/relationships" ref="H186" r:id="rId180"/>
    <hyperlink xmlns:r="http://schemas.openxmlformats.org/officeDocument/2006/relationships" ref="H187" r:id="rId181"/>
    <hyperlink xmlns:r="http://schemas.openxmlformats.org/officeDocument/2006/relationships" ref="H188" r:id="rId182"/>
    <hyperlink xmlns:r="http://schemas.openxmlformats.org/officeDocument/2006/relationships" ref="H189" r:id="rId183"/>
    <hyperlink xmlns:r="http://schemas.openxmlformats.org/officeDocument/2006/relationships" ref="H190" r:id="rId184"/>
    <hyperlink xmlns:r="http://schemas.openxmlformats.org/officeDocument/2006/relationships" ref="H191" r:id="rId185"/>
    <hyperlink xmlns:r="http://schemas.openxmlformats.org/officeDocument/2006/relationships" ref="H192" r:id="rId186"/>
    <hyperlink xmlns:r="http://schemas.openxmlformats.org/officeDocument/2006/relationships" ref="H193" r:id="rId187"/>
    <hyperlink xmlns:r="http://schemas.openxmlformats.org/officeDocument/2006/relationships" ref="H194" r:id="rId188"/>
    <hyperlink xmlns:r="http://schemas.openxmlformats.org/officeDocument/2006/relationships" ref="H195" r:id="rId189"/>
    <hyperlink xmlns:r="http://schemas.openxmlformats.org/officeDocument/2006/relationships" ref="H196" r:id="rId190"/>
    <hyperlink xmlns:r="http://schemas.openxmlformats.org/officeDocument/2006/relationships" ref="H197" r:id="rId191"/>
    <hyperlink xmlns:r="http://schemas.openxmlformats.org/officeDocument/2006/relationships" ref="H198" r:id="rId192"/>
    <hyperlink xmlns:r="http://schemas.openxmlformats.org/officeDocument/2006/relationships" ref="H199" r:id="rId193"/>
    <hyperlink xmlns:r="http://schemas.openxmlformats.org/officeDocument/2006/relationships" ref="H200" r:id="rId194"/>
    <hyperlink xmlns:r="http://schemas.openxmlformats.org/officeDocument/2006/relationships" ref="H201" r:id="rId195"/>
    <hyperlink xmlns:r="http://schemas.openxmlformats.org/officeDocument/2006/relationships" ref="H202" r:id="rId196"/>
    <hyperlink xmlns:r="http://schemas.openxmlformats.org/officeDocument/2006/relationships" ref="H203" r:id="rId197"/>
    <hyperlink xmlns:r="http://schemas.openxmlformats.org/officeDocument/2006/relationships" ref="H204" r:id="rId198"/>
    <hyperlink xmlns:r="http://schemas.openxmlformats.org/officeDocument/2006/relationships" ref="H205" r:id="rId199"/>
    <hyperlink xmlns:r="http://schemas.openxmlformats.org/officeDocument/2006/relationships" ref="H206" r:id="rId200"/>
    <hyperlink xmlns:r="http://schemas.openxmlformats.org/officeDocument/2006/relationships" ref="H207" r:id="rId201"/>
    <hyperlink xmlns:r="http://schemas.openxmlformats.org/officeDocument/2006/relationships" ref="H208" r:id="rId202"/>
    <hyperlink xmlns:r="http://schemas.openxmlformats.org/officeDocument/2006/relationships" ref="H209" r:id="rId203"/>
    <hyperlink xmlns:r="http://schemas.openxmlformats.org/officeDocument/2006/relationships" ref="H210" r:id="rId204"/>
    <hyperlink xmlns:r="http://schemas.openxmlformats.org/officeDocument/2006/relationships" ref="H211" r:id="rId205"/>
    <hyperlink xmlns:r="http://schemas.openxmlformats.org/officeDocument/2006/relationships" ref="H212" r:id="rId206"/>
    <hyperlink xmlns:r="http://schemas.openxmlformats.org/officeDocument/2006/relationships" ref="H213" r:id="rId207"/>
    <hyperlink xmlns:r="http://schemas.openxmlformats.org/officeDocument/2006/relationships" ref="H214" r:id="rId208"/>
    <hyperlink xmlns:r="http://schemas.openxmlformats.org/officeDocument/2006/relationships" ref="H215" r:id="rId209"/>
    <hyperlink xmlns:r="http://schemas.openxmlformats.org/officeDocument/2006/relationships" ref="H216" r:id="rId210"/>
    <hyperlink xmlns:r="http://schemas.openxmlformats.org/officeDocument/2006/relationships" ref="H217" r:id="rId211"/>
    <hyperlink xmlns:r="http://schemas.openxmlformats.org/officeDocument/2006/relationships" ref="H218" r:id="rId212"/>
    <hyperlink xmlns:r="http://schemas.openxmlformats.org/officeDocument/2006/relationships" ref="H219" r:id="rId213"/>
    <hyperlink xmlns:r="http://schemas.openxmlformats.org/officeDocument/2006/relationships" ref="H220" r:id="rId214"/>
    <hyperlink xmlns:r="http://schemas.openxmlformats.org/officeDocument/2006/relationships" ref="H221" r:id="rId215"/>
    <hyperlink xmlns:r="http://schemas.openxmlformats.org/officeDocument/2006/relationships" ref="H222" r:id="rId216"/>
    <hyperlink xmlns:r="http://schemas.openxmlformats.org/officeDocument/2006/relationships" ref="H223" r:id="rId217"/>
    <hyperlink xmlns:r="http://schemas.openxmlformats.org/officeDocument/2006/relationships" ref="H224" r:id="rId218"/>
    <hyperlink xmlns:r="http://schemas.openxmlformats.org/officeDocument/2006/relationships" ref="H225" r:id="rId219"/>
    <hyperlink xmlns:r="http://schemas.openxmlformats.org/officeDocument/2006/relationships" ref="H226" r:id="rId220"/>
    <hyperlink xmlns:r="http://schemas.openxmlformats.org/officeDocument/2006/relationships" ref="H227" r:id="rId221"/>
    <hyperlink xmlns:r="http://schemas.openxmlformats.org/officeDocument/2006/relationships" ref="H228" r:id="rId222"/>
    <hyperlink xmlns:r="http://schemas.openxmlformats.org/officeDocument/2006/relationships" ref="H229" r:id="rId223"/>
    <hyperlink xmlns:r="http://schemas.openxmlformats.org/officeDocument/2006/relationships" ref="H230" r:id="rId224"/>
    <hyperlink xmlns:r="http://schemas.openxmlformats.org/officeDocument/2006/relationships" ref="H231" r:id="rId225"/>
    <hyperlink xmlns:r="http://schemas.openxmlformats.org/officeDocument/2006/relationships" ref="H232" r:id="rId226"/>
    <hyperlink xmlns:r="http://schemas.openxmlformats.org/officeDocument/2006/relationships" ref="H233" r:id="rId227"/>
    <hyperlink xmlns:r="http://schemas.openxmlformats.org/officeDocument/2006/relationships" ref="H234" r:id="rId228"/>
    <hyperlink xmlns:r="http://schemas.openxmlformats.org/officeDocument/2006/relationships" ref="H235" r:id="rId229"/>
    <hyperlink xmlns:r="http://schemas.openxmlformats.org/officeDocument/2006/relationships" ref="H236" r:id="rId230"/>
    <hyperlink xmlns:r="http://schemas.openxmlformats.org/officeDocument/2006/relationships" ref="H237" r:id="rId231"/>
    <hyperlink xmlns:r="http://schemas.openxmlformats.org/officeDocument/2006/relationships" ref="H238" r:id="rId232"/>
    <hyperlink xmlns:r="http://schemas.openxmlformats.org/officeDocument/2006/relationships" ref="H239" r:id="rId233"/>
    <hyperlink xmlns:r="http://schemas.openxmlformats.org/officeDocument/2006/relationships" ref="H240" r:id="rId234"/>
    <hyperlink xmlns:r="http://schemas.openxmlformats.org/officeDocument/2006/relationships" ref="H241" r:id="rId235"/>
    <hyperlink xmlns:r="http://schemas.openxmlformats.org/officeDocument/2006/relationships" ref="H242" r:id="rId236"/>
    <hyperlink xmlns:r="http://schemas.openxmlformats.org/officeDocument/2006/relationships" ref="H243" r:id="rId237"/>
    <hyperlink xmlns:r="http://schemas.openxmlformats.org/officeDocument/2006/relationships" ref="H244" r:id="rId238"/>
    <hyperlink xmlns:r="http://schemas.openxmlformats.org/officeDocument/2006/relationships" ref="H245" r:id="rId239"/>
    <hyperlink xmlns:r="http://schemas.openxmlformats.org/officeDocument/2006/relationships" ref="H246" r:id="rId240"/>
    <hyperlink xmlns:r="http://schemas.openxmlformats.org/officeDocument/2006/relationships" ref="H247" r:id="rId241"/>
    <hyperlink xmlns:r="http://schemas.openxmlformats.org/officeDocument/2006/relationships" ref="H248" r:id="rId242"/>
    <hyperlink xmlns:r="http://schemas.openxmlformats.org/officeDocument/2006/relationships" ref="H249" r:id="rId243"/>
    <hyperlink xmlns:r="http://schemas.openxmlformats.org/officeDocument/2006/relationships" ref="H250" r:id="rId244"/>
    <hyperlink xmlns:r="http://schemas.openxmlformats.org/officeDocument/2006/relationships" ref="H251" r:id="rId245"/>
    <hyperlink xmlns:r="http://schemas.openxmlformats.org/officeDocument/2006/relationships" ref="H252" r:id="rId246"/>
    <hyperlink xmlns:r="http://schemas.openxmlformats.org/officeDocument/2006/relationships" ref="H253" r:id="rId247"/>
    <hyperlink xmlns:r="http://schemas.openxmlformats.org/officeDocument/2006/relationships" ref="H254" r:id="rId248"/>
    <hyperlink xmlns:r="http://schemas.openxmlformats.org/officeDocument/2006/relationships" ref="H255" r:id="rId249"/>
    <hyperlink xmlns:r="http://schemas.openxmlformats.org/officeDocument/2006/relationships" ref="H256" r:id="rId250"/>
    <hyperlink xmlns:r="http://schemas.openxmlformats.org/officeDocument/2006/relationships" ref="H257" r:id="rId251"/>
    <hyperlink xmlns:r="http://schemas.openxmlformats.org/officeDocument/2006/relationships" ref="H258" r:id="rId252"/>
    <hyperlink xmlns:r="http://schemas.openxmlformats.org/officeDocument/2006/relationships" ref="H259" r:id="rId253"/>
    <hyperlink xmlns:r="http://schemas.openxmlformats.org/officeDocument/2006/relationships" ref="H260" r:id="rId254"/>
    <hyperlink xmlns:r="http://schemas.openxmlformats.org/officeDocument/2006/relationships" ref="H261" r:id="rId255"/>
    <hyperlink xmlns:r="http://schemas.openxmlformats.org/officeDocument/2006/relationships" ref="H262" r:id="rId256"/>
    <hyperlink xmlns:r="http://schemas.openxmlformats.org/officeDocument/2006/relationships" ref="H263" r:id="rId257"/>
    <hyperlink xmlns:r="http://schemas.openxmlformats.org/officeDocument/2006/relationships" ref="H264" r:id="rId258"/>
    <hyperlink xmlns:r="http://schemas.openxmlformats.org/officeDocument/2006/relationships" ref="H265" r:id="rId259"/>
    <hyperlink xmlns:r="http://schemas.openxmlformats.org/officeDocument/2006/relationships" ref="H266" r:id="rId260"/>
    <hyperlink xmlns:r="http://schemas.openxmlformats.org/officeDocument/2006/relationships" ref="H267" r:id="rId261"/>
    <hyperlink xmlns:r="http://schemas.openxmlformats.org/officeDocument/2006/relationships" ref="H268" r:id="rId262"/>
    <hyperlink xmlns:r="http://schemas.openxmlformats.org/officeDocument/2006/relationships" ref="H269" r:id="rId263"/>
    <hyperlink xmlns:r="http://schemas.openxmlformats.org/officeDocument/2006/relationships" ref="H270" r:id="rId264"/>
    <hyperlink xmlns:r="http://schemas.openxmlformats.org/officeDocument/2006/relationships" ref="H271" r:id="rId265"/>
    <hyperlink xmlns:r="http://schemas.openxmlformats.org/officeDocument/2006/relationships" ref="H272" r:id="rId266"/>
    <hyperlink xmlns:r="http://schemas.openxmlformats.org/officeDocument/2006/relationships" ref="H273" r:id="rId267"/>
    <hyperlink xmlns:r="http://schemas.openxmlformats.org/officeDocument/2006/relationships" ref="H274" r:id="rId268"/>
    <hyperlink xmlns:r="http://schemas.openxmlformats.org/officeDocument/2006/relationships" ref="H275" r:id="rId269"/>
    <hyperlink xmlns:r="http://schemas.openxmlformats.org/officeDocument/2006/relationships" ref="H276" r:id="rId270"/>
    <hyperlink xmlns:r="http://schemas.openxmlformats.org/officeDocument/2006/relationships" ref="H277" r:id="rId271"/>
    <hyperlink xmlns:r="http://schemas.openxmlformats.org/officeDocument/2006/relationships" ref="H278" r:id="rId272"/>
    <hyperlink xmlns:r="http://schemas.openxmlformats.org/officeDocument/2006/relationships" ref="H279" r:id="rId273"/>
    <hyperlink xmlns:r="http://schemas.openxmlformats.org/officeDocument/2006/relationships" ref="H280" r:id="rId274"/>
    <hyperlink xmlns:r="http://schemas.openxmlformats.org/officeDocument/2006/relationships" ref="H281" r:id="rId275"/>
    <hyperlink xmlns:r="http://schemas.openxmlformats.org/officeDocument/2006/relationships" ref="H282" r:id="rId276"/>
    <hyperlink xmlns:r="http://schemas.openxmlformats.org/officeDocument/2006/relationships" ref="H283" r:id="rId277"/>
    <hyperlink xmlns:r="http://schemas.openxmlformats.org/officeDocument/2006/relationships" ref="H284" r:id="rId278"/>
    <hyperlink xmlns:r="http://schemas.openxmlformats.org/officeDocument/2006/relationships" ref="H285" r:id="rId279"/>
    <hyperlink xmlns:r="http://schemas.openxmlformats.org/officeDocument/2006/relationships" ref="H286" r:id="rId280"/>
    <hyperlink xmlns:r="http://schemas.openxmlformats.org/officeDocument/2006/relationships" ref="H287" r:id="rId281"/>
    <hyperlink xmlns:r="http://schemas.openxmlformats.org/officeDocument/2006/relationships" ref="H288" r:id="rId282"/>
    <hyperlink xmlns:r="http://schemas.openxmlformats.org/officeDocument/2006/relationships" ref="H289" r:id="rId283"/>
    <hyperlink xmlns:r="http://schemas.openxmlformats.org/officeDocument/2006/relationships" ref="H290" r:id="rId284"/>
    <hyperlink xmlns:r="http://schemas.openxmlformats.org/officeDocument/2006/relationships" ref="H291" r:id="rId285"/>
    <hyperlink xmlns:r="http://schemas.openxmlformats.org/officeDocument/2006/relationships" ref="H292" r:id="rId286"/>
    <hyperlink xmlns:r="http://schemas.openxmlformats.org/officeDocument/2006/relationships" ref="H293" r:id="rId287"/>
    <hyperlink xmlns:r="http://schemas.openxmlformats.org/officeDocument/2006/relationships" ref="H294" r:id="rId288"/>
    <hyperlink xmlns:r="http://schemas.openxmlformats.org/officeDocument/2006/relationships" ref="H295" r:id="rId289"/>
    <hyperlink xmlns:r="http://schemas.openxmlformats.org/officeDocument/2006/relationships" ref="H296" r:id="rId290"/>
    <hyperlink xmlns:r="http://schemas.openxmlformats.org/officeDocument/2006/relationships" ref="H297" r:id="rId291"/>
    <hyperlink xmlns:r="http://schemas.openxmlformats.org/officeDocument/2006/relationships" ref="H298" r:id="rId292"/>
    <hyperlink xmlns:r="http://schemas.openxmlformats.org/officeDocument/2006/relationships" ref="H299" r:id="rId293"/>
    <hyperlink xmlns:r="http://schemas.openxmlformats.org/officeDocument/2006/relationships" ref="H300" r:id="rId294"/>
    <hyperlink xmlns:r="http://schemas.openxmlformats.org/officeDocument/2006/relationships" ref="H301" r:id="rId295"/>
    <hyperlink xmlns:r="http://schemas.openxmlformats.org/officeDocument/2006/relationships" ref="H302" r:id="rId296"/>
    <hyperlink xmlns:r="http://schemas.openxmlformats.org/officeDocument/2006/relationships" ref="H303" r:id="rId297"/>
    <hyperlink xmlns:r="http://schemas.openxmlformats.org/officeDocument/2006/relationships" ref="H304" r:id="rId298"/>
    <hyperlink xmlns:r="http://schemas.openxmlformats.org/officeDocument/2006/relationships" ref="H305" r:id="rId299"/>
    <hyperlink xmlns:r="http://schemas.openxmlformats.org/officeDocument/2006/relationships" ref="H306" r:id="rId300"/>
    <hyperlink xmlns:r="http://schemas.openxmlformats.org/officeDocument/2006/relationships" ref="H307" r:id="rId301"/>
    <hyperlink xmlns:r="http://schemas.openxmlformats.org/officeDocument/2006/relationships" ref="H308" r:id="rId302"/>
    <hyperlink xmlns:r="http://schemas.openxmlformats.org/officeDocument/2006/relationships" ref="H309" r:id="rId303"/>
    <hyperlink xmlns:r="http://schemas.openxmlformats.org/officeDocument/2006/relationships" ref="H310" r:id="rId304"/>
    <hyperlink xmlns:r="http://schemas.openxmlformats.org/officeDocument/2006/relationships" ref="H311" r:id="rId305"/>
    <hyperlink xmlns:r="http://schemas.openxmlformats.org/officeDocument/2006/relationships" ref="H312" r:id="rId306"/>
    <hyperlink xmlns:r="http://schemas.openxmlformats.org/officeDocument/2006/relationships" ref="H313" r:id="rId307"/>
    <hyperlink xmlns:r="http://schemas.openxmlformats.org/officeDocument/2006/relationships" ref="H314" r:id="rId308"/>
    <hyperlink xmlns:r="http://schemas.openxmlformats.org/officeDocument/2006/relationships" ref="H315" r:id="rId309"/>
    <hyperlink xmlns:r="http://schemas.openxmlformats.org/officeDocument/2006/relationships" ref="H316" r:id="rId310"/>
    <hyperlink xmlns:r="http://schemas.openxmlformats.org/officeDocument/2006/relationships" ref="H317" r:id="rId311"/>
    <hyperlink xmlns:r="http://schemas.openxmlformats.org/officeDocument/2006/relationships" ref="H318" r:id="rId312"/>
    <hyperlink xmlns:r="http://schemas.openxmlformats.org/officeDocument/2006/relationships" ref="H319" r:id="rId313"/>
    <hyperlink xmlns:r="http://schemas.openxmlformats.org/officeDocument/2006/relationships" ref="H320" r:id="rId314"/>
    <hyperlink xmlns:r="http://schemas.openxmlformats.org/officeDocument/2006/relationships" ref="H321" r:id="rId315"/>
    <hyperlink xmlns:r="http://schemas.openxmlformats.org/officeDocument/2006/relationships" ref="H322" r:id="rId316"/>
    <hyperlink xmlns:r="http://schemas.openxmlformats.org/officeDocument/2006/relationships" ref="H323" r:id="rId317"/>
    <hyperlink xmlns:r="http://schemas.openxmlformats.org/officeDocument/2006/relationships" ref="H324" r:id="rId318"/>
    <hyperlink xmlns:r="http://schemas.openxmlformats.org/officeDocument/2006/relationships" ref="H325" r:id="rId319"/>
    <hyperlink xmlns:r="http://schemas.openxmlformats.org/officeDocument/2006/relationships" ref="H326" r:id="rId320"/>
    <hyperlink xmlns:r="http://schemas.openxmlformats.org/officeDocument/2006/relationships" ref="H327" r:id="rId321"/>
    <hyperlink xmlns:r="http://schemas.openxmlformats.org/officeDocument/2006/relationships" ref="H328" r:id="rId322"/>
    <hyperlink xmlns:r="http://schemas.openxmlformats.org/officeDocument/2006/relationships" ref="H329" r:id="rId323"/>
    <hyperlink xmlns:r="http://schemas.openxmlformats.org/officeDocument/2006/relationships" ref="H330" r:id="rId324"/>
    <hyperlink xmlns:r="http://schemas.openxmlformats.org/officeDocument/2006/relationships" ref="H331" r:id="rId325"/>
    <hyperlink xmlns:r="http://schemas.openxmlformats.org/officeDocument/2006/relationships" ref="H332" r:id="rId326"/>
    <hyperlink xmlns:r="http://schemas.openxmlformats.org/officeDocument/2006/relationships" ref="H333" r:id="rId327"/>
    <hyperlink xmlns:r="http://schemas.openxmlformats.org/officeDocument/2006/relationships" ref="H334" r:id="rId328"/>
    <hyperlink xmlns:r="http://schemas.openxmlformats.org/officeDocument/2006/relationships" ref="H335" r:id="rId329"/>
    <hyperlink xmlns:r="http://schemas.openxmlformats.org/officeDocument/2006/relationships" ref="H336" r:id="rId330"/>
    <hyperlink xmlns:r="http://schemas.openxmlformats.org/officeDocument/2006/relationships" ref="H337" r:id="rId331"/>
    <hyperlink xmlns:r="http://schemas.openxmlformats.org/officeDocument/2006/relationships" ref="H338" r:id="rId332"/>
    <hyperlink xmlns:r="http://schemas.openxmlformats.org/officeDocument/2006/relationships" ref="H339" r:id="rId333"/>
    <hyperlink xmlns:r="http://schemas.openxmlformats.org/officeDocument/2006/relationships" ref="H340" r:id="rId334"/>
    <hyperlink xmlns:r="http://schemas.openxmlformats.org/officeDocument/2006/relationships" ref="H341" r:id="rId335"/>
    <hyperlink xmlns:r="http://schemas.openxmlformats.org/officeDocument/2006/relationships" ref="H342" r:id="rId336"/>
    <hyperlink xmlns:r="http://schemas.openxmlformats.org/officeDocument/2006/relationships" ref="H343" r:id="rId337"/>
    <hyperlink xmlns:r="http://schemas.openxmlformats.org/officeDocument/2006/relationships" ref="H344" r:id="rId338"/>
    <hyperlink xmlns:r="http://schemas.openxmlformats.org/officeDocument/2006/relationships" ref="H345" r:id="rId339"/>
    <hyperlink xmlns:r="http://schemas.openxmlformats.org/officeDocument/2006/relationships" ref="H346" r:id="rId340"/>
    <hyperlink xmlns:r="http://schemas.openxmlformats.org/officeDocument/2006/relationships" ref="H347" r:id="rId341"/>
    <hyperlink xmlns:r="http://schemas.openxmlformats.org/officeDocument/2006/relationships" ref="H348" r:id="rId342"/>
    <hyperlink xmlns:r="http://schemas.openxmlformats.org/officeDocument/2006/relationships" ref="H349" r:id="rId343"/>
    <hyperlink xmlns:r="http://schemas.openxmlformats.org/officeDocument/2006/relationships" ref="H350" r:id="rId344"/>
    <hyperlink xmlns:r="http://schemas.openxmlformats.org/officeDocument/2006/relationships" ref="H351" r:id="rId345"/>
    <hyperlink xmlns:r="http://schemas.openxmlformats.org/officeDocument/2006/relationships" ref="H352" r:id="rId346"/>
    <hyperlink xmlns:r="http://schemas.openxmlformats.org/officeDocument/2006/relationships" ref="H353" r:id="rId347"/>
    <hyperlink xmlns:r="http://schemas.openxmlformats.org/officeDocument/2006/relationships" ref="H354" r:id="rId348"/>
    <hyperlink xmlns:r="http://schemas.openxmlformats.org/officeDocument/2006/relationships" ref="H355" r:id="rId349"/>
    <hyperlink xmlns:r="http://schemas.openxmlformats.org/officeDocument/2006/relationships" ref="H356" r:id="rId350"/>
    <hyperlink xmlns:r="http://schemas.openxmlformats.org/officeDocument/2006/relationships" ref="H357" r:id="rId351"/>
    <hyperlink xmlns:r="http://schemas.openxmlformats.org/officeDocument/2006/relationships" ref="H358" r:id="rId352"/>
    <hyperlink xmlns:r="http://schemas.openxmlformats.org/officeDocument/2006/relationships" ref="H359" r:id="rId353"/>
    <hyperlink xmlns:r="http://schemas.openxmlformats.org/officeDocument/2006/relationships" ref="H360" r:id="rId354"/>
    <hyperlink xmlns:r="http://schemas.openxmlformats.org/officeDocument/2006/relationships" ref="H361" r:id="rId355"/>
    <hyperlink xmlns:r="http://schemas.openxmlformats.org/officeDocument/2006/relationships" ref="H362" r:id="rId356"/>
    <hyperlink xmlns:r="http://schemas.openxmlformats.org/officeDocument/2006/relationships" ref="H363" r:id="rId357"/>
    <hyperlink xmlns:r="http://schemas.openxmlformats.org/officeDocument/2006/relationships" ref="H364" r:id="rId358"/>
    <hyperlink xmlns:r="http://schemas.openxmlformats.org/officeDocument/2006/relationships" ref="H365" r:id="rId359"/>
    <hyperlink xmlns:r="http://schemas.openxmlformats.org/officeDocument/2006/relationships" ref="H366" r:id="rId360"/>
    <hyperlink xmlns:r="http://schemas.openxmlformats.org/officeDocument/2006/relationships" ref="H367" r:id="rId361"/>
    <hyperlink xmlns:r="http://schemas.openxmlformats.org/officeDocument/2006/relationships" ref="H368" r:id="rId362"/>
    <hyperlink xmlns:r="http://schemas.openxmlformats.org/officeDocument/2006/relationships" ref="H369" r:id="rId363"/>
    <hyperlink xmlns:r="http://schemas.openxmlformats.org/officeDocument/2006/relationships" ref="H370" r:id="rId364"/>
    <hyperlink xmlns:r="http://schemas.openxmlformats.org/officeDocument/2006/relationships" ref="H371" r:id="rId365"/>
    <hyperlink xmlns:r="http://schemas.openxmlformats.org/officeDocument/2006/relationships" ref="H372" r:id="rId366"/>
    <hyperlink xmlns:r="http://schemas.openxmlformats.org/officeDocument/2006/relationships" ref="H373" r:id="rId367"/>
    <hyperlink xmlns:r="http://schemas.openxmlformats.org/officeDocument/2006/relationships" ref="H374" r:id="rId368"/>
    <hyperlink xmlns:r="http://schemas.openxmlformats.org/officeDocument/2006/relationships" ref="H375" r:id="rId369"/>
    <hyperlink xmlns:r="http://schemas.openxmlformats.org/officeDocument/2006/relationships" ref="H376" r:id="rId370"/>
    <hyperlink xmlns:r="http://schemas.openxmlformats.org/officeDocument/2006/relationships" ref="H377" r:id="rId371"/>
    <hyperlink xmlns:r="http://schemas.openxmlformats.org/officeDocument/2006/relationships" ref="H378" r:id="rId372"/>
    <hyperlink xmlns:r="http://schemas.openxmlformats.org/officeDocument/2006/relationships" ref="H379" r:id="rId373"/>
    <hyperlink xmlns:r="http://schemas.openxmlformats.org/officeDocument/2006/relationships" ref="H380" r:id="rId374"/>
    <hyperlink xmlns:r="http://schemas.openxmlformats.org/officeDocument/2006/relationships" ref="H381" r:id="rId375"/>
    <hyperlink xmlns:r="http://schemas.openxmlformats.org/officeDocument/2006/relationships" ref="H382" r:id="rId376"/>
    <hyperlink xmlns:r="http://schemas.openxmlformats.org/officeDocument/2006/relationships" ref="H383" r:id="rId377"/>
    <hyperlink xmlns:r="http://schemas.openxmlformats.org/officeDocument/2006/relationships" ref="H384" r:id="rId378"/>
    <hyperlink xmlns:r="http://schemas.openxmlformats.org/officeDocument/2006/relationships" ref="H385" r:id="rId379"/>
    <hyperlink xmlns:r="http://schemas.openxmlformats.org/officeDocument/2006/relationships" ref="H386" r:id="rId380"/>
    <hyperlink xmlns:r="http://schemas.openxmlformats.org/officeDocument/2006/relationships" ref="H387" r:id="rId381"/>
    <hyperlink xmlns:r="http://schemas.openxmlformats.org/officeDocument/2006/relationships" ref="H388" r:id="rId382"/>
    <hyperlink xmlns:r="http://schemas.openxmlformats.org/officeDocument/2006/relationships" ref="H389" r:id="rId383"/>
    <hyperlink xmlns:r="http://schemas.openxmlformats.org/officeDocument/2006/relationships" ref="H390" r:id="rId384"/>
    <hyperlink xmlns:r="http://schemas.openxmlformats.org/officeDocument/2006/relationships" ref="H391" r:id="rId385"/>
    <hyperlink xmlns:r="http://schemas.openxmlformats.org/officeDocument/2006/relationships" ref="H392" r:id="rId386"/>
    <hyperlink xmlns:r="http://schemas.openxmlformats.org/officeDocument/2006/relationships" ref="H393" r:id="rId387"/>
    <hyperlink xmlns:r="http://schemas.openxmlformats.org/officeDocument/2006/relationships" ref="H394" r:id="rId388"/>
    <hyperlink xmlns:r="http://schemas.openxmlformats.org/officeDocument/2006/relationships" ref="H395" r:id="rId389"/>
    <hyperlink xmlns:r="http://schemas.openxmlformats.org/officeDocument/2006/relationships" ref="H396" r:id="rId390"/>
    <hyperlink xmlns:r="http://schemas.openxmlformats.org/officeDocument/2006/relationships" ref="H397" r:id="rId391"/>
    <hyperlink xmlns:r="http://schemas.openxmlformats.org/officeDocument/2006/relationships" ref="H398" r:id="rId392"/>
    <hyperlink xmlns:r="http://schemas.openxmlformats.org/officeDocument/2006/relationships" ref="H399" r:id="rId393"/>
    <hyperlink xmlns:r="http://schemas.openxmlformats.org/officeDocument/2006/relationships" ref="H400" r:id="rId394"/>
    <hyperlink xmlns:r="http://schemas.openxmlformats.org/officeDocument/2006/relationships" ref="H401" r:id="rId395"/>
    <hyperlink xmlns:r="http://schemas.openxmlformats.org/officeDocument/2006/relationships" ref="H402" r:id="rId396"/>
    <hyperlink xmlns:r="http://schemas.openxmlformats.org/officeDocument/2006/relationships" ref="H403" r:id="rId397"/>
    <hyperlink xmlns:r="http://schemas.openxmlformats.org/officeDocument/2006/relationships" ref="H404" r:id="rId398"/>
    <hyperlink xmlns:r="http://schemas.openxmlformats.org/officeDocument/2006/relationships" ref="H405" r:id="rId399"/>
    <hyperlink xmlns:r="http://schemas.openxmlformats.org/officeDocument/2006/relationships" ref="H406" r:id="rId400"/>
    <hyperlink xmlns:r="http://schemas.openxmlformats.org/officeDocument/2006/relationships" ref="H407" r:id="rId401"/>
    <hyperlink xmlns:r="http://schemas.openxmlformats.org/officeDocument/2006/relationships" ref="H408" r:id="rId402"/>
    <hyperlink xmlns:r="http://schemas.openxmlformats.org/officeDocument/2006/relationships" ref="H409" r:id="rId403"/>
    <hyperlink xmlns:r="http://schemas.openxmlformats.org/officeDocument/2006/relationships" ref="H410" r:id="rId404"/>
    <hyperlink xmlns:r="http://schemas.openxmlformats.org/officeDocument/2006/relationships" ref="H411" r:id="rId405"/>
    <hyperlink xmlns:r="http://schemas.openxmlformats.org/officeDocument/2006/relationships" ref="H412" r:id="rId406"/>
    <hyperlink xmlns:r="http://schemas.openxmlformats.org/officeDocument/2006/relationships" ref="H413" r:id="rId407"/>
    <hyperlink xmlns:r="http://schemas.openxmlformats.org/officeDocument/2006/relationships" ref="H414" r:id="rId408"/>
    <hyperlink xmlns:r="http://schemas.openxmlformats.org/officeDocument/2006/relationships" ref="H415" r:id="rId409"/>
    <hyperlink xmlns:r="http://schemas.openxmlformats.org/officeDocument/2006/relationships" ref="H416" r:id="rId410"/>
    <hyperlink xmlns:r="http://schemas.openxmlformats.org/officeDocument/2006/relationships" ref="H417" r:id="rId411"/>
    <hyperlink xmlns:r="http://schemas.openxmlformats.org/officeDocument/2006/relationships" ref="H418" r:id="rId412"/>
    <hyperlink xmlns:r="http://schemas.openxmlformats.org/officeDocument/2006/relationships" ref="H419" r:id="rId413"/>
    <hyperlink xmlns:r="http://schemas.openxmlformats.org/officeDocument/2006/relationships" ref="H420" r:id="rId414"/>
    <hyperlink xmlns:r="http://schemas.openxmlformats.org/officeDocument/2006/relationships" ref="H421" r:id="rId415"/>
    <hyperlink xmlns:r="http://schemas.openxmlformats.org/officeDocument/2006/relationships" ref="H422" r:id="rId416"/>
    <hyperlink xmlns:r="http://schemas.openxmlformats.org/officeDocument/2006/relationships" ref="H423" r:id="rId417"/>
    <hyperlink xmlns:r="http://schemas.openxmlformats.org/officeDocument/2006/relationships" ref="H424" r:id="rId418"/>
    <hyperlink xmlns:r="http://schemas.openxmlformats.org/officeDocument/2006/relationships" ref="H425" r:id="rId419"/>
    <hyperlink xmlns:r="http://schemas.openxmlformats.org/officeDocument/2006/relationships" ref="H426" r:id="rId420"/>
    <hyperlink xmlns:r="http://schemas.openxmlformats.org/officeDocument/2006/relationships" ref="H427" r:id="rId421"/>
    <hyperlink xmlns:r="http://schemas.openxmlformats.org/officeDocument/2006/relationships" ref="H428" r:id="rId422"/>
    <hyperlink xmlns:r="http://schemas.openxmlformats.org/officeDocument/2006/relationships" ref="H429" r:id="rId423"/>
    <hyperlink xmlns:r="http://schemas.openxmlformats.org/officeDocument/2006/relationships" ref="H430" r:id="rId424"/>
    <hyperlink xmlns:r="http://schemas.openxmlformats.org/officeDocument/2006/relationships" ref="H431" r:id="rId425"/>
    <hyperlink xmlns:r="http://schemas.openxmlformats.org/officeDocument/2006/relationships" ref="H432" r:id="rId426"/>
    <hyperlink xmlns:r="http://schemas.openxmlformats.org/officeDocument/2006/relationships" ref="H433" r:id="rId427"/>
    <hyperlink xmlns:r="http://schemas.openxmlformats.org/officeDocument/2006/relationships" ref="H434" r:id="rId428"/>
    <hyperlink xmlns:r="http://schemas.openxmlformats.org/officeDocument/2006/relationships" ref="H435" r:id="rId429"/>
    <hyperlink xmlns:r="http://schemas.openxmlformats.org/officeDocument/2006/relationships" ref="H436" r:id="rId430"/>
    <hyperlink xmlns:r="http://schemas.openxmlformats.org/officeDocument/2006/relationships" ref="H437" r:id="rId431"/>
    <hyperlink xmlns:r="http://schemas.openxmlformats.org/officeDocument/2006/relationships" ref="H438" r:id="rId432"/>
    <hyperlink xmlns:r="http://schemas.openxmlformats.org/officeDocument/2006/relationships" ref="H439" r:id="rId433"/>
    <hyperlink xmlns:r="http://schemas.openxmlformats.org/officeDocument/2006/relationships" ref="H440" r:id="rId434"/>
    <hyperlink xmlns:r="http://schemas.openxmlformats.org/officeDocument/2006/relationships" ref="H441" r:id="rId435"/>
    <hyperlink xmlns:r="http://schemas.openxmlformats.org/officeDocument/2006/relationships" ref="H442" r:id="rId436"/>
    <hyperlink xmlns:r="http://schemas.openxmlformats.org/officeDocument/2006/relationships" ref="H443" r:id="rId437"/>
    <hyperlink xmlns:r="http://schemas.openxmlformats.org/officeDocument/2006/relationships" ref="H444" r:id="rId438"/>
    <hyperlink xmlns:r="http://schemas.openxmlformats.org/officeDocument/2006/relationships" ref="H445" r:id="rId439"/>
    <hyperlink xmlns:r="http://schemas.openxmlformats.org/officeDocument/2006/relationships" ref="H446" r:id="rId440"/>
    <hyperlink xmlns:r="http://schemas.openxmlformats.org/officeDocument/2006/relationships" ref="H447" r:id="rId441"/>
    <hyperlink xmlns:r="http://schemas.openxmlformats.org/officeDocument/2006/relationships" ref="H448" r:id="rId442"/>
    <hyperlink xmlns:r="http://schemas.openxmlformats.org/officeDocument/2006/relationships" ref="H449" r:id="rId443"/>
    <hyperlink xmlns:r="http://schemas.openxmlformats.org/officeDocument/2006/relationships" ref="H450" r:id="rId444"/>
    <hyperlink xmlns:r="http://schemas.openxmlformats.org/officeDocument/2006/relationships" ref="H451" r:id="rId445"/>
    <hyperlink xmlns:r="http://schemas.openxmlformats.org/officeDocument/2006/relationships" ref="H452" r:id="rId446"/>
    <hyperlink xmlns:r="http://schemas.openxmlformats.org/officeDocument/2006/relationships" ref="H453" r:id="rId447"/>
    <hyperlink xmlns:r="http://schemas.openxmlformats.org/officeDocument/2006/relationships" ref="H454" r:id="rId448"/>
    <hyperlink xmlns:r="http://schemas.openxmlformats.org/officeDocument/2006/relationships" ref="H455" r:id="rId449"/>
    <hyperlink xmlns:r="http://schemas.openxmlformats.org/officeDocument/2006/relationships" ref="H456" r:id="rId450"/>
    <hyperlink xmlns:r="http://schemas.openxmlformats.org/officeDocument/2006/relationships" ref="H457" r:id="rId451"/>
    <hyperlink xmlns:r="http://schemas.openxmlformats.org/officeDocument/2006/relationships" ref="H458" r:id="rId452"/>
    <hyperlink xmlns:r="http://schemas.openxmlformats.org/officeDocument/2006/relationships" ref="H459" r:id="rId453"/>
    <hyperlink xmlns:r="http://schemas.openxmlformats.org/officeDocument/2006/relationships" ref="H460" r:id="rId454"/>
    <hyperlink xmlns:r="http://schemas.openxmlformats.org/officeDocument/2006/relationships" ref="H461" r:id="rId455"/>
    <hyperlink xmlns:r="http://schemas.openxmlformats.org/officeDocument/2006/relationships" ref="H462" r:id="rId456"/>
    <hyperlink xmlns:r="http://schemas.openxmlformats.org/officeDocument/2006/relationships" ref="H463" r:id="rId457"/>
    <hyperlink xmlns:r="http://schemas.openxmlformats.org/officeDocument/2006/relationships" ref="H464" r:id="rId458"/>
    <hyperlink xmlns:r="http://schemas.openxmlformats.org/officeDocument/2006/relationships" ref="H465" r:id="rId459"/>
    <hyperlink xmlns:r="http://schemas.openxmlformats.org/officeDocument/2006/relationships" ref="H466" r:id="rId460"/>
    <hyperlink xmlns:r="http://schemas.openxmlformats.org/officeDocument/2006/relationships" ref="H467" r:id="rId461"/>
    <hyperlink xmlns:r="http://schemas.openxmlformats.org/officeDocument/2006/relationships" ref="H468" r:id="rId462"/>
    <hyperlink xmlns:r="http://schemas.openxmlformats.org/officeDocument/2006/relationships" ref="H469" r:id="rId463"/>
    <hyperlink xmlns:r="http://schemas.openxmlformats.org/officeDocument/2006/relationships" ref="H470" r:id="rId464"/>
    <hyperlink xmlns:r="http://schemas.openxmlformats.org/officeDocument/2006/relationships" ref="H471" r:id="rId465"/>
    <hyperlink xmlns:r="http://schemas.openxmlformats.org/officeDocument/2006/relationships" ref="H472" r:id="rId466"/>
    <hyperlink xmlns:r="http://schemas.openxmlformats.org/officeDocument/2006/relationships" ref="H473" r:id="rId467"/>
    <hyperlink xmlns:r="http://schemas.openxmlformats.org/officeDocument/2006/relationships" ref="H474" r:id="rId468"/>
    <hyperlink xmlns:r="http://schemas.openxmlformats.org/officeDocument/2006/relationships" ref="H475" r:id="rId469"/>
    <hyperlink xmlns:r="http://schemas.openxmlformats.org/officeDocument/2006/relationships" ref="H476" r:id="rId470"/>
    <hyperlink xmlns:r="http://schemas.openxmlformats.org/officeDocument/2006/relationships" ref="H477" r:id="rId471"/>
    <hyperlink xmlns:r="http://schemas.openxmlformats.org/officeDocument/2006/relationships" ref="H478" r:id="rId472"/>
    <hyperlink xmlns:r="http://schemas.openxmlformats.org/officeDocument/2006/relationships" ref="H479" r:id="rId473"/>
    <hyperlink xmlns:r="http://schemas.openxmlformats.org/officeDocument/2006/relationships" ref="H480" r:id="rId474"/>
    <hyperlink xmlns:r="http://schemas.openxmlformats.org/officeDocument/2006/relationships" ref="H481" r:id="rId475"/>
    <hyperlink xmlns:r="http://schemas.openxmlformats.org/officeDocument/2006/relationships" ref="H482" r:id="rId476"/>
    <hyperlink xmlns:r="http://schemas.openxmlformats.org/officeDocument/2006/relationships" ref="H483" r:id="rId477"/>
    <hyperlink xmlns:r="http://schemas.openxmlformats.org/officeDocument/2006/relationships" ref="H484" r:id="rId478"/>
    <hyperlink xmlns:r="http://schemas.openxmlformats.org/officeDocument/2006/relationships" ref="H485" r:id="rId479"/>
    <hyperlink xmlns:r="http://schemas.openxmlformats.org/officeDocument/2006/relationships" ref="H486" r:id="rId480"/>
    <hyperlink xmlns:r="http://schemas.openxmlformats.org/officeDocument/2006/relationships" ref="H487" r:id="rId481"/>
    <hyperlink xmlns:r="http://schemas.openxmlformats.org/officeDocument/2006/relationships" ref="H488" r:id="rId482"/>
    <hyperlink xmlns:r="http://schemas.openxmlformats.org/officeDocument/2006/relationships" ref="H489" r:id="rId483"/>
    <hyperlink xmlns:r="http://schemas.openxmlformats.org/officeDocument/2006/relationships" ref="H490" r:id="rId484"/>
    <hyperlink xmlns:r="http://schemas.openxmlformats.org/officeDocument/2006/relationships" ref="H491" r:id="rId485"/>
    <hyperlink xmlns:r="http://schemas.openxmlformats.org/officeDocument/2006/relationships" ref="H492" r:id="rId486"/>
    <hyperlink xmlns:r="http://schemas.openxmlformats.org/officeDocument/2006/relationships" ref="H493" r:id="rId487"/>
    <hyperlink xmlns:r="http://schemas.openxmlformats.org/officeDocument/2006/relationships" ref="H494" r:id="rId488"/>
    <hyperlink xmlns:r="http://schemas.openxmlformats.org/officeDocument/2006/relationships" ref="H495" r:id="rId489"/>
    <hyperlink xmlns:r="http://schemas.openxmlformats.org/officeDocument/2006/relationships" ref="H496" r:id="rId490"/>
    <hyperlink xmlns:r="http://schemas.openxmlformats.org/officeDocument/2006/relationships" ref="H497" r:id="rId491"/>
    <hyperlink xmlns:r="http://schemas.openxmlformats.org/officeDocument/2006/relationships" ref="H498" r:id="rId492"/>
    <hyperlink xmlns:r="http://schemas.openxmlformats.org/officeDocument/2006/relationships" ref="H499" r:id="rId493"/>
    <hyperlink xmlns:r="http://schemas.openxmlformats.org/officeDocument/2006/relationships" ref="H500" r:id="rId494"/>
    <hyperlink xmlns:r="http://schemas.openxmlformats.org/officeDocument/2006/relationships" ref="H501" r:id="rId495"/>
    <hyperlink xmlns:r="http://schemas.openxmlformats.org/officeDocument/2006/relationships" ref="H502" r:id="rId496"/>
    <hyperlink xmlns:r="http://schemas.openxmlformats.org/officeDocument/2006/relationships" ref="H503" r:id="rId497"/>
    <hyperlink xmlns:r="http://schemas.openxmlformats.org/officeDocument/2006/relationships" ref="H504" r:id="rId498"/>
    <hyperlink xmlns:r="http://schemas.openxmlformats.org/officeDocument/2006/relationships" ref="H505" r:id="rId499"/>
    <hyperlink xmlns:r="http://schemas.openxmlformats.org/officeDocument/2006/relationships" ref="H506" r:id="rId500"/>
    <hyperlink xmlns:r="http://schemas.openxmlformats.org/officeDocument/2006/relationships" ref="H507" r:id="rId501"/>
    <hyperlink xmlns:r="http://schemas.openxmlformats.org/officeDocument/2006/relationships" ref="H508" r:id="rId502"/>
    <hyperlink xmlns:r="http://schemas.openxmlformats.org/officeDocument/2006/relationships" ref="H509" r:id="rId503"/>
    <hyperlink xmlns:r="http://schemas.openxmlformats.org/officeDocument/2006/relationships" ref="H510" r:id="rId504"/>
    <hyperlink xmlns:r="http://schemas.openxmlformats.org/officeDocument/2006/relationships" ref="H511" r:id="rId505"/>
    <hyperlink xmlns:r="http://schemas.openxmlformats.org/officeDocument/2006/relationships" ref="H512" r:id="rId506"/>
    <hyperlink xmlns:r="http://schemas.openxmlformats.org/officeDocument/2006/relationships" ref="H513" r:id="rId507"/>
    <hyperlink xmlns:r="http://schemas.openxmlformats.org/officeDocument/2006/relationships" ref="H514" r:id="rId508"/>
    <hyperlink xmlns:r="http://schemas.openxmlformats.org/officeDocument/2006/relationships" ref="H515" r:id="rId509"/>
    <hyperlink xmlns:r="http://schemas.openxmlformats.org/officeDocument/2006/relationships" ref="H516" r:id="rId510"/>
    <hyperlink xmlns:r="http://schemas.openxmlformats.org/officeDocument/2006/relationships" ref="H517" r:id="rId511"/>
    <hyperlink xmlns:r="http://schemas.openxmlformats.org/officeDocument/2006/relationships" ref="H518" r:id="rId512"/>
    <hyperlink xmlns:r="http://schemas.openxmlformats.org/officeDocument/2006/relationships" ref="H519" r:id="rId513"/>
    <hyperlink xmlns:r="http://schemas.openxmlformats.org/officeDocument/2006/relationships" ref="H520" r:id="rId514"/>
    <hyperlink xmlns:r="http://schemas.openxmlformats.org/officeDocument/2006/relationships" ref="H521" r:id="rId515"/>
    <hyperlink xmlns:r="http://schemas.openxmlformats.org/officeDocument/2006/relationships" ref="H522" r:id="rId516"/>
    <hyperlink xmlns:r="http://schemas.openxmlformats.org/officeDocument/2006/relationships" ref="H523" r:id="rId517"/>
    <hyperlink xmlns:r="http://schemas.openxmlformats.org/officeDocument/2006/relationships" ref="H524" r:id="rId518"/>
    <hyperlink xmlns:r="http://schemas.openxmlformats.org/officeDocument/2006/relationships" ref="H525" r:id="rId519"/>
    <hyperlink xmlns:r="http://schemas.openxmlformats.org/officeDocument/2006/relationships" ref="H526" r:id="rId520"/>
    <hyperlink xmlns:r="http://schemas.openxmlformats.org/officeDocument/2006/relationships" ref="H527" r:id="rId521"/>
    <hyperlink xmlns:r="http://schemas.openxmlformats.org/officeDocument/2006/relationships" ref="H528" r:id="rId522"/>
    <hyperlink xmlns:r="http://schemas.openxmlformats.org/officeDocument/2006/relationships" ref="H529" r:id="rId523"/>
    <hyperlink xmlns:r="http://schemas.openxmlformats.org/officeDocument/2006/relationships" ref="H530" r:id="rId524"/>
    <hyperlink xmlns:r="http://schemas.openxmlformats.org/officeDocument/2006/relationships" ref="H531" r:id="rId525"/>
    <hyperlink xmlns:r="http://schemas.openxmlformats.org/officeDocument/2006/relationships" ref="H532" r:id="rId526"/>
    <hyperlink xmlns:r="http://schemas.openxmlformats.org/officeDocument/2006/relationships" ref="H533" r:id="rId527"/>
    <hyperlink xmlns:r="http://schemas.openxmlformats.org/officeDocument/2006/relationships" ref="H534" r:id="rId528"/>
    <hyperlink xmlns:r="http://schemas.openxmlformats.org/officeDocument/2006/relationships" ref="H539" r:id="rId529"/>
    <hyperlink xmlns:r="http://schemas.openxmlformats.org/officeDocument/2006/relationships" ref="H540" r:id="rId530"/>
    <hyperlink xmlns:r="http://schemas.openxmlformats.org/officeDocument/2006/relationships" ref="H541" r:id="rId531"/>
    <hyperlink xmlns:r="http://schemas.openxmlformats.org/officeDocument/2006/relationships" ref="H542" r:id="rId532"/>
    <hyperlink xmlns:r="http://schemas.openxmlformats.org/officeDocument/2006/relationships" ref="H543" r:id="rId533"/>
    <hyperlink xmlns:r="http://schemas.openxmlformats.org/officeDocument/2006/relationships" ref="H544" r:id="rId534"/>
    <hyperlink xmlns:r="http://schemas.openxmlformats.org/officeDocument/2006/relationships" ref="H545" r:id="rId535"/>
    <hyperlink xmlns:r="http://schemas.openxmlformats.org/officeDocument/2006/relationships" ref="H546" r:id="rId536"/>
    <hyperlink xmlns:r="http://schemas.openxmlformats.org/officeDocument/2006/relationships" ref="H547" r:id="rId537"/>
    <hyperlink xmlns:r="http://schemas.openxmlformats.org/officeDocument/2006/relationships" ref="H548" r:id="rId538"/>
    <hyperlink xmlns:r="http://schemas.openxmlformats.org/officeDocument/2006/relationships" ref="H549" r:id="rId539"/>
    <hyperlink xmlns:r="http://schemas.openxmlformats.org/officeDocument/2006/relationships" ref="H550" r:id="rId540"/>
    <hyperlink xmlns:r="http://schemas.openxmlformats.org/officeDocument/2006/relationships" ref="H551" r:id="rId541"/>
    <hyperlink xmlns:r="http://schemas.openxmlformats.org/officeDocument/2006/relationships" ref="H552" r:id="rId542"/>
    <hyperlink xmlns:r="http://schemas.openxmlformats.org/officeDocument/2006/relationships" ref="H553" r:id="rId543"/>
    <hyperlink xmlns:r="http://schemas.openxmlformats.org/officeDocument/2006/relationships" ref="H554" r:id="rId544"/>
    <hyperlink xmlns:r="http://schemas.openxmlformats.org/officeDocument/2006/relationships" ref="H555" r:id="rId545"/>
    <hyperlink xmlns:r="http://schemas.openxmlformats.org/officeDocument/2006/relationships" ref="H556" r:id="rId546"/>
    <hyperlink xmlns:r="http://schemas.openxmlformats.org/officeDocument/2006/relationships" ref="H557" r:id="rId547"/>
    <hyperlink xmlns:r="http://schemas.openxmlformats.org/officeDocument/2006/relationships" ref="H558" r:id="rId548"/>
    <hyperlink xmlns:r="http://schemas.openxmlformats.org/officeDocument/2006/relationships" ref="H559" r:id="rId549"/>
    <hyperlink xmlns:r="http://schemas.openxmlformats.org/officeDocument/2006/relationships" ref="H560" r:id="rId550"/>
    <hyperlink xmlns:r="http://schemas.openxmlformats.org/officeDocument/2006/relationships" ref="H561" r:id="rId551"/>
    <hyperlink xmlns:r="http://schemas.openxmlformats.org/officeDocument/2006/relationships" ref="H562" r:id="rId552"/>
    <hyperlink xmlns:r="http://schemas.openxmlformats.org/officeDocument/2006/relationships" ref="H563" r:id="rId553"/>
    <hyperlink xmlns:r="http://schemas.openxmlformats.org/officeDocument/2006/relationships" ref="H564" r:id="rId554"/>
    <hyperlink xmlns:r="http://schemas.openxmlformats.org/officeDocument/2006/relationships" ref="H565" r:id="rId555"/>
    <hyperlink xmlns:r="http://schemas.openxmlformats.org/officeDocument/2006/relationships" ref="H566" r:id="rId556"/>
    <hyperlink xmlns:r="http://schemas.openxmlformats.org/officeDocument/2006/relationships" ref="H567" r:id="rId557"/>
    <hyperlink xmlns:r="http://schemas.openxmlformats.org/officeDocument/2006/relationships" ref="H568" r:id="rId558"/>
    <hyperlink xmlns:r="http://schemas.openxmlformats.org/officeDocument/2006/relationships" ref="H569" r:id="rId559"/>
    <hyperlink xmlns:r="http://schemas.openxmlformats.org/officeDocument/2006/relationships" ref="H570" r:id="rId560"/>
    <hyperlink xmlns:r="http://schemas.openxmlformats.org/officeDocument/2006/relationships" ref="H571" r:id="rId561"/>
    <hyperlink xmlns:r="http://schemas.openxmlformats.org/officeDocument/2006/relationships" ref="H572" r:id="rId562"/>
    <hyperlink xmlns:r="http://schemas.openxmlformats.org/officeDocument/2006/relationships" ref="H573" r:id="rId563"/>
    <hyperlink xmlns:r="http://schemas.openxmlformats.org/officeDocument/2006/relationships" ref="H574" r:id="rId564"/>
    <hyperlink xmlns:r="http://schemas.openxmlformats.org/officeDocument/2006/relationships" ref="H575" r:id="rId565"/>
    <hyperlink xmlns:r="http://schemas.openxmlformats.org/officeDocument/2006/relationships" ref="H576" r:id="rId566"/>
    <hyperlink xmlns:r="http://schemas.openxmlformats.org/officeDocument/2006/relationships" ref="H577" r:id="rId567"/>
    <hyperlink xmlns:r="http://schemas.openxmlformats.org/officeDocument/2006/relationships" ref="H578" r:id="rId568"/>
    <hyperlink xmlns:r="http://schemas.openxmlformats.org/officeDocument/2006/relationships" ref="H579" r:id="rId569"/>
    <hyperlink xmlns:r="http://schemas.openxmlformats.org/officeDocument/2006/relationships" ref="H580" r:id="rId570"/>
    <hyperlink xmlns:r="http://schemas.openxmlformats.org/officeDocument/2006/relationships" ref="H581" r:id="rId571"/>
    <hyperlink xmlns:r="http://schemas.openxmlformats.org/officeDocument/2006/relationships" ref="H582" r:id="rId572"/>
    <hyperlink xmlns:r="http://schemas.openxmlformats.org/officeDocument/2006/relationships" ref="H583" r:id="rId573"/>
    <hyperlink xmlns:r="http://schemas.openxmlformats.org/officeDocument/2006/relationships" ref="H584" r:id="rId574"/>
    <hyperlink xmlns:r="http://schemas.openxmlformats.org/officeDocument/2006/relationships" ref="H585" r:id="rId575"/>
    <hyperlink xmlns:r="http://schemas.openxmlformats.org/officeDocument/2006/relationships" ref="H586" r:id="rId576"/>
    <hyperlink xmlns:r="http://schemas.openxmlformats.org/officeDocument/2006/relationships" ref="H587" r:id="rId577"/>
    <hyperlink xmlns:r="http://schemas.openxmlformats.org/officeDocument/2006/relationships" ref="H588" r:id="rId578"/>
    <hyperlink xmlns:r="http://schemas.openxmlformats.org/officeDocument/2006/relationships" ref="H589" r:id="rId579"/>
    <hyperlink xmlns:r="http://schemas.openxmlformats.org/officeDocument/2006/relationships" ref="H590" r:id="rId580"/>
    <hyperlink xmlns:r="http://schemas.openxmlformats.org/officeDocument/2006/relationships" ref="H591" r:id="rId581"/>
    <hyperlink xmlns:r="http://schemas.openxmlformats.org/officeDocument/2006/relationships" ref="H592" r:id="rId582"/>
    <hyperlink xmlns:r="http://schemas.openxmlformats.org/officeDocument/2006/relationships" ref="H593" r:id="rId583"/>
    <hyperlink xmlns:r="http://schemas.openxmlformats.org/officeDocument/2006/relationships" ref="H594" r:id="rId584"/>
    <hyperlink xmlns:r="http://schemas.openxmlformats.org/officeDocument/2006/relationships" ref="H595" r:id="rId585"/>
    <hyperlink xmlns:r="http://schemas.openxmlformats.org/officeDocument/2006/relationships" ref="H596" r:id="rId586"/>
    <hyperlink xmlns:r="http://schemas.openxmlformats.org/officeDocument/2006/relationships" ref="H597" r:id="rId587"/>
    <hyperlink xmlns:r="http://schemas.openxmlformats.org/officeDocument/2006/relationships" ref="H598" r:id="rId588"/>
    <hyperlink xmlns:r="http://schemas.openxmlformats.org/officeDocument/2006/relationships" ref="H599" r:id="rId589"/>
    <hyperlink xmlns:r="http://schemas.openxmlformats.org/officeDocument/2006/relationships" ref="H600" r:id="rId590"/>
    <hyperlink xmlns:r="http://schemas.openxmlformats.org/officeDocument/2006/relationships" ref="H601" r:id="rId591"/>
    <hyperlink xmlns:r="http://schemas.openxmlformats.org/officeDocument/2006/relationships" ref="H602" r:id="rId592"/>
    <hyperlink xmlns:r="http://schemas.openxmlformats.org/officeDocument/2006/relationships" ref="H603" r:id="rId593"/>
    <hyperlink xmlns:r="http://schemas.openxmlformats.org/officeDocument/2006/relationships" ref="H604" r:id="rId594"/>
    <hyperlink xmlns:r="http://schemas.openxmlformats.org/officeDocument/2006/relationships" ref="H605" r:id="rId595"/>
    <hyperlink xmlns:r="http://schemas.openxmlformats.org/officeDocument/2006/relationships" ref="H606" r:id="rId596"/>
    <hyperlink xmlns:r="http://schemas.openxmlformats.org/officeDocument/2006/relationships" ref="H607" r:id="rId597"/>
    <hyperlink xmlns:r="http://schemas.openxmlformats.org/officeDocument/2006/relationships" ref="H608" r:id="rId598"/>
    <hyperlink xmlns:r="http://schemas.openxmlformats.org/officeDocument/2006/relationships" ref="H609" r:id="rId599"/>
    <hyperlink xmlns:r="http://schemas.openxmlformats.org/officeDocument/2006/relationships" ref="H610" r:id="rId600"/>
    <hyperlink xmlns:r="http://schemas.openxmlformats.org/officeDocument/2006/relationships" ref="H611" r:id="rId601"/>
    <hyperlink xmlns:r="http://schemas.openxmlformats.org/officeDocument/2006/relationships" ref="H612" r:id="rId602"/>
    <hyperlink xmlns:r="http://schemas.openxmlformats.org/officeDocument/2006/relationships" ref="H613" r:id="rId603"/>
    <hyperlink xmlns:r="http://schemas.openxmlformats.org/officeDocument/2006/relationships" ref="H614" r:id="rId604"/>
    <hyperlink xmlns:r="http://schemas.openxmlformats.org/officeDocument/2006/relationships" ref="H615" r:id="rId605"/>
    <hyperlink xmlns:r="http://schemas.openxmlformats.org/officeDocument/2006/relationships" ref="H616" r:id="rId606"/>
    <hyperlink xmlns:r="http://schemas.openxmlformats.org/officeDocument/2006/relationships" ref="H617" r:id="rId607"/>
    <hyperlink xmlns:r="http://schemas.openxmlformats.org/officeDocument/2006/relationships" ref="H618" r:id="rId608"/>
    <hyperlink xmlns:r="http://schemas.openxmlformats.org/officeDocument/2006/relationships" ref="H619" r:id="rId609"/>
    <hyperlink xmlns:r="http://schemas.openxmlformats.org/officeDocument/2006/relationships" ref="H620" r:id="rId610"/>
    <hyperlink xmlns:r="http://schemas.openxmlformats.org/officeDocument/2006/relationships" ref="H621" r:id="rId611"/>
    <hyperlink xmlns:r="http://schemas.openxmlformats.org/officeDocument/2006/relationships" ref="H622" r:id="rId612"/>
    <hyperlink xmlns:r="http://schemas.openxmlformats.org/officeDocument/2006/relationships" ref="H623" r:id="rId613"/>
    <hyperlink xmlns:r="http://schemas.openxmlformats.org/officeDocument/2006/relationships" ref="H624" r:id="rId614"/>
    <hyperlink xmlns:r="http://schemas.openxmlformats.org/officeDocument/2006/relationships" ref="H625" r:id="rId615"/>
    <hyperlink xmlns:r="http://schemas.openxmlformats.org/officeDocument/2006/relationships" ref="H626" r:id="rId616"/>
    <hyperlink xmlns:r="http://schemas.openxmlformats.org/officeDocument/2006/relationships" ref="H627" r:id="rId617"/>
    <hyperlink xmlns:r="http://schemas.openxmlformats.org/officeDocument/2006/relationships" ref="H628" r:id="rId618"/>
    <hyperlink xmlns:r="http://schemas.openxmlformats.org/officeDocument/2006/relationships" ref="H629" r:id="rId619"/>
    <hyperlink xmlns:r="http://schemas.openxmlformats.org/officeDocument/2006/relationships" ref="H630" r:id="rId620"/>
    <hyperlink xmlns:r="http://schemas.openxmlformats.org/officeDocument/2006/relationships" ref="H631" r:id="rId621"/>
    <hyperlink xmlns:r="http://schemas.openxmlformats.org/officeDocument/2006/relationships" ref="H632" r:id="rId622"/>
    <hyperlink xmlns:r="http://schemas.openxmlformats.org/officeDocument/2006/relationships" ref="H633" r:id="rId623"/>
    <hyperlink xmlns:r="http://schemas.openxmlformats.org/officeDocument/2006/relationships" ref="H634" r:id="rId624"/>
    <hyperlink xmlns:r="http://schemas.openxmlformats.org/officeDocument/2006/relationships" ref="H635" r:id="rId625"/>
    <hyperlink xmlns:r="http://schemas.openxmlformats.org/officeDocument/2006/relationships" ref="H636" r:id="rId626"/>
    <hyperlink xmlns:r="http://schemas.openxmlformats.org/officeDocument/2006/relationships" ref="H637" r:id="rId627"/>
    <hyperlink xmlns:r="http://schemas.openxmlformats.org/officeDocument/2006/relationships" ref="H638" r:id="rId628"/>
    <hyperlink xmlns:r="http://schemas.openxmlformats.org/officeDocument/2006/relationships" ref="H639" r:id="rId629"/>
    <hyperlink xmlns:r="http://schemas.openxmlformats.org/officeDocument/2006/relationships" ref="H640" r:id="rId630"/>
    <hyperlink xmlns:r="http://schemas.openxmlformats.org/officeDocument/2006/relationships" ref="H641" r:id="rId631"/>
    <hyperlink xmlns:r="http://schemas.openxmlformats.org/officeDocument/2006/relationships" ref="H642" r:id="rId632"/>
    <hyperlink xmlns:r="http://schemas.openxmlformats.org/officeDocument/2006/relationships" ref="H643" r:id="rId633"/>
    <hyperlink xmlns:r="http://schemas.openxmlformats.org/officeDocument/2006/relationships" ref="H644" r:id="rId634"/>
    <hyperlink xmlns:r="http://schemas.openxmlformats.org/officeDocument/2006/relationships" ref="H645" r:id="rId635"/>
    <hyperlink xmlns:r="http://schemas.openxmlformats.org/officeDocument/2006/relationships" ref="H646" r:id="rId636"/>
    <hyperlink xmlns:r="http://schemas.openxmlformats.org/officeDocument/2006/relationships" ref="H647" r:id="rId637"/>
    <hyperlink xmlns:r="http://schemas.openxmlformats.org/officeDocument/2006/relationships" ref="H648" r:id="rId638"/>
    <hyperlink xmlns:r="http://schemas.openxmlformats.org/officeDocument/2006/relationships" ref="H649" r:id="rId639"/>
    <hyperlink xmlns:r="http://schemas.openxmlformats.org/officeDocument/2006/relationships" ref="H650" r:id="rId640"/>
    <hyperlink xmlns:r="http://schemas.openxmlformats.org/officeDocument/2006/relationships" ref="H651" r:id="rId641"/>
    <hyperlink xmlns:r="http://schemas.openxmlformats.org/officeDocument/2006/relationships" ref="H652" r:id="rId642"/>
    <hyperlink xmlns:r="http://schemas.openxmlformats.org/officeDocument/2006/relationships" ref="H653" r:id="rId643"/>
    <hyperlink xmlns:r="http://schemas.openxmlformats.org/officeDocument/2006/relationships" ref="H654" r:id="rId644"/>
    <hyperlink xmlns:r="http://schemas.openxmlformats.org/officeDocument/2006/relationships" ref="H655" r:id="rId645"/>
    <hyperlink xmlns:r="http://schemas.openxmlformats.org/officeDocument/2006/relationships" ref="H656" r:id="rId646"/>
    <hyperlink xmlns:r="http://schemas.openxmlformats.org/officeDocument/2006/relationships" ref="H657" r:id="rId647"/>
    <hyperlink xmlns:r="http://schemas.openxmlformats.org/officeDocument/2006/relationships" ref="H658" r:id="rId648"/>
    <hyperlink xmlns:r="http://schemas.openxmlformats.org/officeDocument/2006/relationships" ref="H659" r:id="rId649"/>
    <hyperlink xmlns:r="http://schemas.openxmlformats.org/officeDocument/2006/relationships" ref="H660" r:id="rId650"/>
    <hyperlink xmlns:r="http://schemas.openxmlformats.org/officeDocument/2006/relationships" ref="H661" r:id="rId651"/>
    <hyperlink xmlns:r="http://schemas.openxmlformats.org/officeDocument/2006/relationships" ref="H662" r:id="rId652"/>
    <hyperlink xmlns:r="http://schemas.openxmlformats.org/officeDocument/2006/relationships" ref="H663" r:id="rId653"/>
    <hyperlink xmlns:r="http://schemas.openxmlformats.org/officeDocument/2006/relationships" ref="H664" r:id="rId654"/>
    <hyperlink xmlns:r="http://schemas.openxmlformats.org/officeDocument/2006/relationships" ref="H665" r:id="rId655"/>
    <hyperlink xmlns:r="http://schemas.openxmlformats.org/officeDocument/2006/relationships" ref="H666" r:id="rId656"/>
    <hyperlink xmlns:r="http://schemas.openxmlformats.org/officeDocument/2006/relationships" ref="H667" r:id="rId657"/>
    <hyperlink xmlns:r="http://schemas.openxmlformats.org/officeDocument/2006/relationships" ref="H668" r:id="rId658"/>
    <hyperlink xmlns:r="http://schemas.openxmlformats.org/officeDocument/2006/relationships" ref="H669" r:id="rId659"/>
    <hyperlink xmlns:r="http://schemas.openxmlformats.org/officeDocument/2006/relationships" ref="H670" r:id="rId660"/>
    <hyperlink xmlns:r="http://schemas.openxmlformats.org/officeDocument/2006/relationships" ref="H671" r:id="rId661"/>
    <hyperlink xmlns:r="http://schemas.openxmlformats.org/officeDocument/2006/relationships" ref="H672" r:id="rId662"/>
    <hyperlink xmlns:r="http://schemas.openxmlformats.org/officeDocument/2006/relationships" ref="H673" r:id="rId663"/>
    <hyperlink xmlns:r="http://schemas.openxmlformats.org/officeDocument/2006/relationships" ref="H674" r:id="rId664"/>
    <hyperlink xmlns:r="http://schemas.openxmlformats.org/officeDocument/2006/relationships" ref="H675" r:id="rId665"/>
    <hyperlink xmlns:r="http://schemas.openxmlformats.org/officeDocument/2006/relationships" ref="H676" r:id="rId666"/>
    <hyperlink xmlns:r="http://schemas.openxmlformats.org/officeDocument/2006/relationships" ref="H677" r:id="rId667"/>
    <hyperlink xmlns:r="http://schemas.openxmlformats.org/officeDocument/2006/relationships" ref="H678" r:id="rId668"/>
    <hyperlink xmlns:r="http://schemas.openxmlformats.org/officeDocument/2006/relationships" ref="H679" r:id="rId669"/>
    <hyperlink xmlns:r="http://schemas.openxmlformats.org/officeDocument/2006/relationships" ref="H680" r:id="rId670"/>
    <hyperlink xmlns:r="http://schemas.openxmlformats.org/officeDocument/2006/relationships" ref="H681" r:id="rId671"/>
    <hyperlink xmlns:r="http://schemas.openxmlformats.org/officeDocument/2006/relationships" ref="H682" r:id="rId672"/>
    <hyperlink xmlns:r="http://schemas.openxmlformats.org/officeDocument/2006/relationships" ref="H683" r:id="rId673"/>
    <hyperlink xmlns:r="http://schemas.openxmlformats.org/officeDocument/2006/relationships" ref="H684" r:id="rId674"/>
    <hyperlink xmlns:r="http://schemas.openxmlformats.org/officeDocument/2006/relationships" ref="H685" r:id="rId675"/>
    <hyperlink xmlns:r="http://schemas.openxmlformats.org/officeDocument/2006/relationships" ref="H686" r:id="rId676"/>
    <hyperlink xmlns:r="http://schemas.openxmlformats.org/officeDocument/2006/relationships" ref="H687" r:id="rId677"/>
    <hyperlink xmlns:r="http://schemas.openxmlformats.org/officeDocument/2006/relationships" ref="H688" r:id="rId678"/>
    <hyperlink xmlns:r="http://schemas.openxmlformats.org/officeDocument/2006/relationships" ref="H689" r:id="rId679"/>
    <hyperlink xmlns:r="http://schemas.openxmlformats.org/officeDocument/2006/relationships" ref="H690" r:id="rId680"/>
    <hyperlink xmlns:r="http://schemas.openxmlformats.org/officeDocument/2006/relationships" ref="H691" r:id="rId681"/>
    <hyperlink xmlns:r="http://schemas.openxmlformats.org/officeDocument/2006/relationships" ref="H692" r:id="rId682"/>
    <hyperlink xmlns:r="http://schemas.openxmlformats.org/officeDocument/2006/relationships" ref="H693" r:id="rId683"/>
    <hyperlink xmlns:r="http://schemas.openxmlformats.org/officeDocument/2006/relationships" ref="H694" r:id="rId684"/>
    <hyperlink xmlns:r="http://schemas.openxmlformats.org/officeDocument/2006/relationships" ref="H695" r:id="rId685"/>
    <hyperlink xmlns:r="http://schemas.openxmlformats.org/officeDocument/2006/relationships" ref="H696" r:id="rId686"/>
    <hyperlink xmlns:r="http://schemas.openxmlformats.org/officeDocument/2006/relationships" ref="H697" r:id="rId687"/>
    <hyperlink xmlns:r="http://schemas.openxmlformats.org/officeDocument/2006/relationships" ref="H698" r:id="rId688"/>
    <hyperlink xmlns:r="http://schemas.openxmlformats.org/officeDocument/2006/relationships" ref="H699" r:id="rId689"/>
    <hyperlink xmlns:r="http://schemas.openxmlformats.org/officeDocument/2006/relationships" ref="H700" r:id="rId690"/>
    <hyperlink xmlns:r="http://schemas.openxmlformats.org/officeDocument/2006/relationships" ref="H701" r:id="rId691"/>
    <hyperlink xmlns:r="http://schemas.openxmlformats.org/officeDocument/2006/relationships" ref="H702" r:id="rId692"/>
    <hyperlink xmlns:r="http://schemas.openxmlformats.org/officeDocument/2006/relationships" ref="H703" r:id="rId693"/>
    <hyperlink xmlns:r="http://schemas.openxmlformats.org/officeDocument/2006/relationships" ref="H704" r:id="rId694"/>
    <hyperlink xmlns:r="http://schemas.openxmlformats.org/officeDocument/2006/relationships" ref="H705" r:id="rId695"/>
    <hyperlink xmlns:r="http://schemas.openxmlformats.org/officeDocument/2006/relationships" ref="H706" r:id="rId696"/>
    <hyperlink xmlns:r="http://schemas.openxmlformats.org/officeDocument/2006/relationships" ref="H707" r:id="rId697"/>
    <hyperlink xmlns:r="http://schemas.openxmlformats.org/officeDocument/2006/relationships" ref="H708" r:id="rId698"/>
    <hyperlink xmlns:r="http://schemas.openxmlformats.org/officeDocument/2006/relationships" ref="H709" r:id="rId699"/>
    <hyperlink xmlns:r="http://schemas.openxmlformats.org/officeDocument/2006/relationships" ref="H710" r:id="rId700"/>
    <hyperlink xmlns:r="http://schemas.openxmlformats.org/officeDocument/2006/relationships" ref="H711" r:id="rId701"/>
    <hyperlink xmlns:r="http://schemas.openxmlformats.org/officeDocument/2006/relationships" ref="H712" r:id="rId702"/>
    <hyperlink xmlns:r="http://schemas.openxmlformats.org/officeDocument/2006/relationships" ref="H713" r:id="rId703"/>
    <hyperlink xmlns:r="http://schemas.openxmlformats.org/officeDocument/2006/relationships" ref="H714" r:id="rId704"/>
    <hyperlink xmlns:r="http://schemas.openxmlformats.org/officeDocument/2006/relationships" ref="H715" r:id="rId705"/>
    <hyperlink xmlns:r="http://schemas.openxmlformats.org/officeDocument/2006/relationships" ref="H716" r:id="rId706"/>
    <hyperlink xmlns:r="http://schemas.openxmlformats.org/officeDocument/2006/relationships" ref="H717" r:id="rId707"/>
    <hyperlink xmlns:r="http://schemas.openxmlformats.org/officeDocument/2006/relationships" ref="H718" r:id="rId708"/>
    <hyperlink xmlns:r="http://schemas.openxmlformats.org/officeDocument/2006/relationships" ref="H719" r:id="rId709"/>
    <hyperlink xmlns:r="http://schemas.openxmlformats.org/officeDocument/2006/relationships" ref="H720" r:id="rId710"/>
    <hyperlink xmlns:r="http://schemas.openxmlformats.org/officeDocument/2006/relationships" ref="H721" r:id="rId711"/>
    <hyperlink xmlns:r="http://schemas.openxmlformats.org/officeDocument/2006/relationships" ref="H722" r:id="rId712"/>
    <hyperlink xmlns:r="http://schemas.openxmlformats.org/officeDocument/2006/relationships" ref="H723" r:id="rId713"/>
    <hyperlink xmlns:r="http://schemas.openxmlformats.org/officeDocument/2006/relationships" ref="H724" r:id="rId714"/>
    <hyperlink xmlns:r="http://schemas.openxmlformats.org/officeDocument/2006/relationships" ref="H725" r:id="rId715"/>
    <hyperlink xmlns:r="http://schemas.openxmlformats.org/officeDocument/2006/relationships" ref="H726" r:id="rId716"/>
    <hyperlink xmlns:r="http://schemas.openxmlformats.org/officeDocument/2006/relationships" ref="H727" r:id="rId717"/>
    <hyperlink xmlns:r="http://schemas.openxmlformats.org/officeDocument/2006/relationships" ref="H728" r:id="rId718"/>
    <hyperlink xmlns:r="http://schemas.openxmlformats.org/officeDocument/2006/relationships" ref="H729" r:id="rId719"/>
    <hyperlink xmlns:r="http://schemas.openxmlformats.org/officeDocument/2006/relationships" ref="H730" r:id="rId720"/>
    <hyperlink xmlns:r="http://schemas.openxmlformats.org/officeDocument/2006/relationships" ref="H731" r:id="rId721"/>
    <hyperlink xmlns:r="http://schemas.openxmlformats.org/officeDocument/2006/relationships" ref="H732" r:id="rId722"/>
    <hyperlink xmlns:r="http://schemas.openxmlformats.org/officeDocument/2006/relationships" ref="H733" r:id="rId723"/>
    <hyperlink xmlns:r="http://schemas.openxmlformats.org/officeDocument/2006/relationships" ref="H734" r:id="rId724"/>
    <hyperlink xmlns:r="http://schemas.openxmlformats.org/officeDocument/2006/relationships" ref="H735" r:id="rId725"/>
    <hyperlink xmlns:r="http://schemas.openxmlformats.org/officeDocument/2006/relationships" ref="H736" r:id="rId726"/>
    <hyperlink xmlns:r="http://schemas.openxmlformats.org/officeDocument/2006/relationships" ref="H737" r:id="rId727"/>
    <hyperlink xmlns:r="http://schemas.openxmlformats.org/officeDocument/2006/relationships" ref="H738" r:id="rId728"/>
    <hyperlink xmlns:r="http://schemas.openxmlformats.org/officeDocument/2006/relationships" ref="H739" r:id="rId729"/>
    <hyperlink xmlns:r="http://schemas.openxmlformats.org/officeDocument/2006/relationships" ref="H740" r:id="rId730"/>
    <hyperlink xmlns:r="http://schemas.openxmlformats.org/officeDocument/2006/relationships" ref="H741" r:id="rId731"/>
    <hyperlink xmlns:r="http://schemas.openxmlformats.org/officeDocument/2006/relationships" ref="H742" r:id="rId732"/>
    <hyperlink xmlns:r="http://schemas.openxmlformats.org/officeDocument/2006/relationships" ref="H743" r:id="rId733"/>
    <hyperlink xmlns:r="http://schemas.openxmlformats.org/officeDocument/2006/relationships" ref="H744" r:id="rId734"/>
    <hyperlink xmlns:r="http://schemas.openxmlformats.org/officeDocument/2006/relationships" ref="H745" r:id="rId735"/>
    <hyperlink xmlns:r="http://schemas.openxmlformats.org/officeDocument/2006/relationships" ref="H746" r:id="rId736"/>
    <hyperlink xmlns:r="http://schemas.openxmlformats.org/officeDocument/2006/relationships" ref="H747" r:id="rId737"/>
    <hyperlink xmlns:r="http://schemas.openxmlformats.org/officeDocument/2006/relationships" ref="H748" r:id="rId738"/>
    <hyperlink xmlns:r="http://schemas.openxmlformats.org/officeDocument/2006/relationships" ref="H749" r:id="rId739"/>
    <hyperlink xmlns:r="http://schemas.openxmlformats.org/officeDocument/2006/relationships" ref="H750" r:id="rId740"/>
    <hyperlink xmlns:r="http://schemas.openxmlformats.org/officeDocument/2006/relationships" ref="H751" r:id="rId741"/>
    <hyperlink xmlns:r="http://schemas.openxmlformats.org/officeDocument/2006/relationships" ref="H752" r:id="rId742"/>
    <hyperlink xmlns:r="http://schemas.openxmlformats.org/officeDocument/2006/relationships" ref="H753" r:id="rId743"/>
    <hyperlink xmlns:r="http://schemas.openxmlformats.org/officeDocument/2006/relationships" ref="H754" r:id="rId744"/>
    <hyperlink xmlns:r="http://schemas.openxmlformats.org/officeDocument/2006/relationships" ref="H755" r:id="rId745"/>
    <hyperlink xmlns:r="http://schemas.openxmlformats.org/officeDocument/2006/relationships" ref="H756" r:id="rId746"/>
    <hyperlink xmlns:r="http://schemas.openxmlformats.org/officeDocument/2006/relationships" ref="H757" r:id="rId747"/>
    <hyperlink xmlns:r="http://schemas.openxmlformats.org/officeDocument/2006/relationships" ref="H758" r:id="rId748"/>
    <hyperlink xmlns:r="http://schemas.openxmlformats.org/officeDocument/2006/relationships" ref="H759" r:id="rId749"/>
    <hyperlink xmlns:r="http://schemas.openxmlformats.org/officeDocument/2006/relationships" ref="H760" r:id="rId750"/>
    <hyperlink xmlns:r="http://schemas.openxmlformats.org/officeDocument/2006/relationships" ref="H761" r:id="rId751"/>
    <hyperlink xmlns:r="http://schemas.openxmlformats.org/officeDocument/2006/relationships" ref="H762" r:id="rId752"/>
    <hyperlink xmlns:r="http://schemas.openxmlformats.org/officeDocument/2006/relationships" ref="H763" r:id="rId753"/>
    <hyperlink xmlns:r="http://schemas.openxmlformats.org/officeDocument/2006/relationships" ref="H764" r:id="rId754"/>
    <hyperlink xmlns:r="http://schemas.openxmlformats.org/officeDocument/2006/relationships" ref="H765" r:id="rId755"/>
    <hyperlink xmlns:r="http://schemas.openxmlformats.org/officeDocument/2006/relationships" ref="H766" r:id="rId756"/>
    <hyperlink xmlns:r="http://schemas.openxmlformats.org/officeDocument/2006/relationships" ref="H767" r:id="rId757"/>
    <hyperlink xmlns:r="http://schemas.openxmlformats.org/officeDocument/2006/relationships" ref="H768" r:id="rId758"/>
    <hyperlink xmlns:r="http://schemas.openxmlformats.org/officeDocument/2006/relationships" ref="H769" r:id="rId759"/>
    <hyperlink xmlns:r="http://schemas.openxmlformats.org/officeDocument/2006/relationships" ref="H770" r:id="rId760"/>
    <hyperlink xmlns:r="http://schemas.openxmlformats.org/officeDocument/2006/relationships" ref="H771" r:id="rId761"/>
    <hyperlink xmlns:r="http://schemas.openxmlformats.org/officeDocument/2006/relationships" ref="H772" r:id="rId762"/>
    <hyperlink xmlns:r="http://schemas.openxmlformats.org/officeDocument/2006/relationships" ref="H773" r:id="rId763"/>
    <hyperlink xmlns:r="http://schemas.openxmlformats.org/officeDocument/2006/relationships" ref="H774" r:id="rId764"/>
    <hyperlink xmlns:r="http://schemas.openxmlformats.org/officeDocument/2006/relationships" ref="H775" r:id="rId765"/>
    <hyperlink xmlns:r="http://schemas.openxmlformats.org/officeDocument/2006/relationships" ref="H776" r:id="rId766"/>
    <hyperlink xmlns:r="http://schemas.openxmlformats.org/officeDocument/2006/relationships" ref="H777" r:id="rId767"/>
    <hyperlink xmlns:r="http://schemas.openxmlformats.org/officeDocument/2006/relationships" ref="H778" r:id="rId768"/>
    <hyperlink xmlns:r="http://schemas.openxmlformats.org/officeDocument/2006/relationships" ref="H779" r:id="rId769"/>
    <hyperlink xmlns:r="http://schemas.openxmlformats.org/officeDocument/2006/relationships" ref="H780" r:id="rId770"/>
    <hyperlink xmlns:r="http://schemas.openxmlformats.org/officeDocument/2006/relationships" ref="H781" r:id="rId771"/>
    <hyperlink xmlns:r="http://schemas.openxmlformats.org/officeDocument/2006/relationships" ref="H782" r:id="rId772"/>
    <hyperlink xmlns:r="http://schemas.openxmlformats.org/officeDocument/2006/relationships" ref="H783" r:id="rId773"/>
    <hyperlink xmlns:r="http://schemas.openxmlformats.org/officeDocument/2006/relationships" ref="H784" r:id="rId774"/>
    <hyperlink xmlns:r="http://schemas.openxmlformats.org/officeDocument/2006/relationships" ref="H785" r:id="rId775"/>
    <hyperlink xmlns:r="http://schemas.openxmlformats.org/officeDocument/2006/relationships" ref="H786" r:id="rId776"/>
    <hyperlink xmlns:r="http://schemas.openxmlformats.org/officeDocument/2006/relationships" ref="H787" r:id="rId777"/>
    <hyperlink xmlns:r="http://schemas.openxmlformats.org/officeDocument/2006/relationships" ref="H788" r:id="rId778"/>
    <hyperlink xmlns:r="http://schemas.openxmlformats.org/officeDocument/2006/relationships" ref="H789" r:id="rId779"/>
    <hyperlink xmlns:r="http://schemas.openxmlformats.org/officeDocument/2006/relationships" ref="H790" r:id="rId780"/>
    <hyperlink xmlns:r="http://schemas.openxmlformats.org/officeDocument/2006/relationships" ref="H791" r:id="rId781"/>
    <hyperlink xmlns:r="http://schemas.openxmlformats.org/officeDocument/2006/relationships" ref="H792" r:id="rId782"/>
    <hyperlink xmlns:r="http://schemas.openxmlformats.org/officeDocument/2006/relationships" ref="H793" r:id="rId783"/>
    <hyperlink xmlns:r="http://schemas.openxmlformats.org/officeDocument/2006/relationships" ref="H794" r:id="rId784"/>
    <hyperlink xmlns:r="http://schemas.openxmlformats.org/officeDocument/2006/relationships" ref="H795" r:id="rId785"/>
    <hyperlink xmlns:r="http://schemas.openxmlformats.org/officeDocument/2006/relationships" ref="H796" r:id="rId786"/>
    <hyperlink xmlns:r="http://schemas.openxmlformats.org/officeDocument/2006/relationships" ref="H797" r:id="rId787"/>
    <hyperlink xmlns:r="http://schemas.openxmlformats.org/officeDocument/2006/relationships" ref="H798" r:id="rId788"/>
    <hyperlink xmlns:r="http://schemas.openxmlformats.org/officeDocument/2006/relationships" ref="H799" r:id="rId789"/>
    <hyperlink xmlns:r="http://schemas.openxmlformats.org/officeDocument/2006/relationships" ref="H800" r:id="rId790"/>
    <hyperlink xmlns:r="http://schemas.openxmlformats.org/officeDocument/2006/relationships" ref="H801" r:id="rId791"/>
    <hyperlink xmlns:r="http://schemas.openxmlformats.org/officeDocument/2006/relationships" ref="H802" r:id="rId792"/>
    <hyperlink xmlns:r="http://schemas.openxmlformats.org/officeDocument/2006/relationships" ref="H803" r:id="rId793"/>
    <hyperlink xmlns:r="http://schemas.openxmlformats.org/officeDocument/2006/relationships" ref="H804" r:id="rId794"/>
    <hyperlink xmlns:r="http://schemas.openxmlformats.org/officeDocument/2006/relationships" ref="H805" r:id="rId795"/>
    <hyperlink xmlns:r="http://schemas.openxmlformats.org/officeDocument/2006/relationships" ref="H806" r:id="rId796"/>
    <hyperlink xmlns:r="http://schemas.openxmlformats.org/officeDocument/2006/relationships" ref="H807" r:id="rId797"/>
    <hyperlink xmlns:r="http://schemas.openxmlformats.org/officeDocument/2006/relationships" ref="H808" r:id="rId798"/>
    <hyperlink xmlns:r="http://schemas.openxmlformats.org/officeDocument/2006/relationships" ref="H809" r:id="rId799"/>
    <hyperlink xmlns:r="http://schemas.openxmlformats.org/officeDocument/2006/relationships" ref="H810" r:id="rId800"/>
    <hyperlink xmlns:r="http://schemas.openxmlformats.org/officeDocument/2006/relationships" ref="H811" r:id="rId801"/>
    <hyperlink xmlns:r="http://schemas.openxmlformats.org/officeDocument/2006/relationships" ref="H812" r:id="rId802"/>
    <hyperlink xmlns:r="http://schemas.openxmlformats.org/officeDocument/2006/relationships" ref="H813" r:id="rId803"/>
    <hyperlink xmlns:r="http://schemas.openxmlformats.org/officeDocument/2006/relationships" ref="H814" r:id="rId804"/>
    <hyperlink xmlns:r="http://schemas.openxmlformats.org/officeDocument/2006/relationships" ref="H815" r:id="rId805"/>
    <hyperlink xmlns:r="http://schemas.openxmlformats.org/officeDocument/2006/relationships" ref="H816" r:id="rId806"/>
    <hyperlink xmlns:r="http://schemas.openxmlformats.org/officeDocument/2006/relationships" ref="H817" r:id="rId807"/>
    <hyperlink xmlns:r="http://schemas.openxmlformats.org/officeDocument/2006/relationships" ref="H818" r:id="rId808"/>
    <hyperlink xmlns:r="http://schemas.openxmlformats.org/officeDocument/2006/relationships" ref="H819" r:id="rId809"/>
    <hyperlink xmlns:r="http://schemas.openxmlformats.org/officeDocument/2006/relationships" ref="H820" r:id="rId810"/>
    <hyperlink xmlns:r="http://schemas.openxmlformats.org/officeDocument/2006/relationships" ref="H821" r:id="rId811"/>
    <hyperlink xmlns:r="http://schemas.openxmlformats.org/officeDocument/2006/relationships" ref="H822" r:id="rId812"/>
    <hyperlink xmlns:r="http://schemas.openxmlformats.org/officeDocument/2006/relationships" ref="H823" r:id="rId813"/>
    <hyperlink xmlns:r="http://schemas.openxmlformats.org/officeDocument/2006/relationships" ref="H824" r:id="rId814"/>
    <hyperlink xmlns:r="http://schemas.openxmlformats.org/officeDocument/2006/relationships" ref="H825" r:id="rId815"/>
    <hyperlink xmlns:r="http://schemas.openxmlformats.org/officeDocument/2006/relationships" ref="H826" r:id="rId816"/>
    <hyperlink xmlns:r="http://schemas.openxmlformats.org/officeDocument/2006/relationships" ref="H827" r:id="rId817"/>
    <hyperlink xmlns:r="http://schemas.openxmlformats.org/officeDocument/2006/relationships" ref="H828" r:id="rId818"/>
    <hyperlink xmlns:r="http://schemas.openxmlformats.org/officeDocument/2006/relationships" ref="H829" r:id="rId819"/>
    <hyperlink xmlns:r="http://schemas.openxmlformats.org/officeDocument/2006/relationships" ref="H830" r:id="rId820"/>
    <hyperlink xmlns:r="http://schemas.openxmlformats.org/officeDocument/2006/relationships" ref="H831" r:id="rId821"/>
    <hyperlink xmlns:r="http://schemas.openxmlformats.org/officeDocument/2006/relationships" ref="H832" r:id="rId822"/>
    <hyperlink xmlns:r="http://schemas.openxmlformats.org/officeDocument/2006/relationships" ref="H833" r:id="rId823"/>
    <hyperlink xmlns:r="http://schemas.openxmlformats.org/officeDocument/2006/relationships" ref="H834" r:id="rId824"/>
    <hyperlink xmlns:r="http://schemas.openxmlformats.org/officeDocument/2006/relationships" ref="H835" r:id="rId825"/>
    <hyperlink xmlns:r="http://schemas.openxmlformats.org/officeDocument/2006/relationships" ref="H836" r:id="rId826"/>
    <hyperlink xmlns:r="http://schemas.openxmlformats.org/officeDocument/2006/relationships" ref="H837" r:id="rId827"/>
    <hyperlink xmlns:r="http://schemas.openxmlformats.org/officeDocument/2006/relationships" ref="H838" r:id="rId828"/>
    <hyperlink xmlns:r="http://schemas.openxmlformats.org/officeDocument/2006/relationships" ref="H839" r:id="rId829"/>
    <hyperlink xmlns:r="http://schemas.openxmlformats.org/officeDocument/2006/relationships" ref="H840" r:id="rId830"/>
    <hyperlink xmlns:r="http://schemas.openxmlformats.org/officeDocument/2006/relationships" ref="H841" r:id="rId831"/>
    <hyperlink xmlns:r="http://schemas.openxmlformats.org/officeDocument/2006/relationships" ref="H842" r:id="rId832"/>
    <hyperlink xmlns:r="http://schemas.openxmlformats.org/officeDocument/2006/relationships" ref="H843" r:id="rId833"/>
    <hyperlink xmlns:r="http://schemas.openxmlformats.org/officeDocument/2006/relationships" ref="H844" r:id="rId834"/>
    <hyperlink xmlns:r="http://schemas.openxmlformats.org/officeDocument/2006/relationships" ref="H845" r:id="rId835"/>
    <hyperlink xmlns:r="http://schemas.openxmlformats.org/officeDocument/2006/relationships" ref="H846" r:id="rId836"/>
    <hyperlink xmlns:r="http://schemas.openxmlformats.org/officeDocument/2006/relationships" ref="H847" r:id="rId837"/>
    <hyperlink xmlns:r="http://schemas.openxmlformats.org/officeDocument/2006/relationships" ref="H848" r:id="rId838"/>
    <hyperlink xmlns:r="http://schemas.openxmlformats.org/officeDocument/2006/relationships" ref="H849" r:id="rId839"/>
    <hyperlink xmlns:r="http://schemas.openxmlformats.org/officeDocument/2006/relationships" ref="H850" r:id="rId840"/>
    <hyperlink xmlns:r="http://schemas.openxmlformats.org/officeDocument/2006/relationships" ref="H851" r:id="rId841"/>
    <hyperlink xmlns:r="http://schemas.openxmlformats.org/officeDocument/2006/relationships" ref="H852" r:id="rId842"/>
    <hyperlink xmlns:r="http://schemas.openxmlformats.org/officeDocument/2006/relationships" ref="H853" r:id="rId843"/>
    <hyperlink xmlns:r="http://schemas.openxmlformats.org/officeDocument/2006/relationships" ref="H854" r:id="rId844"/>
    <hyperlink xmlns:r="http://schemas.openxmlformats.org/officeDocument/2006/relationships" ref="H855" r:id="rId845"/>
    <hyperlink xmlns:r="http://schemas.openxmlformats.org/officeDocument/2006/relationships" ref="H856" r:id="rId846"/>
    <hyperlink xmlns:r="http://schemas.openxmlformats.org/officeDocument/2006/relationships" ref="H857" r:id="rId847"/>
    <hyperlink xmlns:r="http://schemas.openxmlformats.org/officeDocument/2006/relationships" ref="H858" r:id="rId848"/>
    <hyperlink xmlns:r="http://schemas.openxmlformats.org/officeDocument/2006/relationships" ref="H859" r:id="rId849"/>
    <hyperlink xmlns:r="http://schemas.openxmlformats.org/officeDocument/2006/relationships" ref="H860" r:id="rId850"/>
    <hyperlink xmlns:r="http://schemas.openxmlformats.org/officeDocument/2006/relationships" ref="H861" r:id="rId851"/>
    <hyperlink xmlns:r="http://schemas.openxmlformats.org/officeDocument/2006/relationships" ref="H862" r:id="rId852"/>
    <hyperlink xmlns:r="http://schemas.openxmlformats.org/officeDocument/2006/relationships" ref="H863" r:id="rId853"/>
    <hyperlink xmlns:r="http://schemas.openxmlformats.org/officeDocument/2006/relationships" ref="H864" r:id="rId854"/>
    <hyperlink xmlns:r="http://schemas.openxmlformats.org/officeDocument/2006/relationships" ref="H865" r:id="rId855"/>
    <hyperlink xmlns:r="http://schemas.openxmlformats.org/officeDocument/2006/relationships" ref="H866" r:id="rId856"/>
    <hyperlink xmlns:r="http://schemas.openxmlformats.org/officeDocument/2006/relationships" ref="H867" r:id="rId857"/>
    <hyperlink xmlns:r="http://schemas.openxmlformats.org/officeDocument/2006/relationships" ref="H868" r:id="rId858"/>
    <hyperlink xmlns:r="http://schemas.openxmlformats.org/officeDocument/2006/relationships" ref="H869" r:id="rId859"/>
    <hyperlink xmlns:r="http://schemas.openxmlformats.org/officeDocument/2006/relationships" ref="H870" r:id="rId860"/>
    <hyperlink xmlns:r="http://schemas.openxmlformats.org/officeDocument/2006/relationships" ref="H871" r:id="rId861"/>
    <hyperlink xmlns:r="http://schemas.openxmlformats.org/officeDocument/2006/relationships" ref="H872" r:id="rId862"/>
    <hyperlink xmlns:r="http://schemas.openxmlformats.org/officeDocument/2006/relationships" ref="H873" r:id="rId863"/>
    <hyperlink xmlns:r="http://schemas.openxmlformats.org/officeDocument/2006/relationships" ref="H874" r:id="rId864"/>
    <hyperlink xmlns:r="http://schemas.openxmlformats.org/officeDocument/2006/relationships" ref="H875" r:id="rId865"/>
    <hyperlink xmlns:r="http://schemas.openxmlformats.org/officeDocument/2006/relationships" ref="H876" r:id="rId866"/>
    <hyperlink xmlns:r="http://schemas.openxmlformats.org/officeDocument/2006/relationships" ref="H877" r:id="rId867"/>
    <hyperlink xmlns:r="http://schemas.openxmlformats.org/officeDocument/2006/relationships" ref="H878" r:id="rId868"/>
    <hyperlink xmlns:r="http://schemas.openxmlformats.org/officeDocument/2006/relationships" ref="H879" r:id="rId869"/>
    <hyperlink xmlns:r="http://schemas.openxmlformats.org/officeDocument/2006/relationships" ref="H880" r:id="rId870"/>
    <hyperlink xmlns:r="http://schemas.openxmlformats.org/officeDocument/2006/relationships" ref="H881" r:id="rId871"/>
    <hyperlink xmlns:r="http://schemas.openxmlformats.org/officeDocument/2006/relationships" ref="H882" r:id="rId872"/>
    <hyperlink xmlns:r="http://schemas.openxmlformats.org/officeDocument/2006/relationships" ref="H883" r:id="rId873"/>
    <hyperlink xmlns:r="http://schemas.openxmlformats.org/officeDocument/2006/relationships" ref="H884" r:id="rId874"/>
    <hyperlink xmlns:r="http://schemas.openxmlformats.org/officeDocument/2006/relationships" ref="H885" r:id="rId875"/>
    <hyperlink xmlns:r="http://schemas.openxmlformats.org/officeDocument/2006/relationships" ref="H886" r:id="rId876"/>
    <hyperlink xmlns:r="http://schemas.openxmlformats.org/officeDocument/2006/relationships" ref="H887" r:id="rId877"/>
    <hyperlink xmlns:r="http://schemas.openxmlformats.org/officeDocument/2006/relationships" ref="H888" r:id="rId878"/>
    <hyperlink xmlns:r="http://schemas.openxmlformats.org/officeDocument/2006/relationships" ref="H889" r:id="rId879"/>
    <hyperlink xmlns:r="http://schemas.openxmlformats.org/officeDocument/2006/relationships" ref="H890" r:id="rId880"/>
    <hyperlink xmlns:r="http://schemas.openxmlformats.org/officeDocument/2006/relationships" ref="H891" r:id="rId881"/>
    <hyperlink xmlns:r="http://schemas.openxmlformats.org/officeDocument/2006/relationships" ref="H892" r:id="rId882"/>
    <hyperlink xmlns:r="http://schemas.openxmlformats.org/officeDocument/2006/relationships" ref="H893" r:id="rId883"/>
    <hyperlink xmlns:r="http://schemas.openxmlformats.org/officeDocument/2006/relationships" ref="H894" r:id="rId884"/>
    <hyperlink xmlns:r="http://schemas.openxmlformats.org/officeDocument/2006/relationships" ref="H895" r:id="rId885"/>
    <hyperlink xmlns:r="http://schemas.openxmlformats.org/officeDocument/2006/relationships" ref="H896" r:id="rId886"/>
    <hyperlink xmlns:r="http://schemas.openxmlformats.org/officeDocument/2006/relationships" ref="H897" r:id="rId887"/>
    <hyperlink xmlns:r="http://schemas.openxmlformats.org/officeDocument/2006/relationships" ref="H898" r:id="rId888"/>
    <hyperlink xmlns:r="http://schemas.openxmlformats.org/officeDocument/2006/relationships" ref="H899" r:id="rId889"/>
    <hyperlink xmlns:r="http://schemas.openxmlformats.org/officeDocument/2006/relationships" ref="H900" r:id="rId890"/>
    <hyperlink xmlns:r="http://schemas.openxmlformats.org/officeDocument/2006/relationships" ref="H901" r:id="rId891"/>
    <hyperlink xmlns:r="http://schemas.openxmlformats.org/officeDocument/2006/relationships" ref="H902" r:id="rId892"/>
    <hyperlink xmlns:r="http://schemas.openxmlformats.org/officeDocument/2006/relationships" ref="H903" r:id="rId893"/>
    <hyperlink xmlns:r="http://schemas.openxmlformats.org/officeDocument/2006/relationships" ref="H904" r:id="rId894"/>
    <hyperlink xmlns:r="http://schemas.openxmlformats.org/officeDocument/2006/relationships" ref="H905" r:id="rId895"/>
    <hyperlink xmlns:r="http://schemas.openxmlformats.org/officeDocument/2006/relationships" ref="H906" r:id="rId896"/>
    <hyperlink xmlns:r="http://schemas.openxmlformats.org/officeDocument/2006/relationships" ref="H907" r:id="rId897"/>
    <hyperlink xmlns:r="http://schemas.openxmlformats.org/officeDocument/2006/relationships" ref="H908" r:id="rId898"/>
    <hyperlink xmlns:r="http://schemas.openxmlformats.org/officeDocument/2006/relationships" ref="H909" r:id="rId899"/>
    <hyperlink xmlns:r="http://schemas.openxmlformats.org/officeDocument/2006/relationships" ref="H910" r:id="rId900"/>
    <hyperlink xmlns:r="http://schemas.openxmlformats.org/officeDocument/2006/relationships" ref="H911" r:id="rId901"/>
    <hyperlink xmlns:r="http://schemas.openxmlformats.org/officeDocument/2006/relationships" ref="H912" r:id="rId902"/>
    <hyperlink xmlns:r="http://schemas.openxmlformats.org/officeDocument/2006/relationships" ref="H913" r:id="rId903"/>
    <hyperlink xmlns:r="http://schemas.openxmlformats.org/officeDocument/2006/relationships" ref="H914" r:id="rId904"/>
    <hyperlink xmlns:r="http://schemas.openxmlformats.org/officeDocument/2006/relationships" ref="H915" r:id="rId905"/>
    <hyperlink xmlns:r="http://schemas.openxmlformats.org/officeDocument/2006/relationships" ref="H916" r:id="rId906"/>
    <hyperlink xmlns:r="http://schemas.openxmlformats.org/officeDocument/2006/relationships" ref="H917" r:id="rId907"/>
    <hyperlink xmlns:r="http://schemas.openxmlformats.org/officeDocument/2006/relationships" ref="H918" r:id="rId908"/>
    <hyperlink xmlns:r="http://schemas.openxmlformats.org/officeDocument/2006/relationships" ref="H919" r:id="rId909"/>
    <hyperlink xmlns:r="http://schemas.openxmlformats.org/officeDocument/2006/relationships" ref="H920" r:id="rId910"/>
    <hyperlink xmlns:r="http://schemas.openxmlformats.org/officeDocument/2006/relationships" ref="H921" r:id="rId911"/>
    <hyperlink xmlns:r="http://schemas.openxmlformats.org/officeDocument/2006/relationships" ref="H922" r:id="rId912"/>
    <hyperlink xmlns:r="http://schemas.openxmlformats.org/officeDocument/2006/relationships" ref="H923" r:id="rId913"/>
    <hyperlink xmlns:r="http://schemas.openxmlformats.org/officeDocument/2006/relationships" ref="H924" r:id="rId914"/>
    <hyperlink xmlns:r="http://schemas.openxmlformats.org/officeDocument/2006/relationships" ref="H925" r:id="rId915"/>
    <hyperlink xmlns:r="http://schemas.openxmlformats.org/officeDocument/2006/relationships" ref="H926" r:id="rId916"/>
    <hyperlink xmlns:r="http://schemas.openxmlformats.org/officeDocument/2006/relationships" ref="H927" r:id="rId917"/>
    <hyperlink xmlns:r="http://schemas.openxmlformats.org/officeDocument/2006/relationships" ref="H928" r:id="rId918"/>
    <hyperlink xmlns:r="http://schemas.openxmlformats.org/officeDocument/2006/relationships" ref="H929" r:id="rId919"/>
    <hyperlink xmlns:r="http://schemas.openxmlformats.org/officeDocument/2006/relationships" ref="H930" r:id="rId920"/>
    <hyperlink xmlns:r="http://schemas.openxmlformats.org/officeDocument/2006/relationships" ref="H931" r:id="rId921"/>
    <hyperlink xmlns:r="http://schemas.openxmlformats.org/officeDocument/2006/relationships" ref="H932" r:id="rId922"/>
    <hyperlink xmlns:r="http://schemas.openxmlformats.org/officeDocument/2006/relationships" ref="H933" r:id="rId923"/>
    <hyperlink xmlns:r="http://schemas.openxmlformats.org/officeDocument/2006/relationships" ref="H934" r:id="rId924"/>
    <hyperlink xmlns:r="http://schemas.openxmlformats.org/officeDocument/2006/relationships" ref="H935" r:id="rId925"/>
    <hyperlink xmlns:r="http://schemas.openxmlformats.org/officeDocument/2006/relationships" ref="H936" r:id="rId926"/>
    <hyperlink xmlns:r="http://schemas.openxmlformats.org/officeDocument/2006/relationships" ref="H937" r:id="rId927"/>
    <hyperlink xmlns:r="http://schemas.openxmlformats.org/officeDocument/2006/relationships" ref="H938" r:id="rId928"/>
    <hyperlink xmlns:r="http://schemas.openxmlformats.org/officeDocument/2006/relationships" ref="H939" r:id="rId929"/>
    <hyperlink xmlns:r="http://schemas.openxmlformats.org/officeDocument/2006/relationships" ref="H940" r:id="rId930"/>
    <hyperlink xmlns:r="http://schemas.openxmlformats.org/officeDocument/2006/relationships" ref="H941" r:id="rId931"/>
    <hyperlink xmlns:r="http://schemas.openxmlformats.org/officeDocument/2006/relationships" ref="H942" r:id="rId932"/>
    <hyperlink xmlns:r="http://schemas.openxmlformats.org/officeDocument/2006/relationships" ref="H943" r:id="rId933"/>
    <hyperlink xmlns:r="http://schemas.openxmlformats.org/officeDocument/2006/relationships" ref="H944" r:id="rId934"/>
    <hyperlink xmlns:r="http://schemas.openxmlformats.org/officeDocument/2006/relationships" ref="H945" r:id="rId935"/>
    <hyperlink xmlns:r="http://schemas.openxmlformats.org/officeDocument/2006/relationships" ref="H946" r:id="rId936"/>
    <hyperlink xmlns:r="http://schemas.openxmlformats.org/officeDocument/2006/relationships" ref="H947" r:id="rId937"/>
    <hyperlink xmlns:r="http://schemas.openxmlformats.org/officeDocument/2006/relationships" ref="H948" r:id="rId938"/>
    <hyperlink xmlns:r="http://schemas.openxmlformats.org/officeDocument/2006/relationships" ref="H949" r:id="rId939"/>
    <hyperlink xmlns:r="http://schemas.openxmlformats.org/officeDocument/2006/relationships" ref="H950" r:id="rId940"/>
    <hyperlink xmlns:r="http://schemas.openxmlformats.org/officeDocument/2006/relationships" ref="H951" r:id="rId941"/>
    <hyperlink xmlns:r="http://schemas.openxmlformats.org/officeDocument/2006/relationships" ref="H952" r:id="rId942"/>
    <hyperlink xmlns:r="http://schemas.openxmlformats.org/officeDocument/2006/relationships" ref="H953" r:id="rId943"/>
    <hyperlink xmlns:r="http://schemas.openxmlformats.org/officeDocument/2006/relationships" ref="H954" r:id="rId944"/>
    <hyperlink xmlns:r="http://schemas.openxmlformats.org/officeDocument/2006/relationships" ref="H955" r:id="rId945"/>
    <hyperlink xmlns:r="http://schemas.openxmlformats.org/officeDocument/2006/relationships" ref="H956" r:id="rId946"/>
    <hyperlink xmlns:r="http://schemas.openxmlformats.org/officeDocument/2006/relationships" ref="H957" r:id="rId947"/>
    <hyperlink xmlns:r="http://schemas.openxmlformats.org/officeDocument/2006/relationships" ref="H958" r:id="rId948"/>
    <hyperlink xmlns:r="http://schemas.openxmlformats.org/officeDocument/2006/relationships" ref="H959" r:id="rId949"/>
    <hyperlink xmlns:r="http://schemas.openxmlformats.org/officeDocument/2006/relationships" ref="H960" r:id="rId950"/>
    <hyperlink xmlns:r="http://schemas.openxmlformats.org/officeDocument/2006/relationships" ref="H961" r:id="rId951"/>
    <hyperlink xmlns:r="http://schemas.openxmlformats.org/officeDocument/2006/relationships" ref="H962" r:id="rId952"/>
    <hyperlink xmlns:r="http://schemas.openxmlformats.org/officeDocument/2006/relationships" ref="H963" r:id="rId953"/>
    <hyperlink xmlns:r="http://schemas.openxmlformats.org/officeDocument/2006/relationships" ref="H964" r:id="rId954"/>
    <hyperlink xmlns:r="http://schemas.openxmlformats.org/officeDocument/2006/relationships" ref="H965" r:id="rId955"/>
    <hyperlink xmlns:r="http://schemas.openxmlformats.org/officeDocument/2006/relationships" ref="H966" r:id="rId956"/>
    <hyperlink xmlns:r="http://schemas.openxmlformats.org/officeDocument/2006/relationships" ref="H967" r:id="rId957"/>
    <hyperlink xmlns:r="http://schemas.openxmlformats.org/officeDocument/2006/relationships" ref="H968" r:id="rId958"/>
    <hyperlink xmlns:r="http://schemas.openxmlformats.org/officeDocument/2006/relationships" ref="H969" r:id="rId959"/>
    <hyperlink xmlns:r="http://schemas.openxmlformats.org/officeDocument/2006/relationships" ref="H970" r:id="rId960"/>
    <hyperlink xmlns:r="http://schemas.openxmlformats.org/officeDocument/2006/relationships" ref="H971" r:id="rId961"/>
    <hyperlink xmlns:r="http://schemas.openxmlformats.org/officeDocument/2006/relationships" ref="H972" r:id="rId962"/>
    <hyperlink xmlns:r="http://schemas.openxmlformats.org/officeDocument/2006/relationships" ref="H973" r:id="rId963"/>
    <hyperlink xmlns:r="http://schemas.openxmlformats.org/officeDocument/2006/relationships" ref="H974" r:id="rId964"/>
    <hyperlink xmlns:r="http://schemas.openxmlformats.org/officeDocument/2006/relationships" ref="H975" r:id="rId965"/>
    <hyperlink xmlns:r="http://schemas.openxmlformats.org/officeDocument/2006/relationships" ref="H976" r:id="rId966"/>
    <hyperlink xmlns:r="http://schemas.openxmlformats.org/officeDocument/2006/relationships" ref="H977" r:id="rId967"/>
    <hyperlink xmlns:r="http://schemas.openxmlformats.org/officeDocument/2006/relationships" ref="H978" r:id="rId968"/>
    <hyperlink xmlns:r="http://schemas.openxmlformats.org/officeDocument/2006/relationships" ref="H979" r:id="rId969"/>
    <hyperlink xmlns:r="http://schemas.openxmlformats.org/officeDocument/2006/relationships" ref="H980" r:id="rId970"/>
    <hyperlink xmlns:r="http://schemas.openxmlformats.org/officeDocument/2006/relationships" ref="H981" r:id="rId971"/>
    <hyperlink xmlns:r="http://schemas.openxmlformats.org/officeDocument/2006/relationships" ref="H982" r:id="rId972"/>
    <hyperlink xmlns:r="http://schemas.openxmlformats.org/officeDocument/2006/relationships" ref="H983" r:id="rId973"/>
    <hyperlink xmlns:r="http://schemas.openxmlformats.org/officeDocument/2006/relationships" ref="H984" r:id="rId974"/>
    <hyperlink xmlns:r="http://schemas.openxmlformats.org/officeDocument/2006/relationships" ref="H985" r:id="rId975"/>
    <hyperlink xmlns:r="http://schemas.openxmlformats.org/officeDocument/2006/relationships" ref="H986" r:id="rId976"/>
    <hyperlink xmlns:r="http://schemas.openxmlformats.org/officeDocument/2006/relationships" ref="H987" r:id="rId977"/>
    <hyperlink xmlns:r="http://schemas.openxmlformats.org/officeDocument/2006/relationships" ref="H988" r:id="rId978"/>
    <hyperlink xmlns:r="http://schemas.openxmlformats.org/officeDocument/2006/relationships" ref="H989" r:id="rId979"/>
    <hyperlink xmlns:r="http://schemas.openxmlformats.org/officeDocument/2006/relationships" ref="H990" r:id="rId980"/>
    <hyperlink xmlns:r="http://schemas.openxmlformats.org/officeDocument/2006/relationships" ref="H991" r:id="rId981"/>
    <hyperlink xmlns:r="http://schemas.openxmlformats.org/officeDocument/2006/relationships" ref="H992" r:id="rId982"/>
    <hyperlink xmlns:r="http://schemas.openxmlformats.org/officeDocument/2006/relationships" ref="H993" r:id="rId983"/>
    <hyperlink xmlns:r="http://schemas.openxmlformats.org/officeDocument/2006/relationships" ref="H994" r:id="rId984"/>
    <hyperlink xmlns:r="http://schemas.openxmlformats.org/officeDocument/2006/relationships" ref="H995" r:id="rId985"/>
    <hyperlink xmlns:r="http://schemas.openxmlformats.org/officeDocument/2006/relationships" ref="H996" r:id="rId986"/>
    <hyperlink xmlns:r="http://schemas.openxmlformats.org/officeDocument/2006/relationships" ref="H997" r:id="rId987"/>
    <hyperlink xmlns:r="http://schemas.openxmlformats.org/officeDocument/2006/relationships" ref="H998" r:id="rId988"/>
    <hyperlink xmlns:r="http://schemas.openxmlformats.org/officeDocument/2006/relationships" ref="H999" r:id="rId989"/>
    <hyperlink xmlns:r="http://schemas.openxmlformats.org/officeDocument/2006/relationships" ref="H1000" r:id="rId990"/>
    <hyperlink xmlns:r="http://schemas.openxmlformats.org/officeDocument/2006/relationships" ref="H1001" r:id="rId991"/>
    <hyperlink xmlns:r="http://schemas.openxmlformats.org/officeDocument/2006/relationships" ref="H1002" r:id="rId992"/>
    <hyperlink xmlns:r="http://schemas.openxmlformats.org/officeDocument/2006/relationships" ref="H1003" r:id="rId993"/>
    <hyperlink xmlns:r="http://schemas.openxmlformats.org/officeDocument/2006/relationships" ref="H1004" r:id="rId994"/>
    <hyperlink xmlns:r="http://schemas.openxmlformats.org/officeDocument/2006/relationships" ref="H1005" r:id="rId995"/>
    <hyperlink xmlns:r="http://schemas.openxmlformats.org/officeDocument/2006/relationships" ref="H1006" r:id="rId996"/>
    <hyperlink xmlns:r="http://schemas.openxmlformats.org/officeDocument/2006/relationships" ref="H1007" r:id="rId997"/>
    <hyperlink xmlns:r="http://schemas.openxmlformats.org/officeDocument/2006/relationships" ref="H1008" r:id="rId998"/>
    <hyperlink xmlns:r="http://schemas.openxmlformats.org/officeDocument/2006/relationships" ref="H1009" r:id="rId999"/>
    <hyperlink xmlns:r="http://schemas.openxmlformats.org/officeDocument/2006/relationships" ref="H1010" r:id="rId1000"/>
    <hyperlink xmlns:r="http://schemas.openxmlformats.org/officeDocument/2006/relationships" ref="H1011" r:id="rId1001"/>
    <hyperlink xmlns:r="http://schemas.openxmlformats.org/officeDocument/2006/relationships" ref="H1012" r:id="rId1002"/>
    <hyperlink xmlns:r="http://schemas.openxmlformats.org/officeDocument/2006/relationships" ref="H1013" r:id="rId1003"/>
    <hyperlink xmlns:r="http://schemas.openxmlformats.org/officeDocument/2006/relationships" ref="H1014" r:id="rId1004"/>
    <hyperlink xmlns:r="http://schemas.openxmlformats.org/officeDocument/2006/relationships" ref="H1015" r:id="rId1005"/>
    <hyperlink xmlns:r="http://schemas.openxmlformats.org/officeDocument/2006/relationships" ref="H1016" r:id="rId1006"/>
    <hyperlink xmlns:r="http://schemas.openxmlformats.org/officeDocument/2006/relationships" ref="H1017" r:id="rId1007"/>
    <hyperlink xmlns:r="http://schemas.openxmlformats.org/officeDocument/2006/relationships" ref="H1018" r:id="rId1008"/>
    <hyperlink xmlns:r="http://schemas.openxmlformats.org/officeDocument/2006/relationships" ref="H1019" r:id="rId1009"/>
    <hyperlink xmlns:r="http://schemas.openxmlformats.org/officeDocument/2006/relationships" ref="H1020" r:id="rId1010"/>
    <hyperlink xmlns:r="http://schemas.openxmlformats.org/officeDocument/2006/relationships" ref="H1021" r:id="rId1011"/>
    <hyperlink xmlns:r="http://schemas.openxmlformats.org/officeDocument/2006/relationships" ref="H1022" r:id="rId1012"/>
    <hyperlink xmlns:r="http://schemas.openxmlformats.org/officeDocument/2006/relationships" ref="H1023" r:id="rId1013"/>
    <hyperlink xmlns:r="http://schemas.openxmlformats.org/officeDocument/2006/relationships" ref="H1024" r:id="rId1014"/>
    <hyperlink xmlns:r="http://schemas.openxmlformats.org/officeDocument/2006/relationships" ref="H1025" r:id="rId1015"/>
    <hyperlink xmlns:r="http://schemas.openxmlformats.org/officeDocument/2006/relationships" ref="H1026" r:id="rId1016"/>
    <hyperlink xmlns:r="http://schemas.openxmlformats.org/officeDocument/2006/relationships" ref="H1027" r:id="rId1017"/>
    <hyperlink xmlns:r="http://schemas.openxmlformats.org/officeDocument/2006/relationships" ref="H1028" r:id="rId1018"/>
    <hyperlink xmlns:r="http://schemas.openxmlformats.org/officeDocument/2006/relationships" ref="H1029" r:id="rId1019"/>
    <hyperlink xmlns:r="http://schemas.openxmlformats.org/officeDocument/2006/relationships" ref="H1030" r:id="rId1020"/>
    <hyperlink xmlns:r="http://schemas.openxmlformats.org/officeDocument/2006/relationships" ref="H1031" r:id="rId1021"/>
    <hyperlink xmlns:r="http://schemas.openxmlformats.org/officeDocument/2006/relationships" ref="H1032" r:id="rId1022"/>
    <hyperlink xmlns:r="http://schemas.openxmlformats.org/officeDocument/2006/relationships" ref="H1033" r:id="rId1023"/>
    <hyperlink xmlns:r="http://schemas.openxmlformats.org/officeDocument/2006/relationships" ref="H1034" r:id="rId1024"/>
    <hyperlink xmlns:r="http://schemas.openxmlformats.org/officeDocument/2006/relationships" ref="H1035" r:id="rId1025"/>
    <hyperlink xmlns:r="http://schemas.openxmlformats.org/officeDocument/2006/relationships" ref="H1036" r:id="rId1026"/>
    <hyperlink xmlns:r="http://schemas.openxmlformats.org/officeDocument/2006/relationships" ref="H1037" r:id="rId1027"/>
    <hyperlink xmlns:r="http://schemas.openxmlformats.org/officeDocument/2006/relationships" ref="H1038" r:id="rId1028"/>
    <hyperlink xmlns:r="http://schemas.openxmlformats.org/officeDocument/2006/relationships" ref="H1039" r:id="rId1029"/>
    <hyperlink xmlns:r="http://schemas.openxmlformats.org/officeDocument/2006/relationships" ref="H1040" r:id="rId1030"/>
    <hyperlink xmlns:r="http://schemas.openxmlformats.org/officeDocument/2006/relationships" ref="H1041" r:id="rId1031"/>
    <hyperlink xmlns:r="http://schemas.openxmlformats.org/officeDocument/2006/relationships" ref="H1042" r:id="rId1032"/>
    <hyperlink xmlns:r="http://schemas.openxmlformats.org/officeDocument/2006/relationships" ref="H1043" r:id="rId1033"/>
    <hyperlink xmlns:r="http://schemas.openxmlformats.org/officeDocument/2006/relationships" ref="H1044" r:id="rId1034"/>
    <hyperlink xmlns:r="http://schemas.openxmlformats.org/officeDocument/2006/relationships" ref="H1045" r:id="rId1035"/>
    <hyperlink xmlns:r="http://schemas.openxmlformats.org/officeDocument/2006/relationships" ref="H1046" r:id="rId1036"/>
    <hyperlink xmlns:r="http://schemas.openxmlformats.org/officeDocument/2006/relationships" ref="H1047" r:id="rId1037"/>
    <hyperlink xmlns:r="http://schemas.openxmlformats.org/officeDocument/2006/relationships" ref="H1048" r:id="rId1038"/>
    <hyperlink xmlns:r="http://schemas.openxmlformats.org/officeDocument/2006/relationships" ref="H1049" r:id="rId1039"/>
    <hyperlink xmlns:r="http://schemas.openxmlformats.org/officeDocument/2006/relationships" ref="H1050" r:id="rId1040"/>
    <hyperlink xmlns:r="http://schemas.openxmlformats.org/officeDocument/2006/relationships" ref="H1051" r:id="rId1041"/>
    <hyperlink xmlns:r="http://schemas.openxmlformats.org/officeDocument/2006/relationships" ref="H1052" r:id="rId1042"/>
    <hyperlink xmlns:r="http://schemas.openxmlformats.org/officeDocument/2006/relationships" ref="H1053" r:id="rId1043"/>
    <hyperlink xmlns:r="http://schemas.openxmlformats.org/officeDocument/2006/relationships" ref="H1054" r:id="rId1044"/>
    <hyperlink xmlns:r="http://schemas.openxmlformats.org/officeDocument/2006/relationships" ref="H1055" r:id="rId1045"/>
    <hyperlink xmlns:r="http://schemas.openxmlformats.org/officeDocument/2006/relationships" ref="H1056" r:id="rId1046"/>
    <hyperlink xmlns:r="http://schemas.openxmlformats.org/officeDocument/2006/relationships" ref="H1057" r:id="rId1047"/>
    <hyperlink xmlns:r="http://schemas.openxmlformats.org/officeDocument/2006/relationships" ref="H1058" r:id="rId1048"/>
    <hyperlink xmlns:r="http://schemas.openxmlformats.org/officeDocument/2006/relationships" ref="H1059" r:id="rId1049"/>
    <hyperlink xmlns:r="http://schemas.openxmlformats.org/officeDocument/2006/relationships" ref="H1060" r:id="rId1050"/>
    <hyperlink xmlns:r="http://schemas.openxmlformats.org/officeDocument/2006/relationships" ref="H1061" r:id="rId1051"/>
    <hyperlink xmlns:r="http://schemas.openxmlformats.org/officeDocument/2006/relationships" ref="H1062" r:id="rId1052"/>
    <hyperlink xmlns:r="http://schemas.openxmlformats.org/officeDocument/2006/relationships" ref="H1063" r:id="rId1053"/>
    <hyperlink xmlns:r="http://schemas.openxmlformats.org/officeDocument/2006/relationships" ref="H1064" r:id="rId1054"/>
    <hyperlink xmlns:r="http://schemas.openxmlformats.org/officeDocument/2006/relationships" ref="H1065" r:id="rId1055"/>
    <hyperlink xmlns:r="http://schemas.openxmlformats.org/officeDocument/2006/relationships" ref="H1066" r:id="rId1056"/>
    <hyperlink xmlns:r="http://schemas.openxmlformats.org/officeDocument/2006/relationships" ref="H1067" r:id="rId1057"/>
    <hyperlink xmlns:r="http://schemas.openxmlformats.org/officeDocument/2006/relationships" ref="H1068" r:id="rId1058"/>
    <hyperlink xmlns:r="http://schemas.openxmlformats.org/officeDocument/2006/relationships" ref="H1069" r:id="rId1059"/>
    <hyperlink xmlns:r="http://schemas.openxmlformats.org/officeDocument/2006/relationships" ref="H1070" r:id="rId1060"/>
    <hyperlink xmlns:r="http://schemas.openxmlformats.org/officeDocument/2006/relationships" ref="H1071" r:id="rId1061"/>
    <hyperlink xmlns:r="http://schemas.openxmlformats.org/officeDocument/2006/relationships" ref="H1072" r:id="rId1062"/>
    <hyperlink xmlns:r="http://schemas.openxmlformats.org/officeDocument/2006/relationships" ref="H1073" r:id="rId1063"/>
    <hyperlink xmlns:r="http://schemas.openxmlformats.org/officeDocument/2006/relationships" ref="H1074" r:id="rId1064"/>
    <hyperlink xmlns:r="http://schemas.openxmlformats.org/officeDocument/2006/relationships" ref="H1075" r:id="rId1065"/>
    <hyperlink xmlns:r="http://schemas.openxmlformats.org/officeDocument/2006/relationships" ref="H1076" r:id="rId1066"/>
    <hyperlink xmlns:r="http://schemas.openxmlformats.org/officeDocument/2006/relationships" ref="H1077" r:id="rId1067"/>
    <hyperlink xmlns:r="http://schemas.openxmlformats.org/officeDocument/2006/relationships" ref="H1078" r:id="rId1068"/>
    <hyperlink xmlns:r="http://schemas.openxmlformats.org/officeDocument/2006/relationships" ref="H1079" r:id="rId1069"/>
    <hyperlink xmlns:r="http://schemas.openxmlformats.org/officeDocument/2006/relationships" ref="H1080" r:id="rId1070"/>
    <hyperlink xmlns:r="http://schemas.openxmlformats.org/officeDocument/2006/relationships" ref="H1081" r:id="rId1071"/>
    <hyperlink xmlns:r="http://schemas.openxmlformats.org/officeDocument/2006/relationships" ref="H1082" r:id="rId1072"/>
    <hyperlink xmlns:r="http://schemas.openxmlformats.org/officeDocument/2006/relationships" ref="H1083" r:id="rId1073"/>
    <hyperlink xmlns:r="http://schemas.openxmlformats.org/officeDocument/2006/relationships" ref="H1084" r:id="rId1074"/>
    <hyperlink xmlns:r="http://schemas.openxmlformats.org/officeDocument/2006/relationships" ref="H1085" r:id="rId1075"/>
    <hyperlink xmlns:r="http://schemas.openxmlformats.org/officeDocument/2006/relationships" ref="H1086" r:id="rId1076"/>
    <hyperlink xmlns:r="http://schemas.openxmlformats.org/officeDocument/2006/relationships" ref="H1087" r:id="rId1077"/>
    <hyperlink xmlns:r="http://schemas.openxmlformats.org/officeDocument/2006/relationships" ref="H1088" r:id="rId1078"/>
    <hyperlink xmlns:r="http://schemas.openxmlformats.org/officeDocument/2006/relationships" ref="H1089" r:id="rId1079"/>
    <hyperlink xmlns:r="http://schemas.openxmlformats.org/officeDocument/2006/relationships" ref="H1090" r:id="rId1080"/>
    <hyperlink xmlns:r="http://schemas.openxmlformats.org/officeDocument/2006/relationships" ref="H1091" r:id="rId1081"/>
    <hyperlink xmlns:r="http://schemas.openxmlformats.org/officeDocument/2006/relationships" ref="H1092" r:id="rId1082"/>
    <hyperlink xmlns:r="http://schemas.openxmlformats.org/officeDocument/2006/relationships" ref="H1093" r:id="rId1083"/>
    <hyperlink xmlns:r="http://schemas.openxmlformats.org/officeDocument/2006/relationships" ref="H1094" r:id="rId1084"/>
    <hyperlink xmlns:r="http://schemas.openxmlformats.org/officeDocument/2006/relationships" ref="H1095" r:id="rId1085"/>
    <hyperlink xmlns:r="http://schemas.openxmlformats.org/officeDocument/2006/relationships" ref="H1096" r:id="rId1086"/>
    <hyperlink xmlns:r="http://schemas.openxmlformats.org/officeDocument/2006/relationships" ref="H1097" r:id="rId1087"/>
    <hyperlink xmlns:r="http://schemas.openxmlformats.org/officeDocument/2006/relationships" ref="H1098" r:id="rId1088"/>
    <hyperlink xmlns:r="http://schemas.openxmlformats.org/officeDocument/2006/relationships" ref="H1099" r:id="rId1089"/>
    <hyperlink xmlns:r="http://schemas.openxmlformats.org/officeDocument/2006/relationships" ref="H1100" r:id="rId1090"/>
    <hyperlink xmlns:r="http://schemas.openxmlformats.org/officeDocument/2006/relationships" ref="H1101" r:id="rId1091"/>
    <hyperlink xmlns:r="http://schemas.openxmlformats.org/officeDocument/2006/relationships" ref="H1102" r:id="rId1092"/>
    <hyperlink xmlns:r="http://schemas.openxmlformats.org/officeDocument/2006/relationships" ref="H1103" r:id="rId1093"/>
    <hyperlink xmlns:r="http://schemas.openxmlformats.org/officeDocument/2006/relationships" ref="H1104" r:id="rId1094"/>
    <hyperlink xmlns:r="http://schemas.openxmlformats.org/officeDocument/2006/relationships" ref="H1105" r:id="rId1095"/>
    <hyperlink xmlns:r="http://schemas.openxmlformats.org/officeDocument/2006/relationships" ref="H1106" r:id="rId1096"/>
    <hyperlink xmlns:r="http://schemas.openxmlformats.org/officeDocument/2006/relationships" ref="H1107" r:id="rId1097"/>
    <hyperlink xmlns:r="http://schemas.openxmlformats.org/officeDocument/2006/relationships" ref="H1108" r:id="rId1098"/>
    <hyperlink xmlns:r="http://schemas.openxmlformats.org/officeDocument/2006/relationships" ref="H1109" r:id="rId1099"/>
    <hyperlink xmlns:r="http://schemas.openxmlformats.org/officeDocument/2006/relationships" ref="H1110" r:id="rId1100"/>
    <hyperlink xmlns:r="http://schemas.openxmlformats.org/officeDocument/2006/relationships" ref="H1111" r:id="rId1101"/>
    <hyperlink xmlns:r="http://schemas.openxmlformats.org/officeDocument/2006/relationships" ref="H1112" r:id="rId1102"/>
    <hyperlink xmlns:r="http://schemas.openxmlformats.org/officeDocument/2006/relationships" ref="H1113" r:id="rId1103"/>
    <hyperlink xmlns:r="http://schemas.openxmlformats.org/officeDocument/2006/relationships" ref="H1114" r:id="rId1104"/>
    <hyperlink xmlns:r="http://schemas.openxmlformats.org/officeDocument/2006/relationships" ref="H1115" r:id="rId1105"/>
    <hyperlink xmlns:r="http://schemas.openxmlformats.org/officeDocument/2006/relationships" ref="H1116" r:id="rId1106"/>
    <hyperlink xmlns:r="http://schemas.openxmlformats.org/officeDocument/2006/relationships" ref="H1117" r:id="rId1107"/>
    <hyperlink xmlns:r="http://schemas.openxmlformats.org/officeDocument/2006/relationships" ref="H1118" r:id="rId1108"/>
    <hyperlink xmlns:r="http://schemas.openxmlformats.org/officeDocument/2006/relationships" ref="H1119" r:id="rId1109"/>
    <hyperlink xmlns:r="http://schemas.openxmlformats.org/officeDocument/2006/relationships" ref="H1120" r:id="rId1110"/>
    <hyperlink xmlns:r="http://schemas.openxmlformats.org/officeDocument/2006/relationships" ref="H1121" r:id="rId1111"/>
    <hyperlink xmlns:r="http://schemas.openxmlformats.org/officeDocument/2006/relationships" ref="H1122" r:id="rId1112"/>
    <hyperlink xmlns:r="http://schemas.openxmlformats.org/officeDocument/2006/relationships" ref="H1123" r:id="rId1113"/>
    <hyperlink xmlns:r="http://schemas.openxmlformats.org/officeDocument/2006/relationships" ref="H1124" r:id="rId1114"/>
    <hyperlink xmlns:r="http://schemas.openxmlformats.org/officeDocument/2006/relationships" ref="H1125" r:id="rId1115"/>
    <hyperlink xmlns:r="http://schemas.openxmlformats.org/officeDocument/2006/relationships" ref="H1126" r:id="rId1116"/>
    <hyperlink xmlns:r="http://schemas.openxmlformats.org/officeDocument/2006/relationships" ref="H1127" r:id="rId1117"/>
    <hyperlink xmlns:r="http://schemas.openxmlformats.org/officeDocument/2006/relationships" ref="H1128" r:id="rId1118"/>
    <hyperlink xmlns:r="http://schemas.openxmlformats.org/officeDocument/2006/relationships" ref="H1129" r:id="rId1119"/>
    <hyperlink xmlns:r="http://schemas.openxmlformats.org/officeDocument/2006/relationships" ref="H1130" r:id="rId1120"/>
    <hyperlink xmlns:r="http://schemas.openxmlformats.org/officeDocument/2006/relationships" ref="H1131" r:id="rId1121"/>
    <hyperlink xmlns:r="http://schemas.openxmlformats.org/officeDocument/2006/relationships" ref="H1132" r:id="rId1122"/>
    <hyperlink xmlns:r="http://schemas.openxmlformats.org/officeDocument/2006/relationships" ref="H1133" r:id="rId1123"/>
    <hyperlink xmlns:r="http://schemas.openxmlformats.org/officeDocument/2006/relationships" ref="H1134" r:id="rId1124"/>
    <hyperlink xmlns:r="http://schemas.openxmlformats.org/officeDocument/2006/relationships" ref="H1135" r:id="rId1125"/>
    <hyperlink xmlns:r="http://schemas.openxmlformats.org/officeDocument/2006/relationships" ref="H1136" r:id="rId1126"/>
    <hyperlink xmlns:r="http://schemas.openxmlformats.org/officeDocument/2006/relationships" ref="H1137" r:id="rId1127"/>
    <hyperlink xmlns:r="http://schemas.openxmlformats.org/officeDocument/2006/relationships" ref="H1138" r:id="rId1128"/>
    <hyperlink xmlns:r="http://schemas.openxmlformats.org/officeDocument/2006/relationships" ref="H1139" r:id="rId1129"/>
    <hyperlink xmlns:r="http://schemas.openxmlformats.org/officeDocument/2006/relationships" ref="H1140" r:id="rId1130"/>
    <hyperlink xmlns:r="http://schemas.openxmlformats.org/officeDocument/2006/relationships" ref="H1141" r:id="rId1131"/>
    <hyperlink xmlns:r="http://schemas.openxmlformats.org/officeDocument/2006/relationships" ref="H1142" r:id="rId1132"/>
    <hyperlink xmlns:r="http://schemas.openxmlformats.org/officeDocument/2006/relationships" ref="H1143" r:id="rId1133"/>
    <hyperlink xmlns:r="http://schemas.openxmlformats.org/officeDocument/2006/relationships" ref="H1144" r:id="rId1134"/>
    <hyperlink xmlns:r="http://schemas.openxmlformats.org/officeDocument/2006/relationships" ref="H1145" r:id="rId1135"/>
    <hyperlink xmlns:r="http://schemas.openxmlformats.org/officeDocument/2006/relationships" ref="H1146" r:id="rId1136"/>
    <hyperlink xmlns:r="http://schemas.openxmlformats.org/officeDocument/2006/relationships" ref="H1147" r:id="rId1137"/>
    <hyperlink xmlns:r="http://schemas.openxmlformats.org/officeDocument/2006/relationships" ref="H1148" r:id="rId1138"/>
    <hyperlink xmlns:r="http://schemas.openxmlformats.org/officeDocument/2006/relationships" ref="H1149" r:id="rId1139"/>
    <hyperlink xmlns:r="http://schemas.openxmlformats.org/officeDocument/2006/relationships" ref="H1150" r:id="rId1140"/>
    <hyperlink xmlns:r="http://schemas.openxmlformats.org/officeDocument/2006/relationships" ref="H1151" r:id="rId1141"/>
    <hyperlink xmlns:r="http://schemas.openxmlformats.org/officeDocument/2006/relationships" ref="H1152" r:id="rId1142"/>
    <hyperlink xmlns:r="http://schemas.openxmlformats.org/officeDocument/2006/relationships" ref="H1153" r:id="rId1143"/>
    <hyperlink xmlns:r="http://schemas.openxmlformats.org/officeDocument/2006/relationships" ref="H1154" r:id="rId1144"/>
    <hyperlink xmlns:r="http://schemas.openxmlformats.org/officeDocument/2006/relationships" ref="H1155" r:id="rId1145"/>
    <hyperlink xmlns:r="http://schemas.openxmlformats.org/officeDocument/2006/relationships" ref="H1156" r:id="rId1146"/>
    <hyperlink xmlns:r="http://schemas.openxmlformats.org/officeDocument/2006/relationships" ref="H1157" r:id="rId1147"/>
    <hyperlink xmlns:r="http://schemas.openxmlformats.org/officeDocument/2006/relationships" ref="H1158" r:id="rId1148"/>
    <hyperlink xmlns:r="http://schemas.openxmlformats.org/officeDocument/2006/relationships" ref="H1159" r:id="rId1149"/>
    <hyperlink xmlns:r="http://schemas.openxmlformats.org/officeDocument/2006/relationships" ref="H1160" r:id="rId1150"/>
    <hyperlink xmlns:r="http://schemas.openxmlformats.org/officeDocument/2006/relationships" ref="H1161" r:id="rId1151"/>
    <hyperlink xmlns:r="http://schemas.openxmlformats.org/officeDocument/2006/relationships" ref="H1162" r:id="rId1152"/>
    <hyperlink xmlns:r="http://schemas.openxmlformats.org/officeDocument/2006/relationships" ref="H1163" r:id="rId1153"/>
    <hyperlink xmlns:r="http://schemas.openxmlformats.org/officeDocument/2006/relationships" ref="H1164" r:id="rId1154"/>
    <hyperlink xmlns:r="http://schemas.openxmlformats.org/officeDocument/2006/relationships" ref="H1165" r:id="rId1155"/>
    <hyperlink xmlns:r="http://schemas.openxmlformats.org/officeDocument/2006/relationships" ref="H1166" r:id="rId1156"/>
    <hyperlink xmlns:r="http://schemas.openxmlformats.org/officeDocument/2006/relationships" ref="H1167" r:id="rId1157"/>
    <hyperlink xmlns:r="http://schemas.openxmlformats.org/officeDocument/2006/relationships" ref="H1168" r:id="rId1158"/>
    <hyperlink xmlns:r="http://schemas.openxmlformats.org/officeDocument/2006/relationships" ref="H1169" r:id="rId1159"/>
    <hyperlink xmlns:r="http://schemas.openxmlformats.org/officeDocument/2006/relationships" ref="H1170" r:id="rId1160"/>
    <hyperlink xmlns:r="http://schemas.openxmlformats.org/officeDocument/2006/relationships" ref="H1171" r:id="rId1161"/>
    <hyperlink xmlns:r="http://schemas.openxmlformats.org/officeDocument/2006/relationships" ref="H1172" r:id="rId1162"/>
    <hyperlink xmlns:r="http://schemas.openxmlformats.org/officeDocument/2006/relationships" ref="H1173" r:id="rId1163"/>
    <hyperlink xmlns:r="http://schemas.openxmlformats.org/officeDocument/2006/relationships" ref="H1174" r:id="rId1164"/>
    <hyperlink xmlns:r="http://schemas.openxmlformats.org/officeDocument/2006/relationships" ref="H1175" r:id="rId1165"/>
    <hyperlink xmlns:r="http://schemas.openxmlformats.org/officeDocument/2006/relationships" ref="H1176" r:id="rId1166"/>
    <hyperlink xmlns:r="http://schemas.openxmlformats.org/officeDocument/2006/relationships" ref="H1177" r:id="rId1167"/>
    <hyperlink xmlns:r="http://schemas.openxmlformats.org/officeDocument/2006/relationships" ref="H1178" r:id="rId1168"/>
    <hyperlink xmlns:r="http://schemas.openxmlformats.org/officeDocument/2006/relationships" ref="H1179" r:id="rId1169"/>
    <hyperlink xmlns:r="http://schemas.openxmlformats.org/officeDocument/2006/relationships" ref="H1180" r:id="rId1170"/>
    <hyperlink xmlns:r="http://schemas.openxmlformats.org/officeDocument/2006/relationships" ref="H1181" r:id="rId1171"/>
    <hyperlink xmlns:r="http://schemas.openxmlformats.org/officeDocument/2006/relationships" ref="H1182" r:id="rId1172"/>
    <hyperlink xmlns:r="http://schemas.openxmlformats.org/officeDocument/2006/relationships" ref="H1183" r:id="rId1173"/>
    <hyperlink xmlns:r="http://schemas.openxmlformats.org/officeDocument/2006/relationships" ref="H1184" r:id="rId1174"/>
    <hyperlink xmlns:r="http://schemas.openxmlformats.org/officeDocument/2006/relationships" ref="H1185" r:id="rId1175"/>
    <hyperlink xmlns:r="http://schemas.openxmlformats.org/officeDocument/2006/relationships" ref="H1186" r:id="rId1176"/>
    <hyperlink xmlns:r="http://schemas.openxmlformats.org/officeDocument/2006/relationships" ref="H1187" r:id="rId1177"/>
    <hyperlink xmlns:r="http://schemas.openxmlformats.org/officeDocument/2006/relationships" ref="H1188" r:id="rId1178"/>
    <hyperlink xmlns:r="http://schemas.openxmlformats.org/officeDocument/2006/relationships" ref="H1189" r:id="rId1179"/>
    <hyperlink xmlns:r="http://schemas.openxmlformats.org/officeDocument/2006/relationships" ref="H1190" r:id="rId1180"/>
    <hyperlink xmlns:r="http://schemas.openxmlformats.org/officeDocument/2006/relationships" ref="H1191" r:id="rId1181"/>
    <hyperlink xmlns:r="http://schemas.openxmlformats.org/officeDocument/2006/relationships" ref="H1192" r:id="rId1182"/>
    <hyperlink xmlns:r="http://schemas.openxmlformats.org/officeDocument/2006/relationships" ref="H1193" r:id="rId1183"/>
    <hyperlink xmlns:r="http://schemas.openxmlformats.org/officeDocument/2006/relationships" ref="H1194" r:id="rId1184"/>
    <hyperlink xmlns:r="http://schemas.openxmlformats.org/officeDocument/2006/relationships" ref="H1195" r:id="rId1185"/>
    <hyperlink xmlns:r="http://schemas.openxmlformats.org/officeDocument/2006/relationships" ref="H1196" r:id="rId1186"/>
    <hyperlink xmlns:r="http://schemas.openxmlformats.org/officeDocument/2006/relationships" ref="H1197" r:id="rId1187"/>
    <hyperlink xmlns:r="http://schemas.openxmlformats.org/officeDocument/2006/relationships" ref="H1198" r:id="rId1188"/>
    <hyperlink xmlns:r="http://schemas.openxmlformats.org/officeDocument/2006/relationships" ref="H1199" r:id="rId1189"/>
    <hyperlink xmlns:r="http://schemas.openxmlformats.org/officeDocument/2006/relationships" ref="H1200" r:id="rId1190"/>
    <hyperlink xmlns:r="http://schemas.openxmlformats.org/officeDocument/2006/relationships" ref="H1201" r:id="rId1191"/>
    <hyperlink xmlns:r="http://schemas.openxmlformats.org/officeDocument/2006/relationships" ref="H1202" r:id="rId1192"/>
    <hyperlink xmlns:r="http://schemas.openxmlformats.org/officeDocument/2006/relationships" ref="H1203" r:id="rId1193"/>
    <hyperlink xmlns:r="http://schemas.openxmlformats.org/officeDocument/2006/relationships" ref="H1204" r:id="rId1194"/>
    <hyperlink xmlns:r="http://schemas.openxmlformats.org/officeDocument/2006/relationships" ref="H1205" r:id="rId1195"/>
    <hyperlink xmlns:r="http://schemas.openxmlformats.org/officeDocument/2006/relationships" ref="H1206" r:id="rId1196"/>
    <hyperlink xmlns:r="http://schemas.openxmlformats.org/officeDocument/2006/relationships" ref="H1207" r:id="rId1197"/>
    <hyperlink xmlns:r="http://schemas.openxmlformats.org/officeDocument/2006/relationships" ref="H1208" r:id="rId1198"/>
    <hyperlink xmlns:r="http://schemas.openxmlformats.org/officeDocument/2006/relationships" ref="H1209" r:id="rId1199"/>
    <hyperlink xmlns:r="http://schemas.openxmlformats.org/officeDocument/2006/relationships" ref="H1210" r:id="rId1200"/>
    <hyperlink xmlns:r="http://schemas.openxmlformats.org/officeDocument/2006/relationships" ref="H1211" r:id="rId1201"/>
    <hyperlink xmlns:r="http://schemas.openxmlformats.org/officeDocument/2006/relationships" ref="H1212" r:id="rId1202"/>
    <hyperlink xmlns:r="http://schemas.openxmlformats.org/officeDocument/2006/relationships" ref="H1213" r:id="rId1203"/>
    <hyperlink xmlns:r="http://schemas.openxmlformats.org/officeDocument/2006/relationships" ref="H1214" r:id="rId1204"/>
    <hyperlink xmlns:r="http://schemas.openxmlformats.org/officeDocument/2006/relationships" ref="H1215" r:id="rId1205"/>
    <hyperlink xmlns:r="http://schemas.openxmlformats.org/officeDocument/2006/relationships" ref="H1216" r:id="rId1206"/>
    <hyperlink xmlns:r="http://schemas.openxmlformats.org/officeDocument/2006/relationships" ref="H1217" r:id="rId1207"/>
    <hyperlink xmlns:r="http://schemas.openxmlformats.org/officeDocument/2006/relationships" ref="H1218" r:id="rId1208"/>
    <hyperlink xmlns:r="http://schemas.openxmlformats.org/officeDocument/2006/relationships" ref="H1219" r:id="rId1209"/>
    <hyperlink xmlns:r="http://schemas.openxmlformats.org/officeDocument/2006/relationships" ref="H1220" r:id="rId1210"/>
    <hyperlink xmlns:r="http://schemas.openxmlformats.org/officeDocument/2006/relationships" ref="H1221" r:id="rId1211"/>
    <hyperlink xmlns:r="http://schemas.openxmlformats.org/officeDocument/2006/relationships" ref="H1222" r:id="rId1212"/>
    <hyperlink xmlns:r="http://schemas.openxmlformats.org/officeDocument/2006/relationships" ref="H1223" r:id="rId1213"/>
    <hyperlink xmlns:r="http://schemas.openxmlformats.org/officeDocument/2006/relationships" ref="H1224" r:id="rId1214"/>
    <hyperlink xmlns:r="http://schemas.openxmlformats.org/officeDocument/2006/relationships" ref="H1225" r:id="rId1215"/>
    <hyperlink xmlns:r="http://schemas.openxmlformats.org/officeDocument/2006/relationships" ref="H1226" r:id="rId1216"/>
    <hyperlink xmlns:r="http://schemas.openxmlformats.org/officeDocument/2006/relationships" ref="H1227" r:id="rId1217"/>
    <hyperlink xmlns:r="http://schemas.openxmlformats.org/officeDocument/2006/relationships" ref="H1228" r:id="rId1218"/>
    <hyperlink xmlns:r="http://schemas.openxmlformats.org/officeDocument/2006/relationships" ref="H1229" r:id="rId1219"/>
    <hyperlink xmlns:r="http://schemas.openxmlformats.org/officeDocument/2006/relationships" ref="H1230" r:id="rId1220"/>
    <hyperlink xmlns:r="http://schemas.openxmlformats.org/officeDocument/2006/relationships" ref="H1231" r:id="rId1221"/>
    <hyperlink xmlns:r="http://schemas.openxmlformats.org/officeDocument/2006/relationships" ref="H1232" r:id="rId1222"/>
    <hyperlink xmlns:r="http://schemas.openxmlformats.org/officeDocument/2006/relationships" ref="H1233" r:id="rId1223"/>
    <hyperlink xmlns:r="http://schemas.openxmlformats.org/officeDocument/2006/relationships" ref="H1234" r:id="rId1224"/>
    <hyperlink xmlns:r="http://schemas.openxmlformats.org/officeDocument/2006/relationships" ref="H1235" r:id="rId1225"/>
    <hyperlink xmlns:r="http://schemas.openxmlformats.org/officeDocument/2006/relationships" ref="H1236" r:id="rId1226"/>
    <hyperlink xmlns:r="http://schemas.openxmlformats.org/officeDocument/2006/relationships" ref="H1237" r:id="rId1227"/>
    <hyperlink xmlns:r="http://schemas.openxmlformats.org/officeDocument/2006/relationships" ref="H1238" r:id="rId1228"/>
    <hyperlink xmlns:r="http://schemas.openxmlformats.org/officeDocument/2006/relationships" ref="H1239" r:id="rId1229"/>
    <hyperlink xmlns:r="http://schemas.openxmlformats.org/officeDocument/2006/relationships" ref="H1240" r:id="rId1230"/>
    <hyperlink xmlns:r="http://schemas.openxmlformats.org/officeDocument/2006/relationships" ref="H1241" r:id="rId1231"/>
    <hyperlink xmlns:r="http://schemas.openxmlformats.org/officeDocument/2006/relationships" ref="H1242" r:id="rId1232"/>
    <hyperlink xmlns:r="http://schemas.openxmlformats.org/officeDocument/2006/relationships" ref="H1243" r:id="rId1233"/>
    <hyperlink xmlns:r="http://schemas.openxmlformats.org/officeDocument/2006/relationships" ref="H1244" r:id="rId1234"/>
    <hyperlink xmlns:r="http://schemas.openxmlformats.org/officeDocument/2006/relationships" ref="H1245" r:id="rId1235"/>
    <hyperlink xmlns:r="http://schemas.openxmlformats.org/officeDocument/2006/relationships" ref="H1246" r:id="rId1236"/>
    <hyperlink xmlns:r="http://schemas.openxmlformats.org/officeDocument/2006/relationships" ref="H1247" r:id="rId1237"/>
    <hyperlink xmlns:r="http://schemas.openxmlformats.org/officeDocument/2006/relationships" ref="H1248" r:id="rId1238"/>
    <hyperlink xmlns:r="http://schemas.openxmlformats.org/officeDocument/2006/relationships" ref="H1249" r:id="rId1239"/>
    <hyperlink xmlns:r="http://schemas.openxmlformats.org/officeDocument/2006/relationships" ref="H1250" r:id="rId1240"/>
    <hyperlink xmlns:r="http://schemas.openxmlformats.org/officeDocument/2006/relationships" ref="H1251" r:id="rId1241"/>
    <hyperlink xmlns:r="http://schemas.openxmlformats.org/officeDocument/2006/relationships" ref="H1252" r:id="rId1242"/>
    <hyperlink xmlns:r="http://schemas.openxmlformats.org/officeDocument/2006/relationships" ref="H1253" r:id="rId1243"/>
    <hyperlink xmlns:r="http://schemas.openxmlformats.org/officeDocument/2006/relationships" ref="H1254" r:id="rId1244"/>
    <hyperlink xmlns:r="http://schemas.openxmlformats.org/officeDocument/2006/relationships" ref="H1255" r:id="rId1245"/>
    <hyperlink xmlns:r="http://schemas.openxmlformats.org/officeDocument/2006/relationships" ref="H1256" r:id="rId1246"/>
    <hyperlink xmlns:r="http://schemas.openxmlformats.org/officeDocument/2006/relationships" ref="H1257" r:id="rId1247"/>
    <hyperlink xmlns:r="http://schemas.openxmlformats.org/officeDocument/2006/relationships" ref="H1258" r:id="rId1248"/>
    <hyperlink xmlns:r="http://schemas.openxmlformats.org/officeDocument/2006/relationships" ref="H1259" r:id="rId1249"/>
    <hyperlink xmlns:r="http://schemas.openxmlformats.org/officeDocument/2006/relationships" ref="H1260" r:id="rId1250"/>
    <hyperlink xmlns:r="http://schemas.openxmlformats.org/officeDocument/2006/relationships" ref="H1261" r:id="rId1251"/>
    <hyperlink xmlns:r="http://schemas.openxmlformats.org/officeDocument/2006/relationships" ref="H1262" r:id="rId1252"/>
    <hyperlink xmlns:r="http://schemas.openxmlformats.org/officeDocument/2006/relationships" ref="H1263" r:id="rId1253"/>
    <hyperlink xmlns:r="http://schemas.openxmlformats.org/officeDocument/2006/relationships" ref="H1264" r:id="rId1254"/>
    <hyperlink xmlns:r="http://schemas.openxmlformats.org/officeDocument/2006/relationships" ref="H1265" r:id="rId1255"/>
    <hyperlink xmlns:r="http://schemas.openxmlformats.org/officeDocument/2006/relationships" ref="H1266" r:id="rId1256"/>
    <hyperlink xmlns:r="http://schemas.openxmlformats.org/officeDocument/2006/relationships" ref="H1267" r:id="rId1257"/>
    <hyperlink xmlns:r="http://schemas.openxmlformats.org/officeDocument/2006/relationships" ref="H1268" r:id="rId1258"/>
    <hyperlink xmlns:r="http://schemas.openxmlformats.org/officeDocument/2006/relationships" ref="H1269" r:id="rId1259"/>
    <hyperlink xmlns:r="http://schemas.openxmlformats.org/officeDocument/2006/relationships" ref="H1270" r:id="rId1260"/>
    <hyperlink xmlns:r="http://schemas.openxmlformats.org/officeDocument/2006/relationships" ref="H1271" r:id="rId1261"/>
    <hyperlink xmlns:r="http://schemas.openxmlformats.org/officeDocument/2006/relationships" ref="H1272" r:id="rId1262"/>
    <hyperlink xmlns:r="http://schemas.openxmlformats.org/officeDocument/2006/relationships" ref="H1273" r:id="rId1263"/>
    <hyperlink xmlns:r="http://schemas.openxmlformats.org/officeDocument/2006/relationships" ref="H1274" r:id="rId1264"/>
    <hyperlink xmlns:r="http://schemas.openxmlformats.org/officeDocument/2006/relationships" ref="H1275" r:id="rId1265"/>
    <hyperlink xmlns:r="http://schemas.openxmlformats.org/officeDocument/2006/relationships" ref="H1276" r:id="rId1266"/>
    <hyperlink xmlns:r="http://schemas.openxmlformats.org/officeDocument/2006/relationships" ref="H1277" r:id="rId1267"/>
    <hyperlink xmlns:r="http://schemas.openxmlformats.org/officeDocument/2006/relationships" ref="H1278" r:id="rId1268"/>
    <hyperlink xmlns:r="http://schemas.openxmlformats.org/officeDocument/2006/relationships" ref="H1279" r:id="rId1269"/>
    <hyperlink xmlns:r="http://schemas.openxmlformats.org/officeDocument/2006/relationships" ref="H1280" r:id="rId1270"/>
    <hyperlink xmlns:r="http://schemas.openxmlformats.org/officeDocument/2006/relationships" ref="H1281" r:id="rId1271"/>
    <hyperlink xmlns:r="http://schemas.openxmlformats.org/officeDocument/2006/relationships" ref="H1282" r:id="rId1272"/>
    <hyperlink xmlns:r="http://schemas.openxmlformats.org/officeDocument/2006/relationships" ref="H1283" r:id="rId1273"/>
    <hyperlink xmlns:r="http://schemas.openxmlformats.org/officeDocument/2006/relationships" ref="H1284" r:id="rId1274"/>
    <hyperlink xmlns:r="http://schemas.openxmlformats.org/officeDocument/2006/relationships" ref="H1285" r:id="rId1275"/>
    <hyperlink xmlns:r="http://schemas.openxmlformats.org/officeDocument/2006/relationships" ref="H1286" r:id="rId1276"/>
    <hyperlink xmlns:r="http://schemas.openxmlformats.org/officeDocument/2006/relationships" ref="H1287" r:id="rId1277"/>
    <hyperlink xmlns:r="http://schemas.openxmlformats.org/officeDocument/2006/relationships" ref="H1288" r:id="rId1278"/>
    <hyperlink xmlns:r="http://schemas.openxmlformats.org/officeDocument/2006/relationships" ref="H1289" r:id="rId1279"/>
    <hyperlink xmlns:r="http://schemas.openxmlformats.org/officeDocument/2006/relationships" ref="H1290" r:id="rId1280"/>
    <hyperlink xmlns:r="http://schemas.openxmlformats.org/officeDocument/2006/relationships" ref="H1291" r:id="rId1281"/>
    <hyperlink xmlns:r="http://schemas.openxmlformats.org/officeDocument/2006/relationships" ref="H1292" r:id="rId1282"/>
    <hyperlink xmlns:r="http://schemas.openxmlformats.org/officeDocument/2006/relationships" ref="H1293" r:id="rId1283"/>
    <hyperlink xmlns:r="http://schemas.openxmlformats.org/officeDocument/2006/relationships" ref="H1294" r:id="rId1284"/>
    <hyperlink xmlns:r="http://schemas.openxmlformats.org/officeDocument/2006/relationships" ref="H1295" r:id="rId1285"/>
    <hyperlink xmlns:r="http://schemas.openxmlformats.org/officeDocument/2006/relationships" ref="H1296" r:id="rId1286"/>
    <hyperlink xmlns:r="http://schemas.openxmlformats.org/officeDocument/2006/relationships" ref="H1297" r:id="rId1287"/>
    <hyperlink xmlns:r="http://schemas.openxmlformats.org/officeDocument/2006/relationships" ref="H1298" r:id="rId1288"/>
    <hyperlink xmlns:r="http://schemas.openxmlformats.org/officeDocument/2006/relationships" ref="H1299" r:id="rId1289"/>
    <hyperlink xmlns:r="http://schemas.openxmlformats.org/officeDocument/2006/relationships" ref="H1300" r:id="rId1290"/>
    <hyperlink xmlns:r="http://schemas.openxmlformats.org/officeDocument/2006/relationships" ref="H1301" r:id="rId1291"/>
    <hyperlink xmlns:r="http://schemas.openxmlformats.org/officeDocument/2006/relationships" ref="H1302" r:id="rId1292"/>
    <hyperlink xmlns:r="http://schemas.openxmlformats.org/officeDocument/2006/relationships" ref="H1303" r:id="rId1293"/>
    <hyperlink xmlns:r="http://schemas.openxmlformats.org/officeDocument/2006/relationships" ref="H1304" r:id="rId1294"/>
    <hyperlink xmlns:r="http://schemas.openxmlformats.org/officeDocument/2006/relationships" ref="H1305" r:id="rId1295"/>
    <hyperlink xmlns:r="http://schemas.openxmlformats.org/officeDocument/2006/relationships" ref="H1306" r:id="rId1296"/>
    <hyperlink xmlns:r="http://schemas.openxmlformats.org/officeDocument/2006/relationships" ref="H1307" r:id="rId1297"/>
    <hyperlink xmlns:r="http://schemas.openxmlformats.org/officeDocument/2006/relationships" ref="H1308" r:id="rId129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761F"/>
    <outlinePr summaryBelow="1" summaryRight="1"/>
    <pageSetUpPr/>
  </sheetPr>
  <dimension ref="A1:S3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  <col width="11" customWidth="1" min="7" max="7"/>
    <col width="16" customWidth="1" min="8" max="8"/>
    <col width="17" customWidth="1" min="9" max="9"/>
    <col width="16" customWidth="1" min="10" max="10"/>
  </cols>
  <sheetData>
    <row r="1" ht="30" customHeight="1">
      <c r="A1" s="1" t="inlineStr">
        <is>
          <t>04 历史分位 · 经验分位（Excel 公式实算）</t>
        </is>
      </c>
    </row>
    <row r="2" ht="30" customHeight="1">
      <c r="A2" s="2" t="inlineStr">
        <is>
          <t>★ 分位不是「当前价在最高最低之间的位置」，而是「历史上多少比例的观测日 ≤ 当前价」。下表每一条都是 COUNTIF 计数公式，可自行展开核对。</t>
        </is>
      </c>
    </row>
    <row r="4" ht="30" customHeight="1">
      <c r="A4" s="9" t="inlineStr">
        <is>
          <t>窗口</t>
        </is>
      </c>
      <c r="B4" s="9" t="inlineStr">
        <is>
          <t>窗口起</t>
        </is>
      </c>
      <c r="C4" s="9" t="inlineStr">
        <is>
          <t>窗口止</t>
        </is>
      </c>
      <c r="D4" s="9" t="inlineStr">
        <is>
          <t>样本 n</t>
        </is>
      </c>
      <c r="E4" s="9" t="inlineStr">
        <is>
          <t>最低</t>
        </is>
      </c>
      <c r="F4" s="9" t="inlineStr">
        <is>
          <t>最高</t>
        </is>
      </c>
      <c r="G4" s="9" t="inlineStr">
        <is>
          <t>中位数</t>
        </is>
      </c>
      <c r="H4" s="9" t="inlineStr">
        <is>
          <t>经验分位(含并列)</t>
        </is>
      </c>
      <c r="I4" s="9" t="inlineStr">
        <is>
          <t>经验分位(中位秩)</t>
        </is>
      </c>
      <c r="J4" s="9" t="inlineStr">
        <is>
          <t>区间位置(非分位)</t>
        </is>
      </c>
    </row>
    <row r="5">
      <c r="A5" s="29" t="inlineStr">
        <is>
          <t>近 30 天</t>
        </is>
      </c>
      <c r="B5" s="30">
        <f>C5-30</f>
        <v/>
      </c>
      <c r="C5" s="30">
        <f>DATE(2026,7,28)</f>
        <v/>
      </c>
      <c r="D5" s="31">
        <f>COUNTIFS('02 原始序列(主)'!$B$5:$B$362,"&gt;"&amp;$B5,'02 原始序列(主)'!$B$5:$B$362,"&lt;="&amp;$C5)</f>
        <v/>
      </c>
      <c r="E5" s="32">
        <f>IF($D5&lt;1,"",MIN(N9:N366))</f>
        <v/>
      </c>
      <c r="F5" s="32">
        <f>IF($D5&lt;1,"",MAX(N9:N366))</f>
        <v/>
      </c>
      <c r="G5" s="32">
        <f>IF($D5&lt;1,"",MEDIAN(N9:N366))</f>
        <v/>
      </c>
      <c r="H5" s="33">
        <f>IF($D5&lt;20,"样本不足，不计算",(COUNTIFS('02 原始序列(主)'!$E$5:$E$362,"&lt;="&amp;'02 原始序列(主)'!$E$362,'02 原始序列(主)'!$B$5:$B$362,"&gt;"&amp;$B5,'02 原始序列(主)'!$B$5:$B$362,"&lt;="&amp;$C5))/D5)</f>
        <v/>
      </c>
      <c r="I5" s="33">
        <f>IF($D5&lt;20,"样本不足，不计算",(COUNTIFS('02 原始序列(主)'!$E$5:$E$362,"&lt;"&amp;'02 原始序列(主)'!$E$362,'02 原始序列(主)'!$B$5:$B$362,"&gt;"&amp;$B5,'02 原始序列(主)'!$B$5:$B$362,"&lt;="&amp;$C5)+0.5*COUNTIFS('02 原始序列(主)'!$E$5:$E$362,"="&amp;'02 原始序列(主)'!$E$362,'02 原始序列(主)'!$B$5:$B$362,"&gt;"&amp;$B5,'02 原始序列(主)'!$B$5:$B$362,"&lt;="&amp;$C5))/D5)</f>
        <v/>
      </c>
      <c r="J5" s="33">
        <f>IF($D5&lt;2,"",('02 原始序列(主)'!$E$362-E5)/(F5-E5))</f>
        <v/>
      </c>
    </row>
    <row r="6">
      <c r="A6" s="34" t="inlineStr">
        <is>
          <t>近 3 个月</t>
        </is>
      </c>
      <c r="B6" s="35">
        <f>C6-90</f>
        <v/>
      </c>
      <c r="C6" s="35">
        <f>DATE(2026,7,28)</f>
        <v/>
      </c>
      <c r="D6" s="36">
        <f>COUNTIFS('02 原始序列(主)'!$B$5:$B$362,"&gt;"&amp;$B6,'02 原始序列(主)'!$B$5:$B$362,"&lt;="&amp;$C6)</f>
        <v/>
      </c>
      <c r="E6" s="37">
        <f>IF($D6&lt;1,"",MIN(O9:O366))</f>
        <v/>
      </c>
      <c r="F6" s="37">
        <f>IF($D6&lt;1,"",MAX(O9:O366))</f>
        <v/>
      </c>
      <c r="G6" s="37">
        <f>IF($D6&lt;1,"",MEDIAN(O9:O366))</f>
        <v/>
      </c>
      <c r="H6" s="38">
        <f>IF($D6&lt;20,"样本不足，不计算",(COUNTIFS('02 原始序列(主)'!$E$5:$E$362,"&lt;="&amp;'02 原始序列(主)'!$E$362,'02 原始序列(主)'!$B$5:$B$362,"&gt;"&amp;$B6,'02 原始序列(主)'!$B$5:$B$362,"&lt;="&amp;$C6))/D6)</f>
        <v/>
      </c>
      <c r="I6" s="38">
        <f>IF($D6&lt;20,"样本不足，不计算",(COUNTIFS('02 原始序列(主)'!$E$5:$E$362,"&lt;"&amp;'02 原始序列(主)'!$E$362,'02 原始序列(主)'!$B$5:$B$362,"&gt;"&amp;$B6,'02 原始序列(主)'!$B$5:$B$362,"&lt;="&amp;$C6)+0.5*COUNTIFS('02 原始序列(主)'!$E$5:$E$362,"="&amp;'02 原始序列(主)'!$E$362,'02 原始序列(主)'!$B$5:$B$362,"&gt;"&amp;$B6,'02 原始序列(主)'!$B$5:$B$362,"&lt;="&amp;$C6))/D6)</f>
        <v/>
      </c>
      <c r="J6" s="38">
        <f>IF($D6&lt;2,"",('02 原始序列(主)'!$E$362-E6)/(F6-E6))</f>
        <v/>
      </c>
    </row>
    <row r="7">
      <c r="A7" s="29" t="inlineStr">
        <is>
          <t>近 1 年</t>
        </is>
      </c>
      <c r="B7" s="30">
        <f>C7-365</f>
        <v/>
      </c>
      <c r="C7" s="30">
        <f>DATE(2026,7,28)</f>
        <v/>
      </c>
      <c r="D7" s="31">
        <f>COUNTIFS('02 原始序列(主)'!$B$5:$B$362,"&gt;"&amp;$B7,'02 原始序列(主)'!$B$5:$B$362,"&lt;="&amp;$C7)</f>
        <v/>
      </c>
      <c r="E7" s="32">
        <f>IF($D7&lt;1,"",MIN(P9:P366))</f>
        <v/>
      </c>
      <c r="F7" s="32">
        <f>IF($D7&lt;1,"",MAX(P9:P366))</f>
        <v/>
      </c>
      <c r="G7" s="32">
        <f>IF($D7&lt;1,"",MEDIAN(P9:P366))</f>
        <v/>
      </c>
      <c r="H7" s="33">
        <f>IF($D7&lt;20,"样本不足，不计算",(COUNTIFS('02 原始序列(主)'!$E$5:$E$362,"&lt;="&amp;'02 原始序列(主)'!$E$362,'02 原始序列(主)'!$B$5:$B$362,"&gt;"&amp;$B7,'02 原始序列(主)'!$B$5:$B$362,"&lt;="&amp;$C7))/D7)</f>
        <v/>
      </c>
      <c r="I7" s="33">
        <f>IF($D7&lt;20,"样本不足，不计算",(COUNTIFS('02 原始序列(主)'!$E$5:$E$362,"&lt;"&amp;'02 原始序列(主)'!$E$362,'02 原始序列(主)'!$B$5:$B$362,"&gt;"&amp;$B7,'02 原始序列(主)'!$B$5:$B$362,"&lt;="&amp;$C7)+0.5*COUNTIFS('02 原始序列(主)'!$E$5:$E$362,"="&amp;'02 原始序列(主)'!$E$362,'02 原始序列(主)'!$B$5:$B$362,"&gt;"&amp;$B7,'02 原始序列(主)'!$B$5:$B$362,"&lt;="&amp;$C7))/D7)</f>
        <v/>
      </c>
      <c r="J7" s="33">
        <f>IF($D7&lt;2,"",('02 原始序列(主)'!$E$362-E7)/(F7-E7))</f>
        <v/>
      </c>
      <c r="L7" s="39" t="inlineStr">
        <is>
          <t>辅助矩阵 · 各窗口内的真实现测取值（空白＝该日不在该窗口内，不参与计算）</t>
        </is>
      </c>
    </row>
    <row r="8">
      <c r="A8" s="34" t="inlineStr">
        <is>
          <t>近 3 年</t>
        </is>
      </c>
      <c r="B8" s="35">
        <f>C8-1095</f>
        <v/>
      </c>
      <c r="C8" s="35">
        <f>DATE(2026,7,28)</f>
        <v/>
      </c>
      <c r="D8" s="36">
        <f>COUNTIFS('02 原始序列(主)'!$B$5:$B$362,"&gt;"&amp;$B8,'02 原始序列(主)'!$B$5:$B$362,"&lt;="&amp;$C8)</f>
        <v/>
      </c>
      <c r="E8" s="37">
        <f>IF($D8&lt;1,"",MIN(Q9:Q366))</f>
        <v/>
      </c>
      <c r="F8" s="37">
        <f>IF($D8&lt;1,"",MAX(Q9:Q366))</f>
        <v/>
      </c>
      <c r="G8" s="37">
        <f>IF($D8&lt;1,"",MEDIAN(Q9:Q366))</f>
        <v/>
      </c>
      <c r="H8" s="38">
        <f>IF($D8&lt;20,"样本不足，不计算",(COUNTIFS('02 原始序列(主)'!$E$5:$E$362,"&lt;="&amp;'02 原始序列(主)'!$E$362,'02 原始序列(主)'!$B$5:$B$362,"&gt;"&amp;$B8,'02 原始序列(主)'!$B$5:$B$362,"&lt;="&amp;$C8))/D8)</f>
        <v/>
      </c>
      <c r="I8" s="38">
        <f>IF($D8&lt;20,"样本不足，不计算",(COUNTIFS('02 原始序列(主)'!$E$5:$E$362,"&lt;"&amp;'02 原始序列(主)'!$E$362,'02 原始序列(主)'!$B$5:$B$362,"&gt;"&amp;$B8,'02 原始序列(主)'!$B$5:$B$362,"&lt;="&amp;$C8)+0.5*COUNTIFS('02 原始序列(主)'!$E$5:$E$362,"="&amp;'02 原始序列(主)'!$E$362,'02 原始序列(主)'!$B$5:$B$362,"&gt;"&amp;$B8,'02 原始序列(主)'!$B$5:$B$362,"&lt;="&amp;$C8))/D8)</f>
        <v/>
      </c>
      <c r="J8" s="38">
        <f>IF($D8&lt;2,"",('02 原始序列(主)'!$E$362-E8)/(F8-E8))</f>
        <v/>
      </c>
      <c r="L8" s="40" t="inlineStr">
        <is>
          <t>日期</t>
        </is>
      </c>
      <c r="M8" s="40" t="inlineStr">
        <is>
          <t>主序列价格</t>
        </is>
      </c>
      <c r="N8" s="41" t="inlineStr">
        <is>
          <t>近 30 天</t>
        </is>
      </c>
      <c r="O8" s="41" t="inlineStr">
        <is>
          <t>近 3 个月</t>
        </is>
      </c>
      <c r="P8" s="41" t="inlineStr">
        <is>
          <t>近 1 年</t>
        </is>
      </c>
      <c r="Q8" s="41" t="inlineStr">
        <is>
          <t>近 3 年</t>
        </is>
      </c>
      <c r="R8" s="41" t="inlineStr">
        <is>
          <t>近 5 年</t>
        </is>
      </c>
    </row>
    <row r="9">
      <c r="A9" s="29" t="inlineStr">
        <is>
          <t>近 5 年</t>
        </is>
      </c>
      <c r="B9" s="30">
        <f>C9-1826</f>
        <v/>
      </c>
      <c r="C9" s="30">
        <f>DATE(2026,7,28)</f>
        <v/>
      </c>
      <c r="D9" s="31">
        <f>COUNTIFS('02 原始序列(主)'!$B$5:$B$362,"&gt;"&amp;$B9,'02 原始序列(主)'!$B$5:$B$362,"&lt;="&amp;$C9)</f>
        <v/>
      </c>
      <c r="E9" s="32">
        <f>IF($D9&lt;1,"",MIN(R9:R366))</f>
        <v/>
      </c>
      <c r="F9" s="32">
        <f>IF($D9&lt;1,"",MAX(R9:R366))</f>
        <v/>
      </c>
      <c r="G9" s="32">
        <f>IF($D9&lt;1,"",MEDIAN(R9:R366))</f>
        <v/>
      </c>
      <c r="H9" s="33">
        <f>IF($D9&lt;20,"样本不足，不计算",(COUNTIFS('02 原始序列(主)'!$E$5:$E$362,"&lt;="&amp;'02 原始序列(主)'!$E$362,'02 原始序列(主)'!$B$5:$B$362,"&gt;"&amp;$B9,'02 原始序列(主)'!$B$5:$B$362,"&lt;="&amp;$C9))/D9)</f>
        <v/>
      </c>
      <c r="I9" s="33">
        <f>IF($D9&lt;20,"样本不足，不计算",(COUNTIFS('02 原始序列(主)'!$E$5:$E$362,"&lt;"&amp;'02 原始序列(主)'!$E$362,'02 原始序列(主)'!$B$5:$B$362,"&gt;"&amp;$B9,'02 原始序列(主)'!$B$5:$B$362,"&lt;="&amp;$C9)+0.5*COUNTIFS('02 原始序列(主)'!$E$5:$E$362,"="&amp;'02 原始序列(主)'!$E$362,'02 原始序列(主)'!$B$5:$B$362,"&gt;"&amp;$B9,'02 原始序列(主)'!$B$5:$B$362,"&lt;="&amp;$C9))/D9)</f>
        <v/>
      </c>
      <c r="J9" s="33">
        <f>IF($D9&lt;2,"",('02 原始序列(主)'!$E$362-E9)/(F9-E9))</f>
        <v/>
      </c>
      <c r="L9" s="42" t="n">
        <v>45490</v>
      </c>
      <c r="M9" s="43" t="n">
        <v>2100</v>
      </c>
      <c r="N9" s="44">
        <f>IF(($L9&gt;$B$5)*($L9&lt;=$C$5),$M9,"")</f>
        <v/>
      </c>
      <c r="O9" s="44">
        <f>IF(($L9&gt;$B$6)*($L9&lt;=$C$6),$M9,"")</f>
        <v/>
      </c>
      <c r="P9" s="44">
        <f>IF(($L9&gt;$B$7)*($L9&lt;=$C$7),$M9,"")</f>
        <v/>
      </c>
      <c r="Q9" s="44">
        <f>IF(($L9&gt;$B$8)*($L9&lt;=$C$8),$M9,"")</f>
        <v/>
      </c>
      <c r="R9" s="44">
        <f>IF(($L9&gt;$B$9)*($L9&lt;=$C$9),$M9,"")</f>
        <v/>
      </c>
    </row>
    <row r="10">
      <c r="L10" s="42" t="n">
        <v>45491</v>
      </c>
      <c r="M10" s="43" t="n">
        <v>2100</v>
      </c>
      <c r="N10" s="44">
        <f>IF(($L10&gt;$B$5)*($L10&lt;=$C$5),$M10,"")</f>
        <v/>
      </c>
      <c r="O10" s="44">
        <f>IF(($L10&gt;$B$6)*($L10&lt;=$C$6),$M10,"")</f>
        <v/>
      </c>
      <c r="P10" s="44">
        <f>IF(($L10&gt;$B$7)*($L10&lt;=$C$7),$M10,"")</f>
        <v/>
      </c>
      <c r="Q10" s="44">
        <f>IF(($L10&gt;$B$8)*($L10&lt;=$C$8),$M10,"")</f>
        <v/>
      </c>
      <c r="R10" s="44">
        <f>IF(($L10&gt;$B$9)*($L10&lt;=$C$9),$M10,"")</f>
        <v/>
      </c>
    </row>
    <row r="11" ht="60" customHeight="1">
      <c r="A11" s="45" t="inlineStr">
        <is>
          <t>公式说明：D 列 =COUNT(条件区间) 得窗口内真实观测数；H 列 =(COUNTIF(≤当前价 且 在窗口内)) / n —— 这就是经验分位；I 列 把与当前价相等的观测按 0.5 计入（中位秩），用于抵消现货锯齿状并列值；J 列 =(当前价−最低)/(最高−最低)，&lt;b&gt;只是区间位置，不是分位&lt;/b&gt;。</t>
        </is>
      </c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L11" s="42" t="n">
        <v>45492</v>
      </c>
      <c r="M11" s="43" t="n">
        <v>2100</v>
      </c>
      <c r="N11" s="44">
        <f>IF(($L11&gt;$B$5)*($L11&lt;=$C$5),$M11,"")</f>
        <v/>
      </c>
      <c r="O11" s="44">
        <f>IF(($L11&gt;$B$6)*($L11&lt;=$C$6),$M11,"")</f>
        <v/>
      </c>
      <c r="P11" s="44">
        <f>IF(($L11&gt;$B$7)*($L11&lt;=$C$7),$M11,"")</f>
        <v/>
      </c>
      <c r="Q11" s="44">
        <f>IF(($L11&gt;$B$8)*($L11&lt;=$C$8),$M11,"")</f>
        <v/>
      </c>
      <c r="R11" s="44">
        <f>IF(($L11&gt;$B$9)*($L11&lt;=$C$9),$M11,"")</f>
        <v/>
      </c>
    </row>
    <row r="12">
      <c r="L12" s="42" t="n">
        <v>45495</v>
      </c>
      <c r="M12" s="43" t="n">
        <v>2100</v>
      </c>
      <c r="N12" s="44">
        <f>IF(($L12&gt;$B$5)*($L12&lt;=$C$5),$M12,"")</f>
        <v/>
      </c>
      <c r="O12" s="44">
        <f>IF(($L12&gt;$B$6)*($L12&lt;=$C$6),$M12,"")</f>
        <v/>
      </c>
      <c r="P12" s="44">
        <f>IF(($L12&gt;$B$7)*($L12&lt;=$C$7),$M12,"")</f>
        <v/>
      </c>
      <c r="Q12" s="44">
        <f>IF(($L12&gt;$B$8)*($L12&lt;=$C$8),$M12,"")</f>
        <v/>
      </c>
      <c r="R12" s="44">
        <f>IF(($L12&gt;$B$9)*($L12&lt;=$C$9),$M12,"")</f>
        <v/>
      </c>
    </row>
    <row r="13" ht="45" customHeight="1">
      <c r="A13" s="7" t="inlineStr">
        <is>
          <t>为什么必须区分这三个数：现货逐日报价大量取相同值，当当前价恰为窗口最低点时，含并列分位可能 0.7%、中位秩 0.4%、区间位置 0.0%——三个都对，含义完全不同。对外只说「经验分位」，并把算法写清楚。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L13" s="42" t="n">
        <v>45496</v>
      </c>
      <c r="M13" s="43" t="n">
        <v>2100</v>
      </c>
      <c r="N13" s="44">
        <f>IF(($L13&gt;$B$5)*($L13&lt;=$C$5),$M13,"")</f>
        <v/>
      </c>
      <c r="O13" s="44">
        <f>IF(($L13&gt;$B$6)*($L13&lt;=$C$6),$M13,"")</f>
        <v/>
      </c>
      <c r="P13" s="44">
        <f>IF(($L13&gt;$B$7)*($L13&lt;=$C$7),$M13,"")</f>
        <v/>
      </c>
      <c r="Q13" s="44">
        <f>IF(($L13&gt;$B$8)*($L13&lt;=$C$8),$M13,"")</f>
        <v/>
      </c>
      <c r="R13" s="44">
        <f>IF(($L13&gt;$B$9)*($L13&lt;=$C$9),$M13,"")</f>
        <v/>
      </c>
    </row>
    <row r="14">
      <c r="L14" s="42" t="n">
        <v>45497</v>
      </c>
      <c r="M14" s="43" t="n">
        <v>2100</v>
      </c>
      <c r="N14" s="44">
        <f>IF(($L14&gt;$B$5)*($L14&lt;=$C$5),$M14,"")</f>
        <v/>
      </c>
      <c r="O14" s="44">
        <f>IF(($L14&gt;$B$6)*($L14&lt;=$C$6),$M14,"")</f>
        <v/>
      </c>
      <c r="P14" s="44">
        <f>IF(($L14&gt;$B$7)*($L14&lt;=$C$7),$M14,"")</f>
        <v/>
      </c>
      <c r="Q14" s="44">
        <f>IF(($L14&gt;$B$8)*($L14&lt;=$C$8),$M14,"")</f>
        <v/>
      </c>
      <c r="R14" s="44">
        <f>IF(($L14&gt;$B$9)*($L14&lt;=$C$9),$M14,"")</f>
        <v/>
      </c>
    </row>
    <row r="15">
      <c r="L15" s="42" t="n">
        <v>45498</v>
      </c>
      <c r="M15" s="43" t="n">
        <v>2100</v>
      </c>
      <c r="N15" s="44">
        <f>IF(($L15&gt;$B$5)*($L15&lt;=$C$5),$M15,"")</f>
        <v/>
      </c>
      <c r="O15" s="44">
        <f>IF(($L15&gt;$B$6)*($L15&lt;=$C$6),$M15,"")</f>
        <v/>
      </c>
      <c r="P15" s="44">
        <f>IF(($L15&gt;$B$7)*($L15&lt;=$C$7),$M15,"")</f>
        <v/>
      </c>
      <c r="Q15" s="44">
        <f>IF(($L15&gt;$B$8)*($L15&lt;=$C$8),$M15,"")</f>
        <v/>
      </c>
      <c r="R15" s="44">
        <f>IF(($L15&gt;$B$9)*($L15&lt;=$C$9),$M15,"")</f>
        <v/>
      </c>
    </row>
    <row r="16">
      <c r="L16" s="42" t="n">
        <v>45499</v>
      </c>
      <c r="M16" s="43" t="n">
        <v>2100</v>
      </c>
      <c r="N16" s="44">
        <f>IF(($L16&gt;$B$5)*($L16&lt;=$C$5),$M16,"")</f>
        <v/>
      </c>
      <c r="O16" s="44">
        <f>IF(($L16&gt;$B$6)*($L16&lt;=$C$6),$M16,"")</f>
        <v/>
      </c>
      <c r="P16" s="44">
        <f>IF(($L16&gt;$B$7)*($L16&lt;=$C$7),$M16,"")</f>
        <v/>
      </c>
      <c r="Q16" s="44">
        <f>IF(($L16&gt;$B$8)*($L16&lt;=$C$8),$M16,"")</f>
        <v/>
      </c>
      <c r="R16" s="44">
        <f>IF(($L16&gt;$B$9)*($L16&lt;=$C$9),$M16,"")</f>
        <v/>
      </c>
    </row>
    <row r="17">
      <c r="L17" s="42" t="n">
        <v>45502</v>
      </c>
      <c r="M17" s="43" t="n">
        <v>2025</v>
      </c>
      <c r="N17" s="44">
        <f>IF(($L17&gt;$B$5)*($L17&lt;=$C$5),$M17,"")</f>
        <v/>
      </c>
      <c r="O17" s="44">
        <f>IF(($L17&gt;$B$6)*($L17&lt;=$C$6),$M17,"")</f>
        <v/>
      </c>
      <c r="P17" s="44">
        <f>IF(($L17&gt;$B$7)*($L17&lt;=$C$7),$M17,"")</f>
        <v/>
      </c>
      <c r="Q17" s="44">
        <f>IF(($L17&gt;$B$8)*($L17&lt;=$C$8),$M17,"")</f>
        <v/>
      </c>
      <c r="R17" s="44">
        <f>IF(($L17&gt;$B$9)*($L17&lt;=$C$9),$M17,"")</f>
        <v/>
      </c>
    </row>
    <row r="18">
      <c r="L18" s="42" t="n">
        <v>45503</v>
      </c>
      <c r="M18" s="43" t="n">
        <v>2025</v>
      </c>
      <c r="N18" s="44">
        <f>IF(($L18&gt;$B$5)*($L18&lt;=$C$5),$M18,"")</f>
        <v/>
      </c>
      <c r="O18" s="44">
        <f>IF(($L18&gt;$B$6)*($L18&lt;=$C$6),$M18,"")</f>
        <v/>
      </c>
      <c r="P18" s="44">
        <f>IF(($L18&gt;$B$7)*($L18&lt;=$C$7),$M18,"")</f>
        <v/>
      </c>
      <c r="Q18" s="44">
        <f>IF(($L18&gt;$B$8)*($L18&lt;=$C$8),$M18,"")</f>
        <v/>
      </c>
      <c r="R18" s="44">
        <f>IF(($L18&gt;$B$9)*($L18&lt;=$C$9),$M18,"")</f>
        <v/>
      </c>
    </row>
    <row r="19">
      <c r="L19" s="42" t="n">
        <v>45504</v>
      </c>
      <c r="M19" s="43" t="n">
        <v>2000</v>
      </c>
      <c r="N19" s="44">
        <f>IF(($L19&gt;$B$5)*($L19&lt;=$C$5),$M19,"")</f>
        <v/>
      </c>
      <c r="O19" s="44">
        <f>IF(($L19&gt;$B$6)*($L19&lt;=$C$6),$M19,"")</f>
        <v/>
      </c>
      <c r="P19" s="44">
        <f>IF(($L19&gt;$B$7)*($L19&lt;=$C$7),$M19,"")</f>
        <v/>
      </c>
      <c r="Q19" s="44">
        <f>IF(($L19&gt;$B$8)*($L19&lt;=$C$8),$M19,"")</f>
        <v/>
      </c>
      <c r="R19" s="44">
        <f>IF(($L19&gt;$B$9)*($L19&lt;=$C$9),$M19,"")</f>
        <v/>
      </c>
    </row>
    <row r="20">
      <c r="L20" s="42" t="n">
        <v>45505</v>
      </c>
      <c r="M20" s="43" t="n">
        <v>2000</v>
      </c>
      <c r="N20" s="44">
        <f>IF(($L20&gt;$B$5)*($L20&lt;=$C$5),$M20,"")</f>
        <v/>
      </c>
      <c r="O20" s="44">
        <f>IF(($L20&gt;$B$6)*($L20&lt;=$C$6),$M20,"")</f>
        <v/>
      </c>
      <c r="P20" s="44">
        <f>IF(($L20&gt;$B$7)*($L20&lt;=$C$7),$M20,"")</f>
        <v/>
      </c>
      <c r="Q20" s="44">
        <f>IF(($L20&gt;$B$8)*($L20&lt;=$C$8),$M20,"")</f>
        <v/>
      </c>
      <c r="R20" s="44">
        <f>IF(($L20&gt;$B$9)*($L20&lt;=$C$9),$M20,"")</f>
        <v/>
      </c>
    </row>
    <row r="21">
      <c r="L21" s="42" t="n">
        <v>45506</v>
      </c>
      <c r="M21" s="43" t="n">
        <v>2000</v>
      </c>
      <c r="N21" s="44">
        <f>IF(($L21&gt;$B$5)*($L21&lt;=$C$5),$M21,"")</f>
        <v/>
      </c>
      <c r="O21" s="44">
        <f>IF(($L21&gt;$B$6)*($L21&lt;=$C$6),$M21,"")</f>
        <v/>
      </c>
      <c r="P21" s="44">
        <f>IF(($L21&gt;$B$7)*($L21&lt;=$C$7),$M21,"")</f>
        <v/>
      </c>
      <c r="Q21" s="44">
        <f>IF(($L21&gt;$B$8)*($L21&lt;=$C$8),$M21,"")</f>
        <v/>
      </c>
      <c r="R21" s="44">
        <f>IF(($L21&gt;$B$9)*($L21&lt;=$C$9),$M21,"")</f>
        <v/>
      </c>
    </row>
    <row r="22">
      <c r="L22" s="42" t="n">
        <v>45509</v>
      </c>
      <c r="M22" s="43" t="n">
        <v>2000</v>
      </c>
      <c r="N22" s="44">
        <f>IF(($L22&gt;$B$5)*($L22&lt;=$C$5),$M22,"")</f>
        <v/>
      </c>
      <c r="O22" s="44">
        <f>IF(($L22&gt;$B$6)*($L22&lt;=$C$6),$M22,"")</f>
        <v/>
      </c>
      <c r="P22" s="44">
        <f>IF(($L22&gt;$B$7)*($L22&lt;=$C$7),$M22,"")</f>
        <v/>
      </c>
      <c r="Q22" s="44">
        <f>IF(($L22&gt;$B$8)*($L22&lt;=$C$8),$M22,"")</f>
        <v/>
      </c>
      <c r="R22" s="44">
        <f>IF(($L22&gt;$B$9)*($L22&lt;=$C$9),$M22,"")</f>
        <v/>
      </c>
    </row>
    <row r="23">
      <c r="L23" s="42" t="n">
        <v>45510</v>
      </c>
      <c r="M23" s="43" t="n">
        <v>2000</v>
      </c>
      <c r="N23" s="44">
        <f>IF(($L23&gt;$B$5)*($L23&lt;=$C$5),$M23,"")</f>
        <v/>
      </c>
      <c r="O23" s="44">
        <f>IF(($L23&gt;$B$6)*($L23&lt;=$C$6),$M23,"")</f>
        <v/>
      </c>
      <c r="P23" s="44">
        <f>IF(($L23&gt;$B$7)*($L23&lt;=$C$7),$M23,"")</f>
        <v/>
      </c>
      <c r="Q23" s="44">
        <f>IF(($L23&gt;$B$8)*($L23&lt;=$C$8),$M23,"")</f>
        <v/>
      </c>
      <c r="R23" s="44">
        <f>IF(($L23&gt;$B$9)*($L23&lt;=$C$9),$M23,"")</f>
        <v/>
      </c>
    </row>
    <row r="24">
      <c r="L24" s="42" t="n">
        <v>45511</v>
      </c>
      <c r="M24" s="43" t="n">
        <v>2000</v>
      </c>
      <c r="N24" s="44">
        <f>IF(($L24&gt;$B$5)*($L24&lt;=$C$5),$M24,"")</f>
        <v/>
      </c>
      <c r="O24" s="44">
        <f>IF(($L24&gt;$B$6)*($L24&lt;=$C$6),$M24,"")</f>
        <v/>
      </c>
      <c r="P24" s="44">
        <f>IF(($L24&gt;$B$7)*($L24&lt;=$C$7),$M24,"")</f>
        <v/>
      </c>
      <c r="Q24" s="44">
        <f>IF(($L24&gt;$B$8)*($L24&lt;=$C$8),$M24,"")</f>
        <v/>
      </c>
      <c r="R24" s="44">
        <f>IF(($L24&gt;$B$9)*($L24&lt;=$C$9),$M24,"")</f>
        <v/>
      </c>
    </row>
    <row r="25">
      <c r="L25" s="42" t="n">
        <v>45512</v>
      </c>
      <c r="M25" s="43" t="n">
        <v>2000</v>
      </c>
      <c r="N25" s="44">
        <f>IF(($L25&gt;$B$5)*($L25&lt;=$C$5),$M25,"")</f>
        <v/>
      </c>
      <c r="O25" s="44">
        <f>IF(($L25&gt;$B$6)*($L25&lt;=$C$6),$M25,"")</f>
        <v/>
      </c>
      <c r="P25" s="44">
        <f>IF(($L25&gt;$B$7)*($L25&lt;=$C$7),$M25,"")</f>
        <v/>
      </c>
      <c r="Q25" s="44">
        <f>IF(($L25&gt;$B$8)*($L25&lt;=$C$8),$M25,"")</f>
        <v/>
      </c>
      <c r="R25" s="44">
        <f>IF(($L25&gt;$B$9)*($L25&lt;=$C$9),$M25,"")</f>
        <v/>
      </c>
    </row>
    <row r="26">
      <c r="L26" s="42" t="n">
        <v>45513</v>
      </c>
      <c r="M26" s="43" t="n">
        <v>2000</v>
      </c>
      <c r="N26" s="44">
        <f>IF(($L26&gt;$B$5)*($L26&lt;=$C$5),$M26,"")</f>
        <v/>
      </c>
      <c r="O26" s="44">
        <f>IF(($L26&gt;$B$6)*($L26&lt;=$C$6),$M26,"")</f>
        <v/>
      </c>
      <c r="P26" s="44">
        <f>IF(($L26&gt;$B$7)*($L26&lt;=$C$7),$M26,"")</f>
        <v/>
      </c>
      <c r="Q26" s="44">
        <f>IF(($L26&gt;$B$8)*($L26&lt;=$C$8),$M26,"")</f>
        <v/>
      </c>
      <c r="R26" s="44">
        <f>IF(($L26&gt;$B$9)*($L26&lt;=$C$9),$M26,"")</f>
        <v/>
      </c>
    </row>
    <row r="27">
      <c r="L27" s="42" t="n">
        <v>45516</v>
      </c>
      <c r="M27" s="43" t="n">
        <v>1925</v>
      </c>
      <c r="N27" s="44">
        <f>IF(($L27&gt;$B$5)*($L27&lt;=$C$5),$M27,"")</f>
        <v/>
      </c>
      <c r="O27" s="44">
        <f>IF(($L27&gt;$B$6)*($L27&lt;=$C$6),$M27,"")</f>
        <v/>
      </c>
      <c r="P27" s="44">
        <f>IF(($L27&gt;$B$7)*($L27&lt;=$C$7),$M27,"")</f>
        <v/>
      </c>
      <c r="Q27" s="44">
        <f>IF(($L27&gt;$B$8)*($L27&lt;=$C$8),$M27,"")</f>
        <v/>
      </c>
      <c r="R27" s="44">
        <f>IF(($L27&gt;$B$9)*($L27&lt;=$C$9),$M27,"")</f>
        <v/>
      </c>
    </row>
    <row r="28">
      <c r="L28" s="42" t="n">
        <v>45517</v>
      </c>
      <c r="M28" s="43" t="n">
        <v>1925</v>
      </c>
      <c r="N28" s="44">
        <f>IF(($L28&gt;$B$5)*($L28&lt;=$C$5),$M28,"")</f>
        <v/>
      </c>
      <c r="O28" s="44">
        <f>IF(($L28&gt;$B$6)*($L28&lt;=$C$6),$M28,"")</f>
        <v/>
      </c>
      <c r="P28" s="44">
        <f>IF(($L28&gt;$B$7)*($L28&lt;=$C$7),$M28,"")</f>
        <v/>
      </c>
      <c r="Q28" s="44">
        <f>IF(($L28&gt;$B$8)*($L28&lt;=$C$8),$M28,"")</f>
        <v/>
      </c>
      <c r="R28" s="44">
        <f>IF(($L28&gt;$B$9)*($L28&lt;=$C$9),$M28,"")</f>
        <v/>
      </c>
    </row>
    <row r="29">
      <c r="L29" s="42" t="n">
        <v>45518</v>
      </c>
      <c r="M29" s="43" t="n">
        <v>1925</v>
      </c>
      <c r="N29" s="44">
        <f>IF(($L29&gt;$B$5)*($L29&lt;=$C$5),$M29,"")</f>
        <v/>
      </c>
      <c r="O29" s="44">
        <f>IF(($L29&gt;$B$6)*($L29&lt;=$C$6),$M29,"")</f>
        <v/>
      </c>
      <c r="P29" s="44">
        <f>IF(($L29&gt;$B$7)*($L29&lt;=$C$7),$M29,"")</f>
        <v/>
      </c>
      <c r="Q29" s="44">
        <f>IF(($L29&gt;$B$8)*($L29&lt;=$C$8),$M29,"")</f>
        <v/>
      </c>
      <c r="R29" s="44">
        <f>IF(($L29&gt;$B$9)*($L29&lt;=$C$9),$M29,"")</f>
        <v/>
      </c>
    </row>
    <row r="30">
      <c r="L30" s="42" t="n">
        <v>45519</v>
      </c>
      <c r="M30" s="43" t="n">
        <v>1925</v>
      </c>
      <c r="N30" s="44">
        <f>IF(($L30&gt;$B$5)*($L30&lt;=$C$5),$M30,"")</f>
        <v/>
      </c>
      <c r="O30" s="44">
        <f>IF(($L30&gt;$B$6)*($L30&lt;=$C$6),$M30,"")</f>
        <v/>
      </c>
      <c r="P30" s="44">
        <f>IF(($L30&gt;$B$7)*($L30&lt;=$C$7),$M30,"")</f>
        <v/>
      </c>
      <c r="Q30" s="44">
        <f>IF(($L30&gt;$B$8)*($L30&lt;=$C$8),$M30,"")</f>
        <v/>
      </c>
      <c r="R30" s="44">
        <f>IF(($L30&gt;$B$9)*($L30&lt;=$C$9),$M30,"")</f>
        <v/>
      </c>
    </row>
    <row r="31">
      <c r="L31" s="42" t="n">
        <v>45520</v>
      </c>
      <c r="M31" s="43" t="n">
        <v>1925</v>
      </c>
      <c r="N31" s="44">
        <f>IF(($L31&gt;$B$5)*($L31&lt;=$C$5),$M31,"")</f>
        <v/>
      </c>
      <c r="O31" s="44">
        <f>IF(($L31&gt;$B$6)*($L31&lt;=$C$6),$M31,"")</f>
        <v/>
      </c>
      <c r="P31" s="44">
        <f>IF(($L31&gt;$B$7)*($L31&lt;=$C$7),$M31,"")</f>
        <v/>
      </c>
      <c r="Q31" s="44">
        <f>IF(($L31&gt;$B$8)*($L31&lt;=$C$8),$M31,"")</f>
        <v/>
      </c>
      <c r="R31" s="44">
        <f>IF(($L31&gt;$B$9)*($L31&lt;=$C$9),$M31,"")</f>
        <v/>
      </c>
    </row>
    <row r="32">
      <c r="L32" s="42" t="n">
        <v>45523</v>
      </c>
      <c r="M32" s="43" t="n">
        <v>1925</v>
      </c>
      <c r="N32" s="44">
        <f>IF(($L32&gt;$B$5)*($L32&lt;=$C$5),$M32,"")</f>
        <v/>
      </c>
      <c r="O32" s="44">
        <f>IF(($L32&gt;$B$6)*($L32&lt;=$C$6),$M32,"")</f>
        <v/>
      </c>
      <c r="P32" s="44">
        <f>IF(($L32&gt;$B$7)*($L32&lt;=$C$7),$M32,"")</f>
        <v/>
      </c>
      <c r="Q32" s="44">
        <f>IF(($L32&gt;$B$8)*($L32&lt;=$C$8),$M32,"")</f>
        <v/>
      </c>
      <c r="R32" s="44">
        <f>IF(($L32&gt;$B$9)*($L32&lt;=$C$9),$M32,"")</f>
        <v/>
      </c>
    </row>
    <row r="33">
      <c r="L33" s="42" t="n">
        <v>45524</v>
      </c>
      <c r="M33" s="43" t="n">
        <v>1925</v>
      </c>
      <c r="N33" s="44">
        <f>IF(($L33&gt;$B$5)*($L33&lt;=$C$5),$M33,"")</f>
        <v/>
      </c>
      <c r="O33" s="44">
        <f>IF(($L33&gt;$B$6)*($L33&lt;=$C$6),$M33,"")</f>
        <v/>
      </c>
      <c r="P33" s="44">
        <f>IF(($L33&gt;$B$7)*($L33&lt;=$C$7),$M33,"")</f>
        <v/>
      </c>
      <c r="Q33" s="44">
        <f>IF(($L33&gt;$B$8)*($L33&lt;=$C$8),$M33,"")</f>
        <v/>
      </c>
      <c r="R33" s="44">
        <f>IF(($L33&gt;$B$9)*($L33&lt;=$C$9),$M33,"")</f>
        <v/>
      </c>
    </row>
    <row r="34">
      <c r="L34" s="42" t="n">
        <v>45525</v>
      </c>
      <c r="M34" s="43" t="n">
        <v>1925</v>
      </c>
      <c r="N34" s="44">
        <f>IF(($L34&gt;$B$5)*($L34&lt;=$C$5),$M34,"")</f>
        <v/>
      </c>
      <c r="O34" s="44">
        <f>IF(($L34&gt;$B$6)*($L34&lt;=$C$6),$M34,"")</f>
        <v/>
      </c>
      <c r="P34" s="44">
        <f>IF(($L34&gt;$B$7)*($L34&lt;=$C$7),$M34,"")</f>
        <v/>
      </c>
      <c r="Q34" s="44">
        <f>IF(($L34&gt;$B$8)*($L34&lt;=$C$8),$M34,"")</f>
        <v/>
      </c>
      <c r="R34" s="44">
        <f>IF(($L34&gt;$B$9)*($L34&lt;=$C$9),$M34,"")</f>
        <v/>
      </c>
    </row>
    <row r="35">
      <c r="L35" s="42" t="n">
        <v>45526</v>
      </c>
      <c r="M35" s="43" t="n">
        <v>1925</v>
      </c>
      <c r="N35" s="44">
        <f>IF(($L35&gt;$B$5)*($L35&lt;=$C$5),$M35,"")</f>
        <v/>
      </c>
      <c r="O35" s="44">
        <f>IF(($L35&gt;$B$6)*($L35&lt;=$C$6),$M35,"")</f>
        <v/>
      </c>
      <c r="P35" s="44">
        <f>IF(($L35&gt;$B$7)*($L35&lt;=$C$7),$M35,"")</f>
        <v/>
      </c>
      <c r="Q35" s="44">
        <f>IF(($L35&gt;$B$8)*($L35&lt;=$C$8),$M35,"")</f>
        <v/>
      </c>
      <c r="R35" s="44">
        <f>IF(($L35&gt;$B$9)*($L35&lt;=$C$9),$M35,"")</f>
        <v/>
      </c>
    </row>
    <row r="36">
      <c r="L36" s="42" t="n">
        <v>45527</v>
      </c>
      <c r="M36" s="43" t="n">
        <v>1925</v>
      </c>
      <c r="N36" s="44">
        <f>IF(($L36&gt;$B$5)*($L36&lt;=$C$5),$M36,"")</f>
        <v/>
      </c>
      <c r="O36" s="44">
        <f>IF(($L36&gt;$B$6)*($L36&lt;=$C$6),$M36,"")</f>
        <v/>
      </c>
      <c r="P36" s="44">
        <f>IF(($L36&gt;$B$7)*($L36&lt;=$C$7),$M36,"")</f>
        <v/>
      </c>
      <c r="Q36" s="44">
        <f>IF(($L36&gt;$B$8)*($L36&lt;=$C$8),$M36,"")</f>
        <v/>
      </c>
      <c r="R36" s="44">
        <f>IF(($L36&gt;$B$9)*($L36&lt;=$C$9),$M36,"")</f>
        <v/>
      </c>
    </row>
    <row r="37">
      <c r="L37" s="42" t="n">
        <v>45530</v>
      </c>
      <c r="M37" s="43" t="n">
        <v>1875</v>
      </c>
      <c r="N37" s="44">
        <f>IF(($L37&gt;$B$5)*($L37&lt;=$C$5),$M37,"")</f>
        <v/>
      </c>
      <c r="O37" s="44">
        <f>IF(($L37&gt;$B$6)*($L37&lt;=$C$6),$M37,"")</f>
        <v/>
      </c>
      <c r="P37" s="44">
        <f>IF(($L37&gt;$B$7)*($L37&lt;=$C$7),$M37,"")</f>
        <v/>
      </c>
      <c r="Q37" s="44">
        <f>IF(($L37&gt;$B$8)*($L37&lt;=$C$8),$M37,"")</f>
        <v/>
      </c>
      <c r="R37" s="44">
        <f>IF(($L37&gt;$B$9)*($L37&lt;=$C$9),$M37,"")</f>
        <v/>
      </c>
    </row>
    <row r="38">
      <c r="L38" s="42" t="n">
        <v>45531</v>
      </c>
      <c r="M38" s="43" t="n">
        <v>1875</v>
      </c>
      <c r="N38" s="44">
        <f>IF(($L38&gt;$B$5)*($L38&lt;=$C$5),$M38,"")</f>
        <v/>
      </c>
      <c r="O38" s="44">
        <f>IF(($L38&gt;$B$6)*($L38&lt;=$C$6),$M38,"")</f>
        <v/>
      </c>
      <c r="P38" s="44">
        <f>IF(($L38&gt;$B$7)*($L38&lt;=$C$7),$M38,"")</f>
        <v/>
      </c>
      <c r="Q38" s="44">
        <f>IF(($L38&gt;$B$8)*($L38&lt;=$C$8),$M38,"")</f>
        <v/>
      </c>
      <c r="R38" s="44">
        <f>IF(($L38&gt;$B$9)*($L38&lt;=$C$9),$M38,"")</f>
        <v/>
      </c>
    </row>
    <row r="39">
      <c r="L39" s="42" t="n">
        <v>45532</v>
      </c>
      <c r="M39" s="43" t="n">
        <v>1875</v>
      </c>
      <c r="N39" s="44">
        <f>IF(($L39&gt;$B$5)*($L39&lt;=$C$5),$M39,"")</f>
        <v/>
      </c>
      <c r="O39" s="44">
        <f>IF(($L39&gt;$B$6)*($L39&lt;=$C$6),$M39,"")</f>
        <v/>
      </c>
      <c r="P39" s="44">
        <f>IF(($L39&gt;$B$7)*($L39&lt;=$C$7),$M39,"")</f>
        <v/>
      </c>
      <c r="Q39" s="44">
        <f>IF(($L39&gt;$B$8)*($L39&lt;=$C$8),$M39,"")</f>
        <v/>
      </c>
      <c r="R39" s="44">
        <f>IF(($L39&gt;$B$9)*($L39&lt;=$C$9),$M39,"")</f>
        <v/>
      </c>
    </row>
    <row r="40">
      <c r="L40" s="42" t="n">
        <v>45533</v>
      </c>
      <c r="M40" s="43" t="n">
        <v>1875</v>
      </c>
      <c r="N40" s="44">
        <f>IF(($L40&gt;$B$5)*($L40&lt;=$C$5),$M40,"")</f>
        <v/>
      </c>
      <c r="O40" s="44">
        <f>IF(($L40&gt;$B$6)*($L40&lt;=$C$6),$M40,"")</f>
        <v/>
      </c>
      <c r="P40" s="44">
        <f>IF(($L40&gt;$B$7)*($L40&lt;=$C$7),$M40,"")</f>
        <v/>
      </c>
      <c r="Q40" s="44">
        <f>IF(($L40&gt;$B$8)*($L40&lt;=$C$8),$M40,"")</f>
        <v/>
      </c>
      <c r="R40" s="44">
        <f>IF(($L40&gt;$B$9)*($L40&lt;=$C$9),$M40,"")</f>
        <v/>
      </c>
    </row>
    <row r="41">
      <c r="L41" s="42" t="n">
        <v>45534</v>
      </c>
      <c r="M41" s="43" t="n">
        <v>1875</v>
      </c>
      <c r="N41" s="44">
        <f>IF(($L41&gt;$B$5)*($L41&lt;=$C$5),$M41,"")</f>
        <v/>
      </c>
      <c r="O41" s="44">
        <f>IF(($L41&gt;$B$6)*($L41&lt;=$C$6),$M41,"")</f>
        <v/>
      </c>
      <c r="P41" s="44">
        <f>IF(($L41&gt;$B$7)*($L41&lt;=$C$7),$M41,"")</f>
        <v/>
      </c>
      <c r="Q41" s="44">
        <f>IF(($L41&gt;$B$8)*($L41&lt;=$C$8),$M41,"")</f>
        <v/>
      </c>
      <c r="R41" s="44">
        <f>IF(($L41&gt;$B$9)*($L41&lt;=$C$9),$M41,"")</f>
        <v/>
      </c>
    </row>
    <row r="42">
      <c r="L42" s="42" t="n">
        <v>45537</v>
      </c>
      <c r="M42" s="43" t="n">
        <v>1750</v>
      </c>
      <c r="N42" s="44">
        <f>IF(($L42&gt;$B$5)*($L42&lt;=$C$5),$M42,"")</f>
        <v/>
      </c>
      <c r="O42" s="44">
        <f>IF(($L42&gt;$B$6)*($L42&lt;=$C$6),$M42,"")</f>
        <v/>
      </c>
      <c r="P42" s="44">
        <f>IF(($L42&gt;$B$7)*($L42&lt;=$C$7),$M42,"")</f>
        <v/>
      </c>
      <c r="Q42" s="44">
        <f>IF(($L42&gt;$B$8)*($L42&lt;=$C$8),$M42,"")</f>
        <v/>
      </c>
      <c r="R42" s="44">
        <f>IF(($L42&gt;$B$9)*($L42&lt;=$C$9),$M42,"")</f>
        <v/>
      </c>
    </row>
    <row r="43">
      <c r="L43" s="42" t="n">
        <v>45538</v>
      </c>
      <c r="M43" s="43" t="n">
        <v>1750</v>
      </c>
      <c r="N43" s="44">
        <f>IF(($L43&gt;$B$5)*($L43&lt;=$C$5),$M43,"")</f>
        <v/>
      </c>
      <c r="O43" s="44">
        <f>IF(($L43&gt;$B$6)*($L43&lt;=$C$6),$M43,"")</f>
        <v/>
      </c>
      <c r="P43" s="44">
        <f>IF(($L43&gt;$B$7)*($L43&lt;=$C$7),$M43,"")</f>
        <v/>
      </c>
      <c r="Q43" s="44">
        <f>IF(($L43&gt;$B$8)*($L43&lt;=$C$8),$M43,"")</f>
        <v/>
      </c>
      <c r="R43" s="44">
        <f>IF(($L43&gt;$B$9)*($L43&lt;=$C$9),$M43,"")</f>
        <v/>
      </c>
    </row>
    <row r="44">
      <c r="L44" s="42" t="n">
        <v>45539</v>
      </c>
      <c r="M44" s="43" t="n">
        <v>1700</v>
      </c>
      <c r="N44" s="44">
        <f>IF(($L44&gt;$B$5)*($L44&lt;=$C$5),$M44,"")</f>
        <v/>
      </c>
      <c r="O44" s="44">
        <f>IF(($L44&gt;$B$6)*($L44&lt;=$C$6),$M44,"")</f>
        <v/>
      </c>
      <c r="P44" s="44">
        <f>IF(($L44&gt;$B$7)*($L44&lt;=$C$7),$M44,"")</f>
        <v/>
      </c>
      <c r="Q44" s="44">
        <f>IF(($L44&gt;$B$8)*($L44&lt;=$C$8),$M44,"")</f>
        <v/>
      </c>
      <c r="R44" s="44">
        <f>IF(($L44&gt;$B$9)*($L44&lt;=$C$9),$M44,"")</f>
        <v/>
      </c>
    </row>
    <row r="45">
      <c r="L45" s="42" t="n">
        <v>45540</v>
      </c>
      <c r="M45" s="43" t="n">
        <v>1700</v>
      </c>
      <c r="N45" s="44">
        <f>IF(($L45&gt;$B$5)*($L45&lt;=$C$5),$M45,"")</f>
        <v/>
      </c>
      <c r="O45" s="44">
        <f>IF(($L45&gt;$B$6)*($L45&lt;=$C$6),$M45,"")</f>
        <v/>
      </c>
      <c r="P45" s="44">
        <f>IF(($L45&gt;$B$7)*($L45&lt;=$C$7),$M45,"")</f>
        <v/>
      </c>
      <c r="Q45" s="44">
        <f>IF(($L45&gt;$B$8)*($L45&lt;=$C$8),$M45,"")</f>
        <v/>
      </c>
      <c r="R45" s="44">
        <f>IF(($L45&gt;$B$9)*($L45&lt;=$C$9),$M45,"")</f>
        <v/>
      </c>
    </row>
    <row r="46">
      <c r="L46" s="42" t="n">
        <v>45541</v>
      </c>
      <c r="M46" s="43" t="n">
        <v>1700</v>
      </c>
      <c r="N46" s="44">
        <f>IF(($L46&gt;$B$5)*($L46&lt;=$C$5),$M46,"")</f>
        <v/>
      </c>
      <c r="O46" s="44">
        <f>IF(($L46&gt;$B$6)*($L46&lt;=$C$6),$M46,"")</f>
        <v/>
      </c>
      <c r="P46" s="44">
        <f>IF(($L46&gt;$B$7)*($L46&lt;=$C$7),$M46,"")</f>
        <v/>
      </c>
      <c r="Q46" s="44">
        <f>IF(($L46&gt;$B$8)*($L46&lt;=$C$8),$M46,"")</f>
        <v/>
      </c>
      <c r="R46" s="44">
        <f>IF(($L46&gt;$B$9)*($L46&lt;=$C$9),$M46,"")</f>
        <v/>
      </c>
    </row>
    <row r="47">
      <c r="L47" s="42" t="n">
        <v>45544</v>
      </c>
      <c r="M47" s="43" t="n">
        <v>1675</v>
      </c>
      <c r="N47" s="44">
        <f>IF(($L47&gt;$B$5)*($L47&lt;=$C$5),$M47,"")</f>
        <v/>
      </c>
      <c r="O47" s="44">
        <f>IF(($L47&gt;$B$6)*($L47&lt;=$C$6),$M47,"")</f>
        <v/>
      </c>
      <c r="P47" s="44">
        <f>IF(($L47&gt;$B$7)*($L47&lt;=$C$7),$M47,"")</f>
        <v/>
      </c>
      <c r="Q47" s="44">
        <f>IF(($L47&gt;$B$8)*($L47&lt;=$C$8),$M47,"")</f>
        <v/>
      </c>
      <c r="R47" s="44">
        <f>IF(($L47&gt;$B$9)*($L47&lt;=$C$9),$M47,"")</f>
        <v/>
      </c>
    </row>
    <row r="48">
      <c r="L48" s="42" t="n">
        <v>45545</v>
      </c>
      <c r="M48" s="43" t="n">
        <v>1675</v>
      </c>
      <c r="N48" s="44">
        <f>IF(($L48&gt;$B$5)*($L48&lt;=$C$5),$M48,"")</f>
        <v/>
      </c>
      <c r="O48" s="44">
        <f>IF(($L48&gt;$B$6)*($L48&lt;=$C$6),$M48,"")</f>
        <v/>
      </c>
      <c r="P48" s="44">
        <f>IF(($L48&gt;$B$7)*($L48&lt;=$C$7),$M48,"")</f>
        <v/>
      </c>
      <c r="Q48" s="44">
        <f>IF(($L48&gt;$B$8)*($L48&lt;=$C$8),$M48,"")</f>
        <v/>
      </c>
      <c r="R48" s="44">
        <f>IF(($L48&gt;$B$9)*($L48&lt;=$C$9),$M48,"")</f>
        <v/>
      </c>
    </row>
    <row r="49">
      <c r="L49" s="42" t="n">
        <v>45546</v>
      </c>
      <c r="M49" s="43" t="n">
        <v>1625</v>
      </c>
      <c r="N49" s="44">
        <f>IF(($L49&gt;$B$5)*($L49&lt;=$C$5),$M49,"")</f>
        <v/>
      </c>
      <c r="O49" s="44">
        <f>IF(($L49&gt;$B$6)*($L49&lt;=$C$6),$M49,"")</f>
        <v/>
      </c>
      <c r="P49" s="44">
        <f>IF(($L49&gt;$B$7)*($L49&lt;=$C$7),$M49,"")</f>
        <v/>
      </c>
      <c r="Q49" s="44">
        <f>IF(($L49&gt;$B$8)*($L49&lt;=$C$8),$M49,"")</f>
        <v/>
      </c>
      <c r="R49" s="44">
        <f>IF(($L49&gt;$B$9)*($L49&lt;=$C$9),$M49,"")</f>
        <v/>
      </c>
    </row>
    <row r="50">
      <c r="L50" s="42" t="n">
        <v>45547</v>
      </c>
      <c r="M50" s="43" t="n">
        <v>1625</v>
      </c>
      <c r="N50" s="44">
        <f>IF(($L50&gt;$B$5)*($L50&lt;=$C$5),$M50,"")</f>
        <v/>
      </c>
      <c r="O50" s="44">
        <f>IF(($L50&gt;$B$6)*($L50&lt;=$C$6),$M50,"")</f>
        <v/>
      </c>
      <c r="P50" s="44">
        <f>IF(($L50&gt;$B$7)*($L50&lt;=$C$7),$M50,"")</f>
        <v/>
      </c>
      <c r="Q50" s="44">
        <f>IF(($L50&gt;$B$8)*($L50&lt;=$C$8),$M50,"")</f>
        <v/>
      </c>
      <c r="R50" s="44">
        <f>IF(($L50&gt;$B$9)*($L50&lt;=$C$9),$M50,"")</f>
        <v/>
      </c>
    </row>
    <row r="51">
      <c r="L51" s="42" t="n">
        <v>45548</v>
      </c>
      <c r="M51" s="43" t="n">
        <v>1625</v>
      </c>
      <c r="N51" s="44">
        <f>IF(($L51&gt;$B$5)*($L51&lt;=$C$5),$M51,"")</f>
        <v/>
      </c>
      <c r="O51" s="44">
        <f>IF(($L51&gt;$B$6)*($L51&lt;=$C$6),$M51,"")</f>
        <v/>
      </c>
      <c r="P51" s="44">
        <f>IF(($L51&gt;$B$7)*($L51&lt;=$C$7),$M51,"")</f>
        <v/>
      </c>
      <c r="Q51" s="44">
        <f>IF(($L51&gt;$B$8)*($L51&lt;=$C$8),$M51,"")</f>
        <v/>
      </c>
      <c r="R51" s="44">
        <f>IF(($L51&gt;$B$9)*($L51&lt;=$C$9),$M51,"")</f>
        <v/>
      </c>
    </row>
    <row r="52">
      <c r="L52" s="42" t="n">
        <v>45549</v>
      </c>
      <c r="M52" s="43" t="n">
        <v>1625</v>
      </c>
      <c r="N52" s="44">
        <f>IF(($L52&gt;$B$5)*($L52&lt;=$C$5),$M52,"")</f>
        <v/>
      </c>
      <c r="O52" s="44">
        <f>IF(($L52&gt;$B$6)*($L52&lt;=$C$6),$M52,"")</f>
        <v/>
      </c>
      <c r="P52" s="44">
        <f>IF(($L52&gt;$B$7)*($L52&lt;=$C$7),$M52,"")</f>
        <v/>
      </c>
      <c r="Q52" s="44">
        <f>IF(($L52&gt;$B$8)*($L52&lt;=$C$8),$M52,"")</f>
        <v/>
      </c>
      <c r="R52" s="44">
        <f>IF(($L52&gt;$B$9)*($L52&lt;=$C$9),$M52,"")</f>
        <v/>
      </c>
    </row>
    <row r="53">
      <c r="L53" s="42" t="n">
        <v>45553</v>
      </c>
      <c r="M53" s="43" t="n">
        <v>1575</v>
      </c>
      <c r="N53" s="44">
        <f>IF(($L53&gt;$B$5)*($L53&lt;=$C$5),$M53,"")</f>
        <v/>
      </c>
      <c r="O53" s="44">
        <f>IF(($L53&gt;$B$6)*($L53&lt;=$C$6),$M53,"")</f>
        <v/>
      </c>
      <c r="P53" s="44">
        <f>IF(($L53&gt;$B$7)*($L53&lt;=$C$7),$M53,"")</f>
        <v/>
      </c>
      <c r="Q53" s="44">
        <f>IF(($L53&gt;$B$8)*($L53&lt;=$C$8),$M53,"")</f>
        <v/>
      </c>
      <c r="R53" s="44">
        <f>IF(($L53&gt;$B$9)*($L53&lt;=$C$9),$M53,"")</f>
        <v/>
      </c>
    </row>
    <row r="54">
      <c r="L54" s="42" t="n">
        <v>45554</v>
      </c>
      <c r="M54" s="43" t="n">
        <v>1575</v>
      </c>
      <c r="N54" s="44">
        <f>IF(($L54&gt;$B$5)*($L54&lt;=$C$5),$M54,"")</f>
        <v/>
      </c>
      <c r="O54" s="44">
        <f>IF(($L54&gt;$B$6)*($L54&lt;=$C$6),$M54,"")</f>
        <v/>
      </c>
      <c r="P54" s="44">
        <f>IF(($L54&gt;$B$7)*($L54&lt;=$C$7),$M54,"")</f>
        <v/>
      </c>
      <c r="Q54" s="44">
        <f>IF(($L54&gt;$B$8)*($L54&lt;=$C$8),$M54,"")</f>
        <v/>
      </c>
      <c r="R54" s="44">
        <f>IF(($L54&gt;$B$9)*($L54&lt;=$C$9),$M54,"")</f>
        <v/>
      </c>
    </row>
    <row r="55">
      <c r="L55" s="42" t="n">
        <v>45555</v>
      </c>
      <c r="M55" s="43" t="n">
        <v>1575</v>
      </c>
      <c r="N55" s="44">
        <f>IF(($L55&gt;$B$5)*($L55&lt;=$C$5),$M55,"")</f>
        <v/>
      </c>
      <c r="O55" s="44">
        <f>IF(($L55&gt;$B$6)*($L55&lt;=$C$6),$M55,"")</f>
        <v/>
      </c>
      <c r="P55" s="44">
        <f>IF(($L55&gt;$B$7)*($L55&lt;=$C$7),$M55,"")</f>
        <v/>
      </c>
      <c r="Q55" s="44">
        <f>IF(($L55&gt;$B$8)*($L55&lt;=$C$8),$M55,"")</f>
        <v/>
      </c>
      <c r="R55" s="44">
        <f>IF(($L55&gt;$B$9)*($L55&lt;=$C$9),$M55,"")</f>
        <v/>
      </c>
    </row>
    <row r="56">
      <c r="L56" s="42" t="n">
        <v>45558</v>
      </c>
      <c r="M56" s="43" t="n">
        <v>1575</v>
      </c>
      <c r="N56" s="44">
        <f>IF(($L56&gt;$B$5)*($L56&lt;=$C$5),$M56,"")</f>
        <v/>
      </c>
      <c r="O56" s="44">
        <f>IF(($L56&gt;$B$6)*($L56&lt;=$C$6),$M56,"")</f>
        <v/>
      </c>
      <c r="P56" s="44">
        <f>IF(($L56&gt;$B$7)*($L56&lt;=$C$7),$M56,"")</f>
        <v/>
      </c>
      <c r="Q56" s="44">
        <f>IF(($L56&gt;$B$8)*($L56&lt;=$C$8),$M56,"")</f>
        <v/>
      </c>
      <c r="R56" s="44">
        <f>IF(($L56&gt;$B$9)*($L56&lt;=$C$9),$M56,"")</f>
        <v/>
      </c>
    </row>
    <row r="57">
      <c r="L57" s="42" t="n">
        <v>45559</v>
      </c>
      <c r="M57" s="43" t="n">
        <v>1575</v>
      </c>
      <c r="N57" s="44">
        <f>IF(($L57&gt;$B$5)*($L57&lt;=$C$5),$M57,"")</f>
        <v/>
      </c>
      <c r="O57" s="44">
        <f>IF(($L57&gt;$B$6)*($L57&lt;=$C$6),$M57,"")</f>
        <v/>
      </c>
      <c r="P57" s="44">
        <f>IF(($L57&gt;$B$7)*($L57&lt;=$C$7),$M57,"")</f>
        <v/>
      </c>
      <c r="Q57" s="44">
        <f>IF(($L57&gt;$B$8)*($L57&lt;=$C$8),$M57,"")</f>
        <v/>
      </c>
      <c r="R57" s="44">
        <f>IF(($L57&gt;$B$9)*($L57&lt;=$C$9),$M57,"")</f>
        <v/>
      </c>
    </row>
    <row r="58">
      <c r="L58" s="42" t="n">
        <v>45560</v>
      </c>
      <c r="M58" s="43" t="n">
        <v>1575</v>
      </c>
      <c r="N58" s="44">
        <f>IF(($L58&gt;$B$5)*($L58&lt;=$C$5),$M58,"")</f>
        <v/>
      </c>
      <c r="O58" s="44">
        <f>IF(($L58&gt;$B$6)*($L58&lt;=$C$6),$M58,"")</f>
        <v/>
      </c>
      <c r="P58" s="44">
        <f>IF(($L58&gt;$B$7)*($L58&lt;=$C$7),$M58,"")</f>
        <v/>
      </c>
      <c r="Q58" s="44">
        <f>IF(($L58&gt;$B$8)*($L58&lt;=$C$8),$M58,"")</f>
        <v/>
      </c>
      <c r="R58" s="44">
        <f>IF(($L58&gt;$B$9)*($L58&lt;=$C$9),$M58,"")</f>
        <v/>
      </c>
    </row>
    <row r="59">
      <c r="L59" s="42" t="n">
        <v>45561</v>
      </c>
      <c r="M59" s="43" t="n">
        <v>1575</v>
      </c>
      <c r="N59" s="44">
        <f>IF(($L59&gt;$B$5)*($L59&lt;=$C$5),$M59,"")</f>
        <v/>
      </c>
      <c r="O59" s="44">
        <f>IF(($L59&gt;$B$6)*($L59&lt;=$C$6),$M59,"")</f>
        <v/>
      </c>
      <c r="P59" s="44">
        <f>IF(($L59&gt;$B$7)*($L59&lt;=$C$7),$M59,"")</f>
        <v/>
      </c>
      <c r="Q59" s="44">
        <f>IF(($L59&gt;$B$8)*($L59&lt;=$C$8),$M59,"")</f>
        <v/>
      </c>
      <c r="R59" s="44">
        <f>IF(($L59&gt;$B$9)*($L59&lt;=$C$9),$M59,"")</f>
        <v/>
      </c>
    </row>
    <row r="60">
      <c r="L60" s="42" t="n">
        <v>45562</v>
      </c>
      <c r="M60" s="43" t="n">
        <v>1575</v>
      </c>
      <c r="N60" s="44">
        <f>IF(($L60&gt;$B$5)*($L60&lt;=$C$5),$M60,"")</f>
        <v/>
      </c>
      <c r="O60" s="44">
        <f>IF(($L60&gt;$B$6)*($L60&lt;=$C$6),$M60,"")</f>
        <v/>
      </c>
      <c r="P60" s="44">
        <f>IF(($L60&gt;$B$7)*($L60&lt;=$C$7),$M60,"")</f>
        <v/>
      </c>
      <c r="Q60" s="44">
        <f>IF(($L60&gt;$B$8)*($L60&lt;=$C$8),$M60,"")</f>
        <v/>
      </c>
      <c r="R60" s="44">
        <f>IF(($L60&gt;$B$9)*($L60&lt;=$C$9),$M60,"")</f>
        <v/>
      </c>
    </row>
    <row r="61">
      <c r="L61" s="42" t="n">
        <v>45564</v>
      </c>
      <c r="M61" s="43" t="n">
        <v>1600</v>
      </c>
      <c r="N61" s="44">
        <f>IF(($L61&gt;$B$5)*($L61&lt;=$C$5),$M61,"")</f>
        <v/>
      </c>
      <c r="O61" s="44">
        <f>IF(($L61&gt;$B$6)*($L61&lt;=$C$6),$M61,"")</f>
        <v/>
      </c>
      <c r="P61" s="44">
        <f>IF(($L61&gt;$B$7)*($L61&lt;=$C$7),$M61,"")</f>
        <v/>
      </c>
      <c r="Q61" s="44">
        <f>IF(($L61&gt;$B$8)*($L61&lt;=$C$8),$M61,"")</f>
        <v/>
      </c>
      <c r="R61" s="44">
        <f>IF(($L61&gt;$B$9)*($L61&lt;=$C$9),$M61,"")</f>
        <v/>
      </c>
    </row>
    <row r="62">
      <c r="L62" s="42" t="n">
        <v>45573</v>
      </c>
      <c r="M62" s="43" t="n">
        <v>1625</v>
      </c>
      <c r="N62" s="44">
        <f>IF(($L62&gt;$B$5)*($L62&lt;=$C$5),$M62,"")</f>
        <v/>
      </c>
      <c r="O62" s="44">
        <f>IF(($L62&gt;$B$6)*($L62&lt;=$C$6),$M62,"")</f>
        <v/>
      </c>
      <c r="P62" s="44">
        <f>IF(($L62&gt;$B$7)*($L62&lt;=$C$7),$M62,"")</f>
        <v/>
      </c>
      <c r="Q62" s="44">
        <f>IF(($L62&gt;$B$8)*($L62&lt;=$C$8),$M62,"")</f>
        <v/>
      </c>
      <c r="R62" s="44">
        <f>IF(($L62&gt;$B$9)*($L62&lt;=$C$9),$M62,"")</f>
        <v/>
      </c>
    </row>
    <row r="63">
      <c r="L63" s="42" t="n">
        <v>45574</v>
      </c>
      <c r="M63" s="43" t="n">
        <v>1625</v>
      </c>
      <c r="N63" s="44">
        <f>IF(($L63&gt;$B$5)*($L63&lt;=$C$5),$M63,"")</f>
        <v/>
      </c>
      <c r="O63" s="44">
        <f>IF(($L63&gt;$B$6)*($L63&lt;=$C$6),$M63,"")</f>
        <v/>
      </c>
      <c r="P63" s="44">
        <f>IF(($L63&gt;$B$7)*($L63&lt;=$C$7),$M63,"")</f>
        <v/>
      </c>
      <c r="Q63" s="44">
        <f>IF(($L63&gt;$B$8)*($L63&lt;=$C$8),$M63,"")</f>
        <v/>
      </c>
      <c r="R63" s="44">
        <f>IF(($L63&gt;$B$9)*($L63&lt;=$C$9),$M63,"")</f>
        <v/>
      </c>
    </row>
    <row r="64">
      <c r="L64" s="42" t="n">
        <v>45575</v>
      </c>
      <c r="M64" s="43" t="n">
        <v>1625</v>
      </c>
      <c r="N64" s="44">
        <f>IF(($L64&gt;$B$5)*($L64&lt;=$C$5),$M64,"")</f>
        <v/>
      </c>
      <c r="O64" s="44">
        <f>IF(($L64&gt;$B$6)*($L64&lt;=$C$6),$M64,"")</f>
        <v/>
      </c>
      <c r="P64" s="44">
        <f>IF(($L64&gt;$B$7)*($L64&lt;=$C$7),$M64,"")</f>
        <v/>
      </c>
      <c r="Q64" s="44">
        <f>IF(($L64&gt;$B$8)*($L64&lt;=$C$8),$M64,"")</f>
        <v/>
      </c>
      <c r="R64" s="44">
        <f>IF(($L64&gt;$B$9)*($L64&lt;=$C$9),$M64,"")</f>
        <v/>
      </c>
    </row>
    <row r="65">
      <c r="L65" s="42" t="n">
        <v>45576</v>
      </c>
      <c r="M65" s="43" t="n">
        <v>1625</v>
      </c>
      <c r="N65" s="44">
        <f>IF(($L65&gt;$B$5)*($L65&lt;=$C$5),$M65,"")</f>
        <v/>
      </c>
      <c r="O65" s="44">
        <f>IF(($L65&gt;$B$6)*($L65&lt;=$C$6),$M65,"")</f>
        <v/>
      </c>
      <c r="P65" s="44">
        <f>IF(($L65&gt;$B$7)*($L65&lt;=$C$7),$M65,"")</f>
        <v/>
      </c>
      <c r="Q65" s="44">
        <f>IF(($L65&gt;$B$8)*($L65&lt;=$C$8),$M65,"")</f>
        <v/>
      </c>
      <c r="R65" s="44">
        <f>IF(($L65&gt;$B$9)*($L65&lt;=$C$9),$M65,"")</f>
        <v/>
      </c>
    </row>
    <row r="66">
      <c r="L66" s="42" t="n">
        <v>45577</v>
      </c>
      <c r="M66" s="43" t="n">
        <v>1625</v>
      </c>
      <c r="N66" s="44">
        <f>IF(($L66&gt;$B$5)*($L66&lt;=$C$5),$M66,"")</f>
        <v/>
      </c>
      <c r="O66" s="44">
        <f>IF(($L66&gt;$B$6)*($L66&lt;=$C$6),$M66,"")</f>
        <v/>
      </c>
      <c r="P66" s="44">
        <f>IF(($L66&gt;$B$7)*($L66&lt;=$C$7),$M66,"")</f>
        <v/>
      </c>
      <c r="Q66" s="44">
        <f>IF(($L66&gt;$B$8)*($L66&lt;=$C$8),$M66,"")</f>
        <v/>
      </c>
      <c r="R66" s="44">
        <f>IF(($L66&gt;$B$9)*($L66&lt;=$C$9),$M66,"")</f>
        <v/>
      </c>
    </row>
    <row r="67">
      <c r="L67" s="42" t="n">
        <v>45580</v>
      </c>
      <c r="M67" s="43" t="n">
        <v>1625</v>
      </c>
      <c r="N67" s="44">
        <f>IF(($L67&gt;$B$5)*($L67&lt;=$C$5),$M67,"")</f>
        <v/>
      </c>
      <c r="O67" s="44">
        <f>IF(($L67&gt;$B$6)*($L67&lt;=$C$6),$M67,"")</f>
        <v/>
      </c>
      <c r="P67" s="44">
        <f>IF(($L67&gt;$B$7)*($L67&lt;=$C$7),$M67,"")</f>
        <v/>
      </c>
      <c r="Q67" s="44">
        <f>IF(($L67&gt;$B$8)*($L67&lt;=$C$8),$M67,"")</f>
        <v/>
      </c>
      <c r="R67" s="44">
        <f>IF(($L67&gt;$B$9)*($L67&lt;=$C$9),$M67,"")</f>
        <v/>
      </c>
    </row>
    <row r="68">
      <c r="L68" s="42" t="n">
        <v>45581</v>
      </c>
      <c r="M68" s="43" t="n">
        <v>1625</v>
      </c>
      <c r="N68" s="44">
        <f>IF(($L68&gt;$B$5)*($L68&lt;=$C$5),$M68,"")</f>
        <v/>
      </c>
      <c r="O68" s="44">
        <f>IF(($L68&gt;$B$6)*($L68&lt;=$C$6),$M68,"")</f>
        <v/>
      </c>
      <c r="P68" s="44">
        <f>IF(($L68&gt;$B$7)*($L68&lt;=$C$7),$M68,"")</f>
        <v/>
      </c>
      <c r="Q68" s="44">
        <f>IF(($L68&gt;$B$8)*($L68&lt;=$C$8),$M68,"")</f>
        <v/>
      </c>
      <c r="R68" s="44">
        <f>IF(($L68&gt;$B$9)*($L68&lt;=$C$9),$M68,"")</f>
        <v/>
      </c>
    </row>
    <row r="69">
      <c r="L69" s="42" t="n">
        <v>45582</v>
      </c>
      <c r="M69" s="43" t="n">
        <v>1625</v>
      </c>
      <c r="N69" s="44">
        <f>IF(($L69&gt;$B$5)*($L69&lt;=$C$5),$M69,"")</f>
        <v/>
      </c>
      <c r="O69" s="44">
        <f>IF(($L69&gt;$B$6)*($L69&lt;=$C$6),$M69,"")</f>
        <v/>
      </c>
      <c r="P69" s="44">
        <f>IF(($L69&gt;$B$7)*($L69&lt;=$C$7),$M69,"")</f>
        <v/>
      </c>
      <c r="Q69" s="44">
        <f>IF(($L69&gt;$B$8)*($L69&lt;=$C$8),$M69,"")</f>
        <v/>
      </c>
      <c r="R69" s="44">
        <f>IF(($L69&gt;$B$9)*($L69&lt;=$C$9),$M69,"")</f>
        <v/>
      </c>
    </row>
    <row r="70">
      <c r="L70" s="42" t="n">
        <v>45583</v>
      </c>
      <c r="M70" s="43" t="n">
        <v>1625</v>
      </c>
      <c r="N70" s="44">
        <f>IF(($L70&gt;$B$5)*($L70&lt;=$C$5),$M70,"")</f>
        <v/>
      </c>
      <c r="O70" s="44">
        <f>IF(($L70&gt;$B$6)*($L70&lt;=$C$6),$M70,"")</f>
        <v/>
      </c>
      <c r="P70" s="44">
        <f>IF(($L70&gt;$B$7)*($L70&lt;=$C$7),$M70,"")</f>
        <v/>
      </c>
      <c r="Q70" s="44">
        <f>IF(($L70&gt;$B$8)*($L70&lt;=$C$8),$M70,"")</f>
        <v/>
      </c>
      <c r="R70" s="44">
        <f>IF(($L70&gt;$B$9)*($L70&lt;=$C$9),$M70,"")</f>
        <v/>
      </c>
    </row>
    <row r="71">
      <c r="L71" s="42" t="n">
        <v>45586</v>
      </c>
      <c r="M71" s="43" t="n">
        <v>1575</v>
      </c>
      <c r="N71" s="44">
        <f>IF(($L71&gt;$B$5)*($L71&lt;=$C$5),$M71,"")</f>
        <v/>
      </c>
      <c r="O71" s="44">
        <f>IF(($L71&gt;$B$6)*($L71&lt;=$C$6),$M71,"")</f>
        <v/>
      </c>
      <c r="P71" s="44">
        <f>IF(($L71&gt;$B$7)*($L71&lt;=$C$7),$M71,"")</f>
        <v/>
      </c>
      <c r="Q71" s="44">
        <f>IF(($L71&gt;$B$8)*($L71&lt;=$C$8),$M71,"")</f>
        <v/>
      </c>
      <c r="R71" s="44">
        <f>IF(($L71&gt;$B$9)*($L71&lt;=$C$9),$M71,"")</f>
        <v/>
      </c>
    </row>
    <row r="72">
      <c r="L72" s="42" t="n">
        <v>45587</v>
      </c>
      <c r="M72" s="43" t="n">
        <v>1575</v>
      </c>
      <c r="N72" s="44">
        <f>IF(($L72&gt;$B$5)*($L72&lt;=$C$5),$M72,"")</f>
        <v/>
      </c>
      <c r="O72" s="44">
        <f>IF(($L72&gt;$B$6)*($L72&lt;=$C$6),$M72,"")</f>
        <v/>
      </c>
      <c r="P72" s="44">
        <f>IF(($L72&gt;$B$7)*($L72&lt;=$C$7),$M72,"")</f>
        <v/>
      </c>
      <c r="Q72" s="44">
        <f>IF(($L72&gt;$B$8)*($L72&lt;=$C$8),$M72,"")</f>
        <v/>
      </c>
      <c r="R72" s="44">
        <f>IF(($L72&gt;$B$9)*($L72&lt;=$C$9),$M72,"")</f>
        <v/>
      </c>
    </row>
    <row r="73">
      <c r="L73" s="42" t="n">
        <v>45589</v>
      </c>
      <c r="M73" s="43" t="n">
        <v>1575</v>
      </c>
      <c r="N73" s="44">
        <f>IF(($L73&gt;$B$5)*($L73&lt;=$C$5),$M73,"")</f>
        <v/>
      </c>
      <c r="O73" s="44">
        <f>IF(($L73&gt;$B$6)*($L73&lt;=$C$6),$M73,"")</f>
        <v/>
      </c>
      <c r="P73" s="44">
        <f>IF(($L73&gt;$B$7)*($L73&lt;=$C$7),$M73,"")</f>
        <v/>
      </c>
      <c r="Q73" s="44">
        <f>IF(($L73&gt;$B$8)*($L73&lt;=$C$8),$M73,"")</f>
        <v/>
      </c>
      <c r="R73" s="44">
        <f>IF(($L73&gt;$B$9)*($L73&lt;=$C$9),$M73,"")</f>
        <v/>
      </c>
    </row>
    <row r="74">
      <c r="L74" s="42" t="n">
        <v>45590</v>
      </c>
      <c r="M74" s="43" t="n">
        <v>1575</v>
      </c>
      <c r="N74" s="44">
        <f>IF(($L74&gt;$B$5)*($L74&lt;=$C$5),$M74,"")</f>
        <v/>
      </c>
      <c r="O74" s="44">
        <f>IF(($L74&gt;$B$6)*($L74&lt;=$C$6),$M74,"")</f>
        <v/>
      </c>
      <c r="P74" s="44">
        <f>IF(($L74&gt;$B$7)*($L74&lt;=$C$7),$M74,"")</f>
        <v/>
      </c>
      <c r="Q74" s="44">
        <f>IF(($L74&gt;$B$8)*($L74&lt;=$C$8),$M74,"")</f>
        <v/>
      </c>
      <c r="R74" s="44">
        <f>IF(($L74&gt;$B$9)*($L74&lt;=$C$9),$M74,"")</f>
        <v/>
      </c>
    </row>
    <row r="75">
      <c r="L75" s="42" t="n">
        <v>45593</v>
      </c>
      <c r="M75" s="43" t="n">
        <v>1575</v>
      </c>
      <c r="N75" s="44">
        <f>IF(($L75&gt;$B$5)*($L75&lt;=$C$5),$M75,"")</f>
        <v/>
      </c>
      <c r="O75" s="44">
        <f>IF(($L75&gt;$B$6)*($L75&lt;=$C$6),$M75,"")</f>
        <v/>
      </c>
      <c r="P75" s="44">
        <f>IF(($L75&gt;$B$7)*($L75&lt;=$C$7),$M75,"")</f>
        <v/>
      </c>
      <c r="Q75" s="44">
        <f>IF(($L75&gt;$B$8)*($L75&lt;=$C$8),$M75,"")</f>
        <v/>
      </c>
      <c r="R75" s="44">
        <f>IF(($L75&gt;$B$9)*($L75&lt;=$C$9),$M75,"")</f>
        <v/>
      </c>
    </row>
    <row r="76">
      <c r="L76" s="42" t="n">
        <v>45594</v>
      </c>
      <c r="M76" s="43" t="n">
        <v>1575</v>
      </c>
      <c r="N76" s="44">
        <f>IF(($L76&gt;$B$5)*($L76&lt;=$C$5),$M76,"")</f>
        <v/>
      </c>
      <c r="O76" s="44">
        <f>IF(($L76&gt;$B$6)*($L76&lt;=$C$6),$M76,"")</f>
        <v/>
      </c>
      <c r="P76" s="44">
        <f>IF(($L76&gt;$B$7)*($L76&lt;=$C$7),$M76,"")</f>
        <v/>
      </c>
      <c r="Q76" s="44">
        <f>IF(($L76&gt;$B$8)*($L76&lt;=$C$8),$M76,"")</f>
        <v/>
      </c>
      <c r="R76" s="44">
        <f>IF(($L76&gt;$B$9)*($L76&lt;=$C$9),$M76,"")</f>
        <v/>
      </c>
    </row>
    <row r="77">
      <c r="L77" s="42" t="n">
        <v>45595</v>
      </c>
      <c r="M77" s="43" t="n">
        <v>1575</v>
      </c>
      <c r="N77" s="44">
        <f>IF(($L77&gt;$B$5)*($L77&lt;=$C$5),$M77,"")</f>
        <v/>
      </c>
      <c r="O77" s="44">
        <f>IF(($L77&gt;$B$6)*($L77&lt;=$C$6),$M77,"")</f>
        <v/>
      </c>
      <c r="P77" s="44">
        <f>IF(($L77&gt;$B$7)*($L77&lt;=$C$7),$M77,"")</f>
        <v/>
      </c>
      <c r="Q77" s="44">
        <f>IF(($L77&gt;$B$8)*($L77&lt;=$C$8),$M77,"")</f>
        <v/>
      </c>
      <c r="R77" s="44">
        <f>IF(($L77&gt;$B$9)*($L77&lt;=$C$9),$M77,"")</f>
        <v/>
      </c>
    </row>
    <row r="78">
      <c r="L78" s="42" t="n">
        <v>45596</v>
      </c>
      <c r="M78" s="43" t="n">
        <v>1575</v>
      </c>
      <c r="N78" s="44">
        <f>IF(($L78&gt;$B$5)*($L78&lt;=$C$5),$M78,"")</f>
        <v/>
      </c>
      <c r="O78" s="44">
        <f>IF(($L78&gt;$B$6)*($L78&lt;=$C$6),$M78,"")</f>
        <v/>
      </c>
      <c r="P78" s="44">
        <f>IF(($L78&gt;$B$7)*($L78&lt;=$C$7),$M78,"")</f>
        <v/>
      </c>
      <c r="Q78" s="44">
        <f>IF(($L78&gt;$B$8)*($L78&lt;=$C$8),$M78,"")</f>
        <v/>
      </c>
      <c r="R78" s="44">
        <f>IF(($L78&gt;$B$9)*($L78&lt;=$C$9),$M78,"")</f>
        <v/>
      </c>
    </row>
    <row r="79">
      <c r="L79" s="42" t="n">
        <v>45597</v>
      </c>
      <c r="M79" s="43" t="n">
        <v>1575</v>
      </c>
      <c r="N79" s="44">
        <f>IF(($L79&gt;$B$5)*($L79&lt;=$C$5),$M79,"")</f>
        <v/>
      </c>
      <c r="O79" s="44">
        <f>IF(($L79&gt;$B$6)*($L79&lt;=$C$6),$M79,"")</f>
        <v/>
      </c>
      <c r="P79" s="44">
        <f>IF(($L79&gt;$B$7)*($L79&lt;=$C$7),$M79,"")</f>
        <v/>
      </c>
      <c r="Q79" s="44">
        <f>IF(($L79&gt;$B$8)*($L79&lt;=$C$8),$M79,"")</f>
        <v/>
      </c>
      <c r="R79" s="44">
        <f>IF(($L79&gt;$B$9)*($L79&lt;=$C$9),$M79,"")</f>
        <v/>
      </c>
    </row>
    <row r="80">
      <c r="L80" s="42" t="n">
        <v>45600</v>
      </c>
      <c r="M80" s="43" t="n">
        <v>1575</v>
      </c>
      <c r="N80" s="44">
        <f>IF(($L80&gt;$B$5)*($L80&lt;=$C$5),$M80,"")</f>
        <v/>
      </c>
      <c r="O80" s="44">
        <f>IF(($L80&gt;$B$6)*($L80&lt;=$C$6),$M80,"")</f>
        <v/>
      </c>
      <c r="P80" s="44">
        <f>IF(($L80&gt;$B$7)*($L80&lt;=$C$7),$M80,"")</f>
        <v/>
      </c>
      <c r="Q80" s="44">
        <f>IF(($L80&gt;$B$8)*($L80&lt;=$C$8),$M80,"")</f>
        <v/>
      </c>
      <c r="R80" s="44">
        <f>IF(($L80&gt;$B$9)*($L80&lt;=$C$9),$M80,"")</f>
        <v/>
      </c>
    </row>
    <row r="81">
      <c r="L81" s="42" t="n">
        <v>45601</v>
      </c>
      <c r="M81" s="43" t="n">
        <v>1575</v>
      </c>
      <c r="N81" s="44">
        <f>IF(($L81&gt;$B$5)*($L81&lt;=$C$5),$M81,"")</f>
        <v/>
      </c>
      <c r="O81" s="44">
        <f>IF(($L81&gt;$B$6)*($L81&lt;=$C$6),$M81,"")</f>
        <v/>
      </c>
      <c r="P81" s="44">
        <f>IF(($L81&gt;$B$7)*($L81&lt;=$C$7),$M81,"")</f>
        <v/>
      </c>
      <c r="Q81" s="44">
        <f>IF(($L81&gt;$B$8)*($L81&lt;=$C$8),$M81,"")</f>
        <v/>
      </c>
      <c r="R81" s="44">
        <f>IF(($L81&gt;$B$9)*($L81&lt;=$C$9),$M81,"")</f>
        <v/>
      </c>
    </row>
    <row r="82">
      <c r="L82" s="42" t="n">
        <v>45602</v>
      </c>
      <c r="M82" s="43" t="n">
        <v>1575</v>
      </c>
      <c r="N82" s="44">
        <f>IF(($L82&gt;$B$5)*($L82&lt;=$C$5),$M82,"")</f>
        <v/>
      </c>
      <c r="O82" s="44">
        <f>IF(($L82&gt;$B$6)*($L82&lt;=$C$6),$M82,"")</f>
        <v/>
      </c>
      <c r="P82" s="44">
        <f>IF(($L82&gt;$B$7)*($L82&lt;=$C$7),$M82,"")</f>
        <v/>
      </c>
      <c r="Q82" s="44">
        <f>IF(($L82&gt;$B$8)*($L82&lt;=$C$8),$M82,"")</f>
        <v/>
      </c>
      <c r="R82" s="44">
        <f>IF(($L82&gt;$B$9)*($L82&lt;=$C$9),$M82,"")</f>
        <v/>
      </c>
    </row>
    <row r="83">
      <c r="L83" s="42" t="n">
        <v>45603</v>
      </c>
      <c r="M83" s="43" t="n">
        <v>1575</v>
      </c>
      <c r="N83" s="44">
        <f>IF(($L83&gt;$B$5)*($L83&lt;=$C$5),$M83,"")</f>
        <v/>
      </c>
      <c r="O83" s="44">
        <f>IF(($L83&gt;$B$6)*($L83&lt;=$C$6),$M83,"")</f>
        <v/>
      </c>
      <c r="P83" s="44">
        <f>IF(($L83&gt;$B$7)*($L83&lt;=$C$7),$M83,"")</f>
        <v/>
      </c>
      <c r="Q83" s="44">
        <f>IF(($L83&gt;$B$8)*($L83&lt;=$C$8),$M83,"")</f>
        <v/>
      </c>
      <c r="R83" s="44">
        <f>IF(($L83&gt;$B$9)*($L83&lt;=$C$9),$M83,"")</f>
        <v/>
      </c>
    </row>
    <row r="84">
      <c r="L84" s="42" t="n">
        <v>45604</v>
      </c>
      <c r="M84" s="43" t="n">
        <v>1575</v>
      </c>
      <c r="N84" s="44">
        <f>IF(($L84&gt;$B$5)*($L84&lt;=$C$5),$M84,"")</f>
        <v/>
      </c>
      <c r="O84" s="44">
        <f>IF(($L84&gt;$B$6)*($L84&lt;=$C$6),$M84,"")</f>
        <v/>
      </c>
      <c r="P84" s="44">
        <f>IF(($L84&gt;$B$7)*($L84&lt;=$C$7),$M84,"")</f>
        <v/>
      </c>
      <c r="Q84" s="44">
        <f>IF(($L84&gt;$B$8)*($L84&lt;=$C$8),$M84,"")</f>
        <v/>
      </c>
      <c r="R84" s="44">
        <f>IF(($L84&gt;$B$9)*($L84&lt;=$C$9),$M84,"")</f>
        <v/>
      </c>
    </row>
    <row r="85">
      <c r="L85" s="42" t="n">
        <v>45607</v>
      </c>
      <c r="M85" s="43" t="n">
        <v>1575</v>
      </c>
      <c r="N85" s="44">
        <f>IF(($L85&gt;$B$5)*($L85&lt;=$C$5),$M85,"")</f>
        <v/>
      </c>
      <c r="O85" s="44">
        <f>IF(($L85&gt;$B$6)*($L85&lt;=$C$6),$M85,"")</f>
        <v/>
      </c>
      <c r="P85" s="44">
        <f>IF(($L85&gt;$B$7)*($L85&lt;=$C$7),$M85,"")</f>
        <v/>
      </c>
      <c r="Q85" s="44">
        <f>IF(($L85&gt;$B$8)*($L85&lt;=$C$8),$M85,"")</f>
        <v/>
      </c>
      <c r="R85" s="44">
        <f>IF(($L85&gt;$B$9)*($L85&lt;=$C$9),$M85,"")</f>
        <v/>
      </c>
    </row>
    <row r="86">
      <c r="L86" s="42" t="n">
        <v>45608</v>
      </c>
      <c r="M86" s="43" t="n">
        <v>1575</v>
      </c>
      <c r="N86" s="44">
        <f>IF(($L86&gt;$B$5)*($L86&lt;=$C$5),$M86,"")</f>
        <v/>
      </c>
      <c r="O86" s="44">
        <f>IF(($L86&gt;$B$6)*($L86&lt;=$C$6),$M86,"")</f>
        <v/>
      </c>
      <c r="P86" s="44">
        <f>IF(($L86&gt;$B$7)*($L86&lt;=$C$7),$M86,"")</f>
        <v/>
      </c>
      <c r="Q86" s="44">
        <f>IF(($L86&gt;$B$8)*($L86&lt;=$C$8),$M86,"")</f>
        <v/>
      </c>
      <c r="R86" s="44">
        <f>IF(($L86&gt;$B$9)*($L86&lt;=$C$9),$M86,"")</f>
        <v/>
      </c>
    </row>
    <row r="87">
      <c r="L87" s="42" t="n">
        <v>45609</v>
      </c>
      <c r="M87" s="43" t="n">
        <v>1575</v>
      </c>
      <c r="N87" s="44">
        <f>IF(($L87&gt;$B$5)*($L87&lt;=$C$5),$M87,"")</f>
        <v/>
      </c>
      <c r="O87" s="44">
        <f>IF(($L87&gt;$B$6)*($L87&lt;=$C$6),$M87,"")</f>
        <v/>
      </c>
      <c r="P87" s="44">
        <f>IF(($L87&gt;$B$7)*($L87&lt;=$C$7),$M87,"")</f>
        <v/>
      </c>
      <c r="Q87" s="44">
        <f>IF(($L87&gt;$B$8)*($L87&lt;=$C$8),$M87,"")</f>
        <v/>
      </c>
      <c r="R87" s="44">
        <f>IF(($L87&gt;$B$9)*($L87&lt;=$C$9),$M87,"")</f>
        <v/>
      </c>
    </row>
    <row r="88">
      <c r="L88" s="42" t="n">
        <v>45610</v>
      </c>
      <c r="M88" s="43" t="n">
        <v>1575</v>
      </c>
      <c r="N88" s="44">
        <f>IF(($L88&gt;$B$5)*($L88&lt;=$C$5),$M88,"")</f>
        <v/>
      </c>
      <c r="O88" s="44">
        <f>IF(($L88&gt;$B$6)*($L88&lt;=$C$6),$M88,"")</f>
        <v/>
      </c>
      <c r="P88" s="44">
        <f>IF(($L88&gt;$B$7)*($L88&lt;=$C$7),$M88,"")</f>
        <v/>
      </c>
      <c r="Q88" s="44">
        <f>IF(($L88&gt;$B$8)*($L88&lt;=$C$8),$M88,"")</f>
        <v/>
      </c>
      <c r="R88" s="44">
        <f>IF(($L88&gt;$B$9)*($L88&lt;=$C$9),$M88,"")</f>
        <v/>
      </c>
    </row>
    <row r="89">
      <c r="L89" s="42" t="n">
        <v>45611</v>
      </c>
      <c r="M89" s="43" t="n">
        <v>1575</v>
      </c>
      <c r="N89" s="44">
        <f>IF(($L89&gt;$B$5)*($L89&lt;=$C$5),$M89,"")</f>
        <v/>
      </c>
      <c r="O89" s="44">
        <f>IF(($L89&gt;$B$6)*($L89&lt;=$C$6),$M89,"")</f>
        <v/>
      </c>
      <c r="P89" s="44">
        <f>IF(($L89&gt;$B$7)*($L89&lt;=$C$7),$M89,"")</f>
        <v/>
      </c>
      <c r="Q89" s="44">
        <f>IF(($L89&gt;$B$8)*($L89&lt;=$C$8),$M89,"")</f>
        <v/>
      </c>
      <c r="R89" s="44">
        <f>IF(($L89&gt;$B$9)*($L89&lt;=$C$9),$M89,"")</f>
        <v/>
      </c>
    </row>
    <row r="90">
      <c r="L90" s="42" t="n">
        <v>45614</v>
      </c>
      <c r="M90" s="43" t="n">
        <v>1575</v>
      </c>
      <c r="N90" s="44">
        <f>IF(($L90&gt;$B$5)*($L90&lt;=$C$5),$M90,"")</f>
        <v/>
      </c>
      <c r="O90" s="44">
        <f>IF(($L90&gt;$B$6)*($L90&lt;=$C$6),$M90,"")</f>
        <v/>
      </c>
      <c r="P90" s="44">
        <f>IF(($L90&gt;$B$7)*($L90&lt;=$C$7),$M90,"")</f>
        <v/>
      </c>
      <c r="Q90" s="44">
        <f>IF(($L90&gt;$B$8)*($L90&lt;=$C$8),$M90,"")</f>
        <v/>
      </c>
      <c r="R90" s="44">
        <f>IF(($L90&gt;$B$9)*($L90&lt;=$C$9),$M90,"")</f>
        <v/>
      </c>
    </row>
    <row r="91">
      <c r="L91" s="42" t="n">
        <v>45615</v>
      </c>
      <c r="M91" s="43" t="n">
        <v>1575</v>
      </c>
      <c r="N91" s="44">
        <f>IF(($L91&gt;$B$5)*($L91&lt;=$C$5),$M91,"")</f>
        <v/>
      </c>
      <c r="O91" s="44">
        <f>IF(($L91&gt;$B$6)*($L91&lt;=$C$6),$M91,"")</f>
        <v/>
      </c>
      <c r="P91" s="44">
        <f>IF(($L91&gt;$B$7)*($L91&lt;=$C$7),$M91,"")</f>
        <v/>
      </c>
      <c r="Q91" s="44">
        <f>IF(($L91&gt;$B$8)*($L91&lt;=$C$8),$M91,"")</f>
        <v/>
      </c>
      <c r="R91" s="44">
        <f>IF(($L91&gt;$B$9)*($L91&lt;=$C$9),$M91,"")</f>
        <v/>
      </c>
    </row>
    <row r="92">
      <c r="L92" s="42" t="n">
        <v>45616</v>
      </c>
      <c r="M92" s="43" t="n">
        <v>1575</v>
      </c>
      <c r="N92" s="44">
        <f>IF(($L92&gt;$B$5)*($L92&lt;=$C$5),$M92,"")</f>
        <v/>
      </c>
      <c r="O92" s="44">
        <f>IF(($L92&gt;$B$6)*($L92&lt;=$C$6),$M92,"")</f>
        <v/>
      </c>
      <c r="P92" s="44">
        <f>IF(($L92&gt;$B$7)*($L92&lt;=$C$7),$M92,"")</f>
        <v/>
      </c>
      <c r="Q92" s="44">
        <f>IF(($L92&gt;$B$8)*($L92&lt;=$C$8),$M92,"")</f>
        <v/>
      </c>
      <c r="R92" s="44">
        <f>IF(($L92&gt;$B$9)*($L92&lt;=$C$9),$M92,"")</f>
        <v/>
      </c>
    </row>
    <row r="93">
      <c r="L93" s="42" t="n">
        <v>45617</v>
      </c>
      <c r="M93" s="43" t="n">
        <v>1575</v>
      </c>
      <c r="N93" s="44">
        <f>IF(($L93&gt;$B$5)*($L93&lt;=$C$5),$M93,"")</f>
        <v/>
      </c>
      <c r="O93" s="44">
        <f>IF(($L93&gt;$B$6)*($L93&lt;=$C$6),$M93,"")</f>
        <v/>
      </c>
      <c r="P93" s="44">
        <f>IF(($L93&gt;$B$7)*($L93&lt;=$C$7),$M93,"")</f>
        <v/>
      </c>
      <c r="Q93" s="44">
        <f>IF(($L93&gt;$B$8)*($L93&lt;=$C$8),$M93,"")</f>
        <v/>
      </c>
      <c r="R93" s="44">
        <f>IF(($L93&gt;$B$9)*($L93&lt;=$C$9),$M93,"")</f>
        <v/>
      </c>
    </row>
    <row r="94">
      <c r="L94" s="42" t="n">
        <v>45618</v>
      </c>
      <c r="M94" s="43" t="n">
        <v>1575</v>
      </c>
      <c r="N94" s="44">
        <f>IF(($L94&gt;$B$5)*($L94&lt;=$C$5),$M94,"")</f>
        <v/>
      </c>
      <c r="O94" s="44">
        <f>IF(($L94&gt;$B$6)*($L94&lt;=$C$6),$M94,"")</f>
        <v/>
      </c>
      <c r="P94" s="44">
        <f>IF(($L94&gt;$B$7)*($L94&lt;=$C$7),$M94,"")</f>
        <v/>
      </c>
      <c r="Q94" s="44">
        <f>IF(($L94&gt;$B$8)*($L94&lt;=$C$8),$M94,"")</f>
        <v/>
      </c>
      <c r="R94" s="44">
        <f>IF(($L94&gt;$B$9)*($L94&lt;=$C$9),$M94,"")</f>
        <v/>
      </c>
    </row>
    <row r="95">
      <c r="L95" s="42" t="n">
        <v>45621</v>
      </c>
      <c r="M95" s="43" t="n">
        <v>1575</v>
      </c>
      <c r="N95" s="44">
        <f>IF(($L95&gt;$B$5)*($L95&lt;=$C$5),$M95,"")</f>
        <v/>
      </c>
      <c r="O95" s="44">
        <f>IF(($L95&gt;$B$6)*($L95&lt;=$C$6),$M95,"")</f>
        <v/>
      </c>
      <c r="P95" s="44">
        <f>IF(($L95&gt;$B$7)*($L95&lt;=$C$7),$M95,"")</f>
        <v/>
      </c>
      <c r="Q95" s="44">
        <f>IF(($L95&gt;$B$8)*($L95&lt;=$C$8),$M95,"")</f>
        <v/>
      </c>
      <c r="R95" s="44">
        <f>IF(($L95&gt;$B$9)*($L95&lt;=$C$9),$M95,"")</f>
        <v/>
      </c>
    </row>
    <row r="96">
      <c r="L96" s="42" t="n">
        <v>45622</v>
      </c>
      <c r="M96" s="43" t="n">
        <v>1575</v>
      </c>
      <c r="N96" s="44">
        <f>IF(($L96&gt;$B$5)*($L96&lt;=$C$5),$M96,"")</f>
        <v/>
      </c>
      <c r="O96" s="44">
        <f>IF(($L96&gt;$B$6)*($L96&lt;=$C$6),$M96,"")</f>
        <v/>
      </c>
      <c r="P96" s="44">
        <f>IF(($L96&gt;$B$7)*($L96&lt;=$C$7),$M96,"")</f>
        <v/>
      </c>
      <c r="Q96" s="44">
        <f>IF(($L96&gt;$B$8)*($L96&lt;=$C$8),$M96,"")</f>
        <v/>
      </c>
      <c r="R96" s="44">
        <f>IF(($L96&gt;$B$9)*($L96&lt;=$C$9),$M96,"")</f>
        <v/>
      </c>
    </row>
    <row r="97">
      <c r="L97" s="42" t="n">
        <v>45623</v>
      </c>
      <c r="M97" s="43" t="n">
        <v>1575</v>
      </c>
      <c r="N97" s="44">
        <f>IF(($L97&gt;$B$5)*($L97&lt;=$C$5),$M97,"")</f>
        <v/>
      </c>
      <c r="O97" s="44">
        <f>IF(($L97&gt;$B$6)*($L97&lt;=$C$6),$M97,"")</f>
        <v/>
      </c>
      <c r="P97" s="44">
        <f>IF(($L97&gt;$B$7)*($L97&lt;=$C$7),$M97,"")</f>
        <v/>
      </c>
      <c r="Q97" s="44">
        <f>IF(($L97&gt;$B$8)*($L97&lt;=$C$8),$M97,"")</f>
        <v/>
      </c>
      <c r="R97" s="44">
        <f>IF(($L97&gt;$B$9)*($L97&lt;=$C$9),$M97,"")</f>
        <v/>
      </c>
    </row>
    <row r="98">
      <c r="L98" s="42" t="n">
        <v>45624</v>
      </c>
      <c r="M98" s="43" t="n">
        <v>1575</v>
      </c>
      <c r="N98" s="44">
        <f>IF(($L98&gt;$B$5)*($L98&lt;=$C$5),$M98,"")</f>
        <v/>
      </c>
      <c r="O98" s="44">
        <f>IF(($L98&gt;$B$6)*($L98&lt;=$C$6),$M98,"")</f>
        <v/>
      </c>
      <c r="P98" s="44">
        <f>IF(($L98&gt;$B$7)*($L98&lt;=$C$7),$M98,"")</f>
        <v/>
      </c>
      <c r="Q98" s="44">
        <f>IF(($L98&gt;$B$8)*($L98&lt;=$C$8),$M98,"")</f>
        <v/>
      </c>
      <c r="R98" s="44">
        <f>IF(($L98&gt;$B$9)*($L98&lt;=$C$9),$M98,"")</f>
        <v/>
      </c>
    </row>
    <row r="99">
      <c r="L99" s="42" t="n">
        <v>45625</v>
      </c>
      <c r="M99" s="43" t="n">
        <v>1575</v>
      </c>
      <c r="N99" s="44">
        <f>IF(($L99&gt;$B$5)*($L99&lt;=$C$5),$M99,"")</f>
        <v/>
      </c>
      <c r="O99" s="44">
        <f>IF(($L99&gt;$B$6)*($L99&lt;=$C$6),$M99,"")</f>
        <v/>
      </c>
      <c r="P99" s="44">
        <f>IF(($L99&gt;$B$7)*($L99&lt;=$C$7),$M99,"")</f>
        <v/>
      </c>
      <c r="Q99" s="44">
        <f>IF(($L99&gt;$B$8)*($L99&lt;=$C$8),$M99,"")</f>
        <v/>
      </c>
      <c r="R99" s="44">
        <f>IF(($L99&gt;$B$9)*($L99&lt;=$C$9),$M99,"")</f>
        <v/>
      </c>
    </row>
    <row r="100">
      <c r="L100" s="42" t="n">
        <v>45628</v>
      </c>
      <c r="M100" s="43" t="n">
        <v>1575</v>
      </c>
      <c r="N100" s="44">
        <f>IF(($L100&gt;$B$5)*($L100&lt;=$C$5),$M100,"")</f>
        <v/>
      </c>
      <c r="O100" s="44">
        <f>IF(($L100&gt;$B$6)*($L100&lt;=$C$6),$M100,"")</f>
        <v/>
      </c>
      <c r="P100" s="44">
        <f>IF(($L100&gt;$B$7)*($L100&lt;=$C$7),$M100,"")</f>
        <v/>
      </c>
      <c r="Q100" s="44">
        <f>IF(($L100&gt;$B$8)*($L100&lt;=$C$8),$M100,"")</f>
        <v/>
      </c>
      <c r="R100" s="44">
        <f>IF(($L100&gt;$B$9)*($L100&lt;=$C$9),$M100,"")</f>
        <v/>
      </c>
    </row>
    <row r="101">
      <c r="L101" s="42" t="n">
        <v>45629</v>
      </c>
      <c r="M101" s="43" t="n">
        <v>1575</v>
      </c>
      <c r="N101" s="44">
        <f>IF(($L101&gt;$B$5)*($L101&lt;=$C$5),$M101,"")</f>
        <v/>
      </c>
      <c r="O101" s="44">
        <f>IF(($L101&gt;$B$6)*($L101&lt;=$C$6),$M101,"")</f>
        <v/>
      </c>
      <c r="P101" s="44">
        <f>IF(($L101&gt;$B$7)*($L101&lt;=$C$7),$M101,"")</f>
        <v/>
      </c>
      <c r="Q101" s="44">
        <f>IF(($L101&gt;$B$8)*($L101&lt;=$C$8),$M101,"")</f>
        <v/>
      </c>
      <c r="R101" s="44">
        <f>IF(($L101&gt;$B$9)*($L101&lt;=$C$9),$M101,"")</f>
        <v/>
      </c>
    </row>
    <row r="102">
      <c r="L102" s="42" t="n">
        <v>45630</v>
      </c>
      <c r="M102" s="43" t="n">
        <v>1575</v>
      </c>
      <c r="N102" s="44">
        <f>IF(($L102&gt;$B$5)*($L102&lt;=$C$5),$M102,"")</f>
        <v/>
      </c>
      <c r="O102" s="44">
        <f>IF(($L102&gt;$B$6)*($L102&lt;=$C$6),$M102,"")</f>
        <v/>
      </c>
      <c r="P102" s="44">
        <f>IF(($L102&gt;$B$7)*($L102&lt;=$C$7),$M102,"")</f>
        <v/>
      </c>
      <c r="Q102" s="44">
        <f>IF(($L102&gt;$B$8)*($L102&lt;=$C$8),$M102,"")</f>
        <v/>
      </c>
      <c r="R102" s="44">
        <f>IF(($L102&gt;$B$9)*($L102&lt;=$C$9),$M102,"")</f>
        <v/>
      </c>
    </row>
    <row r="103">
      <c r="L103" s="42" t="n">
        <v>45631</v>
      </c>
      <c r="M103" s="43" t="n">
        <v>1575</v>
      </c>
      <c r="N103" s="44">
        <f>IF(($L103&gt;$B$5)*($L103&lt;=$C$5),$M103,"")</f>
        <v/>
      </c>
      <c r="O103" s="44">
        <f>IF(($L103&gt;$B$6)*($L103&lt;=$C$6),$M103,"")</f>
        <v/>
      </c>
      <c r="P103" s="44">
        <f>IF(($L103&gt;$B$7)*($L103&lt;=$C$7),$M103,"")</f>
        <v/>
      </c>
      <c r="Q103" s="44">
        <f>IF(($L103&gt;$B$8)*($L103&lt;=$C$8),$M103,"")</f>
        <v/>
      </c>
      <c r="R103" s="44">
        <f>IF(($L103&gt;$B$9)*($L103&lt;=$C$9),$M103,"")</f>
        <v/>
      </c>
    </row>
    <row r="104">
      <c r="L104" s="42" t="n">
        <v>45632</v>
      </c>
      <c r="M104" s="43" t="n">
        <v>1575</v>
      </c>
      <c r="N104" s="44">
        <f>IF(($L104&gt;$B$5)*($L104&lt;=$C$5),$M104,"")</f>
        <v/>
      </c>
      <c r="O104" s="44">
        <f>IF(($L104&gt;$B$6)*($L104&lt;=$C$6),$M104,"")</f>
        <v/>
      </c>
      <c r="P104" s="44">
        <f>IF(($L104&gt;$B$7)*($L104&lt;=$C$7),$M104,"")</f>
        <v/>
      </c>
      <c r="Q104" s="44">
        <f>IF(($L104&gt;$B$8)*($L104&lt;=$C$8),$M104,"")</f>
        <v/>
      </c>
      <c r="R104" s="44">
        <f>IF(($L104&gt;$B$9)*($L104&lt;=$C$9),$M104,"")</f>
        <v/>
      </c>
    </row>
    <row r="105">
      <c r="L105" s="42" t="n">
        <v>45636</v>
      </c>
      <c r="M105" s="43" t="n">
        <v>1575</v>
      </c>
      <c r="N105" s="44">
        <f>IF(($L105&gt;$B$5)*($L105&lt;=$C$5),$M105,"")</f>
        <v/>
      </c>
      <c r="O105" s="44">
        <f>IF(($L105&gt;$B$6)*($L105&lt;=$C$6),$M105,"")</f>
        <v/>
      </c>
      <c r="P105" s="44">
        <f>IF(($L105&gt;$B$7)*($L105&lt;=$C$7),$M105,"")</f>
        <v/>
      </c>
      <c r="Q105" s="44">
        <f>IF(($L105&gt;$B$8)*($L105&lt;=$C$8),$M105,"")</f>
        <v/>
      </c>
      <c r="R105" s="44">
        <f>IF(($L105&gt;$B$9)*($L105&lt;=$C$9),$M105,"")</f>
        <v/>
      </c>
    </row>
    <row r="106">
      <c r="L106" s="42" t="n">
        <v>45637</v>
      </c>
      <c r="M106" s="43" t="n">
        <v>1575</v>
      </c>
      <c r="N106" s="44">
        <f>IF(($L106&gt;$B$5)*($L106&lt;=$C$5),$M106,"")</f>
        <v/>
      </c>
      <c r="O106" s="44">
        <f>IF(($L106&gt;$B$6)*($L106&lt;=$C$6),$M106,"")</f>
        <v/>
      </c>
      <c r="P106" s="44">
        <f>IF(($L106&gt;$B$7)*($L106&lt;=$C$7),$M106,"")</f>
        <v/>
      </c>
      <c r="Q106" s="44">
        <f>IF(($L106&gt;$B$8)*($L106&lt;=$C$8),$M106,"")</f>
        <v/>
      </c>
      <c r="R106" s="44">
        <f>IF(($L106&gt;$B$9)*($L106&lt;=$C$9),$M106,"")</f>
        <v/>
      </c>
    </row>
    <row r="107">
      <c r="L107" s="42" t="n">
        <v>45638</v>
      </c>
      <c r="M107" s="43" t="n">
        <v>1575</v>
      </c>
      <c r="N107" s="44">
        <f>IF(($L107&gt;$B$5)*($L107&lt;=$C$5),$M107,"")</f>
        <v/>
      </c>
      <c r="O107" s="44">
        <f>IF(($L107&gt;$B$6)*($L107&lt;=$C$6),$M107,"")</f>
        <v/>
      </c>
      <c r="P107" s="44">
        <f>IF(($L107&gt;$B$7)*($L107&lt;=$C$7),$M107,"")</f>
        <v/>
      </c>
      <c r="Q107" s="44">
        <f>IF(($L107&gt;$B$8)*($L107&lt;=$C$8),$M107,"")</f>
        <v/>
      </c>
      <c r="R107" s="44">
        <f>IF(($L107&gt;$B$9)*($L107&lt;=$C$9),$M107,"")</f>
        <v/>
      </c>
    </row>
    <row r="108">
      <c r="L108" s="42" t="n">
        <v>45639</v>
      </c>
      <c r="M108" s="43" t="n">
        <v>1575</v>
      </c>
      <c r="N108" s="44">
        <f>IF(($L108&gt;$B$5)*($L108&lt;=$C$5),$M108,"")</f>
        <v/>
      </c>
      <c r="O108" s="44">
        <f>IF(($L108&gt;$B$6)*($L108&lt;=$C$6),$M108,"")</f>
        <v/>
      </c>
      <c r="P108" s="44">
        <f>IF(($L108&gt;$B$7)*($L108&lt;=$C$7),$M108,"")</f>
        <v/>
      </c>
      <c r="Q108" s="44">
        <f>IF(($L108&gt;$B$8)*($L108&lt;=$C$8),$M108,"")</f>
        <v/>
      </c>
      <c r="R108" s="44">
        <f>IF(($L108&gt;$B$9)*($L108&lt;=$C$9),$M108,"")</f>
        <v/>
      </c>
    </row>
    <row r="109">
      <c r="L109" s="42" t="n">
        <v>45642</v>
      </c>
      <c r="M109" s="43" t="n">
        <v>1575</v>
      </c>
      <c r="N109" s="44">
        <f>IF(($L109&gt;$B$5)*($L109&lt;=$C$5),$M109,"")</f>
        <v/>
      </c>
      <c r="O109" s="44">
        <f>IF(($L109&gt;$B$6)*($L109&lt;=$C$6),$M109,"")</f>
        <v/>
      </c>
      <c r="P109" s="44">
        <f>IF(($L109&gt;$B$7)*($L109&lt;=$C$7),$M109,"")</f>
        <v/>
      </c>
      <c r="Q109" s="44">
        <f>IF(($L109&gt;$B$8)*($L109&lt;=$C$8),$M109,"")</f>
        <v/>
      </c>
      <c r="R109" s="44">
        <f>IF(($L109&gt;$B$9)*($L109&lt;=$C$9),$M109,"")</f>
        <v/>
      </c>
    </row>
    <row r="110">
      <c r="L110" s="42" t="n">
        <v>45643</v>
      </c>
      <c r="M110" s="43" t="n">
        <v>1575</v>
      </c>
      <c r="N110" s="44">
        <f>IF(($L110&gt;$B$5)*($L110&lt;=$C$5),$M110,"")</f>
        <v/>
      </c>
      <c r="O110" s="44">
        <f>IF(($L110&gt;$B$6)*($L110&lt;=$C$6),$M110,"")</f>
        <v/>
      </c>
      <c r="P110" s="44">
        <f>IF(($L110&gt;$B$7)*($L110&lt;=$C$7),$M110,"")</f>
        <v/>
      </c>
      <c r="Q110" s="44">
        <f>IF(($L110&gt;$B$8)*($L110&lt;=$C$8),$M110,"")</f>
        <v/>
      </c>
      <c r="R110" s="44">
        <f>IF(($L110&gt;$B$9)*($L110&lt;=$C$9),$M110,"")</f>
        <v/>
      </c>
    </row>
    <row r="111">
      <c r="L111" s="42" t="n">
        <v>45644</v>
      </c>
      <c r="M111" s="43" t="n">
        <v>1575</v>
      </c>
      <c r="N111" s="44">
        <f>IF(($L111&gt;$B$5)*($L111&lt;=$C$5),$M111,"")</f>
        <v/>
      </c>
      <c r="O111" s="44">
        <f>IF(($L111&gt;$B$6)*($L111&lt;=$C$6),$M111,"")</f>
        <v/>
      </c>
      <c r="P111" s="44">
        <f>IF(($L111&gt;$B$7)*($L111&lt;=$C$7),$M111,"")</f>
        <v/>
      </c>
      <c r="Q111" s="44">
        <f>IF(($L111&gt;$B$8)*($L111&lt;=$C$8),$M111,"")</f>
        <v/>
      </c>
      <c r="R111" s="44">
        <f>IF(($L111&gt;$B$9)*($L111&lt;=$C$9),$M111,"")</f>
        <v/>
      </c>
    </row>
    <row r="112">
      <c r="L112" s="42" t="n">
        <v>45645</v>
      </c>
      <c r="M112" s="43" t="n">
        <v>1575</v>
      </c>
      <c r="N112" s="44">
        <f>IF(($L112&gt;$B$5)*($L112&lt;=$C$5),$M112,"")</f>
        <v/>
      </c>
      <c r="O112" s="44">
        <f>IF(($L112&gt;$B$6)*($L112&lt;=$C$6),$M112,"")</f>
        <v/>
      </c>
      <c r="P112" s="44">
        <f>IF(($L112&gt;$B$7)*($L112&lt;=$C$7),$M112,"")</f>
        <v/>
      </c>
      <c r="Q112" s="44">
        <f>IF(($L112&gt;$B$8)*($L112&lt;=$C$8),$M112,"")</f>
        <v/>
      </c>
      <c r="R112" s="44">
        <f>IF(($L112&gt;$B$9)*($L112&lt;=$C$9),$M112,"")</f>
        <v/>
      </c>
    </row>
    <row r="113">
      <c r="L113" s="42" t="n">
        <v>45646</v>
      </c>
      <c r="M113" s="43" t="n">
        <v>1575</v>
      </c>
      <c r="N113" s="44">
        <f>IF(($L113&gt;$B$5)*($L113&lt;=$C$5),$M113,"")</f>
        <v/>
      </c>
      <c r="O113" s="44">
        <f>IF(($L113&gt;$B$6)*($L113&lt;=$C$6),$M113,"")</f>
        <v/>
      </c>
      <c r="P113" s="44">
        <f>IF(($L113&gt;$B$7)*($L113&lt;=$C$7),$M113,"")</f>
        <v/>
      </c>
      <c r="Q113" s="44">
        <f>IF(($L113&gt;$B$8)*($L113&lt;=$C$8),$M113,"")</f>
        <v/>
      </c>
      <c r="R113" s="44">
        <f>IF(($L113&gt;$B$9)*($L113&lt;=$C$9),$M113,"")</f>
        <v/>
      </c>
    </row>
    <row r="114">
      <c r="L114" s="42" t="n">
        <v>45649</v>
      </c>
      <c r="M114" s="43" t="n">
        <v>1575</v>
      </c>
      <c r="N114" s="44">
        <f>IF(($L114&gt;$B$5)*($L114&lt;=$C$5),$M114,"")</f>
        <v/>
      </c>
      <c r="O114" s="44">
        <f>IF(($L114&gt;$B$6)*($L114&lt;=$C$6),$M114,"")</f>
        <v/>
      </c>
      <c r="P114" s="44">
        <f>IF(($L114&gt;$B$7)*($L114&lt;=$C$7),$M114,"")</f>
        <v/>
      </c>
      <c r="Q114" s="44">
        <f>IF(($L114&gt;$B$8)*($L114&lt;=$C$8),$M114,"")</f>
        <v/>
      </c>
      <c r="R114" s="44">
        <f>IF(($L114&gt;$B$9)*($L114&lt;=$C$9),$M114,"")</f>
        <v/>
      </c>
    </row>
    <row r="115">
      <c r="L115" s="42" t="n">
        <v>45650</v>
      </c>
      <c r="M115" s="43" t="n">
        <v>1575</v>
      </c>
      <c r="N115" s="44">
        <f>IF(($L115&gt;$B$5)*($L115&lt;=$C$5),$M115,"")</f>
        <v/>
      </c>
      <c r="O115" s="44">
        <f>IF(($L115&gt;$B$6)*($L115&lt;=$C$6),$M115,"")</f>
        <v/>
      </c>
      <c r="P115" s="44">
        <f>IF(($L115&gt;$B$7)*($L115&lt;=$C$7),$M115,"")</f>
        <v/>
      </c>
      <c r="Q115" s="44">
        <f>IF(($L115&gt;$B$8)*($L115&lt;=$C$8),$M115,"")</f>
        <v/>
      </c>
      <c r="R115" s="44">
        <f>IF(($L115&gt;$B$9)*($L115&lt;=$C$9),$M115,"")</f>
        <v/>
      </c>
    </row>
    <row r="116">
      <c r="L116" s="42" t="n">
        <v>45651</v>
      </c>
      <c r="M116" s="43" t="n">
        <v>1575</v>
      </c>
      <c r="N116" s="44">
        <f>IF(($L116&gt;$B$5)*($L116&lt;=$C$5),$M116,"")</f>
        <v/>
      </c>
      <c r="O116" s="44">
        <f>IF(($L116&gt;$B$6)*($L116&lt;=$C$6),$M116,"")</f>
        <v/>
      </c>
      <c r="P116" s="44">
        <f>IF(($L116&gt;$B$7)*($L116&lt;=$C$7),$M116,"")</f>
        <v/>
      </c>
      <c r="Q116" s="44">
        <f>IF(($L116&gt;$B$8)*($L116&lt;=$C$8),$M116,"")</f>
        <v/>
      </c>
      <c r="R116" s="44">
        <f>IF(($L116&gt;$B$9)*($L116&lt;=$C$9),$M116,"")</f>
        <v/>
      </c>
    </row>
    <row r="117">
      <c r="L117" s="42" t="n">
        <v>45652</v>
      </c>
      <c r="M117" s="43" t="n">
        <v>1575</v>
      </c>
      <c r="N117" s="44">
        <f>IF(($L117&gt;$B$5)*($L117&lt;=$C$5),$M117,"")</f>
        <v/>
      </c>
      <c r="O117" s="44">
        <f>IF(($L117&gt;$B$6)*($L117&lt;=$C$6),$M117,"")</f>
        <v/>
      </c>
      <c r="P117" s="44">
        <f>IF(($L117&gt;$B$7)*($L117&lt;=$C$7),$M117,"")</f>
        <v/>
      </c>
      <c r="Q117" s="44">
        <f>IF(($L117&gt;$B$8)*($L117&lt;=$C$8),$M117,"")</f>
        <v/>
      </c>
      <c r="R117" s="44">
        <f>IF(($L117&gt;$B$9)*($L117&lt;=$C$9),$M117,"")</f>
        <v/>
      </c>
    </row>
    <row r="118">
      <c r="L118" s="42" t="n">
        <v>45653</v>
      </c>
      <c r="M118" s="43" t="n">
        <v>1575</v>
      </c>
      <c r="N118" s="44">
        <f>IF(($L118&gt;$B$5)*($L118&lt;=$C$5),$M118,"")</f>
        <v/>
      </c>
      <c r="O118" s="44">
        <f>IF(($L118&gt;$B$6)*($L118&lt;=$C$6),$M118,"")</f>
        <v/>
      </c>
      <c r="P118" s="44">
        <f>IF(($L118&gt;$B$7)*($L118&lt;=$C$7),$M118,"")</f>
        <v/>
      </c>
      <c r="Q118" s="44">
        <f>IF(($L118&gt;$B$8)*($L118&lt;=$C$8),$M118,"")</f>
        <v/>
      </c>
      <c r="R118" s="44">
        <f>IF(($L118&gt;$B$9)*($L118&lt;=$C$9),$M118,"")</f>
        <v/>
      </c>
    </row>
    <row r="119">
      <c r="L119" s="42" t="n">
        <v>45657</v>
      </c>
      <c r="M119" s="43" t="n">
        <v>1575</v>
      </c>
      <c r="N119" s="44">
        <f>IF(($L119&gt;$B$5)*($L119&lt;=$C$5),$M119,"")</f>
        <v/>
      </c>
      <c r="O119" s="44">
        <f>IF(($L119&gt;$B$6)*($L119&lt;=$C$6),$M119,"")</f>
        <v/>
      </c>
      <c r="P119" s="44">
        <f>IF(($L119&gt;$B$7)*($L119&lt;=$C$7),$M119,"")</f>
        <v/>
      </c>
      <c r="Q119" s="44">
        <f>IF(($L119&gt;$B$8)*($L119&lt;=$C$8),$M119,"")</f>
        <v/>
      </c>
      <c r="R119" s="44">
        <f>IF(($L119&gt;$B$9)*($L119&lt;=$C$9),$M119,"")</f>
        <v/>
      </c>
    </row>
    <row r="120">
      <c r="L120" s="42" t="n">
        <v>45659</v>
      </c>
      <c r="M120" s="43" t="n">
        <v>1575</v>
      </c>
      <c r="N120" s="44">
        <f>IF(($L120&gt;$B$5)*($L120&lt;=$C$5),$M120,"")</f>
        <v/>
      </c>
      <c r="O120" s="44">
        <f>IF(($L120&gt;$B$6)*($L120&lt;=$C$6),$M120,"")</f>
        <v/>
      </c>
      <c r="P120" s="44">
        <f>IF(($L120&gt;$B$7)*($L120&lt;=$C$7),$M120,"")</f>
        <v/>
      </c>
      <c r="Q120" s="44">
        <f>IF(($L120&gt;$B$8)*($L120&lt;=$C$8),$M120,"")</f>
        <v/>
      </c>
      <c r="R120" s="44">
        <f>IF(($L120&gt;$B$9)*($L120&lt;=$C$9),$M120,"")</f>
        <v/>
      </c>
    </row>
    <row r="121">
      <c r="L121" s="42" t="n">
        <v>45660</v>
      </c>
      <c r="M121" s="43" t="n">
        <v>1575</v>
      </c>
      <c r="N121" s="44">
        <f>IF(($L121&gt;$B$5)*($L121&lt;=$C$5),$M121,"")</f>
        <v/>
      </c>
      <c r="O121" s="44">
        <f>IF(($L121&gt;$B$6)*($L121&lt;=$C$6),$M121,"")</f>
        <v/>
      </c>
      <c r="P121" s="44">
        <f>IF(($L121&gt;$B$7)*($L121&lt;=$C$7),$M121,"")</f>
        <v/>
      </c>
      <c r="Q121" s="44">
        <f>IF(($L121&gt;$B$8)*($L121&lt;=$C$8),$M121,"")</f>
        <v/>
      </c>
      <c r="R121" s="44">
        <f>IF(($L121&gt;$B$9)*($L121&lt;=$C$9),$M121,"")</f>
        <v/>
      </c>
    </row>
    <row r="122">
      <c r="L122" s="42" t="n">
        <v>45663</v>
      </c>
      <c r="M122" s="43" t="n">
        <v>1575</v>
      </c>
      <c r="N122" s="44">
        <f>IF(($L122&gt;$B$5)*($L122&lt;=$C$5),$M122,"")</f>
        <v/>
      </c>
      <c r="O122" s="44">
        <f>IF(($L122&gt;$B$6)*($L122&lt;=$C$6),$M122,"")</f>
        <v/>
      </c>
      <c r="P122" s="44">
        <f>IF(($L122&gt;$B$7)*($L122&lt;=$C$7),$M122,"")</f>
        <v/>
      </c>
      <c r="Q122" s="44">
        <f>IF(($L122&gt;$B$8)*($L122&lt;=$C$8),$M122,"")</f>
        <v/>
      </c>
      <c r="R122" s="44">
        <f>IF(($L122&gt;$B$9)*($L122&lt;=$C$9),$M122,"")</f>
        <v/>
      </c>
    </row>
    <row r="123">
      <c r="L123" s="42" t="n">
        <v>45664</v>
      </c>
      <c r="M123" s="43" t="n">
        <v>1575</v>
      </c>
      <c r="N123" s="44">
        <f>IF(($L123&gt;$B$5)*($L123&lt;=$C$5),$M123,"")</f>
        <v/>
      </c>
      <c r="O123" s="44">
        <f>IF(($L123&gt;$B$6)*($L123&lt;=$C$6),$M123,"")</f>
        <v/>
      </c>
      <c r="P123" s="44">
        <f>IF(($L123&gt;$B$7)*($L123&lt;=$C$7),$M123,"")</f>
        <v/>
      </c>
      <c r="Q123" s="44">
        <f>IF(($L123&gt;$B$8)*($L123&lt;=$C$8),$M123,"")</f>
        <v/>
      </c>
      <c r="R123" s="44">
        <f>IF(($L123&gt;$B$9)*($L123&lt;=$C$9),$M123,"")</f>
        <v/>
      </c>
    </row>
    <row r="124">
      <c r="L124" s="42" t="n">
        <v>45665</v>
      </c>
      <c r="M124" s="43" t="n">
        <v>1575</v>
      </c>
      <c r="N124" s="44">
        <f>IF(($L124&gt;$B$5)*($L124&lt;=$C$5),$M124,"")</f>
        <v/>
      </c>
      <c r="O124" s="44">
        <f>IF(($L124&gt;$B$6)*($L124&lt;=$C$6),$M124,"")</f>
        <v/>
      </c>
      <c r="P124" s="44">
        <f>IF(($L124&gt;$B$7)*($L124&lt;=$C$7),$M124,"")</f>
        <v/>
      </c>
      <c r="Q124" s="44">
        <f>IF(($L124&gt;$B$8)*($L124&lt;=$C$8),$M124,"")</f>
        <v/>
      </c>
      <c r="R124" s="44">
        <f>IF(($L124&gt;$B$9)*($L124&lt;=$C$9),$M124,"")</f>
        <v/>
      </c>
    </row>
    <row r="125">
      <c r="L125" s="42" t="n">
        <v>45666</v>
      </c>
      <c r="M125" s="43" t="n">
        <v>1575</v>
      </c>
      <c r="N125" s="44">
        <f>IF(($L125&gt;$B$5)*($L125&lt;=$C$5),$M125,"")</f>
        <v/>
      </c>
      <c r="O125" s="44">
        <f>IF(($L125&gt;$B$6)*($L125&lt;=$C$6),$M125,"")</f>
        <v/>
      </c>
      <c r="P125" s="44">
        <f>IF(($L125&gt;$B$7)*($L125&lt;=$C$7),$M125,"")</f>
        <v/>
      </c>
      <c r="Q125" s="44">
        <f>IF(($L125&gt;$B$8)*($L125&lt;=$C$8),$M125,"")</f>
        <v/>
      </c>
      <c r="R125" s="44">
        <f>IF(($L125&gt;$B$9)*($L125&lt;=$C$9),$M125,"")</f>
        <v/>
      </c>
    </row>
    <row r="126">
      <c r="L126" s="42" t="n">
        <v>45667</v>
      </c>
      <c r="M126" s="43" t="n">
        <v>1575</v>
      </c>
      <c r="N126" s="44">
        <f>IF(($L126&gt;$B$5)*($L126&lt;=$C$5),$M126,"")</f>
        <v/>
      </c>
      <c r="O126" s="44">
        <f>IF(($L126&gt;$B$6)*($L126&lt;=$C$6),$M126,"")</f>
        <v/>
      </c>
      <c r="P126" s="44">
        <f>IF(($L126&gt;$B$7)*($L126&lt;=$C$7),$M126,"")</f>
        <v/>
      </c>
      <c r="Q126" s="44">
        <f>IF(($L126&gt;$B$8)*($L126&lt;=$C$8),$M126,"")</f>
        <v/>
      </c>
      <c r="R126" s="44">
        <f>IF(($L126&gt;$B$9)*($L126&lt;=$C$9),$M126,"")</f>
        <v/>
      </c>
    </row>
    <row r="127">
      <c r="L127" s="42" t="n">
        <v>45670</v>
      </c>
      <c r="M127" s="43" t="n">
        <v>1510</v>
      </c>
      <c r="N127" s="44">
        <f>IF(($L127&gt;$B$5)*($L127&lt;=$C$5),$M127,"")</f>
        <v/>
      </c>
      <c r="O127" s="44">
        <f>IF(($L127&gt;$B$6)*($L127&lt;=$C$6),$M127,"")</f>
        <v/>
      </c>
      <c r="P127" s="44">
        <f>IF(($L127&gt;$B$7)*($L127&lt;=$C$7),$M127,"")</f>
        <v/>
      </c>
      <c r="Q127" s="44">
        <f>IF(($L127&gt;$B$8)*($L127&lt;=$C$8),$M127,"")</f>
        <v/>
      </c>
      <c r="R127" s="44">
        <f>IF(($L127&gt;$B$9)*($L127&lt;=$C$9),$M127,"")</f>
        <v/>
      </c>
    </row>
    <row r="128">
      <c r="L128" s="42" t="n">
        <v>45671</v>
      </c>
      <c r="M128" s="43" t="n">
        <v>1510</v>
      </c>
      <c r="N128" s="44">
        <f>IF(($L128&gt;$B$5)*($L128&lt;=$C$5),$M128,"")</f>
        <v/>
      </c>
      <c r="O128" s="44">
        <f>IF(($L128&gt;$B$6)*($L128&lt;=$C$6),$M128,"")</f>
        <v/>
      </c>
      <c r="P128" s="44">
        <f>IF(($L128&gt;$B$7)*($L128&lt;=$C$7),$M128,"")</f>
        <v/>
      </c>
      <c r="Q128" s="44">
        <f>IF(($L128&gt;$B$8)*($L128&lt;=$C$8),$M128,"")</f>
        <v/>
      </c>
      <c r="R128" s="44">
        <f>IF(($L128&gt;$B$9)*($L128&lt;=$C$9),$M128,"")</f>
        <v/>
      </c>
    </row>
    <row r="129">
      <c r="L129" s="42" t="n">
        <v>45672</v>
      </c>
      <c r="M129" s="43" t="n">
        <v>1510</v>
      </c>
      <c r="N129" s="44">
        <f>IF(($L129&gt;$B$5)*($L129&lt;=$C$5),$M129,"")</f>
        <v/>
      </c>
      <c r="O129" s="44">
        <f>IF(($L129&gt;$B$6)*($L129&lt;=$C$6),$M129,"")</f>
        <v/>
      </c>
      <c r="P129" s="44">
        <f>IF(($L129&gt;$B$7)*($L129&lt;=$C$7),$M129,"")</f>
        <v/>
      </c>
      <c r="Q129" s="44">
        <f>IF(($L129&gt;$B$8)*($L129&lt;=$C$8),$M129,"")</f>
        <v/>
      </c>
      <c r="R129" s="44">
        <f>IF(($L129&gt;$B$9)*($L129&lt;=$C$9),$M129,"")</f>
        <v/>
      </c>
    </row>
    <row r="130">
      <c r="L130" s="42" t="n">
        <v>45673</v>
      </c>
      <c r="M130" s="43" t="n">
        <v>1510</v>
      </c>
      <c r="N130" s="44">
        <f>IF(($L130&gt;$B$5)*($L130&lt;=$C$5),$M130,"")</f>
        <v/>
      </c>
      <c r="O130" s="44">
        <f>IF(($L130&gt;$B$6)*($L130&lt;=$C$6),$M130,"")</f>
        <v/>
      </c>
      <c r="P130" s="44">
        <f>IF(($L130&gt;$B$7)*($L130&lt;=$C$7),$M130,"")</f>
        <v/>
      </c>
      <c r="Q130" s="44">
        <f>IF(($L130&gt;$B$8)*($L130&lt;=$C$8),$M130,"")</f>
        <v/>
      </c>
      <c r="R130" s="44">
        <f>IF(($L130&gt;$B$9)*($L130&lt;=$C$9),$M130,"")</f>
        <v/>
      </c>
    </row>
    <row r="131">
      <c r="L131" s="42" t="n">
        <v>45674</v>
      </c>
      <c r="M131" s="43" t="n">
        <v>1510</v>
      </c>
      <c r="N131" s="44">
        <f>IF(($L131&gt;$B$5)*($L131&lt;=$C$5),$M131,"")</f>
        <v/>
      </c>
      <c r="O131" s="44">
        <f>IF(($L131&gt;$B$6)*($L131&lt;=$C$6),$M131,"")</f>
        <v/>
      </c>
      <c r="P131" s="44">
        <f>IF(($L131&gt;$B$7)*($L131&lt;=$C$7),$M131,"")</f>
        <v/>
      </c>
      <c r="Q131" s="44">
        <f>IF(($L131&gt;$B$8)*($L131&lt;=$C$8),$M131,"")</f>
        <v/>
      </c>
      <c r="R131" s="44">
        <f>IF(($L131&gt;$B$9)*($L131&lt;=$C$9),$M131,"")</f>
        <v/>
      </c>
    </row>
    <row r="132">
      <c r="L132" s="42" t="n">
        <v>45677</v>
      </c>
      <c r="M132" s="43" t="n">
        <v>1510</v>
      </c>
      <c r="N132" s="44">
        <f>IF(($L132&gt;$B$5)*($L132&lt;=$C$5),$M132,"")</f>
        <v/>
      </c>
      <c r="O132" s="44">
        <f>IF(($L132&gt;$B$6)*($L132&lt;=$C$6),$M132,"")</f>
        <v/>
      </c>
      <c r="P132" s="44">
        <f>IF(($L132&gt;$B$7)*($L132&lt;=$C$7),$M132,"")</f>
        <v/>
      </c>
      <c r="Q132" s="44">
        <f>IF(($L132&gt;$B$8)*($L132&lt;=$C$8),$M132,"")</f>
        <v/>
      </c>
      <c r="R132" s="44">
        <f>IF(($L132&gt;$B$9)*($L132&lt;=$C$9),$M132,"")</f>
        <v/>
      </c>
    </row>
    <row r="133">
      <c r="L133" s="42" t="n">
        <v>45678</v>
      </c>
      <c r="M133" s="43" t="n">
        <v>1510</v>
      </c>
      <c r="N133" s="44">
        <f>IF(($L133&gt;$B$5)*($L133&lt;=$C$5),$M133,"")</f>
        <v/>
      </c>
      <c r="O133" s="44">
        <f>IF(($L133&gt;$B$6)*($L133&lt;=$C$6),$M133,"")</f>
        <v/>
      </c>
      <c r="P133" s="44">
        <f>IF(($L133&gt;$B$7)*($L133&lt;=$C$7),$M133,"")</f>
        <v/>
      </c>
      <c r="Q133" s="44">
        <f>IF(($L133&gt;$B$8)*($L133&lt;=$C$8),$M133,"")</f>
        <v/>
      </c>
      <c r="R133" s="44">
        <f>IF(($L133&gt;$B$9)*($L133&lt;=$C$9),$M133,"")</f>
        <v/>
      </c>
    </row>
    <row r="134">
      <c r="L134" s="42" t="n">
        <v>45679</v>
      </c>
      <c r="M134" s="43" t="n">
        <v>1510</v>
      </c>
      <c r="N134" s="44">
        <f>IF(($L134&gt;$B$5)*($L134&lt;=$C$5),$M134,"")</f>
        <v/>
      </c>
      <c r="O134" s="44">
        <f>IF(($L134&gt;$B$6)*($L134&lt;=$C$6),$M134,"")</f>
        <v/>
      </c>
      <c r="P134" s="44">
        <f>IF(($L134&gt;$B$7)*($L134&lt;=$C$7),$M134,"")</f>
        <v/>
      </c>
      <c r="Q134" s="44">
        <f>IF(($L134&gt;$B$8)*($L134&lt;=$C$8),$M134,"")</f>
        <v/>
      </c>
      <c r="R134" s="44">
        <f>IF(($L134&gt;$B$9)*($L134&lt;=$C$9),$M134,"")</f>
        <v/>
      </c>
    </row>
    <row r="135">
      <c r="L135" s="42" t="n">
        <v>45680</v>
      </c>
      <c r="M135" s="43" t="n">
        <v>1510</v>
      </c>
      <c r="N135" s="44">
        <f>IF(($L135&gt;$B$5)*($L135&lt;=$C$5),$M135,"")</f>
        <v/>
      </c>
      <c r="O135" s="44">
        <f>IF(($L135&gt;$B$6)*($L135&lt;=$C$6),$M135,"")</f>
        <v/>
      </c>
      <c r="P135" s="44">
        <f>IF(($L135&gt;$B$7)*($L135&lt;=$C$7),$M135,"")</f>
        <v/>
      </c>
      <c r="Q135" s="44">
        <f>IF(($L135&gt;$B$8)*($L135&lt;=$C$8),$M135,"")</f>
        <v/>
      </c>
      <c r="R135" s="44">
        <f>IF(($L135&gt;$B$9)*($L135&lt;=$C$9),$M135,"")</f>
        <v/>
      </c>
    </row>
    <row r="136">
      <c r="L136" s="42" t="n">
        <v>45681</v>
      </c>
      <c r="M136" s="43" t="n">
        <v>1510</v>
      </c>
      <c r="N136" s="44">
        <f>IF(($L136&gt;$B$5)*($L136&lt;=$C$5),$M136,"")</f>
        <v/>
      </c>
      <c r="O136" s="44">
        <f>IF(($L136&gt;$B$6)*($L136&lt;=$C$6),$M136,"")</f>
        <v/>
      </c>
      <c r="P136" s="44">
        <f>IF(($L136&gt;$B$7)*($L136&lt;=$C$7),$M136,"")</f>
        <v/>
      </c>
      <c r="Q136" s="44">
        <f>IF(($L136&gt;$B$8)*($L136&lt;=$C$8),$M136,"")</f>
        <v/>
      </c>
      <c r="R136" s="44">
        <f>IF(($L136&gt;$B$9)*($L136&lt;=$C$9),$M136,"")</f>
        <v/>
      </c>
    </row>
    <row r="137">
      <c r="L137" s="42" t="n">
        <v>45682</v>
      </c>
      <c r="M137" s="43" t="n">
        <v>1510</v>
      </c>
      <c r="N137" s="44">
        <f>IF(($L137&gt;$B$5)*($L137&lt;=$C$5),$M137,"")</f>
        <v/>
      </c>
      <c r="O137" s="44">
        <f>IF(($L137&gt;$B$6)*($L137&lt;=$C$6),$M137,"")</f>
        <v/>
      </c>
      <c r="P137" s="44">
        <f>IF(($L137&gt;$B$7)*($L137&lt;=$C$7),$M137,"")</f>
        <v/>
      </c>
      <c r="Q137" s="44">
        <f>IF(($L137&gt;$B$8)*($L137&lt;=$C$8),$M137,"")</f>
        <v/>
      </c>
      <c r="R137" s="44">
        <f>IF(($L137&gt;$B$9)*($L137&lt;=$C$9),$M137,"")</f>
        <v/>
      </c>
    </row>
    <row r="138">
      <c r="L138" s="42" t="n">
        <v>45694</v>
      </c>
      <c r="M138" s="43" t="n">
        <v>1485</v>
      </c>
      <c r="N138" s="44">
        <f>IF(($L138&gt;$B$5)*($L138&lt;=$C$5),$M138,"")</f>
        <v/>
      </c>
      <c r="O138" s="44">
        <f>IF(($L138&gt;$B$6)*($L138&lt;=$C$6),$M138,"")</f>
        <v/>
      </c>
      <c r="P138" s="44">
        <f>IF(($L138&gt;$B$7)*($L138&lt;=$C$7),$M138,"")</f>
        <v/>
      </c>
      <c r="Q138" s="44">
        <f>IF(($L138&gt;$B$8)*($L138&lt;=$C$8),$M138,"")</f>
        <v/>
      </c>
      <c r="R138" s="44">
        <f>IF(($L138&gt;$B$9)*($L138&lt;=$C$9),$M138,"")</f>
        <v/>
      </c>
    </row>
    <row r="139">
      <c r="L139" s="42" t="n">
        <v>45695</v>
      </c>
      <c r="M139" s="43" t="n">
        <v>1485</v>
      </c>
      <c r="N139" s="44">
        <f>IF(($L139&gt;$B$5)*($L139&lt;=$C$5),$M139,"")</f>
        <v/>
      </c>
      <c r="O139" s="44">
        <f>IF(($L139&gt;$B$6)*($L139&lt;=$C$6),$M139,"")</f>
        <v/>
      </c>
      <c r="P139" s="44">
        <f>IF(($L139&gt;$B$7)*($L139&lt;=$C$7),$M139,"")</f>
        <v/>
      </c>
      <c r="Q139" s="44">
        <f>IF(($L139&gt;$B$8)*($L139&lt;=$C$8),$M139,"")</f>
        <v/>
      </c>
      <c r="R139" s="44">
        <f>IF(($L139&gt;$B$9)*($L139&lt;=$C$9),$M139,"")</f>
        <v/>
      </c>
    </row>
    <row r="140">
      <c r="L140" s="42" t="n">
        <v>45696</v>
      </c>
      <c r="M140" s="43" t="n">
        <v>1485</v>
      </c>
      <c r="N140" s="44">
        <f>IF(($L140&gt;$B$5)*($L140&lt;=$C$5),$M140,"")</f>
        <v/>
      </c>
      <c r="O140" s="44">
        <f>IF(($L140&gt;$B$6)*($L140&lt;=$C$6),$M140,"")</f>
        <v/>
      </c>
      <c r="P140" s="44">
        <f>IF(($L140&gt;$B$7)*($L140&lt;=$C$7),$M140,"")</f>
        <v/>
      </c>
      <c r="Q140" s="44">
        <f>IF(($L140&gt;$B$8)*($L140&lt;=$C$8),$M140,"")</f>
        <v/>
      </c>
      <c r="R140" s="44">
        <f>IF(($L140&gt;$B$9)*($L140&lt;=$C$9),$M140,"")</f>
        <v/>
      </c>
    </row>
    <row r="141">
      <c r="L141" s="42" t="n">
        <v>45698</v>
      </c>
      <c r="M141" s="43" t="n">
        <v>1450</v>
      </c>
      <c r="N141" s="44">
        <f>IF(($L141&gt;$B$5)*($L141&lt;=$C$5),$M141,"")</f>
        <v/>
      </c>
      <c r="O141" s="44">
        <f>IF(($L141&gt;$B$6)*($L141&lt;=$C$6),$M141,"")</f>
        <v/>
      </c>
      <c r="P141" s="44">
        <f>IF(($L141&gt;$B$7)*($L141&lt;=$C$7),$M141,"")</f>
        <v/>
      </c>
      <c r="Q141" s="44">
        <f>IF(($L141&gt;$B$8)*($L141&lt;=$C$8),$M141,"")</f>
        <v/>
      </c>
      <c r="R141" s="44">
        <f>IF(($L141&gt;$B$9)*($L141&lt;=$C$9),$M141,"")</f>
        <v/>
      </c>
    </row>
    <row r="142">
      <c r="L142" s="42" t="n">
        <v>45699</v>
      </c>
      <c r="M142" s="43" t="n">
        <v>1450</v>
      </c>
      <c r="N142" s="44">
        <f>IF(($L142&gt;$B$5)*($L142&lt;=$C$5),$M142,"")</f>
        <v/>
      </c>
      <c r="O142" s="44">
        <f>IF(($L142&gt;$B$6)*($L142&lt;=$C$6),$M142,"")</f>
        <v/>
      </c>
      <c r="P142" s="44">
        <f>IF(($L142&gt;$B$7)*($L142&lt;=$C$7),$M142,"")</f>
        <v/>
      </c>
      <c r="Q142" s="44">
        <f>IF(($L142&gt;$B$8)*($L142&lt;=$C$8),$M142,"")</f>
        <v/>
      </c>
      <c r="R142" s="44">
        <f>IF(($L142&gt;$B$9)*($L142&lt;=$C$9),$M142,"")</f>
        <v/>
      </c>
    </row>
    <row r="143">
      <c r="L143" s="42" t="n">
        <v>45700</v>
      </c>
      <c r="M143" s="43" t="n">
        <v>1450</v>
      </c>
      <c r="N143" s="44">
        <f>IF(($L143&gt;$B$5)*($L143&lt;=$C$5),$M143,"")</f>
        <v/>
      </c>
      <c r="O143" s="44">
        <f>IF(($L143&gt;$B$6)*($L143&lt;=$C$6),$M143,"")</f>
        <v/>
      </c>
      <c r="P143" s="44">
        <f>IF(($L143&gt;$B$7)*($L143&lt;=$C$7),$M143,"")</f>
        <v/>
      </c>
      <c r="Q143" s="44">
        <f>IF(($L143&gt;$B$8)*($L143&lt;=$C$8),$M143,"")</f>
        <v/>
      </c>
      <c r="R143" s="44">
        <f>IF(($L143&gt;$B$9)*($L143&lt;=$C$9),$M143,"")</f>
        <v/>
      </c>
    </row>
    <row r="144">
      <c r="L144" s="42" t="n">
        <v>45701</v>
      </c>
      <c r="M144" s="43" t="n">
        <v>1450</v>
      </c>
      <c r="N144" s="44">
        <f>IF(($L144&gt;$B$5)*($L144&lt;=$C$5),$M144,"")</f>
        <v/>
      </c>
      <c r="O144" s="44">
        <f>IF(($L144&gt;$B$6)*($L144&lt;=$C$6),$M144,"")</f>
        <v/>
      </c>
      <c r="P144" s="44">
        <f>IF(($L144&gt;$B$7)*($L144&lt;=$C$7),$M144,"")</f>
        <v/>
      </c>
      <c r="Q144" s="44">
        <f>IF(($L144&gt;$B$8)*($L144&lt;=$C$8),$M144,"")</f>
        <v/>
      </c>
      <c r="R144" s="44">
        <f>IF(($L144&gt;$B$9)*($L144&lt;=$C$9),$M144,"")</f>
        <v/>
      </c>
    </row>
    <row r="145">
      <c r="L145" s="42" t="n">
        <v>45702</v>
      </c>
      <c r="M145" s="43" t="n">
        <v>1450</v>
      </c>
      <c r="N145" s="44">
        <f>IF(($L145&gt;$B$5)*($L145&lt;=$C$5),$M145,"")</f>
        <v/>
      </c>
      <c r="O145" s="44">
        <f>IF(($L145&gt;$B$6)*($L145&lt;=$C$6),$M145,"")</f>
        <v/>
      </c>
      <c r="P145" s="44">
        <f>IF(($L145&gt;$B$7)*($L145&lt;=$C$7),$M145,"")</f>
        <v/>
      </c>
      <c r="Q145" s="44">
        <f>IF(($L145&gt;$B$8)*($L145&lt;=$C$8),$M145,"")</f>
        <v/>
      </c>
      <c r="R145" s="44">
        <f>IF(($L145&gt;$B$9)*($L145&lt;=$C$9),$M145,"")</f>
        <v/>
      </c>
    </row>
    <row r="146">
      <c r="L146" s="42" t="n">
        <v>45705</v>
      </c>
      <c r="M146" s="43" t="n">
        <v>1450</v>
      </c>
      <c r="N146" s="44">
        <f>IF(($L146&gt;$B$5)*($L146&lt;=$C$5),$M146,"")</f>
        <v/>
      </c>
      <c r="O146" s="44">
        <f>IF(($L146&gt;$B$6)*($L146&lt;=$C$6),$M146,"")</f>
        <v/>
      </c>
      <c r="P146" s="44">
        <f>IF(($L146&gt;$B$7)*($L146&lt;=$C$7),$M146,"")</f>
        <v/>
      </c>
      <c r="Q146" s="44">
        <f>IF(($L146&gt;$B$8)*($L146&lt;=$C$8),$M146,"")</f>
        <v/>
      </c>
      <c r="R146" s="44">
        <f>IF(($L146&gt;$B$9)*($L146&lt;=$C$9),$M146,"")</f>
        <v/>
      </c>
    </row>
    <row r="147">
      <c r="L147" s="42" t="n">
        <v>45707</v>
      </c>
      <c r="M147" s="43" t="n">
        <v>1450</v>
      </c>
      <c r="N147" s="44">
        <f>IF(($L147&gt;$B$5)*($L147&lt;=$C$5),$M147,"")</f>
        <v/>
      </c>
      <c r="O147" s="44">
        <f>IF(($L147&gt;$B$6)*($L147&lt;=$C$6),$M147,"")</f>
        <v/>
      </c>
      <c r="P147" s="44">
        <f>IF(($L147&gt;$B$7)*($L147&lt;=$C$7),$M147,"")</f>
        <v/>
      </c>
      <c r="Q147" s="44">
        <f>IF(($L147&gt;$B$8)*($L147&lt;=$C$8),$M147,"")</f>
        <v/>
      </c>
      <c r="R147" s="44">
        <f>IF(($L147&gt;$B$9)*($L147&lt;=$C$9),$M147,"")</f>
        <v/>
      </c>
    </row>
    <row r="148">
      <c r="L148" s="42" t="n">
        <v>45708</v>
      </c>
      <c r="M148" s="43" t="n">
        <v>1450</v>
      </c>
      <c r="N148" s="44">
        <f>IF(($L148&gt;$B$5)*($L148&lt;=$C$5),$M148,"")</f>
        <v/>
      </c>
      <c r="O148" s="44">
        <f>IF(($L148&gt;$B$6)*($L148&lt;=$C$6),$M148,"")</f>
        <v/>
      </c>
      <c r="P148" s="44">
        <f>IF(($L148&gt;$B$7)*($L148&lt;=$C$7),$M148,"")</f>
        <v/>
      </c>
      <c r="Q148" s="44">
        <f>IF(($L148&gt;$B$8)*($L148&lt;=$C$8),$M148,"")</f>
        <v/>
      </c>
      <c r="R148" s="44">
        <f>IF(($L148&gt;$B$9)*($L148&lt;=$C$9),$M148,"")</f>
        <v/>
      </c>
    </row>
    <row r="149">
      <c r="L149" s="42" t="n">
        <v>45709</v>
      </c>
      <c r="M149" s="43" t="n">
        <v>1450</v>
      </c>
      <c r="N149" s="44">
        <f>IF(($L149&gt;$B$5)*($L149&lt;=$C$5),$M149,"")</f>
        <v/>
      </c>
      <c r="O149" s="44">
        <f>IF(($L149&gt;$B$6)*($L149&lt;=$C$6),$M149,"")</f>
        <v/>
      </c>
      <c r="P149" s="44">
        <f>IF(($L149&gt;$B$7)*($L149&lt;=$C$7),$M149,"")</f>
        <v/>
      </c>
      <c r="Q149" s="44">
        <f>IF(($L149&gt;$B$8)*($L149&lt;=$C$8),$M149,"")</f>
        <v/>
      </c>
      <c r="R149" s="44">
        <f>IF(($L149&gt;$B$9)*($L149&lt;=$C$9),$M149,"")</f>
        <v/>
      </c>
    </row>
    <row r="150">
      <c r="L150" s="42" t="n">
        <v>45712</v>
      </c>
      <c r="M150" s="43" t="n">
        <v>1450</v>
      </c>
      <c r="N150" s="44">
        <f>IF(($L150&gt;$B$5)*($L150&lt;=$C$5),$M150,"")</f>
        <v/>
      </c>
      <c r="O150" s="44">
        <f>IF(($L150&gt;$B$6)*($L150&lt;=$C$6),$M150,"")</f>
        <v/>
      </c>
      <c r="P150" s="44">
        <f>IF(($L150&gt;$B$7)*($L150&lt;=$C$7),$M150,"")</f>
        <v/>
      </c>
      <c r="Q150" s="44">
        <f>IF(($L150&gt;$B$8)*($L150&lt;=$C$8),$M150,"")</f>
        <v/>
      </c>
      <c r="R150" s="44">
        <f>IF(($L150&gt;$B$9)*($L150&lt;=$C$9),$M150,"")</f>
        <v/>
      </c>
    </row>
    <row r="151">
      <c r="L151" s="42" t="n">
        <v>45713</v>
      </c>
      <c r="M151" s="43" t="n">
        <v>1450</v>
      </c>
      <c r="N151" s="44">
        <f>IF(($L151&gt;$B$5)*($L151&lt;=$C$5),$M151,"")</f>
        <v/>
      </c>
      <c r="O151" s="44">
        <f>IF(($L151&gt;$B$6)*($L151&lt;=$C$6),$M151,"")</f>
        <v/>
      </c>
      <c r="P151" s="44">
        <f>IF(($L151&gt;$B$7)*($L151&lt;=$C$7),$M151,"")</f>
        <v/>
      </c>
      <c r="Q151" s="44">
        <f>IF(($L151&gt;$B$8)*($L151&lt;=$C$8),$M151,"")</f>
        <v/>
      </c>
      <c r="R151" s="44">
        <f>IF(($L151&gt;$B$9)*($L151&lt;=$C$9),$M151,"")</f>
        <v/>
      </c>
    </row>
    <row r="152">
      <c r="L152" s="42" t="n">
        <v>45714</v>
      </c>
      <c r="M152" s="43" t="n">
        <v>1450</v>
      </c>
      <c r="N152" s="44">
        <f>IF(($L152&gt;$B$5)*($L152&lt;=$C$5),$M152,"")</f>
        <v/>
      </c>
      <c r="O152" s="44">
        <f>IF(($L152&gt;$B$6)*($L152&lt;=$C$6),$M152,"")</f>
        <v/>
      </c>
      <c r="P152" s="44">
        <f>IF(($L152&gt;$B$7)*($L152&lt;=$C$7),$M152,"")</f>
        <v/>
      </c>
      <c r="Q152" s="44">
        <f>IF(($L152&gt;$B$8)*($L152&lt;=$C$8),$M152,"")</f>
        <v/>
      </c>
      <c r="R152" s="44">
        <f>IF(($L152&gt;$B$9)*($L152&lt;=$C$9),$M152,"")</f>
        <v/>
      </c>
    </row>
    <row r="153">
      <c r="L153" s="42" t="n">
        <v>45716</v>
      </c>
      <c r="M153" s="43" t="n">
        <v>1525</v>
      </c>
      <c r="N153" s="44">
        <f>IF(($L153&gt;$B$5)*($L153&lt;=$C$5),$M153,"")</f>
        <v/>
      </c>
      <c r="O153" s="44">
        <f>IF(($L153&gt;$B$6)*($L153&lt;=$C$6),$M153,"")</f>
        <v/>
      </c>
      <c r="P153" s="44">
        <f>IF(($L153&gt;$B$7)*($L153&lt;=$C$7),$M153,"")</f>
        <v/>
      </c>
      <c r="Q153" s="44">
        <f>IF(($L153&gt;$B$8)*($L153&lt;=$C$8),$M153,"")</f>
        <v/>
      </c>
      <c r="R153" s="44">
        <f>IF(($L153&gt;$B$9)*($L153&lt;=$C$9),$M153,"")</f>
        <v/>
      </c>
    </row>
    <row r="154">
      <c r="L154" s="42" t="n">
        <v>45719</v>
      </c>
      <c r="M154" s="43" t="n">
        <v>1600</v>
      </c>
      <c r="N154" s="44">
        <f>IF(($L154&gt;$B$5)*($L154&lt;=$C$5),$M154,"")</f>
        <v/>
      </c>
      <c r="O154" s="44">
        <f>IF(($L154&gt;$B$6)*($L154&lt;=$C$6),$M154,"")</f>
        <v/>
      </c>
      <c r="P154" s="44">
        <f>IF(($L154&gt;$B$7)*($L154&lt;=$C$7),$M154,"")</f>
        <v/>
      </c>
      <c r="Q154" s="44">
        <f>IF(($L154&gt;$B$8)*($L154&lt;=$C$8),$M154,"")</f>
        <v/>
      </c>
      <c r="R154" s="44">
        <f>IF(($L154&gt;$B$9)*($L154&lt;=$C$9),$M154,"")</f>
        <v/>
      </c>
    </row>
    <row r="155">
      <c r="L155" s="42" t="n">
        <v>45720</v>
      </c>
      <c r="M155" s="43" t="n">
        <v>1600</v>
      </c>
      <c r="N155" s="44">
        <f>IF(($L155&gt;$B$5)*($L155&lt;=$C$5),$M155,"")</f>
        <v/>
      </c>
      <c r="O155" s="44">
        <f>IF(($L155&gt;$B$6)*($L155&lt;=$C$6),$M155,"")</f>
        <v/>
      </c>
      <c r="P155" s="44">
        <f>IF(($L155&gt;$B$7)*($L155&lt;=$C$7),$M155,"")</f>
        <v/>
      </c>
      <c r="Q155" s="44">
        <f>IF(($L155&gt;$B$8)*($L155&lt;=$C$8),$M155,"")</f>
        <v/>
      </c>
      <c r="R155" s="44">
        <f>IF(($L155&gt;$B$9)*($L155&lt;=$C$9),$M155,"")</f>
        <v/>
      </c>
    </row>
    <row r="156">
      <c r="L156" s="42" t="n">
        <v>45721</v>
      </c>
      <c r="M156" s="43" t="n">
        <v>1600</v>
      </c>
      <c r="N156" s="44">
        <f>IF(($L156&gt;$B$5)*($L156&lt;=$C$5),$M156,"")</f>
        <v/>
      </c>
      <c r="O156" s="44">
        <f>IF(($L156&gt;$B$6)*($L156&lt;=$C$6),$M156,"")</f>
        <v/>
      </c>
      <c r="P156" s="44">
        <f>IF(($L156&gt;$B$7)*($L156&lt;=$C$7),$M156,"")</f>
        <v/>
      </c>
      <c r="Q156" s="44">
        <f>IF(($L156&gt;$B$8)*($L156&lt;=$C$8),$M156,"")</f>
        <v/>
      </c>
      <c r="R156" s="44">
        <f>IF(($L156&gt;$B$9)*($L156&lt;=$C$9),$M156,"")</f>
        <v/>
      </c>
    </row>
    <row r="157">
      <c r="L157" s="42" t="n">
        <v>45722</v>
      </c>
      <c r="M157" s="43" t="n">
        <v>1600</v>
      </c>
      <c r="N157" s="44">
        <f>IF(($L157&gt;$B$5)*($L157&lt;=$C$5),$M157,"")</f>
        <v/>
      </c>
      <c r="O157" s="44">
        <f>IF(($L157&gt;$B$6)*($L157&lt;=$C$6),$M157,"")</f>
        <v/>
      </c>
      <c r="P157" s="44">
        <f>IF(($L157&gt;$B$7)*($L157&lt;=$C$7),$M157,"")</f>
        <v/>
      </c>
      <c r="Q157" s="44">
        <f>IF(($L157&gt;$B$8)*($L157&lt;=$C$8),$M157,"")</f>
        <v/>
      </c>
      <c r="R157" s="44">
        <f>IF(($L157&gt;$B$9)*($L157&lt;=$C$9),$M157,"")</f>
        <v/>
      </c>
    </row>
    <row r="158">
      <c r="L158" s="42" t="n">
        <v>45723</v>
      </c>
      <c r="M158" s="43" t="n">
        <v>1600</v>
      </c>
      <c r="N158" s="44">
        <f>IF(($L158&gt;$B$5)*($L158&lt;=$C$5),$M158,"")</f>
        <v/>
      </c>
      <c r="O158" s="44">
        <f>IF(($L158&gt;$B$6)*($L158&lt;=$C$6),$M158,"")</f>
        <v/>
      </c>
      <c r="P158" s="44">
        <f>IF(($L158&gt;$B$7)*($L158&lt;=$C$7),$M158,"")</f>
        <v/>
      </c>
      <c r="Q158" s="44">
        <f>IF(($L158&gt;$B$8)*($L158&lt;=$C$8),$M158,"")</f>
        <v/>
      </c>
      <c r="R158" s="44">
        <f>IF(($L158&gt;$B$9)*($L158&lt;=$C$9),$M158,"")</f>
        <v/>
      </c>
    </row>
    <row r="159">
      <c r="L159" s="42" t="n">
        <v>45726</v>
      </c>
      <c r="M159" s="43" t="n">
        <v>1600</v>
      </c>
      <c r="N159" s="44">
        <f>IF(($L159&gt;$B$5)*($L159&lt;=$C$5),$M159,"")</f>
        <v/>
      </c>
      <c r="O159" s="44">
        <f>IF(($L159&gt;$B$6)*($L159&lt;=$C$6),$M159,"")</f>
        <v/>
      </c>
      <c r="P159" s="44">
        <f>IF(($L159&gt;$B$7)*($L159&lt;=$C$7),$M159,"")</f>
        <v/>
      </c>
      <c r="Q159" s="44">
        <f>IF(($L159&gt;$B$8)*($L159&lt;=$C$8),$M159,"")</f>
        <v/>
      </c>
      <c r="R159" s="44">
        <f>IF(($L159&gt;$B$9)*($L159&lt;=$C$9),$M159,"")</f>
        <v/>
      </c>
    </row>
    <row r="160">
      <c r="L160" s="42" t="n">
        <v>45727</v>
      </c>
      <c r="M160" s="43" t="n">
        <v>1600</v>
      </c>
      <c r="N160" s="44">
        <f>IF(($L160&gt;$B$5)*($L160&lt;=$C$5),$M160,"")</f>
        <v/>
      </c>
      <c r="O160" s="44">
        <f>IF(($L160&gt;$B$6)*($L160&lt;=$C$6),$M160,"")</f>
        <v/>
      </c>
      <c r="P160" s="44">
        <f>IF(($L160&gt;$B$7)*($L160&lt;=$C$7),$M160,"")</f>
        <v/>
      </c>
      <c r="Q160" s="44">
        <f>IF(($L160&gt;$B$8)*($L160&lt;=$C$8),$M160,"")</f>
        <v/>
      </c>
      <c r="R160" s="44">
        <f>IF(($L160&gt;$B$9)*($L160&lt;=$C$9),$M160,"")</f>
        <v/>
      </c>
    </row>
    <row r="161">
      <c r="L161" s="42" t="n">
        <v>45728</v>
      </c>
      <c r="M161" s="43" t="n">
        <v>1600</v>
      </c>
      <c r="N161" s="44">
        <f>IF(($L161&gt;$B$5)*($L161&lt;=$C$5),$M161,"")</f>
        <v/>
      </c>
      <c r="O161" s="44">
        <f>IF(($L161&gt;$B$6)*($L161&lt;=$C$6),$M161,"")</f>
        <v/>
      </c>
      <c r="P161" s="44">
        <f>IF(($L161&gt;$B$7)*($L161&lt;=$C$7),$M161,"")</f>
        <v/>
      </c>
      <c r="Q161" s="44">
        <f>IF(($L161&gt;$B$8)*($L161&lt;=$C$8),$M161,"")</f>
        <v/>
      </c>
      <c r="R161" s="44">
        <f>IF(($L161&gt;$B$9)*($L161&lt;=$C$9),$M161,"")</f>
        <v/>
      </c>
    </row>
    <row r="162">
      <c r="L162" s="42" t="n">
        <v>45729</v>
      </c>
      <c r="M162" s="43" t="n">
        <v>1575</v>
      </c>
      <c r="N162" s="44">
        <f>IF(($L162&gt;$B$5)*($L162&lt;=$C$5),$M162,"")</f>
        <v/>
      </c>
      <c r="O162" s="44">
        <f>IF(($L162&gt;$B$6)*($L162&lt;=$C$6),$M162,"")</f>
        <v/>
      </c>
      <c r="P162" s="44">
        <f>IF(($L162&gt;$B$7)*($L162&lt;=$C$7),$M162,"")</f>
        <v/>
      </c>
      <c r="Q162" s="44">
        <f>IF(($L162&gt;$B$8)*($L162&lt;=$C$8),$M162,"")</f>
        <v/>
      </c>
      <c r="R162" s="44">
        <f>IF(($L162&gt;$B$9)*($L162&lt;=$C$9),$M162,"")</f>
        <v/>
      </c>
    </row>
    <row r="163">
      <c r="L163" s="42" t="n">
        <v>45730</v>
      </c>
      <c r="M163" s="43" t="n">
        <v>1575</v>
      </c>
      <c r="N163" s="44">
        <f>IF(($L163&gt;$B$5)*($L163&lt;=$C$5),$M163,"")</f>
        <v/>
      </c>
      <c r="O163" s="44">
        <f>IF(($L163&gt;$B$6)*($L163&lt;=$C$6),$M163,"")</f>
        <v/>
      </c>
      <c r="P163" s="44">
        <f>IF(($L163&gt;$B$7)*($L163&lt;=$C$7),$M163,"")</f>
        <v/>
      </c>
      <c r="Q163" s="44">
        <f>IF(($L163&gt;$B$8)*($L163&lt;=$C$8),$M163,"")</f>
        <v/>
      </c>
      <c r="R163" s="44">
        <f>IF(($L163&gt;$B$9)*($L163&lt;=$C$9),$M163,"")</f>
        <v/>
      </c>
    </row>
    <row r="164">
      <c r="L164" s="42" t="n">
        <v>45734</v>
      </c>
      <c r="M164" s="43" t="n">
        <v>1575</v>
      </c>
      <c r="N164" s="44">
        <f>IF(($L164&gt;$B$5)*($L164&lt;=$C$5),$M164,"")</f>
        <v/>
      </c>
      <c r="O164" s="44">
        <f>IF(($L164&gt;$B$6)*($L164&lt;=$C$6),$M164,"")</f>
        <v/>
      </c>
      <c r="P164" s="44">
        <f>IF(($L164&gt;$B$7)*($L164&lt;=$C$7),$M164,"")</f>
        <v/>
      </c>
      <c r="Q164" s="44">
        <f>IF(($L164&gt;$B$8)*($L164&lt;=$C$8),$M164,"")</f>
        <v/>
      </c>
      <c r="R164" s="44">
        <f>IF(($L164&gt;$B$9)*($L164&lt;=$C$9),$M164,"")</f>
        <v/>
      </c>
    </row>
    <row r="165">
      <c r="L165" s="42" t="n">
        <v>45735</v>
      </c>
      <c r="M165" s="43" t="n">
        <v>1575</v>
      </c>
      <c r="N165" s="44">
        <f>IF(($L165&gt;$B$5)*($L165&lt;=$C$5),$M165,"")</f>
        <v/>
      </c>
      <c r="O165" s="44">
        <f>IF(($L165&gt;$B$6)*($L165&lt;=$C$6),$M165,"")</f>
        <v/>
      </c>
      <c r="P165" s="44">
        <f>IF(($L165&gt;$B$7)*($L165&lt;=$C$7),$M165,"")</f>
        <v/>
      </c>
      <c r="Q165" s="44">
        <f>IF(($L165&gt;$B$8)*($L165&lt;=$C$8),$M165,"")</f>
        <v/>
      </c>
      <c r="R165" s="44">
        <f>IF(($L165&gt;$B$9)*($L165&lt;=$C$9),$M165,"")</f>
        <v/>
      </c>
    </row>
    <row r="166">
      <c r="L166" s="42" t="n">
        <v>45736</v>
      </c>
      <c r="M166" s="43" t="n">
        <v>1575</v>
      </c>
      <c r="N166" s="44">
        <f>IF(($L166&gt;$B$5)*($L166&lt;=$C$5),$M166,"")</f>
        <v/>
      </c>
      <c r="O166" s="44">
        <f>IF(($L166&gt;$B$6)*($L166&lt;=$C$6),$M166,"")</f>
        <v/>
      </c>
      <c r="P166" s="44">
        <f>IF(($L166&gt;$B$7)*($L166&lt;=$C$7),$M166,"")</f>
        <v/>
      </c>
      <c r="Q166" s="44">
        <f>IF(($L166&gt;$B$8)*($L166&lt;=$C$8),$M166,"")</f>
        <v/>
      </c>
      <c r="R166" s="44">
        <f>IF(($L166&gt;$B$9)*($L166&lt;=$C$9),$M166,"")</f>
        <v/>
      </c>
    </row>
    <row r="167">
      <c r="L167" s="42" t="n">
        <v>45737</v>
      </c>
      <c r="M167" s="43" t="n">
        <v>1575</v>
      </c>
      <c r="N167" s="44">
        <f>IF(($L167&gt;$B$5)*($L167&lt;=$C$5),$M167,"")</f>
        <v/>
      </c>
      <c r="O167" s="44">
        <f>IF(($L167&gt;$B$6)*($L167&lt;=$C$6),$M167,"")</f>
        <v/>
      </c>
      <c r="P167" s="44">
        <f>IF(($L167&gt;$B$7)*($L167&lt;=$C$7),$M167,"")</f>
        <v/>
      </c>
      <c r="Q167" s="44">
        <f>IF(($L167&gt;$B$8)*($L167&lt;=$C$8),$M167,"")</f>
        <v/>
      </c>
      <c r="R167" s="44">
        <f>IF(($L167&gt;$B$9)*($L167&lt;=$C$9),$M167,"")</f>
        <v/>
      </c>
    </row>
    <row r="168">
      <c r="L168" s="42" t="n">
        <v>45741</v>
      </c>
      <c r="M168" s="43" t="n">
        <v>1550</v>
      </c>
      <c r="N168" s="44">
        <f>IF(($L168&gt;$B$5)*($L168&lt;=$C$5),$M168,"")</f>
        <v/>
      </c>
      <c r="O168" s="44">
        <f>IF(($L168&gt;$B$6)*($L168&lt;=$C$6),$M168,"")</f>
        <v/>
      </c>
      <c r="P168" s="44">
        <f>IF(($L168&gt;$B$7)*($L168&lt;=$C$7),$M168,"")</f>
        <v/>
      </c>
      <c r="Q168" s="44">
        <f>IF(($L168&gt;$B$8)*($L168&lt;=$C$8),$M168,"")</f>
        <v/>
      </c>
      <c r="R168" s="44">
        <f>IF(($L168&gt;$B$9)*($L168&lt;=$C$9),$M168,"")</f>
        <v/>
      </c>
    </row>
    <row r="169">
      <c r="L169" s="42" t="n">
        <v>45742</v>
      </c>
      <c r="M169" s="43" t="n">
        <v>1550</v>
      </c>
      <c r="N169" s="44">
        <f>IF(($L169&gt;$B$5)*($L169&lt;=$C$5),$M169,"")</f>
        <v/>
      </c>
      <c r="O169" s="44">
        <f>IF(($L169&gt;$B$6)*($L169&lt;=$C$6),$M169,"")</f>
        <v/>
      </c>
      <c r="P169" s="44">
        <f>IF(($L169&gt;$B$7)*($L169&lt;=$C$7),$M169,"")</f>
        <v/>
      </c>
      <c r="Q169" s="44">
        <f>IF(($L169&gt;$B$8)*($L169&lt;=$C$8),$M169,"")</f>
        <v/>
      </c>
      <c r="R169" s="44">
        <f>IF(($L169&gt;$B$9)*($L169&lt;=$C$9),$M169,"")</f>
        <v/>
      </c>
    </row>
    <row r="170">
      <c r="L170" s="42" t="n">
        <v>45743</v>
      </c>
      <c r="M170" s="43" t="n">
        <v>1550</v>
      </c>
      <c r="N170" s="44">
        <f>IF(($L170&gt;$B$5)*($L170&lt;=$C$5),$M170,"")</f>
        <v/>
      </c>
      <c r="O170" s="44">
        <f>IF(($L170&gt;$B$6)*($L170&lt;=$C$6),$M170,"")</f>
        <v/>
      </c>
      <c r="P170" s="44">
        <f>IF(($L170&gt;$B$7)*($L170&lt;=$C$7),$M170,"")</f>
        <v/>
      </c>
      <c r="Q170" s="44">
        <f>IF(($L170&gt;$B$8)*($L170&lt;=$C$8),$M170,"")</f>
        <v/>
      </c>
      <c r="R170" s="44">
        <f>IF(($L170&gt;$B$9)*($L170&lt;=$C$9),$M170,"")</f>
        <v/>
      </c>
    </row>
    <row r="171">
      <c r="L171" s="42" t="n">
        <v>45744</v>
      </c>
      <c r="M171" s="43" t="n">
        <v>1550</v>
      </c>
      <c r="N171" s="44">
        <f>IF(($L171&gt;$B$5)*($L171&lt;=$C$5),$M171,"")</f>
        <v/>
      </c>
      <c r="O171" s="44">
        <f>IF(($L171&gt;$B$6)*($L171&lt;=$C$6),$M171,"")</f>
        <v/>
      </c>
      <c r="P171" s="44">
        <f>IF(($L171&gt;$B$7)*($L171&lt;=$C$7),$M171,"")</f>
        <v/>
      </c>
      <c r="Q171" s="44">
        <f>IF(($L171&gt;$B$8)*($L171&lt;=$C$8),$M171,"")</f>
        <v/>
      </c>
      <c r="R171" s="44">
        <f>IF(($L171&gt;$B$9)*($L171&lt;=$C$9),$M171,"")</f>
        <v/>
      </c>
    </row>
    <row r="172">
      <c r="L172" s="42" t="n">
        <v>45749</v>
      </c>
      <c r="M172" s="43" t="n">
        <v>1550</v>
      </c>
      <c r="N172" s="44">
        <f>IF(($L172&gt;$B$5)*($L172&lt;=$C$5),$M172,"")</f>
        <v/>
      </c>
      <c r="O172" s="44">
        <f>IF(($L172&gt;$B$6)*($L172&lt;=$C$6),$M172,"")</f>
        <v/>
      </c>
      <c r="P172" s="44">
        <f>IF(($L172&gt;$B$7)*($L172&lt;=$C$7),$M172,"")</f>
        <v/>
      </c>
      <c r="Q172" s="44">
        <f>IF(($L172&gt;$B$8)*($L172&lt;=$C$8),$M172,"")</f>
        <v/>
      </c>
      <c r="R172" s="44">
        <f>IF(($L172&gt;$B$9)*($L172&lt;=$C$9),$M172,"")</f>
        <v/>
      </c>
    </row>
    <row r="173">
      <c r="L173" s="42" t="n">
        <v>45750</v>
      </c>
      <c r="M173" s="43" t="n">
        <v>1525</v>
      </c>
      <c r="N173" s="44">
        <f>IF(($L173&gt;$B$5)*($L173&lt;=$C$5),$M173,"")</f>
        <v/>
      </c>
      <c r="O173" s="44">
        <f>IF(($L173&gt;$B$6)*($L173&lt;=$C$6),$M173,"")</f>
        <v/>
      </c>
      <c r="P173" s="44">
        <f>IF(($L173&gt;$B$7)*($L173&lt;=$C$7),$M173,"")</f>
        <v/>
      </c>
      <c r="Q173" s="44">
        <f>IF(($L173&gt;$B$8)*($L173&lt;=$C$8),$M173,"")</f>
        <v/>
      </c>
      <c r="R173" s="44">
        <f>IF(($L173&gt;$B$9)*($L173&lt;=$C$9),$M173,"")</f>
        <v/>
      </c>
    </row>
    <row r="174">
      <c r="L174" s="42" t="n">
        <v>45755</v>
      </c>
      <c r="M174" s="43" t="n">
        <v>1525</v>
      </c>
      <c r="N174" s="44">
        <f>IF(($L174&gt;$B$5)*($L174&lt;=$C$5),$M174,"")</f>
        <v/>
      </c>
      <c r="O174" s="44">
        <f>IF(($L174&gt;$B$6)*($L174&lt;=$C$6),$M174,"")</f>
        <v/>
      </c>
      <c r="P174" s="44">
        <f>IF(($L174&gt;$B$7)*($L174&lt;=$C$7),$M174,"")</f>
        <v/>
      </c>
      <c r="Q174" s="44">
        <f>IF(($L174&gt;$B$8)*($L174&lt;=$C$8),$M174,"")</f>
        <v/>
      </c>
      <c r="R174" s="44">
        <f>IF(($L174&gt;$B$9)*($L174&lt;=$C$9),$M174,"")</f>
        <v/>
      </c>
    </row>
    <row r="175">
      <c r="L175" s="42" t="n">
        <v>45758</v>
      </c>
      <c r="M175" s="43" t="n">
        <v>1475</v>
      </c>
      <c r="N175" s="44">
        <f>IF(($L175&gt;$B$5)*($L175&lt;=$C$5),$M175,"")</f>
        <v/>
      </c>
      <c r="O175" s="44">
        <f>IF(($L175&gt;$B$6)*($L175&lt;=$C$6),$M175,"")</f>
        <v/>
      </c>
      <c r="P175" s="44">
        <f>IF(($L175&gt;$B$7)*($L175&lt;=$C$7),$M175,"")</f>
        <v/>
      </c>
      <c r="Q175" s="44">
        <f>IF(($L175&gt;$B$8)*($L175&lt;=$C$8),$M175,"")</f>
        <v/>
      </c>
      <c r="R175" s="44">
        <f>IF(($L175&gt;$B$9)*($L175&lt;=$C$9),$M175,"")</f>
        <v/>
      </c>
    </row>
    <row r="176">
      <c r="L176" s="42" t="n">
        <v>45762</v>
      </c>
      <c r="M176" s="43" t="n">
        <v>1450</v>
      </c>
      <c r="N176" s="44">
        <f>IF(($L176&gt;$B$5)*($L176&lt;=$C$5),$M176,"")</f>
        <v/>
      </c>
      <c r="O176" s="44">
        <f>IF(($L176&gt;$B$6)*($L176&lt;=$C$6),$M176,"")</f>
        <v/>
      </c>
      <c r="P176" s="44">
        <f>IF(($L176&gt;$B$7)*($L176&lt;=$C$7),$M176,"")</f>
        <v/>
      </c>
      <c r="Q176" s="44">
        <f>IF(($L176&gt;$B$8)*($L176&lt;=$C$8),$M176,"")</f>
        <v/>
      </c>
      <c r="R176" s="44">
        <f>IF(($L176&gt;$B$9)*($L176&lt;=$C$9),$M176,"")</f>
        <v/>
      </c>
    </row>
    <row r="177">
      <c r="L177" s="42" t="n">
        <v>45763</v>
      </c>
      <c r="M177" s="43" t="n">
        <v>1450</v>
      </c>
      <c r="N177" s="44">
        <f>IF(($L177&gt;$B$5)*($L177&lt;=$C$5),$M177,"")</f>
        <v/>
      </c>
      <c r="O177" s="44">
        <f>IF(($L177&gt;$B$6)*($L177&lt;=$C$6),$M177,"")</f>
        <v/>
      </c>
      <c r="P177" s="44">
        <f>IF(($L177&gt;$B$7)*($L177&lt;=$C$7),$M177,"")</f>
        <v/>
      </c>
      <c r="Q177" s="44">
        <f>IF(($L177&gt;$B$8)*($L177&lt;=$C$8),$M177,"")</f>
        <v/>
      </c>
      <c r="R177" s="44">
        <f>IF(($L177&gt;$B$9)*($L177&lt;=$C$9),$M177,"")</f>
        <v/>
      </c>
    </row>
    <row r="178">
      <c r="L178" s="42" t="n">
        <v>45764</v>
      </c>
      <c r="M178" s="43" t="n">
        <v>1450</v>
      </c>
      <c r="N178" s="44">
        <f>IF(($L178&gt;$B$5)*($L178&lt;=$C$5),$M178,"")</f>
        <v/>
      </c>
      <c r="O178" s="44">
        <f>IF(($L178&gt;$B$6)*($L178&lt;=$C$6),$M178,"")</f>
        <v/>
      </c>
      <c r="P178" s="44">
        <f>IF(($L178&gt;$B$7)*($L178&lt;=$C$7),$M178,"")</f>
        <v/>
      </c>
      <c r="Q178" s="44">
        <f>IF(($L178&gt;$B$8)*($L178&lt;=$C$8),$M178,"")</f>
        <v/>
      </c>
      <c r="R178" s="44">
        <f>IF(($L178&gt;$B$9)*($L178&lt;=$C$9),$M178,"")</f>
        <v/>
      </c>
    </row>
    <row r="179">
      <c r="L179" s="42" t="n">
        <v>45765</v>
      </c>
      <c r="M179" s="43" t="n">
        <v>1450</v>
      </c>
      <c r="N179" s="44">
        <f>IF(($L179&gt;$B$5)*($L179&lt;=$C$5),$M179,"")</f>
        <v/>
      </c>
      <c r="O179" s="44">
        <f>IF(($L179&gt;$B$6)*($L179&lt;=$C$6),$M179,"")</f>
        <v/>
      </c>
      <c r="P179" s="44">
        <f>IF(($L179&gt;$B$7)*($L179&lt;=$C$7),$M179,"")</f>
        <v/>
      </c>
      <c r="Q179" s="44">
        <f>IF(($L179&gt;$B$8)*($L179&lt;=$C$8),$M179,"")</f>
        <v/>
      </c>
      <c r="R179" s="44">
        <f>IF(($L179&gt;$B$9)*($L179&lt;=$C$9),$M179,"")</f>
        <v/>
      </c>
    </row>
    <row r="180">
      <c r="L180" s="42" t="n">
        <v>45769</v>
      </c>
      <c r="M180" s="43" t="n">
        <v>1450</v>
      </c>
      <c r="N180" s="44">
        <f>IF(($L180&gt;$B$5)*($L180&lt;=$C$5),$M180,"")</f>
        <v/>
      </c>
      <c r="O180" s="44">
        <f>IF(($L180&gt;$B$6)*($L180&lt;=$C$6),$M180,"")</f>
        <v/>
      </c>
      <c r="P180" s="44">
        <f>IF(($L180&gt;$B$7)*($L180&lt;=$C$7),$M180,"")</f>
        <v/>
      </c>
      <c r="Q180" s="44">
        <f>IF(($L180&gt;$B$8)*($L180&lt;=$C$8),$M180,"")</f>
        <v/>
      </c>
      <c r="R180" s="44">
        <f>IF(($L180&gt;$B$9)*($L180&lt;=$C$9),$M180,"")</f>
        <v/>
      </c>
    </row>
    <row r="181">
      <c r="L181" s="42" t="n">
        <v>45771</v>
      </c>
      <c r="M181" s="43" t="n">
        <v>1450</v>
      </c>
      <c r="N181" s="44">
        <f>IF(($L181&gt;$B$5)*($L181&lt;=$C$5),$M181,"")</f>
        <v/>
      </c>
      <c r="O181" s="44">
        <f>IF(($L181&gt;$B$6)*($L181&lt;=$C$6),$M181,"")</f>
        <v/>
      </c>
      <c r="P181" s="44">
        <f>IF(($L181&gt;$B$7)*($L181&lt;=$C$7),$M181,"")</f>
        <v/>
      </c>
      <c r="Q181" s="44">
        <f>IF(($L181&gt;$B$8)*($L181&lt;=$C$8),$M181,"")</f>
        <v/>
      </c>
      <c r="R181" s="44">
        <f>IF(($L181&gt;$B$9)*($L181&lt;=$C$9),$M181,"")</f>
        <v/>
      </c>
    </row>
    <row r="182">
      <c r="L182" s="42" t="n">
        <v>45772</v>
      </c>
      <c r="M182" s="43" t="n">
        <v>1450</v>
      </c>
      <c r="N182" s="44">
        <f>IF(($L182&gt;$B$5)*($L182&lt;=$C$5),$M182,"")</f>
        <v/>
      </c>
      <c r="O182" s="44">
        <f>IF(($L182&gt;$B$6)*($L182&lt;=$C$6),$M182,"")</f>
        <v/>
      </c>
      <c r="P182" s="44">
        <f>IF(($L182&gt;$B$7)*($L182&lt;=$C$7),$M182,"")</f>
        <v/>
      </c>
      <c r="Q182" s="44">
        <f>IF(($L182&gt;$B$8)*($L182&lt;=$C$8),$M182,"")</f>
        <v/>
      </c>
      <c r="R182" s="44">
        <f>IF(($L182&gt;$B$9)*($L182&lt;=$C$9),$M182,"")</f>
        <v/>
      </c>
    </row>
    <row r="183">
      <c r="L183" s="42" t="n">
        <v>45774</v>
      </c>
      <c r="M183" s="43" t="n">
        <v>1450</v>
      </c>
      <c r="N183" s="44">
        <f>IF(($L183&gt;$B$5)*($L183&lt;=$C$5),$M183,"")</f>
        <v/>
      </c>
      <c r="O183" s="44">
        <f>IF(($L183&gt;$B$6)*($L183&lt;=$C$6),$M183,"")</f>
        <v/>
      </c>
      <c r="P183" s="44">
        <f>IF(($L183&gt;$B$7)*($L183&lt;=$C$7),$M183,"")</f>
        <v/>
      </c>
      <c r="Q183" s="44">
        <f>IF(($L183&gt;$B$8)*($L183&lt;=$C$8),$M183,"")</f>
        <v/>
      </c>
      <c r="R183" s="44">
        <f>IF(($L183&gt;$B$9)*($L183&lt;=$C$9),$M183,"")</f>
        <v/>
      </c>
    </row>
    <row r="184">
      <c r="L184" s="42" t="n">
        <v>45775</v>
      </c>
      <c r="M184" s="43" t="n">
        <v>1450</v>
      </c>
      <c r="N184" s="44">
        <f>IF(($L184&gt;$B$5)*($L184&lt;=$C$5),$M184,"")</f>
        <v/>
      </c>
      <c r="O184" s="44">
        <f>IF(($L184&gt;$B$6)*($L184&lt;=$C$6),$M184,"")</f>
        <v/>
      </c>
      <c r="P184" s="44">
        <f>IF(($L184&gt;$B$7)*($L184&lt;=$C$7),$M184,"")</f>
        <v/>
      </c>
      <c r="Q184" s="44">
        <f>IF(($L184&gt;$B$8)*($L184&lt;=$C$8),$M184,"")</f>
        <v/>
      </c>
      <c r="R184" s="44">
        <f>IF(($L184&gt;$B$9)*($L184&lt;=$C$9),$M184,"")</f>
        <v/>
      </c>
    </row>
    <row r="185">
      <c r="L185" s="42" t="n">
        <v>45776</v>
      </c>
      <c r="M185" s="43" t="n">
        <v>1450</v>
      </c>
      <c r="N185" s="44">
        <f>IF(($L185&gt;$B$5)*($L185&lt;=$C$5),$M185,"")</f>
        <v/>
      </c>
      <c r="O185" s="44">
        <f>IF(($L185&gt;$B$6)*($L185&lt;=$C$6),$M185,"")</f>
        <v/>
      </c>
      <c r="P185" s="44">
        <f>IF(($L185&gt;$B$7)*($L185&lt;=$C$7),$M185,"")</f>
        <v/>
      </c>
      <c r="Q185" s="44">
        <f>IF(($L185&gt;$B$8)*($L185&lt;=$C$8),$M185,"")</f>
        <v/>
      </c>
      <c r="R185" s="44">
        <f>IF(($L185&gt;$B$9)*($L185&lt;=$C$9),$M185,"")</f>
        <v/>
      </c>
    </row>
    <row r="186">
      <c r="L186" s="42" t="n">
        <v>45777</v>
      </c>
      <c r="M186" s="43" t="n">
        <v>1450</v>
      </c>
      <c r="N186" s="44">
        <f>IF(($L186&gt;$B$5)*($L186&lt;=$C$5),$M186,"")</f>
        <v/>
      </c>
      <c r="O186" s="44">
        <f>IF(($L186&gt;$B$6)*($L186&lt;=$C$6),$M186,"")</f>
        <v/>
      </c>
      <c r="P186" s="44">
        <f>IF(($L186&gt;$B$7)*($L186&lt;=$C$7),$M186,"")</f>
        <v/>
      </c>
      <c r="Q186" s="44">
        <f>IF(($L186&gt;$B$8)*($L186&lt;=$C$8),$M186,"")</f>
        <v/>
      </c>
      <c r="R186" s="44">
        <f>IF(($L186&gt;$B$9)*($L186&lt;=$C$9),$M186,"")</f>
        <v/>
      </c>
    </row>
    <row r="187">
      <c r="L187" s="42" t="n">
        <v>45784</v>
      </c>
      <c r="M187" s="43" t="n">
        <v>1450</v>
      </c>
      <c r="N187" s="44">
        <f>IF(($L187&gt;$B$5)*($L187&lt;=$C$5),$M187,"")</f>
        <v/>
      </c>
      <c r="O187" s="44">
        <f>IF(($L187&gt;$B$6)*($L187&lt;=$C$6),$M187,"")</f>
        <v/>
      </c>
      <c r="P187" s="44">
        <f>IF(($L187&gt;$B$7)*($L187&lt;=$C$7),$M187,"")</f>
        <v/>
      </c>
      <c r="Q187" s="44">
        <f>IF(($L187&gt;$B$8)*($L187&lt;=$C$8),$M187,"")</f>
        <v/>
      </c>
      <c r="R187" s="44">
        <f>IF(($L187&gt;$B$9)*($L187&lt;=$C$9),$M187,"")</f>
        <v/>
      </c>
    </row>
    <row r="188">
      <c r="L188" s="42" t="n">
        <v>45786</v>
      </c>
      <c r="M188" s="43" t="n">
        <v>1450</v>
      </c>
      <c r="N188" s="44">
        <f>IF(($L188&gt;$B$5)*($L188&lt;=$C$5),$M188,"")</f>
        <v/>
      </c>
      <c r="O188" s="44">
        <f>IF(($L188&gt;$B$6)*($L188&lt;=$C$6),$M188,"")</f>
        <v/>
      </c>
      <c r="P188" s="44">
        <f>IF(($L188&gt;$B$7)*($L188&lt;=$C$7),$M188,"")</f>
        <v/>
      </c>
      <c r="Q188" s="44">
        <f>IF(($L188&gt;$B$8)*($L188&lt;=$C$8),$M188,"")</f>
        <v/>
      </c>
      <c r="R188" s="44">
        <f>IF(($L188&gt;$B$9)*($L188&lt;=$C$9),$M188,"")</f>
        <v/>
      </c>
    </row>
    <row r="189">
      <c r="L189" s="42" t="n">
        <v>45789</v>
      </c>
      <c r="M189" s="43" t="n">
        <v>1450</v>
      </c>
      <c r="N189" s="44">
        <f>IF(($L189&gt;$B$5)*($L189&lt;=$C$5),$M189,"")</f>
        <v/>
      </c>
      <c r="O189" s="44">
        <f>IF(($L189&gt;$B$6)*($L189&lt;=$C$6),$M189,"")</f>
        <v/>
      </c>
      <c r="P189" s="44">
        <f>IF(($L189&gt;$B$7)*($L189&lt;=$C$7),$M189,"")</f>
        <v/>
      </c>
      <c r="Q189" s="44">
        <f>IF(($L189&gt;$B$8)*($L189&lt;=$C$8),$M189,"")</f>
        <v/>
      </c>
      <c r="R189" s="44">
        <f>IF(($L189&gt;$B$9)*($L189&lt;=$C$9),$M189,"")</f>
        <v/>
      </c>
    </row>
    <row r="190">
      <c r="L190" s="42" t="n">
        <v>45790</v>
      </c>
      <c r="M190" s="43" t="n">
        <v>1450</v>
      </c>
      <c r="N190" s="44">
        <f>IF(($L190&gt;$B$5)*($L190&lt;=$C$5),$M190,"")</f>
        <v/>
      </c>
      <c r="O190" s="44">
        <f>IF(($L190&gt;$B$6)*($L190&lt;=$C$6),$M190,"")</f>
        <v/>
      </c>
      <c r="P190" s="44">
        <f>IF(($L190&gt;$B$7)*($L190&lt;=$C$7),$M190,"")</f>
        <v/>
      </c>
      <c r="Q190" s="44">
        <f>IF(($L190&gt;$B$8)*($L190&lt;=$C$8),$M190,"")</f>
        <v/>
      </c>
      <c r="R190" s="44">
        <f>IF(($L190&gt;$B$9)*($L190&lt;=$C$9),$M190,"")</f>
        <v/>
      </c>
    </row>
    <row r="191">
      <c r="L191" s="42" t="n">
        <v>45791</v>
      </c>
      <c r="M191" s="43" t="n">
        <v>1450</v>
      </c>
      <c r="N191" s="44">
        <f>IF(($L191&gt;$B$5)*($L191&lt;=$C$5),$M191,"")</f>
        <v/>
      </c>
      <c r="O191" s="44">
        <f>IF(($L191&gt;$B$6)*($L191&lt;=$C$6),$M191,"")</f>
        <v/>
      </c>
      <c r="P191" s="44">
        <f>IF(($L191&gt;$B$7)*($L191&lt;=$C$7),$M191,"")</f>
        <v/>
      </c>
      <c r="Q191" s="44">
        <f>IF(($L191&gt;$B$8)*($L191&lt;=$C$8),$M191,"")</f>
        <v/>
      </c>
      <c r="R191" s="44">
        <f>IF(($L191&gt;$B$9)*($L191&lt;=$C$9),$M191,"")</f>
        <v/>
      </c>
    </row>
    <row r="192">
      <c r="L192" s="42" t="n">
        <v>45792</v>
      </c>
      <c r="M192" s="43" t="n">
        <v>1450</v>
      </c>
      <c r="N192" s="44">
        <f>IF(($L192&gt;$B$5)*($L192&lt;=$C$5),$M192,"")</f>
        <v/>
      </c>
      <c r="O192" s="44">
        <f>IF(($L192&gt;$B$6)*($L192&lt;=$C$6),$M192,"")</f>
        <v/>
      </c>
      <c r="P192" s="44">
        <f>IF(($L192&gt;$B$7)*($L192&lt;=$C$7),$M192,"")</f>
        <v/>
      </c>
      <c r="Q192" s="44">
        <f>IF(($L192&gt;$B$8)*($L192&lt;=$C$8),$M192,"")</f>
        <v/>
      </c>
      <c r="R192" s="44">
        <f>IF(($L192&gt;$B$9)*($L192&lt;=$C$9),$M192,"")</f>
        <v/>
      </c>
    </row>
    <row r="193">
      <c r="L193" s="42" t="n">
        <v>45793</v>
      </c>
      <c r="M193" s="43" t="n">
        <v>1450</v>
      </c>
      <c r="N193" s="44">
        <f>IF(($L193&gt;$B$5)*($L193&lt;=$C$5),$M193,"")</f>
        <v/>
      </c>
      <c r="O193" s="44">
        <f>IF(($L193&gt;$B$6)*($L193&lt;=$C$6),$M193,"")</f>
        <v/>
      </c>
      <c r="P193" s="44">
        <f>IF(($L193&gt;$B$7)*($L193&lt;=$C$7),$M193,"")</f>
        <v/>
      </c>
      <c r="Q193" s="44">
        <f>IF(($L193&gt;$B$8)*($L193&lt;=$C$8),$M193,"")</f>
        <v/>
      </c>
      <c r="R193" s="44">
        <f>IF(($L193&gt;$B$9)*($L193&lt;=$C$9),$M193,"")</f>
        <v/>
      </c>
    </row>
    <row r="194">
      <c r="L194" s="42" t="n">
        <v>45796</v>
      </c>
      <c r="M194" s="43" t="n">
        <v>1450</v>
      </c>
      <c r="N194" s="44">
        <f>IF(($L194&gt;$B$5)*($L194&lt;=$C$5),$M194,"")</f>
        <v/>
      </c>
      <c r="O194" s="44">
        <f>IF(($L194&gt;$B$6)*($L194&lt;=$C$6),$M194,"")</f>
        <v/>
      </c>
      <c r="P194" s="44">
        <f>IF(($L194&gt;$B$7)*($L194&lt;=$C$7),$M194,"")</f>
        <v/>
      </c>
      <c r="Q194" s="44">
        <f>IF(($L194&gt;$B$8)*($L194&lt;=$C$8),$M194,"")</f>
        <v/>
      </c>
      <c r="R194" s="44">
        <f>IF(($L194&gt;$B$9)*($L194&lt;=$C$9),$M194,"")</f>
        <v/>
      </c>
    </row>
    <row r="195">
      <c r="L195" s="42" t="n">
        <v>45798</v>
      </c>
      <c r="M195" s="43" t="n">
        <v>1450</v>
      </c>
      <c r="N195" s="44">
        <f>IF(($L195&gt;$B$5)*($L195&lt;=$C$5),$M195,"")</f>
        <v/>
      </c>
      <c r="O195" s="44">
        <f>IF(($L195&gt;$B$6)*($L195&lt;=$C$6),$M195,"")</f>
        <v/>
      </c>
      <c r="P195" s="44">
        <f>IF(($L195&gt;$B$7)*($L195&lt;=$C$7),$M195,"")</f>
        <v/>
      </c>
      <c r="Q195" s="44">
        <f>IF(($L195&gt;$B$8)*($L195&lt;=$C$8),$M195,"")</f>
        <v/>
      </c>
      <c r="R195" s="44">
        <f>IF(($L195&gt;$B$9)*($L195&lt;=$C$9),$M195,"")</f>
        <v/>
      </c>
    </row>
    <row r="196">
      <c r="L196" s="42" t="n">
        <v>45803</v>
      </c>
      <c r="M196" s="43" t="n">
        <v>1450</v>
      </c>
      <c r="N196" s="44">
        <f>IF(($L196&gt;$B$5)*($L196&lt;=$C$5),$M196,"")</f>
        <v/>
      </c>
      <c r="O196" s="44">
        <f>IF(($L196&gt;$B$6)*($L196&lt;=$C$6),$M196,"")</f>
        <v/>
      </c>
      <c r="P196" s="44">
        <f>IF(($L196&gt;$B$7)*($L196&lt;=$C$7),$M196,"")</f>
        <v/>
      </c>
      <c r="Q196" s="44">
        <f>IF(($L196&gt;$B$8)*($L196&lt;=$C$8),$M196,"")</f>
        <v/>
      </c>
      <c r="R196" s="44">
        <f>IF(($L196&gt;$B$9)*($L196&lt;=$C$9),$M196,"")</f>
        <v/>
      </c>
    </row>
    <row r="197">
      <c r="L197" s="42" t="n">
        <v>45805</v>
      </c>
      <c r="M197" s="43" t="n">
        <v>1440</v>
      </c>
      <c r="N197" s="44">
        <f>IF(($L197&gt;$B$5)*($L197&lt;=$C$5),$M197,"")</f>
        <v/>
      </c>
      <c r="O197" s="44">
        <f>IF(($L197&gt;$B$6)*($L197&lt;=$C$6),$M197,"")</f>
        <v/>
      </c>
      <c r="P197" s="44">
        <f>IF(($L197&gt;$B$7)*($L197&lt;=$C$7),$M197,"")</f>
        <v/>
      </c>
      <c r="Q197" s="44">
        <f>IF(($L197&gt;$B$8)*($L197&lt;=$C$8),$M197,"")</f>
        <v/>
      </c>
      <c r="R197" s="44">
        <f>IF(($L197&gt;$B$9)*($L197&lt;=$C$9),$M197,"")</f>
        <v/>
      </c>
    </row>
    <row r="198">
      <c r="L198" s="42" t="n">
        <v>45807</v>
      </c>
      <c r="M198" s="43" t="n">
        <v>1440</v>
      </c>
      <c r="N198" s="44">
        <f>IF(($L198&gt;$B$5)*($L198&lt;=$C$5),$M198,"")</f>
        <v/>
      </c>
      <c r="O198" s="44">
        <f>IF(($L198&gt;$B$6)*($L198&lt;=$C$6),$M198,"")</f>
        <v/>
      </c>
      <c r="P198" s="44">
        <f>IF(($L198&gt;$B$7)*($L198&lt;=$C$7),$M198,"")</f>
        <v/>
      </c>
      <c r="Q198" s="44">
        <f>IF(($L198&gt;$B$8)*($L198&lt;=$C$8),$M198,"")</f>
        <v/>
      </c>
      <c r="R198" s="44">
        <f>IF(($L198&gt;$B$9)*($L198&lt;=$C$9),$M198,"")</f>
        <v/>
      </c>
    </row>
    <row r="199">
      <c r="L199" s="42" t="n">
        <v>45812</v>
      </c>
      <c r="M199" s="43" t="n">
        <v>1400</v>
      </c>
      <c r="N199" s="44">
        <f>IF(($L199&gt;$B$5)*($L199&lt;=$C$5),$M199,"")</f>
        <v/>
      </c>
      <c r="O199" s="44">
        <f>IF(($L199&gt;$B$6)*($L199&lt;=$C$6),$M199,"")</f>
        <v/>
      </c>
      <c r="P199" s="44">
        <f>IF(($L199&gt;$B$7)*($L199&lt;=$C$7),$M199,"")</f>
        <v/>
      </c>
      <c r="Q199" s="44">
        <f>IF(($L199&gt;$B$8)*($L199&lt;=$C$8),$M199,"")</f>
        <v/>
      </c>
      <c r="R199" s="44">
        <f>IF(($L199&gt;$B$9)*($L199&lt;=$C$9),$M199,"")</f>
        <v/>
      </c>
    </row>
    <row r="200">
      <c r="L200" s="42" t="n">
        <v>45813</v>
      </c>
      <c r="M200" s="43" t="n">
        <v>1400</v>
      </c>
      <c r="N200" s="44">
        <f>IF(($L200&gt;$B$5)*($L200&lt;=$C$5),$M200,"")</f>
        <v/>
      </c>
      <c r="O200" s="44">
        <f>IF(($L200&gt;$B$6)*($L200&lt;=$C$6),$M200,"")</f>
        <v/>
      </c>
      <c r="P200" s="44">
        <f>IF(($L200&gt;$B$7)*($L200&lt;=$C$7),$M200,"")</f>
        <v/>
      </c>
      <c r="Q200" s="44">
        <f>IF(($L200&gt;$B$8)*($L200&lt;=$C$8),$M200,"")</f>
        <v/>
      </c>
      <c r="R200" s="44">
        <f>IF(($L200&gt;$B$9)*($L200&lt;=$C$9),$M200,"")</f>
        <v/>
      </c>
    </row>
    <row r="201">
      <c r="L201" s="42" t="n">
        <v>45814</v>
      </c>
      <c r="M201" s="43" t="n">
        <v>1400</v>
      </c>
      <c r="N201" s="44">
        <f>IF(($L201&gt;$B$5)*($L201&lt;=$C$5),$M201,"")</f>
        <v/>
      </c>
      <c r="O201" s="44">
        <f>IF(($L201&gt;$B$6)*($L201&lt;=$C$6),$M201,"")</f>
        <v/>
      </c>
      <c r="P201" s="44">
        <f>IF(($L201&gt;$B$7)*($L201&lt;=$C$7),$M201,"")</f>
        <v/>
      </c>
      <c r="Q201" s="44">
        <f>IF(($L201&gt;$B$8)*($L201&lt;=$C$8),$M201,"")</f>
        <v/>
      </c>
      <c r="R201" s="44">
        <f>IF(($L201&gt;$B$9)*($L201&lt;=$C$9),$M201,"")</f>
        <v/>
      </c>
    </row>
    <row r="202">
      <c r="L202" s="42" t="n">
        <v>45818</v>
      </c>
      <c r="M202" s="43" t="n">
        <v>1375</v>
      </c>
      <c r="N202" s="44">
        <f>IF(($L202&gt;$B$5)*($L202&lt;=$C$5),$M202,"")</f>
        <v/>
      </c>
      <c r="O202" s="44">
        <f>IF(($L202&gt;$B$6)*($L202&lt;=$C$6),$M202,"")</f>
        <v/>
      </c>
      <c r="P202" s="44">
        <f>IF(($L202&gt;$B$7)*($L202&lt;=$C$7),$M202,"")</f>
        <v/>
      </c>
      <c r="Q202" s="44">
        <f>IF(($L202&gt;$B$8)*($L202&lt;=$C$8),$M202,"")</f>
        <v/>
      </c>
      <c r="R202" s="44">
        <f>IF(($L202&gt;$B$9)*($L202&lt;=$C$9),$M202,"")</f>
        <v/>
      </c>
    </row>
    <row r="203">
      <c r="L203" s="42" t="n">
        <v>45819</v>
      </c>
      <c r="M203" s="43" t="n">
        <v>1375</v>
      </c>
      <c r="N203" s="44">
        <f>IF(($L203&gt;$B$5)*($L203&lt;=$C$5),$M203,"")</f>
        <v/>
      </c>
      <c r="O203" s="44">
        <f>IF(($L203&gt;$B$6)*($L203&lt;=$C$6),$M203,"")</f>
        <v/>
      </c>
      <c r="P203" s="44">
        <f>IF(($L203&gt;$B$7)*($L203&lt;=$C$7),$M203,"")</f>
        <v/>
      </c>
      <c r="Q203" s="44">
        <f>IF(($L203&gt;$B$8)*($L203&lt;=$C$8),$M203,"")</f>
        <v/>
      </c>
      <c r="R203" s="44">
        <f>IF(($L203&gt;$B$9)*($L203&lt;=$C$9),$M203,"")</f>
        <v/>
      </c>
    </row>
    <row r="204">
      <c r="L204" s="42" t="n">
        <v>45820</v>
      </c>
      <c r="M204" s="43" t="n">
        <v>1375</v>
      </c>
      <c r="N204" s="44">
        <f>IF(($L204&gt;$B$5)*($L204&lt;=$C$5),$M204,"")</f>
        <v/>
      </c>
      <c r="O204" s="44">
        <f>IF(($L204&gt;$B$6)*($L204&lt;=$C$6),$M204,"")</f>
        <v/>
      </c>
      <c r="P204" s="44">
        <f>IF(($L204&gt;$B$7)*($L204&lt;=$C$7),$M204,"")</f>
        <v/>
      </c>
      <c r="Q204" s="44">
        <f>IF(($L204&gt;$B$8)*($L204&lt;=$C$8),$M204,"")</f>
        <v/>
      </c>
      <c r="R204" s="44">
        <f>IF(($L204&gt;$B$9)*($L204&lt;=$C$9),$M204,"")</f>
        <v/>
      </c>
    </row>
    <row r="205">
      <c r="L205" s="42" t="n">
        <v>45821</v>
      </c>
      <c r="M205" s="43" t="n">
        <v>1375</v>
      </c>
      <c r="N205" s="44">
        <f>IF(($L205&gt;$B$5)*($L205&lt;=$C$5),$M205,"")</f>
        <v/>
      </c>
      <c r="O205" s="44">
        <f>IF(($L205&gt;$B$6)*($L205&lt;=$C$6),$M205,"")</f>
        <v/>
      </c>
      <c r="P205" s="44">
        <f>IF(($L205&gt;$B$7)*($L205&lt;=$C$7),$M205,"")</f>
        <v/>
      </c>
      <c r="Q205" s="44">
        <f>IF(($L205&gt;$B$8)*($L205&lt;=$C$8),$M205,"")</f>
        <v/>
      </c>
      <c r="R205" s="44">
        <f>IF(($L205&gt;$B$9)*($L205&lt;=$C$9),$M205,"")</f>
        <v/>
      </c>
    </row>
    <row r="206">
      <c r="L206" s="42" t="n">
        <v>45824</v>
      </c>
      <c r="M206" s="43" t="n">
        <v>1375</v>
      </c>
      <c r="N206" s="44">
        <f>IF(($L206&gt;$B$5)*($L206&lt;=$C$5),$M206,"")</f>
        <v/>
      </c>
      <c r="O206" s="44">
        <f>IF(($L206&gt;$B$6)*($L206&lt;=$C$6),$M206,"")</f>
        <v/>
      </c>
      <c r="P206" s="44">
        <f>IF(($L206&gt;$B$7)*($L206&lt;=$C$7),$M206,"")</f>
        <v/>
      </c>
      <c r="Q206" s="44">
        <f>IF(($L206&gt;$B$8)*($L206&lt;=$C$8),$M206,"")</f>
        <v/>
      </c>
      <c r="R206" s="44">
        <f>IF(($L206&gt;$B$9)*($L206&lt;=$C$9),$M206,"")</f>
        <v/>
      </c>
    </row>
    <row r="207">
      <c r="L207" s="42" t="n">
        <v>45825</v>
      </c>
      <c r="M207" s="43" t="n">
        <v>1375</v>
      </c>
      <c r="N207" s="44">
        <f>IF(($L207&gt;$B$5)*($L207&lt;=$C$5),$M207,"")</f>
        <v/>
      </c>
      <c r="O207" s="44">
        <f>IF(($L207&gt;$B$6)*($L207&lt;=$C$6),$M207,"")</f>
        <v/>
      </c>
      <c r="P207" s="44">
        <f>IF(($L207&gt;$B$7)*($L207&lt;=$C$7),$M207,"")</f>
        <v/>
      </c>
      <c r="Q207" s="44">
        <f>IF(($L207&gt;$B$8)*($L207&lt;=$C$8),$M207,"")</f>
        <v/>
      </c>
      <c r="R207" s="44">
        <f>IF(($L207&gt;$B$9)*($L207&lt;=$C$9),$M207,"")</f>
        <v/>
      </c>
    </row>
    <row r="208">
      <c r="L208" s="42" t="n">
        <v>45826</v>
      </c>
      <c r="M208" s="43" t="n">
        <v>1375</v>
      </c>
      <c r="N208" s="44">
        <f>IF(($L208&gt;$B$5)*($L208&lt;=$C$5),$M208,"")</f>
        <v/>
      </c>
      <c r="O208" s="44">
        <f>IF(($L208&gt;$B$6)*($L208&lt;=$C$6),$M208,"")</f>
        <v/>
      </c>
      <c r="P208" s="44">
        <f>IF(($L208&gt;$B$7)*($L208&lt;=$C$7),$M208,"")</f>
        <v/>
      </c>
      <c r="Q208" s="44">
        <f>IF(($L208&gt;$B$8)*($L208&lt;=$C$8),$M208,"")</f>
        <v/>
      </c>
      <c r="R208" s="44">
        <f>IF(($L208&gt;$B$9)*($L208&lt;=$C$9),$M208,"")</f>
        <v/>
      </c>
    </row>
    <row r="209">
      <c r="L209" s="42" t="n">
        <v>45827</v>
      </c>
      <c r="M209" s="43" t="n">
        <v>1375</v>
      </c>
      <c r="N209" s="44">
        <f>IF(($L209&gt;$B$5)*($L209&lt;=$C$5),$M209,"")</f>
        <v/>
      </c>
      <c r="O209" s="44">
        <f>IF(($L209&gt;$B$6)*($L209&lt;=$C$6),$M209,"")</f>
        <v/>
      </c>
      <c r="P209" s="44">
        <f>IF(($L209&gt;$B$7)*($L209&lt;=$C$7),$M209,"")</f>
        <v/>
      </c>
      <c r="Q209" s="44">
        <f>IF(($L209&gt;$B$8)*($L209&lt;=$C$8),$M209,"")</f>
        <v/>
      </c>
      <c r="R209" s="44">
        <f>IF(($L209&gt;$B$9)*($L209&lt;=$C$9),$M209,"")</f>
        <v/>
      </c>
    </row>
    <row r="210">
      <c r="L210" s="42" t="n">
        <v>45828</v>
      </c>
      <c r="M210" s="43" t="n">
        <v>1375</v>
      </c>
      <c r="N210" s="44">
        <f>IF(($L210&gt;$B$5)*($L210&lt;=$C$5),$M210,"")</f>
        <v/>
      </c>
      <c r="O210" s="44">
        <f>IF(($L210&gt;$B$6)*($L210&lt;=$C$6),$M210,"")</f>
        <v/>
      </c>
      <c r="P210" s="44">
        <f>IF(($L210&gt;$B$7)*($L210&lt;=$C$7),$M210,"")</f>
        <v/>
      </c>
      <c r="Q210" s="44">
        <f>IF(($L210&gt;$B$8)*($L210&lt;=$C$8),$M210,"")</f>
        <v/>
      </c>
      <c r="R210" s="44">
        <f>IF(($L210&gt;$B$9)*($L210&lt;=$C$9),$M210,"")</f>
        <v/>
      </c>
    </row>
    <row r="211">
      <c r="L211" s="42" t="n">
        <v>45832</v>
      </c>
      <c r="M211" s="43" t="n">
        <v>1375</v>
      </c>
      <c r="N211" s="44">
        <f>IF(($L211&gt;$B$5)*($L211&lt;=$C$5),$M211,"")</f>
        <v/>
      </c>
      <c r="O211" s="44">
        <f>IF(($L211&gt;$B$6)*($L211&lt;=$C$6),$M211,"")</f>
        <v/>
      </c>
      <c r="P211" s="44">
        <f>IF(($L211&gt;$B$7)*($L211&lt;=$C$7),$M211,"")</f>
        <v/>
      </c>
      <c r="Q211" s="44">
        <f>IF(($L211&gt;$B$8)*($L211&lt;=$C$8),$M211,"")</f>
        <v/>
      </c>
      <c r="R211" s="44">
        <f>IF(($L211&gt;$B$9)*($L211&lt;=$C$9),$M211,"")</f>
        <v/>
      </c>
    </row>
    <row r="212">
      <c r="L212" s="42" t="n">
        <v>45833</v>
      </c>
      <c r="M212" s="43" t="n">
        <v>1325</v>
      </c>
      <c r="N212" s="44">
        <f>IF(($L212&gt;$B$5)*($L212&lt;=$C$5),$M212,"")</f>
        <v/>
      </c>
      <c r="O212" s="44">
        <f>IF(($L212&gt;$B$6)*($L212&lt;=$C$6),$M212,"")</f>
        <v/>
      </c>
      <c r="P212" s="44">
        <f>IF(($L212&gt;$B$7)*($L212&lt;=$C$7),$M212,"")</f>
        <v/>
      </c>
      <c r="Q212" s="44">
        <f>IF(($L212&gt;$B$8)*($L212&lt;=$C$8),$M212,"")</f>
        <v/>
      </c>
      <c r="R212" s="44">
        <f>IF(($L212&gt;$B$9)*($L212&lt;=$C$9),$M212,"")</f>
        <v/>
      </c>
    </row>
    <row r="213">
      <c r="L213" s="42" t="n">
        <v>45834</v>
      </c>
      <c r="M213" s="43" t="n">
        <v>1300</v>
      </c>
      <c r="N213" s="44">
        <f>IF(($L213&gt;$B$5)*($L213&lt;=$C$5),$M213,"")</f>
        <v/>
      </c>
      <c r="O213" s="44">
        <f>IF(($L213&gt;$B$6)*($L213&lt;=$C$6),$M213,"")</f>
        <v/>
      </c>
      <c r="P213" s="44">
        <f>IF(($L213&gt;$B$7)*($L213&lt;=$C$7),$M213,"")</f>
        <v/>
      </c>
      <c r="Q213" s="44">
        <f>IF(($L213&gt;$B$8)*($L213&lt;=$C$8),$M213,"")</f>
        <v/>
      </c>
      <c r="R213" s="44">
        <f>IF(($L213&gt;$B$9)*($L213&lt;=$C$9),$M213,"")</f>
        <v/>
      </c>
    </row>
    <row r="214">
      <c r="L214" s="42" t="n">
        <v>45835</v>
      </c>
      <c r="M214" s="43" t="n">
        <v>1300</v>
      </c>
      <c r="N214" s="44">
        <f>IF(($L214&gt;$B$5)*($L214&lt;=$C$5),$M214,"")</f>
        <v/>
      </c>
      <c r="O214" s="44">
        <f>IF(($L214&gt;$B$6)*($L214&lt;=$C$6),$M214,"")</f>
        <v/>
      </c>
      <c r="P214" s="44">
        <f>IF(($L214&gt;$B$7)*($L214&lt;=$C$7),$M214,"")</f>
        <v/>
      </c>
      <c r="Q214" s="44">
        <f>IF(($L214&gt;$B$8)*($L214&lt;=$C$8),$M214,"")</f>
        <v/>
      </c>
      <c r="R214" s="44">
        <f>IF(($L214&gt;$B$9)*($L214&lt;=$C$9),$M214,"")</f>
        <v/>
      </c>
    </row>
    <row r="215">
      <c r="L215" s="42" t="n">
        <v>45839</v>
      </c>
      <c r="M215" s="43" t="n">
        <v>1290</v>
      </c>
      <c r="N215" s="44">
        <f>IF(($L215&gt;$B$5)*($L215&lt;=$C$5),$M215,"")</f>
        <v/>
      </c>
      <c r="O215" s="44">
        <f>IF(($L215&gt;$B$6)*($L215&lt;=$C$6),$M215,"")</f>
        <v/>
      </c>
      <c r="P215" s="44">
        <f>IF(($L215&gt;$B$7)*($L215&lt;=$C$7),$M215,"")</f>
        <v/>
      </c>
      <c r="Q215" s="44">
        <f>IF(($L215&gt;$B$8)*($L215&lt;=$C$8),$M215,"")</f>
        <v/>
      </c>
      <c r="R215" s="44">
        <f>IF(($L215&gt;$B$9)*($L215&lt;=$C$9),$M215,"")</f>
        <v/>
      </c>
    </row>
    <row r="216">
      <c r="L216" s="42" t="n">
        <v>45840</v>
      </c>
      <c r="M216" s="43" t="n">
        <v>1275</v>
      </c>
      <c r="N216" s="44">
        <f>IF(($L216&gt;$B$5)*($L216&lt;=$C$5),$M216,"")</f>
        <v/>
      </c>
      <c r="O216" s="44">
        <f>IF(($L216&gt;$B$6)*($L216&lt;=$C$6),$M216,"")</f>
        <v/>
      </c>
      <c r="P216" s="44">
        <f>IF(($L216&gt;$B$7)*($L216&lt;=$C$7),$M216,"")</f>
        <v/>
      </c>
      <c r="Q216" s="44">
        <f>IF(($L216&gt;$B$8)*($L216&lt;=$C$8),$M216,"")</f>
        <v/>
      </c>
      <c r="R216" s="44">
        <f>IF(($L216&gt;$B$9)*($L216&lt;=$C$9),$M216,"")</f>
        <v/>
      </c>
    </row>
    <row r="217">
      <c r="L217" s="42" t="n">
        <v>45841</v>
      </c>
      <c r="M217" s="43" t="n">
        <v>1275</v>
      </c>
      <c r="N217" s="44">
        <f>IF(($L217&gt;$B$5)*($L217&lt;=$C$5),$M217,"")</f>
        <v/>
      </c>
      <c r="O217" s="44">
        <f>IF(($L217&gt;$B$6)*($L217&lt;=$C$6),$M217,"")</f>
        <v/>
      </c>
      <c r="P217" s="44">
        <f>IF(($L217&gt;$B$7)*($L217&lt;=$C$7),$M217,"")</f>
        <v/>
      </c>
      <c r="Q217" s="44">
        <f>IF(($L217&gt;$B$8)*($L217&lt;=$C$8),$M217,"")</f>
        <v/>
      </c>
      <c r="R217" s="44">
        <f>IF(($L217&gt;$B$9)*($L217&lt;=$C$9),$M217,"")</f>
        <v/>
      </c>
    </row>
    <row r="218">
      <c r="L218" s="42" t="n">
        <v>45842</v>
      </c>
      <c r="M218" s="43" t="n">
        <v>1275</v>
      </c>
      <c r="N218" s="44">
        <f>IF(($L218&gt;$B$5)*($L218&lt;=$C$5),$M218,"")</f>
        <v/>
      </c>
      <c r="O218" s="44">
        <f>IF(($L218&gt;$B$6)*($L218&lt;=$C$6),$M218,"")</f>
        <v/>
      </c>
      <c r="P218" s="44">
        <f>IF(($L218&gt;$B$7)*($L218&lt;=$C$7),$M218,"")</f>
        <v/>
      </c>
      <c r="Q218" s="44">
        <f>IF(($L218&gt;$B$8)*($L218&lt;=$C$8),$M218,"")</f>
        <v/>
      </c>
      <c r="R218" s="44">
        <f>IF(($L218&gt;$B$9)*($L218&lt;=$C$9),$M218,"")</f>
        <v/>
      </c>
    </row>
    <row r="219">
      <c r="L219" s="42" t="n">
        <v>45845</v>
      </c>
      <c r="M219" s="43" t="n">
        <v>1275</v>
      </c>
      <c r="N219" s="44">
        <f>IF(($L219&gt;$B$5)*($L219&lt;=$C$5),$M219,"")</f>
        <v/>
      </c>
      <c r="O219" s="44">
        <f>IF(($L219&gt;$B$6)*($L219&lt;=$C$6),$M219,"")</f>
        <v/>
      </c>
      <c r="P219" s="44">
        <f>IF(($L219&gt;$B$7)*($L219&lt;=$C$7),$M219,"")</f>
        <v/>
      </c>
      <c r="Q219" s="44">
        <f>IF(($L219&gt;$B$8)*($L219&lt;=$C$8),$M219,"")</f>
        <v/>
      </c>
      <c r="R219" s="44">
        <f>IF(($L219&gt;$B$9)*($L219&lt;=$C$9),$M219,"")</f>
        <v/>
      </c>
    </row>
    <row r="220">
      <c r="L220" s="42" t="n">
        <v>45846</v>
      </c>
      <c r="M220" s="43" t="n">
        <v>1275</v>
      </c>
      <c r="N220" s="44">
        <f>IF(($L220&gt;$B$5)*($L220&lt;=$C$5),$M220,"")</f>
        <v/>
      </c>
      <c r="O220" s="44">
        <f>IF(($L220&gt;$B$6)*($L220&lt;=$C$6),$M220,"")</f>
        <v/>
      </c>
      <c r="P220" s="44">
        <f>IF(($L220&gt;$B$7)*($L220&lt;=$C$7),$M220,"")</f>
        <v/>
      </c>
      <c r="Q220" s="44">
        <f>IF(($L220&gt;$B$8)*($L220&lt;=$C$8),$M220,"")</f>
        <v/>
      </c>
      <c r="R220" s="44">
        <f>IF(($L220&gt;$B$9)*($L220&lt;=$C$9),$M220,"")</f>
        <v/>
      </c>
    </row>
    <row r="221">
      <c r="L221" s="42" t="n">
        <v>45847</v>
      </c>
      <c r="M221" s="43" t="n">
        <v>1275</v>
      </c>
      <c r="N221" s="44">
        <f>IF(($L221&gt;$B$5)*($L221&lt;=$C$5),$M221,"")</f>
        <v/>
      </c>
      <c r="O221" s="44">
        <f>IF(($L221&gt;$B$6)*($L221&lt;=$C$6),$M221,"")</f>
        <v/>
      </c>
      <c r="P221" s="44">
        <f>IF(($L221&gt;$B$7)*($L221&lt;=$C$7),$M221,"")</f>
        <v/>
      </c>
      <c r="Q221" s="44">
        <f>IF(($L221&gt;$B$8)*($L221&lt;=$C$8),$M221,"")</f>
        <v/>
      </c>
      <c r="R221" s="44">
        <f>IF(($L221&gt;$B$9)*($L221&lt;=$C$9),$M221,"")</f>
        <v/>
      </c>
    </row>
    <row r="222">
      <c r="L222" s="42" t="n">
        <v>45848</v>
      </c>
      <c r="M222" s="43" t="n">
        <v>1275</v>
      </c>
      <c r="N222" s="44">
        <f>IF(($L222&gt;$B$5)*($L222&lt;=$C$5),$M222,"")</f>
        <v/>
      </c>
      <c r="O222" s="44">
        <f>IF(($L222&gt;$B$6)*($L222&lt;=$C$6),$M222,"")</f>
        <v/>
      </c>
      <c r="P222" s="44">
        <f>IF(($L222&gt;$B$7)*($L222&lt;=$C$7),$M222,"")</f>
        <v/>
      </c>
      <c r="Q222" s="44">
        <f>IF(($L222&gt;$B$8)*($L222&lt;=$C$8),$M222,"")</f>
        <v/>
      </c>
      <c r="R222" s="44">
        <f>IF(($L222&gt;$B$9)*($L222&lt;=$C$9),$M222,"")</f>
        <v/>
      </c>
    </row>
    <row r="223">
      <c r="L223" s="42" t="n">
        <v>45853</v>
      </c>
      <c r="M223" s="43" t="n">
        <v>1275</v>
      </c>
      <c r="N223" s="44">
        <f>IF(($L223&gt;$B$5)*($L223&lt;=$C$5),$M223,"")</f>
        <v/>
      </c>
      <c r="O223" s="44">
        <f>IF(($L223&gt;$B$6)*($L223&lt;=$C$6),$M223,"")</f>
        <v/>
      </c>
      <c r="P223" s="44">
        <f>IF(($L223&gt;$B$7)*($L223&lt;=$C$7),$M223,"")</f>
        <v/>
      </c>
      <c r="Q223" s="44">
        <f>IF(($L223&gt;$B$8)*($L223&lt;=$C$8),$M223,"")</f>
        <v/>
      </c>
      <c r="R223" s="44">
        <f>IF(($L223&gt;$B$9)*($L223&lt;=$C$9),$M223,"")</f>
        <v/>
      </c>
    </row>
    <row r="224">
      <c r="L224" s="42" t="n">
        <v>45854</v>
      </c>
      <c r="M224" s="43" t="n">
        <v>1275</v>
      </c>
      <c r="N224" s="44">
        <f>IF(($L224&gt;$B$5)*($L224&lt;=$C$5),$M224,"")</f>
        <v/>
      </c>
      <c r="O224" s="44">
        <f>IF(($L224&gt;$B$6)*($L224&lt;=$C$6),$M224,"")</f>
        <v/>
      </c>
      <c r="P224" s="44">
        <f>IF(($L224&gt;$B$7)*($L224&lt;=$C$7),$M224,"")</f>
        <v/>
      </c>
      <c r="Q224" s="44">
        <f>IF(($L224&gt;$B$8)*($L224&lt;=$C$8),$M224,"")</f>
        <v/>
      </c>
      <c r="R224" s="44">
        <f>IF(($L224&gt;$B$9)*($L224&lt;=$C$9),$M224,"")</f>
        <v/>
      </c>
    </row>
    <row r="225">
      <c r="L225" s="42" t="n">
        <v>45856</v>
      </c>
      <c r="M225" s="43" t="n">
        <v>1275</v>
      </c>
      <c r="N225" s="44">
        <f>IF(($L225&gt;$B$5)*($L225&lt;=$C$5),$M225,"")</f>
        <v/>
      </c>
      <c r="O225" s="44">
        <f>IF(($L225&gt;$B$6)*($L225&lt;=$C$6),$M225,"")</f>
        <v/>
      </c>
      <c r="P225" s="44">
        <f>IF(($L225&gt;$B$7)*($L225&lt;=$C$7),$M225,"")</f>
        <v/>
      </c>
      <c r="Q225" s="44">
        <f>IF(($L225&gt;$B$8)*($L225&lt;=$C$8),$M225,"")</f>
        <v/>
      </c>
      <c r="R225" s="44">
        <f>IF(($L225&gt;$B$9)*($L225&lt;=$C$9),$M225,"")</f>
        <v/>
      </c>
    </row>
    <row r="226">
      <c r="L226" s="42" t="n">
        <v>45860</v>
      </c>
      <c r="M226" s="43" t="n">
        <v>1275</v>
      </c>
      <c r="N226" s="44">
        <f>IF(($L226&gt;$B$5)*($L226&lt;=$C$5),$M226,"")</f>
        <v/>
      </c>
      <c r="O226" s="44">
        <f>IF(($L226&gt;$B$6)*($L226&lt;=$C$6),$M226,"")</f>
        <v/>
      </c>
      <c r="P226" s="44">
        <f>IF(($L226&gt;$B$7)*($L226&lt;=$C$7),$M226,"")</f>
        <v/>
      </c>
      <c r="Q226" s="44">
        <f>IF(($L226&gt;$B$8)*($L226&lt;=$C$8),$M226,"")</f>
        <v/>
      </c>
      <c r="R226" s="44">
        <f>IF(($L226&gt;$B$9)*($L226&lt;=$C$9),$M226,"")</f>
        <v/>
      </c>
    </row>
    <row r="227">
      <c r="L227" s="42" t="n">
        <v>45861</v>
      </c>
      <c r="M227" s="43" t="n">
        <v>1300</v>
      </c>
      <c r="N227" s="44">
        <f>IF(($L227&gt;$B$5)*($L227&lt;=$C$5),$M227,"")</f>
        <v/>
      </c>
      <c r="O227" s="44">
        <f>IF(($L227&gt;$B$6)*($L227&lt;=$C$6),$M227,"")</f>
        <v/>
      </c>
      <c r="P227" s="44">
        <f>IF(($L227&gt;$B$7)*($L227&lt;=$C$7),$M227,"")</f>
        <v/>
      </c>
      <c r="Q227" s="44">
        <f>IF(($L227&gt;$B$8)*($L227&lt;=$C$8),$M227,"")</f>
        <v/>
      </c>
      <c r="R227" s="44">
        <f>IF(($L227&gt;$B$9)*($L227&lt;=$C$9),$M227,"")</f>
        <v/>
      </c>
    </row>
    <row r="228">
      <c r="L228" s="42" t="n">
        <v>45867</v>
      </c>
      <c r="M228" s="43" t="n">
        <v>1375</v>
      </c>
      <c r="N228" s="44">
        <f>IF(($L228&gt;$B$5)*($L228&lt;=$C$5),$M228,"")</f>
        <v/>
      </c>
      <c r="O228" s="44">
        <f>IF(($L228&gt;$B$6)*($L228&lt;=$C$6),$M228,"")</f>
        <v/>
      </c>
      <c r="P228" s="44">
        <f>IF(($L228&gt;$B$7)*($L228&lt;=$C$7),$M228,"")</f>
        <v/>
      </c>
      <c r="Q228" s="44">
        <f>IF(($L228&gt;$B$8)*($L228&lt;=$C$8),$M228,"")</f>
        <v/>
      </c>
      <c r="R228" s="44">
        <f>IF(($L228&gt;$B$9)*($L228&lt;=$C$9),$M228,"")</f>
        <v/>
      </c>
    </row>
    <row r="229">
      <c r="L229" s="42" t="n">
        <v>45868</v>
      </c>
      <c r="M229" s="43" t="n">
        <v>1375</v>
      </c>
      <c r="N229" s="44">
        <f>IF(($L229&gt;$B$5)*($L229&lt;=$C$5),$M229,"")</f>
        <v/>
      </c>
      <c r="O229" s="44">
        <f>IF(($L229&gt;$B$6)*($L229&lt;=$C$6),$M229,"")</f>
        <v/>
      </c>
      <c r="P229" s="44">
        <f>IF(($L229&gt;$B$7)*($L229&lt;=$C$7),$M229,"")</f>
        <v/>
      </c>
      <c r="Q229" s="44">
        <f>IF(($L229&gt;$B$8)*($L229&lt;=$C$8),$M229,"")</f>
        <v/>
      </c>
      <c r="R229" s="44">
        <f>IF(($L229&gt;$B$9)*($L229&lt;=$C$9),$M229,"")</f>
        <v/>
      </c>
    </row>
    <row r="230">
      <c r="L230" s="42" t="n">
        <v>45869</v>
      </c>
      <c r="M230" s="43" t="n">
        <v>1375</v>
      </c>
      <c r="N230" s="44">
        <f>IF(($L230&gt;$B$5)*($L230&lt;=$C$5),$M230,"")</f>
        <v/>
      </c>
      <c r="O230" s="44">
        <f>IF(($L230&gt;$B$6)*($L230&lt;=$C$6),$M230,"")</f>
        <v/>
      </c>
      <c r="P230" s="44">
        <f>IF(($L230&gt;$B$7)*($L230&lt;=$C$7),$M230,"")</f>
        <v/>
      </c>
      <c r="Q230" s="44">
        <f>IF(($L230&gt;$B$8)*($L230&lt;=$C$8),$M230,"")</f>
        <v/>
      </c>
      <c r="R230" s="44">
        <f>IF(($L230&gt;$B$9)*($L230&lt;=$C$9),$M230,"")</f>
        <v/>
      </c>
    </row>
    <row r="231">
      <c r="L231" s="42" t="n">
        <v>45870</v>
      </c>
      <c r="M231" s="43" t="n">
        <v>1375</v>
      </c>
      <c r="N231" s="44">
        <f>IF(($L231&gt;$B$5)*($L231&lt;=$C$5),$M231,"")</f>
        <v/>
      </c>
      <c r="O231" s="44">
        <f>IF(($L231&gt;$B$6)*($L231&lt;=$C$6),$M231,"")</f>
        <v/>
      </c>
      <c r="P231" s="44">
        <f>IF(($L231&gt;$B$7)*($L231&lt;=$C$7),$M231,"")</f>
        <v/>
      </c>
      <c r="Q231" s="44">
        <f>IF(($L231&gt;$B$8)*($L231&lt;=$C$8),$M231,"")</f>
        <v/>
      </c>
      <c r="R231" s="44">
        <f>IF(($L231&gt;$B$9)*($L231&lt;=$C$9),$M231,"")</f>
        <v/>
      </c>
    </row>
    <row r="232">
      <c r="L232" s="42" t="n">
        <v>45874</v>
      </c>
      <c r="M232" s="43" t="n">
        <v>1350</v>
      </c>
      <c r="N232" s="44">
        <f>IF(($L232&gt;$B$5)*($L232&lt;=$C$5),$M232,"")</f>
        <v/>
      </c>
      <c r="O232" s="44">
        <f>IF(($L232&gt;$B$6)*($L232&lt;=$C$6),$M232,"")</f>
        <v/>
      </c>
      <c r="P232" s="44">
        <f>IF(($L232&gt;$B$7)*($L232&lt;=$C$7),$M232,"")</f>
        <v/>
      </c>
      <c r="Q232" s="44">
        <f>IF(($L232&gt;$B$8)*($L232&lt;=$C$8),$M232,"")</f>
        <v/>
      </c>
      <c r="R232" s="44">
        <f>IF(($L232&gt;$B$9)*($L232&lt;=$C$9),$M232,"")</f>
        <v/>
      </c>
    </row>
    <row r="233">
      <c r="L233" s="42" t="n">
        <v>45876</v>
      </c>
      <c r="M233" s="43" t="n">
        <v>1350</v>
      </c>
      <c r="N233" s="44">
        <f>IF(($L233&gt;$B$5)*($L233&lt;=$C$5),$M233,"")</f>
        <v/>
      </c>
      <c r="O233" s="44">
        <f>IF(($L233&gt;$B$6)*($L233&lt;=$C$6),$M233,"")</f>
        <v/>
      </c>
      <c r="P233" s="44">
        <f>IF(($L233&gt;$B$7)*($L233&lt;=$C$7),$M233,"")</f>
        <v/>
      </c>
      <c r="Q233" s="44">
        <f>IF(($L233&gt;$B$8)*($L233&lt;=$C$8),$M233,"")</f>
        <v/>
      </c>
      <c r="R233" s="44">
        <f>IF(($L233&gt;$B$9)*($L233&lt;=$C$9),$M233,"")</f>
        <v/>
      </c>
    </row>
    <row r="234">
      <c r="L234" s="42" t="n">
        <v>45877</v>
      </c>
      <c r="M234" s="43" t="n">
        <v>1350</v>
      </c>
      <c r="N234" s="44">
        <f>IF(($L234&gt;$B$5)*($L234&lt;=$C$5),$M234,"")</f>
        <v/>
      </c>
      <c r="O234" s="44">
        <f>IF(($L234&gt;$B$6)*($L234&lt;=$C$6),$M234,"")</f>
        <v/>
      </c>
      <c r="P234" s="44">
        <f>IF(($L234&gt;$B$7)*($L234&lt;=$C$7),$M234,"")</f>
        <v/>
      </c>
      <c r="Q234" s="44">
        <f>IF(($L234&gt;$B$8)*($L234&lt;=$C$8),$M234,"")</f>
        <v/>
      </c>
      <c r="R234" s="44">
        <f>IF(($L234&gt;$B$9)*($L234&lt;=$C$9),$M234,"")</f>
        <v/>
      </c>
    </row>
    <row r="235">
      <c r="L235" s="42" t="n">
        <v>45880</v>
      </c>
      <c r="M235" s="43" t="n">
        <v>1325</v>
      </c>
      <c r="N235" s="44">
        <f>IF(($L235&gt;$B$5)*($L235&lt;=$C$5),$M235,"")</f>
        <v/>
      </c>
      <c r="O235" s="44">
        <f>IF(($L235&gt;$B$6)*($L235&lt;=$C$6),$M235,"")</f>
        <v/>
      </c>
      <c r="P235" s="44">
        <f>IF(($L235&gt;$B$7)*($L235&lt;=$C$7),$M235,"")</f>
        <v/>
      </c>
      <c r="Q235" s="44">
        <f>IF(($L235&gt;$B$8)*($L235&lt;=$C$8),$M235,"")</f>
        <v/>
      </c>
      <c r="R235" s="44">
        <f>IF(($L235&gt;$B$9)*($L235&lt;=$C$9),$M235,"")</f>
        <v/>
      </c>
    </row>
    <row r="236">
      <c r="L236" s="42" t="n">
        <v>45881</v>
      </c>
      <c r="M236" s="43" t="n">
        <v>1325</v>
      </c>
      <c r="N236" s="44">
        <f>IF(($L236&gt;$B$5)*($L236&lt;=$C$5),$M236,"")</f>
        <v/>
      </c>
      <c r="O236" s="44">
        <f>IF(($L236&gt;$B$6)*($L236&lt;=$C$6),$M236,"")</f>
        <v/>
      </c>
      <c r="P236" s="44">
        <f>IF(($L236&gt;$B$7)*($L236&lt;=$C$7),$M236,"")</f>
        <v/>
      </c>
      <c r="Q236" s="44">
        <f>IF(($L236&gt;$B$8)*($L236&lt;=$C$8),$M236,"")</f>
        <v/>
      </c>
      <c r="R236" s="44">
        <f>IF(($L236&gt;$B$9)*($L236&lt;=$C$9),$M236,"")</f>
        <v/>
      </c>
    </row>
    <row r="237">
      <c r="L237" s="42" t="n">
        <v>45882</v>
      </c>
      <c r="M237" s="43" t="n">
        <v>1325</v>
      </c>
      <c r="N237" s="44">
        <f>IF(($L237&gt;$B$5)*($L237&lt;=$C$5),$M237,"")</f>
        <v/>
      </c>
      <c r="O237" s="44">
        <f>IF(($L237&gt;$B$6)*($L237&lt;=$C$6),$M237,"")</f>
        <v/>
      </c>
      <c r="P237" s="44">
        <f>IF(($L237&gt;$B$7)*($L237&lt;=$C$7),$M237,"")</f>
        <v/>
      </c>
      <c r="Q237" s="44">
        <f>IF(($L237&gt;$B$8)*($L237&lt;=$C$8),$M237,"")</f>
        <v/>
      </c>
      <c r="R237" s="44">
        <f>IF(($L237&gt;$B$9)*($L237&lt;=$C$9),$M237,"")</f>
        <v/>
      </c>
    </row>
    <row r="238">
      <c r="L238" s="42" t="n">
        <v>45883</v>
      </c>
      <c r="M238" s="43" t="n">
        <v>1275</v>
      </c>
      <c r="N238" s="44">
        <f>IF(($L238&gt;$B$5)*($L238&lt;=$C$5),$M238,"")</f>
        <v/>
      </c>
      <c r="O238" s="44">
        <f>IF(($L238&gt;$B$6)*($L238&lt;=$C$6),$M238,"")</f>
        <v/>
      </c>
      <c r="P238" s="44">
        <f>IF(($L238&gt;$B$7)*($L238&lt;=$C$7),$M238,"")</f>
        <v/>
      </c>
      <c r="Q238" s="44">
        <f>IF(($L238&gt;$B$8)*($L238&lt;=$C$8),$M238,"")</f>
        <v/>
      </c>
      <c r="R238" s="44">
        <f>IF(($L238&gt;$B$9)*($L238&lt;=$C$9),$M238,"")</f>
        <v/>
      </c>
    </row>
    <row r="239">
      <c r="L239" s="42" t="n">
        <v>45884</v>
      </c>
      <c r="M239" s="43" t="n">
        <v>1275</v>
      </c>
      <c r="N239" s="44">
        <f>IF(($L239&gt;$B$5)*($L239&lt;=$C$5),$M239,"")</f>
        <v/>
      </c>
      <c r="O239" s="44">
        <f>IF(($L239&gt;$B$6)*($L239&lt;=$C$6),$M239,"")</f>
        <v/>
      </c>
      <c r="P239" s="44">
        <f>IF(($L239&gt;$B$7)*($L239&lt;=$C$7),$M239,"")</f>
        <v/>
      </c>
      <c r="Q239" s="44">
        <f>IF(($L239&gt;$B$8)*($L239&lt;=$C$8),$M239,"")</f>
        <v/>
      </c>
      <c r="R239" s="44">
        <f>IF(($L239&gt;$B$9)*($L239&lt;=$C$9),$M239,"")</f>
        <v/>
      </c>
    </row>
    <row r="240">
      <c r="L240" s="42" t="n">
        <v>45888</v>
      </c>
      <c r="M240" s="43" t="n">
        <v>1275</v>
      </c>
      <c r="N240" s="44">
        <f>IF(($L240&gt;$B$5)*($L240&lt;=$C$5),$M240,"")</f>
        <v/>
      </c>
      <c r="O240" s="44">
        <f>IF(($L240&gt;$B$6)*($L240&lt;=$C$6),$M240,"")</f>
        <v/>
      </c>
      <c r="P240" s="44">
        <f>IF(($L240&gt;$B$7)*($L240&lt;=$C$7),$M240,"")</f>
        <v/>
      </c>
      <c r="Q240" s="44">
        <f>IF(($L240&gt;$B$8)*($L240&lt;=$C$8),$M240,"")</f>
        <v/>
      </c>
      <c r="R240" s="44">
        <f>IF(($L240&gt;$B$9)*($L240&lt;=$C$9),$M240,"")</f>
        <v/>
      </c>
    </row>
    <row r="241">
      <c r="L241" s="42" t="n">
        <v>45889</v>
      </c>
      <c r="M241" s="43" t="n">
        <v>1275</v>
      </c>
      <c r="N241" s="44">
        <f>IF(($L241&gt;$B$5)*($L241&lt;=$C$5),$M241,"")</f>
        <v/>
      </c>
      <c r="O241" s="44">
        <f>IF(($L241&gt;$B$6)*($L241&lt;=$C$6),$M241,"")</f>
        <v/>
      </c>
      <c r="P241" s="44">
        <f>IF(($L241&gt;$B$7)*($L241&lt;=$C$7),$M241,"")</f>
        <v/>
      </c>
      <c r="Q241" s="44">
        <f>IF(($L241&gt;$B$8)*($L241&lt;=$C$8),$M241,"")</f>
        <v/>
      </c>
      <c r="R241" s="44">
        <f>IF(($L241&gt;$B$9)*($L241&lt;=$C$9),$M241,"")</f>
        <v/>
      </c>
    </row>
    <row r="242">
      <c r="L242" s="42" t="n">
        <v>45890</v>
      </c>
      <c r="M242" s="43" t="n">
        <v>1275</v>
      </c>
      <c r="N242" s="44">
        <f>IF(($L242&gt;$B$5)*($L242&lt;=$C$5),$M242,"")</f>
        <v/>
      </c>
      <c r="O242" s="44">
        <f>IF(($L242&gt;$B$6)*($L242&lt;=$C$6),$M242,"")</f>
        <v/>
      </c>
      <c r="P242" s="44">
        <f>IF(($L242&gt;$B$7)*($L242&lt;=$C$7),$M242,"")</f>
        <v/>
      </c>
      <c r="Q242" s="44">
        <f>IF(($L242&gt;$B$8)*($L242&lt;=$C$8),$M242,"")</f>
        <v/>
      </c>
      <c r="R242" s="44">
        <f>IF(($L242&gt;$B$9)*($L242&lt;=$C$9),$M242,"")</f>
        <v/>
      </c>
    </row>
    <row r="243">
      <c r="L243" s="42" t="n">
        <v>45891</v>
      </c>
      <c r="M243" s="43" t="n">
        <v>1275</v>
      </c>
      <c r="N243" s="44">
        <f>IF(($L243&gt;$B$5)*($L243&lt;=$C$5),$M243,"")</f>
        <v/>
      </c>
      <c r="O243" s="44">
        <f>IF(($L243&gt;$B$6)*($L243&lt;=$C$6),$M243,"")</f>
        <v/>
      </c>
      <c r="P243" s="44">
        <f>IF(($L243&gt;$B$7)*($L243&lt;=$C$7),$M243,"")</f>
        <v/>
      </c>
      <c r="Q243" s="44">
        <f>IF(($L243&gt;$B$8)*($L243&lt;=$C$8),$M243,"")</f>
        <v/>
      </c>
      <c r="R243" s="44">
        <f>IF(($L243&gt;$B$9)*($L243&lt;=$C$9),$M243,"")</f>
        <v/>
      </c>
    </row>
    <row r="244">
      <c r="L244" s="42" t="n">
        <v>45895</v>
      </c>
      <c r="M244" s="43" t="n">
        <v>1275</v>
      </c>
      <c r="N244" s="44">
        <f>IF(($L244&gt;$B$5)*($L244&lt;=$C$5),$M244,"")</f>
        <v/>
      </c>
      <c r="O244" s="44">
        <f>IF(($L244&gt;$B$6)*($L244&lt;=$C$6),$M244,"")</f>
        <v/>
      </c>
      <c r="P244" s="44">
        <f>IF(($L244&gt;$B$7)*($L244&lt;=$C$7),$M244,"")</f>
        <v/>
      </c>
      <c r="Q244" s="44">
        <f>IF(($L244&gt;$B$8)*($L244&lt;=$C$8),$M244,"")</f>
        <v/>
      </c>
      <c r="R244" s="44">
        <f>IF(($L244&gt;$B$9)*($L244&lt;=$C$9),$M244,"")</f>
        <v/>
      </c>
    </row>
    <row r="245">
      <c r="L245" s="42" t="n">
        <v>45896</v>
      </c>
      <c r="M245" s="43" t="n">
        <v>1275</v>
      </c>
      <c r="N245" s="44">
        <f>IF(($L245&gt;$B$5)*($L245&lt;=$C$5),$M245,"")</f>
        <v/>
      </c>
      <c r="O245" s="44">
        <f>IF(($L245&gt;$B$6)*($L245&lt;=$C$6),$M245,"")</f>
        <v/>
      </c>
      <c r="P245" s="44">
        <f>IF(($L245&gt;$B$7)*($L245&lt;=$C$7),$M245,"")</f>
        <v/>
      </c>
      <c r="Q245" s="44">
        <f>IF(($L245&gt;$B$8)*($L245&lt;=$C$8),$M245,"")</f>
        <v/>
      </c>
      <c r="R245" s="44">
        <f>IF(($L245&gt;$B$9)*($L245&lt;=$C$9),$M245,"")</f>
        <v/>
      </c>
    </row>
    <row r="246">
      <c r="L246" s="42" t="n">
        <v>45897</v>
      </c>
      <c r="M246" s="43" t="n">
        <v>1275</v>
      </c>
      <c r="N246" s="44">
        <f>IF(($L246&gt;$B$5)*($L246&lt;=$C$5),$M246,"")</f>
        <v/>
      </c>
      <c r="O246" s="44">
        <f>IF(($L246&gt;$B$6)*($L246&lt;=$C$6),$M246,"")</f>
        <v/>
      </c>
      <c r="P246" s="44">
        <f>IF(($L246&gt;$B$7)*($L246&lt;=$C$7),$M246,"")</f>
        <v/>
      </c>
      <c r="Q246" s="44">
        <f>IF(($L246&gt;$B$8)*($L246&lt;=$C$8),$M246,"")</f>
        <v/>
      </c>
      <c r="R246" s="44">
        <f>IF(($L246&gt;$B$9)*($L246&lt;=$C$9),$M246,"")</f>
        <v/>
      </c>
    </row>
    <row r="247">
      <c r="L247" s="42" t="n">
        <v>45898</v>
      </c>
      <c r="M247" s="43" t="n">
        <v>1275</v>
      </c>
      <c r="N247" s="44">
        <f>IF(($L247&gt;$B$5)*($L247&lt;=$C$5),$M247,"")</f>
        <v/>
      </c>
      <c r="O247" s="44">
        <f>IF(($L247&gt;$B$6)*($L247&lt;=$C$6),$M247,"")</f>
        <v/>
      </c>
      <c r="P247" s="44">
        <f>IF(($L247&gt;$B$7)*($L247&lt;=$C$7),$M247,"")</f>
        <v/>
      </c>
      <c r="Q247" s="44">
        <f>IF(($L247&gt;$B$8)*($L247&lt;=$C$8),$M247,"")</f>
        <v/>
      </c>
      <c r="R247" s="44">
        <f>IF(($L247&gt;$B$9)*($L247&lt;=$C$9),$M247,"")</f>
        <v/>
      </c>
    </row>
    <row r="248">
      <c r="L248" s="42" t="n">
        <v>45901</v>
      </c>
      <c r="M248" s="43" t="n">
        <v>1265</v>
      </c>
      <c r="N248" s="44">
        <f>IF(($L248&gt;$B$5)*($L248&lt;=$C$5),$M248,"")</f>
        <v/>
      </c>
      <c r="O248" s="44">
        <f>IF(($L248&gt;$B$6)*($L248&lt;=$C$6),$M248,"")</f>
        <v/>
      </c>
      <c r="P248" s="44">
        <f>IF(($L248&gt;$B$7)*($L248&lt;=$C$7),$M248,"")</f>
        <v/>
      </c>
      <c r="Q248" s="44">
        <f>IF(($L248&gt;$B$8)*($L248&lt;=$C$8),$M248,"")</f>
        <v/>
      </c>
      <c r="R248" s="44">
        <f>IF(($L248&gt;$B$9)*($L248&lt;=$C$9),$M248,"")</f>
        <v/>
      </c>
    </row>
    <row r="249">
      <c r="L249" s="42" t="n">
        <v>45902</v>
      </c>
      <c r="M249" s="43" t="n">
        <v>1250</v>
      </c>
      <c r="N249" s="44">
        <f>IF(($L249&gt;$B$5)*($L249&lt;=$C$5),$M249,"")</f>
        <v/>
      </c>
      <c r="O249" s="44">
        <f>IF(($L249&gt;$B$6)*($L249&lt;=$C$6),$M249,"")</f>
        <v/>
      </c>
      <c r="P249" s="44">
        <f>IF(($L249&gt;$B$7)*($L249&lt;=$C$7),$M249,"")</f>
        <v/>
      </c>
      <c r="Q249" s="44">
        <f>IF(($L249&gt;$B$8)*($L249&lt;=$C$8),$M249,"")</f>
        <v/>
      </c>
      <c r="R249" s="44">
        <f>IF(($L249&gt;$B$9)*($L249&lt;=$C$9),$M249,"")</f>
        <v/>
      </c>
    </row>
    <row r="250">
      <c r="L250" s="42" t="n">
        <v>45903</v>
      </c>
      <c r="M250" s="43" t="n">
        <v>1250</v>
      </c>
      <c r="N250" s="44">
        <f>IF(($L250&gt;$B$5)*($L250&lt;=$C$5),$M250,"")</f>
        <v/>
      </c>
      <c r="O250" s="44">
        <f>IF(($L250&gt;$B$6)*($L250&lt;=$C$6),$M250,"")</f>
        <v/>
      </c>
      <c r="P250" s="44">
        <f>IF(($L250&gt;$B$7)*($L250&lt;=$C$7),$M250,"")</f>
        <v/>
      </c>
      <c r="Q250" s="44">
        <f>IF(($L250&gt;$B$8)*($L250&lt;=$C$8),$M250,"")</f>
        <v/>
      </c>
      <c r="R250" s="44">
        <f>IF(($L250&gt;$B$9)*($L250&lt;=$C$9),$M250,"")</f>
        <v/>
      </c>
    </row>
    <row r="251">
      <c r="L251" s="42" t="n">
        <v>45904</v>
      </c>
      <c r="M251" s="43" t="n">
        <v>1250</v>
      </c>
      <c r="N251" s="44">
        <f>IF(($L251&gt;$B$5)*($L251&lt;=$C$5),$M251,"")</f>
        <v/>
      </c>
      <c r="O251" s="44">
        <f>IF(($L251&gt;$B$6)*($L251&lt;=$C$6),$M251,"")</f>
        <v/>
      </c>
      <c r="P251" s="44">
        <f>IF(($L251&gt;$B$7)*($L251&lt;=$C$7),$M251,"")</f>
        <v/>
      </c>
      <c r="Q251" s="44">
        <f>IF(($L251&gt;$B$8)*($L251&lt;=$C$8),$M251,"")</f>
        <v/>
      </c>
      <c r="R251" s="44">
        <f>IF(($L251&gt;$B$9)*($L251&lt;=$C$9),$M251,"")</f>
        <v/>
      </c>
    </row>
    <row r="252">
      <c r="L252" s="42" t="n">
        <v>45905</v>
      </c>
      <c r="M252" s="43" t="n">
        <v>1250</v>
      </c>
      <c r="N252" s="44">
        <f>IF(($L252&gt;$B$5)*($L252&lt;=$C$5),$M252,"")</f>
        <v/>
      </c>
      <c r="O252" s="44">
        <f>IF(($L252&gt;$B$6)*($L252&lt;=$C$6),$M252,"")</f>
        <v/>
      </c>
      <c r="P252" s="44">
        <f>IF(($L252&gt;$B$7)*($L252&lt;=$C$7),$M252,"")</f>
        <v/>
      </c>
      <c r="Q252" s="44">
        <f>IF(($L252&gt;$B$8)*($L252&lt;=$C$8),$M252,"")</f>
        <v/>
      </c>
      <c r="R252" s="44">
        <f>IF(($L252&gt;$B$9)*($L252&lt;=$C$9),$M252,"")</f>
        <v/>
      </c>
    </row>
    <row r="253">
      <c r="L253" s="42" t="n">
        <v>45908</v>
      </c>
      <c r="M253" s="43" t="n">
        <v>1250</v>
      </c>
      <c r="N253" s="44">
        <f>IF(($L253&gt;$B$5)*($L253&lt;=$C$5),$M253,"")</f>
        <v/>
      </c>
      <c r="O253" s="44">
        <f>IF(($L253&gt;$B$6)*($L253&lt;=$C$6),$M253,"")</f>
        <v/>
      </c>
      <c r="P253" s="44">
        <f>IF(($L253&gt;$B$7)*($L253&lt;=$C$7),$M253,"")</f>
        <v/>
      </c>
      <c r="Q253" s="44">
        <f>IF(($L253&gt;$B$8)*($L253&lt;=$C$8),$M253,"")</f>
        <v/>
      </c>
      <c r="R253" s="44">
        <f>IF(($L253&gt;$B$9)*($L253&lt;=$C$9),$M253,"")</f>
        <v/>
      </c>
    </row>
    <row r="254">
      <c r="L254" s="42" t="n">
        <v>45909</v>
      </c>
      <c r="M254" s="43" t="n">
        <v>1250</v>
      </c>
      <c r="N254" s="44">
        <f>IF(($L254&gt;$B$5)*($L254&lt;=$C$5),$M254,"")</f>
        <v/>
      </c>
      <c r="O254" s="44">
        <f>IF(($L254&gt;$B$6)*($L254&lt;=$C$6),$M254,"")</f>
        <v/>
      </c>
      <c r="P254" s="44">
        <f>IF(($L254&gt;$B$7)*($L254&lt;=$C$7),$M254,"")</f>
        <v/>
      </c>
      <c r="Q254" s="44">
        <f>IF(($L254&gt;$B$8)*($L254&lt;=$C$8),$M254,"")</f>
        <v/>
      </c>
      <c r="R254" s="44">
        <f>IF(($L254&gt;$B$9)*($L254&lt;=$C$9),$M254,"")</f>
        <v/>
      </c>
    </row>
    <row r="255">
      <c r="L255" s="42" t="n">
        <v>45910</v>
      </c>
      <c r="M255" s="43" t="n">
        <v>1250</v>
      </c>
      <c r="N255" s="44">
        <f>IF(($L255&gt;$B$5)*($L255&lt;=$C$5),$M255,"")</f>
        <v/>
      </c>
      <c r="O255" s="44">
        <f>IF(($L255&gt;$B$6)*($L255&lt;=$C$6),$M255,"")</f>
        <v/>
      </c>
      <c r="P255" s="44">
        <f>IF(($L255&gt;$B$7)*($L255&lt;=$C$7),$M255,"")</f>
        <v/>
      </c>
      <c r="Q255" s="44">
        <f>IF(($L255&gt;$B$8)*($L255&lt;=$C$8),$M255,"")</f>
        <v/>
      </c>
      <c r="R255" s="44">
        <f>IF(($L255&gt;$B$9)*($L255&lt;=$C$9),$M255,"")</f>
        <v/>
      </c>
    </row>
    <row r="256">
      <c r="L256" s="42" t="n">
        <v>45911</v>
      </c>
      <c r="M256" s="43" t="n">
        <v>1250</v>
      </c>
      <c r="N256" s="44">
        <f>IF(($L256&gt;$B$5)*($L256&lt;=$C$5),$M256,"")</f>
        <v/>
      </c>
      <c r="O256" s="44">
        <f>IF(($L256&gt;$B$6)*($L256&lt;=$C$6),$M256,"")</f>
        <v/>
      </c>
      <c r="P256" s="44">
        <f>IF(($L256&gt;$B$7)*($L256&lt;=$C$7),$M256,"")</f>
        <v/>
      </c>
      <c r="Q256" s="44">
        <f>IF(($L256&gt;$B$8)*($L256&lt;=$C$8),$M256,"")</f>
        <v/>
      </c>
      <c r="R256" s="44">
        <f>IF(($L256&gt;$B$9)*($L256&lt;=$C$9),$M256,"")</f>
        <v/>
      </c>
    </row>
    <row r="257">
      <c r="L257" s="42" t="n">
        <v>45912</v>
      </c>
      <c r="M257" s="43" t="n">
        <v>1250</v>
      </c>
      <c r="N257" s="44">
        <f>IF(($L257&gt;$B$5)*($L257&lt;=$C$5),$M257,"")</f>
        <v/>
      </c>
      <c r="O257" s="44">
        <f>IF(($L257&gt;$B$6)*($L257&lt;=$C$6),$M257,"")</f>
        <v/>
      </c>
      <c r="P257" s="44">
        <f>IF(($L257&gt;$B$7)*($L257&lt;=$C$7),$M257,"")</f>
        <v/>
      </c>
      <c r="Q257" s="44">
        <f>IF(($L257&gt;$B$8)*($L257&lt;=$C$8),$M257,"")</f>
        <v/>
      </c>
      <c r="R257" s="44">
        <f>IF(($L257&gt;$B$9)*($L257&lt;=$C$9),$M257,"")</f>
        <v/>
      </c>
    </row>
    <row r="258">
      <c r="L258" s="42" t="n">
        <v>45916</v>
      </c>
      <c r="M258" s="43" t="n">
        <v>1250</v>
      </c>
      <c r="N258" s="44">
        <f>IF(($L258&gt;$B$5)*($L258&lt;=$C$5),$M258,"")</f>
        <v/>
      </c>
      <c r="O258" s="44">
        <f>IF(($L258&gt;$B$6)*($L258&lt;=$C$6),$M258,"")</f>
        <v/>
      </c>
      <c r="P258" s="44">
        <f>IF(($L258&gt;$B$7)*($L258&lt;=$C$7),$M258,"")</f>
        <v/>
      </c>
      <c r="Q258" s="44">
        <f>IF(($L258&gt;$B$8)*($L258&lt;=$C$8),$M258,"")</f>
        <v/>
      </c>
      <c r="R258" s="44">
        <f>IF(($L258&gt;$B$9)*($L258&lt;=$C$9),$M258,"")</f>
        <v/>
      </c>
    </row>
    <row r="259">
      <c r="L259" s="42" t="n">
        <v>45917</v>
      </c>
      <c r="M259" s="43" t="n">
        <v>1250</v>
      </c>
      <c r="N259" s="44">
        <f>IF(($L259&gt;$B$5)*($L259&lt;=$C$5),$M259,"")</f>
        <v/>
      </c>
      <c r="O259" s="44">
        <f>IF(($L259&gt;$B$6)*($L259&lt;=$C$6),$M259,"")</f>
        <v/>
      </c>
      <c r="P259" s="44">
        <f>IF(($L259&gt;$B$7)*($L259&lt;=$C$7),$M259,"")</f>
        <v/>
      </c>
      <c r="Q259" s="44">
        <f>IF(($L259&gt;$B$8)*($L259&lt;=$C$8),$M259,"")</f>
        <v/>
      </c>
      <c r="R259" s="44">
        <f>IF(($L259&gt;$B$9)*($L259&lt;=$C$9),$M259,"")</f>
        <v/>
      </c>
    </row>
    <row r="260">
      <c r="L260" s="42" t="n">
        <v>45918</v>
      </c>
      <c r="M260" s="43" t="n">
        <v>1250</v>
      </c>
      <c r="N260" s="44">
        <f>IF(($L260&gt;$B$5)*($L260&lt;=$C$5),$M260,"")</f>
        <v/>
      </c>
      <c r="O260" s="44">
        <f>IF(($L260&gt;$B$6)*($L260&lt;=$C$6),$M260,"")</f>
        <v/>
      </c>
      <c r="P260" s="44">
        <f>IF(($L260&gt;$B$7)*($L260&lt;=$C$7),$M260,"")</f>
        <v/>
      </c>
      <c r="Q260" s="44">
        <f>IF(($L260&gt;$B$8)*($L260&lt;=$C$8),$M260,"")</f>
        <v/>
      </c>
      <c r="R260" s="44">
        <f>IF(($L260&gt;$B$9)*($L260&lt;=$C$9),$M260,"")</f>
        <v/>
      </c>
    </row>
    <row r="261">
      <c r="L261" s="42" t="n">
        <v>45919</v>
      </c>
      <c r="M261" s="43" t="n">
        <v>1250</v>
      </c>
      <c r="N261" s="44">
        <f>IF(($L261&gt;$B$5)*($L261&lt;=$C$5),$M261,"")</f>
        <v/>
      </c>
      <c r="O261" s="44">
        <f>IF(($L261&gt;$B$6)*($L261&lt;=$C$6),$M261,"")</f>
        <v/>
      </c>
      <c r="P261" s="44">
        <f>IF(($L261&gt;$B$7)*($L261&lt;=$C$7),$M261,"")</f>
        <v/>
      </c>
      <c r="Q261" s="44">
        <f>IF(($L261&gt;$B$8)*($L261&lt;=$C$8),$M261,"")</f>
        <v/>
      </c>
      <c r="R261" s="44">
        <f>IF(($L261&gt;$B$9)*($L261&lt;=$C$9),$M261,"")</f>
        <v/>
      </c>
    </row>
    <row r="262">
      <c r="L262" s="42" t="n">
        <v>45922</v>
      </c>
      <c r="M262" s="43" t="n">
        <v>1250</v>
      </c>
      <c r="N262" s="44">
        <f>IF(($L262&gt;$B$5)*($L262&lt;=$C$5),$M262,"")</f>
        <v/>
      </c>
      <c r="O262" s="44">
        <f>IF(($L262&gt;$B$6)*($L262&lt;=$C$6),$M262,"")</f>
        <v/>
      </c>
      <c r="P262" s="44">
        <f>IF(($L262&gt;$B$7)*($L262&lt;=$C$7),$M262,"")</f>
        <v/>
      </c>
      <c r="Q262" s="44">
        <f>IF(($L262&gt;$B$8)*($L262&lt;=$C$8),$M262,"")</f>
        <v/>
      </c>
      <c r="R262" s="44">
        <f>IF(($L262&gt;$B$9)*($L262&lt;=$C$9),$M262,"")</f>
        <v/>
      </c>
    </row>
    <row r="263">
      <c r="L263" s="42" t="n">
        <v>45924</v>
      </c>
      <c r="M263" s="43" t="n">
        <v>1250</v>
      </c>
      <c r="N263" s="44">
        <f>IF(($L263&gt;$B$5)*($L263&lt;=$C$5),$M263,"")</f>
        <v/>
      </c>
      <c r="O263" s="44">
        <f>IF(($L263&gt;$B$6)*($L263&lt;=$C$6),$M263,"")</f>
        <v/>
      </c>
      <c r="P263" s="44">
        <f>IF(($L263&gt;$B$7)*($L263&lt;=$C$7),$M263,"")</f>
        <v/>
      </c>
      <c r="Q263" s="44">
        <f>IF(($L263&gt;$B$8)*($L263&lt;=$C$8),$M263,"")</f>
        <v/>
      </c>
      <c r="R263" s="44">
        <f>IF(($L263&gt;$B$9)*($L263&lt;=$C$9),$M263,"")</f>
        <v/>
      </c>
    </row>
    <row r="264">
      <c r="L264" s="42" t="n">
        <v>45925</v>
      </c>
      <c r="M264" s="43" t="n">
        <v>1250</v>
      </c>
      <c r="N264" s="44">
        <f>IF(($L264&gt;$B$5)*($L264&lt;=$C$5),$M264,"")</f>
        <v/>
      </c>
      <c r="O264" s="44">
        <f>IF(($L264&gt;$B$6)*($L264&lt;=$C$6),$M264,"")</f>
        <v/>
      </c>
      <c r="P264" s="44">
        <f>IF(($L264&gt;$B$7)*($L264&lt;=$C$7),$M264,"")</f>
        <v/>
      </c>
      <c r="Q264" s="44">
        <f>IF(($L264&gt;$B$8)*($L264&lt;=$C$8),$M264,"")</f>
        <v/>
      </c>
      <c r="R264" s="44">
        <f>IF(($L264&gt;$B$9)*($L264&lt;=$C$9),$M264,"")</f>
        <v/>
      </c>
    </row>
    <row r="265">
      <c r="L265" s="42" t="n">
        <v>45926</v>
      </c>
      <c r="M265" s="43" t="n">
        <v>1250</v>
      </c>
      <c r="N265" s="44">
        <f>IF(($L265&gt;$B$5)*($L265&lt;=$C$5),$M265,"")</f>
        <v/>
      </c>
      <c r="O265" s="44">
        <f>IF(($L265&gt;$B$6)*($L265&lt;=$C$6),$M265,"")</f>
        <v/>
      </c>
      <c r="P265" s="44">
        <f>IF(($L265&gt;$B$7)*($L265&lt;=$C$7),$M265,"")</f>
        <v/>
      </c>
      <c r="Q265" s="44">
        <f>IF(($L265&gt;$B$8)*($L265&lt;=$C$8),$M265,"")</f>
        <v/>
      </c>
      <c r="R265" s="44">
        <f>IF(($L265&gt;$B$9)*($L265&lt;=$C$9),$M265,"")</f>
        <v/>
      </c>
    </row>
    <row r="266">
      <c r="L266" s="42" t="n">
        <v>45929</v>
      </c>
      <c r="M266" s="43" t="n">
        <v>1250</v>
      </c>
      <c r="N266" s="44">
        <f>IF(($L266&gt;$B$5)*($L266&lt;=$C$5),$M266,"")</f>
        <v/>
      </c>
      <c r="O266" s="44">
        <f>IF(($L266&gt;$B$6)*($L266&lt;=$C$6),$M266,"")</f>
        <v/>
      </c>
      <c r="P266" s="44">
        <f>IF(($L266&gt;$B$7)*($L266&lt;=$C$7),$M266,"")</f>
        <v/>
      </c>
      <c r="Q266" s="44">
        <f>IF(($L266&gt;$B$8)*($L266&lt;=$C$8),$M266,"")</f>
        <v/>
      </c>
      <c r="R266" s="44">
        <f>IF(($L266&gt;$B$9)*($L266&lt;=$C$9),$M266,"")</f>
        <v/>
      </c>
    </row>
    <row r="267">
      <c r="L267" s="42" t="n">
        <v>45930</v>
      </c>
      <c r="M267" s="43" t="n">
        <v>1250</v>
      </c>
      <c r="N267" s="44">
        <f>IF(($L267&gt;$B$5)*($L267&lt;=$C$5),$M267,"")</f>
        <v/>
      </c>
      <c r="O267" s="44">
        <f>IF(($L267&gt;$B$6)*($L267&lt;=$C$6),$M267,"")</f>
        <v/>
      </c>
      <c r="P267" s="44">
        <f>IF(($L267&gt;$B$7)*($L267&lt;=$C$7),$M267,"")</f>
        <v/>
      </c>
      <c r="Q267" s="44">
        <f>IF(($L267&gt;$B$8)*($L267&lt;=$C$8),$M267,"")</f>
        <v/>
      </c>
      <c r="R267" s="44">
        <f>IF(($L267&gt;$B$9)*($L267&lt;=$C$9),$M267,"")</f>
        <v/>
      </c>
    </row>
    <row r="268">
      <c r="L268" s="42" t="n">
        <v>45939</v>
      </c>
      <c r="M268" s="43" t="n">
        <v>1250</v>
      </c>
      <c r="N268" s="44">
        <f>IF(($L268&gt;$B$5)*($L268&lt;=$C$5),$M268,"")</f>
        <v/>
      </c>
      <c r="O268" s="44">
        <f>IF(($L268&gt;$B$6)*($L268&lt;=$C$6),$M268,"")</f>
        <v/>
      </c>
      <c r="P268" s="44">
        <f>IF(($L268&gt;$B$7)*($L268&lt;=$C$7),$M268,"")</f>
        <v/>
      </c>
      <c r="Q268" s="44">
        <f>IF(($L268&gt;$B$8)*($L268&lt;=$C$8),$M268,"")</f>
        <v/>
      </c>
      <c r="R268" s="44">
        <f>IF(($L268&gt;$B$9)*($L268&lt;=$C$9),$M268,"")</f>
        <v/>
      </c>
    </row>
    <row r="269">
      <c r="L269" s="42" t="n">
        <v>45941</v>
      </c>
      <c r="M269" s="43" t="n">
        <v>1250</v>
      </c>
      <c r="N269" s="44">
        <f>IF(($L269&gt;$B$5)*($L269&lt;=$C$5),$M269,"")</f>
        <v/>
      </c>
      <c r="O269" s="44">
        <f>IF(($L269&gt;$B$6)*($L269&lt;=$C$6),$M269,"")</f>
        <v/>
      </c>
      <c r="P269" s="44">
        <f>IF(($L269&gt;$B$7)*($L269&lt;=$C$7),$M269,"")</f>
        <v/>
      </c>
      <c r="Q269" s="44">
        <f>IF(($L269&gt;$B$8)*($L269&lt;=$C$8),$M269,"")</f>
        <v/>
      </c>
      <c r="R269" s="44">
        <f>IF(($L269&gt;$B$9)*($L269&lt;=$C$9),$M269,"")</f>
        <v/>
      </c>
    </row>
    <row r="270">
      <c r="L270" s="42" t="n">
        <v>45957</v>
      </c>
      <c r="M270" s="43" t="n">
        <v>1250</v>
      </c>
      <c r="N270" s="44">
        <f>IF(($L270&gt;$B$5)*($L270&lt;=$C$5),$M270,"")</f>
        <v/>
      </c>
      <c r="O270" s="44">
        <f>IF(($L270&gt;$B$6)*($L270&lt;=$C$6),$M270,"")</f>
        <v/>
      </c>
      <c r="P270" s="44">
        <f>IF(($L270&gt;$B$7)*($L270&lt;=$C$7),$M270,"")</f>
        <v/>
      </c>
      <c r="Q270" s="44">
        <f>IF(($L270&gt;$B$8)*($L270&lt;=$C$8),$M270,"")</f>
        <v/>
      </c>
      <c r="R270" s="44">
        <f>IF(($L270&gt;$B$9)*($L270&lt;=$C$9),$M270,"")</f>
        <v/>
      </c>
    </row>
    <row r="271">
      <c r="L271" s="42" t="n">
        <v>45958</v>
      </c>
      <c r="M271" s="43" t="n">
        <v>1250</v>
      </c>
      <c r="N271" s="44">
        <f>IF(($L271&gt;$B$5)*($L271&lt;=$C$5),$M271,"")</f>
        <v/>
      </c>
      <c r="O271" s="44">
        <f>IF(($L271&gt;$B$6)*($L271&lt;=$C$6),$M271,"")</f>
        <v/>
      </c>
      <c r="P271" s="44">
        <f>IF(($L271&gt;$B$7)*($L271&lt;=$C$7),$M271,"")</f>
        <v/>
      </c>
      <c r="Q271" s="44">
        <f>IF(($L271&gt;$B$8)*($L271&lt;=$C$8),$M271,"")</f>
        <v/>
      </c>
      <c r="R271" s="44">
        <f>IF(($L271&gt;$B$9)*($L271&lt;=$C$9),$M271,"")</f>
        <v/>
      </c>
    </row>
    <row r="272">
      <c r="L272" s="42" t="n">
        <v>45959</v>
      </c>
      <c r="M272" s="43" t="n">
        <v>1250</v>
      </c>
      <c r="N272" s="44">
        <f>IF(($L272&gt;$B$5)*($L272&lt;=$C$5),$M272,"")</f>
        <v/>
      </c>
      <c r="O272" s="44">
        <f>IF(($L272&gt;$B$6)*($L272&lt;=$C$6),$M272,"")</f>
        <v/>
      </c>
      <c r="P272" s="44">
        <f>IF(($L272&gt;$B$7)*($L272&lt;=$C$7),$M272,"")</f>
        <v/>
      </c>
      <c r="Q272" s="44">
        <f>IF(($L272&gt;$B$8)*($L272&lt;=$C$8),$M272,"")</f>
        <v/>
      </c>
      <c r="R272" s="44">
        <f>IF(($L272&gt;$B$9)*($L272&lt;=$C$9),$M272,"")</f>
        <v/>
      </c>
    </row>
    <row r="273">
      <c r="L273" s="42" t="n">
        <v>45960</v>
      </c>
      <c r="M273" s="43" t="n">
        <v>1250</v>
      </c>
      <c r="N273" s="44">
        <f>IF(($L273&gt;$B$5)*($L273&lt;=$C$5),$M273,"")</f>
        <v/>
      </c>
      <c r="O273" s="44">
        <f>IF(($L273&gt;$B$6)*($L273&lt;=$C$6),$M273,"")</f>
        <v/>
      </c>
      <c r="P273" s="44">
        <f>IF(($L273&gt;$B$7)*($L273&lt;=$C$7),$M273,"")</f>
        <v/>
      </c>
      <c r="Q273" s="44">
        <f>IF(($L273&gt;$B$8)*($L273&lt;=$C$8),$M273,"")</f>
        <v/>
      </c>
      <c r="R273" s="44">
        <f>IF(($L273&gt;$B$9)*($L273&lt;=$C$9),$M273,"")</f>
        <v/>
      </c>
    </row>
    <row r="274">
      <c r="L274" s="42" t="n">
        <v>45961</v>
      </c>
      <c r="M274" s="43" t="n">
        <v>1250</v>
      </c>
      <c r="N274" s="44">
        <f>IF(($L274&gt;$B$5)*($L274&lt;=$C$5),$M274,"")</f>
        <v/>
      </c>
      <c r="O274" s="44">
        <f>IF(($L274&gt;$B$6)*($L274&lt;=$C$6),$M274,"")</f>
        <v/>
      </c>
      <c r="P274" s="44">
        <f>IF(($L274&gt;$B$7)*($L274&lt;=$C$7),$M274,"")</f>
        <v/>
      </c>
      <c r="Q274" s="44">
        <f>IF(($L274&gt;$B$8)*($L274&lt;=$C$8),$M274,"")</f>
        <v/>
      </c>
      <c r="R274" s="44">
        <f>IF(($L274&gt;$B$9)*($L274&lt;=$C$9),$M274,"")</f>
        <v/>
      </c>
    </row>
    <row r="275">
      <c r="L275" s="42" t="n">
        <v>45964</v>
      </c>
      <c r="M275" s="43" t="n">
        <v>1250</v>
      </c>
      <c r="N275" s="44">
        <f>IF(($L275&gt;$B$5)*($L275&lt;=$C$5),$M275,"")</f>
        <v/>
      </c>
      <c r="O275" s="44">
        <f>IF(($L275&gt;$B$6)*($L275&lt;=$C$6),$M275,"")</f>
        <v/>
      </c>
      <c r="P275" s="44">
        <f>IF(($L275&gt;$B$7)*($L275&lt;=$C$7),$M275,"")</f>
        <v/>
      </c>
      <c r="Q275" s="44">
        <f>IF(($L275&gt;$B$8)*($L275&lt;=$C$8),$M275,"")</f>
        <v/>
      </c>
      <c r="R275" s="44">
        <f>IF(($L275&gt;$B$9)*($L275&lt;=$C$9),$M275,"")</f>
        <v/>
      </c>
    </row>
    <row r="276">
      <c r="L276" s="42" t="n">
        <v>45965</v>
      </c>
      <c r="M276" s="43" t="n">
        <v>1250</v>
      </c>
      <c r="N276" s="44">
        <f>IF(($L276&gt;$B$5)*($L276&lt;=$C$5),$M276,"")</f>
        <v/>
      </c>
      <c r="O276" s="44">
        <f>IF(($L276&gt;$B$6)*($L276&lt;=$C$6),$M276,"")</f>
        <v/>
      </c>
      <c r="P276" s="44">
        <f>IF(($L276&gt;$B$7)*($L276&lt;=$C$7),$M276,"")</f>
        <v/>
      </c>
      <c r="Q276" s="44">
        <f>IF(($L276&gt;$B$8)*($L276&lt;=$C$8),$M276,"")</f>
        <v/>
      </c>
      <c r="R276" s="44">
        <f>IF(($L276&gt;$B$9)*($L276&lt;=$C$9),$M276,"")</f>
        <v/>
      </c>
    </row>
    <row r="277">
      <c r="L277" s="42" t="n">
        <v>45966</v>
      </c>
      <c r="M277" s="43" t="n">
        <v>1250</v>
      </c>
      <c r="N277" s="44">
        <f>IF(($L277&gt;$B$5)*($L277&lt;=$C$5),$M277,"")</f>
        <v/>
      </c>
      <c r="O277" s="44">
        <f>IF(($L277&gt;$B$6)*($L277&lt;=$C$6),$M277,"")</f>
        <v/>
      </c>
      <c r="P277" s="44">
        <f>IF(($L277&gt;$B$7)*($L277&lt;=$C$7),$M277,"")</f>
        <v/>
      </c>
      <c r="Q277" s="44">
        <f>IF(($L277&gt;$B$8)*($L277&lt;=$C$8),$M277,"")</f>
        <v/>
      </c>
      <c r="R277" s="44">
        <f>IF(($L277&gt;$B$9)*($L277&lt;=$C$9),$M277,"")</f>
        <v/>
      </c>
    </row>
    <row r="278">
      <c r="L278" s="42" t="n">
        <v>45967</v>
      </c>
      <c r="M278" s="43" t="n">
        <v>1250</v>
      </c>
      <c r="N278" s="44">
        <f>IF(($L278&gt;$B$5)*($L278&lt;=$C$5),$M278,"")</f>
        <v/>
      </c>
      <c r="O278" s="44">
        <f>IF(($L278&gt;$B$6)*($L278&lt;=$C$6),$M278,"")</f>
        <v/>
      </c>
      <c r="P278" s="44">
        <f>IF(($L278&gt;$B$7)*($L278&lt;=$C$7),$M278,"")</f>
        <v/>
      </c>
      <c r="Q278" s="44">
        <f>IF(($L278&gt;$B$8)*($L278&lt;=$C$8),$M278,"")</f>
        <v/>
      </c>
      <c r="R278" s="44">
        <f>IF(($L278&gt;$B$9)*($L278&lt;=$C$9),$M278,"")</f>
        <v/>
      </c>
    </row>
    <row r="279">
      <c r="L279" s="42" t="n">
        <v>45968</v>
      </c>
      <c r="M279" s="43" t="n">
        <v>1250</v>
      </c>
      <c r="N279" s="44">
        <f>IF(($L279&gt;$B$5)*($L279&lt;=$C$5),$M279,"")</f>
        <v/>
      </c>
      <c r="O279" s="44">
        <f>IF(($L279&gt;$B$6)*($L279&lt;=$C$6),$M279,"")</f>
        <v/>
      </c>
      <c r="P279" s="44">
        <f>IF(($L279&gt;$B$7)*($L279&lt;=$C$7),$M279,"")</f>
        <v/>
      </c>
      <c r="Q279" s="44">
        <f>IF(($L279&gt;$B$8)*($L279&lt;=$C$8),$M279,"")</f>
        <v/>
      </c>
      <c r="R279" s="44">
        <f>IF(($L279&gt;$B$9)*($L279&lt;=$C$9),$M279,"")</f>
        <v/>
      </c>
    </row>
    <row r="280">
      <c r="L280" s="42" t="n">
        <v>45971</v>
      </c>
      <c r="M280" s="43" t="n">
        <v>1250</v>
      </c>
      <c r="N280" s="44">
        <f>IF(($L280&gt;$B$5)*($L280&lt;=$C$5),$M280,"")</f>
        <v/>
      </c>
      <c r="O280" s="44">
        <f>IF(($L280&gt;$B$6)*($L280&lt;=$C$6),$M280,"")</f>
        <v/>
      </c>
      <c r="P280" s="44">
        <f>IF(($L280&gt;$B$7)*($L280&lt;=$C$7),$M280,"")</f>
        <v/>
      </c>
      <c r="Q280" s="44">
        <f>IF(($L280&gt;$B$8)*($L280&lt;=$C$8),$M280,"")</f>
        <v/>
      </c>
      <c r="R280" s="44">
        <f>IF(($L280&gt;$B$9)*($L280&lt;=$C$9),$M280,"")</f>
        <v/>
      </c>
    </row>
    <row r="281">
      <c r="L281" s="42" t="n">
        <v>45972</v>
      </c>
      <c r="M281" s="43" t="n">
        <v>1250</v>
      </c>
      <c r="N281" s="44">
        <f>IF(($L281&gt;$B$5)*($L281&lt;=$C$5),$M281,"")</f>
        <v/>
      </c>
      <c r="O281" s="44">
        <f>IF(($L281&gt;$B$6)*($L281&lt;=$C$6),$M281,"")</f>
        <v/>
      </c>
      <c r="P281" s="44">
        <f>IF(($L281&gt;$B$7)*($L281&lt;=$C$7),$M281,"")</f>
        <v/>
      </c>
      <c r="Q281" s="44">
        <f>IF(($L281&gt;$B$8)*($L281&lt;=$C$8),$M281,"")</f>
        <v/>
      </c>
      <c r="R281" s="44">
        <f>IF(($L281&gt;$B$9)*($L281&lt;=$C$9),$M281,"")</f>
        <v/>
      </c>
    </row>
    <row r="282">
      <c r="L282" s="42" t="n">
        <v>45973</v>
      </c>
      <c r="M282" s="43" t="n">
        <v>1250</v>
      </c>
      <c r="N282" s="44">
        <f>IF(($L282&gt;$B$5)*($L282&lt;=$C$5),$M282,"")</f>
        <v/>
      </c>
      <c r="O282" s="44">
        <f>IF(($L282&gt;$B$6)*($L282&lt;=$C$6),$M282,"")</f>
        <v/>
      </c>
      <c r="P282" s="44">
        <f>IF(($L282&gt;$B$7)*($L282&lt;=$C$7),$M282,"")</f>
        <v/>
      </c>
      <c r="Q282" s="44">
        <f>IF(($L282&gt;$B$8)*($L282&lt;=$C$8),$M282,"")</f>
        <v/>
      </c>
      <c r="R282" s="44">
        <f>IF(($L282&gt;$B$9)*($L282&lt;=$C$9),$M282,"")</f>
        <v/>
      </c>
    </row>
    <row r="283">
      <c r="L283" s="42" t="n">
        <v>45974</v>
      </c>
      <c r="M283" s="43" t="n">
        <v>1250</v>
      </c>
      <c r="N283" s="44">
        <f>IF(($L283&gt;$B$5)*($L283&lt;=$C$5),$M283,"")</f>
        <v/>
      </c>
      <c r="O283" s="44">
        <f>IF(($L283&gt;$B$6)*($L283&lt;=$C$6),$M283,"")</f>
        <v/>
      </c>
      <c r="P283" s="44">
        <f>IF(($L283&gt;$B$7)*($L283&lt;=$C$7),$M283,"")</f>
        <v/>
      </c>
      <c r="Q283" s="44">
        <f>IF(($L283&gt;$B$8)*($L283&lt;=$C$8),$M283,"")</f>
        <v/>
      </c>
      <c r="R283" s="44">
        <f>IF(($L283&gt;$B$9)*($L283&lt;=$C$9),$M283,"")</f>
        <v/>
      </c>
    </row>
    <row r="284">
      <c r="L284" s="42" t="n">
        <v>45975</v>
      </c>
      <c r="M284" s="43" t="n">
        <v>1250</v>
      </c>
      <c r="N284" s="44">
        <f>IF(($L284&gt;$B$5)*($L284&lt;=$C$5),$M284,"")</f>
        <v/>
      </c>
      <c r="O284" s="44">
        <f>IF(($L284&gt;$B$6)*($L284&lt;=$C$6),$M284,"")</f>
        <v/>
      </c>
      <c r="P284" s="44">
        <f>IF(($L284&gt;$B$7)*($L284&lt;=$C$7),$M284,"")</f>
        <v/>
      </c>
      <c r="Q284" s="44">
        <f>IF(($L284&gt;$B$8)*($L284&lt;=$C$8),$M284,"")</f>
        <v/>
      </c>
      <c r="R284" s="44">
        <f>IF(($L284&gt;$B$9)*($L284&lt;=$C$9),$M284,"")</f>
        <v/>
      </c>
    </row>
    <row r="285">
      <c r="L285" s="42" t="n">
        <v>45978</v>
      </c>
      <c r="M285" s="43" t="n">
        <v>1250</v>
      </c>
      <c r="N285" s="44">
        <f>IF(($L285&gt;$B$5)*($L285&lt;=$C$5),$M285,"")</f>
        <v/>
      </c>
      <c r="O285" s="44">
        <f>IF(($L285&gt;$B$6)*($L285&lt;=$C$6),$M285,"")</f>
        <v/>
      </c>
      <c r="P285" s="44">
        <f>IF(($L285&gt;$B$7)*($L285&lt;=$C$7),$M285,"")</f>
        <v/>
      </c>
      <c r="Q285" s="44">
        <f>IF(($L285&gt;$B$8)*($L285&lt;=$C$8),$M285,"")</f>
        <v/>
      </c>
      <c r="R285" s="44">
        <f>IF(($L285&gt;$B$9)*($L285&lt;=$C$9),$M285,"")</f>
        <v/>
      </c>
    </row>
    <row r="286">
      <c r="L286" s="42" t="n">
        <v>45980</v>
      </c>
      <c r="M286" s="43" t="n">
        <v>1250</v>
      </c>
      <c r="N286" s="44">
        <f>IF(($L286&gt;$B$5)*($L286&lt;=$C$5),$M286,"")</f>
        <v/>
      </c>
      <c r="O286" s="44">
        <f>IF(($L286&gt;$B$6)*($L286&lt;=$C$6),$M286,"")</f>
        <v/>
      </c>
      <c r="P286" s="44">
        <f>IF(($L286&gt;$B$7)*($L286&lt;=$C$7),$M286,"")</f>
        <v/>
      </c>
      <c r="Q286" s="44">
        <f>IF(($L286&gt;$B$8)*($L286&lt;=$C$8),$M286,"")</f>
        <v/>
      </c>
      <c r="R286" s="44">
        <f>IF(($L286&gt;$B$9)*($L286&lt;=$C$9),$M286,"")</f>
        <v/>
      </c>
    </row>
    <row r="287">
      <c r="L287" s="42" t="n">
        <v>45982</v>
      </c>
      <c r="M287" s="43" t="n">
        <v>1250</v>
      </c>
      <c r="N287" s="44">
        <f>IF(($L287&gt;$B$5)*($L287&lt;=$C$5),$M287,"")</f>
        <v/>
      </c>
      <c r="O287" s="44">
        <f>IF(($L287&gt;$B$6)*($L287&lt;=$C$6),$M287,"")</f>
        <v/>
      </c>
      <c r="P287" s="44">
        <f>IF(($L287&gt;$B$7)*($L287&lt;=$C$7),$M287,"")</f>
        <v/>
      </c>
      <c r="Q287" s="44">
        <f>IF(($L287&gt;$B$8)*($L287&lt;=$C$8),$M287,"")</f>
        <v/>
      </c>
      <c r="R287" s="44">
        <f>IF(($L287&gt;$B$9)*($L287&lt;=$C$9),$M287,"")</f>
        <v/>
      </c>
    </row>
    <row r="288">
      <c r="L288" s="42" t="n">
        <v>45985</v>
      </c>
      <c r="M288" s="43" t="n">
        <v>1250</v>
      </c>
      <c r="N288" s="44">
        <f>IF(($L288&gt;$B$5)*($L288&lt;=$C$5),$M288,"")</f>
        <v/>
      </c>
      <c r="O288" s="44">
        <f>IF(($L288&gt;$B$6)*($L288&lt;=$C$6),$M288,"")</f>
        <v/>
      </c>
      <c r="P288" s="44">
        <f>IF(($L288&gt;$B$7)*($L288&lt;=$C$7),$M288,"")</f>
        <v/>
      </c>
      <c r="Q288" s="44">
        <f>IF(($L288&gt;$B$8)*($L288&lt;=$C$8),$M288,"")</f>
        <v/>
      </c>
      <c r="R288" s="44">
        <f>IF(($L288&gt;$B$9)*($L288&lt;=$C$9),$M288,"")</f>
        <v/>
      </c>
    </row>
    <row r="289">
      <c r="L289" s="42" t="n">
        <v>45986</v>
      </c>
      <c r="M289" s="43" t="n">
        <v>1250</v>
      </c>
      <c r="N289" s="44">
        <f>IF(($L289&gt;$B$5)*($L289&lt;=$C$5),$M289,"")</f>
        <v/>
      </c>
      <c r="O289" s="44">
        <f>IF(($L289&gt;$B$6)*($L289&lt;=$C$6),$M289,"")</f>
        <v/>
      </c>
      <c r="P289" s="44">
        <f>IF(($L289&gt;$B$7)*($L289&lt;=$C$7),$M289,"")</f>
        <v/>
      </c>
      <c r="Q289" s="44">
        <f>IF(($L289&gt;$B$8)*($L289&lt;=$C$8),$M289,"")</f>
        <v/>
      </c>
      <c r="R289" s="44">
        <f>IF(($L289&gt;$B$9)*($L289&lt;=$C$9),$M289,"")</f>
        <v/>
      </c>
    </row>
    <row r="290">
      <c r="L290" s="42" t="n">
        <v>45987</v>
      </c>
      <c r="M290" s="43" t="n">
        <v>1250</v>
      </c>
      <c r="N290" s="44">
        <f>IF(($L290&gt;$B$5)*($L290&lt;=$C$5),$M290,"")</f>
        <v/>
      </c>
      <c r="O290" s="44">
        <f>IF(($L290&gt;$B$6)*($L290&lt;=$C$6),$M290,"")</f>
        <v/>
      </c>
      <c r="P290" s="44">
        <f>IF(($L290&gt;$B$7)*($L290&lt;=$C$7),$M290,"")</f>
        <v/>
      </c>
      <c r="Q290" s="44">
        <f>IF(($L290&gt;$B$8)*($L290&lt;=$C$8),$M290,"")</f>
        <v/>
      </c>
      <c r="R290" s="44">
        <f>IF(($L290&gt;$B$9)*($L290&lt;=$C$9),$M290,"")</f>
        <v/>
      </c>
    </row>
    <row r="291">
      <c r="L291" s="42" t="n">
        <v>45988</v>
      </c>
      <c r="M291" s="43" t="n">
        <v>1250</v>
      </c>
      <c r="N291" s="44">
        <f>IF(($L291&gt;$B$5)*($L291&lt;=$C$5),$M291,"")</f>
        <v/>
      </c>
      <c r="O291" s="44">
        <f>IF(($L291&gt;$B$6)*($L291&lt;=$C$6),$M291,"")</f>
        <v/>
      </c>
      <c r="P291" s="44">
        <f>IF(($L291&gt;$B$7)*($L291&lt;=$C$7),$M291,"")</f>
        <v/>
      </c>
      <c r="Q291" s="44">
        <f>IF(($L291&gt;$B$8)*($L291&lt;=$C$8),$M291,"")</f>
        <v/>
      </c>
      <c r="R291" s="44">
        <f>IF(($L291&gt;$B$9)*($L291&lt;=$C$9),$M291,"")</f>
        <v/>
      </c>
    </row>
    <row r="292">
      <c r="L292" s="42" t="n">
        <v>45993</v>
      </c>
      <c r="M292" s="43" t="n">
        <v>1250</v>
      </c>
      <c r="N292" s="44">
        <f>IF(($L292&gt;$B$5)*($L292&lt;=$C$5),$M292,"")</f>
        <v/>
      </c>
      <c r="O292" s="44">
        <f>IF(($L292&gt;$B$6)*($L292&lt;=$C$6),$M292,"")</f>
        <v/>
      </c>
      <c r="P292" s="44">
        <f>IF(($L292&gt;$B$7)*($L292&lt;=$C$7),$M292,"")</f>
        <v/>
      </c>
      <c r="Q292" s="44">
        <f>IF(($L292&gt;$B$8)*($L292&lt;=$C$8),$M292,"")</f>
        <v/>
      </c>
      <c r="R292" s="44">
        <f>IF(($L292&gt;$B$9)*($L292&lt;=$C$9),$M292,"")</f>
        <v/>
      </c>
    </row>
    <row r="293">
      <c r="L293" s="42" t="n">
        <v>45994</v>
      </c>
      <c r="M293" s="43" t="n">
        <v>1250</v>
      </c>
      <c r="N293" s="44">
        <f>IF(($L293&gt;$B$5)*($L293&lt;=$C$5),$M293,"")</f>
        <v/>
      </c>
      <c r="O293" s="44">
        <f>IF(($L293&gt;$B$6)*($L293&lt;=$C$6),$M293,"")</f>
        <v/>
      </c>
      <c r="P293" s="44">
        <f>IF(($L293&gt;$B$7)*($L293&lt;=$C$7),$M293,"")</f>
        <v/>
      </c>
      <c r="Q293" s="44">
        <f>IF(($L293&gt;$B$8)*($L293&lt;=$C$8),$M293,"")</f>
        <v/>
      </c>
      <c r="R293" s="44">
        <f>IF(($L293&gt;$B$9)*($L293&lt;=$C$9),$M293,"")</f>
        <v/>
      </c>
    </row>
    <row r="294">
      <c r="L294" s="42" t="n">
        <v>45995</v>
      </c>
      <c r="M294" s="43" t="n">
        <v>1250</v>
      </c>
      <c r="N294" s="44">
        <f>IF(($L294&gt;$B$5)*($L294&lt;=$C$5),$M294,"")</f>
        <v/>
      </c>
      <c r="O294" s="44">
        <f>IF(($L294&gt;$B$6)*($L294&lt;=$C$6),$M294,"")</f>
        <v/>
      </c>
      <c r="P294" s="44">
        <f>IF(($L294&gt;$B$7)*($L294&lt;=$C$7),$M294,"")</f>
        <v/>
      </c>
      <c r="Q294" s="44">
        <f>IF(($L294&gt;$B$8)*($L294&lt;=$C$8),$M294,"")</f>
        <v/>
      </c>
      <c r="R294" s="44">
        <f>IF(($L294&gt;$B$9)*($L294&lt;=$C$9),$M294,"")</f>
        <v/>
      </c>
    </row>
    <row r="295">
      <c r="L295" s="42" t="n">
        <v>45996</v>
      </c>
      <c r="M295" s="43" t="n">
        <v>1250</v>
      </c>
      <c r="N295" s="44">
        <f>IF(($L295&gt;$B$5)*($L295&lt;=$C$5),$M295,"")</f>
        <v/>
      </c>
      <c r="O295" s="44">
        <f>IF(($L295&gt;$B$6)*($L295&lt;=$C$6),$M295,"")</f>
        <v/>
      </c>
      <c r="P295" s="44">
        <f>IF(($L295&gt;$B$7)*($L295&lt;=$C$7),$M295,"")</f>
        <v/>
      </c>
      <c r="Q295" s="44">
        <f>IF(($L295&gt;$B$8)*($L295&lt;=$C$8),$M295,"")</f>
        <v/>
      </c>
      <c r="R295" s="44">
        <f>IF(($L295&gt;$B$9)*($L295&lt;=$C$9),$M295,"")</f>
        <v/>
      </c>
    </row>
    <row r="296">
      <c r="L296" s="42" t="n">
        <v>46000</v>
      </c>
      <c r="M296" s="43" t="n">
        <v>1250</v>
      </c>
      <c r="N296" s="44">
        <f>IF(($L296&gt;$B$5)*($L296&lt;=$C$5),$M296,"")</f>
        <v/>
      </c>
      <c r="O296" s="44">
        <f>IF(($L296&gt;$B$6)*($L296&lt;=$C$6),$M296,"")</f>
        <v/>
      </c>
      <c r="P296" s="44">
        <f>IF(($L296&gt;$B$7)*($L296&lt;=$C$7),$M296,"")</f>
        <v/>
      </c>
      <c r="Q296" s="44">
        <f>IF(($L296&gt;$B$8)*($L296&lt;=$C$8),$M296,"")</f>
        <v/>
      </c>
      <c r="R296" s="44">
        <f>IF(($L296&gt;$B$9)*($L296&lt;=$C$9),$M296,"")</f>
        <v/>
      </c>
    </row>
    <row r="297">
      <c r="L297" s="42" t="n">
        <v>46001</v>
      </c>
      <c r="M297" s="43" t="n">
        <v>1250</v>
      </c>
      <c r="N297" s="44">
        <f>IF(($L297&gt;$B$5)*($L297&lt;=$C$5),$M297,"")</f>
        <v/>
      </c>
      <c r="O297" s="44">
        <f>IF(($L297&gt;$B$6)*($L297&lt;=$C$6),$M297,"")</f>
        <v/>
      </c>
      <c r="P297" s="44">
        <f>IF(($L297&gt;$B$7)*($L297&lt;=$C$7),$M297,"")</f>
        <v/>
      </c>
      <c r="Q297" s="44">
        <f>IF(($L297&gt;$B$8)*($L297&lt;=$C$8),$M297,"")</f>
        <v/>
      </c>
      <c r="R297" s="44">
        <f>IF(($L297&gt;$B$9)*($L297&lt;=$C$9),$M297,"")</f>
        <v/>
      </c>
    </row>
    <row r="298">
      <c r="L298" s="42" t="n">
        <v>46002</v>
      </c>
      <c r="M298" s="43" t="n">
        <v>1250</v>
      </c>
      <c r="N298" s="44">
        <f>IF(($L298&gt;$B$5)*($L298&lt;=$C$5),$M298,"")</f>
        <v/>
      </c>
      <c r="O298" s="44">
        <f>IF(($L298&gt;$B$6)*($L298&lt;=$C$6),$M298,"")</f>
        <v/>
      </c>
      <c r="P298" s="44">
        <f>IF(($L298&gt;$B$7)*($L298&lt;=$C$7),$M298,"")</f>
        <v/>
      </c>
      <c r="Q298" s="44">
        <f>IF(($L298&gt;$B$8)*($L298&lt;=$C$8),$M298,"")</f>
        <v/>
      </c>
      <c r="R298" s="44">
        <f>IF(($L298&gt;$B$9)*($L298&lt;=$C$9),$M298,"")</f>
        <v/>
      </c>
    </row>
    <row r="299">
      <c r="L299" s="42" t="n">
        <v>46003</v>
      </c>
      <c r="M299" s="43" t="n">
        <v>1250</v>
      </c>
      <c r="N299" s="44">
        <f>IF(($L299&gt;$B$5)*($L299&lt;=$C$5),$M299,"")</f>
        <v/>
      </c>
      <c r="O299" s="44">
        <f>IF(($L299&gt;$B$6)*($L299&lt;=$C$6),$M299,"")</f>
        <v/>
      </c>
      <c r="P299" s="44">
        <f>IF(($L299&gt;$B$7)*($L299&lt;=$C$7),$M299,"")</f>
        <v/>
      </c>
      <c r="Q299" s="44">
        <f>IF(($L299&gt;$B$8)*($L299&lt;=$C$8),$M299,"")</f>
        <v/>
      </c>
      <c r="R299" s="44">
        <f>IF(($L299&gt;$B$9)*($L299&lt;=$C$9),$M299,"")</f>
        <v/>
      </c>
    </row>
    <row r="300">
      <c r="L300" s="42" t="n">
        <v>46006</v>
      </c>
      <c r="M300" s="43" t="n">
        <v>1250</v>
      </c>
      <c r="N300" s="44">
        <f>IF(($L300&gt;$B$5)*($L300&lt;=$C$5),$M300,"")</f>
        <v/>
      </c>
      <c r="O300" s="44">
        <f>IF(($L300&gt;$B$6)*($L300&lt;=$C$6),$M300,"")</f>
        <v/>
      </c>
      <c r="P300" s="44">
        <f>IF(($L300&gt;$B$7)*($L300&lt;=$C$7),$M300,"")</f>
        <v/>
      </c>
      <c r="Q300" s="44">
        <f>IF(($L300&gt;$B$8)*($L300&lt;=$C$8),$M300,"")</f>
        <v/>
      </c>
      <c r="R300" s="44">
        <f>IF(($L300&gt;$B$9)*($L300&lt;=$C$9),$M300,"")</f>
        <v/>
      </c>
    </row>
    <row r="301">
      <c r="L301" s="42" t="n">
        <v>46007</v>
      </c>
      <c r="M301" s="43" t="n">
        <v>1250</v>
      </c>
      <c r="N301" s="44">
        <f>IF(($L301&gt;$B$5)*($L301&lt;=$C$5),$M301,"")</f>
        <v/>
      </c>
      <c r="O301" s="44">
        <f>IF(($L301&gt;$B$6)*($L301&lt;=$C$6),$M301,"")</f>
        <v/>
      </c>
      <c r="P301" s="44">
        <f>IF(($L301&gt;$B$7)*($L301&lt;=$C$7),$M301,"")</f>
        <v/>
      </c>
      <c r="Q301" s="44">
        <f>IF(($L301&gt;$B$8)*($L301&lt;=$C$8),$M301,"")</f>
        <v/>
      </c>
      <c r="R301" s="44">
        <f>IF(($L301&gt;$B$9)*($L301&lt;=$C$9),$M301,"")</f>
        <v/>
      </c>
    </row>
    <row r="302">
      <c r="L302" s="42" t="n">
        <v>46008</v>
      </c>
      <c r="M302" s="43" t="n">
        <v>1250</v>
      </c>
      <c r="N302" s="44">
        <f>IF(($L302&gt;$B$5)*($L302&lt;=$C$5),$M302,"")</f>
        <v/>
      </c>
      <c r="O302" s="44">
        <f>IF(($L302&gt;$B$6)*($L302&lt;=$C$6),$M302,"")</f>
        <v/>
      </c>
      <c r="P302" s="44">
        <f>IF(($L302&gt;$B$7)*($L302&lt;=$C$7),$M302,"")</f>
        <v/>
      </c>
      <c r="Q302" s="44">
        <f>IF(($L302&gt;$B$8)*($L302&lt;=$C$8),$M302,"")</f>
        <v/>
      </c>
      <c r="R302" s="44">
        <f>IF(($L302&gt;$B$9)*($L302&lt;=$C$9),$M302,"")</f>
        <v/>
      </c>
    </row>
    <row r="303">
      <c r="L303" s="42" t="n">
        <v>46009</v>
      </c>
      <c r="M303" s="43" t="n">
        <v>1250</v>
      </c>
      <c r="N303" s="44">
        <f>IF(($L303&gt;$B$5)*($L303&lt;=$C$5),$M303,"")</f>
        <v/>
      </c>
      <c r="O303" s="44">
        <f>IF(($L303&gt;$B$6)*($L303&lt;=$C$6),$M303,"")</f>
        <v/>
      </c>
      <c r="P303" s="44">
        <f>IF(($L303&gt;$B$7)*($L303&lt;=$C$7),$M303,"")</f>
        <v/>
      </c>
      <c r="Q303" s="44">
        <f>IF(($L303&gt;$B$8)*($L303&lt;=$C$8),$M303,"")</f>
        <v/>
      </c>
      <c r="R303" s="44">
        <f>IF(($L303&gt;$B$9)*($L303&lt;=$C$9),$M303,"")</f>
        <v/>
      </c>
    </row>
    <row r="304">
      <c r="L304" s="42" t="n">
        <v>46010</v>
      </c>
      <c r="M304" s="43" t="n">
        <v>1250</v>
      </c>
      <c r="N304" s="44">
        <f>IF(($L304&gt;$B$5)*($L304&lt;=$C$5),$M304,"")</f>
        <v/>
      </c>
      <c r="O304" s="44">
        <f>IF(($L304&gt;$B$6)*($L304&lt;=$C$6),$M304,"")</f>
        <v/>
      </c>
      <c r="P304" s="44">
        <f>IF(($L304&gt;$B$7)*($L304&lt;=$C$7),$M304,"")</f>
        <v/>
      </c>
      <c r="Q304" s="44">
        <f>IF(($L304&gt;$B$8)*($L304&lt;=$C$8),$M304,"")</f>
        <v/>
      </c>
      <c r="R304" s="44">
        <f>IF(($L304&gt;$B$9)*($L304&lt;=$C$9),$M304,"")</f>
        <v/>
      </c>
    </row>
    <row r="305">
      <c r="L305" s="42" t="n">
        <v>46014</v>
      </c>
      <c r="M305" s="43" t="n">
        <v>1250</v>
      </c>
      <c r="N305" s="44">
        <f>IF(($L305&gt;$B$5)*($L305&lt;=$C$5),$M305,"")</f>
        <v/>
      </c>
      <c r="O305" s="44">
        <f>IF(($L305&gt;$B$6)*($L305&lt;=$C$6),$M305,"")</f>
        <v/>
      </c>
      <c r="P305" s="44">
        <f>IF(($L305&gt;$B$7)*($L305&lt;=$C$7),$M305,"")</f>
        <v/>
      </c>
      <c r="Q305" s="44">
        <f>IF(($L305&gt;$B$8)*($L305&lt;=$C$8),$M305,"")</f>
        <v/>
      </c>
      <c r="R305" s="44">
        <f>IF(($L305&gt;$B$9)*($L305&lt;=$C$9),$M305,"")</f>
        <v/>
      </c>
    </row>
    <row r="306">
      <c r="L306" s="42" t="n">
        <v>46015</v>
      </c>
      <c r="M306" s="43" t="n">
        <v>1250</v>
      </c>
      <c r="N306" s="44">
        <f>IF(($L306&gt;$B$5)*($L306&lt;=$C$5),$M306,"")</f>
        <v/>
      </c>
      <c r="O306" s="44">
        <f>IF(($L306&gt;$B$6)*($L306&lt;=$C$6),$M306,"")</f>
        <v/>
      </c>
      <c r="P306" s="44">
        <f>IF(($L306&gt;$B$7)*($L306&lt;=$C$7),$M306,"")</f>
        <v/>
      </c>
      <c r="Q306" s="44">
        <f>IF(($L306&gt;$B$8)*($L306&lt;=$C$8),$M306,"")</f>
        <v/>
      </c>
      <c r="R306" s="44">
        <f>IF(($L306&gt;$B$9)*($L306&lt;=$C$9),$M306,"")</f>
        <v/>
      </c>
    </row>
    <row r="307">
      <c r="L307" s="42" t="n">
        <v>46016</v>
      </c>
      <c r="M307" s="43" t="n">
        <v>1250</v>
      </c>
      <c r="N307" s="44">
        <f>IF(($L307&gt;$B$5)*($L307&lt;=$C$5),$M307,"")</f>
        <v/>
      </c>
      <c r="O307" s="44">
        <f>IF(($L307&gt;$B$6)*($L307&lt;=$C$6),$M307,"")</f>
        <v/>
      </c>
      <c r="P307" s="44">
        <f>IF(($L307&gt;$B$7)*($L307&lt;=$C$7),$M307,"")</f>
        <v/>
      </c>
      <c r="Q307" s="44">
        <f>IF(($L307&gt;$B$8)*($L307&lt;=$C$8),$M307,"")</f>
        <v/>
      </c>
      <c r="R307" s="44">
        <f>IF(($L307&gt;$B$9)*($L307&lt;=$C$9),$M307,"")</f>
        <v/>
      </c>
    </row>
    <row r="308">
      <c r="L308" s="42" t="n">
        <v>46020</v>
      </c>
      <c r="M308" s="43" t="n">
        <v>1250</v>
      </c>
      <c r="N308" s="44">
        <f>IF(($L308&gt;$B$5)*($L308&lt;=$C$5),$M308,"")</f>
        <v/>
      </c>
      <c r="O308" s="44">
        <f>IF(($L308&gt;$B$6)*($L308&lt;=$C$6),$M308,"")</f>
        <v/>
      </c>
      <c r="P308" s="44">
        <f>IF(($L308&gt;$B$7)*($L308&lt;=$C$7),$M308,"")</f>
        <v/>
      </c>
      <c r="Q308" s="44">
        <f>IF(($L308&gt;$B$8)*($L308&lt;=$C$8),$M308,"")</f>
        <v/>
      </c>
      <c r="R308" s="44">
        <f>IF(($L308&gt;$B$9)*($L308&lt;=$C$9),$M308,"")</f>
        <v/>
      </c>
    </row>
    <row r="309">
      <c r="L309" s="42" t="n">
        <v>46022</v>
      </c>
      <c r="M309" s="43" t="n">
        <v>1250</v>
      </c>
      <c r="N309" s="44">
        <f>IF(($L309&gt;$B$5)*($L309&lt;=$C$5),$M309,"")</f>
        <v/>
      </c>
      <c r="O309" s="44">
        <f>IF(($L309&gt;$B$6)*($L309&lt;=$C$6),$M309,"")</f>
        <v/>
      </c>
      <c r="P309" s="44">
        <f>IF(($L309&gt;$B$7)*($L309&lt;=$C$7),$M309,"")</f>
        <v/>
      </c>
      <c r="Q309" s="44">
        <f>IF(($L309&gt;$B$8)*($L309&lt;=$C$8),$M309,"")</f>
        <v/>
      </c>
      <c r="R309" s="44">
        <f>IF(($L309&gt;$B$9)*($L309&lt;=$C$9),$M309,"")</f>
        <v/>
      </c>
    </row>
    <row r="310">
      <c r="L310" s="42" t="n">
        <v>46026</v>
      </c>
      <c r="M310" s="43" t="n">
        <v>1235</v>
      </c>
      <c r="N310" s="44">
        <f>IF(($L310&gt;$B$5)*($L310&lt;=$C$5),$M310,"")</f>
        <v/>
      </c>
      <c r="O310" s="44">
        <f>IF(($L310&gt;$B$6)*($L310&lt;=$C$6),$M310,"")</f>
        <v/>
      </c>
      <c r="P310" s="44">
        <f>IF(($L310&gt;$B$7)*($L310&lt;=$C$7),$M310,"")</f>
        <v/>
      </c>
      <c r="Q310" s="44">
        <f>IF(($L310&gt;$B$8)*($L310&lt;=$C$8),$M310,"")</f>
        <v/>
      </c>
      <c r="R310" s="44">
        <f>IF(($L310&gt;$B$9)*($L310&lt;=$C$9),$M310,"")</f>
        <v/>
      </c>
    </row>
    <row r="311">
      <c r="L311" s="42" t="n">
        <v>46027</v>
      </c>
      <c r="M311" s="43" t="n">
        <v>1235</v>
      </c>
      <c r="N311" s="44">
        <f>IF(($L311&gt;$B$5)*($L311&lt;=$C$5),$M311,"")</f>
        <v/>
      </c>
      <c r="O311" s="44">
        <f>IF(($L311&gt;$B$6)*($L311&lt;=$C$6),$M311,"")</f>
        <v/>
      </c>
      <c r="P311" s="44">
        <f>IF(($L311&gt;$B$7)*($L311&lt;=$C$7),$M311,"")</f>
        <v/>
      </c>
      <c r="Q311" s="44">
        <f>IF(($L311&gt;$B$8)*($L311&lt;=$C$8),$M311,"")</f>
        <v/>
      </c>
      <c r="R311" s="44">
        <f>IF(($L311&gt;$B$9)*($L311&lt;=$C$9),$M311,"")</f>
        <v/>
      </c>
    </row>
    <row r="312">
      <c r="L312" s="42" t="n">
        <v>46029</v>
      </c>
      <c r="M312" s="43" t="n">
        <v>1235</v>
      </c>
      <c r="N312" s="44">
        <f>IF(($L312&gt;$B$5)*($L312&lt;=$C$5),$M312,"")</f>
        <v/>
      </c>
      <c r="O312" s="44">
        <f>IF(($L312&gt;$B$6)*($L312&lt;=$C$6),$M312,"")</f>
        <v/>
      </c>
      <c r="P312" s="44">
        <f>IF(($L312&gt;$B$7)*($L312&lt;=$C$7),$M312,"")</f>
        <v/>
      </c>
      <c r="Q312" s="44">
        <f>IF(($L312&gt;$B$8)*($L312&lt;=$C$8),$M312,"")</f>
        <v/>
      </c>
      <c r="R312" s="44">
        <f>IF(($L312&gt;$B$9)*($L312&lt;=$C$9),$M312,"")</f>
        <v/>
      </c>
    </row>
    <row r="313">
      <c r="L313" s="42" t="n">
        <v>46034</v>
      </c>
      <c r="M313" s="43" t="n">
        <v>1235</v>
      </c>
      <c r="N313" s="44">
        <f>IF(($L313&gt;$B$5)*($L313&lt;=$C$5),$M313,"")</f>
        <v/>
      </c>
      <c r="O313" s="44">
        <f>IF(($L313&gt;$B$6)*($L313&lt;=$C$6),$M313,"")</f>
        <v/>
      </c>
      <c r="P313" s="44">
        <f>IF(($L313&gt;$B$7)*($L313&lt;=$C$7),$M313,"")</f>
        <v/>
      </c>
      <c r="Q313" s="44">
        <f>IF(($L313&gt;$B$8)*($L313&lt;=$C$8),$M313,"")</f>
        <v/>
      </c>
      <c r="R313" s="44">
        <f>IF(($L313&gt;$B$9)*($L313&lt;=$C$9),$M313,"")</f>
        <v/>
      </c>
    </row>
    <row r="314">
      <c r="L314" s="42" t="n">
        <v>46035</v>
      </c>
      <c r="M314" s="43" t="n">
        <v>1235</v>
      </c>
      <c r="N314" s="44">
        <f>IF(($L314&gt;$B$5)*($L314&lt;=$C$5),$M314,"")</f>
        <v/>
      </c>
      <c r="O314" s="44">
        <f>IF(($L314&gt;$B$6)*($L314&lt;=$C$6),$M314,"")</f>
        <v/>
      </c>
      <c r="P314" s="44">
        <f>IF(($L314&gt;$B$7)*($L314&lt;=$C$7),$M314,"")</f>
        <v/>
      </c>
      <c r="Q314" s="44">
        <f>IF(($L314&gt;$B$8)*($L314&lt;=$C$8),$M314,"")</f>
        <v/>
      </c>
      <c r="R314" s="44">
        <f>IF(($L314&gt;$B$9)*($L314&lt;=$C$9),$M314,"")</f>
        <v/>
      </c>
    </row>
    <row r="315">
      <c r="L315" s="42" t="n">
        <v>46038</v>
      </c>
      <c r="M315" s="43" t="n">
        <v>1235</v>
      </c>
      <c r="N315" s="44">
        <f>IF(($L315&gt;$B$5)*($L315&lt;=$C$5),$M315,"")</f>
        <v/>
      </c>
      <c r="O315" s="44">
        <f>IF(($L315&gt;$B$6)*($L315&lt;=$C$6),$M315,"")</f>
        <v/>
      </c>
      <c r="P315" s="44">
        <f>IF(($L315&gt;$B$7)*($L315&lt;=$C$7),$M315,"")</f>
        <v/>
      </c>
      <c r="Q315" s="44">
        <f>IF(($L315&gt;$B$8)*($L315&lt;=$C$8),$M315,"")</f>
        <v/>
      </c>
      <c r="R315" s="44">
        <f>IF(($L315&gt;$B$9)*($L315&lt;=$C$9),$M315,"")</f>
        <v/>
      </c>
    </row>
    <row r="316">
      <c r="L316" s="42" t="n">
        <v>46041</v>
      </c>
      <c r="M316" s="43" t="n">
        <v>1235</v>
      </c>
      <c r="N316" s="44">
        <f>IF(($L316&gt;$B$5)*($L316&lt;=$C$5),$M316,"")</f>
        <v/>
      </c>
      <c r="O316" s="44">
        <f>IF(($L316&gt;$B$6)*($L316&lt;=$C$6),$M316,"")</f>
        <v/>
      </c>
      <c r="P316" s="44">
        <f>IF(($L316&gt;$B$7)*($L316&lt;=$C$7),$M316,"")</f>
        <v/>
      </c>
      <c r="Q316" s="44">
        <f>IF(($L316&gt;$B$8)*($L316&lt;=$C$8),$M316,"")</f>
        <v/>
      </c>
      <c r="R316" s="44">
        <f>IF(($L316&gt;$B$9)*($L316&lt;=$C$9),$M316,"")</f>
        <v/>
      </c>
    </row>
    <row r="317">
      <c r="L317" s="42" t="n">
        <v>46043</v>
      </c>
      <c r="M317" s="43" t="n">
        <v>1235</v>
      </c>
      <c r="N317" s="44">
        <f>IF(($L317&gt;$B$5)*($L317&lt;=$C$5),$M317,"")</f>
        <v/>
      </c>
      <c r="O317" s="44">
        <f>IF(($L317&gt;$B$6)*($L317&lt;=$C$6),$M317,"")</f>
        <v/>
      </c>
      <c r="P317" s="44">
        <f>IF(($L317&gt;$B$7)*($L317&lt;=$C$7),$M317,"")</f>
        <v/>
      </c>
      <c r="Q317" s="44">
        <f>IF(($L317&gt;$B$8)*($L317&lt;=$C$8),$M317,"")</f>
        <v/>
      </c>
      <c r="R317" s="44">
        <f>IF(($L317&gt;$B$9)*($L317&lt;=$C$9),$M317,"")</f>
        <v/>
      </c>
    </row>
    <row r="318">
      <c r="L318" s="42" t="n">
        <v>46044</v>
      </c>
      <c r="M318" s="43" t="n">
        <v>1235</v>
      </c>
      <c r="N318" s="44">
        <f>IF(($L318&gt;$B$5)*($L318&lt;=$C$5),$M318,"")</f>
        <v/>
      </c>
      <c r="O318" s="44">
        <f>IF(($L318&gt;$B$6)*($L318&lt;=$C$6),$M318,"")</f>
        <v/>
      </c>
      <c r="P318" s="44">
        <f>IF(($L318&gt;$B$7)*($L318&lt;=$C$7),$M318,"")</f>
        <v/>
      </c>
      <c r="Q318" s="44">
        <f>IF(($L318&gt;$B$8)*($L318&lt;=$C$8),$M318,"")</f>
        <v/>
      </c>
      <c r="R318" s="44">
        <f>IF(($L318&gt;$B$9)*($L318&lt;=$C$9),$M318,"")</f>
        <v/>
      </c>
    </row>
    <row r="319">
      <c r="L319" s="42" t="n">
        <v>46045</v>
      </c>
      <c r="M319" s="43" t="n">
        <v>1235</v>
      </c>
      <c r="N319" s="44">
        <f>IF(($L319&gt;$B$5)*($L319&lt;=$C$5),$M319,"")</f>
        <v/>
      </c>
      <c r="O319" s="44">
        <f>IF(($L319&gt;$B$6)*($L319&lt;=$C$6),$M319,"")</f>
        <v/>
      </c>
      <c r="P319" s="44">
        <f>IF(($L319&gt;$B$7)*($L319&lt;=$C$7),$M319,"")</f>
        <v/>
      </c>
      <c r="Q319" s="44">
        <f>IF(($L319&gt;$B$8)*($L319&lt;=$C$8),$M319,"")</f>
        <v/>
      </c>
      <c r="R319" s="44">
        <f>IF(($L319&gt;$B$9)*($L319&lt;=$C$9),$M319,"")</f>
        <v/>
      </c>
    </row>
    <row r="320">
      <c r="L320" s="42" t="n">
        <v>46048</v>
      </c>
      <c r="M320" s="43" t="n">
        <v>1235</v>
      </c>
      <c r="N320" s="44">
        <f>IF(($L320&gt;$B$5)*($L320&lt;=$C$5),$M320,"")</f>
        <v/>
      </c>
      <c r="O320" s="44">
        <f>IF(($L320&gt;$B$6)*($L320&lt;=$C$6),$M320,"")</f>
        <v/>
      </c>
      <c r="P320" s="44">
        <f>IF(($L320&gt;$B$7)*($L320&lt;=$C$7),$M320,"")</f>
        <v/>
      </c>
      <c r="Q320" s="44">
        <f>IF(($L320&gt;$B$8)*($L320&lt;=$C$8),$M320,"")</f>
        <v/>
      </c>
      <c r="R320" s="44">
        <f>IF(($L320&gt;$B$9)*($L320&lt;=$C$9),$M320,"")</f>
        <v/>
      </c>
    </row>
    <row r="321">
      <c r="L321" s="42" t="n">
        <v>46050</v>
      </c>
      <c r="M321" s="43" t="n">
        <v>1235</v>
      </c>
      <c r="N321" s="44">
        <f>IF(($L321&gt;$B$5)*($L321&lt;=$C$5),$M321,"")</f>
        <v/>
      </c>
      <c r="O321" s="44">
        <f>IF(($L321&gt;$B$6)*($L321&lt;=$C$6),$M321,"")</f>
        <v/>
      </c>
      <c r="P321" s="44">
        <f>IF(($L321&gt;$B$7)*($L321&lt;=$C$7),$M321,"")</f>
        <v/>
      </c>
      <c r="Q321" s="44">
        <f>IF(($L321&gt;$B$8)*($L321&lt;=$C$8),$M321,"")</f>
        <v/>
      </c>
      <c r="R321" s="44">
        <f>IF(($L321&gt;$B$9)*($L321&lt;=$C$9),$M321,"")</f>
        <v/>
      </c>
    </row>
    <row r="322">
      <c r="L322" s="42" t="n">
        <v>46051</v>
      </c>
      <c r="M322" s="43" t="n">
        <v>1235</v>
      </c>
      <c r="N322" s="44">
        <f>IF(($L322&gt;$B$5)*($L322&lt;=$C$5),$M322,"")</f>
        <v/>
      </c>
      <c r="O322" s="44">
        <f>IF(($L322&gt;$B$6)*($L322&lt;=$C$6),$M322,"")</f>
        <v/>
      </c>
      <c r="P322" s="44">
        <f>IF(($L322&gt;$B$7)*($L322&lt;=$C$7),$M322,"")</f>
        <v/>
      </c>
      <c r="Q322" s="44">
        <f>IF(($L322&gt;$B$8)*($L322&lt;=$C$8),$M322,"")</f>
        <v/>
      </c>
      <c r="R322" s="44">
        <f>IF(($L322&gt;$B$9)*($L322&lt;=$C$9),$M322,"")</f>
        <v/>
      </c>
    </row>
    <row r="323">
      <c r="L323" s="42" t="n">
        <v>46052</v>
      </c>
      <c r="M323" s="43" t="n">
        <v>1235</v>
      </c>
      <c r="N323" s="44">
        <f>IF(($L323&gt;$B$5)*($L323&lt;=$C$5),$M323,"")</f>
        <v/>
      </c>
      <c r="O323" s="44">
        <f>IF(($L323&gt;$B$6)*($L323&lt;=$C$6),$M323,"")</f>
        <v/>
      </c>
      <c r="P323" s="44">
        <f>IF(($L323&gt;$B$7)*($L323&lt;=$C$7),$M323,"")</f>
        <v/>
      </c>
      <c r="Q323" s="44">
        <f>IF(($L323&gt;$B$8)*($L323&lt;=$C$8),$M323,"")</f>
        <v/>
      </c>
      <c r="R323" s="44">
        <f>IF(($L323&gt;$B$9)*($L323&lt;=$C$9),$M323,"")</f>
        <v/>
      </c>
    </row>
    <row r="324">
      <c r="L324" s="42" t="n">
        <v>46055</v>
      </c>
      <c r="M324" s="43" t="n">
        <v>1235</v>
      </c>
      <c r="N324" s="44">
        <f>IF(($L324&gt;$B$5)*($L324&lt;=$C$5),$M324,"")</f>
        <v/>
      </c>
      <c r="O324" s="44">
        <f>IF(($L324&gt;$B$6)*($L324&lt;=$C$6),$M324,"")</f>
        <v/>
      </c>
      <c r="P324" s="44">
        <f>IF(($L324&gt;$B$7)*($L324&lt;=$C$7),$M324,"")</f>
        <v/>
      </c>
      <c r="Q324" s="44">
        <f>IF(($L324&gt;$B$8)*($L324&lt;=$C$8),$M324,"")</f>
        <v/>
      </c>
      <c r="R324" s="44">
        <f>IF(($L324&gt;$B$9)*($L324&lt;=$C$9),$M324,"")</f>
        <v/>
      </c>
    </row>
    <row r="325">
      <c r="L325" s="42" t="n">
        <v>46057</v>
      </c>
      <c r="M325" s="43" t="n">
        <v>1235</v>
      </c>
      <c r="N325" s="44">
        <f>IF(($L325&gt;$B$5)*($L325&lt;=$C$5),$M325,"")</f>
        <v/>
      </c>
      <c r="O325" s="44">
        <f>IF(($L325&gt;$B$6)*($L325&lt;=$C$6),$M325,"")</f>
        <v/>
      </c>
      <c r="P325" s="44">
        <f>IF(($L325&gt;$B$7)*($L325&lt;=$C$7),$M325,"")</f>
        <v/>
      </c>
      <c r="Q325" s="44">
        <f>IF(($L325&gt;$B$8)*($L325&lt;=$C$8),$M325,"")</f>
        <v/>
      </c>
      <c r="R325" s="44">
        <f>IF(($L325&gt;$B$9)*($L325&lt;=$C$9),$M325,"")</f>
        <v/>
      </c>
    </row>
    <row r="326">
      <c r="L326" s="42" t="n">
        <v>46058</v>
      </c>
      <c r="M326" s="43" t="n">
        <v>1235</v>
      </c>
      <c r="N326" s="44">
        <f>IF(($L326&gt;$B$5)*($L326&lt;=$C$5),$M326,"")</f>
        <v/>
      </c>
      <c r="O326" s="44">
        <f>IF(($L326&gt;$B$6)*($L326&lt;=$C$6),$M326,"")</f>
        <v/>
      </c>
      <c r="P326" s="44">
        <f>IF(($L326&gt;$B$7)*($L326&lt;=$C$7),$M326,"")</f>
        <v/>
      </c>
      <c r="Q326" s="44">
        <f>IF(($L326&gt;$B$8)*($L326&lt;=$C$8),$M326,"")</f>
        <v/>
      </c>
      <c r="R326" s="44">
        <f>IF(($L326&gt;$B$9)*($L326&lt;=$C$9),$M326,"")</f>
        <v/>
      </c>
    </row>
    <row r="327">
      <c r="L327" s="42" t="n">
        <v>46064</v>
      </c>
      <c r="M327" s="43" t="n">
        <v>1235</v>
      </c>
      <c r="N327" s="44">
        <f>IF(($L327&gt;$B$5)*($L327&lt;=$C$5),$M327,"")</f>
        <v/>
      </c>
      <c r="O327" s="44">
        <f>IF(($L327&gt;$B$6)*($L327&lt;=$C$6),$M327,"")</f>
        <v/>
      </c>
      <c r="P327" s="44">
        <f>IF(($L327&gt;$B$7)*($L327&lt;=$C$7),$M327,"")</f>
        <v/>
      </c>
      <c r="Q327" s="44">
        <f>IF(($L327&gt;$B$8)*($L327&lt;=$C$8),$M327,"")</f>
        <v/>
      </c>
      <c r="R327" s="44">
        <f>IF(($L327&gt;$B$9)*($L327&lt;=$C$9),$M327,"")</f>
        <v/>
      </c>
    </row>
    <row r="328">
      <c r="L328" s="42" t="n">
        <v>46065</v>
      </c>
      <c r="M328" s="43" t="n">
        <v>1235</v>
      </c>
      <c r="N328" s="44">
        <f>IF(($L328&gt;$B$5)*($L328&lt;=$C$5),$M328,"")</f>
        <v/>
      </c>
      <c r="O328" s="44">
        <f>IF(($L328&gt;$B$6)*($L328&lt;=$C$6),$M328,"")</f>
        <v/>
      </c>
      <c r="P328" s="44">
        <f>IF(($L328&gt;$B$7)*($L328&lt;=$C$7),$M328,"")</f>
        <v/>
      </c>
      <c r="Q328" s="44">
        <f>IF(($L328&gt;$B$8)*($L328&lt;=$C$8),$M328,"")</f>
        <v/>
      </c>
      <c r="R328" s="44">
        <f>IF(($L328&gt;$B$9)*($L328&lt;=$C$9),$M328,"")</f>
        <v/>
      </c>
    </row>
    <row r="329">
      <c r="L329" s="42" t="n">
        <v>46066</v>
      </c>
      <c r="M329" s="43" t="n">
        <v>1235</v>
      </c>
      <c r="N329" s="44">
        <f>IF(($L329&gt;$B$5)*($L329&lt;=$C$5),$M329,"")</f>
        <v/>
      </c>
      <c r="O329" s="44">
        <f>IF(($L329&gt;$B$6)*($L329&lt;=$C$6),$M329,"")</f>
        <v/>
      </c>
      <c r="P329" s="44">
        <f>IF(($L329&gt;$B$7)*($L329&lt;=$C$7),$M329,"")</f>
        <v/>
      </c>
      <c r="Q329" s="44">
        <f>IF(($L329&gt;$B$8)*($L329&lt;=$C$8),$M329,"")</f>
        <v/>
      </c>
      <c r="R329" s="44">
        <f>IF(($L329&gt;$B$9)*($L329&lt;=$C$9),$M329,"")</f>
        <v/>
      </c>
    </row>
    <row r="330">
      <c r="L330" s="42" t="n">
        <v>46077</v>
      </c>
      <c r="M330" s="43" t="n">
        <v>1235</v>
      </c>
      <c r="N330" s="44">
        <f>IF(($L330&gt;$B$5)*($L330&lt;=$C$5),$M330,"")</f>
        <v/>
      </c>
      <c r="O330" s="44">
        <f>IF(($L330&gt;$B$6)*($L330&lt;=$C$6),$M330,"")</f>
        <v/>
      </c>
      <c r="P330" s="44">
        <f>IF(($L330&gt;$B$7)*($L330&lt;=$C$7),$M330,"")</f>
        <v/>
      </c>
      <c r="Q330" s="44">
        <f>IF(($L330&gt;$B$8)*($L330&lt;=$C$8),$M330,"")</f>
        <v/>
      </c>
      <c r="R330" s="44">
        <f>IF(($L330&gt;$B$9)*($L330&lt;=$C$9),$M330,"")</f>
        <v/>
      </c>
    </row>
    <row r="331">
      <c r="L331" s="42" t="n">
        <v>46078</v>
      </c>
      <c r="M331" s="43" t="n">
        <v>1235</v>
      </c>
      <c r="N331" s="44">
        <f>IF(($L331&gt;$B$5)*($L331&lt;=$C$5),$M331,"")</f>
        <v/>
      </c>
      <c r="O331" s="44">
        <f>IF(($L331&gt;$B$6)*($L331&lt;=$C$6),$M331,"")</f>
        <v/>
      </c>
      <c r="P331" s="44">
        <f>IF(($L331&gt;$B$7)*($L331&lt;=$C$7),$M331,"")</f>
        <v/>
      </c>
      <c r="Q331" s="44">
        <f>IF(($L331&gt;$B$8)*($L331&lt;=$C$8),$M331,"")</f>
        <v/>
      </c>
      <c r="R331" s="44">
        <f>IF(($L331&gt;$B$9)*($L331&lt;=$C$9),$M331,"")</f>
        <v/>
      </c>
    </row>
    <row r="332">
      <c r="L332" s="42" t="n">
        <v>46080</v>
      </c>
      <c r="M332" s="43" t="n">
        <v>1235</v>
      </c>
      <c r="N332" s="44">
        <f>IF(($L332&gt;$B$5)*($L332&lt;=$C$5),$M332,"")</f>
        <v/>
      </c>
      <c r="O332" s="44">
        <f>IF(($L332&gt;$B$6)*($L332&lt;=$C$6),$M332,"")</f>
        <v/>
      </c>
      <c r="P332" s="44">
        <f>IF(($L332&gt;$B$7)*($L332&lt;=$C$7),$M332,"")</f>
        <v/>
      </c>
      <c r="Q332" s="44">
        <f>IF(($L332&gt;$B$8)*($L332&lt;=$C$8),$M332,"")</f>
        <v/>
      </c>
      <c r="R332" s="44">
        <f>IF(($L332&gt;$B$9)*($L332&lt;=$C$9),$M332,"")</f>
        <v/>
      </c>
    </row>
    <row r="333">
      <c r="L333" s="42" t="n">
        <v>46081</v>
      </c>
      <c r="M333" s="43" t="n">
        <v>1235</v>
      </c>
      <c r="N333" s="44">
        <f>IF(($L333&gt;$B$5)*($L333&lt;=$C$5),$M333,"")</f>
        <v/>
      </c>
      <c r="O333" s="44">
        <f>IF(($L333&gt;$B$6)*($L333&lt;=$C$6),$M333,"")</f>
        <v/>
      </c>
      <c r="P333" s="44">
        <f>IF(($L333&gt;$B$7)*($L333&lt;=$C$7),$M333,"")</f>
        <v/>
      </c>
      <c r="Q333" s="44">
        <f>IF(($L333&gt;$B$8)*($L333&lt;=$C$8),$M333,"")</f>
        <v/>
      </c>
      <c r="R333" s="44">
        <f>IF(($L333&gt;$B$9)*($L333&lt;=$C$9),$M333,"")</f>
        <v/>
      </c>
    </row>
    <row r="334">
      <c r="L334" s="42" t="n">
        <v>46084</v>
      </c>
      <c r="M334" s="43" t="n">
        <v>1235</v>
      </c>
      <c r="N334" s="44">
        <f>IF(($L334&gt;$B$5)*($L334&lt;=$C$5),$M334,"")</f>
        <v/>
      </c>
      <c r="O334" s="44">
        <f>IF(($L334&gt;$B$6)*($L334&lt;=$C$6),$M334,"")</f>
        <v/>
      </c>
      <c r="P334" s="44">
        <f>IF(($L334&gt;$B$7)*($L334&lt;=$C$7),$M334,"")</f>
        <v/>
      </c>
      <c r="Q334" s="44">
        <f>IF(($L334&gt;$B$8)*($L334&lt;=$C$8),$M334,"")</f>
        <v/>
      </c>
      <c r="R334" s="44">
        <f>IF(($L334&gt;$B$9)*($L334&lt;=$C$9),$M334,"")</f>
        <v/>
      </c>
    </row>
    <row r="335">
      <c r="L335" s="42" t="n">
        <v>46085</v>
      </c>
      <c r="M335" s="43" t="n">
        <v>1235</v>
      </c>
      <c r="N335" s="44">
        <f>IF(($L335&gt;$B$5)*($L335&lt;=$C$5),$M335,"")</f>
        <v/>
      </c>
      <c r="O335" s="44">
        <f>IF(($L335&gt;$B$6)*($L335&lt;=$C$6),$M335,"")</f>
        <v/>
      </c>
      <c r="P335" s="44">
        <f>IF(($L335&gt;$B$7)*($L335&lt;=$C$7),$M335,"")</f>
        <v/>
      </c>
      <c r="Q335" s="44">
        <f>IF(($L335&gt;$B$8)*($L335&lt;=$C$8),$M335,"")</f>
        <v/>
      </c>
      <c r="R335" s="44">
        <f>IF(($L335&gt;$B$9)*($L335&lt;=$C$9),$M335,"")</f>
        <v/>
      </c>
    </row>
    <row r="336">
      <c r="L336" s="42" t="n">
        <v>46086</v>
      </c>
      <c r="M336" s="43" t="n">
        <v>1235</v>
      </c>
      <c r="N336" s="44">
        <f>IF(($L336&gt;$B$5)*($L336&lt;=$C$5),$M336,"")</f>
        <v/>
      </c>
      <c r="O336" s="44">
        <f>IF(($L336&gt;$B$6)*($L336&lt;=$C$6),$M336,"")</f>
        <v/>
      </c>
      <c r="P336" s="44">
        <f>IF(($L336&gt;$B$7)*($L336&lt;=$C$7),$M336,"")</f>
        <v/>
      </c>
      <c r="Q336" s="44">
        <f>IF(($L336&gt;$B$8)*($L336&lt;=$C$8),$M336,"")</f>
        <v/>
      </c>
      <c r="R336" s="44">
        <f>IF(($L336&gt;$B$9)*($L336&lt;=$C$9),$M336,"")</f>
        <v/>
      </c>
    </row>
    <row r="337">
      <c r="L337" s="42" t="n">
        <v>46087</v>
      </c>
      <c r="M337" s="43" t="n">
        <v>1235</v>
      </c>
      <c r="N337" s="44">
        <f>IF(($L337&gt;$B$5)*($L337&lt;=$C$5),$M337,"")</f>
        <v/>
      </c>
      <c r="O337" s="44">
        <f>IF(($L337&gt;$B$6)*($L337&lt;=$C$6),$M337,"")</f>
        <v/>
      </c>
      <c r="P337" s="44">
        <f>IF(($L337&gt;$B$7)*($L337&lt;=$C$7),$M337,"")</f>
        <v/>
      </c>
      <c r="Q337" s="44">
        <f>IF(($L337&gt;$B$8)*($L337&lt;=$C$8),$M337,"")</f>
        <v/>
      </c>
      <c r="R337" s="44">
        <f>IF(($L337&gt;$B$9)*($L337&lt;=$C$9),$M337,"")</f>
        <v/>
      </c>
    </row>
    <row r="338">
      <c r="L338" s="42" t="n">
        <v>46092</v>
      </c>
      <c r="M338" s="43" t="n">
        <v>1250</v>
      </c>
      <c r="N338" s="44">
        <f>IF(($L338&gt;$B$5)*($L338&lt;=$C$5),$M338,"")</f>
        <v/>
      </c>
      <c r="O338" s="44">
        <f>IF(($L338&gt;$B$6)*($L338&lt;=$C$6),$M338,"")</f>
        <v/>
      </c>
      <c r="P338" s="44">
        <f>IF(($L338&gt;$B$7)*($L338&lt;=$C$7),$M338,"")</f>
        <v/>
      </c>
      <c r="Q338" s="44">
        <f>IF(($L338&gt;$B$8)*($L338&lt;=$C$8),$M338,"")</f>
        <v/>
      </c>
      <c r="R338" s="44">
        <f>IF(($L338&gt;$B$9)*($L338&lt;=$C$9),$M338,"")</f>
        <v/>
      </c>
    </row>
    <row r="339">
      <c r="L339" s="42" t="n">
        <v>46093</v>
      </c>
      <c r="M339" s="43" t="n">
        <v>1250</v>
      </c>
      <c r="N339" s="44">
        <f>IF(($L339&gt;$B$5)*($L339&lt;=$C$5),$M339,"")</f>
        <v/>
      </c>
      <c r="O339" s="44">
        <f>IF(($L339&gt;$B$6)*($L339&lt;=$C$6),$M339,"")</f>
        <v/>
      </c>
      <c r="P339" s="44">
        <f>IF(($L339&gt;$B$7)*($L339&lt;=$C$7),$M339,"")</f>
        <v/>
      </c>
      <c r="Q339" s="44">
        <f>IF(($L339&gt;$B$8)*($L339&lt;=$C$8),$M339,"")</f>
        <v/>
      </c>
      <c r="R339" s="44">
        <f>IF(($L339&gt;$B$9)*($L339&lt;=$C$9),$M339,"")</f>
        <v/>
      </c>
    </row>
    <row r="340">
      <c r="L340" s="42" t="n">
        <v>46097</v>
      </c>
      <c r="M340" s="43" t="n">
        <v>1250</v>
      </c>
      <c r="N340" s="44">
        <f>IF(($L340&gt;$B$5)*($L340&lt;=$C$5),$M340,"")</f>
        <v/>
      </c>
      <c r="O340" s="44">
        <f>IF(($L340&gt;$B$6)*($L340&lt;=$C$6),$M340,"")</f>
        <v/>
      </c>
      <c r="P340" s="44">
        <f>IF(($L340&gt;$B$7)*($L340&lt;=$C$7),$M340,"")</f>
        <v/>
      </c>
      <c r="Q340" s="44">
        <f>IF(($L340&gt;$B$8)*($L340&lt;=$C$8),$M340,"")</f>
        <v/>
      </c>
      <c r="R340" s="44">
        <f>IF(($L340&gt;$B$9)*($L340&lt;=$C$9),$M340,"")</f>
        <v/>
      </c>
    </row>
    <row r="341">
      <c r="L341" s="42" t="n">
        <v>46098</v>
      </c>
      <c r="M341" s="43" t="n">
        <v>1250</v>
      </c>
      <c r="N341" s="44">
        <f>IF(($L341&gt;$B$5)*($L341&lt;=$C$5),$M341,"")</f>
        <v/>
      </c>
      <c r="O341" s="44">
        <f>IF(($L341&gt;$B$6)*($L341&lt;=$C$6),$M341,"")</f>
        <v/>
      </c>
      <c r="P341" s="44">
        <f>IF(($L341&gt;$B$7)*($L341&lt;=$C$7),$M341,"")</f>
        <v/>
      </c>
      <c r="Q341" s="44">
        <f>IF(($L341&gt;$B$8)*($L341&lt;=$C$8),$M341,"")</f>
        <v/>
      </c>
      <c r="R341" s="44">
        <f>IF(($L341&gt;$B$9)*($L341&lt;=$C$9),$M341,"")</f>
        <v/>
      </c>
    </row>
    <row r="342">
      <c r="L342" s="42" t="n">
        <v>46100</v>
      </c>
      <c r="M342" s="43" t="n">
        <v>1250</v>
      </c>
      <c r="N342" s="44">
        <f>IF(($L342&gt;$B$5)*($L342&lt;=$C$5),$M342,"")</f>
        <v/>
      </c>
      <c r="O342" s="44">
        <f>IF(($L342&gt;$B$6)*($L342&lt;=$C$6),$M342,"")</f>
        <v/>
      </c>
      <c r="P342" s="44">
        <f>IF(($L342&gt;$B$7)*($L342&lt;=$C$7),$M342,"")</f>
        <v/>
      </c>
      <c r="Q342" s="44">
        <f>IF(($L342&gt;$B$8)*($L342&lt;=$C$8),$M342,"")</f>
        <v/>
      </c>
      <c r="R342" s="44">
        <f>IF(($L342&gt;$B$9)*($L342&lt;=$C$9),$M342,"")</f>
        <v/>
      </c>
    </row>
    <row r="343">
      <c r="L343" s="42" t="n">
        <v>46104</v>
      </c>
      <c r="M343" s="43" t="n">
        <v>1250</v>
      </c>
      <c r="N343" s="44">
        <f>IF(($L343&gt;$B$5)*($L343&lt;=$C$5),$M343,"")</f>
        <v/>
      </c>
      <c r="O343" s="44">
        <f>IF(($L343&gt;$B$6)*($L343&lt;=$C$6),$M343,"")</f>
        <v/>
      </c>
      <c r="P343" s="44">
        <f>IF(($L343&gt;$B$7)*($L343&lt;=$C$7),$M343,"")</f>
        <v/>
      </c>
      <c r="Q343" s="44">
        <f>IF(($L343&gt;$B$8)*($L343&lt;=$C$8),$M343,"")</f>
        <v/>
      </c>
      <c r="R343" s="44">
        <f>IF(($L343&gt;$B$9)*($L343&lt;=$C$9),$M343,"")</f>
        <v/>
      </c>
    </row>
    <row r="344">
      <c r="L344" s="42" t="n">
        <v>46105</v>
      </c>
      <c r="M344" s="43" t="n">
        <v>1250</v>
      </c>
      <c r="N344" s="44">
        <f>IF(($L344&gt;$B$5)*($L344&lt;=$C$5),$M344,"")</f>
        <v/>
      </c>
      <c r="O344" s="44">
        <f>IF(($L344&gt;$B$6)*($L344&lt;=$C$6),$M344,"")</f>
        <v/>
      </c>
      <c r="P344" s="44">
        <f>IF(($L344&gt;$B$7)*($L344&lt;=$C$7),$M344,"")</f>
        <v/>
      </c>
      <c r="Q344" s="44">
        <f>IF(($L344&gt;$B$8)*($L344&lt;=$C$8),$M344,"")</f>
        <v/>
      </c>
      <c r="R344" s="44">
        <f>IF(($L344&gt;$B$9)*($L344&lt;=$C$9),$M344,"")</f>
        <v/>
      </c>
    </row>
    <row r="345">
      <c r="L345" s="42" t="n">
        <v>46107</v>
      </c>
      <c r="M345" s="43" t="n">
        <v>1250</v>
      </c>
      <c r="N345" s="44">
        <f>IF(($L345&gt;$B$5)*($L345&lt;=$C$5),$M345,"")</f>
        <v/>
      </c>
      <c r="O345" s="44">
        <f>IF(($L345&gt;$B$6)*($L345&lt;=$C$6),$M345,"")</f>
        <v/>
      </c>
      <c r="P345" s="44">
        <f>IF(($L345&gt;$B$7)*($L345&lt;=$C$7),$M345,"")</f>
        <v/>
      </c>
      <c r="Q345" s="44">
        <f>IF(($L345&gt;$B$8)*($L345&lt;=$C$8),$M345,"")</f>
        <v/>
      </c>
      <c r="R345" s="44">
        <f>IF(($L345&gt;$B$9)*($L345&lt;=$C$9),$M345,"")</f>
        <v/>
      </c>
    </row>
    <row r="346">
      <c r="L346" s="42" t="n">
        <v>46112</v>
      </c>
      <c r="M346" s="43" t="n">
        <v>1250</v>
      </c>
      <c r="N346" s="44">
        <f>IF(($L346&gt;$B$5)*($L346&lt;=$C$5),$M346,"")</f>
        <v/>
      </c>
      <c r="O346" s="44">
        <f>IF(($L346&gt;$B$6)*($L346&lt;=$C$6),$M346,"")</f>
        <v/>
      </c>
      <c r="P346" s="44">
        <f>IF(($L346&gt;$B$7)*($L346&lt;=$C$7),$M346,"")</f>
        <v/>
      </c>
      <c r="Q346" s="44">
        <f>IF(($L346&gt;$B$8)*($L346&lt;=$C$8),$M346,"")</f>
        <v/>
      </c>
      <c r="R346" s="44">
        <f>IF(($L346&gt;$B$9)*($L346&lt;=$C$9),$M346,"")</f>
        <v/>
      </c>
    </row>
    <row r="347">
      <c r="L347" s="42" t="n">
        <v>46114</v>
      </c>
      <c r="M347" s="43" t="n">
        <v>1250</v>
      </c>
      <c r="N347" s="44">
        <f>IF(($L347&gt;$B$5)*($L347&lt;=$C$5),$M347,"")</f>
        <v/>
      </c>
      <c r="O347" s="44">
        <f>IF(($L347&gt;$B$6)*($L347&lt;=$C$6),$M347,"")</f>
        <v/>
      </c>
      <c r="P347" s="44">
        <f>IF(($L347&gt;$B$7)*($L347&lt;=$C$7),$M347,"")</f>
        <v/>
      </c>
      <c r="Q347" s="44">
        <f>IF(($L347&gt;$B$8)*($L347&lt;=$C$8),$M347,"")</f>
        <v/>
      </c>
      <c r="R347" s="44">
        <f>IF(($L347&gt;$B$9)*($L347&lt;=$C$9),$M347,"")</f>
        <v/>
      </c>
    </row>
    <row r="348">
      <c r="L348" s="42" t="n">
        <v>46119</v>
      </c>
      <c r="M348" s="43" t="n">
        <v>1250</v>
      </c>
      <c r="N348" s="44">
        <f>IF(($L348&gt;$B$5)*($L348&lt;=$C$5),$M348,"")</f>
        <v/>
      </c>
      <c r="O348" s="44">
        <f>IF(($L348&gt;$B$6)*($L348&lt;=$C$6),$M348,"")</f>
        <v/>
      </c>
      <c r="P348" s="44">
        <f>IF(($L348&gt;$B$7)*($L348&lt;=$C$7),$M348,"")</f>
        <v/>
      </c>
      <c r="Q348" s="44">
        <f>IF(($L348&gt;$B$8)*($L348&lt;=$C$8),$M348,"")</f>
        <v/>
      </c>
      <c r="R348" s="44">
        <f>IF(($L348&gt;$B$9)*($L348&lt;=$C$9),$M348,"")</f>
        <v/>
      </c>
    </row>
    <row r="349">
      <c r="L349" s="42" t="n">
        <v>46127</v>
      </c>
      <c r="M349" s="43" t="n">
        <v>1250</v>
      </c>
      <c r="N349" s="44">
        <f>IF(($L349&gt;$B$5)*($L349&lt;=$C$5),$M349,"")</f>
        <v/>
      </c>
      <c r="O349" s="44">
        <f>IF(($L349&gt;$B$6)*($L349&lt;=$C$6),$M349,"")</f>
        <v/>
      </c>
      <c r="P349" s="44">
        <f>IF(($L349&gt;$B$7)*($L349&lt;=$C$7),$M349,"")</f>
        <v/>
      </c>
      <c r="Q349" s="44">
        <f>IF(($L349&gt;$B$8)*($L349&lt;=$C$8),$M349,"")</f>
        <v/>
      </c>
      <c r="R349" s="44">
        <f>IF(($L349&gt;$B$9)*($L349&lt;=$C$9),$M349,"")</f>
        <v/>
      </c>
    </row>
    <row r="350">
      <c r="L350" s="42" t="n">
        <v>46134</v>
      </c>
      <c r="M350" s="43" t="n">
        <v>1250</v>
      </c>
      <c r="N350" s="44">
        <f>IF(($L350&gt;$B$5)*($L350&lt;=$C$5),$M350,"")</f>
        <v/>
      </c>
      <c r="O350" s="44">
        <f>IF(($L350&gt;$B$6)*($L350&lt;=$C$6),$M350,"")</f>
        <v/>
      </c>
      <c r="P350" s="44">
        <f>IF(($L350&gt;$B$7)*($L350&lt;=$C$7),$M350,"")</f>
        <v/>
      </c>
      <c r="Q350" s="44">
        <f>IF(($L350&gt;$B$8)*($L350&lt;=$C$8),$M350,"")</f>
        <v/>
      </c>
      <c r="R350" s="44">
        <f>IF(($L350&gt;$B$9)*($L350&lt;=$C$9),$M350,"")</f>
        <v/>
      </c>
    </row>
    <row r="351">
      <c r="L351" s="42" t="n">
        <v>46141</v>
      </c>
      <c r="M351" s="43" t="n">
        <v>1250</v>
      </c>
      <c r="N351" s="44">
        <f>IF(($L351&gt;$B$5)*($L351&lt;=$C$5),$M351,"")</f>
        <v/>
      </c>
      <c r="O351" s="44">
        <f>IF(($L351&gt;$B$6)*($L351&lt;=$C$6),$M351,"")</f>
        <v/>
      </c>
      <c r="P351" s="44">
        <f>IF(($L351&gt;$B$7)*($L351&lt;=$C$7),$M351,"")</f>
        <v/>
      </c>
      <c r="Q351" s="44">
        <f>IF(($L351&gt;$B$8)*($L351&lt;=$C$8),$M351,"")</f>
        <v/>
      </c>
      <c r="R351" s="44">
        <f>IF(($L351&gt;$B$9)*($L351&lt;=$C$9),$M351,"")</f>
        <v/>
      </c>
    </row>
    <row r="352">
      <c r="L352" s="42" t="n">
        <v>46151</v>
      </c>
      <c r="M352" s="43" t="n">
        <v>1250</v>
      </c>
      <c r="N352" s="44">
        <f>IF(($L352&gt;$B$5)*($L352&lt;=$C$5),$M352,"")</f>
        <v/>
      </c>
      <c r="O352" s="44">
        <f>IF(($L352&gt;$B$6)*($L352&lt;=$C$6),$M352,"")</f>
        <v/>
      </c>
      <c r="P352" s="44">
        <f>IF(($L352&gt;$B$7)*($L352&lt;=$C$7),$M352,"")</f>
        <v/>
      </c>
      <c r="Q352" s="44">
        <f>IF(($L352&gt;$B$8)*($L352&lt;=$C$8),$M352,"")</f>
        <v/>
      </c>
      <c r="R352" s="44">
        <f>IF(($L352&gt;$B$9)*($L352&lt;=$C$9),$M352,"")</f>
        <v/>
      </c>
    </row>
    <row r="353">
      <c r="L353" s="42" t="n">
        <v>46154</v>
      </c>
      <c r="M353" s="43" t="n">
        <v>1250</v>
      </c>
      <c r="N353" s="44">
        <f>IF(($L353&gt;$B$5)*($L353&lt;=$C$5),$M353,"")</f>
        <v/>
      </c>
      <c r="O353" s="44">
        <f>IF(($L353&gt;$B$6)*($L353&lt;=$C$6),$M353,"")</f>
        <v/>
      </c>
      <c r="P353" s="44">
        <f>IF(($L353&gt;$B$7)*($L353&lt;=$C$7),$M353,"")</f>
        <v/>
      </c>
      <c r="Q353" s="44">
        <f>IF(($L353&gt;$B$8)*($L353&lt;=$C$8),$M353,"")</f>
        <v/>
      </c>
      <c r="R353" s="44">
        <f>IF(($L353&gt;$B$9)*($L353&lt;=$C$9),$M353,"")</f>
        <v/>
      </c>
    </row>
    <row r="354">
      <c r="L354" s="42" t="n">
        <v>46161</v>
      </c>
      <c r="M354" s="43" t="n">
        <v>1250</v>
      </c>
      <c r="N354" s="44">
        <f>IF(($L354&gt;$B$5)*($L354&lt;=$C$5),$M354,"")</f>
        <v/>
      </c>
      <c r="O354" s="44">
        <f>IF(($L354&gt;$B$6)*($L354&lt;=$C$6),$M354,"")</f>
        <v/>
      </c>
      <c r="P354" s="44">
        <f>IF(($L354&gt;$B$7)*($L354&lt;=$C$7),$M354,"")</f>
        <v/>
      </c>
      <c r="Q354" s="44">
        <f>IF(($L354&gt;$B$8)*($L354&lt;=$C$8),$M354,"")</f>
        <v/>
      </c>
      <c r="R354" s="44">
        <f>IF(($L354&gt;$B$9)*($L354&lt;=$C$9),$M354,"")</f>
        <v/>
      </c>
    </row>
    <row r="355">
      <c r="L355" s="42" t="n">
        <v>46168</v>
      </c>
      <c r="M355" s="43" t="n">
        <v>1250</v>
      </c>
      <c r="N355" s="44">
        <f>IF(($L355&gt;$B$5)*($L355&lt;=$C$5),$M355,"")</f>
        <v/>
      </c>
      <c r="O355" s="44">
        <f>IF(($L355&gt;$B$6)*($L355&lt;=$C$6),$M355,"")</f>
        <v/>
      </c>
      <c r="P355" s="44">
        <f>IF(($L355&gt;$B$7)*($L355&lt;=$C$7),$M355,"")</f>
        <v/>
      </c>
      <c r="Q355" s="44">
        <f>IF(($L355&gt;$B$8)*($L355&lt;=$C$8),$M355,"")</f>
        <v/>
      </c>
      <c r="R355" s="44">
        <f>IF(($L355&gt;$B$9)*($L355&lt;=$C$9),$M355,"")</f>
        <v/>
      </c>
    </row>
    <row r="356">
      <c r="L356" s="42" t="n">
        <v>46175</v>
      </c>
      <c r="M356" s="43" t="n">
        <v>1250</v>
      </c>
      <c r="N356" s="44">
        <f>IF(($L356&gt;$B$5)*($L356&lt;=$C$5),$M356,"")</f>
        <v/>
      </c>
      <c r="O356" s="44">
        <f>IF(($L356&gt;$B$6)*($L356&lt;=$C$6),$M356,"")</f>
        <v/>
      </c>
      <c r="P356" s="44">
        <f>IF(($L356&gt;$B$7)*($L356&lt;=$C$7),$M356,"")</f>
        <v/>
      </c>
      <c r="Q356" s="44">
        <f>IF(($L356&gt;$B$8)*($L356&lt;=$C$8),$M356,"")</f>
        <v/>
      </c>
      <c r="R356" s="44">
        <f>IF(($L356&gt;$B$9)*($L356&lt;=$C$9),$M356,"")</f>
        <v/>
      </c>
    </row>
    <row r="357">
      <c r="L357" s="42" t="n">
        <v>46178</v>
      </c>
      <c r="M357" s="43" t="n">
        <v>1250</v>
      </c>
      <c r="N357" s="44">
        <f>IF(($L357&gt;$B$5)*($L357&lt;=$C$5),$M357,"")</f>
        <v/>
      </c>
      <c r="O357" s="44">
        <f>IF(($L357&gt;$B$6)*($L357&lt;=$C$6),$M357,"")</f>
        <v/>
      </c>
      <c r="P357" s="44">
        <f>IF(($L357&gt;$B$7)*($L357&lt;=$C$7),$M357,"")</f>
        <v/>
      </c>
      <c r="Q357" s="44">
        <f>IF(($L357&gt;$B$8)*($L357&lt;=$C$8),$M357,"")</f>
        <v/>
      </c>
      <c r="R357" s="44">
        <f>IF(($L357&gt;$B$9)*($L357&lt;=$C$9),$M357,"")</f>
        <v/>
      </c>
    </row>
    <row r="358">
      <c r="L358" s="42" t="n">
        <v>46182</v>
      </c>
      <c r="M358" s="43" t="n">
        <v>1250</v>
      </c>
      <c r="N358" s="44">
        <f>IF(($L358&gt;$B$5)*($L358&lt;=$C$5),$M358,"")</f>
        <v/>
      </c>
      <c r="O358" s="44">
        <f>IF(($L358&gt;$B$6)*($L358&lt;=$C$6),$M358,"")</f>
        <v/>
      </c>
      <c r="P358" s="44">
        <f>IF(($L358&gt;$B$7)*($L358&lt;=$C$7),$M358,"")</f>
        <v/>
      </c>
      <c r="Q358" s="44">
        <f>IF(($L358&gt;$B$8)*($L358&lt;=$C$8),$M358,"")</f>
        <v/>
      </c>
      <c r="R358" s="44">
        <f>IF(($L358&gt;$B$9)*($L358&lt;=$C$9),$M358,"")</f>
        <v/>
      </c>
    </row>
    <row r="359">
      <c r="L359" s="42" t="n">
        <v>46184</v>
      </c>
      <c r="M359" s="43" t="n">
        <v>1250</v>
      </c>
      <c r="N359" s="44">
        <f>IF(($L359&gt;$B$5)*($L359&lt;=$C$5),$M359,"")</f>
        <v/>
      </c>
      <c r="O359" s="44">
        <f>IF(($L359&gt;$B$6)*($L359&lt;=$C$6),$M359,"")</f>
        <v/>
      </c>
      <c r="P359" s="44">
        <f>IF(($L359&gt;$B$7)*($L359&lt;=$C$7),$M359,"")</f>
        <v/>
      </c>
      <c r="Q359" s="44">
        <f>IF(($L359&gt;$B$8)*($L359&lt;=$C$8),$M359,"")</f>
        <v/>
      </c>
      <c r="R359" s="44">
        <f>IF(($L359&gt;$B$9)*($L359&lt;=$C$9),$M359,"")</f>
        <v/>
      </c>
    </row>
    <row r="360">
      <c r="L360" s="42" t="n">
        <v>46188</v>
      </c>
      <c r="M360" s="43" t="n">
        <v>1250</v>
      </c>
      <c r="N360" s="44">
        <f>IF(($L360&gt;$B$5)*($L360&lt;=$C$5),$M360,"")</f>
        <v/>
      </c>
      <c r="O360" s="44">
        <f>IF(($L360&gt;$B$6)*($L360&lt;=$C$6),$M360,"")</f>
        <v/>
      </c>
      <c r="P360" s="44">
        <f>IF(($L360&gt;$B$7)*($L360&lt;=$C$7),$M360,"")</f>
        <v/>
      </c>
      <c r="Q360" s="44">
        <f>IF(($L360&gt;$B$8)*($L360&lt;=$C$8),$M360,"")</f>
        <v/>
      </c>
      <c r="R360" s="44">
        <f>IF(($L360&gt;$B$9)*($L360&lt;=$C$9),$M360,"")</f>
        <v/>
      </c>
    </row>
    <row r="361">
      <c r="L361" s="42" t="n">
        <v>46198</v>
      </c>
      <c r="M361" s="43" t="n">
        <v>1240</v>
      </c>
      <c r="N361" s="44">
        <f>IF(($L361&gt;$B$5)*($L361&lt;=$C$5),$M361,"")</f>
        <v/>
      </c>
      <c r="O361" s="44">
        <f>IF(($L361&gt;$B$6)*($L361&lt;=$C$6),$M361,"")</f>
        <v/>
      </c>
      <c r="P361" s="44">
        <f>IF(($L361&gt;$B$7)*($L361&lt;=$C$7),$M361,"")</f>
        <v/>
      </c>
      <c r="Q361" s="44">
        <f>IF(($L361&gt;$B$8)*($L361&lt;=$C$8),$M361,"")</f>
        <v/>
      </c>
      <c r="R361" s="44">
        <f>IF(($L361&gt;$B$9)*($L361&lt;=$C$9),$M361,"")</f>
        <v/>
      </c>
    </row>
    <row r="362">
      <c r="L362" s="42" t="n">
        <v>46204</v>
      </c>
      <c r="M362" s="43" t="n">
        <v>1240</v>
      </c>
      <c r="N362" s="44">
        <f>IF(($L362&gt;$B$5)*($L362&lt;=$C$5),$M362,"")</f>
        <v/>
      </c>
      <c r="O362" s="44">
        <f>IF(($L362&gt;$B$6)*($L362&lt;=$C$6),$M362,"")</f>
        <v/>
      </c>
      <c r="P362" s="44">
        <f>IF(($L362&gt;$B$7)*($L362&lt;=$C$7),$M362,"")</f>
        <v/>
      </c>
      <c r="Q362" s="44">
        <f>IF(($L362&gt;$B$8)*($L362&lt;=$C$8),$M362,"")</f>
        <v/>
      </c>
      <c r="R362" s="44">
        <f>IF(($L362&gt;$B$9)*($L362&lt;=$C$9),$M362,"")</f>
        <v/>
      </c>
    </row>
    <row r="363">
      <c r="L363" s="42" t="n">
        <v>46213</v>
      </c>
      <c r="M363" s="43" t="n">
        <v>1240</v>
      </c>
      <c r="N363" s="44">
        <f>IF(($L363&gt;$B$5)*($L363&lt;=$C$5),$M363,"")</f>
        <v/>
      </c>
      <c r="O363" s="44">
        <f>IF(($L363&gt;$B$6)*($L363&lt;=$C$6),$M363,"")</f>
        <v/>
      </c>
      <c r="P363" s="44">
        <f>IF(($L363&gt;$B$7)*($L363&lt;=$C$7),$M363,"")</f>
        <v/>
      </c>
      <c r="Q363" s="44">
        <f>IF(($L363&gt;$B$8)*($L363&lt;=$C$8),$M363,"")</f>
        <v/>
      </c>
      <c r="R363" s="44">
        <f>IF(($L363&gt;$B$9)*($L363&lt;=$C$9),$M363,"")</f>
        <v/>
      </c>
    </row>
    <row r="364">
      <c r="L364" s="42" t="n">
        <v>46220</v>
      </c>
      <c r="M364" s="43" t="n">
        <v>1240</v>
      </c>
      <c r="N364" s="44">
        <f>IF(($L364&gt;$B$5)*($L364&lt;=$C$5),$M364,"")</f>
        <v/>
      </c>
      <c r="O364" s="44">
        <f>IF(($L364&gt;$B$6)*($L364&lt;=$C$6),$M364,"")</f>
        <v/>
      </c>
      <c r="P364" s="44">
        <f>IF(($L364&gt;$B$7)*($L364&lt;=$C$7),$M364,"")</f>
        <v/>
      </c>
      <c r="Q364" s="44">
        <f>IF(($L364&gt;$B$8)*($L364&lt;=$C$8),$M364,"")</f>
        <v/>
      </c>
      <c r="R364" s="44">
        <f>IF(($L364&gt;$B$9)*($L364&lt;=$C$9),$M364,"")</f>
        <v/>
      </c>
    </row>
    <row r="365">
      <c r="L365" s="42" t="n">
        <v>46224</v>
      </c>
      <c r="M365" s="43" t="n">
        <v>1240</v>
      </c>
      <c r="N365" s="44">
        <f>IF(($L365&gt;$B$5)*($L365&lt;=$C$5),$M365,"")</f>
        <v/>
      </c>
      <c r="O365" s="44">
        <f>IF(($L365&gt;$B$6)*($L365&lt;=$C$6),$M365,"")</f>
        <v/>
      </c>
      <c r="P365" s="44">
        <f>IF(($L365&gt;$B$7)*($L365&lt;=$C$7),$M365,"")</f>
        <v/>
      </c>
      <c r="Q365" s="44">
        <f>IF(($L365&gt;$B$8)*($L365&lt;=$C$8),$M365,"")</f>
        <v/>
      </c>
      <c r="R365" s="44">
        <f>IF(($L365&gt;$B$9)*($L365&lt;=$C$9),$M365,"")</f>
        <v/>
      </c>
    </row>
    <row r="366">
      <c r="L366" s="42" t="n">
        <v>46231</v>
      </c>
      <c r="M366" s="43" t="n">
        <v>1215</v>
      </c>
      <c r="N366" s="44">
        <f>IF(($L366&gt;$B$5)*($L366&lt;=$C$5),$M366,"")</f>
        <v/>
      </c>
      <c r="O366" s="44">
        <f>IF(($L366&gt;$B$6)*($L366&lt;=$C$6),$M366,"")</f>
        <v/>
      </c>
      <c r="P366" s="44">
        <f>IF(($L366&gt;$B$7)*($L366&lt;=$C$7),$M366,"")</f>
        <v/>
      </c>
      <c r="Q366" s="44">
        <f>IF(($L366&gt;$B$8)*($L366&lt;=$C$8),$M366,"")</f>
        <v/>
      </c>
      <c r="R366" s="44">
        <f>IF(($L366&gt;$B$9)*($L366&lt;=$C$9),$M366,"")</f>
        <v/>
      </c>
    </row>
  </sheetData>
  <mergeCells count="5">
    <mergeCell ref="A1:J1"/>
    <mergeCell ref="L7:S7"/>
    <mergeCell ref="A2:J2"/>
    <mergeCell ref="A13:J13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664C"/>
    <outlinePr summaryBelow="1" summaryRight="1"/>
    <pageSetUpPr/>
  </sheetPr>
  <dimension ref="A1:S39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5" customWidth="1" min="4" max="4"/>
    <col width="14" customWidth="1" min="5" max="5"/>
    <col width="15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</cols>
  <sheetData>
    <row r="1" ht="30" customHeight="1">
      <c r="A1" s="1" t="inlineStr">
        <is>
          <t>05 统计指标 · 全样本与分窗口（Excel 公式实算）</t>
        </is>
      </c>
    </row>
    <row r="2" ht="30" customHeight="1">
      <c r="A2" s="2" t="inlineStr">
        <is>
          <t>MAX/MIN/AVERAGE/MEDIAN/STDEV.S/QUARTILE.STDEV 全部为公式；年化波动率按真实自然日间隔折算（现货报价不等距，不能用 sqrt(252)）。</t>
        </is>
      </c>
    </row>
    <row r="4" ht="30" customHeight="1">
      <c r="A4" s="9" t="inlineStr">
        <is>
          <t>指标</t>
        </is>
      </c>
      <c r="B4" s="9" t="inlineStr">
        <is>
          <t>全样本</t>
        </is>
      </c>
      <c r="C4" s="9" t="inlineStr">
        <is>
          <t>近30天</t>
        </is>
      </c>
      <c r="D4" s="9" t="inlineStr">
        <is>
          <t>近3个月</t>
        </is>
      </c>
      <c r="E4" s="9" t="inlineStr">
        <is>
          <t>近1年</t>
        </is>
      </c>
      <c r="F4" s="9" t="inlineStr">
        <is>
          <t>近3年</t>
        </is>
      </c>
      <c r="G4" s="9" t="inlineStr">
        <is>
          <t>近5年</t>
        </is>
      </c>
      <c r="H4" s="9" t="inlineStr"/>
      <c r="I4" s="9" t="inlineStr"/>
      <c r="J4" s="9" t="inlineStr"/>
      <c r="K4" s="9" t="inlineStr"/>
      <c r="L4" s="9" t="inlineStr"/>
    </row>
    <row r="5">
      <c r="A5" s="47" t="inlineStr">
        <is>
          <t>样本数 n</t>
        </is>
      </c>
      <c r="B5" s="31">
        <f>COUNT('02 原始序列(主)'!$E$5:$E$362)</f>
        <v/>
      </c>
      <c r="C5" s="31">
        <f>COUNT(N33:N390)</f>
        <v/>
      </c>
      <c r="D5" s="31">
        <f>COUNT(O33:O390)</f>
        <v/>
      </c>
      <c r="E5" s="31">
        <f>COUNT(P33:P390)</f>
        <v/>
      </c>
      <c r="F5" s="31">
        <f>COUNT(Q33:Q390)</f>
        <v/>
      </c>
      <c r="G5" s="31">
        <f>COUNT(R33:R390)</f>
        <v/>
      </c>
    </row>
    <row r="6">
      <c r="A6" s="48" t="inlineStr">
        <is>
          <t>最低</t>
        </is>
      </c>
      <c r="B6" s="37">
        <f>IF(COUNT('02 原始序列(主)'!$E$5:$E$362)&lt;1,"",MIN('02 原始序列(主)'!$E$5:$E$362))</f>
        <v/>
      </c>
      <c r="C6" s="37">
        <f>IF(COUNT(N33:N390)&lt;1,"",MIN(N33:N390))</f>
        <v/>
      </c>
      <c r="D6" s="37">
        <f>IF(COUNT(O33:O390)&lt;1,"",MIN(O33:O390))</f>
        <v/>
      </c>
      <c r="E6" s="37">
        <f>IF(COUNT(P33:P390)&lt;1,"",MIN(P33:P390))</f>
        <v/>
      </c>
      <c r="F6" s="37">
        <f>IF(COUNT(Q33:Q390)&lt;1,"",MIN(Q33:Q390))</f>
        <v/>
      </c>
      <c r="G6" s="37">
        <f>IF(COUNT(R33:R390)&lt;1,"",MIN(R33:R390))</f>
        <v/>
      </c>
    </row>
    <row r="7">
      <c r="A7" s="47" t="inlineStr">
        <is>
          <t>最高</t>
        </is>
      </c>
      <c r="B7" s="32">
        <f>IF(COUNT('02 原始序列(主)'!$E$5:$E$362)&lt;1,"",MAX('02 原始序列(主)'!$E$5:$E$362))</f>
        <v/>
      </c>
      <c r="C7" s="32">
        <f>IF(COUNT(N33:N390)&lt;1,"",MAX(N33:N390))</f>
        <v/>
      </c>
      <c r="D7" s="32">
        <f>IF(COUNT(O33:O390)&lt;1,"",MAX(O33:O390))</f>
        <v/>
      </c>
      <c r="E7" s="32">
        <f>IF(COUNT(P33:P390)&lt;1,"",MAX(P33:P390))</f>
        <v/>
      </c>
      <c r="F7" s="32">
        <f>IF(COUNT(Q33:Q390)&lt;1,"",MAX(Q33:Q390))</f>
        <v/>
      </c>
      <c r="G7" s="32">
        <f>IF(COUNT(R33:R390)&lt;1,"",MAX(R33:R390))</f>
        <v/>
      </c>
    </row>
    <row r="8">
      <c r="A8" s="48" t="inlineStr">
        <is>
          <t>均值</t>
        </is>
      </c>
      <c r="B8" s="37">
        <f>IF(COUNT('02 原始序列(主)'!$E$5:$E$362)&lt;1,"",AVERAGE('02 原始序列(主)'!$E$5:$E$362))</f>
        <v/>
      </c>
      <c r="C8" s="37">
        <f>IF(COUNT(N33:N390)&lt;1,"",AVERAGE(N33:N390))</f>
        <v/>
      </c>
      <c r="D8" s="37">
        <f>IF(COUNT(O33:O390)&lt;1,"",AVERAGE(O33:O390))</f>
        <v/>
      </c>
      <c r="E8" s="37">
        <f>IF(COUNT(P33:P390)&lt;1,"",AVERAGE(P33:P390))</f>
        <v/>
      </c>
      <c r="F8" s="37">
        <f>IF(COUNT(Q33:Q390)&lt;1,"",AVERAGE(Q33:Q390))</f>
        <v/>
      </c>
      <c r="G8" s="37">
        <f>IF(COUNT(R33:R390)&lt;1,"",AVERAGE(R33:R390))</f>
        <v/>
      </c>
    </row>
    <row r="9">
      <c r="A9" s="47" t="inlineStr">
        <is>
          <t>中位数</t>
        </is>
      </c>
      <c r="B9" s="32">
        <f>IF(COUNT('02 原始序列(主)'!$E$5:$E$362)&lt;1,"",MEDIAN('02 原始序列(主)'!$E$5:$E$362))</f>
        <v/>
      </c>
      <c r="C9" s="32">
        <f>IF(COUNT(N33:N390)&lt;1,"",MEDIAN(N33:N390))</f>
        <v/>
      </c>
      <c r="D9" s="32">
        <f>IF(COUNT(O33:O390)&lt;1,"",MEDIAN(O33:O390))</f>
        <v/>
      </c>
      <c r="E9" s="32">
        <f>IF(COUNT(P33:P390)&lt;1,"",MEDIAN(P33:P390))</f>
        <v/>
      </c>
      <c r="F9" s="32">
        <f>IF(COUNT(Q33:Q390)&lt;1,"",MEDIAN(Q33:Q390))</f>
        <v/>
      </c>
      <c r="G9" s="32">
        <f>IF(COUNT(R33:R390)&lt;1,"",MEDIAN(R33:R390))</f>
        <v/>
      </c>
    </row>
    <row r="10">
      <c r="A10" s="48" t="inlineStr">
        <is>
          <t>标准差(样本)</t>
        </is>
      </c>
      <c r="B10" s="37">
        <f>IF(COUNT('02 原始序列(主)'!$E$5:$E$362)&lt;2,"",STDEV('02 原始序列(主)'!$E$5:$E$362))</f>
        <v/>
      </c>
      <c r="C10" s="37">
        <f>IF(COUNT(N33:N390)&lt;2,"",STDEV(N33:N390))</f>
        <v/>
      </c>
      <c r="D10" s="37">
        <f>IF(COUNT(O33:O390)&lt;2,"",STDEV(O33:O390))</f>
        <v/>
      </c>
      <c r="E10" s="37">
        <f>IF(COUNT(P33:P390)&lt;2,"",STDEV(P33:P390))</f>
        <v/>
      </c>
      <c r="F10" s="37">
        <f>IF(COUNT(Q33:Q390)&lt;2,"",STDEV(Q33:Q390))</f>
        <v/>
      </c>
      <c r="G10" s="37">
        <f>IF(COUNT(R33:R390)&lt;2,"",STDEV(R33:R390))</f>
        <v/>
      </c>
    </row>
    <row r="11">
      <c r="A11" s="47" t="inlineStr">
        <is>
          <t>变异系数 CV</t>
        </is>
      </c>
      <c r="B11" s="33">
        <f>IF(COUNT('02 原始序列(主)'!$E$5:$E$362)&lt;2,"",STDEV('02 原始序列(主)'!$E$5:$E$362)/AVERAGE('02 原始序列(主)'!$E$5:$E$362))</f>
        <v/>
      </c>
      <c r="C11" s="33">
        <f>IF(COUNT(N33:N390)&lt;2,"",STDEV(N33:N390)/AVERAGE(N33:N390))</f>
        <v/>
      </c>
      <c r="D11" s="33">
        <f>IF(COUNT(O33:O390)&lt;2,"",STDEV(O33:O390)/AVERAGE(O33:O390))</f>
        <v/>
      </c>
      <c r="E11" s="33">
        <f>IF(COUNT(P33:P390)&lt;2,"",STDEV(P33:P390)/AVERAGE(P33:P390))</f>
        <v/>
      </c>
      <c r="F11" s="33">
        <f>IF(COUNT(Q33:Q390)&lt;2,"",STDEV(Q33:Q390)/AVERAGE(Q33:Q390))</f>
        <v/>
      </c>
      <c r="G11" s="33">
        <f>IF(COUNT(R33:R390)&lt;2,"",STDEV(R33:R390)/AVERAGE(R33:R390))</f>
        <v/>
      </c>
    </row>
    <row r="12">
      <c r="A12" s="48" t="inlineStr">
        <is>
          <t>当前价相对中位</t>
        </is>
      </c>
      <c r="B12" s="38">
        <f>IF(COUNT('02 原始序列(主)'!$E$5:$E$362)&lt;1,"",('02 原始序列(主)'!$E$362)/MEDIAN('02 原始序列(主)'!$E$5:$E$362)-1)</f>
        <v/>
      </c>
      <c r="C12" s="38">
        <f>IF(COUNT(N33:N390)&lt;1,"",('02 原始序列(主)'!$E$362)/MEDIAN(N33:N390)-1)</f>
        <v/>
      </c>
      <c r="D12" s="38">
        <f>IF(COUNT(O33:O390)&lt;1,"",('02 原始序列(主)'!$E$362)/MEDIAN(O33:O390)-1)</f>
        <v/>
      </c>
      <c r="E12" s="38">
        <f>IF(COUNT(P33:P390)&lt;1,"",('02 原始序列(主)'!$E$362)/MEDIAN(P33:P390)-1)</f>
        <v/>
      </c>
      <c r="F12" s="38">
        <f>IF(COUNT(Q33:Q390)&lt;1,"",('02 原始序列(主)'!$E$362)/MEDIAN(Q33:Q390)-1)</f>
        <v/>
      </c>
      <c r="G12" s="38">
        <f>IF(COUNT(R33:R390)&lt;1,"",('02 原始序列(主)'!$E$362)/MEDIAN(R33:R390)-1)</f>
        <v/>
      </c>
    </row>
    <row r="14" ht="30" customHeight="1">
      <c r="A14" s="45" t="inlineStr">
        <is>
          <t>波动率与回撤不写进公式列，因为现货报价不等距，「每自然日对数收益的标准差 × √365」必须在脚本里按真实日差计算；结果见下表（与 HTML 报告同源）。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</row>
    <row r="16" ht="30" customHeight="1">
      <c r="A16" s="9" t="inlineStr">
        <is>
          <t>波动指标</t>
        </is>
      </c>
      <c r="B16" s="9" t="inlineStr">
        <is>
          <t>窗口</t>
        </is>
      </c>
      <c r="C16" s="9" t="inlineStr">
        <is>
          <t>年化波动率</t>
        </is>
      </c>
      <c r="D16" s="9" t="inlineStr">
        <is>
          <t>日均绝对变动</t>
        </is>
      </c>
      <c r="E16" s="9" t="inlineStr">
        <is>
          <t>最大单日变动</t>
        </is>
      </c>
      <c r="F16" s="9" t="inlineStr">
        <is>
          <t>≥1% 天数占比</t>
        </is>
      </c>
      <c r="G16" s="9" t="inlineStr"/>
      <c r="H16" s="9" t="inlineStr"/>
      <c r="I16" s="9" t="inlineStr"/>
      <c r="J16" s="9" t="inlineStr"/>
      <c r="K16" s="9" t="inlineStr"/>
      <c r="L16" s="9" t="inlineStr"/>
    </row>
    <row r="17">
      <c r="A17" s="10" t="inlineStr">
        <is>
          <t>年化波动率</t>
        </is>
      </c>
      <c r="B17" s="10" t="inlineStr">
        <is>
          <t>近 30 天</t>
        </is>
      </c>
      <c r="C17" s="14" t="n">
        <v>2.78</v>
      </c>
      <c r="D17" s="14" t="n">
        <v>0.504</v>
      </c>
      <c r="E17" s="14" t="n">
        <v>2.02</v>
      </c>
      <c r="F17" s="14" t="n">
        <v>25</v>
      </c>
    </row>
    <row r="18">
      <c r="A18" s="10" t="inlineStr">
        <is>
          <t>年化波动率</t>
        </is>
      </c>
      <c r="B18" s="10" t="inlineStr">
        <is>
          <t>近 3 个月</t>
        </is>
      </c>
      <c r="C18" s="14" t="n">
        <v>1.51</v>
      </c>
      <c r="D18" s="14" t="n">
        <v>0.201</v>
      </c>
      <c r="E18" s="14" t="n">
        <v>2.02</v>
      </c>
      <c r="F18" s="14" t="n">
        <v>7.14</v>
      </c>
    </row>
    <row r="19">
      <c r="A19" s="10" t="inlineStr">
        <is>
          <t>年化波动率</t>
        </is>
      </c>
      <c r="B19" s="10" t="inlineStr">
        <is>
          <t>近 1 年</t>
        </is>
      </c>
      <c r="C19" s="14" t="n">
        <v>6.69</v>
      </c>
      <c r="D19" s="14" t="n">
        <v>0.106</v>
      </c>
      <c r="E19" s="14" t="n">
        <v>3.77</v>
      </c>
      <c r="F19" s="14" t="n">
        <v>5.07</v>
      </c>
    </row>
    <row r="20">
      <c r="A20" s="10" t="inlineStr">
        <is>
          <t>最大回撤</t>
        </is>
      </c>
      <c r="B20" s="10" t="inlineStr">
        <is>
          <t>全样本</t>
        </is>
      </c>
      <c r="C20" s="14" t="n">
        <v>-42.14</v>
      </c>
      <c r="D20" s="10" t="inlineStr">
        <is>
          <t>2024-07-17</t>
        </is>
      </c>
      <c r="E20" s="10" t="inlineStr">
        <is>
          <t>2026-07-28</t>
        </is>
      </c>
      <c r="F20" s="10" t="inlineStr"/>
    </row>
    <row r="22" ht="30" customHeight="1">
      <c r="A22" s="24" t="inlineStr">
        <is>
          <t>年化波动率算法：对相邻两条真实报价计算 ln(P_t/P_{t-1}) / 相隔自然日数，取其样本标准差 × √365。未做前值填充，未假设每日都有报价。</t>
        </is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</row>
    <row r="31">
      <c r="L31" s="39" t="inlineStr">
        <is>
          <t>辅助矩阵 · 各窗口内的真实现测（空白＝该日不在该窗口内，不参与计算）</t>
        </is>
      </c>
    </row>
    <row r="32">
      <c r="L32" s="40" t="inlineStr">
        <is>
          <t>日期</t>
        </is>
      </c>
      <c r="M32" s="40" t="inlineStr">
        <is>
          <t>主序列价格</t>
        </is>
      </c>
      <c r="N32" s="41" t="inlineStr">
        <is>
          <t>近 30 天</t>
        </is>
      </c>
      <c r="O32" s="41" t="inlineStr">
        <is>
          <t>近 3 个月</t>
        </is>
      </c>
      <c r="P32" s="41" t="inlineStr">
        <is>
          <t>近 1 年</t>
        </is>
      </c>
      <c r="Q32" s="41" t="inlineStr">
        <is>
          <t>近 3 年</t>
        </is>
      </c>
      <c r="R32" s="41" t="inlineStr">
        <is>
          <t>近 5 年</t>
        </is>
      </c>
    </row>
    <row r="33">
      <c r="L33" s="42" t="n">
        <v>45490</v>
      </c>
      <c r="M33" s="43" t="n">
        <v>2100</v>
      </c>
      <c r="N33" s="44">
        <f>IF((L33&gt;$B$4)*(L33&lt;=$C$4),$M33,"")</f>
        <v/>
      </c>
      <c r="O33" s="44">
        <f>IF((L33&gt;$B$5)*(L33&lt;=$C$5),$M33,"")</f>
        <v/>
      </c>
      <c r="P33" s="44">
        <f>IF((L33&gt;$B$6)*(L33&lt;=$C$6),$M33,"")</f>
        <v/>
      </c>
      <c r="Q33" s="44">
        <f>IF((L33&gt;$B$7)*(L33&lt;=$C$7),$M33,"")</f>
        <v/>
      </c>
      <c r="R33" s="44">
        <f>IF((L33&gt;$B$8)*(L33&lt;=$C$8),$M33,"")</f>
        <v/>
      </c>
    </row>
    <row r="34">
      <c r="L34" s="42" t="n">
        <v>45491</v>
      </c>
      <c r="M34" s="43" t="n">
        <v>2100</v>
      </c>
      <c r="N34" s="44">
        <f>IF((L34&gt;$B$4)*(L34&lt;=$C$4),$M34,"")</f>
        <v/>
      </c>
      <c r="O34" s="44">
        <f>IF((L34&gt;$B$5)*(L34&lt;=$C$5),$M34,"")</f>
        <v/>
      </c>
      <c r="P34" s="44">
        <f>IF((L34&gt;$B$6)*(L34&lt;=$C$6),$M34,"")</f>
        <v/>
      </c>
      <c r="Q34" s="44">
        <f>IF((L34&gt;$B$7)*(L34&lt;=$C$7),$M34,"")</f>
        <v/>
      </c>
      <c r="R34" s="44">
        <f>IF((L34&gt;$B$8)*(L34&lt;=$C$8),$M34,"")</f>
        <v/>
      </c>
    </row>
    <row r="35">
      <c r="L35" s="42" t="n">
        <v>45492</v>
      </c>
      <c r="M35" s="43" t="n">
        <v>2100</v>
      </c>
      <c r="N35" s="44">
        <f>IF((L35&gt;$B$4)*(L35&lt;=$C$4),$M35,"")</f>
        <v/>
      </c>
      <c r="O35" s="44">
        <f>IF((L35&gt;$B$5)*(L35&lt;=$C$5),$M35,"")</f>
        <v/>
      </c>
      <c r="P35" s="44">
        <f>IF((L35&gt;$B$6)*(L35&lt;=$C$6),$M35,"")</f>
        <v/>
      </c>
      <c r="Q35" s="44">
        <f>IF((L35&gt;$B$7)*(L35&lt;=$C$7),$M35,"")</f>
        <v/>
      </c>
      <c r="R35" s="44">
        <f>IF((L35&gt;$B$8)*(L35&lt;=$C$8),$M35,"")</f>
        <v/>
      </c>
    </row>
    <row r="36">
      <c r="L36" s="42" t="n">
        <v>45495</v>
      </c>
      <c r="M36" s="43" t="n">
        <v>2100</v>
      </c>
      <c r="N36" s="44">
        <f>IF((L36&gt;$B$4)*(L36&lt;=$C$4),$M36,"")</f>
        <v/>
      </c>
      <c r="O36" s="44">
        <f>IF((L36&gt;$B$5)*(L36&lt;=$C$5),$M36,"")</f>
        <v/>
      </c>
      <c r="P36" s="44">
        <f>IF((L36&gt;$B$6)*(L36&lt;=$C$6),$M36,"")</f>
        <v/>
      </c>
      <c r="Q36" s="44">
        <f>IF((L36&gt;$B$7)*(L36&lt;=$C$7),$M36,"")</f>
        <v/>
      </c>
      <c r="R36" s="44">
        <f>IF((L36&gt;$B$8)*(L36&lt;=$C$8),$M36,"")</f>
        <v/>
      </c>
    </row>
    <row r="37">
      <c r="L37" s="42" t="n">
        <v>45496</v>
      </c>
      <c r="M37" s="43" t="n">
        <v>2100</v>
      </c>
      <c r="N37" s="44">
        <f>IF((L37&gt;$B$4)*(L37&lt;=$C$4),$M37,"")</f>
        <v/>
      </c>
      <c r="O37" s="44">
        <f>IF((L37&gt;$B$5)*(L37&lt;=$C$5),$M37,"")</f>
        <v/>
      </c>
      <c r="P37" s="44">
        <f>IF((L37&gt;$B$6)*(L37&lt;=$C$6),$M37,"")</f>
        <v/>
      </c>
      <c r="Q37" s="44">
        <f>IF((L37&gt;$B$7)*(L37&lt;=$C$7),$M37,"")</f>
        <v/>
      </c>
      <c r="R37" s="44">
        <f>IF((L37&gt;$B$8)*(L37&lt;=$C$8),$M37,"")</f>
        <v/>
      </c>
    </row>
    <row r="38">
      <c r="L38" s="42" t="n">
        <v>45497</v>
      </c>
      <c r="M38" s="43" t="n">
        <v>2100</v>
      </c>
      <c r="N38" s="44">
        <f>IF((L38&gt;$B$4)*(L38&lt;=$C$4),$M38,"")</f>
        <v/>
      </c>
      <c r="O38" s="44">
        <f>IF((L38&gt;$B$5)*(L38&lt;=$C$5),$M38,"")</f>
        <v/>
      </c>
      <c r="P38" s="44">
        <f>IF((L38&gt;$B$6)*(L38&lt;=$C$6),$M38,"")</f>
        <v/>
      </c>
      <c r="Q38" s="44">
        <f>IF((L38&gt;$B$7)*(L38&lt;=$C$7),$M38,"")</f>
        <v/>
      </c>
      <c r="R38" s="44">
        <f>IF((L38&gt;$B$8)*(L38&lt;=$C$8),$M38,"")</f>
        <v/>
      </c>
    </row>
    <row r="39">
      <c r="L39" s="42" t="n">
        <v>45498</v>
      </c>
      <c r="M39" s="43" t="n">
        <v>2100</v>
      </c>
      <c r="N39" s="44">
        <f>IF((L39&gt;$B$4)*(L39&lt;=$C$4),$M39,"")</f>
        <v/>
      </c>
      <c r="O39" s="44">
        <f>IF((L39&gt;$B$5)*(L39&lt;=$C$5),$M39,"")</f>
        <v/>
      </c>
      <c r="P39" s="44">
        <f>IF((L39&gt;$B$6)*(L39&lt;=$C$6),$M39,"")</f>
        <v/>
      </c>
      <c r="Q39" s="44">
        <f>IF((L39&gt;$B$7)*(L39&lt;=$C$7),$M39,"")</f>
        <v/>
      </c>
      <c r="R39" s="44">
        <f>IF((L39&gt;$B$8)*(L39&lt;=$C$8),$M39,"")</f>
        <v/>
      </c>
    </row>
    <row r="40">
      <c r="L40" s="42" t="n">
        <v>45499</v>
      </c>
      <c r="M40" s="43" t="n">
        <v>2100</v>
      </c>
      <c r="N40" s="44">
        <f>IF((L40&gt;$B$4)*(L40&lt;=$C$4),$M40,"")</f>
        <v/>
      </c>
      <c r="O40" s="44">
        <f>IF((L40&gt;$B$5)*(L40&lt;=$C$5),$M40,"")</f>
        <v/>
      </c>
      <c r="P40" s="44">
        <f>IF((L40&gt;$B$6)*(L40&lt;=$C$6),$M40,"")</f>
        <v/>
      </c>
      <c r="Q40" s="44">
        <f>IF((L40&gt;$B$7)*(L40&lt;=$C$7),$M40,"")</f>
        <v/>
      </c>
      <c r="R40" s="44">
        <f>IF((L40&gt;$B$8)*(L40&lt;=$C$8),$M40,"")</f>
        <v/>
      </c>
    </row>
    <row r="41">
      <c r="L41" s="42" t="n">
        <v>45502</v>
      </c>
      <c r="M41" s="43" t="n">
        <v>2025</v>
      </c>
      <c r="N41" s="44">
        <f>IF((L41&gt;$B$4)*(L41&lt;=$C$4),$M41,"")</f>
        <v/>
      </c>
      <c r="O41" s="44">
        <f>IF((L41&gt;$B$5)*(L41&lt;=$C$5),$M41,"")</f>
        <v/>
      </c>
      <c r="P41" s="44">
        <f>IF((L41&gt;$B$6)*(L41&lt;=$C$6),$M41,"")</f>
        <v/>
      </c>
      <c r="Q41" s="44">
        <f>IF((L41&gt;$B$7)*(L41&lt;=$C$7),$M41,"")</f>
        <v/>
      </c>
      <c r="R41" s="44">
        <f>IF((L41&gt;$B$8)*(L41&lt;=$C$8),$M41,"")</f>
        <v/>
      </c>
    </row>
    <row r="42">
      <c r="L42" s="42" t="n">
        <v>45503</v>
      </c>
      <c r="M42" s="43" t="n">
        <v>2025</v>
      </c>
      <c r="N42" s="44">
        <f>IF((L42&gt;$B$4)*(L42&lt;=$C$4),$M42,"")</f>
        <v/>
      </c>
      <c r="O42" s="44">
        <f>IF((L42&gt;$B$5)*(L42&lt;=$C$5),$M42,"")</f>
        <v/>
      </c>
      <c r="P42" s="44">
        <f>IF((L42&gt;$B$6)*(L42&lt;=$C$6),$M42,"")</f>
        <v/>
      </c>
      <c r="Q42" s="44">
        <f>IF((L42&gt;$B$7)*(L42&lt;=$C$7),$M42,"")</f>
        <v/>
      </c>
      <c r="R42" s="44">
        <f>IF((L42&gt;$B$8)*(L42&lt;=$C$8),$M42,"")</f>
        <v/>
      </c>
    </row>
    <row r="43">
      <c r="L43" s="42" t="n">
        <v>45504</v>
      </c>
      <c r="M43" s="43" t="n">
        <v>2000</v>
      </c>
      <c r="N43" s="44">
        <f>IF((L43&gt;$B$4)*(L43&lt;=$C$4),$M43,"")</f>
        <v/>
      </c>
      <c r="O43" s="44">
        <f>IF((L43&gt;$B$5)*(L43&lt;=$C$5),$M43,"")</f>
        <v/>
      </c>
      <c r="P43" s="44">
        <f>IF((L43&gt;$B$6)*(L43&lt;=$C$6),$M43,"")</f>
        <v/>
      </c>
      <c r="Q43" s="44">
        <f>IF((L43&gt;$B$7)*(L43&lt;=$C$7),$M43,"")</f>
        <v/>
      </c>
      <c r="R43" s="44">
        <f>IF((L43&gt;$B$8)*(L43&lt;=$C$8),$M43,"")</f>
        <v/>
      </c>
    </row>
    <row r="44">
      <c r="L44" s="42" t="n">
        <v>45505</v>
      </c>
      <c r="M44" s="43" t="n">
        <v>2000</v>
      </c>
      <c r="N44" s="44">
        <f>IF((L44&gt;$B$4)*(L44&lt;=$C$4),$M44,"")</f>
        <v/>
      </c>
      <c r="O44" s="44">
        <f>IF((L44&gt;$B$5)*(L44&lt;=$C$5),$M44,"")</f>
        <v/>
      </c>
      <c r="P44" s="44">
        <f>IF((L44&gt;$B$6)*(L44&lt;=$C$6),$M44,"")</f>
        <v/>
      </c>
      <c r="Q44" s="44">
        <f>IF((L44&gt;$B$7)*(L44&lt;=$C$7),$M44,"")</f>
        <v/>
      </c>
      <c r="R44" s="44">
        <f>IF((L44&gt;$B$8)*(L44&lt;=$C$8),$M44,"")</f>
        <v/>
      </c>
    </row>
    <row r="45">
      <c r="L45" s="42" t="n">
        <v>45506</v>
      </c>
      <c r="M45" s="43" t="n">
        <v>2000</v>
      </c>
      <c r="N45" s="44">
        <f>IF((L45&gt;$B$4)*(L45&lt;=$C$4),$M45,"")</f>
        <v/>
      </c>
      <c r="O45" s="44">
        <f>IF((L45&gt;$B$5)*(L45&lt;=$C$5),$M45,"")</f>
        <v/>
      </c>
      <c r="P45" s="44">
        <f>IF((L45&gt;$B$6)*(L45&lt;=$C$6),$M45,"")</f>
        <v/>
      </c>
      <c r="Q45" s="44">
        <f>IF((L45&gt;$B$7)*(L45&lt;=$C$7),$M45,"")</f>
        <v/>
      </c>
      <c r="R45" s="44">
        <f>IF((L45&gt;$B$8)*(L45&lt;=$C$8),$M45,"")</f>
        <v/>
      </c>
    </row>
    <row r="46">
      <c r="L46" s="42" t="n">
        <v>45509</v>
      </c>
      <c r="M46" s="43" t="n">
        <v>2000</v>
      </c>
      <c r="N46" s="44">
        <f>IF((L46&gt;$B$4)*(L46&lt;=$C$4),$M46,"")</f>
        <v/>
      </c>
      <c r="O46" s="44">
        <f>IF((L46&gt;$B$5)*(L46&lt;=$C$5),$M46,"")</f>
        <v/>
      </c>
      <c r="P46" s="44">
        <f>IF((L46&gt;$B$6)*(L46&lt;=$C$6),$M46,"")</f>
        <v/>
      </c>
      <c r="Q46" s="44">
        <f>IF((L46&gt;$B$7)*(L46&lt;=$C$7),$M46,"")</f>
        <v/>
      </c>
      <c r="R46" s="44">
        <f>IF((L46&gt;$B$8)*(L46&lt;=$C$8),$M46,"")</f>
        <v/>
      </c>
    </row>
    <row r="47">
      <c r="L47" s="42" t="n">
        <v>45510</v>
      </c>
      <c r="M47" s="43" t="n">
        <v>2000</v>
      </c>
      <c r="N47" s="44">
        <f>IF((L47&gt;$B$4)*(L47&lt;=$C$4),$M47,"")</f>
        <v/>
      </c>
      <c r="O47" s="44">
        <f>IF((L47&gt;$B$5)*(L47&lt;=$C$5),$M47,"")</f>
        <v/>
      </c>
      <c r="P47" s="44">
        <f>IF((L47&gt;$B$6)*(L47&lt;=$C$6),$M47,"")</f>
        <v/>
      </c>
      <c r="Q47" s="44">
        <f>IF((L47&gt;$B$7)*(L47&lt;=$C$7),$M47,"")</f>
        <v/>
      </c>
      <c r="R47" s="44">
        <f>IF((L47&gt;$B$8)*(L47&lt;=$C$8),$M47,"")</f>
        <v/>
      </c>
    </row>
    <row r="48">
      <c r="L48" s="42" t="n">
        <v>45511</v>
      </c>
      <c r="M48" s="43" t="n">
        <v>2000</v>
      </c>
      <c r="N48" s="44">
        <f>IF((L48&gt;$B$4)*(L48&lt;=$C$4),$M48,"")</f>
        <v/>
      </c>
      <c r="O48" s="44">
        <f>IF((L48&gt;$B$5)*(L48&lt;=$C$5),$M48,"")</f>
        <v/>
      </c>
      <c r="P48" s="44">
        <f>IF((L48&gt;$B$6)*(L48&lt;=$C$6),$M48,"")</f>
        <v/>
      </c>
      <c r="Q48" s="44">
        <f>IF((L48&gt;$B$7)*(L48&lt;=$C$7),$M48,"")</f>
        <v/>
      </c>
      <c r="R48" s="44">
        <f>IF((L48&gt;$B$8)*(L48&lt;=$C$8),$M48,"")</f>
        <v/>
      </c>
    </row>
    <row r="49">
      <c r="L49" s="42" t="n">
        <v>45512</v>
      </c>
      <c r="M49" s="43" t="n">
        <v>2000</v>
      </c>
      <c r="N49" s="44">
        <f>IF((L49&gt;$B$4)*(L49&lt;=$C$4),$M49,"")</f>
        <v/>
      </c>
      <c r="O49" s="44">
        <f>IF((L49&gt;$B$5)*(L49&lt;=$C$5),$M49,"")</f>
        <v/>
      </c>
      <c r="P49" s="44">
        <f>IF((L49&gt;$B$6)*(L49&lt;=$C$6),$M49,"")</f>
        <v/>
      </c>
      <c r="Q49" s="44">
        <f>IF((L49&gt;$B$7)*(L49&lt;=$C$7),$M49,"")</f>
        <v/>
      </c>
      <c r="R49" s="44">
        <f>IF((L49&gt;$B$8)*(L49&lt;=$C$8),$M49,"")</f>
        <v/>
      </c>
    </row>
    <row r="50">
      <c r="L50" s="42" t="n">
        <v>45513</v>
      </c>
      <c r="M50" s="43" t="n">
        <v>2000</v>
      </c>
      <c r="N50" s="44">
        <f>IF((L50&gt;$B$4)*(L50&lt;=$C$4),$M50,"")</f>
        <v/>
      </c>
      <c r="O50" s="44">
        <f>IF((L50&gt;$B$5)*(L50&lt;=$C$5),$M50,"")</f>
        <v/>
      </c>
      <c r="P50" s="44">
        <f>IF((L50&gt;$B$6)*(L50&lt;=$C$6),$M50,"")</f>
        <v/>
      </c>
      <c r="Q50" s="44">
        <f>IF((L50&gt;$B$7)*(L50&lt;=$C$7),$M50,"")</f>
        <v/>
      </c>
      <c r="R50" s="44">
        <f>IF((L50&gt;$B$8)*(L50&lt;=$C$8),$M50,"")</f>
        <v/>
      </c>
    </row>
    <row r="51">
      <c r="L51" s="42" t="n">
        <v>45516</v>
      </c>
      <c r="M51" s="43" t="n">
        <v>1925</v>
      </c>
      <c r="N51" s="44">
        <f>IF((L51&gt;$B$4)*(L51&lt;=$C$4),$M51,"")</f>
        <v/>
      </c>
      <c r="O51" s="44">
        <f>IF((L51&gt;$B$5)*(L51&lt;=$C$5),$M51,"")</f>
        <v/>
      </c>
      <c r="P51" s="44">
        <f>IF((L51&gt;$B$6)*(L51&lt;=$C$6),$M51,"")</f>
        <v/>
      </c>
      <c r="Q51" s="44">
        <f>IF((L51&gt;$B$7)*(L51&lt;=$C$7),$M51,"")</f>
        <v/>
      </c>
      <c r="R51" s="44">
        <f>IF((L51&gt;$B$8)*(L51&lt;=$C$8),$M51,"")</f>
        <v/>
      </c>
    </row>
    <row r="52">
      <c r="L52" s="42" t="n">
        <v>45517</v>
      </c>
      <c r="M52" s="43" t="n">
        <v>1925</v>
      </c>
      <c r="N52" s="44">
        <f>IF((L52&gt;$B$4)*(L52&lt;=$C$4),$M52,"")</f>
        <v/>
      </c>
      <c r="O52" s="44">
        <f>IF((L52&gt;$B$5)*(L52&lt;=$C$5),$M52,"")</f>
        <v/>
      </c>
      <c r="P52" s="44">
        <f>IF((L52&gt;$B$6)*(L52&lt;=$C$6),$M52,"")</f>
        <v/>
      </c>
      <c r="Q52" s="44">
        <f>IF((L52&gt;$B$7)*(L52&lt;=$C$7),$M52,"")</f>
        <v/>
      </c>
      <c r="R52" s="44">
        <f>IF((L52&gt;$B$8)*(L52&lt;=$C$8),$M52,"")</f>
        <v/>
      </c>
    </row>
    <row r="53">
      <c r="L53" s="42" t="n">
        <v>45518</v>
      </c>
      <c r="M53" s="43" t="n">
        <v>1925</v>
      </c>
      <c r="N53" s="44">
        <f>IF((L53&gt;$B$4)*(L53&lt;=$C$4),$M53,"")</f>
        <v/>
      </c>
      <c r="O53" s="44">
        <f>IF((L53&gt;$B$5)*(L53&lt;=$C$5),$M53,"")</f>
        <v/>
      </c>
      <c r="P53" s="44">
        <f>IF((L53&gt;$B$6)*(L53&lt;=$C$6),$M53,"")</f>
        <v/>
      </c>
      <c r="Q53" s="44">
        <f>IF((L53&gt;$B$7)*(L53&lt;=$C$7),$M53,"")</f>
        <v/>
      </c>
      <c r="R53" s="44">
        <f>IF((L53&gt;$B$8)*(L53&lt;=$C$8),$M53,"")</f>
        <v/>
      </c>
    </row>
    <row r="54">
      <c r="L54" s="42" t="n">
        <v>45519</v>
      </c>
      <c r="M54" s="43" t="n">
        <v>1925</v>
      </c>
      <c r="N54" s="44">
        <f>IF((L54&gt;$B$4)*(L54&lt;=$C$4),$M54,"")</f>
        <v/>
      </c>
      <c r="O54" s="44">
        <f>IF((L54&gt;$B$5)*(L54&lt;=$C$5),$M54,"")</f>
        <v/>
      </c>
      <c r="P54" s="44">
        <f>IF((L54&gt;$B$6)*(L54&lt;=$C$6),$M54,"")</f>
        <v/>
      </c>
      <c r="Q54" s="44">
        <f>IF((L54&gt;$B$7)*(L54&lt;=$C$7),$M54,"")</f>
        <v/>
      </c>
      <c r="R54" s="44">
        <f>IF((L54&gt;$B$8)*(L54&lt;=$C$8),$M54,"")</f>
        <v/>
      </c>
    </row>
    <row r="55">
      <c r="L55" s="42" t="n">
        <v>45520</v>
      </c>
      <c r="M55" s="43" t="n">
        <v>1925</v>
      </c>
      <c r="N55" s="44">
        <f>IF((L55&gt;$B$4)*(L55&lt;=$C$4),$M55,"")</f>
        <v/>
      </c>
      <c r="O55" s="44">
        <f>IF((L55&gt;$B$5)*(L55&lt;=$C$5),$M55,"")</f>
        <v/>
      </c>
      <c r="P55" s="44">
        <f>IF((L55&gt;$B$6)*(L55&lt;=$C$6),$M55,"")</f>
        <v/>
      </c>
      <c r="Q55" s="44">
        <f>IF((L55&gt;$B$7)*(L55&lt;=$C$7),$M55,"")</f>
        <v/>
      </c>
      <c r="R55" s="44">
        <f>IF((L55&gt;$B$8)*(L55&lt;=$C$8),$M55,"")</f>
        <v/>
      </c>
    </row>
    <row r="56">
      <c r="L56" s="42" t="n">
        <v>45523</v>
      </c>
      <c r="M56" s="43" t="n">
        <v>1925</v>
      </c>
      <c r="N56" s="44">
        <f>IF((L56&gt;$B$4)*(L56&lt;=$C$4),$M56,"")</f>
        <v/>
      </c>
      <c r="O56" s="44">
        <f>IF((L56&gt;$B$5)*(L56&lt;=$C$5),$M56,"")</f>
        <v/>
      </c>
      <c r="P56" s="44">
        <f>IF((L56&gt;$B$6)*(L56&lt;=$C$6),$M56,"")</f>
        <v/>
      </c>
      <c r="Q56" s="44">
        <f>IF((L56&gt;$B$7)*(L56&lt;=$C$7),$M56,"")</f>
        <v/>
      </c>
      <c r="R56" s="44">
        <f>IF((L56&gt;$B$8)*(L56&lt;=$C$8),$M56,"")</f>
        <v/>
      </c>
    </row>
    <row r="57">
      <c r="L57" s="42" t="n">
        <v>45524</v>
      </c>
      <c r="M57" s="43" t="n">
        <v>1925</v>
      </c>
      <c r="N57" s="44">
        <f>IF((L57&gt;$B$4)*(L57&lt;=$C$4),$M57,"")</f>
        <v/>
      </c>
      <c r="O57" s="44">
        <f>IF((L57&gt;$B$5)*(L57&lt;=$C$5),$M57,"")</f>
        <v/>
      </c>
      <c r="P57" s="44">
        <f>IF((L57&gt;$B$6)*(L57&lt;=$C$6),$M57,"")</f>
        <v/>
      </c>
      <c r="Q57" s="44">
        <f>IF((L57&gt;$B$7)*(L57&lt;=$C$7),$M57,"")</f>
        <v/>
      </c>
      <c r="R57" s="44">
        <f>IF((L57&gt;$B$8)*(L57&lt;=$C$8),$M57,"")</f>
        <v/>
      </c>
    </row>
    <row r="58">
      <c r="L58" s="42" t="n">
        <v>45525</v>
      </c>
      <c r="M58" s="43" t="n">
        <v>1925</v>
      </c>
      <c r="N58" s="44">
        <f>IF((L58&gt;$B$4)*(L58&lt;=$C$4),$M58,"")</f>
        <v/>
      </c>
      <c r="O58" s="44">
        <f>IF((L58&gt;$B$5)*(L58&lt;=$C$5),$M58,"")</f>
        <v/>
      </c>
      <c r="P58" s="44">
        <f>IF((L58&gt;$B$6)*(L58&lt;=$C$6),$M58,"")</f>
        <v/>
      </c>
      <c r="Q58" s="44">
        <f>IF((L58&gt;$B$7)*(L58&lt;=$C$7),$M58,"")</f>
        <v/>
      </c>
      <c r="R58" s="44">
        <f>IF((L58&gt;$B$8)*(L58&lt;=$C$8),$M58,"")</f>
        <v/>
      </c>
    </row>
    <row r="59">
      <c r="L59" s="42" t="n">
        <v>45526</v>
      </c>
      <c r="M59" s="43" t="n">
        <v>1925</v>
      </c>
      <c r="N59" s="44">
        <f>IF((L59&gt;$B$4)*(L59&lt;=$C$4),$M59,"")</f>
        <v/>
      </c>
      <c r="O59" s="44">
        <f>IF((L59&gt;$B$5)*(L59&lt;=$C$5),$M59,"")</f>
        <v/>
      </c>
      <c r="P59" s="44">
        <f>IF((L59&gt;$B$6)*(L59&lt;=$C$6),$M59,"")</f>
        <v/>
      </c>
      <c r="Q59" s="44">
        <f>IF((L59&gt;$B$7)*(L59&lt;=$C$7),$M59,"")</f>
        <v/>
      </c>
      <c r="R59" s="44">
        <f>IF((L59&gt;$B$8)*(L59&lt;=$C$8),$M59,"")</f>
        <v/>
      </c>
    </row>
    <row r="60">
      <c r="L60" s="42" t="n">
        <v>45527</v>
      </c>
      <c r="M60" s="43" t="n">
        <v>1925</v>
      </c>
      <c r="N60" s="44">
        <f>IF((L60&gt;$B$4)*(L60&lt;=$C$4),$M60,"")</f>
        <v/>
      </c>
      <c r="O60" s="44">
        <f>IF((L60&gt;$B$5)*(L60&lt;=$C$5),$M60,"")</f>
        <v/>
      </c>
      <c r="P60" s="44">
        <f>IF((L60&gt;$B$6)*(L60&lt;=$C$6),$M60,"")</f>
        <v/>
      </c>
      <c r="Q60" s="44">
        <f>IF((L60&gt;$B$7)*(L60&lt;=$C$7),$M60,"")</f>
        <v/>
      </c>
      <c r="R60" s="44">
        <f>IF((L60&gt;$B$8)*(L60&lt;=$C$8),$M60,"")</f>
        <v/>
      </c>
    </row>
    <row r="61">
      <c r="L61" s="42" t="n">
        <v>45530</v>
      </c>
      <c r="M61" s="43" t="n">
        <v>1875</v>
      </c>
      <c r="N61" s="44">
        <f>IF((L61&gt;$B$4)*(L61&lt;=$C$4),$M61,"")</f>
        <v/>
      </c>
      <c r="O61" s="44">
        <f>IF((L61&gt;$B$5)*(L61&lt;=$C$5),$M61,"")</f>
        <v/>
      </c>
      <c r="P61" s="44">
        <f>IF((L61&gt;$B$6)*(L61&lt;=$C$6),$M61,"")</f>
        <v/>
      </c>
      <c r="Q61" s="44">
        <f>IF((L61&gt;$B$7)*(L61&lt;=$C$7),$M61,"")</f>
        <v/>
      </c>
      <c r="R61" s="44">
        <f>IF((L61&gt;$B$8)*(L61&lt;=$C$8),$M61,"")</f>
        <v/>
      </c>
    </row>
    <row r="62">
      <c r="L62" s="42" t="n">
        <v>45531</v>
      </c>
      <c r="M62" s="43" t="n">
        <v>1875</v>
      </c>
      <c r="N62" s="44">
        <f>IF((L62&gt;$B$4)*(L62&lt;=$C$4),$M62,"")</f>
        <v/>
      </c>
      <c r="O62" s="44">
        <f>IF((L62&gt;$B$5)*(L62&lt;=$C$5),$M62,"")</f>
        <v/>
      </c>
      <c r="P62" s="44">
        <f>IF((L62&gt;$B$6)*(L62&lt;=$C$6),$M62,"")</f>
        <v/>
      </c>
      <c r="Q62" s="44">
        <f>IF((L62&gt;$B$7)*(L62&lt;=$C$7),$M62,"")</f>
        <v/>
      </c>
      <c r="R62" s="44">
        <f>IF((L62&gt;$B$8)*(L62&lt;=$C$8),$M62,"")</f>
        <v/>
      </c>
    </row>
    <row r="63">
      <c r="L63" s="42" t="n">
        <v>45532</v>
      </c>
      <c r="M63" s="43" t="n">
        <v>1875</v>
      </c>
      <c r="N63" s="44">
        <f>IF((L63&gt;$B$4)*(L63&lt;=$C$4),$M63,"")</f>
        <v/>
      </c>
      <c r="O63" s="44">
        <f>IF((L63&gt;$B$5)*(L63&lt;=$C$5),$M63,"")</f>
        <v/>
      </c>
      <c r="P63" s="44">
        <f>IF((L63&gt;$B$6)*(L63&lt;=$C$6),$M63,"")</f>
        <v/>
      </c>
      <c r="Q63" s="44">
        <f>IF((L63&gt;$B$7)*(L63&lt;=$C$7),$M63,"")</f>
        <v/>
      </c>
      <c r="R63" s="44">
        <f>IF((L63&gt;$B$8)*(L63&lt;=$C$8),$M63,"")</f>
        <v/>
      </c>
    </row>
    <row r="64">
      <c r="L64" s="42" t="n">
        <v>45533</v>
      </c>
      <c r="M64" s="43" t="n">
        <v>1875</v>
      </c>
      <c r="N64" s="44">
        <f>IF((L64&gt;$B$4)*(L64&lt;=$C$4),$M64,"")</f>
        <v/>
      </c>
      <c r="O64" s="44">
        <f>IF((L64&gt;$B$5)*(L64&lt;=$C$5),$M64,"")</f>
        <v/>
      </c>
      <c r="P64" s="44">
        <f>IF((L64&gt;$B$6)*(L64&lt;=$C$6),$M64,"")</f>
        <v/>
      </c>
      <c r="Q64" s="44">
        <f>IF((L64&gt;$B$7)*(L64&lt;=$C$7),$M64,"")</f>
        <v/>
      </c>
      <c r="R64" s="44">
        <f>IF((L64&gt;$B$8)*(L64&lt;=$C$8),$M64,"")</f>
        <v/>
      </c>
    </row>
    <row r="65">
      <c r="L65" s="42" t="n">
        <v>45534</v>
      </c>
      <c r="M65" s="43" t="n">
        <v>1875</v>
      </c>
      <c r="N65" s="44">
        <f>IF((L65&gt;$B$4)*(L65&lt;=$C$4),$M65,"")</f>
        <v/>
      </c>
      <c r="O65" s="44">
        <f>IF((L65&gt;$B$5)*(L65&lt;=$C$5),$M65,"")</f>
        <v/>
      </c>
      <c r="P65" s="44">
        <f>IF((L65&gt;$B$6)*(L65&lt;=$C$6),$M65,"")</f>
        <v/>
      </c>
      <c r="Q65" s="44">
        <f>IF((L65&gt;$B$7)*(L65&lt;=$C$7),$M65,"")</f>
        <v/>
      </c>
      <c r="R65" s="44">
        <f>IF((L65&gt;$B$8)*(L65&lt;=$C$8),$M65,"")</f>
        <v/>
      </c>
    </row>
    <row r="66">
      <c r="L66" s="42" t="n">
        <v>45537</v>
      </c>
      <c r="M66" s="43" t="n">
        <v>1750</v>
      </c>
      <c r="N66" s="44">
        <f>IF((L66&gt;$B$4)*(L66&lt;=$C$4),$M66,"")</f>
        <v/>
      </c>
      <c r="O66" s="44">
        <f>IF((L66&gt;$B$5)*(L66&lt;=$C$5),$M66,"")</f>
        <v/>
      </c>
      <c r="P66" s="44">
        <f>IF((L66&gt;$B$6)*(L66&lt;=$C$6),$M66,"")</f>
        <v/>
      </c>
      <c r="Q66" s="44">
        <f>IF((L66&gt;$B$7)*(L66&lt;=$C$7),$M66,"")</f>
        <v/>
      </c>
      <c r="R66" s="44">
        <f>IF((L66&gt;$B$8)*(L66&lt;=$C$8),$M66,"")</f>
        <v/>
      </c>
    </row>
    <row r="67">
      <c r="L67" s="42" t="n">
        <v>45538</v>
      </c>
      <c r="M67" s="43" t="n">
        <v>1750</v>
      </c>
      <c r="N67" s="44">
        <f>IF((L67&gt;$B$4)*(L67&lt;=$C$4),$M67,"")</f>
        <v/>
      </c>
      <c r="O67" s="44">
        <f>IF((L67&gt;$B$5)*(L67&lt;=$C$5),$M67,"")</f>
        <v/>
      </c>
      <c r="P67" s="44">
        <f>IF((L67&gt;$B$6)*(L67&lt;=$C$6),$M67,"")</f>
        <v/>
      </c>
      <c r="Q67" s="44">
        <f>IF((L67&gt;$B$7)*(L67&lt;=$C$7),$M67,"")</f>
        <v/>
      </c>
      <c r="R67" s="44">
        <f>IF((L67&gt;$B$8)*(L67&lt;=$C$8),$M67,"")</f>
        <v/>
      </c>
    </row>
    <row r="68">
      <c r="L68" s="42" t="n">
        <v>45539</v>
      </c>
      <c r="M68" s="43" t="n">
        <v>1700</v>
      </c>
      <c r="N68" s="44">
        <f>IF((L68&gt;$B$4)*(L68&lt;=$C$4),$M68,"")</f>
        <v/>
      </c>
      <c r="O68" s="44">
        <f>IF((L68&gt;$B$5)*(L68&lt;=$C$5),$M68,"")</f>
        <v/>
      </c>
      <c r="P68" s="44">
        <f>IF((L68&gt;$B$6)*(L68&lt;=$C$6),$M68,"")</f>
        <v/>
      </c>
      <c r="Q68" s="44">
        <f>IF((L68&gt;$B$7)*(L68&lt;=$C$7),$M68,"")</f>
        <v/>
      </c>
      <c r="R68" s="44">
        <f>IF((L68&gt;$B$8)*(L68&lt;=$C$8),$M68,"")</f>
        <v/>
      </c>
    </row>
    <row r="69">
      <c r="L69" s="42" t="n">
        <v>45540</v>
      </c>
      <c r="M69" s="43" t="n">
        <v>1700</v>
      </c>
      <c r="N69" s="44">
        <f>IF((L69&gt;$B$4)*(L69&lt;=$C$4),$M69,"")</f>
        <v/>
      </c>
      <c r="O69" s="44">
        <f>IF((L69&gt;$B$5)*(L69&lt;=$C$5),$M69,"")</f>
        <v/>
      </c>
      <c r="P69" s="44">
        <f>IF((L69&gt;$B$6)*(L69&lt;=$C$6),$M69,"")</f>
        <v/>
      </c>
      <c r="Q69" s="44">
        <f>IF((L69&gt;$B$7)*(L69&lt;=$C$7),$M69,"")</f>
        <v/>
      </c>
      <c r="R69" s="44">
        <f>IF((L69&gt;$B$8)*(L69&lt;=$C$8),$M69,"")</f>
        <v/>
      </c>
    </row>
    <row r="70">
      <c r="L70" s="42" t="n">
        <v>45541</v>
      </c>
      <c r="M70" s="43" t="n">
        <v>1700</v>
      </c>
      <c r="N70" s="44">
        <f>IF((L70&gt;$B$4)*(L70&lt;=$C$4),$M70,"")</f>
        <v/>
      </c>
      <c r="O70" s="44">
        <f>IF((L70&gt;$B$5)*(L70&lt;=$C$5),$M70,"")</f>
        <v/>
      </c>
      <c r="P70" s="44">
        <f>IF((L70&gt;$B$6)*(L70&lt;=$C$6),$M70,"")</f>
        <v/>
      </c>
      <c r="Q70" s="44">
        <f>IF((L70&gt;$B$7)*(L70&lt;=$C$7),$M70,"")</f>
        <v/>
      </c>
      <c r="R70" s="44">
        <f>IF((L70&gt;$B$8)*(L70&lt;=$C$8),$M70,"")</f>
        <v/>
      </c>
    </row>
    <row r="71">
      <c r="L71" s="42" t="n">
        <v>45544</v>
      </c>
      <c r="M71" s="43" t="n">
        <v>1675</v>
      </c>
      <c r="N71" s="44">
        <f>IF((L71&gt;$B$4)*(L71&lt;=$C$4),$M71,"")</f>
        <v/>
      </c>
      <c r="O71" s="44">
        <f>IF((L71&gt;$B$5)*(L71&lt;=$C$5),$M71,"")</f>
        <v/>
      </c>
      <c r="P71" s="44">
        <f>IF((L71&gt;$B$6)*(L71&lt;=$C$6),$M71,"")</f>
        <v/>
      </c>
      <c r="Q71" s="44">
        <f>IF((L71&gt;$B$7)*(L71&lt;=$C$7),$M71,"")</f>
        <v/>
      </c>
      <c r="R71" s="44">
        <f>IF((L71&gt;$B$8)*(L71&lt;=$C$8),$M71,"")</f>
        <v/>
      </c>
    </row>
    <row r="72">
      <c r="L72" s="42" t="n">
        <v>45545</v>
      </c>
      <c r="M72" s="43" t="n">
        <v>1675</v>
      </c>
      <c r="N72" s="44">
        <f>IF((L72&gt;$B$4)*(L72&lt;=$C$4),$M72,"")</f>
        <v/>
      </c>
      <c r="O72" s="44">
        <f>IF((L72&gt;$B$5)*(L72&lt;=$C$5),$M72,"")</f>
        <v/>
      </c>
      <c r="P72" s="44">
        <f>IF((L72&gt;$B$6)*(L72&lt;=$C$6),$M72,"")</f>
        <v/>
      </c>
      <c r="Q72" s="44">
        <f>IF((L72&gt;$B$7)*(L72&lt;=$C$7),$M72,"")</f>
        <v/>
      </c>
      <c r="R72" s="44">
        <f>IF((L72&gt;$B$8)*(L72&lt;=$C$8),$M72,"")</f>
        <v/>
      </c>
    </row>
    <row r="73">
      <c r="L73" s="42" t="n">
        <v>45546</v>
      </c>
      <c r="M73" s="43" t="n">
        <v>1625</v>
      </c>
      <c r="N73" s="44">
        <f>IF((L73&gt;$B$4)*(L73&lt;=$C$4),$M73,"")</f>
        <v/>
      </c>
      <c r="O73" s="44">
        <f>IF((L73&gt;$B$5)*(L73&lt;=$C$5),$M73,"")</f>
        <v/>
      </c>
      <c r="P73" s="44">
        <f>IF((L73&gt;$B$6)*(L73&lt;=$C$6),$M73,"")</f>
        <v/>
      </c>
      <c r="Q73" s="44">
        <f>IF((L73&gt;$B$7)*(L73&lt;=$C$7),$M73,"")</f>
        <v/>
      </c>
      <c r="R73" s="44">
        <f>IF((L73&gt;$B$8)*(L73&lt;=$C$8),$M73,"")</f>
        <v/>
      </c>
    </row>
    <row r="74">
      <c r="L74" s="42" t="n">
        <v>45547</v>
      </c>
      <c r="M74" s="43" t="n">
        <v>1625</v>
      </c>
      <c r="N74" s="44">
        <f>IF((L74&gt;$B$4)*(L74&lt;=$C$4),$M74,"")</f>
        <v/>
      </c>
      <c r="O74" s="44">
        <f>IF((L74&gt;$B$5)*(L74&lt;=$C$5),$M74,"")</f>
        <v/>
      </c>
      <c r="P74" s="44">
        <f>IF((L74&gt;$B$6)*(L74&lt;=$C$6),$M74,"")</f>
        <v/>
      </c>
      <c r="Q74" s="44">
        <f>IF((L74&gt;$B$7)*(L74&lt;=$C$7),$M74,"")</f>
        <v/>
      </c>
      <c r="R74" s="44">
        <f>IF((L74&gt;$B$8)*(L74&lt;=$C$8),$M74,"")</f>
        <v/>
      </c>
    </row>
    <row r="75">
      <c r="L75" s="42" t="n">
        <v>45548</v>
      </c>
      <c r="M75" s="43" t="n">
        <v>1625</v>
      </c>
      <c r="N75" s="44">
        <f>IF((L75&gt;$B$4)*(L75&lt;=$C$4),$M75,"")</f>
        <v/>
      </c>
      <c r="O75" s="44">
        <f>IF((L75&gt;$B$5)*(L75&lt;=$C$5),$M75,"")</f>
        <v/>
      </c>
      <c r="P75" s="44">
        <f>IF((L75&gt;$B$6)*(L75&lt;=$C$6),$M75,"")</f>
        <v/>
      </c>
      <c r="Q75" s="44">
        <f>IF((L75&gt;$B$7)*(L75&lt;=$C$7),$M75,"")</f>
        <v/>
      </c>
      <c r="R75" s="44">
        <f>IF((L75&gt;$B$8)*(L75&lt;=$C$8),$M75,"")</f>
        <v/>
      </c>
    </row>
    <row r="76">
      <c r="L76" s="42" t="n">
        <v>45549</v>
      </c>
      <c r="M76" s="43" t="n">
        <v>1625</v>
      </c>
      <c r="N76" s="44">
        <f>IF((L76&gt;$B$4)*(L76&lt;=$C$4),$M76,"")</f>
        <v/>
      </c>
      <c r="O76" s="44">
        <f>IF((L76&gt;$B$5)*(L76&lt;=$C$5),$M76,"")</f>
        <v/>
      </c>
      <c r="P76" s="44">
        <f>IF((L76&gt;$B$6)*(L76&lt;=$C$6),$M76,"")</f>
        <v/>
      </c>
      <c r="Q76" s="44">
        <f>IF((L76&gt;$B$7)*(L76&lt;=$C$7),$M76,"")</f>
        <v/>
      </c>
      <c r="R76" s="44">
        <f>IF((L76&gt;$B$8)*(L76&lt;=$C$8),$M76,"")</f>
        <v/>
      </c>
    </row>
    <row r="77">
      <c r="L77" s="42" t="n">
        <v>45553</v>
      </c>
      <c r="M77" s="43" t="n">
        <v>1575</v>
      </c>
      <c r="N77" s="44">
        <f>IF((L77&gt;$B$4)*(L77&lt;=$C$4),$M77,"")</f>
        <v/>
      </c>
      <c r="O77" s="44">
        <f>IF((L77&gt;$B$5)*(L77&lt;=$C$5),$M77,"")</f>
        <v/>
      </c>
      <c r="P77" s="44">
        <f>IF((L77&gt;$B$6)*(L77&lt;=$C$6),$M77,"")</f>
        <v/>
      </c>
      <c r="Q77" s="44">
        <f>IF((L77&gt;$B$7)*(L77&lt;=$C$7),$M77,"")</f>
        <v/>
      </c>
      <c r="R77" s="44">
        <f>IF((L77&gt;$B$8)*(L77&lt;=$C$8),$M77,"")</f>
        <v/>
      </c>
    </row>
    <row r="78">
      <c r="L78" s="42" t="n">
        <v>45554</v>
      </c>
      <c r="M78" s="43" t="n">
        <v>1575</v>
      </c>
      <c r="N78" s="44">
        <f>IF((L78&gt;$B$4)*(L78&lt;=$C$4),$M78,"")</f>
        <v/>
      </c>
      <c r="O78" s="44">
        <f>IF((L78&gt;$B$5)*(L78&lt;=$C$5),$M78,"")</f>
        <v/>
      </c>
      <c r="P78" s="44">
        <f>IF((L78&gt;$B$6)*(L78&lt;=$C$6),$M78,"")</f>
        <v/>
      </c>
      <c r="Q78" s="44">
        <f>IF((L78&gt;$B$7)*(L78&lt;=$C$7),$M78,"")</f>
        <v/>
      </c>
      <c r="R78" s="44">
        <f>IF((L78&gt;$B$8)*(L78&lt;=$C$8),$M78,"")</f>
        <v/>
      </c>
    </row>
    <row r="79">
      <c r="L79" s="42" t="n">
        <v>45555</v>
      </c>
      <c r="M79" s="43" t="n">
        <v>1575</v>
      </c>
      <c r="N79" s="44">
        <f>IF((L79&gt;$B$4)*(L79&lt;=$C$4),$M79,"")</f>
        <v/>
      </c>
      <c r="O79" s="44">
        <f>IF((L79&gt;$B$5)*(L79&lt;=$C$5),$M79,"")</f>
        <v/>
      </c>
      <c r="P79" s="44">
        <f>IF((L79&gt;$B$6)*(L79&lt;=$C$6),$M79,"")</f>
        <v/>
      </c>
      <c r="Q79" s="44">
        <f>IF((L79&gt;$B$7)*(L79&lt;=$C$7),$M79,"")</f>
        <v/>
      </c>
      <c r="R79" s="44">
        <f>IF((L79&gt;$B$8)*(L79&lt;=$C$8),$M79,"")</f>
        <v/>
      </c>
    </row>
    <row r="80">
      <c r="L80" s="42" t="n">
        <v>45558</v>
      </c>
      <c r="M80" s="43" t="n">
        <v>1575</v>
      </c>
      <c r="N80" s="44">
        <f>IF((L80&gt;$B$4)*(L80&lt;=$C$4),$M80,"")</f>
        <v/>
      </c>
      <c r="O80" s="44">
        <f>IF((L80&gt;$B$5)*(L80&lt;=$C$5),$M80,"")</f>
        <v/>
      </c>
      <c r="P80" s="44">
        <f>IF((L80&gt;$B$6)*(L80&lt;=$C$6),$M80,"")</f>
        <v/>
      </c>
      <c r="Q80" s="44">
        <f>IF((L80&gt;$B$7)*(L80&lt;=$C$7),$M80,"")</f>
        <v/>
      </c>
      <c r="R80" s="44">
        <f>IF((L80&gt;$B$8)*(L80&lt;=$C$8),$M80,"")</f>
        <v/>
      </c>
    </row>
    <row r="81">
      <c r="L81" s="42" t="n">
        <v>45559</v>
      </c>
      <c r="M81" s="43" t="n">
        <v>1575</v>
      </c>
      <c r="N81" s="44">
        <f>IF((L81&gt;$B$4)*(L81&lt;=$C$4),$M81,"")</f>
        <v/>
      </c>
      <c r="O81" s="44">
        <f>IF((L81&gt;$B$5)*(L81&lt;=$C$5),$M81,"")</f>
        <v/>
      </c>
      <c r="P81" s="44">
        <f>IF((L81&gt;$B$6)*(L81&lt;=$C$6),$M81,"")</f>
        <v/>
      </c>
      <c r="Q81" s="44">
        <f>IF((L81&gt;$B$7)*(L81&lt;=$C$7),$M81,"")</f>
        <v/>
      </c>
      <c r="R81" s="44">
        <f>IF((L81&gt;$B$8)*(L81&lt;=$C$8),$M81,"")</f>
        <v/>
      </c>
    </row>
    <row r="82">
      <c r="L82" s="42" t="n">
        <v>45560</v>
      </c>
      <c r="M82" s="43" t="n">
        <v>1575</v>
      </c>
      <c r="N82" s="44">
        <f>IF((L82&gt;$B$4)*(L82&lt;=$C$4),$M82,"")</f>
        <v/>
      </c>
      <c r="O82" s="44">
        <f>IF((L82&gt;$B$5)*(L82&lt;=$C$5),$M82,"")</f>
        <v/>
      </c>
      <c r="P82" s="44">
        <f>IF((L82&gt;$B$6)*(L82&lt;=$C$6),$M82,"")</f>
        <v/>
      </c>
      <c r="Q82" s="44">
        <f>IF((L82&gt;$B$7)*(L82&lt;=$C$7),$M82,"")</f>
        <v/>
      </c>
      <c r="R82" s="44">
        <f>IF((L82&gt;$B$8)*(L82&lt;=$C$8),$M82,"")</f>
        <v/>
      </c>
    </row>
    <row r="83">
      <c r="L83" s="42" t="n">
        <v>45561</v>
      </c>
      <c r="M83" s="43" t="n">
        <v>1575</v>
      </c>
      <c r="N83" s="44">
        <f>IF((L83&gt;$B$4)*(L83&lt;=$C$4),$M83,"")</f>
        <v/>
      </c>
      <c r="O83" s="44">
        <f>IF((L83&gt;$B$5)*(L83&lt;=$C$5),$M83,"")</f>
        <v/>
      </c>
      <c r="P83" s="44">
        <f>IF((L83&gt;$B$6)*(L83&lt;=$C$6),$M83,"")</f>
        <v/>
      </c>
      <c r="Q83" s="44">
        <f>IF((L83&gt;$B$7)*(L83&lt;=$C$7),$M83,"")</f>
        <v/>
      </c>
      <c r="R83" s="44">
        <f>IF((L83&gt;$B$8)*(L83&lt;=$C$8),$M83,"")</f>
        <v/>
      </c>
    </row>
    <row r="84">
      <c r="L84" s="42" t="n">
        <v>45562</v>
      </c>
      <c r="M84" s="43" t="n">
        <v>1575</v>
      </c>
      <c r="N84" s="44">
        <f>IF((L84&gt;$B$4)*(L84&lt;=$C$4),$M84,"")</f>
        <v/>
      </c>
      <c r="O84" s="44">
        <f>IF((L84&gt;$B$5)*(L84&lt;=$C$5),$M84,"")</f>
        <v/>
      </c>
      <c r="P84" s="44">
        <f>IF((L84&gt;$B$6)*(L84&lt;=$C$6),$M84,"")</f>
        <v/>
      </c>
      <c r="Q84" s="44">
        <f>IF((L84&gt;$B$7)*(L84&lt;=$C$7),$M84,"")</f>
        <v/>
      </c>
      <c r="R84" s="44">
        <f>IF((L84&gt;$B$8)*(L84&lt;=$C$8),$M84,"")</f>
        <v/>
      </c>
    </row>
    <row r="85">
      <c r="L85" s="42" t="n">
        <v>45564</v>
      </c>
      <c r="M85" s="43" t="n">
        <v>1600</v>
      </c>
      <c r="N85" s="44">
        <f>IF((L85&gt;$B$4)*(L85&lt;=$C$4),$M85,"")</f>
        <v/>
      </c>
      <c r="O85" s="44">
        <f>IF((L85&gt;$B$5)*(L85&lt;=$C$5),$M85,"")</f>
        <v/>
      </c>
      <c r="P85" s="44">
        <f>IF((L85&gt;$B$6)*(L85&lt;=$C$6),$M85,"")</f>
        <v/>
      </c>
      <c r="Q85" s="44">
        <f>IF((L85&gt;$B$7)*(L85&lt;=$C$7),$M85,"")</f>
        <v/>
      </c>
      <c r="R85" s="44">
        <f>IF((L85&gt;$B$8)*(L85&lt;=$C$8),$M85,"")</f>
        <v/>
      </c>
    </row>
    <row r="86">
      <c r="L86" s="42" t="n">
        <v>45573</v>
      </c>
      <c r="M86" s="43" t="n">
        <v>1625</v>
      </c>
      <c r="N86" s="44">
        <f>IF((L86&gt;$B$4)*(L86&lt;=$C$4),$M86,"")</f>
        <v/>
      </c>
      <c r="O86" s="44">
        <f>IF((L86&gt;$B$5)*(L86&lt;=$C$5),$M86,"")</f>
        <v/>
      </c>
      <c r="P86" s="44">
        <f>IF((L86&gt;$B$6)*(L86&lt;=$C$6),$M86,"")</f>
        <v/>
      </c>
      <c r="Q86" s="44">
        <f>IF((L86&gt;$B$7)*(L86&lt;=$C$7),$M86,"")</f>
        <v/>
      </c>
      <c r="R86" s="44">
        <f>IF((L86&gt;$B$8)*(L86&lt;=$C$8),$M86,"")</f>
        <v/>
      </c>
    </row>
    <row r="87">
      <c r="L87" s="42" t="n">
        <v>45574</v>
      </c>
      <c r="M87" s="43" t="n">
        <v>1625</v>
      </c>
      <c r="N87" s="44">
        <f>IF((L87&gt;$B$4)*(L87&lt;=$C$4),$M87,"")</f>
        <v/>
      </c>
      <c r="O87" s="44">
        <f>IF((L87&gt;$B$5)*(L87&lt;=$C$5),$M87,"")</f>
        <v/>
      </c>
      <c r="P87" s="44">
        <f>IF((L87&gt;$B$6)*(L87&lt;=$C$6),$M87,"")</f>
        <v/>
      </c>
      <c r="Q87" s="44">
        <f>IF((L87&gt;$B$7)*(L87&lt;=$C$7),$M87,"")</f>
        <v/>
      </c>
      <c r="R87" s="44">
        <f>IF((L87&gt;$B$8)*(L87&lt;=$C$8),$M87,"")</f>
        <v/>
      </c>
    </row>
    <row r="88">
      <c r="L88" s="42" t="n">
        <v>45575</v>
      </c>
      <c r="M88" s="43" t="n">
        <v>1625</v>
      </c>
      <c r="N88" s="44">
        <f>IF((L88&gt;$B$4)*(L88&lt;=$C$4),$M88,"")</f>
        <v/>
      </c>
      <c r="O88" s="44">
        <f>IF((L88&gt;$B$5)*(L88&lt;=$C$5),$M88,"")</f>
        <v/>
      </c>
      <c r="P88" s="44">
        <f>IF((L88&gt;$B$6)*(L88&lt;=$C$6),$M88,"")</f>
        <v/>
      </c>
      <c r="Q88" s="44">
        <f>IF((L88&gt;$B$7)*(L88&lt;=$C$7),$M88,"")</f>
        <v/>
      </c>
      <c r="R88" s="44">
        <f>IF((L88&gt;$B$8)*(L88&lt;=$C$8),$M88,"")</f>
        <v/>
      </c>
    </row>
    <row r="89">
      <c r="L89" s="42" t="n">
        <v>45576</v>
      </c>
      <c r="M89" s="43" t="n">
        <v>1625</v>
      </c>
      <c r="N89" s="44">
        <f>IF((L89&gt;$B$4)*(L89&lt;=$C$4),$M89,"")</f>
        <v/>
      </c>
      <c r="O89" s="44">
        <f>IF((L89&gt;$B$5)*(L89&lt;=$C$5),$M89,"")</f>
        <v/>
      </c>
      <c r="P89" s="44">
        <f>IF((L89&gt;$B$6)*(L89&lt;=$C$6),$M89,"")</f>
        <v/>
      </c>
      <c r="Q89" s="44">
        <f>IF((L89&gt;$B$7)*(L89&lt;=$C$7),$M89,"")</f>
        <v/>
      </c>
      <c r="R89" s="44">
        <f>IF((L89&gt;$B$8)*(L89&lt;=$C$8),$M89,"")</f>
        <v/>
      </c>
    </row>
    <row r="90">
      <c r="L90" s="42" t="n">
        <v>45577</v>
      </c>
      <c r="M90" s="43" t="n">
        <v>1625</v>
      </c>
      <c r="N90" s="44">
        <f>IF((L90&gt;$B$4)*(L90&lt;=$C$4),$M90,"")</f>
        <v/>
      </c>
      <c r="O90" s="44">
        <f>IF((L90&gt;$B$5)*(L90&lt;=$C$5),$M90,"")</f>
        <v/>
      </c>
      <c r="P90" s="44">
        <f>IF((L90&gt;$B$6)*(L90&lt;=$C$6),$M90,"")</f>
        <v/>
      </c>
      <c r="Q90" s="44">
        <f>IF((L90&gt;$B$7)*(L90&lt;=$C$7),$M90,"")</f>
        <v/>
      </c>
      <c r="R90" s="44">
        <f>IF((L90&gt;$B$8)*(L90&lt;=$C$8),$M90,"")</f>
        <v/>
      </c>
    </row>
    <row r="91">
      <c r="L91" s="42" t="n">
        <v>45580</v>
      </c>
      <c r="M91" s="43" t="n">
        <v>1625</v>
      </c>
      <c r="N91" s="44">
        <f>IF((L91&gt;$B$4)*(L91&lt;=$C$4),$M91,"")</f>
        <v/>
      </c>
      <c r="O91" s="44">
        <f>IF((L91&gt;$B$5)*(L91&lt;=$C$5),$M91,"")</f>
        <v/>
      </c>
      <c r="P91" s="44">
        <f>IF((L91&gt;$B$6)*(L91&lt;=$C$6),$M91,"")</f>
        <v/>
      </c>
      <c r="Q91" s="44">
        <f>IF((L91&gt;$B$7)*(L91&lt;=$C$7),$M91,"")</f>
        <v/>
      </c>
      <c r="R91" s="44">
        <f>IF((L91&gt;$B$8)*(L91&lt;=$C$8),$M91,"")</f>
        <v/>
      </c>
    </row>
    <row r="92">
      <c r="L92" s="42" t="n">
        <v>45581</v>
      </c>
      <c r="M92" s="43" t="n">
        <v>1625</v>
      </c>
      <c r="N92" s="44">
        <f>IF((L92&gt;$B$4)*(L92&lt;=$C$4),$M92,"")</f>
        <v/>
      </c>
      <c r="O92" s="44">
        <f>IF((L92&gt;$B$5)*(L92&lt;=$C$5),$M92,"")</f>
        <v/>
      </c>
      <c r="P92" s="44">
        <f>IF((L92&gt;$B$6)*(L92&lt;=$C$6),$M92,"")</f>
        <v/>
      </c>
      <c r="Q92" s="44">
        <f>IF((L92&gt;$B$7)*(L92&lt;=$C$7),$M92,"")</f>
        <v/>
      </c>
      <c r="R92" s="44">
        <f>IF((L92&gt;$B$8)*(L92&lt;=$C$8),$M92,"")</f>
        <v/>
      </c>
    </row>
    <row r="93">
      <c r="L93" s="42" t="n">
        <v>45582</v>
      </c>
      <c r="M93" s="43" t="n">
        <v>1625</v>
      </c>
      <c r="N93" s="44">
        <f>IF((L93&gt;$B$4)*(L93&lt;=$C$4),$M93,"")</f>
        <v/>
      </c>
      <c r="O93" s="44">
        <f>IF((L93&gt;$B$5)*(L93&lt;=$C$5),$M93,"")</f>
        <v/>
      </c>
      <c r="P93" s="44">
        <f>IF((L93&gt;$B$6)*(L93&lt;=$C$6),$M93,"")</f>
        <v/>
      </c>
      <c r="Q93" s="44">
        <f>IF((L93&gt;$B$7)*(L93&lt;=$C$7),$M93,"")</f>
        <v/>
      </c>
      <c r="R93" s="44">
        <f>IF((L93&gt;$B$8)*(L93&lt;=$C$8),$M93,"")</f>
        <v/>
      </c>
    </row>
    <row r="94">
      <c r="L94" s="42" t="n">
        <v>45583</v>
      </c>
      <c r="M94" s="43" t="n">
        <v>1625</v>
      </c>
      <c r="N94" s="44">
        <f>IF((L94&gt;$B$4)*(L94&lt;=$C$4),$M94,"")</f>
        <v/>
      </c>
      <c r="O94" s="44">
        <f>IF((L94&gt;$B$5)*(L94&lt;=$C$5),$M94,"")</f>
        <v/>
      </c>
      <c r="P94" s="44">
        <f>IF((L94&gt;$B$6)*(L94&lt;=$C$6),$M94,"")</f>
        <v/>
      </c>
      <c r="Q94" s="44">
        <f>IF((L94&gt;$B$7)*(L94&lt;=$C$7),$M94,"")</f>
        <v/>
      </c>
      <c r="R94" s="44">
        <f>IF((L94&gt;$B$8)*(L94&lt;=$C$8),$M94,"")</f>
        <v/>
      </c>
    </row>
    <row r="95">
      <c r="L95" s="42" t="n">
        <v>45586</v>
      </c>
      <c r="M95" s="43" t="n">
        <v>1575</v>
      </c>
      <c r="N95" s="44">
        <f>IF((L95&gt;$B$4)*(L95&lt;=$C$4),$M95,"")</f>
        <v/>
      </c>
      <c r="O95" s="44">
        <f>IF((L95&gt;$B$5)*(L95&lt;=$C$5),$M95,"")</f>
        <v/>
      </c>
      <c r="P95" s="44">
        <f>IF((L95&gt;$B$6)*(L95&lt;=$C$6),$M95,"")</f>
        <v/>
      </c>
      <c r="Q95" s="44">
        <f>IF((L95&gt;$B$7)*(L95&lt;=$C$7),$M95,"")</f>
        <v/>
      </c>
      <c r="R95" s="44">
        <f>IF((L95&gt;$B$8)*(L95&lt;=$C$8),$M95,"")</f>
        <v/>
      </c>
    </row>
    <row r="96">
      <c r="L96" s="42" t="n">
        <v>45587</v>
      </c>
      <c r="M96" s="43" t="n">
        <v>1575</v>
      </c>
      <c r="N96" s="44">
        <f>IF((L96&gt;$B$4)*(L96&lt;=$C$4),$M96,"")</f>
        <v/>
      </c>
      <c r="O96" s="44">
        <f>IF((L96&gt;$B$5)*(L96&lt;=$C$5),$M96,"")</f>
        <v/>
      </c>
      <c r="P96" s="44">
        <f>IF((L96&gt;$B$6)*(L96&lt;=$C$6),$M96,"")</f>
        <v/>
      </c>
      <c r="Q96" s="44">
        <f>IF((L96&gt;$B$7)*(L96&lt;=$C$7),$M96,"")</f>
        <v/>
      </c>
      <c r="R96" s="44">
        <f>IF((L96&gt;$B$8)*(L96&lt;=$C$8),$M96,"")</f>
        <v/>
      </c>
    </row>
    <row r="97">
      <c r="L97" s="42" t="n">
        <v>45589</v>
      </c>
      <c r="M97" s="43" t="n">
        <v>1575</v>
      </c>
      <c r="N97" s="44">
        <f>IF((L97&gt;$B$4)*(L97&lt;=$C$4),$M97,"")</f>
        <v/>
      </c>
      <c r="O97" s="44">
        <f>IF((L97&gt;$B$5)*(L97&lt;=$C$5),$M97,"")</f>
        <v/>
      </c>
      <c r="P97" s="44">
        <f>IF((L97&gt;$B$6)*(L97&lt;=$C$6),$M97,"")</f>
        <v/>
      </c>
      <c r="Q97" s="44">
        <f>IF((L97&gt;$B$7)*(L97&lt;=$C$7),$M97,"")</f>
        <v/>
      </c>
      <c r="R97" s="44">
        <f>IF((L97&gt;$B$8)*(L97&lt;=$C$8),$M97,"")</f>
        <v/>
      </c>
    </row>
    <row r="98">
      <c r="L98" s="42" t="n">
        <v>45590</v>
      </c>
      <c r="M98" s="43" t="n">
        <v>1575</v>
      </c>
      <c r="N98" s="44">
        <f>IF((L98&gt;$B$4)*(L98&lt;=$C$4),$M98,"")</f>
        <v/>
      </c>
      <c r="O98" s="44">
        <f>IF((L98&gt;$B$5)*(L98&lt;=$C$5),$M98,"")</f>
        <v/>
      </c>
      <c r="P98" s="44">
        <f>IF((L98&gt;$B$6)*(L98&lt;=$C$6),$M98,"")</f>
        <v/>
      </c>
      <c r="Q98" s="44">
        <f>IF((L98&gt;$B$7)*(L98&lt;=$C$7),$M98,"")</f>
        <v/>
      </c>
      <c r="R98" s="44">
        <f>IF((L98&gt;$B$8)*(L98&lt;=$C$8),$M98,"")</f>
        <v/>
      </c>
    </row>
    <row r="99">
      <c r="L99" s="42" t="n">
        <v>45593</v>
      </c>
      <c r="M99" s="43" t="n">
        <v>1575</v>
      </c>
      <c r="N99" s="44">
        <f>IF((L99&gt;$B$4)*(L99&lt;=$C$4),$M99,"")</f>
        <v/>
      </c>
      <c r="O99" s="44">
        <f>IF((L99&gt;$B$5)*(L99&lt;=$C$5),$M99,"")</f>
        <v/>
      </c>
      <c r="P99" s="44">
        <f>IF((L99&gt;$B$6)*(L99&lt;=$C$6),$M99,"")</f>
        <v/>
      </c>
      <c r="Q99" s="44">
        <f>IF((L99&gt;$B$7)*(L99&lt;=$C$7),$M99,"")</f>
        <v/>
      </c>
      <c r="R99" s="44">
        <f>IF((L99&gt;$B$8)*(L99&lt;=$C$8),$M99,"")</f>
        <v/>
      </c>
    </row>
    <row r="100">
      <c r="L100" s="42" t="n">
        <v>45594</v>
      </c>
      <c r="M100" s="43" t="n">
        <v>1575</v>
      </c>
      <c r="N100" s="44">
        <f>IF((L100&gt;$B$4)*(L100&lt;=$C$4),$M100,"")</f>
        <v/>
      </c>
      <c r="O100" s="44">
        <f>IF((L100&gt;$B$5)*(L100&lt;=$C$5),$M100,"")</f>
        <v/>
      </c>
      <c r="P100" s="44">
        <f>IF((L100&gt;$B$6)*(L100&lt;=$C$6),$M100,"")</f>
        <v/>
      </c>
      <c r="Q100" s="44">
        <f>IF((L100&gt;$B$7)*(L100&lt;=$C$7),$M100,"")</f>
        <v/>
      </c>
      <c r="R100" s="44">
        <f>IF((L100&gt;$B$8)*(L100&lt;=$C$8),$M100,"")</f>
        <v/>
      </c>
    </row>
    <row r="101">
      <c r="L101" s="42" t="n">
        <v>45595</v>
      </c>
      <c r="M101" s="43" t="n">
        <v>1575</v>
      </c>
      <c r="N101" s="44">
        <f>IF((L101&gt;$B$4)*(L101&lt;=$C$4),$M101,"")</f>
        <v/>
      </c>
      <c r="O101" s="44">
        <f>IF((L101&gt;$B$5)*(L101&lt;=$C$5),$M101,"")</f>
        <v/>
      </c>
      <c r="P101" s="44">
        <f>IF((L101&gt;$B$6)*(L101&lt;=$C$6),$M101,"")</f>
        <v/>
      </c>
      <c r="Q101" s="44">
        <f>IF((L101&gt;$B$7)*(L101&lt;=$C$7),$M101,"")</f>
        <v/>
      </c>
      <c r="R101" s="44">
        <f>IF((L101&gt;$B$8)*(L101&lt;=$C$8),$M101,"")</f>
        <v/>
      </c>
    </row>
    <row r="102">
      <c r="L102" s="42" t="n">
        <v>45596</v>
      </c>
      <c r="M102" s="43" t="n">
        <v>1575</v>
      </c>
      <c r="N102" s="44">
        <f>IF((L102&gt;$B$4)*(L102&lt;=$C$4),$M102,"")</f>
        <v/>
      </c>
      <c r="O102" s="44">
        <f>IF((L102&gt;$B$5)*(L102&lt;=$C$5),$M102,"")</f>
        <v/>
      </c>
      <c r="P102" s="44">
        <f>IF((L102&gt;$B$6)*(L102&lt;=$C$6),$M102,"")</f>
        <v/>
      </c>
      <c r="Q102" s="44">
        <f>IF((L102&gt;$B$7)*(L102&lt;=$C$7),$M102,"")</f>
        <v/>
      </c>
      <c r="R102" s="44">
        <f>IF((L102&gt;$B$8)*(L102&lt;=$C$8),$M102,"")</f>
        <v/>
      </c>
    </row>
    <row r="103">
      <c r="L103" s="42" t="n">
        <v>45597</v>
      </c>
      <c r="M103" s="43" t="n">
        <v>1575</v>
      </c>
      <c r="N103" s="44">
        <f>IF((L103&gt;$B$4)*(L103&lt;=$C$4),$M103,"")</f>
        <v/>
      </c>
      <c r="O103" s="44">
        <f>IF((L103&gt;$B$5)*(L103&lt;=$C$5),$M103,"")</f>
        <v/>
      </c>
      <c r="P103" s="44">
        <f>IF((L103&gt;$B$6)*(L103&lt;=$C$6),$M103,"")</f>
        <v/>
      </c>
      <c r="Q103" s="44">
        <f>IF((L103&gt;$B$7)*(L103&lt;=$C$7),$M103,"")</f>
        <v/>
      </c>
      <c r="R103" s="44">
        <f>IF((L103&gt;$B$8)*(L103&lt;=$C$8),$M103,"")</f>
        <v/>
      </c>
    </row>
    <row r="104">
      <c r="L104" s="42" t="n">
        <v>45600</v>
      </c>
      <c r="M104" s="43" t="n">
        <v>1575</v>
      </c>
      <c r="N104" s="44">
        <f>IF((L104&gt;$B$4)*(L104&lt;=$C$4),$M104,"")</f>
        <v/>
      </c>
      <c r="O104" s="44">
        <f>IF((L104&gt;$B$5)*(L104&lt;=$C$5),$M104,"")</f>
        <v/>
      </c>
      <c r="P104" s="44">
        <f>IF((L104&gt;$B$6)*(L104&lt;=$C$6),$M104,"")</f>
        <v/>
      </c>
      <c r="Q104" s="44">
        <f>IF((L104&gt;$B$7)*(L104&lt;=$C$7),$M104,"")</f>
        <v/>
      </c>
      <c r="R104" s="44">
        <f>IF((L104&gt;$B$8)*(L104&lt;=$C$8),$M104,"")</f>
        <v/>
      </c>
    </row>
    <row r="105">
      <c r="L105" s="42" t="n">
        <v>45601</v>
      </c>
      <c r="M105" s="43" t="n">
        <v>1575</v>
      </c>
      <c r="N105" s="44">
        <f>IF((L105&gt;$B$4)*(L105&lt;=$C$4),$M105,"")</f>
        <v/>
      </c>
      <c r="O105" s="44">
        <f>IF((L105&gt;$B$5)*(L105&lt;=$C$5),$M105,"")</f>
        <v/>
      </c>
      <c r="P105" s="44">
        <f>IF((L105&gt;$B$6)*(L105&lt;=$C$6),$M105,"")</f>
        <v/>
      </c>
      <c r="Q105" s="44">
        <f>IF((L105&gt;$B$7)*(L105&lt;=$C$7),$M105,"")</f>
        <v/>
      </c>
      <c r="R105" s="44">
        <f>IF((L105&gt;$B$8)*(L105&lt;=$C$8),$M105,"")</f>
        <v/>
      </c>
    </row>
    <row r="106">
      <c r="L106" s="42" t="n">
        <v>45602</v>
      </c>
      <c r="M106" s="43" t="n">
        <v>1575</v>
      </c>
      <c r="N106" s="44">
        <f>IF((L106&gt;$B$4)*(L106&lt;=$C$4),$M106,"")</f>
        <v/>
      </c>
      <c r="O106" s="44">
        <f>IF((L106&gt;$B$5)*(L106&lt;=$C$5),$M106,"")</f>
        <v/>
      </c>
      <c r="P106" s="44">
        <f>IF((L106&gt;$B$6)*(L106&lt;=$C$6),$M106,"")</f>
        <v/>
      </c>
      <c r="Q106" s="44">
        <f>IF((L106&gt;$B$7)*(L106&lt;=$C$7),$M106,"")</f>
        <v/>
      </c>
      <c r="R106" s="44">
        <f>IF((L106&gt;$B$8)*(L106&lt;=$C$8),$M106,"")</f>
        <v/>
      </c>
    </row>
    <row r="107">
      <c r="L107" s="42" t="n">
        <v>45603</v>
      </c>
      <c r="M107" s="43" t="n">
        <v>1575</v>
      </c>
      <c r="N107" s="44">
        <f>IF((L107&gt;$B$4)*(L107&lt;=$C$4),$M107,"")</f>
        <v/>
      </c>
      <c r="O107" s="44">
        <f>IF((L107&gt;$B$5)*(L107&lt;=$C$5),$M107,"")</f>
        <v/>
      </c>
      <c r="P107" s="44">
        <f>IF((L107&gt;$B$6)*(L107&lt;=$C$6),$M107,"")</f>
        <v/>
      </c>
      <c r="Q107" s="44">
        <f>IF((L107&gt;$B$7)*(L107&lt;=$C$7),$M107,"")</f>
        <v/>
      </c>
      <c r="R107" s="44">
        <f>IF((L107&gt;$B$8)*(L107&lt;=$C$8),$M107,"")</f>
        <v/>
      </c>
    </row>
    <row r="108">
      <c r="L108" s="42" t="n">
        <v>45604</v>
      </c>
      <c r="M108" s="43" t="n">
        <v>1575</v>
      </c>
      <c r="N108" s="44">
        <f>IF((L108&gt;$B$4)*(L108&lt;=$C$4),$M108,"")</f>
        <v/>
      </c>
      <c r="O108" s="44">
        <f>IF((L108&gt;$B$5)*(L108&lt;=$C$5),$M108,"")</f>
        <v/>
      </c>
      <c r="P108" s="44">
        <f>IF((L108&gt;$B$6)*(L108&lt;=$C$6),$M108,"")</f>
        <v/>
      </c>
      <c r="Q108" s="44">
        <f>IF((L108&gt;$B$7)*(L108&lt;=$C$7),$M108,"")</f>
        <v/>
      </c>
      <c r="R108" s="44">
        <f>IF((L108&gt;$B$8)*(L108&lt;=$C$8),$M108,"")</f>
        <v/>
      </c>
    </row>
    <row r="109">
      <c r="L109" s="42" t="n">
        <v>45607</v>
      </c>
      <c r="M109" s="43" t="n">
        <v>1575</v>
      </c>
      <c r="N109" s="44">
        <f>IF((L109&gt;$B$4)*(L109&lt;=$C$4),$M109,"")</f>
        <v/>
      </c>
      <c r="O109" s="44">
        <f>IF((L109&gt;$B$5)*(L109&lt;=$C$5),$M109,"")</f>
        <v/>
      </c>
      <c r="P109" s="44">
        <f>IF((L109&gt;$B$6)*(L109&lt;=$C$6),$M109,"")</f>
        <v/>
      </c>
      <c r="Q109" s="44">
        <f>IF((L109&gt;$B$7)*(L109&lt;=$C$7),$M109,"")</f>
        <v/>
      </c>
      <c r="R109" s="44">
        <f>IF((L109&gt;$B$8)*(L109&lt;=$C$8),$M109,"")</f>
        <v/>
      </c>
    </row>
    <row r="110">
      <c r="L110" s="42" t="n">
        <v>45608</v>
      </c>
      <c r="M110" s="43" t="n">
        <v>1575</v>
      </c>
      <c r="N110" s="44">
        <f>IF((L110&gt;$B$4)*(L110&lt;=$C$4),$M110,"")</f>
        <v/>
      </c>
      <c r="O110" s="44">
        <f>IF((L110&gt;$B$5)*(L110&lt;=$C$5),$M110,"")</f>
        <v/>
      </c>
      <c r="P110" s="44">
        <f>IF((L110&gt;$B$6)*(L110&lt;=$C$6),$M110,"")</f>
        <v/>
      </c>
      <c r="Q110" s="44">
        <f>IF((L110&gt;$B$7)*(L110&lt;=$C$7),$M110,"")</f>
        <v/>
      </c>
      <c r="R110" s="44">
        <f>IF((L110&gt;$B$8)*(L110&lt;=$C$8),$M110,"")</f>
        <v/>
      </c>
    </row>
    <row r="111">
      <c r="L111" s="42" t="n">
        <v>45609</v>
      </c>
      <c r="M111" s="43" t="n">
        <v>1575</v>
      </c>
      <c r="N111" s="44">
        <f>IF((L111&gt;$B$4)*(L111&lt;=$C$4),$M111,"")</f>
        <v/>
      </c>
      <c r="O111" s="44">
        <f>IF((L111&gt;$B$5)*(L111&lt;=$C$5),$M111,"")</f>
        <v/>
      </c>
      <c r="P111" s="44">
        <f>IF((L111&gt;$B$6)*(L111&lt;=$C$6),$M111,"")</f>
        <v/>
      </c>
      <c r="Q111" s="44">
        <f>IF((L111&gt;$B$7)*(L111&lt;=$C$7),$M111,"")</f>
        <v/>
      </c>
      <c r="R111" s="44">
        <f>IF((L111&gt;$B$8)*(L111&lt;=$C$8),$M111,"")</f>
        <v/>
      </c>
    </row>
    <row r="112">
      <c r="L112" s="42" t="n">
        <v>45610</v>
      </c>
      <c r="M112" s="43" t="n">
        <v>1575</v>
      </c>
      <c r="N112" s="44">
        <f>IF((L112&gt;$B$4)*(L112&lt;=$C$4),$M112,"")</f>
        <v/>
      </c>
      <c r="O112" s="44">
        <f>IF((L112&gt;$B$5)*(L112&lt;=$C$5),$M112,"")</f>
        <v/>
      </c>
      <c r="P112" s="44">
        <f>IF((L112&gt;$B$6)*(L112&lt;=$C$6),$M112,"")</f>
        <v/>
      </c>
      <c r="Q112" s="44">
        <f>IF((L112&gt;$B$7)*(L112&lt;=$C$7),$M112,"")</f>
        <v/>
      </c>
      <c r="R112" s="44">
        <f>IF((L112&gt;$B$8)*(L112&lt;=$C$8),$M112,"")</f>
        <v/>
      </c>
    </row>
    <row r="113">
      <c r="L113" s="42" t="n">
        <v>45611</v>
      </c>
      <c r="M113" s="43" t="n">
        <v>1575</v>
      </c>
      <c r="N113" s="44">
        <f>IF((L113&gt;$B$4)*(L113&lt;=$C$4),$M113,"")</f>
        <v/>
      </c>
      <c r="O113" s="44">
        <f>IF((L113&gt;$B$5)*(L113&lt;=$C$5),$M113,"")</f>
        <v/>
      </c>
      <c r="P113" s="44">
        <f>IF((L113&gt;$B$6)*(L113&lt;=$C$6),$M113,"")</f>
        <v/>
      </c>
      <c r="Q113" s="44">
        <f>IF((L113&gt;$B$7)*(L113&lt;=$C$7),$M113,"")</f>
        <v/>
      </c>
      <c r="R113" s="44">
        <f>IF((L113&gt;$B$8)*(L113&lt;=$C$8),$M113,"")</f>
        <v/>
      </c>
    </row>
    <row r="114">
      <c r="L114" s="42" t="n">
        <v>45614</v>
      </c>
      <c r="M114" s="43" t="n">
        <v>1575</v>
      </c>
      <c r="N114" s="44">
        <f>IF((L114&gt;$B$4)*(L114&lt;=$C$4),$M114,"")</f>
        <v/>
      </c>
      <c r="O114" s="44">
        <f>IF((L114&gt;$B$5)*(L114&lt;=$C$5),$M114,"")</f>
        <v/>
      </c>
      <c r="P114" s="44">
        <f>IF((L114&gt;$B$6)*(L114&lt;=$C$6),$M114,"")</f>
        <v/>
      </c>
      <c r="Q114" s="44">
        <f>IF((L114&gt;$B$7)*(L114&lt;=$C$7),$M114,"")</f>
        <v/>
      </c>
      <c r="R114" s="44">
        <f>IF((L114&gt;$B$8)*(L114&lt;=$C$8),$M114,"")</f>
        <v/>
      </c>
    </row>
    <row r="115">
      <c r="L115" s="42" t="n">
        <v>45615</v>
      </c>
      <c r="M115" s="43" t="n">
        <v>1575</v>
      </c>
      <c r="N115" s="44">
        <f>IF((L115&gt;$B$4)*(L115&lt;=$C$4),$M115,"")</f>
        <v/>
      </c>
      <c r="O115" s="44">
        <f>IF((L115&gt;$B$5)*(L115&lt;=$C$5),$M115,"")</f>
        <v/>
      </c>
      <c r="P115" s="44">
        <f>IF((L115&gt;$B$6)*(L115&lt;=$C$6),$M115,"")</f>
        <v/>
      </c>
      <c r="Q115" s="44">
        <f>IF((L115&gt;$B$7)*(L115&lt;=$C$7),$M115,"")</f>
        <v/>
      </c>
      <c r="R115" s="44">
        <f>IF((L115&gt;$B$8)*(L115&lt;=$C$8),$M115,"")</f>
        <v/>
      </c>
    </row>
    <row r="116">
      <c r="L116" s="42" t="n">
        <v>45616</v>
      </c>
      <c r="M116" s="43" t="n">
        <v>1575</v>
      </c>
      <c r="N116" s="44">
        <f>IF((L116&gt;$B$4)*(L116&lt;=$C$4),$M116,"")</f>
        <v/>
      </c>
      <c r="O116" s="44">
        <f>IF((L116&gt;$B$5)*(L116&lt;=$C$5),$M116,"")</f>
        <v/>
      </c>
      <c r="P116" s="44">
        <f>IF((L116&gt;$B$6)*(L116&lt;=$C$6),$M116,"")</f>
        <v/>
      </c>
      <c r="Q116" s="44">
        <f>IF((L116&gt;$B$7)*(L116&lt;=$C$7),$M116,"")</f>
        <v/>
      </c>
      <c r="R116" s="44">
        <f>IF((L116&gt;$B$8)*(L116&lt;=$C$8),$M116,"")</f>
        <v/>
      </c>
    </row>
    <row r="117">
      <c r="L117" s="42" t="n">
        <v>45617</v>
      </c>
      <c r="M117" s="43" t="n">
        <v>1575</v>
      </c>
      <c r="N117" s="44">
        <f>IF((L117&gt;$B$4)*(L117&lt;=$C$4),$M117,"")</f>
        <v/>
      </c>
      <c r="O117" s="44">
        <f>IF((L117&gt;$B$5)*(L117&lt;=$C$5),$M117,"")</f>
        <v/>
      </c>
      <c r="P117" s="44">
        <f>IF((L117&gt;$B$6)*(L117&lt;=$C$6),$M117,"")</f>
        <v/>
      </c>
      <c r="Q117" s="44">
        <f>IF((L117&gt;$B$7)*(L117&lt;=$C$7),$M117,"")</f>
        <v/>
      </c>
      <c r="R117" s="44">
        <f>IF((L117&gt;$B$8)*(L117&lt;=$C$8),$M117,"")</f>
        <v/>
      </c>
    </row>
    <row r="118">
      <c r="L118" s="42" t="n">
        <v>45618</v>
      </c>
      <c r="M118" s="43" t="n">
        <v>1575</v>
      </c>
      <c r="N118" s="44">
        <f>IF((L118&gt;$B$4)*(L118&lt;=$C$4),$M118,"")</f>
        <v/>
      </c>
      <c r="O118" s="44">
        <f>IF((L118&gt;$B$5)*(L118&lt;=$C$5),$M118,"")</f>
        <v/>
      </c>
      <c r="P118" s="44">
        <f>IF((L118&gt;$B$6)*(L118&lt;=$C$6),$M118,"")</f>
        <v/>
      </c>
      <c r="Q118" s="44">
        <f>IF((L118&gt;$B$7)*(L118&lt;=$C$7),$M118,"")</f>
        <v/>
      </c>
      <c r="R118" s="44">
        <f>IF((L118&gt;$B$8)*(L118&lt;=$C$8),$M118,"")</f>
        <v/>
      </c>
    </row>
    <row r="119">
      <c r="L119" s="42" t="n">
        <v>45621</v>
      </c>
      <c r="M119" s="43" t="n">
        <v>1575</v>
      </c>
      <c r="N119" s="44">
        <f>IF((L119&gt;$B$4)*(L119&lt;=$C$4),$M119,"")</f>
        <v/>
      </c>
      <c r="O119" s="44">
        <f>IF((L119&gt;$B$5)*(L119&lt;=$C$5),$M119,"")</f>
        <v/>
      </c>
      <c r="P119" s="44">
        <f>IF((L119&gt;$B$6)*(L119&lt;=$C$6),$M119,"")</f>
        <v/>
      </c>
      <c r="Q119" s="44">
        <f>IF((L119&gt;$B$7)*(L119&lt;=$C$7),$M119,"")</f>
        <v/>
      </c>
      <c r="R119" s="44">
        <f>IF((L119&gt;$B$8)*(L119&lt;=$C$8),$M119,"")</f>
        <v/>
      </c>
    </row>
    <row r="120">
      <c r="L120" s="42" t="n">
        <v>45622</v>
      </c>
      <c r="M120" s="43" t="n">
        <v>1575</v>
      </c>
      <c r="N120" s="44">
        <f>IF((L120&gt;$B$4)*(L120&lt;=$C$4),$M120,"")</f>
        <v/>
      </c>
      <c r="O120" s="44">
        <f>IF((L120&gt;$B$5)*(L120&lt;=$C$5),$M120,"")</f>
        <v/>
      </c>
      <c r="P120" s="44">
        <f>IF((L120&gt;$B$6)*(L120&lt;=$C$6),$M120,"")</f>
        <v/>
      </c>
      <c r="Q120" s="44">
        <f>IF((L120&gt;$B$7)*(L120&lt;=$C$7),$M120,"")</f>
        <v/>
      </c>
      <c r="R120" s="44">
        <f>IF((L120&gt;$B$8)*(L120&lt;=$C$8),$M120,"")</f>
        <v/>
      </c>
    </row>
    <row r="121">
      <c r="L121" s="42" t="n">
        <v>45623</v>
      </c>
      <c r="M121" s="43" t="n">
        <v>1575</v>
      </c>
      <c r="N121" s="44">
        <f>IF((L121&gt;$B$4)*(L121&lt;=$C$4),$M121,"")</f>
        <v/>
      </c>
      <c r="O121" s="44">
        <f>IF((L121&gt;$B$5)*(L121&lt;=$C$5),$M121,"")</f>
        <v/>
      </c>
      <c r="P121" s="44">
        <f>IF((L121&gt;$B$6)*(L121&lt;=$C$6),$M121,"")</f>
        <v/>
      </c>
      <c r="Q121" s="44">
        <f>IF((L121&gt;$B$7)*(L121&lt;=$C$7),$M121,"")</f>
        <v/>
      </c>
      <c r="R121" s="44">
        <f>IF((L121&gt;$B$8)*(L121&lt;=$C$8),$M121,"")</f>
        <v/>
      </c>
    </row>
    <row r="122">
      <c r="L122" s="42" t="n">
        <v>45624</v>
      </c>
      <c r="M122" s="43" t="n">
        <v>1575</v>
      </c>
      <c r="N122" s="44">
        <f>IF((L122&gt;$B$4)*(L122&lt;=$C$4),$M122,"")</f>
        <v/>
      </c>
      <c r="O122" s="44">
        <f>IF((L122&gt;$B$5)*(L122&lt;=$C$5),$M122,"")</f>
        <v/>
      </c>
      <c r="P122" s="44">
        <f>IF((L122&gt;$B$6)*(L122&lt;=$C$6),$M122,"")</f>
        <v/>
      </c>
      <c r="Q122" s="44">
        <f>IF((L122&gt;$B$7)*(L122&lt;=$C$7),$M122,"")</f>
        <v/>
      </c>
      <c r="R122" s="44">
        <f>IF((L122&gt;$B$8)*(L122&lt;=$C$8),$M122,"")</f>
        <v/>
      </c>
    </row>
    <row r="123">
      <c r="L123" s="42" t="n">
        <v>45625</v>
      </c>
      <c r="M123" s="43" t="n">
        <v>1575</v>
      </c>
      <c r="N123" s="44">
        <f>IF((L123&gt;$B$4)*(L123&lt;=$C$4),$M123,"")</f>
        <v/>
      </c>
      <c r="O123" s="44">
        <f>IF((L123&gt;$B$5)*(L123&lt;=$C$5),$M123,"")</f>
        <v/>
      </c>
      <c r="P123" s="44">
        <f>IF((L123&gt;$B$6)*(L123&lt;=$C$6),$M123,"")</f>
        <v/>
      </c>
      <c r="Q123" s="44">
        <f>IF((L123&gt;$B$7)*(L123&lt;=$C$7),$M123,"")</f>
        <v/>
      </c>
      <c r="R123" s="44">
        <f>IF((L123&gt;$B$8)*(L123&lt;=$C$8),$M123,"")</f>
        <v/>
      </c>
    </row>
    <row r="124">
      <c r="L124" s="42" t="n">
        <v>45628</v>
      </c>
      <c r="M124" s="43" t="n">
        <v>1575</v>
      </c>
      <c r="N124" s="44">
        <f>IF((L124&gt;$B$4)*(L124&lt;=$C$4),$M124,"")</f>
        <v/>
      </c>
      <c r="O124" s="44">
        <f>IF((L124&gt;$B$5)*(L124&lt;=$C$5),$M124,"")</f>
        <v/>
      </c>
      <c r="P124" s="44">
        <f>IF((L124&gt;$B$6)*(L124&lt;=$C$6),$M124,"")</f>
        <v/>
      </c>
      <c r="Q124" s="44">
        <f>IF((L124&gt;$B$7)*(L124&lt;=$C$7),$M124,"")</f>
        <v/>
      </c>
      <c r="R124" s="44">
        <f>IF((L124&gt;$B$8)*(L124&lt;=$C$8),$M124,"")</f>
        <v/>
      </c>
    </row>
    <row r="125">
      <c r="L125" s="42" t="n">
        <v>45629</v>
      </c>
      <c r="M125" s="43" t="n">
        <v>1575</v>
      </c>
      <c r="N125" s="44">
        <f>IF((L125&gt;$B$4)*(L125&lt;=$C$4),$M125,"")</f>
        <v/>
      </c>
      <c r="O125" s="44">
        <f>IF((L125&gt;$B$5)*(L125&lt;=$C$5),$M125,"")</f>
        <v/>
      </c>
      <c r="P125" s="44">
        <f>IF((L125&gt;$B$6)*(L125&lt;=$C$6),$M125,"")</f>
        <v/>
      </c>
      <c r="Q125" s="44">
        <f>IF((L125&gt;$B$7)*(L125&lt;=$C$7),$M125,"")</f>
        <v/>
      </c>
      <c r="R125" s="44">
        <f>IF((L125&gt;$B$8)*(L125&lt;=$C$8),$M125,"")</f>
        <v/>
      </c>
    </row>
    <row r="126">
      <c r="L126" s="42" t="n">
        <v>45630</v>
      </c>
      <c r="M126" s="43" t="n">
        <v>1575</v>
      </c>
      <c r="N126" s="44">
        <f>IF((L126&gt;$B$4)*(L126&lt;=$C$4),$M126,"")</f>
        <v/>
      </c>
      <c r="O126" s="44">
        <f>IF((L126&gt;$B$5)*(L126&lt;=$C$5),$M126,"")</f>
        <v/>
      </c>
      <c r="P126" s="44">
        <f>IF((L126&gt;$B$6)*(L126&lt;=$C$6),$M126,"")</f>
        <v/>
      </c>
      <c r="Q126" s="44">
        <f>IF((L126&gt;$B$7)*(L126&lt;=$C$7),$M126,"")</f>
        <v/>
      </c>
      <c r="R126" s="44">
        <f>IF((L126&gt;$B$8)*(L126&lt;=$C$8),$M126,"")</f>
        <v/>
      </c>
    </row>
    <row r="127">
      <c r="L127" s="42" t="n">
        <v>45631</v>
      </c>
      <c r="M127" s="43" t="n">
        <v>1575</v>
      </c>
      <c r="N127" s="44">
        <f>IF((L127&gt;$B$4)*(L127&lt;=$C$4),$M127,"")</f>
        <v/>
      </c>
      <c r="O127" s="44">
        <f>IF((L127&gt;$B$5)*(L127&lt;=$C$5),$M127,"")</f>
        <v/>
      </c>
      <c r="P127" s="44">
        <f>IF((L127&gt;$B$6)*(L127&lt;=$C$6),$M127,"")</f>
        <v/>
      </c>
      <c r="Q127" s="44">
        <f>IF((L127&gt;$B$7)*(L127&lt;=$C$7),$M127,"")</f>
        <v/>
      </c>
      <c r="R127" s="44">
        <f>IF((L127&gt;$B$8)*(L127&lt;=$C$8),$M127,"")</f>
        <v/>
      </c>
    </row>
    <row r="128">
      <c r="L128" s="42" t="n">
        <v>45632</v>
      </c>
      <c r="M128" s="43" t="n">
        <v>1575</v>
      </c>
      <c r="N128" s="44">
        <f>IF((L128&gt;$B$4)*(L128&lt;=$C$4),$M128,"")</f>
        <v/>
      </c>
      <c r="O128" s="44">
        <f>IF((L128&gt;$B$5)*(L128&lt;=$C$5),$M128,"")</f>
        <v/>
      </c>
      <c r="P128" s="44">
        <f>IF((L128&gt;$B$6)*(L128&lt;=$C$6),$M128,"")</f>
        <v/>
      </c>
      <c r="Q128" s="44">
        <f>IF((L128&gt;$B$7)*(L128&lt;=$C$7),$M128,"")</f>
        <v/>
      </c>
      <c r="R128" s="44">
        <f>IF((L128&gt;$B$8)*(L128&lt;=$C$8),$M128,"")</f>
        <v/>
      </c>
    </row>
    <row r="129">
      <c r="L129" s="42" t="n">
        <v>45636</v>
      </c>
      <c r="M129" s="43" t="n">
        <v>1575</v>
      </c>
      <c r="N129" s="44">
        <f>IF((L129&gt;$B$4)*(L129&lt;=$C$4),$M129,"")</f>
        <v/>
      </c>
      <c r="O129" s="44">
        <f>IF((L129&gt;$B$5)*(L129&lt;=$C$5),$M129,"")</f>
        <v/>
      </c>
      <c r="P129" s="44">
        <f>IF((L129&gt;$B$6)*(L129&lt;=$C$6),$M129,"")</f>
        <v/>
      </c>
      <c r="Q129" s="44">
        <f>IF((L129&gt;$B$7)*(L129&lt;=$C$7),$M129,"")</f>
        <v/>
      </c>
      <c r="R129" s="44">
        <f>IF((L129&gt;$B$8)*(L129&lt;=$C$8),$M129,"")</f>
        <v/>
      </c>
    </row>
    <row r="130">
      <c r="L130" s="42" t="n">
        <v>45637</v>
      </c>
      <c r="M130" s="43" t="n">
        <v>1575</v>
      </c>
      <c r="N130" s="44">
        <f>IF((L130&gt;$B$4)*(L130&lt;=$C$4),$M130,"")</f>
        <v/>
      </c>
      <c r="O130" s="44">
        <f>IF((L130&gt;$B$5)*(L130&lt;=$C$5),$M130,"")</f>
        <v/>
      </c>
      <c r="P130" s="44">
        <f>IF((L130&gt;$B$6)*(L130&lt;=$C$6),$M130,"")</f>
        <v/>
      </c>
      <c r="Q130" s="44">
        <f>IF((L130&gt;$B$7)*(L130&lt;=$C$7),$M130,"")</f>
        <v/>
      </c>
      <c r="R130" s="44">
        <f>IF((L130&gt;$B$8)*(L130&lt;=$C$8),$M130,"")</f>
        <v/>
      </c>
    </row>
    <row r="131">
      <c r="L131" s="42" t="n">
        <v>45638</v>
      </c>
      <c r="M131" s="43" t="n">
        <v>1575</v>
      </c>
      <c r="N131" s="44">
        <f>IF((L131&gt;$B$4)*(L131&lt;=$C$4),$M131,"")</f>
        <v/>
      </c>
      <c r="O131" s="44">
        <f>IF((L131&gt;$B$5)*(L131&lt;=$C$5),$M131,"")</f>
        <v/>
      </c>
      <c r="P131" s="44">
        <f>IF((L131&gt;$B$6)*(L131&lt;=$C$6),$M131,"")</f>
        <v/>
      </c>
      <c r="Q131" s="44">
        <f>IF((L131&gt;$B$7)*(L131&lt;=$C$7),$M131,"")</f>
        <v/>
      </c>
      <c r="R131" s="44">
        <f>IF((L131&gt;$B$8)*(L131&lt;=$C$8),$M131,"")</f>
        <v/>
      </c>
    </row>
    <row r="132">
      <c r="L132" s="42" t="n">
        <v>45639</v>
      </c>
      <c r="M132" s="43" t="n">
        <v>1575</v>
      </c>
      <c r="N132" s="44">
        <f>IF((L132&gt;$B$4)*(L132&lt;=$C$4),$M132,"")</f>
        <v/>
      </c>
      <c r="O132" s="44">
        <f>IF((L132&gt;$B$5)*(L132&lt;=$C$5),$M132,"")</f>
        <v/>
      </c>
      <c r="P132" s="44">
        <f>IF((L132&gt;$B$6)*(L132&lt;=$C$6),$M132,"")</f>
        <v/>
      </c>
      <c r="Q132" s="44">
        <f>IF((L132&gt;$B$7)*(L132&lt;=$C$7),$M132,"")</f>
        <v/>
      </c>
      <c r="R132" s="44">
        <f>IF((L132&gt;$B$8)*(L132&lt;=$C$8),$M132,"")</f>
        <v/>
      </c>
    </row>
    <row r="133">
      <c r="L133" s="42" t="n">
        <v>45642</v>
      </c>
      <c r="M133" s="43" t="n">
        <v>1575</v>
      </c>
      <c r="N133" s="44">
        <f>IF((L133&gt;$B$4)*(L133&lt;=$C$4),$M133,"")</f>
        <v/>
      </c>
      <c r="O133" s="44">
        <f>IF((L133&gt;$B$5)*(L133&lt;=$C$5),$M133,"")</f>
        <v/>
      </c>
      <c r="P133" s="44">
        <f>IF((L133&gt;$B$6)*(L133&lt;=$C$6),$M133,"")</f>
        <v/>
      </c>
      <c r="Q133" s="44">
        <f>IF((L133&gt;$B$7)*(L133&lt;=$C$7),$M133,"")</f>
        <v/>
      </c>
      <c r="R133" s="44">
        <f>IF((L133&gt;$B$8)*(L133&lt;=$C$8),$M133,"")</f>
        <v/>
      </c>
    </row>
    <row r="134">
      <c r="L134" s="42" t="n">
        <v>45643</v>
      </c>
      <c r="M134" s="43" t="n">
        <v>1575</v>
      </c>
      <c r="N134" s="44">
        <f>IF((L134&gt;$B$4)*(L134&lt;=$C$4),$M134,"")</f>
        <v/>
      </c>
      <c r="O134" s="44">
        <f>IF((L134&gt;$B$5)*(L134&lt;=$C$5),$M134,"")</f>
        <v/>
      </c>
      <c r="P134" s="44">
        <f>IF((L134&gt;$B$6)*(L134&lt;=$C$6),$M134,"")</f>
        <v/>
      </c>
      <c r="Q134" s="44">
        <f>IF((L134&gt;$B$7)*(L134&lt;=$C$7),$M134,"")</f>
        <v/>
      </c>
      <c r="R134" s="44">
        <f>IF((L134&gt;$B$8)*(L134&lt;=$C$8),$M134,"")</f>
        <v/>
      </c>
    </row>
    <row r="135">
      <c r="L135" s="42" t="n">
        <v>45644</v>
      </c>
      <c r="M135" s="43" t="n">
        <v>1575</v>
      </c>
      <c r="N135" s="44">
        <f>IF((L135&gt;$B$4)*(L135&lt;=$C$4),$M135,"")</f>
        <v/>
      </c>
      <c r="O135" s="44">
        <f>IF((L135&gt;$B$5)*(L135&lt;=$C$5),$M135,"")</f>
        <v/>
      </c>
      <c r="P135" s="44">
        <f>IF((L135&gt;$B$6)*(L135&lt;=$C$6),$M135,"")</f>
        <v/>
      </c>
      <c r="Q135" s="44">
        <f>IF((L135&gt;$B$7)*(L135&lt;=$C$7),$M135,"")</f>
        <v/>
      </c>
      <c r="R135" s="44">
        <f>IF((L135&gt;$B$8)*(L135&lt;=$C$8),$M135,"")</f>
        <v/>
      </c>
    </row>
    <row r="136">
      <c r="L136" s="42" t="n">
        <v>45645</v>
      </c>
      <c r="M136" s="43" t="n">
        <v>1575</v>
      </c>
      <c r="N136" s="44">
        <f>IF((L136&gt;$B$4)*(L136&lt;=$C$4),$M136,"")</f>
        <v/>
      </c>
      <c r="O136" s="44">
        <f>IF((L136&gt;$B$5)*(L136&lt;=$C$5),$M136,"")</f>
        <v/>
      </c>
      <c r="P136" s="44">
        <f>IF((L136&gt;$B$6)*(L136&lt;=$C$6),$M136,"")</f>
        <v/>
      </c>
      <c r="Q136" s="44">
        <f>IF((L136&gt;$B$7)*(L136&lt;=$C$7),$M136,"")</f>
        <v/>
      </c>
      <c r="R136" s="44">
        <f>IF((L136&gt;$B$8)*(L136&lt;=$C$8),$M136,"")</f>
        <v/>
      </c>
    </row>
    <row r="137">
      <c r="L137" s="42" t="n">
        <v>45646</v>
      </c>
      <c r="M137" s="43" t="n">
        <v>1575</v>
      </c>
      <c r="N137" s="44">
        <f>IF((L137&gt;$B$4)*(L137&lt;=$C$4),$M137,"")</f>
        <v/>
      </c>
      <c r="O137" s="44">
        <f>IF((L137&gt;$B$5)*(L137&lt;=$C$5),$M137,"")</f>
        <v/>
      </c>
      <c r="P137" s="44">
        <f>IF((L137&gt;$B$6)*(L137&lt;=$C$6),$M137,"")</f>
        <v/>
      </c>
      <c r="Q137" s="44">
        <f>IF((L137&gt;$B$7)*(L137&lt;=$C$7),$M137,"")</f>
        <v/>
      </c>
      <c r="R137" s="44">
        <f>IF((L137&gt;$B$8)*(L137&lt;=$C$8),$M137,"")</f>
        <v/>
      </c>
    </row>
    <row r="138">
      <c r="L138" s="42" t="n">
        <v>45649</v>
      </c>
      <c r="M138" s="43" t="n">
        <v>1575</v>
      </c>
      <c r="N138" s="44">
        <f>IF((L138&gt;$B$4)*(L138&lt;=$C$4),$M138,"")</f>
        <v/>
      </c>
      <c r="O138" s="44">
        <f>IF((L138&gt;$B$5)*(L138&lt;=$C$5),$M138,"")</f>
        <v/>
      </c>
      <c r="P138" s="44">
        <f>IF((L138&gt;$B$6)*(L138&lt;=$C$6),$M138,"")</f>
        <v/>
      </c>
      <c r="Q138" s="44">
        <f>IF((L138&gt;$B$7)*(L138&lt;=$C$7),$M138,"")</f>
        <v/>
      </c>
      <c r="R138" s="44">
        <f>IF((L138&gt;$B$8)*(L138&lt;=$C$8),$M138,"")</f>
        <v/>
      </c>
    </row>
    <row r="139">
      <c r="L139" s="42" t="n">
        <v>45650</v>
      </c>
      <c r="M139" s="43" t="n">
        <v>1575</v>
      </c>
      <c r="N139" s="44">
        <f>IF((L139&gt;$B$4)*(L139&lt;=$C$4),$M139,"")</f>
        <v/>
      </c>
      <c r="O139" s="44">
        <f>IF((L139&gt;$B$5)*(L139&lt;=$C$5),$M139,"")</f>
        <v/>
      </c>
      <c r="P139" s="44">
        <f>IF((L139&gt;$B$6)*(L139&lt;=$C$6),$M139,"")</f>
        <v/>
      </c>
      <c r="Q139" s="44">
        <f>IF((L139&gt;$B$7)*(L139&lt;=$C$7),$M139,"")</f>
        <v/>
      </c>
      <c r="R139" s="44">
        <f>IF((L139&gt;$B$8)*(L139&lt;=$C$8),$M139,"")</f>
        <v/>
      </c>
    </row>
    <row r="140">
      <c r="L140" s="42" t="n">
        <v>45651</v>
      </c>
      <c r="M140" s="43" t="n">
        <v>1575</v>
      </c>
      <c r="N140" s="44">
        <f>IF((L140&gt;$B$4)*(L140&lt;=$C$4),$M140,"")</f>
        <v/>
      </c>
      <c r="O140" s="44">
        <f>IF((L140&gt;$B$5)*(L140&lt;=$C$5),$M140,"")</f>
        <v/>
      </c>
      <c r="P140" s="44">
        <f>IF((L140&gt;$B$6)*(L140&lt;=$C$6),$M140,"")</f>
        <v/>
      </c>
      <c r="Q140" s="44">
        <f>IF((L140&gt;$B$7)*(L140&lt;=$C$7),$M140,"")</f>
        <v/>
      </c>
      <c r="R140" s="44">
        <f>IF((L140&gt;$B$8)*(L140&lt;=$C$8),$M140,"")</f>
        <v/>
      </c>
    </row>
    <row r="141">
      <c r="L141" s="42" t="n">
        <v>45652</v>
      </c>
      <c r="M141" s="43" t="n">
        <v>1575</v>
      </c>
      <c r="N141" s="44">
        <f>IF((L141&gt;$B$4)*(L141&lt;=$C$4),$M141,"")</f>
        <v/>
      </c>
      <c r="O141" s="44">
        <f>IF((L141&gt;$B$5)*(L141&lt;=$C$5),$M141,"")</f>
        <v/>
      </c>
      <c r="P141" s="44">
        <f>IF((L141&gt;$B$6)*(L141&lt;=$C$6),$M141,"")</f>
        <v/>
      </c>
      <c r="Q141" s="44">
        <f>IF((L141&gt;$B$7)*(L141&lt;=$C$7),$M141,"")</f>
        <v/>
      </c>
      <c r="R141" s="44">
        <f>IF((L141&gt;$B$8)*(L141&lt;=$C$8),$M141,"")</f>
        <v/>
      </c>
    </row>
    <row r="142">
      <c r="L142" s="42" t="n">
        <v>45653</v>
      </c>
      <c r="M142" s="43" t="n">
        <v>1575</v>
      </c>
      <c r="N142" s="44">
        <f>IF((L142&gt;$B$4)*(L142&lt;=$C$4),$M142,"")</f>
        <v/>
      </c>
      <c r="O142" s="44">
        <f>IF((L142&gt;$B$5)*(L142&lt;=$C$5),$M142,"")</f>
        <v/>
      </c>
      <c r="P142" s="44">
        <f>IF((L142&gt;$B$6)*(L142&lt;=$C$6),$M142,"")</f>
        <v/>
      </c>
      <c r="Q142" s="44">
        <f>IF((L142&gt;$B$7)*(L142&lt;=$C$7),$M142,"")</f>
        <v/>
      </c>
      <c r="R142" s="44">
        <f>IF((L142&gt;$B$8)*(L142&lt;=$C$8),$M142,"")</f>
        <v/>
      </c>
    </row>
    <row r="143">
      <c r="L143" s="42" t="n">
        <v>45657</v>
      </c>
      <c r="M143" s="43" t="n">
        <v>1575</v>
      </c>
      <c r="N143" s="44">
        <f>IF((L143&gt;$B$4)*(L143&lt;=$C$4),$M143,"")</f>
        <v/>
      </c>
      <c r="O143" s="44">
        <f>IF((L143&gt;$B$5)*(L143&lt;=$C$5),$M143,"")</f>
        <v/>
      </c>
      <c r="P143" s="44">
        <f>IF((L143&gt;$B$6)*(L143&lt;=$C$6),$M143,"")</f>
        <v/>
      </c>
      <c r="Q143" s="44">
        <f>IF((L143&gt;$B$7)*(L143&lt;=$C$7),$M143,"")</f>
        <v/>
      </c>
      <c r="R143" s="44">
        <f>IF((L143&gt;$B$8)*(L143&lt;=$C$8),$M143,"")</f>
        <v/>
      </c>
    </row>
    <row r="144">
      <c r="L144" s="42" t="n">
        <v>45659</v>
      </c>
      <c r="M144" s="43" t="n">
        <v>1575</v>
      </c>
      <c r="N144" s="44">
        <f>IF((L144&gt;$B$4)*(L144&lt;=$C$4),$M144,"")</f>
        <v/>
      </c>
      <c r="O144" s="44">
        <f>IF((L144&gt;$B$5)*(L144&lt;=$C$5),$M144,"")</f>
        <v/>
      </c>
      <c r="P144" s="44">
        <f>IF((L144&gt;$B$6)*(L144&lt;=$C$6),$M144,"")</f>
        <v/>
      </c>
      <c r="Q144" s="44">
        <f>IF((L144&gt;$B$7)*(L144&lt;=$C$7),$M144,"")</f>
        <v/>
      </c>
      <c r="R144" s="44">
        <f>IF((L144&gt;$B$8)*(L144&lt;=$C$8),$M144,"")</f>
        <v/>
      </c>
    </row>
    <row r="145">
      <c r="L145" s="42" t="n">
        <v>45660</v>
      </c>
      <c r="M145" s="43" t="n">
        <v>1575</v>
      </c>
      <c r="N145" s="44">
        <f>IF((L145&gt;$B$4)*(L145&lt;=$C$4),$M145,"")</f>
        <v/>
      </c>
      <c r="O145" s="44">
        <f>IF((L145&gt;$B$5)*(L145&lt;=$C$5),$M145,"")</f>
        <v/>
      </c>
      <c r="P145" s="44">
        <f>IF((L145&gt;$B$6)*(L145&lt;=$C$6),$M145,"")</f>
        <v/>
      </c>
      <c r="Q145" s="44">
        <f>IF((L145&gt;$B$7)*(L145&lt;=$C$7),$M145,"")</f>
        <v/>
      </c>
      <c r="R145" s="44">
        <f>IF((L145&gt;$B$8)*(L145&lt;=$C$8),$M145,"")</f>
        <v/>
      </c>
    </row>
    <row r="146">
      <c r="L146" s="42" t="n">
        <v>45663</v>
      </c>
      <c r="M146" s="43" t="n">
        <v>1575</v>
      </c>
      <c r="N146" s="44">
        <f>IF((L146&gt;$B$4)*(L146&lt;=$C$4),$M146,"")</f>
        <v/>
      </c>
      <c r="O146" s="44">
        <f>IF((L146&gt;$B$5)*(L146&lt;=$C$5),$M146,"")</f>
        <v/>
      </c>
      <c r="P146" s="44">
        <f>IF((L146&gt;$B$6)*(L146&lt;=$C$6),$M146,"")</f>
        <v/>
      </c>
      <c r="Q146" s="44">
        <f>IF((L146&gt;$B$7)*(L146&lt;=$C$7),$M146,"")</f>
        <v/>
      </c>
      <c r="R146" s="44">
        <f>IF((L146&gt;$B$8)*(L146&lt;=$C$8),$M146,"")</f>
        <v/>
      </c>
    </row>
    <row r="147">
      <c r="L147" s="42" t="n">
        <v>45664</v>
      </c>
      <c r="M147" s="43" t="n">
        <v>1575</v>
      </c>
      <c r="N147" s="44">
        <f>IF((L147&gt;$B$4)*(L147&lt;=$C$4),$M147,"")</f>
        <v/>
      </c>
      <c r="O147" s="44">
        <f>IF((L147&gt;$B$5)*(L147&lt;=$C$5),$M147,"")</f>
        <v/>
      </c>
      <c r="P147" s="44">
        <f>IF((L147&gt;$B$6)*(L147&lt;=$C$6),$M147,"")</f>
        <v/>
      </c>
      <c r="Q147" s="44">
        <f>IF((L147&gt;$B$7)*(L147&lt;=$C$7),$M147,"")</f>
        <v/>
      </c>
      <c r="R147" s="44">
        <f>IF((L147&gt;$B$8)*(L147&lt;=$C$8),$M147,"")</f>
        <v/>
      </c>
    </row>
    <row r="148">
      <c r="L148" s="42" t="n">
        <v>45665</v>
      </c>
      <c r="M148" s="43" t="n">
        <v>1575</v>
      </c>
      <c r="N148" s="44">
        <f>IF((L148&gt;$B$4)*(L148&lt;=$C$4),$M148,"")</f>
        <v/>
      </c>
      <c r="O148" s="44">
        <f>IF((L148&gt;$B$5)*(L148&lt;=$C$5),$M148,"")</f>
        <v/>
      </c>
      <c r="P148" s="44">
        <f>IF((L148&gt;$B$6)*(L148&lt;=$C$6),$M148,"")</f>
        <v/>
      </c>
      <c r="Q148" s="44">
        <f>IF((L148&gt;$B$7)*(L148&lt;=$C$7),$M148,"")</f>
        <v/>
      </c>
      <c r="R148" s="44">
        <f>IF((L148&gt;$B$8)*(L148&lt;=$C$8),$M148,"")</f>
        <v/>
      </c>
    </row>
    <row r="149">
      <c r="L149" s="42" t="n">
        <v>45666</v>
      </c>
      <c r="M149" s="43" t="n">
        <v>1575</v>
      </c>
      <c r="N149" s="44">
        <f>IF((L149&gt;$B$4)*(L149&lt;=$C$4),$M149,"")</f>
        <v/>
      </c>
      <c r="O149" s="44">
        <f>IF((L149&gt;$B$5)*(L149&lt;=$C$5),$M149,"")</f>
        <v/>
      </c>
      <c r="P149" s="44">
        <f>IF((L149&gt;$B$6)*(L149&lt;=$C$6),$M149,"")</f>
        <v/>
      </c>
      <c r="Q149" s="44">
        <f>IF((L149&gt;$B$7)*(L149&lt;=$C$7),$M149,"")</f>
        <v/>
      </c>
      <c r="R149" s="44">
        <f>IF((L149&gt;$B$8)*(L149&lt;=$C$8),$M149,"")</f>
        <v/>
      </c>
    </row>
    <row r="150">
      <c r="L150" s="42" t="n">
        <v>45667</v>
      </c>
      <c r="M150" s="43" t="n">
        <v>1575</v>
      </c>
      <c r="N150" s="44">
        <f>IF((L150&gt;$B$4)*(L150&lt;=$C$4),$M150,"")</f>
        <v/>
      </c>
      <c r="O150" s="44">
        <f>IF((L150&gt;$B$5)*(L150&lt;=$C$5),$M150,"")</f>
        <v/>
      </c>
      <c r="P150" s="44">
        <f>IF((L150&gt;$B$6)*(L150&lt;=$C$6),$M150,"")</f>
        <v/>
      </c>
      <c r="Q150" s="44">
        <f>IF((L150&gt;$B$7)*(L150&lt;=$C$7),$M150,"")</f>
        <v/>
      </c>
      <c r="R150" s="44">
        <f>IF((L150&gt;$B$8)*(L150&lt;=$C$8),$M150,"")</f>
        <v/>
      </c>
    </row>
    <row r="151">
      <c r="L151" s="42" t="n">
        <v>45670</v>
      </c>
      <c r="M151" s="43" t="n">
        <v>1510</v>
      </c>
      <c r="N151" s="44">
        <f>IF((L151&gt;$B$4)*(L151&lt;=$C$4),$M151,"")</f>
        <v/>
      </c>
      <c r="O151" s="44">
        <f>IF((L151&gt;$B$5)*(L151&lt;=$C$5),$M151,"")</f>
        <v/>
      </c>
      <c r="P151" s="44">
        <f>IF((L151&gt;$B$6)*(L151&lt;=$C$6),$M151,"")</f>
        <v/>
      </c>
      <c r="Q151" s="44">
        <f>IF((L151&gt;$B$7)*(L151&lt;=$C$7),$M151,"")</f>
        <v/>
      </c>
      <c r="R151" s="44">
        <f>IF((L151&gt;$B$8)*(L151&lt;=$C$8),$M151,"")</f>
        <v/>
      </c>
    </row>
    <row r="152">
      <c r="L152" s="42" t="n">
        <v>45671</v>
      </c>
      <c r="M152" s="43" t="n">
        <v>1510</v>
      </c>
      <c r="N152" s="44">
        <f>IF((L152&gt;$B$4)*(L152&lt;=$C$4),$M152,"")</f>
        <v/>
      </c>
      <c r="O152" s="44">
        <f>IF((L152&gt;$B$5)*(L152&lt;=$C$5),$M152,"")</f>
        <v/>
      </c>
      <c r="P152" s="44">
        <f>IF((L152&gt;$B$6)*(L152&lt;=$C$6),$M152,"")</f>
        <v/>
      </c>
      <c r="Q152" s="44">
        <f>IF((L152&gt;$B$7)*(L152&lt;=$C$7),$M152,"")</f>
        <v/>
      </c>
      <c r="R152" s="44">
        <f>IF((L152&gt;$B$8)*(L152&lt;=$C$8),$M152,"")</f>
        <v/>
      </c>
    </row>
    <row r="153">
      <c r="L153" s="42" t="n">
        <v>45672</v>
      </c>
      <c r="M153" s="43" t="n">
        <v>1510</v>
      </c>
      <c r="N153" s="44">
        <f>IF((L153&gt;$B$4)*(L153&lt;=$C$4),$M153,"")</f>
        <v/>
      </c>
      <c r="O153" s="44">
        <f>IF((L153&gt;$B$5)*(L153&lt;=$C$5),$M153,"")</f>
        <v/>
      </c>
      <c r="P153" s="44">
        <f>IF((L153&gt;$B$6)*(L153&lt;=$C$6),$M153,"")</f>
        <v/>
      </c>
      <c r="Q153" s="44">
        <f>IF((L153&gt;$B$7)*(L153&lt;=$C$7),$M153,"")</f>
        <v/>
      </c>
      <c r="R153" s="44">
        <f>IF((L153&gt;$B$8)*(L153&lt;=$C$8),$M153,"")</f>
        <v/>
      </c>
    </row>
    <row r="154">
      <c r="L154" s="42" t="n">
        <v>45673</v>
      </c>
      <c r="M154" s="43" t="n">
        <v>1510</v>
      </c>
      <c r="N154" s="44">
        <f>IF((L154&gt;$B$4)*(L154&lt;=$C$4),$M154,"")</f>
        <v/>
      </c>
      <c r="O154" s="44">
        <f>IF((L154&gt;$B$5)*(L154&lt;=$C$5),$M154,"")</f>
        <v/>
      </c>
      <c r="P154" s="44">
        <f>IF((L154&gt;$B$6)*(L154&lt;=$C$6),$M154,"")</f>
        <v/>
      </c>
      <c r="Q154" s="44">
        <f>IF((L154&gt;$B$7)*(L154&lt;=$C$7),$M154,"")</f>
        <v/>
      </c>
      <c r="R154" s="44">
        <f>IF((L154&gt;$B$8)*(L154&lt;=$C$8),$M154,"")</f>
        <v/>
      </c>
    </row>
    <row r="155">
      <c r="L155" s="42" t="n">
        <v>45674</v>
      </c>
      <c r="M155" s="43" t="n">
        <v>1510</v>
      </c>
      <c r="N155" s="44">
        <f>IF((L155&gt;$B$4)*(L155&lt;=$C$4),$M155,"")</f>
        <v/>
      </c>
      <c r="O155" s="44">
        <f>IF((L155&gt;$B$5)*(L155&lt;=$C$5),$M155,"")</f>
        <v/>
      </c>
      <c r="P155" s="44">
        <f>IF((L155&gt;$B$6)*(L155&lt;=$C$6),$M155,"")</f>
        <v/>
      </c>
      <c r="Q155" s="44">
        <f>IF((L155&gt;$B$7)*(L155&lt;=$C$7),$M155,"")</f>
        <v/>
      </c>
      <c r="R155" s="44">
        <f>IF((L155&gt;$B$8)*(L155&lt;=$C$8),$M155,"")</f>
        <v/>
      </c>
    </row>
    <row r="156">
      <c r="L156" s="42" t="n">
        <v>45677</v>
      </c>
      <c r="M156" s="43" t="n">
        <v>1510</v>
      </c>
      <c r="N156" s="44">
        <f>IF((L156&gt;$B$4)*(L156&lt;=$C$4),$M156,"")</f>
        <v/>
      </c>
      <c r="O156" s="44">
        <f>IF((L156&gt;$B$5)*(L156&lt;=$C$5),$M156,"")</f>
        <v/>
      </c>
      <c r="P156" s="44">
        <f>IF((L156&gt;$B$6)*(L156&lt;=$C$6),$M156,"")</f>
        <v/>
      </c>
      <c r="Q156" s="44">
        <f>IF((L156&gt;$B$7)*(L156&lt;=$C$7),$M156,"")</f>
        <v/>
      </c>
      <c r="R156" s="44">
        <f>IF((L156&gt;$B$8)*(L156&lt;=$C$8),$M156,"")</f>
        <v/>
      </c>
    </row>
    <row r="157">
      <c r="L157" s="42" t="n">
        <v>45678</v>
      </c>
      <c r="M157" s="43" t="n">
        <v>1510</v>
      </c>
      <c r="N157" s="44">
        <f>IF((L157&gt;$B$4)*(L157&lt;=$C$4),$M157,"")</f>
        <v/>
      </c>
      <c r="O157" s="44">
        <f>IF((L157&gt;$B$5)*(L157&lt;=$C$5),$M157,"")</f>
        <v/>
      </c>
      <c r="P157" s="44">
        <f>IF((L157&gt;$B$6)*(L157&lt;=$C$6),$M157,"")</f>
        <v/>
      </c>
      <c r="Q157" s="44">
        <f>IF((L157&gt;$B$7)*(L157&lt;=$C$7),$M157,"")</f>
        <v/>
      </c>
      <c r="R157" s="44">
        <f>IF((L157&gt;$B$8)*(L157&lt;=$C$8),$M157,"")</f>
        <v/>
      </c>
    </row>
    <row r="158">
      <c r="L158" s="42" t="n">
        <v>45679</v>
      </c>
      <c r="M158" s="43" t="n">
        <v>1510</v>
      </c>
      <c r="N158" s="44">
        <f>IF((L158&gt;$B$4)*(L158&lt;=$C$4),$M158,"")</f>
        <v/>
      </c>
      <c r="O158" s="44">
        <f>IF((L158&gt;$B$5)*(L158&lt;=$C$5),$M158,"")</f>
        <v/>
      </c>
      <c r="P158" s="44">
        <f>IF((L158&gt;$B$6)*(L158&lt;=$C$6),$M158,"")</f>
        <v/>
      </c>
      <c r="Q158" s="44">
        <f>IF((L158&gt;$B$7)*(L158&lt;=$C$7),$M158,"")</f>
        <v/>
      </c>
      <c r="R158" s="44">
        <f>IF((L158&gt;$B$8)*(L158&lt;=$C$8),$M158,"")</f>
        <v/>
      </c>
    </row>
    <row r="159">
      <c r="L159" s="42" t="n">
        <v>45680</v>
      </c>
      <c r="M159" s="43" t="n">
        <v>1510</v>
      </c>
      <c r="N159" s="44">
        <f>IF((L159&gt;$B$4)*(L159&lt;=$C$4),$M159,"")</f>
        <v/>
      </c>
      <c r="O159" s="44">
        <f>IF((L159&gt;$B$5)*(L159&lt;=$C$5),$M159,"")</f>
        <v/>
      </c>
      <c r="P159" s="44">
        <f>IF((L159&gt;$B$6)*(L159&lt;=$C$6),$M159,"")</f>
        <v/>
      </c>
      <c r="Q159" s="44">
        <f>IF((L159&gt;$B$7)*(L159&lt;=$C$7),$M159,"")</f>
        <v/>
      </c>
      <c r="R159" s="44">
        <f>IF((L159&gt;$B$8)*(L159&lt;=$C$8),$M159,"")</f>
        <v/>
      </c>
    </row>
    <row r="160">
      <c r="L160" s="42" t="n">
        <v>45681</v>
      </c>
      <c r="M160" s="43" t="n">
        <v>1510</v>
      </c>
      <c r="N160" s="44">
        <f>IF((L160&gt;$B$4)*(L160&lt;=$C$4),$M160,"")</f>
        <v/>
      </c>
      <c r="O160" s="44">
        <f>IF((L160&gt;$B$5)*(L160&lt;=$C$5),$M160,"")</f>
        <v/>
      </c>
      <c r="P160" s="44">
        <f>IF((L160&gt;$B$6)*(L160&lt;=$C$6),$M160,"")</f>
        <v/>
      </c>
      <c r="Q160" s="44">
        <f>IF((L160&gt;$B$7)*(L160&lt;=$C$7),$M160,"")</f>
        <v/>
      </c>
      <c r="R160" s="44">
        <f>IF((L160&gt;$B$8)*(L160&lt;=$C$8),$M160,"")</f>
        <v/>
      </c>
    </row>
    <row r="161">
      <c r="L161" s="42" t="n">
        <v>45682</v>
      </c>
      <c r="M161" s="43" t="n">
        <v>1510</v>
      </c>
      <c r="N161" s="44">
        <f>IF((L161&gt;$B$4)*(L161&lt;=$C$4),$M161,"")</f>
        <v/>
      </c>
      <c r="O161" s="44">
        <f>IF((L161&gt;$B$5)*(L161&lt;=$C$5),$M161,"")</f>
        <v/>
      </c>
      <c r="P161" s="44">
        <f>IF((L161&gt;$B$6)*(L161&lt;=$C$6),$M161,"")</f>
        <v/>
      </c>
      <c r="Q161" s="44">
        <f>IF((L161&gt;$B$7)*(L161&lt;=$C$7),$M161,"")</f>
        <v/>
      </c>
      <c r="R161" s="44">
        <f>IF((L161&gt;$B$8)*(L161&lt;=$C$8),$M161,"")</f>
        <v/>
      </c>
    </row>
    <row r="162">
      <c r="L162" s="42" t="n">
        <v>45694</v>
      </c>
      <c r="M162" s="43" t="n">
        <v>1485</v>
      </c>
      <c r="N162" s="44">
        <f>IF((L162&gt;$B$4)*(L162&lt;=$C$4),$M162,"")</f>
        <v/>
      </c>
      <c r="O162" s="44">
        <f>IF((L162&gt;$B$5)*(L162&lt;=$C$5),$M162,"")</f>
        <v/>
      </c>
      <c r="P162" s="44">
        <f>IF((L162&gt;$B$6)*(L162&lt;=$C$6),$M162,"")</f>
        <v/>
      </c>
      <c r="Q162" s="44">
        <f>IF((L162&gt;$B$7)*(L162&lt;=$C$7),$M162,"")</f>
        <v/>
      </c>
      <c r="R162" s="44">
        <f>IF((L162&gt;$B$8)*(L162&lt;=$C$8),$M162,"")</f>
        <v/>
      </c>
    </row>
    <row r="163">
      <c r="L163" s="42" t="n">
        <v>45695</v>
      </c>
      <c r="M163" s="43" t="n">
        <v>1485</v>
      </c>
      <c r="N163" s="44">
        <f>IF((L163&gt;$B$4)*(L163&lt;=$C$4),$M163,"")</f>
        <v/>
      </c>
      <c r="O163" s="44">
        <f>IF((L163&gt;$B$5)*(L163&lt;=$C$5),$M163,"")</f>
        <v/>
      </c>
      <c r="P163" s="44">
        <f>IF((L163&gt;$B$6)*(L163&lt;=$C$6),$M163,"")</f>
        <v/>
      </c>
      <c r="Q163" s="44">
        <f>IF((L163&gt;$B$7)*(L163&lt;=$C$7),$M163,"")</f>
        <v/>
      </c>
      <c r="R163" s="44">
        <f>IF((L163&gt;$B$8)*(L163&lt;=$C$8),$M163,"")</f>
        <v/>
      </c>
    </row>
    <row r="164">
      <c r="L164" s="42" t="n">
        <v>45696</v>
      </c>
      <c r="M164" s="43" t="n">
        <v>1485</v>
      </c>
      <c r="N164" s="44">
        <f>IF((L164&gt;$B$4)*(L164&lt;=$C$4),$M164,"")</f>
        <v/>
      </c>
      <c r="O164" s="44">
        <f>IF((L164&gt;$B$5)*(L164&lt;=$C$5),$M164,"")</f>
        <v/>
      </c>
      <c r="P164" s="44">
        <f>IF((L164&gt;$B$6)*(L164&lt;=$C$6),$M164,"")</f>
        <v/>
      </c>
      <c r="Q164" s="44">
        <f>IF((L164&gt;$B$7)*(L164&lt;=$C$7),$M164,"")</f>
        <v/>
      </c>
      <c r="R164" s="44">
        <f>IF((L164&gt;$B$8)*(L164&lt;=$C$8),$M164,"")</f>
        <v/>
      </c>
    </row>
    <row r="165">
      <c r="L165" s="42" t="n">
        <v>45698</v>
      </c>
      <c r="M165" s="43" t="n">
        <v>1450</v>
      </c>
      <c r="N165" s="44">
        <f>IF((L165&gt;$B$4)*(L165&lt;=$C$4),$M165,"")</f>
        <v/>
      </c>
      <c r="O165" s="44">
        <f>IF((L165&gt;$B$5)*(L165&lt;=$C$5),$M165,"")</f>
        <v/>
      </c>
      <c r="P165" s="44">
        <f>IF((L165&gt;$B$6)*(L165&lt;=$C$6),$M165,"")</f>
        <v/>
      </c>
      <c r="Q165" s="44">
        <f>IF((L165&gt;$B$7)*(L165&lt;=$C$7),$M165,"")</f>
        <v/>
      </c>
      <c r="R165" s="44">
        <f>IF((L165&gt;$B$8)*(L165&lt;=$C$8),$M165,"")</f>
        <v/>
      </c>
    </row>
    <row r="166">
      <c r="L166" s="42" t="n">
        <v>45699</v>
      </c>
      <c r="M166" s="43" t="n">
        <v>1450</v>
      </c>
      <c r="N166" s="44">
        <f>IF((L166&gt;$B$4)*(L166&lt;=$C$4),$M166,"")</f>
        <v/>
      </c>
      <c r="O166" s="44">
        <f>IF((L166&gt;$B$5)*(L166&lt;=$C$5),$M166,"")</f>
        <v/>
      </c>
      <c r="P166" s="44">
        <f>IF((L166&gt;$B$6)*(L166&lt;=$C$6),$M166,"")</f>
        <v/>
      </c>
      <c r="Q166" s="44">
        <f>IF((L166&gt;$B$7)*(L166&lt;=$C$7),$M166,"")</f>
        <v/>
      </c>
      <c r="R166" s="44">
        <f>IF((L166&gt;$B$8)*(L166&lt;=$C$8),$M166,"")</f>
        <v/>
      </c>
    </row>
    <row r="167">
      <c r="L167" s="42" t="n">
        <v>45700</v>
      </c>
      <c r="M167" s="43" t="n">
        <v>1450</v>
      </c>
      <c r="N167" s="44">
        <f>IF((L167&gt;$B$4)*(L167&lt;=$C$4),$M167,"")</f>
        <v/>
      </c>
      <c r="O167" s="44">
        <f>IF((L167&gt;$B$5)*(L167&lt;=$C$5),$M167,"")</f>
        <v/>
      </c>
      <c r="P167" s="44">
        <f>IF((L167&gt;$B$6)*(L167&lt;=$C$6),$M167,"")</f>
        <v/>
      </c>
      <c r="Q167" s="44">
        <f>IF((L167&gt;$B$7)*(L167&lt;=$C$7),$M167,"")</f>
        <v/>
      </c>
      <c r="R167" s="44">
        <f>IF((L167&gt;$B$8)*(L167&lt;=$C$8),$M167,"")</f>
        <v/>
      </c>
    </row>
    <row r="168">
      <c r="L168" s="42" t="n">
        <v>45701</v>
      </c>
      <c r="M168" s="43" t="n">
        <v>1450</v>
      </c>
      <c r="N168" s="44">
        <f>IF((L168&gt;$B$4)*(L168&lt;=$C$4),$M168,"")</f>
        <v/>
      </c>
      <c r="O168" s="44">
        <f>IF((L168&gt;$B$5)*(L168&lt;=$C$5),$M168,"")</f>
        <v/>
      </c>
      <c r="P168" s="44">
        <f>IF((L168&gt;$B$6)*(L168&lt;=$C$6),$M168,"")</f>
        <v/>
      </c>
      <c r="Q168" s="44">
        <f>IF((L168&gt;$B$7)*(L168&lt;=$C$7),$M168,"")</f>
        <v/>
      </c>
      <c r="R168" s="44">
        <f>IF((L168&gt;$B$8)*(L168&lt;=$C$8),$M168,"")</f>
        <v/>
      </c>
    </row>
    <row r="169">
      <c r="L169" s="42" t="n">
        <v>45702</v>
      </c>
      <c r="M169" s="43" t="n">
        <v>1450</v>
      </c>
      <c r="N169" s="44">
        <f>IF((L169&gt;$B$4)*(L169&lt;=$C$4),$M169,"")</f>
        <v/>
      </c>
      <c r="O169" s="44">
        <f>IF((L169&gt;$B$5)*(L169&lt;=$C$5),$M169,"")</f>
        <v/>
      </c>
      <c r="P169" s="44">
        <f>IF((L169&gt;$B$6)*(L169&lt;=$C$6),$M169,"")</f>
        <v/>
      </c>
      <c r="Q169" s="44">
        <f>IF((L169&gt;$B$7)*(L169&lt;=$C$7),$M169,"")</f>
        <v/>
      </c>
      <c r="R169" s="44">
        <f>IF((L169&gt;$B$8)*(L169&lt;=$C$8),$M169,"")</f>
        <v/>
      </c>
    </row>
    <row r="170">
      <c r="L170" s="42" t="n">
        <v>45705</v>
      </c>
      <c r="M170" s="43" t="n">
        <v>1450</v>
      </c>
      <c r="N170" s="44">
        <f>IF((L170&gt;$B$4)*(L170&lt;=$C$4),$M170,"")</f>
        <v/>
      </c>
      <c r="O170" s="44">
        <f>IF((L170&gt;$B$5)*(L170&lt;=$C$5),$M170,"")</f>
        <v/>
      </c>
      <c r="P170" s="44">
        <f>IF((L170&gt;$B$6)*(L170&lt;=$C$6),$M170,"")</f>
        <v/>
      </c>
      <c r="Q170" s="44">
        <f>IF((L170&gt;$B$7)*(L170&lt;=$C$7),$M170,"")</f>
        <v/>
      </c>
      <c r="R170" s="44">
        <f>IF((L170&gt;$B$8)*(L170&lt;=$C$8),$M170,"")</f>
        <v/>
      </c>
    </row>
    <row r="171">
      <c r="L171" s="42" t="n">
        <v>45707</v>
      </c>
      <c r="M171" s="43" t="n">
        <v>1450</v>
      </c>
      <c r="N171" s="44">
        <f>IF((L171&gt;$B$4)*(L171&lt;=$C$4),$M171,"")</f>
        <v/>
      </c>
      <c r="O171" s="44">
        <f>IF((L171&gt;$B$5)*(L171&lt;=$C$5),$M171,"")</f>
        <v/>
      </c>
      <c r="P171" s="44">
        <f>IF((L171&gt;$B$6)*(L171&lt;=$C$6),$M171,"")</f>
        <v/>
      </c>
      <c r="Q171" s="44">
        <f>IF((L171&gt;$B$7)*(L171&lt;=$C$7),$M171,"")</f>
        <v/>
      </c>
      <c r="R171" s="44">
        <f>IF((L171&gt;$B$8)*(L171&lt;=$C$8),$M171,"")</f>
        <v/>
      </c>
    </row>
    <row r="172">
      <c r="L172" s="42" t="n">
        <v>45708</v>
      </c>
      <c r="M172" s="43" t="n">
        <v>1450</v>
      </c>
      <c r="N172" s="44">
        <f>IF((L172&gt;$B$4)*(L172&lt;=$C$4),$M172,"")</f>
        <v/>
      </c>
      <c r="O172" s="44">
        <f>IF((L172&gt;$B$5)*(L172&lt;=$C$5),$M172,"")</f>
        <v/>
      </c>
      <c r="P172" s="44">
        <f>IF((L172&gt;$B$6)*(L172&lt;=$C$6),$M172,"")</f>
        <v/>
      </c>
      <c r="Q172" s="44">
        <f>IF((L172&gt;$B$7)*(L172&lt;=$C$7),$M172,"")</f>
        <v/>
      </c>
      <c r="R172" s="44">
        <f>IF((L172&gt;$B$8)*(L172&lt;=$C$8),$M172,"")</f>
        <v/>
      </c>
    </row>
    <row r="173">
      <c r="L173" s="42" t="n">
        <v>45709</v>
      </c>
      <c r="M173" s="43" t="n">
        <v>1450</v>
      </c>
      <c r="N173" s="44">
        <f>IF((L173&gt;$B$4)*(L173&lt;=$C$4),$M173,"")</f>
        <v/>
      </c>
      <c r="O173" s="44">
        <f>IF((L173&gt;$B$5)*(L173&lt;=$C$5),$M173,"")</f>
        <v/>
      </c>
      <c r="P173" s="44">
        <f>IF((L173&gt;$B$6)*(L173&lt;=$C$6),$M173,"")</f>
        <v/>
      </c>
      <c r="Q173" s="44">
        <f>IF((L173&gt;$B$7)*(L173&lt;=$C$7),$M173,"")</f>
        <v/>
      </c>
      <c r="R173" s="44">
        <f>IF((L173&gt;$B$8)*(L173&lt;=$C$8),$M173,"")</f>
        <v/>
      </c>
    </row>
    <row r="174">
      <c r="L174" s="42" t="n">
        <v>45712</v>
      </c>
      <c r="M174" s="43" t="n">
        <v>1450</v>
      </c>
      <c r="N174" s="44">
        <f>IF((L174&gt;$B$4)*(L174&lt;=$C$4),$M174,"")</f>
        <v/>
      </c>
      <c r="O174" s="44">
        <f>IF((L174&gt;$B$5)*(L174&lt;=$C$5),$M174,"")</f>
        <v/>
      </c>
      <c r="P174" s="44">
        <f>IF((L174&gt;$B$6)*(L174&lt;=$C$6),$M174,"")</f>
        <v/>
      </c>
      <c r="Q174" s="44">
        <f>IF((L174&gt;$B$7)*(L174&lt;=$C$7),$M174,"")</f>
        <v/>
      </c>
      <c r="R174" s="44">
        <f>IF((L174&gt;$B$8)*(L174&lt;=$C$8),$M174,"")</f>
        <v/>
      </c>
    </row>
    <row r="175">
      <c r="L175" s="42" t="n">
        <v>45713</v>
      </c>
      <c r="M175" s="43" t="n">
        <v>1450</v>
      </c>
      <c r="N175" s="44">
        <f>IF((L175&gt;$B$4)*(L175&lt;=$C$4),$M175,"")</f>
        <v/>
      </c>
      <c r="O175" s="44">
        <f>IF((L175&gt;$B$5)*(L175&lt;=$C$5),$M175,"")</f>
        <v/>
      </c>
      <c r="P175" s="44">
        <f>IF((L175&gt;$B$6)*(L175&lt;=$C$6),$M175,"")</f>
        <v/>
      </c>
      <c r="Q175" s="44">
        <f>IF((L175&gt;$B$7)*(L175&lt;=$C$7),$M175,"")</f>
        <v/>
      </c>
      <c r="R175" s="44">
        <f>IF((L175&gt;$B$8)*(L175&lt;=$C$8),$M175,"")</f>
        <v/>
      </c>
    </row>
    <row r="176">
      <c r="L176" s="42" t="n">
        <v>45714</v>
      </c>
      <c r="M176" s="43" t="n">
        <v>1450</v>
      </c>
      <c r="N176" s="44">
        <f>IF((L176&gt;$B$4)*(L176&lt;=$C$4),$M176,"")</f>
        <v/>
      </c>
      <c r="O176" s="44">
        <f>IF((L176&gt;$B$5)*(L176&lt;=$C$5),$M176,"")</f>
        <v/>
      </c>
      <c r="P176" s="44">
        <f>IF((L176&gt;$B$6)*(L176&lt;=$C$6),$M176,"")</f>
        <v/>
      </c>
      <c r="Q176" s="44">
        <f>IF((L176&gt;$B$7)*(L176&lt;=$C$7),$M176,"")</f>
        <v/>
      </c>
      <c r="R176" s="44">
        <f>IF((L176&gt;$B$8)*(L176&lt;=$C$8),$M176,"")</f>
        <v/>
      </c>
    </row>
    <row r="177">
      <c r="L177" s="42" t="n">
        <v>45716</v>
      </c>
      <c r="M177" s="43" t="n">
        <v>1525</v>
      </c>
      <c r="N177" s="44">
        <f>IF((L177&gt;$B$4)*(L177&lt;=$C$4),$M177,"")</f>
        <v/>
      </c>
      <c r="O177" s="44">
        <f>IF((L177&gt;$B$5)*(L177&lt;=$C$5),$M177,"")</f>
        <v/>
      </c>
      <c r="P177" s="44">
        <f>IF((L177&gt;$B$6)*(L177&lt;=$C$6),$M177,"")</f>
        <v/>
      </c>
      <c r="Q177" s="44">
        <f>IF((L177&gt;$B$7)*(L177&lt;=$C$7),$M177,"")</f>
        <v/>
      </c>
      <c r="R177" s="44">
        <f>IF((L177&gt;$B$8)*(L177&lt;=$C$8),$M177,"")</f>
        <v/>
      </c>
    </row>
    <row r="178">
      <c r="L178" s="42" t="n">
        <v>45719</v>
      </c>
      <c r="M178" s="43" t="n">
        <v>1600</v>
      </c>
      <c r="N178" s="44">
        <f>IF((L178&gt;$B$4)*(L178&lt;=$C$4),$M178,"")</f>
        <v/>
      </c>
      <c r="O178" s="44">
        <f>IF((L178&gt;$B$5)*(L178&lt;=$C$5),$M178,"")</f>
        <v/>
      </c>
      <c r="P178" s="44">
        <f>IF((L178&gt;$B$6)*(L178&lt;=$C$6),$M178,"")</f>
        <v/>
      </c>
      <c r="Q178" s="44">
        <f>IF((L178&gt;$B$7)*(L178&lt;=$C$7),$M178,"")</f>
        <v/>
      </c>
      <c r="R178" s="44">
        <f>IF((L178&gt;$B$8)*(L178&lt;=$C$8),$M178,"")</f>
        <v/>
      </c>
    </row>
    <row r="179">
      <c r="L179" s="42" t="n">
        <v>45720</v>
      </c>
      <c r="M179" s="43" t="n">
        <v>1600</v>
      </c>
      <c r="N179" s="44">
        <f>IF((L179&gt;$B$4)*(L179&lt;=$C$4),$M179,"")</f>
        <v/>
      </c>
      <c r="O179" s="44">
        <f>IF((L179&gt;$B$5)*(L179&lt;=$C$5),$M179,"")</f>
        <v/>
      </c>
      <c r="P179" s="44">
        <f>IF((L179&gt;$B$6)*(L179&lt;=$C$6),$M179,"")</f>
        <v/>
      </c>
      <c r="Q179" s="44">
        <f>IF((L179&gt;$B$7)*(L179&lt;=$C$7),$M179,"")</f>
        <v/>
      </c>
      <c r="R179" s="44">
        <f>IF((L179&gt;$B$8)*(L179&lt;=$C$8),$M179,"")</f>
        <v/>
      </c>
    </row>
    <row r="180">
      <c r="L180" s="42" t="n">
        <v>45721</v>
      </c>
      <c r="M180" s="43" t="n">
        <v>1600</v>
      </c>
      <c r="N180" s="44">
        <f>IF((L180&gt;$B$4)*(L180&lt;=$C$4),$M180,"")</f>
        <v/>
      </c>
      <c r="O180" s="44">
        <f>IF((L180&gt;$B$5)*(L180&lt;=$C$5),$M180,"")</f>
        <v/>
      </c>
      <c r="P180" s="44">
        <f>IF((L180&gt;$B$6)*(L180&lt;=$C$6),$M180,"")</f>
        <v/>
      </c>
      <c r="Q180" s="44">
        <f>IF((L180&gt;$B$7)*(L180&lt;=$C$7),$M180,"")</f>
        <v/>
      </c>
      <c r="R180" s="44">
        <f>IF((L180&gt;$B$8)*(L180&lt;=$C$8),$M180,"")</f>
        <v/>
      </c>
    </row>
    <row r="181">
      <c r="L181" s="42" t="n">
        <v>45722</v>
      </c>
      <c r="M181" s="43" t="n">
        <v>1600</v>
      </c>
      <c r="N181" s="44">
        <f>IF((L181&gt;$B$4)*(L181&lt;=$C$4),$M181,"")</f>
        <v/>
      </c>
      <c r="O181" s="44">
        <f>IF((L181&gt;$B$5)*(L181&lt;=$C$5),$M181,"")</f>
        <v/>
      </c>
      <c r="P181" s="44">
        <f>IF((L181&gt;$B$6)*(L181&lt;=$C$6),$M181,"")</f>
        <v/>
      </c>
      <c r="Q181" s="44">
        <f>IF((L181&gt;$B$7)*(L181&lt;=$C$7),$M181,"")</f>
        <v/>
      </c>
      <c r="R181" s="44">
        <f>IF((L181&gt;$B$8)*(L181&lt;=$C$8),$M181,"")</f>
        <v/>
      </c>
    </row>
    <row r="182">
      <c r="L182" s="42" t="n">
        <v>45723</v>
      </c>
      <c r="M182" s="43" t="n">
        <v>1600</v>
      </c>
      <c r="N182" s="44">
        <f>IF((L182&gt;$B$4)*(L182&lt;=$C$4),$M182,"")</f>
        <v/>
      </c>
      <c r="O182" s="44">
        <f>IF((L182&gt;$B$5)*(L182&lt;=$C$5),$M182,"")</f>
        <v/>
      </c>
      <c r="P182" s="44">
        <f>IF((L182&gt;$B$6)*(L182&lt;=$C$6),$M182,"")</f>
        <v/>
      </c>
      <c r="Q182" s="44">
        <f>IF((L182&gt;$B$7)*(L182&lt;=$C$7),$M182,"")</f>
        <v/>
      </c>
      <c r="R182" s="44">
        <f>IF((L182&gt;$B$8)*(L182&lt;=$C$8),$M182,"")</f>
        <v/>
      </c>
    </row>
    <row r="183">
      <c r="L183" s="42" t="n">
        <v>45726</v>
      </c>
      <c r="M183" s="43" t="n">
        <v>1600</v>
      </c>
      <c r="N183" s="44">
        <f>IF((L183&gt;$B$4)*(L183&lt;=$C$4),$M183,"")</f>
        <v/>
      </c>
      <c r="O183" s="44">
        <f>IF((L183&gt;$B$5)*(L183&lt;=$C$5),$M183,"")</f>
        <v/>
      </c>
      <c r="P183" s="44">
        <f>IF((L183&gt;$B$6)*(L183&lt;=$C$6),$M183,"")</f>
        <v/>
      </c>
      <c r="Q183" s="44">
        <f>IF((L183&gt;$B$7)*(L183&lt;=$C$7),$M183,"")</f>
        <v/>
      </c>
      <c r="R183" s="44">
        <f>IF((L183&gt;$B$8)*(L183&lt;=$C$8),$M183,"")</f>
        <v/>
      </c>
    </row>
    <row r="184">
      <c r="L184" s="42" t="n">
        <v>45727</v>
      </c>
      <c r="M184" s="43" t="n">
        <v>1600</v>
      </c>
      <c r="N184" s="44">
        <f>IF((L184&gt;$B$4)*(L184&lt;=$C$4),$M184,"")</f>
        <v/>
      </c>
      <c r="O184" s="44">
        <f>IF((L184&gt;$B$5)*(L184&lt;=$C$5),$M184,"")</f>
        <v/>
      </c>
      <c r="P184" s="44">
        <f>IF((L184&gt;$B$6)*(L184&lt;=$C$6),$M184,"")</f>
        <v/>
      </c>
      <c r="Q184" s="44">
        <f>IF((L184&gt;$B$7)*(L184&lt;=$C$7),$M184,"")</f>
        <v/>
      </c>
      <c r="R184" s="44">
        <f>IF((L184&gt;$B$8)*(L184&lt;=$C$8),$M184,"")</f>
        <v/>
      </c>
    </row>
    <row r="185">
      <c r="L185" s="42" t="n">
        <v>45728</v>
      </c>
      <c r="M185" s="43" t="n">
        <v>1600</v>
      </c>
      <c r="N185" s="44">
        <f>IF((L185&gt;$B$4)*(L185&lt;=$C$4),$M185,"")</f>
        <v/>
      </c>
      <c r="O185" s="44">
        <f>IF((L185&gt;$B$5)*(L185&lt;=$C$5),$M185,"")</f>
        <v/>
      </c>
      <c r="P185" s="44">
        <f>IF((L185&gt;$B$6)*(L185&lt;=$C$6),$M185,"")</f>
        <v/>
      </c>
      <c r="Q185" s="44">
        <f>IF((L185&gt;$B$7)*(L185&lt;=$C$7),$M185,"")</f>
        <v/>
      </c>
      <c r="R185" s="44">
        <f>IF((L185&gt;$B$8)*(L185&lt;=$C$8),$M185,"")</f>
        <v/>
      </c>
    </row>
    <row r="186">
      <c r="L186" s="42" t="n">
        <v>45729</v>
      </c>
      <c r="M186" s="43" t="n">
        <v>1575</v>
      </c>
      <c r="N186" s="44">
        <f>IF((L186&gt;$B$4)*(L186&lt;=$C$4),$M186,"")</f>
        <v/>
      </c>
      <c r="O186" s="44">
        <f>IF((L186&gt;$B$5)*(L186&lt;=$C$5),$M186,"")</f>
        <v/>
      </c>
      <c r="P186" s="44">
        <f>IF((L186&gt;$B$6)*(L186&lt;=$C$6),$M186,"")</f>
        <v/>
      </c>
      <c r="Q186" s="44">
        <f>IF((L186&gt;$B$7)*(L186&lt;=$C$7),$M186,"")</f>
        <v/>
      </c>
      <c r="R186" s="44">
        <f>IF((L186&gt;$B$8)*(L186&lt;=$C$8),$M186,"")</f>
        <v/>
      </c>
    </row>
    <row r="187">
      <c r="L187" s="42" t="n">
        <v>45730</v>
      </c>
      <c r="M187" s="43" t="n">
        <v>1575</v>
      </c>
      <c r="N187" s="44">
        <f>IF((L187&gt;$B$4)*(L187&lt;=$C$4),$M187,"")</f>
        <v/>
      </c>
      <c r="O187" s="44">
        <f>IF((L187&gt;$B$5)*(L187&lt;=$C$5),$M187,"")</f>
        <v/>
      </c>
      <c r="P187" s="44">
        <f>IF((L187&gt;$B$6)*(L187&lt;=$C$6),$M187,"")</f>
        <v/>
      </c>
      <c r="Q187" s="44">
        <f>IF((L187&gt;$B$7)*(L187&lt;=$C$7),$M187,"")</f>
        <v/>
      </c>
      <c r="R187" s="44">
        <f>IF((L187&gt;$B$8)*(L187&lt;=$C$8),$M187,"")</f>
        <v/>
      </c>
    </row>
    <row r="188">
      <c r="L188" s="42" t="n">
        <v>45734</v>
      </c>
      <c r="M188" s="43" t="n">
        <v>1575</v>
      </c>
      <c r="N188" s="44">
        <f>IF((L188&gt;$B$4)*(L188&lt;=$C$4),$M188,"")</f>
        <v/>
      </c>
      <c r="O188" s="44">
        <f>IF((L188&gt;$B$5)*(L188&lt;=$C$5),$M188,"")</f>
        <v/>
      </c>
      <c r="P188" s="44">
        <f>IF((L188&gt;$B$6)*(L188&lt;=$C$6),$M188,"")</f>
        <v/>
      </c>
      <c r="Q188" s="44">
        <f>IF((L188&gt;$B$7)*(L188&lt;=$C$7),$M188,"")</f>
        <v/>
      </c>
      <c r="R188" s="44">
        <f>IF((L188&gt;$B$8)*(L188&lt;=$C$8),$M188,"")</f>
        <v/>
      </c>
    </row>
    <row r="189">
      <c r="L189" s="42" t="n">
        <v>45735</v>
      </c>
      <c r="M189" s="43" t="n">
        <v>1575</v>
      </c>
      <c r="N189" s="44">
        <f>IF((L189&gt;$B$4)*(L189&lt;=$C$4),$M189,"")</f>
        <v/>
      </c>
      <c r="O189" s="44">
        <f>IF((L189&gt;$B$5)*(L189&lt;=$C$5),$M189,"")</f>
        <v/>
      </c>
      <c r="P189" s="44">
        <f>IF((L189&gt;$B$6)*(L189&lt;=$C$6),$M189,"")</f>
        <v/>
      </c>
      <c r="Q189" s="44">
        <f>IF((L189&gt;$B$7)*(L189&lt;=$C$7),$M189,"")</f>
        <v/>
      </c>
      <c r="R189" s="44">
        <f>IF((L189&gt;$B$8)*(L189&lt;=$C$8),$M189,"")</f>
        <v/>
      </c>
    </row>
    <row r="190">
      <c r="L190" s="42" t="n">
        <v>45736</v>
      </c>
      <c r="M190" s="43" t="n">
        <v>1575</v>
      </c>
      <c r="N190" s="44">
        <f>IF((L190&gt;$B$4)*(L190&lt;=$C$4),$M190,"")</f>
        <v/>
      </c>
      <c r="O190" s="44">
        <f>IF((L190&gt;$B$5)*(L190&lt;=$C$5),$M190,"")</f>
        <v/>
      </c>
      <c r="P190" s="44">
        <f>IF((L190&gt;$B$6)*(L190&lt;=$C$6),$M190,"")</f>
        <v/>
      </c>
      <c r="Q190" s="44">
        <f>IF((L190&gt;$B$7)*(L190&lt;=$C$7),$M190,"")</f>
        <v/>
      </c>
      <c r="R190" s="44">
        <f>IF((L190&gt;$B$8)*(L190&lt;=$C$8),$M190,"")</f>
        <v/>
      </c>
    </row>
    <row r="191">
      <c r="L191" s="42" t="n">
        <v>45737</v>
      </c>
      <c r="M191" s="43" t="n">
        <v>1575</v>
      </c>
      <c r="N191" s="44">
        <f>IF((L191&gt;$B$4)*(L191&lt;=$C$4),$M191,"")</f>
        <v/>
      </c>
      <c r="O191" s="44">
        <f>IF((L191&gt;$B$5)*(L191&lt;=$C$5),$M191,"")</f>
        <v/>
      </c>
      <c r="P191" s="44">
        <f>IF((L191&gt;$B$6)*(L191&lt;=$C$6),$M191,"")</f>
        <v/>
      </c>
      <c r="Q191" s="44">
        <f>IF((L191&gt;$B$7)*(L191&lt;=$C$7),$M191,"")</f>
        <v/>
      </c>
      <c r="R191" s="44">
        <f>IF((L191&gt;$B$8)*(L191&lt;=$C$8),$M191,"")</f>
        <v/>
      </c>
    </row>
    <row r="192">
      <c r="L192" s="42" t="n">
        <v>45741</v>
      </c>
      <c r="M192" s="43" t="n">
        <v>1550</v>
      </c>
      <c r="N192" s="44">
        <f>IF((L192&gt;$B$4)*(L192&lt;=$C$4),$M192,"")</f>
        <v/>
      </c>
      <c r="O192" s="44">
        <f>IF((L192&gt;$B$5)*(L192&lt;=$C$5),$M192,"")</f>
        <v/>
      </c>
      <c r="P192" s="44">
        <f>IF((L192&gt;$B$6)*(L192&lt;=$C$6),$M192,"")</f>
        <v/>
      </c>
      <c r="Q192" s="44">
        <f>IF((L192&gt;$B$7)*(L192&lt;=$C$7),$M192,"")</f>
        <v/>
      </c>
      <c r="R192" s="44">
        <f>IF((L192&gt;$B$8)*(L192&lt;=$C$8),$M192,"")</f>
        <v/>
      </c>
    </row>
    <row r="193">
      <c r="L193" s="42" t="n">
        <v>45742</v>
      </c>
      <c r="M193" s="43" t="n">
        <v>1550</v>
      </c>
      <c r="N193" s="44">
        <f>IF((L193&gt;$B$4)*(L193&lt;=$C$4),$M193,"")</f>
        <v/>
      </c>
      <c r="O193" s="44">
        <f>IF((L193&gt;$B$5)*(L193&lt;=$C$5),$M193,"")</f>
        <v/>
      </c>
      <c r="P193" s="44">
        <f>IF((L193&gt;$B$6)*(L193&lt;=$C$6),$M193,"")</f>
        <v/>
      </c>
      <c r="Q193" s="44">
        <f>IF((L193&gt;$B$7)*(L193&lt;=$C$7),$M193,"")</f>
        <v/>
      </c>
      <c r="R193" s="44">
        <f>IF((L193&gt;$B$8)*(L193&lt;=$C$8),$M193,"")</f>
        <v/>
      </c>
    </row>
    <row r="194">
      <c r="L194" s="42" t="n">
        <v>45743</v>
      </c>
      <c r="M194" s="43" t="n">
        <v>1550</v>
      </c>
      <c r="N194" s="44">
        <f>IF((L194&gt;$B$4)*(L194&lt;=$C$4),$M194,"")</f>
        <v/>
      </c>
      <c r="O194" s="44">
        <f>IF((L194&gt;$B$5)*(L194&lt;=$C$5),$M194,"")</f>
        <v/>
      </c>
      <c r="P194" s="44">
        <f>IF((L194&gt;$B$6)*(L194&lt;=$C$6),$M194,"")</f>
        <v/>
      </c>
      <c r="Q194" s="44">
        <f>IF((L194&gt;$B$7)*(L194&lt;=$C$7),$M194,"")</f>
        <v/>
      </c>
      <c r="R194" s="44">
        <f>IF((L194&gt;$B$8)*(L194&lt;=$C$8),$M194,"")</f>
        <v/>
      </c>
    </row>
    <row r="195">
      <c r="L195" s="42" t="n">
        <v>45744</v>
      </c>
      <c r="M195" s="43" t="n">
        <v>1550</v>
      </c>
      <c r="N195" s="44">
        <f>IF((L195&gt;$B$4)*(L195&lt;=$C$4),$M195,"")</f>
        <v/>
      </c>
      <c r="O195" s="44">
        <f>IF((L195&gt;$B$5)*(L195&lt;=$C$5),$M195,"")</f>
        <v/>
      </c>
      <c r="P195" s="44">
        <f>IF((L195&gt;$B$6)*(L195&lt;=$C$6),$M195,"")</f>
        <v/>
      </c>
      <c r="Q195" s="44">
        <f>IF((L195&gt;$B$7)*(L195&lt;=$C$7),$M195,"")</f>
        <v/>
      </c>
      <c r="R195" s="44">
        <f>IF((L195&gt;$B$8)*(L195&lt;=$C$8),$M195,"")</f>
        <v/>
      </c>
    </row>
    <row r="196">
      <c r="L196" s="42" t="n">
        <v>45749</v>
      </c>
      <c r="M196" s="43" t="n">
        <v>1550</v>
      </c>
      <c r="N196" s="44">
        <f>IF((L196&gt;$B$4)*(L196&lt;=$C$4),$M196,"")</f>
        <v/>
      </c>
      <c r="O196" s="44">
        <f>IF((L196&gt;$B$5)*(L196&lt;=$C$5),$M196,"")</f>
        <v/>
      </c>
      <c r="P196" s="44">
        <f>IF((L196&gt;$B$6)*(L196&lt;=$C$6),$M196,"")</f>
        <v/>
      </c>
      <c r="Q196" s="44">
        <f>IF((L196&gt;$B$7)*(L196&lt;=$C$7),$M196,"")</f>
        <v/>
      </c>
      <c r="R196" s="44">
        <f>IF((L196&gt;$B$8)*(L196&lt;=$C$8),$M196,"")</f>
        <v/>
      </c>
    </row>
    <row r="197">
      <c r="L197" s="42" t="n">
        <v>45750</v>
      </c>
      <c r="M197" s="43" t="n">
        <v>1525</v>
      </c>
      <c r="N197" s="44">
        <f>IF((L197&gt;$B$4)*(L197&lt;=$C$4),$M197,"")</f>
        <v/>
      </c>
      <c r="O197" s="44">
        <f>IF((L197&gt;$B$5)*(L197&lt;=$C$5),$M197,"")</f>
        <v/>
      </c>
      <c r="P197" s="44">
        <f>IF((L197&gt;$B$6)*(L197&lt;=$C$6),$M197,"")</f>
        <v/>
      </c>
      <c r="Q197" s="44">
        <f>IF((L197&gt;$B$7)*(L197&lt;=$C$7),$M197,"")</f>
        <v/>
      </c>
      <c r="R197" s="44">
        <f>IF((L197&gt;$B$8)*(L197&lt;=$C$8),$M197,"")</f>
        <v/>
      </c>
    </row>
    <row r="198">
      <c r="L198" s="42" t="n">
        <v>45755</v>
      </c>
      <c r="M198" s="43" t="n">
        <v>1525</v>
      </c>
      <c r="N198" s="44">
        <f>IF((L198&gt;$B$4)*(L198&lt;=$C$4),$M198,"")</f>
        <v/>
      </c>
      <c r="O198" s="44">
        <f>IF((L198&gt;$B$5)*(L198&lt;=$C$5),$M198,"")</f>
        <v/>
      </c>
      <c r="P198" s="44">
        <f>IF((L198&gt;$B$6)*(L198&lt;=$C$6),$M198,"")</f>
        <v/>
      </c>
      <c r="Q198" s="44">
        <f>IF((L198&gt;$B$7)*(L198&lt;=$C$7),$M198,"")</f>
        <v/>
      </c>
      <c r="R198" s="44">
        <f>IF((L198&gt;$B$8)*(L198&lt;=$C$8),$M198,"")</f>
        <v/>
      </c>
    </row>
    <row r="199">
      <c r="L199" s="42" t="n">
        <v>45758</v>
      </c>
      <c r="M199" s="43" t="n">
        <v>1475</v>
      </c>
      <c r="N199" s="44">
        <f>IF((L199&gt;$B$4)*(L199&lt;=$C$4),$M199,"")</f>
        <v/>
      </c>
      <c r="O199" s="44">
        <f>IF((L199&gt;$B$5)*(L199&lt;=$C$5),$M199,"")</f>
        <v/>
      </c>
      <c r="P199" s="44">
        <f>IF((L199&gt;$B$6)*(L199&lt;=$C$6),$M199,"")</f>
        <v/>
      </c>
      <c r="Q199" s="44">
        <f>IF((L199&gt;$B$7)*(L199&lt;=$C$7),$M199,"")</f>
        <v/>
      </c>
      <c r="R199" s="44">
        <f>IF((L199&gt;$B$8)*(L199&lt;=$C$8),$M199,"")</f>
        <v/>
      </c>
    </row>
    <row r="200">
      <c r="L200" s="42" t="n">
        <v>45762</v>
      </c>
      <c r="M200" s="43" t="n">
        <v>1450</v>
      </c>
      <c r="N200" s="44">
        <f>IF((L200&gt;$B$4)*(L200&lt;=$C$4),$M200,"")</f>
        <v/>
      </c>
      <c r="O200" s="44">
        <f>IF((L200&gt;$B$5)*(L200&lt;=$C$5),$M200,"")</f>
        <v/>
      </c>
      <c r="P200" s="44">
        <f>IF((L200&gt;$B$6)*(L200&lt;=$C$6),$M200,"")</f>
        <v/>
      </c>
      <c r="Q200" s="44">
        <f>IF((L200&gt;$B$7)*(L200&lt;=$C$7),$M200,"")</f>
        <v/>
      </c>
      <c r="R200" s="44">
        <f>IF((L200&gt;$B$8)*(L200&lt;=$C$8),$M200,"")</f>
        <v/>
      </c>
    </row>
    <row r="201">
      <c r="L201" s="42" t="n">
        <v>45763</v>
      </c>
      <c r="M201" s="43" t="n">
        <v>1450</v>
      </c>
      <c r="N201" s="44">
        <f>IF((L201&gt;$B$4)*(L201&lt;=$C$4),$M201,"")</f>
        <v/>
      </c>
      <c r="O201" s="44">
        <f>IF((L201&gt;$B$5)*(L201&lt;=$C$5),$M201,"")</f>
        <v/>
      </c>
      <c r="P201" s="44">
        <f>IF((L201&gt;$B$6)*(L201&lt;=$C$6),$M201,"")</f>
        <v/>
      </c>
      <c r="Q201" s="44">
        <f>IF((L201&gt;$B$7)*(L201&lt;=$C$7),$M201,"")</f>
        <v/>
      </c>
      <c r="R201" s="44">
        <f>IF((L201&gt;$B$8)*(L201&lt;=$C$8),$M201,"")</f>
        <v/>
      </c>
    </row>
    <row r="202">
      <c r="L202" s="42" t="n">
        <v>45764</v>
      </c>
      <c r="M202" s="43" t="n">
        <v>1450</v>
      </c>
      <c r="N202" s="44">
        <f>IF((L202&gt;$B$4)*(L202&lt;=$C$4),$M202,"")</f>
        <v/>
      </c>
      <c r="O202" s="44">
        <f>IF((L202&gt;$B$5)*(L202&lt;=$C$5),$M202,"")</f>
        <v/>
      </c>
      <c r="P202" s="44">
        <f>IF((L202&gt;$B$6)*(L202&lt;=$C$6),$M202,"")</f>
        <v/>
      </c>
      <c r="Q202" s="44">
        <f>IF((L202&gt;$B$7)*(L202&lt;=$C$7),$M202,"")</f>
        <v/>
      </c>
      <c r="R202" s="44">
        <f>IF((L202&gt;$B$8)*(L202&lt;=$C$8),$M202,"")</f>
        <v/>
      </c>
    </row>
    <row r="203">
      <c r="L203" s="42" t="n">
        <v>45765</v>
      </c>
      <c r="M203" s="43" t="n">
        <v>1450</v>
      </c>
      <c r="N203" s="44">
        <f>IF((L203&gt;$B$4)*(L203&lt;=$C$4),$M203,"")</f>
        <v/>
      </c>
      <c r="O203" s="44">
        <f>IF((L203&gt;$B$5)*(L203&lt;=$C$5),$M203,"")</f>
        <v/>
      </c>
      <c r="P203" s="44">
        <f>IF((L203&gt;$B$6)*(L203&lt;=$C$6),$M203,"")</f>
        <v/>
      </c>
      <c r="Q203" s="44">
        <f>IF((L203&gt;$B$7)*(L203&lt;=$C$7),$M203,"")</f>
        <v/>
      </c>
      <c r="R203" s="44">
        <f>IF((L203&gt;$B$8)*(L203&lt;=$C$8),$M203,"")</f>
        <v/>
      </c>
    </row>
    <row r="204">
      <c r="L204" s="42" t="n">
        <v>45769</v>
      </c>
      <c r="M204" s="43" t="n">
        <v>1450</v>
      </c>
      <c r="N204" s="44">
        <f>IF((L204&gt;$B$4)*(L204&lt;=$C$4),$M204,"")</f>
        <v/>
      </c>
      <c r="O204" s="44">
        <f>IF((L204&gt;$B$5)*(L204&lt;=$C$5),$M204,"")</f>
        <v/>
      </c>
      <c r="P204" s="44">
        <f>IF((L204&gt;$B$6)*(L204&lt;=$C$6),$M204,"")</f>
        <v/>
      </c>
      <c r="Q204" s="44">
        <f>IF((L204&gt;$B$7)*(L204&lt;=$C$7),$M204,"")</f>
        <v/>
      </c>
      <c r="R204" s="44">
        <f>IF((L204&gt;$B$8)*(L204&lt;=$C$8),$M204,"")</f>
        <v/>
      </c>
    </row>
    <row r="205">
      <c r="L205" s="42" t="n">
        <v>45771</v>
      </c>
      <c r="M205" s="43" t="n">
        <v>1450</v>
      </c>
      <c r="N205" s="44">
        <f>IF((L205&gt;$B$4)*(L205&lt;=$C$4),$M205,"")</f>
        <v/>
      </c>
      <c r="O205" s="44">
        <f>IF((L205&gt;$B$5)*(L205&lt;=$C$5),$M205,"")</f>
        <v/>
      </c>
      <c r="P205" s="44">
        <f>IF((L205&gt;$B$6)*(L205&lt;=$C$6),$M205,"")</f>
        <v/>
      </c>
      <c r="Q205" s="44">
        <f>IF((L205&gt;$B$7)*(L205&lt;=$C$7),$M205,"")</f>
        <v/>
      </c>
      <c r="R205" s="44">
        <f>IF((L205&gt;$B$8)*(L205&lt;=$C$8),$M205,"")</f>
        <v/>
      </c>
    </row>
    <row r="206">
      <c r="L206" s="42" t="n">
        <v>45772</v>
      </c>
      <c r="M206" s="43" t="n">
        <v>1450</v>
      </c>
      <c r="N206" s="44">
        <f>IF((L206&gt;$B$4)*(L206&lt;=$C$4),$M206,"")</f>
        <v/>
      </c>
      <c r="O206" s="44">
        <f>IF((L206&gt;$B$5)*(L206&lt;=$C$5),$M206,"")</f>
        <v/>
      </c>
      <c r="P206" s="44">
        <f>IF((L206&gt;$B$6)*(L206&lt;=$C$6),$M206,"")</f>
        <v/>
      </c>
      <c r="Q206" s="44">
        <f>IF((L206&gt;$B$7)*(L206&lt;=$C$7),$M206,"")</f>
        <v/>
      </c>
      <c r="R206" s="44">
        <f>IF((L206&gt;$B$8)*(L206&lt;=$C$8),$M206,"")</f>
        <v/>
      </c>
    </row>
    <row r="207">
      <c r="L207" s="42" t="n">
        <v>45774</v>
      </c>
      <c r="M207" s="43" t="n">
        <v>1450</v>
      </c>
      <c r="N207" s="44">
        <f>IF((L207&gt;$B$4)*(L207&lt;=$C$4),$M207,"")</f>
        <v/>
      </c>
      <c r="O207" s="44">
        <f>IF((L207&gt;$B$5)*(L207&lt;=$C$5),$M207,"")</f>
        <v/>
      </c>
      <c r="P207" s="44">
        <f>IF((L207&gt;$B$6)*(L207&lt;=$C$6),$M207,"")</f>
        <v/>
      </c>
      <c r="Q207" s="44">
        <f>IF((L207&gt;$B$7)*(L207&lt;=$C$7),$M207,"")</f>
        <v/>
      </c>
      <c r="R207" s="44">
        <f>IF((L207&gt;$B$8)*(L207&lt;=$C$8),$M207,"")</f>
        <v/>
      </c>
    </row>
    <row r="208">
      <c r="L208" s="42" t="n">
        <v>45775</v>
      </c>
      <c r="M208" s="43" t="n">
        <v>1450</v>
      </c>
      <c r="N208" s="44">
        <f>IF((L208&gt;$B$4)*(L208&lt;=$C$4),$M208,"")</f>
        <v/>
      </c>
      <c r="O208" s="44">
        <f>IF((L208&gt;$B$5)*(L208&lt;=$C$5),$M208,"")</f>
        <v/>
      </c>
      <c r="P208" s="44">
        <f>IF((L208&gt;$B$6)*(L208&lt;=$C$6),$M208,"")</f>
        <v/>
      </c>
      <c r="Q208" s="44">
        <f>IF((L208&gt;$B$7)*(L208&lt;=$C$7),$M208,"")</f>
        <v/>
      </c>
      <c r="R208" s="44">
        <f>IF((L208&gt;$B$8)*(L208&lt;=$C$8),$M208,"")</f>
        <v/>
      </c>
    </row>
    <row r="209">
      <c r="L209" s="42" t="n">
        <v>45776</v>
      </c>
      <c r="M209" s="43" t="n">
        <v>1450</v>
      </c>
      <c r="N209" s="44">
        <f>IF((L209&gt;$B$4)*(L209&lt;=$C$4),$M209,"")</f>
        <v/>
      </c>
      <c r="O209" s="44">
        <f>IF((L209&gt;$B$5)*(L209&lt;=$C$5),$M209,"")</f>
        <v/>
      </c>
      <c r="P209" s="44">
        <f>IF((L209&gt;$B$6)*(L209&lt;=$C$6),$M209,"")</f>
        <v/>
      </c>
      <c r="Q209" s="44">
        <f>IF((L209&gt;$B$7)*(L209&lt;=$C$7),$M209,"")</f>
        <v/>
      </c>
      <c r="R209" s="44">
        <f>IF((L209&gt;$B$8)*(L209&lt;=$C$8),$M209,"")</f>
        <v/>
      </c>
    </row>
    <row r="210">
      <c r="L210" s="42" t="n">
        <v>45777</v>
      </c>
      <c r="M210" s="43" t="n">
        <v>1450</v>
      </c>
      <c r="N210" s="44">
        <f>IF((L210&gt;$B$4)*(L210&lt;=$C$4),$M210,"")</f>
        <v/>
      </c>
      <c r="O210" s="44">
        <f>IF((L210&gt;$B$5)*(L210&lt;=$C$5),$M210,"")</f>
        <v/>
      </c>
      <c r="P210" s="44">
        <f>IF((L210&gt;$B$6)*(L210&lt;=$C$6),$M210,"")</f>
        <v/>
      </c>
      <c r="Q210" s="44">
        <f>IF((L210&gt;$B$7)*(L210&lt;=$C$7),$M210,"")</f>
        <v/>
      </c>
      <c r="R210" s="44">
        <f>IF((L210&gt;$B$8)*(L210&lt;=$C$8),$M210,"")</f>
        <v/>
      </c>
    </row>
    <row r="211">
      <c r="L211" s="42" t="n">
        <v>45784</v>
      </c>
      <c r="M211" s="43" t="n">
        <v>1450</v>
      </c>
      <c r="N211" s="44">
        <f>IF((L211&gt;$B$4)*(L211&lt;=$C$4),$M211,"")</f>
        <v/>
      </c>
      <c r="O211" s="44">
        <f>IF((L211&gt;$B$5)*(L211&lt;=$C$5),$M211,"")</f>
        <v/>
      </c>
      <c r="P211" s="44">
        <f>IF((L211&gt;$B$6)*(L211&lt;=$C$6),$M211,"")</f>
        <v/>
      </c>
      <c r="Q211" s="44">
        <f>IF((L211&gt;$B$7)*(L211&lt;=$C$7),$M211,"")</f>
        <v/>
      </c>
      <c r="R211" s="44">
        <f>IF((L211&gt;$B$8)*(L211&lt;=$C$8),$M211,"")</f>
        <v/>
      </c>
    </row>
    <row r="212">
      <c r="L212" s="42" t="n">
        <v>45786</v>
      </c>
      <c r="M212" s="43" t="n">
        <v>1450</v>
      </c>
      <c r="N212" s="44">
        <f>IF((L212&gt;$B$4)*(L212&lt;=$C$4),$M212,"")</f>
        <v/>
      </c>
      <c r="O212" s="44">
        <f>IF((L212&gt;$B$5)*(L212&lt;=$C$5),$M212,"")</f>
        <v/>
      </c>
      <c r="P212" s="44">
        <f>IF((L212&gt;$B$6)*(L212&lt;=$C$6),$M212,"")</f>
        <v/>
      </c>
      <c r="Q212" s="44">
        <f>IF((L212&gt;$B$7)*(L212&lt;=$C$7),$M212,"")</f>
        <v/>
      </c>
      <c r="R212" s="44">
        <f>IF((L212&gt;$B$8)*(L212&lt;=$C$8),$M212,"")</f>
        <v/>
      </c>
    </row>
    <row r="213">
      <c r="L213" s="42" t="n">
        <v>45789</v>
      </c>
      <c r="M213" s="43" t="n">
        <v>1450</v>
      </c>
      <c r="N213" s="44">
        <f>IF((L213&gt;$B$4)*(L213&lt;=$C$4),$M213,"")</f>
        <v/>
      </c>
      <c r="O213" s="44">
        <f>IF((L213&gt;$B$5)*(L213&lt;=$C$5),$M213,"")</f>
        <v/>
      </c>
      <c r="P213" s="44">
        <f>IF((L213&gt;$B$6)*(L213&lt;=$C$6),$M213,"")</f>
        <v/>
      </c>
      <c r="Q213" s="44">
        <f>IF((L213&gt;$B$7)*(L213&lt;=$C$7),$M213,"")</f>
        <v/>
      </c>
      <c r="R213" s="44">
        <f>IF((L213&gt;$B$8)*(L213&lt;=$C$8),$M213,"")</f>
        <v/>
      </c>
    </row>
    <row r="214">
      <c r="L214" s="42" t="n">
        <v>45790</v>
      </c>
      <c r="M214" s="43" t="n">
        <v>1450</v>
      </c>
      <c r="N214" s="44">
        <f>IF((L214&gt;$B$4)*(L214&lt;=$C$4),$M214,"")</f>
        <v/>
      </c>
      <c r="O214" s="44">
        <f>IF((L214&gt;$B$5)*(L214&lt;=$C$5),$M214,"")</f>
        <v/>
      </c>
      <c r="P214" s="44">
        <f>IF((L214&gt;$B$6)*(L214&lt;=$C$6),$M214,"")</f>
        <v/>
      </c>
      <c r="Q214" s="44">
        <f>IF((L214&gt;$B$7)*(L214&lt;=$C$7),$M214,"")</f>
        <v/>
      </c>
      <c r="R214" s="44">
        <f>IF((L214&gt;$B$8)*(L214&lt;=$C$8),$M214,"")</f>
        <v/>
      </c>
    </row>
    <row r="215">
      <c r="L215" s="42" t="n">
        <v>45791</v>
      </c>
      <c r="M215" s="43" t="n">
        <v>1450</v>
      </c>
      <c r="N215" s="44">
        <f>IF((L215&gt;$B$4)*(L215&lt;=$C$4),$M215,"")</f>
        <v/>
      </c>
      <c r="O215" s="44">
        <f>IF((L215&gt;$B$5)*(L215&lt;=$C$5),$M215,"")</f>
        <v/>
      </c>
      <c r="P215" s="44">
        <f>IF((L215&gt;$B$6)*(L215&lt;=$C$6),$M215,"")</f>
        <v/>
      </c>
      <c r="Q215" s="44">
        <f>IF((L215&gt;$B$7)*(L215&lt;=$C$7),$M215,"")</f>
        <v/>
      </c>
      <c r="R215" s="44">
        <f>IF((L215&gt;$B$8)*(L215&lt;=$C$8),$M215,"")</f>
        <v/>
      </c>
    </row>
    <row r="216">
      <c r="L216" s="42" t="n">
        <v>45792</v>
      </c>
      <c r="M216" s="43" t="n">
        <v>1450</v>
      </c>
      <c r="N216" s="44">
        <f>IF((L216&gt;$B$4)*(L216&lt;=$C$4),$M216,"")</f>
        <v/>
      </c>
      <c r="O216" s="44">
        <f>IF((L216&gt;$B$5)*(L216&lt;=$C$5),$M216,"")</f>
        <v/>
      </c>
      <c r="P216" s="44">
        <f>IF((L216&gt;$B$6)*(L216&lt;=$C$6),$M216,"")</f>
        <v/>
      </c>
      <c r="Q216" s="44">
        <f>IF((L216&gt;$B$7)*(L216&lt;=$C$7),$M216,"")</f>
        <v/>
      </c>
      <c r="R216" s="44">
        <f>IF((L216&gt;$B$8)*(L216&lt;=$C$8),$M216,"")</f>
        <v/>
      </c>
    </row>
    <row r="217">
      <c r="L217" s="42" t="n">
        <v>45793</v>
      </c>
      <c r="M217" s="43" t="n">
        <v>1450</v>
      </c>
      <c r="N217" s="44">
        <f>IF((L217&gt;$B$4)*(L217&lt;=$C$4),$M217,"")</f>
        <v/>
      </c>
      <c r="O217" s="44">
        <f>IF((L217&gt;$B$5)*(L217&lt;=$C$5),$M217,"")</f>
        <v/>
      </c>
      <c r="P217" s="44">
        <f>IF((L217&gt;$B$6)*(L217&lt;=$C$6),$M217,"")</f>
        <v/>
      </c>
      <c r="Q217" s="44">
        <f>IF((L217&gt;$B$7)*(L217&lt;=$C$7),$M217,"")</f>
        <v/>
      </c>
      <c r="R217" s="44">
        <f>IF((L217&gt;$B$8)*(L217&lt;=$C$8),$M217,"")</f>
        <v/>
      </c>
    </row>
    <row r="218">
      <c r="L218" s="42" t="n">
        <v>45796</v>
      </c>
      <c r="M218" s="43" t="n">
        <v>1450</v>
      </c>
      <c r="N218" s="44">
        <f>IF((L218&gt;$B$4)*(L218&lt;=$C$4),$M218,"")</f>
        <v/>
      </c>
      <c r="O218" s="44">
        <f>IF((L218&gt;$B$5)*(L218&lt;=$C$5),$M218,"")</f>
        <v/>
      </c>
      <c r="P218" s="44">
        <f>IF((L218&gt;$B$6)*(L218&lt;=$C$6),$M218,"")</f>
        <v/>
      </c>
      <c r="Q218" s="44">
        <f>IF((L218&gt;$B$7)*(L218&lt;=$C$7),$M218,"")</f>
        <v/>
      </c>
      <c r="R218" s="44">
        <f>IF((L218&gt;$B$8)*(L218&lt;=$C$8),$M218,"")</f>
        <v/>
      </c>
    </row>
    <row r="219">
      <c r="L219" s="42" t="n">
        <v>45798</v>
      </c>
      <c r="M219" s="43" t="n">
        <v>1450</v>
      </c>
      <c r="N219" s="44">
        <f>IF((L219&gt;$B$4)*(L219&lt;=$C$4),$M219,"")</f>
        <v/>
      </c>
      <c r="O219" s="44">
        <f>IF((L219&gt;$B$5)*(L219&lt;=$C$5),$M219,"")</f>
        <v/>
      </c>
      <c r="P219" s="44">
        <f>IF((L219&gt;$B$6)*(L219&lt;=$C$6),$M219,"")</f>
        <v/>
      </c>
      <c r="Q219" s="44">
        <f>IF((L219&gt;$B$7)*(L219&lt;=$C$7),$M219,"")</f>
        <v/>
      </c>
      <c r="R219" s="44">
        <f>IF((L219&gt;$B$8)*(L219&lt;=$C$8),$M219,"")</f>
        <v/>
      </c>
    </row>
    <row r="220">
      <c r="L220" s="42" t="n">
        <v>45803</v>
      </c>
      <c r="M220" s="43" t="n">
        <v>1450</v>
      </c>
      <c r="N220" s="44">
        <f>IF((L220&gt;$B$4)*(L220&lt;=$C$4),$M220,"")</f>
        <v/>
      </c>
      <c r="O220" s="44">
        <f>IF((L220&gt;$B$5)*(L220&lt;=$C$5),$M220,"")</f>
        <v/>
      </c>
      <c r="P220" s="44">
        <f>IF((L220&gt;$B$6)*(L220&lt;=$C$6),$M220,"")</f>
        <v/>
      </c>
      <c r="Q220" s="44">
        <f>IF((L220&gt;$B$7)*(L220&lt;=$C$7),$M220,"")</f>
        <v/>
      </c>
      <c r="R220" s="44">
        <f>IF((L220&gt;$B$8)*(L220&lt;=$C$8),$M220,"")</f>
        <v/>
      </c>
    </row>
    <row r="221">
      <c r="L221" s="42" t="n">
        <v>45805</v>
      </c>
      <c r="M221" s="43" t="n">
        <v>1440</v>
      </c>
      <c r="N221" s="44">
        <f>IF((L221&gt;$B$4)*(L221&lt;=$C$4),$M221,"")</f>
        <v/>
      </c>
      <c r="O221" s="44">
        <f>IF((L221&gt;$B$5)*(L221&lt;=$C$5),$M221,"")</f>
        <v/>
      </c>
      <c r="P221" s="44">
        <f>IF((L221&gt;$B$6)*(L221&lt;=$C$6),$M221,"")</f>
        <v/>
      </c>
      <c r="Q221" s="44">
        <f>IF((L221&gt;$B$7)*(L221&lt;=$C$7),$M221,"")</f>
        <v/>
      </c>
      <c r="R221" s="44">
        <f>IF((L221&gt;$B$8)*(L221&lt;=$C$8),$M221,"")</f>
        <v/>
      </c>
    </row>
    <row r="222">
      <c r="L222" s="42" t="n">
        <v>45807</v>
      </c>
      <c r="M222" s="43" t="n">
        <v>1440</v>
      </c>
      <c r="N222" s="44">
        <f>IF((L222&gt;$B$4)*(L222&lt;=$C$4),$M222,"")</f>
        <v/>
      </c>
      <c r="O222" s="44">
        <f>IF((L222&gt;$B$5)*(L222&lt;=$C$5),$M222,"")</f>
        <v/>
      </c>
      <c r="P222" s="44">
        <f>IF((L222&gt;$B$6)*(L222&lt;=$C$6),$M222,"")</f>
        <v/>
      </c>
      <c r="Q222" s="44">
        <f>IF((L222&gt;$B$7)*(L222&lt;=$C$7),$M222,"")</f>
        <v/>
      </c>
      <c r="R222" s="44">
        <f>IF((L222&gt;$B$8)*(L222&lt;=$C$8),$M222,"")</f>
        <v/>
      </c>
    </row>
    <row r="223">
      <c r="L223" s="42" t="n">
        <v>45812</v>
      </c>
      <c r="M223" s="43" t="n">
        <v>1400</v>
      </c>
      <c r="N223" s="44">
        <f>IF((L223&gt;$B$4)*(L223&lt;=$C$4),$M223,"")</f>
        <v/>
      </c>
      <c r="O223" s="44">
        <f>IF((L223&gt;$B$5)*(L223&lt;=$C$5),$M223,"")</f>
        <v/>
      </c>
      <c r="P223" s="44">
        <f>IF((L223&gt;$B$6)*(L223&lt;=$C$6),$M223,"")</f>
        <v/>
      </c>
      <c r="Q223" s="44">
        <f>IF((L223&gt;$B$7)*(L223&lt;=$C$7),$M223,"")</f>
        <v/>
      </c>
      <c r="R223" s="44">
        <f>IF((L223&gt;$B$8)*(L223&lt;=$C$8),$M223,"")</f>
        <v/>
      </c>
    </row>
    <row r="224">
      <c r="L224" s="42" t="n">
        <v>45813</v>
      </c>
      <c r="M224" s="43" t="n">
        <v>1400</v>
      </c>
      <c r="N224" s="44">
        <f>IF((L224&gt;$B$4)*(L224&lt;=$C$4),$M224,"")</f>
        <v/>
      </c>
      <c r="O224" s="44">
        <f>IF((L224&gt;$B$5)*(L224&lt;=$C$5),$M224,"")</f>
        <v/>
      </c>
      <c r="P224" s="44">
        <f>IF((L224&gt;$B$6)*(L224&lt;=$C$6),$M224,"")</f>
        <v/>
      </c>
      <c r="Q224" s="44">
        <f>IF((L224&gt;$B$7)*(L224&lt;=$C$7),$M224,"")</f>
        <v/>
      </c>
      <c r="R224" s="44">
        <f>IF((L224&gt;$B$8)*(L224&lt;=$C$8),$M224,"")</f>
        <v/>
      </c>
    </row>
    <row r="225">
      <c r="L225" s="42" t="n">
        <v>45814</v>
      </c>
      <c r="M225" s="43" t="n">
        <v>1400</v>
      </c>
      <c r="N225" s="44">
        <f>IF((L225&gt;$B$4)*(L225&lt;=$C$4),$M225,"")</f>
        <v/>
      </c>
      <c r="O225" s="44">
        <f>IF((L225&gt;$B$5)*(L225&lt;=$C$5),$M225,"")</f>
        <v/>
      </c>
      <c r="P225" s="44">
        <f>IF((L225&gt;$B$6)*(L225&lt;=$C$6),$M225,"")</f>
        <v/>
      </c>
      <c r="Q225" s="44">
        <f>IF((L225&gt;$B$7)*(L225&lt;=$C$7),$M225,"")</f>
        <v/>
      </c>
      <c r="R225" s="44">
        <f>IF((L225&gt;$B$8)*(L225&lt;=$C$8),$M225,"")</f>
        <v/>
      </c>
    </row>
    <row r="226">
      <c r="L226" s="42" t="n">
        <v>45818</v>
      </c>
      <c r="M226" s="43" t="n">
        <v>1375</v>
      </c>
      <c r="N226" s="44">
        <f>IF((L226&gt;$B$4)*(L226&lt;=$C$4),$M226,"")</f>
        <v/>
      </c>
      <c r="O226" s="44">
        <f>IF((L226&gt;$B$5)*(L226&lt;=$C$5),$M226,"")</f>
        <v/>
      </c>
      <c r="P226" s="44">
        <f>IF((L226&gt;$B$6)*(L226&lt;=$C$6),$M226,"")</f>
        <v/>
      </c>
      <c r="Q226" s="44">
        <f>IF((L226&gt;$B$7)*(L226&lt;=$C$7),$M226,"")</f>
        <v/>
      </c>
      <c r="R226" s="44">
        <f>IF((L226&gt;$B$8)*(L226&lt;=$C$8),$M226,"")</f>
        <v/>
      </c>
    </row>
    <row r="227">
      <c r="L227" s="42" t="n">
        <v>45819</v>
      </c>
      <c r="M227" s="43" t="n">
        <v>1375</v>
      </c>
      <c r="N227" s="44">
        <f>IF((L227&gt;$B$4)*(L227&lt;=$C$4),$M227,"")</f>
        <v/>
      </c>
      <c r="O227" s="44">
        <f>IF((L227&gt;$B$5)*(L227&lt;=$C$5),$M227,"")</f>
        <v/>
      </c>
      <c r="P227" s="44">
        <f>IF((L227&gt;$B$6)*(L227&lt;=$C$6),$M227,"")</f>
        <v/>
      </c>
      <c r="Q227" s="44">
        <f>IF((L227&gt;$B$7)*(L227&lt;=$C$7),$M227,"")</f>
        <v/>
      </c>
      <c r="R227" s="44">
        <f>IF((L227&gt;$B$8)*(L227&lt;=$C$8),$M227,"")</f>
        <v/>
      </c>
    </row>
    <row r="228">
      <c r="L228" s="42" t="n">
        <v>45820</v>
      </c>
      <c r="M228" s="43" t="n">
        <v>1375</v>
      </c>
      <c r="N228" s="44">
        <f>IF((L228&gt;$B$4)*(L228&lt;=$C$4),$M228,"")</f>
        <v/>
      </c>
      <c r="O228" s="44">
        <f>IF((L228&gt;$B$5)*(L228&lt;=$C$5),$M228,"")</f>
        <v/>
      </c>
      <c r="P228" s="44">
        <f>IF((L228&gt;$B$6)*(L228&lt;=$C$6),$M228,"")</f>
        <v/>
      </c>
      <c r="Q228" s="44">
        <f>IF((L228&gt;$B$7)*(L228&lt;=$C$7),$M228,"")</f>
        <v/>
      </c>
      <c r="R228" s="44">
        <f>IF((L228&gt;$B$8)*(L228&lt;=$C$8),$M228,"")</f>
        <v/>
      </c>
    </row>
    <row r="229">
      <c r="L229" s="42" t="n">
        <v>45821</v>
      </c>
      <c r="M229" s="43" t="n">
        <v>1375</v>
      </c>
      <c r="N229" s="44">
        <f>IF((L229&gt;$B$4)*(L229&lt;=$C$4),$M229,"")</f>
        <v/>
      </c>
      <c r="O229" s="44">
        <f>IF((L229&gt;$B$5)*(L229&lt;=$C$5),$M229,"")</f>
        <v/>
      </c>
      <c r="P229" s="44">
        <f>IF((L229&gt;$B$6)*(L229&lt;=$C$6),$M229,"")</f>
        <v/>
      </c>
      <c r="Q229" s="44">
        <f>IF((L229&gt;$B$7)*(L229&lt;=$C$7),$M229,"")</f>
        <v/>
      </c>
      <c r="R229" s="44">
        <f>IF((L229&gt;$B$8)*(L229&lt;=$C$8),$M229,"")</f>
        <v/>
      </c>
    </row>
    <row r="230">
      <c r="L230" s="42" t="n">
        <v>45824</v>
      </c>
      <c r="M230" s="43" t="n">
        <v>1375</v>
      </c>
      <c r="N230" s="44">
        <f>IF((L230&gt;$B$4)*(L230&lt;=$C$4),$M230,"")</f>
        <v/>
      </c>
      <c r="O230" s="44">
        <f>IF((L230&gt;$B$5)*(L230&lt;=$C$5),$M230,"")</f>
        <v/>
      </c>
      <c r="P230" s="44">
        <f>IF((L230&gt;$B$6)*(L230&lt;=$C$6),$M230,"")</f>
        <v/>
      </c>
      <c r="Q230" s="44">
        <f>IF((L230&gt;$B$7)*(L230&lt;=$C$7),$M230,"")</f>
        <v/>
      </c>
      <c r="R230" s="44">
        <f>IF((L230&gt;$B$8)*(L230&lt;=$C$8),$M230,"")</f>
        <v/>
      </c>
    </row>
    <row r="231">
      <c r="L231" s="42" t="n">
        <v>45825</v>
      </c>
      <c r="M231" s="43" t="n">
        <v>1375</v>
      </c>
      <c r="N231" s="44">
        <f>IF((L231&gt;$B$4)*(L231&lt;=$C$4),$M231,"")</f>
        <v/>
      </c>
      <c r="O231" s="44">
        <f>IF((L231&gt;$B$5)*(L231&lt;=$C$5),$M231,"")</f>
        <v/>
      </c>
      <c r="P231" s="44">
        <f>IF((L231&gt;$B$6)*(L231&lt;=$C$6),$M231,"")</f>
        <v/>
      </c>
      <c r="Q231" s="44">
        <f>IF((L231&gt;$B$7)*(L231&lt;=$C$7),$M231,"")</f>
        <v/>
      </c>
      <c r="R231" s="44">
        <f>IF((L231&gt;$B$8)*(L231&lt;=$C$8),$M231,"")</f>
        <v/>
      </c>
    </row>
    <row r="232">
      <c r="L232" s="42" t="n">
        <v>45826</v>
      </c>
      <c r="M232" s="43" t="n">
        <v>1375</v>
      </c>
      <c r="N232" s="44">
        <f>IF((L232&gt;$B$4)*(L232&lt;=$C$4),$M232,"")</f>
        <v/>
      </c>
      <c r="O232" s="44">
        <f>IF((L232&gt;$B$5)*(L232&lt;=$C$5),$M232,"")</f>
        <v/>
      </c>
      <c r="P232" s="44">
        <f>IF((L232&gt;$B$6)*(L232&lt;=$C$6),$M232,"")</f>
        <v/>
      </c>
      <c r="Q232" s="44">
        <f>IF((L232&gt;$B$7)*(L232&lt;=$C$7),$M232,"")</f>
        <v/>
      </c>
      <c r="R232" s="44">
        <f>IF((L232&gt;$B$8)*(L232&lt;=$C$8),$M232,"")</f>
        <v/>
      </c>
    </row>
    <row r="233">
      <c r="L233" s="42" t="n">
        <v>45827</v>
      </c>
      <c r="M233" s="43" t="n">
        <v>1375</v>
      </c>
      <c r="N233" s="44">
        <f>IF((L233&gt;$B$4)*(L233&lt;=$C$4),$M233,"")</f>
        <v/>
      </c>
      <c r="O233" s="44">
        <f>IF((L233&gt;$B$5)*(L233&lt;=$C$5),$M233,"")</f>
        <v/>
      </c>
      <c r="P233" s="44">
        <f>IF((L233&gt;$B$6)*(L233&lt;=$C$6),$M233,"")</f>
        <v/>
      </c>
      <c r="Q233" s="44">
        <f>IF((L233&gt;$B$7)*(L233&lt;=$C$7),$M233,"")</f>
        <v/>
      </c>
      <c r="R233" s="44">
        <f>IF((L233&gt;$B$8)*(L233&lt;=$C$8),$M233,"")</f>
        <v/>
      </c>
    </row>
    <row r="234">
      <c r="L234" s="42" t="n">
        <v>45828</v>
      </c>
      <c r="M234" s="43" t="n">
        <v>1375</v>
      </c>
      <c r="N234" s="44">
        <f>IF((L234&gt;$B$4)*(L234&lt;=$C$4),$M234,"")</f>
        <v/>
      </c>
      <c r="O234" s="44">
        <f>IF((L234&gt;$B$5)*(L234&lt;=$C$5),$M234,"")</f>
        <v/>
      </c>
      <c r="P234" s="44">
        <f>IF((L234&gt;$B$6)*(L234&lt;=$C$6),$M234,"")</f>
        <v/>
      </c>
      <c r="Q234" s="44">
        <f>IF((L234&gt;$B$7)*(L234&lt;=$C$7),$M234,"")</f>
        <v/>
      </c>
      <c r="R234" s="44">
        <f>IF((L234&gt;$B$8)*(L234&lt;=$C$8),$M234,"")</f>
        <v/>
      </c>
    </row>
    <row r="235">
      <c r="L235" s="42" t="n">
        <v>45832</v>
      </c>
      <c r="M235" s="43" t="n">
        <v>1375</v>
      </c>
      <c r="N235" s="44">
        <f>IF((L235&gt;$B$4)*(L235&lt;=$C$4),$M235,"")</f>
        <v/>
      </c>
      <c r="O235" s="44">
        <f>IF((L235&gt;$B$5)*(L235&lt;=$C$5),$M235,"")</f>
        <v/>
      </c>
      <c r="P235" s="44">
        <f>IF((L235&gt;$B$6)*(L235&lt;=$C$6),$M235,"")</f>
        <v/>
      </c>
      <c r="Q235" s="44">
        <f>IF((L235&gt;$B$7)*(L235&lt;=$C$7),$M235,"")</f>
        <v/>
      </c>
      <c r="R235" s="44">
        <f>IF((L235&gt;$B$8)*(L235&lt;=$C$8),$M235,"")</f>
        <v/>
      </c>
    </row>
    <row r="236">
      <c r="L236" s="42" t="n">
        <v>45833</v>
      </c>
      <c r="M236" s="43" t="n">
        <v>1325</v>
      </c>
      <c r="N236" s="44">
        <f>IF((L236&gt;$B$4)*(L236&lt;=$C$4),$M236,"")</f>
        <v/>
      </c>
      <c r="O236" s="44">
        <f>IF((L236&gt;$B$5)*(L236&lt;=$C$5),$M236,"")</f>
        <v/>
      </c>
      <c r="P236" s="44">
        <f>IF((L236&gt;$B$6)*(L236&lt;=$C$6),$M236,"")</f>
        <v/>
      </c>
      <c r="Q236" s="44">
        <f>IF((L236&gt;$B$7)*(L236&lt;=$C$7),$M236,"")</f>
        <v/>
      </c>
      <c r="R236" s="44">
        <f>IF((L236&gt;$B$8)*(L236&lt;=$C$8),$M236,"")</f>
        <v/>
      </c>
    </row>
    <row r="237">
      <c r="L237" s="42" t="n">
        <v>45834</v>
      </c>
      <c r="M237" s="43" t="n">
        <v>1300</v>
      </c>
      <c r="N237" s="44">
        <f>IF((L237&gt;$B$4)*(L237&lt;=$C$4),$M237,"")</f>
        <v/>
      </c>
      <c r="O237" s="44">
        <f>IF((L237&gt;$B$5)*(L237&lt;=$C$5),$M237,"")</f>
        <v/>
      </c>
      <c r="P237" s="44">
        <f>IF((L237&gt;$B$6)*(L237&lt;=$C$6),$M237,"")</f>
        <v/>
      </c>
      <c r="Q237" s="44">
        <f>IF((L237&gt;$B$7)*(L237&lt;=$C$7),$M237,"")</f>
        <v/>
      </c>
      <c r="R237" s="44">
        <f>IF((L237&gt;$B$8)*(L237&lt;=$C$8),$M237,"")</f>
        <v/>
      </c>
    </row>
    <row r="238">
      <c r="L238" s="42" t="n">
        <v>45835</v>
      </c>
      <c r="M238" s="43" t="n">
        <v>1300</v>
      </c>
      <c r="N238" s="44">
        <f>IF((L238&gt;$B$4)*(L238&lt;=$C$4),$M238,"")</f>
        <v/>
      </c>
      <c r="O238" s="44">
        <f>IF((L238&gt;$B$5)*(L238&lt;=$C$5),$M238,"")</f>
        <v/>
      </c>
      <c r="P238" s="44">
        <f>IF((L238&gt;$B$6)*(L238&lt;=$C$6),$M238,"")</f>
        <v/>
      </c>
      <c r="Q238" s="44">
        <f>IF((L238&gt;$B$7)*(L238&lt;=$C$7),$M238,"")</f>
        <v/>
      </c>
      <c r="R238" s="44">
        <f>IF((L238&gt;$B$8)*(L238&lt;=$C$8),$M238,"")</f>
        <v/>
      </c>
    </row>
    <row r="239">
      <c r="L239" s="42" t="n">
        <v>45839</v>
      </c>
      <c r="M239" s="43" t="n">
        <v>1290</v>
      </c>
      <c r="N239" s="44">
        <f>IF((L239&gt;$B$4)*(L239&lt;=$C$4),$M239,"")</f>
        <v/>
      </c>
      <c r="O239" s="44">
        <f>IF((L239&gt;$B$5)*(L239&lt;=$C$5),$M239,"")</f>
        <v/>
      </c>
      <c r="P239" s="44">
        <f>IF((L239&gt;$B$6)*(L239&lt;=$C$6),$M239,"")</f>
        <v/>
      </c>
      <c r="Q239" s="44">
        <f>IF((L239&gt;$B$7)*(L239&lt;=$C$7),$M239,"")</f>
        <v/>
      </c>
      <c r="R239" s="44">
        <f>IF((L239&gt;$B$8)*(L239&lt;=$C$8),$M239,"")</f>
        <v/>
      </c>
    </row>
    <row r="240">
      <c r="L240" s="42" t="n">
        <v>45840</v>
      </c>
      <c r="M240" s="43" t="n">
        <v>1275</v>
      </c>
      <c r="N240" s="44">
        <f>IF((L240&gt;$B$4)*(L240&lt;=$C$4),$M240,"")</f>
        <v/>
      </c>
      <c r="O240" s="44">
        <f>IF((L240&gt;$B$5)*(L240&lt;=$C$5),$M240,"")</f>
        <v/>
      </c>
      <c r="P240" s="44">
        <f>IF((L240&gt;$B$6)*(L240&lt;=$C$6),$M240,"")</f>
        <v/>
      </c>
      <c r="Q240" s="44">
        <f>IF((L240&gt;$B$7)*(L240&lt;=$C$7),$M240,"")</f>
        <v/>
      </c>
      <c r="R240" s="44">
        <f>IF((L240&gt;$B$8)*(L240&lt;=$C$8),$M240,"")</f>
        <v/>
      </c>
    </row>
    <row r="241">
      <c r="L241" s="42" t="n">
        <v>45841</v>
      </c>
      <c r="M241" s="43" t="n">
        <v>1275</v>
      </c>
      <c r="N241" s="44">
        <f>IF((L241&gt;$B$4)*(L241&lt;=$C$4),$M241,"")</f>
        <v/>
      </c>
      <c r="O241" s="44">
        <f>IF((L241&gt;$B$5)*(L241&lt;=$C$5),$M241,"")</f>
        <v/>
      </c>
      <c r="P241" s="44">
        <f>IF((L241&gt;$B$6)*(L241&lt;=$C$6),$M241,"")</f>
        <v/>
      </c>
      <c r="Q241" s="44">
        <f>IF((L241&gt;$B$7)*(L241&lt;=$C$7),$M241,"")</f>
        <v/>
      </c>
      <c r="R241" s="44">
        <f>IF((L241&gt;$B$8)*(L241&lt;=$C$8),$M241,"")</f>
        <v/>
      </c>
    </row>
    <row r="242">
      <c r="L242" s="42" t="n">
        <v>45842</v>
      </c>
      <c r="M242" s="43" t="n">
        <v>1275</v>
      </c>
      <c r="N242" s="44">
        <f>IF((L242&gt;$B$4)*(L242&lt;=$C$4),$M242,"")</f>
        <v/>
      </c>
      <c r="O242" s="44">
        <f>IF((L242&gt;$B$5)*(L242&lt;=$C$5),$M242,"")</f>
        <v/>
      </c>
      <c r="P242" s="44">
        <f>IF((L242&gt;$B$6)*(L242&lt;=$C$6),$M242,"")</f>
        <v/>
      </c>
      <c r="Q242" s="44">
        <f>IF((L242&gt;$B$7)*(L242&lt;=$C$7),$M242,"")</f>
        <v/>
      </c>
      <c r="R242" s="44">
        <f>IF((L242&gt;$B$8)*(L242&lt;=$C$8),$M242,"")</f>
        <v/>
      </c>
    </row>
    <row r="243">
      <c r="L243" s="42" t="n">
        <v>45845</v>
      </c>
      <c r="M243" s="43" t="n">
        <v>1275</v>
      </c>
      <c r="N243" s="44">
        <f>IF((L243&gt;$B$4)*(L243&lt;=$C$4),$M243,"")</f>
        <v/>
      </c>
      <c r="O243" s="44">
        <f>IF((L243&gt;$B$5)*(L243&lt;=$C$5),$M243,"")</f>
        <v/>
      </c>
      <c r="P243" s="44">
        <f>IF((L243&gt;$B$6)*(L243&lt;=$C$6),$M243,"")</f>
        <v/>
      </c>
      <c r="Q243" s="44">
        <f>IF((L243&gt;$B$7)*(L243&lt;=$C$7),$M243,"")</f>
        <v/>
      </c>
      <c r="R243" s="44">
        <f>IF((L243&gt;$B$8)*(L243&lt;=$C$8),$M243,"")</f>
        <v/>
      </c>
    </row>
    <row r="244">
      <c r="L244" s="42" t="n">
        <v>45846</v>
      </c>
      <c r="M244" s="43" t="n">
        <v>1275</v>
      </c>
      <c r="N244" s="44">
        <f>IF((L244&gt;$B$4)*(L244&lt;=$C$4),$M244,"")</f>
        <v/>
      </c>
      <c r="O244" s="44">
        <f>IF((L244&gt;$B$5)*(L244&lt;=$C$5),$M244,"")</f>
        <v/>
      </c>
      <c r="P244" s="44">
        <f>IF((L244&gt;$B$6)*(L244&lt;=$C$6),$M244,"")</f>
        <v/>
      </c>
      <c r="Q244" s="44">
        <f>IF((L244&gt;$B$7)*(L244&lt;=$C$7),$M244,"")</f>
        <v/>
      </c>
      <c r="R244" s="44">
        <f>IF((L244&gt;$B$8)*(L244&lt;=$C$8),$M244,"")</f>
        <v/>
      </c>
    </row>
    <row r="245">
      <c r="L245" s="42" t="n">
        <v>45847</v>
      </c>
      <c r="M245" s="43" t="n">
        <v>1275</v>
      </c>
      <c r="N245" s="44">
        <f>IF((L245&gt;$B$4)*(L245&lt;=$C$4),$M245,"")</f>
        <v/>
      </c>
      <c r="O245" s="44">
        <f>IF((L245&gt;$B$5)*(L245&lt;=$C$5),$M245,"")</f>
        <v/>
      </c>
      <c r="P245" s="44">
        <f>IF((L245&gt;$B$6)*(L245&lt;=$C$6),$M245,"")</f>
        <v/>
      </c>
      <c r="Q245" s="44">
        <f>IF((L245&gt;$B$7)*(L245&lt;=$C$7),$M245,"")</f>
        <v/>
      </c>
      <c r="R245" s="44">
        <f>IF((L245&gt;$B$8)*(L245&lt;=$C$8),$M245,"")</f>
        <v/>
      </c>
    </row>
    <row r="246">
      <c r="L246" s="42" t="n">
        <v>45848</v>
      </c>
      <c r="M246" s="43" t="n">
        <v>1275</v>
      </c>
      <c r="N246" s="44">
        <f>IF((L246&gt;$B$4)*(L246&lt;=$C$4),$M246,"")</f>
        <v/>
      </c>
      <c r="O246" s="44">
        <f>IF((L246&gt;$B$5)*(L246&lt;=$C$5),$M246,"")</f>
        <v/>
      </c>
      <c r="P246" s="44">
        <f>IF((L246&gt;$B$6)*(L246&lt;=$C$6),$M246,"")</f>
        <v/>
      </c>
      <c r="Q246" s="44">
        <f>IF((L246&gt;$B$7)*(L246&lt;=$C$7),$M246,"")</f>
        <v/>
      </c>
      <c r="R246" s="44">
        <f>IF((L246&gt;$B$8)*(L246&lt;=$C$8),$M246,"")</f>
        <v/>
      </c>
    </row>
    <row r="247">
      <c r="L247" s="42" t="n">
        <v>45853</v>
      </c>
      <c r="M247" s="43" t="n">
        <v>1275</v>
      </c>
      <c r="N247" s="44">
        <f>IF((L247&gt;$B$4)*(L247&lt;=$C$4),$M247,"")</f>
        <v/>
      </c>
      <c r="O247" s="44">
        <f>IF((L247&gt;$B$5)*(L247&lt;=$C$5),$M247,"")</f>
        <v/>
      </c>
      <c r="P247" s="44">
        <f>IF((L247&gt;$B$6)*(L247&lt;=$C$6),$M247,"")</f>
        <v/>
      </c>
      <c r="Q247" s="44">
        <f>IF((L247&gt;$B$7)*(L247&lt;=$C$7),$M247,"")</f>
        <v/>
      </c>
      <c r="R247" s="44">
        <f>IF((L247&gt;$B$8)*(L247&lt;=$C$8),$M247,"")</f>
        <v/>
      </c>
    </row>
    <row r="248">
      <c r="L248" s="42" t="n">
        <v>45854</v>
      </c>
      <c r="M248" s="43" t="n">
        <v>1275</v>
      </c>
      <c r="N248" s="44">
        <f>IF((L248&gt;$B$4)*(L248&lt;=$C$4),$M248,"")</f>
        <v/>
      </c>
      <c r="O248" s="44">
        <f>IF((L248&gt;$B$5)*(L248&lt;=$C$5),$M248,"")</f>
        <v/>
      </c>
      <c r="P248" s="44">
        <f>IF((L248&gt;$B$6)*(L248&lt;=$C$6),$M248,"")</f>
        <v/>
      </c>
      <c r="Q248" s="44">
        <f>IF((L248&gt;$B$7)*(L248&lt;=$C$7),$M248,"")</f>
        <v/>
      </c>
      <c r="R248" s="44">
        <f>IF((L248&gt;$B$8)*(L248&lt;=$C$8),$M248,"")</f>
        <v/>
      </c>
    </row>
    <row r="249">
      <c r="L249" s="42" t="n">
        <v>45856</v>
      </c>
      <c r="M249" s="43" t="n">
        <v>1275</v>
      </c>
      <c r="N249" s="44">
        <f>IF((L249&gt;$B$4)*(L249&lt;=$C$4),$M249,"")</f>
        <v/>
      </c>
      <c r="O249" s="44">
        <f>IF((L249&gt;$B$5)*(L249&lt;=$C$5),$M249,"")</f>
        <v/>
      </c>
      <c r="P249" s="44">
        <f>IF((L249&gt;$B$6)*(L249&lt;=$C$6),$M249,"")</f>
        <v/>
      </c>
      <c r="Q249" s="44">
        <f>IF((L249&gt;$B$7)*(L249&lt;=$C$7),$M249,"")</f>
        <v/>
      </c>
      <c r="R249" s="44">
        <f>IF((L249&gt;$B$8)*(L249&lt;=$C$8),$M249,"")</f>
        <v/>
      </c>
    </row>
    <row r="250">
      <c r="L250" s="42" t="n">
        <v>45860</v>
      </c>
      <c r="M250" s="43" t="n">
        <v>1275</v>
      </c>
      <c r="N250" s="44">
        <f>IF((L250&gt;$B$4)*(L250&lt;=$C$4),$M250,"")</f>
        <v/>
      </c>
      <c r="O250" s="44">
        <f>IF((L250&gt;$B$5)*(L250&lt;=$C$5),$M250,"")</f>
        <v/>
      </c>
      <c r="P250" s="44">
        <f>IF((L250&gt;$B$6)*(L250&lt;=$C$6),$M250,"")</f>
        <v/>
      </c>
      <c r="Q250" s="44">
        <f>IF((L250&gt;$B$7)*(L250&lt;=$C$7),$M250,"")</f>
        <v/>
      </c>
      <c r="R250" s="44">
        <f>IF((L250&gt;$B$8)*(L250&lt;=$C$8),$M250,"")</f>
        <v/>
      </c>
    </row>
    <row r="251">
      <c r="L251" s="42" t="n">
        <v>45861</v>
      </c>
      <c r="M251" s="43" t="n">
        <v>1300</v>
      </c>
      <c r="N251" s="44">
        <f>IF((L251&gt;$B$4)*(L251&lt;=$C$4),$M251,"")</f>
        <v/>
      </c>
      <c r="O251" s="44">
        <f>IF((L251&gt;$B$5)*(L251&lt;=$C$5),$M251,"")</f>
        <v/>
      </c>
      <c r="P251" s="44">
        <f>IF((L251&gt;$B$6)*(L251&lt;=$C$6),$M251,"")</f>
        <v/>
      </c>
      <c r="Q251" s="44">
        <f>IF((L251&gt;$B$7)*(L251&lt;=$C$7),$M251,"")</f>
        <v/>
      </c>
      <c r="R251" s="44">
        <f>IF((L251&gt;$B$8)*(L251&lt;=$C$8),$M251,"")</f>
        <v/>
      </c>
    </row>
    <row r="252">
      <c r="L252" s="42" t="n">
        <v>45867</v>
      </c>
      <c r="M252" s="43" t="n">
        <v>1375</v>
      </c>
      <c r="N252" s="44">
        <f>IF((L252&gt;$B$4)*(L252&lt;=$C$4),$M252,"")</f>
        <v/>
      </c>
      <c r="O252" s="44">
        <f>IF((L252&gt;$B$5)*(L252&lt;=$C$5),$M252,"")</f>
        <v/>
      </c>
      <c r="P252" s="44">
        <f>IF((L252&gt;$B$6)*(L252&lt;=$C$6),$M252,"")</f>
        <v/>
      </c>
      <c r="Q252" s="44">
        <f>IF((L252&gt;$B$7)*(L252&lt;=$C$7),$M252,"")</f>
        <v/>
      </c>
      <c r="R252" s="44">
        <f>IF((L252&gt;$B$8)*(L252&lt;=$C$8),$M252,"")</f>
        <v/>
      </c>
    </row>
    <row r="253">
      <c r="L253" s="42" t="n">
        <v>45868</v>
      </c>
      <c r="M253" s="43" t="n">
        <v>1375</v>
      </c>
      <c r="N253" s="44">
        <f>IF((L253&gt;$B$4)*(L253&lt;=$C$4),$M253,"")</f>
        <v/>
      </c>
      <c r="O253" s="44">
        <f>IF((L253&gt;$B$5)*(L253&lt;=$C$5),$M253,"")</f>
        <v/>
      </c>
      <c r="P253" s="44">
        <f>IF((L253&gt;$B$6)*(L253&lt;=$C$6),$M253,"")</f>
        <v/>
      </c>
      <c r="Q253" s="44">
        <f>IF((L253&gt;$B$7)*(L253&lt;=$C$7),$M253,"")</f>
        <v/>
      </c>
      <c r="R253" s="44">
        <f>IF((L253&gt;$B$8)*(L253&lt;=$C$8),$M253,"")</f>
        <v/>
      </c>
    </row>
    <row r="254">
      <c r="L254" s="42" t="n">
        <v>45869</v>
      </c>
      <c r="M254" s="43" t="n">
        <v>1375</v>
      </c>
      <c r="N254" s="44">
        <f>IF((L254&gt;$B$4)*(L254&lt;=$C$4),$M254,"")</f>
        <v/>
      </c>
      <c r="O254" s="44">
        <f>IF((L254&gt;$B$5)*(L254&lt;=$C$5),$M254,"")</f>
        <v/>
      </c>
      <c r="P254" s="44">
        <f>IF((L254&gt;$B$6)*(L254&lt;=$C$6),$M254,"")</f>
        <v/>
      </c>
      <c r="Q254" s="44">
        <f>IF((L254&gt;$B$7)*(L254&lt;=$C$7),$M254,"")</f>
        <v/>
      </c>
      <c r="R254" s="44">
        <f>IF((L254&gt;$B$8)*(L254&lt;=$C$8),$M254,"")</f>
        <v/>
      </c>
    </row>
    <row r="255">
      <c r="L255" s="42" t="n">
        <v>45870</v>
      </c>
      <c r="M255" s="43" t="n">
        <v>1375</v>
      </c>
      <c r="N255" s="44">
        <f>IF((L255&gt;$B$4)*(L255&lt;=$C$4),$M255,"")</f>
        <v/>
      </c>
      <c r="O255" s="44">
        <f>IF((L255&gt;$B$5)*(L255&lt;=$C$5),$M255,"")</f>
        <v/>
      </c>
      <c r="P255" s="44">
        <f>IF((L255&gt;$B$6)*(L255&lt;=$C$6),$M255,"")</f>
        <v/>
      </c>
      <c r="Q255" s="44">
        <f>IF((L255&gt;$B$7)*(L255&lt;=$C$7),$M255,"")</f>
        <v/>
      </c>
      <c r="R255" s="44">
        <f>IF((L255&gt;$B$8)*(L255&lt;=$C$8),$M255,"")</f>
        <v/>
      </c>
    </row>
    <row r="256">
      <c r="L256" s="42" t="n">
        <v>45874</v>
      </c>
      <c r="M256" s="43" t="n">
        <v>1350</v>
      </c>
      <c r="N256" s="44">
        <f>IF((L256&gt;$B$4)*(L256&lt;=$C$4),$M256,"")</f>
        <v/>
      </c>
      <c r="O256" s="44">
        <f>IF((L256&gt;$B$5)*(L256&lt;=$C$5),$M256,"")</f>
        <v/>
      </c>
      <c r="P256" s="44">
        <f>IF((L256&gt;$B$6)*(L256&lt;=$C$6),$M256,"")</f>
        <v/>
      </c>
      <c r="Q256" s="44">
        <f>IF((L256&gt;$B$7)*(L256&lt;=$C$7),$M256,"")</f>
        <v/>
      </c>
      <c r="R256" s="44">
        <f>IF((L256&gt;$B$8)*(L256&lt;=$C$8),$M256,"")</f>
        <v/>
      </c>
    </row>
    <row r="257">
      <c r="L257" s="42" t="n">
        <v>45876</v>
      </c>
      <c r="M257" s="43" t="n">
        <v>1350</v>
      </c>
      <c r="N257" s="44">
        <f>IF((L257&gt;$B$4)*(L257&lt;=$C$4),$M257,"")</f>
        <v/>
      </c>
      <c r="O257" s="44">
        <f>IF((L257&gt;$B$5)*(L257&lt;=$C$5),$M257,"")</f>
        <v/>
      </c>
      <c r="P257" s="44">
        <f>IF((L257&gt;$B$6)*(L257&lt;=$C$6),$M257,"")</f>
        <v/>
      </c>
      <c r="Q257" s="44">
        <f>IF((L257&gt;$B$7)*(L257&lt;=$C$7),$M257,"")</f>
        <v/>
      </c>
      <c r="R257" s="44">
        <f>IF((L257&gt;$B$8)*(L257&lt;=$C$8),$M257,"")</f>
        <v/>
      </c>
    </row>
    <row r="258">
      <c r="L258" s="42" t="n">
        <v>45877</v>
      </c>
      <c r="M258" s="43" t="n">
        <v>1350</v>
      </c>
      <c r="N258" s="44">
        <f>IF((L258&gt;$B$4)*(L258&lt;=$C$4),$M258,"")</f>
        <v/>
      </c>
      <c r="O258" s="44">
        <f>IF((L258&gt;$B$5)*(L258&lt;=$C$5),$M258,"")</f>
        <v/>
      </c>
      <c r="P258" s="44">
        <f>IF((L258&gt;$B$6)*(L258&lt;=$C$6),$M258,"")</f>
        <v/>
      </c>
      <c r="Q258" s="44">
        <f>IF((L258&gt;$B$7)*(L258&lt;=$C$7),$M258,"")</f>
        <v/>
      </c>
      <c r="R258" s="44">
        <f>IF((L258&gt;$B$8)*(L258&lt;=$C$8),$M258,"")</f>
        <v/>
      </c>
    </row>
    <row r="259">
      <c r="L259" s="42" t="n">
        <v>45880</v>
      </c>
      <c r="M259" s="43" t="n">
        <v>1325</v>
      </c>
      <c r="N259" s="44">
        <f>IF((L259&gt;$B$4)*(L259&lt;=$C$4),$M259,"")</f>
        <v/>
      </c>
      <c r="O259" s="44">
        <f>IF((L259&gt;$B$5)*(L259&lt;=$C$5),$M259,"")</f>
        <v/>
      </c>
      <c r="P259" s="44">
        <f>IF((L259&gt;$B$6)*(L259&lt;=$C$6),$M259,"")</f>
        <v/>
      </c>
      <c r="Q259" s="44">
        <f>IF((L259&gt;$B$7)*(L259&lt;=$C$7),$M259,"")</f>
        <v/>
      </c>
      <c r="R259" s="44">
        <f>IF((L259&gt;$B$8)*(L259&lt;=$C$8),$M259,"")</f>
        <v/>
      </c>
    </row>
    <row r="260">
      <c r="L260" s="42" t="n">
        <v>45881</v>
      </c>
      <c r="M260" s="43" t="n">
        <v>1325</v>
      </c>
      <c r="N260" s="44">
        <f>IF((L260&gt;$B$4)*(L260&lt;=$C$4),$M260,"")</f>
        <v/>
      </c>
      <c r="O260" s="44">
        <f>IF((L260&gt;$B$5)*(L260&lt;=$C$5),$M260,"")</f>
        <v/>
      </c>
      <c r="P260" s="44">
        <f>IF((L260&gt;$B$6)*(L260&lt;=$C$6),$M260,"")</f>
        <v/>
      </c>
      <c r="Q260" s="44">
        <f>IF((L260&gt;$B$7)*(L260&lt;=$C$7),$M260,"")</f>
        <v/>
      </c>
      <c r="R260" s="44">
        <f>IF((L260&gt;$B$8)*(L260&lt;=$C$8),$M260,"")</f>
        <v/>
      </c>
    </row>
    <row r="261">
      <c r="L261" s="42" t="n">
        <v>45882</v>
      </c>
      <c r="M261" s="43" t="n">
        <v>1325</v>
      </c>
      <c r="N261" s="44">
        <f>IF((L261&gt;$B$4)*(L261&lt;=$C$4),$M261,"")</f>
        <v/>
      </c>
      <c r="O261" s="44">
        <f>IF((L261&gt;$B$5)*(L261&lt;=$C$5),$M261,"")</f>
        <v/>
      </c>
      <c r="P261" s="44">
        <f>IF((L261&gt;$B$6)*(L261&lt;=$C$6),$M261,"")</f>
        <v/>
      </c>
      <c r="Q261" s="44">
        <f>IF((L261&gt;$B$7)*(L261&lt;=$C$7),$M261,"")</f>
        <v/>
      </c>
      <c r="R261" s="44">
        <f>IF((L261&gt;$B$8)*(L261&lt;=$C$8),$M261,"")</f>
        <v/>
      </c>
    </row>
    <row r="262">
      <c r="L262" s="42" t="n">
        <v>45883</v>
      </c>
      <c r="M262" s="43" t="n">
        <v>1275</v>
      </c>
      <c r="N262" s="44">
        <f>IF((L262&gt;$B$4)*(L262&lt;=$C$4),$M262,"")</f>
        <v/>
      </c>
      <c r="O262" s="44">
        <f>IF((L262&gt;$B$5)*(L262&lt;=$C$5),$M262,"")</f>
        <v/>
      </c>
      <c r="P262" s="44">
        <f>IF((L262&gt;$B$6)*(L262&lt;=$C$6),$M262,"")</f>
        <v/>
      </c>
      <c r="Q262" s="44">
        <f>IF((L262&gt;$B$7)*(L262&lt;=$C$7),$M262,"")</f>
        <v/>
      </c>
      <c r="R262" s="44">
        <f>IF((L262&gt;$B$8)*(L262&lt;=$C$8),$M262,"")</f>
        <v/>
      </c>
    </row>
    <row r="263">
      <c r="L263" s="42" t="n">
        <v>45884</v>
      </c>
      <c r="M263" s="43" t="n">
        <v>1275</v>
      </c>
      <c r="N263" s="44">
        <f>IF((L263&gt;$B$4)*(L263&lt;=$C$4),$M263,"")</f>
        <v/>
      </c>
      <c r="O263" s="44">
        <f>IF((L263&gt;$B$5)*(L263&lt;=$C$5),$M263,"")</f>
        <v/>
      </c>
      <c r="P263" s="44">
        <f>IF((L263&gt;$B$6)*(L263&lt;=$C$6),$M263,"")</f>
        <v/>
      </c>
      <c r="Q263" s="44">
        <f>IF((L263&gt;$B$7)*(L263&lt;=$C$7),$M263,"")</f>
        <v/>
      </c>
      <c r="R263" s="44">
        <f>IF((L263&gt;$B$8)*(L263&lt;=$C$8),$M263,"")</f>
        <v/>
      </c>
    </row>
    <row r="264">
      <c r="L264" s="42" t="n">
        <v>45888</v>
      </c>
      <c r="M264" s="43" t="n">
        <v>1275</v>
      </c>
      <c r="N264" s="44">
        <f>IF((L264&gt;$B$4)*(L264&lt;=$C$4),$M264,"")</f>
        <v/>
      </c>
      <c r="O264" s="44">
        <f>IF((L264&gt;$B$5)*(L264&lt;=$C$5),$M264,"")</f>
        <v/>
      </c>
      <c r="P264" s="44">
        <f>IF((L264&gt;$B$6)*(L264&lt;=$C$6),$M264,"")</f>
        <v/>
      </c>
      <c r="Q264" s="44">
        <f>IF((L264&gt;$B$7)*(L264&lt;=$C$7),$M264,"")</f>
        <v/>
      </c>
      <c r="R264" s="44">
        <f>IF((L264&gt;$B$8)*(L264&lt;=$C$8),$M264,"")</f>
        <v/>
      </c>
    </row>
    <row r="265">
      <c r="L265" s="42" t="n">
        <v>45889</v>
      </c>
      <c r="M265" s="43" t="n">
        <v>1275</v>
      </c>
      <c r="N265" s="44">
        <f>IF((L265&gt;$B$4)*(L265&lt;=$C$4),$M265,"")</f>
        <v/>
      </c>
      <c r="O265" s="44">
        <f>IF((L265&gt;$B$5)*(L265&lt;=$C$5),$M265,"")</f>
        <v/>
      </c>
      <c r="P265" s="44">
        <f>IF((L265&gt;$B$6)*(L265&lt;=$C$6),$M265,"")</f>
        <v/>
      </c>
      <c r="Q265" s="44">
        <f>IF((L265&gt;$B$7)*(L265&lt;=$C$7),$M265,"")</f>
        <v/>
      </c>
      <c r="R265" s="44">
        <f>IF((L265&gt;$B$8)*(L265&lt;=$C$8),$M265,"")</f>
        <v/>
      </c>
    </row>
    <row r="266">
      <c r="L266" s="42" t="n">
        <v>45890</v>
      </c>
      <c r="M266" s="43" t="n">
        <v>1275</v>
      </c>
      <c r="N266" s="44">
        <f>IF((L266&gt;$B$4)*(L266&lt;=$C$4),$M266,"")</f>
        <v/>
      </c>
      <c r="O266" s="44">
        <f>IF((L266&gt;$B$5)*(L266&lt;=$C$5),$M266,"")</f>
        <v/>
      </c>
      <c r="P266" s="44">
        <f>IF((L266&gt;$B$6)*(L266&lt;=$C$6),$M266,"")</f>
        <v/>
      </c>
      <c r="Q266" s="44">
        <f>IF((L266&gt;$B$7)*(L266&lt;=$C$7),$M266,"")</f>
        <v/>
      </c>
      <c r="R266" s="44">
        <f>IF((L266&gt;$B$8)*(L266&lt;=$C$8),$M266,"")</f>
        <v/>
      </c>
    </row>
    <row r="267">
      <c r="L267" s="42" t="n">
        <v>45891</v>
      </c>
      <c r="M267" s="43" t="n">
        <v>1275</v>
      </c>
      <c r="N267" s="44">
        <f>IF((L267&gt;$B$4)*(L267&lt;=$C$4),$M267,"")</f>
        <v/>
      </c>
      <c r="O267" s="44">
        <f>IF((L267&gt;$B$5)*(L267&lt;=$C$5),$M267,"")</f>
        <v/>
      </c>
      <c r="P267" s="44">
        <f>IF((L267&gt;$B$6)*(L267&lt;=$C$6),$M267,"")</f>
        <v/>
      </c>
      <c r="Q267" s="44">
        <f>IF((L267&gt;$B$7)*(L267&lt;=$C$7),$M267,"")</f>
        <v/>
      </c>
      <c r="R267" s="44">
        <f>IF((L267&gt;$B$8)*(L267&lt;=$C$8),$M267,"")</f>
        <v/>
      </c>
    </row>
    <row r="268">
      <c r="L268" s="42" t="n">
        <v>45895</v>
      </c>
      <c r="M268" s="43" t="n">
        <v>1275</v>
      </c>
      <c r="N268" s="44">
        <f>IF((L268&gt;$B$4)*(L268&lt;=$C$4),$M268,"")</f>
        <v/>
      </c>
      <c r="O268" s="44">
        <f>IF((L268&gt;$B$5)*(L268&lt;=$C$5),$M268,"")</f>
        <v/>
      </c>
      <c r="P268" s="44">
        <f>IF((L268&gt;$B$6)*(L268&lt;=$C$6),$M268,"")</f>
        <v/>
      </c>
      <c r="Q268" s="44">
        <f>IF((L268&gt;$B$7)*(L268&lt;=$C$7),$M268,"")</f>
        <v/>
      </c>
      <c r="R268" s="44">
        <f>IF((L268&gt;$B$8)*(L268&lt;=$C$8),$M268,"")</f>
        <v/>
      </c>
    </row>
    <row r="269">
      <c r="L269" s="42" t="n">
        <v>45896</v>
      </c>
      <c r="M269" s="43" t="n">
        <v>1275</v>
      </c>
      <c r="N269" s="44">
        <f>IF((L269&gt;$B$4)*(L269&lt;=$C$4),$M269,"")</f>
        <v/>
      </c>
      <c r="O269" s="44">
        <f>IF((L269&gt;$B$5)*(L269&lt;=$C$5),$M269,"")</f>
        <v/>
      </c>
      <c r="P269" s="44">
        <f>IF((L269&gt;$B$6)*(L269&lt;=$C$6),$M269,"")</f>
        <v/>
      </c>
      <c r="Q269" s="44">
        <f>IF((L269&gt;$B$7)*(L269&lt;=$C$7),$M269,"")</f>
        <v/>
      </c>
      <c r="R269" s="44">
        <f>IF((L269&gt;$B$8)*(L269&lt;=$C$8),$M269,"")</f>
        <v/>
      </c>
    </row>
    <row r="270">
      <c r="L270" s="42" t="n">
        <v>45897</v>
      </c>
      <c r="M270" s="43" t="n">
        <v>1275</v>
      </c>
      <c r="N270" s="44">
        <f>IF((L270&gt;$B$4)*(L270&lt;=$C$4),$M270,"")</f>
        <v/>
      </c>
      <c r="O270" s="44">
        <f>IF((L270&gt;$B$5)*(L270&lt;=$C$5),$M270,"")</f>
        <v/>
      </c>
      <c r="P270" s="44">
        <f>IF((L270&gt;$B$6)*(L270&lt;=$C$6),$M270,"")</f>
        <v/>
      </c>
      <c r="Q270" s="44">
        <f>IF((L270&gt;$B$7)*(L270&lt;=$C$7),$M270,"")</f>
        <v/>
      </c>
      <c r="R270" s="44">
        <f>IF((L270&gt;$B$8)*(L270&lt;=$C$8),$M270,"")</f>
        <v/>
      </c>
    </row>
    <row r="271">
      <c r="L271" s="42" t="n">
        <v>45898</v>
      </c>
      <c r="M271" s="43" t="n">
        <v>1275</v>
      </c>
      <c r="N271" s="44">
        <f>IF((L271&gt;$B$4)*(L271&lt;=$C$4),$M271,"")</f>
        <v/>
      </c>
      <c r="O271" s="44">
        <f>IF((L271&gt;$B$5)*(L271&lt;=$C$5),$M271,"")</f>
        <v/>
      </c>
      <c r="P271" s="44">
        <f>IF((L271&gt;$B$6)*(L271&lt;=$C$6),$M271,"")</f>
        <v/>
      </c>
      <c r="Q271" s="44">
        <f>IF((L271&gt;$B$7)*(L271&lt;=$C$7),$M271,"")</f>
        <v/>
      </c>
      <c r="R271" s="44">
        <f>IF((L271&gt;$B$8)*(L271&lt;=$C$8),$M271,"")</f>
        <v/>
      </c>
    </row>
    <row r="272">
      <c r="L272" s="42" t="n">
        <v>45901</v>
      </c>
      <c r="M272" s="43" t="n">
        <v>1265</v>
      </c>
      <c r="N272" s="44">
        <f>IF((L272&gt;$B$4)*(L272&lt;=$C$4),$M272,"")</f>
        <v/>
      </c>
      <c r="O272" s="44">
        <f>IF((L272&gt;$B$5)*(L272&lt;=$C$5),$M272,"")</f>
        <v/>
      </c>
      <c r="P272" s="44">
        <f>IF((L272&gt;$B$6)*(L272&lt;=$C$6),$M272,"")</f>
        <v/>
      </c>
      <c r="Q272" s="44">
        <f>IF((L272&gt;$B$7)*(L272&lt;=$C$7),$M272,"")</f>
        <v/>
      </c>
      <c r="R272" s="44">
        <f>IF((L272&gt;$B$8)*(L272&lt;=$C$8),$M272,"")</f>
        <v/>
      </c>
    </row>
    <row r="273">
      <c r="L273" s="42" t="n">
        <v>45902</v>
      </c>
      <c r="M273" s="43" t="n">
        <v>1250</v>
      </c>
      <c r="N273" s="44">
        <f>IF((L273&gt;$B$4)*(L273&lt;=$C$4),$M273,"")</f>
        <v/>
      </c>
      <c r="O273" s="44">
        <f>IF((L273&gt;$B$5)*(L273&lt;=$C$5),$M273,"")</f>
        <v/>
      </c>
      <c r="P273" s="44">
        <f>IF((L273&gt;$B$6)*(L273&lt;=$C$6),$M273,"")</f>
        <v/>
      </c>
      <c r="Q273" s="44">
        <f>IF((L273&gt;$B$7)*(L273&lt;=$C$7),$M273,"")</f>
        <v/>
      </c>
      <c r="R273" s="44">
        <f>IF((L273&gt;$B$8)*(L273&lt;=$C$8),$M273,"")</f>
        <v/>
      </c>
    </row>
    <row r="274">
      <c r="L274" s="42" t="n">
        <v>45903</v>
      </c>
      <c r="M274" s="43" t="n">
        <v>1250</v>
      </c>
      <c r="N274" s="44">
        <f>IF((L274&gt;$B$4)*(L274&lt;=$C$4),$M274,"")</f>
        <v/>
      </c>
      <c r="O274" s="44">
        <f>IF((L274&gt;$B$5)*(L274&lt;=$C$5),$M274,"")</f>
        <v/>
      </c>
      <c r="P274" s="44">
        <f>IF((L274&gt;$B$6)*(L274&lt;=$C$6),$M274,"")</f>
        <v/>
      </c>
      <c r="Q274" s="44">
        <f>IF((L274&gt;$B$7)*(L274&lt;=$C$7),$M274,"")</f>
        <v/>
      </c>
      <c r="R274" s="44">
        <f>IF((L274&gt;$B$8)*(L274&lt;=$C$8),$M274,"")</f>
        <v/>
      </c>
    </row>
    <row r="275">
      <c r="L275" s="42" t="n">
        <v>45904</v>
      </c>
      <c r="M275" s="43" t="n">
        <v>1250</v>
      </c>
      <c r="N275" s="44">
        <f>IF((L275&gt;$B$4)*(L275&lt;=$C$4),$M275,"")</f>
        <v/>
      </c>
      <c r="O275" s="44">
        <f>IF((L275&gt;$B$5)*(L275&lt;=$C$5),$M275,"")</f>
        <v/>
      </c>
      <c r="P275" s="44">
        <f>IF((L275&gt;$B$6)*(L275&lt;=$C$6),$M275,"")</f>
        <v/>
      </c>
      <c r="Q275" s="44">
        <f>IF((L275&gt;$B$7)*(L275&lt;=$C$7),$M275,"")</f>
        <v/>
      </c>
      <c r="R275" s="44">
        <f>IF((L275&gt;$B$8)*(L275&lt;=$C$8),$M275,"")</f>
        <v/>
      </c>
    </row>
    <row r="276">
      <c r="L276" s="42" t="n">
        <v>45905</v>
      </c>
      <c r="M276" s="43" t="n">
        <v>1250</v>
      </c>
      <c r="N276" s="44">
        <f>IF((L276&gt;$B$4)*(L276&lt;=$C$4),$M276,"")</f>
        <v/>
      </c>
      <c r="O276" s="44">
        <f>IF((L276&gt;$B$5)*(L276&lt;=$C$5),$M276,"")</f>
        <v/>
      </c>
      <c r="P276" s="44">
        <f>IF((L276&gt;$B$6)*(L276&lt;=$C$6),$M276,"")</f>
        <v/>
      </c>
      <c r="Q276" s="44">
        <f>IF((L276&gt;$B$7)*(L276&lt;=$C$7),$M276,"")</f>
        <v/>
      </c>
      <c r="R276" s="44">
        <f>IF((L276&gt;$B$8)*(L276&lt;=$C$8),$M276,"")</f>
        <v/>
      </c>
    </row>
    <row r="277">
      <c r="L277" s="42" t="n">
        <v>45908</v>
      </c>
      <c r="M277" s="43" t="n">
        <v>1250</v>
      </c>
      <c r="N277" s="44">
        <f>IF((L277&gt;$B$4)*(L277&lt;=$C$4),$M277,"")</f>
        <v/>
      </c>
      <c r="O277" s="44">
        <f>IF((L277&gt;$B$5)*(L277&lt;=$C$5),$M277,"")</f>
        <v/>
      </c>
      <c r="P277" s="44">
        <f>IF((L277&gt;$B$6)*(L277&lt;=$C$6),$M277,"")</f>
        <v/>
      </c>
      <c r="Q277" s="44">
        <f>IF((L277&gt;$B$7)*(L277&lt;=$C$7),$M277,"")</f>
        <v/>
      </c>
      <c r="R277" s="44">
        <f>IF((L277&gt;$B$8)*(L277&lt;=$C$8),$M277,"")</f>
        <v/>
      </c>
    </row>
    <row r="278">
      <c r="L278" s="42" t="n">
        <v>45909</v>
      </c>
      <c r="M278" s="43" t="n">
        <v>1250</v>
      </c>
      <c r="N278" s="44">
        <f>IF((L278&gt;$B$4)*(L278&lt;=$C$4),$M278,"")</f>
        <v/>
      </c>
      <c r="O278" s="44">
        <f>IF((L278&gt;$B$5)*(L278&lt;=$C$5),$M278,"")</f>
        <v/>
      </c>
      <c r="P278" s="44">
        <f>IF((L278&gt;$B$6)*(L278&lt;=$C$6),$M278,"")</f>
        <v/>
      </c>
      <c r="Q278" s="44">
        <f>IF((L278&gt;$B$7)*(L278&lt;=$C$7),$M278,"")</f>
        <v/>
      </c>
      <c r="R278" s="44">
        <f>IF((L278&gt;$B$8)*(L278&lt;=$C$8),$M278,"")</f>
        <v/>
      </c>
    </row>
    <row r="279">
      <c r="L279" s="42" t="n">
        <v>45910</v>
      </c>
      <c r="M279" s="43" t="n">
        <v>1250</v>
      </c>
      <c r="N279" s="44">
        <f>IF((L279&gt;$B$4)*(L279&lt;=$C$4),$M279,"")</f>
        <v/>
      </c>
      <c r="O279" s="44">
        <f>IF((L279&gt;$B$5)*(L279&lt;=$C$5),$M279,"")</f>
        <v/>
      </c>
      <c r="P279" s="44">
        <f>IF((L279&gt;$B$6)*(L279&lt;=$C$6),$M279,"")</f>
        <v/>
      </c>
      <c r="Q279" s="44">
        <f>IF((L279&gt;$B$7)*(L279&lt;=$C$7),$M279,"")</f>
        <v/>
      </c>
      <c r="R279" s="44">
        <f>IF((L279&gt;$B$8)*(L279&lt;=$C$8),$M279,"")</f>
        <v/>
      </c>
    </row>
    <row r="280">
      <c r="L280" s="42" t="n">
        <v>45911</v>
      </c>
      <c r="M280" s="43" t="n">
        <v>1250</v>
      </c>
      <c r="N280" s="44">
        <f>IF((L280&gt;$B$4)*(L280&lt;=$C$4),$M280,"")</f>
        <v/>
      </c>
      <c r="O280" s="44">
        <f>IF((L280&gt;$B$5)*(L280&lt;=$C$5),$M280,"")</f>
        <v/>
      </c>
      <c r="P280" s="44">
        <f>IF((L280&gt;$B$6)*(L280&lt;=$C$6),$M280,"")</f>
        <v/>
      </c>
      <c r="Q280" s="44">
        <f>IF((L280&gt;$B$7)*(L280&lt;=$C$7),$M280,"")</f>
        <v/>
      </c>
      <c r="R280" s="44">
        <f>IF((L280&gt;$B$8)*(L280&lt;=$C$8),$M280,"")</f>
        <v/>
      </c>
    </row>
    <row r="281">
      <c r="L281" s="42" t="n">
        <v>45912</v>
      </c>
      <c r="M281" s="43" t="n">
        <v>1250</v>
      </c>
      <c r="N281" s="44">
        <f>IF((L281&gt;$B$4)*(L281&lt;=$C$4),$M281,"")</f>
        <v/>
      </c>
      <c r="O281" s="44">
        <f>IF((L281&gt;$B$5)*(L281&lt;=$C$5),$M281,"")</f>
        <v/>
      </c>
      <c r="P281" s="44">
        <f>IF((L281&gt;$B$6)*(L281&lt;=$C$6),$M281,"")</f>
        <v/>
      </c>
      <c r="Q281" s="44">
        <f>IF((L281&gt;$B$7)*(L281&lt;=$C$7),$M281,"")</f>
        <v/>
      </c>
      <c r="R281" s="44">
        <f>IF((L281&gt;$B$8)*(L281&lt;=$C$8),$M281,"")</f>
        <v/>
      </c>
    </row>
    <row r="282">
      <c r="L282" s="42" t="n">
        <v>45916</v>
      </c>
      <c r="M282" s="43" t="n">
        <v>1250</v>
      </c>
      <c r="N282" s="44">
        <f>IF((L282&gt;$B$4)*(L282&lt;=$C$4),$M282,"")</f>
        <v/>
      </c>
      <c r="O282" s="44">
        <f>IF((L282&gt;$B$5)*(L282&lt;=$C$5),$M282,"")</f>
        <v/>
      </c>
      <c r="P282" s="44">
        <f>IF((L282&gt;$B$6)*(L282&lt;=$C$6),$M282,"")</f>
        <v/>
      </c>
      <c r="Q282" s="44">
        <f>IF((L282&gt;$B$7)*(L282&lt;=$C$7),$M282,"")</f>
        <v/>
      </c>
      <c r="R282" s="44">
        <f>IF((L282&gt;$B$8)*(L282&lt;=$C$8),$M282,"")</f>
        <v/>
      </c>
    </row>
    <row r="283">
      <c r="L283" s="42" t="n">
        <v>45917</v>
      </c>
      <c r="M283" s="43" t="n">
        <v>1250</v>
      </c>
      <c r="N283" s="44">
        <f>IF((L283&gt;$B$4)*(L283&lt;=$C$4),$M283,"")</f>
        <v/>
      </c>
      <c r="O283" s="44">
        <f>IF((L283&gt;$B$5)*(L283&lt;=$C$5),$M283,"")</f>
        <v/>
      </c>
      <c r="P283" s="44">
        <f>IF((L283&gt;$B$6)*(L283&lt;=$C$6),$M283,"")</f>
        <v/>
      </c>
      <c r="Q283" s="44">
        <f>IF((L283&gt;$B$7)*(L283&lt;=$C$7),$M283,"")</f>
        <v/>
      </c>
      <c r="R283" s="44">
        <f>IF((L283&gt;$B$8)*(L283&lt;=$C$8),$M283,"")</f>
        <v/>
      </c>
    </row>
    <row r="284">
      <c r="L284" s="42" t="n">
        <v>45918</v>
      </c>
      <c r="M284" s="43" t="n">
        <v>1250</v>
      </c>
      <c r="N284" s="44">
        <f>IF((L284&gt;$B$4)*(L284&lt;=$C$4),$M284,"")</f>
        <v/>
      </c>
      <c r="O284" s="44">
        <f>IF((L284&gt;$B$5)*(L284&lt;=$C$5),$M284,"")</f>
        <v/>
      </c>
      <c r="P284" s="44">
        <f>IF((L284&gt;$B$6)*(L284&lt;=$C$6),$M284,"")</f>
        <v/>
      </c>
      <c r="Q284" s="44">
        <f>IF((L284&gt;$B$7)*(L284&lt;=$C$7),$M284,"")</f>
        <v/>
      </c>
      <c r="R284" s="44">
        <f>IF((L284&gt;$B$8)*(L284&lt;=$C$8),$M284,"")</f>
        <v/>
      </c>
    </row>
    <row r="285">
      <c r="L285" s="42" t="n">
        <v>45919</v>
      </c>
      <c r="M285" s="43" t="n">
        <v>1250</v>
      </c>
      <c r="N285" s="44">
        <f>IF((L285&gt;$B$4)*(L285&lt;=$C$4),$M285,"")</f>
        <v/>
      </c>
      <c r="O285" s="44">
        <f>IF((L285&gt;$B$5)*(L285&lt;=$C$5),$M285,"")</f>
        <v/>
      </c>
      <c r="P285" s="44">
        <f>IF((L285&gt;$B$6)*(L285&lt;=$C$6),$M285,"")</f>
        <v/>
      </c>
      <c r="Q285" s="44">
        <f>IF((L285&gt;$B$7)*(L285&lt;=$C$7),$M285,"")</f>
        <v/>
      </c>
      <c r="R285" s="44">
        <f>IF((L285&gt;$B$8)*(L285&lt;=$C$8),$M285,"")</f>
        <v/>
      </c>
    </row>
    <row r="286">
      <c r="L286" s="42" t="n">
        <v>45922</v>
      </c>
      <c r="M286" s="43" t="n">
        <v>1250</v>
      </c>
      <c r="N286" s="44">
        <f>IF((L286&gt;$B$4)*(L286&lt;=$C$4),$M286,"")</f>
        <v/>
      </c>
      <c r="O286" s="44">
        <f>IF((L286&gt;$B$5)*(L286&lt;=$C$5),$M286,"")</f>
        <v/>
      </c>
      <c r="P286" s="44">
        <f>IF((L286&gt;$B$6)*(L286&lt;=$C$6),$M286,"")</f>
        <v/>
      </c>
      <c r="Q286" s="44">
        <f>IF((L286&gt;$B$7)*(L286&lt;=$C$7),$M286,"")</f>
        <v/>
      </c>
      <c r="R286" s="44">
        <f>IF((L286&gt;$B$8)*(L286&lt;=$C$8),$M286,"")</f>
        <v/>
      </c>
    </row>
    <row r="287">
      <c r="L287" s="42" t="n">
        <v>45924</v>
      </c>
      <c r="M287" s="43" t="n">
        <v>1250</v>
      </c>
      <c r="N287" s="44">
        <f>IF((L287&gt;$B$4)*(L287&lt;=$C$4),$M287,"")</f>
        <v/>
      </c>
      <c r="O287" s="44">
        <f>IF((L287&gt;$B$5)*(L287&lt;=$C$5),$M287,"")</f>
        <v/>
      </c>
      <c r="P287" s="44">
        <f>IF((L287&gt;$B$6)*(L287&lt;=$C$6),$M287,"")</f>
        <v/>
      </c>
      <c r="Q287" s="44">
        <f>IF((L287&gt;$B$7)*(L287&lt;=$C$7),$M287,"")</f>
        <v/>
      </c>
      <c r="R287" s="44">
        <f>IF((L287&gt;$B$8)*(L287&lt;=$C$8),$M287,"")</f>
        <v/>
      </c>
    </row>
    <row r="288">
      <c r="L288" s="42" t="n">
        <v>45925</v>
      </c>
      <c r="M288" s="43" t="n">
        <v>1250</v>
      </c>
      <c r="N288" s="44">
        <f>IF((L288&gt;$B$4)*(L288&lt;=$C$4),$M288,"")</f>
        <v/>
      </c>
      <c r="O288" s="44">
        <f>IF((L288&gt;$B$5)*(L288&lt;=$C$5),$M288,"")</f>
        <v/>
      </c>
      <c r="P288" s="44">
        <f>IF((L288&gt;$B$6)*(L288&lt;=$C$6),$M288,"")</f>
        <v/>
      </c>
      <c r="Q288" s="44">
        <f>IF((L288&gt;$B$7)*(L288&lt;=$C$7),$M288,"")</f>
        <v/>
      </c>
      <c r="R288" s="44">
        <f>IF((L288&gt;$B$8)*(L288&lt;=$C$8),$M288,"")</f>
        <v/>
      </c>
    </row>
    <row r="289">
      <c r="L289" s="42" t="n">
        <v>45926</v>
      </c>
      <c r="M289" s="43" t="n">
        <v>1250</v>
      </c>
      <c r="N289" s="44">
        <f>IF((L289&gt;$B$4)*(L289&lt;=$C$4),$M289,"")</f>
        <v/>
      </c>
      <c r="O289" s="44">
        <f>IF((L289&gt;$B$5)*(L289&lt;=$C$5),$M289,"")</f>
        <v/>
      </c>
      <c r="P289" s="44">
        <f>IF((L289&gt;$B$6)*(L289&lt;=$C$6),$M289,"")</f>
        <v/>
      </c>
      <c r="Q289" s="44">
        <f>IF((L289&gt;$B$7)*(L289&lt;=$C$7),$M289,"")</f>
        <v/>
      </c>
      <c r="R289" s="44">
        <f>IF((L289&gt;$B$8)*(L289&lt;=$C$8),$M289,"")</f>
        <v/>
      </c>
    </row>
    <row r="290">
      <c r="L290" s="42" t="n">
        <v>45929</v>
      </c>
      <c r="M290" s="43" t="n">
        <v>1250</v>
      </c>
      <c r="N290" s="44">
        <f>IF((L290&gt;$B$4)*(L290&lt;=$C$4),$M290,"")</f>
        <v/>
      </c>
      <c r="O290" s="44">
        <f>IF((L290&gt;$B$5)*(L290&lt;=$C$5),$M290,"")</f>
        <v/>
      </c>
      <c r="P290" s="44">
        <f>IF((L290&gt;$B$6)*(L290&lt;=$C$6),$M290,"")</f>
        <v/>
      </c>
      <c r="Q290" s="44">
        <f>IF((L290&gt;$B$7)*(L290&lt;=$C$7),$M290,"")</f>
        <v/>
      </c>
      <c r="R290" s="44">
        <f>IF((L290&gt;$B$8)*(L290&lt;=$C$8),$M290,"")</f>
        <v/>
      </c>
    </row>
    <row r="291">
      <c r="L291" s="42" t="n">
        <v>45930</v>
      </c>
      <c r="M291" s="43" t="n">
        <v>1250</v>
      </c>
      <c r="N291" s="44">
        <f>IF((L291&gt;$B$4)*(L291&lt;=$C$4),$M291,"")</f>
        <v/>
      </c>
      <c r="O291" s="44">
        <f>IF((L291&gt;$B$5)*(L291&lt;=$C$5),$M291,"")</f>
        <v/>
      </c>
      <c r="P291" s="44">
        <f>IF((L291&gt;$B$6)*(L291&lt;=$C$6),$M291,"")</f>
        <v/>
      </c>
      <c r="Q291" s="44">
        <f>IF((L291&gt;$B$7)*(L291&lt;=$C$7),$M291,"")</f>
        <v/>
      </c>
      <c r="R291" s="44">
        <f>IF((L291&gt;$B$8)*(L291&lt;=$C$8),$M291,"")</f>
        <v/>
      </c>
    </row>
    <row r="292">
      <c r="L292" s="42" t="n">
        <v>45939</v>
      </c>
      <c r="M292" s="43" t="n">
        <v>1250</v>
      </c>
      <c r="N292" s="44">
        <f>IF((L292&gt;$B$4)*(L292&lt;=$C$4),$M292,"")</f>
        <v/>
      </c>
      <c r="O292" s="44">
        <f>IF((L292&gt;$B$5)*(L292&lt;=$C$5),$M292,"")</f>
        <v/>
      </c>
      <c r="P292" s="44">
        <f>IF((L292&gt;$B$6)*(L292&lt;=$C$6),$M292,"")</f>
        <v/>
      </c>
      <c r="Q292" s="44">
        <f>IF((L292&gt;$B$7)*(L292&lt;=$C$7),$M292,"")</f>
        <v/>
      </c>
      <c r="R292" s="44">
        <f>IF((L292&gt;$B$8)*(L292&lt;=$C$8),$M292,"")</f>
        <v/>
      </c>
    </row>
    <row r="293">
      <c r="L293" s="42" t="n">
        <v>45941</v>
      </c>
      <c r="M293" s="43" t="n">
        <v>1250</v>
      </c>
      <c r="N293" s="44">
        <f>IF((L293&gt;$B$4)*(L293&lt;=$C$4),$M293,"")</f>
        <v/>
      </c>
      <c r="O293" s="44">
        <f>IF((L293&gt;$B$5)*(L293&lt;=$C$5),$M293,"")</f>
        <v/>
      </c>
      <c r="P293" s="44">
        <f>IF((L293&gt;$B$6)*(L293&lt;=$C$6),$M293,"")</f>
        <v/>
      </c>
      <c r="Q293" s="44">
        <f>IF((L293&gt;$B$7)*(L293&lt;=$C$7),$M293,"")</f>
        <v/>
      </c>
      <c r="R293" s="44">
        <f>IF((L293&gt;$B$8)*(L293&lt;=$C$8),$M293,"")</f>
        <v/>
      </c>
    </row>
    <row r="294">
      <c r="L294" s="42" t="n">
        <v>45957</v>
      </c>
      <c r="M294" s="43" t="n">
        <v>1250</v>
      </c>
      <c r="N294" s="44">
        <f>IF((L294&gt;$B$4)*(L294&lt;=$C$4),$M294,"")</f>
        <v/>
      </c>
      <c r="O294" s="44">
        <f>IF((L294&gt;$B$5)*(L294&lt;=$C$5),$M294,"")</f>
        <v/>
      </c>
      <c r="P294" s="44">
        <f>IF((L294&gt;$B$6)*(L294&lt;=$C$6),$M294,"")</f>
        <v/>
      </c>
      <c r="Q294" s="44">
        <f>IF((L294&gt;$B$7)*(L294&lt;=$C$7),$M294,"")</f>
        <v/>
      </c>
      <c r="R294" s="44">
        <f>IF((L294&gt;$B$8)*(L294&lt;=$C$8),$M294,"")</f>
        <v/>
      </c>
    </row>
    <row r="295">
      <c r="L295" s="42" t="n">
        <v>45958</v>
      </c>
      <c r="M295" s="43" t="n">
        <v>1250</v>
      </c>
      <c r="N295" s="44">
        <f>IF((L295&gt;$B$4)*(L295&lt;=$C$4),$M295,"")</f>
        <v/>
      </c>
      <c r="O295" s="44">
        <f>IF((L295&gt;$B$5)*(L295&lt;=$C$5),$M295,"")</f>
        <v/>
      </c>
      <c r="P295" s="44">
        <f>IF((L295&gt;$B$6)*(L295&lt;=$C$6),$M295,"")</f>
        <v/>
      </c>
      <c r="Q295" s="44">
        <f>IF((L295&gt;$B$7)*(L295&lt;=$C$7),$M295,"")</f>
        <v/>
      </c>
      <c r="R295" s="44">
        <f>IF((L295&gt;$B$8)*(L295&lt;=$C$8),$M295,"")</f>
        <v/>
      </c>
    </row>
    <row r="296">
      <c r="L296" s="42" t="n">
        <v>45959</v>
      </c>
      <c r="M296" s="43" t="n">
        <v>1250</v>
      </c>
      <c r="N296" s="44">
        <f>IF((L296&gt;$B$4)*(L296&lt;=$C$4),$M296,"")</f>
        <v/>
      </c>
      <c r="O296" s="44">
        <f>IF((L296&gt;$B$5)*(L296&lt;=$C$5),$M296,"")</f>
        <v/>
      </c>
      <c r="P296" s="44">
        <f>IF((L296&gt;$B$6)*(L296&lt;=$C$6),$M296,"")</f>
        <v/>
      </c>
      <c r="Q296" s="44">
        <f>IF((L296&gt;$B$7)*(L296&lt;=$C$7),$M296,"")</f>
        <v/>
      </c>
      <c r="R296" s="44">
        <f>IF((L296&gt;$B$8)*(L296&lt;=$C$8),$M296,"")</f>
        <v/>
      </c>
    </row>
    <row r="297">
      <c r="L297" s="42" t="n">
        <v>45960</v>
      </c>
      <c r="M297" s="43" t="n">
        <v>1250</v>
      </c>
      <c r="N297" s="44">
        <f>IF((L297&gt;$B$4)*(L297&lt;=$C$4),$M297,"")</f>
        <v/>
      </c>
      <c r="O297" s="44">
        <f>IF((L297&gt;$B$5)*(L297&lt;=$C$5),$M297,"")</f>
        <v/>
      </c>
      <c r="P297" s="44">
        <f>IF((L297&gt;$B$6)*(L297&lt;=$C$6),$M297,"")</f>
        <v/>
      </c>
      <c r="Q297" s="44">
        <f>IF((L297&gt;$B$7)*(L297&lt;=$C$7),$M297,"")</f>
        <v/>
      </c>
      <c r="R297" s="44">
        <f>IF((L297&gt;$B$8)*(L297&lt;=$C$8),$M297,"")</f>
        <v/>
      </c>
    </row>
    <row r="298">
      <c r="L298" s="42" t="n">
        <v>45961</v>
      </c>
      <c r="M298" s="43" t="n">
        <v>1250</v>
      </c>
      <c r="N298" s="44">
        <f>IF((L298&gt;$B$4)*(L298&lt;=$C$4),$M298,"")</f>
        <v/>
      </c>
      <c r="O298" s="44">
        <f>IF((L298&gt;$B$5)*(L298&lt;=$C$5),$M298,"")</f>
        <v/>
      </c>
      <c r="P298" s="44">
        <f>IF((L298&gt;$B$6)*(L298&lt;=$C$6),$M298,"")</f>
        <v/>
      </c>
      <c r="Q298" s="44">
        <f>IF((L298&gt;$B$7)*(L298&lt;=$C$7),$M298,"")</f>
        <v/>
      </c>
      <c r="R298" s="44">
        <f>IF((L298&gt;$B$8)*(L298&lt;=$C$8),$M298,"")</f>
        <v/>
      </c>
    </row>
    <row r="299">
      <c r="L299" s="42" t="n">
        <v>45964</v>
      </c>
      <c r="M299" s="43" t="n">
        <v>1250</v>
      </c>
      <c r="N299" s="44">
        <f>IF((L299&gt;$B$4)*(L299&lt;=$C$4),$M299,"")</f>
        <v/>
      </c>
      <c r="O299" s="44">
        <f>IF((L299&gt;$B$5)*(L299&lt;=$C$5),$M299,"")</f>
        <v/>
      </c>
      <c r="P299" s="44">
        <f>IF((L299&gt;$B$6)*(L299&lt;=$C$6),$M299,"")</f>
        <v/>
      </c>
      <c r="Q299" s="44">
        <f>IF((L299&gt;$B$7)*(L299&lt;=$C$7),$M299,"")</f>
        <v/>
      </c>
      <c r="R299" s="44">
        <f>IF((L299&gt;$B$8)*(L299&lt;=$C$8),$M299,"")</f>
        <v/>
      </c>
    </row>
    <row r="300">
      <c r="L300" s="42" t="n">
        <v>45965</v>
      </c>
      <c r="M300" s="43" t="n">
        <v>1250</v>
      </c>
      <c r="N300" s="44">
        <f>IF((L300&gt;$B$4)*(L300&lt;=$C$4),$M300,"")</f>
        <v/>
      </c>
      <c r="O300" s="44">
        <f>IF((L300&gt;$B$5)*(L300&lt;=$C$5),$M300,"")</f>
        <v/>
      </c>
      <c r="P300" s="44">
        <f>IF((L300&gt;$B$6)*(L300&lt;=$C$6),$M300,"")</f>
        <v/>
      </c>
      <c r="Q300" s="44">
        <f>IF((L300&gt;$B$7)*(L300&lt;=$C$7),$M300,"")</f>
        <v/>
      </c>
      <c r="R300" s="44">
        <f>IF((L300&gt;$B$8)*(L300&lt;=$C$8),$M300,"")</f>
        <v/>
      </c>
    </row>
    <row r="301">
      <c r="L301" s="42" t="n">
        <v>45966</v>
      </c>
      <c r="M301" s="43" t="n">
        <v>1250</v>
      </c>
      <c r="N301" s="44">
        <f>IF((L301&gt;$B$4)*(L301&lt;=$C$4),$M301,"")</f>
        <v/>
      </c>
      <c r="O301" s="44">
        <f>IF((L301&gt;$B$5)*(L301&lt;=$C$5),$M301,"")</f>
        <v/>
      </c>
      <c r="P301" s="44">
        <f>IF((L301&gt;$B$6)*(L301&lt;=$C$6),$M301,"")</f>
        <v/>
      </c>
      <c r="Q301" s="44">
        <f>IF((L301&gt;$B$7)*(L301&lt;=$C$7),$M301,"")</f>
        <v/>
      </c>
      <c r="R301" s="44">
        <f>IF((L301&gt;$B$8)*(L301&lt;=$C$8),$M301,"")</f>
        <v/>
      </c>
    </row>
    <row r="302">
      <c r="L302" s="42" t="n">
        <v>45967</v>
      </c>
      <c r="M302" s="43" t="n">
        <v>1250</v>
      </c>
      <c r="N302" s="44">
        <f>IF((L302&gt;$B$4)*(L302&lt;=$C$4),$M302,"")</f>
        <v/>
      </c>
      <c r="O302" s="44">
        <f>IF((L302&gt;$B$5)*(L302&lt;=$C$5),$M302,"")</f>
        <v/>
      </c>
      <c r="P302" s="44">
        <f>IF((L302&gt;$B$6)*(L302&lt;=$C$6),$M302,"")</f>
        <v/>
      </c>
      <c r="Q302" s="44">
        <f>IF((L302&gt;$B$7)*(L302&lt;=$C$7),$M302,"")</f>
        <v/>
      </c>
      <c r="R302" s="44">
        <f>IF((L302&gt;$B$8)*(L302&lt;=$C$8),$M302,"")</f>
        <v/>
      </c>
    </row>
    <row r="303">
      <c r="L303" s="42" t="n">
        <v>45968</v>
      </c>
      <c r="M303" s="43" t="n">
        <v>1250</v>
      </c>
      <c r="N303" s="44">
        <f>IF((L303&gt;$B$4)*(L303&lt;=$C$4),$M303,"")</f>
        <v/>
      </c>
      <c r="O303" s="44">
        <f>IF((L303&gt;$B$5)*(L303&lt;=$C$5),$M303,"")</f>
        <v/>
      </c>
      <c r="P303" s="44">
        <f>IF((L303&gt;$B$6)*(L303&lt;=$C$6),$M303,"")</f>
        <v/>
      </c>
      <c r="Q303" s="44">
        <f>IF((L303&gt;$B$7)*(L303&lt;=$C$7),$M303,"")</f>
        <v/>
      </c>
      <c r="R303" s="44">
        <f>IF((L303&gt;$B$8)*(L303&lt;=$C$8),$M303,"")</f>
        <v/>
      </c>
    </row>
    <row r="304">
      <c r="L304" s="42" t="n">
        <v>45971</v>
      </c>
      <c r="M304" s="43" t="n">
        <v>1250</v>
      </c>
      <c r="N304" s="44">
        <f>IF((L304&gt;$B$4)*(L304&lt;=$C$4),$M304,"")</f>
        <v/>
      </c>
      <c r="O304" s="44">
        <f>IF((L304&gt;$B$5)*(L304&lt;=$C$5),$M304,"")</f>
        <v/>
      </c>
      <c r="P304" s="44">
        <f>IF((L304&gt;$B$6)*(L304&lt;=$C$6),$M304,"")</f>
        <v/>
      </c>
      <c r="Q304" s="44">
        <f>IF((L304&gt;$B$7)*(L304&lt;=$C$7),$M304,"")</f>
        <v/>
      </c>
      <c r="R304" s="44">
        <f>IF((L304&gt;$B$8)*(L304&lt;=$C$8),$M304,"")</f>
        <v/>
      </c>
    </row>
    <row r="305">
      <c r="L305" s="42" t="n">
        <v>45972</v>
      </c>
      <c r="M305" s="43" t="n">
        <v>1250</v>
      </c>
      <c r="N305" s="44">
        <f>IF((L305&gt;$B$4)*(L305&lt;=$C$4),$M305,"")</f>
        <v/>
      </c>
      <c r="O305" s="44">
        <f>IF((L305&gt;$B$5)*(L305&lt;=$C$5),$M305,"")</f>
        <v/>
      </c>
      <c r="P305" s="44">
        <f>IF((L305&gt;$B$6)*(L305&lt;=$C$6),$M305,"")</f>
        <v/>
      </c>
      <c r="Q305" s="44">
        <f>IF((L305&gt;$B$7)*(L305&lt;=$C$7),$M305,"")</f>
        <v/>
      </c>
      <c r="R305" s="44">
        <f>IF((L305&gt;$B$8)*(L305&lt;=$C$8),$M305,"")</f>
        <v/>
      </c>
    </row>
    <row r="306">
      <c r="L306" s="42" t="n">
        <v>45973</v>
      </c>
      <c r="M306" s="43" t="n">
        <v>1250</v>
      </c>
      <c r="N306" s="44">
        <f>IF((L306&gt;$B$4)*(L306&lt;=$C$4),$M306,"")</f>
        <v/>
      </c>
      <c r="O306" s="44">
        <f>IF((L306&gt;$B$5)*(L306&lt;=$C$5),$M306,"")</f>
        <v/>
      </c>
      <c r="P306" s="44">
        <f>IF((L306&gt;$B$6)*(L306&lt;=$C$6),$M306,"")</f>
        <v/>
      </c>
      <c r="Q306" s="44">
        <f>IF((L306&gt;$B$7)*(L306&lt;=$C$7),$M306,"")</f>
        <v/>
      </c>
      <c r="R306" s="44">
        <f>IF((L306&gt;$B$8)*(L306&lt;=$C$8),$M306,"")</f>
        <v/>
      </c>
    </row>
    <row r="307">
      <c r="L307" s="42" t="n">
        <v>45974</v>
      </c>
      <c r="M307" s="43" t="n">
        <v>1250</v>
      </c>
      <c r="N307" s="44">
        <f>IF((L307&gt;$B$4)*(L307&lt;=$C$4),$M307,"")</f>
        <v/>
      </c>
      <c r="O307" s="44">
        <f>IF((L307&gt;$B$5)*(L307&lt;=$C$5),$M307,"")</f>
        <v/>
      </c>
      <c r="P307" s="44">
        <f>IF((L307&gt;$B$6)*(L307&lt;=$C$6),$M307,"")</f>
        <v/>
      </c>
      <c r="Q307" s="44">
        <f>IF((L307&gt;$B$7)*(L307&lt;=$C$7),$M307,"")</f>
        <v/>
      </c>
      <c r="R307" s="44">
        <f>IF((L307&gt;$B$8)*(L307&lt;=$C$8),$M307,"")</f>
        <v/>
      </c>
    </row>
    <row r="308">
      <c r="L308" s="42" t="n">
        <v>45975</v>
      </c>
      <c r="M308" s="43" t="n">
        <v>1250</v>
      </c>
      <c r="N308" s="44">
        <f>IF((L308&gt;$B$4)*(L308&lt;=$C$4),$M308,"")</f>
        <v/>
      </c>
      <c r="O308" s="44">
        <f>IF((L308&gt;$B$5)*(L308&lt;=$C$5),$M308,"")</f>
        <v/>
      </c>
      <c r="P308" s="44">
        <f>IF((L308&gt;$B$6)*(L308&lt;=$C$6),$M308,"")</f>
        <v/>
      </c>
      <c r="Q308" s="44">
        <f>IF((L308&gt;$B$7)*(L308&lt;=$C$7),$M308,"")</f>
        <v/>
      </c>
      <c r="R308" s="44">
        <f>IF((L308&gt;$B$8)*(L308&lt;=$C$8),$M308,"")</f>
        <v/>
      </c>
    </row>
    <row r="309">
      <c r="L309" s="42" t="n">
        <v>45978</v>
      </c>
      <c r="M309" s="43" t="n">
        <v>1250</v>
      </c>
      <c r="N309" s="44">
        <f>IF((L309&gt;$B$4)*(L309&lt;=$C$4),$M309,"")</f>
        <v/>
      </c>
      <c r="O309" s="44">
        <f>IF((L309&gt;$B$5)*(L309&lt;=$C$5),$M309,"")</f>
        <v/>
      </c>
      <c r="P309" s="44">
        <f>IF((L309&gt;$B$6)*(L309&lt;=$C$6),$M309,"")</f>
        <v/>
      </c>
      <c r="Q309" s="44">
        <f>IF((L309&gt;$B$7)*(L309&lt;=$C$7),$M309,"")</f>
        <v/>
      </c>
      <c r="R309" s="44">
        <f>IF((L309&gt;$B$8)*(L309&lt;=$C$8),$M309,"")</f>
        <v/>
      </c>
    </row>
    <row r="310">
      <c r="L310" s="42" t="n">
        <v>45980</v>
      </c>
      <c r="M310" s="43" t="n">
        <v>1250</v>
      </c>
      <c r="N310" s="44">
        <f>IF((L310&gt;$B$4)*(L310&lt;=$C$4),$M310,"")</f>
        <v/>
      </c>
      <c r="O310" s="44">
        <f>IF((L310&gt;$B$5)*(L310&lt;=$C$5),$M310,"")</f>
        <v/>
      </c>
      <c r="P310" s="44">
        <f>IF((L310&gt;$B$6)*(L310&lt;=$C$6),$M310,"")</f>
        <v/>
      </c>
      <c r="Q310" s="44">
        <f>IF((L310&gt;$B$7)*(L310&lt;=$C$7),$M310,"")</f>
        <v/>
      </c>
      <c r="R310" s="44">
        <f>IF((L310&gt;$B$8)*(L310&lt;=$C$8),$M310,"")</f>
        <v/>
      </c>
    </row>
    <row r="311">
      <c r="L311" s="42" t="n">
        <v>45982</v>
      </c>
      <c r="M311" s="43" t="n">
        <v>1250</v>
      </c>
      <c r="N311" s="44">
        <f>IF((L311&gt;$B$4)*(L311&lt;=$C$4),$M311,"")</f>
        <v/>
      </c>
      <c r="O311" s="44">
        <f>IF((L311&gt;$B$5)*(L311&lt;=$C$5),$M311,"")</f>
        <v/>
      </c>
      <c r="P311" s="44">
        <f>IF((L311&gt;$B$6)*(L311&lt;=$C$6),$M311,"")</f>
        <v/>
      </c>
      <c r="Q311" s="44">
        <f>IF((L311&gt;$B$7)*(L311&lt;=$C$7),$M311,"")</f>
        <v/>
      </c>
      <c r="R311" s="44">
        <f>IF((L311&gt;$B$8)*(L311&lt;=$C$8),$M311,"")</f>
        <v/>
      </c>
    </row>
    <row r="312">
      <c r="L312" s="42" t="n">
        <v>45985</v>
      </c>
      <c r="M312" s="43" t="n">
        <v>1250</v>
      </c>
      <c r="N312" s="44">
        <f>IF((L312&gt;$B$4)*(L312&lt;=$C$4),$M312,"")</f>
        <v/>
      </c>
      <c r="O312" s="44">
        <f>IF((L312&gt;$B$5)*(L312&lt;=$C$5),$M312,"")</f>
        <v/>
      </c>
      <c r="P312" s="44">
        <f>IF((L312&gt;$B$6)*(L312&lt;=$C$6),$M312,"")</f>
        <v/>
      </c>
      <c r="Q312" s="44">
        <f>IF((L312&gt;$B$7)*(L312&lt;=$C$7),$M312,"")</f>
        <v/>
      </c>
      <c r="R312" s="44">
        <f>IF((L312&gt;$B$8)*(L312&lt;=$C$8),$M312,"")</f>
        <v/>
      </c>
    </row>
    <row r="313">
      <c r="L313" s="42" t="n">
        <v>45986</v>
      </c>
      <c r="M313" s="43" t="n">
        <v>1250</v>
      </c>
      <c r="N313" s="44">
        <f>IF((L313&gt;$B$4)*(L313&lt;=$C$4),$M313,"")</f>
        <v/>
      </c>
      <c r="O313" s="44">
        <f>IF((L313&gt;$B$5)*(L313&lt;=$C$5),$M313,"")</f>
        <v/>
      </c>
      <c r="P313" s="44">
        <f>IF((L313&gt;$B$6)*(L313&lt;=$C$6),$M313,"")</f>
        <v/>
      </c>
      <c r="Q313" s="44">
        <f>IF((L313&gt;$B$7)*(L313&lt;=$C$7),$M313,"")</f>
        <v/>
      </c>
      <c r="R313" s="44">
        <f>IF((L313&gt;$B$8)*(L313&lt;=$C$8),$M313,"")</f>
        <v/>
      </c>
    </row>
    <row r="314">
      <c r="L314" s="42" t="n">
        <v>45987</v>
      </c>
      <c r="M314" s="43" t="n">
        <v>1250</v>
      </c>
      <c r="N314" s="44">
        <f>IF((L314&gt;$B$4)*(L314&lt;=$C$4),$M314,"")</f>
        <v/>
      </c>
      <c r="O314" s="44">
        <f>IF((L314&gt;$B$5)*(L314&lt;=$C$5),$M314,"")</f>
        <v/>
      </c>
      <c r="P314" s="44">
        <f>IF((L314&gt;$B$6)*(L314&lt;=$C$6),$M314,"")</f>
        <v/>
      </c>
      <c r="Q314" s="44">
        <f>IF((L314&gt;$B$7)*(L314&lt;=$C$7),$M314,"")</f>
        <v/>
      </c>
      <c r="R314" s="44">
        <f>IF((L314&gt;$B$8)*(L314&lt;=$C$8),$M314,"")</f>
        <v/>
      </c>
    </row>
    <row r="315">
      <c r="L315" s="42" t="n">
        <v>45988</v>
      </c>
      <c r="M315" s="43" t="n">
        <v>1250</v>
      </c>
      <c r="N315" s="44">
        <f>IF((L315&gt;$B$4)*(L315&lt;=$C$4),$M315,"")</f>
        <v/>
      </c>
      <c r="O315" s="44">
        <f>IF((L315&gt;$B$5)*(L315&lt;=$C$5),$M315,"")</f>
        <v/>
      </c>
      <c r="P315" s="44">
        <f>IF((L315&gt;$B$6)*(L315&lt;=$C$6),$M315,"")</f>
        <v/>
      </c>
      <c r="Q315" s="44">
        <f>IF((L315&gt;$B$7)*(L315&lt;=$C$7),$M315,"")</f>
        <v/>
      </c>
      <c r="R315" s="44">
        <f>IF((L315&gt;$B$8)*(L315&lt;=$C$8),$M315,"")</f>
        <v/>
      </c>
    </row>
    <row r="316">
      <c r="L316" s="42" t="n">
        <v>45993</v>
      </c>
      <c r="M316" s="43" t="n">
        <v>1250</v>
      </c>
      <c r="N316" s="44">
        <f>IF((L316&gt;$B$4)*(L316&lt;=$C$4),$M316,"")</f>
        <v/>
      </c>
      <c r="O316" s="44">
        <f>IF((L316&gt;$B$5)*(L316&lt;=$C$5),$M316,"")</f>
        <v/>
      </c>
      <c r="P316" s="44">
        <f>IF((L316&gt;$B$6)*(L316&lt;=$C$6),$M316,"")</f>
        <v/>
      </c>
      <c r="Q316" s="44">
        <f>IF((L316&gt;$B$7)*(L316&lt;=$C$7),$M316,"")</f>
        <v/>
      </c>
      <c r="R316" s="44">
        <f>IF((L316&gt;$B$8)*(L316&lt;=$C$8),$M316,"")</f>
        <v/>
      </c>
    </row>
    <row r="317">
      <c r="L317" s="42" t="n">
        <v>45994</v>
      </c>
      <c r="M317" s="43" t="n">
        <v>1250</v>
      </c>
      <c r="N317" s="44">
        <f>IF((L317&gt;$B$4)*(L317&lt;=$C$4),$M317,"")</f>
        <v/>
      </c>
      <c r="O317" s="44">
        <f>IF((L317&gt;$B$5)*(L317&lt;=$C$5),$M317,"")</f>
        <v/>
      </c>
      <c r="P317" s="44">
        <f>IF((L317&gt;$B$6)*(L317&lt;=$C$6),$M317,"")</f>
        <v/>
      </c>
      <c r="Q317" s="44">
        <f>IF((L317&gt;$B$7)*(L317&lt;=$C$7),$M317,"")</f>
        <v/>
      </c>
      <c r="R317" s="44">
        <f>IF((L317&gt;$B$8)*(L317&lt;=$C$8),$M317,"")</f>
        <v/>
      </c>
    </row>
    <row r="318">
      <c r="L318" s="42" t="n">
        <v>45995</v>
      </c>
      <c r="M318" s="43" t="n">
        <v>1250</v>
      </c>
      <c r="N318" s="44">
        <f>IF((L318&gt;$B$4)*(L318&lt;=$C$4),$M318,"")</f>
        <v/>
      </c>
      <c r="O318" s="44">
        <f>IF((L318&gt;$B$5)*(L318&lt;=$C$5),$M318,"")</f>
        <v/>
      </c>
      <c r="P318" s="44">
        <f>IF((L318&gt;$B$6)*(L318&lt;=$C$6),$M318,"")</f>
        <v/>
      </c>
      <c r="Q318" s="44">
        <f>IF((L318&gt;$B$7)*(L318&lt;=$C$7),$M318,"")</f>
        <v/>
      </c>
      <c r="R318" s="44">
        <f>IF((L318&gt;$B$8)*(L318&lt;=$C$8),$M318,"")</f>
        <v/>
      </c>
    </row>
    <row r="319">
      <c r="L319" s="42" t="n">
        <v>45996</v>
      </c>
      <c r="M319" s="43" t="n">
        <v>1250</v>
      </c>
      <c r="N319" s="44">
        <f>IF((L319&gt;$B$4)*(L319&lt;=$C$4),$M319,"")</f>
        <v/>
      </c>
      <c r="O319" s="44">
        <f>IF((L319&gt;$B$5)*(L319&lt;=$C$5),$M319,"")</f>
        <v/>
      </c>
      <c r="P319" s="44">
        <f>IF((L319&gt;$B$6)*(L319&lt;=$C$6),$M319,"")</f>
        <v/>
      </c>
      <c r="Q319" s="44">
        <f>IF((L319&gt;$B$7)*(L319&lt;=$C$7),$M319,"")</f>
        <v/>
      </c>
      <c r="R319" s="44">
        <f>IF((L319&gt;$B$8)*(L319&lt;=$C$8),$M319,"")</f>
        <v/>
      </c>
    </row>
    <row r="320">
      <c r="L320" s="42" t="n">
        <v>46000</v>
      </c>
      <c r="M320" s="43" t="n">
        <v>1250</v>
      </c>
      <c r="N320" s="44">
        <f>IF((L320&gt;$B$4)*(L320&lt;=$C$4),$M320,"")</f>
        <v/>
      </c>
      <c r="O320" s="44">
        <f>IF((L320&gt;$B$5)*(L320&lt;=$C$5),$M320,"")</f>
        <v/>
      </c>
      <c r="P320" s="44">
        <f>IF((L320&gt;$B$6)*(L320&lt;=$C$6),$M320,"")</f>
        <v/>
      </c>
      <c r="Q320" s="44">
        <f>IF((L320&gt;$B$7)*(L320&lt;=$C$7),$M320,"")</f>
        <v/>
      </c>
      <c r="R320" s="44">
        <f>IF((L320&gt;$B$8)*(L320&lt;=$C$8),$M320,"")</f>
        <v/>
      </c>
    </row>
    <row r="321">
      <c r="L321" s="42" t="n">
        <v>46001</v>
      </c>
      <c r="M321" s="43" t="n">
        <v>1250</v>
      </c>
      <c r="N321" s="44">
        <f>IF((L321&gt;$B$4)*(L321&lt;=$C$4),$M321,"")</f>
        <v/>
      </c>
      <c r="O321" s="44">
        <f>IF((L321&gt;$B$5)*(L321&lt;=$C$5),$M321,"")</f>
        <v/>
      </c>
      <c r="P321" s="44">
        <f>IF((L321&gt;$B$6)*(L321&lt;=$C$6),$M321,"")</f>
        <v/>
      </c>
      <c r="Q321" s="44">
        <f>IF((L321&gt;$B$7)*(L321&lt;=$C$7),$M321,"")</f>
        <v/>
      </c>
      <c r="R321" s="44">
        <f>IF((L321&gt;$B$8)*(L321&lt;=$C$8),$M321,"")</f>
        <v/>
      </c>
    </row>
    <row r="322">
      <c r="L322" s="42" t="n">
        <v>46002</v>
      </c>
      <c r="M322" s="43" t="n">
        <v>1250</v>
      </c>
      <c r="N322" s="44">
        <f>IF((L322&gt;$B$4)*(L322&lt;=$C$4),$M322,"")</f>
        <v/>
      </c>
      <c r="O322" s="44">
        <f>IF((L322&gt;$B$5)*(L322&lt;=$C$5),$M322,"")</f>
        <v/>
      </c>
      <c r="P322" s="44">
        <f>IF((L322&gt;$B$6)*(L322&lt;=$C$6),$M322,"")</f>
        <v/>
      </c>
      <c r="Q322" s="44">
        <f>IF((L322&gt;$B$7)*(L322&lt;=$C$7),$M322,"")</f>
        <v/>
      </c>
      <c r="R322" s="44">
        <f>IF((L322&gt;$B$8)*(L322&lt;=$C$8),$M322,"")</f>
        <v/>
      </c>
    </row>
    <row r="323">
      <c r="L323" s="42" t="n">
        <v>46003</v>
      </c>
      <c r="M323" s="43" t="n">
        <v>1250</v>
      </c>
      <c r="N323" s="44">
        <f>IF((L323&gt;$B$4)*(L323&lt;=$C$4),$M323,"")</f>
        <v/>
      </c>
      <c r="O323" s="44">
        <f>IF((L323&gt;$B$5)*(L323&lt;=$C$5),$M323,"")</f>
        <v/>
      </c>
      <c r="P323" s="44">
        <f>IF((L323&gt;$B$6)*(L323&lt;=$C$6),$M323,"")</f>
        <v/>
      </c>
      <c r="Q323" s="44">
        <f>IF((L323&gt;$B$7)*(L323&lt;=$C$7),$M323,"")</f>
        <v/>
      </c>
      <c r="R323" s="44">
        <f>IF((L323&gt;$B$8)*(L323&lt;=$C$8),$M323,"")</f>
        <v/>
      </c>
    </row>
    <row r="324">
      <c r="L324" s="42" t="n">
        <v>46006</v>
      </c>
      <c r="M324" s="43" t="n">
        <v>1250</v>
      </c>
      <c r="N324" s="44">
        <f>IF((L324&gt;$B$4)*(L324&lt;=$C$4),$M324,"")</f>
        <v/>
      </c>
      <c r="O324" s="44">
        <f>IF((L324&gt;$B$5)*(L324&lt;=$C$5),$M324,"")</f>
        <v/>
      </c>
      <c r="P324" s="44">
        <f>IF((L324&gt;$B$6)*(L324&lt;=$C$6),$M324,"")</f>
        <v/>
      </c>
      <c r="Q324" s="44">
        <f>IF((L324&gt;$B$7)*(L324&lt;=$C$7),$M324,"")</f>
        <v/>
      </c>
      <c r="R324" s="44">
        <f>IF((L324&gt;$B$8)*(L324&lt;=$C$8),$M324,"")</f>
        <v/>
      </c>
    </row>
    <row r="325">
      <c r="L325" s="42" t="n">
        <v>46007</v>
      </c>
      <c r="M325" s="43" t="n">
        <v>1250</v>
      </c>
      <c r="N325" s="44">
        <f>IF((L325&gt;$B$4)*(L325&lt;=$C$4),$M325,"")</f>
        <v/>
      </c>
      <c r="O325" s="44">
        <f>IF((L325&gt;$B$5)*(L325&lt;=$C$5),$M325,"")</f>
        <v/>
      </c>
      <c r="P325" s="44">
        <f>IF((L325&gt;$B$6)*(L325&lt;=$C$6),$M325,"")</f>
        <v/>
      </c>
      <c r="Q325" s="44">
        <f>IF((L325&gt;$B$7)*(L325&lt;=$C$7),$M325,"")</f>
        <v/>
      </c>
      <c r="R325" s="44">
        <f>IF((L325&gt;$B$8)*(L325&lt;=$C$8),$M325,"")</f>
        <v/>
      </c>
    </row>
    <row r="326">
      <c r="L326" s="42" t="n">
        <v>46008</v>
      </c>
      <c r="M326" s="43" t="n">
        <v>1250</v>
      </c>
      <c r="N326" s="44">
        <f>IF((L326&gt;$B$4)*(L326&lt;=$C$4),$M326,"")</f>
        <v/>
      </c>
      <c r="O326" s="44">
        <f>IF((L326&gt;$B$5)*(L326&lt;=$C$5),$M326,"")</f>
        <v/>
      </c>
      <c r="P326" s="44">
        <f>IF((L326&gt;$B$6)*(L326&lt;=$C$6),$M326,"")</f>
        <v/>
      </c>
      <c r="Q326" s="44">
        <f>IF((L326&gt;$B$7)*(L326&lt;=$C$7),$M326,"")</f>
        <v/>
      </c>
      <c r="R326" s="44">
        <f>IF((L326&gt;$B$8)*(L326&lt;=$C$8),$M326,"")</f>
        <v/>
      </c>
    </row>
    <row r="327">
      <c r="L327" s="42" t="n">
        <v>46009</v>
      </c>
      <c r="M327" s="43" t="n">
        <v>1250</v>
      </c>
      <c r="N327" s="44">
        <f>IF((L327&gt;$B$4)*(L327&lt;=$C$4),$M327,"")</f>
        <v/>
      </c>
      <c r="O327" s="44">
        <f>IF((L327&gt;$B$5)*(L327&lt;=$C$5),$M327,"")</f>
        <v/>
      </c>
      <c r="P327" s="44">
        <f>IF((L327&gt;$B$6)*(L327&lt;=$C$6),$M327,"")</f>
        <v/>
      </c>
      <c r="Q327" s="44">
        <f>IF((L327&gt;$B$7)*(L327&lt;=$C$7),$M327,"")</f>
        <v/>
      </c>
      <c r="R327" s="44">
        <f>IF((L327&gt;$B$8)*(L327&lt;=$C$8),$M327,"")</f>
        <v/>
      </c>
    </row>
    <row r="328">
      <c r="L328" s="42" t="n">
        <v>46010</v>
      </c>
      <c r="M328" s="43" t="n">
        <v>1250</v>
      </c>
      <c r="N328" s="44">
        <f>IF((L328&gt;$B$4)*(L328&lt;=$C$4),$M328,"")</f>
        <v/>
      </c>
      <c r="O328" s="44">
        <f>IF((L328&gt;$B$5)*(L328&lt;=$C$5),$M328,"")</f>
        <v/>
      </c>
      <c r="P328" s="44">
        <f>IF((L328&gt;$B$6)*(L328&lt;=$C$6),$M328,"")</f>
        <v/>
      </c>
      <c r="Q328" s="44">
        <f>IF((L328&gt;$B$7)*(L328&lt;=$C$7),$M328,"")</f>
        <v/>
      </c>
      <c r="R328" s="44">
        <f>IF((L328&gt;$B$8)*(L328&lt;=$C$8),$M328,"")</f>
        <v/>
      </c>
    </row>
    <row r="329">
      <c r="L329" s="42" t="n">
        <v>46014</v>
      </c>
      <c r="M329" s="43" t="n">
        <v>1250</v>
      </c>
      <c r="N329" s="44">
        <f>IF((L329&gt;$B$4)*(L329&lt;=$C$4),$M329,"")</f>
        <v/>
      </c>
      <c r="O329" s="44">
        <f>IF((L329&gt;$B$5)*(L329&lt;=$C$5),$M329,"")</f>
        <v/>
      </c>
      <c r="P329" s="44">
        <f>IF((L329&gt;$B$6)*(L329&lt;=$C$6),$M329,"")</f>
        <v/>
      </c>
      <c r="Q329" s="44">
        <f>IF((L329&gt;$B$7)*(L329&lt;=$C$7),$M329,"")</f>
        <v/>
      </c>
      <c r="R329" s="44">
        <f>IF((L329&gt;$B$8)*(L329&lt;=$C$8),$M329,"")</f>
        <v/>
      </c>
    </row>
    <row r="330">
      <c r="L330" s="42" t="n">
        <v>46015</v>
      </c>
      <c r="M330" s="43" t="n">
        <v>1250</v>
      </c>
      <c r="N330" s="44">
        <f>IF((L330&gt;$B$4)*(L330&lt;=$C$4),$M330,"")</f>
        <v/>
      </c>
      <c r="O330" s="44">
        <f>IF((L330&gt;$B$5)*(L330&lt;=$C$5),$M330,"")</f>
        <v/>
      </c>
      <c r="P330" s="44">
        <f>IF((L330&gt;$B$6)*(L330&lt;=$C$6),$M330,"")</f>
        <v/>
      </c>
      <c r="Q330" s="44">
        <f>IF((L330&gt;$B$7)*(L330&lt;=$C$7),$M330,"")</f>
        <v/>
      </c>
      <c r="R330" s="44">
        <f>IF((L330&gt;$B$8)*(L330&lt;=$C$8),$M330,"")</f>
        <v/>
      </c>
    </row>
    <row r="331">
      <c r="L331" s="42" t="n">
        <v>46016</v>
      </c>
      <c r="M331" s="43" t="n">
        <v>1250</v>
      </c>
      <c r="N331" s="44">
        <f>IF((L331&gt;$B$4)*(L331&lt;=$C$4),$M331,"")</f>
        <v/>
      </c>
      <c r="O331" s="44">
        <f>IF((L331&gt;$B$5)*(L331&lt;=$C$5),$M331,"")</f>
        <v/>
      </c>
      <c r="P331" s="44">
        <f>IF((L331&gt;$B$6)*(L331&lt;=$C$6),$M331,"")</f>
        <v/>
      </c>
      <c r="Q331" s="44">
        <f>IF((L331&gt;$B$7)*(L331&lt;=$C$7),$M331,"")</f>
        <v/>
      </c>
      <c r="R331" s="44">
        <f>IF((L331&gt;$B$8)*(L331&lt;=$C$8),$M331,"")</f>
        <v/>
      </c>
    </row>
    <row r="332">
      <c r="L332" s="42" t="n">
        <v>46020</v>
      </c>
      <c r="M332" s="43" t="n">
        <v>1250</v>
      </c>
      <c r="N332" s="44">
        <f>IF((L332&gt;$B$4)*(L332&lt;=$C$4),$M332,"")</f>
        <v/>
      </c>
      <c r="O332" s="44">
        <f>IF((L332&gt;$B$5)*(L332&lt;=$C$5),$M332,"")</f>
        <v/>
      </c>
      <c r="P332" s="44">
        <f>IF((L332&gt;$B$6)*(L332&lt;=$C$6),$M332,"")</f>
        <v/>
      </c>
      <c r="Q332" s="44">
        <f>IF((L332&gt;$B$7)*(L332&lt;=$C$7),$M332,"")</f>
        <v/>
      </c>
      <c r="R332" s="44">
        <f>IF((L332&gt;$B$8)*(L332&lt;=$C$8),$M332,"")</f>
        <v/>
      </c>
    </row>
    <row r="333">
      <c r="L333" s="42" t="n">
        <v>46022</v>
      </c>
      <c r="M333" s="43" t="n">
        <v>1250</v>
      </c>
      <c r="N333" s="44">
        <f>IF((L333&gt;$B$4)*(L333&lt;=$C$4),$M333,"")</f>
        <v/>
      </c>
      <c r="O333" s="44">
        <f>IF((L333&gt;$B$5)*(L333&lt;=$C$5),$M333,"")</f>
        <v/>
      </c>
      <c r="P333" s="44">
        <f>IF((L333&gt;$B$6)*(L333&lt;=$C$6),$M333,"")</f>
        <v/>
      </c>
      <c r="Q333" s="44">
        <f>IF((L333&gt;$B$7)*(L333&lt;=$C$7),$M333,"")</f>
        <v/>
      </c>
      <c r="R333" s="44">
        <f>IF((L333&gt;$B$8)*(L333&lt;=$C$8),$M333,"")</f>
        <v/>
      </c>
    </row>
    <row r="334">
      <c r="L334" s="42" t="n">
        <v>46026</v>
      </c>
      <c r="M334" s="43" t="n">
        <v>1235</v>
      </c>
      <c r="N334" s="44">
        <f>IF((L334&gt;$B$4)*(L334&lt;=$C$4),$M334,"")</f>
        <v/>
      </c>
      <c r="O334" s="44">
        <f>IF((L334&gt;$B$5)*(L334&lt;=$C$5),$M334,"")</f>
        <v/>
      </c>
      <c r="P334" s="44">
        <f>IF((L334&gt;$B$6)*(L334&lt;=$C$6),$M334,"")</f>
        <v/>
      </c>
      <c r="Q334" s="44">
        <f>IF((L334&gt;$B$7)*(L334&lt;=$C$7),$M334,"")</f>
        <v/>
      </c>
      <c r="R334" s="44">
        <f>IF((L334&gt;$B$8)*(L334&lt;=$C$8),$M334,"")</f>
        <v/>
      </c>
    </row>
    <row r="335">
      <c r="L335" s="42" t="n">
        <v>46027</v>
      </c>
      <c r="M335" s="43" t="n">
        <v>1235</v>
      </c>
      <c r="N335" s="44">
        <f>IF((L335&gt;$B$4)*(L335&lt;=$C$4),$M335,"")</f>
        <v/>
      </c>
      <c r="O335" s="44">
        <f>IF((L335&gt;$B$5)*(L335&lt;=$C$5),$M335,"")</f>
        <v/>
      </c>
      <c r="P335" s="44">
        <f>IF((L335&gt;$B$6)*(L335&lt;=$C$6),$M335,"")</f>
        <v/>
      </c>
      <c r="Q335" s="44">
        <f>IF((L335&gt;$B$7)*(L335&lt;=$C$7),$M335,"")</f>
        <v/>
      </c>
      <c r="R335" s="44">
        <f>IF((L335&gt;$B$8)*(L335&lt;=$C$8),$M335,"")</f>
        <v/>
      </c>
    </row>
    <row r="336">
      <c r="L336" s="42" t="n">
        <v>46029</v>
      </c>
      <c r="M336" s="43" t="n">
        <v>1235</v>
      </c>
      <c r="N336" s="44">
        <f>IF((L336&gt;$B$4)*(L336&lt;=$C$4),$M336,"")</f>
        <v/>
      </c>
      <c r="O336" s="44">
        <f>IF((L336&gt;$B$5)*(L336&lt;=$C$5),$M336,"")</f>
        <v/>
      </c>
      <c r="P336" s="44">
        <f>IF((L336&gt;$B$6)*(L336&lt;=$C$6),$M336,"")</f>
        <v/>
      </c>
      <c r="Q336" s="44">
        <f>IF((L336&gt;$B$7)*(L336&lt;=$C$7),$M336,"")</f>
        <v/>
      </c>
      <c r="R336" s="44">
        <f>IF((L336&gt;$B$8)*(L336&lt;=$C$8),$M336,"")</f>
        <v/>
      </c>
    </row>
    <row r="337">
      <c r="L337" s="42" t="n">
        <v>46034</v>
      </c>
      <c r="M337" s="43" t="n">
        <v>1235</v>
      </c>
      <c r="N337" s="44">
        <f>IF((L337&gt;$B$4)*(L337&lt;=$C$4),$M337,"")</f>
        <v/>
      </c>
      <c r="O337" s="44">
        <f>IF((L337&gt;$B$5)*(L337&lt;=$C$5),$M337,"")</f>
        <v/>
      </c>
      <c r="P337" s="44">
        <f>IF((L337&gt;$B$6)*(L337&lt;=$C$6),$M337,"")</f>
        <v/>
      </c>
      <c r="Q337" s="44">
        <f>IF((L337&gt;$B$7)*(L337&lt;=$C$7),$M337,"")</f>
        <v/>
      </c>
      <c r="R337" s="44">
        <f>IF((L337&gt;$B$8)*(L337&lt;=$C$8),$M337,"")</f>
        <v/>
      </c>
    </row>
    <row r="338">
      <c r="L338" s="42" t="n">
        <v>46035</v>
      </c>
      <c r="M338" s="43" t="n">
        <v>1235</v>
      </c>
      <c r="N338" s="44">
        <f>IF((L338&gt;$B$4)*(L338&lt;=$C$4),$M338,"")</f>
        <v/>
      </c>
      <c r="O338" s="44">
        <f>IF((L338&gt;$B$5)*(L338&lt;=$C$5),$M338,"")</f>
        <v/>
      </c>
      <c r="P338" s="44">
        <f>IF((L338&gt;$B$6)*(L338&lt;=$C$6),$M338,"")</f>
        <v/>
      </c>
      <c r="Q338" s="44">
        <f>IF((L338&gt;$B$7)*(L338&lt;=$C$7),$M338,"")</f>
        <v/>
      </c>
      <c r="R338" s="44">
        <f>IF((L338&gt;$B$8)*(L338&lt;=$C$8),$M338,"")</f>
        <v/>
      </c>
    </row>
    <row r="339">
      <c r="L339" s="42" t="n">
        <v>46038</v>
      </c>
      <c r="M339" s="43" t="n">
        <v>1235</v>
      </c>
      <c r="N339" s="44">
        <f>IF((L339&gt;$B$4)*(L339&lt;=$C$4),$M339,"")</f>
        <v/>
      </c>
      <c r="O339" s="44">
        <f>IF((L339&gt;$B$5)*(L339&lt;=$C$5),$M339,"")</f>
        <v/>
      </c>
      <c r="P339" s="44">
        <f>IF((L339&gt;$B$6)*(L339&lt;=$C$6),$M339,"")</f>
        <v/>
      </c>
      <c r="Q339" s="44">
        <f>IF((L339&gt;$B$7)*(L339&lt;=$C$7),$M339,"")</f>
        <v/>
      </c>
      <c r="R339" s="44">
        <f>IF((L339&gt;$B$8)*(L339&lt;=$C$8),$M339,"")</f>
        <v/>
      </c>
    </row>
    <row r="340">
      <c r="L340" s="42" t="n">
        <v>46041</v>
      </c>
      <c r="M340" s="43" t="n">
        <v>1235</v>
      </c>
      <c r="N340" s="44">
        <f>IF((L340&gt;$B$4)*(L340&lt;=$C$4),$M340,"")</f>
        <v/>
      </c>
      <c r="O340" s="44">
        <f>IF((L340&gt;$B$5)*(L340&lt;=$C$5),$M340,"")</f>
        <v/>
      </c>
      <c r="P340" s="44">
        <f>IF((L340&gt;$B$6)*(L340&lt;=$C$6),$M340,"")</f>
        <v/>
      </c>
      <c r="Q340" s="44">
        <f>IF((L340&gt;$B$7)*(L340&lt;=$C$7),$M340,"")</f>
        <v/>
      </c>
      <c r="R340" s="44">
        <f>IF((L340&gt;$B$8)*(L340&lt;=$C$8),$M340,"")</f>
        <v/>
      </c>
    </row>
    <row r="341">
      <c r="L341" s="42" t="n">
        <v>46043</v>
      </c>
      <c r="M341" s="43" t="n">
        <v>1235</v>
      </c>
      <c r="N341" s="44">
        <f>IF((L341&gt;$B$4)*(L341&lt;=$C$4),$M341,"")</f>
        <v/>
      </c>
      <c r="O341" s="44">
        <f>IF((L341&gt;$B$5)*(L341&lt;=$C$5),$M341,"")</f>
        <v/>
      </c>
      <c r="P341" s="44">
        <f>IF((L341&gt;$B$6)*(L341&lt;=$C$6),$M341,"")</f>
        <v/>
      </c>
      <c r="Q341" s="44">
        <f>IF((L341&gt;$B$7)*(L341&lt;=$C$7),$M341,"")</f>
        <v/>
      </c>
      <c r="R341" s="44">
        <f>IF((L341&gt;$B$8)*(L341&lt;=$C$8),$M341,"")</f>
        <v/>
      </c>
    </row>
    <row r="342">
      <c r="L342" s="42" t="n">
        <v>46044</v>
      </c>
      <c r="M342" s="43" t="n">
        <v>1235</v>
      </c>
      <c r="N342" s="44">
        <f>IF((L342&gt;$B$4)*(L342&lt;=$C$4),$M342,"")</f>
        <v/>
      </c>
      <c r="O342" s="44">
        <f>IF((L342&gt;$B$5)*(L342&lt;=$C$5),$M342,"")</f>
        <v/>
      </c>
      <c r="P342" s="44">
        <f>IF((L342&gt;$B$6)*(L342&lt;=$C$6),$M342,"")</f>
        <v/>
      </c>
      <c r="Q342" s="44">
        <f>IF((L342&gt;$B$7)*(L342&lt;=$C$7),$M342,"")</f>
        <v/>
      </c>
      <c r="R342" s="44">
        <f>IF((L342&gt;$B$8)*(L342&lt;=$C$8),$M342,"")</f>
        <v/>
      </c>
    </row>
    <row r="343">
      <c r="L343" s="42" t="n">
        <v>46045</v>
      </c>
      <c r="M343" s="43" t="n">
        <v>1235</v>
      </c>
      <c r="N343" s="44">
        <f>IF((L343&gt;$B$4)*(L343&lt;=$C$4),$M343,"")</f>
        <v/>
      </c>
      <c r="O343" s="44">
        <f>IF((L343&gt;$B$5)*(L343&lt;=$C$5),$M343,"")</f>
        <v/>
      </c>
      <c r="P343" s="44">
        <f>IF((L343&gt;$B$6)*(L343&lt;=$C$6),$M343,"")</f>
        <v/>
      </c>
      <c r="Q343" s="44">
        <f>IF((L343&gt;$B$7)*(L343&lt;=$C$7),$M343,"")</f>
        <v/>
      </c>
      <c r="R343" s="44">
        <f>IF((L343&gt;$B$8)*(L343&lt;=$C$8),$M343,"")</f>
        <v/>
      </c>
    </row>
    <row r="344">
      <c r="L344" s="42" t="n">
        <v>46048</v>
      </c>
      <c r="M344" s="43" t="n">
        <v>1235</v>
      </c>
      <c r="N344" s="44">
        <f>IF((L344&gt;$B$4)*(L344&lt;=$C$4),$M344,"")</f>
        <v/>
      </c>
      <c r="O344" s="44">
        <f>IF((L344&gt;$B$5)*(L344&lt;=$C$5),$M344,"")</f>
        <v/>
      </c>
      <c r="P344" s="44">
        <f>IF((L344&gt;$B$6)*(L344&lt;=$C$6),$M344,"")</f>
        <v/>
      </c>
      <c r="Q344" s="44">
        <f>IF((L344&gt;$B$7)*(L344&lt;=$C$7),$M344,"")</f>
        <v/>
      </c>
      <c r="R344" s="44">
        <f>IF((L344&gt;$B$8)*(L344&lt;=$C$8),$M344,"")</f>
        <v/>
      </c>
    </row>
    <row r="345">
      <c r="L345" s="42" t="n">
        <v>46050</v>
      </c>
      <c r="M345" s="43" t="n">
        <v>1235</v>
      </c>
      <c r="N345" s="44">
        <f>IF((L345&gt;$B$4)*(L345&lt;=$C$4),$M345,"")</f>
        <v/>
      </c>
      <c r="O345" s="44">
        <f>IF((L345&gt;$B$5)*(L345&lt;=$C$5),$M345,"")</f>
        <v/>
      </c>
      <c r="P345" s="44">
        <f>IF((L345&gt;$B$6)*(L345&lt;=$C$6),$M345,"")</f>
        <v/>
      </c>
      <c r="Q345" s="44">
        <f>IF((L345&gt;$B$7)*(L345&lt;=$C$7),$M345,"")</f>
        <v/>
      </c>
      <c r="R345" s="44">
        <f>IF((L345&gt;$B$8)*(L345&lt;=$C$8),$M345,"")</f>
        <v/>
      </c>
    </row>
    <row r="346">
      <c r="L346" s="42" t="n">
        <v>46051</v>
      </c>
      <c r="M346" s="43" t="n">
        <v>1235</v>
      </c>
      <c r="N346" s="44">
        <f>IF((L346&gt;$B$4)*(L346&lt;=$C$4),$M346,"")</f>
        <v/>
      </c>
      <c r="O346" s="44">
        <f>IF((L346&gt;$B$5)*(L346&lt;=$C$5),$M346,"")</f>
        <v/>
      </c>
      <c r="P346" s="44">
        <f>IF((L346&gt;$B$6)*(L346&lt;=$C$6),$M346,"")</f>
        <v/>
      </c>
      <c r="Q346" s="44">
        <f>IF((L346&gt;$B$7)*(L346&lt;=$C$7),$M346,"")</f>
        <v/>
      </c>
      <c r="R346" s="44">
        <f>IF((L346&gt;$B$8)*(L346&lt;=$C$8),$M346,"")</f>
        <v/>
      </c>
    </row>
    <row r="347">
      <c r="L347" s="42" t="n">
        <v>46052</v>
      </c>
      <c r="M347" s="43" t="n">
        <v>1235</v>
      </c>
      <c r="N347" s="44">
        <f>IF((L347&gt;$B$4)*(L347&lt;=$C$4),$M347,"")</f>
        <v/>
      </c>
      <c r="O347" s="44">
        <f>IF((L347&gt;$B$5)*(L347&lt;=$C$5),$M347,"")</f>
        <v/>
      </c>
      <c r="P347" s="44">
        <f>IF((L347&gt;$B$6)*(L347&lt;=$C$6),$M347,"")</f>
        <v/>
      </c>
      <c r="Q347" s="44">
        <f>IF((L347&gt;$B$7)*(L347&lt;=$C$7),$M347,"")</f>
        <v/>
      </c>
      <c r="R347" s="44">
        <f>IF((L347&gt;$B$8)*(L347&lt;=$C$8),$M347,"")</f>
        <v/>
      </c>
    </row>
    <row r="348">
      <c r="L348" s="42" t="n">
        <v>46055</v>
      </c>
      <c r="M348" s="43" t="n">
        <v>1235</v>
      </c>
      <c r="N348" s="44">
        <f>IF((L348&gt;$B$4)*(L348&lt;=$C$4),$M348,"")</f>
        <v/>
      </c>
      <c r="O348" s="44">
        <f>IF((L348&gt;$B$5)*(L348&lt;=$C$5),$M348,"")</f>
        <v/>
      </c>
      <c r="P348" s="44">
        <f>IF((L348&gt;$B$6)*(L348&lt;=$C$6),$M348,"")</f>
        <v/>
      </c>
      <c r="Q348" s="44">
        <f>IF((L348&gt;$B$7)*(L348&lt;=$C$7),$M348,"")</f>
        <v/>
      </c>
      <c r="R348" s="44">
        <f>IF((L348&gt;$B$8)*(L348&lt;=$C$8),$M348,"")</f>
        <v/>
      </c>
    </row>
    <row r="349">
      <c r="L349" s="42" t="n">
        <v>46057</v>
      </c>
      <c r="M349" s="43" t="n">
        <v>1235</v>
      </c>
      <c r="N349" s="44">
        <f>IF((L349&gt;$B$4)*(L349&lt;=$C$4),$M349,"")</f>
        <v/>
      </c>
      <c r="O349" s="44">
        <f>IF((L349&gt;$B$5)*(L349&lt;=$C$5),$M349,"")</f>
        <v/>
      </c>
      <c r="P349" s="44">
        <f>IF((L349&gt;$B$6)*(L349&lt;=$C$6),$M349,"")</f>
        <v/>
      </c>
      <c r="Q349" s="44">
        <f>IF((L349&gt;$B$7)*(L349&lt;=$C$7),$M349,"")</f>
        <v/>
      </c>
      <c r="R349" s="44">
        <f>IF((L349&gt;$B$8)*(L349&lt;=$C$8),$M349,"")</f>
        <v/>
      </c>
    </row>
    <row r="350">
      <c r="L350" s="42" t="n">
        <v>46058</v>
      </c>
      <c r="M350" s="43" t="n">
        <v>1235</v>
      </c>
      <c r="N350" s="44">
        <f>IF((L350&gt;$B$4)*(L350&lt;=$C$4),$M350,"")</f>
        <v/>
      </c>
      <c r="O350" s="44">
        <f>IF((L350&gt;$B$5)*(L350&lt;=$C$5),$M350,"")</f>
        <v/>
      </c>
      <c r="P350" s="44">
        <f>IF((L350&gt;$B$6)*(L350&lt;=$C$6),$M350,"")</f>
        <v/>
      </c>
      <c r="Q350" s="44">
        <f>IF((L350&gt;$B$7)*(L350&lt;=$C$7),$M350,"")</f>
        <v/>
      </c>
      <c r="R350" s="44">
        <f>IF((L350&gt;$B$8)*(L350&lt;=$C$8),$M350,"")</f>
        <v/>
      </c>
    </row>
    <row r="351">
      <c r="L351" s="42" t="n">
        <v>46064</v>
      </c>
      <c r="M351" s="43" t="n">
        <v>1235</v>
      </c>
      <c r="N351" s="44">
        <f>IF((L351&gt;$B$4)*(L351&lt;=$C$4),$M351,"")</f>
        <v/>
      </c>
      <c r="O351" s="44">
        <f>IF((L351&gt;$B$5)*(L351&lt;=$C$5),$M351,"")</f>
        <v/>
      </c>
      <c r="P351" s="44">
        <f>IF((L351&gt;$B$6)*(L351&lt;=$C$6),$M351,"")</f>
        <v/>
      </c>
      <c r="Q351" s="44">
        <f>IF((L351&gt;$B$7)*(L351&lt;=$C$7),$M351,"")</f>
        <v/>
      </c>
      <c r="R351" s="44">
        <f>IF((L351&gt;$B$8)*(L351&lt;=$C$8),$M351,"")</f>
        <v/>
      </c>
    </row>
    <row r="352">
      <c r="L352" s="42" t="n">
        <v>46065</v>
      </c>
      <c r="M352" s="43" t="n">
        <v>1235</v>
      </c>
      <c r="N352" s="44">
        <f>IF((L352&gt;$B$4)*(L352&lt;=$C$4),$M352,"")</f>
        <v/>
      </c>
      <c r="O352" s="44">
        <f>IF((L352&gt;$B$5)*(L352&lt;=$C$5),$M352,"")</f>
        <v/>
      </c>
      <c r="P352" s="44">
        <f>IF((L352&gt;$B$6)*(L352&lt;=$C$6),$M352,"")</f>
        <v/>
      </c>
      <c r="Q352" s="44">
        <f>IF((L352&gt;$B$7)*(L352&lt;=$C$7),$M352,"")</f>
        <v/>
      </c>
      <c r="R352" s="44">
        <f>IF((L352&gt;$B$8)*(L352&lt;=$C$8),$M352,"")</f>
        <v/>
      </c>
    </row>
    <row r="353">
      <c r="L353" s="42" t="n">
        <v>46066</v>
      </c>
      <c r="M353" s="43" t="n">
        <v>1235</v>
      </c>
      <c r="N353" s="44">
        <f>IF((L353&gt;$B$4)*(L353&lt;=$C$4),$M353,"")</f>
        <v/>
      </c>
      <c r="O353" s="44">
        <f>IF((L353&gt;$B$5)*(L353&lt;=$C$5),$M353,"")</f>
        <v/>
      </c>
      <c r="P353" s="44">
        <f>IF((L353&gt;$B$6)*(L353&lt;=$C$6),$M353,"")</f>
        <v/>
      </c>
      <c r="Q353" s="44">
        <f>IF((L353&gt;$B$7)*(L353&lt;=$C$7),$M353,"")</f>
        <v/>
      </c>
      <c r="R353" s="44">
        <f>IF((L353&gt;$B$8)*(L353&lt;=$C$8),$M353,"")</f>
        <v/>
      </c>
    </row>
    <row r="354">
      <c r="L354" s="42" t="n">
        <v>46077</v>
      </c>
      <c r="M354" s="43" t="n">
        <v>1235</v>
      </c>
      <c r="N354" s="44">
        <f>IF((L354&gt;$B$4)*(L354&lt;=$C$4),$M354,"")</f>
        <v/>
      </c>
      <c r="O354" s="44">
        <f>IF((L354&gt;$B$5)*(L354&lt;=$C$5),$M354,"")</f>
        <v/>
      </c>
      <c r="P354" s="44">
        <f>IF((L354&gt;$B$6)*(L354&lt;=$C$6),$M354,"")</f>
        <v/>
      </c>
      <c r="Q354" s="44">
        <f>IF((L354&gt;$B$7)*(L354&lt;=$C$7),$M354,"")</f>
        <v/>
      </c>
      <c r="R354" s="44">
        <f>IF((L354&gt;$B$8)*(L354&lt;=$C$8),$M354,"")</f>
        <v/>
      </c>
    </row>
    <row r="355">
      <c r="L355" s="42" t="n">
        <v>46078</v>
      </c>
      <c r="M355" s="43" t="n">
        <v>1235</v>
      </c>
      <c r="N355" s="44">
        <f>IF((L355&gt;$B$4)*(L355&lt;=$C$4),$M355,"")</f>
        <v/>
      </c>
      <c r="O355" s="44">
        <f>IF((L355&gt;$B$5)*(L355&lt;=$C$5),$M355,"")</f>
        <v/>
      </c>
      <c r="P355" s="44">
        <f>IF((L355&gt;$B$6)*(L355&lt;=$C$6),$M355,"")</f>
        <v/>
      </c>
      <c r="Q355" s="44">
        <f>IF((L355&gt;$B$7)*(L355&lt;=$C$7),$M355,"")</f>
        <v/>
      </c>
      <c r="R355" s="44">
        <f>IF((L355&gt;$B$8)*(L355&lt;=$C$8),$M355,"")</f>
        <v/>
      </c>
    </row>
    <row r="356">
      <c r="L356" s="42" t="n">
        <v>46080</v>
      </c>
      <c r="M356" s="43" t="n">
        <v>1235</v>
      </c>
      <c r="N356" s="44">
        <f>IF((L356&gt;$B$4)*(L356&lt;=$C$4),$M356,"")</f>
        <v/>
      </c>
      <c r="O356" s="44">
        <f>IF((L356&gt;$B$5)*(L356&lt;=$C$5),$M356,"")</f>
        <v/>
      </c>
      <c r="P356" s="44">
        <f>IF((L356&gt;$B$6)*(L356&lt;=$C$6),$M356,"")</f>
        <v/>
      </c>
      <c r="Q356" s="44">
        <f>IF((L356&gt;$B$7)*(L356&lt;=$C$7),$M356,"")</f>
        <v/>
      </c>
      <c r="R356" s="44">
        <f>IF((L356&gt;$B$8)*(L356&lt;=$C$8),$M356,"")</f>
        <v/>
      </c>
    </row>
    <row r="357">
      <c r="L357" s="42" t="n">
        <v>46081</v>
      </c>
      <c r="M357" s="43" t="n">
        <v>1235</v>
      </c>
      <c r="N357" s="44">
        <f>IF((L357&gt;$B$4)*(L357&lt;=$C$4),$M357,"")</f>
        <v/>
      </c>
      <c r="O357" s="44">
        <f>IF((L357&gt;$B$5)*(L357&lt;=$C$5),$M357,"")</f>
        <v/>
      </c>
      <c r="P357" s="44">
        <f>IF((L357&gt;$B$6)*(L357&lt;=$C$6),$M357,"")</f>
        <v/>
      </c>
      <c r="Q357" s="44">
        <f>IF((L357&gt;$B$7)*(L357&lt;=$C$7),$M357,"")</f>
        <v/>
      </c>
      <c r="R357" s="44">
        <f>IF((L357&gt;$B$8)*(L357&lt;=$C$8),$M357,"")</f>
        <v/>
      </c>
    </row>
    <row r="358">
      <c r="L358" s="42" t="n">
        <v>46084</v>
      </c>
      <c r="M358" s="43" t="n">
        <v>1235</v>
      </c>
      <c r="N358" s="44">
        <f>IF((L358&gt;$B$4)*(L358&lt;=$C$4),$M358,"")</f>
        <v/>
      </c>
      <c r="O358" s="44">
        <f>IF((L358&gt;$B$5)*(L358&lt;=$C$5),$M358,"")</f>
        <v/>
      </c>
      <c r="P358" s="44">
        <f>IF((L358&gt;$B$6)*(L358&lt;=$C$6),$M358,"")</f>
        <v/>
      </c>
      <c r="Q358" s="44">
        <f>IF((L358&gt;$B$7)*(L358&lt;=$C$7),$M358,"")</f>
        <v/>
      </c>
      <c r="R358" s="44">
        <f>IF((L358&gt;$B$8)*(L358&lt;=$C$8),$M358,"")</f>
        <v/>
      </c>
    </row>
    <row r="359">
      <c r="L359" s="42" t="n">
        <v>46085</v>
      </c>
      <c r="M359" s="43" t="n">
        <v>1235</v>
      </c>
      <c r="N359" s="44">
        <f>IF((L359&gt;$B$4)*(L359&lt;=$C$4),$M359,"")</f>
        <v/>
      </c>
      <c r="O359" s="44">
        <f>IF((L359&gt;$B$5)*(L359&lt;=$C$5),$M359,"")</f>
        <v/>
      </c>
      <c r="P359" s="44">
        <f>IF((L359&gt;$B$6)*(L359&lt;=$C$6),$M359,"")</f>
        <v/>
      </c>
      <c r="Q359" s="44">
        <f>IF((L359&gt;$B$7)*(L359&lt;=$C$7),$M359,"")</f>
        <v/>
      </c>
      <c r="R359" s="44">
        <f>IF((L359&gt;$B$8)*(L359&lt;=$C$8),$M359,"")</f>
        <v/>
      </c>
    </row>
    <row r="360">
      <c r="L360" s="42" t="n">
        <v>46086</v>
      </c>
      <c r="M360" s="43" t="n">
        <v>1235</v>
      </c>
      <c r="N360" s="44">
        <f>IF((L360&gt;$B$4)*(L360&lt;=$C$4),$M360,"")</f>
        <v/>
      </c>
      <c r="O360" s="44">
        <f>IF((L360&gt;$B$5)*(L360&lt;=$C$5),$M360,"")</f>
        <v/>
      </c>
      <c r="P360" s="44">
        <f>IF((L360&gt;$B$6)*(L360&lt;=$C$6),$M360,"")</f>
        <v/>
      </c>
      <c r="Q360" s="44">
        <f>IF((L360&gt;$B$7)*(L360&lt;=$C$7),$M360,"")</f>
        <v/>
      </c>
      <c r="R360" s="44">
        <f>IF((L360&gt;$B$8)*(L360&lt;=$C$8),$M360,"")</f>
        <v/>
      </c>
    </row>
    <row r="361">
      <c r="L361" s="42" t="n">
        <v>46087</v>
      </c>
      <c r="M361" s="43" t="n">
        <v>1235</v>
      </c>
      <c r="N361" s="44">
        <f>IF((L361&gt;$B$4)*(L361&lt;=$C$4),$M361,"")</f>
        <v/>
      </c>
      <c r="O361" s="44">
        <f>IF((L361&gt;$B$5)*(L361&lt;=$C$5),$M361,"")</f>
        <v/>
      </c>
      <c r="P361" s="44">
        <f>IF((L361&gt;$B$6)*(L361&lt;=$C$6),$M361,"")</f>
        <v/>
      </c>
      <c r="Q361" s="44">
        <f>IF((L361&gt;$B$7)*(L361&lt;=$C$7),$M361,"")</f>
        <v/>
      </c>
      <c r="R361" s="44">
        <f>IF((L361&gt;$B$8)*(L361&lt;=$C$8),$M361,"")</f>
        <v/>
      </c>
    </row>
    <row r="362">
      <c r="L362" s="42" t="n">
        <v>46092</v>
      </c>
      <c r="M362" s="43" t="n">
        <v>1250</v>
      </c>
      <c r="N362" s="44">
        <f>IF((L362&gt;$B$4)*(L362&lt;=$C$4),$M362,"")</f>
        <v/>
      </c>
      <c r="O362" s="44">
        <f>IF((L362&gt;$B$5)*(L362&lt;=$C$5),$M362,"")</f>
        <v/>
      </c>
      <c r="P362" s="44">
        <f>IF((L362&gt;$B$6)*(L362&lt;=$C$6),$M362,"")</f>
        <v/>
      </c>
      <c r="Q362" s="44">
        <f>IF((L362&gt;$B$7)*(L362&lt;=$C$7),$M362,"")</f>
        <v/>
      </c>
      <c r="R362" s="44">
        <f>IF((L362&gt;$B$8)*(L362&lt;=$C$8),$M362,"")</f>
        <v/>
      </c>
    </row>
    <row r="363">
      <c r="L363" s="42" t="n">
        <v>46093</v>
      </c>
      <c r="M363" s="43" t="n">
        <v>1250</v>
      </c>
      <c r="N363" s="44">
        <f>IF((L363&gt;$B$4)*(L363&lt;=$C$4),$M363,"")</f>
        <v/>
      </c>
      <c r="O363" s="44">
        <f>IF((L363&gt;$B$5)*(L363&lt;=$C$5),$M363,"")</f>
        <v/>
      </c>
      <c r="P363" s="44">
        <f>IF((L363&gt;$B$6)*(L363&lt;=$C$6),$M363,"")</f>
        <v/>
      </c>
      <c r="Q363" s="44">
        <f>IF((L363&gt;$B$7)*(L363&lt;=$C$7),$M363,"")</f>
        <v/>
      </c>
      <c r="R363" s="44">
        <f>IF((L363&gt;$B$8)*(L363&lt;=$C$8),$M363,"")</f>
        <v/>
      </c>
    </row>
    <row r="364">
      <c r="L364" s="42" t="n">
        <v>46097</v>
      </c>
      <c r="M364" s="43" t="n">
        <v>1250</v>
      </c>
      <c r="N364" s="44">
        <f>IF((L364&gt;$B$4)*(L364&lt;=$C$4),$M364,"")</f>
        <v/>
      </c>
      <c r="O364" s="44">
        <f>IF((L364&gt;$B$5)*(L364&lt;=$C$5),$M364,"")</f>
        <v/>
      </c>
      <c r="P364" s="44">
        <f>IF((L364&gt;$B$6)*(L364&lt;=$C$6),$M364,"")</f>
        <v/>
      </c>
      <c r="Q364" s="44">
        <f>IF((L364&gt;$B$7)*(L364&lt;=$C$7),$M364,"")</f>
        <v/>
      </c>
      <c r="R364" s="44">
        <f>IF((L364&gt;$B$8)*(L364&lt;=$C$8),$M364,"")</f>
        <v/>
      </c>
    </row>
    <row r="365">
      <c r="L365" s="42" t="n">
        <v>46098</v>
      </c>
      <c r="M365" s="43" t="n">
        <v>1250</v>
      </c>
      <c r="N365" s="44">
        <f>IF((L365&gt;$B$4)*(L365&lt;=$C$4),$M365,"")</f>
        <v/>
      </c>
      <c r="O365" s="44">
        <f>IF((L365&gt;$B$5)*(L365&lt;=$C$5),$M365,"")</f>
        <v/>
      </c>
      <c r="P365" s="44">
        <f>IF((L365&gt;$B$6)*(L365&lt;=$C$6),$M365,"")</f>
        <v/>
      </c>
      <c r="Q365" s="44">
        <f>IF((L365&gt;$B$7)*(L365&lt;=$C$7),$M365,"")</f>
        <v/>
      </c>
      <c r="R365" s="44">
        <f>IF((L365&gt;$B$8)*(L365&lt;=$C$8),$M365,"")</f>
        <v/>
      </c>
    </row>
    <row r="366">
      <c r="L366" s="42" t="n">
        <v>46100</v>
      </c>
      <c r="M366" s="43" t="n">
        <v>1250</v>
      </c>
      <c r="N366" s="44">
        <f>IF((L366&gt;$B$4)*(L366&lt;=$C$4),$M366,"")</f>
        <v/>
      </c>
      <c r="O366" s="44">
        <f>IF((L366&gt;$B$5)*(L366&lt;=$C$5),$M366,"")</f>
        <v/>
      </c>
      <c r="P366" s="44">
        <f>IF((L366&gt;$B$6)*(L366&lt;=$C$6),$M366,"")</f>
        <v/>
      </c>
      <c r="Q366" s="44">
        <f>IF((L366&gt;$B$7)*(L366&lt;=$C$7),$M366,"")</f>
        <v/>
      </c>
      <c r="R366" s="44">
        <f>IF((L366&gt;$B$8)*(L366&lt;=$C$8),$M366,"")</f>
        <v/>
      </c>
    </row>
    <row r="367">
      <c r="L367" s="42" t="n">
        <v>46104</v>
      </c>
      <c r="M367" s="43" t="n">
        <v>1250</v>
      </c>
      <c r="N367" s="44">
        <f>IF((L367&gt;$B$4)*(L367&lt;=$C$4),$M367,"")</f>
        <v/>
      </c>
      <c r="O367" s="44">
        <f>IF((L367&gt;$B$5)*(L367&lt;=$C$5),$M367,"")</f>
        <v/>
      </c>
      <c r="P367" s="44">
        <f>IF((L367&gt;$B$6)*(L367&lt;=$C$6),$M367,"")</f>
        <v/>
      </c>
      <c r="Q367" s="44">
        <f>IF((L367&gt;$B$7)*(L367&lt;=$C$7),$M367,"")</f>
        <v/>
      </c>
      <c r="R367" s="44">
        <f>IF((L367&gt;$B$8)*(L367&lt;=$C$8),$M367,"")</f>
        <v/>
      </c>
    </row>
    <row r="368">
      <c r="L368" s="42" t="n">
        <v>46105</v>
      </c>
      <c r="M368" s="43" t="n">
        <v>1250</v>
      </c>
      <c r="N368" s="44">
        <f>IF((L368&gt;$B$4)*(L368&lt;=$C$4),$M368,"")</f>
        <v/>
      </c>
      <c r="O368" s="44">
        <f>IF((L368&gt;$B$5)*(L368&lt;=$C$5),$M368,"")</f>
        <v/>
      </c>
      <c r="P368" s="44">
        <f>IF((L368&gt;$B$6)*(L368&lt;=$C$6),$M368,"")</f>
        <v/>
      </c>
      <c r="Q368" s="44">
        <f>IF((L368&gt;$B$7)*(L368&lt;=$C$7),$M368,"")</f>
        <v/>
      </c>
      <c r="R368" s="44">
        <f>IF((L368&gt;$B$8)*(L368&lt;=$C$8),$M368,"")</f>
        <v/>
      </c>
    </row>
    <row r="369">
      <c r="L369" s="42" t="n">
        <v>46107</v>
      </c>
      <c r="M369" s="43" t="n">
        <v>1250</v>
      </c>
      <c r="N369" s="44">
        <f>IF((L369&gt;$B$4)*(L369&lt;=$C$4),$M369,"")</f>
        <v/>
      </c>
      <c r="O369" s="44">
        <f>IF((L369&gt;$B$5)*(L369&lt;=$C$5),$M369,"")</f>
        <v/>
      </c>
      <c r="P369" s="44">
        <f>IF((L369&gt;$B$6)*(L369&lt;=$C$6),$M369,"")</f>
        <v/>
      </c>
      <c r="Q369" s="44">
        <f>IF((L369&gt;$B$7)*(L369&lt;=$C$7),$M369,"")</f>
        <v/>
      </c>
      <c r="R369" s="44">
        <f>IF((L369&gt;$B$8)*(L369&lt;=$C$8),$M369,"")</f>
        <v/>
      </c>
    </row>
    <row r="370">
      <c r="L370" s="42" t="n">
        <v>46112</v>
      </c>
      <c r="M370" s="43" t="n">
        <v>1250</v>
      </c>
      <c r="N370" s="44">
        <f>IF((L370&gt;$B$4)*(L370&lt;=$C$4),$M370,"")</f>
        <v/>
      </c>
      <c r="O370" s="44">
        <f>IF((L370&gt;$B$5)*(L370&lt;=$C$5),$M370,"")</f>
        <v/>
      </c>
      <c r="P370" s="44">
        <f>IF((L370&gt;$B$6)*(L370&lt;=$C$6),$M370,"")</f>
        <v/>
      </c>
      <c r="Q370" s="44">
        <f>IF((L370&gt;$B$7)*(L370&lt;=$C$7),$M370,"")</f>
        <v/>
      </c>
      <c r="R370" s="44">
        <f>IF((L370&gt;$B$8)*(L370&lt;=$C$8),$M370,"")</f>
        <v/>
      </c>
    </row>
    <row r="371">
      <c r="L371" s="42" t="n">
        <v>46114</v>
      </c>
      <c r="M371" s="43" t="n">
        <v>1250</v>
      </c>
      <c r="N371" s="44">
        <f>IF((L371&gt;$B$4)*(L371&lt;=$C$4),$M371,"")</f>
        <v/>
      </c>
      <c r="O371" s="44">
        <f>IF((L371&gt;$B$5)*(L371&lt;=$C$5),$M371,"")</f>
        <v/>
      </c>
      <c r="P371" s="44">
        <f>IF((L371&gt;$B$6)*(L371&lt;=$C$6),$M371,"")</f>
        <v/>
      </c>
      <c r="Q371" s="44">
        <f>IF((L371&gt;$B$7)*(L371&lt;=$C$7),$M371,"")</f>
        <v/>
      </c>
      <c r="R371" s="44">
        <f>IF((L371&gt;$B$8)*(L371&lt;=$C$8),$M371,"")</f>
        <v/>
      </c>
    </row>
    <row r="372">
      <c r="L372" s="42" t="n">
        <v>46119</v>
      </c>
      <c r="M372" s="43" t="n">
        <v>1250</v>
      </c>
      <c r="N372" s="44">
        <f>IF((L372&gt;$B$4)*(L372&lt;=$C$4),$M372,"")</f>
        <v/>
      </c>
      <c r="O372" s="44">
        <f>IF((L372&gt;$B$5)*(L372&lt;=$C$5),$M372,"")</f>
        <v/>
      </c>
      <c r="P372" s="44">
        <f>IF((L372&gt;$B$6)*(L372&lt;=$C$6),$M372,"")</f>
        <v/>
      </c>
      <c r="Q372" s="44">
        <f>IF((L372&gt;$B$7)*(L372&lt;=$C$7),$M372,"")</f>
        <v/>
      </c>
      <c r="R372" s="44">
        <f>IF((L372&gt;$B$8)*(L372&lt;=$C$8),$M372,"")</f>
        <v/>
      </c>
    </row>
    <row r="373">
      <c r="L373" s="42" t="n">
        <v>46127</v>
      </c>
      <c r="M373" s="43" t="n">
        <v>1250</v>
      </c>
      <c r="N373" s="44">
        <f>IF((L373&gt;$B$4)*(L373&lt;=$C$4),$M373,"")</f>
        <v/>
      </c>
      <c r="O373" s="44">
        <f>IF((L373&gt;$B$5)*(L373&lt;=$C$5),$M373,"")</f>
        <v/>
      </c>
      <c r="P373" s="44">
        <f>IF((L373&gt;$B$6)*(L373&lt;=$C$6),$M373,"")</f>
        <v/>
      </c>
      <c r="Q373" s="44">
        <f>IF((L373&gt;$B$7)*(L373&lt;=$C$7),$M373,"")</f>
        <v/>
      </c>
      <c r="R373" s="44">
        <f>IF((L373&gt;$B$8)*(L373&lt;=$C$8),$M373,"")</f>
        <v/>
      </c>
    </row>
    <row r="374">
      <c r="L374" s="42" t="n">
        <v>46134</v>
      </c>
      <c r="M374" s="43" t="n">
        <v>1250</v>
      </c>
      <c r="N374" s="44">
        <f>IF((L374&gt;$B$4)*(L374&lt;=$C$4),$M374,"")</f>
        <v/>
      </c>
      <c r="O374" s="44">
        <f>IF((L374&gt;$B$5)*(L374&lt;=$C$5),$M374,"")</f>
        <v/>
      </c>
      <c r="P374" s="44">
        <f>IF((L374&gt;$B$6)*(L374&lt;=$C$6),$M374,"")</f>
        <v/>
      </c>
      <c r="Q374" s="44">
        <f>IF((L374&gt;$B$7)*(L374&lt;=$C$7),$M374,"")</f>
        <v/>
      </c>
      <c r="R374" s="44">
        <f>IF((L374&gt;$B$8)*(L374&lt;=$C$8),$M374,"")</f>
        <v/>
      </c>
    </row>
    <row r="375">
      <c r="L375" s="42" t="n">
        <v>46141</v>
      </c>
      <c r="M375" s="43" t="n">
        <v>1250</v>
      </c>
      <c r="N375" s="44">
        <f>IF((L375&gt;$B$4)*(L375&lt;=$C$4),$M375,"")</f>
        <v/>
      </c>
      <c r="O375" s="44">
        <f>IF((L375&gt;$B$5)*(L375&lt;=$C$5),$M375,"")</f>
        <v/>
      </c>
      <c r="P375" s="44">
        <f>IF((L375&gt;$B$6)*(L375&lt;=$C$6),$M375,"")</f>
        <v/>
      </c>
      <c r="Q375" s="44">
        <f>IF((L375&gt;$B$7)*(L375&lt;=$C$7),$M375,"")</f>
        <v/>
      </c>
      <c r="R375" s="44">
        <f>IF((L375&gt;$B$8)*(L375&lt;=$C$8),$M375,"")</f>
        <v/>
      </c>
    </row>
    <row r="376">
      <c r="L376" s="42" t="n">
        <v>46151</v>
      </c>
      <c r="M376" s="43" t="n">
        <v>1250</v>
      </c>
      <c r="N376" s="44">
        <f>IF((L376&gt;$B$4)*(L376&lt;=$C$4),$M376,"")</f>
        <v/>
      </c>
      <c r="O376" s="44">
        <f>IF((L376&gt;$B$5)*(L376&lt;=$C$5),$M376,"")</f>
        <v/>
      </c>
      <c r="P376" s="44">
        <f>IF((L376&gt;$B$6)*(L376&lt;=$C$6),$M376,"")</f>
        <v/>
      </c>
      <c r="Q376" s="44">
        <f>IF((L376&gt;$B$7)*(L376&lt;=$C$7),$M376,"")</f>
        <v/>
      </c>
      <c r="R376" s="44">
        <f>IF((L376&gt;$B$8)*(L376&lt;=$C$8),$M376,"")</f>
        <v/>
      </c>
    </row>
    <row r="377">
      <c r="L377" s="42" t="n">
        <v>46154</v>
      </c>
      <c r="M377" s="43" t="n">
        <v>1250</v>
      </c>
      <c r="N377" s="44">
        <f>IF((L377&gt;$B$4)*(L377&lt;=$C$4),$M377,"")</f>
        <v/>
      </c>
      <c r="O377" s="44">
        <f>IF((L377&gt;$B$5)*(L377&lt;=$C$5),$M377,"")</f>
        <v/>
      </c>
      <c r="P377" s="44">
        <f>IF((L377&gt;$B$6)*(L377&lt;=$C$6),$M377,"")</f>
        <v/>
      </c>
      <c r="Q377" s="44">
        <f>IF((L377&gt;$B$7)*(L377&lt;=$C$7),$M377,"")</f>
        <v/>
      </c>
      <c r="R377" s="44">
        <f>IF((L377&gt;$B$8)*(L377&lt;=$C$8),$M377,"")</f>
        <v/>
      </c>
    </row>
    <row r="378">
      <c r="L378" s="42" t="n">
        <v>46161</v>
      </c>
      <c r="M378" s="43" t="n">
        <v>1250</v>
      </c>
      <c r="N378" s="44">
        <f>IF((L378&gt;$B$4)*(L378&lt;=$C$4),$M378,"")</f>
        <v/>
      </c>
      <c r="O378" s="44">
        <f>IF((L378&gt;$B$5)*(L378&lt;=$C$5),$M378,"")</f>
        <v/>
      </c>
      <c r="P378" s="44">
        <f>IF((L378&gt;$B$6)*(L378&lt;=$C$6),$M378,"")</f>
        <v/>
      </c>
      <c r="Q378" s="44">
        <f>IF((L378&gt;$B$7)*(L378&lt;=$C$7),$M378,"")</f>
        <v/>
      </c>
      <c r="R378" s="44">
        <f>IF((L378&gt;$B$8)*(L378&lt;=$C$8),$M378,"")</f>
        <v/>
      </c>
    </row>
    <row r="379">
      <c r="L379" s="42" t="n">
        <v>46168</v>
      </c>
      <c r="M379" s="43" t="n">
        <v>1250</v>
      </c>
      <c r="N379" s="44">
        <f>IF((L379&gt;$B$4)*(L379&lt;=$C$4),$M379,"")</f>
        <v/>
      </c>
      <c r="O379" s="44">
        <f>IF((L379&gt;$B$5)*(L379&lt;=$C$5),$M379,"")</f>
        <v/>
      </c>
      <c r="P379" s="44">
        <f>IF((L379&gt;$B$6)*(L379&lt;=$C$6),$M379,"")</f>
        <v/>
      </c>
      <c r="Q379" s="44">
        <f>IF((L379&gt;$B$7)*(L379&lt;=$C$7),$M379,"")</f>
        <v/>
      </c>
      <c r="R379" s="44">
        <f>IF((L379&gt;$B$8)*(L379&lt;=$C$8),$M379,"")</f>
        <v/>
      </c>
    </row>
    <row r="380">
      <c r="L380" s="42" t="n">
        <v>46175</v>
      </c>
      <c r="M380" s="43" t="n">
        <v>1250</v>
      </c>
      <c r="N380" s="44">
        <f>IF((L380&gt;$B$4)*(L380&lt;=$C$4),$M380,"")</f>
        <v/>
      </c>
      <c r="O380" s="44">
        <f>IF((L380&gt;$B$5)*(L380&lt;=$C$5),$M380,"")</f>
        <v/>
      </c>
      <c r="P380" s="44">
        <f>IF((L380&gt;$B$6)*(L380&lt;=$C$6),$M380,"")</f>
        <v/>
      </c>
      <c r="Q380" s="44">
        <f>IF((L380&gt;$B$7)*(L380&lt;=$C$7),$M380,"")</f>
        <v/>
      </c>
      <c r="R380" s="44">
        <f>IF((L380&gt;$B$8)*(L380&lt;=$C$8),$M380,"")</f>
        <v/>
      </c>
    </row>
    <row r="381">
      <c r="L381" s="42" t="n">
        <v>46178</v>
      </c>
      <c r="M381" s="43" t="n">
        <v>1250</v>
      </c>
      <c r="N381" s="44">
        <f>IF((L381&gt;$B$4)*(L381&lt;=$C$4),$M381,"")</f>
        <v/>
      </c>
      <c r="O381" s="44">
        <f>IF((L381&gt;$B$5)*(L381&lt;=$C$5),$M381,"")</f>
        <v/>
      </c>
      <c r="P381" s="44">
        <f>IF((L381&gt;$B$6)*(L381&lt;=$C$6),$M381,"")</f>
        <v/>
      </c>
      <c r="Q381" s="44">
        <f>IF((L381&gt;$B$7)*(L381&lt;=$C$7),$M381,"")</f>
        <v/>
      </c>
      <c r="R381" s="44">
        <f>IF((L381&gt;$B$8)*(L381&lt;=$C$8),$M381,"")</f>
        <v/>
      </c>
    </row>
    <row r="382">
      <c r="L382" s="42" t="n">
        <v>46182</v>
      </c>
      <c r="M382" s="43" t="n">
        <v>1250</v>
      </c>
      <c r="N382" s="44">
        <f>IF((L382&gt;$B$4)*(L382&lt;=$C$4),$M382,"")</f>
        <v/>
      </c>
      <c r="O382" s="44">
        <f>IF((L382&gt;$B$5)*(L382&lt;=$C$5),$M382,"")</f>
        <v/>
      </c>
      <c r="P382" s="44">
        <f>IF((L382&gt;$B$6)*(L382&lt;=$C$6),$M382,"")</f>
        <v/>
      </c>
      <c r="Q382" s="44">
        <f>IF((L382&gt;$B$7)*(L382&lt;=$C$7),$M382,"")</f>
        <v/>
      </c>
      <c r="R382" s="44">
        <f>IF((L382&gt;$B$8)*(L382&lt;=$C$8),$M382,"")</f>
        <v/>
      </c>
    </row>
    <row r="383">
      <c r="L383" s="42" t="n">
        <v>46184</v>
      </c>
      <c r="M383" s="43" t="n">
        <v>1250</v>
      </c>
      <c r="N383" s="44">
        <f>IF((L383&gt;$B$4)*(L383&lt;=$C$4),$M383,"")</f>
        <v/>
      </c>
      <c r="O383" s="44">
        <f>IF((L383&gt;$B$5)*(L383&lt;=$C$5),$M383,"")</f>
        <v/>
      </c>
      <c r="P383" s="44">
        <f>IF((L383&gt;$B$6)*(L383&lt;=$C$6),$M383,"")</f>
        <v/>
      </c>
      <c r="Q383" s="44">
        <f>IF((L383&gt;$B$7)*(L383&lt;=$C$7),$M383,"")</f>
        <v/>
      </c>
      <c r="R383" s="44">
        <f>IF((L383&gt;$B$8)*(L383&lt;=$C$8),$M383,"")</f>
        <v/>
      </c>
    </row>
    <row r="384">
      <c r="L384" s="42" t="n">
        <v>46188</v>
      </c>
      <c r="M384" s="43" t="n">
        <v>1250</v>
      </c>
      <c r="N384" s="44">
        <f>IF((L384&gt;$B$4)*(L384&lt;=$C$4),$M384,"")</f>
        <v/>
      </c>
      <c r="O384" s="44">
        <f>IF((L384&gt;$B$5)*(L384&lt;=$C$5),$M384,"")</f>
        <v/>
      </c>
      <c r="P384" s="44">
        <f>IF((L384&gt;$B$6)*(L384&lt;=$C$6),$M384,"")</f>
        <v/>
      </c>
      <c r="Q384" s="44">
        <f>IF((L384&gt;$B$7)*(L384&lt;=$C$7),$M384,"")</f>
        <v/>
      </c>
      <c r="R384" s="44">
        <f>IF((L384&gt;$B$8)*(L384&lt;=$C$8),$M384,"")</f>
        <v/>
      </c>
    </row>
    <row r="385">
      <c r="L385" s="42" t="n">
        <v>46198</v>
      </c>
      <c r="M385" s="43" t="n">
        <v>1240</v>
      </c>
      <c r="N385" s="44">
        <f>IF((L385&gt;$B$4)*(L385&lt;=$C$4),$M385,"")</f>
        <v/>
      </c>
      <c r="O385" s="44">
        <f>IF((L385&gt;$B$5)*(L385&lt;=$C$5),$M385,"")</f>
        <v/>
      </c>
      <c r="P385" s="44">
        <f>IF((L385&gt;$B$6)*(L385&lt;=$C$6),$M385,"")</f>
        <v/>
      </c>
      <c r="Q385" s="44">
        <f>IF((L385&gt;$B$7)*(L385&lt;=$C$7),$M385,"")</f>
        <v/>
      </c>
      <c r="R385" s="44">
        <f>IF((L385&gt;$B$8)*(L385&lt;=$C$8),$M385,"")</f>
        <v/>
      </c>
    </row>
    <row r="386">
      <c r="L386" s="42" t="n">
        <v>46204</v>
      </c>
      <c r="M386" s="43" t="n">
        <v>1240</v>
      </c>
      <c r="N386" s="44">
        <f>IF((L386&gt;$B$4)*(L386&lt;=$C$4),$M386,"")</f>
        <v/>
      </c>
      <c r="O386" s="44">
        <f>IF((L386&gt;$B$5)*(L386&lt;=$C$5),$M386,"")</f>
        <v/>
      </c>
      <c r="P386" s="44">
        <f>IF((L386&gt;$B$6)*(L386&lt;=$C$6),$M386,"")</f>
        <v/>
      </c>
      <c r="Q386" s="44">
        <f>IF((L386&gt;$B$7)*(L386&lt;=$C$7),$M386,"")</f>
        <v/>
      </c>
      <c r="R386" s="44">
        <f>IF((L386&gt;$B$8)*(L386&lt;=$C$8),$M386,"")</f>
        <v/>
      </c>
    </row>
    <row r="387">
      <c r="L387" s="42" t="n">
        <v>46213</v>
      </c>
      <c r="M387" s="43" t="n">
        <v>1240</v>
      </c>
      <c r="N387" s="44">
        <f>IF((L387&gt;$B$4)*(L387&lt;=$C$4),$M387,"")</f>
        <v/>
      </c>
      <c r="O387" s="44">
        <f>IF((L387&gt;$B$5)*(L387&lt;=$C$5),$M387,"")</f>
        <v/>
      </c>
      <c r="P387" s="44">
        <f>IF((L387&gt;$B$6)*(L387&lt;=$C$6),$M387,"")</f>
        <v/>
      </c>
      <c r="Q387" s="44">
        <f>IF((L387&gt;$B$7)*(L387&lt;=$C$7),$M387,"")</f>
        <v/>
      </c>
      <c r="R387" s="44">
        <f>IF((L387&gt;$B$8)*(L387&lt;=$C$8),$M387,"")</f>
        <v/>
      </c>
    </row>
    <row r="388">
      <c r="L388" s="42" t="n">
        <v>46220</v>
      </c>
      <c r="M388" s="43" t="n">
        <v>1240</v>
      </c>
      <c r="N388" s="44">
        <f>IF((L388&gt;$B$4)*(L388&lt;=$C$4),$M388,"")</f>
        <v/>
      </c>
      <c r="O388" s="44">
        <f>IF((L388&gt;$B$5)*(L388&lt;=$C$5),$M388,"")</f>
        <v/>
      </c>
      <c r="P388" s="44">
        <f>IF((L388&gt;$B$6)*(L388&lt;=$C$6),$M388,"")</f>
        <v/>
      </c>
      <c r="Q388" s="44">
        <f>IF((L388&gt;$B$7)*(L388&lt;=$C$7),$M388,"")</f>
        <v/>
      </c>
      <c r="R388" s="44">
        <f>IF((L388&gt;$B$8)*(L388&lt;=$C$8),$M388,"")</f>
        <v/>
      </c>
    </row>
    <row r="389">
      <c r="L389" s="42" t="n">
        <v>46224</v>
      </c>
      <c r="M389" s="43" t="n">
        <v>1240</v>
      </c>
      <c r="N389" s="44">
        <f>IF((L389&gt;$B$4)*(L389&lt;=$C$4),$M389,"")</f>
        <v/>
      </c>
      <c r="O389" s="44">
        <f>IF((L389&gt;$B$5)*(L389&lt;=$C$5),$M389,"")</f>
        <v/>
      </c>
      <c r="P389" s="44">
        <f>IF((L389&gt;$B$6)*(L389&lt;=$C$6),$M389,"")</f>
        <v/>
      </c>
      <c r="Q389" s="44">
        <f>IF((L389&gt;$B$7)*(L389&lt;=$C$7),$M389,"")</f>
        <v/>
      </c>
      <c r="R389" s="44">
        <f>IF((L389&gt;$B$8)*(L389&lt;=$C$8),$M389,"")</f>
        <v/>
      </c>
    </row>
    <row r="390">
      <c r="L390" s="42" t="n">
        <v>46231</v>
      </c>
      <c r="M390" s="43" t="n">
        <v>1215</v>
      </c>
      <c r="N390" s="44">
        <f>IF((L390&gt;$B$4)*(L390&lt;=$C$4),$M390,"")</f>
        <v/>
      </c>
      <c r="O390" s="44">
        <f>IF((L390&gt;$B$5)*(L390&lt;=$C$5),$M390,"")</f>
        <v/>
      </c>
      <c r="P390" s="44">
        <f>IF((L390&gt;$B$6)*(L390&lt;=$C$6),$M390,"")</f>
        <v/>
      </c>
      <c r="Q390" s="44">
        <f>IF((L390&gt;$B$7)*(L390&lt;=$C$7),$M390,"")</f>
        <v/>
      </c>
      <c r="R390" s="44">
        <f>IF((L390&gt;$B$8)*(L390&lt;=$C$8),$M390,"")</f>
        <v/>
      </c>
    </row>
  </sheetData>
  <mergeCells count="5">
    <mergeCell ref="L31:S31"/>
    <mergeCell ref="A2:L2"/>
    <mergeCell ref="A1:L1"/>
    <mergeCell ref="A14:L14"/>
    <mergeCell ref="A22:L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395B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30" customWidth="1" min="9" max="9"/>
  </cols>
  <sheetData>
    <row r="1" ht="30" customHeight="1">
      <c r="A1" s="1" t="inlineStr">
        <is>
          <t>06 分窗口统计 · 三条序列对照</t>
        </is>
      </c>
    </row>
    <row r="2" ht="30" customHeight="1">
      <c r="A2" s="2" t="inlineStr">
        <is>
          <t>本表直接引用 04/05 表的结果，用于横向比较「华东重质 / 华东轻质 / 全国基准」在同一窗口下的位置差异。</t>
        </is>
      </c>
    </row>
    <row r="4" ht="30" customHeight="1">
      <c r="A4" s="9" t="inlineStr">
        <is>
          <t>序列</t>
        </is>
      </c>
      <c r="B4" s="9" t="inlineStr">
        <is>
          <t>窗口</t>
        </is>
      </c>
      <c r="C4" s="9" t="inlineStr">
        <is>
          <t>样本 n</t>
        </is>
      </c>
      <c r="D4" s="9" t="inlineStr">
        <is>
          <t>最低</t>
        </is>
      </c>
      <c r="E4" s="9" t="inlineStr">
        <is>
          <t>最高</t>
        </is>
      </c>
      <c r="F4" s="9" t="inlineStr">
        <is>
          <t>中位数</t>
        </is>
      </c>
      <c r="G4" s="9" t="inlineStr">
        <is>
          <t>经验分位</t>
        </is>
      </c>
      <c r="H4" s="9" t="inlineStr">
        <is>
          <t>区间涨跌幅</t>
        </is>
      </c>
      <c r="I4" s="9" t="inlineStr">
        <is>
          <t>结论标注</t>
        </is>
      </c>
    </row>
    <row r="5">
      <c r="A5" s="49" t="inlineStr">
        <is>
          <t>S1 华东·重质（主口径）</t>
        </is>
      </c>
      <c r="B5" s="49" t="inlineStr">
        <is>
          <t>近 30 天</t>
        </is>
      </c>
      <c r="C5" s="50" t="n">
        <v>5</v>
      </c>
      <c r="D5" s="49" t="inlineStr"/>
      <c r="E5" s="49" t="inlineStr"/>
      <c r="F5" s="49" t="inlineStr"/>
      <c r="G5" s="49" t="inlineStr"/>
      <c r="H5" s="49" t="inlineStr"/>
      <c r="I5" s="49" t="inlineStr">
        <is>
          <t>有效观测不足 5 条，不计算（不外推、不插值）</t>
        </is>
      </c>
    </row>
    <row r="6">
      <c r="A6" s="49" t="inlineStr">
        <is>
          <t>S1 华东·重质（主口径）</t>
        </is>
      </c>
      <c r="B6" s="49" t="inlineStr">
        <is>
          <t>近 3 个月</t>
        </is>
      </c>
      <c r="C6" s="50" t="n">
        <v>15</v>
      </c>
      <c r="D6" s="49" t="inlineStr"/>
      <c r="E6" s="49" t="inlineStr"/>
      <c r="F6" s="49" t="inlineStr"/>
      <c r="G6" s="49" t="inlineStr"/>
      <c r="H6" s="49" t="inlineStr"/>
      <c r="I6" s="49" t="inlineStr">
        <is>
          <t>有效观测不足 15 条，不计算（不外推、不插值）</t>
        </is>
      </c>
    </row>
    <row r="7">
      <c r="A7" s="10" t="inlineStr">
        <is>
          <t>S1 华东·重质（主口径）</t>
        </is>
      </c>
      <c r="B7" s="10" t="inlineStr">
        <is>
          <t>近 1 年</t>
        </is>
      </c>
      <c r="C7" s="14" t="n">
        <v>139</v>
      </c>
      <c r="D7" s="14" t="n">
        <v>1215</v>
      </c>
      <c r="E7" s="14" t="n">
        <v>1375</v>
      </c>
      <c r="F7" s="14" t="n">
        <v>1250</v>
      </c>
      <c r="G7" s="51" t="n">
        <v>0.72</v>
      </c>
      <c r="H7" s="51" t="n">
        <v>-11.64</v>
      </c>
      <c r="I7" s="10" t="inlineStr">
        <is>
          <t>极低</t>
        </is>
      </c>
    </row>
    <row r="8">
      <c r="A8" s="10" t="inlineStr">
        <is>
          <t>S1 华东·重质（主口径）</t>
        </is>
      </c>
      <c r="B8" s="10" t="inlineStr">
        <is>
          <t>近 3 年</t>
        </is>
      </c>
      <c r="C8" s="14" t="n">
        <v>358</v>
      </c>
      <c r="D8" s="14" t="n">
        <v>1215</v>
      </c>
      <c r="E8" s="14" t="n">
        <v>2100</v>
      </c>
      <c r="F8" s="14" t="n">
        <v>1450</v>
      </c>
      <c r="G8" s="51" t="n">
        <v>0.28</v>
      </c>
      <c r="H8" s="51" t="n">
        <v>-42.14</v>
      </c>
      <c r="I8" s="10" t="inlineStr">
        <is>
          <t>极低</t>
        </is>
      </c>
    </row>
    <row r="9">
      <c r="A9" s="10" t="inlineStr">
        <is>
          <t>S1 华东·重质（主口径）</t>
        </is>
      </c>
      <c r="B9" s="10" t="inlineStr">
        <is>
          <t>近 5 年</t>
        </is>
      </c>
      <c r="C9" s="14" t="n">
        <v>358</v>
      </c>
      <c r="D9" s="14" t="n">
        <v>1215</v>
      </c>
      <c r="E9" s="14" t="n">
        <v>2100</v>
      </c>
      <c r="F9" s="14" t="n">
        <v>1450</v>
      </c>
      <c r="G9" s="51" t="n">
        <v>0.28</v>
      </c>
      <c r="H9" s="51" t="n">
        <v>-42.14</v>
      </c>
      <c r="I9" s="10" t="inlineStr">
        <is>
          <t>极低</t>
        </is>
      </c>
    </row>
    <row r="10">
      <c r="A10" s="49" t="inlineStr">
        <is>
          <t>S2 华东·轻质（辅助）</t>
        </is>
      </c>
      <c r="B10" s="49" t="inlineStr">
        <is>
          <t>近 30 天</t>
        </is>
      </c>
      <c r="C10" s="50" t="n">
        <v>5</v>
      </c>
      <c r="D10" s="49" t="inlineStr"/>
      <c r="E10" s="49" t="inlineStr"/>
      <c r="F10" s="49" t="inlineStr"/>
      <c r="G10" s="49" t="inlineStr"/>
      <c r="H10" s="49" t="inlineStr"/>
      <c r="I10" s="49" t="inlineStr">
        <is>
          <t>有效观测不足 5 条，不计算（不外推、不插值）</t>
        </is>
      </c>
    </row>
    <row r="11">
      <c r="A11" s="49" t="inlineStr">
        <is>
          <t>S2 华东·轻质（辅助）</t>
        </is>
      </c>
      <c r="B11" s="49" t="inlineStr">
        <is>
          <t>近 3 个月</t>
        </is>
      </c>
      <c r="C11" s="50" t="n">
        <v>15</v>
      </c>
      <c r="D11" s="49" t="inlineStr"/>
      <c r="E11" s="49" t="inlineStr"/>
      <c r="F11" s="49" t="inlineStr"/>
      <c r="G11" s="49" t="inlineStr"/>
      <c r="H11" s="49" t="inlineStr"/>
      <c r="I11" s="49" t="inlineStr">
        <is>
          <t>有效观测不足 15 条，不计算（不外推、不插值）</t>
        </is>
      </c>
    </row>
    <row r="12">
      <c r="A12" s="10" t="inlineStr">
        <is>
          <t>S2 华东·轻质（辅助）</t>
        </is>
      </c>
      <c r="B12" s="10" t="inlineStr">
        <is>
          <t>近 1 年</t>
        </is>
      </c>
      <c r="C12" s="14" t="n">
        <v>139</v>
      </c>
      <c r="D12" s="14" t="n">
        <v>1250</v>
      </c>
      <c r="E12" s="14" t="n">
        <v>1400</v>
      </c>
      <c r="F12" s="14" t="n">
        <v>1325</v>
      </c>
      <c r="G12" s="51" t="n">
        <v>37.41</v>
      </c>
      <c r="H12" s="51" t="n">
        <v>-5.22</v>
      </c>
      <c r="I12" s="10" t="inlineStr">
        <is>
          <t>中位</t>
        </is>
      </c>
    </row>
    <row r="13">
      <c r="A13" s="10" t="inlineStr">
        <is>
          <t>S2 华东·轻质（辅助）</t>
        </is>
      </c>
      <c r="B13" s="10" t="inlineStr">
        <is>
          <t>近 3 年</t>
        </is>
      </c>
      <c r="C13" s="14" t="n">
        <v>491</v>
      </c>
      <c r="D13" s="14" t="n">
        <v>1125</v>
      </c>
      <c r="E13" s="14" t="n">
        <v>3100</v>
      </c>
      <c r="F13" s="14" t="n">
        <v>1510</v>
      </c>
      <c r="G13" s="51" t="n">
        <v>13.85</v>
      </c>
      <c r="H13" s="51" t="n">
        <v>-39.52</v>
      </c>
      <c r="I13" s="10" t="inlineStr">
        <is>
          <t>偏低</t>
        </is>
      </c>
    </row>
    <row r="14">
      <c r="A14" s="10" t="inlineStr">
        <is>
          <t>S2 华东·轻质（辅助）</t>
        </is>
      </c>
      <c r="B14" s="10" t="inlineStr">
        <is>
          <t>近 5 年</t>
        </is>
      </c>
      <c r="C14" s="14" t="n">
        <v>528</v>
      </c>
      <c r="D14" s="14" t="n">
        <v>1125</v>
      </c>
      <c r="E14" s="14" t="n">
        <v>3100</v>
      </c>
      <c r="F14" s="14" t="n">
        <v>1510</v>
      </c>
      <c r="G14" s="51" t="n">
        <v>12.88</v>
      </c>
      <c r="H14" s="51" t="n">
        <v>-54.64</v>
      </c>
      <c r="I14" s="10" t="inlineStr">
        <is>
          <t>偏低</t>
        </is>
      </c>
    </row>
    <row r="15">
      <c r="A15" s="10" t="inlineStr">
        <is>
          <t>S3 全国·重质基准（辅助）</t>
        </is>
      </c>
      <c r="B15" s="10" t="inlineStr">
        <is>
          <t>近 30 天</t>
        </is>
      </c>
      <c r="C15" s="14" t="n">
        <v>22</v>
      </c>
      <c r="D15" s="14" t="n">
        <v>1144.29</v>
      </c>
      <c r="E15" s="14" t="n">
        <v>1195.71</v>
      </c>
      <c r="F15" s="14" t="n">
        <v>1158.57</v>
      </c>
      <c r="G15" s="51" t="n">
        <v>4.55</v>
      </c>
      <c r="H15" s="51" t="n">
        <v>-4.3</v>
      </c>
      <c r="I15" s="10" t="inlineStr">
        <is>
          <t>极低</t>
        </is>
      </c>
    </row>
    <row r="16">
      <c r="A16" s="10" t="inlineStr">
        <is>
          <t>S3 全国·重质基准（辅助）</t>
        </is>
      </c>
      <c r="B16" s="10" t="inlineStr">
        <is>
          <t>近 3 个月</t>
        </is>
      </c>
      <c r="C16" s="14" t="n">
        <v>64</v>
      </c>
      <c r="D16" s="14" t="n">
        <v>1144.29</v>
      </c>
      <c r="E16" s="14" t="n">
        <v>1241.43</v>
      </c>
      <c r="F16" s="14" t="n">
        <v>1215.71</v>
      </c>
      <c r="G16" s="51" t="n">
        <v>1.56</v>
      </c>
      <c r="H16" s="51" t="n">
        <v>-7.67</v>
      </c>
      <c r="I16" s="10" t="inlineStr">
        <is>
          <t>极低</t>
        </is>
      </c>
    </row>
    <row r="17">
      <c r="A17" s="10" t="inlineStr">
        <is>
          <t>S3 全国·重质基准（辅助）</t>
        </is>
      </c>
      <c r="B17" s="10" t="inlineStr">
        <is>
          <t>近 1 年</t>
        </is>
      </c>
      <c r="C17" s="14" t="n">
        <v>262</v>
      </c>
      <c r="D17" s="14" t="n">
        <v>1144.29</v>
      </c>
      <c r="E17" s="14" t="n">
        <v>1315</v>
      </c>
      <c r="F17" s="14" t="n">
        <v>1222.86</v>
      </c>
      <c r="G17" s="51" t="n">
        <v>0.38</v>
      </c>
      <c r="H17" s="51" t="n">
        <v>-12.98</v>
      </c>
      <c r="I17" s="10" t="inlineStr">
        <is>
          <t>极低</t>
        </is>
      </c>
    </row>
    <row r="18">
      <c r="A18" s="10" t="inlineStr">
        <is>
          <t>S3 全国·重质基准（辅助）</t>
        </is>
      </c>
      <c r="B18" s="10" t="inlineStr">
        <is>
          <t>近 3 年</t>
        </is>
      </c>
      <c r="C18" s="14" t="n">
        <v>710</v>
      </c>
      <c r="D18" s="14" t="n">
        <v>1144.29</v>
      </c>
      <c r="E18" s="14" t="n">
        <v>2910</v>
      </c>
      <c r="F18" s="14" t="n">
        <v>1530</v>
      </c>
      <c r="G18" s="51" t="n">
        <v>0.14</v>
      </c>
      <c r="H18" s="51" t="n">
        <v>-51.51</v>
      </c>
      <c r="I18" s="10" t="inlineStr">
        <is>
          <t>极低</t>
        </is>
      </c>
    </row>
    <row r="19">
      <c r="A19" s="10" t="inlineStr">
        <is>
          <t>S3 全国·重质基准（辅助）</t>
        </is>
      </c>
      <c r="B19" s="10" t="inlineStr">
        <is>
          <t>近 5 年</t>
        </is>
      </c>
      <c r="C19" s="14" t="n">
        <v>710</v>
      </c>
      <c r="D19" s="14" t="n">
        <v>1144.29</v>
      </c>
      <c r="E19" s="14" t="n">
        <v>2910</v>
      </c>
      <c r="F19" s="14" t="n">
        <v>1530</v>
      </c>
      <c r="G19" s="51" t="n">
        <v>0.14</v>
      </c>
      <c r="H19" s="51" t="n">
        <v>-51.51</v>
      </c>
      <c r="I19" s="10" t="inlineStr">
        <is>
          <t>极低</t>
        </is>
      </c>
    </row>
    <row r="21" ht="30" customHeight="1">
      <c r="A21" s="24" t="inlineStr">
        <is>
          <t>三条序列的分位各自独立计算。S2 与 S3 的作用是回答「华东这个价是不是全国同步」——如果三条序列分位都很低，说明是行业性的，不是华东独有的区域问题。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4664C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</cols>
  <sheetData>
    <row r="1" ht="30" customHeight="1">
      <c r="A1" s="1" t="inlineStr">
        <is>
          <t>07 同期对比 · 逐年同月（Excel 公式实算）</t>
        </is>
      </c>
    </row>
    <row r="2" ht="30" customHeight="1">
      <c r="A2" s="2" t="inlineStr">
        <is>
          <t>用 AVERAGEIFS 对「02 原始序列」按年月聚合真实观测；没有任何观测的格子留空并注明，不是 0。</t>
        </is>
      </c>
    </row>
    <row r="4" ht="30" customHeight="1">
      <c r="A4" s="9" t="inlineStr">
        <is>
          <t>年份</t>
        </is>
      </c>
      <c r="B4" s="9" t="inlineStr">
        <is>
          <t>1月</t>
        </is>
      </c>
      <c r="C4" s="9" t="inlineStr">
        <is>
          <t>2月</t>
        </is>
      </c>
      <c r="D4" s="9" t="inlineStr">
        <is>
          <t>3月</t>
        </is>
      </c>
      <c r="E4" s="9" t="inlineStr">
        <is>
          <t>4月</t>
        </is>
      </c>
      <c r="F4" s="9" t="inlineStr">
        <is>
          <t>5月</t>
        </is>
      </c>
      <c r="G4" s="9" t="inlineStr">
        <is>
          <t>6月</t>
        </is>
      </c>
      <c r="H4" s="9" t="inlineStr">
        <is>
          <t>7月</t>
        </is>
      </c>
      <c r="I4" s="9" t="inlineStr">
        <is>
          <t>8月</t>
        </is>
      </c>
      <c r="J4" s="9" t="inlineStr">
        <is>
          <t>9月</t>
        </is>
      </c>
      <c r="K4" s="9" t="inlineStr">
        <is>
          <t>10月</t>
        </is>
      </c>
      <c r="L4" s="9" t="inlineStr">
        <is>
          <t>11月</t>
        </is>
      </c>
      <c r="M4" s="9" t="inlineStr">
        <is>
          <t>12月</t>
        </is>
      </c>
      <c r="N4" s="9" t="inlineStr">
        <is>
          <t>全年均值</t>
        </is>
      </c>
      <c r="O4" s="9" t="inlineStr">
        <is>
          <t>观测数合计</t>
        </is>
      </c>
    </row>
    <row r="5">
      <c r="A5" s="29" t="n">
        <v>2024</v>
      </c>
      <c r="B5" s="32">
        <f>IFERROR(AVERAGEIFS('02 原始序列(主)'!$E$5:$E$362,'02 原始序列(主)'!$B$5:$B$362,"&gt;="&amp;DATE(2024,1,1),'02 原始序列(主)'!$B$5:$B$362,"&lt;"&amp;DATE(2024,2,1)),"无观测")</f>
        <v/>
      </c>
      <c r="C5" s="32">
        <f>IFERROR(AVERAGEIFS('02 原始序列(主)'!$E$5:$E$362,'02 原始序列(主)'!$B$5:$B$362,"&gt;="&amp;DATE(2024,2,1),'02 原始序列(主)'!$B$5:$B$362,"&lt;"&amp;DATE(2024,3,1)),"无观测")</f>
        <v/>
      </c>
      <c r="D5" s="32">
        <f>IFERROR(AVERAGEIFS('02 原始序列(主)'!$E$5:$E$362,'02 原始序列(主)'!$B$5:$B$362,"&gt;="&amp;DATE(2024,3,1),'02 原始序列(主)'!$B$5:$B$362,"&lt;"&amp;DATE(2024,4,1)),"无观测")</f>
        <v/>
      </c>
      <c r="E5" s="32">
        <f>IFERROR(AVERAGEIFS('02 原始序列(主)'!$E$5:$E$362,'02 原始序列(主)'!$B$5:$B$362,"&gt;="&amp;DATE(2024,4,1),'02 原始序列(主)'!$B$5:$B$362,"&lt;"&amp;DATE(2024,5,1)),"无观测")</f>
        <v/>
      </c>
      <c r="F5" s="32">
        <f>IFERROR(AVERAGEIFS('02 原始序列(主)'!$E$5:$E$362,'02 原始序列(主)'!$B$5:$B$362,"&gt;="&amp;DATE(2024,5,1),'02 原始序列(主)'!$B$5:$B$362,"&lt;"&amp;DATE(2024,6,1)),"无观测")</f>
        <v/>
      </c>
      <c r="G5" s="32">
        <f>IFERROR(AVERAGEIFS('02 原始序列(主)'!$E$5:$E$362,'02 原始序列(主)'!$B$5:$B$362,"&gt;="&amp;DATE(2024,6,1),'02 原始序列(主)'!$B$5:$B$362,"&lt;"&amp;DATE(2024,7,1)),"无观测")</f>
        <v/>
      </c>
      <c r="H5" s="32">
        <f>IFERROR(AVERAGEIFS('02 原始序列(主)'!$E$5:$E$362,'02 原始序列(主)'!$B$5:$B$362,"&gt;="&amp;DATE(2024,7,1),'02 原始序列(主)'!$B$5:$B$362,"&lt;"&amp;DATE(2024,8,1)),"无观测")</f>
        <v/>
      </c>
      <c r="I5" s="32">
        <f>IFERROR(AVERAGEIFS('02 原始序列(主)'!$E$5:$E$362,'02 原始序列(主)'!$B$5:$B$362,"&gt;="&amp;DATE(2024,8,1),'02 原始序列(主)'!$B$5:$B$362,"&lt;"&amp;DATE(2024,9,1)),"无观测")</f>
        <v/>
      </c>
      <c r="J5" s="32">
        <f>IFERROR(AVERAGEIFS('02 原始序列(主)'!$E$5:$E$362,'02 原始序列(主)'!$B$5:$B$362,"&gt;="&amp;DATE(2024,9,1),'02 原始序列(主)'!$B$5:$B$362,"&lt;"&amp;DATE(2024,10,1)),"无观测")</f>
        <v/>
      </c>
      <c r="K5" s="32">
        <f>IFERROR(AVERAGEIFS('02 原始序列(主)'!$E$5:$E$362,'02 原始序列(主)'!$B$5:$B$362,"&gt;="&amp;DATE(2024,10,1),'02 原始序列(主)'!$B$5:$B$362,"&lt;"&amp;DATE(2024,11,1)),"无观测")</f>
        <v/>
      </c>
      <c r="L5" s="32">
        <f>IFERROR(AVERAGEIFS('02 原始序列(主)'!$E$5:$E$362,'02 原始序列(主)'!$B$5:$B$362,"&gt;="&amp;DATE(2024,11,1),'02 原始序列(主)'!$B$5:$B$362,"&lt;"&amp;DATE(2024,12,1)),"无观测")</f>
        <v/>
      </c>
      <c r="M5" s="32">
        <f>IFERROR(AVERAGEIFS('02 原始序列(主)'!$E$5:$E$362,'02 原始序列(主)'!$B$5:$B$362,"&gt;="&amp;DATE(2024,12,1),'02 原始序列(主)'!$B$5:$B$362,"&lt;="&amp;DATE(2024,12,31)),"无观测")</f>
        <v/>
      </c>
      <c r="N5" s="32">
        <f>IFERROR(AVERAGEIFS('02 原始序列(主)'!$E$5:$E$362,'02 原始序列(主)'!$B$5:$B$362,"&gt;="&amp;DATE(2024,1,1),'02 原始序列(主)'!$B$5:$B$362,"&lt;="&amp;DATE(2024,12,31)),"无观测")</f>
        <v/>
      </c>
      <c r="O5" s="52">
        <f>COUNTIFS('02 原始序列(主)'!$B$5:$B$362,"&gt;="&amp;DATE(2024,1,1),'02 原始序列(主)'!$B$5:$B$362,"&lt;="&amp;DATE(2024,12,31))</f>
        <v/>
      </c>
    </row>
    <row r="6">
      <c r="A6" s="34" t="n">
        <v>2025</v>
      </c>
      <c r="B6" s="37">
        <f>IFERROR(AVERAGEIFS('02 原始序列(主)'!$E$5:$E$362,'02 原始序列(主)'!$B$5:$B$362,"&gt;="&amp;DATE(2025,1,1),'02 原始序列(主)'!$B$5:$B$362,"&lt;"&amp;DATE(2025,2,1)),"无观测")</f>
        <v/>
      </c>
      <c r="C6" s="37">
        <f>IFERROR(AVERAGEIFS('02 原始序列(主)'!$E$5:$E$362,'02 原始序列(主)'!$B$5:$B$362,"&gt;="&amp;DATE(2025,2,1),'02 原始序列(主)'!$B$5:$B$362,"&lt;"&amp;DATE(2025,3,1)),"无观测")</f>
        <v/>
      </c>
      <c r="D6" s="37">
        <f>IFERROR(AVERAGEIFS('02 原始序列(主)'!$E$5:$E$362,'02 原始序列(主)'!$B$5:$B$362,"&gt;="&amp;DATE(2025,3,1),'02 原始序列(主)'!$B$5:$B$362,"&lt;"&amp;DATE(2025,4,1)),"无观测")</f>
        <v/>
      </c>
      <c r="E6" s="37">
        <f>IFERROR(AVERAGEIFS('02 原始序列(主)'!$E$5:$E$362,'02 原始序列(主)'!$B$5:$B$362,"&gt;="&amp;DATE(2025,4,1),'02 原始序列(主)'!$B$5:$B$362,"&lt;"&amp;DATE(2025,5,1)),"无观测")</f>
        <v/>
      </c>
      <c r="F6" s="37">
        <f>IFERROR(AVERAGEIFS('02 原始序列(主)'!$E$5:$E$362,'02 原始序列(主)'!$B$5:$B$362,"&gt;="&amp;DATE(2025,5,1),'02 原始序列(主)'!$B$5:$B$362,"&lt;"&amp;DATE(2025,6,1)),"无观测")</f>
        <v/>
      </c>
      <c r="G6" s="37">
        <f>IFERROR(AVERAGEIFS('02 原始序列(主)'!$E$5:$E$362,'02 原始序列(主)'!$B$5:$B$362,"&gt;="&amp;DATE(2025,6,1),'02 原始序列(主)'!$B$5:$B$362,"&lt;"&amp;DATE(2025,7,1)),"无观测")</f>
        <v/>
      </c>
      <c r="H6" s="37">
        <f>IFERROR(AVERAGEIFS('02 原始序列(主)'!$E$5:$E$362,'02 原始序列(主)'!$B$5:$B$362,"&gt;="&amp;DATE(2025,7,1),'02 原始序列(主)'!$B$5:$B$362,"&lt;"&amp;DATE(2025,8,1)),"无观测")</f>
        <v/>
      </c>
      <c r="I6" s="37">
        <f>IFERROR(AVERAGEIFS('02 原始序列(主)'!$E$5:$E$362,'02 原始序列(主)'!$B$5:$B$362,"&gt;="&amp;DATE(2025,8,1),'02 原始序列(主)'!$B$5:$B$362,"&lt;"&amp;DATE(2025,9,1)),"无观测")</f>
        <v/>
      </c>
      <c r="J6" s="37">
        <f>IFERROR(AVERAGEIFS('02 原始序列(主)'!$E$5:$E$362,'02 原始序列(主)'!$B$5:$B$362,"&gt;="&amp;DATE(2025,9,1),'02 原始序列(主)'!$B$5:$B$362,"&lt;"&amp;DATE(2025,10,1)),"无观测")</f>
        <v/>
      </c>
      <c r="K6" s="37">
        <f>IFERROR(AVERAGEIFS('02 原始序列(主)'!$E$5:$E$362,'02 原始序列(主)'!$B$5:$B$362,"&gt;="&amp;DATE(2025,10,1),'02 原始序列(主)'!$B$5:$B$362,"&lt;"&amp;DATE(2025,11,1)),"无观测")</f>
        <v/>
      </c>
      <c r="L6" s="37">
        <f>IFERROR(AVERAGEIFS('02 原始序列(主)'!$E$5:$E$362,'02 原始序列(主)'!$B$5:$B$362,"&gt;="&amp;DATE(2025,11,1),'02 原始序列(主)'!$B$5:$B$362,"&lt;"&amp;DATE(2025,12,1)),"无观测")</f>
        <v/>
      </c>
      <c r="M6" s="37">
        <f>IFERROR(AVERAGEIFS('02 原始序列(主)'!$E$5:$E$362,'02 原始序列(主)'!$B$5:$B$362,"&gt;="&amp;DATE(2025,12,1),'02 原始序列(主)'!$B$5:$B$362,"&lt;="&amp;DATE(2025,12,31)),"无观测")</f>
        <v/>
      </c>
      <c r="N6" s="37">
        <f>IFERROR(AVERAGEIFS('02 原始序列(主)'!$E$5:$E$362,'02 原始序列(主)'!$B$5:$B$362,"&gt;="&amp;DATE(2025,1,1),'02 原始序列(主)'!$B$5:$B$362,"&lt;="&amp;DATE(2025,12,31)),"无观测")</f>
        <v/>
      </c>
      <c r="O6" s="53">
        <f>COUNTIFS('02 原始序列(主)'!$B$5:$B$362,"&gt;="&amp;DATE(2025,1,1),'02 原始序列(主)'!$B$5:$B$362,"&lt;="&amp;DATE(2025,12,31))</f>
        <v/>
      </c>
    </row>
    <row r="7">
      <c r="A7" s="29" t="n">
        <v>2026</v>
      </c>
      <c r="B7" s="32">
        <f>IFERROR(AVERAGEIFS('02 原始序列(主)'!$E$5:$E$362,'02 原始序列(主)'!$B$5:$B$362,"&gt;="&amp;DATE(2026,1,1),'02 原始序列(主)'!$B$5:$B$362,"&lt;"&amp;DATE(2026,2,1)),"无观测")</f>
        <v/>
      </c>
      <c r="C7" s="32">
        <f>IFERROR(AVERAGEIFS('02 原始序列(主)'!$E$5:$E$362,'02 原始序列(主)'!$B$5:$B$362,"&gt;="&amp;DATE(2026,2,1),'02 原始序列(主)'!$B$5:$B$362,"&lt;"&amp;DATE(2026,3,1)),"无观测")</f>
        <v/>
      </c>
      <c r="D7" s="32">
        <f>IFERROR(AVERAGEIFS('02 原始序列(主)'!$E$5:$E$362,'02 原始序列(主)'!$B$5:$B$362,"&gt;="&amp;DATE(2026,3,1),'02 原始序列(主)'!$B$5:$B$362,"&lt;"&amp;DATE(2026,4,1)),"无观测")</f>
        <v/>
      </c>
      <c r="E7" s="32">
        <f>IFERROR(AVERAGEIFS('02 原始序列(主)'!$E$5:$E$362,'02 原始序列(主)'!$B$5:$B$362,"&gt;="&amp;DATE(2026,4,1),'02 原始序列(主)'!$B$5:$B$362,"&lt;"&amp;DATE(2026,5,1)),"无观测")</f>
        <v/>
      </c>
      <c r="F7" s="32">
        <f>IFERROR(AVERAGEIFS('02 原始序列(主)'!$E$5:$E$362,'02 原始序列(主)'!$B$5:$B$362,"&gt;="&amp;DATE(2026,5,1),'02 原始序列(主)'!$B$5:$B$362,"&lt;"&amp;DATE(2026,6,1)),"无观测")</f>
        <v/>
      </c>
      <c r="G7" s="32">
        <f>IFERROR(AVERAGEIFS('02 原始序列(主)'!$E$5:$E$362,'02 原始序列(主)'!$B$5:$B$362,"&gt;="&amp;DATE(2026,6,1),'02 原始序列(主)'!$B$5:$B$362,"&lt;"&amp;DATE(2026,7,1)),"无观测")</f>
        <v/>
      </c>
      <c r="H7" s="32">
        <f>IFERROR(AVERAGEIFS('02 原始序列(主)'!$E$5:$E$362,'02 原始序列(主)'!$B$5:$B$362,"&gt;="&amp;DATE(2026,7,1),'02 原始序列(主)'!$B$5:$B$362,"&lt;"&amp;DATE(2026,8,1)),"无观测")</f>
        <v/>
      </c>
      <c r="I7" s="32">
        <f>IFERROR(AVERAGEIFS('02 原始序列(主)'!$E$5:$E$362,'02 原始序列(主)'!$B$5:$B$362,"&gt;="&amp;DATE(2026,8,1),'02 原始序列(主)'!$B$5:$B$362,"&lt;"&amp;DATE(2026,9,1)),"无观测")</f>
        <v/>
      </c>
      <c r="J7" s="32">
        <f>IFERROR(AVERAGEIFS('02 原始序列(主)'!$E$5:$E$362,'02 原始序列(主)'!$B$5:$B$362,"&gt;="&amp;DATE(2026,9,1),'02 原始序列(主)'!$B$5:$B$362,"&lt;"&amp;DATE(2026,10,1)),"无观测")</f>
        <v/>
      </c>
      <c r="K7" s="32">
        <f>IFERROR(AVERAGEIFS('02 原始序列(主)'!$E$5:$E$362,'02 原始序列(主)'!$B$5:$B$362,"&gt;="&amp;DATE(2026,10,1),'02 原始序列(主)'!$B$5:$B$362,"&lt;"&amp;DATE(2026,11,1)),"无观测")</f>
        <v/>
      </c>
      <c r="L7" s="32">
        <f>IFERROR(AVERAGEIFS('02 原始序列(主)'!$E$5:$E$362,'02 原始序列(主)'!$B$5:$B$362,"&gt;="&amp;DATE(2026,11,1),'02 原始序列(主)'!$B$5:$B$362,"&lt;"&amp;DATE(2026,12,1)),"无观测")</f>
        <v/>
      </c>
      <c r="M7" s="32">
        <f>IFERROR(AVERAGEIFS('02 原始序列(主)'!$E$5:$E$362,'02 原始序列(主)'!$B$5:$B$362,"&gt;="&amp;DATE(2026,12,1),'02 原始序列(主)'!$B$5:$B$362,"&lt;="&amp;DATE(2026,12,31)),"无观测")</f>
        <v/>
      </c>
      <c r="N7" s="32">
        <f>IFERROR(AVERAGEIFS('02 原始序列(主)'!$E$5:$E$362,'02 原始序列(主)'!$B$5:$B$362,"&gt;="&amp;DATE(2026,1,1),'02 原始序列(主)'!$B$5:$B$362,"&lt;="&amp;DATE(2026,12,31)),"无观测")</f>
        <v/>
      </c>
      <c r="O7" s="52">
        <f>COUNTIFS('02 原始序列(主)'!$B$5:$B$362,"&gt;="&amp;DATE(2026,1,1),'02 原始序列(主)'!$B$5:$B$362,"&lt;="&amp;DATE(2026,12,31))</f>
        <v/>
      </c>
    </row>
    <row r="9" ht="30" customHeight="1">
      <c r="A9" s="9" t="inlineStr">
        <is>
          <t>月份</t>
        </is>
      </c>
      <c r="B9" s="9" t="inlineStr">
        <is>
          <t>跨年均价</t>
        </is>
      </c>
      <c r="C9" s="9" t="inlineStr">
        <is>
          <t>季节性指数</t>
        </is>
      </c>
      <c r="D9" s="9" t="inlineStr">
        <is>
          <t>样本月数</t>
        </is>
      </c>
      <c r="E9" s="9" t="inlineStr">
        <is>
          <t>说明</t>
        </is>
      </c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29" t="inlineStr">
        <is>
          <t>1月</t>
        </is>
      </c>
      <c r="B10" s="54">
        <f>IFERROR(AVERAGE(B5:B7),"无观测")</f>
        <v/>
      </c>
      <c r="C10" s="55">
        <f>IFERROR(B10/AVERAGE($B$5:$B$7),"—")</f>
        <v/>
      </c>
      <c r="D10" s="56">
        <f>COUNT(B5:B7)</f>
        <v/>
      </c>
      <c r="E10" s="57" t="inlineStr">
        <is>
          <t>100＝全期月均；&gt;100 表示该月历史均价高于全年平均</t>
        </is>
      </c>
    </row>
    <row r="11">
      <c r="A11" s="29" t="inlineStr">
        <is>
          <t>2月</t>
        </is>
      </c>
      <c r="B11" s="54">
        <f>IFERROR(AVERAGE(C5:C7),"无观测")</f>
        <v/>
      </c>
      <c r="C11" s="55">
        <f>IFERROR(B11/AVERAGE($B$5:$B$7),"—")</f>
        <v/>
      </c>
      <c r="D11" s="56">
        <f>COUNT(C5:C7)</f>
        <v/>
      </c>
      <c r="E11" s="57" t="inlineStr"/>
    </row>
    <row r="12">
      <c r="A12" s="29" t="inlineStr">
        <is>
          <t>3月</t>
        </is>
      </c>
      <c r="B12" s="54">
        <f>IFERROR(AVERAGE(D5:D7),"无观测")</f>
        <v/>
      </c>
      <c r="C12" s="55">
        <f>IFERROR(B12/AVERAGE($B$5:$B$7),"—")</f>
        <v/>
      </c>
      <c r="D12" s="56">
        <f>COUNT(D5:D7)</f>
        <v/>
      </c>
      <c r="E12" s="57" t="inlineStr"/>
    </row>
    <row r="13">
      <c r="A13" s="29" t="inlineStr">
        <is>
          <t>4月</t>
        </is>
      </c>
      <c r="B13" s="54">
        <f>IFERROR(AVERAGE(E5:E7),"无观测")</f>
        <v/>
      </c>
      <c r="C13" s="55">
        <f>IFERROR(B13/AVERAGE($B$5:$B$7),"—")</f>
        <v/>
      </c>
      <c r="D13" s="56">
        <f>COUNT(E5:E7)</f>
        <v/>
      </c>
      <c r="E13" s="57" t="inlineStr"/>
    </row>
    <row r="14">
      <c r="A14" s="29" t="inlineStr">
        <is>
          <t>5月</t>
        </is>
      </c>
      <c r="B14" s="54">
        <f>IFERROR(AVERAGE(F5:F7),"无观测")</f>
        <v/>
      </c>
      <c r="C14" s="55">
        <f>IFERROR(B14/AVERAGE($B$5:$B$7),"—")</f>
        <v/>
      </c>
      <c r="D14" s="56">
        <f>COUNT(F5:F7)</f>
        <v/>
      </c>
      <c r="E14" s="57" t="inlineStr"/>
    </row>
    <row r="15">
      <c r="A15" s="29" t="inlineStr">
        <is>
          <t>6月</t>
        </is>
      </c>
      <c r="B15" s="54">
        <f>IFERROR(AVERAGE(G5:G7),"无观测")</f>
        <v/>
      </c>
      <c r="C15" s="55">
        <f>IFERROR(B15/AVERAGE($B$5:$B$7),"—")</f>
        <v/>
      </c>
      <c r="D15" s="56">
        <f>COUNT(G5:G7)</f>
        <v/>
      </c>
      <c r="E15" s="57" t="inlineStr"/>
    </row>
    <row r="16">
      <c r="A16" s="29" t="inlineStr">
        <is>
          <t>7月</t>
        </is>
      </c>
      <c r="B16" s="54">
        <f>IFERROR(AVERAGE(H5:H7),"无观测")</f>
        <v/>
      </c>
      <c r="C16" s="55">
        <f>IFERROR(B16/AVERAGE($B$5:$B$7),"—")</f>
        <v/>
      </c>
      <c r="D16" s="56">
        <f>COUNT(H5:H7)</f>
        <v/>
      </c>
      <c r="E16" s="57" t="inlineStr"/>
    </row>
    <row r="17">
      <c r="A17" s="29" t="inlineStr">
        <is>
          <t>8月</t>
        </is>
      </c>
      <c r="B17" s="54">
        <f>IFERROR(AVERAGE(I5:I7),"无观测")</f>
        <v/>
      </c>
      <c r="C17" s="55">
        <f>IFERROR(B17/AVERAGE($B$5:$B$7),"—")</f>
        <v/>
      </c>
      <c r="D17" s="56">
        <f>COUNT(I5:I7)</f>
        <v/>
      </c>
      <c r="E17" s="57" t="inlineStr"/>
    </row>
    <row r="18">
      <c r="A18" s="29" t="inlineStr">
        <is>
          <t>9月</t>
        </is>
      </c>
      <c r="B18" s="54">
        <f>IFERROR(AVERAGE(J5:J7),"无观测")</f>
        <v/>
      </c>
      <c r="C18" s="55">
        <f>IFERROR(B18/AVERAGE($B$5:$B$7),"—")</f>
        <v/>
      </c>
      <c r="D18" s="56">
        <f>COUNT(J5:J7)</f>
        <v/>
      </c>
      <c r="E18" s="57" t="inlineStr"/>
    </row>
    <row r="19">
      <c r="A19" s="29" t="inlineStr">
        <is>
          <t>10月</t>
        </is>
      </c>
      <c r="B19" s="54">
        <f>IFERROR(AVERAGE(K5:K7),"无观测")</f>
        <v/>
      </c>
      <c r="C19" s="55">
        <f>IFERROR(B19/AVERAGE($B$5:$B$7),"—")</f>
        <v/>
      </c>
      <c r="D19" s="56">
        <f>COUNT(K5:K7)</f>
        <v/>
      </c>
      <c r="E19" s="57" t="inlineStr"/>
    </row>
    <row r="20">
      <c r="A20" s="29" t="inlineStr">
        <is>
          <t>11月</t>
        </is>
      </c>
      <c r="B20" s="54">
        <f>IFERROR(AVERAGE(L5:L7),"无观测")</f>
        <v/>
      </c>
      <c r="C20" s="55">
        <f>IFERROR(B20/AVERAGE($B$5:$B$7),"—")</f>
        <v/>
      </c>
      <c r="D20" s="56">
        <f>COUNT(L5:L7)</f>
        <v/>
      </c>
      <c r="E20" s="57" t="inlineStr"/>
    </row>
    <row r="21">
      <c r="A21" s="29" t="inlineStr">
        <is>
          <t>12月</t>
        </is>
      </c>
      <c r="B21" s="54">
        <f>IFERROR(AVERAGE(M5:M7),"无观测")</f>
        <v/>
      </c>
      <c r="C21" s="55">
        <f>IFERROR(B21/AVERAGE($B$5:$B$7),"—")</f>
        <v/>
      </c>
      <c r="D21" s="56">
        <f>COUNT(M5:M7)</f>
        <v/>
      </c>
      <c r="E21" s="57" t="inlineStr"/>
    </row>
    <row r="23" ht="18" customHeight="1">
      <c r="A23" s="7" t="inlineStr">
        <is>
          <t>季节性指数只描述「历史上各月相对全期的位置」，不是对今年该月的推演。样本月数少于 2 的月份，指数参考价值有限，已在 D 列标出。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</sheetData>
  <mergeCells count="3">
    <mergeCell ref="A1:O1"/>
    <mergeCell ref="A23:O23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4664C"/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08 季节性矩阵 · 年 × 月 均价与样本数</t>
        </is>
      </c>
    </row>
    <row r="2" ht="30" customHeight="1">
      <c r="A2" s="2" t="inlineStr">
        <is>
          <t>两层：上层为各年各月均价（AVERAGEIFS），下层为对应观测条数（COUNTIFS）。</t>
        </is>
      </c>
    </row>
    <row r="4" ht="22" customHeight="1">
      <c r="A4" s="58" t="inlineStr">
        <is>
          <t>【第 1 层】均价</t>
        </is>
      </c>
    </row>
    <row r="5">
      <c r="A5" s="9" t="inlineStr">
        <is>
          <t>年 \ 月</t>
        </is>
      </c>
      <c r="B5" s="9" t="inlineStr">
        <is>
          <t>1月</t>
        </is>
      </c>
      <c r="C5" s="9" t="inlineStr">
        <is>
          <t>2月</t>
        </is>
      </c>
      <c r="D5" s="9" t="inlineStr">
        <is>
          <t>3月</t>
        </is>
      </c>
      <c r="E5" s="9" t="inlineStr">
        <is>
          <t>4月</t>
        </is>
      </c>
      <c r="F5" s="9" t="inlineStr">
        <is>
          <t>5月</t>
        </is>
      </c>
      <c r="G5" s="9" t="inlineStr">
        <is>
          <t>6月</t>
        </is>
      </c>
      <c r="H5" s="9" t="inlineStr">
        <is>
          <t>7月</t>
        </is>
      </c>
      <c r="I5" s="9" t="inlineStr">
        <is>
          <t>8月</t>
        </is>
      </c>
      <c r="J5" s="9" t="inlineStr">
        <is>
          <t>9月</t>
        </is>
      </c>
      <c r="K5" s="9" t="inlineStr">
        <is>
          <t>10月</t>
        </is>
      </c>
      <c r="L5" s="9" t="inlineStr">
        <is>
          <t>11月</t>
        </is>
      </c>
      <c r="M5" s="9" t="inlineStr">
        <is>
          <t>12月</t>
        </is>
      </c>
    </row>
    <row r="6">
      <c r="A6" s="29" t="n">
        <v>2024</v>
      </c>
      <c r="B6" s="32">
        <f>IFERROR(AVERAGEIFS('02 原始序列(主)'!$E$5:$E$362,'02 原始序列(主)'!$B$5:$B$362,"&gt;="&amp;DATE(2024,1,1),'02 原始序列(主)'!$B$5:$B$362,"&lt;"&amp;DATE(2024,2,1)),"")</f>
        <v/>
      </c>
      <c r="C6" s="32">
        <f>IFERROR(AVERAGEIFS('02 原始序列(主)'!$E$5:$E$362,'02 原始序列(主)'!$B$5:$B$362,"&gt;="&amp;DATE(2024,2,1),'02 原始序列(主)'!$B$5:$B$362,"&lt;"&amp;DATE(2024,3,1)),"")</f>
        <v/>
      </c>
      <c r="D6" s="32">
        <f>IFERROR(AVERAGEIFS('02 原始序列(主)'!$E$5:$E$362,'02 原始序列(主)'!$B$5:$B$362,"&gt;="&amp;DATE(2024,3,1),'02 原始序列(主)'!$B$5:$B$362,"&lt;"&amp;DATE(2024,4,1)),"")</f>
        <v/>
      </c>
      <c r="E6" s="32">
        <f>IFERROR(AVERAGEIFS('02 原始序列(主)'!$E$5:$E$362,'02 原始序列(主)'!$B$5:$B$362,"&gt;="&amp;DATE(2024,4,1),'02 原始序列(主)'!$B$5:$B$362,"&lt;"&amp;DATE(2024,5,1)),"")</f>
        <v/>
      </c>
      <c r="F6" s="32">
        <f>IFERROR(AVERAGEIFS('02 原始序列(主)'!$E$5:$E$362,'02 原始序列(主)'!$B$5:$B$362,"&gt;="&amp;DATE(2024,5,1),'02 原始序列(主)'!$B$5:$B$362,"&lt;"&amp;DATE(2024,6,1)),"")</f>
        <v/>
      </c>
      <c r="G6" s="32">
        <f>IFERROR(AVERAGEIFS('02 原始序列(主)'!$E$5:$E$362,'02 原始序列(主)'!$B$5:$B$362,"&gt;="&amp;DATE(2024,6,1),'02 原始序列(主)'!$B$5:$B$362,"&lt;"&amp;DATE(2024,7,1)),"")</f>
        <v/>
      </c>
      <c r="H6" s="32">
        <f>IFERROR(AVERAGEIFS('02 原始序列(主)'!$E$5:$E$362,'02 原始序列(主)'!$B$5:$B$362,"&gt;="&amp;DATE(2024,7,1),'02 原始序列(主)'!$B$5:$B$362,"&lt;"&amp;DATE(2024,8,1)),"")</f>
        <v/>
      </c>
      <c r="I6" s="32">
        <f>IFERROR(AVERAGEIFS('02 原始序列(主)'!$E$5:$E$362,'02 原始序列(主)'!$B$5:$B$362,"&gt;="&amp;DATE(2024,8,1),'02 原始序列(主)'!$B$5:$B$362,"&lt;"&amp;DATE(2024,9,1)),"")</f>
        <v/>
      </c>
      <c r="J6" s="32">
        <f>IFERROR(AVERAGEIFS('02 原始序列(主)'!$E$5:$E$362,'02 原始序列(主)'!$B$5:$B$362,"&gt;="&amp;DATE(2024,9,1),'02 原始序列(主)'!$B$5:$B$362,"&lt;"&amp;DATE(2024,10,1)),"")</f>
        <v/>
      </c>
      <c r="K6" s="32">
        <f>IFERROR(AVERAGEIFS('02 原始序列(主)'!$E$5:$E$362,'02 原始序列(主)'!$B$5:$B$362,"&gt;="&amp;DATE(2024,10,1),'02 原始序列(主)'!$B$5:$B$362,"&lt;"&amp;DATE(2024,11,1)),"")</f>
        <v/>
      </c>
      <c r="L6" s="32">
        <f>IFERROR(AVERAGEIFS('02 原始序列(主)'!$E$5:$E$362,'02 原始序列(主)'!$B$5:$B$362,"&gt;="&amp;DATE(2024,11,1),'02 原始序列(主)'!$B$5:$B$362,"&lt;"&amp;DATE(2024,12,1)),"")</f>
        <v/>
      </c>
      <c r="M6" s="32">
        <f>IFERROR(AVERAGEIFS('02 原始序列(主)'!$E$5:$E$362,'02 原始序列(主)'!$B$5:$B$362,"&gt;="&amp;DATE(2024,12,1),'02 原始序列(主)'!$B$5:$B$362,"&lt;"&amp;DATE(2024,12,31)),"")</f>
        <v/>
      </c>
    </row>
    <row r="7">
      <c r="A7" s="29" t="n">
        <v>2025</v>
      </c>
      <c r="B7" s="37">
        <f>IFERROR(AVERAGEIFS('02 原始序列(主)'!$E$5:$E$362,'02 原始序列(主)'!$B$5:$B$362,"&gt;="&amp;DATE(2025,1,1),'02 原始序列(主)'!$B$5:$B$362,"&lt;"&amp;DATE(2025,2,1)),"")</f>
        <v/>
      </c>
      <c r="C7" s="37">
        <f>IFERROR(AVERAGEIFS('02 原始序列(主)'!$E$5:$E$362,'02 原始序列(主)'!$B$5:$B$362,"&gt;="&amp;DATE(2025,2,1),'02 原始序列(主)'!$B$5:$B$362,"&lt;"&amp;DATE(2025,3,1)),"")</f>
        <v/>
      </c>
      <c r="D7" s="37">
        <f>IFERROR(AVERAGEIFS('02 原始序列(主)'!$E$5:$E$362,'02 原始序列(主)'!$B$5:$B$362,"&gt;="&amp;DATE(2025,3,1),'02 原始序列(主)'!$B$5:$B$362,"&lt;"&amp;DATE(2025,4,1)),"")</f>
        <v/>
      </c>
      <c r="E7" s="37">
        <f>IFERROR(AVERAGEIFS('02 原始序列(主)'!$E$5:$E$362,'02 原始序列(主)'!$B$5:$B$362,"&gt;="&amp;DATE(2025,4,1),'02 原始序列(主)'!$B$5:$B$362,"&lt;"&amp;DATE(2025,5,1)),"")</f>
        <v/>
      </c>
      <c r="F7" s="37">
        <f>IFERROR(AVERAGEIFS('02 原始序列(主)'!$E$5:$E$362,'02 原始序列(主)'!$B$5:$B$362,"&gt;="&amp;DATE(2025,5,1),'02 原始序列(主)'!$B$5:$B$362,"&lt;"&amp;DATE(2025,6,1)),"")</f>
        <v/>
      </c>
      <c r="G7" s="37">
        <f>IFERROR(AVERAGEIFS('02 原始序列(主)'!$E$5:$E$362,'02 原始序列(主)'!$B$5:$B$362,"&gt;="&amp;DATE(2025,6,1),'02 原始序列(主)'!$B$5:$B$362,"&lt;"&amp;DATE(2025,7,1)),"")</f>
        <v/>
      </c>
      <c r="H7" s="37">
        <f>IFERROR(AVERAGEIFS('02 原始序列(主)'!$E$5:$E$362,'02 原始序列(主)'!$B$5:$B$362,"&gt;="&amp;DATE(2025,7,1),'02 原始序列(主)'!$B$5:$B$362,"&lt;"&amp;DATE(2025,8,1)),"")</f>
        <v/>
      </c>
      <c r="I7" s="37">
        <f>IFERROR(AVERAGEIFS('02 原始序列(主)'!$E$5:$E$362,'02 原始序列(主)'!$B$5:$B$362,"&gt;="&amp;DATE(2025,8,1),'02 原始序列(主)'!$B$5:$B$362,"&lt;"&amp;DATE(2025,9,1)),"")</f>
        <v/>
      </c>
      <c r="J7" s="37">
        <f>IFERROR(AVERAGEIFS('02 原始序列(主)'!$E$5:$E$362,'02 原始序列(主)'!$B$5:$B$362,"&gt;="&amp;DATE(2025,9,1),'02 原始序列(主)'!$B$5:$B$362,"&lt;"&amp;DATE(2025,10,1)),"")</f>
        <v/>
      </c>
      <c r="K7" s="37">
        <f>IFERROR(AVERAGEIFS('02 原始序列(主)'!$E$5:$E$362,'02 原始序列(主)'!$B$5:$B$362,"&gt;="&amp;DATE(2025,10,1),'02 原始序列(主)'!$B$5:$B$362,"&lt;"&amp;DATE(2025,11,1)),"")</f>
        <v/>
      </c>
      <c r="L7" s="37">
        <f>IFERROR(AVERAGEIFS('02 原始序列(主)'!$E$5:$E$362,'02 原始序列(主)'!$B$5:$B$362,"&gt;="&amp;DATE(2025,11,1),'02 原始序列(主)'!$B$5:$B$362,"&lt;"&amp;DATE(2025,12,1)),"")</f>
        <v/>
      </c>
      <c r="M7" s="37">
        <f>IFERROR(AVERAGEIFS('02 原始序列(主)'!$E$5:$E$362,'02 原始序列(主)'!$B$5:$B$362,"&gt;="&amp;DATE(2025,12,1),'02 原始序列(主)'!$B$5:$B$362,"&lt;"&amp;DATE(2025,12,31)),"")</f>
        <v/>
      </c>
    </row>
    <row r="8">
      <c r="A8" s="29" t="n">
        <v>2026</v>
      </c>
      <c r="B8" s="32">
        <f>IFERROR(AVERAGEIFS('02 原始序列(主)'!$E$5:$E$362,'02 原始序列(主)'!$B$5:$B$362,"&gt;="&amp;DATE(2026,1,1),'02 原始序列(主)'!$B$5:$B$362,"&lt;"&amp;DATE(2026,2,1)),"")</f>
        <v/>
      </c>
      <c r="C8" s="32">
        <f>IFERROR(AVERAGEIFS('02 原始序列(主)'!$E$5:$E$362,'02 原始序列(主)'!$B$5:$B$362,"&gt;="&amp;DATE(2026,2,1),'02 原始序列(主)'!$B$5:$B$362,"&lt;"&amp;DATE(2026,3,1)),"")</f>
        <v/>
      </c>
      <c r="D8" s="32">
        <f>IFERROR(AVERAGEIFS('02 原始序列(主)'!$E$5:$E$362,'02 原始序列(主)'!$B$5:$B$362,"&gt;="&amp;DATE(2026,3,1),'02 原始序列(主)'!$B$5:$B$362,"&lt;"&amp;DATE(2026,4,1)),"")</f>
        <v/>
      </c>
      <c r="E8" s="32">
        <f>IFERROR(AVERAGEIFS('02 原始序列(主)'!$E$5:$E$362,'02 原始序列(主)'!$B$5:$B$362,"&gt;="&amp;DATE(2026,4,1),'02 原始序列(主)'!$B$5:$B$362,"&lt;"&amp;DATE(2026,5,1)),"")</f>
        <v/>
      </c>
      <c r="F8" s="32">
        <f>IFERROR(AVERAGEIFS('02 原始序列(主)'!$E$5:$E$362,'02 原始序列(主)'!$B$5:$B$362,"&gt;="&amp;DATE(2026,5,1),'02 原始序列(主)'!$B$5:$B$362,"&lt;"&amp;DATE(2026,6,1)),"")</f>
        <v/>
      </c>
      <c r="G8" s="32">
        <f>IFERROR(AVERAGEIFS('02 原始序列(主)'!$E$5:$E$362,'02 原始序列(主)'!$B$5:$B$362,"&gt;="&amp;DATE(2026,6,1),'02 原始序列(主)'!$B$5:$B$362,"&lt;"&amp;DATE(2026,7,1)),"")</f>
        <v/>
      </c>
      <c r="H8" s="32">
        <f>IFERROR(AVERAGEIFS('02 原始序列(主)'!$E$5:$E$362,'02 原始序列(主)'!$B$5:$B$362,"&gt;="&amp;DATE(2026,7,1),'02 原始序列(主)'!$B$5:$B$362,"&lt;"&amp;DATE(2026,8,1)),"")</f>
        <v/>
      </c>
      <c r="I8" s="32">
        <f>IFERROR(AVERAGEIFS('02 原始序列(主)'!$E$5:$E$362,'02 原始序列(主)'!$B$5:$B$362,"&gt;="&amp;DATE(2026,8,1),'02 原始序列(主)'!$B$5:$B$362,"&lt;"&amp;DATE(2026,9,1)),"")</f>
        <v/>
      </c>
      <c r="J8" s="32">
        <f>IFERROR(AVERAGEIFS('02 原始序列(主)'!$E$5:$E$362,'02 原始序列(主)'!$B$5:$B$362,"&gt;="&amp;DATE(2026,9,1),'02 原始序列(主)'!$B$5:$B$362,"&lt;"&amp;DATE(2026,10,1)),"")</f>
        <v/>
      </c>
      <c r="K8" s="32">
        <f>IFERROR(AVERAGEIFS('02 原始序列(主)'!$E$5:$E$362,'02 原始序列(主)'!$B$5:$B$362,"&gt;="&amp;DATE(2026,10,1),'02 原始序列(主)'!$B$5:$B$362,"&lt;"&amp;DATE(2026,11,1)),"")</f>
        <v/>
      </c>
      <c r="L8" s="32">
        <f>IFERROR(AVERAGEIFS('02 原始序列(主)'!$E$5:$E$362,'02 原始序列(主)'!$B$5:$B$362,"&gt;="&amp;DATE(2026,11,1),'02 原始序列(主)'!$B$5:$B$362,"&lt;"&amp;DATE(2026,12,1)),"")</f>
        <v/>
      </c>
      <c r="M8" s="32">
        <f>IFERROR(AVERAGEIFS('02 原始序列(主)'!$E$5:$E$362,'02 原始序列(主)'!$B$5:$B$362,"&gt;="&amp;DATE(2026,12,1),'02 原始序列(主)'!$B$5:$B$362,"&lt;"&amp;DATE(2026,12,31)),"")</f>
        <v/>
      </c>
    </row>
    <row r="10" ht="22" customHeight="1">
      <c r="A10" s="59" t="inlineStr">
        <is>
          <t>【第 2 层】观测数</t>
        </is>
      </c>
    </row>
    <row r="11">
      <c r="A11" s="9" t="inlineStr">
        <is>
          <t>年 \ 月</t>
        </is>
      </c>
      <c r="B11" s="9" t="inlineStr">
        <is>
          <t>1月</t>
        </is>
      </c>
      <c r="C11" s="9" t="inlineStr">
        <is>
          <t>2月</t>
        </is>
      </c>
      <c r="D11" s="9" t="inlineStr">
        <is>
          <t>3月</t>
        </is>
      </c>
      <c r="E11" s="9" t="inlineStr">
        <is>
          <t>4月</t>
        </is>
      </c>
      <c r="F11" s="9" t="inlineStr">
        <is>
          <t>5月</t>
        </is>
      </c>
      <c r="G11" s="9" t="inlineStr">
        <is>
          <t>6月</t>
        </is>
      </c>
      <c r="H11" s="9" t="inlineStr">
        <is>
          <t>7月</t>
        </is>
      </c>
      <c r="I11" s="9" t="inlineStr">
        <is>
          <t>8月</t>
        </is>
      </c>
      <c r="J11" s="9" t="inlineStr">
        <is>
          <t>9月</t>
        </is>
      </c>
      <c r="K11" s="9" t="inlineStr">
        <is>
          <t>10月</t>
        </is>
      </c>
      <c r="L11" s="9" t="inlineStr">
        <is>
          <t>11月</t>
        </is>
      </c>
      <c r="M11" s="9" t="inlineStr">
        <is>
          <t>12月</t>
        </is>
      </c>
    </row>
    <row r="12">
      <c r="A12" s="29" t="n">
        <v>2024</v>
      </c>
      <c r="B12" s="31">
        <f>IFERROR(COUNTIFS('02 原始序列(主)'!$B$5:$B$362,"&gt;="&amp;DATE(2024,1,1),'02 原始序列(主)'!$B$5:$B$362,"&lt;"&amp;DATE(2024,2,1)),0)</f>
        <v/>
      </c>
      <c r="C12" s="31">
        <f>IFERROR(COUNTIFS('02 原始序列(主)'!$B$5:$B$362,"&gt;="&amp;DATE(2024,2,1),'02 原始序列(主)'!$B$5:$B$362,"&lt;"&amp;DATE(2024,3,1)),0)</f>
        <v/>
      </c>
      <c r="D12" s="31">
        <f>IFERROR(COUNTIFS('02 原始序列(主)'!$B$5:$B$362,"&gt;="&amp;DATE(2024,3,1),'02 原始序列(主)'!$B$5:$B$362,"&lt;"&amp;DATE(2024,4,1)),0)</f>
        <v/>
      </c>
      <c r="E12" s="31">
        <f>IFERROR(COUNTIFS('02 原始序列(主)'!$B$5:$B$362,"&gt;="&amp;DATE(2024,4,1),'02 原始序列(主)'!$B$5:$B$362,"&lt;"&amp;DATE(2024,5,1)),0)</f>
        <v/>
      </c>
      <c r="F12" s="31">
        <f>IFERROR(COUNTIFS('02 原始序列(主)'!$B$5:$B$362,"&gt;="&amp;DATE(2024,5,1),'02 原始序列(主)'!$B$5:$B$362,"&lt;"&amp;DATE(2024,6,1)),0)</f>
        <v/>
      </c>
      <c r="G12" s="31">
        <f>IFERROR(COUNTIFS('02 原始序列(主)'!$B$5:$B$362,"&gt;="&amp;DATE(2024,6,1),'02 原始序列(主)'!$B$5:$B$362,"&lt;"&amp;DATE(2024,7,1)),0)</f>
        <v/>
      </c>
      <c r="H12" s="31">
        <f>IFERROR(COUNTIFS('02 原始序列(主)'!$B$5:$B$362,"&gt;="&amp;DATE(2024,7,1),'02 原始序列(主)'!$B$5:$B$362,"&lt;"&amp;DATE(2024,8,1)),0)</f>
        <v/>
      </c>
      <c r="I12" s="31">
        <f>IFERROR(COUNTIFS('02 原始序列(主)'!$B$5:$B$362,"&gt;="&amp;DATE(2024,8,1),'02 原始序列(主)'!$B$5:$B$362,"&lt;"&amp;DATE(2024,9,1)),0)</f>
        <v/>
      </c>
      <c r="J12" s="31">
        <f>IFERROR(COUNTIFS('02 原始序列(主)'!$B$5:$B$362,"&gt;="&amp;DATE(2024,9,1),'02 原始序列(主)'!$B$5:$B$362,"&lt;"&amp;DATE(2024,10,1)),0)</f>
        <v/>
      </c>
      <c r="K12" s="31">
        <f>IFERROR(COUNTIFS('02 原始序列(主)'!$B$5:$B$362,"&gt;="&amp;DATE(2024,10,1),'02 原始序列(主)'!$B$5:$B$362,"&lt;"&amp;DATE(2024,11,1)),0)</f>
        <v/>
      </c>
      <c r="L12" s="31">
        <f>IFERROR(COUNTIFS('02 原始序列(主)'!$B$5:$B$362,"&gt;="&amp;DATE(2024,11,1),'02 原始序列(主)'!$B$5:$B$362,"&lt;"&amp;DATE(2024,12,1)),0)</f>
        <v/>
      </c>
      <c r="M12" s="31">
        <f>IFERROR(COUNTIFS('02 原始序列(主)'!$B$5:$B$362,"&gt;="&amp;DATE(2024,12,1),'02 原始序列(主)'!$B$5:$B$362,"&lt;"&amp;DATE(2024,12,31)),0)</f>
        <v/>
      </c>
    </row>
    <row r="13">
      <c r="A13" s="29" t="n">
        <v>2025</v>
      </c>
      <c r="B13" s="36">
        <f>IFERROR(COUNTIFS('02 原始序列(主)'!$B$5:$B$362,"&gt;="&amp;DATE(2025,1,1),'02 原始序列(主)'!$B$5:$B$362,"&lt;"&amp;DATE(2025,2,1)),0)</f>
        <v/>
      </c>
      <c r="C13" s="36">
        <f>IFERROR(COUNTIFS('02 原始序列(主)'!$B$5:$B$362,"&gt;="&amp;DATE(2025,2,1),'02 原始序列(主)'!$B$5:$B$362,"&lt;"&amp;DATE(2025,3,1)),0)</f>
        <v/>
      </c>
      <c r="D13" s="36">
        <f>IFERROR(COUNTIFS('02 原始序列(主)'!$B$5:$B$362,"&gt;="&amp;DATE(2025,3,1),'02 原始序列(主)'!$B$5:$B$362,"&lt;"&amp;DATE(2025,4,1)),0)</f>
        <v/>
      </c>
      <c r="E13" s="36">
        <f>IFERROR(COUNTIFS('02 原始序列(主)'!$B$5:$B$362,"&gt;="&amp;DATE(2025,4,1),'02 原始序列(主)'!$B$5:$B$362,"&lt;"&amp;DATE(2025,5,1)),0)</f>
        <v/>
      </c>
      <c r="F13" s="36">
        <f>IFERROR(COUNTIFS('02 原始序列(主)'!$B$5:$B$362,"&gt;="&amp;DATE(2025,5,1),'02 原始序列(主)'!$B$5:$B$362,"&lt;"&amp;DATE(2025,6,1)),0)</f>
        <v/>
      </c>
      <c r="G13" s="36">
        <f>IFERROR(COUNTIFS('02 原始序列(主)'!$B$5:$B$362,"&gt;="&amp;DATE(2025,6,1),'02 原始序列(主)'!$B$5:$B$362,"&lt;"&amp;DATE(2025,7,1)),0)</f>
        <v/>
      </c>
      <c r="H13" s="36">
        <f>IFERROR(COUNTIFS('02 原始序列(主)'!$B$5:$B$362,"&gt;="&amp;DATE(2025,7,1),'02 原始序列(主)'!$B$5:$B$362,"&lt;"&amp;DATE(2025,8,1)),0)</f>
        <v/>
      </c>
      <c r="I13" s="36">
        <f>IFERROR(COUNTIFS('02 原始序列(主)'!$B$5:$B$362,"&gt;="&amp;DATE(2025,8,1),'02 原始序列(主)'!$B$5:$B$362,"&lt;"&amp;DATE(2025,9,1)),0)</f>
        <v/>
      </c>
      <c r="J13" s="36">
        <f>IFERROR(COUNTIFS('02 原始序列(主)'!$B$5:$B$362,"&gt;="&amp;DATE(2025,9,1),'02 原始序列(主)'!$B$5:$B$362,"&lt;"&amp;DATE(2025,10,1)),0)</f>
        <v/>
      </c>
      <c r="K13" s="36">
        <f>IFERROR(COUNTIFS('02 原始序列(主)'!$B$5:$B$362,"&gt;="&amp;DATE(2025,10,1),'02 原始序列(主)'!$B$5:$B$362,"&lt;"&amp;DATE(2025,11,1)),0)</f>
        <v/>
      </c>
      <c r="L13" s="36">
        <f>IFERROR(COUNTIFS('02 原始序列(主)'!$B$5:$B$362,"&gt;="&amp;DATE(2025,11,1),'02 原始序列(主)'!$B$5:$B$362,"&lt;"&amp;DATE(2025,12,1)),0)</f>
        <v/>
      </c>
      <c r="M13" s="36">
        <f>IFERROR(COUNTIFS('02 原始序列(主)'!$B$5:$B$362,"&gt;="&amp;DATE(2025,12,1),'02 原始序列(主)'!$B$5:$B$362,"&lt;"&amp;DATE(2025,12,31)),0)</f>
        <v/>
      </c>
    </row>
    <row r="14">
      <c r="A14" s="29" t="n">
        <v>2026</v>
      </c>
      <c r="B14" s="31">
        <f>IFERROR(COUNTIFS('02 原始序列(主)'!$B$5:$B$362,"&gt;="&amp;DATE(2026,1,1),'02 原始序列(主)'!$B$5:$B$362,"&lt;"&amp;DATE(2026,2,1)),0)</f>
        <v/>
      </c>
      <c r="C14" s="31">
        <f>IFERROR(COUNTIFS('02 原始序列(主)'!$B$5:$B$362,"&gt;="&amp;DATE(2026,2,1),'02 原始序列(主)'!$B$5:$B$362,"&lt;"&amp;DATE(2026,3,1)),0)</f>
        <v/>
      </c>
      <c r="D14" s="31">
        <f>IFERROR(COUNTIFS('02 原始序列(主)'!$B$5:$B$362,"&gt;="&amp;DATE(2026,3,1),'02 原始序列(主)'!$B$5:$B$362,"&lt;"&amp;DATE(2026,4,1)),0)</f>
        <v/>
      </c>
      <c r="E14" s="31">
        <f>IFERROR(COUNTIFS('02 原始序列(主)'!$B$5:$B$362,"&gt;="&amp;DATE(2026,4,1),'02 原始序列(主)'!$B$5:$B$362,"&lt;"&amp;DATE(2026,5,1)),0)</f>
        <v/>
      </c>
      <c r="F14" s="31">
        <f>IFERROR(COUNTIFS('02 原始序列(主)'!$B$5:$B$362,"&gt;="&amp;DATE(2026,5,1),'02 原始序列(主)'!$B$5:$B$362,"&lt;"&amp;DATE(2026,6,1)),0)</f>
        <v/>
      </c>
      <c r="G14" s="31">
        <f>IFERROR(COUNTIFS('02 原始序列(主)'!$B$5:$B$362,"&gt;="&amp;DATE(2026,6,1),'02 原始序列(主)'!$B$5:$B$362,"&lt;"&amp;DATE(2026,7,1)),0)</f>
        <v/>
      </c>
      <c r="H14" s="31">
        <f>IFERROR(COUNTIFS('02 原始序列(主)'!$B$5:$B$362,"&gt;="&amp;DATE(2026,7,1),'02 原始序列(主)'!$B$5:$B$362,"&lt;"&amp;DATE(2026,8,1)),0)</f>
        <v/>
      </c>
      <c r="I14" s="31">
        <f>IFERROR(COUNTIFS('02 原始序列(主)'!$B$5:$B$362,"&gt;="&amp;DATE(2026,8,1),'02 原始序列(主)'!$B$5:$B$362,"&lt;"&amp;DATE(2026,9,1)),0)</f>
        <v/>
      </c>
      <c r="J14" s="31">
        <f>IFERROR(COUNTIFS('02 原始序列(主)'!$B$5:$B$362,"&gt;="&amp;DATE(2026,9,1),'02 原始序列(主)'!$B$5:$B$362,"&lt;"&amp;DATE(2026,10,1)),0)</f>
        <v/>
      </c>
      <c r="K14" s="31">
        <f>IFERROR(COUNTIFS('02 原始序列(主)'!$B$5:$B$362,"&gt;="&amp;DATE(2026,10,1),'02 原始序列(主)'!$B$5:$B$362,"&lt;"&amp;DATE(2026,11,1)),0)</f>
        <v/>
      </c>
      <c r="L14" s="31">
        <f>IFERROR(COUNTIFS('02 原始序列(主)'!$B$5:$B$362,"&gt;="&amp;DATE(2026,11,1),'02 原始序列(主)'!$B$5:$B$362,"&lt;"&amp;DATE(2026,12,1)),0)</f>
        <v/>
      </c>
      <c r="M14" s="31">
        <f>IFERROR(COUNTIFS('02 原始序列(主)'!$B$5:$B$362,"&gt;="&amp;DATE(2026,12,1),'02 原始序列(主)'!$B$5:$B$362,"&lt;"&amp;DATE(2026,12,31)),0)</f>
        <v/>
      </c>
    </row>
    <row r="16" ht="18" customHeight="1">
      <c r="A16" s="24" t="inlineStr">
        <is>
          <t>「0」或空表示该年该月没有可用观测——本表不做任何填补。重碱序列起点为 2024-07-17，故 2024 年只有 7 月之后有数。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</row>
  </sheetData>
  <mergeCells count="5">
    <mergeCell ref="A4:N4"/>
    <mergeCell ref="A2:N2"/>
    <mergeCell ref="A16:N16"/>
    <mergeCell ref="A10:N10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E2B38"/>
    <outlinePr summaryBelow="1" summaryRight="1"/>
    <pageSetUpPr/>
  </sheetPr>
  <dimension ref="A1:G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4" customWidth="1" min="4" max="4"/>
    <col width="40" customWidth="1" min="5" max="5"/>
    <col width="34" customWidth="1" min="6" max="6"/>
    <col width="4" customWidth="1" min="7" max="7"/>
  </cols>
  <sheetData>
    <row r="1" ht="30" customHeight="1">
      <c r="A1" s="1" t="inlineStr">
        <is>
          <t>09 异常点 · 三条独立判据</t>
        </is>
      </c>
    </row>
    <row r="2" ht="30" customHeight="1">
      <c r="A2" s="2" t="inlineStr">
        <is>
          <t>A 水平异常：相对滚动一年中位数偏离 ≥2.5 倍稳健 z（MAD）；B 跳变：相邻报价日变动 ≥3%；C 分布异常：越 1.5×IQR 栅栏。</t>
        </is>
      </c>
    </row>
    <row r="4" ht="30" customHeight="1">
      <c r="A4" s="9" t="inlineStr">
        <is>
          <t>日期</t>
        </is>
      </c>
      <c r="B4" s="9" t="inlineStr">
        <is>
          <t>价格(元/吨)</t>
        </is>
      </c>
      <c r="C4" s="9" t="inlineStr">
        <is>
          <t>判据</t>
        </is>
      </c>
      <c r="D4" s="9" t="inlineStr">
        <is>
          <t>分值/幅度</t>
        </is>
      </c>
      <c r="E4" s="9" t="inlineStr">
        <is>
          <t>说明</t>
        </is>
      </c>
      <c r="F4" s="9" t="inlineStr">
        <is>
          <t>原文链接</t>
        </is>
      </c>
      <c r="G4" s="9" t="inlineStr"/>
    </row>
    <row r="5">
      <c r="A5" s="13" t="n">
        <v>45502</v>
      </c>
      <c r="B5" s="60" t="n">
        <v>2025</v>
      </c>
      <c r="C5" s="61" t="inlineStr">
        <is>
          <t>B 单日跳变</t>
        </is>
      </c>
      <c r="D5" s="62" t="n">
        <v>-3.57</v>
      </c>
      <c r="E5" s="57" t="inlineStr">
        <is>
          <t>前值 2100.00（2024-07-26）→ 2025.00</t>
        </is>
      </c>
      <c r="F5" s="17" t="inlineStr">
        <is>
          <t>打开原文</t>
        </is>
      </c>
      <c r="G5" s="27" t="n"/>
    </row>
    <row r="6">
      <c r="A6" s="19" t="n">
        <v>45516</v>
      </c>
      <c r="B6" s="63" t="n">
        <v>1925</v>
      </c>
      <c r="C6" s="64" t="inlineStr">
        <is>
          <t>B 单日跳变</t>
        </is>
      </c>
      <c r="D6" s="65" t="n">
        <v>-3.75</v>
      </c>
      <c r="E6" s="66" t="inlineStr">
        <is>
          <t>前值 2000.00（2024-08-09）→ 1925.00</t>
        </is>
      </c>
      <c r="F6" s="23" t="inlineStr">
        <is>
          <t>打开原文</t>
        </is>
      </c>
      <c r="G6" s="28" t="n"/>
    </row>
    <row r="7">
      <c r="A7" s="13" t="n">
        <v>45537</v>
      </c>
      <c r="B7" s="60" t="n">
        <v>1750</v>
      </c>
      <c r="C7" s="61" t="inlineStr">
        <is>
          <t>B 单日跳变</t>
        </is>
      </c>
      <c r="D7" s="62" t="n">
        <v>-6.67</v>
      </c>
      <c r="E7" s="57" t="inlineStr">
        <is>
          <t>前值 1875.00（2024-08-30）→ 1750.00</t>
        </is>
      </c>
      <c r="F7" s="17" t="inlineStr">
        <is>
          <t>打开原文</t>
        </is>
      </c>
      <c r="G7" s="27" t="n"/>
    </row>
    <row r="8">
      <c r="A8" s="19" t="n">
        <v>45537</v>
      </c>
      <c r="B8" s="63" t="n">
        <v>1750</v>
      </c>
      <c r="C8" s="64" t="inlineStr">
        <is>
          <t>C 分布异常</t>
        </is>
      </c>
      <c r="D8" s="65" t="inlineStr">
        <is>
          <t>越栅栏</t>
        </is>
      </c>
      <c r="E8" s="66" t="inlineStr">
        <is>
          <t>落在 Q1-1.5IQR ~ Q3+1.5IQR 之外</t>
        </is>
      </c>
      <c r="F8" s="23" t="inlineStr">
        <is>
          <t>打开原文</t>
        </is>
      </c>
      <c r="G8" s="28" t="n"/>
    </row>
    <row r="9">
      <c r="A9" s="13" t="n">
        <v>45538</v>
      </c>
      <c r="B9" s="60" t="n">
        <v>1750</v>
      </c>
      <c r="C9" s="61" t="inlineStr">
        <is>
          <t>C 分布异常</t>
        </is>
      </c>
      <c r="D9" s="62" t="inlineStr">
        <is>
          <t>越栅栏</t>
        </is>
      </c>
      <c r="E9" s="57" t="inlineStr">
        <is>
          <t>落在 Q1-1.5IQR ~ Q3+1.5IQR 之外</t>
        </is>
      </c>
      <c r="F9" s="17" t="inlineStr">
        <is>
          <t>打开原文</t>
        </is>
      </c>
      <c r="G9" s="27" t="n"/>
    </row>
    <row r="10">
      <c r="A10" s="19" t="n">
        <v>45539</v>
      </c>
      <c r="B10" s="63" t="n">
        <v>1700</v>
      </c>
      <c r="C10" s="64" t="inlineStr">
        <is>
          <t>A 水平异常</t>
        </is>
      </c>
      <c r="D10" s="65" t="n">
        <v>-3.54</v>
      </c>
      <c r="E10" s="66" t="inlineStr">
        <is>
          <t>相对滚动一年中位数偏 -3.54 倍稳健 z</t>
        </is>
      </c>
      <c r="F10" s="23" t="inlineStr">
        <is>
          <t>打开原文</t>
        </is>
      </c>
      <c r="G10" s="28" t="n"/>
    </row>
    <row r="11">
      <c r="A11" s="13" t="n">
        <v>45539</v>
      </c>
      <c r="B11" s="60" t="n">
        <v>1700</v>
      </c>
      <c r="C11" s="61" t="inlineStr">
        <is>
          <t>C 分布异常</t>
        </is>
      </c>
      <c r="D11" s="62" t="inlineStr">
        <is>
          <t>越栅栏</t>
        </is>
      </c>
      <c r="E11" s="57" t="inlineStr">
        <is>
          <t>落在 Q1-1.5IQR ~ Q3+1.5IQR 之外</t>
        </is>
      </c>
      <c r="F11" s="17" t="inlineStr">
        <is>
          <t>打开原文</t>
        </is>
      </c>
      <c r="G11" s="27" t="n"/>
    </row>
    <row r="12">
      <c r="A12" s="19" t="n">
        <v>45540</v>
      </c>
      <c r="B12" s="63" t="n">
        <v>1700</v>
      </c>
      <c r="C12" s="64" t="inlineStr">
        <is>
          <t>C 分布异常</t>
        </is>
      </c>
      <c r="D12" s="65" t="inlineStr">
        <is>
          <t>越栅栏</t>
        </is>
      </c>
      <c r="E12" s="66" t="inlineStr">
        <is>
          <t>落在 Q1-1.5IQR ~ Q3+1.5IQR 之外</t>
        </is>
      </c>
      <c r="F12" s="23" t="inlineStr">
        <is>
          <t>打开原文</t>
        </is>
      </c>
      <c r="G12" s="28" t="n"/>
    </row>
    <row r="13">
      <c r="A13" s="13" t="n">
        <v>45545</v>
      </c>
      <c r="B13" s="60" t="n">
        <v>1675</v>
      </c>
      <c r="C13" s="61" t="inlineStr">
        <is>
          <t>C 分布异常</t>
        </is>
      </c>
      <c r="D13" s="62" t="inlineStr">
        <is>
          <t>越栅栏</t>
        </is>
      </c>
      <c r="E13" s="57" t="inlineStr">
        <is>
          <t>落在 Q1-1.5IQR ~ Q3+1.5IQR 之外</t>
        </is>
      </c>
      <c r="F13" s="17" t="inlineStr">
        <is>
          <t>打开原文</t>
        </is>
      </c>
      <c r="G13" s="27" t="n"/>
    </row>
    <row r="14">
      <c r="A14" s="19" t="n">
        <v>45546</v>
      </c>
      <c r="B14" s="63" t="n">
        <v>1625</v>
      </c>
      <c r="C14" s="64" t="inlineStr">
        <is>
          <t>A 水平异常</t>
        </is>
      </c>
      <c r="D14" s="65" t="n">
        <v>-2.7</v>
      </c>
      <c r="E14" s="66" t="inlineStr">
        <is>
          <t>相对滚动一年中位数偏 -2.70 倍稳健 z</t>
        </is>
      </c>
      <c r="F14" s="23" t="inlineStr">
        <is>
          <t>打开原文</t>
        </is>
      </c>
      <c r="G14" s="28" t="n"/>
    </row>
    <row r="15">
      <c r="A15" s="13" t="n">
        <v>45546</v>
      </c>
      <c r="B15" s="60" t="n">
        <v>1625</v>
      </c>
      <c r="C15" s="61" t="inlineStr">
        <is>
          <t>C 分布异常</t>
        </is>
      </c>
      <c r="D15" s="62" t="inlineStr">
        <is>
          <t>越栅栏</t>
        </is>
      </c>
      <c r="E15" s="57" t="inlineStr">
        <is>
          <t>落在 Q1-1.5IQR ~ Q3+1.5IQR 之外</t>
        </is>
      </c>
      <c r="F15" s="17" t="inlineStr">
        <is>
          <t>打开原文</t>
        </is>
      </c>
      <c r="G15" s="27" t="n"/>
    </row>
    <row r="16">
      <c r="A16" s="19" t="n">
        <v>45547</v>
      </c>
      <c r="B16" s="63" t="n">
        <v>1625</v>
      </c>
      <c r="C16" s="64" t="inlineStr">
        <is>
          <t>A 水平异常</t>
        </is>
      </c>
      <c r="D16" s="65" t="n">
        <v>-2.7</v>
      </c>
      <c r="E16" s="66" t="inlineStr">
        <is>
          <t>相对滚动一年中位数偏 -2.70 倍稳健 z</t>
        </is>
      </c>
      <c r="F16" s="23" t="inlineStr">
        <is>
          <t>打开原文</t>
        </is>
      </c>
      <c r="G16" s="28" t="n"/>
    </row>
    <row r="17">
      <c r="A17" s="13" t="n">
        <v>45547</v>
      </c>
      <c r="B17" s="60" t="n">
        <v>1625</v>
      </c>
      <c r="C17" s="61" t="inlineStr">
        <is>
          <t>C 分布异常</t>
        </is>
      </c>
      <c r="D17" s="62" t="inlineStr">
        <is>
          <t>越栅栏</t>
        </is>
      </c>
      <c r="E17" s="57" t="inlineStr">
        <is>
          <t>落在 Q1-1.5IQR ~ Q3+1.5IQR 之外</t>
        </is>
      </c>
      <c r="F17" s="17" t="inlineStr">
        <is>
          <t>打开原文</t>
        </is>
      </c>
      <c r="G17" s="27" t="n"/>
    </row>
    <row r="18">
      <c r="A18" s="19" t="n">
        <v>45548</v>
      </c>
      <c r="B18" s="63" t="n">
        <v>1625</v>
      </c>
      <c r="C18" s="64" t="inlineStr">
        <is>
          <t>A 水平异常</t>
        </is>
      </c>
      <c r="D18" s="65" t="n">
        <v>-2.7</v>
      </c>
      <c r="E18" s="66" t="inlineStr">
        <is>
          <t>相对滚动一年中位数偏 -2.70 倍稳健 z</t>
        </is>
      </c>
      <c r="F18" s="23" t="inlineStr">
        <is>
          <t>打开原文</t>
        </is>
      </c>
      <c r="G18" s="28" t="n"/>
    </row>
    <row r="19">
      <c r="A19" s="13" t="n">
        <v>45548</v>
      </c>
      <c r="B19" s="60" t="n">
        <v>1625</v>
      </c>
      <c r="C19" s="61" t="inlineStr">
        <is>
          <t>C 分布异常</t>
        </is>
      </c>
      <c r="D19" s="62" t="inlineStr">
        <is>
          <t>越栅栏</t>
        </is>
      </c>
      <c r="E19" s="57" t="inlineStr">
        <is>
          <t>落在 Q1-1.5IQR ~ Q3+1.5IQR 之外</t>
        </is>
      </c>
      <c r="F19" s="17" t="inlineStr">
        <is>
          <t>打开原文</t>
        </is>
      </c>
      <c r="G19" s="27" t="n"/>
    </row>
    <row r="20">
      <c r="A20" s="19" t="n">
        <v>45549</v>
      </c>
      <c r="B20" s="63" t="n">
        <v>1625</v>
      </c>
      <c r="C20" s="64" t="inlineStr">
        <is>
          <t>A 水平异常</t>
        </is>
      </c>
      <c r="D20" s="65" t="n">
        <v>-2.7</v>
      </c>
      <c r="E20" s="66" t="inlineStr">
        <is>
          <t>相对滚动一年中位数偏 -2.70 倍稳健 z</t>
        </is>
      </c>
      <c r="F20" s="23" t="inlineStr">
        <is>
          <t>打开原文</t>
        </is>
      </c>
      <c r="G20" s="28" t="n"/>
    </row>
    <row r="21">
      <c r="A21" s="13" t="n">
        <v>45553</v>
      </c>
      <c r="B21" s="60" t="n">
        <v>1575</v>
      </c>
      <c r="C21" s="61" t="inlineStr">
        <is>
          <t>A 水平异常</t>
        </is>
      </c>
      <c r="D21" s="62" t="n">
        <v>-3.15</v>
      </c>
      <c r="E21" s="57" t="inlineStr">
        <is>
          <t>相对滚动一年中位数偏 -3.15 倍稳健 z</t>
        </is>
      </c>
      <c r="F21" s="17" t="inlineStr">
        <is>
          <t>打开原文</t>
        </is>
      </c>
      <c r="G21" s="27" t="n"/>
    </row>
    <row r="22">
      <c r="A22" s="19" t="n">
        <v>45553</v>
      </c>
      <c r="B22" s="63" t="n">
        <v>1575</v>
      </c>
      <c r="C22" s="64" t="inlineStr">
        <is>
          <t>B 单日跳变</t>
        </is>
      </c>
      <c r="D22" s="65" t="n">
        <v>-3.08</v>
      </c>
      <c r="E22" s="66" t="inlineStr">
        <is>
          <t>前值 1625.00（2024-09-14）→ 1575.00</t>
        </is>
      </c>
      <c r="F22" s="23" t="inlineStr">
        <is>
          <t>打开原文</t>
        </is>
      </c>
      <c r="G22" s="28" t="n"/>
    </row>
    <row r="23">
      <c r="A23" s="13" t="n">
        <v>45554</v>
      </c>
      <c r="B23" s="60" t="n">
        <v>1575</v>
      </c>
      <c r="C23" s="61" t="inlineStr">
        <is>
          <t>A 水平异常</t>
        </is>
      </c>
      <c r="D23" s="62" t="n">
        <v>-2.7</v>
      </c>
      <c r="E23" s="57" t="inlineStr">
        <is>
          <t>相对滚动一年中位数偏 -2.70 倍稳健 z</t>
        </is>
      </c>
      <c r="F23" s="17" t="inlineStr">
        <is>
          <t>打开原文</t>
        </is>
      </c>
      <c r="G23" s="27" t="n"/>
    </row>
    <row r="24">
      <c r="A24" s="19" t="n">
        <v>45586</v>
      </c>
      <c r="B24" s="63" t="n">
        <v>1575</v>
      </c>
      <c r="C24" s="64" t="inlineStr">
        <is>
          <t>B 单日跳变</t>
        </is>
      </c>
      <c r="D24" s="65" t="n">
        <v>-3.08</v>
      </c>
      <c r="E24" s="66" t="inlineStr">
        <is>
          <t>前值 1625.00（2024-10-18）→ 1575.00</t>
        </is>
      </c>
      <c r="F24" s="23" t="inlineStr">
        <is>
          <t>打开原文</t>
        </is>
      </c>
      <c r="G24" s="28" t="n"/>
    </row>
    <row r="25">
      <c r="A25" s="13" t="n">
        <v>45670</v>
      </c>
      <c r="B25" s="60" t="n">
        <v>1510</v>
      </c>
      <c r="C25" s="61" t="inlineStr">
        <is>
          <t>B 单日跳变</t>
        </is>
      </c>
      <c r="D25" s="62" t="n">
        <v>-4.13</v>
      </c>
      <c r="E25" s="57" t="inlineStr">
        <is>
          <t>前值 1575.00（2025-01-10）→ 1510.00</t>
        </is>
      </c>
      <c r="F25" s="17" t="inlineStr">
        <is>
          <t>打开原文</t>
        </is>
      </c>
      <c r="G25" s="27" t="n"/>
    </row>
    <row r="26">
      <c r="A26" s="19" t="n">
        <v>45681</v>
      </c>
      <c r="B26" s="63" t="n">
        <v>1510</v>
      </c>
      <c r="C26" s="64" t="inlineStr">
        <is>
          <t>A 水平异常</t>
        </is>
      </c>
      <c r="D26" s="65" t="n">
        <v>-3.51</v>
      </c>
      <c r="E26" s="66" t="inlineStr">
        <is>
          <t>相对滚动一年中位数偏 -3.51 倍稳健 z</t>
        </is>
      </c>
      <c r="F26" s="23" t="inlineStr">
        <is>
          <t>打开原文</t>
        </is>
      </c>
      <c r="G26" s="28" t="n"/>
    </row>
    <row r="27">
      <c r="A27" s="13" t="n">
        <v>45716</v>
      </c>
      <c r="B27" s="60" t="n">
        <v>1525</v>
      </c>
      <c r="C27" s="61" t="inlineStr">
        <is>
          <t>B 单日跳变</t>
        </is>
      </c>
      <c r="D27" s="62" t="n">
        <v>5.17</v>
      </c>
      <c r="E27" s="57" t="inlineStr">
        <is>
          <t>前值 1450.00（2025-02-26）→ 1525.00</t>
        </is>
      </c>
      <c r="F27" s="17" t="inlineStr">
        <is>
          <t>打开原文</t>
        </is>
      </c>
      <c r="G27" s="27" t="n"/>
    </row>
    <row r="28">
      <c r="A28" s="19" t="n">
        <v>45719</v>
      </c>
      <c r="B28" s="63" t="n">
        <v>1600</v>
      </c>
      <c r="C28" s="64" t="inlineStr">
        <is>
          <t>B 单日跳变</t>
        </is>
      </c>
      <c r="D28" s="65" t="n">
        <v>4.92</v>
      </c>
      <c r="E28" s="66" t="inlineStr">
        <is>
          <t>前值 1525.00（2025-02-28）→ 1600.00</t>
        </is>
      </c>
      <c r="F28" s="23" t="inlineStr">
        <is>
          <t>打开原文</t>
        </is>
      </c>
      <c r="G28" s="28" t="n"/>
    </row>
    <row r="29">
      <c r="A29" s="13" t="n">
        <v>45758</v>
      </c>
      <c r="B29" s="60" t="n">
        <v>1475</v>
      </c>
      <c r="C29" s="61" t="inlineStr">
        <is>
          <t>A 水平异常</t>
        </is>
      </c>
      <c r="D29" s="62" t="n">
        <v>-2.7</v>
      </c>
      <c r="E29" s="57" t="inlineStr">
        <is>
          <t>相对滚动一年中位数偏 -2.70 倍稳健 z</t>
        </is>
      </c>
      <c r="F29" s="17" t="inlineStr">
        <is>
          <t>打开原文</t>
        </is>
      </c>
      <c r="G29" s="27" t="n"/>
    </row>
    <row r="30">
      <c r="A30" s="19" t="n">
        <v>45758</v>
      </c>
      <c r="B30" s="63" t="n">
        <v>1475</v>
      </c>
      <c r="C30" s="64" t="inlineStr">
        <is>
          <t>B 单日跳变</t>
        </is>
      </c>
      <c r="D30" s="65" t="n">
        <v>-3.28</v>
      </c>
      <c r="E30" s="66" t="inlineStr">
        <is>
          <t>前值 1525.00（2025-04-08）→ 1475.00</t>
        </is>
      </c>
      <c r="F30" s="23" t="inlineStr">
        <is>
          <t>打开原文</t>
        </is>
      </c>
      <c r="G30" s="28" t="n"/>
    </row>
    <row r="31">
      <c r="A31" s="13" t="n">
        <v>45758</v>
      </c>
      <c r="B31" s="60" t="n">
        <v>1475</v>
      </c>
      <c r="C31" s="61" t="inlineStr">
        <is>
          <t>C 分布异常</t>
        </is>
      </c>
      <c r="D31" s="62" t="inlineStr">
        <is>
          <t>越栅栏</t>
        </is>
      </c>
      <c r="E31" s="57" t="inlineStr">
        <is>
          <t>落在 Q1-1.5IQR ~ Q3+1.5IQR 之外</t>
        </is>
      </c>
      <c r="F31" s="17" t="inlineStr">
        <is>
          <t>打开原文</t>
        </is>
      </c>
      <c r="G31" s="27" t="n"/>
    </row>
    <row r="32">
      <c r="A32" s="19" t="n">
        <v>45762</v>
      </c>
      <c r="B32" s="63" t="n">
        <v>1450</v>
      </c>
      <c r="C32" s="64" t="inlineStr">
        <is>
          <t>C 分布异常</t>
        </is>
      </c>
      <c r="D32" s="65" t="inlineStr">
        <is>
          <t>越栅栏</t>
        </is>
      </c>
      <c r="E32" s="66" t="inlineStr">
        <is>
          <t>落在 Q1-1.5IQR ~ Q3+1.5IQR 之外</t>
        </is>
      </c>
      <c r="F32" s="23" t="inlineStr">
        <is>
          <t>打开原文</t>
        </is>
      </c>
      <c r="G32" s="28" t="n"/>
    </row>
    <row r="33">
      <c r="A33" s="13" t="n">
        <v>45763</v>
      </c>
      <c r="B33" s="60" t="n">
        <v>1450</v>
      </c>
      <c r="C33" s="61" t="inlineStr">
        <is>
          <t>C 分布异常</t>
        </is>
      </c>
      <c r="D33" s="62" t="inlineStr">
        <is>
          <t>越栅栏</t>
        </is>
      </c>
      <c r="E33" s="57" t="inlineStr">
        <is>
          <t>落在 Q1-1.5IQR ~ Q3+1.5IQR 之外</t>
        </is>
      </c>
      <c r="F33" s="17" t="inlineStr">
        <is>
          <t>打开原文</t>
        </is>
      </c>
      <c r="G33" s="27" t="n"/>
    </row>
    <row r="34">
      <c r="A34" s="19" t="n">
        <v>45764</v>
      </c>
      <c r="B34" s="63" t="n">
        <v>1450</v>
      </c>
      <c r="C34" s="64" t="inlineStr">
        <is>
          <t>C 分布异常</t>
        </is>
      </c>
      <c r="D34" s="65" t="inlineStr">
        <is>
          <t>越栅栏</t>
        </is>
      </c>
      <c r="E34" s="66" t="inlineStr">
        <is>
          <t>落在 Q1-1.5IQR ~ Q3+1.5IQR 之外</t>
        </is>
      </c>
      <c r="F34" s="23" t="inlineStr">
        <is>
          <t>打开原文</t>
        </is>
      </c>
      <c r="G34" s="28" t="n"/>
    </row>
    <row r="35">
      <c r="A35" s="13" t="n">
        <v>45765</v>
      </c>
      <c r="B35" s="60" t="n">
        <v>1450</v>
      </c>
      <c r="C35" s="61" t="inlineStr">
        <is>
          <t>C 分布异常</t>
        </is>
      </c>
      <c r="D35" s="62" t="inlineStr">
        <is>
          <t>越栅栏</t>
        </is>
      </c>
      <c r="E35" s="57" t="inlineStr">
        <is>
          <t>落在 Q1-1.5IQR ~ Q3+1.5IQR 之外</t>
        </is>
      </c>
      <c r="F35" s="17" t="inlineStr">
        <is>
          <t>打开原文</t>
        </is>
      </c>
      <c r="G35" s="27" t="n"/>
    </row>
    <row r="36">
      <c r="A36" s="19" t="n">
        <v>45769</v>
      </c>
      <c r="B36" s="63" t="n">
        <v>1450</v>
      </c>
      <c r="C36" s="64" t="inlineStr">
        <is>
          <t>C 分布异常</t>
        </is>
      </c>
      <c r="D36" s="65" t="inlineStr">
        <is>
          <t>越栅栏</t>
        </is>
      </c>
      <c r="E36" s="66" t="inlineStr">
        <is>
          <t>落在 Q1-1.5IQR ~ Q3+1.5IQR 之外</t>
        </is>
      </c>
      <c r="F36" s="23" t="inlineStr">
        <is>
          <t>打开原文</t>
        </is>
      </c>
      <c r="G36" s="28" t="n"/>
    </row>
    <row r="37">
      <c r="A37" s="13" t="n">
        <v>45771</v>
      </c>
      <c r="B37" s="60" t="n">
        <v>1450</v>
      </c>
      <c r="C37" s="61" t="inlineStr">
        <is>
          <t>C 分布异常</t>
        </is>
      </c>
      <c r="D37" s="62" t="inlineStr">
        <is>
          <t>越栅栏</t>
        </is>
      </c>
      <c r="E37" s="57" t="inlineStr">
        <is>
          <t>落在 Q1-1.5IQR ~ Q3+1.5IQR 之外</t>
        </is>
      </c>
      <c r="F37" s="17" t="inlineStr">
        <is>
          <t>打开原文</t>
        </is>
      </c>
      <c r="G37" s="27" t="n"/>
    </row>
    <row r="38">
      <c r="A38" s="19" t="n">
        <v>45772</v>
      </c>
      <c r="B38" s="63" t="n">
        <v>1450</v>
      </c>
      <c r="C38" s="64" t="inlineStr">
        <is>
          <t>C 分布异常</t>
        </is>
      </c>
      <c r="D38" s="65" t="inlineStr">
        <is>
          <t>越栅栏</t>
        </is>
      </c>
      <c r="E38" s="66" t="inlineStr">
        <is>
          <t>落在 Q1-1.5IQR ~ Q3+1.5IQR 之外</t>
        </is>
      </c>
      <c r="F38" s="23" t="inlineStr">
        <is>
          <t>打开原文</t>
        </is>
      </c>
      <c r="G38" s="28" t="n"/>
    </row>
    <row r="39">
      <c r="A39" s="13" t="n">
        <v>45774</v>
      </c>
      <c r="B39" s="60" t="n">
        <v>1450</v>
      </c>
      <c r="C39" s="61" t="inlineStr">
        <is>
          <t>C 分布异常</t>
        </is>
      </c>
      <c r="D39" s="62" t="inlineStr">
        <is>
          <t>越栅栏</t>
        </is>
      </c>
      <c r="E39" s="57" t="inlineStr">
        <is>
          <t>落在 Q1-1.5IQR ~ Q3+1.5IQR 之外</t>
        </is>
      </c>
      <c r="F39" s="17" t="inlineStr">
        <is>
          <t>打开原文</t>
        </is>
      </c>
      <c r="G39" s="27" t="n"/>
    </row>
    <row r="40">
      <c r="A40" s="19" t="n">
        <v>45775</v>
      </c>
      <c r="B40" s="63" t="n">
        <v>1450</v>
      </c>
      <c r="C40" s="64" t="inlineStr">
        <is>
          <t>C 分布异常</t>
        </is>
      </c>
      <c r="D40" s="65" t="inlineStr">
        <is>
          <t>越栅栏</t>
        </is>
      </c>
      <c r="E40" s="66" t="inlineStr">
        <is>
          <t>落在 Q1-1.5IQR ~ Q3+1.5IQR 之外</t>
        </is>
      </c>
      <c r="F40" s="23" t="inlineStr">
        <is>
          <t>打开原文</t>
        </is>
      </c>
      <c r="G40" s="28" t="n"/>
    </row>
    <row r="41">
      <c r="A41" s="13" t="n">
        <v>45818</v>
      </c>
      <c r="B41" s="60" t="n">
        <v>1375</v>
      </c>
      <c r="C41" s="61" t="inlineStr">
        <is>
          <t>A 水平异常</t>
        </is>
      </c>
      <c r="D41" s="62" t="n">
        <v>-2.7</v>
      </c>
      <c r="E41" s="57" t="inlineStr">
        <is>
          <t>相对滚动一年中位数偏 -2.70 倍稳健 z</t>
        </is>
      </c>
      <c r="F41" s="17" t="inlineStr">
        <is>
          <t>打开原文</t>
        </is>
      </c>
      <c r="G41" s="27" t="n"/>
    </row>
    <row r="42">
      <c r="A42" s="19" t="n">
        <v>45819</v>
      </c>
      <c r="B42" s="63" t="n">
        <v>1375</v>
      </c>
      <c r="C42" s="64" t="inlineStr">
        <is>
          <t>A 水平异常</t>
        </is>
      </c>
      <c r="D42" s="65" t="n">
        <v>-2.7</v>
      </c>
      <c r="E42" s="66" t="inlineStr">
        <is>
          <t>相对滚动一年中位数偏 -2.70 倍稳健 z</t>
        </is>
      </c>
      <c r="F42" s="23" t="inlineStr">
        <is>
          <t>打开原文</t>
        </is>
      </c>
      <c r="G42" s="28" t="n"/>
    </row>
    <row r="43">
      <c r="A43" s="13" t="n">
        <v>45820</v>
      </c>
      <c r="B43" s="60" t="n">
        <v>1375</v>
      </c>
      <c r="C43" s="61" t="inlineStr">
        <is>
          <t>A 水平异常</t>
        </is>
      </c>
      <c r="D43" s="62" t="n">
        <v>-2.7</v>
      </c>
      <c r="E43" s="57" t="inlineStr">
        <is>
          <t>相对滚动一年中位数偏 -2.70 倍稳健 z</t>
        </is>
      </c>
      <c r="F43" s="17" t="inlineStr">
        <is>
          <t>打开原文</t>
        </is>
      </c>
      <c r="G43" s="27" t="n"/>
    </row>
    <row r="44">
      <c r="A44" s="19" t="n">
        <v>45821</v>
      </c>
      <c r="B44" s="63" t="n">
        <v>1375</v>
      </c>
      <c r="C44" s="64" t="inlineStr">
        <is>
          <t>A 水平异常</t>
        </is>
      </c>
      <c r="D44" s="65" t="n">
        <v>-2.7</v>
      </c>
      <c r="E44" s="66" t="inlineStr">
        <is>
          <t>相对滚动一年中位数偏 -2.70 倍稳健 z</t>
        </is>
      </c>
      <c r="F44" s="23" t="inlineStr">
        <is>
          <t>打开原文</t>
        </is>
      </c>
      <c r="G44" s="28" t="n"/>
    </row>
    <row r="45">
      <c r="A45" s="13" t="n">
        <v>45824</v>
      </c>
      <c r="B45" s="60" t="n">
        <v>1375</v>
      </c>
      <c r="C45" s="61" t="inlineStr">
        <is>
          <t>A 水平异常</t>
        </is>
      </c>
      <c r="D45" s="62" t="n">
        <v>-2.7</v>
      </c>
      <c r="E45" s="57" t="inlineStr">
        <is>
          <t>相对滚动一年中位数偏 -2.70 倍稳健 z</t>
        </is>
      </c>
      <c r="F45" s="17" t="inlineStr">
        <is>
          <t>打开原文</t>
        </is>
      </c>
      <c r="G45" s="27" t="n"/>
    </row>
    <row r="46">
      <c r="A46" s="19" t="n">
        <v>45825</v>
      </c>
      <c r="B46" s="63" t="n">
        <v>1375</v>
      </c>
      <c r="C46" s="64" t="inlineStr">
        <is>
          <t>A 水平异常</t>
        </is>
      </c>
      <c r="D46" s="65" t="n">
        <v>-2.7</v>
      </c>
      <c r="E46" s="66" t="inlineStr">
        <is>
          <t>相对滚动一年中位数偏 -2.70 倍稳健 z</t>
        </is>
      </c>
      <c r="F46" s="23" t="inlineStr">
        <is>
          <t>打开原文</t>
        </is>
      </c>
      <c r="G46" s="28" t="n"/>
    </row>
    <row r="47">
      <c r="A47" s="13" t="n">
        <v>45833</v>
      </c>
      <c r="B47" s="60" t="n">
        <v>1325</v>
      </c>
      <c r="C47" s="61" t="inlineStr">
        <is>
          <t>A 水平异常</t>
        </is>
      </c>
      <c r="D47" s="62" t="n">
        <v>-2.59</v>
      </c>
      <c r="E47" s="57" t="inlineStr">
        <is>
          <t>相对滚动一年中位数偏 -2.59 倍稳健 z</t>
        </is>
      </c>
      <c r="F47" s="17" t="inlineStr">
        <is>
          <t>打开原文</t>
        </is>
      </c>
      <c r="G47" s="27" t="n"/>
    </row>
    <row r="48">
      <c r="A48" s="19" t="n">
        <v>45833</v>
      </c>
      <c r="B48" s="63" t="n">
        <v>1325</v>
      </c>
      <c r="C48" s="64" t="inlineStr">
        <is>
          <t>B 单日跳变</t>
        </is>
      </c>
      <c r="D48" s="65" t="n">
        <v>-3.64</v>
      </c>
      <c r="E48" s="66" t="inlineStr">
        <is>
          <t>前值 1375.00（2025-06-24）→ 1325.00</t>
        </is>
      </c>
      <c r="F48" s="23" t="inlineStr">
        <is>
          <t>打开原文</t>
        </is>
      </c>
      <c r="G48" s="28" t="n"/>
    </row>
    <row r="49">
      <c r="A49" s="13" t="n">
        <v>45834</v>
      </c>
      <c r="B49" s="60" t="n">
        <v>1300</v>
      </c>
      <c r="C49" s="61" t="inlineStr">
        <is>
          <t>A 水平异常</t>
        </is>
      </c>
      <c r="D49" s="62" t="n">
        <v>-2.85</v>
      </c>
      <c r="E49" s="57" t="inlineStr">
        <is>
          <t>相对滚动一年中位数偏 -2.85 倍稳健 z</t>
        </is>
      </c>
      <c r="F49" s="17" t="inlineStr">
        <is>
          <t>打开原文</t>
        </is>
      </c>
      <c r="G49" s="27" t="n"/>
    </row>
    <row r="50">
      <c r="A50" s="19" t="n">
        <v>45835</v>
      </c>
      <c r="B50" s="63" t="n">
        <v>1300</v>
      </c>
      <c r="C50" s="64" t="inlineStr">
        <is>
          <t>A 水平异常</t>
        </is>
      </c>
      <c r="D50" s="65" t="n">
        <v>-2.85</v>
      </c>
      <c r="E50" s="66" t="inlineStr">
        <is>
          <t>相对滚动一年中位数偏 -2.85 倍稳健 z</t>
        </is>
      </c>
      <c r="F50" s="23" t="inlineStr">
        <is>
          <t>打开原文</t>
        </is>
      </c>
      <c r="G50" s="28" t="n"/>
    </row>
    <row r="51">
      <c r="A51" s="13" t="n">
        <v>45839</v>
      </c>
      <c r="B51" s="60" t="n">
        <v>1290</v>
      </c>
      <c r="C51" s="61" t="inlineStr">
        <is>
          <t>A 水平异常</t>
        </is>
      </c>
      <c r="D51" s="62" t="n">
        <v>-2.96</v>
      </c>
      <c r="E51" s="57" t="inlineStr">
        <is>
          <t>相对滚动一年中位数偏 -2.96 倍稳健 z</t>
        </is>
      </c>
      <c r="F51" s="17" t="inlineStr">
        <is>
          <t>打开原文</t>
        </is>
      </c>
      <c r="G51" s="27" t="n"/>
    </row>
    <row r="52">
      <c r="A52" s="19" t="n">
        <v>45840</v>
      </c>
      <c r="B52" s="63" t="n">
        <v>1275</v>
      </c>
      <c r="C52" s="64" t="inlineStr">
        <is>
          <t>A 水平异常</t>
        </is>
      </c>
      <c r="D52" s="65" t="n">
        <v>-3.11</v>
      </c>
      <c r="E52" s="66" t="inlineStr">
        <is>
          <t>相对滚动一年中位数偏 -3.11 倍稳健 z</t>
        </is>
      </c>
      <c r="F52" s="23" t="inlineStr">
        <is>
          <t>打开原文</t>
        </is>
      </c>
      <c r="G52" s="28" t="n"/>
    </row>
    <row r="53">
      <c r="A53" s="13" t="n">
        <v>45841</v>
      </c>
      <c r="B53" s="60" t="n">
        <v>1275</v>
      </c>
      <c r="C53" s="61" t="inlineStr">
        <is>
          <t>A 水平异常</t>
        </is>
      </c>
      <c r="D53" s="62" t="n">
        <v>-3.11</v>
      </c>
      <c r="E53" s="57" t="inlineStr">
        <is>
          <t>相对滚动一年中位数偏 -3.11 倍稳健 z</t>
        </is>
      </c>
      <c r="F53" s="17" t="inlineStr">
        <is>
          <t>打开原文</t>
        </is>
      </c>
      <c r="G53" s="27" t="n"/>
    </row>
    <row r="54">
      <c r="A54" s="19" t="n">
        <v>45842</v>
      </c>
      <c r="B54" s="63" t="n">
        <v>1275</v>
      </c>
      <c r="C54" s="64" t="inlineStr">
        <is>
          <t>A 水平异常</t>
        </is>
      </c>
      <c r="D54" s="65" t="n">
        <v>-3.11</v>
      </c>
      <c r="E54" s="66" t="inlineStr">
        <is>
          <t>相对滚动一年中位数偏 -3.11 倍稳健 z</t>
        </is>
      </c>
      <c r="F54" s="23" t="inlineStr">
        <is>
          <t>打开原文</t>
        </is>
      </c>
      <c r="G54" s="28" t="n"/>
    </row>
    <row r="55">
      <c r="A55" s="13" t="n">
        <v>45845</v>
      </c>
      <c r="B55" s="60" t="n">
        <v>1275</v>
      </c>
      <c r="C55" s="61" t="inlineStr">
        <is>
          <t>A 水平异常</t>
        </is>
      </c>
      <c r="D55" s="62" t="n">
        <v>-3.11</v>
      </c>
      <c r="E55" s="57" t="inlineStr">
        <is>
          <t>相对滚动一年中位数偏 -3.11 倍稳健 z</t>
        </is>
      </c>
      <c r="F55" s="17" t="inlineStr">
        <is>
          <t>打开原文</t>
        </is>
      </c>
      <c r="G55" s="27" t="n"/>
    </row>
    <row r="56">
      <c r="A56" s="19" t="n">
        <v>45846</v>
      </c>
      <c r="B56" s="63" t="n">
        <v>1275</v>
      </c>
      <c r="C56" s="64" t="inlineStr">
        <is>
          <t>A 水平异常</t>
        </is>
      </c>
      <c r="D56" s="65" t="n">
        <v>-3.11</v>
      </c>
      <c r="E56" s="66" t="inlineStr">
        <is>
          <t>相对滚动一年中位数偏 -3.11 倍稳健 z</t>
        </is>
      </c>
      <c r="F56" s="23" t="inlineStr">
        <is>
          <t>打开原文</t>
        </is>
      </c>
      <c r="G56" s="28" t="n"/>
    </row>
    <row r="57">
      <c r="A57" s="13" t="n">
        <v>45847</v>
      </c>
      <c r="B57" s="60" t="n">
        <v>1275</v>
      </c>
      <c r="C57" s="61" t="inlineStr">
        <is>
          <t>A 水平异常</t>
        </is>
      </c>
      <c r="D57" s="62" t="n">
        <v>-3.11</v>
      </c>
      <c r="E57" s="57" t="inlineStr">
        <is>
          <t>相对滚动一年中位数偏 -3.11 倍稳健 z</t>
        </is>
      </c>
      <c r="F57" s="17" t="inlineStr">
        <is>
          <t>打开原文</t>
        </is>
      </c>
      <c r="G57" s="27" t="n"/>
    </row>
    <row r="58">
      <c r="A58" s="19" t="n">
        <v>45848</v>
      </c>
      <c r="B58" s="63" t="n">
        <v>1275</v>
      </c>
      <c r="C58" s="64" t="inlineStr">
        <is>
          <t>A 水平异常</t>
        </is>
      </c>
      <c r="D58" s="65" t="n">
        <v>-3.11</v>
      </c>
      <c r="E58" s="66" t="inlineStr">
        <is>
          <t>相对滚动一年中位数偏 -3.11 倍稳健 z</t>
        </is>
      </c>
      <c r="F58" s="23" t="inlineStr">
        <is>
          <t>打开原文</t>
        </is>
      </c>
      <c r="G58" s="28" t="n"/>
    </row>
    <row r="59">
      <c r="A59" s="13" t="n">
        <v>45853</v>
      </c>
      <c r="B59" s="60" t="n">
        <v>1275</v>
      </c>
      <c r="C59" s="61" t="inlineStr">
        <is>
          <t>A 水平异常</t>
        </is>
      </c>
      <c r="D59" s="62" t="n">
        <v>-3.11</v>
      </c>
      <c r="E59" s="57" t="inlineStr">
        <is>
          <t>相对滚动一年中位数偏 -3.11 倍稳健 z</t>
        </is>
      </c>
      <c r="F59" s="17" t="inlineStr">
        <is>
          <t>打开原文</t>
        </is>
      </c>
      <c r="G59" s="27" t="n"/>
    </row>
    <row r="60">
      <c r="A60" s="19" t="n">
        <v>45854</v>
      </c>
      <c r="B60" s="63" t="n">
        <v>1275</v>
      </c>
      <c r="C60" s="64" t="inlineStr">
        <is>
          <t>A 水平异常</t>
        </is>
      </c>
      <c r="D60" s="65" t="n">
        <v>-3.11</v>
      </c>
      <c r="E60" s="66" t="inlineStr">
        <is>
          <t>相对滚动一年中位数偏 -3.11 倍稳健 z</t>
        </is>
      </c>
      <c r="F60" s="23" t="inlineStr">
        <is>
          <t>打开原文</t>
        </is>
      </c>
      <c r="G60" s="28" t="n"/>
    </row>
    <row r="61">
      <c r="A61" s="13" t="n">
        <v>45856</v>
      </c>
      <c r="B61" s="60" t="n">
        <v>1275</v>
      </c>
      <c r="C61" s="61" t="inlineStr">
        <is>
          <t>A 水平异常</t>
        </is>
      </c>
      <c r="D61" s="62" t="n">
        <v>-3.11</v>
      </c>
      <c r="E61" s="57" t="inlineStr">
        <is>
          <t>相对滚动一年中位数偏 -3.11 倍稳健 z</t>
        </is>
      </c>
      <c r="F61" s="17" t="inlineStr">
        <is>
          <t>打开原文</t>
        </is>
      </c>
      <c r="G61" s="27" t="n"/>
    </row>
    <row r="62">
      <c r="A62" s="19" t="n">
        <v>45860</v>
      </c>
      <c r="B62" s="63" t="n">
        <v>1275</v>
      </c>
      <c r="C62" s="64" t="inlineStr">
        <is>
          <t>A 水平异常</t>
        </is>
      </c>
      <c r="D62" s="65" t="n">
        <v>-3.11</v>
      </c>
      <c r="E62" s="66" t="inlineStr">
        <is>
          <t>相对滚动一年中位数偏 -3.11 倍稳健 z</t>
        </is>
      </c>
      <c r="F62" s="23" t="inlineStr">
        <is>
          <t>打开原文</t>
        </is>
      </c>
      <c r="G62" s="28" t="n"/>
    </row>
    <row r="63">
      <c r="A63" s="13" t="n">
        <v>45861</v>
      </c>
      <c r="B63" s="60" t="n">
        <v>1300</v>
      </c>
      <c r="C63" s="61" t="inlineStr">
        <is>
          <t>A 水平异常</t>
        </is>
      </c>
      <c r="D63" s="62" t="n">
        <v>-2.85</v>
      </c>
      <c r="E63" s="57" t="inlineStr">
        <is>
          <t>相对滚动一年中位数偏 -2.85 倍稳健 z</t>
        </is>
      </c>
      <c r="F63" s="17" t="inlineStr">
        <is>
          <t>打开原文</t>
        </is>
      </c>
      <c r="G63" s="27" t="n"/>
    </row>
    <row r="64">
      <c r="A64" s="19" t="n">
        <v>45867</v>
      </c>
      <c r="B64" s="63" t="n">
        <v>1375</v>
      </c>
      <c r="C64" s="64" t="inlineStr">
        <is>
          <t>B 单日跳变</t>
        </is>
      </c>
      <c r="D64" s="65" t="n">
        <v>5.77</v>
      </c>
      <c r="E64" s="66" t="inlineStr">
        <is>
          <t>前值 1300.00（2025-07-23）→ 1375.00</t>
        </is>
      </c>
      <c r="F64" s="23" t="inlineStr">
        <is>
          <t>打开原文</t>
        </is>
      </c>
      <c r="G64" s="28" t="n"/>
    </row>
    <row r="65">
      <c r="A65" s="13" t="n">
        <v>45880</v>
      </c>
      <c r="B65" s="60" t="n">
        <v>1325</v>
      </c>
      <c r="C65" s="61" t="inlineStr">
        <is>
          <t>A 水平异常</t>
        </is>
      </c>
      <c r="D65" s="62" t="n">
        <v>-2.59</v>
      </c>
      <c r="E65" s="57" t="inlineStr">
        <is>
          <t>相对滚动一年中位数偏 -2.59 倍稳健 z</t>
        </is>
      </c>
      <c r="F65" s="17" t="inlineStr">
        <is>
          <t>打开原文</t>
        </is>
      </c>
      <c r="G65" s="27" t="n"/>
    </row>
    <row r="66">
      <c r="A66" s="19" t="n">
        <v>45881</v>
      </c>
      <c r="B66" s="63" t="n">
        <v>1325</v>
      </c>
      <c r="C66" s="64" t="inlineStr">
        <is>
          <t>A 水平异常</t>
        </is>
      </c>
      <c r="D66" s="65" t="n">
        <v>-2.59</v>
      </c>
      <c r="E66" s="66" t="inlineStr">
        <is>
          <t>相对滚动一年中位数偏 -2.59 倍稳健 z</t>
        </is>
      </c>
      <c r="F66" s="23" t="inlineStr">
        <is>
          <t>打开原文</t>
        </is>
      </c>
      <c r="G66" s="28" t="n"/>
    </row>
    <row r="67">
      <c r="A67" s="13" t="n">
        <v>45882</v>
      </c>
      <c r="B67" s="60" t="n">
        <v>1325</v>
      </c>
      <c r="C67" s="61" t="inlineStr">
        <is>
          <t>A 水平异常</t>
        </is>
      </c>
      <c r="D67" s="62" t="n">
        <v>-2.59</v>
      </c>
      <c r="E67" s="57" t="inlineStr">
        <is>
          <t>相对滚动一年中位数偏 -2.59 倍稳健 z</t>
        </is>
      </c>
      <c r="F67" s="17" t="inlineStr">
        <is>
          <t>打开原文</t>
        </is>
      </c>
      <c r="G67" s="27" t="n"/>
    </row>
    <row r="68">
      <c r="A68" s="19" t="n">
        <v>45883</v>
      </c>
      <c r="B68" s="63" t="n">
        <v>1275</v>
      </c>
      <c r="C68" s="64" t="inlineStr">
        <is>
          <t>A 水平异常</t>
        </is>
      </c>
      <c r="D68" s="65" t="n">
        <v>-3.11</v>
      </c>
      <c r="E68" s="66" t="inlineStr">
        <is>
          <t>相对滚动一年中位数偏 -3.11 倍稳健 z</t>
        </is>
      </c>
      <c r="F68" s="23" t="inlineStr">
        <is>
          <t>打开原文</t>
        </is>
      </c>
      <c r="G68" s="28" t="n"/>
    </row>
    <row r="69">
      <c r="A69" s="13" t="n">
        <v>45883</v>
      </c>
      <c r="B69" s="60" t="n">
        <v>1275</v>
      </c>
      <c r="C69" s="61" t="inlineStr">
        <is>
          <t>B 单日跳变</t>
        </is>
      </c>
      <c r="D69" s="62" t="n">
        <v>-3.77</v>
      </c>
      <c r="E69" s="57" t="inlineStr">
        <is>
          <t>前值 1325.00（2025-08-13）→ 1275.00</t>
        </is>
      </c>
      <c r="F69" s="17" t="inlineStr">
        <is>
          <t>打开原文</t>
        </is>
      </c>
      <c r="G69" s="27" t="n"/>
    </row>
    <row r="70">
      <c r="A70" s="19" t="n">
        <v>45884</v>
      </c>
      <c r="B70" s="63" t="n">
        <v>1275</v>
      </c>
      <c r="C70" s="64" t="inlineStr">
        <is>
          <t>A 水平异常</t>
        </is>
      </c>
      <c r="D70" s="65" t="n">
        <v>-3.11</v>
      </c>
      <c r="E70" s="66" t="inlineStr">
        <is>
          <t>相对滚动一年中位数偏 -3.11 倍稳健 z</t>
        </is>
      </c>
      <c r="F70" s="23" t="inlineStr">
        <is>
          <t>打开原文</t>
        </is>
      </c>
      <c r="G70" s="28" t="n"/>
    </row>
    <row r="71">
      <c r="A71" s="13" t="n">
        <v>45888</v>
      </c>
      <c r="B71" s="60" t="n">
        <v>1275</v>
      </c>
      <c r="C71" s="61" t="inlineStr">
        <is>
          <t>A 水平异常</t>
        </is>
      </c>
      <c r="D71" s="62" t="n">
        <v>-3.11</v>
      </c>
      <c r="E71" s="57" t="inlineStr">
        <is>
          <t>相对滚动一年中位数偏 -3.11 倍稳健 z</t>
        </is>
      </c>
      <c r="F71" s="17" t="inlineStr">
        <is>
          <t>打开原文</t>
        </is>
      </c>
      <c r="G71" s="27" t="n"/>
    </row>
    <row r="72">
      <c r="A72" s="19" t="n">
        <v>45889</v>
      </c>
      <c r="B72" s="63" t="n">
        <v>1275</v>
      </c>
      <c r="C72" s="64" t="inlineStr">
        <is>
          <t>A 水平异常</t>
        </is>
      </c>
      <c r="D72" s="65" t="n">
        <v>-3.11</v>
      </c>
      <c r="E72" s="66" t="inlineStr">
        <is>
          <t>相对滚动一年中位数偏 -3.11 倍稳健 z</t>
        </is>
      </c>
      <c r="F72" s="23" t="inlineStr">
        <is>
          <t>打开原文</t>
        </is>
      </c>
      <c r="G72" s="28" t="n"/>
    </row>
    <row r="73">
      <c r="A73" s="13" t="n">
        <v>45890</v>
      </c>
      <c r="B73" s="60" t="n">
        <v>1275</v>
      </c>
      <c r="C73" s="61" t="inlineStr">
        <is>
          <t>A 水平异常</t>
        </is>
      </c>
      <c r="D73" s="62" t="n">
        <v>-3.11</v>
      </c>
      <c r="E73" s="57" t="inlineStr">
        <is>
          <t>相对滚动一年中位数偏 -3.11 倍稳健 z</t>
        </is>
      </c>
      <c r="F73" s="17" t="inlineStr">
        <is>
          <t>打开原文</t>
        </is>
      </c>
      <c r="G73" s="27" t="n"/>
    </row>
    <row r="74">
      <c r="A74" s="19" t="n">
        <v>45891</v>
      </c>
      <c r="B74" s="63" t="n">
        <v>1275</v>
      </c>
      <c r="C74" s="64" t="inlineStr">
        <is>
          <t>A 水平异常</t>
        </is>
      </c>
      <c r="D74" s="65" t="n">
        <v>-3.11</v>
      </c>
      <c r="E74" s="66" t="inlineStr">
        <is>
          <t>相对滚动一年中位数偏 -3.11 倍稳健 z</t>
        </is>
      </c>
      <c r="F74" s="23" t="inlineStr">
        <is>
          <t>打开原文</t>
        </is>
      </c>
      <c r="G74" s="28" t="n"/>
    </row>
    <row r="75">
      <c r="A75" s="13" t="n">
        <v>45901</v>
      </c>
      <c r="B75" s="60" t="n">
        <v>1265</v>
      </c>
      <c r="C75" s="61" t="inlineStr">
        <is>
          <t>A 水平异常</t>
        </is>
      </c>
      <c r="D75" s="62" t="n">
        <v>-2.56</v>
      </c>
      <c r="E75" s="57" t="inlineStr">
        <is>
          <t>相对滚动一年中位数偏 -2.56 倍稳健 z</t>
        </is>
      </c>
      <c r="F75" s="17" t="inlineStr">
        <is>
          <t>打开原文</t>
        </is>
      </c>
      <c r="G75" s="27" t="n"/>
    </row>
    <row r="76">
      <c r="A76" s="19" t="n">
        <v>45905</v>
      </c>
      <c r="B76" s="63" t="n">
        <v>1250</v>
      </c>
      <c r="C76" s="64" t="inlineStr">
        <is>
          <t>A 水平异常</t>
        </is>
      </c>
      <c r="D76" s="65" t="n">
        <v>-2.7</v>
      </c>
      <c r="E76" s="66" t="inlineStr">
        <is>
          <t>相对滚动一年中位数偏 -2.70 倍稳健 z</t>
        </is>
      </c>
      <c r="F76" s="23" t="inlineStr">
        <is>
          <t>打开原文</t>
        </is>
      </c>
      <c r="G76" s="28" t="n"/>
    </row>
    <row r="77">
      <c r="A77" s="13" t="n">
        <v>45908</v>
      </c>
      <c r="B77" s="60" t="n">
        <v>1250</v>
      </c>
      <c r="C77" s="61" t="inlineStr">
        <is>
          <t>A 水平异常</t>
        </is>
      </c>
      <c r="D77" s="62" t="n">
        <v>-2.7</v>
      </c>
      <c r="E77" s="57" t="inlineStr">
        <is>
          <t>相对滚动一年中位数偏 -2.70 倍稳健 z</t>
        </is>
      </c>
      <c r="F77" s="17" t="inlineStr">
        <is>
          <t>打开原文</t>
        </is>
      </c>
      <c r="G77" s="27" t="n"/>
    </row>
    <row r="78">
      <c r="A78" s="19" t="n">
        <v>45909</v>
      </c>
      <c r="B78" s="63" t="n">
        <v>1250</v>
      </c>
      <c r="C78" s="64" t="inlineStr">
        <is>
          <t>A 水平异常</t>
        </is>
      </c>
      <c r="D78" s="65" t="n">
        <v>-2.7</v>
      </c>
      <c r="E78" s="66" t="inlineStr">
        <is>
          <t>相对滚动一年中位数偏 -2.70 倍稳健 z</t>
        </is>
      </c>
      <c r="F78" s="23" t="inlineStr">
        <is>
          <t>打开原文</t>
        </is>
      </c>
      <c r="G78" s="28" t="n"/>
    </row>
    <row r="79">
      <c r="A79" s="13" t="n">
        <v>45910</v>
      </c>
      <c r="B79" s="60" t="n">
        <v>1250</v>
      </c>
      <c r="C79" s="61" t="inlineStr">
        <is>
          <t>A 水平异常</t>
        </is>
      </c>
      <c r="D79" s="62" t="n">
        <v>-2.7</v>
      </c>
      <c r="E79" s="57" t="inlineStr">
        <is>
          <t>相对滚动一年中位数偏 -2.70 倍稳健 z</t>
        </is>
      </c>
      <c r="F79" s="17" t="inlineStr">
        <is>
          <t>打开原文</t>
        </is>
      </c>
      <c r="G79" s="27" t="n"/>
    </row>
    <row r="80">
      <c r="A80" s="19" t="n">
        <v>45911</v>
      </c>
      <c r="B80" s="63" t="n">
        <v>1250</v>
      </c>
      <c r="C80" s="64" t="inlineStr">
        <is>
          <t>A 水平异常</t>
        </is>
      </c>
      <c r="D80" s="65" t="n">
        <v>-2.7</v>
      </c>
      <c r="E80" s="66" t="inlineStr">
        <is>
          <t>相对滚动一年中位数偏 -2.70 倍稳健 z</t>
        </is>
      </c>
      <c r="F80" s="23" t="inlineStr">
        <is>
          <t>打开原文</t>
        </is>
      </c>
      <c r="G80" s="28" t="n"/>
    </row>
    <row r="81">
      <c r="A81" s="13" t="n">
        <v>45912</v>
      </c>
      <c r="B81" s="60" t="n">
        <v>1250</v>
      </c>
      <c r="C81" s="61" t="inlineStr">
        <is>
          <t>A 水平异常</t>
        </is>
      </c>
      <c r="D81" s="62" t="n">
        <v>-2.7</v>
      </c>
      <c r="E81" s="57" t="inlineStr">
        <is>
          <t>相对滚动一年中位数偏 -2.70 倍稳健 z</t>
        </is>
      </c>
      <c r="F81" s="17" t="inlineStr">
        <is>
          <t>打开原文</t>
        </is>
      </c>
      <c r="G81" s="27" t="n"/>
    </row>
    <row r="82">
      <c r="A82" s="19" t="n">
        <v>45916</v>
      </c>
      <c r="B82" s="63" t="n">
        <v>1250</v>
      </c>
      <c r="C82" s="64" t="inlineStr">
        <is>
          <t>A 水平异常</t>
        </is>
      </c>
      <c r="D82" s="65" t="n">
        <v>-2.7</v>
      </c>
      <c r="E82" s="66" t="inlineStr">
        <is>
          <t>相对滚动一年中位数偏 -2.70 倍稳健 z</t>
        </is>
      </c>
      <c r="F82" s="23" t="inlineStr">
        <is>
          <t>打开原文</t>
        </is>
      </c>
      <c r="G82" s="28" t="n"/>
    </row>
    <row r="83">
      <c r="A83" s="13" t="n">
        <v>45917</v>
      </c>
      <c r="B83" s="60" t="n">
        <v>1250</v>
      </c>
      <c r="C83" s="61" t="inlineStr">
        <is>
          <t>A 水平异常</t>
        </is>
      </c>
      <c r="D83" s="62" t="n">
        <v>-2.7</v>
      </c>
      <c r="E83" s="57" t="inlineStr">
        <is>
          <t>相对滚动一年中位数偏 -2.70 倍稳健 z</t>
        </is>
      </c>
      <c r="F83" s="17" t="inlineStr">
        <is>
          <t>打开原文</t>
        </is>
      </c>
      <c r="G83" s="27" t="n"/>
    </row>
    <row r="84">
      <c r="A84" s="19" t="n">
        <v>45918</v>
      </c>
      <c r="B84" s="63" t="n">
        <v>1250</v>
      </c>
      <c r="C84" s="64" t="inlineStr">
        <is>
          <t>A 水平异常</t>
        </is>
      </c>
      <c r="D84" s="65" t="n">
        <v>-2.7</v>
      </c>
      <c r="E84" s="66" t="inlineStr">
        <is>
          <t>相对滚动一年中位数偏 -2.70 倍稳健 z</t>
        </is>
      </c>
      <c r="F84" s="23" t="inlineStr">
        <is>
          <t>打开原文</t>
        </is>
      </c>
      <c r="G84" s="28" t="n"/>
    </row>
    <row r="85">
      <c r="A85" s="13" t="n">
        <v>45919</v>
      </c>
      <c r="B85" s="60" t="n">
        <v>1250</v>
      </c>
      <c r="C85" s="61" t="inlineStr">
        <is>
          <t>A 水平异常</t>
        </is>
      </c>
      <c r="D85" s="62" t="n">
        <v>-2.7</v>
      </c>
      <c r="E85" s="57" t="inlineStr">
        <is>
          <t>相对滚动一年中位数偏 -2.70 倍稳健 z</t>
        </is>
      </c>
      <c r="F85" s="17" t="inlineStr">
        <is>
          <t>打开原文</t>
        </is>
      </c>
      <c r="G85" s="27" t="n"/>
    </row>
    <row r="86">
      <c r="A86" s="19" t="n">
        <v>45922</v>
      </c>
      <c r="B86" s="63" t="n">
        <v>1250</v>
      </c>
      <c r="C86" s="64" t="inlineStr">
        <is>
          <t>A 水平异常</t>
        </is>
      </c>
      <c r="D86" s="65" t="n">
        <v>-2.7</v>
      </c>
      <c r="E86" s="66" t="inlineStr">
        <is>
          <t>相对滚动一年中位数偏 -2.70 倍稳健 z</t>
        </is>
      </c>
      <c r="F86" s="23" t="inlineStr">
        <is>
          <t>打开原文</t>
        </is>
      </c>
      <c r="G86" s="28" t="n"/>
    </row>
    <row r="88" ht="30" customHeight="1">
      <c r="A88" s="7" t="inlineStr">
        <is>
          <t>异常点只是「统计上罕见」，不等于「必有某个事件」。事件时间线（10 表）只收录能点开原文的事实，二者不做强行配对。</t>
        </is>
      </c>
      <c r="B88" s="8" t="n"/>
      <c r="C88" s="8" t="n"/>
      <c r="D88" s="8" t="n"/>
      <c r="E88" s="8" t="n"/>
      <c r="F88" s="8" t="n"/>
      <c r="G88" s="8" t="n"/>
    </row>
  </sheetData>
  <autoFilter ref="A4:F87"/>
  <mergeCells count="3">
    <mergeCell ref="A88:G88"/>
    <mergeCell ref="A2:G2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4761F"/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70" customWidth="1" min="3" max="3"/>
    <col width="30" customWidth="1" min="4" max="4"/>
    <col width="40" customWidth="1" min="5" max="5"/>
  </cols>
  <sheetData>
    <row r="1" ht="30" customHeight="1">
      <c r="A1" s="1" t="inlineStr">
        <is>
          <t>10 事件时间线 · 仅收录可核验事实</t>
        </is>
      </c>
    </row>
    <row r="2" ht="30" customHeight="1">
      <c r="A2" s="2" t="inlineStr">
        <is>
          <t>每条事件都必须能点开原始来源。不含任何机构观点、行情预测或归因推测。</t>
        </is>
      </c>
    </row>
    <row r="4" ht="30" customHeight="1">
      <c r="A4" s="9" t="inlineStr">
        <is>
          <t>日期</t>
        </is>
      </c>
      <c r="B4" s="9" t="inlineStr">
        <is>
          <t>事件</t>
        </is>
      </c>
      <c r="C4" s="9" t="inlineStr">
        <is>
          <t>事实描述</t>
        </is>
      </c>
      <c r="D4" s="9" t="inlineStr">
        <is>
          <t>来源</t>
        </is>
      </c>
      <c r="E4" s="9" t="inlineStr">
        <is>
          <t>链接</t>
        </is>
      </c>
    </row>
    <row r="5" ht="46" customHeight="1">
      <c r="A5" s="12" t="inlineStr">
        <is>
          <t>2024-08-01</t>
        </is>
      </c>
      <c r="B5" s="47" t="inlineStr">
        <is>
          <t>华东重碱报价首次成为生意社日评固定口径</t>
        </is>
      </c>
      <c r="C5" s="10" t="inlineStr">
        <is>
          <t>生意社华东地区纯碱日评自本月起稳定披露「重质纯碱主流市场」区间，此前仅披露轻质或不分规格的「纯碱主流报价」。这是本报告 3 年序列的真实起点，也是最大的一处口径断点。</t>
        </is>
      </c>
      <c r="D5" s="57" t="inlineStr">
        <is>
          <t>生意社 华东地区纯碱市场日评（频道列表）</t>
        </is>
      </c>
      <c r="E5" s="17" t="inlineStr">
        <is>
          <t>打开原文</t>
        </is>
      </c>
    </row>
    <row r="6" ht="46" customHeight="1">
      <c r="A6" s="18" t="inlineStr">
        <is>
          <t>2024-09-20</t>
        </is>
      </c>
      <c r="B6" s="48" t="inlineStr">
        <is>
          <t>纯碱期货大幅回落，现货报价跟跌</t>
        </is>
      </c>
      <c r="C6" s="11" t="inlineStr">
        <is>
          <t>2024 年三季度纯碱供需转向宽松，华东重碱区间自 7 月的 2000-2200 元/吨逐级下移。此阶段为本序列下行通道的起点。</t>
        </is>
      </c>
      <c r="D6" s="66" t="inlineStr">
        <is>
          <t>生意社 纯碱商品动态</t>
        </is>
      </c>
      <c r="E6" s="23" t="inlineStr">
        <is>
          <t>打开原文</t>
        </is>
      </c>
    </row>
    <row r="7" ht="46" customHeight="1">
      <c r="A7" s="12" t="inlineStr">
        <is>
          <t>2025-07-01</t>
        </is>
      </c>
      <c r="B7" s="47" t="inlineStr">
        <is>
          <t>华东重碱主流报价降至 1180-1300 元/吨区间</t>
        </is>
      </c>
      <c r="C7" s="10" t="inlineStr">
        <is>
          <t>据生意社 7 月 1 日华东地区纯碱报价，重质纯碱主流市场在 1180-1300 元/吨左右，实单以商谈为主。</t>
        </is>
      </c>
      <c r="D7" s="57" t="inlineStr">
        <is>
          <t>生意社：7 月 1 日华东地区纯碱市场平稳观望</t>
        </is>
      </c>
      <c r="E7" s="17" t="inlineStr">
        <is>
          <t>打开原文</t>
        </is>
      </c>
    </row>
    <row r="8" ht="46" customHeight="1">
      <c r="A8" s="18" t="inlineStr">
        <is>
          <t>2025-09-05</t>
        </is>
      </c>
      <c r="B8" s="48" t="inlineStr">
        <is>
          <t>华东重碱主流价 1260-1320 元/吨（第三方同日口径）</t>
        </is>
      </c>
      <c r="C8" s="11" t="inlineStr">
        <is>
          <t>东方汇金期货晨会纪要：9 月 5 日华东地区轻质纯碱 1130-1470 元/吨，重质纯碱 1260-1320 元/吨；同期国内纯碱厂家总库存 182.21 万吨。可作独立信源交叉校验。</t>
        </is>
      </c>
      <c r="D8" s="66" t="inlineStr">
        <is>
          <t>东方汇金期货 2025.09.08 晨会纪要</t>
        </is>
      </c>
      <c r="E8" s="23" t="inlineStr">
        <is>
          <t>打开原文</t>
        </is>
      </c>
    </row>
    <row r="9" ht="46" customHeight="1">
      <c r="A9" s="12" t="inlineStr">
        <is>
          <t>2025-12-25</t>
        </is>
      </c>
      <c r="B9" s="47" t="inlineStr">
        <is>
          <t>华东重碱下调至 1200-1300 元/吨</t>
        </is>
      </c>
      <c r="C9" s="10" t="inlineStr">
        <is>
          <t>生意社 12 月 25 日讯：轻质纯碱主流市场 1140-1600 元/吨，价格下调 20 元/吨；重质纯碱主流市场 1200-1300 元/吨；纯碱开工窄幅波动，下游按需跟进。</t>
        </is>
      </c>
      <c r="D9" s="57" t="inlineStr">
        <is>
          <t>生意社：12 月 25 日华东地区纯碱市场偏弱运行</t>
        </is>
      </c>
      <c r="E9" s="17" t="inlineStr">
        <is>
          <t>打开原文</t>
        </is>
      </c>
    </row>
    <row r="10" ht="46" customHeight="1">
      <c r="A10" s="18" t="inlineStr">
        <is>
          <t>2026-03-16</t>
        </is>
      </c>
      <c r="B10" s="48" t="inlineStr">
        <is>
          <t>华东重碱上调至 1200-1300 元/吨（3 月 10 日上调 30 元/吨）</t>
        </is>
      </c>
      <c r="C10" s="11" t="inlineStr">
        <is>
          <t>生意社 3 月 16 日华东地区纯碱报价：轻质纯碱主流市场 1150-1560 元/吨；重质纯碱主流市场 1200-1300 元/吨，3 月 10 日价格上调 30 元/吨，实单以商谈为主。</t>
        </is>
      </c>
      <c r="D10" s="66" t="inlineStr">
        <is>
          <t>生意社：3 月 16 日华东地区纯碱市场观望运行</t>
        </is>
      </c>
      <c r="E10" s="23" t="inlineStr">
        <is>
          <t>打开原文</t>
        </is>
      </c>
    </row>
    <row r="11" ht="46" customHeight="1">
      <c r="A11" s="12" t="inlineStr">
        <is>
          <t>2026-07-27</t>
        </is>
      </c>
      <c r="B11" s="47" t="inlineStr">
        <is>
          <t>华东重碱单日下调 50 元/吨至 1180-1250 元/吨</t>
        </is>
      </c>
      <c r="C11" s="10" t="inlineStr">
        <is>
          <t>生意社 7 月 28 日发布：7 月 27 日重质纯碱价格下调 50 元/吨，主流市场 1180-1250 元/吨；同期轻质下调 70 元/吨。为本次数据窗口内最后一次可核验的价格调整。</t>
        </is>
      </c>
      <c r="D11" s="57" t="inlineStr">
        <is>
          <t>生意社：7 月 28 日华东地区纯碱市场暂稳运行</t>
        </is>
      </c>
      <c r="E11" s="17" t="inlineStr">
        <is>
          <t>打开原文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E2B38"/>
    <outlinePr summaryBelow="1" summaryRight="1"/>
    <pageSetUpPr/>
  </sheetPr>
  <dimension ref="A1:E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2" customWidth="1" min="4" max="4"/>
    <col width="40" customWidth="1" min="5" max="5"/>
  </cols>
  <sheetData>
    <row r="1" ht="30" customHeight="1">
      <c r="A1" s="1" t="inlineStr">
        <is>
          <t>11 数据缺口 · 不插值、不模拟</t>
        </is>
      </c>
    </row>
    <row r="2" ht="30" customHeight="1">
      <c r="A2" s="2" t="inlineStr">
        <is>
          <t>缺口＝该有报价的工作日却没有公开报价。全部留空，不做前值填充、不做插值补价。</t>
        </is>
      </c>
    </row>
    <row r="4" ht="45" customHeight="1">
      <c r="A4" s="67" t="inlineStr">
        <is>
          <t>共识别 40 个连续缺口段（连续 ≥3 个工作日无报价），另有 69 个单日缺失（多为法定假日）。合计缺失 113 个工作日。</t>
        </is>
      </c>
      <c r="B4" s="68" t="n"/>
      <c r="C4" s="68" t="n"/>
      <c r="D4" s="68" t="n"/>
      <c r="E4" s="68" t="n"/>
    </row>
    <row r="6" ht="30" customHeight="1">
      <c r="A6" s="9" t="inlineStr">
        <is>
          <t>序号</t>
        </is>
      </c>
      <c r="B6" s="9" t="inlineStr">
        <is>
          <t>缺口起</t>
        </is>
      </c>
      <c r="C6" s="9" t="inlineStr">
        <is>
          <t>缺口止</t>
        </is>
      </c>
      <c r="D6" s="9" t="inlineStr">
        <is>
          <t>缺失工作日</t>
        </is>
      </c>
      <c r="E6" s="9" t="inlineStr">
        <is>
          <t>处理方式</t>
        </is>
      </c>
    </row>
    <row r="7">
      <c r="A7" s="62" t="n">
        <v>1</v>
      </c>
      <c r="B7" s="10" t="inlineStr">
        <is>
          <t>2024-09-16</t>
        </is>
      </c>
      <c r="C7" s="10" t="inlineStr">
        <is>
          <t>2024-09-17</t>
        </is>
      </c>
      <c r="D7" s="62" t="n">
        <v>2</v>
      </c>
      <c r="E7" s="10" t="inlineStr">
        <is>
          <t>留空，不填补；统计时该期间无观测参与</t>
        </is>
      </c>
    </row>
    <row r="8">
      <c r="A8" s="65" t="n">
        <v>2</v>
      </c>
      <c r="B8" s="11" t="inlineStr">
        <is>
          <t>2024-09-30</t>
        </is>
      </c>
      <c r="C8" s="11" t="inlineStr">
        <is>
          <t>2024-10-04</t>
        </is>
      </c>
      <c r="D8" s="65" t="n">
        <v>5</v>
      </c>
      <c r="E8" s="11" t="inlineStr">
        <is>
          <t>留空，不填补；统计时该期间无观测参与</t>
        </is>
      </c>
    </row>
    <row r="9">
      <c r="A9" s="62" t="n">
        <v>3</v>
      </c>
      <c r="B9" s="10" t="inlineStr">
        <is>
          <t>2025-01-27</t>
        </is>
      </c>
      <c r="C9" s="10" t="inlineStr">
        <is>
          <t>2025-01-31</t>
        </is>
      </c>
      <c r="D9" s="62" t="n">
        <v>5</v>
      </c>
      <c r="E9" s="10" t="inlineStr">
        <is>
          <t>留空，不填补；统计时该期间无观测参与</t>
        </is>
      </c>
    </row>
    <row r="10">
      <c r="A10" s="65" t="n">
        <v>4</v>
      </c>
      <c r="B10" s="11" t="inlineStr">
        <is>
          <t>2025-02-03</t>
        </is>
      </c>
      <c r="C10" s="11" t="inlineStr">
        <is>
          <t>2025-02-05</t>
        </is>
      </c>
      <c r="D10" s="65" t="n">
        <v>3</v>
      </c>
      <c r="E10" s="11" t="inlineStr">
        <is>
          <t>留空，不填补；统计时该期间无观测参与</t>
        </is>
      </c>
    </row>
    <row r="11">
      <c r="A11" s="62" t="n">
        <v>5</v>
      </c>
      <c r="B11" s="10" t="inlineStr">
        <is>
          <t>2025-03-31</t>
        </is>
      </c>
      <c r="C11" s="10" t="inlineStr">
        <is>
          <t>2025-04-01</t>
        </is>
      </c>
      <c r="D11" s="62" t="n">
        <v>2</v>
      </c>
      <c r="E11" s="10" t="inlineStr">
        <is>
          <t>留空，不填补；统计时该期间无观测参与</t>
        </is>
      </c>
    </row>
    <row r="12">
      <c r="A12" s="65" t="n">
        <v>6</v>
      </c>
      <c r="B12" s="11" t="inlineStr">
        <is>
          <t>2025-04-09</t>
        </is>
      </c>
      <c r="C12" s="11" t="inlineStr">
        <is>
          <t>2025-04-10</t>
        </is>
      </c>
      <c r="D12" s="65" t="n">
        <v>2</v>
      </c>
      <c r="E12" s="11" t="inlineStr">
        <is>
          <t>留空，不填补；统计时该期间无观测参与</t>
        </is>
      </c>
    </row>
    <row r="13">
      <c r="A13" s="62" t="n">
        <v>7</v>
      </c>
      <c r="B13" s="10" t="inlineStr">
        <is>
          <t>2025-05-01</t>
        </is>
      </c>
      <c r="C13" s="10" t="inlineStr">
        <is>
          <t>2025-05-02</t>
        </is>
      </c>
      <c r="D13" s="62" t="n">
        <v>2</v>
      </c>
      <c r="E13" s="10" t="inlineStr">
        <is>
          <t>留空，不填补；统计时该期间无观测参与</t>
        </is>
      </c>
    </row>
    <row r="14">
      <c r="A14" s="65" t="n">
        <v>8</v>
      </c>
      <c r="B14" s="11" t="inlineStr">
        <is>
          <t>2025-05-05</t>
        </is>
      </c>
      <c r="C14" s="11" t="inlineStr">
        <is>
          <t>2025-05-06</t>
        </is>
      </c>
      <c r="D14" s="65" t="n">
        <v>2</v>
      </c>
      <c r="E14" s="11" t="inlineStr">
        <is>
          <t>留空，不填补；统计时该期间无观测参与</t>
        </is>
      </c>
    </row>
    <row r="15">
      <c r="A15" s="62" t="n">
        <v>9</v>
      </c>
      <c r="B15" s="10" t="inlineStr">
        <is>
          <t>2025-05-22</t>
        </is>
      </c>
      <c r="C15" s="10" t="inlineStr">
        <is>
          <t>2025-05-23</t>
        </is>
      </c>
      <c r="D15" s="62" t="n">
        <v>2</v>
      </c>
      <c r="E15" s="10" t="inlineStr">
        <is>
          <t>留空，不填补；统计时该期间无观测参与</t>
        </is>
      </c>
    </row>
    <row r="16">
      <c r="A16" s="65" t="n">
        <v>10</v>
      </c>
      <c r="B16" s="11" t="inlineStr">
        <is>
          <t>2025-06-02</t>
        </is>
      </c>
      <c r="C16" s="11" t="inlineStr">
        <is>
          <t>2025-06-03</t>
        </is>
      </c>
      <c r="D16" s="65" t="n">
        <v>2</v>
      </c>
      <c r="E16" s="11" t="inlineStr">
        <is>
          <t>留空，不填补；统计时该期间无观测参与</t>
        </is>
      </c>
    </row>
    <row r="17">
      <c r="A17" s="62" t="n">
        <v>11</v>
      </c>
      <c r="B17" s="10" t="inlineStr">
        <is>
          <t>2025-07-24</t>
        </is>
      </c>
      <c r="C17" s="10" t="inlineStr">
        <is>
          <t>2025-07-25</t>
        </is>
      </c>
      <c r="D17" s="62" t="n">
        <v>2</v>
      </c>
      <c r="E17" s="10" t="inlineStr">
        <is>
          <t>留空，不填补；统计时该期间无观测参与</t>
        </is>
      </c>
    </row>
    <row r="18">
      <c r="A18" s="65" t="n">
        <v>12</v>
      </c>
      <c r="B18" s="11" t="inlineStr">
        <is>
          <t>2025-10-01</t>
        </is>
      </c>
      <c r="C18" s="11" t="inlineStr">
        <is>
          <t>2025-10-03</t>
        </is>
      </c>
      <c r="D18" s="65" t="n">
        <v>3</v>
      </c>
      <c r="E18" s="11" t="inlineStr">
        <is>
          <t>留空，不填补；统计时该期间无观测参与</t>
        </is>
      </c>
    </row>
    <row r="19">
      <c r="A19" s="62" t="n">
        <v>13</v>
      </c>
      <c r="B19" s="10" t="inlineStr">
        <is>
          <t>2025-10-06</t>
        </is>
      </c>
      <c r="C19" s="10" t="inlineStr">
        <is>
          <t>2025-10-08</t>
        </is>
      </c>
      <c r="D19" s="62" t="n">
        <v>3</v>
      </c>
      <c r="E19" s="10" t="inlineStr">
        <is>
          <t>留空，不填补；统计时该期间无观测参与</t>
        </is>
      </c>
    </row>
    <row r="20">
      <c r="A20" s="65" t="n">
        <v>14</v>
      </c>
      <c r="B20" s="11" t="inlineStr">
        <is>
          <t>2025-10-13</t>
        </is>
      </c>
      <c r="C20" s="11" t="inlineStr">
        <is>
          <t>2025-10-17</t>
        </is>
      </c>
      <c r="D20" s="65" t="n">
        <v>5</v>
      </c>
      <c r="E20" s="11" t="inlineStr">
        <is>
          <t>留空，不填补；统计时该期间无观测参与</t>
        </is>
      </c>
    </row>
    <row r="21">
      <c r="A21" s="62" t="n">
        <v>15</v>
      </c>
      <c r="B21" s="10" t="inlineStr">
        <is>
          <t>2025-10-20</t>
        </is>
      </c>
      <c r="C21" s="10" t="inlineStr">
        <is>
          <t>2025-10-24</t>
        </is>
      </c>
      <c r="D21" s="62" t="n">
        <v>5</v>
      </c>
      <c r="E21" s="10" t="inlineStr">
        <is>
          <t>留空，不填补；统计时该期间无观测参与</t>
        </is>
      </c>
    </row>
    <row r="22">
      <c r="A22" s="65" t="n">
        <v>16</v>
      </c>
      <c r="B22" s="11" t="inlineStr">
        <is>
          <t>2026-01-01</t>
        </is>
      </c>
      <c r="C22" s="11" t="inlineStr">
        <is>
          <t>2026-01-02</t>
        </is>
      </c>
      <c r="D22" s="65" t="n">
        <v>2</v>
      </c>
      <c r="E22" s="11" t="inlineStr">
        <is>
          <t>留空，不填补；统计时该期间无观测参与</t>
        </is>
      </c>
    </row>
    <row r="23">
      <c r="A23" s="62" t="n">
        <v>17</v>
      </c>
      <c r="B23" s="10" t="inlineStr">
        <is>
          <t>2026-01-08</t>
        </is>
      </c>
      <c r="C23" s="10" t="inlineStr">
        <is>
          <t>2026-01-09</t>
        </is>
      </c>
      <c r="D23" s="62" t="n">
        <v>2</v>
      </c>
      <c r="E23" s="10" t="inlineStr">
        <is>
          <t>留空，不填补；统计时该期间无观测参与</t>
        </is>
      </c>
    </row>
    <row r="24">
      <c r="A24" s="65" t="n">
        <v>18</v>
      </c>
      <c r="B24" s="11" t="inlineStr">
        <is>
          <t>2026-01-14</t>
        </is>
      </c>
      <c r="C24" s="11" t="inlineStr">
        <is>
          <t>2026-01-15</t>
        </is>
      </c>
      <c r="D24" s="65" t="n">
        <v>2</v>
      </c>
      <c r="E24" s="11" t="inlineStr">
        <is>
          <t>留空，不填补；统计时该期间无观测参与</t>
        </is>
      </c>
    </row>
    <row r="25">
      <c r="A25" s="62" t="n">
        <v>19</v>
      </c>
      <c r="B25" s="10" t="inlineStr">
        <is>
          <t>2026-02-09</t>
        </is>
      </c>
      <c r="C25" s="10" t="inlineStr">
        <is>
          <t>2026-02-10</t>
        </is>
      </c>
      <c r="D25" s="62" t="n">
        <v>2</v>
      </c>
      <c r="E25" s="10" t="inlineStr">
        <is>
          <t>留空，不填补；统计时该期间无观测参与</t>
        </is>
      </c>
    </row>
    <row r="26">
      <c r="A26" s="65" t="n">
        <v>20</v>
      </c>
      <c r="B26" s="11" t="inlineStr">
        <is>
          <t>2026-02-16</t>
        </is>
      </c>
      <c r="C26" s="11" t="inlineStr">
        <is>
          <t>2026-02-20</t>
        </is>
      </c>
      <c r="D26" s="65" t="n">
        <v>5</v>
      </c>
      <c r="E26" s="11" t="inlineStr">
        <is>
          <t>留空，不填补；统计时该期间无观测参与</t>
        </is>
      </c>
    </row>
    <row r="27">
      <c r="A27" s="62" t="n">
        <v>21</v>
      </c>
      <c r="B27" s="10" t="inlineStr">
        <is>
          <t>2026-03-09</t>
        </is>
      </c>
      <c r="C27" s="10" t="inlineStr">
        <is>
          <t>2026-03-10</t>
        </is>
      </c>
      <c r="D27" s="62" t="n">
        <v>2</v>
      </c>
      <c r="E27" s="10" t="inlineStr">
        <is>
          <t>留空，不填补；统计时该期间无观测参与</t>
        </is>
      </c>
    </row>
    <row r="28">
      <c r="A28" s="65" t="n">
        <v>22</v>
      </c>
      <c r="B28" s="11" t="inlineStr">
        <is>
          <t>2026-04-08</t>
        </is>
      </c>
      <c r="C28" s="11" t="inlineStr">
        <is>
          <t>2026-04-10</t>
        </is>
      </c>
      <c r="D28" s="65" t="n">
        <v>3</v>
      </c>
      <c r="E28" s="11" t="inlineStr">
        <is>
          <t>留空，不填补；统计时该期间无观测参与</t>
        </is>
      </c>
    </row>
    <row r="29">
      <c r="A29" s="62" t="n">
        <v>23</v>
      </c>
      <c r="B29" s="10" t="inlineStr">
        <is>
          <t>2026-04-13</t>
        </is>
      </c>
      <c r="C29" s="10" t="inlineStr">
        <is>
          <t>2026-04-14</t>
        </is>
      </c>
      <c r="D29" s="62" t="n">
        <v>2</v>
      </c>
      <c r="E29" s="10" t="inlineStr">
        <is>
          <t>留空，不填补；统计时该期间无观测参与</t>
        </is>
      </c>
    </row>
    <row r="30">
      <c r="A30" s="65" t="n">
        <v>24</v>
      </c>
      <c r="B30" s="11" t="inlineStr">
        <is>
          <t>2026-04-16</t>
        </is>
      </c>
      <c r="C30" s="11" t="inlineStr">
        <is>
          <t>2026-04-17</t>
        </is>
      </c>
      <c r="D30" s="65" t="n">
        <v>2</v>
      </c>
      <c r="E30" s="11" t="inlineStr">
        <is>
          <t>留空，不填补；统计时该期间无观测参与</t>
        </is>
      </c>
    </row>
    <row r="31">
      <c r="A31" s="62" t="n">
        <v>25</v>
      </c>
      <c r="B31" s="10" t="inlineStr">
        <is>
          <t>2026-04-20</t>
        </is>
      </c>
      <c r="C31" s="10" t="inlineStr">
        <is>
          <t>2026-04-21</t>
        </is>
      </c>
      <c r="D31" s="62" t="n">
        <v>2</v>
      </c>
      <c r="E31" s="10" t="inlineStr">
        <is>
          <t>留空，不填补；统计时该期间无观测参与</t>
        </is>
      </c>
    </row>
    <row r="32">
      <c r="A32" s="65" t="n">
        <v>26</v>
      </c>
      <c r="B32" s="11" t="inlineStr">
        <is>
          <t>2026-04-23</t>
        </is>
      </c>
      <c r="C32" s="11" t="inlineStr">
        <is>
          <t>2026-04-24</t>
        </is>
      </c>
      <c r="D32" s="65" t="n">
        <v>2</v>
      </c>
      <c r="E32" s="11" t="inlineStr">
        <is>
          <t>留空，不填补；统计时该期间无观测参与</t>
        </is>
      </c>
    </row>
    <row r="33">
      <c r="A33" s="62" t="n">
        <v>27</v>
      </c>
      <c r="B33" s="10" t="inlineStr">
        <is>
          <t>2026-04-27</t>
        </is>
      </c>
      <c r="C33" s="10" t="inlineStr">
        <is>
          <t>2026-04-28</t>
        </is>
      </c>
      <c r="D33" s="62" t="n">
        <v>2</v>
      </c>
      <c r="E33" s="10" t="inlineStr">
        <is>
          <t>留空，不填补；统计时该期间无观测参与</t>
        </is>
      </c>
    </row>
    <row r="34">
      <c r="A34" s="65" t="n">
        <v>28</v>
      </c>
      <c r="B34" s="11" t="inlineStr">
        <is>
          <t>2026-04-30</t>
        </is>
      </c>
      <c r="C34" s="11" t="inlineStr">
        <is>
          <t>2026-05-01</t>
        </is>
      </c>
      <c r="D34" s="65" t="n">
        <v>2</v>
      </c>
      <c r="E34" s="11" t="inlineStr">
        <is>
          <t>留空，不填补；统计时该期间无观测参与</t>
        </is>
      </c>
    </row>
    <row r="35">
      <c r="A35" s="62" t="n">
        <v>29</v>
      </c>
      <c r="B35" s="10" t="inlineStr">
        <is>
          <t>2026-05-04</t>
        </is>
      </c>
      <c r="C35" s="10" t="inlineStr">
        <is>
          <t>2026-05-08</t>
        </is>
      </c>
      <c r="D35" s="62" t="n">
        <v>5</v>
      </c>
      <c r="E35" s="10" t="inlineStr">
        <is>
          <t>留空，不填补；统计时该期间无观测参与</t>
        </is>
      </c>
    </row>
    <row r="36">
      <c r="A36" s="65" t="n">
        <v>30</v>
      </c>
      <c r="B36" s="11" t="inlineStr">
        <is>
          <t>2026-05-13</t>
        </is>
      </c>
      <c r="C36" s="11" t="inlineStr">
        <is>
          <t>2026-05-15</t>
        </is>
      </c>
      <c r="D36" s="65" t="n">
        <v>3</v>
      </c>
      <c r="E36" s="11" t="inlineStr">
        <is>
          <t>留空，不填补；统计时该期间无观测参与</t>
        </is>
      </c>
    </row>
    <row r="37">
      <c r="A37" s="62" t="n">
        <v>31</v>
      </c>
      <c r="B37" s="10" t="inlineStr">
        <is>
          <t>2026-05-20</t>
        </is>
      </c>
      <c r="C37" s="10" t="inlineStr">
        <is>
          <t>2026-05-22</t>
        </is>
      </c>
      <c r="D37" s="62" t="n">
        <v>3</v>
      </c>
      <c r="E37" s="10" t="inlineStr">
        <is>
          <t>留空，不填补；统计时该期间无观测参与</t>
        </is>
      </c>
    </row>
    <row r="38">
      <c r="A38" s="65" t="n">
        <v>32</v>
      </c>
      <c r="B38" s="11" t="inlineStr">
        <is>
          <t>2026-05-27</t>
        </is>
      </c>
      <c r="C38" s="11" t="inlineStr">
        <is>
          <t>2026-05-29</t>
        </is>
      </c>
      <c r="D38" s="65" t="n">
        <v>3</v>
      </c>
      <c r="E38" s="11" t="inlineStr">
        <is>
          <t>留空，不填补；统计时该期间无观测参与</t>
        </is>
      </c>
    </row>
    <row r="39">
      <c r="A39" s="62" t="n">
        <v>33</v>
      </c>
      <c r="B39" s="10" t="inlineStr">
        <is>
          <t>2026-06-03</t>
        </is>
      </c>
      <c r="C39" s="10" t="inlineStr">
        <is>
          <t>2026-06-04</t>
        </is>
      </c>
      <c r="D39" s="62" t="n">
        <v>2</v>
      </c>
      <c r="E39" s="10" t="inlineStr">
        <is>
          <t>留空，不填补；统计时该期间无观测参与</t>
        </is>
      </c>
    </row>
    <row r="40">
      <c r="A40" s="65" t="n">
        <v>34</v>
      </c>
      <c r="B40" s="11" t="inlineStr">
        <is>
          <t>2026-06-16</t>
        </is>
      </c>
      <c r="C40" s="11" t="inlineStr">
        <is>
          <t>2026-06-19</t>
        </is>
      </c>
      <c r="D40" s="65" t="n">
        <v>4</v>
      </c>
      <c r="E40" s="11" t="inlineStr">
        <is>
          <t>留空，不填补；统计时该期间无观测参与</t>
        </is>
      </c>
    </row>
    <row r="41">
      <c r="A41" s="62" t="n">
        <v>35</v>
      </c>
      <c r="B41" s="10" t="inlineStr">
        <is>
          <t>2026-06-22</t>
        </is>
      </c>
      <c r="C41" s="10" t="inlineStr">
        <is>
          <t>2026-06-24</t>
        </is>
      </c>
      <c r="D41" s="62" t="n">
        <v>3</v>
      </c>
      <c r="E41" s="10" t="inlineStr">
        <is>
          <t>留空，不填补；统计时该期间无观测参与</t>
        </is>
      </c>
    </row>
    <row r="42">
      <c r="A42" s="65" t="n">
        <v>36</v>
      </c>
      <c r="B42" s="11" t="inlineStr">
        <is>
          <t>2026-06-29</t>
        </is>
      </c>
      <c r="C42" s="11" t="inlineStr">
        <is>
          <t>2026-06-30</t>
        </is>
      </c>
      <c r="D42" s="65" t="n">
        <v>2</v>
      </c>
      <c r="E42" s="11" t="inlineStr">
        <is>
          <t>留空，不填补；统计时该期间无观测参与</t>
        </is>
      </c>
    </row>
    <row r="43">
      <c r="A43" s="62" t="n">
        <v>37</v>
      </c>
      <c r="B43" s="10" t="inlineStr">
        <is>
          <t>2026-07-02</t>
        </is>
      </c>
      <c r="C43" s="10" t="inlineStr">
        <is>
          <t>2026-07-03</t>
        </is>
      </c>
      <c r="D43" s="62" t="n">
        <v>2</v>
      </c>
      <c r="E43" s="10" t="inlineStr">
        <is>
          <t>留空，不填补；统计时该期间无观测参与</t>
        </is>
      </c>
    </row>
    <row r="44">
      <c r="A44" s="65" t="n">
        <v>38</v>
      </c>
      <c r="B44" s="11" t="inlineStr">
        <is>
          <t>2026-07-06</t>
        </is>
      </c>
      <c r="C44" s="11" t="inlineStr">
        <is>
          <t>2026-07-09</t>
        </is>
      </c>
      <c r="D44" s="65" t="n">
        <v>4</v>
      </c>
      <c r="E44" s="11" t="inlineStr">
        <is>
          <t>留空，不填补；统计时该期间无观测参与</t>
        </is>
      </c>
    </row>
    <row r="45">
      <c r="A45" s="62" t="n">
        <v>39</v>
      </c>
      <c r="B45" s="10" t="inlineStr">
        <is>
          <t>2026-07-13</t>
        </is>
      </c>
      <c r="C45" s="10" t="inlineStr">
        <is>
          <t>2026-07-16</t>
        </is>
      </c>
      <c r="D45" s="62" t="n">
        <v>4</v>
      </c>
      <c r="E45" s="10" t="inlineStr">
        <is>
          <t>留空，不填补；统计时该期间无观测参与</t>
        </is>
      </c>
    </row>
    <row r="46">
      <c r="A46" s="65" t="n">
        <v>40</v>
      </c>
      <c r="B46" s="11" t="inlineStr">
        <is>
          <t>2026-07-22</t>
        </is>
      </c>
      <c r="C46" s="11" t="inlineStr">
        <is>
          <t>2026-07-24</t>
        </is>
      </c>
      <c r="D46" s="65" t="n">
        <v>3</v>
      </c>
      <c r="E46" s="11" t="inlineStr">
        <is>
          <t>留空，不填补；统计时该期间无观测参与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7395B"/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40" customWidth="1" min="4" max="4"/>
  </cols>
  <sheetData>
    <row r="1" ht="30" customHeight="1">
      <c r="A1" s="1" t="inlineStr">
        <is>
          <t>12 方法与公式说明</t>
        </is>
      </c>
    </row>
    <row r="2" ht="30" customHeight="1">
      <c r="A2" s="2" t="inlineStr">
        <is>
          <t>这一张表是给审阅者看的：每个统计量到底怎么算、边界在哪里。</t>
        </is>
      </c>
    </row>
    <row r="4" ht="30" customHeight="1">
      <c r="A4" s="9" t="inlineStr">
        <is>
          <t>指标</t>
        </is>
      </c>
      <c r="B4" s="9" t="inlineStr">
        <is>
          <t>Excel 公式/算法</t>
        </is>
      </c>
      <c r="C4" s="9" t="inlineStr">
        <is>
          <t>口径与边界</t>
        </is>
      </c>
      <c r="D4" s="9" t="inlineStr">
        <is>
          <t>常见误用</t>
        </is>
      </c>
    </row>
    <row r="5">
      <c r="A5" s="10" t="inlineStr">
        <is>
          <t>经验分位（含并列）</t>
        </is>
      </c>
      <c r="B5" s="10" t="inlineStr">
        <is>
          <t>COUNTIFS(值,"&lt;="&amp;当前价, 日期在窗口内) / n</t>
        </is>
      </c>
      <c r="C5" s="10" t="inlineStr">
        <is>
          <t>回答「历史上有多少比例的报价日 ≤ 今天」</t>
        </is>
      </c>
      <c r="D5" s="10" t="inlineStr">
        <is>
          <t>用 (P−min)/(max−min) 冒充分位</t>
        </is>
      </c>
    </row>
    <row r="6">
      <c r="A6" s="11" t="inlineStr">
        <is>
          <t>经验分位（中位秩）</t>
        </is>
      </c>
      <c r="B6" s="11" t="inlineStr">
        <is>
          <t>(COUNTIF(&lt;当前价)+0.5×COUNTIF(=当前价)) / n</t>
        </is>
      </c>
      <c r="C6" s="11" t="inlineStr">
        <is>
          <t>并列值按半数计入，抵消现货锯齿</t>
        </is>
      </c>
      <c r="D6" s="11" t="inlineStr">
        <is>
          <t>与含并列口径混用而不说明</t>
        </is>
      </c>
    </row>
    <row r="7">
      <c r="A7" s="10" t="inlineStr">
        <is>
          <t>区间位置</t>
        </is>
      </c>
      <c r="B7" s="10" t="inlineStr">
        <is>
          <t>(当前价 − 最低) / (最高 − 最低)</t>
        </is>
      </c>
      <c r="C7" s="10" t="inlineStr">
        <is>
          <t>纯几何位置，不是统计分位</t>
        </is>
      </c>
      <c r="D7" s="10" t="inlineStr">
        <is>
          <t>直接叫成「历史分位」</t>
        </is>
      </c>
    </row>
    <row r="8">
      <c r="A8" s="11" t="inlineStr">
        <is>
          <t>最低/最高/均值/中位数</t>
        </is>
      </c>
      <c r="B8" s="11" t="inlineStr">
        <is>
          <t>MIN / MAX / AVERAGE / MEDIAN</t>
        </is>
      </c>
      <c r="C8" s="11" t="inlineStr">
        <is>
          <t>只用窗口内真实观测</t>
        </is>
      </c>
      <c r="D8" s="11" t="inlineStr">
        <is>
          <t>把全样本极值当成当前窗口极值</t>
        </is>
      </c>
    </row>
    <row r="9">
      <c r="A9" s="10" t="inlineStr">
        <is>
          <t>标准差</t>
        </is>
      </c>
      <c r="B9" s="10" t="inlineStr">
        <is>
          <t>STDEV.S（样本标准差）</t>
        </is>
      </c>
      <c r="C9" s="10" t="inlineStr">
        <is>
          <t>n&lt;2 不计算</t>
        </is>
      </c>
      <c r="D9" s="10" t="inlineStr">
        <is>
          <t>用总体标准差 STDEV.P 导致年化波动偏低</t>
        </is>
      </c>
    </row>
    <row r="10">
      <c r="A10" s="11" t="inlineStr">
        <is>
          <t>四分位</t>
        </is>
      </c>
      <c r="B10" s="11" t="inlineStr">
        <is>
          <t>QUARTILE.INC（含端点位次）</t>
        </is>
      </c>
      <c r="C10" s="11" t="inlineStr">
        <is>
          <t>用于分位带与 IQR 栅栏</t>
        </is>
      </c>
      <c r="D10" s="11" t="inlineStr">
        <is>
          <t>与 PERCENTILE.EXC 混用导致边界不一致</t>
        </is>
      </c>
    </row>
    <row r="11">
      <c r="A11" s="10" t="inlineStr">
        <is>
          <t>年化波动率</t>
        </is>
      </c>
      <c r="B11" s="10" t="inlineStr">
        <is>
          <t>std(ln(P_t/P_{t−1}) / 相隔自然日数) × √365</t>
        </is>
      </c>
      <c r="C11" s="10" t="inlineStr">
        <is>
          <t>现货报价不等距，必须按真实日差折算</t>
        </is>
      </c>
      <c r="D11" s="10" t="inlineStr">
        <is>
          <t>直接对相邻报价算收益再 ×√252</t>
        </is>
      </c>
    </row>
    <row r="12">
      <c r="A12" s="11" t="inlineStr">
        <is>
          <t>最大回撤</t>
        </is>
      </c>
      <c r="B12" s="11" t="inlineStr">
        <is>
          <t>min((P_t − 历史峰值)/历史峰值)</t>
        </is>
      </c>
      <c r="C12" s="11" t="inlineStr">
        <is>
          <t>全样本，标注峰/谷日期</t>
        </is>
      </c>
      <c r="D12" s="11" t="inlineStr">
        <is>
          <t>只报幅度不报日期，无法复核</t>
        </is>
      </c>
    </row>
    <row r="13">
      <c r="A13" s="10" t="inlineStr">
        <is>
          <t>水平异常</t>
        </is>
      </c>
      <c r="B13" s="10" t="inlineStr">
        <is>
          <t>0.6745×(P−滚动一年中位数)/MAD ≥ 2.5</t>
        </is>
      </c>
      <c r="C13" s="10" t="inlineStr">
        <is>
          <t>稳健 z，抗极端值</t>
        </is>
      </c>
      <c r="D13" s="10" t="inlineStr">
        <is>
          <t>用均值±kσ，被极端值本身污染</t>
        </is>
      </c>
    </row>
    <row r="14">
      <c r="A14" s="11" t="inlineStr">
        <is>
          <t>跳变异常</t>
        </is>
      </c>
      <c r="B14" s="11" t="inlineStr">
        <is>
          <t>相邻报价日变动绝对值 ≥ 3%</t>
        </is>
      </c>
      <c r="C14" s="11" t="inlineStr">
        <is>
          <t>按报价日，不按自然日</t>
        </is>
      </c>
      <c r="D14" s="11" t="inlineStr">
        <is>
          <t>跨节假日误判为跳变</t>
        </is>
      </c>
    </row>
    <row r="15">
      <c r="A15" s="10" t="inlineStr">
        <is>
          <t>分布异常</t>
        </is>
      </c>
      <c r="B15" s="10" t="inlineStr">
        <is>
          <t>P &lt; Q1−1.5IQR 或 P &gt; Q3+1.5IQR</t>
        </is>
      </c>
      <c r="C15" s="10" t="inlineStr">
        <is>
          <t>箱线图栅栏</t>
        </is>
      </c>
      <c r="D15" s="10" t="inlineStr">
        <is>
          <t>与稳健 z 重复计数同一现象</t>
        </is>
      </c>
    </row>
    <row r="16">
      <c r="A16" s="11" t="inlineStr">
        <is>
          <t>季节性指数</t>
        </is>
      </c>
      <c r="B16" s="11" t="inlineStr">
        <is>
          <t>该月跨年均价 / 全期月均 × 100</t>
        </is>
      </c>
      <c r="C16" s="11" t="inlineStr">
        <is>
          <t>只描述历史相对位置</t>
        </is>
      </c>
      <c r="D16" s="11" t="inlineStr">
        <is>
          <t>当成对今年该月的预测</t>
        </is>
      </c>
    </row>
    <row r="17">
      <c r="A17" s="10" t="inlineStr">
        <is>
          <t>最小样本门槛</t>
        </is>
      </c>
      <c r="B17" s="10" t="inlineStr">
        <is>
          <t>n ≥ 20 才计算分位</t>
        </is>
      </c>
      <c r="C17" s="10" t="inlineStr">
        <is>
          <t>不足则明确写「不计算」</t>
        </is>
      </c>
      <c r="D17" s="10" t="inlineStr">
        <is>
          <t>拿 3–5 个点算出一个漂亮的分位数</t>
        </is>
      </c>
    </row>
    <row r="18">
      <c r="A18" s="11" t="inlineStr">
        <is>
          <t>缺口处理</t>
        </is>
      </c>
      <c r="B18" s="11" t="inlineStr">
        <is>
          <t>按工作日统计，留空</t>
        </is>
      </c>
      <c r="C18" s="11" t="inlineStr">
        <is>
          <t>不插值、不前值填充</t>
        </is>
      </c>
      <c r="D18" s="11" t="inlineStr">
        <is>
          <t>用 fillna(method='ffill') 填平后算波动率</t>
        </is>
      </c>
    </row>
    <row r="20" ht="45" customHeight="1">
      <c r="A20" s="45" t="inlineStr">
        <is>
          <t>本工作簿所有统计列都是真实公式（可点开单元格查看），不是预计算结果。若改动「02 原始序列」中的价格，04–08 表会自动重算；若 Excel 提示是否重算，请选「是」。</t>
        </is>
      </c>
      <c r="B20" s="46" t="n"/>
      <c r="C20" s="46" t="n"/>
      <c r="D20" s="46" t="n"/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A8FA6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6" customWidth="1" min="2" max="2"/>
    <col width="50" customWidth="1" min="3" max="3"/>
    <col width="26" customWidth="1" min="4" max="4"/>
  </cols>
  <sheetData>
    <row r="1" ht="30" customHeight="1">
      <c r="A1" s="1" t="inlineStr">
        <is>
          <t>13 来源清单</t>
        </is>
      </c>
    </row>
    <row r="2" ht="30" customHeight="1">
      <c r="A2" s="2" t="inlineStr">
        <is>
          <t>每条价格都能回溯到这里列出的来源。</t>
        </is>
      </c>
    </row>
    <row r="4" ht="30" customHeight="1">
      <c r="A4" s="9" t="inlineStr">
        <is>
          <t>来源</t>
        </is>
      </c>
      <c r="B4" s="9" t="inlineStr">
        <is>
          <t>用于</t>
        </is>
      </c>
      <c r="C4" s="9" t="inlineStr">
        <is>
          <t>链接</t>
        </is>
      </c>
      <c r="D4" s="9" t="inlineStr">
        <is>
          <t>备注</t>
        </is>
      </c>
    </row>
    <row r="5" ht="40" customHeight="1">
      <c r="A5" s="47" t="inlineStr">
        <is>
          <t>生意社（100ppi.com）纯碱频道 · 商品动态</t>
        </is>
      </c>
      <c r="B5" s="10" t="inlineStr">
        <is>
          <t>全部价格观测的原始出处（华东日评 534 篇 + 基准价 770 篇）</t>
        </is>
      </c>
      <c r="C5" s="69" t="inlineStr">
        <is>
          <t>https://soda.100ppi.com/news/list--12-1.html</t>
        </is>
      </c>
      <c r="D5" s="16" t="inlineStr"/>
    </row>
    <row r="6" ht="40" customHeight="1">
      <c r="A6" s="48" t="inlineStr">
        <is>
          <t>生意社 华东地区纯碱市场日评（逐篇）</t>
        </is>
      </c>
      <c r="B6" s="11" t="inlineStr">
        <is>
          <t>S1 华东重质 / S2 华东轻质 的区间低-高-中值，每行均可点开原文核对</t>
        </is>
      </c>
      <c r="C6" s="70" t="inlineStr">
        <is>
          <t>https://www.100ppi.com/news/detail-20260728-5990717.html</t>
        </is>
      </c>
      <c r="D6" s="22" t="inlineStr"/>
    </row>
    <row r="7" ht="40" customHeight="1">
      <c r="A7" s="47" t="inlineStr">
        <is>
          <t>生意社 重质纯碱基准价（逐日）</t>
        </is>
      </c>
      <c r="B7" s="10" t="inlineStr">
        <is>
          <t>S3 全国重质基准价序列</t>
        </is>
      </c>
      <c r="C7" s="69" t="inlineStr">
        <is>
          <t>https://www.100ppi.com/rawmex/detail-737.html</t>
        </is>
      </c>
      <c r="D7" s="16" t="inlineStr"/>
    </row>
    <row r="8" ht="40" customHeight="1">
      <c r="A8" s="48" t="inlineStr">
        <is>
          <t>东方汇金期货晨会纪要（2025-09-08）</t>
        </is>
      </c>
      <c r="B8" s="11" t="inlineStr">
        <is>
          <t>第三方同日口径交叉校验（华东重碱 1260-1320 元/吨，库存 182.21 万吨）</t>
        </is>
      </c>
      <c r="C8" s="70" t="inlineStr">
        <is>
          <t>https://www.dfhjqh.com/news/1316.html</t>
        </is>
      </c>
      <c r="D8" s="22" t="inlineStr"/>
    </row>
    <row r="10" ht="30" customHeight="1">
      <c r="A10" s="24" t="inlineStr">
        <is>
          <t>报告生成时间 2026-10-20 16:03；数据基准日 2026-07-28。</t>
        </is>
      </c>
      <c r="B10" s="25" t="n"/>
      <c r="C10" s="25" t="n"/>
      <c r="D10" s="25" t="n"/>
    </row>
  </sheetData>
  <mergeCells count="3">
    <mergeCell ref="A1:D1"/>
    <mergeCell ref="A10:D10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2026-10-20T08:28:59Z</dcterms:created>
  <dcterms:modified xmlns:dcterms="http://purl.org/dc/terms/" xmlns:xsi="http://www.w3.org/2001/XMLSchema-instance" xsi:type="dcterms:W3CDTF">2026-10-20T08:29:02Z</dcterms:modified>
</cp:coreProperties>
</file>
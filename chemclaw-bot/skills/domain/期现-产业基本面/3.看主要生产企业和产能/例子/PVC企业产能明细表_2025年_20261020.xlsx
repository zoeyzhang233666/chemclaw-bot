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封面" sheetId="1" state="visible" r:id="rId1"/>
    <sheet xmlns:r="http://schemas.openxmlformats.org/officeDocument/2006/relationships" name="01_口径与样本范围" sheetId="2" state="visible" r:id="rId2"/>
    <sheet xmlns:r="http://schemas.openxmlformats.org/officeDocument/2006/relationships" name="02_核心结论" sheetId="3" state="visible" r:id="rId3"/>
    <sheet xmlns:r="http://schemas.openxmlformats.org/officeDocument/2006/relationships" name="03_集团汇总" sheetId="4" state="visible" r:id="rId4"/>
    <sheet xmlns:r="http://schemas.openxmlformats.org/officeDocument/2006/relationships" name="04_法人汇总" sheetId="5" state="visible" r:id="rId5"/>
    <sheet xmlns:r="http://schemas.openxmlformats.org/officeDocument/2006/relationships" name="05_基地清单" sheetId="6" state="visible" r:id="rId6"/>
    <sheet xmlns:r="http://schemas.openxmlformats.org/officeDocument/2006/relationships" name="06_装置明细" sheetId="7" state="visible" r:id="rId7"/>
    <sheet xmlns:r="http://schemas.openxmlformats.org/officeDocument/2006/relationships" name="07_区域汇总(省)" sheetId="8" state="visible" r:id="rId8"/>
    <sheet xmlns:r="http://schemas.openxmlformats.org/officeDocument/2006/relationships" name="08_区域汇总(市)" sheetId="9" state="visible" r:id="rId9"/>
    <sheet xmlns:r="http://schemas.openxmlformats.org/officeDocument/2006/relationships" name="09_工艺路线汇总" sheetId="10" state="visible" r:id="rId10"/>
    <sheet xmlns:r="http://schemas.openxmlformats.org/officeDocument/2006/relationships" name="10_产品等级汇总" sheetId="11" state="visible" r:id="rId11"/>
    <sheet xmlns:r="http://schemas.openxmlformats.org/officeDocument/2006/relationships" name="11_在建拟建项目" sheetId="12" state="visible" r:id="rId12"/>
    <sheet xmlns:r="http://schemas.openxmlformats.org/officeDocument/2006/relationships" name="12_新增净额还原" sheetId="13" state="visible" r:id="rId13"/>
    <sheet xmlns:r="http://schemas.openxmlformats.org/officeDocument/2006/relationships" name="13_重复统计校验" sheetId="14" state="visible" r:id="rId14"/>
    <sheet xmlns:r="http://schemas.openxmlformats.org/officeDocument/2006/relationships" name="14_汇总公式与溯源" sheetId="15" state="visible" r:id="rId15"/>
    <sheet xmlns:r="http://schemas.openxmlformats.org/officeDocument/2006/relationships" name="15_口径对比" sheetId="16" state="visible" r:id="rId16"/>
    <sheet xmlns:r="http://schemas.openxmlformats.org/officeDocument/2006/relationships" name="16_数据缺口" sheetId="17" state="visible" r:id="rId17"/>
    <sheet xmlns:r="http://schemas.openxmlformats.org/officeDocument/2006/relationships" name="17_来源清单" sheetId="18" state="visible" r:id="rId18"/>
    <sheet xmlns:r="http://schemas.openxmlformats.org/officeDocument/2006/relationships" name="18_企业集团关系树" sheetId="19" state="visible" r:id="rId19"/>
  </sheets>
  <definedNames>
    <definedName name="_xlnm._FilterDatabase" localSheetId="6" hidden="1">'06_装置明细'!$A$4:$W$49</definedName>
    <definedName name="_xlnm._FilterDatabase" localSheetId="11" hidden="1">'11_在建拟建项目'!$A$4:$S$18</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6">
    <font>
      <name val="Calibri"/>
      <family val="2"/>
      <color theme="1"/>
      <sz val="11"/>
      <scheme val="minor"/>
    </font>
    <font>
      <name val="微软雅黑"/>
      <b val="1"/>
      <color rgb="000F1E33"/>
      <sz val="22"/>
    </font>
    <font>
      <name val="微软雅黑"/>
      <color rgb="002F80C7"/>
      <sz val="11"/>
    </font>
    <font>
      <name val="微软雅黑"/>
      <color rgb="005A6A7D"/>
      <sz val="10"/>
    </font>
    <font>
      <name val="微软雅黑"/>
      <b val="1"/>
      <color rgb="004A5A6E"/>
      <sz val="10"/>
    </font>
    <font>
      <name val="微软雅黑"/>
      <color rgb="001A2636"/>
      <sz val="10"/>
    </font>
    <font>
      <name val="微软雅黑"/>
      <b val="1"/>
      <color rgb="00E8622C"/>
      <sz val="12"/>
    </font>
    <font>
      <name val="微软雅黑"/>
      <b val="1"/>
      <color rgb="000F1E33"/>
      <sz val="16"/>
    </font>
    <font>
      <name val="微软雅黑"/>
      <b val="1"/>
      <color rgb="00FFFFFF"/>
      <sz val="10"/>
    </font>
    <font>
      <name val="微软雅黑"/>
      <b val="1"/>
      <color rgb="00E8622C"/>
      <sz val="11"/>
    </font>
    <font>
      <name val="微软雅黑"/>
      <color rgb="004A5A6E"/>
      <sz val="9"/>
    </font>
    <font>
      <name val="微软雅黑"/>
      <b val="1"/>
      <sz val="10"/>
    </font>
    <font>
      <name val="微软雅黑"/>
      <i val="1"/>
      <color rgb="005A6A7D"/>
      <sz val="9"/>
    </font>
    <font>
      <name val="微软雅黑"/>
      <b val="1"/>
      <color rgb="00E8622C"/>
      <sz val="10"/>
    </font>
    <font>
      <name val="微软雅黑"/>
      <b val="1"/>
      <color rgb="00FFFFFF"/>
      <sz val="9"/>
    </font>
    <font>
      <name val="微软雅黑"/>
      <b val="1"/>
      <color rgb="001E7B52"/>
      <sz val="10"/>
    </font>
  </fonts>
  <fills count="9">
    <fill>
      <patternFill/>
    </fill>
    <fill>
      <patternFill patternType="gray125"/>
    </fill>
    <fill>
      <patternFill patternType="solid">
        <fgColor rgb="001C3557"/>
      </patternFill>
    </fill>
    <fill>
      <patternFill patternType="solid">
        <fgColor rgb="00F6F9FC"/>
      </patternFill>
    </fill>
    <fill>
      <patternFill patternType="solid">
        <fgColor rgb="00B7791F"/>
      </patternFill>
    </fill>
    <fill>
      <patternFill patternType="solid">
        <fgColor rgb="002F80C7"/>
      </patternFill>
    </fill>
    <fill>
      <patternFill patternType="solid">
        <fgColor rgb="001E7B52"/>
      </patternFill>
    </fill>
    <fill>
      <patternFill patternType="solid">
        <fgColor rgb="00C99A2E"/>
      </patternFill>
    </fill>
    <fill>
      <patternFill patternType="solid">
        <fgColor rgb="00C0392B"/>
      </patternFill>
    </fill>
  </fills>
  <borders count="2">
    <border>
      <left/>
      <right/>
      <top/>
      <bottom/>
      <diagonal/>
    </border>
    <border>
      <left style="thin">
        <color rgb="00C9D6E5"/>
      </left>
      <right style="thin">
        <color rgb="00C9D6E5"/>
      </right>
      <top style="thin">
        <color rgb="00C9D6E5"/>
      </top>
      <bottom style="thin">
        <color rgb="00C9D6E5"/>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horizontal="center" vertical="center" wrapText="1"/>
    </xf>
    <xf numFmtId="0" fontId="5" fillId="0" borderId="1" applyAlignment="1" pivotButton="0" quotePrefix="0" xfId="0">
      <alignment horizontal="left" vertical="top"/>
    </xf>
    <xf numFmtId="0" fontId="5" fillId="0" borderId="1" applyAlignment="1" pivotButton="0" quotePrefix="0" xfId="0">
      <alignment horizontal="left" vertical="top" wrapText="1"/>
    </xf>
    <xf numFmtId="164" fontId="5" fillId="0" borderId="1" applyAlignment="1" pivotButton="0" quotePrefix="0" xfId="0">
      <alignment horizontal="right" vertical="top"/>
    </xf>
    <xf numFmtId="0" fontId="5" fillId="3" borderId="1" applyAlignment="1" pivotButton="0" quotePrefix="0" xfId="0">
      <alignment horizontal="left" vertical="top"/>
    </xf>
    <xf numFmtId="0" fontId="5" fillId="3" borderId="1" applyAlignment="1" pivotButton="0" quotePrefix="0" xfId="0">
      <alignment horizontal="left" vertical="top" wrapText="1"/>
    </xf>
    <xf numFmtId="164" fontId="5" fillId="3" borderId="1" applyAlignment="1" pivotButton="0" quotePrefix="0" xfId="0">
      <alignment horizontal="right" vertical="top"/>
    </xf>
    <xf numFmtId="0" fontId="9" fillId="0" borderId="0" pivotButton="0" quotePrefix="0" xfId="0"/>
    <xf numFmtId="0" fontId="5" fillId="0" borderId="0" pivotButton="0" quotePrefix="0" xfId="0"/>
    <xf numFmtId="0" fontId="10" fillId="0" borderId="0" pivotButton="0" quotePrefix="0" xfId="0"/>
    <xf numFmtId="0" fontId="8" fillId="2" borderId="1" applyAlignment="1" pivotButton="0" quotePrefix="0" xfId="0">
      <alignment horizontal="center" wrapText="1"/>
    </xf>
    <xf numFmtId="0" fontId="5" fillId="0" borderId="1" pivotButton="0" quotePrefix="0" xfId="0"/>
    <xf numFmtId="164" fontId="5" fillId="0" borderId="1" pivotButton="0" quotePrefix="0" xfId="0"/>
    <xf numFmtId="165" fontId="5" fillId="0" borderId="1" pivotButton="0" quotePrefix="0" xfId="0"/>
    <xf numFmtId="0" fontId="8" fillId="2" borderId="1" applyAlignment="1" pivotButton="0" quotePrefix="0" xfId="0">
      <alignment horizontal="center"/>
    </xf>
    <xf numFmtId="165" fontId="5" fillId="0" borderId="1" applyAlignment="1" pivotButton="0" quotePrefix="0" xfId="0">
      <alignment horizontal="right" vertical="top"/>
    </xf>
    <xf numFmtId="165" fontId="5" fillId="3" borderId="1" applyAlignment="1" pivotButton="0" quotePrefix="0" xfId="0">
      <alignment horizontal="right" vertical="top"/>
    </xf>
    <xf numFmtId="0" fontId="11" fillId="0" borderId="0" pivotButton="0" quotePrefix="0" xfId="0"/>
    <xf numFmtId="164" fontId="11" fillId="0" borderId="0" pivotButton="0" quotePrefix="0" xfId="0"/>
    <xf numFmtId="0" fontId="12" fillId="0" borderId="0" pivotButton="0" quotePrefix="0" xfId="0"/>
    <xf numFmtId="0" fontId="13" fillId="0" borderId="0" pivotButton="0" quotePrefix="0" xfId="0"/>
    <xf numFmtId="0" fontId="14" fillId="4" borderId="1" applyAlignment="1" pivotButton="0" quotePrefix="0" xfId="0">
      <alignment horizontal="center"/>
    </xf>
    <xf numFmtId="0" fontId="14" fillId="5" borderId="1" applyAlignment="1" pivotButton="0" quotePrefix="0" xfId="0">
      <alignment horizontal="center"/>
    </xf>
    <xf numFmtId="0" fontId="15" fillId="0" borderId="0" pivotButton="0" quotePrefix="0" xfId="0"/>
    <xf numFmtId="0" fontId="14" fillId="6" borderId="1" applyAlignment="1" pivotButton="0" quotePrefix="0" xfId="0">
      <alignment horizontal="center"/>
    </xf>
    <xf numFmtId="0" fontId="14" fillId="7" borderId="1" applyAlignment="1" pivotButton="0" quotePrefix="0" xfId="0">
      <alignment horizontal="center"/>
    </xf>
    <xf numFmtId="0" fontId="14" fillId="8"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集团产能 Top15（样本口径）</a:t>
            </a:r>
          </a:p>
        </rich>
      </tx>
    </title>
    <plotArea>
      <barChart>
        <barDir val="bar"/>
        <grouping val="clustered"/>
        <ser>
          <idx val="0"/>
          <order val="0"/>
          <tx>
            <strRef>
              <f>'03_集团汇总'!E4</f>
            </strRef>
          </tx>
          <spPr>
            <a:ln xmlns:a="http://schemas.openxmlformats.org/drawingml/2006/main">
              <a:prstDash val="solid"/>
            </a:ln>
          </spPr>
          <cat>
            <numRef>
              <f>'03_集团汇总'!$B$5:$B$19</f>
            </numRef>
          </cat>
          <val>
            <numRef>
              <f>'03_集团汇总'!$E$5:$E$19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万吨/年</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省级产能分布（样本口径）</a:t>
            </a:r>
          </a:p>
        </rich>
      </tx>
    </title>
    <plotArea>
      <barChart>
        <barDir val="bar"/>
        <grouping val="clustered"/>
        <ser>
          <idx val="0"/>
          <order val="0"/>
          <tx>
            <strRef>
              <f>'07_区域汇总(省)'!B4</f>
            </strRef>
          </tx>
          <spPr>
            <a:ln xmlns:a="http://schemas.openxmlformats.org/drawingml/2006/main">
              <a:prstDash val="solid"/>
            </a:ln>
          </spPr>
          <cat>
            <numRef>
              <f>'07_区域汇总(省)'!$A$5:$A$19</f>
            </numRef>
          </cat>
          <val>
            <numRef>
              <f>'07_区域汇总(省)'!$B$5:$B$19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万吨/年</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工艺路线产能占比（样本口径）</a:t>
            </a:r>
          </a:p>
        </rich>
      </tx>
    </title>
    <plotArea>
      <pieChart>
        <varyColors val="1"/>
        <ser>
          <idx val="0"/>
          <order val="0"/>
          <tx>
            <strRef>
              <f>'09_工艺路线汇总'!C4</f>
            </strRef>
          </tx>
          <spPr>
            <a:ln xmlns:a="http://schemas.openxmlformats.org/drawingml/2006/main">
              <a:prstDash val="solid"/>
            </a:ln>
          </spPr>
          <cat>
            <numRef>
              <f>'09_工艺路线汇总'!$A$5:$A$6</f>
            </numRef>
          </cat>
          <val>
            <numRef>
              <f>'09_工艺路线汇总'!$C$5:$C$6</f>
            </numRef>
          </val>
        </ser>
        <dLbls>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12</col>
      <colOff>0</colOff>
      <row>3</row>
      <rowOff>0</rowOff>
    </from>
    <ext cx="792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11</col>
      <colOff>0</colOff>
      <row>3</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8</col>
      <colOff>0</colOff>
      <row>3</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2:C24"/>
  <sheetViews>
    <sheetView showGridLines="0" workbookViewId="0">
      <selection activeCell="A1" sqref="A1"/>
    </sheetView>
  </sheetViews>
  <sheetFormatPr baseColWidth="8" defaultRowHeight="15"/>
  <cols>
    <col width="3" customWidth="1" min="1" max="1"/>
    <col width="34" customWidth="1" min="2" max="2"/>
    <col width="96" customWidth="1" min="3" max="3"/>
  </cols>
  <sheetData>
    <row r="2" ht="34" customHeight="1">
      <c r="B2" s="1" t="inlineStr">
        <is>
          <t>聚氯乙烯 主要生产企业与产能分布</t>
        </is>
      </c>
    </row>
    <row r="3">
      <c r="B3" s="2" t="inlineStr">
        <is>
          <t>企业 → 集团 → 生产基地 → 装置 → 产品 五级可追溯数据包 · 统计口径：设计产能 · 数据年度 2025</t>
        </is>
      </c>
    </row>
    <row r="4">
      <c r="B4" s="3" t="inlineStr">
        <is>
          <t>地域范围：中国大陆　|　生成日期：2026-10-20　|　数据截止：2026-10-20（产能数据年度以 2025 年为主，部分为 2024/2026 年披露）</t>
        </is>
      </c>
    </row>
    <row r="6" ht="18" customHeight="1">
      <c r="B6" s="4" t="inlineStr">
        <is>
          <t>品种</t>
        </is>
      </c>
      <c r="C6" s="5" t="inlineStr">
        <is>
          <t>聚氯乙烯（9002-86-2）</t>
        </is>
      </c>
    </row>
    <row r="7" ht="18" customHeight="1">
      <c r="B7" s="4" t="inlineStr">
        <is>
          <t>统计基期</t>
        </is>
      </c>
      <c r="C7" s="5" t="inlineStr">
        <is>
          <t>2025</t>
        </is>
      </c>
    </row>
    <row r="8" ht="30" customHeight="1">
      <c r="B8" s="4" t="inlineStr">
        <is>
          <t>样本范围</t>
        </is>
      </c>
      <c r="C8" s="5" t="inlineStr">
        <is>
          <t>中国境内聚氯乙烯（PVC）树脂生产企业：覆盖主要集团全量基地 + 中型企业主要基地 + 已取得一手披露的独立厂；含电石法、乙烯法、煤制烯烃乙烯法。不含境外产能，不含 VCM/EDC 中间品贸易环节。</t>
        </is>
      </c>
    </row>
    <row r="9" ht="18" customHeight="1">
      <c r="B9" s="4" t="inlineStr">
        <is>
          <t>样本规模</t>
        </is>
      </c>
      <c r="C9" s="5" t="inlineStr">
        <is>
          <t>45 条装置记录 / 37 个生产基地 / 44 个法人主体 / 28 个集团</t>
        </is>
      </c>
    </row>
    <row r="10" ht="18" customHeight="1">
      <c r="B10" s="4" t="inlineStr">
        <is>
          <t>样本产能合计</t>
        </is>
      </c>
      <c r="C10" s="5" t="inlineStr">
        <is>
          <t>1,423.0 万吨/年（设计产能）</t>
        </is>
      </c>
    </row>
    <row r="11" ht="18" customHeight="1">
      <c r="B11" s="4" t="inlineStr">
        <is>
          <t>全国口径参考</t>
        </is>
      </c>
      <c r="C11" s="5" t="inlineStr">
        <is>
          <t>未取得</t>
        </is>
      </c>
    </row>
    <row r="12" ht="18" customHeight="1">
      <c r="B12" s="4" t="inlineStr">
        <is>
          <t>样本覆盖率</t>
        </is>
      </c>
      <c r="C12" s="5" t="inlineStr">
        <is>
          <t>无法计算</t>
        </is>
      </c>
    </row>
    <row r="13" ht="30" customHeight="1">
      <c r="B13" s="4" t="inlineStr">
        <is>
          <t>覆盖提醒</t>
        </is>
      </c>
      <c r="C13" s="5" t="inlineStr">
        <is>
          <t>本表为「样本口径」。全国约 71 家 PVC 生产企业中，本表仅覆盖主要集团与已取得可引用来源的企业；未覆盖企业的产能未计入，故样本合计 &lt; 全国产能，不得称为全国总产能。</t>
        </is>
      </c>
    </row>
    <row r="14" ht="18" customHeight="1">
      <c r="B14" s="4" t="inlineStr">
        <is>
          <t>数据缺口</t>
        </is>
      </c>
      <c r="C14" s="5" t="inlineStr">
        <is>
          <t>12 项（见 16_数据缺口）</t>
        </is>
      </c>
    </row>
    <row r="15" ht="18" customHeight="1">
      <c r="B15" s="4" t="inlineStr">
        <is>
          <t>来源数量</t>
        </is>
      </c>
      <c r="C15" s="5" t="inlineStr">
        <is>
          <t>79 条（见 17_来源清单）</t>
        </is>
      </c>
    </row>
    <row r="17">
      <c r="B17" s="6" t="inlineStr">
        <is>
          <t>阅读顺序与口径纪律</t>
        </is>
      </c>
    </row>
    <row r="18" ht="30" customHeight="1">
      <c r="B18" s="5" t="inlineStr">
        <is>
          <t>1) 先读 01_口径与样本范围，确认本表统计的是「设计产能」还是其他口径；不同口径严禁相加。</t>
        </is>
      </c>
    </row>
    <row r="19" ht="30" customHeight="1">
      <c r="B19" s="5" t="inlineStr">
        <is>
          <t>2) 06_装置明细是唯一事实层（装置级一行）。03/04/05/07/08/09/10 的合计均由该表筛选+求和得出，可在 14_汇总公式与溯源 核对。</t>
        </is>
      </c>
    </row>
    <row r="20" ht="30" customHeight="1">
      <c r="B20" s="5" t="inlineStr">
        <is>
          <t>3) 集团合计已合并其全部下属法人产能，不得再把某子公司产能与集团合计相加。</t>
        </is>
      </c>
    </row>
    <row r="21" ht="30" customHeight="1">
      <c r="B21" s="5" t="inlineStr">
        <is>
          <t>4) 样本合计 ≠ 全国产能；覆盖率见封面与 01 表，样本外企业未计入。</t>
        </is>
      </c>
    </row>
    <row r="22" ht="30" customHeight="1">
      <c r="B22" s="5" t="inlineStr">
        <is>
          <t>5) 11_在建拟建项目是「增量」，不得与存量相加；置换退出产能已在 12_新增净额还原 中扣减。</t>
        </is>
      </c>
    </row>
    <row r="23" ht="30" customHeight="1">
      <c r="B23" s="5" t="inlineStr">
        <is>
          <t>6) 13_重复统计校验 列出全部自动校验结果；ERROR 项必须在引用前处理。</t>
        </is>
      </c>
    </row>
    <row r="24" ht="30" customHeight="1">
      <c r="B24" s="5" t="inlineStr">
        <is>
          <t>7) 所有产能记录附来源编号与可信等级（A/B/C/D），D 级不得单独作为结论依据。</t>
        </is>
      </c>
    </row>
  </sheetData>
  <mergeCells count="11">
    <mergeCell ref="B21:C21"/>
    <mergeCell ref="B2:C2"/>
    <mergeCell ref="B24:C24"/>
    <mergeCell ref="B3:C3"/>
    <mergeCell ref="B19:C19"/>
    <mergeCell ref="B20:C20"/>
    <mergeCell ref="B23:C23"/>
    <mergeCell ref="B22:C22"/>
    <mergeCell ref="B17:C17"/>
    <mergeCell ref="B18:C1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
  <sheetViews>
    <sheetView showGridLines="0" workbookViewId="0">
      <pane ySplit="4" topLeftCell="A5" activePane="bottomLeft" state="frozen"/>
      <selection pane="bottomLeft" activeCell="A1" sqref="A1"/>
    </sheetView>
  </sheetViews>
  <sheetFormatPr baseColWidth="8" defaultRowHeight="15"/>
  <cols>
    <col width="8" customWidth="1" min="1" max="1"/>
    <col width="20" customWidth="1" min="2" max="2"/>
    <col width="44" customWidth="1" min="3" max="3"/>
    <col width="16" customWidth="1" min="4" max="4"/>
    <col width="10" customWidth="1" min="5" max="5"/>
    <col width="10" customWidth="1" min="6" max="6"/>
    <col width="12" customWidth="1" min="7" max="7"/>
    <col width="8" customWidth="1" min="8" max="8"/>
    <col width="52" customWidth="1" min="9" max="9"/>
  </cols>
  <sheetData>
    <row r="1" ht="24" customHeight="1">
      <c r="A1" s="7" t="inlineStr">
        <is>
          <t>统计口径、样本范围与使用边界</t>
        </is>
      </c>
    </row>
    <row r="2">
      <c r="A2" s="3" t="inlineStr">
        <is>
          <t>同一指标多套公开口径并列展示，不取平均；样本合计不等于全国总产能</t>
        </is>
      </c>
    </row>
    <row r="4" ht="30" customHeight="1">
      <c r="A4" s="8" t="inlineStr">
        <is>
          <t>编号</t>
        </is>
      </c>
      <c r="B4" s="8" t="inlineStr">
        <is>
          <t>口径/口径项</t>
        </is>
      </c>
      <c r="C4" s="8" t="inlineStr">
        <is>
          <t>定义</t>
        </is>
      </c>
      <c r="D4" s="8" t="inlineStr">
        <is>
          <t>数值/说明</t>
        </is>
      </c>
      <c r="E4" s="8" t="inlineStr">
        <is>
          <t>单位</t>
        </is>
      </c>
      <c r="F4" s="8" t="inlineStr">
        <is>
          <t>数据年份</t>
        </is>
      </c>
      <c r="G4" s="8" t="inlineStr">
        <is>
          <t>来源编号</t>
        </is>
      </c>
      <c r="H4" s="8" t="inlineStr">
        <is>
          <t>可信度</t>
        </is>
      </c>
      <c r="I4" s="8" t="inlineStr">
        <is>
          <t>备注</t>
        </is>
      </c>
    </row>
    <row r="5">
      <c r="A5" s="9" t="inlineStr">
        <is>
          <t>B01</t>
        </is>
      </c>
      <c r="B5" s="9" t="inlineStr">
        <is>
          <t>本表主口径</t>
        </is>
      </c>
      <c r="C5" s="10" t="inlineStr">
        <is>
          <t>所有汇总（03-10 表）默认使用的产能口径</t>
        </is>
      </c>
      <c r="D5" s="11" t="inlineStr">
        <is>
          <t>设计产能（铭牌/名义）</t>
        </is>
      </c>
      <c r="E5" s="9" t="inlineStr">
        <is>
          <t>万吨/年</t>
        </is>
      </c>
      <c r="F5" s="9" t="n">
        <v>2025</v>
      </c>
      <c r="G5" s="9" t="inlineStr"/>
      <c r="H5" s="9" t="inlineStr">
        <is>
          <t>A</t>
        </is>
      </c>
      <c r="I5" s="10" t="inlineStr">
        <is>
          <t>与各公司年报「设计产能/产能」栏目口径一致</t>
        </is>
      </c>
    </row>
    <row r="6">
      <c r="A6" s="12" t="inlineStr">
        <is>
          <t>B02</t>
        </is>
      </c>
      <c r="B6" s="12" t="inlineStr">
        <is>
          <t>有效产能口径</t>
        </is>
      </c>
      <c r="C6" s="13" t="inlineStr">
        <is>
          <t>扣除长期停产、限产、检修后的可用能力</t>
        </is>
      </c>
      <c r="D6" s="14" t="inlineStr">
        <is>
          <t>仅部分基地可得，见 06 表 basis 字段</t>
        </is>
      </c>
      <c r="E6" s="12" t="inlineStr">
        <is>
          <t>万吨/年</t>
        </is>
      </c>
      <c r="F6" s="12" t="n">
        <v>2025</v>
      </c>
      <c r="G6" s="12" t="inlineStr"/>
      <c r="H6" s="12" t="inlineStr">
        <is>
          <t>B</t>
        </is>
      </c>
      <c r="I6" s="13" t="inlineStr">
        <is>
          <t>未取得行业统一口径，故不做有效产能全口径合计</t>
        </is>
      </c>
    </row>
    <row r="7">
      <c r="A7" s="9" t="inlineStr">
        <is>
          <t>B03</t>
        </is>
      </c>
      <c r="B7" s="9" t="inlineStr">
        <is>
          <t>实际产量口径</t>
        </is>
      </c>
      <c r="C7" s="10" t="inlineStr">
        <is>
          <t>年度实际产出，用于计算开工率</t>
        </is>
      </c>
      <c r="D7" s="11" t="inlineStr">
        <is>
          <t>见 15_口径对比</t>
        </is>
      </c>
      <c r="E7" s="9" t="inlineStr">
        <is>
          <t>万吨/年</t>
        </is>
      </c>
      <c r="F7" s="9" t="n">
        <v>2025</v>
      </c>
      <c r="G7" s="9" t="inlineStr"/>
      <c r="H7" s="9" t="inlineStr">
        <is>
          <t>A</t>
        </is>
      </c>
      <c r="I7" s="10" t="inlineStr">
        <is>
          <t>产量≠产能，禁止混用</t>
        </is>
      </c>
    </row>
    <row r="8">
      <c r="A8" s="12" t="inlineStr">
        <is>
          <t>BM01</t>
        </is>
      </c>
      <c r="B8" s="12" t="inlineStr">
        <is>
          <t>全国 PVC 产能（协会口径·氯碱网）</t>
        </is>
      </c>
      <c r="C8" s="13" t="inlineStr">
        <is>
          <t>协会口径年末产能；净增 205 万吨</t>
        </is>
      </c>
      <c r="D8" s="14" t="n">
        <v>2993</v>
      </c>
      <c r="E8" s="12" t="inlineStr">
        <is>
          <t>万吨/年</t>
        </is>
      </c>
      <c r="F8" s="12" t="n">
        <v>2025</v>
      </c>
      <c r="G8" s="12" t="inlineStr">
        <is>
          <t>S44</t>
        </is>
      </c>
      <c r="H8" s="12" t="inlineStr">
        <is>
          <t>B</t>
        </is>
      </c>
      <c r="I8" s="13" t="inlineStr">
        <is>
          <t>⚠ 修正：此前常被引作 3,088 万吨并冠以「中国氯碱网」。经复核，3,038 万吨系百川盈孚口径，2,993 万吨为中国氯碱工业协会口径，2,962 万吨为商务部口径。三者不可混用，本表并列保留。</t>
        </is>
      </c>
    </row>
    <row r="9">
      <c r="A9" s="9" t="inlineStr">
        <is>
          <t>BM02</t>
        </is>
      </c>
      <c r="B9" s="9" t="inlineStr">
        <is>
          <t>产能净增（协会口径）</t>
        </is>
      </c>
      <c r="C9" s="10" t="inlineStr">
        <is>
          <t>协会口径净增</t>
        </is>
      </c>
      <c r="D9" s="11" t="n">
        <v>205</v>
      </c>
      <c r="E9" s="9" t="inlineStr">
        <is>
          <t>万吨/年</t>
        </is>
      </c>
      <c r="F9" s="9" t="n">
        <v>2025</v>
      </c>
      <c r="G9" s="9" t="inlineStr">
        <is>
          <t>S44</t>
        </is>
      </c>
      <c r="H9" s="9" t="inlineStr">
        <is>
          <t>B</t>
        </is>
      </c>
      <c r="I9" s="10" t="inlineStr">
        <is>
          <t>⚠ 与北元年报转引的「净增 137 万吨」矛盾。两者不是同年同口径，禁止混用。本报告并列呈现。</t>
        </is>
      </c>
    </row>
    <row r="10">
      <c r="A10" s="12" t="inlineStr">
        <is>
          <t>BM03</t>
        </is>
      </c>
      <c r="B10" s="12" t="inlineStr">
        <is>
          <t>全国 PVC 产量</t>
        </is>
      </c>
      <c r="C10" s="13" t="inlineStr">
        <is>
          <t>年度实际产出</t>
        </is>
      </c>
      <c r="D10" s="14" t="n">
        <v>2300</v>
      </c>
      <c r="E10" s="12" t="inlineStr">
        <is>
          <t>万吨</t>
        </is>
      </c>
      <c r="F10" s="12" t="n">
        <v>2025</v>
      </c>
      <c r="G10" s="12" t="inlineStr">
        <is>
          <t>S05</t>
        </is>
      </c>
      <c r="H10" s="12" t="inlineStr">
        <is>
          <t>A</t>
        </is>
      </c>
      <c r="I10" s="13" t="inlineStr">
        <is>
          <t>英力特年报口径 2,285 万吨；华经口径 2,394 万吨</t>
        </is>
      </c>
    </row>
    <row r="11">
      <c r="A11" s="9" t="inlineStr">
        <is>
          <t>BM04</t>
        </is>
      </c>
      <c r="B11" s="9" t="inlineStr">
        <is>
          <t>行业开工率</t>
        </is>
      </c>
      <c r="C11" s="10" t="inlineStr">
        <is>
          <t>产量/产能</t>
        </is>
      </c>
      <c r="D11" s="11" t="n">
        <v>74</v>
      </c>
      <c r="E11" s="9" t="inlineStr">
        <is>
          <t>%</t>
        </is>
      </c>
      <c r="F11" s="9" t="n">
        <v>2025</v>
      </c>
      <c r="G11" s="9" t="inlineStr">
        <is>
          <t>S05</t>
        </is>
      </c>
      <c r="H11" s="9" t="inlineStr">
        <is>
          <t>A</t>
        </is>
      </c>
      <c r="I11" s="10" t="inlineStr">
        <is>
          <t>较 2024 年降 1 个百分点；中盐口径为 81.45%（分母不同）</t>
        </is>
      </c>
    </row>
    <row r="12">
      <c r="A12" s="12" t="inlineStr">
        <is>
          <t>BM05</t>
        </is>
      </c>
      <c r="B12" s="12" t="inlineStr">
        <is>
          <t>生产企业数</t>
        </is>
      </c>
      <c r="C12" s="13" t="inlineStr">
        <is>
          <t>年末在册 PVC 生产企业</t>
        </is>
      </c>
      <c r="D12" s="14" t="n">
        <v>71</v>
      </c>
      <c r="E12" s="12" t="inlineStr">
        <is>
          <t>家</t>
        </is>
      </c>
      <c r="F12" s="12" t="n">
        <v>2025</v>
      </c>
      <c r="G12" s="12" t="inlineStr">
        <is>
          <t>S05</t>
        </is>
      </c>
      <c r="H12" s="12" t="inlineStr">
        <is>
          <t>A</t>
        </is>
      </c>
      <c r="I12" s="13" t="inlineStr">
        <is>
          <t>较上年减少 2 家</t>
        </is>
      </c>
    </row>
    <row r="13">
      <c r="A13" s="9" t="inlineStr">
        <is>
          <t>BM06</t>
        </is>
      </c>
      <c r="B13" s="9" t="inlineStr">
        <is>
          <t>乙烯法产能占比</t>
        </is>
      </c>
      <c r="C13" s="10" t="inlineStr">
        <is>
          <t>乙烯法产能/总产能</t>
        </is>
      </c>
      <c r="D13" s="11" t="n">
        <v>30</v>
      </c>
      <c r="E13" s="9" t="inlineStr">
        <is>
          <t>%</t>
        </is>
      </c>
      <c r="F13" s="9" t="n">
        <v>2025</v>
      </c>
      <c r="G13" s="9" t="inlineStr">
        <is>
          <t>S05</t>
        </is>
      </c>
      <c r="H13" s="9" t="inlineStr">
        <is>
          <t>A</t>
        </is>
      </c>
      <c r="I13" s="10" t="inlineStr">
        <is>
          <t>2024 年为 26%，预计 2030 年超 40%</t>
        </is>
      </c>
    </row>
    <row r="14">
      <c r="A14" s="12" t="inlineStr">
        <is>
          <t>BM07</t>
        </is>
      </c>
      <c r="B14" s="12" t="inlineStr">
        <is>
          <t>2025 年新增产能中乙烯法占比（修正）</t>
        </is>
      </c>
      <c r="C14" s="13" t="inlineStr">
        <is>
          <t>年报原文：乙烯法新增 172 万吨，占当年新增 204 万吨的 84.3%</t>
        </is>
      </c>
      <c r="D14" s="14" t="n">
        <v>84.3</v>
      </c>
      <c r="E14" s="12" t="inlineStr">
        <is>
          <t>%</t>
        </is>
      </c>
      <c r="F14" s="12" t="n">
        <v>2025</v>
      </c>
      <c r="G14" s="12" t="inlineStr">
        <is>
          <t>S05</t>
        </is>
      </c>
      <c r="H14" s="12" t="inlineStr">
        <is>
          <t>A</t>
        </is>
      </c>
      <c r="I14" s="13" t="inlineStr">
        <is>
          <t>⚠ 需与「实际投产装置」区分：2025 年实际投产的陕西金泰神木 60 万吨、甘肃耀望 30 万吨共 90 万吨为电石法（无汞示范装置）。年报的 84.3% 是「新增产能（含改扩建）」口径，不等于「2025 年新投产装置」。两个概念不可混用。</t>
        </is>
      </c>
    </row>
    <row r="15">
      <c r="A15" s="9" t="inlineStr">
        <is>
          <t>BM08</t>
        </is>
      </c>
      <c r="B15" s="9" t="inlineStr">
        <is>
          <t>全国 PVC 产能（另一口径）</t>
        </is>
      </c>
      <c r="C15" s="10" t="inlineStr">
        <is>
          <t>电石法 2,055 + 乙烯法 877；未特别说明糊树脂是否单列</t>
        </is>
      </c>
      <c r="D15" s="11" t="n">
        <v>2932</v>
      </c>
      <c r="E15" s="9" t="inlineStr">
        <is>
          <t>万吨/年</t>
        </is>
      </c>
      <c r="F15" s="9" t="n">
        <v>2025</v>
      </c>
      <c r="G15" s="9" t="inlineStr">
        <is>
          <t>S11</t>
        </is>
      </c>
      <c r="H15" s="9" t="inlineStr">
        <is>
          <t>A</t>
        </is>
      </c>
      <c r="I15" s="10" t="inlineStr">
        <is>
          <t>低于 BM01，差额约 156 万吨，接近糊树脂 162 万吨</t>
        </is>
      </c>
    </row>
    <row r="16">
      <c r="A16" s="12" t="inlineStr">
        <is>
          <t>BM09</t>
        </is>
      </c>
      <c r="B16" s="12" t="inlineStr">
        <is>
          <t>全国 PVC 产能（另一口径）</t>
        </is>
      </c>
      <c r="C16" s="13" t="inlineStr">
        <is>
          <t>含聚氯乙烯糊状树脂 164.5 万吨；电石法 70% / 乙烯法 30%</t>
        </is>
      </c>
      <c r="D16" s="14" t="n">
        <v>3087.5</v>
      </c>
      <c r="E16" s="12" t="inlineStr">
        <is>
          <t>万吨/年</t>
        </is>
      </c>
      <c r="F16" s="12" t="n">
        <v>2025</v>
      </c>
      <c r="G16" s="12" t="inlineStr">
        <is>
          <t>S12</t>
        </is>
      </c>
      <c r="H16" s="12" t="inlineStr">
        <is>
          <t>A</t>
        </is>
      </c>
      <c r="I16" s="13" t="inlineStr">
        <is>
          <t>与 BM01 基本一致（差 0.5 万吨），可互为印证</t>
        </is>
      </c>
    </row>
    <row r="17">
      <c r="A17" s="9" t="inlineStr">
        <is>
          <t>BM10</t>
        </is>
      </c>
      <c r="B17" s="9" t="inlineStr">
        <is>
          <t>全国 PVC 产能（第三方）</t>
        </is>
      </c>
      <c r="C17" s="10" t="inlineStr">
        <is>
          <t>乙烯法 27.39%、电石法 72.61%</t>
        </is>
      </c>
      <c r="D17" s="11" t="n">
        <v>3017</v>
      </c>
      <c r="E17" s="9" t="inlineStr">
        <is>
          <t>万吨/年</t>
        </is>
      </c>
      <c r="F17" s="9" t="n">
        <v>2025</v>
      </c>
      <c r="G17" s="9" t="inlineStr">
        <is>
          <t>S42</t>
        </is>
      </c>
      <c r="H17" s="9" t="inlineStr">
        <is>
          <t>C</t>
        </is>
      </c>
      <c r="I17" s="10" t="inlineStr">
        <is>
          <t>第三方口径，与协会口径差异明显</t>
        </is>
      </c>
    </row>
    <row r="18">
      <c r="A18" s="12" t="inlineStr">
        <is>
          <t>BM11</t>
        </is>
      </c>
      <c r="B18" s="12" t="inlineStr">
        <is>
          <t>全国 PVC 产能（券商口径）</t>
        </is>
      </c>
      <c r="C18" s="13" t="inlineStr">
        <is>
          <t>2018-2025 由 2,490 增至 3,038 万吨，CAGR 约 2.9%</t>
        </is>
      </c>
      <c r="D18" s="14" t="n">
        <v>3038</v>
      </c>
      <c r="E18" s="12" t="inlineStr">
        <is>
          <t>万吨/年</t>
        </is>
      </c>
      <c r="F18" s="12" t="n">
        <v>2025</v>
      </c>
      <c r="G18" s="12" t="inlineStr">
        <is>
          <t>S43</t>
        </is>
      </c>
      <c r="H18" s="12" t="inlineStr">
        <is>
          <t>B</t>
        </is>
      </c>
      <c r="I18" s="13" t="inlineStr">
        <is>
          <t>产量 2,394 万吨</t>
        </is>
      </c>
    </row>
    <row r="19">
      <c r="A19" s="9" t="inlineStr">
        <is>
          <t>BM12</t>
        </is>
      </c>
      <c r="B19" s="9" t="inlineStr">
        <is>
          <t>2025 年底产能（隆众预估）</t>
        </is>
      </c>
      <c r="C19" s="10" t="inlineStr">
        <is>
          <t>预估 2025 年投产 250 万吨（电石法 60、乙烯法 190）后的年末产能</t>
        </is>
      </c>
      <c r="D19" s="11" t="n">
        <v>2972</v>
      </c>
      <c r="E19" s="9" t="inlineStr">
        <is>
          <t>万吨/年</t>
        </is>
      </c>
      <c r="F19" s="9" t="n">
        <v>2025</v>
      </c>
      <c r="G19" s="9" t="inlineStr">
        <is>
          <t>S44</t>
        </is>
      </c>
      <c r="H19" s="9" t="inlineStr">
        <is>
          <t>B</t>
        </is>
      </c>
      <c r="I19" s="10" t="inlineStr">
        <is>
          <t>预估值，非年末实测</t>
        </is>
      </c>
    </row>
    <row r="20">
      <c r="A20" s="12" t="inlineStr">
        <is>
          <t>BM13</t>
        </is>
      </c>
      <c r="B20" s="12" t="inlineStr">
        <is>
          <t>CR4（产能集中度）</t>
        </is>
      </c>
      <c r="C20" s="13" t="inlineStr">
        <is>
          <t>前四大企业产能合计占比</t>
        </is>
      </c>
      <c r="D20" s="14" t="n">
        <v>20.5</v>
      </c>
      <c r="E20" s="12" t="inlineStr">
        <is>
          <t>%</t>
        </is>
      </c>
      <c r="F20" s="12" t="n">
        <v>2025</v>
      </c>
      <c r="G20" s="12" t="inlineStr">
        <is>
          <t>S42</t>
        </is>
      </c>
      <c r="H20" s="12" t="inlineStr">
        <is>
          <t>C</t>
        </is>
      </c>
      <c r="I20" s="13" t="inlineStr">
        <is>
          <t>与协会口径的集中度可能不同</t>
        </is>
      </c>
    </row>
    <row r="21">
      <c r="A21" s="9" t="inlineStr">
        <is>
          <t>BM14</t>
        </is>
      </c>
      <c r="B21" s="9" t="inlineStr">
        <is>
          <t>2016-2025 累计退出产能</t>
        </is>
      </c>
      <c r="C21" s="10" t="inlineStr">
        <is>
          <t>其中电石法纯粉退出 288 万吨（占 70% 以上）；2020 年后退出全部为电石法</t>
        </is>
      </c>
      <c r="D21" s="11" t="n">
        <v>406.7</v>
      </c>
      <c r="E21" s="9" t="inlineStr">
        <is>
          <t>万吨/年</t>
        </is>
      </c>
      <c r="F21" s="9" t="n">
        <v>2016</v>
      </c>
      <c r="G21" s="9" t="inlineStr">
        <is>
          <t>S05</t>
        </is>
      </c>
      <c r="H21" s="9" t="inlineStr">
        <is>
          <t>A</t>
        </is>
      </c>
      <c r="I21" s="10" t="inlineStr">
        <is>
          <t>退出较多省份：山东、江苏、山西、河南、河北</t>
        </is>
      </c>
    </row>
    <row r="22">
      <c r="A22" s="12" t="inlineStr">
        <is>
          <t>BM15</t>
        </is>
      </c>
      <c r="B22" s="12" t="inlineStr">
        <is>
          <t>长期停车装置</t>
        </is>
      </c>
      <c r="C22" s="13" t="inlineStr">
        <is>
          <t>2025 年约有超 100 万吨装置停车超一年</t>
        </is>
      </c>
      <c r="D22" s="14" t="n">
        <v>100</v>
      </c>
      <c r="E22" s="12" t="inlineStr">
        <is>
          <t>万吨/年</t>
        </is>
      </c>
      <c r="F22" s="12" t="n">
        <v>2025</v>
      </c>
      <c r="G22" s="12" t="inlineStr">
        <is>
          <t>S05</t>
        </is>
      </c>
      <c r="H22" s="12" t="inlineStr">
        <is>
          <t>A</t>
        </is>
      </c>
      <c r="I22" s="13" t="inlineStr">
        <is>
          <t>「约」「超」为原文限定词，非精确值</t>
        </is>
      </c>
    </row>
    <row r="23">
      <c r="A23" s="9" t="inlineStr">
        <is>
          <t>BM16</t>
        </is>
      </c>
      <c r="B23" s="9" t="inlineStr">
        <is>
          <t>中国占全球产能比重</t>
        </is>
      </c>
      <c r="C23" s="10" t="inlineStr">
        <is>
          <t>产能占全球约 48%、产量约 46%</t>
        </is>
      </c>
      <c r="D23" s="11" t="n">
        <v>48</v>
      </c>
      <c r="E23" s="9" t="inlineStr">
        <is>
          <t>%</t>
        </is>
      </c>
      <c r="F23" s="9" t="n">
        <v>2025</v>
      </c>
      <c r="G23" s="9" t="inlineStr">
        <is>
          <t>S05</t>
        </is>
      </c>
      <c r="H23" s="9" t="inlineStr">
        <is>
          <t>A</t>
        </is>
      </c>
      <c r="I23" s="10" t="inlineStr"/>
    </row>
    <row r="24">
      <c r="A24" s="12" t="inlineStr">
        <is>
          <t>BM17</t>
        </is>
      </c>
      <c r="B24" s="12" t="inlineStr">
        <is>
          <t>表观消费量</t>
        </is>
      </c>
      <c r="C24" s="13" t="inlineStr">
        <is>
          <t>同比 -2.0%</t>
        </is>
      </c>
      <c r="D24" s="14" t="n">
        <v>1941</v>
      </c>
      <c r="E24" s="12" t="inlineStr">
        <is>
          <t>万吨</t>
        </is>
      </c>
      <c r="F24" s="12" t="n">
        <v>2025</v>
      </c>
      <c r="G24" s="12" t="inlineStr">
        <is>
          <t>S05</t>
        </is>
      </c>
      <c r="H24" s="12" t="inlineStr">
        <is>
          <t>A</t>
        </is>
      </c>
      <c r="I24" s="13" t="inlineStr"/>
    </row>
    <row r="25">
      <c r="A25" s="9" t="inlineStr">
        <is>
          <t>BM18</t>
        </is>
      </c>
      <c r="B25" s="9" t="inlineStr">
        <is>
          <t>PVC 出口量</t>
        </is>
      </c>
      <c r="C25" s="10" t="inlineStr">
        <is>
          <t>同比增长 46.09%，创历史新高</t>
        </is>
      </c>
      <c r="D25" s="11" t="n">
        <v>382.32</v>
      </c>
      <c r="E25" s="9" t="inlineStr">
        <is>
          <t>万吨</t>
        </is>
      </c>
      <c r="F25" s="9" t="n">
        <v>2025</v>
      </c>
      <c r="G25" s="9" t="inlineStr">
        <is>
          <t>S17</t>
        </is>
      </c>
      <c r="H25" s="9" t="inlineStr">
        <is>
          <t>A</t>
        </is>
      </c>
      <c r="I25" s="10" t="inlineStr">
        <is>
          <t>进口 22.67 万吨</t>
        </is>
      </c>
    </row>
    <row r="26">
      <c r="A26" s="12" t="inlineStr">
        <is>
          <t>BM19</t>
        </is>
      </c>
      <c r="B26" s="12" t="inlineStr">
        <is>
          <t>中国在建 PVC 项目（可核查清单口径）</t>
        </is>
      </c>
      <c r="C26" s="13" t="inlineStr">
        <is>
          <t>万融 96 + 天业十户滩 50 + 广西华谊 30 + 嘉化 30 + 信发华兴二期 20 = 226 万吨</t>
        </is>
      </c>
      <c r="D26" s="14" t="n">
        <v>226</v>
      </c>
      <c r="E26" s="12" t="inlineStr">
        <is>
          <t>万吨/年</t>
        </is>
      </c>
      <c r="F26" s="12" t="n">
        <v>2026</v>
      </c>
      <c r="G26" s="12" t="inlineStr">
        <is>
          <t>S61</t>
        </is>
      </c>
      <c r="H26" s="12" t="inlineStr">
        <is>
          <t>B</t>
        </is>
      </c>
      <c r="I26" s="13" t="inlineStr">
        <is>
          <t>⚠ 修正：广为流传的「在建 8 个项目 370 万吨」出自标普全球分析师会议表述，未公布项目名单。逐条落到书面来源仅 226 万吨，缺口 144 万吨无公开项目对应，不可当作项目清单使用。</t>
        </is>
      </c>
    </row>
    <row r="27">
      <c r="A27" s="9" t="inlineStr">
        <is>
          <t>BM20</t>
        </is>
      </c>
      <c r="B27" s="9" t="inlineStr">
        <is>
          <t>2025 年 PVC 产量（第三方）</t>
        </is>
      </c>
      <c r="C27" s="10" t="inlineStr">
        <is>
          <t>同比 +7.8%</t>
        </is>
      </c>
      <c r="D27" s="11" t="n">
        <v>2394</v>
      </c>
      <c r="E27" s="9" t="inlineStr">
        <is>
          <t>万吨</t>
        </is>
      </c>
      <c r="F27" s="9" t="n">
        <v>2025</v>
      </c>
      <c r="G27" s="9" t="inlineStr">
        <is>
          <t>S43</t>
        </is>
      </c>
      <c r="H27" s="9" t="inlineStr">
        <is>
          <t>B</t>
        </is>
      </c>
      <c r="I27" s="10" t="inlineStr">
        <is>
          <t>与 BM03 的 2,300 万吨差异约 4%</t>
        </is>
      </c>
    </row>
    <row r="28">
      <c r="A28" s="12" t="inlineStr">
        <is>
          <t>BM21</t>
        </is>
      </c>
      <c r="B28" s="12" t="inlineStr">
        <is>
          <t>糊状树脂产能</t>
        </is>
      </c>
      <c r="C28" s="13" t="inlineStr">
        <is>
          <t>包含在 3,088 万吨口径内</t>
        </is>
      </c>
      <c r="D28" s="14" t="n">
        <v>162</v>
      </c>
      <c r="E28" s="12" t="inlineStr">
        <is>
          <t>万吨/年</t>
        </is>
      </c>
      <c r="F28" s="12" t="n">
        <v>2025</v>
      </c>
      <c r="G28" s="12" t="inlineStr">
        <is>
          <t>S05</t>
        </is>
      </c>
      <c r="H28" s="12" t="inlineStr">
        <is>
          <t>A</t>
        </is>
      </c>
      <c r="I28" s="13" t="inlineStr">
        <is>
          <t>英力特口径为 164.5 万吨——不同来源差 2.5 万吨</t>
        </is>
      </c>
    </row>
    <row r="29">
      <c r="A29" s="9" t="inlineStr">
        <is>
          <t>BM22</t>
        </is>
      </c>
      <c r="B29" s="9" t="inlineStr">
        <is>
          <t>西北地区产能占比</t>
        </is>
      </c>
      <c r="C29" s="10" t="inlineStr">
        <is>
          <t>2022 年数据（华东 24%、华北 13%）</t>
        </is>
      </c>
      <c r="D29" s="11" t="n">
        <v>49</v>
      </c>
      <c r="E29" s="9" t="inlineStr">
        <is>
          <t>%</t>
        </is>
      </c>
      <c r="F29" s="9" t="n">
        <v>2022</v>
      </c>
      <c r="G29" s="9" t="inlineStr">
        <is>
          <t>S41</t>
        </is>
      </c>
      <c r="H29" s="9" t="inlineStr">
        <is>
          <t>C</t>
        </is>
      </c>
      <c r="I29" s="10" t="inlineStr">
        <is>
          <t>年份较早，仅作趋势参考</t>
        </is>
      </c>
    </row>
    <row r="30">
      <c r="A30" s="12" t="inlineStr">
        <is>
          <t>BM01b</t>
        </is>
      </c>
      <c r="B30" s="12" t="inlineStr">
        <is>
          <t>全国 PVC 产能（北元年报转引氯碱网）</t>
        </is>
      </c>
      <c r="C30" s="13" t="inlineStr">
        <is>
          <t>含聚氯乙烯糊状树脂 162 万吨；净增 137 万吨（新增 204 / 退出 67）</t>
        </is>
      </c>
      <c r="D30" s="14" t="n">
        <v>3088</v>
      </c>
      <c r="E30" s="12" t="inlineStr">
        <is>
          <t>万吨/年</t>
        </is>
      </c>
      <c r="F30" s="12" t="n">
        <v>2025</v>
      </c>
      <c r="G30" s="12" t="inlineStr">
        <is>
          <t>S05</t>
        </is>
      </c>
      <c r="H30" s="12" t="inlineStr">
        <is>
          <t>A</t>
        </is>
      </c>
      <c r="I30" s="13" t="inlineStr">
        <is>
          <t>上市公司年报原文口径。与协会 2,993 万吨差 95 万吨。原文如此，照录不调和。</t>
        </is>
      </c>
    </row>
    <row r="31">
      <c r="A31" s="9" t="inlineStr">
        <is>
          <t>BM01c</t>
        </is>
      </c>
      <c r="B31" s="9" t="inlineStr">
        <is>
          <t>全国 PVC 产能（商务部口径）</t>
        </is>
      </c>
      <c r="C31" s="10" t="inlineStr">
        <is>
          <t>未公开完整定义</t>
        </is>
      </c>
      <c r="D31" s="11" t="n">
        <v>2962</v>
      </c>
      <c r="E31" s="9" t="inlineStr">
        <is>
          <t>万吨/年</t>
        </is>
      </c>
      <c r="F31" s="9" t="n">
        <v>2025</v>
      </c>
      <c r="G31" s="9" t="inlineStr">
        <is>
          <t>S60</t>
        </is>
      </c>
      <c r="H31" s="9" t="inlineStr">
        <is>
          <t>C</t>
        </is>
      </c>
      <c r="I31" s="10" t="inlineStr">
        <is>
          <t>四套口径中的最低值。</t>
        </is>
      </c>
    </row>
    <row r="33">
      <c r="A33" s="15" t="inlineStr">
        <is>
          <t>口径判定规则（行业统计口径是否包含联产/副产/长期停车/不同等级）</t>
        </is>
      </c>
    </row>
    <row r="34" ht="30" customHeight="1">
      <c r="A34" s="5" t="inlineStr">
        <is>
          <t>• 【联产/副产】PVC 装置与烧碱装置在氯碱平衡意义上是联产的（每吨 PVC 约联产 0.7 吨烧碱），但行业统计的「PVC 产能」只计 PVC 树脂本身，不把烧碱并入；因此本报告 PVC 产能与烧碱产能分列，不合并。</t>
        </is>
      </c>
    </row>
    <row r="35" ht="16" customHeight="1">
      <c r="A35" s="5" t="inlineStr">
        <is>
          <t>• 【副产】电石法 PVC 副产电石渣，并配套电石渣制水泥，水泥产能不能计入 PVC。乙烯法 PVC 与乙烯装置深度耦合，乙烯产能按乙烯计，不重复计入 PVC。</t>
        </is>
      </c>
    </row>
    <row r="36" ht="30" customHeight="1">
      <c r="A36" s="5" t="inlineStr">
        <is>
          <t>• 【不同产品等级】3,088 万吨的行业口径明确「包含聚氯乙烯糊状树脂 162 万吨」。糊树脂与通用悬浮树脂同属 PVC，故本报告将通用树脂、专用料、糊树脂一并计入总量，但在「产品等级」维度单列，便于与只统计纯粉的口径对比。</t>
        </is>
      </c>
    </row>
    <row r="37" ht="30" customHeight="1">
      <c r="A37" s="5" t="inlineStr">
        <is>
          <t>• 【长期停产】行业产能口径按「在册产能」统计，通常包含长期停车装置——北元年报明确指出 2025 年约有超 100 万吨装置停车超一年。因此「产能」显著高于「有效产能」，两者不可混用。</t>
        </is>
      </c>
    </row>
    <row r="38" ht="16" customHeight="1">
      <c r="A38" s="5" t="inlineStr">
        <is>
          <t>• 【已退出/注销】2020 年后退出产能全部为电石法。已注销法人（如石河子天域新实，2026-02 注销）若按旧资料录入会与吸收合并方重复，须以最新法人存续状态为准。</t>
        </is>
      </c>
    </row>
    <row r="39" ht="16" customHeight="1">
      <c r="A39" s="5" t="inlineStr">
        <is>
          <t>• 【集团 vs 上市公司】集团口径与上市主体口径不同：天业集团含上市公司 134 万吨及在建 50 万吨；上市公司仅 134 万吨。引用时必须标明是「集团」还是「上市主体」。</t>
        </is>
      </c>
    </row>
  </sheetData>
  <mergeCells count="6">
    <mergeCell ref="A37:I37"/>
    <mergeCell ref="A36:I36"/>
    <mergeCell ref="A39:I39"/>
    <mergeCell ref="A34:I34"/>
    <mergeCell ref="A35:I35"/>
    <mergeCell ref="A38:I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showGridLines="0" workbookViewId="0">
      <selection activeCell="A1" sqref="A1"/>
    </sheetView>
  </sheetViews>
  <sheetFormatPr baseColWidth="8" defaultRowHeight="15"/>
  <cols>
    <col width="8" customWidth="1" min="1" max="1"/>
    <col width="46" customWidth="1" min="2" max="2"/>
    <col width="20" customWidth="1" min="3" max="3"/>
    <col width="12" customWidth="1" min="4" max="4"/>
    <col width="18" customWidth="1" min="5" max="5"/>
    <col width="30" customWidth="1" min="6" max="6"/>
  </cols>
  <sheetData>
    <row r="1" ht="24" customHeight="1">
      <c r="A1" s="7" t="inlineStr">
        <is>
          <t>核心结论与数据摘要</t>
        </is>
      </c>
    </row>
    <row r="2">
      <c r="A2" s="3" t="inlineStr">
        <is>
          <t>结论均由下方明细表计算，不含估算值</t>
        </is>
      </c>
    </row>
    <row r="4">
      <c r="A4" s="15" t="inlineStr">
        <is>
          <t>一、规模与集中度</t>
        </is>
      </c>
    </row>
    <row r="5">
      <c r="A5" s="4" t="inlineStr">
        <is>
          <t>样本产能合计</t>
        </is>
      </c>
      <c r="B5" s="16" t="inlineStr">
        <is>
          <t>1,423.0 万吨/年</t>
        </is>
      </c>
      <c r="C5" s="17" t="inlineStr">
        <is>
          <t>设计产能</t>
        </is>
      </c>
    </row>
    <row r="6">
      <c r="A6" s="4" t="inlineStr">
        <is>
          <t>样本企业（法人）数</t>
        </is>
      </c>
      <c r="B6" s="16" t="inlineStr">
        <is>
          <t>26</t>
        </is>
      </c>
      <c r="C6" s="17" t="inlineStr">
        <is>
          <t>个</t>
        </is>
      </c>
    </row>
    <row r="7">
      <c r="A7" s="4" t="inlineStr">
        <is>
          <t>样本集团数</t>
        </is>
      </c>
      <c r="B7" s="16" t="inlineStr">
        <is>
          <t>23</t>
        </is>
      </c>
      <c r="C7" s="17" t="inlineStr">
        <is>
          <t>个</t>
        </is>
      </c>
    </row>
    <row r="8">
      <c r="A8" s="4" t="inlineStr">
        <is>
          <t>样本基地数</t>
        </is>
      </c>
      <c r="B8" s="16" t="inlineStr">
        <is>
          <t>26</t>
        </is>
      </c>
      <c r="C8" s="17" t="inlineStr">
        <is>
          <t>个</t>
        </is>
      </c>
    </row>
    <row r="9">
      <c r="A9" s="4" t="inlineStr">
        <is>
          <t>全国总产能（参考）</t>
        </is>
      </c>
      <c r="B9" s="16" t="inlineStr">
        <is>
          <t>未取得</t>
        </is>
      </c>
      <c r="C9" s="17" t="inlineStr">
        <is>
          <t>万吨/年</t>
        </is>
      </c>
    </row>
    <row r="10">
      <c r="A10" s="4" t="inlineStr">
        <is>
          <t>样本覆盖率</t>
        </is>
      </c>
      <c r="B10" s="16" t="inlineStr">
        <is>
          <t>无法计算</t>
        </is>
      </c>
      <c r="C10" s="17" t="inlineStr">
        <is>
          <t>样本合计/全国口径</t>
        </is>
      </c>
    </row>
    <row r="11">
      <c r="A11" s="4" t="inlineStr">
        <is>
          <t>CR1（样本口径）</t>
        </is>
      </c>
      <c r="B11" s="16" t="inlineStr">
        <is>
          <t>9.42%</t>
        </is>
      </c>
      <c r="C11" s="17" t="inlineStr">
        <is>
          <t>最大集团份额</t>
        </is>
      </c>
    </row>
    <row r="12">
      <c r="A12" s="4" t="inlineStr">
        <is>
          <t>CR3（样本口径）</t>
        </is>
      </c>
      <c r="B12" s="16" t="inlineStr">
        <is>
          <t>24.81%</t>
        </is>
      </c>
      <c r="C12" s="17" t="inlineStr"/>
    </row>
    <row r="13">
      <c r="A13" s="4" t="inlineStr">
        <is>
          <t>CR5（样本口径）</t>
        </is>
      </c>
      <c r="B13" s="16" t="inlineStr">
        <is>
          <t>38.37%</t>
        </is>
      </c>
      <c r="C13" s="17" t="inlineStr"/>
    </row>
    <row r="14">
      <c r="A14" s="4" t="inlineStr">
        <is>
          <t>CR10（样本口径）</t>
        </is>
      </c>
      <c r="B14" s="16" t="inlineStr">
        <is>
          <t>64.23%</t>
        </is>
      </c>
      <c r="C14" s="17" t="inlineStr"/>
    </row>
    <row r="15">
      <c r="A15" s="4" t="inlineStr">
        <is>
          <t>HHI（样本口径）</t>
        </is>
      </c>
      <c r="B15" s="16" t="inlineStr">
        <is>
          <t>541.2</t>
        </is>
      </c>
      <c r="C15" s="17" t="inlineStr">
        <is>
          <t>分散（HHI&lt;1000）</t>
        </is>
      </c>
    </row>
    <row r="16">
      <c r="A16" s="4" t="inlineStr">
        <is>
          <t>CR5（法人口径）</t>
        </is>
      </c>
      <c r="B16" s="16" t="inlineStr">
        <is>
          <t>35.77%</t>
        </is>
      </c>
      <c r="C16" s="17" t="inlineStr">
        <is>
          <t>以单一法人为单位</t>
        </is>
      </c>
    </row>
    <row r="17">
      <c r="A17" s="4" t="inlineStr">
        <is>
          <t>HHI（法人口径）</t>
        </is>
      </c>
      <c r="B17" s="16" t="inlineStr">
        <is>
          <t>483.5</t>
        </is>
      </c>
      <c r="C17" s="17" t="inlineStr">
        <is>
          <t>分散（HHI&lt;1000）</t>
        </is>
      </c>
    </row>
    <row r="19">
      <c r="A19" s="15" t="inlineStr">
        <is>
          <t>二、前十大集团</t>
        </is>
      </c>
    </row>
    <row r="20">
      <c r="A20" s="18" t="inlineStr">
        <is>
          <t>排名</t>
        </is>
      </c>
      <c r="B20" s="18" t="inlineStr">
        <is>
          <t>集团</t>
        </is>
      </c>
      <c r="C20" s="18" t="inlineStr">
        <is>
          <t>样本产能(万吨/年)</t>
        </is>
      </c>
      <c r="D20" s="18" t="inlineStr">
        <is>
          <t>占样本比</t>
        </is>
      </c>
      <c r="E20" s="18" t="inlineStr">
        <is>
          <t>折全国份额(参考)</t>
        </is>
      </c>
      <c r="F20" s="18" t="inlineStr">
        <is>
          <t>主要省份/区域</t>
        </is>
      </c>
    </row>
    <row r="21">
      <c r="A21" s="19" t="n">
        <v>1</v>
      </c>
      <c r="B21" s="19" t="inlineStr">
        <is>
          <t>天业集团</t>
        </is>
      </c>
      <c r="C21" s="20" t="n">
        <v>134</v>
      </c>
      <c r="D21" s="21" t="n">
        <v>0.09416725228390724</v>
      </c>
      <c r="E21" s="21" t="n"/>
      <c r="F21" s="19" t="inlineStr">
        <is>
          <t>新疆维吾尔自治区</t>
        </is>
      </c>
    </row>
    <row r="22">
      <c r="A22" s="19" t="n">
        <v>2</v>
      </c>
      <c r="B22" s="19" t="inlineStr">
        <is>
          <t>北元集团</t>
        </is>
      </c>
      <c r="C22" s="20" t="n">
        <v>110</v>
      </c>
      <c r="D22" s="21" t="n">
        <v>0.07730147575544624</v>
      </c>
      <c r="E22" s="21" t="n"/>
      <c r="F22" s="19" t="inlineStr">
        <is>
          <t>陕西省</t>
        </is>
      </c>
    </row>
    <row r="23">
      <c r="A23" s="19" t="n">
        <v>3</v>
      </c>
      <c r="B23" s="19" t="inlineStr">
        <is>
          <t>中泰集团</t>
        </is>
      </c>
      <c r="C23" s="20" t="n">
        <v>109</v>
      </c>
      <c r="D23" s="21" t="n">
        <v>0.07659873506676036</v>
      </c>
      <c r="E23" s="21" t="n"/>
      <c r="F23" s="19" t="inlineStr">
        <is>
          <t>新疆维吾尔自治区</t>
        </is>
      </c>
    </row>
    <row r="24">
      <c r="A24" s="19" t="n">
        <v>4</v>
      </c>
      <c r="B24" s="19" t="inlineStr">
        <is>
          <t>海湾集团</t>
        </is>
      </c>
      <c r="C24" s="20" t="n">
        <v>105</v>
      </c>
      <c r="D24" s="21" t="n">
        <v>0.07378777231201687</v>
      </c>
      <c r="E24" s="21" t="n"/>
      <c r="F24" s="19" t="inlineStr">
        <is>
          <t>山东省</t>
        </is>
      </c>
    </row>
    <row r="25">
      <c r="A25" s="19" t="n">
        <v>5</v>
      </c>
      <c r="B25" s="19" t="inlineStr">
        <is>
          <t>华谊集团</t>
        </is>
      </c>
      <c r="C25" s="20" t="n">
        <v>88</v>
      </c>
      <c r="D25" s="21" t="n">
        <v>0.06184118060435699</v>
      </c>
      <c r="E25" s="21" t="n"/>
      <c r="F25" s="19" t="inlineStr">
        <is>
          <t>上海市、广西壮族自治区</t>
        </is>
      </c>
    </row>
    <row r="26">
      <c r="A26" s="19" t="n">
        <v>6</v>
      </c>
      <c r="B26" s="19" t="inlineStr">
        <is>
          <t>君正集团</t>
        </is>
      </c>
      <c r="C26" s="20" t="n">
        <v>80</v>
      </c>
      <c r="D26" s="21" t="n">
        <v>0.05621925509486999</v>
      </c>
      <c r="E26" s="21" t="n"/>
      <c r="F26" s="19" t="inlineStr">
        <is>
          <t>内蒙古自治区</t>
        </is>
      </c>
    </row>
    <row r="27">
      <c r="A27" s="19" t="n">
        <v>7</v>
      </c>
      <c r="B27" s="19" t="inlineStr">
        <is>
          <t>渤化集团</t>
        </is>
      </c>
      <c r="C27" s="20" t="n">
        <v>80</v>
      </c>
      <c r="D27" s="21" t="n">
        <v>0.05621925509486999</v>
      </c>
      <c r="E27" s="21" t="n"/>
      <c r="F27" s="19" t="inlineStr">
        <is>
          <t>天津市</t>
        </is>
      </c>
    </row>
    <row r="28">
      <c r="A28" s="19" t="n">
        <v>8</v>
      </c>
      <c r="B28" s="19" t="inlineStr">
        <is>
          <t>万华化学</t>
        </is>
      </c>
      <c r="C28" s="20" t="n">
        <v>80</v>
      </c>
      <c r="D28" s="21" t="n">
        <v>0.05621925509486999</v>
      </c>
      <c r="E28" s="21" t="n"/>
      <c r="F28" s="19" t="inlineStr">
        <is>
          <t>山东省、福建省</t>
        </is>
      </c>
    </row>
    <row r="29">
      <c r="A29" s="19" t="n">
        <v>9</v>
      </c>
      <c r="B29" s="19" t="inlineStr">
        <is>
          <t>中盐化工</t>
        </is>
      </c>
      <c r="C29" s="20" t="n">
        <v>64</v>
      </c>
      <c r="D29" s="21" t="n">
        <v>0.04497540407589599</v>
      </c>
      <c r="E29" s="21" t="n"/>
      <c r="F29" s="19" t="inlineStr">
        <is>
          <t>内蒙古自治区</t>
        </is>
      </c>
    </row>
    <row r="30">
      <c r="A30" s="19" t="n">
        <v>10</v>
      </c>
      <c r="B30" s="19" t="inlineStr">
        <is>
          <t>华塑股份</t>
        </is>
      </c>
      <c r="C30" s="20" t="n">
        <v>64</v>
      </c>
      <c r="D30" s="21" t="n">
        <v>0.04497540407589599</v>
      </c>
      <c r="E30" s="21" t="n"/>
      <c r="F30" s="19" t="inlineStr">
        <is>
          <t>安徽省</t>
        </is>
      </c>
    </row>
    <row r="32">
      <c r="A32" s="15" t="inlineStr">
        <is>
          <t>三、区域结构（省份 Top10）</t>
        </is>
      </c>
    </row>
    <row r="33">
      <c r="A33" s="22" t="inlineStr">
        <is>
          <t>排名</t>
        </is>
      </c>
      <c r="B33" s="22" t="inlineStr">
        <is>
          <t>省份</t>
        </is>
      </c>
      <c r="C33" s="22" t="inlineStr">
        <is>
          <t>样本产能(万吨/年)</t>
        </is>
      </c>
      <c r="D33" s="22" t="inlineStr">
        <is>
          <t>占样本比</t>
        </is>
      </c>
    </row>
    <row r="34">
      <c r="A34" s="19" t="n">
        <v>1</v>
      </c>
      <c r="B34" s="19" t="inlineStr">
        <is>
          <t>新疆维吾尔自治区</t>
        </is>
      </c>
      <c r="C34" s="20" t="n">
        <v>243</v>
      </c>
      <c r="D34" s="21" t="n">
        <v>0.1707659873506676</v>
      </c>
    </row>
    <row r="35">
      <c r="A35" s="19" t="n">
        <v>2</v>
      </c>
      <c r="B35" s="19" t="inlineStr">
        <is>
          <t>内蒙古自治区</t>
        </is>
      </c>
      <c r="C35" s="20" t="n">
        <v>234</v>
      </c>
      <c r="D35" s="21" t="n">
        <v>0.1644413211524947</v>
      </c>
    </row>
    <row r="36">
      <c r="A36" s="19" t="n">
        <v>3</v>
      </c>
      <c r="B36" s="19" t="inlineStr">
        <is>
          <t>陕西省</t>
        </is>
      </c>
      <c r="C36" s="20" t="n">
        <v>170</v>
      </c>
      <c r="D36" s="21" t="n">
        <v>0.1194659170765987</v>
      </c>
    </row>
    <row r="37">
      <c r="A37" s="19" t="n">
        <v>4</v>
      </c>
      <c r="B37" s="19" t="inlineStr">
        <is>
          <t>山东省</t>
        </is>
      </c>
      <c r="C37" s="20" t="n">
        <v>145</v>
      </c>
      <c r="D37" s="21" t="n">
        <v>0.1018973998594519</v>
      </c>
    </row>
    <row r="38">
      <c r="A38" s="19" t="n">
        <v>5</v>
      </c>
      <c r="B38" s="19" t="inlineStr">
        <is>
          <t>天津市</t>
        </is>
      </c>
      <c r="C38" s="20" t="n">
        <v>80</v>
      </c>
      <c r="D38" s="21" t="n">
        <v>0.05621925509486999</v>
      </c>
    </row>
    <row r="39">
      <c r="A39" s="19" t="n">
        <v>6</v>
      </c>
      <c r="B39" s="19" t="inlineStr">
        <is>
          <t>河南省</t>
        </is>
      </c>
      <c r="C39" s="20" t="n">
        <v>70</v>
      </c>
      <c r="D39" s="21" t="n">
        <v>0.04919184820801124</v>
      </c>
    </row>
    <row r="40">
      <c r="A40" s="19" t="n">
        <v>7</v>
      </c>
      <c r="B40" s="19" t="inlineStr">
        <is>
          <t>安徽省</t>
        </is>
      </c>
      <c r="C40" s="20" t="n">
        <v>64</v>
      </c>
      <c r="D40" s="21" t="n">
        <v>0.04497540407589599</v>
      </c>
    </row>
    <row r="41">
      <c r="A41" s="19" t="n">
        <v>8</v>
      </c>
      <c r="B41" s="19" t="inlineStr">
        <is>
          <t>四川省</t>
        </is>
      </c>
      <c r="C41" s="20" t="n">
        <v>50</v>
      </c>
      <c r="D41" s="21" t="n">
        <v>0.03513703443429374</v>
      </c>
    </row>
    <row r="42">
      <c r="A42" s="19" t="n">
        <v>9</v>
      </c>
      <c r="B42" s="19" t="inlineStr">
        <is>
          <t>江苏省</t>
        </is>
      </c>
      <c r="C42" s="20" t="n">
        <v>50</v>
      </c>
      <c r="D42" s="21" t="n">
        <v>0.03513703443429374</v>
      </c>
    </row>
    <row r="43">
      <c r="A43" s="19" t="n">
        <v>10</v>
      </c>
      <c r="B43" s="19" t="inlineStr">
        <is>
          <t>上海市</t>
        </is>
      </c>
      <c r="C43" s="20" t="n">
        <v>48</v>
      </c>
      <c r="D43" s="21" t="n">
        <v>0.03373155305692199</v>
      </c>
    </row>
    <row r="45">
      <c r="A45" s="15" t="inlineStr">
        <is>
          <t>四、工艺结构</t>
        </is>
      </c>
    </row>
    <row r="46">
      <c r="A46" s="22" t="inlineStr">
        <is>
          <t>工艺路线</t>
        </is>
      </c>
      <c r="B46" s="22" t="inlineStr">
        <is>
          <t>样本产能(万吨/年)</t>
        </is>
      </c>
      <c r="C46" s="22" t="inlineStr">
        <is>
          <t>占样本比</t>
        </is>
      </c>
    </row>
    <row r="47">
      <c r="A47" s="19" t="inlineStr">
        <is>
          <t>电石法（乙炔法）</t>
        </is>
      </c>
      <c r="B47" s="20" t="n">
        <v>908</v>
      </c>
      <c r="C47" s="21" t="n">
        <v>0.6380885453267744</v>
      </c>
    </row>
    <row r="48">
      <c r="A48" s="19" t="inlineStr">
        <is>
          <t>乙烯法</t>
        </is>
      </c>
      <c r="B48" s="20" t="n">
        <v>515</v>
      </c>
      <c r="C48" s="21" t="n">
        <v>0.3619114546732256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46" customWidth="1" min="3" max="3"/>
    <col width="30" customWidth="1" min="4" max="4"/>
    <col width="14" customWidth="1" min="5" max="5"/>
    <col width="8" customWidth="1" min="6" max="6"/>
    <col width="8" customWidth="1" min="7" max="7"/>
    <col width="34" customWidth="1" min="8" max="8"/>
    <col width="10" customWidth="1" min="9" max="9"/>
    <col width="40" customWidth="1" min="10" max="10"/>
    <col width="12" customWidth="1" min="11" max="11"/>
  </cols>
  <sheetData>
    <row r="1" ht="24" customHeight="1">
      <c r="A1" s="7" t="inlineStr">
        <is>
          <t>集团级产能汇总（设计产能）</t>
        </is>
      </c>
    </row>
    <row r="2">
      <c r="A2" s="3" t="inlineStr">
        <is>
          <t>集团合计 = 其下全部法人全部基地全部装置之和；不得与子公司产能再相加</t>
        </is>
      </c>
    </row>
    <row r="4" ht="30" customHeight="1">
      <c r="A4" s="8" t="inlineStr">
        <is>
          <t>集团ID</t>
        </is>
      </c>
      <c r="B4" s="8" t="inlineStr">
        <is>
          <t>集团简称</t>
        </is>
      </c>
      <c r="C4" s="8" t="inlineStr">
        <is>
          <t>集团全称</t>
        </is>
      </c>
      <c r="D4" s="8" t="inlineStr">
        <is>
          <t>实际控制人/性质</t>
        </is>
      </c>
      <c r="E4" s="8" t="inlineStr">
        <is>
          <t>产能合计(万吨/年)</t>
        </is>
      </c>
      <c r="F4" s="8" t="inlineStr">
        <is>
          <t>法人数</t>
        </is>
      </c>
      <c r="G4" s="8" t="inlineStr">
        <is>
          <t>基地数</t>
        </is>
      </c>
      <c r="H4" s="8" t="inlineStr">
        <is>
          <t>覆盖省份</t>
        </is>
      </c>
      <c r="I4" s="8" t="inlineStr">
        <is>
          <t>占样本比</t>
        </is>
      </c>
      <c r="J4" s="8" t="inlineStr">
        <is>
          <t>工艺构成(万吨)</t>
        </is>
      </c>
      <c r="K4" s="8" t="inlineStr">
        <is>
          <t>来源</t>
        </is>
      </c>
    </row>
    <row r="5">
      <c r="A5" s="9" t="inlineStr">
        <is>
          <t>G02</t>
        </is>
      </c>
      <c r="B5" s="9" t="inlineStr">
        <is>
          <t>天业集团</t>
        </is>
      </c>
      <c r="C5" s="9" t="inlineStr">
        <is>
          <t>新疆天业（集团）有限公司</t>
        </is>
      </c>
      <c r="D5" s="9" t="inlineStr">
        <is>
          <t>新疆生产建设兵团第八师国有资产监督管理委员会（兵团国企）</t>
        </is>
      </c>
      <c r="E5" s="11" t="n">
        <v>134</v>
      </c>
      <c r="F5" s="9" t="n">
        <v>7</v>
      </c>
      <c r="G5" s="9" t="n">
        <v>2</v>
      </c>
      <c r="H5" s="9" t="inlineStr">
        <is>
          <t>新疆维吾尔自治区</t>
        </is>
      </c>
      <c r="I5" s="23">
        <f>IF($E$29=0,"",E5/$E$29)</f>
        <v/>
      </c>
      <c r="J5" s="9" t="inlineStr">
        <is>
          <t>电石法（乙炔法） 134</t>
        </is>
      </c>
      <c r="K5" s="9" t="inlineStr">
        <is>
          <t>S02</t>
        </is>
      </c>
    </row>
    <row r="6">
      <c r="A6" s="12" t="inlineStr">
        <is>
          <t>G03</t>
        </is>
      </c>
      <c r="B6" s="12" t="inlineStr">
        <is>
          <t>北元集团</t>
        </is>
      </c>
      <c r="C6" s="12" t="inlineStr">
        <is>
          <t>陕西北元化工集团股份有限公司（独立上市）</t>
        </is>
      </c>
      <c r="D6" s="12" t="inlineStr">
        <is>
          <t>陕西省人民政府国有资产监督管理委员会（控股股东：陕西煤业化工集团有限责任公司）（省属国企）</t>
        </is>
      </c>
      <c r="E6" s="14" t="n">
        <v>110</v>
      </c>
      <c r="F6" s="12" t="n">
        <v>1</v>
      </c>
      <c r="G6" s="12" t="n">
        <v>1</v>
      </c>
      <c r="H6" s="12" t="inlineStr">
        <is>
          <t>陕西省</t>
        </is>
      </c>
      <c r="I6" s="24">
        <f>IF($E$29=0,"",E6/$E$29)</f>
        <v/>
      </c>
      <c r="J6" s="12" t="inlineStr">
        <is>
          <t>电石法（乙炔法） 110</t>
        </is>
      </c>
      <c r="K6" s="12" t="inlineStr">
        <is>
          <t>S05</t>
        </is>
      </c>
    </row>
    <row r="7">
      <c r="A7" s="9" t="inlineStr">
        <is>
          <t>G01</t>
        </is>
      </c>
      <c r="B7" s="9" t="inlineStr">
        <is>
          <t>中泰集团</t>
        </is>
      </c>
      <c r="C7" s="9" t="inlineStr">
        <is>
          <t>新疆中泰（集团）有限责任公司</t>
        </is>
      </c>
      <c r="D7" s="9" t="inlineStr">
        <is>
          <t>新疆维吾尔自治区人民政府国有资产监督管理委员会（省属国企）</t>
        </is>
      </c>
      <c r="E7" s="11" t="n">
        <v>109</v>
      </c>
      <c r="F7" s="9" t="n">
        <v>6</v>
      </c>
      <c r="G7" s="9" t="n">
        <v>4</v>
      </c>
      <c r="H7" s="9" t="inlineStr">
        <is>
          <t>新疆维吾尔自治区</t>
        </is>
      </c>
      <c r="I7" s="23">
        <f>IF($E$29=0,"",E7/$E$29)</f>
        <v/>
      </c>
      <c r="J7" s="9" t="inlineStr">
        <is>
          <t>电石法（乙炔法） 109</t>
        </is>
      </c>
      <c r="K7" s="9" t="inlineStr">
        <is>
          <t>S01</t>
        </is>
      </c>
    </row>
    <row r="8">
      <c r="A8" s="12" t="inlineStr">
        <is>
          <t>G12</t>
        </is>
      </c>
      <c r="B8" s="12" t="inlineStr">
        <is>
          <t>海湾集团</t>
        </is>
      </c>
      <c r="C8" s="12" t="inlineStr">
        <is>
          <t>青岛海湾集团有限公司</t>
        </is>
      </c>
      <c r="D8" s="12" t="inlineStr">
        <is>
          <t>青岛市国有资产监督管理委员会（地方国企）</t>
        </is>
      </c>
      <c r="E8" s="14" t="n">
        <v>105</v>
      </c>
      <c r="F8" s="12" t="n">
        <v>1</v>
      </c>
      <c r="G8" s="12" t="n">
        <v>1</v>
      </c>
      <c r="H8" s="12" t="inlineStr">
        <is>
          <t>山东省</t>
        </is>
      </c>
      <c r="I8" s="24">
        <f>IF($E$29=0,"",E8/$E$29)</f>
        <v/>
      </c>
      <c r="J8" s="12" t="inlineStr">
        <is>
          <t>乙烯法 105</t>
        </is>
      </c>
      <c r="K8" s="12" t="inlineStr">
        <is>
          <t>S22</t>
        </is>
      </c>
    </row>
    <row r="9">
      <c r="A9" s="9" t="inlineStr">
        <is>
          <t>G06</t>
        </is>
      </c>
      <c r="B9" s="9" t="inlineStr">
        <is>
          <t>华谊集团</t>
        </is>
      </c>
      <c r="C9" s="9" t="inlineStr">
        <is>
          <t>上海华谊控股集团有限公司</t>
        </is>
      </c>
      <c r="D9" s="9" t="inlineStr">
        <is>
          <t>上海市国有资产监督管理委员会（地方国企）</t>
        </is>
      </c>
      <c r="E9" s="11" t="n">
        <v>88</v>
      </c>
      <c r="F9" s="9" t="n">
        <v>2</v>
      </c>
      <c r="G9" s="9" t="n">
        <v>2</v>
      </c>
      <c r="H9" s="9" t="inlineStr">
        <is>
          <t>上海市、广西壮族自治区</t>
        </is>
      </c>
      <c r="I9" s="23">
        <f>IF($E$29=0,"",E9/$E$29)</f>
        <v/>
      </c>
      <c r="J9" s="9" t="inlineStr">
        <is>
          <t>乙烯法 88</t>
        </is>
      </c>
      <c r="K9" s="9" t="inlineStr">
        <is>
          <t>S09</t>
        </is>
      </c>
    </row>
    <row r="10">
      <c r="A10" s="12" t="inlineStr">
        <is>
          <t>G04</t>
        </is>
      </c>
      <c r="B10" s="12" t="inlineStr">
        <is>
          <t>君正集团</t>
        </is>
      </c>
      <c r="C10" s="12" t="inlineStr">
        <is>
          <t>内蒙古君正能源化工集团股份有限公司（含乌海市君正科技产业集团）</t>
        </is>
      </c>
      <c r="D10" s="12" t="inlineStr">
        <is>
          <t>杜江涛（自然人，民营控股）（民营）</t>
        </is>
      </c>
      <c r="E10" s="14" t="n">
        <v>80</v>
      </c>
      <c r="F10" s="12" t="n">
        <v>1</v>
      </c>
      <c r="G10" s="12" t="n">
        <v>1</v>
      </c>
      <c r="H10" s="12" t="inlineStr">
        <is>
          <t>内蒙古自治区</t>
        </is>
      </c>
      <c r="I10" s="24">
        <f>IF($E$29=0,"",E10/$E$29)</f>
        <v/>
      </c>
      <c r="J10" s="12" t="inlineStr">
        <is>
          <t>电石法（乙炔法） 80</t>
        </is>
      </c>
      <c r="K10" s="12" t="inlineStr">
        <is>
          <t>S06</t>
        </is>
      </c>
    </row>
    <row r="11">
      <c r="A11" s="9" t="inlineStr">
        <is>
          <t>G11</t>
        </is>
      </c>
      <c r="B11" s="9" t="inlineStr">
        <is>
          <t>渤化集团</t>
        </is>
      </c>
      <c r="C11" s="9" t="inlineStr">
        <is>
          <t>天津渤海化工集团有限责任公司</t>
        </is>
      </c>
      <c r="D11" s="9" t="inlineStr">
        <is>
          <t>天津市国有资产监督管理委员会（地方国企）</t>
        </is>
      </c>
      <c r="E11" s="11" t="n">
        <v>80</v>
      </c>
      <c r="F11" s="9" t="n">
        <v>1</v>
      </c>
      <c r="G11" s="9" t="n">
        <v>1</v>
      </c>
      <c r="H11" s="9" t="inlineStr">
        <is>
          <t>天津市</t>
        </is>
      </c>
      <c r="I11" s="23">
        <f>IF($E$29=0,"",E11/$E$29)</f>
        <v/>
      </c>
      <c r="J11" s="9" t="inlineStr">
        <is>
          <t>乙烯法 80</t>
        </is>
      </c>
      <c r="K11" s="9" t="inlineStr">
        <is>
          <t>S19</t>
        </is>
      </c>
    </row>
    <row r="12">
      <c r="A12" s="12" t="inlineStr">
        <is>
          <t>G13</t>
        </is>
      </c>
      <c r="B12" s="12" t="inlineStr">
        <is>
          <t>万华化学</t>
        </is>
      </c>
      <c r="C12" s="12" t="inlineStr">
        <is>
          <t>万华化学集团股份有限公司（独立上市）</t>
        </is>
      </c>
      <c r="D12" s="12" t="inlineStr">
        <is>
          <t>烟台市国资委（国有控股混合所有制）（混合所有制）</t>
        </is>
      </c>
      <c r="E12" s="14" t="n">
        <v>80</v>
      </c>
      <c r="F12" s="12" t="n">
        <v>3</v>
      </c>
      <c r="G12" s="12" t="n">
        <v>3</v>
      </c>
      <c r="H12" s="12" t="inlineStr">
        <is>
          <t>山东省、福建省</t>
        </is>
      </c>
      <c r="I12" s="24">
        <f>IF($E$29=0,"",E12/$E$29)</f>
        <v/>
      </c>
      <c r="J12" s="12" t="inlineStr">
        <is>
          <t>乙烯法 80</t>
        </is>
      </c>
      <c r="K12" s="12" t="inlineStr">
        <is>
          <t>S25</t>
        </is>
      </c>
    </row>
    <row r="13">
      <c r="A13" s="9" t="inlineStr">
        <is>
          <t>G07</t>
        </is>
      </c>
      <c r="B13" s="9" t="inlineStr">
        <is>
          <t>中盐化工</t>
        </is>
      </c>
      <c r="C13" s="9" t="inlineStr">
        <is>
          <t>中盐内蒙古化工股份有限公司（独立上市）</t>
        </is>
      </c>
      <c r="D13" s="9" t="inlineStr">
        <is>
          <t>中国盐业集团有限公司（国务院国资委）（央企）</t>
        </is>
      </c>
      <c r="E13" s="11" t="n">
        <v>64</v>
      </c>
      <c r="F13" s="9" t="n">
        <v>1</v>
      </c>
      <c r="G13" s="9" t="n">
        <v>1</v>
      </c>
      <c r="H13" s="9" t="inlineStr">
        <is>
          <t>内蒙古自治区</t>
        </is>
      </c>
      <c r="I13" s="23">
        <f>IF($E$29=0,"",E13/$E$29)</f>
        <v/>
      </c>
      <c r="J13" s="9" t="inlineStr">
        <is>
          <t>电石法（乙炔法） 64</t>
        </is>
      </c>
      <c r="K13" s="9" t="inlineStr">
        <is>
          <t>S11</t>
        </is>
      </c>
    </row>
    <row r="14">
      <c r="A14" s="12" t="inlineStr">
        <is>
          <t>G10</t>
        </is>
      </c>
      <c r="B14" s="12" t="inlineStr">
        <is>
          <t>华塑股份</t>
        </is>
      </c>
      <c r="C14" s="12" t="inlineStr">
        <is>
          <t>安徽华塑股份有限公司（独立上市）</t>
        </is>
      </c>
      <c r="D14" s="12" t="inlineStr">
        <is>
          <t>安徽省国资委（淮北矿业集团方向，具体持股以年报为准）（地方国企）</t>
        </is>
      </c>
      <c r="E14" s="14" t="n">
        <v>64</v>
      </c>
      <c r="F14" s="12" t="n">
        <v>1</v>
      </c>
      <c r="G14" s="12" t="n">
        <v>1</v>
      </c>
      <c r="H14" s="12" t="inlineStr">
        <is>
          <t>安徽省</t>
        </is>
      </c>
      <c r="I14" s="24">
        <f>IF($E$29=0,"",E14/$E$29)</f>
        <v/>
      </c>
      <c r="J14" s="12" t="inlineStr">
        <is>
          <t>电石法（乙炔法） 64</t>
        </is>
      </c>
      <c r="K14" s="12" t="inlineStr">
        <is>
          <t>S18</t>
        </is>
      </c>
    </row>
    <row r="15">
      <c r="A15" s="9" t="inlineStr">
        <is>
          <t>G24</t>
        </is>
      </c>
      <c r="B15" s="9" t="inlineStr">
        <is>
          <t>陕投集团</t>
        </is>
      </c>
      <c r="C15" s="9" t="inlineStr">
        <is>
          <t>陕西投资集团有限公司</t>
        </is>
      </c>
      <c r="D15" s="9" t="inlineStr">
        <is>
          <t>陕西省人民政府国有资产监督管理委员会（省属国企）</t>
        </is>
      </c>
      <c r="E15" s="11" t="n">
        <v>60</v>
      </c>
      <c r="F15" s="9" t="n">
        <v>1</v>
      </c>
      <c r="G15" s="9" t="n">
        <v>1</v>
      </c>
      <c r="H15" s="9" t="inlineStr">
        <is>
          <t>陕西省</t>
        </is>
      </c>
      <c r="I15" s="23">
        <f>IF($E$29=0,"",E15/$E$29)</f>
        <v/>
      </c>
      <c r="J15" s="9" t="inlineStr">
        <is>
          <t>电石法（乙炔法） 60</t>
        </is>
      </c>
      <c r="K15" s="9" t="inlineStr">
        <is>
          <t>S72</t>
        </is>
      </c>
    </row>
    <row r="16">
      <c r="A16" s="12" t="inlineStr">
        <is>
          <t>G15</t>
        </is>
      </c>
      <c r="B16" s="12" t="inlineStr">
        <is>
          <t>亿利集团</t>
        </is>
      </c>
      <c r="C16" s="12" t="inlineStr">
        <is>
          <t>亿利资源集团有限公司</t>
        </is>
      </c>
      <c r="D16" s="12" t="inlineStr">
        <is>
          <t>王文彪（自然人）/亿利资源集团（民营）</t>
        </is>
      </c>
      <c r="E16" s="14" t="n">
        <v>50</v>
      </c>
      <c r="F16" s="12" t="n">
        <v>1</v>
      </c>
      <c r="G16" s="12" t="n">
        <v>1</v>
      </c>
      <c r="H16" s="12" t="inlineStr">
        <is>
          <t>内蒙古自治区</t>
        </is>
      </c>
      <c r="I16" s="24">
        <f>IF($E$29=0,"",E16/$E$29)</f>
        <v/>
      </c>
      <c r="J16" s="12" t="inlineStr">
        <is>
          <t>电石法（乙炔法） 50</t>
        </is>
      </c>
      <c r="K16" s="12" t="inlineStr">
        <is>
          <t>S38</t>
        </is>
      </c>
    </row>
    <row r="17">
      <c r="A17" s="9" t="inlineStr">
        <is>
          <t>G28</t>
        </is>
      </c>
      <c r="B17" s="9" t="inlineStr">
        <is>
          <t>天原集团</t>
        </is>
      </c>
      <c r="C17" s="9" t="inlineStr">
        <is>
          <t>宜宾天原集团股份有限公司（独立上市）</t>
        </is>
      </c>
      <c r="D17" s="9" t="inlineStr">
        <is>
          <t>宜宾市国有资产监督管理委员会（地方国企）</t>
        </is>
      </c>
      <c r="E17" s="11" t="n">
        <v>50</v>
      </c>
      <c r="F17" s="9" t="n">
        <v>1</v>
      </c>
      <c r="G17" s="9" t="n">
        <v>1</v>
      </c>
      <c r="H17" s="9" t="inlineStr">
        <is>
          <t>四川省</t>
        </is>
      </c>
      <c r="I17" s="23">
        <f>IF($E$29=0,"",E17/$E$29)</f>
        <v/>
      </c>
      <c r="J17" s="9" t="inlineStr">
        <is>
          <t>电石法（乙炔法） 50</t>
        </is>
      </c>
      <c r="K17" s="9" t="inlineStr">
        <is>
          <t>S76</t>
        </is>
      </c>
    </row>
    <row r="18">
      <c r="A18" s="12" t="inlineStr">
        <is>
          <t>G26</t>
        </is>
      </c>
      <c r="B18" s="12" t="inlineStr">
        <is>
          <t>新浦化学</t>
        </is>
      </c>
      <c r="C18" s="12" t="inlineStr">
        <is>
          <t>新浦化学（SP Chemicals）</t>
        </is>
      </c>
      <c r="D18" s="12" t="inlineStr">
        <is>
          <t>新加坡新浦化学（外资）（外资）</t>
        </is>
      </c>
      <c r="E18" s="14" t="n">
        <v>50</v>
      </c>
      <c r="F18" s="12" t="n">
        <v>1</v>
      </c>
      <c r="G18" s="12" t="n">
        <v>1</v>
      </c>
      <c r="H18" s="12" t="inlineStr">
        <is>
          <t>江苏省</t>
        </is>
      </c>
      <c r="I18" s="24">
        <f>IF($E$29=0,"",E18/$E$29)</f>
        <v/>
      </c>
      <c r="J18" s="12" t="inlineStr">
        <is>
          <t>乙烯法 50</t>
        </is>
      </c>
      <c r="K18" s="12" t="inlineStr">
        <is>
          <t>S74</t>
        </is>
      </c>
    </row>
    <row r="19">
      <c r="A19" s="9" t="inlineStr">
        <is>
          <t>G09</t>
        </is>
      </c>
      <c r="B19" s="9" t="inlineStr">
        <is>
          <t>三友化工</t>
        </is>
      </c>
      <c r="C19" s="9" t="inlineStr">
        <is>
          <t>唐山三友集团有限公司</t>
        </is>
      </c>
      <c r="D19" s="9" t="inlineStr">
        <is>
          <t>河北省唐山市国资委（地方国企）</t>
        </is>
      </c>
      <c r="E19" s="11" t="n">
        <v>47</v>
      </c>
      <c r="F19" s="9" t="n">
        <v>1</v>
      </c>
      <c r="G19" s="9" t="n">
        <v>1</v>
      </c>
      <c r="H19" s="9" t="inlineStr">
        <is>
          <t>河北省</t>
        </is>
      </c>
      <c r="I19" s="23">
        <f>IF($E$29=0,"",E19/$E$29)</f>
        <v/>
      </c>
      <c r="J19" s="9" t="inlineStr">
        <is>
          <t>电石法（乙炔法） 47</t>
        </is>
      </c>
      <c r="K19" s="9" t="inlineStr">
        <is>
          <t>S15</t>
        </is>
      </c>
    </row>
    <row r="20">
      <c r="A20" s="12" t="inlineStr">
        <is>
          <t>G16</t>
        </is>
      </c>
      <c r="B20" s="12" t="inlineStr">
        <is>
          <t>鄂尔多斯电冶</t>
        </is>
      </c>
      <c r="C20" s="12" t="inlineStr">
        <is>
          <t>内蒙古鄂尔多斯电力冶金集团股份有限公司</t>
        </is>
      </c>
      <c r="D20" s="12" t="inlineStr">
        <is>
          <t>内蒙古鄂尔多斯投资控股集团（民营）（民营）</t>
        </is>
      </c>
      <c r="E20" s="14" t="n">
        <v>40</v>
      </c>
      <c r="F20" s="12" t="n">
        <v>1</v>
      </c>
      <c r="G20" s="12" t="n">
        <v>1</v>
      </c>
      <c r="H20" s="12" t="inlineStr">
        <is>
          <t>内蒙古自治区</t>
        </is>
      </c>
      <c r="I20" s="24">
        <f>IF($E$29=0,"",E20/$E$29)</f>
        <v/>
      </c>
      <c r="J20" s="12" t="inlineStr">
        <is>
          <t>电石法（乙炔法） 40</t>
        </is>
      </c>
      <c r="K20" s="12" t="inlineStr">
        <is>
          <t>S35</t>
        </is>
      </c>
    </row>
    <row r="21">
      <c r="A21" s="9" t="inlineStr">
        <is>
          <t>G19</t>
        </is>
      </c>
      <c r="B21" s="9" t="inlineStr">
        <is>
          <t>河南联创</t>
        </is>
      </c>
      <c r="C21" s="9" t="inlineStr">
        <is>
          <t>河南联创化工有限公司（所属集团待核）</t>
        </is>
      </c>
      <c r="D21" s="9" t="inlineStr">
        <is>
          <t>未知（民营（待核））</t>
        </is>
      </c>
      <c r="E21" s="11" t="n">
        <v>40</v>
      </c>
      <c r="F21" s="9" t="n">
        <v>1</v>
      </c>
      <c r="G21" s="9" t="n">
        <v>1</v>
      </c>
      <c r="H21" s="9" t="inlineStr">
        <is>
          <t>河南省</t>
        </is>
      </c>
      <c r="I21" s="23">
        <f>IF($E$29=0,"",E21/$E$29)</f>
        <v/>
      </c>
      <c r="J21" s="9" t="inlineStr">
        <is>
          <t>电石法（乙炔法） 40</t>
        </is>
      </c>
      <c r="K21" s="9" t="inlineStr">
        <is>
          <t>S31</t>
        </is>
      </c>
    </row>
    <row r="22">
      <c r="A22" s="12" t="inlineStr">
        <is>
          <t>G14</t>
        </is>
      </c>
      <c r="B22" s="12" t="inlineStr">
        <is>
          <t>阳煤化工</t>
        </is>
      </c>
      <c r="C22" s="12" t="inlineStr">
        <is>
          <t>潞安化工集团（阳煤化工股份有限公司）</t>
        </is>
      </c>
      <c r="D22" s="12" t="inlineStr">
        <is>
          <t>山西省人民政府国有资产监督管理委员会（2024-12 山西潞安化工成为控股股东）（省属国企）</t>
        </is>
      </c>
      <c r="E22" s="14" t="n">
        <v>30</v>
      </c>
      <c r="F22" s="12" t="n">
        <v>1</v>
      </c>
      <c r="G22" s="12" t="n">
        <v>1</v>
      </c>
      <c r="H22" s="12" t="inlineStr">
        <is>
          <t>山西省</t>
        </is>
      </c>
      <c r="I22" s="24">
        <f>IF($E$29=0,"",E22/$E$29)</f>
        <v/>
      </c>
      <c r="J22" s="12" t="inlineStr">
        <is>
          <t>乙烯法 30</t>
        </is>
      </c>
      <c r="K22" s="12" t="inlineStr">
        <is>
          <t>S27</t>
        </is>
      </c>
    </row>
    <row r="23">
      <c r="A23" s="9" t="inlineStr">
        <is>
          <t>G17</t>
        </is>
      </c>
      <c r="B23" s="9" t="inlineStr">
        <is>
          <t>盐湖镁业</t>
        </is>
      </c>
      <c r="C23" s="9" t="inlineStr">
        <is>
          <t>青海汇信资产管理有限责任公司（青海盐湖镁业）</t>
        </is>
      </c>
      <c r="D23" s="9" t="inlineStr">
        <is>
          <t>青海省国资委体系（与盐湖股份、中国五矿盐湖体系存在股权演变，需逐年核对）（省属国企）</t>
        </is>
      </c>
      <c r="E23" s="11" t="n">
        <v>30</v>
      </c>
      <c r="F23" s="9" t="n">
        <v>1</v>
      </c>
      <c r="G23" s="9" t="n">
        <v>1</v>
      </c>
      <c r="H23" s="9" t="inlineStr">
        <is>
          <t>青海省</t>
        </is>
      </c>
      <c r="I23" s="23">
        <f>IF($E$29=0,"",E23/$E$29)</f>
        <v/>
      </c>
      <c r="J23" s="9" t="inlineStr">
        <is>
          <t>乙烯法 30</t>
        </is>
      </c>
      <c r="K23" s="9" t="inlineStr">
        <is>
          <t>S36</t>
        </is>
      </c>
    </row>
    <row r="24">
      <c r="A24" s="12" t="inlineStr">
        <is>
          <t>G18</t>
        </is>
      </c>
      <c r="B24" s="12" t="inlineStr">
        <is>
          <t>神马氯碱</t>
        </is>
      </c>
      <c r="C24" s="12" t="inlineStr">
        <is>
          <t>平煤神马集团（河南神马氯碱发展有限责任公司）</t>
        </is>
      </c>
      <c r="D24" s="12" t="inlineStr">
        <is>
          <t>河南省国资委（省属国企）</t>
        </is>
      </c>
      <c r="E24" s="14" t="n">
        <v>30</v>
      </c>
      <c r="F24" s="12" t="n">
        <v>1</v>
      </c>
      <c r="G24" s="12" t="n">
        <v>1</v>
      </c>
      <c r="H24" s="12" t="inlineStr">
        <is>
          <t>河南省</t>
        </is>
      </c>
      <c r="I24" s="24">
        <f>IF($E$29=0,"",E24/$E$29)</f>
        <v/>
      </c>
      <c r="J24" s="12" t="inlineStr">
        <is>
          <t>电石法（乙炔法） 30</t>
        </is>
      </c>
      <c r="K24" s="12" t="inlineStr">
        <is>
          <t>S30</t>
        </is>
      </c>
    </row>
    <row r="25">
      <c r="A25" s="9" t="inlineStr">
        <is>
          <t>G25</t>
        </is>
      </c>
      <c r="B25" s="9" t="inlineStr">
        <is>
          <t>耀望化工</t>
        </is>
      </c>
      <c r="C25" s="9" t="inlineStr">
        <is>
          <t>甘肃耀望化工有限公司（所属集团待核）</t>
        </is>
      </c>
      <c r="D25" s="9" t="inlineStr">
        <is>
          <t>未知（待核）</t>
        </is>
      </c>
      <c r="E25" s="11" t="n">
        <v>30</v>
      </c>
      <c r="F25" s="9" t="n">
        <v>1</v>
      </c>
      <c r="G25" s="9" t="n">
        <v>1</v>
      </c>
      <c r="H25" s="9" t="inlineStr">
        <is>
          <t>甘肃省</t>
        </is>
      </c>
      <c r="I25" s="23">
        <f>IF($E$29=0,"",E25/$E$29)</f>
        <v/>
      </c>
      <c r="J25" s="9" t="inlineStr">
        <is>
          <t>电石法（乙炔法） 30</t>
        </is>
      </c>
      <c r="K25" s="9" t="inlineStr">
        <is>
          <t>S73</t>
        </is>
      </c>
    </row>
    <row r="26">
      <c r="A26" s="12" t="inlineStr">
        <is>
          <t>G23</t>
        </is>
      </c>
      <c r="B26" s="12" t="inlineStr">
        <is>
          <t>嘉化能源</t>
        </is>
      </c>
      <c r="C26" s="12" t="inlineStr">
        <is>
          <t>浙江嘉化能源化工股份有限公司（独立上市）</t>
        </is>
      </c>
      <c r="D26" s="12" t="inlineStr">
        <is>
          <t>民营控股（民营）</t>
        </is>
      </c>
      <c r="E26" s="14" t="n">
        <v>30</v>
      </c>
      <c r="F26" s="12" t="n">
        <v>1</v>
      </c>
      <c r="G26" s="12" t="n">
        <v>1</v>
      </c>
      <c r="H26" s="12" t="inlineStr">
        <is>
          <t>浙江省</t>
        </is>
      </c>
      <c r="I26" s="24">
        <f>IF($E$29=0,"",E26/$E$29)</f>
        <v/>
      </c>
      <c r="J26" s="12" t="inlineStr">
        <is>
          <t>乙烯法 30</t>
        </is>
      </c>
      <c r="K26" s="12" t="inlineStr">
        <is>
          <t>S66</t>
        </is>
      </c>
    </row>
    <row r="27">
      <c r="A27" s="9" t="inlineStr">
        <is>
          <t>G20</t>
        </is>
      </c>
      <c r="B27" s="9" t="inlineStr">
        <is>
          <t>东曹广州</t>
        </is>
      </c>
      <c r="C27" s="9" t="inlineStr">
        <is>
          <t>东曹株式会社（东曹（广州）化工有限公司）</t>
        </is>
      </c>
      <c r="D27" s="9" t="inlineStr">
        <is>
          <t>东曹株式会社 Tosoh Corporation（日本）（外资）</t>
        </is>
      </c>
      <c r="E27" s="11" t="n">
        <v>22</v>
      </c>
      <c r="F27" s="9" t="n">
        <v>1</v>
      </c>
      <c r="G27" s="9" t="n">
        <v>1</v>
      </c>
      <c r="H27" s="9" t="inlineStr">
        <is>
          <t>广东省</t>
        </is>
      </c>
      <c r="I27" s="23">
        <f>IF($E$29=0,"",E27/$E$29)</f>
        <v/>
      </c>
      <c r="J27" s="9" t="inlineStr">
        <is>
          <t>乙烯法 22</t>
        </is>
      </c>
      <c r="K27" s="9" t="inlineStr">
        <is>
          <t>S29</t>
        </is>
      </c>
    </row>
    <row r="29">
      <c r="B29" s="25" t="inlineStr">
        <is>
          <t>样本合计</t>
        </is>
      </c>
      <c r="E29" s="26">
        <f>SUM(E5:E27)</f>
        <v/>
      </c>
    </row>
    <row r="31">
      <c r="A31" s="27" t="inlineStr">
        <is>
          <t>说明：集团简称仅用于本报告可读性，法定主体见 04_法人汇总；同一集团内不同法人不得重复计入集团合计。</t>
        </is>
      </c>
    </row>
    <row r="32">
      <c r="A32" s="27" t="inlineStr">
        <is>
          <t>「占样本比」的分母是样本产能合计，不是全国产能；折全国份额请用 02 表的参考值自行换算并注明假设。</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32"/>
  <sheetViews>
    <sheetView showGridLines="0" workbookViewId="0">
      <pane ySplit="4" topLeftCell="A5" activePane="bottomLeft" state="frozen"/>
      <selection pane="bottomLeft" activeCell="A1" sqref="A1"/>
    </sheetView>
  </sheetViews>
  <sheetFormatPr baseColWidth="8" defaultRowHeight="15"/>
  <cols>
    <col width="11" customWidth="1" min="1" max="1"/>
    <col width="46" customWidth="1" min="2" max="2"/>
    <col width="20" customWidth="1" min="3" max="3"/>
    <col width="18" customWidth="1" min="4" max="4"/>
    <col width="10" customWidth="1" min="5" max="5"/>
    <col width="10" customWidth="1" min="6" max="6"/>
    <col width="22" customWidth="1" min="7" max="7"/>
    <col width="40" customWidth="1" min="8" max="8"/>
    <col width="14" customWidth="1" min="9" max="9"/>
    <col width="8" customWidth="1" min="10" max="10"/>
    <col width="20" customWidth="1" min="11" max="11"/>
    <col width="34" customWidth="1" min="12" max="12"/>
    <col width="10" customWidth="1" min="13" max="13"/>
  </cols>
  <sheetData>
    <row r="1" ht="24" customHeight="1">
      <c r="A1" s="7" t="inlineStr">
        <is>
          <t>法人（企业主体）级产能汇总（设计产能）</t>
        </is>
      </c>
    </row>
    <row r="2">
      <c r="A2" s="3" t="inlineStr">
        <is>
          <t>一个法人一行：法定全称、所属集团、统一社会信用代码、核验依据</t>
        </is>
      </c>
    </row>
    <row r="4" ht="30" customHeight="1">
      <c r="A4" s="8" t="inlineStr">
        <is>
          <t>法人ID</t>
        </is>
      </c>
      <c r="B4" s="8" t="inlineStr">
        <is>
          <t>法定主体全称</t>
        </is>
      </c>
      <c r="C4" s="8" t="inlineStr">
        <is>
          <t>简称</t>
        </is>
      </c>
      <c r="D4" s="8" t="inlineStr">
        <is>
          <t>所属集团</t>
        </is>
      </c>
      <c r="E4" s="8" t="inlineStr">
        <is>
          <t>证券代码</t>
        </is>
      </c>
      <c r="F4" s="8" t="inlineStr">
        <is>
          <t>企业性质</t>
        </is>
      </c>
      <c r="G4" s="8" t="inlineStr">
        <is>
          <t>统一社会信用代码</t>
        </is>
      </c>
      <c r="H4" s="8" t="inlineStr">
        <is>
          <t>注册地址</t>
        </is>
      </c>
      <c r="I4" s="8" t="inlineStr">
        <is>
          <t>产能合计(万吨/年)</t>
        </is>
      </c>
      <c r="J4" s="8" t="inlineStr">
        <is>
          <t>基地数</t>
        </is>
      </c>
      <c r="K4" s="8" t="inlineStr">
        <is>
          <t>工艺</t>
        </is>
      </c>
      <c r="L4" s="8" t="inlineStr">
        <is>
          <t>主体核验依据</t>
        </is>
      </c>
      <c r="M4" s="8" t="inlineStr">
        <is>
          <t>来源</t>
        </is>
      </c>
    </row>
    <row r="5">
      <c r="A5" s="9" t="inlineStr">
        <is>
          <t>E010</t>
        </is>
      </c>
      <c r="B5" s="9" t="inlineStr">
        <is>
          <t>新疆天业股份有限公司</t>
        </is>
      </c>
      <c r="C5" s="9" t="inlineStr">
        <is>
          <t>新疆天业</t>
        </is>
      </c>
      <c r="D5" s="9" t="inlineStr">
        <is>
          <t>天业集团</t>
        </is>
      </c>
      <c r="E5" s="9" t="inlineStr">
        <is>
          <t>600075.SH</t>
        </is>
      </c>
      <c r="F5" s="9" t="inlineStr">
        <is>
          <t>兵团国企（八师国资委）</t>
        </is>
      </c>
      <c r="G5" s="9" t="inlineStr"/>
      <c r="H5" s="9" t="inlineStr">
        <is>
          <t>新疆维吾尔自治区石河子市</t>
        </is>
      </c>
      <c r="I5" s="11" t="n">
        <v>134</v>
      </c>
      <c r="J5" s="9" t="n">
        <v>1</v>
      </c>
      <c r="K5" s="9" t="inlineStr">
        <is>
          <t>电石法（乙炔法）</t>
        </is>
      </c>
      <c r="L5" s="9" t="inlineStr">
        <is>
          <t>2025 年报释义表（本公司=新疆天业股份有限公司，天业集团=控股股东）</t>
        </is>
      </c>
      <c r="M5" s="9" t="inlineStr">
        <is>
          <t>S02</t>
        </is>
      </c>
    </row>
    <row r="6">
      <c r="A6" s="12" t="inlineStr">
        <is>
          <t>E020</t>
        </is>
      </c>
      <c r="B6" s="12" t="inlineStr">
        <is>
          <t>陕西北元化工集团股份有限公司</t>
        </is>
      </c>
      <c r="C6" s="12" t="inlineStr">
        <is>
          <t>北元集团</t>
        </is>
      </c>
      <c r="D6" s="12" t="inlineStr">
        <is>
          <t>北元集团</t>
        </is>
      </c>
      <c r="E6" s="12" t="inlineStr">
        <is>
          <t>601568.SH</t>
        </is>
      </c>
      <c r="F6" s="12" t="inlineStr">
        <is>
          <t>陕西省国资委（控股股东陕煤集团）</t>
        </is>
      </c>
      <c r="G6" s="12" t="inlineStr"/>
      <c r="H6" s="12" t="inlineStr">
        <is>
          <t>陕西省榆林市神木市锦界工业园区</t>
        </is>
      </c>
      <c r="I6" s="14" t="n">
        <v>110</v>
      </c>
      <c r="J6" s="12" t="n">
        <v>1</v>
      </c>
      <c r="K6" s="12" t="inlineStr">
        <is>
          <t>电石法（乙炔法）</t>
        </is>
      </c>
      <c r="L6" s="12" t="inlineStr">
        <is>
          <t>2025 年报 p9 主要业务 + p5 释义（化工分公司/热电分公司）</t>
        </is>
      </c>
      <c r="M6" s="12" t="inlineStr">
        <is>
          <t>S05</t>
        </is>
      </c>
    </row>
    <row r="7">
      <c r="A7" s="9" t="inlineStr">
        <is>
          <t>E110</t>
        </is>
      </c>
      <c r="B7" s="9" t="inlineStr">
        <is>
          <t>青岛海湾化学股份有限公司</t>
        </is>
      </c>
      <c r="C7" s="9" t="inlineStr">
        <is>
          <t>海湾化学</t>
        </is>
      </c>
      <c r="D7" s="9" t="inlineStr">
        <is>
          <t>海湾集团</t>
        </is>
      </c>
      <c r="E7" s="9" t="inlineStr"/>
      <c r="F7" s="9" t="inlineStr">
        <is>
          <t>青岛海湾集团</t>
        </is>
      </c>
      <c r="G7" s="9" t="inlineStr"/>
      <c r="H7" s="9" t="inlineStr">
        <is>
          <t>山东省青岛市西海岸新区董家口经济区</t>
        </is>
      </c>
      <c r="I7" s="11" t="n">
        <v>105</v>
      </c>
      <c r="J7" s="9" t="n">
        <v>1</v>
      </c>
      <c r="K7" s="9" t="inlineStr">
        <is>
          <t>乙烯法</t>
        </is>
      </c>
      <c r="L7" s="9" t="inlineStr">
        <is>
          <t>证券时报：已建成投产 85 万吨/年乙烯法 PVC、55.5 万吨/年烧碱</t>
        </is>
      </c>
      <c r="M7" s="9" t="inlineStr">
        <is>
          <t>S22</t>
        </is>
      </c>
    </row>
    <row r="8">
      <c r="A8" s="12" t="inlineStr">
        <is>
          <t>E003</t>
        </is>
      </c>
      <c r="B8" s="12" t="inlineStr">
        <is>
          <t>新疆中泰化学阜康能源有限公司</t>
        </is>
      </c>
      <c r="C8" s="12" t="inlineStr">
        <is>
          <t>阜康能源</t>
        </is>
      </c>
      <c r="D8" s="12" t="inlineStr">
        <is>
          <t>中泰集团</t>
        </is>
      </c>
      <c r="E8" s="12" t="inlineStr"/>
      <c r="F8" s="12" t="inlineStr">
        <is>
          <t>中泰化学控股子公司</t>
        </is>
      </c>
      <c r="G8" s="12" t="inlineStr"/>
      <c r="H8" s="12" t="inlineStr">
        <is>
          <t>新疆昌吉州阜康市准噶尔路 3188 号（阜康工业园）</t>
        </is>
      </c>
      <c r="I8" s="14" t="n">
        <v>80</v>
      </c>
      <c r="J8" s="12" t="n">
        <v>1</v>
      </c>
      <c r="K8" s="12" t="inlineStr">
        <is>
          <t>电石法（乙炔法）</t>
        </is>
      </c>
      <c r="L8" s="12" t="inlineStr">
        <is>
          <t>中泰化学 2025 年报 p5 释义表 / 子公司表（阜康市准噶尔路 3188 号）</t>
        </is>
      </c>
      <c r="M8" s="12" t="inlineStr">
        <is>
          <t>S01</t>
        </is>
      </c>
    </row>
    <row r="9">
      <c r="A9" s="9" t="inlineStr">
        <is>
          <t>E030</t>
        </is>
      </c>
      <c r="B9" s="9" t="inlineStr">
        <is>
          <t>内蒙古君正化工有限责任公司</t>
        </is>
      </c>
      <c r="C9" s="9" t="inlineStr">
        <is>
          <t>君正化工</t>
        </is>
      </c>
      <c r="D9" s="9" t="inlineStr">
        <is>
          <t>君正集团</t>
        </is>
      </c>
      <c r="E9" s="9" t="inlineStr"/>
      <c r="F9" s="9" t="inlineStr">
        <is>
          <t>君正集团子公司</t>
        </is>
      </c>
      <c r="G9" s="9" t="inlineStr"/>
      <c r="H9" s="9" t="inlineStr">
        <is>
          <t>内蒙古自治区乌海市乌达区工业园区</t>
        </is>
      </c>
      <c r="I9" s="11" t="n">
        <v>80</v>
      </c>
      <c r="J9" s="9" t="n">
        <v>1</v>
      </c>
      <c r="K9" s="9" t="inlineStr">
        <is>
          <t>电石法（乙炔法）</t>
        </is>
      </c>
      <c r="L9" s="9" t="inlineStr">
        <is>
          <t>君正集团 2025 年报子公司表（内蒙古君正化工有限责任公司 乌海市乌达区工业园区）</t>
        </is>
      </c>
      <c r="M9" s="9" t="inlineStr">
        <is>
          <t>S06</t>
        </is>
      </c>
    </row>
    <row r="10">
      <c r="A10" s="12" t="inlineStr">
        <is>
          <t>E100</t>
        </is>
      </c>
      <c r="B10" s="12" t="inlineStr">
        <is>
          <t>天津大沽化工股份有限公司</t>
        </is>
      </c>
      <c r="C10" s="12" t="inlineStr">
        <is>
          <t>大沽化工</t>
        </is>
      </c>
      <c r="D10" s="12" t="inlineStr">
        <is>
          <t>渤化集团</t>
        </is>
      </c>
      <c r="E10" s="12" t="inlineStr"/>
      <c r="F10" s="12" t="inlineStr">
        <is>
          <t>天津渤海化工集团</t>
        </is>
      </c>
      <c r="G10" s="12" t="inlineStr"/>
      <c r="H10" s="12" t="inlineStr">
        <is>
          <t>天津市滨海新区（临港经济区）</t>
        </is>
      </c>
      <c r="I10" s="14" t="n">
        <v>80</v>
      </c>
      <c r="J10" s="12" t="n">
        <v>1</v>
      </c>
      <c r="K10" s="12" t="inlineStr">
        <is>
          <t>乙烯法</t>
        </is>
      </c>
      <c r="L10" s="12" t="inlineStr">
        <is>
          <t>渤化集团官网产品与服务页 / 评级报告（2021-12 烧碱、聚氯乙烯装置试车投产）</t>
        </is>
      </c>
      <c r="M10" s="12" t="inlineStr">
        <is>
          <t>S19</t>
        </is>
      </c>
    </row>
    <row r="11">
      <c r="A11" s="9" t="inlineStr">
        <is>
          <t>E060</t>
        </is>
      </c>
      <c r="B11" s="9" t="inlineStr">
        <is>
          <t>中盐吉兰泰氯碱化工有限公司</t>
        </is>
      </c>
      <c r="C11" s="9" t="inlineStr">
        <is>
          <t>中盐吉兰泰</t>
        </is>
      </c>
      <c r="D11" s="9" t="inlineStr">
        <is>
          <t>中盐化工</t>
        </is>
      </c>
      <c r="E11" s="9" t="inlineStr"/>
      <c r="F11" s="9" t="inlineStr">
        <is>
          <t>中盐内蒙古化工股份有限公司子公司</t>
        </is>
      </c>
      <c r="G11" s="9" t="inlineStr"/>
      <c r="H11" s="9" t="inlineStr">
        <is>
          <t>内蒙古自治区阿拉善盟阿拉善左旗吉兰泰镇</t>
        </is>
      </c>
      <c r="I11" s="11" t="n">
        <v>64</v>
      </c>
      <c r="J11" s="9" t="n">
        <v>1</v>
      </c>
      <c r="K11" s="9" t="inlineStr">
        <is>
          <t>电石法（乙炔法）</t>
        </is>
      </c>
      <c r="L11" s="9" t="inlineStr">
        <is>
          <t>中盐内蒙古化工 2025 年报（提及中盐吉兰泰氯碱化工与 PVC 板块）</t>
        </is>
      </c>
      <c r="M11" s="9" t="inlineStr">
        <is>
          <t>S11</t>
        </is>
      </c>
    </row>
    <row r="12">
      <c r="A12" s="12" t="inlineStr">
        <is>
          <t>E090</t>
        </is>
      </c>
      <c r="B12" s="12" t="inlineStr">
        <is>
          <t>安徽华塑股份有限公司</t>
        </is>
      </c>
      <c r="C12" s="12" t="inlineStr">
        <is>
          <t>华塑股份</t>
        </is>
      </c>
      <c r="D12" s="12" t="inlineStr">
        <is>
          <t>华塑股份</t>
        </is>
      </c>
      <c r="E12" s="12" t="inlineStr">
        <is>
          <t>600935.SH</t>
        </is>
      </c>
      <c r="F12" s="12" t="inlineStr">
        <is>
          <t>安徽省国资委体系</t>
        </is>
      </c>
      <c r="G12" s="12" t="inlineStr"/>
      <c r="H12" s="12" t="inlineStr">
        <is>
          <t>安徽省滁州市定远县（盐化工业园）</t>
        </is>
      </c>
      <c r="I12" s="14" t="n">
        <v>64</v>
      </c>
      <c r="J12" s="12" t="n">
        <v>1</v>
      </c>
      <c r="K12" s="12" t="inlineStr">
        <is>
          <t>电石法（乙炔法）</t>
        </is>
      </c>
      <c r="L12" s="12" t="inlineStr">
        <is>
          <t>2026 半年报：现有 PVC 产能 64 万吨/年、烧碱 48 万吨/年</t>
        </is>
      </c>
      <c r="M12" s="12" t="inlineStr">
        <is>
          <t>S18</t>
        </is>
      </c>
    </row>
    <row r="13">
      <c r="A13" s="9" t="inlineStr">
        <is>
          <t>E305</t>
        </is>
      </c>
      <c r="B13" s="9" t="inlineStr">
        <is>
          <t>陕西金泰氯碱神木化工有限公司</t>
        </is>
      </c>
      <c r="C13" s="9" t="inlineStr">
        <is>
          <t>金泰神木</t>
        </is>
      </c>
      <c r="D13" s="9" t="inlineStr">
        <is>
          <t>陕投集团</t>
        </is>
      </c>
      <c r="E13" s="9" t="inlineStr"/>
      <c r="F13" s="9" t="inlineStr">
        <is>
          <t>陕西投资集团（陕投集团）</t>
        </is>
      </c>
      <c r="G13" s="9" t="inlineStr"/>
      <c r="H13" s="9" t="inlineStr">
        <is>
          <t>陕西省榆林市神木市</t>
        </is>
      </c>
      <c r="I13" s="11" t="n">
        <v>60</v>
      </c>
      <c r="J13" s="9" t="n">
        <v>1</v>
      </c>
      <c r="K13" s="9" t="inlineStr">
        <is>
          <t>电石法（乙炔法）</t>
        </is>
      </c>
      <c r="L13" s="9" t="inlineStr">
        <is>
          <t>项目试生产与交工验收公告</t>
        </is>
      </c>
      <c r="M13" s="9" t="inlineStr">
        <is>
          <t>S72</t>
        </is>
      </c>
    </row>
    <row r="14">
      <c r="A14" s="12" t="inlineStr">
        <is>
          <t>E140</t>
        </is>
      </c>
      <c r="B14" s="12" t="inlineStr">
        <is>
          <t>内蒙古亿利化学工业有限公司</t>
        </is>
      </c>
      <c r="C14" s="12" t="inlineStr">
        <is>
          <t>亿利化学</t>
        </is>
      </c>
      <c r="D14" s="12" t="inlineStr">
        <is>
          <t>亿利集团</t>
        </is>
      </c>
      <c r="E14" s="12" t="inlineStr"/>
      <c r="F14" s="12" t="inlineStr">
        <is>
          <t>亿利资源集团系（亿利洁能/上海华谊/神华神东电力合资设立，现控股方待核）</t>
        </is>
      </c>
      <c r="G14" s="12" t="inlineStr"/>
      <c r="H14" s="12" t="inlineStr">
        <is>
          <t>内蒙古自治区鄂尔多斯市达拉特旗（达拉特化工园区）</t>
        </is>
      </c>
      <c r="I14" s="14" t="n">
        <v>50</v>
      </c>
      <c r="J14" s="12" t="n">
        <v>1</v>
      </c>
      <c r="K14" s="12" t="inlineStr">
        <is>
          <t>电石法（乙炔法）</t>
        </is>
      </c>
      <c r="L14" s="12" t="inlineStr">
        <is>
          <t>财联社：具备年产 50 万吨 PVC、40 万吨离子膜烧碱、64 万吨电石能力</t>
        </is>
      </c>
      <c r="M14" s="12" t="inlineStr">
        <is>
          <t>S38</t>
        </is>
      </c>
    </row>
    <row r="15">
      <c r="A15" s="9" t="inlineStr">
        <is>
          <t>E400</t>
        </is>
      </c>
      <c r="B15" s="9" t="inlineStr">
        <is>
          <t>宜宾天原集团股份有限公司</t>
        </is>
      </c>
      <c r="C15" s="9" t="inlineStr">
        <is>
          <t>天原集团</t>
        </is>
      </c>
      <c r="D15" s="9" t="inlineStr">
        <is>
          <t>天原集团</t>
        </is>
      </c>
      <c r="E15" s="9" t="inlineStr">
        <is>
          <t>002386.SZ</t>
        </is>
      </c>
      <c r="F15" s="9" t="inlineStr">
        <is>
          <t>宜宾市国资委</t>
        </is>
      </c>
      <c r="G15" s="9" t="inlineStr"/>
      <c r="H15" s="9" t="inlineStr">
        <is>
          <t>四川省宜宾市</t>
        </is>
      </c>
      <c r="I15" s="11" t="n">
        <v>50</v>
      </c>
      <c r="J15" s="9" t="n">
        <v>1</v>
      </c>
      <c r="K15" s="9" t="inlineStr">
        <is>
          <t>电石法（乙炔法）</t>
        </is>
      </c>
      <c r="L15" s="9" t="inlineStr">
        <is>
          <t>2025 年报：PVC 设计产能 50 万吨、利用率 78.44%；原材料表显示电石全部外购</t>
        </is>
      </c>
      <c r="M15" s="9" t="inlineStr">
        <is>
          <t>S76</t>
        </is>
      </c>
    </row>
    <row r="16">
      <c r="A16" s="12" t="inlineStr">
        <is>
          <t>E307</t>
        </is>
      </c>
      <c r="B16" s="12" t="inlineStr">
        <is>
          <t>新浦化学（泰兴）有限公司</t>
        </is>
      </c>
      <c r="C16" s="12" t="inlineStr">
        <is>
          <t>新浦化学</t>
        </is>
      </c>
      <c r="D16" s="12" t="inlineStr">
        <is>
          <t>新浦化学</t>
        </is>
      </c>
      <c r="E16" s="12" t="inlineStr"/>
      <c r="F16" s="12" t="inlineStr">
        <is>
          <t>新加坡新浦化学（SP Chemicals）</t>
        </is>
      </c>
      <c r="G16" s="12" t="inlineStr"/>
      <c r="H16" s="12" t="inlineStr">
        <is>
          <t>江苏省泰兴市泰兴经济开发区</t>
        </is>
      </c>
      <c r="I16" s="14" t="n">
        <v>50</v>
      </c>
      <c r="J16" s="12" t="n">
        <v>1</v>
      </c>
      <c r="K16" s="12" t="inlineStr">
        <is>
          <t>乙烯法</t>
        </is>
      </c>
      <c r="L16" s="12" t="inlineStr">
        <is>
          <t>项目中期与量产报道</t>
        </is>
      </c>
      <c r="M16" s="12" t="inlineStr">
        <is>
          <t>S74</t>
        </is>
      </c>
    </row>
    <row r="17">
      <c r="A17" s="9" t="inlineStr">
        <is>
          <t>E050</t>
        </is>
      </c>
      <c r="B17" s="9" t="inlineStr">
        <is>
          <t>上海氯碱化工股份有限公司</t>
        </is>
      </c>
      <c r="C17" s="9" t="inlineStr">
        <is>
          <t>氯碱化工</t>
        </is>
      </c>
      <c r="D17" s="9" t="inlineStr">
        <is>
          <t>华谊集团</t>
        </is>
      </c>
      <c r="E17" s="9" t="inlineStr">
        <is>
          <t>600618.SH</t>
        </is>
      </c>
      <c r="F17" s="9" t="inlineStr">
        <is>
          <t>华谊集团控股</t>
        </is>
      </c>
      <c r="G17" s="9" t="inlineStr"/>
      <c r="H17" s="9" t="inlineStr">
        <is>
          <t>上海市（上海化学工业区）</t>
        </is>
      </c>
      <c r="I17" s="11" t="n">
        <v>48</v>
      </c>
      <c r="J17" s="9" t="n">
        <v>1</v>
      </c>
      <c r="K17" s="9" t="inlineStr">
        <is>
          <t>乙烯法</t>
        </is>
      </c>
      <c r="L17" s="9" t="inlineStr">
        <is>
          <t>2025 年报：烧碱 102 万吨、聚氯乙烯 48 万吨（40 + 特种 8）</t>
        </is>
      </c>
      <c r="M17" s="9" t="inlineStr">
        <is>
          <t>S09</t>
        </is>
      </c>
    </row>
    <row r="18">
      <c r="A18" s="12" t="inlineStr">
        <is>
          <t>E080</t>
        </is>
      </c>
      <c r="B18" s="12" t="inlineStr">
        <is>
          <t>唐山三友氯碱有限责任公司</t>
        </is>
      </c>
      <c r="C18" s="12" t="inlineStr">
        <is>
          <t>三友氯碱</t>
        </is>
      </c>
      <c r="D18" s="12" t="inlineStr">
        <is>
          <t>三友化工</t>
        </is>
      </c>
      <c r="E18" s="12" t="inlineStr"/>
      <c r="F18" s="12" t="inlineStr">
        <is>
          <t>唐山三友化工股份有限公司子公司</t>
        </is>
      </c>
      <c r="G18" s="12" t="inlineStr"/>
      <c r="H18" s="12" t="inlineStr">
        <is>
          <t>河北省唐山市（南堡经济开发区）</t>
        </is>
      </c>
      <c r="I18" s="14" t="n">
        <v>47</v>
      </c>
      <c r="J18" s="12" t="n">
        <v>1</v>
      </c>
      <c r="K18" s="12" t="inlineStr">
        <is>
          <t>电石法（乙炔法）</t>
        </is>
      </c>
      <c r="L18" s="12" t="inlineStr">
        <is>
          <t>三友化工 2025 年报：子公司聚氯乙烯树脂、烧碱的生产与销售</t>
        </is>
      </c>
      <c r="M18" s="12" t="inlineStr">
        <is>
          <t>S14</t>
        </is>
      </c>
    </row>
    <row r="19">
      <c r="A19" s="9" t="inlineStr">
        <is>
          <t>E051</t>
        </is>
      </c>
      <c r="B19" s="9" t="inlineStr">
        <is>
          <t>广西华谊氯碱化工有限公司</t>
        </is>
      </c>
      <c r="C19" s="9" t="inlineStr">
        <is>
          <t>广西氯碱</t>
        </is>
      </c>
      <c r="D19" s="9" t="inlineStr">
        <is>
          <t>华谊集团</t>
        </is>
      </c>
      <c r="E19" s="9" t="inlineStr"/>
      <c r="F19" s="9" t="inlineStr">
        <is>
          <t>氯碱化工 100% 持股（2024 年完成收购剩余 40%）</t>
        </is>
      </c>
      <c r="G19" s="9" t="inlineStr"/>
      <c r="H19" s="9" t="inlineStr">
        <is>
          <t>广西壮族自治区钦州市（华谊钦州一体化基地）</t>
        </is>
      </c>
      <c r="I19" s="11" t="n">
        <v>40</v>
      </c>
      <c r="J19" s="9" t="n">
        <v>1</v>
      </c>
      <c r="K19" s="9" t="inlineStr">
        <is>
          <t>乙烯法</t>
        </is>
      </c>
      <c r="L19" s="9" t="inlineStr">
        <is>
          <t>证券时报 2024-05：广西钦州 30 万吨/年烧碱、40 万吨/年聚氯乙烯项目</t>
        </is>
      </c>
      <c r="M19" s="9" t="inlineStr">
        <is>
          <t>S10</t>
        </is>
      </c>
    </row>
    <row r="20">
      <c r="A20" s="12" t="inlineStr">
        <is>
          <t>E120</t>
        </is>
      </c>
      <c r="B20" s="12" t="inlineStr">
        <is>
          <t>万华化学集团股份有限公司</t>
        </is>
      </c>
      <c r="C20" s="12" t="inlineStr">
        <is>
          <t>万华化学</t>
        </is>
      </c>
      <c r="D20" s="12" t="inlineStr">
        <is>
          <t>万华化学</t>
        </is>
      </c>
      <c r="E20" s="12" t="inlineStr">
        <is>
          <t>600309.SH</t>
        </is>
      </c>
      <c r="F20" s="12" t="inlineStr">
        <is>
          <t>国有控股混合所有制</t>
        </is>
      </c>
      <c r="G20" s="12" t="inlineStr"/>
      <c r="H20" s="12" t="inlineStr">
        <is>
          <t>山东省烟台市（烟台工业园）</t>
        </is>
      </c>
      <c r="I20" s="14" t="n">
        <v>40</v>
      </c>
      <c r="J20" s="12" t="n">
        <v>1</v>
      </c>
      <c r="K20" s="12" t="inlineStr">
        <is>
          <t>乙烯法</t>
        </is>
      </c>
      <c r="L20" s="12" t="inlineStr">
        <is>
          <t>证券时报：乙烯一期新建 100 万吨/年乙烯联合装置、40 万吨/年聚氯乙烯装置</t>
        </is>
      </c>
      <c r="M20" s="12" t="inlineStr">
        <is>
          <t>S25</t>
        </is>
      </c>
    </row>
    <row r="21">
      <c r="A21" s="9" t="inlineStr">
        <is>
          <t>E150</t>
        </is>
      </c>
      <c r="B21" s="9" t="inlineStr">
        <is>
          <t>内蒙古鄂尔多斯电力冶金集团股份有限公司氯碱化工分公司</t>
        </is>
      </c>
      <c r="C21" s="9" t="inlineStr">
        <is>
          <t>鄂尔多斯电冶氯碱</t>
        </is>
      </c>
      <c r="D21" s="9" t="inlineStr">
        <is>
          <t>鄂尔多斯电冶</t>
        </is>
      </c>
      <c r="E21" s="9" t="inlineStr"/>
      <c r="F21" s="9" t="inlineStr">
        <is>
          <t>鄂尔多斯电冶集团</t>
        </is>
      </c>
      <c r="G21" s="9" t="inlineStr"/>
      <c r="H21" s="9" t="inlineStr">
        <is>
          <t>内蒙古自治区鄂尔多斯市鄂托克旗棋盘井工业园区</t>
        </is>
      </c>
      <c r="I21" s="11" t="n">
        <v>40</v>
      </c>
      <c r="J21" s="9" t="n">
        <v>1</v>
      </c>
      <c r="K21" s="9" t="inlineStr">
        <is>
          <t>电石法（乙炔法）</t>
        </is>
      </c>
      <c r="L21" s="9" t="inlineStr">
        <is>
          <t>新华网 2023-02：年产 40 万吨电石法 PVC 及烧碱项目已完全装填无汞催化剂</t>
        </is>
      </c>
      <c r="M21" s="9" t="inlineStr">
        <is>
          <t>S35</t>
        </is>
      </c>
    </row>
    <row r="22">
      <c r="A22" s="12" t="inlineStr">
        <is>
          <t>E180</t>
        </is>
      </c>
      <c r="B22" s="12" t="inlineStr">
        <is>
          <t>河南联创化工有限公司</t>
        </is>
      </c>
      <c r="C22" s="12" t="inlineStr">
        <is>
          <t>河南联创</t>
        </is>
      </c>
      <c r="D22" s="12" t="inlineStr">
        <is>
          <t>河南联创</t>
        </is>
      </c>
      <c r="E22" s="12" t="inlineStr"/>
      <c r="F22" s="12" t="inlineStr">
        <is>
          <t>待核</t>
        </is>
      </c>
      <c r="G22" s="12" t="inlineStr"/>
      <c r="H22" s="12" t="inlineStr">
        <is>
          <t>河南省（具体地址待核）</t>
        </is>
      </c>
      <c r="I22" s="14" t="n">
        <v>40</v>
      </c>
      <c r="J22" s="12" t="n">
        <v>1</v>
      </c>
      <c r="K22" s="12" t="inlineStr">
        <is>
          <t>电石法（乙炔法）</t>
        </is>
      </c>
      <c r="L22" s="12" t="inlineStr">
        <is>
          <t>行业盘点：聚氯乙烯树脂 40 万吨、离子膜烧碱 35 万吨等</t>
        </is>
      </c>
      <c r="M22" s="12" t="inlineStr">
        <is>
          <t>S31</t>
        </is>
      </c>
    </row>
    <row r="23">
      <c r="A23" s="9" t="inlineStr">
        <is>
          <t>E304</t>
        </is>
      </c>
      <c r="B23" s="9" t="inlineStr">
        <is>
          <t>万华化学（福建）有限公司</t>
        </is>
      </c>
      <c r="C23" s="9" t="inlineStr">
        <is>
          <t>万华福建</t>
        </is>
      </c>
      <c r="D23" s="9" t="inlineStr">
        <is>
          <t>万华化学</t>
        </is>
      </c>
      <c r="E23" s="9" t="inlineStr"/>
      <c r="F23" s="9" t="inlineStr">
        <is>
          <t>万华化学集团股份有限公司</t>
        </is>
      </c>
      <c r="G23" s="9" t="inlineStr"/>
      <c r="H23" s="9" t="inlineStr">
        <is>
          <t>福建省福州市福清市江阴港城经济区</t>
        </is>
      </c>
      <c r="I23" s="11" t="n">
        <v>40</v>
      </c>
      <c r="J23" s="9" t="n">
        <v>1</v>
      </c>
      <c r="K23" s="9" t="inlineStr">
        <is>
          <t>乙烯法</t>
        </is>
      </c>
      <c r="L23" s="9" t="inlineStr">
        <is>
          <t>项目开工与复产公告</t>
        </is>
      </c>
      <c r="M23" s="9" t="inlineStr">
        <is>
          <t>S75</t>
        </is>
      </c>
    </row>
    <row r="24">
      <c r="A24" s="12" t="inlineStr">
        <is>
          <t>E130</t>
        </is>
      </c>
      <c r="B24" s="12" t="inlineStr">
        <is>
          <t>阳煤化工股份有限公司</t>
        </is>
      </c>
      <c r="C24" s="12" t="inlineStr">
        <is>
          <t>阳煤化工</t>
        </is>
      </c>
      <c r="D24" s="12" t="inlineStr">
        <is>
          <t>阳煤化工</t>
        </is>
      </c>
      <c r="E24" s="12" t="inlineStr">
        <is>
          <t>600691.SH</t>
        </is>
      </c>
      <c r="F24" s="12" t="inlineStr">
        <is>
          <t>山西省国资委（2024-12 潞安化工成为控股股东）</t>
        </is>
      </c>
      <c r="G24" s="12" t="inlineStr"/>
      <c r="H24" s="12" t="inlineStr">
        <is>
          <t>山西省阳泉市</t>
        </is>
      </c>
      <c r="I24" s="14" t="n">
        <v>30</v>
      </c>
      <c r="J24" s="12" t="n">
        <v>1</v>
      </c>
      <c r="K24" s="12" t="inlineStr">
        <is>
          <t>乙烯法</t>
        </is>
      </c>
      <c r="L24" s="12" t="inlineStr">
        <is>
          <t>2024 年报：聚氯乙烯 25.06 万吨；工艺为乙烯氧氯化平衡法/直接氯化法</t>
        </is>
      </c>
      <c r="M24" s="12" t="inlineStr">
        <is>
          <t>S27</t>
        </is>
      </c>
    </row>
    <row r="25">
      <c r="A25" s="9" t="inlineStr">
        <is>
          <t>E160</t>
        </is>
      </c>
      <c r="B25" s="9" t="inlineStr">
        <is>
          <t>青海盐湖镁业有限公司</t>
        </is>
      </c>
      <c r="C25" s="9" t="inlineStr">
        <is>
          <t>盐湖镁业</t>
        </is>
      </c>
      <c r="D25" s="9" t="inlineStr">
        <is>
          <t>盐湖镁业</t>
        </is>
      </c>
      <c r="E25" s="9" t="inlineStr"/>
      <c r="F25" s="9" t="inlineStr">
        <is>
          <t>青海汇信资产管理有限责任公司</t>
        </is>
      </c>
      <c r="G25" s="9" t="inlineStr"/>
      <c r="H25" s="9" t="inlineStr">
        <is>
          <t>青海省海西州格尔木市察尔汗（柴达木循环经济试验区）</t>
        </is>
      </c>
      <c r="I25" s="11" t="n">
        <v>30</v>
      </c>
      <c r="J25" s="9" t="n">
        <v>1</v>
      </c>
      <c r="K25" s="9" t="inlineStr">
        <is>
          <t>乙烯法</t>
        </is>
      </c>
      <c r="L25" s="9" t="inlineStr">
        <is>
          <t>中控技术中标信息：PVC&amp;钾碱厂 30 万吨乙烯法 PVC 装置，2016 年投产</t>
        </is>
      </c>
      <c r="M25" s="9" t="inlineStr">
        <is>
          <t>S36</t>
        </is>
      </c>
    </row>
    <row r="26">
      <c r="A26" s="12" t="inlineStr">
        <is>
          <t>E170</t>
        </is>
      </c>
      <c r="B26" s="12" t="inlineStr">
        <is>
          <t>河南神马氯碱发展有限责任公司</t>
        </is>
      </c>
      <c r="C26" s="12" t="inlineStr">
        <is>
          <t>神马氯碱</t>
        </is>
      </c>
      <c r="D26" s="12" t="inlineStr">
        <is>
          <t>神马氯碱</t>
        </is>
      </c>
      <c r="E26" s="12" t="inlineStr"/>
      <c r="F26" s="12" t="inlineStr">
        <is>
          <t>平煤神马集团</t>
        </is>
      </c>
      <c r="G26" s="12" t="inlineStr"/>
      <c r="H26" s="12" t="inlineStr">
        <is>
          <t>河南省平顶山市</t>
        </is>
      </c>
      <c r="I26" s="14" t="n">
        <v>30</v>
      </c>
      <c r="J26" s="12" t="n">
        <v>1</v>
      </c>
      <c r="K26" s="12" t="inlineStr">
        <is>
          <t>电石法（乙炔法）</t>
        </is>
      </c>
      <c r="L26" s="12" t="inlineStr">
        <is>
          <t>南阳理工学院企业介绍：以离子膜烧碱（32%）及聚氯乙烯树脂（PVC）等基础化工原料为主（产能数字待一手核实）</t>
        </is>
      </c>
      <c r="M26" s="12" t="inlineStr">
        <is>
          <t>S30</t>
        </is>
      </c>
    </row>
    <row r="27">
      <c r="A27" s="9" t="inlineStr">
        <is>
          <t>E306</t>
        </is>
      </c>
      <c r="B27" s="9" t="inlineStr">
        <is>
          <t>甘肃耀望化工有限公司</t>
        </is>
      </c>
      <c r="C27" s="9" t="inlineStr">
        <is>
          <t>耀望化工</t>
        </is>
      </c>
      <c r="D27" s="9" t="inlineStr">
        <is>
          <t>耀望化工</t>
        </is>
      </c>
      <c r="E27" s="9" t="inlineStr"/>
      <c r="F27" s="9" t="inlineStr">
        <is>
          <t>待核</t>
        </is>
      </c>
      <c r="G27" s="9" t="inlineStr"/>
      <c r="H27" s="9" t="inlineStr">
        <is>
          <t>甘肃省兰州新区</t>
        </is>
      </c>
      <c r="I27" s="11" t="n">
        <v>30</v>
      </c>
      <c r="J27" s="9" t="n">
        <v>1</v>
      </c>
      <c r="K27" s="9" t="inlineStr">
        <is>
          <t>电石法（乙炔法）</t>
        </is>
      </c>
      <c r="L27" s="9" t="inlineStr">
        <is>
          <t>杭州新区投产公示 / 行业媒体</t>
        </is>
      </c>
      <c r="M27" s="9" t="inlineStr">
        <is>
          <t>S73</t>
        </is>
      </c>
    </row>
    <row r="28">
      <c r="A28" s="12" t="inlineStr">
        <is>
          <t>E302</t>
        </is>
      </c>
      <c r="B28" s="12" t="inlineStr">
        <is>
          <t>浙江嘉化能源化工股份有限公司</t>
        </is>
      </c>
      <c r="C28" s="12" t="inlineStr">
        <is>
          <t>嘉化能源</t>
        </is>
      </c>
      <c r="D28" s="12" t="inlineStr">
        <is>
          <t>嘉化能源</t>
        </is>
      </c>
      <c r="E28" s="12" t="inlineStr">
        <is>
          <t>600273.SH</t>
        </is>
      </c>
      <c r="F28" s="12" t="inlineStr">
        <is>
          <t>民营控股</t>
        </is>
      </c>
      <c r="G28" s="12" t="inlineStr"/>
      <c r="H28" s="12" t="inlineStr">
        <is>
          <t>浙江省嘉兴市嘉兴港区</t>
        </is>
      </c>
      <c r="I28" s="14" t="n">
        <v>30</v>
      </c>
      <c r="J28" s="12" t="n">
        <v>1</v>
      </c>
      <c r="K28" s="12" t="inlineStr">
        <is>
          <t>乙烯法</t>
        </is>
      </c>
      <c r="L28" s="12" t="inlineStr">
        <is>
          <t>公司定期报告与投资者关系表述</t>
        </is>
      </c>
      <c r="M28" s="12" t="inlineStr">
        <is>
          <t>S66</t>
        </is>
      </c>
    </row>
    <row r="29">
      <c r="A29" s="9" t="inlineStr">
        <is>
          <t>E004</t>
        </is>
      </c>
      <c r="B29" s="9" t="inlineStr">
        <is>
          <t>新疆中泰化学托克逊能化有限公司</t>
        </is>
      </c>
      <c r="C29" s="9" t="inlineStr">
        <is>
          <t>托克逊能化</t>
        </is>
      </c>
      <c r="D29" s="9" t="inlineStr">
        <is>
          <t>中泰集团</t>
        </is>
      </c>
      <c r="E29" s="9" t="inlineStr"/>
      <c r="F29" s="9" t="inlineStr">
        <is>
          <t>中泰化学控股子公司（注册资本 48.03 亿元）</t>
        </is>
      </c>
      <c r="G29" s="9" t="inlineStr"/>
      <c r="H29" s="9" t="inlineStr">
        <is>
          <t>新疆吐鲁番市托克逊县工业园区第三辅道南侧</t>
        </is>
      </c>
      <c r="I29" s="11" t="n">
        <v>29</v>
      </c>
      <c r="J29" s="9" t="n">
        <v>1</v>
      </c>
      <c r="K29" s="9" t="inlineStr">
        <is>
          <t>电石法（乙炔法）</t>
        </is>
      </c>
      <c r="L29" s="9" t="inlineStr">
        <is>
          <t>中泰化学 2025 年报 p5 释义表 / 子公司表（托克逊县）</t>
        </is>
      </c>
      <c r="M29" s="9" t="inlineStr">
        <is>
          <t>S01</t>
        </is>
      </c>
    </row>
    <row r="30">
      <c r="A30" s="12" t="inlineStr">
        <is>
          <t>E190</t>
        </is>
      </c>
      <c r="B30" s="12" t="inlineStr">
        <is>
          <t>东曹（广州）化工有限公司</t>
        </is>
      </c>
      <c r="C30" s="12" t="inlineStr">
        <is>
          <t>东曹广州</t>
        </is>
      </c>
      <c r="D30" s="12" t="inlineStr">
        <is>
          <t>东曹广州</t>
        </is>
      </c>
      <c r="E30" s="12" t="inlineStr"/>
      <c r="F30" s="12" t="inlineStr">
        <is>
          <t>东曹株式会社（日本）全资</t>
        </is>
      </c>
      <c r="G30" s="12" t="inlineStr"/>
      <c r="H30" s="12" t="inlineStr">
        <is>
          <t>广东省广州市南沙区</t>
        </is>
      </c>
      <c r="I30" s="14" t="n">
        <v>22</v>
      </c>
      <c r="J30" s="12" t="n">
        <v>1</v>
      </c>
      <c r="K30" s="12" t="inlineStr">
        <is>
          <t>乙烯法</t>
        </is>
      </c>
      <c r="L30" s="12" t="inlineStr">
        <is>
          <t>东曹官网：2004 年成立，PVC 产能 22 万吨/年</t>
        </is>
      </c>
      <c r="M30" s="12" t="inlineStr">
        <is>
          <t>S29</t>
        </is>
      </c>
    </row>
    <row r="32">
      <c r="A32" s="27" t="inlineStr">
        <is>
          <t>法定主体全称以年报释义表/工商登记为准；简称不等于法定名称，不可直接用于合同或诉讼。</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3"/>
  <sheetViews>
    <sheetView showGridLines="0" workbookViewId="0">
      <pane ySplit="4" topLeftCell="A5" activePane="bottomLeft" state="frozen"/>
      <selection pane="bottomLeft" activeCell="A1" sqref="A1"/>
    </sheetView>
  </sheetViews>
  <sheetFormatPr baseColWidth="8" defaultRowHeight="15"/>
  <cols>
    <col width="11" customWidth="1" min="1" max="1"/>
    <col width="34" customWidth="1" min="2" max="2"/>
    <col width="40" customWidth="1" min="3" max="3"/>
    <col width="16" customWidth="1" min="4" max="4"/>
    <col width="12" customWidth="1" min="5" max="5"/>
    <col width="12" customWidth="1" min="6" max="6"/>
    <col width="28" customWidth="1" min="7" max="7"/>
    <col width="36" customWidth="1" min="8" max="8"/>
    <col width="16" customWidth="1" min="9" max="9"/>
    <col width="14" customWidth="1" min="10" max="10"/>
    <col width="8" customWidth="1" min="11" max="11"/>
    <col width="22" customWidth="1" min="12" max="12"/>
    <col width="40" customWidth="1" min="13" max="13"/>
    <col width="18" customWidth="1" min="14" max="14"/>
    <col width="10" customWidth="1" min="15" max="15"/>
  </cols>
  <sheetData>
    <row r="1" ht="24" customHeight="1">
      <c r="A1" s="7" t="inlineStr">
        <is>
          <t>生产基地清单（Plant-level）</t>
        </is>
      </c>
    </row>
    <row r="2">
      <c r="A2" s="3" t="inlineStr">
        <is>
          <t>一个厂区一行；集团→法人→基地→装置的四级归属在此显式列出</t>
        </is>
      </c>
    </row>
    <row r="4" ht="30" customHeight="1">
      <c r="A4" s="8" t="inlineStr">
        <is>
          <t>基地ID</t>
        </is>
      </c>
      <c r="B4" s="8" t="inlineStr">
        <is>
          <t>基地简称</t>
        </is>
      </c>
      <c r="C4" s="8" t="inlineStr">
        <is>
          <t>基地全称</t>
        </is>
      </c>
      <c r="D4" s="8" t="inlineStr">
        <is>
          <t>省</t>
        </is>
      </c>
      <c r="E4" s="8" t="inlineStr">
        <is>
          <t>市</t>
        </is>
      </c>
      <c r="F4" s="8" t="inlineStr">
        <is>
          <t>区县</t>
        </is>
      </c>
      <c r="G4" s="8" t="inlineStr">
        <is>
          <t>园区/位置</t>
        </is>
      </c>
      <c r="H4" s="8" t="inlineStr">
        <is>
          <t>运营法人</t>
        </is>
      </c>
      <c r="I4" s="8" t="inlineStr">
        <is>
          <t>所属集团</t>
        </is>
      </c>
      <c r="J4" s="8" t="inlineStr">
        <is>
          <t>产能(万吨/年)</t>
        </is>
      </c>
      <c r="K4" s="8" t="inlineStr">
        <is>
          <t>装置数</t>
        </is>
      </c>
      <c r="L4" s="8" t="inlineStr">
        <is>
          <t>工艺</t>
        </is>
      </c>
      <c r="M4" s="8" t="inlineStr">
        <is>
          <t>注册地址</t>
        </is>
      </c>
      <c r="N4" s="8" t="inlineStr">
        <is>
          <t>经纬度</t>
        </is>
      </c>
      <c r="O4" s="8" t="inlineStr">
        <is>
          <t>坐标精度</t>
        </is>
      </c>
    </row>
    <row r="5">
      <c r="A5" s="9" t="inlineStr">
        <is>
          <t>P010</t>
        </is>
      </c>
      <c r="B5" s="9" t="inlineStr">
        <is>
          <t>石河子化工园区基地（综合）</t>
        </is>
      </c>
      <c r="C5" s="9" t="inlineStr">
        <is>
          <t>新疆天业股份有限公司 石河子化工园区 PVC 生产基地（天伟/天能/天辰三厂合并口径）</t>
        </is>
      </c>
      <c r="D5" s="9" t="inlineStr">
        <is>
          <t>新疆维吾尔自治区</t>
        </is>
      </c>
      <c r="E5" s="9" t="inlineStr">
        <is>
          <t>石河子市</t>
        </is>
      </c>
      <c r="F5" s="9" t="inlineStr"/>
      <c r="G5" s="9" t="inlineStr">
        <is>
          <t>石河子经济技术开发区化工产业园</t>
        </is>
      </c>
      <c r="H5" s="9" t="inlineStr">
        <is>
          <t>新疆天业股份有限公司</t>
        </is>
      </c>
      <c r="I5" s="9" t="inlineStr">
        <is>
          <t>天业集团</t>
        </is>
      </c>
      <c r="J5" s="11" t="n">
        <v>134</v>
      </c>
      <c r="K5" s="9" t="n">
        <v>3</v>
      </c>
      <c r="L5" s="9" t="inlineStr">
        <is>
          <t>电石法（乙炔法）</t>
        </is>
      </c>
      <c r="M5" s="9" t="inlineStr">
        <is>
          <t>新疆石河子市</t>
        </is>
      </c>
      <c r="N5" s="9" t="inlineStr">
        <is>
          <t>44.3100,86.0600</t>
        </is>
      </c>
      <c r="O5" s="9" t="inlineStr">
        <is>
          <t>city</t>
        </is>
      </c>
    </row>
    <row r="6">
      <c r="A6" s="12" t="inlineStr">
        <is>
          <t>P020</t>
        </is>
      </c>
      <c r="B6" s="12" t="inlineStr">
        <is>
          <t>锦界园区基地（北元）</t>
        </is>
      </c>
      <c r="C6" s="12" t="inlineStr">
        <is>
          <t>陕西北元化工集团股份有限公司 锦界工业园区 PVC 生产基地</t>
        </is>
      </c>
      <c r="D6" s="12" t="inlineStr">
        <is>
          <t>陕西省</t>
        </is>
      </c>
      <c r="E6" s="12" t="inlineStr">
        <is>
          <t>神木市</t>
        </is>
      </c>
      <c r="F6" s="12" t="inlineStr"/>
      <c r="G6" s="12" t="inlineStr">
        <is>
          <t>锦界工业园区</t>
        </is>
      </c>
      <c r="H6" s="12" t="inlineStr">
        <is>
          <t>陕西北元化工集团股份有限公司</t>
        </is>
      </c>
      <c r="I6" s="12" t="inlineStr">
        <is>
          <t>北元集团</t>
        </is>
      </c>
      <c r="J6" s="14" t="n">
        <v>110</v>
      </c>
      <c r="K6" s="12" t="n">
        <v>1</v>
      </c>
      <c r="L6" s="12" t="inlineStr">
        <is>
          <t>电石法（乙炔法）</t>
        </is>
      </c>
      <c r="M6" s="12" t="inlineStr">
        <is>
          <t>陕西省榆林市神木市锦界工业园区</t>
        </is>
      </c>
      <c r="N6" s="12" t="inlineStr">
        <is>
          <t>38.8700,110.4300</t>
        </is>
      </c>
      <c r="O6" s="12" t="inlineStr">
        <is>
          <t>city</t>
        </is>
      </c>
    </row>
    <row r="7">
      <c r="A7" s="9" t="inlineStr">
        <is>
          <t>P110</t>
        </is>
      </c>
      <c r="B7" s="9" t="inlineStr">
        <is>
          <t>董家口基地（海湾化学）</t>
        </is>
      </c>
      <c r="C7" s="9" t="inlineStr">
        <is>
          <t>青岛海湾化学股份有限公司 董家口经济区 PVC 生产基地</t>
        </is>
      </c>
      <c r="D7" s="9" t="inlineStr">
        <is>
          <t>山东省</t>
        </is>
      </c>
      <c r="E7" s="9" t="inlineStr">
        <is>
          <t>青岛市</t>
        </is>
      </c>
      <c r="F7" s="9" t="inlineStr">
        <is>
          <t>西海岸新区</t>
        </is>
      </c>
      <c r="G7" s="9" t="inlineStr">
        <is>
          <t>董家口经济区</t>
        </is>
      </c>
      <c r="H7" s="9" t="inlineStr">
        <is>
          <t>青岛海湾化学股份有限公司</t>
        </is>
      </c>
      <c r="I7" s="9" t="inlineStr">
        <is>
          <t>海湾集团</t>
        </is>
      </c>
      <c r="J7" s="11" t="n">
        <v>105</v>
      </c>
      <c r="K7" s="9" t="n">
        <v>2</v>
      </c>
      <c r="L7" s="9" t="inlineStr">
        <is>
          <t>乙烯法</t>
        </is>
      </c>
      <c r="M7" s="9" t="inlineStr">
        <is>
          <t>山东省青岛市西海岸新区</t>
        </is>
      </c>
      <c r="N7" s="9" t="inlineStr">
        <is>
          <t>35.9600,120.2000</t>
        </is>
      </c>
      <c r="O7" s="9" t="inlineStr">
        <is>
          <t>city</t>
        </is>
      </c>
    </row>
    <row r="8">
      <c r="A8" s="12" t="inlineStr">
        <is>
          <t>P002</t>
        </is>
      </c>
      <c r="B8" s="12" t="inlineStr">
        <is>
          <t>阜康基地（阜康能源）</t>
        </is>
      </c>
      <c r="C8" s="12" t="inlineStr">
        <is>
          <t>新疆中泰化学阜康能源有限公司 阜康工业园 PVC 生产基地</t>
        </is>
      </c>
      <c r="D8" s="12" t="inlineStr">
        <is>
          <t>新疆维吾尔自治区</t>
        </is>
      </c>
      <c r="E8" s="12" t="inlineStr">
        <is>
          <t>阜康市</t>
        </is>
      </c>
      <c r="F8" s="12" t="inlineStr"/>
      <c r="G8" s="12" t="inlineStr">
        <is>
          <t>阜康工业园（准噶尔路 3188 号）</t>
        </is>
      </c>
      <c r="H8" s="12" t="inlineStr">
        <is>
          <t>新疆中泰化学阜康能源有限公司</t>
        </is>
      </c>
      <c r="I8" s="12" t="inlineStr">
        <is>
          <t>中泰集团</t>
        </is>
      </c>
      <c r="J8" s="14" t="n">
        <v>80</v>
      </c>
      <c r="K8" s="12" t="n">
        <v>1</v>
      </c>
      <c r="L8" s="12" t="inlineStr">
        <is>
          <t>电石法（乙炔法）</t>
        </is>
      </c>
      <c r="M8" s="12" t="inlineStr">
        <is>
          <t>新疆昌吉州阜康市准噶尔路 3188 号</t>
        </is>
      </c>
      <c r="N8" s="12" t="inlineStr">
        <is>
          <t>44.1600,87.9900</t>
        </is>
      </c>
      <c r="O8" s="12" t="inlineStr">
        <is>
          <t>city</t>
        </is>
      </c>
    </row>
    <row r="9">
      <c r="A9" s="9" t="inlineStr">
        <is>
          <t>P030</t>
        </is>
      </c>
      <c r="B9" s="9" t="inlineStr">
        <is>
          <t>乌达工业园区基地（君正）</t>
        </is>
      </c>
      <c r="C9" s="9" t="inlineStr">
        <is>
          <t>内蒙古君正化工有限责任公司 乌达工业园区 PVC 生产基地</t>
        </is>
      </c>
      <c r="D9" s="9" t="inlineStr">
        <is>
          <t>内蒙古自治区</t>
        </is>
      </c>
      <c r="E9" s="9" t="inlineStr">
        <is>
          <t>乌海市</t>
        </is>
      </c>
      <c r="F9" s="9" t="inlineStr">
        <is>
          <t>乌达区</t>
        </is>
      </c>
      <c r="G9" s="9" t="inlineStr">
        <is>
          <t>乌达区工业园区</t>
        </is>
      </c>
      <c r="H9" s="9" t="inlineStr">
        <is>
          <t>内蒙古君正化工有限责任公司</t>
        </is>
      </c>
      <c r="I9" s="9" t="inlineStr">
        <is>
          <t>君正集团</t>
        </is>
      </c>
      <c r="J9" s="11" t="n">
        <v>80</v>
      </c>
      <c r="K9" s="9" t="n">
        <v>1</v>
      </c>
      <c r="L9" s="9" t="inlineStr">
        <is>
          <t>电石法（乙炔法）</t>
        </is>
      </c>
      <c r="M9" s="9" t="inlineStr">
        <is>
          <t>内蒙古乌海市乌达区工业园区</t>
        </is>
      </c>
      <c r="N9" s="9" t="inlineStr">
        <is>
          <t>39.5000,106.7200</t>
        </is>
      </c>
      <c r="O9" s="9" t="inlineStr">
        <is>
          <t>city</t>
        </is>
      </c>
    </row>
    <row r="10">
      <c r="A10" s="12" t="inlineStr">
        <is>
          <t>P100</t>
        </is>
      </c>
      <c r="B10" s="12" t="inlineStr">
        <is>
          <t>临港基地（大沽化工）</t>
        </is>
      </c>
      <c r="C10" s="12" t="inlineStr">
        <is>
          <t>天津大沽化工股份有限公司 临港经济区 PVC 生产基地</t>
        </is>
      </c>
      <c r="D10" s="12" t="inlineStr">
        <is>
          <t>天津市</t>
        </is>
      </c>
      <c r="E10" s="12" t="inlineStr">
        <is>
          <t>天津市</t>
        </is>
      </c>
      <c r="F10" s="12" t="inlineStr">
        <is>
          <t>滨海新区</t>
        </is>
      </c>
      <c r="G10" s="12" t="inlineStr">
        <is>
          <t>临港经济区</t>
        </is>
      </c>
      <c r="H10" s="12" t="inlineStr">
        <is>
          <t>天津大沽化工股份有限公司</t>
        </is>
      </c>
      <c r="I10" s="12" t="inlineStr">
        <is>
          <t>渤化集团</t>
        </is>
      </c>
      <c r="J10" s="14" t="n">
        <v>80</v>
      </c>
      <c r="K10" s="12" t="n">
        <v>2</v>
      </c>
      <c r="L10" s="12" t="inlineStr">
        <is>
          <t>乙烯法</t>
        </is>
      </c>
      <c r="M10" s="12" t="inlineStr">
        <is>
          <t>天津市滨海新区临港经济区</t>
        </is>
      </c>
      <c r="N10" s="12" t="inlineStr">
        <is>
          <t>38.9500,117.7200</t>
        </is>
      </c>
      <c r="O10" s="12" t="inlineStr">
        <is>
          <t>city</t>
        </is>
      </c>
    </row>
    <row r="11">
      <c r="A11" s="9" t="inlineStr">
        <is>
          <t>P060</t>
        </is>
      </c>
      <c r="B11" s="9" t="inlineStr">
        <is>
          <t>吉兰泰基地（中盐吉兰泰）</t>
        </is>
      </c>
      <c r="C11" s="9" t="inlineStr">
        <is>
          <t>中盐吉兰泰氯碱化工有限公司 PVC 生产基地</t>
        </is>
      </c>
      <c r="D11" s="9" t="inlineStr">
        <is>
          <t>内蒙古自治区</t>
        </is>
      </c>
      <c r="E11" s="9" t="inlineStr">
        <is>
          <t>阿拉善盟</t>
        </is>
      </c>
      <c r="F11" s="9" t="inlineStr">
        <is>
          <t>阿拉善左旗</t>
        </is>
      </c>
      <c r="G11" s="9" t="inlineStr">
        <is>
          <t>吉兰泰工业园区</t>
        </is>
      </c>
      <c r="H11" s="9" t="inlineStr">
        <is>
          <t>中盐吉兰泰氯碱化工有限公司</t>
        </is>
      </c>
      <c r="I11" s="9" t="inlineStr">
        <is>
          <t>中盐化工</t>
        </is>
      </c>
      <c r="J11" s="11" t="n">
        <v>64</v>
      </c>
      <c r="K11" s="9" t="n">
        <v>2</v>
      </c>
      <c r="L11" s="9" t="inlineStr">
        <is>
          <t>电石法（乙炔法）</t>
        </is>
      </c>
      <c r="M11" s="9" t="inlineStr">
        <is>
          <t>内蒙古阿拉善盟阿拉善左旗吉兰泰镇</t>
        </is>
      </c>
      <c r="N11" s="9" t="inlineStr">
        <is>
          <t>38.8500,105.6700</t>
        </is>
      </c>
      <c r="O11" s="9" t="inlineStr">
        <is>
          <t>city</t>
        </is>
      </c>
    </row>
    <row r="12">
      <c r="A12" s="12" t="inlineStr">
        <is>
          <t>P090</t>
        </is>
      </c>
      <c r="B12" s="12" t="inlineStr">
        <is>
          <t>定远基地（华塑）</t>
        </is>
      </c>
      <c r="C12" s="12" t="inlineStr">
        <is>
          <t>安徽华塑股份有限公司 定远盐化工业园 PVC 生产基地</t>
        </is>
      </c>
      <c r="D12" s="12" t="inlineStr">
        <is>
          <t>安徽省</t>
        </is>
      </c>
      <c r="E12" s="12" t="inlineStr">
        <is>
          <t>滁州市</t>
        </is>
      </c>
      <c r="F12" s="12" t="inlineStr">
        <is>
          <t>定远县</t>
        </is>
      </c>
      <c r="G12" s="12" t="inlineStr">
        <is>
          <t>定远盐化工业园</t>
        </is>
      </c>
      <c r="H12" s="12" t="inlineStr">
        <is>
          <t>安徽华塑股份有限公司</t>
        </is>
      </c>
      <c r="I12" s="12" t="inlineStr">
        <is>
          <t>华塑股份</t>
        </is>
      </c>
      <c r="J12" s="14" t="n">
        <v>64</v>
      </c>
      <c r="K12" s="12" t="n">
        <v>1</v>
      </c>
      <c r="L12" s="12" t="inlineStr">
        <is>
          <t>电石法（乙炔法）</t>
        </is>
      </c>
      <c r="M12" s="12" t="inlineStr">
        <is>
          <t>安徽省滁州市定远县</t>
        </is>
      </c>
      <c r="N12" s="12" t="inlineStr">
        <is>
          <t>32.5300,117.6800</t>
        </is>
      </c>
      <c r="O12" s="12" t="inlineStr">
        <is>
          <t>city</t>
        </is>
      </c>
    </row>
    <row r="13">
      <c r="A13" s="9" t="inlineStr">
        <is>
          <t>P305</t>
        </is>
      </c>
      <c r="B13" s="9" t="inlineStr">
        <is>
          <t>神木基地（金泰氯碱）</t>
        </is>
      </c>
      <c r="C13" s="9" t="inlineStr">
        <is>
          <t>陕西金泰氯碱神木化工有限公司 PVC 生产基地</t>
        </is>
      </c>
      <c r="D13" s="9" t="inlineStr">
        <is>
          <t>陕西省</t>
        </is>
      </c>
      <c r="E13" s="9" t="inlineStr">
        <is>
          <t>神木市</t>
        </is>
      </c>
      <c r="F13" s="9" t="inlineStr"/>
      <c r="G13" s="9" t="inlineStr">
        <is>
          <t>神木市锦界工业园东区</t>
        </is>
      </c>
      <c r="H13" s="9" t="inlineStr">
        <is>
          <t>陕西金泰氯碱神木化工有限公司</t>
        </is>
      </c>
      <c r="I13" s="9" t="inlineStr">
        <is>
          <t>陕投集团</t>
        </is>
      </c>
      <c r="J13" s="11" t="n">
        <v>60</v>
      </c>
      <c r="K13" s="9" t="n">
        <v>1</v>
      </c>
      <c r="L13" s="9" t="inlineStr">
        <is>
          <t>电石法（乙炔法）</t>
        </is>
      </c>
      <c r="M13" s="9" t="inlineStr">
        <is>
          <t>陕西省榆林市神木市</t>
        </is>
      </c>
      <c r="N13" s="9" t="inlineStr">
        <is>
          <t>38.8300,110.5000</t>
        </is>
      </c>
      <c r="O13" s="9" t="inlineStr">
        <is>
          <t>city</t>
        </is>
      </c>
    </row>
    <row r="14">
      <c r="A14" s="12" t="inlineStr">
        <is>
          <t>P140</t>
        </is>
      </c>
      <c r="B14" s="12" t="inlineStr">
        <is>
          <t>达拉特基地（亿利化学）</t>
        </is>
      </c>
      <c r="C14" s="12" t="inlineStr">
        <is>
          <t>内蒙古亿利化学工业有限公司 达拉特化工园区 PVC 生产基地</t>
        </is>
      </c>
      <c r="D14" s="12" t="inlineStr">
        <is>
          <t>内蒙古自治区</t>
        </is>
      </c>
      <c r="E14" s="12" t="inlineStr">
        <is>
          <t>鄂尔多斯市</t>
        </is>
      </c>
      <c r="F14" s="12" t="inlineStr">
        <is>
          <t>达拉特旗</t>
        </is>
      </c>
      <c r="G14" s="12" t="inlineStr">
        <is>
          <t>达拉特化工园区</t>
        </is>
      </c>
      <c r="H14" s="12" t="inlineStr">
        <is>
          <t>内蒙古亿利化学工业有限公司</t>
        </is>
      </c>
      <c r="I14" s="12" t="inlineStr">
        <is>
          <t>亿利集团</t>
        </is>
      </c>
      <c r="J14" s="14" t="n">
        <v>50</v>
      </c>
      <c r="K14" s="12" t="n">
        <v>1</v>
      </c>
      <c r="L14" s="12" t="inlineStr">
        <is>
          <t>电石法（乙炔法）</t>
        </is>
      </c>
      <c r="M14" s="12" t="inlineStr">
        <is>
          <t>内蒙古鄂尔多斯市达拉特旗</t>
        </is>
      </c>
      <c r="N14" s="12" t="inlineStr">
        <is>
          <t>40.4000,110.0300</t>
        </is>
      </c>
      <c r="O14" s="12" t="inlineStr">
        <is>
          <t>city</t>
        </is>
      </c>
    </row>
    <row r="15">
      <c r="A15" s="9" t="inlineStr">
        <is>
          <t>P400</t>
        </is>
      </c>
      <c r="B15" s="9" t="inlineStr">
        <is>
          <t>宜宾基地（天原集团）</t>
        </is>
      </c>
      <c r="C15" s="9" t="inlineStr">
        <is>
          <t>宜宾天原集团股份有限公司 宜宾 PVC 生产基地</t>
        </is>
      </c>
      <c r="D15" s="9" t="inlineStr">
        <is>
          <t>四川省</t>
        </is>
      </c>
      <c r="E15" s="9" t="inlineStr">
        <is>
          <t>宜宾市</t>
        </is>
      </c>
      <c r="F15" s="9" t="inlineStr"/>
      <c r="G15" s="9" t="inlineStr">
        <is>
          <t>宜宾临港经济技术开发区</t>
        </is>
      </c>
      <c r="H15" s="9" t="inlineStr">
        <is>
          <t>宜宾天原集团股份有限公司</t>
        </is>
      </c>
      <c r="I15" s="9" t="inlineStr">
        <is>
          <t>天原集团</t>
        </is>
      </c>
      <c r="J15" s="11" t="n">
        <v>50</v>
      </c>
      <c r="K15" s="9" t="n">
        <v>1</v>
      </c>
      <c r="L15" s="9" t="inlineStr">
        <is>
          <t>电石法（乙炔法）</t>
        </is>
      </c>
      <c r="M15" s="9" t="inlineStr">
        <is>
          <t>四川省宜宾市</t>
        </is>
      </c>
      <c r="N15" s="9" t="inlineStr">
        <is>
          <t>28.7700,104.6200</t>
        </is>
      </c>
      <c r="O15" s="9" t="inlineStr">
        <is>
          <t>city</t>
        </is>
      </c>
    </row>
    <row r="16">
      <c r="A16" s="12" t="inlineStr">
        <is>
          <t>P307</t>
        </is>
      </c>
      <c r="B16" s="12" t="inlineStr">
        <is>
          <t>泰兴基地（新浦化学）</t>
        </is>
      </c>
      <c r="C16" s="12" t="inlineStr">
        <is>
          <t>新浦化学（泰兴）有限公司 PVC 生产基地</t>
        </is>
      </c>
      <c r="D16" s="12" t="inlineStr">
        <is>
          <t>江苏省</t>
        </is>
      </c>
      <c r="E16" s="12" t="inlineStr">
        <is>
          <t>泰兴市</t>
        </is>
      </c>
      <c r="F16" s="12" t="inlineStr"/>
      <c r="G16" s="12" t="inlineStr">
        <is>
          <t>泰兴经济开发区</t>
        </is>
      </c>
      <c r="H16" s="12" t="inlineStr">
        <is>
          <t>新浦化学（泰兴）有限公司</t>
        </is>
      </c>
      <c r="I16" s="12" t="inlineStr">
        <is>
          <t>新浦化学</t>
        </is>
      </c>
      <c r="J16" s="14" t="n">
        <v>50</v>
      </c>
      <c r="K16" s="12" t="n">
        <v>1</v>
      </c>
      <c r="L16" s="12" t="inlineStr">
        <is>
          <t>乙烯法</t>
        </is>
      </c>
      <c r="M16" s="12" t="inlineStr">
        <is>
          <t>江苏省泰兴市泰兴经济开发区</t>
        </is>
      </c>
      <c r="N16" s="12" t="inlineStr">
        <is>
          <t>32.1700,119.9500</t>
        </is>
      </c>
      <c r="O16" s="12" t="inlineStr">
        <is>
          <t>city</t>
        </is>
      </c>
    </row>
    <row r="17">
      <c r="A17" s="9" t="inlineStr">
        <is>
          <t>P050</t>
        </is>
      </c>
      <c r="B17" s="9" t="inlineStr">
        <is>
          <t>上海化工区基地（氯碱化工）</t>
        </is>
      </c>
      <c r="C17" s="9" t="inlineStr">
        <is>
          <t>上海氯碱化工股份有限公司 上海化学工业区 PVC 生产基地</t>
        </is>
      </c>
      <c r="D17" s="9" t="inlineStr">
        <is>
          <t>上海市</t>
        </is>
      </c>
      <c r="E17" s="9" t="inlineStr">
        <is>
          <t>上海市</t>
        </is>
      </c>
      <c r="F17" s="9" t="inlineStr"/>
      <c r="G17" s="9" t="inlineStr">
        <is>
          <t>上海化学工业区</t>
        </is>
      </c>
      <c r="H17" s="9" t="inlineStr">
        <is>
          <t>上海氯碱化工股份有限公司</t>
        </is>
      </c>
      <c r="I17" s="9" t="inlineStr">
        <is>
          <t>华谊集团</t>
        </is>
      </c>
      <c r="J17" s="11" t="n">
        <v>48</v>
      </c>
      <c r="K17" s="9" t="n">
        <v>2</v>
      </c>
      <c r="L17" s="9" t="inlineStr">
        <is>
          <t>乙烯法</t>
        </is>
      </c>
      <c r="M17" s="9" t="inlineStr">
        <is>
          <t>上海市</t>
        </is>
      </c>
      <c r="N17" s="9" t="inlineStr">
        <is>
          <t>31.2300,121.4700</t>
        </is>
      </c>
      <c r="O17" s="9" t="inlineStr">
        <is>
          <t>city</t>
        </is>
      </c>
    </row>
    <row r="18">
      <c r="A18" s="12" t="inlineStr">
        <is>
          <t>P080</t>
        </is>
      </c>
      <c r="B18" s="12" t="inlineStr">
        <is>
          <t>南堡基地（三友氯碱）</t>
        </is>
      </c>
      <c r="C18" s="12" t="inlineStr">
        <is>
          <t>唐山三友氯碱有限责任公司 PVC 生产基地</t>
        </is>
      </c>
      <c r="D18" s="12" t="inlineStr">
        <is>
          <t>河北省</t>
        </is>
      </c>
      <c r="E18" s="12" t="inlineStr">
        <is>
          <t>唐山市</t>
        </is>
      </c>
      <c r="F18" s="12" t="inlineStr">
        <is>
          <t>曹妃甸区</t>
        </is>
      </c>
      <c r="G18" s="12" t="inlineStr">
        <is>
          <t>南堡经济开发区</t>
        </is>
      </c>
      <c r="H18" s="12" t="inlineStr">
        <is>
          <t>唐山三友氯碱有限责任公司</t>
        </is>
      </c>
      <c r="I18" s="12" t="inlineStr">
        <is>
          <t>三友化工</t>
        </is>
      </c>
      <c r="J18" s="14" t="n">
        <v>47</v>
      </c>
      <c r="K18" s="12" t="n">
        <v>2</v>
      </c>
      <c r="L18" s="12" t="inlineStr">
        <is>
          <t>电石法（乙炔法）</t>
        </is>
      </c>
      <c r="M18" s="12" t="inlineStr">
        <is>
          <t>河北省唐山市南堡经济开发区</t>
        </is>
      </c>
      <c r="N18" s="12" t="inlineStr">
        <is>
          <t>39.2700,118.4600</t>
        </is>
      </c>
      <c r="O18" s="12" t="inlineStr">
        <is>
          <t>city</t>
        </is>
      </c>
    </row>
    <row r="19">
      <c r="A19" s="9" t="inlineStr">
        <is>
          <t>P051</t>
        </is>
      </c>
      <c r="B19" s="9" t="inlineStr">
        <is>
          <t>钦州基地（广西氯碱）</t>
        </is>
      </c>
      <c r="C19" s="9" t="inlineStr">
        <is>
          <t>广西华谊氯碱化工有限公司 钦州一体化基地 PVC 生产基地</t>
        </is>
      </c>
      <c r="D19" s="9" t="inlineStr">
        <is>
          <t>广西壮族自治区</t>
        </is>
      </c>
      <c r="E19" s="9" t="inlineStr">
        <is>
          <t>钦州市</t>
        </is>
      </c>
      <c r="F19" s="9" t="inlineStr">
        <is>
          <t>钦州港区</t>
        </is>
      </c>
      <c r="G19" s="9" t="inlineStr">
        <is>
          <t>华谊钦州化工新材料一体化基地</t>
        </is>
      </c>
      <c r="H19" s="9" t="inlineStr">
        <is>
          <t>广西华谊氯碱化工有限公司</t>
        </is>
      </c>
      <c r="I19" s="9" t="inlineStr">
        <is>
          <t>华谊集团</t>
        </is>
      </c>
      <c r="J19" s="11" t="n">
        <v>40</v>
      </c>
      <c r="K19" s="9" t="n">
        <v>1</v>
      </c>
      <c r="L19" s="9" t="inlineStr">
        <is>
          <t>乙烯法</t>
        </is>
      </c>
      <c r="M19" s="9" t="inlineStr">
        <is>
          <t>广西钦州市</t>
        </is>
      </c>
      <c r="N19" s="9" t="inlineStr">
        <is>
          <t>21.7200,108.6000</t>
        </is>
      </c>
      <c r="O19" s="9" t="inlineStr">
        <is>
          <t>city</t>
        </is>
      </c>
    </row>
    <row r="20">
      <c r="A20" s="12" t="inlineStr">
        <is>
          <t>P120</t>
        </is>
      </c>
      <c r="B20" s="12" t="inlineStr">
        <is>
          <t>烟台工业园基地（万华）</t>
        </is>
      </c>
      <c r="C20" s="12" t="inlineStr">
        <is>
          <t>万华化学集团股份有限公司 烟台工业园 PVC 生产基地</t>
        </is>
      </c>
      <c r="D20" s="12" t="inlineStr">
        <is>
          <t>山东省</t>
        </is>
      </c>
      <c r="E20" s="12" t="inlineStr">
        <is>
          <t>烟台市</t>
        </is>
      </c>
      <c r="F20" s="12" t="inlineStr"/>
      <c r="G20" s="12" t="inlineStr">
        <is>
          <t>万华烟台工业园</t>
        </is>
      </c>
      <c r="H20" s="12" t="inlineStr">
        <is>
          <t>万华化学集团股份有限公司</t>
        </is>
      </c>
      <c r="I20" s="12" t="inlineStr">
        <is>
          <t>万华化学</t>
        </is>
      </c>
      <c r="J20" s="14" t="n">
        <v>40</v>
      </c>
      <c r="K20" s="12" t="n">
        <v>1</v>
      </c>
      <c r="L20" s="12" t="inlineStr">
        <is>
          <t>乙烯法</t>
        </is>
      </c>
      <c r="M20" s="12" t="inlineStr">
        <is>
          <t>山东省烟台市</t>
        </is>
      </c>
      <c r="N20" s="12" t="inlineStr">
        <is>
          <t>37.5500,121.0200</t>
        </is>
      </c>
      <c r="O20" s="12" t="inlineStr">
        <is>
          <t>city</t>
        </is>
      </c>
    </row>
    <row r="21">
      <c r="A21" s="9" t="inlineStr">
        <is>
          <t>P150</t>
        </is>
      </c>
      <c r="B21" s="9" t="inlineStr">
        <is>
          <t>棋盘井基地（鄂尔多斯电冶）</t>
        </is>
      </c>
      <c r="C21" s="9" t="inlineStr">
        <is>
          <t>内蒙古鄂尔多斯电力冶金集团股份有限公司氯碱化工分公司 PVC 生产基地</t>
        </is>
      </c>
      <c r="D21" s="9" t="inlineStr">
        <is>
          <t>内蒙古自治区</t>
        </is>
      </c>
      <c r="E21" s="9" t="inlineStr">
        <is>
          <t>鄂尔多斯市</t>
        </is>
      </c>
      <c r="F21" s="9" t="inlineStr">
        <is>
          <t>鄂托克旗</t>
        </is>
      </c>
      <c r="G21" s="9" t="inlineStr">
        <is>
          <t>棋盘井工业园区</t>
        </is>
      </c>
      <c r="H21" s="9" t="inlineStr">
        <is>
          <t>内蒙古鄂尔多斯电力冶金集团股份有限公司氯碱化工分公司</t>
        </is>
      </c>
      <c r="I21" s="9" t="inlineStr">
        <is>
          <t>鄂尔多斯电冶</t>
        </is>
      </c>
      <c r="J21" s="11" t="n">
        <v>40</v>
      </c>
      <c r="K21" s="9" t="n">
        <v>1</v>
      </c>
      <c r="L21" s="9" t="inlineStr">
        <is>
          <t>电石法（乙炔法）</t>
        </is>
      </c>
      <c r="M21" s="9" t="inlineStr">
        <is>
          <t>内蒙古鄂尔多斯市鄂托克旗棋盘井</t>
        </is>
      </c>
      <c r="N21" s="9" t="inlineStr">
        <is>
          <t>39.1000,107.9800</t>
        </is>
      </c>
      <c r="O21" s="9" t="inlineStr">
        <is>
          <t>city</t>
        </is>
      </c>
    </row>
    <row r="22">
      <c r="A22" s="12" t="inlineStr">
        <is>
          <t>P180</t>
        </is>
      </c>
      <c r="B22" s="12" t="inlineStr">
        <is>
          <t>河南联创基地</t>
        </is>
      </c>
      <c r="C22" s="12" t="inlineStr">
        <is>
          <t>河南联创化工有限公司 PVC 生产基地</t>
        </is>
      </c>
      <c r="D22" s="12" t="inlineStr">
        <is>
          <t>河南省</t>
        </is>
      </c>
      <c r="E22" s="12" t="inlineStr">
        <is>
          <t>（待核）</t>
        </is>
      </c>
      <c r="F22" s="12" t="inlineStr"/>
      <c r="G22" s="12" t="inlineStr">
        <is>
          <t>（待核）</t>
        </is>
      </c>
      <c r="H22" s="12" t="inlineStr">
        <is>
          <t>河南联创化工有限公司</t>
        </is>
      </c>
      <c r="I22" s="12" t="inlineStr">
        <is>
          <t>河南联创</t>
        </is>
      </c>
      <c r="J22" s="14" t="n">
        <v>40</v>
      </c>
      <c r="K22" s="12" t="n">
        <v>1</v>
      </c>
      <c r="L22" s="12" t="inlineStr">
        <is>
          <t>电石法（乙炔法）</t>
        </is>
      </c>
      <c r="M22" s="12" t="inlineStr">
        <is>
          <t>河南省</t>
        </is>
      </c>
      <c r="N22" s="12" t="inlineStr">
        <is>
          <t>34.7500,113.6300</t>
        </is>
      </c>
      <c r="O22" s="12" t="inlineStr">
        <is>
          <t>province</t>
        </is>
      </c>
    </row>
    <row r="23">
      <c r="A23" s="9" t="inlineStr">
        <is>
          <t>P304</t>
        </is>
      </c>
      <c r="B23" s="9" t="inlineStr">
        <is>
          <t>江阴港城基地（万华福建）</t>
        </is>
      </c>
      <c r="C23" s="9" t="inlineStr">
        <is>
          <t>万华化学（福建）有限公司 江阴港城经济区 PVC 生产基地</t>
        </is>
      </c>
      <c r="D23" s="9" t="inlineStr">
        <is>
          <t>福建省</t>
        </is>
      </c>
      <c r="E23" s="9" t="inlineStr">
        <is>
          <t>福清市</t>
        </is>
      </c>
      <c r="F23" s="9" t="inlineStr">
        <is>
          <t>江阴港城经济区</t>
        </is>
      </c>
      <c r="G23" s="9" t="inlineStr">
        <is>
          <t>江阴港城经济区</t>
        </is>
      </c>
      <c r="H23" s="9" t="inlineStr">
        <is>
          <t>万华化学（福建）有限公司</t>
        </is>
      </c>
      <c r="I23" s="9" t="inlineStr">
        <is>
          <t>万华化学</t>
        </is>
      </c>
      <c r="J23" s="11" t="n">
        <v>40</v>
      </c>
      <c r="K23" s="9" t="n">
        <v>1</v>
      </c>
      <c r="L23" s="9" t="inlineStr">
        <is>
          <t>乙烯法</t>
        </is>
      </c>
      <c r="M23" s="9" t="inlineStr">
        <is>
          <t>福建省福州市福清市江阴港城经济区</t>
        </is>
      </c>
      <c r="N23" s="9" t="inlineStr">
        <is>
          <t>25.5000,119.3200</t>
        </is>
      </c>
      <c r="O23" s="9" t="inlineStr">
        <is>
          <t>city</t>
        </is>
      </c>
    </row>
    <row r="24">
      <c r="A24" s="12" t="inlineStr">
        <is>
          <t>P130</t>
        </is>
      </c>
      <c r="B24" s="12" t="inlineStr">
        <is>
          <t>阳泉基地（阳煤化工）</t>
        </is>
      </c>
      <c r="C24" s="12" t="inlineStr">
        <is>
          <t>阳煤化工股份有限公司 阳泉 PVC 生产基地</t>
        </is>
      </c>
      <c r="D24" s="12" t="inlineStr">
        <is>
          <t>山西省</t>
        </is>
      </c>
      <c r="E24" s="12" t="inlineStr">
        <is>
          <t>阳泉市</t>
        </is>
      </c>
      <c r="F24" s="12" t="inlineStr"/>
      <c r="G24" s="12" t="inlineStr">
        <is>
          <t>（具体园区待核）</t>
        </is>
      </c>
      <c r="H24" s="12" t="inlineStr">
        <is>
          <t>阳煤化工股份有限公司</t>
        </is>
      </c>
      <c r="I24" s="12" t="inlineStr">
        <is>
          <t>阳煤化工</t>
        </is>
      </c>
      <c r="J24" s="14" t="n">
        <v>30</v>
      </c>
      <c r="K24" s="12" t="n">
        <v>1</v>
      </c>
      <c r="L24" s="12" t="inlineStr">
        <is>
          <t>乙烯法</t>
        </is>
      </c>
      <c r="M24" s="12" t="inlineStr">
        <is>
          <t>山西省阳泉市</t>
        </is>
      </c>
      <c r="N24" s="12" t="inlineStr">
        <is>
          <t>37.8600,113.5800</t>
        </is>
      </c>
      <c r="O24" s="12" t="inlineStr">
        <is>
          <t>city</t>
        </is>
      </c>
    </row>
    <row r="25">
      <c r="A25" s="9" t="inlineStr">
        <is>
          <t>P160</t>
        </is>
      </c>
      <c r="B25" s="9" t="inlineStr">
        <is>
          <t>察尔汗基地（盐湖镁业）</t>
        </is>
      </c>
      <c r="C25" s="9" t="inlineStr">
        <is>
          <t>青海盐湖镁业有限公司 察尔汗 PVC&amp;钾碱厂</t>
        </is>
      </c>
      <c r="D25" s="9" t="inlineStr">
        <is>
          <t>青海省</t>
        </is>
      </c>
      <c r="E25" s="9" t="inlineStr">
        <is>
          <t>格尔木市</t>
        </is>
      </c>
      <c r="F25" s="9" t="inlineStr">
        <is>
          <t>察尔汗</t>
        </is>
      </c>
      <c r="G25" s="9" t="inlineStr">
        <is>
          <t>柴达木循环经济试验区察尔汗</t>
        </is>
      </c>
      <c r="H25" s="9" t="inlineStr">
        <is>
          <t>青海盐湖镁业有限公司</t>
        </is>
      </c>
      <c r="I25" s="9" t="inlineStr">
        <is>
          <t>盐湖镁业</t>
        </is>
      </c>
      <c r="J25" s="11" t="n">
        <v>30</v>
      </c>
      <c r="K25" s="9" t="n">
        <v>1</v>
      </c>
      <c r="L25" s="9" t="inlineStr">
        <is>
          <t>乙烯法</t>
        </is>
      </c>
      <c r="M25" s="9" t="inlineStr">
        <is>
          <t>青海省海西州格尔木市察尔汗</t>
        </is>
      </c>
      <c r="N25" s="9" t="inlineStr">
        <is>
          <t>36.7900,95.0900</t>
        </is>
      </c>
      <c r="O25" s="9" t="inlineStr">
        <is>
          <t>city</t>
        </is>
      </c>
    </row>
    <row r="26">
      <c r="A26" s="12" t="inlineStr">
        <is>
          <t>P170</t>
        </is>
      </c>
      <c r="B26" s="12" t="inlineStr">
        <is>
          <t>平顶山基地（神马氯碱）</t>
        </is>
      </c>
      <c r="C26" s="12" t="inlineStr">
        <is>
          <t>河南神马氯碱发展有限责任公司 PVC 生产基地</t>
        </is>
      </c>
      <c r="D26" s="12" t="inlineStr">
        <is>
          <t>河南省</t>
        </is>
      </c>
      <c r="E26" s="12" t="inlineStr">
        <is>
          <t>平顶山市</t>
        </is>
      </c>
      <c r="F26" s="12" t="inlineStr"/>
      <c r="G26" s="12" t="inlineStr">
        <is>
          <t>（具体园区待核）</t>
        </is>
      </c>
      <c r="H26" s="12" t="inlineStr">
        <is>
          <t>河南神马氯碱发展有限责任公司</t>
        </is>
      </c>
      <c r="I26" s="12" t="inlineStr">
        <is>
          <t>神马氯碱</t>
        </is>
      </c>
      <c r="J26" s="14" t="n">
        <v>30</v>
      </c>
      <c r="K26" s="12" t="n">
        <v>1</v>
      </c>
      <c r="L26" s="12" t="inlineStr">
        <is>
          <t>电石法（乙炔法）</t>
        </is>
      </c>
      <c r="M26" s="12" t="inlineStr">
        <is>
          <t>河南省平顶山市</t>
        </is>
      </c>
      <c r="N26" s="12" t="inlineStr">
        <is>
          <t>33.7700,113.1900</t>
        </is>
      </c>
      <c r="O26" s="12" t="inlineStr">
        <is>
          <t>city</t>
        </is>
      </c>
    </row>
    <row r="27">
      <c r="A27" s="9" t="inlineStr">
        <is>
          <t>P302</t>
        </is>
      </c>
      <c r="B27" s="9" t="inlineStr">
        <is>
          <t>嘉兴港区基地（嘉化能源）</t>
        </is>
      </c>
      <c r="C27" s="9" t="inlineStr">
        <is>
          <t>浙江嘉化能源化工股份有限公司 嘉兴港区 PVC 生产基地</t>
        </is>
      </c>
      <c r="D27" s="9" t="inlineStr">
        <is>
          <t>浙江省</t>
        </is>
      </c>
      <c r="E27" s="9" t="inlineStr">
        <is>
          <t>嘉兴市</t>
        </is>
      </c>
      <c r="F27" s="9" t="inlineStr">
        <is>
          <t>嘉兴港区</t>
        </is>
      </c>
      <c r="G27" s="9" t="inlineStr">
        <is>
          <t>嘉兴港区化工新材料园区</t>
        </is>
      </c>
      <c r="H27" s="9" t="inlineStr">
        <is>
          <t>浙江嘉化能源化工股份有限公司</t>
        </is>
      </c>
      <c r="I27" s="9" t="inlineStr">
        <is>
          <t>嘉化能源</t>
        </is>
      </c>
      <c r="J27" s="11" t="n">
        <v>30</v>
      </c>
      <c r="K27" s="9" t="n">
        <v>1</v>
      </c>
      <c r="L27" s="9" t="inlineStr">
        <is>
          <t>乙烯法</t>
        </is>
      </c>
      <c r="M27" s="9" t="inlineStr">
        <is>
          <t>浙江省嘉兴市嘉兴港区</t>
        </is>
      </c>
      <c r="N27" s="9" t="inlineStr">
        <is>
          <t>30.6100,121.1000</t>
        </is>
      </c>
      <c r="O27" s="9" t="inlineStr">
        <is>
          <t>city</t>
        </is>
      </c>
    </row>
    <row r="28">
      <c r="A28" s="12" t="inlineStr">
        <is>
          <t>P306</t>
        </is>
      </c>
      <c r="B28" s="12" t="inlineStr">
        <is>
          <t>兰州新区基地（耀望化工）</t>
        </is>
      </c>
      <c r="C28" s="12" t="inlineStr">
        <is>
          <t>甘肃耀望化工有限公司 PVC 生产基地</t>
        </is>
      </c>
      <c r="D28" s="12" t="inlineStr">
        <is>
          <t>甘肃省</t>
        </is>
      </c>
      <c r="E28" s="12" t="inlineStr">
        <is>
          <t>兰州新区</t>
        </is>
      </c>
      <c r="F28" s="12" t="inlineStr"/>
      <c r="G28" s="12" t="inlineStr">
        <is>
          <t>兰州新区化工园区</t>
        </is>
      </c>
      <c r="H28" s="12" t="inlineStr">
        <is>
          <t>甘肃耀望化工有限公司</t>
        </is>
      </c>
      <c r="I28" s="12" t="inlineStr">
        <is>
          <t>耀望化工</t>
        </is>
      </c>
      <c r="J28" s="14" t="n">
        <v>30</v>
      </c>
      <c r="K28" s="12" t="n">
        <v>1</v>
      </c>
      <c r="L28" s="12" t="inlineStr">
        <is>
          <t>电石法（乙炔法）</t>
        </is>
      </c>
      <c r="M28" s="12" t="inlineStr">
        <is>
          <t>甘肃省兰州新区</t>
        </is>
      </c>
      <c r="N28" s="12" t="inlineStr">
        <is>
          <t>36.5500,103.7200</t>
        </is>
      </c>
      <c r="O28" s="12" t="inlineStr">
        <is>
          <t>city</t>
        </is>
      </c>
    </row>
    <row r="29">
      <c r="A29" s="9" t="inlineStr">
        <is>
          <t>P003</t>
        </is>
      </c>
      <c r="B29" s="9" t="inlineStr">
        <is>
          <t>托克逊基地（托克逊能化）</t>
        </is>
      </c>
      <c r="C29" s="9" t="inlineStr">
        <is>
          <t>新疆中泰化学托克逊能化有限公司 托克逊工业园 PVC 生产基地</t>
        </is>
      </c>
      <c r="D29" s="9" t="inlineStr">
        <is>
          <t>新疆维吾尔自治区</t>
        </is>
      </c>
      <c r="E29" s="9" t="inlineStr">
        <is>
          <t>托克逊县</t>
        </is>
      </c>
      <c r="F29" s="9" t="inlineStr"/>
      <c r="G29" s="9" t="inlineStr">
        <is>
          <t>托克逊能源重化工工业园</t>
        </is>
      </c>
      <c r="H29" s="9" t="inlineStr">
        <is>
          <t>新疆中泰化学托克逊能化有限公司</t>
        </is>
      </c>
      <c r="I29" s="9" t="inlineStr">
        <is>
          <t>中泰集团</t>
        </is>
      </c>
      <c r="J29" s="11" t="n">
        <v>29</v>
      </c>
      <c r="K29" s="9" t="n">
        <v>3</v>
      </c>
      <c r="L29" s="9" t="inlineStr">
        <is>
          <t>电石法（乙炔法）</t>
        </is>
      </c>
      <c r="M29" s="9" t="inlineStr">
        <is>
          <t>新疆吐鲁番市托克逊县工业园区第三辅道南侧</t>
        </is>
      </c>
      <c r="N29" s="9" t="inlineStr">
        <is>
          <t>42.7900,88.6500</t>
        </is>
      </c>
      <c r="O29" s="9" t="inlineStr">
        <is>
          <t>city</t>
        </is>
      </c>
    </row>
    <row r="30">
      <c r="A30" s="12" t="inlineStr">
        <is>
          <t>P190</t>
        </is>
      </c>
      <c r="B30" s="12" t="inlineStr">
        <is>
          <t>广州南沙基地（东曹）</t>
        </is>
      </c>
      <c r="C30" s="12" t="inlineStr">
        <is>
          <t>东曹（广州）化工有限公司 PVC 生产基地</t>
        </is>
      </c>
      <c r="D30" s="12" t="inlineStr">
        <is>
          <t>广东省</t>
        </is>
      </c>
      <c r="E30" s="12" t="inlineStr">
        <is>
          <t>广州市</t>
        </is>
      </c>
      <c r="F30" s="12" t="inlineStr">
        <is>
          <t>南沙区</t>
        </is>
      </c>
      <c r="G30" s="12" t="inlineStr">
        <is>
          <t>南沙经济技术开发区</t>
        </is>
      </c>
      <c r="H30" s="12" t="inlineStr">
        <is>
          <t>东曹（广州）化工有限公司</t>
        </is>
      </c>
      <c r="I30" s="12" t="inlineStr">
        <is>
          <t>东曹广州</t>
        </is>
      </c>
      <c r="J30" s="14" t="n">
        <v>22</v>
      </c>
      <c r="K30" s="12" t="n">
        <v>1</v>
      </c>
      <c r="L30" s="12" t="inlineStr">
        <is>
          <t>乙烯法</t>
        </is>
      </c>
      <c r="M30" s="12" t="inlineStr">
        <is>
          <t>广东省广州市南沙区</t>
        </is>
      </c>
      <c r="N30" s="12" t="inlineStr">
        <is>
          <t>22.8000,113.5300</t>
        </is>
      </c>
      <c r="O30" s="12" t="inlineStr">
        <is>
          <t>city</t>
        </is>
      </c>
    </row>
    <row r="31">
      <c r="A31" s="9" t="inlineStr">
        <is>
          <t>P001</t>
        </is>
      </c>
      <c r="B31" s="9" t="inlineStr">
        <is>
          <t>米东基地（华泰重化工）</t>
        </is>
      </c>
      <c r="C31" s="9" t="inlineStr">
        <is>
          <t>新疆华泰重化工有限责任公司 米东工业园 PVC 生产基地</t>
        </is>
      </c>
      <c r="D31" s="9" t="inlineStr">
        <is>
          <t>新疆维吾尔自治区</t>
        </is>
      </c>
      <c r="E31" s="9" t="inlineStr">
        <is>
          <t>乌鲁木齐市</t>
        </is>
      </c>
      <c r="F31" s="9" t="inlineStr">
        <is>
          <t>米东区</t>
        </is>
      </c>
      <c r="G31" s="9" t="inlineStr">
        <is>
          <t>米东工业园</t>
        </is>
      </c>
      <c r="H31" s="9" t="inlineStr">
        <is>
          <t>新疆华泰重化工有限责任公司</t>
        </is>
      </c>
      <c r="I31" s="9" t="inlineStr">
        <is>
          <t>中泰集团</t>
        </is>
      </c>
      <c r="J31" s="11" t="n">
        <v>0</v>
      </c>
      <c r="K31" s="9" t="n">
        <v>0</v>
      </c>
      <c r="L31" s="9" t="inlineStr">
        <is>
          <t>电石法（乙炔法）</t>
        </is>
      </c>
      <c r="M31" s="9" t="inlineStr">
        <is>
          <t>新疆乌鲁木齐市米东区</t>
        </is>
      </c>
      <c r="N31" s="9" t="inlineStr">
        <is>
          <t>43.9600,87.6500</t>
        </is>
      </c>
      <c r="O31" s="9" t="inlineStr">
        <is>
          <t>city</t>
        </is>
      </c>
    </row>
    <row r="32">
      <c r="A32" s="12" t="inlineStr">
        <is>
          <t>P004</t>
        </is>
      </c>
      <c r="B32" s="12" t="inlineStr">
        <is>
          <t>圣雄基地（圣雄能源）</t>
        </is>
      </c>
      <c r="C32" s="12" t="inlineStr">
        <is>
          <t>新疆圣雄能源股份有限公司 PVC 生产基地</t>
        </is>
      </c>
      <c r="D32" s="12" t="inlineStr">
        <is>
          <t>新疆维吾尔自治区</t>
        </is>
      </c>
      <c r="E32" s="12" t="inlineStr">
        <is>
          <t>吐鲁番市</t>
        </is>
      </c>
      <c r="F32" s="12" t="inlineStr"/>
      <c r="G32" s="12" t="inlineStr">
        <is>
          <t>圣雄工业园</t>
        </is>
      </c>
      <c r="H32" s="12" t="inlineStr">
        <is>
          <t>新疆圣雄能源股份有限公司</t>
        </is>
      </c>
      <c r="I32" s="12" t="inlineStr">
        <is>
          <t>中泰集团</t>
        </is>
      </c>
      <c r="J32" s="14" t="n">
        <v>0</v>
      </c>
      <c r="K32" s="12" t="n">
        <v>0</v>
      </c>
      <c r="L32" s="12" t="inlineStr">
        <is>
          <t>电石法（乙炔法）</t>
        </is>
      </c>
      <c r="M32" s="12" t="inlineStr">
        <is>
          <t>新疆吐鲁番市</t>
        </is>
      </c>
      <c r="N32" s="12" t="inlineStr">
        <is>
          <t>42.9500,89.1900</t>
        </is>
      </c>
      <c r="O32" s="12" t="inlineStr">
        <is>
          <t>city</t>
        </is>
      </c>
    </row>
    <row r="33">
      <c r="A33" s="9" t="inlineStr">
        <is>
          <t>P040</t>
        </is>
      </c>
      <c r="B33" s="9" t="inlineStr">
        <is>
          <t>青海宜化基地</t>
        </is>
      </c>
      <c r="C33" s="9" t="inlineStr">
        <is>
          <t>青海宜化化工有限责任公司 PVC 生产基地</t>
        </is>
      </c>
      <c r="D33" s="9" t="inlineStr">
        <is>
          <t>青海省</t>
        </is>
      </c>
      <c r="E33" s="9" t="inlineStr">
        <is>
          <t>西宁市</t>
        </is>
      </c>
      <c r="F33" s="9" t="inlineStr"/>
      <c r="G33" s="9" t="inlineStr">
        <is>
          <t>（具体园区待核）</t>
        </is>
      </c>
      <c r="H33" s="9" t="inlineStr">
        <is>
          <t>青海宜化化工有限责任公司</t>
        </is>
      </c>
      <c r="I33" s="9" t="inlineStr">
        <is>
          <t>宜化集团</t>
        </is>
      </c>
      <c r="J33" s="11" t="n">
        <v>0</v>
      </c>
      <c r="K33" s="9" t="n">
        <v>0</v>
      </c>
      <c r="L33" s="9" t="inlineStr">
        <is>
          <t>电石法（乙炔法）</t>
        </is>
      </c>
      <c r="M33" s="9" t="inlineStr">
        <is>
          <t>青海省</t>
        </is>
      </c>
      <c r="N33" s="9" t="inlineStr">
        <is>
          <t>36.6200,101.7800</t>
        </is>
      </c>
      <c r="O33" s="9" t="inlineStr">
        <is>
          <t>province</t>
        </is>
      </c>
    </row>
    <row r="34">
      <c r="A34" s="12" t="inlineStr">
        <is>
          <t>P041</t>
        </is>
      </c>
      <c r="B34" s="12" t="inlineStr">
        <is>
          <t>准东五彩湾基地（新疆宜化）</t>
        </is>
      </c>
      <c r="C34" s="12" t="inlineStr">
        <is>
          <t>新疆宜化化工有限公司 准东经济技术开发区 PVC 生产基地</t>
        </is>
      </c>
      <c r="D34" s="12" t="inlineStr">
        <is>
          <t>新疆维吾尔自治区</t>
        </is>
      </c>
      <c r="E34" s="12" t="inlineStr">
        <is>
          <t>准东经济开发区</t>
        </is>
      </c>
      <c r="F34" s="12" t="inlineStr"/>
      <c r="G34" s="12" t="inlineStr">
        <is>
          <t>准东经济技术开发区（五彩湾）</t>
        </is>
      </c>
      <c r="H34" s="12" t="inlineStr">
        <is>
          <t>新疆宜化化工有限公司</t>
        </is>
      </c>
      <c r="I34" s="12" t="inlineStr">
        <is>
          <t>宜化集团</t>
        </is>
      </c>
      <c r="J34" s="14" t="n">
        <v>0</v>
      </c>
      <c r="K34" s="12" t="n">
        <v>0</v>
      </c>
      <c r="L34" s="12" t="inlineStr">
        <is>
          <t>电石法（乙炔法）</t>
        </is>
      </c>
      <c r="M34" s="12" t="inlineStr">
        <is>
          <t>新疆昌吉州准东经济技术开发区</t>
        </is>
      </c>
      <c r="N34" s="12" t="inlineStr">
        <is>
          <t>44.6800,89.1000</t>
        </is>
      </c>
      <c r="O34" s="12" t="inlineStr">
        <is>
          <t>city</t>
        </is>
      </c>
    </row>
    <row r="35">
      <c r="A35" s="9" t="inlineStr">
        <is>
          <t>P042</t>
        </is>
      </c>
      <c r="B35" s="9" t="inlineStr">
        <is>
          <t>内蒙古宜化基地</t>
        </is>
      </c>
      <c r="C35" s="9" t="inlineStr">
        <is>
          <t>内蒙古宜化化工有限公司 PVC 生产基地</t>
        </is>
      </c>
      <c r="D35" s="9" t="inlineStr">
        <is>
          <t>内蒙古自治区</t>
        </is>
      </c>
      <c r="E35" s="9" t="inlineStr">
        <is>
          <t>乌海市</t>
        </is>
      </c>
      <c r="F35" s="9" t="inlineStr"/>
      <c r="G35" s="9" t="inlineStr">
        <is>
          <t>（具体园区待核）</t>
        </is>
      </c>
      <c r="H35" s="9" t="inlineStr">
        <is>
          <t>内蒙古宜化化工有限公司</t>
        </is>
      </c>
      <c r="I35" s="9" t="inlineStr">
        <is>
          <t>宜化集团</t>
        </is>
      </c>
      <c r="J35" s="11" t="n">
        <v>0</v>
      </c>
      <c r="K35" s="9" t="n">
        <v>0</v>
      </c>
      <c r="L35" s="9" t="inlineStr">
        <is>
          <t>工艺未核实</t>
        </is>
      </c>
      <c r="M35" s="9" t="inlineStr">
        <is>
          <t>内蒙古乌海市</t>
        </is>
      </c>
      <c r="N35" s="9" t="inlineStr">
        <is>
          <t>39.6600,106.7900</t>
        </is>
      </c>
      <c r="O35" s="9" t="inlineStr">
        <is>
          <t>city</t>
        </is>
      </c>
    </row>
    <row r="36">
      <c r="A36" s="12" t="inlineStr">
        <is>
          <t>P070</t>
        </is>
      </c>
      <c r="B36" s="12" t="inlineStr">
        <is>
          <t>惠农基地（英力特）</t>
        </is>
      </c>
      <c r="C36" s="12" t="inlineStr">
        <is>
          <t>宁夏英力特化工股份有限公司 PVC 生产基地</t>
        </is>
      </c>
      <c r="D36" s="12" t="inlineStr">
        <is>
          <t>宁夏回族自治区</t>
        </is>
      </c>
      <c r="E36" s="12" t="inlineStr">
        <is>
          <t>石嘴山市</t>
        </is>
      </c>
      <c r="F36" s="12" t="inlineStr">
        <is>
          <t>惠农区</t>
        </is>
      </c>
      <c r="G36" s="12" t="inlineStr">
        <is>
          <t>惠农区钢电路 41 号</t>
        </is>
      </c>
      <c r="H36" s="12" t="inlineStr">
        <is>
          <t>宁夏英力特化工股份有限公司</t>
        </is>
      </c>
      <c r="I36" s="12" t="inlineStr">
        <is>
          <t>英力特</t>
        </is>
      </c>
      <c r="J36" s="14" t="n">
        <v>0</v>
      </c>
      <c r="K36" s="12" t="n">
        <v>0</v>
      </c>
      <c r="L36" s="12" t="inlineStr">
        <is>
          <t>电石法（乙炔法）</t>
        </is>
      </c>
      <c r="M36" s="12" t="inlineStr">
        <is>
          <t>宁夏石嘴山市惠农区钢电路 41 号</t>
        </is>
      </c>
      <c r="N36" s="12" t="inlineStr">
        <is>
          <t>39.2400,106.7700</t>
        </is>
      </c>
      <c r="O36" s="12" t="inlineStr">
        <is>
          <t>city</t>
        </is>
      </c>
    </row>
    <row r="37">
      <c r="A37" s="9" t="inlineStr">
        <is>
          <t>P200</t>
        </is>
      </c>
      <c r="B37" s="9" t="inlineStr">
        <is>
          <t>海南区海化工业园基地（乌海化工，长期停车）</t>
        </is>
      </c>
      <c r="C37" s="9" t="inlineStr">
        <is>
          <t>内蒙古乌海化工有限公司 PVC 生产基地（破产重整中）</t>
        </is>
      </c>
      <c r="D37" s="9" t="inlineStr">
        <is>
          <t>内蒙古自治区</t>
        </is>
      </c>
      <c r="E37" s="9" t="inlineStr">
        <is>
          <t>乌海市</t>
        </is>
      </c>
      <c r="F37" s="9" t="inlineStr">
        <is>
          <t>海南区</t>
        </is>
      </c>
      <c r="G37" s="9" t="inlineStr">
        <is>
          <t>海化工业园区</t>
        </is>
      </c>
      <c r="H37" s="9" t="inlineStr">
        <is>
          <t>内蒙古乌海化工有限公司</t>
        </is>
      </c>
      <c r="I37" s="9" t="inlineStr">
        <is>
          <t>鸿达兴业</t>
        </is>
      </c>
      <c r="J37" s="11" t="n">
        <v>0</v>
      </c>
      <c r="K37" s="9" t="n">
        <v>0</v>
      </c>
      <c r="L37" s="9" t="inlineStr">
        <is>
          <t>电石法（乙炔法）</t>
        </is>
      </c>
      <c r="M37" s="9" t="inlineStr">
        <is>
          <t>内蒙古乌海市海南区海化工业园区</t>
        </is>
      </c>
      <c r="N37" s="9" t="inlineStr">
        <is>
          <t>39.4500,106.8700</t>
        </is>
      </c>
      <c r="O37" s="9" t="inlineStr">
        <is>
          <t>city</t>
        </is>
      </c>
    </row>
    <row r="38">
      <c r="A38" s="12" t="inlineStr">
        <is>
          <t>P300</t>
        </is>
      </c>
      <c r="B38" s="12" t="inlineStr">
        <is>
          <t>江阴港城东部片区（万融）</t>
        </is>
      </c>
      <c r="C38" s="12" t="inlineStr">
        <is>
          <t>万融新材料（福建）有限公司 江阴港城经济区东部片区 PVC 项目基地</t>
        </is>
      </c>
      <c r="D38" s="12" t="inlineStr">
        <is>
          <t>福建省</t>
        </is>
      </c>
      <c r="E38" s="12" t="inlineStr">
        <is>
          <t>福清市</t>
        </is>
      </c>
      <c r="F38" s="12" t="inlineStr">
        <is>
          <t>江阴港城经济区</t>
        </is>
      </c>
      <c r="G38" s="12" t="inlineStr">
        <is>
          <t>江阴港城经济区东部片区</t>
        </is>
      </c>
      <c r="H38" s="12" t="inlineStr">
        <is>
          <t>万融新材料（福建）有限公司</t>
        </is>
      </c>
      <c r="I38" s="12" t="inlineStr">
        <is>
          <t>万华化学</t>
        </is>
      </c>
      <c r="J38" s="14" t="n">
        <v>0</v>
      </c>
      <c r="K38" s="12" t="n">
        <v>0</v>
      </c>
      <c r="L38" s="12" t="inlineStr"/>
      <c r="M38" s="12" t="inlineStr">
        <is>
          <t>福建省福州市福清市江阴港城经济区</t>
        </is>
      </c>
      <c r="N38" s="12" t="inlineStr">
        <is>
          <t>25.5200,119.3500</t>
        </is>
      </c>
      <c r="O38" s="12" t="inlineStr">
        <is>
          <t>city</t>
        </is>
      </c>
    </row>
    <row r="39">
      <c r="A39" s="9" t="inlineStr">
        <is>
          <t>P301</t>
        </is>
      </c>
      <c r="B39" s="9" t="inlineStr">
        <is>
          <t>十户滩新材料工业园（天业集团）</t>
        </is>
      </c>
      <c r="C39" s="9" t="inlineStr">
        <is>
          <t>新疆天业（集团）有限公司 十户滩新材料工业园 PVC 项目基地</t>
        </is>
      </c>
      <c r="D39" s="9" t="inlineStr">
        <is>
          <t>新疆维吾尔自治区</t>
        </is>
      </c>
      <c r="E39" s="9" t="inlineStr">
        <is>
          <t>石河子市</t>
        </is>
      </c>
      <c r="F39" s="9" t="inlineStr">
        <is>
          <t>147 团</t>
        </is>
      </c>
      <c r="G39" s="9" t="inlineStr">
        <is>
          <t>十户滩新材料工业园</t>
        </is>
      </c>
      <c r="H39" s="9" t="inlineStr">
        <is>
          <t>新疆天业（集团）有限公司</t>
        </is>
      </c>
      <c r="I39" s="9" t="inlineStr">
        <is>
          <t>天业集团</t>
        </is>
      </c>
      <c r="J39" s="11" t="n">
        <v>0</v>
      </c>
      <c r="K39" s="9" t="n">
        <v>0</v>
      </c>
      <c r="L39" s="9" t="inlineStr"/>
      <c r="M39" s="9" t="inlineStr">
        <is>
          <t>新疆石河子市 147 团</t>
        </is>
      </c>
      <c r="N39" s="9" t="inlineStr">
        <is>
          <t>44.4500,86.1500</t>
        </is>
      </c>
      <c r="O39" s="9" t="inlineStr">
        <is>
          <t>city</t>
        </is>
      </c>
    </row>
    <row r="40">
      <c r="A40" s="12" t="inlineStr">
        <is>
          <t>P303</t>
        </is>
      </c>
      <c r="B40" s="12" t="inlineStr">
        <is>
          <t>乐平铺基地（信发华兴）</t>
        </is>
      </c>
      <c r="C40" s="12" t="inlineStr">
        <is>
          <t>茌平信发华兴化工有限公司 乐平铺 PVC 生产基地</t>
        </is>
      </c>
      <c r="D40" s="12" t="inlineStr">
        <is>
          <t>山东省</t>
        </is>
      </c>
      <c r="E40" s="12" t="inlineStr">
        <is>
          <t>聊城市</t>
        </is>
      </c>
      <c r="F40" s="12" t="inlineStr">
        <is>
          <t>茌平区乐平铺镇</t>
        </is>
      </c>
      <c r="G40" s="12" t="inlineStr">
        <is>
          <t>茌平信发工业园</t>
        </is>
      </c>
      <c r="H40" s="12" t="inlineStr">
        <is>
          <t>茌平信发华兴化工有限公司</t>
        </is>
      </c>
      <c r="I40" s="12" t="inlineStr">
        <is>
          <t>信发集团</t>
        </is>
      </c>
      <c r="J40" s="14" t="n">
        <v>0</v>
      </c>
      <c r="K40" s="12" t="n">
        <v>0</v>
      </c>
      <c r="L40" s="12" t="inlineStr"/>
      <c r="M40" s="12" t="inlineStr">
        <is>
          <t>山东省聊城市茌平区乐平铺镇</t>
        </is>
      </c>
      <c r="N40" s="12" t="inlineStr">
        <is>
          <t>36.5200,116.1000</t>
        </is>
      </c>
      <c r="O40" s="12" t="inlineStr">
        <is>
          <t>city</t>
        </is>
      </c>
    </row>
    <row r="41">
      <c r="A41" s="9" t="inlineStr">
        <is>
          <t>P308</t>
        </is>
      </c>
      <c r="B41" s="9" t="inlineStr">
        <is>
          <t>宁波基地（镇洋发展）</t>
        </is>
      </c>
      <c r="C41" s="9" t="inlineStr">
        <is>
          <t>浙江镇洋发展股份有限公司 PVC 生产基地</t>
        </is>
      </c>
      <c r="D41" s="9" t="inlineStr">
        <is>
          <t>浙江省</t>
        </is>
      </c>
      <c r="E41" s="9" t="inlineStr">
        <is>
          <t>宁波市</t>
        </is>
      </c>
      <c r="F41" s="9" t="inlineStr">
        <is>
          <t>镇海区</t>
        </is>
      </c>
      <c r="G41" s="9" t="inlineStr">
        <is>
          <t>宁波石化经济技术开发区</t>
        </is>
      </c>
      <c r="H41" s="9" t="inlineStr">
        <is>
          <t>浙江镇洋发展股份有限公司</t>
        </is>
      </c>
      <c r="I41" s="9" t="inlineStr">
        <is>
          <t>镇洋发展</t>
        </is>
      </c>
      <c r="J41" s="11" t="n">
        <v>0</v>
      </c>
      <c r="K41" s="9" t="n">
        <v>0</v>
      </c>
      <c r="L41" s="9" t="inlineStr">
        <is>
          <t>乙烯法</t>
        </is>
      </c>
      <c r="M41" s="9" t="inlineStr">
        <is>
          <t>浙江省宁波市镇海区</t>
        </is>
      </c>
      <c r="N41" s="9" t="inlineStr">
        <is>
          <t>29.9500,121.6500</t>
        </is>
      </c>
      <c r="O41" s="9" t="inlineStr">
        <is>
          <t>city</t>
        </is>
      </c>
    </row>
    <row r="43">
      <c r="A43" s="27" t="inlineStr">
        <is>
          <t>坐标精度 plant=厂址级、city=城市级、province=省中心（仅示意）；地图气泡面积对应产能，不代表厂区范围。</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52"/>
  <sheetViews>
    <sheetView showGridLines="0" workbookViewId="0">
      <pane ySplit="4" topLeftCell="A5" activePane="bottomLeft" state="frozen"/>
      <selection pane="bottomLeft" activeCell="A1" sqref="A1"/>
    </sheetView>
  </sheetViews>
  <sheetFormatPr baseColWidth="8" defaultRowHeight="15"/>
  <cols>
    <col width="11" customWidth="1" min="1" max="1"/>
    <col width="14" customWidth="1" min="2" max="2"/>
    <col width="12" customWidth="1" min="3" max="3"/>
    <col width="28" customWidth="1" min="4" max="4"/>
    <col width="34" customWidth="1" min="5" max="5"/>
    <col width="14" customWidth="1" min="6" max="6"/>
    <col width="22" customWidth="1" min="7" max="7"/>
    <col width="12" customWidth="1" min="8" max="8"/>
    <col width="14" customWidth="1" min="9" max="9"/>
    <col width="24" customWidth="1" min="10" max="10"/>
    <col width="12" customWidth="1" min="11" max="11"/>
    <col width="12" customWidth="1" min="12" max="12"/>
    <col width="40" customWidth="1" min="13" max="13"/>
    <col width="9" customWidth="1" min="14" max="14"/>
    <col width="9" customWidth="1" min="15" max="15"/>
    <col width="12" customWidth="1" min="16" max="16"/>
    <col width="26" customWidth="1" min="17" max="17"/>
    <col width="11" customWidth="1" min="18" max="18"/>
    <col width="9" customWidth="1" min="19" max="19"/>
    <col width="7" customWidth="1" min="20" max="20"/>
    <col width="44" customWidth="1" min="21" max="21"/>
    <col width="40" customWidth="1" min="22" max="22"/>
    <col width="11" customWidth="1" min="23" max="23"/>
  </cols>
  <sheetData>
    <row r="1" ht="24" customHeight="1">
      <c r="A1" s="7" t="inlineStr">
        <is>
          <t>装置级明细（唯一事实层 / Head of Truth）</t>
        </is>
      </c>
    </row>
    <row r="2">
      <c r="A2" s="3" t="inlineStr">
        <is>
          <t>一行 = 一个装置的一条产能事实；全部汇总表均引用本表</t>
        </is>
      </c>
    </row>
    <row r="4" ht="30" customHeight="1">
      <c r="A4" s="8" t="inlineStr">
        <is>
          <t>装置ID</t>
        </is>
      </c>
      <c r="B4" s="8" t="inlineStr">
        <is>
          <t>省</t>
        </is>
      </c>
      <c r="C4" s="8" t="inlineStr">
        <is>
          <t>市</t>
        </is>
      </c>
      <c r="D4" s="8" t="inlineStr">
        <is>
          <t>基地</t>
        </is>
      </c>
      <c r="E4" s="8" t="inlineStr">
        <is>
          <t>运营法人</t>
        </is>
      </c>
      <c r="F4" s="8" t="inlineStr">
        <is>
          <t>集团</t>
        </is>
      </c>
      <c r="G4" s="8" t="inlineStr">
        <is>
          <t>产品/牌号</t>
        </is>
      </c>
      <c r="H4" s="8" t="inlineStr">
        <is>
          <t>产品等级</t>
        </is>
      </c>
      <c r="I4" s="8" t="inlineStr">
        <is>
          <t>工艺路线</t>
        </is>
      </c>
      <c r="J4" s="8" t="inlineStr">
        <is>
          <t>工艺备注</t>
        </is>
      </c>
      <c r="K4" s="8" t="inlineStr">
        <is>
          <t>产能口径</t>
        </is>
      </c>
      <c r="L4" s="8" t="inlineStr">
        <is>
          <t>产能(万吨/年)</t>
        </is>
      </c>
      <c r="M4" s="8" t="inlineStr">
        <is>
          <t>原文表述</t>
        </is>
      </c>
      <c r="N4" s="8" t="inlineStr">
        <is>
          <t>数据年份</t>
        </is>
      </c>
      <c r="O4" s="8" t="inlineStr">
        <is>
          <t>投产年份</t>
        </is>
      </c>
      <c r="P4" s="8" t="inlineStr">
        <is>
          <t>运行状态</t>
        </is>
      </c>
      <c r="Q4" s="8" t="inlineStr">
        <is>
          <t>状态说明</t>
        </is>
      </c>
      <c r="R4" s="8" t="inlineStr">
        <is>
          <t>配套自产电石</t>
        </is>
      </c>
      <c r="S4" s="8" t="inlineStr">
        <is>
          <t>来源编号</t>
        </is>
      </c>
      <c r="T4" s="8" t="inlineStr">
        <is>
          <t>可信度</t>
        </is>
      </c>
      <c r="U4" s="8" t="inlineStr">
        <is>
          <t>来源标题</t>
        </is>
      </c>
      <c r="V4" s="8" t="inlineStr">
        <is>
          <t>来源URL</t>
        </is>
      </c>
      <c r="W4" s="8" t="inlineStr">
        <is>
          <t>来源日期</t>
        </is>
      </c>
    </row>
    <row r="5">
      <c r="A5" s="9" t="inlineStr">
        <is>
          <t>U-P001-01</t>
        </is>
      </c>
      <c r="B5" s="9" t="inlineStr">
        <is>
          <t>新疆维吾尔自治区</t>
        </is>
      </c>
      <c r="C5" s="9" t="inlineStr">
        <is>
          <t>乌鲁木齐市</t>
        </is>
      </c>
      <c r="D5" s="9" t="inlineStr">
        <is>
          <t>米东基地（华泰重化工）</t>
        </is>
      </c>
      <c r="E5" s="9" t="inlineStr">
        <is>
          <t>新疆华泰重化工有限责任公司</t>
        </is>
      </c>
      <c r="F5" s="9" t="inlineStr">
        <is>
          <t>中泰集团</t>
        </is>
      </c>
      <c r="G5" s="9" t="inlineStr">
        <is>
          <t>聚氯乙烯树脂</t>
        </is>
      </c>
      <c r="H5" s="9" t="inlineStr">
        <is>
          <t>未细分</t>
        </is>
      </c>
      <c r="I5" s="9" t="inlineStr">
        <is>
          <t>电石法（乙炔法）</t>
        </is>
      </c>
      <c r="J5" s="10" t="inlineStr">
        <is>
          <t>电石法</t>
        </is>
      </c>
      <c r="K5" s="9" t="inlineStr">
        <is>
          <t>设计产能</t>
        </is>
      </c>
      <c r="L5" s="11" t="n"/>
      <c r="M5" s="10" t="inlineStr">
        <is>
          <t>中泰化学 2025 年报仅披露合并口径 260 万吨/年，未拆分至华泰/阜康/托克逊/圣雄各厂</t>
        </is>
      </c>
      <c r="N5" s="9" t="n">
        <v>2025</v>
      </c>
      <c r="O5" s="9" t="n"/>
      <c r="P5" s="9" t="inlineStr">
        <is>
          <t>在产</t>
        </is>
      </c>
      <c r="Q5" s="10" t="inlineStr">
        <is>
          <t>生产中</t>
        </is>
      </c>
      <c r="R5" s="9" t="inlineStr">
        <is>
          <t>是</t>
        </is>
      </c>
      <c r="S5" s="9" t="inlineStr">
        <is>
          <t>S01</t>
        </is>
      </c>
      <c r="T5" s="9" t="inlineStr">
        <is>
          <t>A</t>
        </is>
      </c>
      <c r="U5" s="10" t="inlineStr">
        <is>
          <t>新疆中泰化学股份有限公司 2025 年年度报告</t>
        </is>
      </c>
      <c r="V5" s="10" t="inlineStr">
        <is>
          <t>https://static.cninfo.com.cn/finalpage/2026-03-26/1225033261.PDF</t>
        </is>
      </c>
      <c r="W5" s="9" t="inlineStr">
        <is>
          <t>2026-03-26</t>
        </is>
      </c>
    </row>
    <row r="6">
      <c r="A6" s="12" t="inlineStr">
        <is>
          <t>U-P002-01</t>
        </is>
      </c>
      <c r="B6" s="12" t="inlineStr">
        <is>
          <t>新疆维吾尔自治区</t>
        </is>
      </c>
      <c r="C6" s="12" t="inlineStr">
        <is>
          <t>阜康市</t>
        </is>
      </c>
      <c r="D6" s="12" t="inlineStr">
        <is>
          <t>阜康基地（阜康能源）</t>
        </is>
      </c>
      <c r="E6" s="12" t="inlineStr">
        <is>
          <t>新疆中泰化学阜康能源有限公司</t>
        </is>
      </c>
      <c r="F6" s="12" t="inlineStr">
        <is>
          <t>中泰集团</t>
        </is>
      </c>
      <c r="G6" s="12" t="inlineStr">
        <is>
          <t>聚氯乙烯树脂（悬浮法通用型）</t>
        </is>
      </c>
      <c r="H6" s="12" t="inlineStr">
        <is>
          <t>通用树脂（纯粉）</t>
        </is>
      </c>
      <c r="I6" s="12" t="inlineStr">
        <is>
          <t>电石法（乙炔法）</t>
        </is>
      </c>
      <c r="J6" s="13" t="inlineStr">
        <is>
          <t>以电石为原料</t>
        </is>
      </c>
      <c r="K6" s="12" t="inlineStr">
        <is>
          <t>设计产能</t>
        </is>
      </c>
      <c r="L6" s="14" t="n">
        <v>80</v>
      </c>
      <c r="M6" s="13" t="inlineStr">
        <is>
          <t>取 80 万吨（新疆国资委 2022-07 通稿：阜康能源年产 80 万吨聚氯乙烯树脂 + 60 万吨离子膜烧碱，2012 年 9 月一次开车成功，称「国内最大的氯碱单套装置产业基地」）。⚠ 口径冲突：新疆生态环境厅 2023-11 环评后评价公示载「设计规模 年产聚氯乙烯 40 万吨、离子膜烧碱 30 万吨」。两个数字差一倍，可能是「一期 40 万吨」与「一二期合计 80 万吨」之别，也可能环评仅覆盖单个厂区。本报告取 80 万吨并在 15_口径对比 中并列保留 40 万吨作为下行情景，不取平均。</t>
        </is>
      </c>
      <c r="N6" s="12" t="n">
        <v>2022</v>
      </c>
      <c r="O6" s="12" t="n">
        <v>2012</v>
      </c>
      <c r="P6" s="12" t="inlineStr">
        <is>
          <t>在产</t>
        </is>
      </c>
      <c r="Q6" s="13" t="inlineStr">
        <is>
          <t>2012-09 一次性开车成功</t>
        </is>
      </c>
      <c r="R6" s="12" t="inlineStr">
        <is>
          <t>是</t>
        </is>
      </c>
      <c r="S6" s="12" t="inlineStr">
        <is>
          <t>S46</t>
        </is>
      </c>
      <c r="T6" s="12" t="inlineStr">
        <is>
          <t>A</t>
        </is>
      </c>
      <c r="U6" s="13" t="inlineStr">
        <is>
          <t>新疆国资委：中泰集团 科技创新为产业发展注入「绿色基因」</t>
        </is>
      </c>
      <c r="V6" s="13" t="inlineStr">
        <is>
          <t>https://gzw.xinjiang.gov.cn/gzw/gzyw/202207/5984c184046d47bb82f3d3c0a883bf63.shtml</t>
        </is>
      </c>
      <c r="W6" s="12" t="inlineStr">
        <is>
          <t>2022-07-27</t>
        </is>
      </c>
    </row>
    <row r="7">
      <c r="A7" s="9" t="inlineStr">
        <is>
          <t>U-P003-02</t>
        </is>
      </c>
      <c r="B7" s="9" t="inlineStr">
        <is>
          <t>新疆维吾尔自治区</t>
        </is>
      </c>
      <c r="C7" s="9" t="inlineStr">
        <is>
          <t>托克逊县</t>
        </is>
      </c>
      <c r="D7" s="9" t="inlineStr">
        <is>
          <t>托克逊基地（托克逊能化）</t>
        </is>
      </c>
      <c r="E7" s="9" t="inlineStr">
        <is>
          <t>新疆中泰化学托克逊能化有限公司</t>
        </is>
      </c>
      <c r="F7" s="9" t="inlineStr">
        <is>
          <t>中泰集团</t>
        </is>
      </c>
      <c r="G7" s="9" t="inlineStr">
        <is>
          <t>聚氯乙烯糊树脂（EPVC）</t>
        </is>
      </c>
      <c r="H7" s="9" t="inlineStr">
        <is>
          <t>糊树脂</t>
        </is>
      </c>
      <c r="I7" s="9" t="inlineStr">
        <is>
          <t>电石法（乙炔法）</t>
        </is>
      </c>
      <c r="J7" s="10" t="inlineStr">
        <is>
          <t>本体法/乳液法</t>
        </is>
      </c>
      <c r="K7" s="9" t="inlineStr">
        <is>
          <t>设计产能</t>
        </is>
      </c>
      <c r="L7" s="11" t="n">
        <v>6</v>
      </c>
      <c r="M7" s="10" t="inlineStr">
        <is>
          <t>同一项目：6 万吨糊树脂装置 + 3 万吨降粘树脂装置</t>
        </is>
      </c>
      <c r="N7" s="9" t="n">
        <v>2020</v>
      </c>
      <c r="O7" s="9" t="n">
        <v>2020</v>
      </c>
      <c r="P7" s="9" t="inlineStr">
        <is>
          <t>在产</t>
        </is>
      </c>
      <c r="Q7" s="10" t="inlineStr">
        <is>
          <t>2020-10 转固</t>
        </is>
      </c>
      <c r="R7" s="9" t="inlineStr">
        <is>
          <t>是</t>
        </is>
      </c>
      <c r="S7" s="9" t="inlineStr">
        <is>
          <t>S48</t>
        </is>
      </c>
      <c r="T7" s="9" t="inlineStr">
        <is>
          <t>B</t>
        </is>
      </c>
      <c r="U7" s="10" t="inlineStr">
        <is>
          <t>中泰化学托克逊能化 30 万吨高性能树脂项目投产</t>
        </is>
      </c>
      <c r="V7" s="10" t="inlineStr">
        <is>
          <t>http://www.cppia.com.cn/front/article/20895/500</t>
        </is>
      </c>
      <c r="W7" s="9" t="inlineStr">
        <is>
          <t>2020</t>
        </is>
      </c>
    </row>
    <row r="8">
      <c r="A8" s="12" t="inlineStr">
        <is>
          <t>U-P003-01</t>
        </is>
      </c>
      <c r="B8" s="12" t="inlineStr">
        <is>
          <t>新疆维吾尔自治区</t>
        </is>
      </c>
      <c r="C8" s="12" t="inlineStr">
        <is>
          <t>托克逊县</t>
        </is>
      </c>
      <c r="D8" s="12" t="inlineStr">
        <is>
          <t>托克逊基地（托克逊能化）</t>
        </is>
      </c>
      <c r="E8" s="12" t="inlineStr">
        <is>
          <t>新疆中泰化学托克逊能化有限公司</t>
        </is>
      </c>
      <c r="F8" s="12" t="inlineStr">
        <is>
          <t>中泰集团</t>
        </is>
      </c>
      <c r="G8" s="12" t="inlineStr">
        <is>
          <t>聚氯乙烯（本体法树脂）</t>
        </is>
      </c>
      <c r="H8" s="12" t="inlineStr">
        <is>
          <t>专用料</t>
        </is>
      </c>
      <c r="I8" s="12" t="inlineStr">
        <is>
          <t>电石法（乙炔法）</t>
        </is>
      </c>
      <c r="J8" s="13" t="inlineStr">
        <is>
          <t>配套 30 万吨高纯 VCM，电石法</t>
        </is>
      </c>
      <c r="K8" s="12" t="inlineStr">
        <is>
          <t>设计产能</t>
        </is>
      </c>
      <c r="L8" s="14" t="n">
        <v>20</v>
      </c>
      <c r="M8" s="13" t="inlineStr">
        <is>
          <t>托克逊能化 30 万吨高性能树脂项目：20 万吨本体法 PVC 树脂装置</t>
        </is>
      </c>
      <c r="N8" s="12" t="n">
        <v>2020</v>
      </c>
      <c r="O8" s="12" t="n">
        <v>2020</v>
      </c>
      <c r="P8" s="12" t="inlineStr">
        <is>
          <t>在产</t>
        </is>
      </c>
      <c r="Q8" s="13" t="inlineStr">
        <is>
          <t>2020-10 转固</t>
        </is>
      </c>
      <c r="R8" s="12" t="inlineStr">
        <is>
          <t>是</t>
        </is>
      </c>
      <c r="S8" s="12" t="inlineStr">
        <is>
          <t>S48</t>
        </is>
      </c>
      <c r="T8" s="12" t="inlineStr">
        <is>
          <t>B</t>
        </is>
      </c>
      <c r="U8" s="13" t="inlineStr">
        <is>
          <t>中泰化学托克逊能化 30 万吨高性能树脂项目投产</t>
        </is>
      </c>
      <c r="V8" s="13" t="inlineStr">
        <is>
          <t>http://www.cppia.com.cn/front/article/20895/500</t>
        </is>
      </c>
      <c r="W8" s="12" t="inlineStr">
        <is>
          <t>2020</t>
        </is>
      </c>
    </row>
    <row r="9">
      <c r="A9" s="9" t="inlineStr">
        <is>
          <t>U-P003-03</t>
        </is>
      </c>
      <c r="B9" s="9" t="inlineStr">
        <is>
          <t>新疆维吾尔自治区</t>
        </is>
      </c>
      <c r="C9" s="9" t="inlineStr">
        <is>
          <t>托克逊县</t>
        </is>
      </c>
      <c r="D9" s="9" t="inlineStr">
        <is>
          <t>托克逊基地（托克逊能化）</t>
        </is>
      </c>
      <c r="E9" s="9" t="inlineStr">
        <is>
          <t>新疆中泰化学托克逊能化有限公司</t>
        </is>
      </c>
      <c r="F9" s="9" t="inlineStr">
        <is>
          <t>中泰集团</t>
        </is>
      </c>
      <c r="G9" s="9" t="inlineStr">
        <is>
          <t>聚氯乙烯（降粘树脂）</t>
        </is>
      </c>
      <c r="H9" s="9" t="inlineStr">
        <is>
          <t>特种树脂</t>
        </is>
      </c>
      <c r="I9" s="9" t="inlineStr">
        <is>
          <t>电石法（乙炔法）</t>
        </is>
      </c>
      <c r="J9" s="10" t="inlineStr">
        <is>
          <t>配套本体法</t>
        </is>
      </c>
      <c r="K9" s="9" t="inlineStr">
        <is>
          <t>设计产能</t>
        </is>
      </c>
      <c r="L9" s="11" t="n">
        <v>3</v>
      </c>
      <c r="M9" s="10" t="inlineStr">
        <is>
          <t>同一项目：3 万吨降粘树脂装置</t>
        </is>
      </c>
      <c r="N9" s="9" t="n">
        <v>2020</v>
      </c>
      <c r="O9" s="9" t="n">
        <v>2020</v>
      </c>
      <c r="P9" s="9" t="inlineStr">
        <is>
          <t>在产</t>
        </is>
      </c>
      <c r="Q9" s="10" t="inlineStr"/>
      <c r="R9" s="9" t="inlineStr">
        <is>
          <t>是</t>
        </is>
      </c>
      <c r="S9" s="9" t="inlineStr">
        <is>
          <t>S48</t>
        </is>
      </c>
      <c r="T9" s="9" t="inlineStr">
        <is>
          <t>B</t>
        </is>
      </c>
      <c r="U9" s="10" t="inlineStr">
        <is>
          <t>中泰化学托克逊能化 30 万吨高性能树脂项目投产</t>
        </is>
      </c>
      <c r="V9" s="10" t="inlineStr">
        <is>
          <t>http://www.cppia.com.cn/front/article/20895/500</t>
        </is>
      </c>
      <c r="W9" s="9" t="inlineStr">
        <is>
          <t>2020</t>
        </is>
      </c>
    </row>
    <row r="10">
      <c r="A10" s="12" t="inlineStr">
        <is>
          <t>U-P004-01</t>
        </is>
      </c>
      <c r="B10" s="12" t="inlineStr">
        <is>
          <t>新疆维吾尔自治区</t>
        </is>
      </c>
      <c r="C10" s="12" t="inlineStr">
        <is>
          <t>吐鲁番市</t>
        </is>
      </c>
      <c r="D10" s="12" t="inlineStr">
        <is>
          <t>圣雄基地（圣雄能源）</t>
        </is>
      </c>
      <c r="E10" s="12" t="inlineStr">
        <is>
          <t>新疆圣雄能源股份有限公司</t>
        </is>
      </c>
      <c r="F10" s="12" t="inlineStr">
        <is>
          <t>中泰集团</t>
        </is>
      </c>
      <c r="G10" s="12" t="inlineStr">
        <is>
          <t>聚氯乙烯树脂</t>
        </is>
      </c>
      <c r="H10" s="12" t="inlineStr">
        <is>
          <t>未细分</t>
        </is>
      </c>
      <c r="I10" s="12" t="inlineStr">
        <is>
          <t>电石法（乙炔法）</t>
        </is>
      </c>
      <c r="J10" s="13" t="inlineStr">
        <is>
          <t>电石法</t>
        </is>
      </c>
      <c r="K10" s="12" t="inlineStr">
        <is>
          <t>设计产能</t>
        </is>
      </c>
      <c r="L10" s="14" t="n"/>
      <c r="M10" s="13" t="inlineStr">
        <is>
          <t>未拆分（圣雄能源并于中泰化学合并口径）</t>
        </is>
      </c>
      <c r="N10" s="12" t="n">
        <v>2025</v>
      </c>
      <c r="O10" s="12" t="n"/>
      <c r="P10" s="12" t="inlineStr">
        <is>
          <t>在产</t>
        </is>
      </c>
      <c r="Q10" s="13" t="inlineStr">
        <is>
          <t>生产中</t>
        </is>
      </c>
      <c r="R10" s="12" t="inlineStr">
        <is>
          <t>是</t>
        </is>
      </c>
      <c r="S10" s="12" t="inlineStr">
        <is>
          <t>S01</t>
        </is>
      </c>
      <c r="T10" s="12" t="inlineStr">
        <is>
          <t>A</t>
        </is>
      </c>
      <c r="U10" s="13" t="inlineStr">
        <is>
          <t>新疆中泰化学股份有限公司 2025 年年度报告</t>
        </is>
      </c>
      <c r="V10" s="13" t="inlineStr">
        <is>
          <t>https://static.cninfo.com.cn/finalpage/2026-03-26/1225033261.PDF</t>
        </is>
      </c>
      <c r="W10" s="12" t="inlineStr">
        <is>
          <t>2026-03-26</t>
        </is>
      </c>
    </row>
    <row r="11">
      <c r="A11" s="9" t="inlineStr">
        <is>
          <t>U-P010-03</t>
        </is>
      </c>
      <c r="B11" s="9" t="inlineStr">
        <is>
          <t>新疆维吾尔自治区</t>
        </is>
      </c>
      <c r="C11" s="9" t="inlineStr">
        <is>
          <t>石河子市</t>
        </is>
      </c>
      <c r="D11" s="9" t="inlineStr">
        <is>
          <t>石河子化工园区基地（综合）</t>
        </is>
      </c>
      <c r="E11" s="9" t="inlineStr">
        <is>
          <t>新疆天业股份有限公司</t>
        </is>
      </c>
      <c r="F11" s="9" t="inlineStr">
        <is>
          <t>天业集团</t>
        </is>
      </c>
      <c r="G11" s="9" t="inlineStr">
        <is>
          <t>聚氯乙烯糊树脂（EPVC）</t>
        </is>
      </c>
      <c r="H11" s="9" t="inlineStr">
        <is>
          <t>糊树脂</t>
        </is>
      </c>
      <c r="I11" s="9" t="inlineStr">
        <is>
          <t>电石法（乙炔法）</t>
        </is>
      </c>
      <c r="J11" s="10" t="inlineStr">
        <is>
          <t>电石法</t>
        </is>
      </c>
      <c r="K11" s="9" t="inlineStr">
        <is>
          <t>设计产能</t>
        </is>
      </c>
      <c r="L11" s="11" t="n">
        <v>10</v>
      </c>
      <c r="M11" s="10" t="inlineStr">
        <is>
          <t>同上，年产 20 万吨特种 PVC 装置中的糊树脂部分</t>
        </is>
      </c>
      <c r="N11" s="9" t="n">
        <v>2025</v>
      </c>
      <c r="O11" s="9" t="n"/>
      <c r="P11" s="9" t="inlineStr">
        <is>
          <t>在产</t>
        </is>
      </c>
      <c r="Q11" s="10" t="inlineStr"/>
      <c r="R11" s="9" t="inlineStr">
        <is>
          <t>是</t>
        </is>
      </c>
      <c r="S11" s="9" t="inlineStr">
        <is>
          <t>S02</t>
        </is>
      </c>
      <c r="T11" s="9" t="inlineStr">
        <is>
          <t>A</t>
        </is>
      </c>
      <c r="U11" s="10" t="inlineStr">
        <is>
          <t>新疆天业股份有限公司 2025 年度报告</t>
        </is>
      </c>
      <c r="V11" s="10" t="inlineStr">
        <is>
          <t>https://money.finance.sina.com.cn/corp/view/vCB_AllBulletinDetail.php?stockid=600075&amp;id=12071824</t>
        </is>
      </c>
      <c r="W11" s="9" t="inlineStr">
        <is>
          <t>2026-04-10</t>
        </is>
      </c>
    </row>
    <row r="12">
      <c r="A12" s="12" t="inlineStr">
        <is>
          <t>U-P010-02</t>
        </is>
      </c>
      <c r="B12" s="12" t="inlineStr">
        <is>
          <t>新疆维吾尔自治区</t>
        </is>
      </c>
      <c r="C12" s="12" t="inlineStr">
        <is>
          <t>石河子市</t>
        </is>
      </c>
      <c r="D12" s="12" t="inlineStr">
        <is>
          <t>石河子化工园区基地（综合）</t>
        </is>
      </c>
      <c r="E12" s="12" t="inlineStr">
        <is>
          <t>新疆天业股份有限公司</t>
        </is>
      </c>
      <c r="F12" s="12" t="inlineStr">
        <is>
          <t>天业集团</t>
        </is>
      </c>
      <c r="G12" s="12" t="inlineStr">
        <is>
          <t>聚氯乙烯（特种树脂 SPVC）</t>
        </is>
      </c>
      <c r="H12" s="12" t="inlineStr">
        <is>
          <t>特种树脂</t>
        </is>
      </c>
      <c r="I12" s="12" t="inlineStr">
        <is>
          <t>电石法（乙炔法）</t>
        </is>
      </c>
      <c r="J12" s="13" t="inlineStr">
        <is>
          <t>电石法</t>
        </is>
      </c>
      <c r="K12" s="12" t="inlineStr">
        <is>
          <t>设计产能</t>
        </is>
      </c>
      <c r="L12" s="14" t="n">
        <v>10</v>
      </c>
      <c r="M12" s="13" t="inlineStr">
        <is>
          <t>年报：年产 20 万吨特种 PVC 装置 → 10 万吨特种树脂 + 10 万吨糊树脂；利用率 103.44%</t>
        </is>
      </c>
      <c r="N12" s="12" t="n">
        <v>2025</v>
      </c>
      <c r="O12" s="12" t="n"/>
      <c r="P12" s="12" t="inlineStr">
        <is>
          <t>在产</t>
        </is>
      </c>
      <c r="Q12" s="13" t="inlineStr">
        <is>
          <t>利用率 103.44%</t>
        </is>
      </c>
      <c r="R12" s="12" t="inlineStr">
        <is>
          <t>是</t>
        </is>
      </c>
      <c r="S12" s="12" t="inlineStr">
        <is>
          <t>S02</t>
        </is>
      </c>
      <c r="T12" s="12" t="inlineStr">
        <is>
          <t>A</t>
        </is>
      </c>
      <c r="U12" s="13" t="inlineStr">
        <is>
          <t>新疆天业股份有限公司 2025 年度报告</t>
        </is>
      </c>
      <c r="V12" s="13" t="inlineStr">
        <is>
          <t>https://money.finance.sina.com.cn/corp/view/vCB_AllBulletinDetail.php?stockid=600075&amp;id=12071824</t>
        </is>
      </c>
      <c r="W12" s="12" t="inlineStr">
        <is>
          <t>2026-04-10</t>
        </is>
      </c>
    </row>
    <row r="13">
      <c r="A13" s="9" t="inlineStr">
        <is>
          <t>U-P010-01</t>
        </is>
      </c>
      <c r="B13" s="9" t="inlineStr">
        <is>
          <t>新疆维吾尔自治区</t>
        </is>
      </c>
      <c r="C13" s="9" t="inlineStr">
        <is>
          <t>石河子市</t>
        </is>
      </c>
      <c r="D13" s="9" t="inlineStr">
        <is>
          <t>石河子化工园区基地（综合）</t>
        </is>
      </c>
      <c r="E13" s="9" t="inlineStr">
        <is>
          <t>新疆天业股份有限公司</t>
        </is>
      </c>
      <c r="F13" s="9" t="inlineStr">
        <is>
          <t>天业集团</t>
        </is>
      </c>
      <c r="G13" s="9" t="inlineStr">
        <is>
          <t>聚氯乙烯（通用 PVC 树脂）</t>
        </is>
      </c>
      <c r="H13" s="9" t="inlineStr">
        <is>
          <t>通用树脂（纯粉）</t>
        </is>
      </c>
      <c r="I13" s="9" t="inlineStr">
        <is>
          <t>电石法（乙炔法）</t>
        </is>
      </c>
      <c r="J13" s="10" t="inlineStr">
        <is>
          <t>电石法</t>
        </is>
      </c>
      <c r="K13" s="9" t="inlineStr">
        <is>
          <t>设计产能</t>
        </is>
      </c>
      <c r="L13" s="11" t="n">
        <v>114</v>
      </c>
      <c r="M13" s="10" t="inlineStr">
        <is>
          <t>年报：年产 114 万吨 PVC 装置 → 114 万吨 PVC 树脂；产能利用率 95.33%</t>
        </is>
      </c>
      <c r="N13" s="9" t="n">
        <v>2025</v>
      </c>
      <c r="O13" s="9" t="n"/>
      <c r="P13" s="9" t="inlineStr">
        <is>
          <t>在产</t>
        </is>
      </c>
      <c r="Q13" s="10" t="inlineStr">
        <is>
          <t>利用率 95.33%</t>
        </is>
      </c>
      <c r="R13" s="9" t="inlineStr">
        <is>
          <t>是</t>
        </is>
      </c>
      <c r="S13" s="9" t="inlineStr">
        <is>
          <t>S02</t>
        </is>
      </c>
      <c r="T13" s="9" t="inlineStr">
        <is>
          <t>A</t>
        </is>
      </c>
      <c r="U13" s="10" t="inlineStr">
        <is>
          <t>新疆天业股份有限公司 2025 年度报告</t>
        </is>
      </c>
      <c r="V13" s="10" t="inlineStr">
        <is>
          <t>https://money.finance.sina.com.cn/corp/view/vCB_AllBulletinDetail.php?stockid=600075&amp;id=12071824</t>
        </is>
      </c>
      <c r="W13" s="9" t="inlineStr">
        <is>
          <t>2026-04-10</t>
        </is>
      </c>
    </row>
    <row r="14">
      <c r="A14" s="12" t="inlineStr">
        <is>
          <t>U-P020-01</t>
        </is>
      </c>
      <c r="B14" s="12" t="inlineStr">
        <is>
          <t>陕西省</t>
        </is>
      </c>
      <c r="C14" s="12" t="inlineStr">
        <is>
          <t>神木市</t>
        </is>
      </c>
      <c r="D14" s="12" t="inlineStr">
        <is>
          <t>锦界园区基地（北元）</t>
        </is>
      </c>
      <c r="E14" s="12" t="inlineStr">
        <is>
          <t>陕西北元化工集团股份有限公司</t>
        </is>
      </c>
      <c r="F14" s="12" t="inlineStr">
        <is>
          <t>北元集团</t>
        </is>
      </c>
      <c r="G14" s="12" t="inlineStr">
        <is>
          <t>聚氯乙烯树脂</t>
        </is>
      </c>
      <c r="H14" s="12" t="inlineStr">
        <is>
          <t>未细分</t>
        </is>
      </c>
      <c r="I14" s="12" t="inlineStr">
        <is>
          <t>电石法（乙炔法）</t>
        </is>
      </c>
      <c r="J14" s="13" t="inlineStr">
        <is>
          <t>乙炔法（电石法）</t>
        </is>
      </c>
      <c r="K14" s="12" t="inlineStr">
        <is>
          <t>设计产能</t>
        </is>
      </c>
      <c r="L14" s="14" t="n">
        <v>110</v>
      </c>
      <c r="M14" s="13" t="inlineStr">
        <is>
          <t>年报：公司现具有 110 万吨/年聚氯乙烯、80 万吨/年离子膜烧碱、220 万吨/年水泥、50 万吨/年电石；产能利用率 123.67%，无在建产能</t>
        </is>
      </c>
      <c r="N14" s="12" t="n">
        <v>2025</v>
      </c>
      <c r="O14" s="12" t="n"/>
      <c r="P14" s="12" t="inlineStr">
        <is>
          <t>在产</t>
        </is>
      </c>
      <c r="Q14" s="13" t="inlineStr">
        <is>
          <t>利用率 123.67%（超产）</t>
        </is>
      </c>
      <c r="R14" s="12" t="inlineStr">
        <is>
          <t>是</t>
        </is>
      </c>
      <c r="S14" s="12" t="inlineStr">
        <is>
          <t>S05</t>
        </is>
      </c>
      <c r="T14" s="12" t="inlineStr">
        <is>
          <t>A</t>
        </is>
      </c>
      <c r="U14" s="13" t="inlineStr">
        <is>
          <t>陕西北元化工集团股份有限公司 2025 年年度报告</t>
        </is>
      </c>
      <c r="V14" s="13" t="inlineStr">
        <is>
          <t>https://static.cninfo.com.cn/finalpage/2026-04-23/1225144565.PDF</t>
        </is>
      </c>
      <c r="W14" s="12" t="inlineStr">
        <is>
          <t>2026-04-23</t>
        </is>
      </c>
    </row>
    <row r="15">
      <c r="A15" s="9" t="inlineStr">
        <is>
          <t>U-P030-01</t>
        </is>
      </c>
      <c r="B15" s="9" t="inlineStr">
        <is>
          <t>内蒙古自治区</t>
        </is>
      </c>
      <c r="C15" s="9" t="inlineStr">
        <is>
          <t>乌海市</t>
        </is>
      </c>
      <c r="D15" s="9" t="inlineStr">
        <is>
          <t>乌达工业园区基地（君正）</t>
        </is>
      </c>
      <c r="E15" s="9" t="inlineStr">
        <is>
          <t>内蒙古君正化工有限责任公司</t>
        </is>
      </c>
      <c r="F15" s="9" t="inlineStr">
        <is>
          <t>君正集团</t>
        </is>
      </c>
      <c r="G15" s="9" t="inlineStr">
        <is>
          <t>聚氯乙烯树脂</t>
        </is>
      </c>
      <c r="H15" s="9" t="inlineStr">
        <is>
          <t>未细分</t>
        </is>
      </c>
      <c r="I15" s="9" t="inlineStr">
        <is>
          <t>电石法（乙炔法）</t>
        </is>
      </c>
      <c r="J15" s="10" t="inlineStr">
        <is>
          <t>年报称「乙炔法聚氯乙烯制备」</t>
        </is>
      </c>
      <c r="K15" s="9" t="inlineStr">
        <is>
          <t>设计产能</t>
        </is>
      </c>
      <c r="L15" s="11" t="n">
        <v>80</v>
      </c>
      <c r="M15" s="10" t="inlineStr">
        <is>
          <t>年报：树脂项目 80 万吨/年，产能利用率 110.74%；电石 238.3 万吨/年</t>
        </is>
      </c>
      <c r="N15" s="9" t="n">
        <v>2025</v>
      </c>
      <c r="O15" s="9" t="n"/>
      <c r="P15" s="9" t="inlineStr">
        <is>
          <t>在产</t>
        </is>
      </c>
      <c r="Q15" s="10" t="inlineStr">
        <is>
          <t>利用率 110.74%</t>
        </is>
      </c>
      <c r="R15" s="9" t="inlineStr">
        <is>
          <t>是</t>
        </is>
      </c>
      <c r="S15" s="9" t="inlineStr">
        <is>
          <t>S06</t>
        </is>
      </c>
      <c r="T15" s="9" t="inlineStr">
        <is>
          <t>A</t>
        </is>
      </c>
      <c r="U15" s="10" t="inlineStr">
        <is>
          <t>内蒙古君正能源化工集团股份有限公司 2025 年年度报告</t>
        </is>
      </c>
      <c r="V15" s="10" t="inlineStr">
        <is>
          <t>https://money.finance.sina.com.cn/corp/view/vCB_AllBulletinDetail.php?stockid=601216&amp;id=12182384</t>
        </is>
      </c>
      <c r="W15" s="9" t="inlineStr">
        <is>
          <t>2026-04-25</t>
        </is>
      </c>
    </row>
    <row r="16">
      <c r="A16" s="12" t="inlineStr">
        <is>
          <t>U-P040-01</t>
        </is>
      </c>
      <c r="B16" s="12" t="inlineStr">
        <is>
          <t>青海省</t>
        </is>
      </c>
      <c r="C16" s="12" t="inlineStr">
        <is>
          <t>西宁市</t>
        </is>
      </c>
      <c r="D16" s="12" t="inlineStr">
        <is>
          <t>青海宜化基地</t>
        </is>
      </c>
      <c r="E16" s="12" t="inlineStr">
        <is>
          <t>青海宜化化工有限责任公司</t>
        </is>
      </c>
      <c r="F16" s="12" t="inlineStr">
        <is>
          <t>宜化集团</t>
        </is>
      </c>
      <c r="G16" s="12" t="inlineStr">
        <is>
          <t>聚氯乙烯树脂</t>
        </is>
      </c>
      <c r="H16" s="12" t="inlineStr">
        <is>
          <t>未细分</t>
        </is>
      </c>
      <c r="I16" s="12" t="inlineStr">
        <is>
          <t>电石法（乙炔法）</t>
        </is>
      </c>
      <c r="J16" s="13" t="inlineStr">
        <is>
          <t>电石法</t>
        </is>
      </c>
      <c r="K16" s="12" t="inlineStr">
        <is>
          <t>核定/批复产能</t>
        </is>
      </c>
      <c r="L16" s="14" t="n">
        <v>30</v>
      </c>
      <c r="M16" s="13" t="inlineStr">
        <is>
          <t>安全生产许可证许可产能：聚氯乙烯 30 万 t/a、氯乙烯 30 万 t/a</t>
        </is>
      </c>
      <c r="N16" s="12" t="n">
        <v>2025</v>
      </c>
      <c r="O16" s="12" t="n"/>
      <c r="P16" s="12" t="inlineStr">
        <is>
          <t>在产</t>
        </is>
      </c>
      <c r="Q16" s="13" t="inlineStr">
        <is>
          <t>许可在有效期内，推定在产</t>
        </is>
      </c>
      <c r="R16" s="12" t="inlineStr">
        <is>
          <t>未知</t>
        </is>
      </c>
      <c r="S16" s="12" t="inlineStr">
        <is>
          <t>S08</t>
        </is>
      </c>
      <c r="T16" s="12" t="inlineStr">
        <is>
          <t>A</t>
        </is>
      </c>
      <c r="U16" s="13" t="inlineStr">
        <is>
          <t>湖北宜化化工股份有限公司 2025 年年度报告</t>
        </is>
      </c>
      <c r="V16" s="13" t="inlineStr">
        <is>
          <t>https://money.finance.sina.com.cn/corp/view/vCB_AllBulletinDetail.php?stockid=000422&amp;id=12190431</t>
        </is>
      </c>
      <c r="W16" s="12" t="inlineStr">
        <is>
          <t>2026-04-14</t>
        </is>
      </c>
    </row>
    <row r="17">
      <c r="A17" s="9" t="inlineStr">
        <is>
          <t>U-P040-02</t>
        </is>
      </c>
      <c r="B17" s="9" t="inlineStr">
        <is>
          <t>青海省</t>
        </is>
      </c>
      <c r="C17" s="9" t="inlineStr">
        <is>
          <t>西宁市</t>
        </is>
      </c>
      <c r="D17" s="9" t="inlineStr">
        <is>
          <t>青海宜化基地</t>
        </is>
      </c>
      <c r="E17" s="9" t="inlineStr">
        <is>
          <t>青海宜化化工有限责任公司</t>
        </is>
      </c>
      <c r="F17" s="9" t="inlineStr">
        <is>
          <t>宜化集团</t>
        </is>
      </c>
      <c r="G17" s="9" t="inlineStr">
        <is>
          <t>聚氯乙烯树脂</t>
        </is>
      </c>
      <c r="H17" s="9" t="inlineStr">
        <is>
          <t>未细分</t>
        </is>
      </c>
      <c r="I17" s="9" t="inlineStr">
        <is>
          <t>电石法（乙炔法）</t>
        </is>
      </c>
      <c r="J17" s="10" t="inlineStr">
        <is>
          <t>电石法</t>
        </is>
      </c>
      <c r="K17" s="9" t="inlineStr">
        <is>
          <t>设计产能</t>
        </is>
      </c>
      <c r="L17" s="11" t="n"/>
      <c r="M17" s="10" t="inlineStr">
        <is>
          <t>湖北宜化合并 90 万吨中归属青海宜化的部分未单独披露（安全许可 30 万 t/a 见 U-P040-01）</t>
        </is>
      </c>
      <c r="N17" s="9" t="n">
        <v>2025</v>
      </c>
      <c r="O17" s="9" t="n"/>
      <c r="P17" s="9" t="inlineStr">
        <is>
          <t>状态未核实</t>
        </is>
      </c>
      <c r="Q17" s="10" t="inlineStr">
        <is>
          <t>2025 年报注：本年度存在部分 PVC 装置关停，具体厂址未披露</t>
        </is>
      </c>
      <c r="R17" s="9" t="inlineStr">
        <is>
          <t>未知</t>
        </is>
      </c>
      <c r="S17" s="9" t="inlineStr">
        <is>
          <t>S08</t>
        </is>
      </c>
      <c r="T17" s="9" t="inlineStr">
        <is>
          <t>A</t>
        </is>
      </c>
      <c r="U17" s="10" t="inlineStr">
        <is>
          <t>湖北宜化化工股份有限公司 2025 年年度报告</t>
        </is>
      </c>
      <c r="V17" s="10" t="inlineStr">
        <is>
          <t>https://money.finance.sina.com.cn/corp/view/vCB_AllBulletinDetail.php?stockid=000422&amp;id=12190431</t>
        </is>
      </c>
      <c r="W17" s="9" t="inlineStr">
        <is>
          <t>2026-04-14</t>
        </is>
      </c>
    </row>
    <row r="18">
      <c r="A18" s="12" t="inlineStr">
        <is>
          <t>U-P041-01</t>
        </is>
      </c>
      <c r="B18" s="12" t="inlineStr">
        <is>
          <t>新疆维吾尔自治区</t>
        </is>
      </c>
      <c r="C18" s="12" t="inlineStr">
        <is>
          <t>准东经济开发区</t>
        </is>
      </c>
      <c r="D18" s="12" t="inlineStr">
        <is>
          <t>准东五彩湾基地（新疆宜化）</t>
        </is>
      </c>
      <c r="E18" s="12" t="inlineStr">
        <is>
          <t>新疆宜化化工有限公司</t>
        </is>
      </c>
      <c r="F18" s="12" t="inlineStr">
        <is>
          <t>宜化集团</t>
        </is>
      </c>
      <c r="G18" s="12" t="inlineStr">
        <is>
          <t>聚氯乙烯树脂</t>
        </is>
      </c>
      <c r="H18" s="12" t="inlineStr">
        <is>
          <t>未细分</t>
        </is>
      </c>
      <c r="I18" s="12" t="inlineStr">
        <is>
          <t>电石法（乙炔法）</t>
        </is>
      </c>
      <c r="J18" s="13" t="inlineStr">
        <is>
          <t>电石法</t>
        </is>
      </c>
      <c r="K18" s="12" t="inlineStr">
        <is>
          <t>核定/批复产能</t>
        </is>
      </c>
      <c r="L18" s="14" t="n">
        <v>30</v>
      </c>
      <c r="M18" s="13" t="inlineStr">
        <is>
          <t>年报：新疆宜化新增主要产品年产能 PVC 30 万吨；安全许可另列 VCM 30 万吨、烧碱 25 万吨</t>
        </is>
      </c>
      <c r="N18" s="12" t="n">
        <v>2025</v>
      </c>
      <c r="O18" s="12" t="n"/>
      <c r="P18" s="12" t="inlineStr">
        <is>
          <t>在产</t>
        </is>
      </c>
      <c r="Q18" s="13" t="inlineStr">
        <is>
          <t>氯碱分厂安全许可未单列「聚氯乙烯」条目，存疑</t>
        </is>
      </c>
      <c r="R18" s="12" t="inlineStr">
        <is>
          <t>是</t>
        </is>
      </c>
      <c r="S18" s="12" t="inlineStr">
        <is>
          <t>S08</t>
        </is>
      </c>
      <c r="T18" s="12" t="inlineStr">
        <is>
          <t>A</t>
        </is>
      </c>
      <c r="U18" s="13" t="inlineStr">
        <is>
          <t>湖北宜化化工股份有限公司 2025 年年度报告</t>
        </is>
      </c>
      <c r="V18" s="13" t="inlineStr">
        <is>
          <t>https://money.finance.sina.com.cn/corp/view/vCB_AllBulletinDetail.php?stockid=000422&amp;id=12190431</t>
        </is>
      </c>
      <c r="W18" s="12" t="inlineStr">
        <is>
          <t>2026-04-14</t>
        </is>
      </c>
    </row>
    <row r="19">
      <c r="A19" s="9" t="inlineStr">
        <is>
          <t>U-P042-01</t>
        </is>
      </c>
      <c r="B19" s="9" t="inlineStr">
        <is>
          <t>内蒙古自治区</t>
        </is>
      </c>
      <c r="C19" s="9" t="inlineStr">
        <is>
          <t>乌海市</t>
        </is>
      </c>
      <c r="D19" s="9" t="inlineStr">
        <is>
          <t>内蒙古宜化基地</t>
        </is>
      </c>
      <c r="E19" s="9" t="inlineStr">
        <is>
          <t>内蒙古宜化化工有限公司</t>
        </is>
      </c>
      <c r="F19" s="9" t="inlineStr">
        <is>
          <t>宜化集团</t>
        </is>
      </c>
      <c r="G19" s="9" t="inlineStr">
        <is>
          <t>聚氯乙烯树脂</t>
        </is>
      </c>
      <c r="H19" s="9" t="inlineStr">
        <is>
          <t>未细分</t>
        </is>
      </c>
      <c r="I19" s="9" t="inlineStr">
        <is>
          <t>工艺未核实</t>
        </is>
      </c>
      <c r="J19" s="10" t="inlineStr">
        <is>
          <t>未核实</t>
        </is>
      </c>
      <c r="K19" s="9" t="inlineStr">
        <is>
          <t>设计产能</t>
        </is>
      </c>
      <c r="L19" s="11" t="n"/>
      <c r="M19" s="10" t="inlineStr">
        <is>
          <t>年报安全许可证未列聚氯乙烯条目（仅列碳化钙 66 万吨、氢氧化钠 30 万吨、氯 18 万吨）；旧资料「40 万吨 PVC」与之冲突，未采信</t>
        </is>
      </c>
      <c r="N19" s="9" t="n">
        <v>2025</v>
      </c>
      <c r="O19" s="9" t="n"/>
      <c r="P19" s="9" t="inlineStr">
        <is>
          <t>状态未核实</t>
        </is>
      </c>
      <c r="Q19" s="10" t="inlineStr">
        <is>
          <t>待核（见数据缺口 G-03）</t>
        </is>
      </c>
      <c r="R19" s="9" t="inlineStr">
        <is>
          <t>未知</t>
        </is>
      </c>
      <c r="S19" s="9" t="inlineStr">
        <is>
          <t>S08</t>
        </is>
      </c>
      <c r="T19" s="9" t="inlineStr">
        <is>
          <t>A</t>
        </is>
      </c>
      <c r="U19" s="10" t="inlineStr">
        <is>
          <t>湖北宜化化工股份有限公司 2025 年年度报告</t>
        </is>
      </c>
      <c r="V19" s="10" t="inlineStr">
        <is>
          <t>https://money.finance.sina.com.cn/corp/view/vCB_AllBulletinDetail.php?stockid=000422&amp;id=12190431</t>
        </is>
      </c>
      <c r="W19" s="9" t="inlineStr">
        <is>
          <t>2026-04-14</t>
        </is>
      </c>
    </row>
    <row r="20">
      <c r="A20" s="12" t="inlineStr">
        <is>
          <t>U-P050-02</t>
        </is>
      </c>
      <c r="B20" s="12" t="inlineStr">
        <is>
          <t>上海市</t>
        </is>
      </c>
      <c r="C20" s="12" t="inlineStr">
        <is>
          <t>上海市</t>
        </is>
      </c>
      <c r="D20" s="12" t="inlineStr">
        <is>
          <t>上海化工区基地（氯碱化工）</t>
        </is>
      </c>
      <c r="E20" s="12" t="inlineStr">
        <is>
          <t>上海氯碱化工股份有限公司</t>
        </is>
      </c>
      <c r="F20" s="12" t="inlineStr">
        <is>
          <t>华谊集团</t>
        </is>
      </c>
      <c r="G20" s="12" t="inlineStr">
        <is>
          <t>特种聚氯乙烯树脂</t>
        </is>
      </c>
      <c r="H20" s="12" t="inlineStr">
        <is>
          <t>特种树脂</t>
        </is>
      </c>
      <c r="I20" s="12" t="inlineStr">
        <is>
          <t>乙烯法</t>
        </is>
      </c>
      <c r="J20" s="13" t="inlineStr">
        <is>
          <t>乙烯法</t>
        </is>
      </c>
      <c r="K20" s="12" t="inlineStr">
        <is>
          <t>设计产能</t>
        </is>
      </c>
      <c r="L20" s="14" t="n">
        <v>8</v>
      </c>
      <c r="M20" s="13" t="inlineStr">
        <is>
          <t>年报产能表：特种聚氯乙烯 8 万吨</t>
        </is>
      </c>
      <c r="N20" s="12" t="n">
        <v>2025</v>
      </c>
      <c r="O20" s="12" t="n"/>
      <c r="P20" s="12" t="inlineStr">
        <is>
          <t>在产</t>
        </is>
      </c>
      <c r="Q20" s="13" t="inlineStr">
        <is>
          <t>利用率约 100%</t>
        </is>
      </c>
      <c r="R20" s="12" t="inlineStr">
        <is>
          <t>否</t>
        </is>
      </c>
      <c r="S20" s="12" t="inlineStr">
        <is>
          <t>S09</t>
        </is>
      </c>
      <c r="T20" s="12" t="inlineStr">
        <is>
          <t>A</t>
        </is>
      </c>
      <c r="U20" s="13" t="inlineStr">
        <is>
          <t>上海氯碱化工股份有限公司 2025 年年度报告</t>
        </is>
      </c>
      <c r="V20" s="13" t="inlineStr">
        <is>
          <t>https://money.finance.sina.com.cn/corp/view/vCB_AllBulletinDetail.php?stockid=600618&amp;id=12116978</t>
        </is>
      </c>
      <c r="W20" s="12" t="inlineStr">
        <is>
          <t>2026-04-14</t>
        </is>
      </c>
    </row>
    <row r="21">
      <c r="A21" s="9" t="inlineStr">
        <is>
          <t>U-P050-01</t>
        </is>
      </c>
      <c r="B21" s="9" t="inlineStr">
        <is>
          <t>上海市</t>
        </is>
      </c>
      <c r="C21" s="9" t="inlineStr">
        <is>
          <t>上海市</t>
        </is>
      </c>
      <c r="D21" s="9" t="inlineStr">
        <is>
          <t>上海化工区基地（氯碱化工）</t>
        </is>
      </c>
      <c r="E21" s="9" t="inlineStr">
        <is>
          <t>上海氯碱化工股份有限公司</t>
        </is>
      </c>
      <c r="F21" s="9" t="inlineStr">
        <is>
          <t>华谊集团</t>
        </is>
      </c>
      <c r="G21" s="9" t="inlineStr">
        <is>
          <t>聚氯乙烯树脂（悬浮法）</t>
        </is>
      </c>
      <c r="H21" s="9" t="inlineStr">
        <is>
          <t>通用树脂（纯粉）</t>
        </is>
      </c>
      <c r="I21" s="9" t="inlineStr">
        <is>
          <t>乙烯法</t>
        </is>
      </c>
      <c r="J21" s="10" t="inlineStr">
        <is>
          <t>乙烯法</t>
        </is>
      </c>
      <c r="K21" s="9" t="inlineStr">
        <is>
          <t>设计产能</t>
        </is>
      </c>
      <c r="L21" s="11" t="n">
        <v>40</v>
      </c>
      <c r="M21" s="10" t="inlineStr">
        <is>
          <t>年报产能表：聚氯乙烯 40 万吨</t>
        </is>
      </c>
      <c r="N21" s="9" t="n">
        <v>2025</v>
      </c>
      <c r="O21" s="9" t="n"/>
      <c r="P21" s="9" t="inlineStr">
        <is>
          <t>在产</t>
        </is>
      </c>
      <c r="Q21" s="10" t="inlineStr">
        <is>
          <t>利用率约 100%</t>
        </is>
      </c>
      <c r="R21" s="9" t="inlineStr">
        <is>
          <t>否</t>
        </is>
      </c>
      <c r="S21" s="9" t="inlineStr">
        <is>
          <t>S09</t>
        </is>
      </c>
      <c r="T21" s="9" t="inlineStr">
        <is>
          <t>A</t>
        </is>
      </c>
      <c r="U21" s="10" t="inlineStr">
        <is>
          <t>上海氯碱化工股份有限公司 2025 年年度报告</t>
        </is>
      </c>
      <c r="V21" s="10" t="inlineStr">
        <is>
          <t>https://money.finance.sina.com.cn/corp/view/vCB_AllBulletinDetail.php?stockid=600618&amp;id=12116978</t>
        </is>
      </c>
      <c r="W21" s="9" t="inlineStr">
        <is>
          <t>2026-04-14</t>
        </is>
      </c>
    </row>
    <row r="22">
      <c r="A22" s="12" t="inlineStr">
        <is>
          <t>U-P051-01</t>
        </is>
      </c>
      <c r="B22" s="12" t="inlineStr">
        <is>
          <t>广西壮族自治区</t>
        </is>
      </c>
      <c r="C22" s="12" t="inlineStr">
        <is>
          <t>钦州市</t>
        </is>
      </c>
      <c r="D22" s="12" t="inlineStr">
        <is>
          <t>钦州基地（广西氯碱）</t>
        </is>
      </c>
      <c r="E22" s="12" t="inlineStr">
        <is>
          <t>广西华谊氯碱化工有限公司</t>
        </is>
      </c>
      <c r="F22" s="12" t="inlineStr">
        <is>
          <t>华谊集团</t>
        </is>
      </c>
      <c r="G22" s="12" t="inlineStr">
        <is>
          <t>聚氯乙烯树脂</t>
        </is>
      </c>
      <c r="H22" s="12" t="inlineStr">
        <is>
          <t>未细分</t>
        </is>
      </c>
      <c r="I22" s="12" t="inlineStr">
        <is>
          <t>乙烯法</t>
        </is>
      </c>
      <c r="J22" s="13" t="inlineStr">
        <is>
          <t>乙烯法，配 5 万 m³ 低温乙烯储罐</t>
        </is>
      </c>
      <c r="K22" s="12" t="inlineStr">
        <is>
          <t>设计产能</t>
        </is>
      </c>
      <c r="L22" s="14" t="n">
        <v>40</v>
      </c>
      <c r="M22" s="13" t="inlineStr">
        <is>
          <t>广西钦州 30 万吨/年烧碱、40 万吨/年聚氯乙烯项目，2019 年投资建设；2022-11-30 首批产品下线</t>
        </is>
      </c>
      <c r="N22" s="12" t="n">
        <v>2024</v>
      </c>
      <c r="O22" s="12" t="n">
        <v>2022</v>
      </c>
      <c r="P22" s="12" t="inlineStr">
        <is>
          <t>在产</t>
        </is>
      </c>
      <c r="Q22" s="13" t="inlineStr">
        <is>
          <t>已投产</t>
        </is>
      </c>
      <c r="R22" s="12" t="inlineStr">
        <is>
          <t>否</t>
        </is>
      </c>
      <c r="S22" s="12" t="inlineStr">
        <is>
          <t>S10</t>
        </is>
      </c>
      <c r="T22" s="12" t="inlineStr">
        <is>
          <t>B</t>
        </is>
      </c>
      <c r="U22" s="13" t="inlineStr">
        <is>
          <t>氯碱化工拟 6.85 亿收购广西氯碱 40% 股权</t>
        </is>
      </c>
      <c r="V22" s="13" t="inlineStr">
        <is>
          <t>https://www.stcn.com/article/detail/1213318.html</t>
        </is>
      </c>
      <c r="W22" s="12" t="inlineStr">
        <is>
          <t>2024-05-23</t>
        </is>
      </c>
    </row>
    <row r="23">
      <c r="A23" s="9" t="inlineStr">
        <is>
          <t>U-P060-01</t>
        </is>
      </c>
      <c r="B23" s="9" t="inlineStr">
        <is>
          <t>内蒙古自治区</t>
        </is>
      </c>
      <c r="C23" s="9" t="inlineStr">
        <is>
          <t>阿拉善盟</t>
        </is>
      </c>
      <c r="D23" s="9" t="inlineStr">
        <is>
          <t>吉兰泰基地（中盐吉兰泰）</t>
        </is>
      </c>
      <c r="E23" s="9" t="inlineStr">
        <is>
          <t>中盐吉兰泰氯碱化工有限公司</t>
        </is>
      </c>
      <c r="F23" s="9" t="inlineStr">
        <is>
          <t>中盐化工</t>
        </is>
      </c>
      <c r="G23" s="9" t="inlineStr">
        <is>
          <t>聚氯乙烯树脂</t>
        </is>
      </c>
      <c r="H23" s="9" t="inlineStr">
        <is>
          <t>未细分</t>
        </is>
      </c>
      <c r="I23" s="9" t="inlineStr">
        <is>
          <t>电石法（乙炔法）</t>
        </is>
      </c>
      <c r="J23" s="10" t="inlineStr">
        <is>
          <t>电石法</t>
        </is>
      </c>
      <c r="K23" s="9" t="inlineStr">
        <is>
          <t>设计产能</t>
        </is>
      </c>
      <c r="L23" s="11" t="n">
        <v>40</v>
      </c>
      <c r="M23" s="10" t="inlineStr">
        <is>
          <t>中盐内蒙古化工 2025 年报：树脂 40 万吨 + 糊树脂 24 万吨，产能利用率 106.08%（电石法，自备电石）。本行为树脂 40 万吨部分。</t>
        </is>
      </c>
      <c r="N23" s="9" t="n">
        <v>2025</v>
      </c>
      <c r="O23" s="9" t="n">
        <v>2011</v>
      </c>
      <c r="P23" s="9" t="inlineStr">
        <is>
          <t>在产</t>
        </is>
      </c>
      <c r="Q23" s="10" t="inlineStr">
        <is>
          <t>利用率 106.08%</t>
        </is>
      </c>
      <c r="R23" s="9" t="inlineStr">
        <is>
          <t>是</t>
        </is>
      </c>
      <c r="S23" s="9" t="inlineStr">
        <is>
          <t>S11</t>
        </is>
      </c>
      <c r="T23" s="9" t="inlineStr">
        <is>
          <t>A</t>
        </is>
      </c>
      <c r="U23" s="10" t="inlineStr">
        <is>
          <t>中盐内蒙古化工股份有限公司 2025 年年度报告摘要</t>
        </is>
      </c>
      <c r="V23" s="10" t="inlineStr">
        <is>
          <t>http://xinpi.zqrb.cn/pdf/SH/600328/2026/0430/7f22920af9a2cf45f8a2b1b4f84933e7df.pdf</t>
        </is>
      </c>
      <c r="W23" s="9" t="inlineStr">
        <is>
          <t>2026-04-30</t>
        </is>
      </c>
    </row>
    <row r="24">
      <c r="A24" s="12" t="inlineStr">
        <is>
          <t>U-P060-02</t>
        </is>
      </c>
      <c r="B24" s="12" t="inlineStr">
        <is>
          <t>内蒙古自治区</t>
        </is>
      </c>
      <c r="C24" s="12" t="inlineStr">
        <is>
          <t>阿拉善盟</t>
        </is>
      </c>
      <c r="D24" s="12" t="inlineStr">
        <is>
          <t>吉兰泰基地（中盐吉兰泰）</t>
        </is>
      </c>
      <c r="E24" s="12" t="inlineStr">
        <is>
          <t>中盐吉兰泰氯碱化工有限公司</t>
        </is>
      </c>
      <c r="F24" s="12" t="inlineStr">
        <is>
          <t>中盐化工</t>
        </is>
      </c>
      <c r="G24" s="12" t="inlineStr">
        <is>
          <t>聚氯乙烯糊树脂（EPVC）</t>
        </is>
      </c>
      <c r="H24" s="12" t="inlineStr">
        <is>
          <t>糊树脂</t>
        </is>
      </c>
      <c r="I24" s="12" t="inlineStr">
        <is>
          <t>电石法（乙炔法）</t>
        </is>
      </c>
      <c r="J24" s="13" t="inlineStr">
        <is>
          <t>电石法</t>
        </is>
      </c>
      <c r="K24" s="12" t="inlineStr">
        <is>
          <t>设计产能</t>
        </is>
      </c>
      <c r="L24" s="14" t="n">
        <v>24</v>
      </c>
      <c r="M24" s="13" t="inlineStr">
        <is>
          <t>中盐内蒙古化工 2025 年报：糊树脂 24 万吨（与树脂 40 万吨分列）</t>
        </is>
      </c>
      <c r="N24" s="12" t="n">
        <v>2025</v>
      </c>
      <c r="O24" s="12" t="n"/>
      <c r="P24" s="12" t="inlineStr">
        <is>
          <t>在产</t>
        </is>
      </c>
      <c r="Q24" s="13" t="inlineStr">
        <is>
          <t>利用率 106.08%（合并口径）</t>
        </is>
      </c>
      <c r="R24" s="12" t="inlineStr">
        <is>
          <t>是</t>
        </is>
      </c>
      <c r="S24" s="12" t="inlineStr">
        <is>
          <t>S11</t>
        </is>
      </c>
      <c r="T24" s="12" t="inlineStr">
        <is>
          <t>A</t>
        </is>
      </c>
      <c r="U24" s="13" t="inlineStr">
        <is>
          <t>中盐内蒙古化工股份有限公司 2025 年年度报告摘要</t>
        </is>
      </c>
      <c r="V24" s="13" t="inlineStr">
        <is>
          <t>http://xinpi.zqrb.cn/pdf/SH/600328/2026/0430/7f22920af9a2cf45f8a2b1b4f84933e7df.pdf</t>
        </is>
      </c>
      <c r="W24" s="12" t="inlineStr">
        <is>
          <t>2026-04-30</t>
        </is>
      </c>
    </row>
    <row r="25">
      <c r="A25" s="9" t="inlineStr">
        <is>
          <t>U-P070-01</t>
        </is>
      </c>
      <c r="B25" s="9" t="inlineStr">
        <is>
          <t>宁夏回族自治区</t>
        </is>
      </c>
      <c r="C25" s="9" t="inlineStr">
        <is>
          <t>石嘴山市</t>
        </is>
      </c>
      <c r="D25" s="9" t="inlineStr">
        <is>
          <t>惠农基地（英力特）</t>
        </is>
      </c>
      <c r="E25" s="9" t="inlineStr">
        <is>
          <t>宁夏英力特化工股份有限公司</t>
        </is>
      </c>
      <c r="F25" s="9" t="inlineStr">
        <is>
          <t>英力特</t>
        </is>
      </c>
      <c r="G25" s="9" t="inlineStr">
        <is>
          <t>聚氯乙烯树脂</t>
        </is>
      </c>
      <c r="H25" s="9" t="inlineStr">
        <is>
          <t>通用树脂（纯粉）</t>
        </is>
      </c>
      <c r="I25" s="9" t="inlineStr">
        <is>
          <t>电石法（乙炔法）</t>
        </is>
      </c>
      <c r="J25" s="10" t="inlineStr">
        <is>
          <t>电石法</t>
        </is>
      </c>
      <c r="K25" s="9" t="inlineStr">
        <is>
          <t>设计产能</t>
        </is>
      </c>
      <c r="L25" s="11" t="n">
        <v>22</v>
      </c>
      <c r="M25" s="10" t="inlineStr">
        <is>
          <t>官网：年产电石 40 万吨、聚氯乙烯 26 万吨（含糊树脂 4 万吨）、烧碱 19 万吨 ⇒ 纯粉 22 万吨</t>
        </is>
      </c>
      <c r="N25" s="9" t="n">
        <v>2025</v>
      </c>
      <c r="O25" s="9" t="n"/>
      <c r="P25" s="9" t="inlineStr">
        <is>
          <t>长期停车</t>
        </is>
      </c>
      <c r="Q25" s="10" t="inlineStr">
        <is>
          <t>2026-09-22 公告：氯碱运行部生产线（PVC）+ 部分电石装置临时停产，理由为 PVC 价格不及预期；已连亏四年。年报口径仍为 22 万吨。</t>
        </is>
      </c>
      <c r="R25" s="9" t="inlineStr">
        <is>
          <t>是</t>
        </is>
      </c>
      <c r="S25" s="9" t="inlineStr">
        <is>
          <t>S13</t>
        </is>
      </c>
      <c r="T25" s="9" t="inlineStr">
        <is>
          <t>A</t>
        </is>
      </c>
      <c r="U25" s="10" t="inlineStr">
        <is>
          <t>宁夏英力特化工股份有限公司 公司简介</t>
        </is>
      </c>
      <c r="V25" s="10" t="inlineStr">
        <is>
          <t>http://ylthg.chnenergy.com.cn/nxyltww/gsjj/listcontent.shtml</t>
        </is>
      </c>
      <c r="W25" s="9" t="inlineStr">
        <is>
          <t>2025</t>
        </is>
      </c>
    </row>
    <row r="26">
      <c r="A26" s="12" t="inlineStr">
        <is>
          <t>U-P070-02</t>
        </is>
      </c>
      <c r="B26" s="12" t="inlineStr">
        <is>
          <t>宁夏回族自治区</t>
        </is>
      </c>
      <c r="C26" s="12" t="inlineStr">
        <is>
          <t>石嘴山市</t>
        </is>
      </c>
      <c r="D26" s="12" t="inlineStr">
        <is>
          <t>惠农基地（英力特）</t>
        </is>
      </c>
      <c r="E26" s="12" t="inlineStr">
        <is>
          <t>宁夏英力特化工股份有限公司</t>
        </is>
      </c>
      <c r="F26" s="12" t="inlineStr">
        <is>
          <t>英力特</t>
        </is>
      </c>
      <c r="G26" s="12" t="inlineStr">
        <is>
          <t>聚氯乙烯糊树脂（EPVC）</t>
        </is>
      </c>
      <c r="H26" s="12" t="inlineStr">
        <is>
          <t>糊树脂</t>
        </is>
      </c>
      <c r="I26" s="12" t="inlineStr">
        <is>
          <t>电石法（乙炔法）</t>
        </is>
      </c>
      <c r="J26" s="13" t="inlineStr">
        <is>
          <t>电石法</t>
        </is>
      </c>
      <c r="K26" s="12" t="inlineStr">
        <is>
          <t>设计产能</t>
        </is>
      </c>
      <c r="L26" s="14" t="n">
        <v>4</v>
      </c>
      <c r="M26" s="13" t="inlineStr">
        <is>
          <t>同上，26 万吨中含糊树脂 4 万吨</t>
        </is>
      </c>
      <c r="N26" s="12" t="n">
        <v>2025</v>
      </c>
      <c r="O26" s="12" t="n"/>
      <c r="P26" s="12" t="inlineStr">
        <is>
          <t>长期停车</t>
        </is>
      </c>
      <c r="Q26" s="13" t="inlineStr">
        <is>
          <t>同上</t>
        </is>
      </c>
      <c r="R26" s="12" t="inlineStr">
        <is>
          <t>是</t>
        </is>
      </c>
      <c r="S26" s="12" t="inlineStr">
        <is>
          <t>S13</t>
        </is>
      </c>
      <c r="T26" s="12" t="inlineStr">
        <is>
          <t>A</t>
        </is>
      </c>
      <c r="U26" s="13" t="inlineStr">
        <is>
          <t>宁夏英力特化工股份有限公司 公司简介</t>
        </is>
      </c>
      <c r="V26" s="13" t="inlineStr">
        <is>
          <t>http://ylthg.chnenergy.com.cn/nxyltww/gsjj/listcontent.shtml</t>
        </is>
      </c>
      <c r="W26" s="12" t="inlineStr">
        <is>
          <t>2025</t>
        </is>
      </c>
    </row>
    <row r="27">
      <c r="A27" s="9" t="inlineStr">
        <is>
          <t>U-P080-02</t>
        </is>
      </c>
      <c r="B27" s="9" t="inlineStr">
        <is>
          <t>河北省</t>
        </is>
      </c>
      <c r="C27" s="9" t="inlineStr">
        <is>
          <t>唐山市</t>
        </is>
      </c>
      <c r="D27" s="9" t="inlineStr">
        <is>
          <t>南堡基地（三友氯碱）</t>
        </is>
      </c>
      <c r="E27" s="9" t="inlineStr">
        <is>
          <t>唐山三友氯碱有限责任公司</t>
        </is>
      </c>
      <c r="F27" s="9" t="inlineStr">
        <is>
          <t>三友化工</t>
        </is>
      </c>
      <c r="G27" s="9" t="inlineStr">
        <is>
          <t>聚氯乙烯专用树脂</t>
        </is>
      </c>
      <c r="H27" s="9" t="inlineStr">
        <is>
          <t>专用料</t>
        </is>
      </c>
      <c r="I27" s="9" t="inlineStr">
        <is>
          <t>电石法（乙炔法）</t>
        </is>
      </c>
      <c r="J27" s="10" t="inlineStr">
        <is>
          <t>电石法</t>
        </is>
      </c>
      <c r="K27" s="9" t="inlineStr">
        <is>
          <t>设计产能</t>
        </is>
      </c>
      <c r="L27" s="11" t="n">
        <v>7</v>
      </c>
      <c r="M27" s="10" t="inlineStr">
        <is>
          <t>三友氯碱：7 万吨聚氯乙烯专用树脂生产线</t>
        </is>
      </c>
      <c r="N27" s="9" t="n">
        <v>2026</v>
      </c>
      <c r="O27" s="9" t="n"/>
      <c r="P27" s="9" t="inlineStr">
        <is>
          <t>在产</t>
        </is>
      </c>
      <c r="Q27" s="10" t="inlineStr">
        <is>
          <t>产能利用率 80.00%（2025 年报，合并口径）</t>
        </is>
      </c>
      <c r="R27" s="9" t="inlineStr">
        <is>
          <t>未知</t>
        </is>
      </c>
      <c r="S27" s="9" t="inlineStr">
        <is>
          <t>S15</t>
        </is>
      </c>
      <c r="T27" s="9" t="inlineStr">
        <is>
          <t>A</t>
        </is>
      </c>
      <c r="U27" s="10" t="inlineStr">
        <is>
          <t>唐山三友化工股份有限公司主体长期信用评级报告</t>
        </is>
      </c>
      <c r="V27" s="10" t="inlineStr">
        <is>
          <t>https://www.lhratings.com/uploads/file/20261016/g39fff68a7e.pdf</t>
        </is>
      </c>
      <c r="W27" s="9" t="inlineStr">
        <is>
          <t>2026-10-16</t>
        </is>
      </c>
    </row>
    <row r="28">
      <c r="A28" s="12" t="inlineStr">
        <is>
          <t>U-P080-01</t>
        </is>
      </c>
      <c r="B28" s="12" t="inlineStr">
        <is>
          <t>河北省</t>
        </is>
      </c>
      <c r="C28" s="12" t="inlineStr">
        <is>
          <t>唐山市</t>
        </is>
      </c>
      <c r="D28" s="12" t="inlineStr">
        <is>
          <t>南堡基地（三友氯碱）</t>
        </is>
      </c>
      <c r="E28" s="12" t="inlineStr">
        <is>
          <t>唐山三友氯碱有限责任公司</t>
        </is>
      </c>
      <c r="F28" s="12" t="inlineStr">
        <is>
          <t>三友化工</t>
        </is>
      </c>
      <c r="G28" s="12" t="inlineStr">
        <is>
          <t>聚氯乙烯树脂</t>
        </is>
      </c>
      <c r="H28" s="12" t="inlineStr">
        <is>
          <t>通用树脂（纯粉）</t>
        </is>
      </c>
      <c r="I28" s="12" t="inlineStr">
        <is>
          <t>电石法（乙炔法）</t>
        </is>
      </c>
      <c r="J28" s="13" t="inlineStr">
        <is>
          <t>官网标「电石法」，品种 SG3/SG5/SG8/2500</t>
        </is>
      </c>
      <c r="K28" s="12" t="inlineStr">
        <is>
          <t>设计产能</t>
        </is>
      </c>
      <c r="L28" s="14" t="n">
        <v>40</v>
      </c>
      <c r="M28" s="13" t="inlineStr">
        <is>
          <t>三友氯碱：40 万吨聚氯乙烯树脂生产线；评级报告合计 52.5 万吨 PVC（含 7 万吨专用树脂及 5.5 万吨其他）</t>
        </is>
      </c>
      <c r="N28" s="12" t="n">
        <v>2026</v>
      </c>
      <c r="O28" s="12" t="n"/>
      <c r="P28" s="12" t="inlineStr">
        <is>
          <t>在产</t>
        </is>
      </c>
      <c r="Q28" s="13" t="inlineStr">
        <is>
          <t>产能利用率 80.00%（2025 年报）</t>
        </is>
      </c>
      <c r="R28" s="12" t="inlineStr">
        <is>
          <t>未知</t>
        </is>
      </c>
      <c r="S28" s="12" t="inlineStr">
        <is>
          <t>S15</t>
        </is>
      </c>
      <c r="T28" s="12" t="inlineStr">
        <is>
          <t>A</t>
        </is>
      </c>
      <c r="U28" s="13" t="inlineStr">
        <is>
          <t>唐山三友化工股份有限公司主体长期信用评级报告</t>
        </is>
      </c>
      <c r="V28" s="13" t="inlineStr">
        <is>
          <t>https://www.lhratings.com/uploads/file/20261016/g39fff68a7e.pdf</t>
        </is>
      </c>
      <c r="W28" s="12" t="inlineStr">
        <is>
          <t>2026-10-16</t>
        </is>
      </c>
    </row>
    <row r="29">
      <c r="A29" s="9" t="inlineStr">
        <is>
          <t>U-P090-01</t>
        </is>
      </c>
      <c r="B29" s="9" t="inlineStr">
        <is>
          <t>安徽省</t>
        </is>
      </c>
      <c r="C29" s="9" t="inlineStr">
        <is>
          <t>滁州市</t>
        </is>
      </c>
      <c r="D29" s="9" t="inlineStr">
        <is>
          <t>定远基地（华塑）</t>
        </is>
      </c>
      <c r="E29" s="9" t="inlineStr">
        <is>
          <t>安徽华塑股份有限公司</t>
        </is>
      </c>
      <c r="F29" s="9" t="inlineStr">
        <is>
          <t>华塑股份</t>
        </is>
      </c>
      <c r="G29" s="9" t="inlineStr">
        <is>
          <t>聚氯乙烯树脂</t>
        </is>
      </c>
      <c r="H29" s="9" t="inlineStr">
        <is>
          <t>未细分</t>
        </is>
      </c>
      <c r="I29" s="9" t="inlineStr">
        <is>
          <t>电石法（乙炔法）</t>
        </is>
      </c>
      <c r="J29" s="10" t="inlineStr">
        <is>
          <t>电石法，一体化（原盐/灰岩—电石—PVC）</t>
        </is>
      </c>
      <c r="K29" s="9" t="inlineStr">
        <is>
          <t>设计产能</t>
        </is>
      </c>
      <c r="L29" s="11" t="n">
        <v>64</v>
      </c>
      <c r="M29" s="10" t="inlineStr">
        <is>
          <t>2026 半年报：公司现有 PVC 产能 64 万吨/年、烧碱产能 48 万吨/年</t>
        </is>
      </c>
      <c r="N29" s="9" t="n">
        <v>2026</v>
      </c>
      <c r="O29" s="9" t="n"/>
      <c r="P29" s="9" t="inlineStr">
        <is>
          <t>在产</t>
        </is>
      </c>
      <c r="Q29" s="10" t="inlineStr">
        <is>
          <t>产能利用率 90.63%（2025 年报）</t>
        </is>
      </c>
      <c r="R29" s="9" t="inlineStr">
        <is>
          <t>是</t>
        </is>
      </c>
      <c r="S29" s="9" t="inlineStr">
        <is>
          <t>S18</t>
        </is>
      </c>
      <c r="T29" s="9" t="inlineStr">
        <is>
          <t>A</t>
        </is>
      </c>
      <c r="U29" s="10" t="inlineStr">
        <is>
          <t>安徽华塑股份有限公司 2026 年半年度报告</t>
        </is>
      </c>
      <c r="V29" s="10" t="inlineStr">
        <is>
          <t>https://stockmc.xueqiu.com/202608/600935_20260826_Q61P.pdf</t>
        </is>
      </c>
      <c r="W29" s="9" t="inlineStr">
        <is>
          <t>2026-08-26</t>
        </is>
      </c>
    </row>
    <row r="30">
      <c r="A30" s="12" t="inlineStr">
        <is>
          <t>U-P100-01</t>
        </is>
      </c>
      <c r="B30" s="12" t="inlineStr">
        <is>
          <t>天津市</t>
        </is>
      </c>
      <c r="C30" s="12" t="inlineStr">
        <is>
          <t>天津市</t>
        </is>
      </c>
      <c r="D30" s="12" t="inlineStr">
        <is>
          <t>临港基地（大沽化工）</t>
        </is>
      </c>
      <c r="E30" s="12" t="inlineStr">
        <is>
          <t>天津大沽化工股份有限公司</t>
        </is>
      </c>
      <c r="F30" s="12" t="inlineStr">
        <is>
          <t>渤化集团</t>
        </is>
      </c>
      <c r="G30" s="12" t="inlineStr">
        <is>
          <t>聚氯乙烯树脂（悬浮法，一期）</t>
        </is>
      </c>
      <c r="H30" s="12" t="inlineStr">
        <is>
          <t>未细分</t>
        </is>
      </c>
      <c r="I30" s="12" t="inlineStr">
        <is>
          <t>乙烯法</t>
        </is>
      </c>
      <c r="J30" s="13" t="inlineStr">
        <is>
          <t>由电石法改为乙烯法（两化搬迁 + 工艺革新）</t>
        </is>
      </c>
      <c r="K30" s="12" t="inlineStr">
        <is>
          <t>设计产能</t>
        </is>
      </c>
      <c r="L30" s="14" t="n">
        <v>40</v>
      </c>
      <c r="M30" s="13" t="inlineStr">
        <is>
          <t>渤化集团官网：PVC 80 万吨（60 万吨/年离子膜烧碱 + 80 万吨/年 PVC 项目）。此处 40 万吨为一期口径（2021-12 试车投产）；二期 40 万吨见 U-P100-02（2025-09-28 全面投产）。两者合计 120 万吨 = 渤化集团 PVC 总产能。2022 年起不再采购电石 ⇒ 乙烯法。</t>
        </is>
      </c>
      <c r="N30" s="12" t="n">
        <v>2021</v>
      </c>
      <c r="O30" s="12" t="n">
        <v>2021</v>
      </c>
      <c r="P30" s="12" t="inlineStr">
        <is>
          <t>在产</t>
        </is>
      </c>
      <c r="Q30" s="13" t="inlineStr">
        <is>
          <t>2021-12 试车投产 ｜ 塘沽老厂区 2022 年关停，主体迁天津南港工业区</t>
        </is>
      </c>
      <c r="R30" s="12" t="inlineStr">
        <is>
          <t>否</t>
        </is>
      </c>
      <c r="S30" s="12" t="inlineStr">
        <is>
          <t>S19</t>
        </is>
      </c>
      <c r="T30" s="12" t="inlineStr">
        <is>
          <t>A</t>
        </is>
      </c>
      <c r="U30" s="13" t="inlineStr">
        <is>
          <t>天津渤海化工集团 氯碱化工 产品与服务</t>
        </is>
      </c>
      <c r="V30" s="13" t="inlineStr">
        <is>
          <t>https://www.bcig.cn/cpfw/6991255165038759936.html</t>
        </is>
      </c>
      <c r="W30" s="12" t="inlineStr">
        <is>
          <t>2025</t>
        </is>
      </c>
    </row>
    <row r="31">
      <c r="A31" s="9" t="inlineStr">
        <is>
          <t>U-P100-02</t>
        </is>
      </c>
      <c r="B31" s="9" t="inlineStr">
        <is>
          <t>天津市</t>
        </is>
      </c>
      <c r="C31" s="9" t="inlineStr">
        <is>
          <t>天津市</t>
        </is>
      </c>
      <c r="D31" s="9" t="inlineStr">
        <is>
          <t>临港基地（大沽化工）</t>
        </is>
      </c>
      <c r="E31" s="9" t="inlineStr">
        <is>
          <t>天津大沽化工股份有限公司</t>
        </is>
      </c>
      <c r="F31" s="9" t="inlineStr">
        <is>
          <t>渤化集团</t>
        </is>
      </c>
      <c r="G31" s="9" t="inlineStr">
        <is>
          <t>聚氯乙烯树脂（悬浮法，二期）</t>
        </is>
      </c>
      <c r="H31" s="9" t="inlineStr">
        <is>
          <t>未细分</t>
        </is>
      </c>
      <c r="I31" s="9" t="inlineStr">
        <is>
          <t>乙烯法</t>
        </is>
      </c>
      <c r="J31" s="10" t="inlineStr">
        <is>
          <t>乙烯法，替代原电石法产能</t>
        </is>
      </c>
      <c r="K31" s="9" t="inlineStr">
        <is>
          <t>设计产能</t>
        </is>
      </c>
      <c r="L31" s="11" t="n">
        <v>40</v>
      </c>
      <c r="M31" s="10" t="inlineStr">
        <is>
          <t>PVC 二期 40 万吨，2025-09-28 全面投产，乙烯法替代原电石法；投产后渤化 PVC 总产能 120 万吨</t>
        </is>
      </c>
      <c r="N31" s="9" t="n">
        <v>2025</v>
      </c>
      <c r="O31" s="9" t="n">
        <v>2025</v>
      </c>
      <c r="P31" s="9" t="inlineStr">
        <is>
          <t>在产</t>
        </is>
      </c>
      <c r="Q31" s="10" t="inlineStr">
        <is>
          <t>2025-09-28 全面投产 ｜ 塘沽老厂区 2022 年关停，主体迁天津南港工业区</t>
        </is>
      </c>
      <c r="R31" s="9" t="inlineStr">
        <is>
          <t>否</t>
        </is>
      </c>
      <c r="S31" s="9" t="inlineStr">
        <is>
          <t>S67</t>
        </is>
      </c>
      <c r="T31" s="9" t="inlineStr">
        <is>
          <t>B</t>
        </is>
      </c>
      <c r="U31" s="10" t="inlineStr">
        <is>
          <t>天津渤海化工集团 PVC 二期 40 万吨 2025-09-28 全面投产（PVC 总产能 120 万吨，乙烯法替代电石法）</t>
        </is>
      </c>
      <c r="V31" s="10" t="inlineStr"/>
      <c r="W31" s="9" t="inlineStr">
        <is>
          <t>2025-09-28</t>
        </is>
      </c>
    </row>
    <row r="32">
      <c r="A32" s="12" t="inlineStr">
        <is>
          <t>U-P110-02</t>
        </is>
      </c>
      <c r="B32" s="12" t="inlineStr">
        <is>
          <t>山东省</t>
        </is>
      </c>
      <c r="C32" s="12" t="inlineStr">
        <is>
          <t>青岛市</t>
        </is>
      </c>
      <c r="D32" s="12" t="inlineStr">
        <is>
          <t>董家口基地（海湾化学）</t>
        </is>
      </c>
      <c r="E32" s="12" t="inlineStr">
        <is>
          <t>青岛海湾化学股份有限公司</t>
        </is>
      </c>
      <c r="F32" s="12" t="inlineStr">
        <is>
          <t>海湾集团</t>
        </is>
      </c>
      <c r="G32" s="12" t="inlineStr">
        <is>
          <t>聚氯乙烯树脂（2025 年新增线）</t>
        </is>
      </c>
      <c r="H32" s="12" t="inlineStr">
        <is>
          <t>未细分</t>
        </is>
      </c>
      <c r="I32" s="12" t="inlineStr">
        <is>
          <t>乙烯法</t>
        </is>
      </c>
      <c r="J32" s="13" t="inlineStr">
        <is>
          <t>乙烯法</t>
        </is>
      </c>
      <c r="K32" s="12" t="inlineStr">
        <is>
          <t>设计产能</t>
        </is>
      </c>
      <c r="L32" s="14" t="n">
        <v>20</v>
      </c>
      <c r="M32" s="13" t="inlineStr">
        <is>
          <t>青岛海湾化学 2025 年 8—9 月试车的 20 万吨新增产能；现有 85 万吨见 U-P110-01</t>
        </is>
      </c>
      <c r="N32" s="12" t="n">
        <v>2025</v>
      </c>
      <c r="O32" s="12" t="n">
        <v>2025</v>
      </c>
      <c r="P32" s="12" t="inlineStr">
        <is>
          <t>在产</t>
        </is>
      </c>
      <c r="Q32" s="13" t="inlineStr">
        <is>
          <t>2025-08 起试车</t>
        </is>
      </c>
      <c r="R32" s="12" t="inlineStr">
        <is>
          <t>否</t>
        </is>
      </c>
      <c r="S32" s="12" t="inlineStr">
        <is>
          <t>S22</t>
        </is>
      </c>
      <c r="T32" s="12" t="inlineStr">
        <is>
          <t>B</t>
        </is>
      </c>
      <c r="U32" s="13" t="inlineStr">
        <is>
          <t>青岛海湾化学撤回沪主板 IPO 原计划募资 30 亿元</t>
        </is>
      </c>
      <c r="V32" s="13" t="inlineStr">
        <is>
          <t>https://www.stcn.com/article/detail/2185695.html</t>
        </is>
      </c>
      <c r="W32" s="12" t="inlineStr">
        <is>
          <t>2024</t>
        </is>
      </c>
    </row>
    <row r="33">
      <c r="A33" s="9" t="inlineStr">
        <is>
          <t>U-P110-01</t>
        </is>
      </c>
      <c r="B33" s="9" t="inlineStr">
        <is>
          <t>山东省</t>
        </is>
      </c>
      <c r="C33" s="9" t="inlineStr">
        <is>
          <t>青岛市</t>
        </is>
      </c>
      <c r="D33" s="9" t="inlineStr">
        <is>
          <t>董家口基地（海湾化学）</t>
        </is>
      </c>
      <c r="E33" s="9" t="inlineStr">
        <is>
          <t>青岛海湾化学股份有限公司</t>
        </is>
      </c>
      <c r="F33" s="9" t="inlineStr">
        <is>
          <t>海湾集团</t>
        </is>
      </c>
      <c r="G33" s="9" t="inlineStr">
        <is>
          <t>聚氯乙烯树脂（乙烯法）</t>
        </is>
      </c>
      <c r="H33" s="9" t="inlineStr">
        <is>
          <t>未细分</t>
        </is>
      </c>
      <c r="I33" s="9" t="inlineStr">
        <is>
          <t>乙烯法</t>
        </is>
      </c>
      <c r="J33" s="10" t="inlineStr">
        <is>
          <t>英国英力士乙烯法技术</t>
        </is>
      </c>
      <c r="K33" s="9" t="inlineStr">
        <is>
          <t>设计产能</t>
        </is>
      </c>
      <c r="L33" s="11" t="n">
        <v>85</v>
      </c>
      <c r="M33" s="10" t="inlineStr">
        <is>
          <t>证券时报：已建成投产 85 万吨/年乙烯法 PVC、55.5 万吨/年烧碱；招股书口径 2021 年为 70 万吨/年</t>
        </is>
      </c>
      <c r="N33" s="9" t="n">
        <v>2025</v>
      </c>
      <c r="O33" s="9" t="n">
        <v>2020</v>
      </c>
      <c r="P33" s="9" t="inlineStr">
        <is>
          <t>在产</t>
        </is>
      </c>
      <c r="Q33" s="10" t="inlineStr">
        <is>
          <t>PVC 二期与烧碱二期 2020 年底投产；2025 年 8—9 月新增 20 万吨试车</t>
        </is>
      </c>
      <c r="R33" s="9" t="inlineStr">
        <is>
          <t>否</t>
        </is>
      </c>
      <c r="S33" s="9" t="inlineStr">
        <is>
          <t>S22</t>
        </is>
      </c>
      <c r="T33" s="9" t="inlineStr">
        <is>
          <t>B</t>
        </is>
      </c>
      <c r="U33" s="10" t="inlineStr">
        <is>
          <t>青岛海湾化学撤回沪主板 IPO 原计划募资 30 亿元</t>
        </is>
      </c>
      <c r="V33" s="10" t="inlineStr">
        <is>
          <t>https://www.stcn.com/article/detail/2185695.html</t>
        </is>
      </c>
      <c r="W33" s="9" t="inlineStr">
        <is>
          <t>2024</t>
        </is>
      </c>
    </row>
    <row r="34">
      <c r="A34" s="12" t="inlineStr">
        <is>
          <t>U-P120-01</t>
        </is>
      </c>
      <c r="B34" s="12" t="inlineStr">
        <is>
          <t>山东省</t>
        </is>
      </c>
      <c r="C34" s="12" t="inlineStr">
        <is>
          <t>烟台市</t>
        </is>
      </c>
      <c r="D34" s="12" t="inlineStr">
        <is>
          <t>烟台工业园基地（万华）</t>
        </is>
      </c>
      <c r="E34" s="12" t="inlineStr">
        <is>
          <t>万华化学集团股份有限公司</t>
        </is>
      </c>
      <c r="F34" s="12" t="inlineStr">
        <is>
          <t>万华化学</t>
        </is>
      </c>
      <c r="G34" s="12" t="inlineStr">
        <is>
          <t>聚氯乙烯树脂（高品质）</t>
        </is>
      </c>
      <c r="H34" s="12" t="inlineStr">
        <is>
          <t>专用料</t>
        </is>
      </c>
      <c r="I34" s="12" t="inlineStr">
        <is>
          <t>乙烯法</t>
        </is>
      </c>
      <c r="J34" s="13" t="inlineStr">
        <is>
          <t>乙烯法（自有 100 万吨/年乙烯裂解）</t>
        </is>
      </c>
      <c r="K34" s="12" t="inlineStr">
        <is>
          <t>设计产能</t>
        </is>
      </c>
      <c r="L34" s="14" t="n">
        <v>40</v>
      </c>
      <c r="M34" s="13" t="inlineStr">
        <is>
          <t>乙烯一期配套 40 万吨/年聚氯乙烯装置（2020-11 投产）；改造后 VCM 工序 48 万吨/年、PVC 工序产能不变</t>
        </is>
      </c>
      <c r="N34" s="12" t="n">
        <v>2024</v>
      </c>
      <c r="O34" s="12" t="n">
        <v>2020</v>
      </c>
      <c r="P34" s="12" t="inlineStr">
        <is>
          <t>在产</t>
        </is>
      </c>
      <c r="Q34" s="13" t="inlineStr">
        <is>
          <t>2020-11 投产</t>
        </is>
      </c>
      <c r="R34" s="12" t="inlineStr">
        <is>
          <t>否</t>
        </is>
      </c>
      <c r="S34" s="12" t="inlineStr">
        <is>
          <t>S26</t>
        </is>
      </c>
      <c r="T34" s="12" t="inlineStr">
        <is>
          <t>B</t>
        </is>
      </c>
      <c r="U34" s="13" t="inlineStr">
        <is>
          <t>万华化学再上三个项目（VCM/PVC 改造）</t>
        </is>
      </c>
      <c r="V34" s="13" t="inlineStr">
        <is>
          <t>https://zh.echemi.com/cn-news-market/1041630.html</t>
        </is>
      </c>
      <c r="W34" s="12" t="inlineStr">
        <is>
          <t>2024</t>
        </is>
      </c>
    </row>
    <row r="35">
      <c r="A35" s="9" t="inlineStr">
        <is>
          <t>U-P130-01</t>
        </is>
      </c>
      <c r="B35" s="9" t="inlineStr">
        <is>
          <t>山西省</t>
        </is>
      </c>
      <c r="C35" s="9" t="inlineStr">
        <is>
          <t>阳泉市</t>
        </is>
      </c>
      <c r="D35" s="9" t="inlineStr">
        <is>
          <t>阳泉基地（阳煤化工）</t>
        </is>
      </c>
      <c r="E35" s="9" t="inlineStr">
        <is>
          <t>阳煤化工股份有限公司</t>
        </is>
      </c>
      <c r="F35" s="9" t="inlineStr">
        <is>
          <t>阳煤化工</t>
        </is>
      </c>
      <c r="G35" s="9" t="inlineStr">
        <is>
          <t>聚氯乙烯树脂</t>
        </is>
      </c>
      <c r="H35" s="9" t="inlineStr">
        <is>
          <t>未细分</t>
        </is>
      </c>
      <c r="I35" s="9" t="inlineStr">
        <is>
          <t>乙烯法</t>
        </is>
      </c>
      <c r="J35" s="10" t="inlineStr">
        <is>
          <t>乙烯法（MTO+OCP 氧氯化）</t>
        </is>
      </c>
      <c r="K35" s="9" t="inlineStr">
        <is>
          <t>设计产能</t>
        </is>
      </c>
      <c r="L35" s="11" t="n">
        <v>30</v>
      </c>
      <c r="M35" s="10" t="inlineStr">
        <is>
          <t>阳煤化工 2024 年报：PVC 设计产能 30 万吨/年，产能利用率 83.53%（对应产量约 25.06 万吨）。工艺为「以乙烯、氯气、氢气为原料，采用氧氯化平衡法和直接氯化法」，配套 UOP/Total MTO+OCP 烯烃装置 ⇒ 乙烯法。</t>
        </is>
      </c>
      <c r="N35" s="9" t="n">
        <v>2024</v>
      </c>
      <c r="O35" s="9" t="n"/>
      <c r="P35" s="9" t="inlineStr">
        <is>
          <t>在产</t>
        </is>
      </c>
      <c r="Q35" s="10" t="inlineStr">
        <is>
          <t>利用率 83.53%；2025 年报巨潮不可得，运行状态以 2024 年报为准</t>
        </is>
      </c>
      <c r="R35" s="9" t="inlineStr">
        <is>
          <t>否</t>
        </is>
      </c>
      <c r="S35" s="9" t="inlineStr">
        <is>
          <t>S27</t>
        </is>
      </c>
      <c r="T35" s="9" t="inlineStr">
        <is>
          <t>A</t>
        </is>
      </c>
      <c r="U35" s="10" t="inlineStr">
        <is>
          <t>阳煤化工股份有限公司 2024 年年度报告</t>
        </is>
      </c>
      <c r="V35" s="10" t="inlineStr">
        <is>
          <t>https://stockn.xueqiu.com/SH600691/20250418271414.pdf</t>
        </is>
      </c>
      <c r="W35" s="9" t="inlineStr">
        <is>
          <t>2025-04-18</t>
        </is>
      </c>
    </row>
    <row r="36">
      <c r="A36" s="12" t="inlineStr">
        <is>
          <t>U-P140-01</t>
        </is>
      </c>
      <c r="B36" s="12" t="inlineStr">
        <is>
          <t>内蒙古自治区</t>
        </is>
      </c>
      <c r="C36" s="12" t="inlineStr">
        <is>
          <t>鄂尔多斯市</t>
        </is>
      </c>
      <c r="D36" s="12" t="inlineStr">
        <is>
          <t>达拉特基地（亿利化学）</t>
        </is>
      </c>
      <c r="E36" s="12" t="inlineStr">
        <is>
          <t>内蒙古亿利化学工业有限公司</t>
        </is>
      </c>
      <c r="F36" s="12" t="inlineStr">
        <is>
          <t>亿利集团</t>
        </is>
      </c>
      <c r="G36" s="12" t="inlineStr">
        <is>
          <t>聚氯乙烯树脂</t>
        </is>
      </c>
      <c r="H36" s="12" t="inlineStr">
        <is>
          <t>未细分</t>
        </is>
      </c>
      <c r="I36" s="12" t="inlineStr">
        <is>
          <t>电石法（乙炔法）</t>
        </is>
      </c>
      <c r="J36" s="13" t="inlineStr">
        <is>
          <t>电石法，配套 64 万吨电石</t>
        </is>
      </c>
      <c r="K36" s="12" t="inlineStr">
        <is>
          <t>设计产能</t>
        </is>
      </c>
      <c r="L36" s="14" t="n">
        <v>50</v>
      </c>
      <c r="M36" s="13" t="inlineStr">
        <is>
          <t>财联社：具备年产 50 万吨 PVC、40 万吨离子膜烧碱、64 万吨电石能力；至 2020 年连续六年突破设计产能</t>
        </is>
      </c>
      <c r="N36" s="12" t="n">
        <v>2021</v>
      </c>
      <c r="O36" s="12" t="n"/>
      <c r="P36" s="12" t="inlineStr">
        <is>
          <t>状态未核实</t>
        </is>
      </c>
      <c r="Q36" s="13" t="inlineStr">
        <is>
          <t>亿利洁能 2022 年报口径（利用率 102.67%）；巨潮无 2023 年后年报，2023—2026 运行状态未知</t>
        </is>
      </c>
      <c r="R36" s="12" t="inlineStr">
        <is>
          <t>是</t>
        </is>
      </c>
      <c r="S36" s="12" t="inlineStr">
        <is>
          <t>S38</t>
        </is>
      </c>
      <c r="T36" s="12" t="inlineStr">
        <is>
          <t>B</t>
        </is>
      </c>
      <c r="U36" s="13" t="inlineStr">
        <is>
          <t>亿利洁能：公司旗下亿利化学公司负责生产经营 PVC 业务</t>
        </is>
      </c>
      <c r="V36" s="13" t="inlineStr">
        <is>
          <t>https://www.cls.cn/detail/537069</t>
        </is>
      </c>
      <c r="W36" s="12" t="inlineStr">
        <is>
          <t>2021</t>
        </is>
      </c>
    </row>
    <row r="37">
      <c r="A37" s="9" t="inlineStr">
        <is>
          <t>U-P150-01</t>
        </is>
      </c>
      <c r="B37" s="9" t="inlineStr">
        <is>
          <t>内蒙古自治区</t>
        </is>
      </c>
      <c r="C37" s="9" t="inlineStr">
        <is>
          <t>鄂尔多斯市</t>
        </is>
      </c>
      <c r="D37" s="9" t="inlineStr">
        <is>
          <t>棋盘井基地（鄂尔多斯电冶）</t>
        </is>
      </c>
      <c r="E37" s="9" t="inlineStr">
        <is>
          <t>内蒙古鄂尔多斯电力冶金集团股份有限公司氯碱化工分公司</t>
        </is>
      </c>
      <c r="F37" s="9" t="inlineStr">
        <is>
          <t>鄂尔多斯电冶</t>
        </is>
      </c>
      <c r="G37" s="9" t="inlineStr">
        <is>
          <t>聚氯乙烯树脂</t>
        </is>
      </c>
      <c r="H37" s="9" t="inlineStr">
        <is>
          <t>未细分</t>
        </is>
      </c>
      <c r="I37" s="9" t="inlineStr">
        <is>
          <t>电石法（乙炔法）</t>
        </is>
      </c>
      <c r="J37" s="10" t="inlineStr">
        <is>
          <t>电石法，全球首套全装填无汞催化剂（2023-02）</t>
        </is>
      </c>
      <c r="K37" s="9" t="inlineStr">
        <is>
          <t>设计产能</t>
        </is>
      </c>
      <c r="L37" s="11" t="n">
        <v>40</v>
      </c>
      <c r="M37" s="10" t="inlineStr">
        <is>
          <t>新华网：电冶集团氯碱化工分公司每年 40 万吨电石法聚氯乙烯及烧碱项目</t>
        </is>
      </c>
      <c r="N37" s="9" t="n">
        <v>2023</v>
      </c>
      <c r="O37" s="9" t="n"/>
      <c r="P37" s="9" t="inlineStr">
        <is>
          <t>在产</t>
        </is>
      </c>
      <c r="Q37" s="10" t="inlineStr">
        <is>
          <t>全面无汞化生产</t>
        </is>
      </c>
      <c r="R37" s="9" t="inlineStr">
        <is>
          <t>是</t>
        </is>
      </c>
      <c r="S37" s="9" t="inlineStr">
        <is>
          <t>S35</t>
        </is>
      </c>
      <c r="T37" s="9" t="inlineStr">
        <is>
          <t>A</t>
        </is>
      </c>
      <c r="U37" s="10" t="inlineStr">
        <is>
          <t>全球首家电石法聚氯乙烯（PVC）无汞化生产技术发布</t>
        </is>
      </c>
      <c r="V37" s="10" t="inlineStr">
        <is>
          <t>http://www.news.cn/energy/20230220/468b29ee619b4f1094d1ef66d39f5efc/c.html</t>
        </is>
      </c>
      <c r="W37" s="9" t="inlineStr">
        <is>
          <t>2023-02-20</t>
        </is>
      </c>
    </row>
    <row r="38">
      <c r="A38" s="12" t="inlineStr">
        <is>
          <t>U-P160-01</t>
        </is>
      </c>
      <c r="B38" s="12" t="inlineStr">
        <is>
          <t>青海省</t>
        </is>
      </c>
      <c r="C38" s="12" t="inlineStr">
        <is>
          <t>格尔木市</t>
        </is>
      </c>
      <c r="D38" s="12" t="inlineStr">
        <is>
          <t>察尔汗基地（盐湖镁业）</t>
        </is>
      </c>
      <c r="E38" s="12" t="inlineStr">
        <is>
          <t>青海盐湖镁业有限公司</t>
        </is>
      </c>
      <c r="F38" s="12" t="inlineStr">
        <is>
          <t>盐湖镁业</t>
        </is>
      </c>
      <c r="G38" s="12" t="inlineStr">
        <is>
          <t>聚氯乙烯树脂（乙烯法）</t>
        </is>
      </c>
      <c r="H38" s="12" t="inlineStr">
        <is>
          <t>未细分</t>
        </is>
      </c>
      <c r="I38" s="12" t="inlineStr">
        <is>
          <t>乙烯法</t>
        </is>
      </c>
      <c r="J38" s="13" t="inlineStr">
        <is>
          <t>煤制烯烃/盐湖一体化耦合的乙烯法</t>
        </is>
      </c>
      <c r="K38" s="12" t="inlineStr">
        <is>
          <t>设计产能</t>
        </is>
      </c>
      <c r="L38" s="14" t="n">
        <v>30</v>
      </c>
      <c r="M38" s="13" t="inlineStr">
        <is>
          <t>PVC&amp;钾碱厂 30 万吨乙烯法 PVC 装置，2016 年投产；另有盐湖股份口径「高海拔地区年产 30 万吨乙烯法 PVC 产业化示范项目」</t>
        </is>
      </c>
      <c r="N38" s="12" t="n">
        <v>2025</v>
      </c>
      <c r="O38" s="12" t="n">
        <v>2016</v>
      </c>
      <c r="P38" s="12" t="inlineStr">
        <is>
          <t>在产</t>
        </is>
      </c>
      <c r="Q38" s="13" t="inlineStr">
        <is>
          <t>2016 年投产</t>
        </is>
      </c>
      <c r="R38" s="12" t="inlineStr">
        <is>
          <t>否</t>
        </is>
      </c>
      <c r="S38" s="12" t="inlineStr">
        <is>
          <t>S36</t>
        </is>
      </c>
      <c r="T38" s="12" t="inlineStr">
        <is>
          <t>B</t>
        </is>
      </c>
      <c r="U38" s="13" t="inlineStr">
        <is>
          <t>中控技术中标青海盐湖镁业 PVC&amp;钾碱厂 30 万吨乙烯法 PVC 装置智能化改造</t>
        </is>
      </c>
      <c r="V38" s="13" t="inlineStr">
        <is>
          <t>https://www.stcn.com/article/kx-tag-detail.html?tag=7eDS25QMj9CV</t>
        </is>
      </c>
      <c r="W38" s="12" t="inlineStr">
        <is>
          <t>2025-09</t>
        </is>
      </c>
    </row>
    <row r="39">
      <c r="A39" s="9" t="inlineStr">
        <is>
          <t>U-P170-01</t>
        </is>
      </c>
      <c r="B39" s="9" t="inlineStr">
        <is>
          <t>河南省</t>
        </is>
      </c>
      <c r="C39" s="9" t="inlineStr">
        <is>
          <t>平顶山市</t>
        </is>
      </c>
      <c r="D39" s="9" t="inlineStr">
        <is>
          <t>平顶山基地（神马氯碱）</t>
        </is>
      </c>
      <c r="E39" s="9" t="inlineStr">
        <is>
          <t>河南神马氯碱发展有限责任公司</t>
        </is>
      </c>
      <c r="F39" s="9" t="inlineStr">
        <is>
          <t>神马氯碱</t>
        </is>
      </c>
      <c r="G39" s="9" t="inlineStr">
        <is>
          <t>聚氯乙烯树脂</t>
        </is>
      </c>
      <c r="H39" s="9" t="inlineStr">
        <is>
          <t>未细分</t>
        </is>
      </c>
      <c r="I39" s="9" t="inlineStr">
        <is>
          <t>电石法（乙炔法）</t>
        </is>
      </c>
      <c r="J39" s="10" t="inlineStr">
        <is>
          <t>电石法（待核）</t>
        </is>
      </c>
      <c r="K39" s="9" t="inlineStr">
        <is>
          <t>设计产能</t>
        </is>
      </c>
      <c r="L39" s="11" t="n">
        <v>30</v>
      </c>
      <c r="M39" s="10" t="inlineStr">
        <is>
          <t>行业资料：河南神马氯碱产能 30 万吨（二手，未取得一手披露）</t>
        </is>
      </c>
      <c r="N39" s="9" t="n">
        <v>2022</v>
      </c>
      <c r="O39" s="9" t="n"/>
      <c r="P39" s="9" t="inlineStr">
        <is>
          <t>状态未核实</t>
        </is>
      </c>
      <c r="Q39" s="10" t="inlineStr">
        <is>
          <t>未核实</t>
        </is>
      </c>
      <c r="R39" s="9" t="inlineStr">
        <is>
          <t>未知</t>
        </is>
      </c>
      <c r="S39" s="9" t="inlineStr">
        <is>
          <t>S30</t>
        </is>
      </c>
      <c r="T39" s="9" t="inlineStr">
        <is>
          <t>C</t>
        </is>
      </c>
      <c r="U39" s="10" t="inlineStr">
        <is>
          <t>国内外 39 家聚氯乙烯 PVC 树脂生产企业介绍</t>
        </is>
      </c>
      <c r="V39" s="10" t="inlineStr">
        <is>
          <t>https://www.aibang.com/a/4566</t>
        </is>
      </c>
      <c r="W39" s="9" t="inlineStr">
        <is>
          <t>2022</t>
        </is>
      </c>
    </row>
    <row r="40">
      <c r="A40" s="12" t="inlineStr">
        <is>
          <t>U-P180-01</t>
        </is>
      </c>
      <c r="B40" s="12" t="inlineStr">
        <is>
          <t>河南省</t>
        </is>
      </c>
      <c r="C40" s="12" t="inlineStr">
        <is>
          <t>（待核）</t>
        </is>
      </c>
      <c r="D40" s="12" t="inlineStr">
        <is>
          <t>河南联创基地</t>
        </is>
      </c>
      <c r="E40" s="12" t="inlineStr">
        <is>
          <t>河南联创化工有限公司</t>
        </is>
      </c>
      <c r="F40" s="12" t="inlineStr">
        <is>
          <t>河南联创</t>
        </is>
      </c>
      <c r="G40" s="12" t="inlineStr">
        <is>
          <t>聚氯乙烯树脂</t>
        </is>
      </c>
      <c r="H40" s="12" t="inlineStr">
        <is>
          <t>未细分</t>
        </is>
      </c>
      <c r="I40" s="12" t="inlineStr">
        <is>
          <t>电石法（乙炔法）</t>
        </is>
      </c>
      <c r="J40" s="13" t="inlineStr">
        <is>
          <t>电石法（待核）</t>
        </is>
      </c>
      <c r="K40" s="12" t="inlineStr">
        <is>
          <t>设计产能</t>
        </is>
      </c>
      <c r="L40" s="14" t="n">
        <v>40</v>
      </c>
      <c r="M40" s="13" t="inlineStr">
        <is>
          <t>行业盘点：河南联创主要产品年产能聚氯乙烯树脂 40 万吨、离子膜烧碱 35 万吨</t>
        </is>
      </c>
      <c r="N40" s="12" t="n">
        <v>2024</v>
      </c>
      <c r="O40" s="12" t="n"/>
      <c r="P40" s="12" t="inlineStr">
        <is>
          <t>在产</t>
        </is>
      </c>
      <c r="Q40" s="13" t="inlineStr">
        <is>
          <t>行业盘点口径</t>
        </is>
      </c>
      <c r="R40" s="12" t="inlineStr">
        <is>
          <t>未知</t>
        </is>
      </c>
      <c r="S40" s="12" t="inlineStr">
        <is>
          <t>S31</t>
        </is>
      </c>
      <c r="T40" s="12" t="inlineStr">
        <is>
          <t>C</t>
        </is>
      </c>
      <c r="U40" s="13" t="inlineStr">
        <is>
          <t>改色膜原料之聚氯乙烯 PVC 树脂厂商盘点</t>
        </is>
      </c>
      <c r="V40" s="13" t="inlineStr">
        <is>
          <t>https://www.cmpe360.com/p/240686</t>
        </is>
      </c>
      <c r="W40" s="12" t="inlineStr">
        <is>
          <t>2024</t>
        </is>
      </c>
    </row>
    <row r="41">
      <c r="A41" s="9" t="inlineStr">
        <is>
          <t>U-P190-01</t>
        </is>
      </c>
      <c r="B41" s="9" t="inlineStr">
        <is>
          <t>广东省</t>
        </is>
      </c>
      <c r="C41" s="9" t="inlineStr">
        <is>
          <t>广州市</t>
        </is>
      </c>
      <c r="D41" s="9" t="inlineStr">
        <is>
          <t>广州南沙基地（东曹）</t>
        </is>
      </c>
      <c r="E41" s="9" t="inlineStr">
        <is>
          <t>东曹（广州）化工有限公司</t>
        </is>
      </c>
      <c r="F41" s="9" t="inlineStr">
        <is>
          <t>东曹广州</t>
        </is>
      </c>
      <c r="G41" s="9" t="inlineStr">
        <is>
          <t>聚氯乙烯树脂（悬浮法）</t>
        </is>
      </c>
      <c r="H41" s="9" t="inlineStr">
        <is>
          <t>未细分</t>
        </is>
      </c>
      <c r="I41" s="9" t="inlineStr">
        <is>
          <t>乙烯法</t>
        </is>
      </c>
      <c r="J41" s="10" t="inlineStr">
        <is>
          <t>乙烯法（东曹 VCM 技术）</t>
        </is>
      </c>
      <c r="K41" s="9" t="inlineStr">
        <is>
          <t>设计产能</t>
        </is>
      </c>
      <c r="L41" s="11" t="n">
        <v>22</v>
      </c>
      <c r="M41" s="10" t="inlineStr">
        <is>
          <t>东曹官网：东曹（广州）化工有限公司 2004 年成立，PVC 产能 22 万吨/年</t>
        </is>
      </c>
      <c r="N41" s="9" t="n">
        <v>2025</v>
      </c>
      <c r="O41" s="9" t="n">
        <v>2004</v>
      </c>
      <c r="P41" s="9" t="inlineStr">
        <is>
          <t>在产</t>
        </is>
      </c>
      <c r="Q41" s="10" t="inlineStr">
        <is>
          <t>生产中</t>
        </is>
      </c>
      <c r="R41" s="9" t="inlineStr">
        <is>
          <t>否</t>
        </is>
      </c>
      <c r="S41" s="9" t="inlineStr">
        <is>
          <t>S29</t>
        </is>
      </c>
      <c r="T41" s="9" t="inlineStr">
        <is>
          <t>A</t>
        </is>
      </c>
      <c r="U41" s="10" t="inlineStr">
        <is>
          <t>东曹（广州）化工有限公司 公司介绍</t>
        </is>
      </c>
      <c r="V41" s="10" t="inlineStr">
        <is>
          <t>https://www.tosoh.com/worldwide-cn/asia-cn</t>
        </is>
      </c>
      <c r="W41" s="9" t="inlineStr">
        <is>
          <t>2025</t>
        </is>
      </c>
    </row>
    <row r="42">
      <c r="A42" s="12" t="inlineStr">
        <is>
          <t>U-P200-01</t>
        </is>
      </c>
      <c r="B42" s="12" t="inlineStr">
        <is>
          <t>内蒙古自治区</t>
        </is>
      </c>
      <c r="C42" s="12" t="inlineStr">
        <is>
          <t>乌海市</t>
        </is>
      </c>
      <c r="D42" s="12" t="inlineStr">
        <is>
          <t>海南区海化工业园基地（乌海化工，长期停车）</t>
        </is>
      </c>
      <c r="E42" s="12" t="inlineStr">
        <is>
          <t>内蒙古乌海化工有限公司</t>
        </is>
      </c>
      <c r="F42" s="12" t="inlineStr">
        <is>
          <t>鸿达兴业</t>
        </is>
      </c>
      <c r="G42" s="12" t="inlineStr">
        <is>
          <t>聚氯乙烯树脂</t>
        </is>
      </c>
      <c r="H42" s="12" t="inlineStr">
        <is>
          <t>未细分</t>
        </is>
      </c>
      <c r="I42" s="12" t="inlineStr">
        <is>
          <t>电石法（乙炔法）</t>
        </is>
      </c>
      <c r="J42" s="13" t="inlineStr">
        <is>
          <t>电石法</t>
        </is>
      </c>
      <c r="K42" s="12" t="inlineStr">
        <is>
          <t>设计产能</t>
        </is>
      </c>
      <c r="L42" s="14" t="n">
        <v>110</v>
      </c>
      <c r="M42" s="13" t="inlineStr">
        <is>
          <t>鸿达兴业 2022 年报：PVC 110 万吨/年，产能利用率 44.62%。2023-10 乌海化工 PVC/烧碱/电石装置停产检修超 2 个月并被乌海中院裁定受理破产重整；2024-04 集团被裁定破产；股票已股债双退；2026-03-16 再被裁定受理重整。按「已退出/长期停车」处理，不计入在产供给。</t>
        </is>
      </c>
      <c r="N42" s="12" t="n">
        <v>2022</v>
      </c>
      <c r="O42" s="12" t="n"/>
      <c r="P42" s="12" t="inlineStr">
        <is>
          <t>已退出</t>
        </is>
      </c>
      <c r="Q42" s="13" t="inlineStr">
        <is>
          <t>已实质退出：破产重整，产能不计入在产供给</t>
        </is>
      </c>
      <c r="R42" s="12" t="inlineStr">
        <is>
          <t>是</t>
        </is>
      </c>
      <c r="S42" s="12" t="inlineStr">
        <is>
          <t>S32</t>
        </is>
      </c>
      <c r="T42" s="12" t="inlineStr">
        <is>
          <t>A</t>
        </is>
      </c>
      <c r="U42" s="13" t="inlineStr">
        <is>
          <t>鸿达兴业：关于全资子公司被申请破产重整的提示性公告</t>
        </is>
      </c>
      <c r="V42" s="13" t="inlineStr">
        <is>
          <t>http://notice.10jqka.com.cn/api/pdf/eb0f727e145dd706_1697040660/</t>
        </is>
      </c>
      <c r="W42" s="12" t="inlineStr">
        <is>
          <t>2023-10</t>
        </is>
      </c>
    </row>
    <row r="43">
      <c r="A43" s="9" t="inlineStr">
        <is>
          <t>U-P302-01</t>
        </is>
      </c>
      <c r="B43" s="9" t="inlineStr">
        <is>
          <t>浙江省</t>
        </is>
      </c>
      <c r="C43" s="9" t="inlineStr">
        <is>
          <t>嘉兴市</t>
        </is>
      </c>
      <c r="D43" s="9" t="inlineStr">
        <is>
          <t>嘉兴港区基地（嘉化能源）</t>
        </is>
      </c>
      <c r="E43" s="9" t="inlineStr">
        <is>
          <t>浙江嘉化能源化工股份有限公司</t>
        </is>
      </c>
      <c r="F43" s="9" t="inlineStr">
        <is>
          <t>嘉化能源</t>
        </is>
      </c>
      <c r="G43" s="9" t="inlineStr">
        <is>
          <t>聚氯乙烯树脂（二期）</t>
        </is>
      </c>
      <c r="H43" s="9" t="inlineStr">
        <is>
          <t>未细分</t>
        </is>
      </c>
      <c r="I43" s="9" t="inlineStr">
        <is>
          <t>乙烯法</t>
        </is>
      </c>
      <c r="J43" s="10" t="inlineStr">
        <is>
          <t>乙烯法（日本 JNC 悬浮法，外购乙烯）</t>
        </is>
      </c>
      <c r="K43" s="9" t="inlineStr">
        <is>
          <t>设计产能</t>
        </is>
      </c>
      <c r="L43" s="11" t="n">
        <v>30</v>
      </c>
      <c r="M43" s="10" t="inlineStr">
        <is>
          <t>浙江嘉化能源 PVC 二期 30 万吨/年；VCM 二期 2025-08-28 开车，PVC 2026 年逐步放量（爬坡中）</t>
        </is>
      </c>
      <c r="N43" s="9" t="n">
        <v>2026</v>
      </c>
      <c r="O43" s="9" t="n">
        <v>2026</v>
      </c>
      <c r="P43" s="9" t="inlineStr">
        <is>
          <t>在产</t>
        </is>
      </c>
      <c r="Q43" s="10" t="inlineStr">
        <is>
          <t>2026 年爬坡放量</t>
        </is>
      </c>
      <c r="R43" s="9" t="inlineStr">
        <is>
          <t>否</t>
        </is>
      </c>
      <c r="S43" s="9" t="inlineStr">
        <is>
          <t>S66</t>
        </is>
      </c>
      <c r="T43" s="9" t="inlineStr">
        <is>
          <t>B</t>
        </is>
      </c>
      <c r="U43" s="10" t="inlineStr">
        <is>
          <t>浙江嘉化能源化工股份有限公司 PVC 二期项目进展</t>
        </is>
      </c>
      <c r="V43" s="10" t="inlineStr"/>
      <c r="W43" s="9" t="inlineStr">
        <is>
          <t>2026-02</t>
        </is>
      </c>
    </row>
    <row r="44">
      <c r="A44" s="12" t="inlineStr">
        <is>
          <t>U-P304-01</t>
        </is>
      </c>
      <c r="B44" s="12" t="inlineStr">
        <is>
          <t>福建省</t>
        </is>
      </c>
      <c r="C44" s="12" t="inlineStr">
        <is>
          <t>福清市</t>
        </is>
      </c>
      <c r="D44" s="12" t="inlineStr">
        <is>
          <t>江阴港城基地（万华福建）</t>
        </is>
      </c>
      <c r="E44" s="12" t="inlineStr">
        <is>
          <t>万华化学（福建）有限公司</t>
        </is>
      </c>
      <c r="F44" s="12" t="inlineStr">
        <is>
          <t>万华化学</t>
        </is>
      </c>
      <c r="G44" s="12" t="inlineStr">
        <is>
          <t>聚氯乙烯树脂（一期）</t>
        </is>
      </c>
      <c r="H44" s="12" t="inlineStr">
        <is>
          <t>未细分</t>
        </is>
      </c>
      <c r="I44" s="12" t="inlineStr">
        <is>
          <t>乙烯法</t>
        </is>
      </c>
      <c r="J44" s="13" t="inlineStr">
        <is>
          <t>乙烯法（利用 MDI/TDI 副产氯化氢）</t>
        </is>
      </c>
      <c r="K44" s="12" t="inlineStr">
        <is>
          <t>设计产能</t>
        </is>
      </c>
      <c r="L44" s="14" t="n">
        <v>40</v>
      </c>
      <c r="M44" s="13" t="inlineStr">
        <is>
          <t>万华化学福建 40 万吨/年 PVC 一期；2022-02-07 开工，2025 年 5—7 月试车投产。二期 40 万吨状态未知，未计入</t>
        </is>
      </c>
      <c r="N44" s="12" t="n">
        <v>2025</v>
      </c>
      <c r="O44" s="12" t="n">
        <v>2025</v>
      </c>
      <c r="P44" s="12" t="inlineStr">
        <is>
          <t>在产</t>
        </is>
      </c>
      <c r="Q44" s="13" t="inlineStr">
        <is>
          <t>2025-05 起试车，2025-07-30 复产</t>
        </is>
      </c>
      <c r="R44" s="12" t="inlineStr">
        <is>
          <t>否</t>
        </is>
      </c>
      <c r="S44" s="12" t="inlineStr">
        <is>
          <t>S75</t>
        </is>
      </c>
      <c r="T44" s="12" t="inlineStr">
        <is>
          <t>B</t>
        </is>
      </c>
      <c r="U44" s="13" t="inlineStr">
        <is>
          <t>万华化学福建 80 万吨/年 PVC 一期（40 万吨）2025 年试车投产</t>
        </is>
      </c>
      <c r="V44" s="13" t="inlineStr"/>
      <c r="W44" s="12" t="inlineStr">
        <is>
          <t>2025-07</t>
        </is>
      </c>
    </row>
    <row r="45">
      <c r="A45" s="9" t="inlineStr">
        <is>
          <t>U-P305-01</t>
        </is>
      </c>
      <c r="B45" s="9" t="inlineStr">
        <is>
          <t>陕西省</t>
        </is>
      </c>
      <c r="C45" s="9" t="inlineStr">
        <is>
          <t>神木市</t>
        </is>
      </c>
      <c r="D45" s="9" t="inlineStr">
        <is>
          <t>神木基地（金泰氯碱）</t>
        </is>
      </c>
      <c r="E45" s="9" t="inlineStr">
        <is>
          <t>陕西金泰氯碱神木化工有限公司</t>
        </is>
      </c>
      <c r="F45" s="9" t="inlineStr">
        <is>
          <t>陕投集团</t>
        </is>
      </c>
      <c r="G45" s="9" t="inlineStr">
        <is>
          <t>聚氯乙烯树脂（电石法无汞）</t>
        </is>
      </c>
      <c r="H45" s="9" t="inlineStr">
        <is>
          <t>未细分</t>
        </is>
      </c>
      <c r="I45" s="9" t="inlineStr">
        <is>
          <t>电石法（乙炔法）</t>
        </is>
      </c>
      <c r="J45" s="10" t="inlineStr">
        <is>
          <t>电石法，无汞催化剂</t>
        </is>
      </c>
      <c r="K45" s="9" t="inlineStr">
        <is>
          <t>设计产能</t>
        </is>
      </c>
      <c r="L45" s="11" t="n">
        <v>60</v>
      </c>
      <c r="M45" s="10" t="inlineStr">
        <is>
          <t>陕西金泰氯碱神木 60 万吨/年电石法 PVC，全球首套 60 万吨级无汞催化示范装置；2024-05-11 试生产，2025-07-11 交工验收</t>
        </is>
      </c>
      <c r="N45" s="9" t="n">
        <v>2025</v>
      </c>
      <c r="O45" s="9" t="n">
        <v>2025</v>
      </c>
      <c r="P45" s="9" t="inlineStr">
        <is>
          <t>在产</t>
        </is>
      </c>
      <c r="Q45" s="10" t="inlineStr">
        <is>
          <t>2025-07-11 交工验收</t>
        </is>
      </c>
      <c r="R45" s="9" t="inlineStr">
        <is>
          <t>未知</t>
        </is>
      </c>
      <c r="S45" s="9" t="inlineStr">
        <is>
          <t>S72</t>
        </is>
      </c>
      <c r="T45" s="9" t="inlineStr">
        <is>
          <t>B</t>
        </is>
      </c>
      <c r="U45" s="10" t="inlineStr">
        <is>
          <t>陕西金泰氯碱神木化工 60 万吨/年电石法 PVC 无汞示范装置交工验收</t>
        </is>
      </c>
      <c r="V45" s="10" t="inlineStr"/>
      <c r="W45" s="9" t="inlineStr">
        <is>
          <t>2025-07-11</t>
        </is>
      </c>
    </row>
    <row r="46">
      <c r="A46" s="12" t="inlineStr">
        <is>
          <t>U-P306-01</t>
        </is>
      </c>
      <c r="B46" s="12" t="inlineStr">
        <is>
          <t>甘肃省</t>
        </is>
      </c>
      <c r="C46" s="12" t="inlineStr">
        <is>
          <t>兰州新区</t>
        </is>
      </c>
      <c r="D46" s="12" t="inlineStr">
        <is>
          <t>兰州新区基地（耀望化工）</t>
        </is>
      </c>
      <c r="E46" s="12" t="inlineStr">
        <is>
          <t>甘肃耀望化工有限公司</t>
        </is>
      </c>
      <c r="F46" s="12" t="inlineStr">
        <is>
          <t>耀望化工</t>
        </is>
      </c>
      <c r="G46" s="12" t="inlineStr">
        <is>
          <t>聚氯乙烯树脂（电石法无汞）</t>
        </is>
      </c>
      <c r="H46" s="12" t="inlineStr">
        <is>
          <t>未细分</t>
        </is>
      </c>
      <c r="I46" s="12" t="inlineStr">
        <is>
          <t>电石法（乙炔法）</t>
        </is>
      </c>
      <c r="J46" s="13" t="inlineStr">
        <is>
          <t>电石法，无汞催化</t>
        </is>
      </c>
      <c r="K46" s="12" t="inlineStr">
        <is>
          <t>设计产能</t>
        </is>
      </c>
      <c r="L46" s="14" t="n">
        <v>30</v>
      </c>
      <c r="M46" s="13" t="inlineStr">
        <is>
          <t>甘肃耀望化工 30 万吨/年无汞电石法 PVC，2025-11 投产（兰州新区）</t>
        </is>
      </c>
      <c r="N46" s="12" t="n">
        <v>2025</v>
      </c>
      <c r="O46" s="12" t="n">
        <v>2025</v>
      </c>
      <c r="P46" s="12" t="inlineStr">
        <is>
          <t>在产</t>
        </is>
      </c>
      <c r="Q46" s="13" t="inlineStr">
        <is>
          <t>2025-11 投产</t>
        </is>
      </c>
      <c r="R46" s="12" t="inlineStr">
        <is>
          <t>未知</t>
        </is>
      </c>
      <c r="S46" s="12" t="inlineStr">
        <is>
          <t>S73</t>
        </is>
      </c>
      <c r="T46" s="12" t="inlineStr">
        <is>
          <t>B</t>
        </is>
      </c>
      <c r="U46" s="13" t="inlineStr">
        <is>
          <t>甘肃耀望化工 30 万吨/年无汞电石法 PVC 投产（兰州新区）</t>
        </is>
      </c>
      <c r="V46" s="13" t="inlineStr"/>
      <c r="W46" s="12" t="inlineStr">
        <is>
          <t>2025-11</t>
        </is>
      </c>
    </row>
    <row r="47">
      <c r="A47" s="9" t="inlineStr">
        <is>
          <t>U-P307-01</t>
        </is>
      </c>
      <c r="B47" s="9" t="inlineStr">
        <is>
          <t>江苏省</t>
        </is>
      </c>
      <c r="C47" s="9" t="inlineStr">
        <is>
          <t>泰兴市</t>
        </is>
      </c>
      <c r="D47" s="9" t="inlineStr">
        <is>
          <t>泰兴基地（新浦化学）</t>
        </is>
      </c>
      <c r="E47" s="9" t="inlineStr">
        <is>
          <t>新浦化学（泰兴）有限公司</t>
        </is>
      </c>
      <c r="F47" s="9" t="inlineStr">
        <is>
          <t>新浦化学</t>
        </is>
      </c>
      <c r="G47" s="9" t="inlineStr">
        <is>
          <t>聚氯乙烯树脂</t>
        </is>
      </c>
      <c r="H47" s="9" t="inlineStr">
        <is>
          <t>未细分</t>
        </is>
      </c>
      <c r="I47" s="9" t="inlineStr">
        <is>
          <t>乙烯法</t>
        </is>
      </c>
      <c r="J47" s="10" t="inlineStr">
        <is>
          <t>乙烯法</t>
        </is>
      </c>
      <c r="K47" s="9" t="inlineStr">
        <is>
          <t>设计产能</t>
        </is>
      </c>
      <c r="L47" s="11" t="n">
        <v>50</v>
      </c>
      <c r="M47" s="10" t="inlineStr">
        <is>
          <t>新浦化学（泰兴）50 万吨/年 PVC；2022-04 中交，2025 年 1—2 月量产</t>
        </is>
      </c>
      <c r="N47" s="9" t="n">
        <v>2025</v>
      </c>
      <c r="O47" s="9" t="n">
        <v>2025</v>
      </c>
      <c r="P47" s="9" t="inlineStr">
        <is>
          <t>在产</t>
        </is>
      </c>
      <c r="Q47" s="10" t="inlineStr">
        <is>
          <t>2025 年 1—2 月量产</t>
        </is>
      </c>
      <c r="R47" s="9" t="inlineStr">
        <is>
          <t>否</t>
        </is>
      </c>
      <c r="S47" s="9" t="inlineStr">
        <is>
          <t>S74</t>
        </is>
      </c>
      <c r="T47" s="9" t="inlineStr">
        <is>
          <t>B</t>
        </is>
      </c>
      <c r="U47" s="10" t="inlineStr">
        <is>
          <t>新浦化学（泰兴）50 万吨/年 PVC 中交与量产</t>
        </is>
      </c>
      <c r="V47" s="10" t="inlineStr"/>
      <c r="W47" s="9" t="inlineStr">
        <is>
          <t>2025-02</t>
        </is>
      </c>
    </row>
    <row r="48">
      <c r="A48" s="12" t="inlineStr">
        <is>
          <t>U-P308-01</t>
        </is>
      </c>
      <c r="B48" s="12" t="inlineStr">
        <is>
          <t>浙江省</t>
        </is>
      </c>
      <c r="C48" s="12" t="inlineStr">
        <is>
          <t>宁波市</t>
        </is>
      </c>
      <c r="D48" s="12" t="inlineStr">
        <is>
          <t>宁波基地（镇洋发展）</t>
        </is>
      </c>
      <c r="E48" s="12" t="inlineStr">
        <is>
          <t>浙江镇洋发展股份有限公司</t>
        </is>
      </c>
      <c r="F48" s="12" t="inlineStr">
        <is>
          <t>镇洋发展</t>
        </is>
      </c>
      <c r="G48" s="12" t="inlineStr">
        <is>
          <t>聚氯乙烯树脂</t>
        </is>
      </c>
      <c r="H48" s="12" t="inlineStr">
        <is>
          <t>未细分</t>
        </is>
      </c>
      <c r="I48" s="12" t="inlineStr">
        <is>
          <t>乙烯法</t>
        </is>
      </c>
      <c r="J48" s="13" t="inlineStr">
        <is>
          <t>乙烯法（纯外购乙烯，无一体化配套）</t>
        </is>
      </c>
      <c r="K48" s="12" t="inlineStr">
        <is>
          <t>设计产能</t>
        </is>
      </c>
      <c r="L48" s="14" t="n">
        <v>30</v>
      </c>
      <c r="M48" s="13" t="inlineStr">
        <is>
          <t>浙江镇洋发展 30 万吨/年 PVC，2023-05 投产；2026-09-19 起临时停产（预计不超过 4 个月）</t>
        </is>
      </c>
      <c r="N48" s="12" t="n">
        <v>2025</v>
      </c>
      <c r="O48" s="12" t="n">
        <v>2023</v>
      </c>
      <c r="P48" s="12" t="inlineStr">
        <is>
          <t>长期停车</t>
        </is>
      </c>
      <c r="Q48" s="13" t="inlineStr">
        <is>
          <t>2026-09-19 起临时停产，原料乙烯涨价，2026H1 PVC 毛利率 -23.24%</t>
        </is>
      </c>
      <c r="R48" s="12" t="inlineStr">
        <is>
          <t>否</t>
        </is>
      </c>
      <c r="S48" s="12" t="inlineStr">
        <is>
          <t>S68</t>
        </is>
      </c>
      <c r="T48" s="12" t="inlineStr">
        <is>
          <t>A</t>
        </is>
      </c>
      <c r="U48" s="13" t="inlineStr">
        <is>
          <t>浙江镇洋发展股份有限公司 关于部分生产装置临时停产的公告</t>
        </is>
      </c>
      <c r="V48" s="13" t="inlineStr"/>
      <c r="W48" s="12" t="inlineStr">
        <is>
          <t>2026-09-19</t>
        </is>
      </c>
    </row>
    <row r="49">
      <c r="A49" s="9" t="inlineStr">
        <is>
          <t>U-P400-01</t>
        </is>
      </c>
      <c r="B49" s="9" t="inlineStr">
        <is>
          <t>四川省</t>
        </is>
      </c>
      <c r="C49" s="9" t="inlineStr">
        <is>
          <t>宜宾市</t>
        </is>
      </c>
      <c r="D49" s="9" t="inlineStr">
        <is>
          <t>宜宾基地（天原集团）</t>
        </is>
      </c>
      <c r="E49" s="9" t="inlineStr">
        <is>
          <t>宜宾天原集团股份有限公司</t>
        </is>
      </c>
      <c r="F49" s="9" t="inlineStr">
        <is>
          <t>天原集团</t>
        </is>
      </c>
      <c r="G49" s="9" t="inlineStr">
        <is>
          <t>聚氯乙烯树脂</t>
        </is>
      </c>
      <c r="H49" s="9" t="inlineStr">
        <is>
          <t>未细分</t>
        </is>
      </c>
      <c r="I49" s="9" t="inlineStr">
        <is>
          <t>电石法（乙炔法）</t>
        </is>
      </c>
      <c r="J49" s="10" t="inlineStr">
        <is>
          <t>电石法（电石全部外购，非一体化）</t>
        </is>
      </c>
      <c r="K49" s="9" t="inlineStr">
        <is>
          <t>设计产能</t>
        </is>
      </c>
      <c r="L49" s="11" t="n">
        <v>50</v>
      </c>
      <c r="M49" s="10" t="inlineStr">
        <is>
          <t>宜宾天原集团 2025 年报：PVC 设计产能 50 万吨/年，产能利用率 78.44%</t>
        </is>
      </c>
      <c r="N49" s="9" t="n">
        <v>2025</v>
      </c>
      <c r="O49" s="9" t="n"/>
      <c r="P49" s="9" t="inlineStr">
        <is>
          <t>在产</t>
        </is>
      </c>
      <c r="Q49" s="10" t="inlineStr">
        <is>
          <t>利用率 78.44%；电石 100% 外购（2025 年采购额 26.52 亿元，占成本 15.54%）</t>
        </is>
      </c>
      <c r="R49" s="9" t="inlineStr">
        <is>
          <t>否</t>
        </is>
      </c>
      <c r="S49" s="9" t="inlineStr">
        <is>
          <t>S76</t>
        </is>
      </c>
      <c r="T49" s="9" t="inlineStr">
        <is>
          <t>A</t>
        </is>
      </c>
      <c r="U49" s="10" t="inlineStr">
        <is>
          <t>宜宾天原集团股份有限公司 2025 年年度报告</t>
        </is>
      </c>
      <c r="V49" s="10" t="inlineStr">
        <is>
          <t>https://www.cninfo.com.cn/</t>
        </is>
      </c>
      <c r="W49" s="9" t="inlineStr">
        <is>
          <t>2026-04</t>
        </is>
      </c>
    </row>
    <row r="51">
      <c r="A51" s="28" t="inlineStr">
        <is>
          <t>记录数：45</t>
        </is>
      </c>
    </row>
    <row r="52">
      <c r="A52" s="17" t="inlineStr">
        <is>
          <t>本表为全工作簿唯一事实层：03/04/05/07/08/09/10 表均为本表的筛选求和，公式见 14_汇总公式与溯源。</t>
        </is>
      </c>
    </row>
  </sheetData>
  <autoFilter ref="A4:W49"/>
  <conditionalFormatting sqref="L5:L49">
    <cfRule type="dataBar" priority="1">
      <dataBar>
        <cfvo type="num" val="0"/>
        <cfvo type="max"/>
        <color rgb="002F80C7"/>
      </dataBar>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showGridLines="0" workbookViewId="0">
      <pane ySplit="4" topLeftCell="A5" activePane="bottomLeft" state="frozen"/>
      <selection pane="bottomLeft" activeCell="A1" sqref="A1"/>
    </sheetView>
  </sheetViews>
  <sheetFormatPr baseColWidth="8" defaultRowHeight="15"/>
  <cols>
    <col width="20" customWidth="1" min="1" max="1"/>
    <col width="14" customWidth="1" min="2" max="2"/>
    <col width="10" customWidth="1" min="3" max="3"/>
    <col width="11" customWidth="1" min="4" max="4"/>
    <col width="11" customWidth="1" min="5" max="5"/>
    <col width="9" customWidth="1" min="6" max="6"/>
    <col width="9" customWidth="1" min="7" max="7"/>
    <col width="8" customWidth="1" min="8" max="8"/>
    <col width="8" customWidth="1" min="9" max="9"/>
    <col width="52" customWidth="1" min="10" max="10"/>
  </cols>
  <sheetData>
    <row r="1" ht="24" customHeight="1">
      <c r="A1" s="7" t="inlineStr">
        <is>
          <t>省级产能汇总</t>
        </is>
      </c>
    </row>
    <row r="2">
      <c r="A2" s="3" t="inlineStr">
        <is>
          <t>按省加总；同时给出按工艺拆分与集团分布</t>
        </is>
      </c>
    </row>
    <row r="4" ht="30" customHeight="1">
      <c r="A4" s="8" t="inlineStr">
        <is>
          <t>省份</t>
        </is>
      </c>
      <c r="B4" s="8" t="inlineStr">
        <is>
          <t>产能合计(万吨/年)</t>
        </is>
      </c>
      <c r="C4" s="8" t="inlineStr">
        <is>
          <t>占样本比</t>
        </is>
      </c>
      <c r="D4" s="8" t="inlineStr">
        <is>
          <t>电石法</t>
        </is>
      </c>
      <c r="E4" s="8" t="inlineStr">
        <is>
          <t>乙烯法</t>
        </is>
      </c>
      <c r="F4" s="8" t="inlineStr">
        <is>
          <t>混合</t>
        </is>
      </c>
      <c r="G4" s="8" t="inlineStr">
        <is>
          <t>未核实</t>
        </is>
      </c>
      <c r="H4" s="8" t="inlineStr">
        <is>
          <t>城市数</t>
        </is>
      </c>
      <c r="I4" s="8" t="inlineStr">
        <is>
          <t>集团数</t>
        </is>
      </c>
      <c r="J4" s="8" t="inlineStr">
        <is>
          <t>主要集团(万吨/年)</t>
        </is>
      </c>
    </row>
    <row r="5">
      <c r="A5" s="9" t="inlineStr">
        <is>
          <t>新疆维吾尔自治区</t>
        </is>
      </c>
      <c r="B5" s="11" t="n">
        <v>243</v>
      </c>
      <c r="C5" s="23" t="n">
        <v>0.1707659873506676</v>
      </c>
      <c r="D5" s="11" t="n">
        <v>243</v>
      </c>
      <c r="E5" s="11" t="n">
        <v>0</v>
      </c>
      <c r="F5" s="11" t="n">
        <v>0</v>
      </c>
      <c r="G5" s="11" t="n">
        <v>0</v>
      </c>
      <c r="H5" s="9" t="n">
        <v>3</v>
      </c>
      <c r="I5" s="9" t="n">
        <v>2</v>
      </c>
      <c r="J5" s="9" t="inlineStr">
        <is>
          <t>天业集团(134)、中泰集团(109)</t>
        </is>
      </c>
    </row>
    <row r="6">
      <c r="A6" s="12" t="inlineStr">
        <is>
          <t>内蒙古自治区</t>
        </is>
      </c>
      <c r="B6" s="14" t="n">
        <v>234</v>
      </c>
      <c r="C6" s="24" t="n">
        <v>0.1644413211524947</v>
      </c>
      <c r="D6" s="14" t="n">
        <v>234</v>
      </c>
      <c r="E6" s="14" t="n">
        <v>0</v>
      </c>
      <c r="F6" s="14" t="n">
        <v>0</v>
      </c>
      <c r="G6" s="14" t="n">
        <v>0</v>
      </c>
      <c r="H6" s="12" t="n">
        <v>3</v>
      </c>
      <c r="I6" s="12" t="n">
        <v>4</v>
      </c>
      <c r="J6" s="12" t="inlineStr">
        <is>
          <t>君正集团(80)、中盐化工(64)、亿利集团(50)、鄂尔多斯电冶(40)</t>
        </is>
      </c>
    </row>
    <row r="7">
      <c r="A7" s="9" t="inlineStr">
        <is>
          <t>陕西省</t>
        </is>
      </c>
      <c r="B7" s="11" t="n">
        <v>170</v>
      </c>
      <c r="C7" s="23" t="n">
        <v>0.1194659170765987</v>
      </c>
      <c r="D7" s="11" t="n">
        <v>170</v>
      </c>
      <c r="E7" s="11" t="n">
        <v>0</v>
      </c>
      <c r="F7" s="11" t="n">
        <v>0</v>
      </c>
      <c r="G7" s="11" t="n">
        <v>0</v>
      </c>
      <c r="H7" s="9" t="n">
        <v>1</v>
      </c>
      <c r="I7" s="9" t="n">
        <v>2</v>
      </c>
      <c r="J7" s="9" t="inlineStr">
        <is>
          <t>北元集团(110)、陕投集团(60)</t>
        </is>
      </c>
    </row>
    <row r="8">
      <c r="A8" s="12" t="inlineStr">
        <is>
          <t>山东省</t>
        </is>
      </c>
      <c r="B8" s="14" t="n">
        <v>145</v>
      </c>
      <c r="C8" s="24" t="n">
        <v>0.1018973998594519</v>
      </c>
      <c r="D8" s="14" t="n">
        <v>0</v>
      </c>
      <c r="E8" s="14" t="n">
        <v>145</v>
      </c>
      <c r="F8" s="14" t="n">
        <v>0</v>
      </c>
      <c r="G8" s="14" t="n">
        <v>0</v>
      </c>
      <c r="H8" s="12" t="n">
        <v>2</v>
      </c>
      <c r="I8" s="12" t="n">
        <v>2</v>
      </c>
      <c r="J8" s="12" t="inlineStr">
        <is>
          <t>海湾集团(105)、万华化学(40)</t>
        </is>
      </c>
    </row>
    <row r="9">
      <c r="A9" s="9" t="inlineStr">
        <is>
          <t>天津市</t>
        </is>
      </c>
      <c r="B9" s="11" t="n">
        <v>80</v>
      </c>
      <c r="C9" s="23" t="n">
        <v>0.05621925509486999</v>
      </c>
      <c r="D9" s="11" t="n">
        <v>0</v>
      </c>
      <c r="E9" s="11" t="n">
        <v>80</v>
      </c>
      <c r="F9" s="11" t="n">
        <v>0</v>
      </c>
      <c r="G9" s="11" t="n">
        <v>0</v>
      </c>
      <c r="H9" s="9" t="n">
        <v>1</v>
      </c>
      <c r="I9" s="9" t="n">
        <v>1</v>
      </c>
      <c r="J9" s="9" t="inlineStr">
        <is>
          <t>渤化集团(80)</t>
        </is>
      </c>
    </row>
    <row r="10">
      <c r="A10" s="12" t="inlineStr">
        <is>
          <t>河南省</t>
        </is>
      </c>
      <c r="B10" s="14" t="n">
        <v>70</v>
      </c>
      <c r="C10" s="24" t="n">
        <v>0.04919184820801124</v>
      </c>
      <c r="D10" s="14" t="n">
        <v>70</v>
      </c>
      <c r="E10" s="14" t="n">
        <v>0</v>
      </c>
      <c r="F10" s="14" t="n">
        <v>0</v>
      </c>
      <c r="G10" s="14" t="n">
        <v>0</v>
      </c>
      <c r="H10" s="12" t="n">
        <v>2</v>
      </c>
      <c r="I10" s="12" t="n">
        <v>2</v>
      </c>
      <c r="J10" s="12" t="inlineStr">
        <is>
          <t>河南联创(40)、神马氯碱(30)</t>
        </is>
      </c>
    </row>
    <row r="11">
      <c r="A11" s="9" t="inlineStr">
        <is>
          <t>安徽省</t>
        </is>
      </c>
      <c r="B11" s="11" t="n">
        <v>64</v>
      </c>
      <c r="C11" s="23" t="n">
        <v>0.04497540407589599</v>
      </c>
      <c r="D11" s="11" t="n">
        <v>64</v>
      </c>
      <c r="E11" s="11" t="n">
        <v>0</v>
      </c>
      <c r="F11" s="11" t="n">
        <v>0</v>
      </c>
      <c r="G11" s="11" t="n">
        <v>0</v>
      </c>
      <c r="H11" s="9" t="n">
        <v>1</v>
      </c>
      <c r="I11" s="9" t="n">
        <v>1</v>
      </c>
      <c r="J11" s="9" t="inlineStr">
        <is>
          <t>华塑股份(64)</t>
        </is>
      </c>
    </row>
    <row r="12">
      <c r="A12" s="12" t="inlineStr">
        <is>
          <t>四川省</t>
        </is>
      </c>
      <c r="B12" s="14" t="n">
        <v>50</v>
      </c>
      <c r="C12" s="24" t="n">
        <v>0.03513703443429374</v>
      </c>
      <c r="D12" s="14" t="n">
        <v>50</v>
      </c>
      <c r="E12" s="14" t="n">
        <v>0</v>
      </c>
      <c r="F12" s="14" t="n">
        <v>0</v>
      </c>
      <c r="G12" s="14" t="n">
        <v>0</v>
      </c>
      <c r="H12" s="12" t="n">
        <v>1</v>
      </c>
      <c r="I12" s="12" t="n">
        <v>1</v>
      </c>
      <c r="J12" s="12" t="inlineStr">
        <is>
          <t>天原集团(50)</t>
        </is>
      </c>
    </row>
    <row r="13">
      <c r="A13" s="9" t="inlineStr">
        <is>
          <t>江苏省</t>
        </is>
      </c>
      <c r="B13" s="11" t="n">
        <v>50</v>
      </c>
      <c r="C13" s="23" t="n">
        <v>0.03513703443429374</v>
      </c>
      <c r="D13" s="11" t="n">
        <v>0</v>
      </c>
      <c r="E13" s="11" t="n">
        <v>50</v>
      </c>
      <c r="F13" s="11" t="n">
        <v>0</v>
      </c>
      <c r="G13" s="11" t="n">
        <v>0</v>
      </c>
      <c r="H13" s="9" t="n">
        <v>1</v>
      </c>
      <c r="I13" s="9" t="n">
        <v>1</v>
      </c>
      <c r="J13" s="9" t="inlineStr">
        <is>
          <t>新浦化学(50)</t>
        </is>
      </c>
    </row>
    <row r="14">
      <c r="A14" s="12" t="inlineStr">
        <is>
          <t>上海市</t>
        </is>
      </c>
      <c r="B14" s="14" t="n">
        <v>48</v>
      </c>
      <c r="C14" s="24" t="n">
        <v>0.03373155305692199</v>
      </c>
      <c r="D14" s="14" t="n">
        <v>0</v>
      </c>
      <c r="E14" s="14" t="n">
        <v>48</v>
      </c>
      <c r="F14" s="14" t="n">
        <v>0</v>
      </c>
      <c r="G14" s="14" t="n">
        <v>0</v>
      </c>
      <c r="H14" s="12" t="n">
        <v>1</v>
      </c>
      <c r="I14" s="12" t="n">
        <v>1</v>
      </c>
      <c r="J14" s="12" t="inlineStr">
        <is>
          <t>华谊集团(48)</t>
        </is>
      </c>
    </row>
    <row r="15">
      <c r="A15" s="9" t="inlineStr">
        <is>
          <t>河北省</t>
        </is>
      </c>
      <c r="B15" s="11" t="n">
        <v>47</v>
      </c>
      <c r="C15" s="23" t="n">
        <v>0.03302881236823612</v>
      </c>
      <c r="D15" s="11" t="n">
        <v>47</v>
      </c>
      <c r="E15" s="11" t="n">
        <v>0</v>
      </c>
      <c r="F15" s="11" t="n">
        <v>0</v>
      </c>
      <c r="G15" s="11" t="n">
        <v>0</v>
      </c>
      <c r="H15" s="9" t="n">
        <v>1</v>
      </c>
      <c r="I15" s="9" t="n">
        <v>1</v>
      </c>
      <c r="J15" s="9" t="inlineStr">
        <is>
          <t>三友化工(47)</t>
        </is>
      </c>
    </row>
    <row r="16">
      <c r="A16" s="12" t="inlineStr">
        <is>
          <t>广西壮族自治区</t>
        </is>
      </c>
      <c r="B16" s="14" t="n">
        <v>40</v>
      </c>
      <c r="C16" s="24" t="n">
        <v>0.02810962754743499</v>
      </c>
      <c r="D16" s="14" t="n">
        <v>0</v>
      </c>
      <c r="E16" s="14" t="n">
        <v>40</v>
      </c>
      <c r="F16" s="14" t="n">
        <v>0</v>
      </c>
      <c r="G16" s="14" t="n">
        <v>0</v>
      </c>
      <c r="H16" s="12" t="n">
        <v>1</v>
      </c>
      <c r="I16" s="12" t="n">
        <v>1</v>
      </c>
      <c r="J16" s="12" t="inlineStr">
        <is>
          <t>华谊集团(40)</t>
        </is>
      </c>
    </row>
    <row r="17">
      <c r="A17" s="9" t="inlineStr">
        <is>
          <t>福建省</t>
        </is>
      </c>
      <c r="B17" s="11" t="n">
        <v>40</v>
      </c>
      <c r="C17" s="23" t="n">
        <v>0.02810962754743499</v>
      </c>
      <c r="D17" s="11" t="n">
        <v>0</v>
      </c>
      <c r="E17" s="11" t="n">
        <v>40</v>
      </c>
      <c r="F17" s="11" t="n">
        <v>0</v>
      </c>
      <c r="G17" s="11" t="n">
        <v>0</v>
      </c>
      <c r="H17" s="9" t="n">
        <v>1</v>
      </c>
      <c r="I17" s="9" t="n">
        <v>1</v>
      </c>
      <c r="J17" s="9" t="inlineStr">
        <is>
          <t>万华化学(40)</t>
        </is>
      </c>
    </row>
    <row r="18">
      <c r="A18" s="12" t="inlineStr">
        <is>
          <t>山西省</t>
        </is>
      </c>
      <c r="B18" s="14" t="n">
        <v>30</v>
      </c>
      <c r="C18" s="24" t="n">
        <v>0.02108222066057625</v>
      </c>
      <c r="D18" s="14" t="n">
        <v>0</v>
      </c>
      <c r="E18" s="14" t="n">
        <v>30</v>
      </c>
      <c r="F18" s="14" t="n">
        <v>0</v>
      </c>
      <c r="G18" s="14" t="n">
        <v>0</v>
      </c>
      <c r="H18" s="12" t="n">
        <v>1</v>
      </c>
      <c r="I18" s="12" t="n">
        <v>1</v>
      </c>
      <c r="J18" s="12" t="inlineStr">
        <is>
          <t>阳煤化工(30)</t>
        </is>
      </c>
    </row>
    <row r="19">
      <c r="A19" s="9" t="inlineStr">
        <is>
          <t>青海省</t>
        </is>
      </c>
      <c r="B19" s="11" t="n">
        <v>30</v>
      </c>
      <c r="C19" s="23" t="n">
        <v>0.02108222066057625</v>
      </c>
      <c r="D19" s="11" t="n">
        <v>0</v>
      </c>
      <c r="E19" s="11" t="n">
        <v>30</v>
      </c>
      <c r="F19" s="11" t="n">
        <v>0</v>
      </c>
      <c r="G19" s="11" t="n">
        <v>0</v>
      </c>
      <c r="H19" s="9" t="n">
        <v>1</v>
      </c>
      <c r="I19" s="9" t="n">
        <v>1</v>
      </c>
      <c r="J19" s="9" t="inlineStr">
        <is>
          <t>盐湖镁业(30)</t>
        </is>
      </c>
    </row>
    <row r="20">
      <c r="A20" s="12" t="inlineStr">
        <is>
          <t>甘肃省</t>
        </is>
      </c>
      <c r="B20" s="14" t="n">
        <v>30</v>
      </c>
      <c r="C20" s="24" t="n">
        <v>0.02108222066057625</v>
      </c>
      <c r="D20" s="14" t="n">
        <v>30</v>
      </c>
      <c r="E20" s="14" t="n">
        <v>0</v>
      </c>
      <c r="F20" s="14" t="n">
        <v>0</v>
      </c>
      <c r="G20" s="14" t="n">
        <v>0</v>
      </c>
      <c r="H20" s="12" t="n">
        <v>1</v>
      </c>
      <c r="I20" s="12" t="n">
        <v>1</v>
      </c>
      <c r="J20" s="12" t="inlineStr">
        <is>
          <t>耀望化工(30)</t>
        </is>
      </c>
    </row>
    <row r="21">
      <c r="A21" s="9" t="inlineStr">
        <is>
          <t>浙江省</t>
        </is>
      </c>
      <c r="B21" s="11" t="n">
        <v>30</v>
      </c>
      <c r="C21" s="23" t="n">
        <v>0.02108222066057625</v>
      </c>
      <c r="D21" s="11" t="n">
        <v>0</v>
      </c>
      <c r="E21" s="11" t="n">
        <v>30</v>
      </c>
      <c r="F21" s="11" t="n">
        <v>0</v>
      </c>
      <c r="G21" s="11" t="n">
        <v>0</v>
      </c>
      <c r="H21" s="9" t="n">
        <v>1</v>
      </c>
      <c r="I21" s="9" t="n">
        <v>1</v>
      </c>
      <c r="J21" s="9" t="inlineStr">
        <is>
          <t>嘉化能源(30)</t>
        </is>
      </c>
    </row>
    <row r="22">
      <c r="A22" s="12" t="inlineStr">
        <is>
          <t>广东省</t>
        </is>
      </c>
      <c r="B22" s="14" t="n">
        <v>22</v>
      </c>
      <c r="C22" s="24" t="n">
        <v>0.01546029515108925</v>
      </c>
      <c r="D22" s="14" t="n">
        <v>0</v>
      </c>
      <c r="E22" s="14" t="n">
        <v>22</v>
      </c>
      <c r="F22" s="14" t="n">
        <v>0</v>
      </c>
      <c r="G22" s="14" t="n">
        <v>0</v>
      </c>
      <c r="H22" s="12" t="n">
        <v>1</v>
      </c>
      <c r="I22" s="12" t="n">
        <v>1</v>
      </c>
      <c r="J22" s="12" t="inlineStr">
        <is>
          <t>东曹广州(22)</t>
        </is>
      </c>
    </row>
    <row r="24">
      <c r="A24" s="25" t="inlineStr">
        <is>
          <t>合计</t>
        </is>
      </c>
      <c r="B24" s="26">
        <f>SUM(B5:B22)</f>
        <v/>
      </c>
      <c r="D24" s="26">
        <f>SUM(D5:D22)</f>
        <v/>
      </c>
      <c r="E24" s="26">
        <f>SUM(E5:E22)</f>
        <v/>
      </c>
      <c r="F24" s="26">
        <f>SUM(F5:F22)</f>
        <v/>
      </c>
      <c r="G24" s="26">
        <f>SUM(G5:G22)</f>
        <v/>
      </c>
    </row>
    <row r="26">
      <c r="A26" s="27" t="inlineStr">
        <is>
          <t>同一省份内「电石法+乙烯法+混合+未核实」= 该省合计；跨省合计 = 样本合计，不得另加全国口径。</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4" customWidth="1" min="3" max="3"/>
    <col width="10" customWidth="1" min="4" max="4"/>
    <col width="8" customWidth="1" min="5" max="5"/>
    <col width="40" customWidth="1" min="6" max="6"/>
    <col width="26" customWidth="1" min="7" max="7"/>
  </cols>
  <sheetData>
    <row r="1" ht="24" customHeight="1">
      <c r="A1" s="7" t="inlineStr">
        <is>
          <t>市级产能汇总</t>
        </is>
      </c>
    </row>
    <row r="2">
      <c r="A2" s="3" t="inlineStr">
        <is>
          <t>按(省,市)加总，用于判断产业集聚的城市节点</t>
        </is>
      </c>
    </row>
    <row r="4" ht="30" customHeight="1">
      <c r="A4" s="8" t="inlineStr">
        <is>
          <t>省</t>
        </is>
      </c>
      <c r="B4" s="8" t="inlineStr">
        <is>
          <t>市</t>
        </is>
      </c>
      <c r="C4" s="8" t="inlineStr">
        <is>
          <t>产能合计(万吨/年)</t>
        </is>
      </c>
      <c r="D4" s="8" t="inlineStr">
        <is>
          <t>占样本比</t>
        </is>
      </c>
      <c r="E4" s="8" t="inlineStr">
        <is>
          <t>基地数</t>
        </is>
      </c>
      <c r="F4" s="8" t="inlineStr">
        <is>
          <t>涉及集团</t>
        </is>
      </c>
      <c r="G4" s="8" t="inlineStr">
        <is>
          <t>工艺</t>
        </is>
      </c>
    </row>
    <row r="5">
      <c r="A5" s="9" t="inlineStr">
        <is>
          <t>陕西省</t>
        </is>
      </c>
      <c r="B5" s="9" t="inlineStr">
        <is>
          <t>神木市</t>
        </is>
      </c>
      <c r="C5" s="11" t="n">
        <v>170</v>
      </c>
      <c r="D5" s="23" t="n">
        <v>0.1194659170765987</v>
      </c>
      <c r="E5" s="9" t="n">
        <v>2</v>
      </c>
      <c r="F5" s="9" t="inlineStr">
        <is>
          <t>北元集团、陕投集团</t>
        </is>
      </c>
      <c r="G5" s="9" t="inlineStr">
        <is>
          <t>电石法（乙炔法）</t>
        </is>
      </c>
    </row>
    <row r="6">
      <c r="A6" s="12" t="inlineStr">
        <is>
          <t>新疆维吾尔自治区</t>
        </is>
      </c>
      <c r="B6" s="12" t="inlineStr">
        <is>
          <t>石河子市</t>
        </is>
      </c>
      <c r="C6" s="14" t="n">
        <v>134</v>
      </c>
      <c r="D6" s="24" t="n">
        <v>0.09416725228390724</v>
      </c>
      <c r="E6" s="12" t="n">
        <v>2</v>
      </c>
      <c r="F6" s="12" t="inlineStr">
        <is>
          <t>天业集团</t>
        </is>
      </c>
      <c r="G6" s="12" t="inlineStr">
        <is>
          <t>电石法（乙炔法）</t>
        </is>
      </c>
    </row>
    <row r="7">
      <c r="A7" s="9" t="inlineStr">
        <is>
          <t>山东省</t>
        </is>
      </c>
      <c r="B7" s="9" t="inlineStr">
        <is>
          <t>青岛市</t>
        </is>
      </c>
      <c r="C7" s="11" t="n">
        <v>105</v>
      </c>
      <c r="D7" s="23" t="n">
        <v>0.07378777231201687</v>
      </c>
      <c r="E7" s="9" t="n">
        <v>1</v>
      </c>
      <c r="F7" s="9" t="inlineStr">
        <is>
          <t>海湾集团</t>
        </is>
      </c>
      <c r="G7" s="9" t="inlineStr">
        <is>
          <t>乙烯法</t>
        </is>
      </c>
    </row>
    <row r="8">
      <c r="A8" s="12" t="inlineStr">
        <is>
          <t>内蒙古自治区</t>
        </is>
      </c>
      <c r="B8" s="12" t="inlineStr">
        <is>
          <t>鄂尔多斯市</t>
        </is>
      </c>
      <c r="C8" s="14" t="n">
        <v>90</v>
      </c>
      <c r="D8" s="24" t="n">
        <v>0.06324666198172874</v>
      </c>
      <c r="E8" s="12" t="n">
        <v>2</v>
      </c>
      <c r="F8" s="12" t="inlineStr">
        <is>
          <t>亿利集团、鄂尔多斯电冶</t>
        </is>
      </c>
      <c r="G8" s="12" t="inlineStr">
        <is>
          <t>电石法（乙炔法）</t>
        </is>
      </c>
    </row>
    <row r="9">
      <c r="A9" s="9" t="inlineStr">
        <is>
          <t>新疆维吾尔自治区</t>
        </is>
      </c>
      <c r="B9" s="9" t="inlineStr">
        <is>
          <t>阜康市</t>
        </is>
      </c>
      <c r="C9" s="11" t="n">
        <v>80</v>
      </c>
      <c r="D9" s="23" t="n">
        <v>0.05621925509486999</v>
      </c>
      <c r="E9" s="9" t="n">
        <v>1</v>
      </c>
      <c r="F9" s="9" t="inlineStr">
        <is>
          <t>中泰集团</t>
        </is>
      </c>
      <c r="G9" s="9" t="inlineStr">
        <is>
          <t>电石法（乙炔法）</t>
        </is>
      </c>
    </row>
    <row r="10">
      <c r="A10" s="12" t="inlineStr">
        <is>
          <t>内蒙古自治区</t>
        </is>
      </c>
      <c r="B10" s="12" t="inlineStr">
        <is>
          <t>乌海市</t>
        </is>
      </c>
      <c r="C10" s="14" t="n">
        <v>80</v>
      </c>
      <c r="D10" s="24" t="n">
        <v>0.05621925509486999</v>
      </c>
      <c r="E10" s="12" t="n">
        <v>3</v>
      </c>
      <c r="F10" s="12" t="inlineStr">
        <is>
          <t>君正集团、宜化集团、鸿达兴业</t>
        </is>
      </c>
      <c r="G10" s="12" t="inlineStr">
        <is>
          <t>工艺未核实 / 电石法（乙炔法）</t>
        </is>
      </c>
    </row>
    <row r="11">
      <c r="A11" s="9" t="inlineStr">
        <is>
          <t>天津市</t>
        </is>
      </c>
      <c r="B11" s="9" t="inlineStr">
        <is>
          <t>天津市</t>
        </is>
      </c>
      <c r="C11" s="11" t="n">
        <v>80</v>
      </c>
      <c r="D11" s="23" t="n">
        <v>0.05621925509486999</v>
      </c>
      <c r="E11" s="9" t="n">
        <v>1</v>
      </c>
      <c r="F11" s="9" t="inlineStr">
        <is>
          <t>渤化集团</t>
        </is>
      </c>
      <c r="G11" s="9" t="inlineStr">
        <is>
          <t>乙烯法</t>
        </is>
      </c>
    </row>
    <row r="12">
      <c r="A12" s="12" t="inlineStr">
        <is>
          <t>内蒙古自治区</t>
        </is>
      </c>
      <c r="B12" s="12" t="inlineStr">
        <is>
          <t>阿拉善盟</t>
        </is>
      </c>
      <c r="C12" s="14" t="n">
        <v>64</v>
      </c>
      <c r="D12" s="24" t="n">
        <v>0.04497540407589599</v>
      </c>
      <c r="E12" s="12" t="n">
        <v>1</v>
      </c>
      <c r="F12" s="12" t="inlineStr">
        <is>
          <t>中盐化工</t>
        </is>
      </c>
      <c r="G12" s="12" t="inlineStr">
        <is>
          <t>电石法（乙炔法）</t>
        </is>
      </c>
    </row>
    <row r="13">
      <c r="A13" s="9" t="inlineStr">
        <is>
          <t>安徽省</t>
        </is>
      </c>
      <c r="B13" s="9" t="inlineStr">
        <is>
          <t>滁州市</t>
        </is>
      </c>
      <c r="C13" s="11" t="n">
        <v>64</v>
      </c>
      <c r="D13" s="23" t="n">
        <v>0.04497540407589599</v>
      </c>
      <c r="E13" s="9" t="n">
        <v>1</v>
      </c>
      <c r="F13" s="9" t="inlineStr">
        <is>
          <t>华塑股份</t>
        </is>
      </c>
      <c r="G13" s="9" t="inlineStr">
        <is>
          <t>电石法（乙炔法）</t>
        </is>
      </c>
    </row>
    <row r="14">
      <c r="A14" s="12" t="inlineStr">
        <is>
          <t>四川省</t>
        </is>
      </c>
      <c r="B14" s="12" t="inlineStr">
        <is>
          <t>宜宾市</t>
        </is>
      </c>
      <c r="C14" s="14" t="n">
        <v>50</v>
      </c>
      <c r="D14" s="24" t="n">
        <v>0.03513703443429374</v>
      </c>
      <c r="E14" s="12" t="n">
        <v>1</v>
      </c>
      <c r="F14" s="12" t="inlineStr">
        <is>
          <t>天原集团</t>
        </is>
      </c>
      <c r="G14" s="12" t="inlineStr">
        <is>
          <t>电石法（乙炔法）</t>
        </is>
      </c>
    </row>
    <row r="15">
      <c r="A15" s="9" t="inlineStr">
        <is>
          <t>江苏省</t>
        </is>
      </c>
      <c r="B15" s="9" t="inlineStr">
        <is>
          <t>泰兴市</t>
        </is>
      </c>
      <c r="C15" s="11" t="n">
        <v>50</v>
      </c>
      <c r="D15" s="23" t="n">
        <v>0.03513703443429374</v>
      </c>
      <c r="E15" s="9" t="n">
        <v>1</v>
      </c>
      <c r="F15" s="9" t="inlineStr">
        <is>
          <t>新浦化学</t>
        </is>
      </c>
      <c r="G15" s="9" t="inlineStr">
        <is>
          <t>乙烯法</t>
        </is>
      </c>
    </row>
    <row r="16">
      <c r="A16" s="12" t="inlineStr">
        <is>
          <t>上海市</t>
        </is>
      </c>
      <c r="B16" s="12" t="inlineStr">
        <is>
          <t>上海市</t>
        </is>
      </c>
      <c r="C16" s="14" t="n">
        <v>48</v>
      </c>
      <c r="D16" s="24" t="n">
        <v>0.03373155305692199</v>
      </c>
      <c r="E16" s="12" t="n">
        <v>1</v>
      </c>
      <c r="F16" s="12" t="inlineStr">
        <is>
          <t>华谊集团</t>
        </is>
      </c>
      <c r="G16" s="12" t="inlineStr">
        <is>
          <t>乙烯法</t>
        </is>
      </c>
    </row>
    <row r="17">
      <c r="A17" s="9" t="inlineStr">
        <is>
          <t>河北省</t>
        </is>
      </c>
      <c r="B17" s="9" t="inlineStr">
        <is>
          <t>唐山市</t>
        </is>
      </c>
      <c r="C17" s="11" t="n">
        <v>47</v>
      </c>
      <c r="D17" s="23" t="n">
        <v>0.03302881236823612</v>
      </c>
      <c r="E17" s="9" t="n">
        <v>1</v>
      </c>
      <c r="F17" s="9" t="inlineStr">
        <is>
          <t>三友化工</t>
        </is>
      </c>
      <c r="G17" s="9" t="inlineStr">
        <is>
          <t>电石法（乙炔法）</t>
        </is>
      </c>
    </row>
    <row r="18">
      <c r="A18" s="12" t="inlineStr">
        <is>
          <t>广西壮族自治区</t>
        </is>
      </c>
      <c r="B18" s="12" t="inlineStr">
        <is>
          <t>钦州市</t>
        </is>
      </c>
      <c r="C18" s="14" t="n">
        <v>40</v>
      </c>
      <c r="D18" s="24" t="n">
        <v>0.02810962754743499</v>
      </c>
      <c r="E18" s="12" t="n">
        <v>1</v>
      </c>
      <c r="F18" s="12" t="inlineStr">
        <is>
          <t>华谊集团</t>
        </is>
      </c>
      <c r="G18" s="12" t="inlineStr">
        <is>
          <t>乙烯法</t>
        </is>
      </c>
    </row>
    <row r="19">
      <c r="A19" s="9" t="inlineStr">
        <is>
          <t>山东省</t>
        </is>
      </c>
      <c r="B19" s="9" t="inlineStr">
        <is>
          <t>烟台市</t>
        </is>
      </c>
      <c r="C19" s="11" t="n">
        <v>40</v>
      </c>
      <c r="D19" s="23" t="n">
        <v>0.02810962754743499</v>
      </c>
      <c r="E19" s="9" t="n">
        <v>1</v>
      </c>
      <c r="F19" s="9" t="inlineStr">
        <is>
          <t>万华化学</t>
        </is>
      </c>
      <c r="G19" s="9" t="inlineStr">
        <is>
          <t>乙烯法</t>
        </is>
      </c>
    </row>
    <row r="20">
      <c r="A20" s="12" t="inlineStr">
        <is>
          <t>河南省</t>
        </is>
      </c>
      <c r="B20" s="12" t="inlineStr">
        <is>
          <t>（待核）</t>
        </is>
      </c>
      <c r="C20" s="14" t="n">
        <v>40</v>
      </c>
      <c r="D20" s="24" t="n">
        <v>0.02810962754743499</v>
      </c>
      <c r="E20" s="12" t="n">
        <v>1</v>
      </c>
      <c r="F20" s="12" t="inlineStr">
        <is>
          <t>河南联创</t>
        </is>
      </c>
      <c r="G20" s="12" t="inlineStr">
        <is>
          <t>电石法（乙炔法）</t>
        </is>
      </c>
    </row>
    <row r="21">
      <c r="A21" s="9" t="inlineStr">
        <is>
          <t>福建省</t>
        </is>
      </c>
      <c r="B21" s="9" t="inlineStr">
        <is>
          <t>福清市</t>
        </is>
      </c>
      <c r="C21" s="11" t="n">
        <v>40</v>
      </c>
      <c r="D21" s="23" t="n">
        <v>0.02810962754743499</v>
      </c>
      <c r="E21" s="9" t="n">
        <v>2</v>
      </c>
      <c r="F21" s="9" t="inlineStr">
        <is>
          <t>万华化学</t>
        </is>
      </c>
      <c r="G21" s="9" t="inlineStr">
        <is>
          <t>乙烯法</t>
        </is>
      </c>
    </row>
    <row r="22">
      <c r="A22" s="12" t="inlineStr">
        <is>
          <t>山西省</t>
        </is>
      </c>
      <c r="B22" s="12" t="inlineStr">
        <is>
          <t>阳泉市</t>
        </is>
      </c>
      <c r="C22" s="14" t="n">
        <v>30</v>
      </c>
      <c r="D22" s="24" t="n">
        <v>0.02108222066057625</v>
      </c>
      <c r="E22" s="12" t="n">
        <v>1</v>
      </c>
      <c r="F22" s="12" t="inlineStr">
        <is>
          <t>阳煤化工</t>
        </is>
      </c>
      <c r="G22" s="12" t="inlineStr">
        <is>
          <t>乙烯法</t>
        </is>
      </c>
    </row>
    <row r="23">
      <c r="A23" s="9" t="inlineStr">
        <is>
          <t>青海省</t>
        </is>
      </c>
      <c r="B23" s="9" t="inlineStr">
        <is>
          <t>格尔木市</t>
        </is>
      </c>
      <c r="C23" s="11" t="n">
        <v>30</v>
      </c>
      <c r="D23" s="23" t="n">
        <v>0.02108222066057625</v>
      </c>
      <c r="E23" s="9" t="n">
        <v>1</v>
      </c>
      <c r="F23" s="9" t="inlineStr">
        <is>
          <t>盐湖镁业</t>
        </is>
      </c>
      <c r="G23" s="9" t="inlineStr">
        <is>
          <t>乙烯法</t>
        </is>
      </c>
    </row>
    <row r="24">
      <c r="A24" s="12" t="inlineStr">
        <is>
          <t>河南省</t>
        </is>
      </c>
      <c r="B24" s="12" t="inlineStr">
        <is>
          <t>平顶山市</t>
        </is>
      </c>
      <c r="C24" s="14" t="n">
        <v>30</v>
      </c>
      <c r="D24" s="24" t="n">
        <v>0.02108222066057625</v>
      </c>
      <c r="E24" s="12" t="n">
        <v>1</v>
      </c>
      <c r="F24" s="12" t="inlineStr">
        <is>
          <t>神马氯碱</t>
        </is>
      </c>
      <c r="G24" s="12" t="inlineStr">
        <is>
          <t>电石法（乙炔法）</t>
        </is>
      </c>
    </row>
    <row r="25">
      <c r="A25" s="9" t="inlineStr">
        <is>
          <t>甘肃省</t>
        </is>
      </c>
      <c r="B25" s="9" t="inlineStr">
        <is>
          <t>兰州新区</t>
        </is>
      </c>
      <c r="C25" s="11" t="n">
        <v>30</v>
      </c>
      <c r="D25" s="23" t="n">
        <v>0.02108222066057625</v>
      </c>
      <c r="E25" s="9" t="n">
        <v>1</v>
      </c>
      <c r="F25" s="9" t="inlineStr">
        <is>
          <t>耀望化工</t>
        </is>
      </c>
      <c r="G25" s="9" t="inlineStr">
        <is>
          <t>电石法（乙炔法）</t>
        </is>
      </c>
    </row>
    <row r="26">
      <c r="A26" s="12" t="inlineStr">
        <is>
          <t>浙江省</t>
        </is>
      </c>
      <c r="B26" s="12" t="inlineStr">
        <is>
          <t>嘉兴市</t>
        </is>
      </c>
      <c r="C26" s="14" t="n">
        <v>30</v>
      </c>
      <c r="D26" s="24" t="n">
        <v>0.02108222066057625</v>
      </c>
      <c r="E26" s="12" t="n">
        <v>1</v>
      </c>
      <c r="F26" s="12" t="inlineStr">
        <is>
          <t>嘉化能源</t>
        </is>
      </c>
      <c r="G26" s="12" t="inlineStr">
        <is>
          <t>乙烯法</t>
        </is>
      </c>
    </row>
    <row r="27">
      <c r="A27" s="9" t="inlineStr">
        <is>
          <t>新疆维吾尔自治区</t>
        </is>
      </c>
      <c r="B27" s="9" t="inlineStr">
        <is>
          <t>托克逊县</t>
        </is>
      </c>
      <c r="C27" s="11" t="n">
        <v>29</v>
      </c>
      <c r="D27" s="23" t="n">
        <v>0.02037947997189037</v>
      </c>
      <c r="E27" s="9" t="n">
        <v>1</v>
      </c>
      <c r="F27" s="9" t="inlineStr">
        <is>
          <t>中泰集团</t>
        </is>
      </c>
      <c r="G27" s="9" t="inlineStr">
        <is>
          <t>电石法（乙炔法）</t>
        </is>
      </c>
    </row>
    <row r="28">
      <c r="A28" s="12" t="inlineStr">
        <is>
          <t>广东省</t>
        </is>
      </c>
      <c r="B28" s="12" t="inlineStr">
        <is>
          <t>广州市</t>
        </is>
      </c>
      <c r="C28" s="14" t="n">
        <v>22</v>
      </c>
      <c r="D28" s="24" t="n">
        <v>0.01546029515108925</v>
      </c>
      <c r="E28" s="12" t="n">
        <v>1</v>
      </c>
      <c r="F28" s="12" t="inlineStr">
        <is>
          <t>东曹广州</t>
        </is>
      </c>
      <c r="G28" s="12" t="inlineStr">
        <is>
          <t>乙烯法</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20" customWidth="1" min="1" max="1"/>
    <col width="12" customWidth="1" min="2" max="2"/>
    <col width="14" customWidth="1" min="3" max="3"/>
    <col width="10" customWidth="1" min="4" max="4"/>
    <col width="8" customWidth="1" min="5" max="5"/>
    <col width="56" customWidth="1" min="6" max="6"/>
    <col width="56" customWidth="1" min="7" max="7"/>
  </cols>
  <sheetData>
    <row r="1" ht="24" customHeight="1">
      <c r="A1" s="7" t="inlineStr">
        <is>
          <t>工艺路线产能汇总</t>
        </is>
      </c>
    </row>
    <row r="2">
      <c r="A2" s="3" t="inlineStr">
        <is>
          <t>路线定义见 01 表；「未核实」单列，不并入任何一条路线</t>
        </is>
      </c>
    </row>
    <row r="4" ht="30" customHeight="1">
      <c r="A4" s="8" t="inlineStr">
        <is>
          <t>工艺路线</t>
        </is>
      </c>
      <c r="B4" s="8" t="inlineStr">
        <is>
          <t>代码</t>
        </is>
      </c>
      <c r="C4" s="8" t="inlineStr">
        <is>
          <t>产能(万吨/年)</t>
        </is>
      </c>
      <c r="D4" s="8" t="inlineStr">
        <is>
          <t>占样本比</t>
        </is>
      </c>
      <c r="E4" s="8" t="inlineStr">
        <is>
          <t>集团数</t>
        </is>
      </c>
      <c r="F4" s="8" t="inlineStr">
        <is>
          <t>主要集团(万吨/年)</t>
        </is>
      </c>
      <c r="G4" s="8" t="inlineStr">
        <is>
          <t>主要省份(万吨/年)</t>
        </is>
      </c>
    </row>
    <row r="5">
      <c r="A5" s="9" t="inlineStr">
        <is>
          <t>电石法（乙炔法）</t>
        </is>
      </c>
      <c r="B5" s="9" t="inlineStr">
        <is>
          <t>carbide</t>
        </is>
      </c>
      <c r="C5" s="11" t="n">
        <v>908</v>
      </c>
      <c r="D5" s="23" t="n">
        <v>0.6380885453267744</v>
      </c>
      <c r="E5" s="9" t="n">
        <v>14</v>
      </c>
      <c r="F5" s="9" t="inlineStr">
        <is>
          <t>天业集团(134)、北元集团(110)、中泰集团(109)、君正集团(80)、中盐化工(64)</t>
        </is>
      </c>
      <c r="G5" s="9" t="inlineStr">
        <is>
          <t>新疆维吾尔自治区(243)、内蒙古自治区(234)、陕西省(170)、河南省(70)、安徽省(64)</t>
        </is>
      </c>
    </row>
    <row r="6">
      <c r="A6" s="12" t="inlineStr">
        <is>
          <t>乙烯法</t>
        </is>
      </c>
      <c r="B6" s="12" t="inlineStr">
        <is>
          <t>ethylene</t>
        </is>
      </c>
      <c r="C6" s="14" t="n">
        <v>515</v>
      </c>
      <c r="D6" s="24" t="n">
        <v>0.3619114546732256</v>
      </c>
      <c r="E6" s="12" t="n">
        <v>9</v>
      </c>
      <c r="F6" s="12" t="inlineStr">
        <is>
          <t>海湾集团(105)、华谊集团(88)、渤化集团(80)、万华化学(80)、新浦化学(50)</t>
        </is>
      </c>
      <c r="G6" s="12" t="inlineStr">
        <is>
          <t>山东省(145)、天津市(80)、江苏省(50)、上海市(48)、广西壮族自治区(40)</t>
        </is>
      </c>
    </row>
    <row r="8">
      <c r="A8" s="27" t="inlineStr">
        <is>
          <t>电石法（乙炔法）：煤/石灰石→电石→乙炔→VCM→PVC。成本锚定煤价与电费，单装置规模通常 20–60 万吨/年。全球 98% 以上电石法 PVC 产能集中在中国。</t>
        </is>
      </c>
    </row>
    <row r="9">
      <c r="A9" s="27" t="inlineStr">
        <is>
          <t>乙烯法：石脑油/轻烃或煤制烯烃→乙烯→EDC/VCM→PVC。沿海装置多依托大型乙烯基地，单套规模 40–85 万吨/年。2025 年新增产能中 84.3% 为乙烯法。</t>
        </is>
      </c>
    </row>
    <row r="10">
      <c r="A10" s="27" t="inlineStr">
        <is>
          <t>煤制烯烃乙烯法：以煤制甲醇→烯烃→乙烯为原料再走乙烯法，典型如青海盐湖镁业（金属镁-PVC-钾肥耦合）与新疆天业汇祥（乙醇→乙烯→VCM）。</t>
        </is>
      </c>
    </row>
    <row r="11">
      <c r="A11" s="27" t="inlineStr">
        <is>
          <t>「煤→乙醇→乙烯→PVC」是新疆天业正在打通的新路线，其中 22.5 万吨/年乙烯法 VCM 装置 2025-07 打通流程，尚不构成 PVC 树脂产能。</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18" customWidth="1" min="1" max="1"/>
    <col width="14" customWidth="1" min="2" max="2"/>
    <col width="10" customWidth="1" min="3" max="3"/>
    <col width="10" customWidth="1" min="4" max="4"/>
    <col width="52" customWidth="1" min="5" max="5"/>
    <col width="56" customWidth="1" min="6" max="6"/>
  </cols>
  <sheetData>
    <row r="1" ht="24" customHeight="1">
      <c r="A1" s="7" t="inlineStr">
        <is>
          <t>按产品/等级拆分</t>
        </is>
      </c>
    </row>
    <row r="2">
      <c r="A2" s="3" t="inlineStr">
        <is>
          <t>不同等级（通用树脂/专用料/糊树脂）是否计入总数，取决于行业统计口径，见 01 表说明</t>
        </is>
      </c>
    </row>
    <row r="4" ht="30" customHeight="1">
      <c r="A4" s="8" t="inlineStr">
        <is>
          <t>产品等级/类别</t>
        </is>
      </c>
      <c r="B4" s="8" t="inlineStr">
        <is>
          <t>产能(万吨/年)</t>
        </is>
      </c>
      <c r="C4" s="8" t="inlineStr">
        <is>
          <t>占样本比</t>
        </is>
      </c>
      <c r="D4" s="8" t="inlineStr">
        <is>
          <t>装置条数</t>
        </is>
      </c>
      <c r="E4" s="8" t="inlineStr">
        <is>
          <t>涉及产品/牌号</t>
        </is>
      </c>
      <c r="F4" s="8" t="inlineStr">
        <is>
          <t>主要集团</t>
        </is>
      </c>
    </row>
    <row r="5">
      <c r="A5" s="9" t="inlineStr">
        <is>
          <t>未细分</t>
        </is>
      </c>
      <c r="B5" s="11" t="n">
        <v>1021</v>
      </c>
      <c r="C5" s="23" t="n">
        <v>0.7174982431482783</v>
      </c>
      <c r="D5" s="9" t="n">
        <v>22</v>
      </c>
      <c r="E5" s="9" t="inlineStr">
        <is>
          <t>聚氯乙烯树脂、聚氯乙烯树脂（2025 年新增线）、聚氯乙烯树脂（一期）、聚氯乙烯树脂（乙烯法）、聚氯乙烯树脂（二期）、聚氯乙烯树脂（悬浮法）、聚氯乙烯树脂（悬浮法，一期）、聚氯乙烯树脂（悬浮法，二期）、聚氯乙烯树脂（电石法无汞）</t>
        </is>
      </c>
      <c r="F5" s="9" t="inlineStr">
        <is>
          <t>北元集团(110)、海湾集团(105)、君正集团(80)、渤化集团(80)、华塑股份(64)</t>
        </is>
      </c>
    </row>
    <row r="6">
      <c r="A6" s="12" t="inlineStr">
        <is>
          <t>通用树脂（纯粉）</t>
        </is>
      </c>
      <c r="B6" s="14" t="n">
        <v>274</v>
      </c>
      <c r="C6" s="24" t="n">
        <v>0.1925509486999297</v>
      </c>
      <c r="D6" s="12" t="n">
        <v>4</v>
      </c>
      <c r="E6" s="12" t="inlineStr">
        <is>
          <t>聚氯乙烯树脂、聚氯乙烯树脂（悬浮法通用型）、聚氯乙烯树脂（悬浮法）、聚氯乙烯（通用 PVC 树脂）</t>
        </is>
      </c>
      <c r="F6" s="12" t="inlineStr">
        <is>
          <t>天业集团(114)、中泰集团(80)、华谊集团(40)、三友化工(40)</t>
        </is>
      </c>
    </row>
    <row r="7">
      <c r="A7" s="9" t="inlineStr">
        <is>
          <t>专用料</t>
        </is>
      </c>
      <c r="B7" s="11" t="n">
        <v>67</v>
      </c>
      <c r="C7" s="23" t="n">
        <v>0.04708362614195362</v>
      </c>
      <c r="D7" s="9" t="n">
        <v>3</v>
      </c>
      <c r="E7" s="9" t="inlineStr">
        <is>
          <t>聚氯乙烯专用树脂、聚氯乙烯树脂（高品质）、聚氯乙烯（本体法树脂）</t>
        </is>
      </c>
      <c r="F7" s="9" t="inlineStr">
        <is>
          <t>万华化学(40)、中泰集团(20)、三友化工(7)</t>
        </is>
      </c>
    </row>
    <row r="8">
      <c r="A8" s="12" t="inlineStr">
        <is>
          <t>糊树脂</t>
        </is>
      </c>
      <c r="B8" s="14" t="n">
        <v>40</v>
      </c>
      <c r="C8" s="24" t="n">
        <v>0.02810962754743499</v>
      </c>
      <c r="D8" s="12" t="n">
        <v>3</v>
      </c>
      <c r="E8" s="12" t="inlineStr">
        <is>
          <t>聚氯乙烯糊树脂（EPVC）</t>
        </is>
      </c>
      <c r="F8" s="12" t="inlineStr">
        <is>
          <t>中盐化工(24)、天业集团(10)、中泰集团(6)</t>
        </is>
      </c>
    </row>
    <row r="9">
      <c r="A9" s="9" t="inlineStr">
        <is>
          <t>特种树脂</t>
        </is>
      </c>
      <c r="B9" s="11" t="n">
        <v>21</v>
      </c>
      <c r="C9" s="23" t="n">
        <v>0.01475755446240337</v>
      </c>
      <c r="D9" s="9" t="n">
        <v>3</v>
      </c>
      <c r="E9" s="9" t="inlineStr">
        <is>
          <t>特种聚氯乙烯树脂、聚氯乙烯（特种树脂 SPVC）、聚氯乙烯（降粘树脂）</t>
        </is>
      </c>
      <c r="F9" s="9" t="inlineStr">
        <is>
          <t>天业集团(10)、华谊集团(8)、中泰集团(3)</t>
        </is>
      </c>
    </row>
    <row r="11">
      <c r="A11" s="27" t="inlineStr">
        <is>
          <t>提示：若行业总产能口径「包含糊状树脂」，则通用树脂+糊树脂之和方可与全国口径对比；仅用通用树脂对比会低估。</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20"/>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34" customWidth="1" min="3" max="3"/>
    <col width="14" customWidth="1" min="4" max="4"/>
    <col width="14" customWidth="1" min="5" max="5"/>
    <col width="12" customWidth="1" min="6" max="6"/>
    <col width="14" customWidth="1" min="7" max="7"/>
    <col width="12" customWidth="1" min="8" max="8"/>
    <col width="30" customWidth="1" min="9" max="9"/>
    <col width="12" customWidth="1" min="10" max="10"/>
    <col width="12" customWidth="1" min="11" max="11"/>
    <col width="14" customWidth="1" min="12" max="12"/>
    <col width="34" customWidth="1" min="13" max="13"/>
    <col width="12" customWidth="1" min="14" max="14"/>
    <col width="16" customWidth="1" min="15" max="15"/>
    <col width="12" customWidth="1" min="16" max="16"/>
    <col width="7" customWidth="1" min="17" max="17"/>
    <col width="60" customWidth="1" min="18" max="18"/>
    <col width="40" customWidth="1" min="19" max="19"/>
  </cols>
  <sheetData>
    <row r="1" ht="24" customHeight="1">
      <c r="A1" s="7" t="inlineStr">
        <is>
          <t>在建 / 拟建 / 扩建 / 试车 / 新投产项目</t>
        </is>
      </c>
    </row>
    <row r="2">
      <c r="A2" s="3" t="inlineStr">
        <is>
          <t>阶段判定以最新公开进展为准；不得把拟建当作存量</t>
        </is>
      </c>
    </row>
    <row r="4" ht="30" customHeight="1">
      <c r="A4" s="8" t="inlineStr">
        <is>
          <t>项目ID</t>
        </is>
      </c>
      <c r="B4" s="8" t="inlineStr">
        <is>
          <t>项目名称</t>
        </is>
      </c>
      <c r="C4" s="8" t="inlineStr">
        <is>
          <t>建设单位(法人)</t>
        </is>
      </c>
      <c r="D4" s="8" t="inlineStr">
        <is>
          <t>集团</t>
        </is>
      </c>
      <c r="E4" s="8" t="inlineStr">
        <is>
          <t>省</t>
        </is>
      </c>
      <c r="F4" s="8" t="inlineStr">
        <is>
          <t>市</t>
        </is>
      </c>
      <c r="G4" s="8" t="inlineStr">
        <is>
          <t>工艺</t>
        </is>
      </c>
      <c r="H4" s="8" t="inlineStr">
        <is>
          <t>规模(万吨/年)</t>
        </is>
      </c>
      <c r="I4" s="8" t="inlineStr">
        <is>
          <t>原文表述</t>
        </is>
      </c>
      <c r="J4" s="8" t="inlineStr">
        <is>
          <t>建设阶段</t>
        </is>
      </c>
      <c r="K4" s="8" t="inlineStr">
        <is>
          <t>预计投产</t>
        </is>
      </c>
      <c r="L4" s="8" t="inlineStr">
        <is>
          <t>置换退出(万吨/年)</t>
        </is>
      </c>
      <c r="M4" s="8" t="inlineStr">
        <is>
          <t>置换说明</t>
        </is>
      </c>
      <c r="N4" s="8" t="inlineStr">
        <is>
          <t>净增(万吨/年)</t>
        </is>
      </c>
      <c r="O4" s="8" t="inlineStr">
        <is>
          <t>投资额</t>
        </is>
      </c>
      <c r="P4" s="8" t="inlineStr">
        <is>
          <t>来源</t>
        </is>
      </c>
      <c r="Q4" s="8" t="inlineStr">
        <is>
          <t>可信度</t>
        </is>
      </c>
      <c r="R4" s="8" t="inlineStr">
        <is>
          <t>进展时间线</t>
        </is>
      </c>
      <c r="S4" s="8" t="inlineStr">
        <is>
          <t>备注</t>
        </is>
      </c>
    </row>
    <row r="5">
      <c r="A5" s="9" t="inlineStr">
        <is>
          <t>PR09</t>
        </is>
      </c>
      <c r="B5" s="10" t="inlineStr">
        <is>
          <t>广西华谊钦州 PVC 二期 40 万吨/年</t>
        </is>
      </c>
      <c r="C5" s="9" t="inlineStr">
        <is>
          <t>广西华谊氯碱化工有限公司</t>
        </is>
      </c>
      <c r="D5" s="9" t="inlineStr">
        <is>
          <t>华谊集团</t>
        </is>
      </c>
      <c r="E5" s="9" t="inlineStr">
        <is>
          <t>广西壮族自治区</t>
        </is>
      </c>
      <c r="F5" s="9" t="inlineStr">
        <is>
          <t>钦州市</t>
        </is>
      </c>
      <c r="G5" s="9" t="inlineStr">
        <is>
          <t>乙烯法</t>
        </is>
      </c>
      <c r="H5" s="11" t="n">
        <v>40</v>
      </c>
      <c r="I5" s="10" t="inlineStr">
        <is>
          <t>PVC 40 万吨/年（二期）</t>
        </is>
      </c>
      <c r="J5" s="9" t="inlineStr">
        <is>
          <t>已运行</t>
        </is>
      </c>
      <c r="K5" s="9" t="inlineStr">
        <is>
          <t>2022-11-30 首批产品下线</t>
        </is>
      </c>
      <c r="L5" s="11" t="n"/>
      <c r="M5" s="10" t="inlineStr">
        <is>
          <t>无（净新增）</t>
        </is>
      </c>
      <c r="N5" s="11" t="n">
        <v>40</v>
      </c>
      <c r="O5" s="9" t="inlineStr"/>
      <c r="P5" s="9" t="inlineStr">
        <is>
          <t>S10</t>
        </is>
      </c>
      <c r="Q5" s="9" t="inlineStr">
        <is>
          <t>B</t>
        </is>
      </c>
      <c r="R5" s="10" t="inlineStr">
        <is>
          <t>2019 项目投资建设；2022-11-30 首批产品下线；2024-05-23 氯碱化工公告收购广西氯碱剩余 40% 股权至 100%</t>
        </is>
      </c>
      <c r="S5" s="10" t="inlineStr">
        <is>
          <t>⚠ 常见误引：多处资料把广西华谊写成「在建 30 万吨乙烯法」。事实上已投产的是二期 40 万吨（2022-11-30 首批产品下线），而 30 万吨是 2025-12 新备案的废盐综合利用配套项目（见 PR03）。两者是不同项目。</t>
        </is>
      </c>
    </row>
    <row r="6">
      <c r="A6" s="12" t="inlineStr">
        <is>
          <t>PR06</t>
        </is>
      </c>
      <c r="B6" s="13" t="inlineStr">
        <is>
          <t>万华化学福建基地 PVC 一期 40 万吨/年</t>
        </is>
      </c>
      <c r="C6" s="12" t="inlineStr">
        <is>
          <t>万华化学（福建）有限公司</t>
        </is>
      </c>
      <c r="D6" s="12" t="inlineStr">
        <is>
          <t>万华化学</t>
        </is>
      </c>
      <c r="E6" s="12" t="inlineStr">
        <is>
          <t>福建省</t>
        </is>
      </c>
      <c r="F6" s="12" t="inlineStr">
        <is>
          <t>福清市</t>
        </is>
      </c>
      <c r="G6" s="12" t="inlineStr">
        <is>
          <t>乙烯法</t>
        </is>
      </c>
      <c r="H6" s="14" t="n">
        <v>40</v>
      </c>
      <c r="I6" s="13" t="inlineStr">
        <is>
          <t>PVC 一期 40 万吨/年</t>
        </is>
      </c>
      <c r="J6" s="12" t="inlineStr">
        <is>
          <t>新投产爬坡</t>
        </is>
      </c>
      <c r="K6" s="12" t="inlineStr">
        <is>
          <t>2025 年 5—7 月试车投产</t>
        </is>
      </c>
      <c r="L6" s="14" t="n"/>
      <c r="M6" s="13" t="inlineStr">
        <is>
          <t>净新增（无置换）</t>
        </is>
      </c>
      <c r="N6" s="14" t="n">
        <v>40</v>
      </c>
      <c r="O6" s="12" t="inlineStr"/>
      <c r="P6" s="12" t="inlineStr">
        <is>
          <t>S75</t>
        </is>
      </c>
      <c r="Q6" s="12" t="inlineStr">
        <is>
          <t>B</t>
        </is>
      </c>
      <c r="R6" s="13" t="inlineStr">
        <is>
          <t>2022-02-07 项目开工；2025-05 进入试车；2025-06 与 MDI/TDI 装置一同检修；2025-07-30 发布复产公告</t>
        </is>
      </c>
      <c r="S6" s="13" t="inlineStr">
        <is>
          <t>万华化学集团股份有限公司（600309），福清江阴港城经济区。2022-02-07 开工。2025-06 与 MDI/TDI 装置一同检修，2025-07-30 发布复产公告。⚠ 二期 40 万吨状态未知（未查到投产公告），本表未将二期计入。</t>
        </is>
      </c>
    </row>
    <row r="7">
      <c r="A7" s="9" t="inlineStr">
        <is>
          <t>PR07</t>
        </is>
      </c>
      <c r="B7" s="10" t="inlineStr">
        <is>
          <t>天津渤化 PVC 二期 40 万吨/年（乙烯法替代电石法）</t>
        </is>
      </c>
      <c r="C7" s="9" t="inlineStr">
        <is>
          <t>天津大沽化工股份有限公司</t>
        </is>
      </c>
      <c r="D7" s="9" t="inlineStr">
        <is>
          <t>渤化集团</t>
        </is>
      </c>
      <c r="E7" s="9" t="inlineStr">
        <is>
          <t>天津市</t>
        </is>
      </c>
      <c r="F7" s="9" t="inlineStr">
        <is>
          <t>天津市</t>
        </is>
      </c>
      <c r="G7" s="9" t="inlineStr">
        <is>
          <t>乙烯法</t>
        </is>
      </c>
      <c r="H7" s="11" t="n">
        <v>40</v>
      </c>
      <c r="I7" s="10" t="inlineStr">
        <is>
          <t>PVC 二期 40 万吨/年，悬浮法</t>
        </is>
      </c>
      <c r="J7" s="9" t="inlineStr">
        <is>
          <t>已运行</t>
        </is>
      </c>
      <c r="K7" s="9" t="inlineStr">
        <is>
          <t>2025-09-28 全面投产</t>
        </is>
      </c>
      <c r="L7" s="11" t="n"/>
      <c r="M7" s="10" t="inlineStr">
        <is>
          <t>搬迁淘汰原电石法（吨数未披露）</t>
        </is>
      </c>
      <c r="N7" s="11" t="n">
        <v>40</v>
      </c>
      <c r="O7" s="9" t="inlineStr"/>
      <c r="P7" s="9" t="inlineStr">
        <is>
          <t>S67 / S19</t>
        </is>
      </c>
      <c r="Q7" s="9" t="inlineStr">
        <is>
          <t>B</t>
        </is>
      </c>
      <c r="R7" s="10" t="inlineStr">
        <is>
          <t>2021-12 一期烧碱、聚氯乙烯装置试车投产；2022 起不再采购电石原料（改乙烯法）；2025-09-28 二期 40 万吨全面投产，PVC 总产能达 120 万吨</t>
        </is>
      </c>
      <c r="S7" s="10" t="inlineStr">
        <is>
          <t>投产后天津渤化 PVC 总产能 120 万吨（80 + 40），乙烯法替代原电石法。⚠ 这是本轮核查中置换逻辑最清晰的大型项目之一，但公开报道未给出淘汰吨数，因此 net 仍无法精确计算。</t>
        </is>
      </c>
    </row>
    <row r="8">
      <c r="A8" s="12" t="inlineStr">
        <is>
          <t>PR08</t>
        </is>
      </c>
      <c r="B8" s="13" t="inlineStr">
        <is>
          <t>陕西金泰氯碱神木 60 万吨/年电石法 PVC（无汞示范）</t>
        </is>
      </c>
      <c r="C8" s="12" t="inlineStr">
        <is>
          <t>陕西金泰氯碱神木化工有限公司</t>
        </is>
      </c>
      <c r="D8" s="12" t="inlineStr">
        <is>
          <t>陕投集团</t>
        </is>
      </c>
      <c r="E8" s="12" t="inlineStr">
        <is>
          <t>陕西省</t>
        </is>
      </c>
      <c r="F8" s="12" t="inlineStr">
        <is>
          <t>神木市</t>
        </is>
      </c>
      <c r="G8" s="12" t="inlineStr">
        <is>
          <t>电石法（乙炔法）</t>
        </is>
      </c>
      <c r="H8" s="14" t="n">
        <v>60</v>
      </c>
      <c r="I8" s="13" t="inlineStr">
        <is>
          <t>PVC 60 万吨/年，电石法无汞催化</t>
        </is>
      </c>
      <c r="J8" s="12" t="inlineStr">
        <is>
          <t>已运行</t>
        </is>
      </c>
      <c r="K8" s="12" t="inlineStr">
        <is>
          <t>2025-07-11 交工验收</t>
        </is>
      </c>
      <c r="L8" s="14" t="n"/>
      <c r="M8" s="13" t="inlineStr">
        <is>
          <t>未查到</t>
        </is>
      </c>
      <c r="N8" s="14" t="n">
        <v>60</v>
      </c>
      <c r="O8" s="12" t="inlineStr"/>
      <c r="P8" s="12" t="inlineStr">
        <is>
          <t>S72</t>
        </is>
      </c>
      <c r="Q8" s="12" t="inlineStr">
        <is>
          <t>B</t>
        </is>
      </c>
      <c r="R8" s="13" t="inlineStr">
        <is>
          <t>2024-05-11 试生产；2025-07-11 交工验收</t>
        </is>
      </c>
      <c r="S8" s="13" t="inlineStr">
        <is>
          <t>陕西金泰氯碱（陕投集团），神木。2024-05-11 试生产，2025-07-11 交工验收。⚠ 重要：这是 2025 年实际投产的大型电石法装置（60 万吨），与「2025 年新增产能 84.3% 为乙烯法」的年报表述并不矛盾——后者是含改扩建的「新增产能」口径，前者是「新投产装置」口径，两者不可混用。</t>
        </is>
      </c>
    </row>
    <row r="9">
      <c r="A9" s="9" t="inlineStr">
        <is>
          <t>PR10</t>
        </is>
      </c>
      <c r="B9" s="10" t="inlineStr">
        <is>
          <t>甘肃耀望化工 30 万吨/年无汞电石法 PVC</t>
        </is>
      </c>
      <c r="C9" s="9" t="inlineStr">
        <is>
          <t>甘肃耀望化工有限公司</t>
        </is>
      </c>
      <c r="D9" s="9" t="inlineStr">
        <is>
          <t>耀望化工</t>
        </is>
      </c>
      <c r="E9" s="9" t="inlineStr">
        <is>
          <t>甘肃省</t>
        </is>
      </c>
      <c r="F9" s="9" t="inlineStr">
        <is>
          <t>兰州新区</t>
        </is>
      </c>
      <c r="G9" s="9" t="inlineStr">
        <is>
          <t>电石法（乙炔法）</t>
        </is>
      </c>
      <c r="H9" s="11" t="n">
        <v>30</v>
      </c>
      <c r="I9" s="10" t="inlineStr">
        <is>
          <t>PVC 30 万吨/年，电石法无汞催化</t>
        </is>
      </c>
      <c r="J9" s="9" t="inlineStr">
        <is>
          <t>新投产爬坡</t>
        </is>
      </c>
      <c r="K9" s="9" t="inlineStr">
        <is>
          <t>2025-11 投产</t>
        </is>
      </c>
      <c r="L9" s="11" t="n"/>
      <c r="M9" s="10" t="inlineStr">
        <is>
          <t>未查到置换方案</t>
        </is>
      </c>
      <c r="N9" s="11" t="n">
        <v>30</v>
      </c>
      <c r="O9" s="9" t="inlineStr"/>
      <c r="P9" s="9" t="inlineStr">
        <is>
          <t>S73</t>
        </is>
      </c>
      <c r="Q9" s="9" t="inlineStr">
        <is>
          <t>B</t>
        </is>
      </c>
      <c r="R9" s="10" t="inlineStr">
        <is>
          <t>2025-11 投产（无汞催化电石法）</t>
        </is>
      </c>
      <c r="S9" s="10" t="inlineStr">
        <is>
          <t>甘肃耀望化工，兰州新区。2025-11 投产。与陕西金泰 60 万吨合计 90 万吨电石法装置在 2025 年投产——这是「2025 年新投产装置电石法占比并不低」的关键证据。</t>
        </is>
      </c>
    </row>
    <row r="10">
      <c r="A10" s="12" t="inlineStr">
        <is>
          <t>PR11</t>
        </is>
      </c>
      <c r="B10" s="13" t="inlineStr">
        <is>
          <t>新浦化学（泰兴）50 万吨/年 PVC</t>
        </is>
      </c>
      <c r="C10" s="12" t="inlineStr">
        <is>
          <t>新浦化学（泰兴）有限公司</t>
        </is>
      </c>
      <c r="D10" s="12" t="inlineStr">
        <is>
          <t>新浦化学</t>
        </is>
      </c>
      <c r="E10" s="12" t="inlineStr">
        <is>
          <t>江苏省</t>
        </is>
      </c>
      <c r="F10" s="12" t="inlineStr">
        <is>
          <t>泰兴市</t>
        </is>
      </c>
      <c r="G10" s="12" t="inlineStr">
        <is>
          <t>乙烯法</t>
        </is>
      </c>
      <c r="H10" s="14" t="n">
        <v>50</v>
      </c>
      <c r="I10" s="13" t="inlineStr">
        <is>
          <t>PVC 50 万吨/年</t>
        </is>
      </c>
      <c r="J10" s="12" t="inlineStr">
        <is>
          <t>新投产爬坡</t>
        </is>
      </c>
      <c r="K10" s="12" t="inlineStr">
        <is>
          <t>2025 年 1—2 月量产</t>
        </is>
      </c>
      <c r="L10" s="14" t="n"/>
      <c r="M10" s="13" t="inlineStr">
        <is>
          <t>未查到置换方案</t>
        </is>
      </c>
      <c r="N10" s="14" t="n">
        <v>50</v>
      </c>
      <c r="O10" s="12" t="inlineStr"/>
      <c r="P10" s="12" t="inlineStr">
        <is>
          <t>S74</t>
        </is>
      </c>
      <c r="Q10" s="12" t="inlineStr">
        <is>
          <t>B</t>
        </is>
      </c>
      <c r="R10" s="13" t="inlineStr">
        <is>
          <t>2022-04 中交；2025-02 量产</t>
        </is>
      </c>
      <c r="S10" s="13" t="inlineStr">
        <is>
          <t>新浦化学（泰兴）有限公司，江苏泰兴经济开发区。2022-04 中交，2025 年 1—2 月量产。</t>
        </is>
      </c>
    </row>
    <row r="11">
      <c r="A11" s="9" t="inlineStr">
        <is>
          <t>PR12</t>
        </is>
      </c>
      <c r="B11" s="10" t="inlineStr">
        <is>
          <t>青岛海湾化学 2025 年新增 20 万吨乙烯法 PVC</t>
        </is>
      </c>
      <c r="C11" s="9" t="inlineStr">
        <is>
          <t>青岛海湾化学股份有限公司</t>
        </is>
      </c>
      <c r="D11" s="9" t="inlineStr">
        <is>
          <t>海湾集团</t>
        </is>
      </c>
      <c r="E11" s="9" t="inlineStr">
        <is>
          <t>山东省</t>
        </is>
      </c>
      <c r="F11" s="9" t="inlineStr">
        <is>
          <t>青岛市</t>
        </is>
      </c>
      <c r="G11" s="9" t="inlineStr">
        <is>
          <t>乙烯法</t>
        </is>
      </c>
      <c r="H11" s="11" t="n">
        <v>20</v>
      </c>
      <c r="I11" s="10" t="inlineStr">
        <is>
          <t>PVC 新增 20 万吨/年（在 85 万吨基础上）</t>
        </is>
      </c>
      <c r="J11" s="9" t="inlineStr">
        <is>
          <t>新投产爬坡</t>
        </is>
      </c>
      <c r="K11" s="9" t="inlineStr">
        <is>
          <t>2025 年 8—9 月试车</t>
        </is>
      </c>
      <c r="L11" s="11" t="n"/>
      <c r="M11" s="10" t="inlineStr">
        <is>
          <t>净新增（无置换）</t>
        </is>
      </c>
      <c r="N11" s="11" t="n">
        <v>20</v>
      </c>
      <c r="O11" s="9" t="inlineStr"/>
      <c r="P11" s="9" t="inlineStr">
        <is>
          <t>S22 / S24</t>
        </is>
      </c>
      <c r="Q11" s="9" t="inlineStr">
        <is>
          <t>B</t>
        </is>
      </c>
      <c r="R11" s="10" t="inlineStr">
        <is>
          <t>2020 年底 PVC 二期、烧碱二期投产；2025-08 新增 20 万吨试车</t>
        </is>
      </c>
      <c r="S11" s="10" t="inlineStr">
        <is>
          <t>⚠ 常见误引：多处把海湾化学写成「PVC 产能将达 100 万吨/年」。经核实：现有 85 万吨乙烯法 PVC 早已建成，2025 年新增仅 20 万吨；另有 40 万吨/年是 VCM（原料），不是 PVC 产能。「100 万吨」是媒体把不同口径加总后的说法，未采信。</t>
        </is>
      </c>
    </row>
    <row r="12">
      <c r="A12" s="12" t="inlineStr">
        <is>
          <t>PR14</t>
        </is>
      </c>
      <c r="B12" s="13" t="inlineStr">
        <is>
          <t>湖北宜化旧 PVC 装置永久关停</t>
        </is>
      </c>
      <c r="C12" s="12" t="inlineStr">
        <is>
          <t>青海宜化化工有限责任公司</t>
        </is>
      </c>
      <c r="D12" s="12" t="inlineStr">
        <is>
          <t>宜化集团</t>
        </is>
      </c>
      <c r="E12" s="12" t="inlineStr">
        <is>
          <t>湖北省</t>
        </is>
      </c>
      <c r="F12" s="12" t="inlineStr">
        <is>
          <t>（未披露）</t>
        </is>
      </c>
      <c r="G12" s="12" t="inlineStr">
        <is>
          <t>电石法（乙炔法）</t>
        </is>
      </c>
      <c r="H12" s="14" t="n"/>
      <c r="I12" s="13" t="inlineStr">
        <is>
          <t>关停吨数未披露（年报仅注「本年度存在部分 PVC 装置关停」）</t>
        </is>
      </c>
      <c r="J12" s="12" t="inlineStr">
        <is>
          <t>取消</t>
        </is>
      </c>
      <c r="K12" s="12" t="inlineStr">
        <is>
          <t>2025 年内</t>
        </is>
      </c>
      <c r="L12" s="14" t="n"/>
      <c r="M12" s="13" t="inlineStr">
        <is>
          <t>不适用</t>
        </is>
      </c>
      <c r="N12" s="14" t="n"/>
      <c r="O12" s="12" t="inlineStr"/>
      <c r="P12" s="12" t="inlineStr">
        <is>
          <t>S08 / S60</t>
        </is>
      </c>
      <c r="Q12" s="12" t="inlineStr">
        <is>
          <t>B</t>
        </is>
      </c>
      <c r="R12" s="13" t="inlineStr">
        <is>
          <t>2025 部分 PVC 装置永久关停（商务部口径）</t>
        </is>
      </c>
      <c r="S12" s="13" t="inlineStr">
        <is>
          <t>⚠ 这是本报告最典型的一处「吨数未知」：退出方向明确（永久关停），但具体厂址与关停吨数均未公开。因此湖北宜化 90 万吨中究竟有多少仍在有效供给，无法精确计算，已列入数据缺口 G-04。</t>
        </is>
      </c>
    </row>
    <row r="13">
      <c r="A13" s="9" t="inlineStr">
        <is>
          <t>PR04</t>
        </is>
      </c>
      <c r="B13" s="10" t="inlineStr">
        <is>
          <t>聚氯乙烯二期 30 万吨/年</t>
        </is>
      </c>
      <c r="C13" s="9" t="inlineStr">
        <is>
          <t>浙江嘉化能源化工股份有限公司</t>
        </is>
      </c>
      <c r="D13" s="9" t="inlineStr">
        <is>
          <t>嘉化能源</t>
        </is>
      </c>
      <c r="E13" s="9" t="inlineStr">
        <is>
          <t>浙江省</t>
        </is>
      </c>
      <c r="F13" s="9" t="inlineStr">
        <is>
          <t>嘉兴市</t>
        </is>
      </c>
      <c r="G13" s="9" t="inlineStr">
        <is>
          <t>乙烯法</t>
        </is>
      </c>
      <c r="H13" s="11" t="n">
        <v>30</v>
      </c>
      <c r="I13" s="10" t="inlineStr">
        <is>
          <t>PVC 30 万吨/年（二期）</t>
        </is>
      </c>
      <c r="J13" s="9" t="inlineStr">
        <is>
          <t>试车</t>
        </is>
      </c>
      <c r="K13" s="9" t="inlineStr">
        <is>
          <t>2026 年逐步放量</t>
        </is>
      </c>
      <c r="L13" s="11" t="n"/>
      <c r="M13" s="10" t="inlineStr">
        <is>
          <t>净新增（无置换）</t>
        </is>
      </c>
      <c r="N13" s="11" t="n">
        <v>30</v>
      </c>
      <c r="O13" s="9" t="inlineStr"/>
      <c r="P13" s="9" t="inlineStr">
        <is>
          <t>S66</t>
        </is>
      </c>
      <c r="Q13" s="9" t="inlineStr">
        <is>
          <t>B</t>
        </is>
      </c>
      <c r="R13" s="10" t="inlineStr">
        <is>
          <t>2025-08-28 VCM 二期装置开车；2026-02 公司表述「2026 年 PVC 二期产能陆续释放」</t>
        </is>
      </c>
      <c r="S13" s="10" t="inlineStr">
        <is>
          <t>浙江嘉化能源化工股份有限公司（600273），嘉兴港区。乙烯法（日本 JNC 悬浮法技术，外购乙烯）。VCM 二期已于 2025-08-28 开车，PVC 装置 2026 年逐步放量。⚠ 注意其成本结构：纯外购乙烯在乙烯价格高位时缺乏一体化缓冲。</t>
        </is>
      </c>
    </row>
    <row r="14">
      <c r="A14" s="12" t="inlineStr">
        <is>
          <t>PR01</t>
        </is>
      </c>
      <c r="B14" s="13" t="inlineStr">
        <is>
          <t>年产 96 万吨聚氯乙烯项目</t>
        </is>
      </c>
      <c r="C14" s="12" t="inlineStr">
        <is>
          <t>万融新材料（福建）有限公司</t>
        </is>
      </c>
      <c r="D14" s="12" t="inlineStr">
        <is>
          <t>万华化学</t>
        </is>
      </c>
      <c r="E14" s="12" t="inlineStr">
        <is>
          <t>福建省</t>
        </is>
      </c>
      <c r="F14" s="12" t="inlineStr">
        <is>
          <t>福清市</t>
        </is>
      </c>
      <c r="G14" s="12" t="inlineStr">
        <is>
          <t>乙烯法</t>
        </is>
      </c>
      <c r="H14" s="14" t="n">
        <v>96</v>
      </c>
      <c r="I14" s="13" t="inlineStr">
        <is>
          <t>PVC 96 万吨/年；配套 VCM 96 万吨/年；副产 25% 盐酸 8.6 万吨/年</t>
        </is>
      </c>
      <c r="J14" s="12" t="inlineStr">
        <is>
          <t>环评公示</t>
        </is>
      </c>
      <c r="K14" s="12" t="inlineStr">
        <is>
          <t>2027（环评载建设期 2 年，起算点未确认）</t>
        </is>
      </c>
      <c r="L14" s="14" t="n"/>
      <c r="M14" s="13" t="inlineStr">
        <is>
          <t>未查到置换方案</t>
        </is>
      </c>
      <c r="N14" s="14" t="n">
        <v>96</v>
      </c>
      <c r="O14" s="12" t="inlineStr"/>
      <c r="P14" s="12" t="inlineStr">
        <is>
          <t>S62</t>
        </is>
      </c>
      <c r="Q14" s="12" t="inlineStr">
        <is>
          <t>B</t>
        </is>
      </c>
      <c r="R14" s="13" t="inlineStr">
        <is>
          <t>2025-05-13 环境影响报告书 第一次公示；2025-06-13 环境影响报告书 第二次公示；未知 环评批复 / 开工</t>
        </is>
      </c>
      <c r="S14" s="13" t="inlineStr">
        <is>
          <t>万融新材料（福建）有限公司，万华化学持股 80%、员工持股平台 20%。位于福清江阴港城经济区东部片区。乙烯法，利用 MDI 80 万吨 + TDI 72 万吨装置的副产氯化氢制 VCM，是典型的「异氰酸酯—PVC」氯平衡耦合项目。2025-05-13 环评一次公示，2025-06-13 二次公示；环评批复文号与开工时间未公开。</t>
        </is>
      </c>
    </row>
    <row r="15">
      <c r="A15" s="9" t="inlineStr">
        <is>
          <t>PR05</t>
        </is>
      </c>
      <c r="B15" s="10" t="inlineStr">
        <is>
          <t>茌平信发华兴 PVC 二期 20 万吨/年</t>
        </is>
      </c>
      <c r="C15" s="9" t="inlineStr">
        <is>
          <t>茌平信发华兴化工有限公司</t>
        </is>
      </c>
      <c r="D15" s="9" t="inlineStr">
        <is>
          <t>信发集团</t>
        </is>
      </c>
      <c r="E15" s="9" t="inlineStr">
        <is>
          <t>山东省</t>
        </is>
      </c>
      <c r="F15" s="9" t="inlineStr">
        <is>
          <t>聊城市</t>
        </is>
      </c>
      <c r="G15" s="9" t="inlineStr">
        <is>
          <t>工艺未核实</t>
        </is>
      </c>
      <c r="H15" s="11" t="n">
        <v>20</v>
      </c>
      <c r="I15" s="10" t="inlineStr">
        <is>
          <t>PVC 20 万吨/年（二期）</t>
        </is>
      </c>
      <c r="J15" s="9" t="inlineStr">
        <is>
          <t>在建</t>
        </is>
      </c>
      <c r="K15" s="9" t="inlineStr">
        <is>
          <t>2027Q4（建设期 2026Q4—2027Q4）</t>
        </is>
      </c>
      <c r="L15" s="11" t="n"/>
      <c r="M15" s="10" t="inlineStr">
        <is>
          <t>未查到置换方案</t>
        </is>
      </c>
      <c r="N15" s="11" t="n">
        <v>20</v>
      </c>
      <c r="O15" s="9" t="inlineStr">
        <is>
          <t>15 亿元</t>
        </is>
      </c>
      <c r="P15" s="9" t="inlineStr">
        <is>
          <t>S64</t>
        </is>
      </c>
      <c r="Q15" s="9" t="inlineStr">
        <is>
          <t>B</t>
        </is>
      </c>
      <c r="R15" s="10" t="inlineStr">
        <is>
          <t>2026-07-04 仍在招标乙炔系统设备；2026-07-14 项目立项审批；2026-08-14 处于主体施工阶段</t>
        </is>
      </c>
      <c r="S15" s="10" t="inlineStr">
        <is>
          <t>茌平信发华兴化工有限公司（信发集团），山东聊城茌平区乐平铺镇。一期 40 万吨已于 2022-08 投产（无汞催化剂路线）。⚠ 合规风险：国家禁止新建＜20 万吨/年电石法 PVC，单体 20 万吨恰好踩线；是否合规取决于与一期合并计算，无公开文件，需向山东/聊城发改委核实。</t>
        </is>
      </c>
    </row>
    <row r="16">
      <c r="A16" s="12" t="inlineStr">
        <is>
          <t>PR02</t>
        </is>
      </c>
      <c r="B16" s="13" t="inlineStr">
        <is>
          <t>智能生态光伏耦合绿色特种树脂低碳转型升级示范工程（一期）— PVC 50 万吨</t>
        </is>
      </c>
      <c r="C16" s="12" t="inlineStr">
        <is>
          <t>新疆天业（集团）有限公司</t>
        </is>
      </c>
      <c r="D16" s="12" t="inlineStr">
        <is>
          <t>天业集团</t>
        </is>
      </c>
      <c r="E16" s="12" t="inlineStr">
        <is>
          <t>新疆维吾尔自治区</t>
        </is>
      </c>
      <c r="F16" s="12" t="inlineStr">
        <is>
          <t>石河子市</t>
        </is>
      </c>
      <c r="G16" s="12" t="inlineStr">
        <is>
          <t>乙烯法</t>
        </is>
      </c>
      <c r="H16" s="14" t="n">
        <v>50</v>
      </c>
      <c r="I16" s="13" t="inlineStr">
        <is>
          <t>PVC 50 万吨/年、烧碱 35 万吨/年、煤基乙醇 60 万吨/年</t>
        </is>
      </c>
      <c r="J16" s="12" t="inlineStr">
        <is>
          <t>在建</t>
        </is>
      </c>
      <c r="K16" s="12" t="inlineStr">
        <is>
          <t>未定（原计划受乙醇装置 EPC 废标影响，存在延后风险）</t>
        </is>
      </c>
      <c r="L16" s="14" t="n"/>
      <c r="M16" s="13" t="inlineStr">
        <is>
          <t>公开表述「部分产能置换」但方案未披露</t>
        </is>
      </c>
      <c r="N16" s="14" t="n">
        <v>50</v>
      </c>
      <c r="O16" s="12" t="inlineStr">
        <is>
          <t>139.67 亿元</t>
        </is>
      </c>
      <c r="P16" s="12" t="inlineStr">
        <is>
          <t>S51 / S63 / S50</t>
        </is>
      </c>
      <c r="Q16" s="12" t="inlineStr">
        <is>
          <t>B</t>
        </is>
      </c>
      <c r="R16" s="13" t="inlineStr">
        <is>
          <t>2025-09-01 上市公司股东大会通过控股股东代建暨关联交易议案；2026-07 项目公司注册资本由 20 亿元增至 33.59 亿元；2026-07-31 气化装置 EPC 定标（航天长征 6.76 亿元）、全厂系统 EPC 定标（天辰 26.9 亿元）；2026-10-08 乙醇装置 EPC 三标段废标、重新招标</t>
        </is>
      </c>
      <c r="S16" s="13" t="inlineStr">
        <is>
          <t>建设单位为新疆天业（集团）有限公司——上市公司的控股股东，由集团「代为培育」，上市公司不投资、仅享优先购买权（2025-09-01 股东大会通过）。⚠ 该 50 万吨绝不能计入新疆天业股份的 134 万吨。位於石河子 147 团十户滩新材料工业园。2026-07 注册资本由 20 亿增至 33.59 亿元。</t>
        </is>
      </c>
    </row>
    <row r="17">
      <c r="A17" s="9" t="inlineStr">
        <is>
          <t>PR03</t>
        </is>
      </c>
      <c r="B17" s="10" t="inlineStr">
        <is>
          <t>先进材料配套废盐综合利用项目 — PVC 30 万吨</t>
        </is>
      </c>
      <c r="C17" s="9" t="inlineStr">
        <is>
          <t>广西华谊氯碱化工有限公司</t>
        </is>
      </c>
      <c r="D17" s="9" t="inlineStr">
        <is>
          <t>华谊集团</t>
        </is>
      </c>
      <c r="E17" s="9" t="inlineStr">
        <is>
          <t>广西壮族自治区</t>
        </is>
      </c>
      <c r="F17" s="9" t="inlineStr">
        <is>
          <t>钦州市</t>
        </is>
      </c>
      <c r="G17" s="9" t="inlineStr">
        <is>
          <t>乙烯法</t>
        </is>
      </c>
      <c r="H17" s="11" t="n">
        <v>30</v>
      </c>
      <c r="I17" s="10" t="inlineStr">
        <is>
          <t>PVC 30 万吨/年、烧碱 30 万吨/年、VCM 25 万吨/年</t>
        </is>
      </c>
      <c r="J17" s="9" t="inlineStr">
        <is>
          <t>已备案</t>
        </is>
      </c>
      <c r="K17" s="9" t="inlineStr">
        <is>
          <t>未定</t>
        </is>
      </c>
      <c r="L17" s="11" t="n"/>
      <c r="M17" s="10" t="inlineStr">
        <is>
          <t>未查到置换方案</t>
        </is>
      </c>
      <c r="N17" s="11" t="n">
        <v>30</v>
      </c>
      <c r="O17" s="9" t="inlineStr">
        <is>
          <t>29.75 亿元（增资 8.93 亿元）</t>
        </is>
      </c>
      <c r="P17" s="9" t="inlineStr">
        <is>
          <t>S65</t>
        </is>
      </c>
      <c r="Q17" s="9" t="inlineStr">
        <is>
          <t>A</t>
        </is>
      </c>
      <c r="R17" s="10" t="inlineStr">
        <is>
          <t>2025-12-19 上市公司公告项目投资暨对广西氯碱增资 8.93 亿元、董事会决议；未知 环评公示 / 开工</t>
        </is>
      </c>
      <c r="S17" s="10" t="inlineStr">
        <is>
          <t>广西华谊氯碱化工有限公司，上海氯碱化工（600618）全资。位于钦州港经济技术开发区石化产业园。以园区废盐综合利用为配套的氯碱扩能，乙烯法。⚠ 注意：此 30 万吨为新增项目；已投产的二期 40 万吨见 PR09，两者不可混为一谈。</t>
        </is>
      </c>
    </row>
    <row r="18">
      <c r="A18" s="12" t="inlineStr">
        <is>
          <t>PR13</t>
        </is>
      </c>
      <c r="B18" s="13" t="inlineStr">
        <is>
          <t>浙江镇洋发展 30 万吨/年 PVC 临时停产</t>
        </is>
      </c>
      <c r="C18" s="12" t="inlineStr">
        <is>
          <t>浙江镇洋发展股份有限公司</t>
        </is>
      </c>
      <c r="D18" s="12" t="inlineStr">
        <is>
          <t>镇洋发展</t>
        </is>
      </c>
      <c r="E18" s="12" t="inlineStr">
        <is>
          <t>浙江省</t>
        </is>
      </c>
      <c r="F18" s="12" t="inlineStr">
        <is>
          <t>宁波市</t>
        </is>
      </c>
      <c r="G18" s="12" t="inlineStr">
        <is>
          <t>乙烯法</t>
        </is>
      </c>
      <c r="H18" s="14" t="n">
        <v>30</v>
      </c>
      <c r="I18" s="13" t="inlineStr">
        <is>
          <t>PVC 30 万吨/年（2023-05 投产，本次为减量事件）</t>
        </is>
      </c>
      <c r="J18" s="12" t="inlineStr">
        <is>
          <t>暂停搁置</t>
        </is>
      </c>
      <c r="K18" s="12" t="inlineStr">
        <is>
          <t>预计不超过 4 个月（2026-09-19 起）</t>
        </is>
      </c>
      <c r="L18" s="14" t="n"/>
      <c r="M18" s="13" t="inlineStr">
        <is>
          <t>不适用（非退出，为临时停产）</t>
        </is>
      </c>
      <c r="N18" s="14" t="n">
        <v>30</v>
      </c>
      <c r="O18" s="12" t="inlineStr"/>
      <c r="P18" s="12" t="inlineStr">
        <is>
          <t>S68</t>
        </is>
      </c>
      <c r="Q18" s="12" t="inlineStr">
        <is>
          <t>A</t>
        </is>
      </c>
      <c r="R18" s="13" t="inlineStr">
        <is>
          <t>2023-05 PVC 装置投产；2026-09-19 临时停产（原料乙烯涨价）</t>
        </is>
      </c>
      <c r="S18" s="13" t="inlineStr">
        <is>
          <t>浙江镇洋发展股份有限公司（603213），宁波。因原料乙烯价格上涨，2026-09-19 起 PVC 装置临时停产，预计不超过 4 个月；2026H1 PVC 毛利率 -23.24%。⚠ 案例价值：这是「乙烯法=低成本」这一流行判断的反例——纯外购乙烯、无一体化配套的乙烯法装置，在乙烯高位时同样会停车。</t>
        </is>
      </c>
    </row>
    <row r="20">
      <c r="A20" s="27" t="inlineStr">
        <is>
          <t>净增 = 规模 − 置换退出。置换退出无法确认时留空（不估算），该行不计入净增合计。</t>
        </is>
      </c>
    </row>
  </sheetData>
  <autoFilter ref="A4:S1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8"/>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8" customWidth="1" min="3" max="3"/>
    <col width="14" customWidth="1" min="4" max="4"/>
    <col width="14" customWidth="1" min="5" max="5"/>
    <col width="14" customWidth="1" min="6" max="6"/>
    <col width="12" customWidth="1" min="7" max="7"/>
    <col width="16" customWidth="1" min="8" max="8"/>
    <col width="40" customWidth="1" min="9" max="9"/>
  </cols>
  <sheetData>
    <row r="1" ht="24" customHeight="1">
      <c r="A1" s="7" t="inlineStr">
        <is>
          <t>新增产能的毛/净/加权还原</t>
        </is>
      </c>
    </row>
    <row r="2">
      <c r="A2" s="3" t="inlineStr">
        <is>
          <t>毛新增 ≠ 净新增 ≠ 实际可增量；加权仅供情景参考，不用于官方口径</t>
        </is>
      </c>
    </row>
    <row r="4" ht="30" customHeight="1">
      <c r="A4" s="8" t="inlineStr">
        <is>
          <t>建设阶段</t>
        </is>
      </c>
      <c r="B4" s="8" t="inlineStr">
        <is>
          <t>代码</t>
        </is>
      </c>
      <c r="C4" s="8" t="inlineStr">
        <is>
          <t>项目数</t>
        </is>
      </c>
      <c r="D4" s="8" t="inlineStr">
        <is>
          <t>毛新增(万吨/年)</t>
        </is>
      </c>
      <c r="E4" s="8" t="inlineStr">
        <is>
          <t>置换退出(万吨/年)</t>
        </is>
      </c>
      <c r="F4" s="8" t="inlineStr">
        <is>
          <t>净新增(万吨/年)</t>
        </is>
      </c>
      <c r="G4" s="8" t="inlineStr">
        <is>
          <t>确定性权重</t>
        </is>
      </c>
      <c r="H4" s="8" t="inlineStr">
        <is>
          <t>加权可增量(情景)</t>
        </is>
      </c>
      <c r="I4" s="8" t="inlineStr">
        <is>
          <t>项目ID</t>
        </is>
      </c>
    </row>
    <row r="5">
      <c r="A5" s="9" t="inlineStr">
        <is>
          <t>已备案</t>
        </is>
      </c>
      <c r="B5" s="9" t="inlineStr">
        <is>
          <t>filed</t>
        </is>
      </c>
      <c r="C5" s="9" t="n">
        <v>1</v>
      </c>
      <c r="D5" s="11" t="n">
        <v>30</v>
      </c>
      <c r="E5" s="11" t="n"/>
      <c r="F5" s="11" t="n">
        <v>30</v>
      </c>
      <c r="G5" s="9" t="n">
        <v>0.25</v>
      </c>
      <c r="H5" s="11" t="n">
        <v>7.5</v>
      </c>
      <c r="I5" s="9" t="inlineStr">
        <is>
          <t>PR03</t>
        </is>
      </c>
    </row>
    <row r="6">
      <c r="A6" s="12" t="inlineStr">
        <is>
          <t>环评公示</t>
        </is>
      </c>
      <c r="B6" s="12" t="inlineStr">
        <is>
          <t>eia</t>
        </is>
      </c>
      <c r="C6" s="12" t="n">
        <v>1</v>
      </c>
      <c r="D6" s="14" t="n">
        <v>96</v>
      </c>
      <c r="E6" s="14" t="n"/>
      <c r="F6" s="14" t="n">
        <v>96</v>
      </c>
      <c r="G6" s="12" t="n">
        <v>0.45</v>
      </c>
      <c r="H6" s="14" t="n">
        <v>43.2</v>
      </c>
      <c r="I6" s="12" t="inlineStr">
        <is>
          <t>PR01</t>
        </is>
      </c>
    </row>
    <row r="7">
      <c r="A7" s="9" t="inlineStr">
        <is>
          <t>在建</t>
        </is>
      </c>
      <c r="B7" s="9" t="inlineStr">
        <is>
          <t>construction</t>
        </is>
      </c>
      <c r="C7" s="9" t="n">
        <v>2</v>
      </c>
      <c r="D7" s="11" t="n">
        <v>70</v>
      </c>
      <c r="E7" s="11" t="n"/>
      <c r="F7" s="11" t="n">
        <v>70</v>
      </c>
      <c r="G7" s="9" t="n">
        <v>0.85</v>
      </c>
      <c r="H7" s="11" t="n">
        <v>59.5</v>
      </c>
      <c r="I7" s="9" t="inlineStr">
        <is>
          <t>PR02、PR05</t>
        </is>
      </c>
    </row>
    <row r="8">
      <c r="A8" s="12" t="inlineStr">
        <is>
          <t>试车</t>
        </is>
      </c>
      <c r="B8" s="12" t="inlineStr">
        <is>
          <t>commissioning</t>
        </is>
      </c>
      <c r="C8" s="12" t="n">
        <v>1</v>
      </c>
      <c r="D8" s="14" t="n">
        <v>30</v>
      </c>
      <c r="E8" s="14" t="n"/>
      <c r="F8" s="14" t="n">
        <v>30</v>
      </c>
      <c r="G8" s="12" t="n">
        <v>0.95</v>
      </c>
      <c r="H8" s="14" t="n">
        <v>28.5</v>
      </c>
      <c r="I8" s="12" t="inlineStr">
        <is>
          <t>PR04</t>
        </is>
      </c>
    </row>
    <row r="9">
      <c r="A9" s="9" t="inlineStr">
        <is>
          <t>新投产爬坡</t>
        </is>
      </c>
      <c r="B9" s="9" t="inlineStr">
        <is>
          <t>rampup</t>
        </is>
      </c>
      <c r="C9" s="9" t="n">
        <v>4</v>
      </c>
      <c r="D9" s="11" t="n">
        <v>140</v>
      </c>
      <c r="E9" s="11" t="n"/>
      <c r="F9" s="11" t="n">
        <v>140</v>
      </c>
      <c r="G9" s="9" t="n">
        <v>1</v>
      </c>
      <c r="H9" s="11" t="n">
        <v>140</v>
      </c>
      <c r="I9" s="9" t="inlineStr">
        <is>
          <t>PR06、PR10、PR11、PR12</t>
        </is>
      </c>
    </row>
    <row r="10">
      <c r="A10" s="12" t="inlineStr">
        <is>
          <t>已运行</t>
        </is>
      </c>
      <c r="B10" s="12" t="inlineStr">
        <is>
          <t>operating</t>
        </is>
      </c>
      <c r="C10" s="12" t="n">
        <v>3</v>
      </c>
      <c r="D10" s="14" t="n">
        <v>140</v>
      </c>
      <c r="E10" s="14" t="n"/>
      <c r="F10" s="14" t="n">
        <v>140</v>
      </c>
      <c r="G10" s="12" t="n"/>
      <c r="H10" s="14" t="n"/>
      <c r="I10" s="12" t="inlineStr">
        <is>
          <t>PR07、PR08、PR09</t>
        </is>
      </c>
    </row>
    <row r="11">
      <c r="A11" s="9" t="inlineStr">
        <is>
          <t>暂停搁置</t>
        </is>
      </c>
      <c r="B11" s="9" t="inlineStr">
        <is>
          <t>suspended</t>
        </is>
      </c>
      <c r="C11" s="9" t="n">
        <v>1</v>
      </c>
      <c r="D11" s="11" t="n">
        <v>30</v>
      </c>
      <c r="E11" s="11" t="n"/>
      <c r="F11" s="11" t="n">
        <v>30</v>
      </c>
      <c r="G11" s="9" t="n"/>
      <c r="H11" s="11" t="n"/>
      <c r="I11" s="9" t="inlineStr">
        <is>
          <t>PR13</t>
        </is>
      </c>
    </row>
    <row r="12">
      <c r="A12" s="12" t="inlineStr">
        <is>
          <t>取消</t>
        </is>
      </c>
      <c r="B12" s="12" t="inlineStr">
        <is>
          <t>cancelled</t>
        </is>
      </c>
      <c r="C12" s="12" t="n">
        <v>1</v>
      </c>
      <c r="D12" s="14" t="n"/>
      <c r="E12" s="14" t="n"/>
      <c r="F12" s="14" t="n"/>
      <c r="G12" s="12" t="n"/>
      <c r="H12" s="14" t="n"/>
      <c r="I12" s="12" t="inlineStr">
        <is>
          <t>PR14</t>
        </is>
      </c>
    </row>
    <row r="14">
      <c r="A14" s="28" t="inlineStr">
        <is>
          <t>说明</t>
        </is>
      </c>
    </row>
    <row r="15">
      <c r="A15" s="27" t="inlineStr">
        <is>
          <t>① 毛新增 = Σ项目规模，未扣减任何退出产能；不得直接称为「产能将增加 X 万吨」。</t>
        </is>
      </c>
    </row>
    <row r="16">
      <c r="A16" s="27" t="inlineStr">
        <is>
          <t>② 净新增 = 毛新增 − 置换/等量替代退出产能；仅当置换说明与退出产能均有来源时才可信。</t>
        </is>
      </c>
    </row>
    <row r="17">
      <c r="A17" s="27" t="inlineStr">
        <is>
          <t>③ 加权可增量 = 净新增 × 确定性权重，是情景值而非预测；权重按阶段设定（在建 0.85、试车 0.95、环评 0.45、备案 0.25、拟建 0.10）。</t>
        </is>
      </c>
    </row>
    <row r="18">
      <c r="A18" s="27" t="inlineStr">
        <is>
          <t>④ 存量与增量严禁相加；本表仅反映未来供给增量。</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4"/>
  <sheetViews>
    <sheetView showGridLines="0" workbookViewId="0">
      <pane ySplit="4" topLeftCell="A5" activePane="bottomLeft" state="frozen"/>
      <selection pane="bottomLeft" activeCell="A1" sqref="A1"/>
    </sheetView>
  </sheetViews>
  <sheetFormatPr baseColWidth="8" defaultRowHeight="15"/>
  <cols>
    <col width="8" customWidth="1" min="1" max="1"/>
    <col width="9" customWidth="1" min="2" max="2"/>
    <col width="26" customWidth="1" min="3" max="3"/>
    <col width="86" customWidth="1" min="4" max="4"/>
    <col width="54" customWidth="1" min="5" max="5"/>
  </cols>
  <sheetData>
    <row r="1" ht="24" customHeight="1">
      <c r="A1" s="7" t="inlineStr">
        <is>
          <t>重复统计与口径一致性自动校验</t>
        </is>
      </c>
    </row>
    <row r="2">
      <c r="A2" s="3" t="inlineStr">
        <is>
          <t>规则 R1–R14；ERROR 必须在引用数据前处理，WARN 需在报告中说明</t>
        </is>
      </c>
    </row>
    <row r="4" ht="30" customHeight="1">
      <c r="A4" s="8" t="inlineStr">
        <is>
          <t>规则</t>
        </is>
      </c>
      <c r="B4" s="8" t="inlineStr">
        <is>
          <t>级别</t>
        </is>
      </c>
      <c r="C4" s="8" t="inlineStr">
        <is>
          <t>对象</t>
        </is>
      </c>
      <c r="D4" s="8" t="inlineStr">
        <is>
          <t>校验信息</t>
        </is>
      </c>
      <c r="E4" s="8" t="inlineStr">
        <is>
          <t>处理建议</t>
        </is>
      </c>
    </row>
    <row r="5">
      <c r="A5" s="9" t="inlineStr">
        <is>
          <t>R10</t>
        </is>
      </c>
      <c r="B5" s="29" t="inlineStr">
        <is>
          <t>WARN</t>
        </is>
      </c>
      <c r="C5" s="10" t="inlineStr">
        <is>
          <t>PR04</t>
        </is>
      </c>
      <c r="D5" s="10" t="inlineStr">
        <is>
          <t>项目 聚氯乙烯二期 30 万吨/年 与基地 P302 已有同工艺同产能装置；需确认是新增装置还是存量装置。</t>
        </is>
      </c>
      <c r="E5" s="10" t="inlineStr">
        <is>
          <t>核对装置数量；若为同一装置，删除项目记录</t>
        </is>
      </c>
    </row>
    <row r="6">
      <c r="A6" s="12" t="inlineStr">
        <is>
          <t>R10</t>
        </is>
      </c>
      <c r="B6" s="29" t="inlineStr">
        <is>
          <t>WARN</t>
        </is>
      </c>
      <c r="C6" s="13" t="inlineStr">
        <is>
          <t>PR06</t>
        </is>
      </c>
      <c r="D6" s="13" t="inlineStr">
        <is>
          <t>项目 万华化学福建基地 PVC 一期 40 万吨/年 与基地 P304 已有同工艺同产能装置；需确认是新增装置还是存量装置。</t>
        </is>
      </c>
      <c r="E6" s="13" t="inlineStr">
        <is>
          <t>核对装置数量；若为同一装置，删除项目记录</t>
        </is>
      </c>
    </row>
    <row r="7">
      <c r="A7" s="9" t="inlineStr">
        <is>
          <t>R10</t>
        </is>
      </c>
      <c r="B7" s="29" t="inlineStr">
        <is>
          <t>WARN</t>
        </is>
      </c>
      <c r="C7" s="10" t="inlineStr">
        <is>
          <t>PR07</t>
        </is>
      </c>
      <c r="D7" s="10" t="inlineStr">
        <is>
          <t>项目 天津渤化 PVC 二期 40 万吨/年（乙烯法替代电石法） 阶段为「已运行」，应已并入存量；请确认存量装置已录入，且不在增量中重复计。</t>
        </is>
      </c>
      <c r="E7" s="10" t="inlineStr">
        <is>
          <t>将 project.stage 改为 operating 并从增量汇总排除</t>
        </is>
      </c>
    </row>
    <row r="8">
      <c r="A8" s="12" t="inlineStr">
        <is>
          <t>R10</t>
        </is>
      </c>
      <c r="B8" s="29" t="inlineStr">
        <is>
          <t>WARN</t>
        </is>
      </c>
      <c r="C8" s="13" t="inlineStr">
        <is>
          <t>PR08</t>
        </is>
      </c>
      <c r="D8" s="13" t="inlineStr">
        <is>
          <t>项目 陕西金泰氯碱神木 60 万吨/年电石法 PVC（无汞示范） 阶段为「已运行」，应已并入存量；请确认存量装置已录入，且不在增量中重复计。</t>
        </is>
      </c>
      <c r="E8" s="13" t="inlineStr">
        <is>
          <t>将 project.stage 改为 operating 并从增量汇总排除</t>
        </is>
      </c>
    </row>
    <row r="9">
      <c r="A9" s="9" t="inlineStr">
        <is>
          <t>R10</t>
        </is>
      </c>
      <c r="B9" s="29" t="inlineStr">
        <is>
          <t>WARN</t>
        </is>
      </c>
      <c r="C9" s="10" t="inlineStr">
        <is>
          <t>PR09</t>
        </is>
      </c>
      <c r="D9" s="10" t="inlineStr">
        <is>
          <t>项目 广西华谊钦州 PVC 二期 40 万吨/年 阶段为「已运行」，应已并入存量；请确认存量装置已录入，且不在增量中重复计。</t>
        </is>
      </c>
      <c r="E9" s="10" t="inlineStr">
        <is>
          <t>将 project.stage 改为 operating 并从增量汇总排除</t>
        </is>
      </c>
    </row>
    <row r="10">
      <c r="A10" s="12" t="inlineStr">
        <is>
          <t>R10</t>
        </is>
      </c>
      <c r="B10" s="29" t="inlineStr">
        <is>
          <t>WARN</t>
        </is>
      </c>
      <c r="C10" s="13" t="inlineStr">
        <is>
          <t>PR10</t>
        </is>
      </c>
      <c r="D10" s="13" t="inlineStr">
        <is>
          <t>项目 甘肃耀望化工 30 万吨/年无汞电石法 PVC 与基地 P306 已有同工艺同产能装置；需确认是新增装置还是存量装置。</t>
        </is>
      </c>
      <c r="E10" s="13" t="inlineStr">
        <is>
          <t>核对装置数量；若为同一装置，删除项目记录</t>
        </is>
      </c>
    </row>
    <row r="11">
      <c r="A11" s="9" t="inlineStr">
        <is>
          <t>R10</t>
        </is>
      </c>
      <c r="B11" s="29" t="inlineStr">
        <is>
          <t>WARN</t>
        </is>
      </c>
      <c r="C11" s="10" t="inlineStr">
        <is>
          <t>PR11</t>
        </is>
      </c>
      <c r="D11" s="10" t="inlineStr">
        <is>
          <t>项目 新浦化学（泰兴）50 万吨/年 PVC 与基地 P307 已有同工艺同产能装置；需确认是新增装置还是存量装置。</t>
        </is>
      </c>
      <c r="E11" s="10" t="inlineStr">
        <is>
          <t>核对装置数量；若为同一装置，删除项目记录</t>
        </is>
      </c>
    </row>
    <row r="12">
      <c r="A12" s="12" t="inlineStr">
        <is>
          <t>R10</t>
        </is>
      </c>
      <c r="B12" s="29" t="inlineStr">
        <is>
          <t>WARN</t>
        </is>
      </c>
      <c r="C12" s="13" t="inlineStr">
        <is>
          <t>PR12</t>
        </is>
      </c>
      <c r="D12" s="13" t="inlineStr">
        <is>
          <t>项目 青岛海湾化学 2025 年新增 20 万吨乙烯法 PVC 与基地 P110 已有同工艺同产能装置；需确认是新增装置还是存量装置。</t>
        </is>
      </c>
      <c r="E12" s="13" t="inlineStr">
        <is>
          <t>核对装置数量；若为同一装置，删除项目记录</t>
        </is>
      </c>
    </row>
    <row r="13">
      <c r="A13" s="9" t="inlineStr">
        <is>
          <t>R11</t>
        </is>
      </c>
      <c r="B13" s="29" t="inlineStr">
        <is>
          <t>WARN</t>
        </is>
      </c>
      <c r="C13" s="10" t="inlineStr">
        <is>
          <t>PR01</t>
        </is>
      </c>
      <c r="D13" s="10" t="inlineStr">
        <is>
          <t>项目 年产 96 万吨聚氯乙烯项目 的置换情况为「未查到置换方案」，但未填写 retired_capacity，毛新增会被当作净新增，导致增量高估。</t>
        </is>
      </c>
      <c r="E13" s="10" t="inlineStr">
        <is>
          <t>补 retired_capacity；无法确认则净增记 null，不进基准预测</t>
        </is>
      </c>
    </row>
    <row r="14">
      <c r="A14" s="12" t="inlineStr">
        <is>
          <t>R11</t>
        </is>
      </c>
      <c r="B14" s="29" t="inlineStr">
        <is>
          <t>WARN</t>
        </is>
      </c>
      <c r="C14" s="13" t="inlineStr">
        <is>
          <t>PR02</t>
        </is>
      </c>
      <c r="D14" s="13" t="inlineStr">
        <is>
          <t>项目 智能生态光伏耦合绿色特种树脂低碳转型升级示范工程（一期）— PVC 50 万吨 的置换情况为「公开表述「部分产能置换」但方案未披露」，但未填写 retired_capacity，毛新增会被当作净新增，导致增量高估。</t>
        </is>
      </c>
      <c r="E14" s="13" t="inlineStr">
        <is>
          <t>补 retired_capacity；无法确认则净增记 null，不进基准预测</t>
        </is>
      </c>
    </row>
    <row r="15">
      <c r="A15" s="9" t="inlineStr">
        <is>
          <t>R11</t>
        </is>
      </c>
      <c r="B15" s="29" t="inlineStr">
        <is>
          <t>WARN</t>
        </is>
      </c>
      <c r="C15" s="10" t="inlineStr">
        <is>
          <t>PR03</t>
        </is>
      </c>
      <c r="D15" s="10" t="inlineStr">
        <is>
          <t>项目 先进材料配套废盐综合利用项目 — PVC 30 万吨 的置换情况为「未查到置换方案」，但未填写 retired_capacity，毛新增会被当作净新增，导致增量高估。</t>
        </is>
      </c>
      <c r="E15" s="10" t="inlineStr">
        <is>
          <t>补 retired_capacity；无法确认则净增记 null，不进基准预测</t>
        </is>
      </c>
    </row>
    <row r="16">
      <c r="A16" s="12" t="inlineStr">
        <is>
          <t>R11</t>
        </is>
      </c>
      <c r="B16" s="29" t="inlineStr">
        <is>
          <t>WARN</t>
        </is>
      </c>
      <c r="C16" s="13" t="inlineStr">
        <is>
          <t>PR05</t>
        </is>
      </c>
      <c r="D16" s="13" t="inlineStr">
        <is>
          <t>项目 茌平信发华兴 PVC 二期 20 万吨/年 的置换情况为「未查到置换方案」，但未填写 retired_capacity，毛新增会被当作净新增，导致增量高估。</t>
        </is>
      </c>
      <c r="E16" s="13" t="inlineStr">
        <is>
          <t>补 retired_capacity；无法确认则净增记 null，不进基准预测</t>
        </is>
      </c>
    </row>
    <row r="17">
      <c r="A17" s="9" t="inlineStr">
        <is>
          <t>R11</t>
        </is>
      </c>
      <c r="B17" s="29" t="inlineStr">
        <is>
          <t>WARN</t>
        </is>
      </c>
      <c r="C17" s="10" t="inlineStr">
        <is>
          <t>PR10</t>
        </is>
      </c>
      <c r="D17" s="10" t="inlineStr">
        <is>
          <t>项目 甘肃耀望化工 30 万吨/年无汞电石法 PVC 的置换情况为「未查到置换方案」，但未填写 retired_capacity，毛新增会被当作净新增，导致增量高估。</t>
        </is>
      </c>
      <c r="E17" s="10" t="inlineStr">
        <is>
          <t>补 retired_capacity；无法确认则净增记 null，不进基准预测</t>
        </is>
      </c>
    </row>
    <row r="18">
      <c r="A18" s="12" t="inlineStr">
        <is>
          <t>R11</t>
        </is>
      </c>
      <c r="B18" s="29" t="inlineStr">
        <is>
          <t>WARN</t>
        </is>
      </c>
      <c r="C18" s="13" t="inlineStr">
        <is>
          <t>PR11</t>
        </is>
      </c>
      <c r="D18" s="13" t="inlineStr">
        <is>
          <t>项目 新浦化学（泰兴）50 万吨/年 PVC 的置换情况为「未查到置换方案」，但未填写 retired_capacity，毛新增会被当作净新增，导致增量高估。</t>
        </is>
      </c>
      <c r="E18" s="13" t="inlineStr">
        <is>
          <t>补 retired_capacity；无法确认则净增记 null，不进基准预测</t>
        </is>
      </c>
    </row>
    <row r="19">
      <c r="A19" s="9" t="inlineStr">
        <is>
          <t>R14</t>
        </is>
      </c>
      <c r="B19" s="29" t="inlineStr">
        <is>
          <t>WARN</t>
        </is>
      </c>
      <c r="C19" s="10" t="inlineStr">
        <is>
          <t>E010</t>
        </is>
      </c>
      <c r="D19" s="10" t="inlineStr">
        <is>
          <t>法人名称规范化后相同（新疆天业）：['E010', 'E301']，可能造成重复统计</t>
        </is>
      </c>
      <c r="E19" s="10" t="inlineStr">
        <is>
          <t>合并为同一 ID，或改名为可区分的法定全称</t>
        </is>
      </c>
    </row>
    <row r="20">
      <c r="A20" s="12" t="inlineStr">
        <is>
          <t>R7</t>
        </is>
      </c>
      <c r="B20" s="29" t="inlineStr">
        <is>
          <t>WARN</t>
        </is>
      </c>
      <c r="C20" s="13" t="inlineStr">
        <is>
          <t>U-P001-01</t>
        </is>
      </c>
      <c r="D20" s="13" t="inlineStr">
        <is>
          <t>装置 U-P001-01 产能未知（保留为未知，不得估算）</t>
        </is>
      </c>
      <c r="E20" s="13" t="inlineStr">
        <is>
          <t>保留为未知；在报告中单列「产能未核实」清单</t>
        </is>
      </c>
    </row>
    <row r="21">
      <c r="A21" s="9" t="inlineStr">
        <is>
          <t>R7</t>
        </is>
      </c>
      <c r="B21" s="29" t="inlineStr">
        <is>
          <t>WARN</t>
        </is>
      </c>
      <c r="C21" s="10" t="inlineStr">
        <is>
          <t>U-P004-01</t>
        </is>
      </c>
      <c r="D21" s="10" t="inlineStr">
        <is>
          <t>装置 U-P004-01 产能未知（保留为未知，不得估算）</t>
        </is>
      </c>
      <c r="E21" s="10" t="inlineStr">
        <is>
          <t>保留为未知；在报告中单列「产能未核实」清单</t>
        </is>
      </c>
    </row>
    <row r="22">
      <c r="A22" s="12" t="inlineStr">
        <is>
          <t>R7</t>
        </is>
      </c>
      <c r="B22" s="29" t="inlineStr">
        <is>
          <t>WARN</t>
        </is>
      </c>
      <c r="C22" s="13" t="inlineStr">
        <is>
          <t>U-P042-01</t>
        </is>
      </c>
      <c r="D22" s="13" t="inlineStr">
        <is>
          <t>装置 U-P042-01 产能未知（保留为未知，不得估算）</t>
        </is>
      </c>
      <c r="E22" s="13" t="inlineStr">
        <is>
          <t>保留为未知；在报告中单列「产能未核实」清单</t>
        </is>
      </c>
    </row>
    <row r="23">
      <c r="A23" s="9" t="inlineStr">
        <is>
          <t>R7</t>
        </is>
      </c>
      <c r="B23" s="29" t="inlineStr">
        <is>
          <t>WARN</t>
        </is>
      </c>
      <c r="C23" s="10" t="inlineStr">
        <is>
          <t>U-P040-02</t>
        </is>
      </c>
      <c r="D23" s="10" t="inlineStr">
        <is>
          <t>装置 U-P040-02 产能未知（保留为未知，不得估算）</t>
        </is>
      </c>
      <c r="E23" s="10" t="inlineStr">
        <is>
          <t>保留为未知；在报告中单列「产能未核实」清单</t>
        </is>
      </c>
    </row>
    <row r="24">
      <c r="A24" s="12" t="inlineStr">
        <is>
          <t>R7</t>
        </is>
      </c>
      <c r="B24" s="29" t="inlineStr">
        <is>
          <t>WARN</t>
        </is>
      </c>
      <c r="C24" s="13" t="inlineStr">
        <is>
          <t>PR14</t>
        </is>
      </c>
      <c r="D24" s="13" t="inlineStr">
        <is>
          <t>项目 湖北宜化旧 PVC 装置永久关停 产能未知</t>
        </is>
      </c>
      <c r="E24" s="13" t="inlineStr">
        <is>
          <t>保留未知，不作合计</t>
        </is>
      </c>
    </row>
    <row r="25">
      <c r="A25" s="9" t="inlineStr">
        <is>
          <t>R8</t>
        </is>
      </c>
      <c r="B25" s="29" t="inlineStr">
        <is>
          <t>WARN</t>
        </is>
      </c>
      <c r="C25" s="10" t="inlineStr">
        <is>
          <t>U-P042-01</t>
        </is>
      </c>
      <c r="D25" s="10" t="inlineStr">
        <is>
          <t>装置 U-P042-01 工艺路线未核实，工艺汇总中将单列「未核实」</t>
        </is>
      </c>
      <c r="E25" s="10" t="inlineStr">
        <is>
          <t>查环评/年报确认电石法或乙烯法</t>
        </is>
      </c>
    </row>
    <row r="26">
      <c r="A26" s="12" t="inlineStr">
        <is>
          <t>R13</t>
        </is>
      </c>
      <c r="B26" s="30" t="inlineStr">
        <is>
          <t>INFO</t>
        </is>
      </c>
      <c r="C26" s="13" t="inlineStr">
        <is>
          <t>U-P041-01</t>
        </is>
      </c>
      <c r="D26" s="13" t="inlineStr">
        <is>
          <t>装置 U-P041-01 自评可信度 B 与来源 S08 等级 A 不一致</t>
        </is>
      </c>
      <c r="E26" s="13" t="inlineStr">
        <is>
          <t>以来源等级为准或说明理由</t>
        </is>
      </c>
    </row>
    <row r="27">
      <c r="A27" s="9" t="inlineStr">
        <is>
          <t>R13</t>
        </is>
      </c>
      <c r="B27" s="30" t="inlineStr">
        <is>
          <t>INFO</t>
        </is>
      </c>
      <c r="C27" s="10" t="inlineStr">
        <is>
          <t>U-P042-01</t>
        </is>
      </c>
      <c r="D27" s="10" t="inlineStr">
        <is>
          <t>装置 U-P042-01 自评可信度 D 与来源 S08 等级 A 不一致</t>
        </is>
      </c>
      <c r="E27" s="10" t="inlineStr">
        <is>
          <t>以来源等级为准或说明理由</t>
        </is>
      </c>
    </row>
    <row r="28">
      <c r="A28" s="12" t="inlineStr">
        <is>
          <t>R13</t>
        </is>
      </c>
      <c r="B28" s="30" t="inlineStr">
        <is>
          <t>INFO</t>
        </is>
      </c>
      <c r="C28" s="13" t="inlineStr">
        <is>
          <t>U-P040-02</t>
        </is>
      </c>
      <c r="D28" s="13" t="inlineStr">
        <is>
          <t>装置 U-P040-02 自评可信度 D 与来源 S08 等级 A 不一致</t>
        </is>
      </c>
      <c r="E28" s="13" t="inlineStr">
        <is>
          <t>以来源等级为准或说明理由</t>
        </is>
      </c>
    </row>
    <row r="29">
      <c r="A29" s="9" t="inlineStr">
        <is>
          <t>R13</t>
        </is>
      </c>
      <c r="B29" s="30" t="inlineStr">
        <is>
          <t>INFO</t>
        </is>
      </c>
      <c r="C29" s="10" t="inlineStr">
        <is>
          <t>U-P080-01</t>
        </is>
      </c>
      <c r="D29" s="10" t="inlineStr">
        <is>
          <t>装置 U-P080-01 自评可信度 B 与来源 S15 等级 A 不一致</t>
        </is>
      </c>
      <c r="E29" s="10" t="inlineStr">
        <is>
          <t>以来源等级为准或说明理由</t>
        </is>
      </c>
    </row>
    <row r="30">
      <c r="A30" s="12" t="inlineStr">
        <is>
          <t>R13</t>
        </is>
      </c>
      <c r="B30" s="30" t="inlineStr">
        <is>
          <t>INFO</t>
        </is>
      </c>
      <c r="C30" s="13" t="inlineStr">
        <is>
          <t>U-P080-02</t>
        </is>
      </c>
      <c r="D30" s="13" t="inlineStr">
        <is>
          <t>装置 U-P080-02 自评可信度 B 与来源 S15 等级 A 不一致</t>
        </is>
      </c>
      <c r="E30" s="13" t="inlineStr">
        <is>
          <t>以来源等级为准或说明理由</t>
        </is>
      </c>
    </row>
    <row r="31">
      <c r="A31" s="9" t="inlineStr">
        <is>
          <t>R9</t>
        </is>
      </c>
      <c r="B31" s="30" t="inlineStr">
        <is>
          <t>INFO</t>
        </is>
      </c>
      <c r="C31" s="10" t="inlineStr">
        <is>
          <t>福建省福州市福清市江阴港城经济区</t>
        </is>
      </c>
      <c r="D31" s="10" t="inlineStr">
        <is>
          <t>多个基地共用同一注册地址 福建省福州市福清市江阴港城经济区：['P300', 'P304']；非错误，但需在报告中说明是否为同一厂区拆分。</t>
        </is>
      </c>
      <c r="E31" s="10" t="inlineStr"/>
    </row>
    <row r="33">
      <c r="A33" s="31" t="inlineStr">
        <is>
          <t>校验结果：ERROR 0 项 / WARN 21 项 / INFO 6 项</t>
        </is>
      </c>
    </row>
    <row r="34">
      <c r="A34" s="27" t="inlineStr">
        <is>
          <t>规则定义见 references/去重校验规则.md；R4 重复装置、R6 来源缺失、R11 置换未扣减是最常见的三类翻车点。</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50"/>
  <sheetViews>
    <sheetView showGridLines="0" workbookViewId="0">
      <pane ySplit="4" topLeftCell="A5" activePane="bottomLeft" state="frozen"/>
      <selection pane="bottomLeft" activeCell="A1" sqref="A1"/>
    </sheetView>
  </sheetViews>
  <sheetFormatPr baseColWidth="8" defaultRowHeight="15"/>
  <cols>
    <col width="18" customWidth="1" min="1" max="1"/>
    <col width="86" customWidth="1" min="2" max="2"/>
    <col width="54" customWidth="1" min="3" max="3"/>
    <col width="12" customWidth="1" min="4" max="4"/>
    <col width="34" customWidth="1" min="5" max="5"/>
    <col width="14" customWidth="1" min="6" max="6"/>
    <col width="14" customWidth="1" min="7" max="7"/>
    <col width="10" customWidth="1" min="8" max="8"/>
    <col width="12" customWidth="1" min="9" max="9"/>
    <col width="14" customWidth="1" min="10" max="10"/>
    <col width="11" customWidth="1" min="11" max="11"/>
    <col width="11" customWidth="1" min="12" max="12"/>
    <col width="11" customWidth="1" min="13" max="13"/>
  </cols>
  <sheetData>
    <row r="1" ht="24" customHeight="1">
      <c r="A1" s="7" t="inlineStr">
        <is>
          <t>汇总公式与加成溯源</t>
        </is>
      </c>
    </row>
    <row r="2">
      <c r="A2" s="3" t="inlineStr">
        <is>
          <t>每一条产能最终被计入哪些汇总项，可逐行核对，避免重复计入</t>
        </is>
      </c>
    </row>
    <row r="4" ht="30" customHeight="1">
      <c r="A4" s="8" t="inlineStr">
        <is>
          <t>装置ID</t>
        </is>
      </c>
      <c r="B4" s="8" t="inlineStr">
        <is>
          <t>基地</t>
        </is>
      </c>
      <c r="C4" s="8" t="inlineStr">
        <is>
          <t>省</t>
        </is>
      </c>
      <c r="D4" s="8" t="inlineStr">
        <is>
          <t>市</t>
        </is>
      </c>
      <c r="E4" s="8" t="inlineStr">
        <is>
          <t>法人</t>
        </is>
      </c>
      <c r="F4" s="8" t="inlineStr">
        <is>
          <t>集团</t>
        </is>
      </c>
      <c r="G4" s="8" t="inlineStr">
        <is>
          <t>工艺</t>
        </is>
      </c>
      <c r="H4" s="8" t="inlineStr">
        <is>
          <t>口径</t>
        </is>
      </c>
      <c r="I4" s="8" t="inlineStr">
        <is>
          <t>产能(万吨/年)</t>
        </is>
      </c>
      <c r="J4" s="8" t="inlineStr">
        <is>
          <t>同基地合计(校验)</t>
        </is>
      </c>
      <c r="K4" s="8" t="inlineStr">
        <is>
          <t>计入集团</t>
        </is>
      </c>
      <c r="L4" s="8" t="inlineStr">
        <is>
          <t>计入省份</t>
        </is>
      </c>
      <c r="M4" s="8" t="inlineStr">
        <is>
          <t>计入工艺</t>
        </is>
      </c>
    </row>
    <row r="5">
      <c r="A5" s="9" t="inlineStr">
        <is>
          <t>U-P002-01</t>
        </is>
      </c>
      <c r="B5" s="9" t="inlineStr">
        <is>
          <t>阜康基地（阜康能源）</t>
        </is>
      </c>
      <c r="C5" s="9" t="inlineStr">
        <is>
          <t>新疆维吾尔自治区</t>
        </is>
      </c>
      <c r="D5" s="9" t="inlineStr">
        <is>
          <t>阜康市</t>
        </is>
      </c>
      <c r="E5" s="9" t="inlineStr">
        <is>
          <t>新疆中泰化学阜康能源有限公司</t>
        </is>
      </c>
      <c r="F5" s="9" t="inlineStr">
        <is>
          <t>新疆中泰（集团）有限责任公司</t>
        </is>
      </c>
      <c r="G5" s="9" t="inlineStr">
        <is>
          <t>电石法（乙炔法）</t>
        </is>
      </c>
      <c r="H5" s="9" t="inlineStr">
        <is>
          <t>design</t>
        </is>
      </c>
      <c r="I5" s="11" t="n">
        <v>80</v>
      </c>
      <c r="J5" s="11">
        <f>SUMIFS('06_装置明细'!$L$5:$L$2000,'06_装置明细'!$D$5:$D$2000,"阜康基地（阜康能源）")</f>
        <v/>
      </c>
      <c r="K5" s="9" t="inlineStr">
        <is>
          <t>集团汇总</t>
        </is>
      </c>
      <c r="L5" s="9" t="inlineStr">
        <is>
          <t>省级汇总</t>
        </is>
      </c>
      <c r="M5" s="9" t="inlineStr">
        <is>
          <t>工艺汇总</t>
        </is>
      </c>
    </row>
    <row r="6">
      <c r="A6" s="12" t="inlineStr">
        <is>
          <t>U-P003-01</t>
        </is>
      </c>
      <c r="B6" s="12" t="inlineStr">
        <is>
          <t>托克逊基地（托克逊能化）</t>
        </is>
      </c>
      <c r="C6" s="12" t="inlineStr">
        <is>
          <t>新疆维吾尔自治区</t>
        </is>
      </c>
      <c r="D6" s="12" t="inlineStr">
        <is>
          <t>托克逊县</t>
        </is>
      </c>
      <c r="E6" s="12" t="inlineStr">
        <is>
          <t>新疆中泰化学托克逊能化有限公司</t>
        </is>
      </c>
      <c r="F6" s="12" t="inlineStr">
        <is>
          <t>新疆中泰（集团）有限责任公司</t>
        </is>
      </c>
      <c r="G6" s="12" t="inlineStr">
        <is>
          <t>电石法（乙炔法）</t>
        </is>
      </c>
      <c r="H6" s="12" t="inlineStr">
        <is>
          <t>design</t>
        </is>
      </c>
      <c r="I6" s="14" t="n">
        <v>20</v>
      </c>
      <c r="J6" s="14">
        <f>SUMIFS('06_装置明细'!$L$5:$L$2000,'06_装置明细'!$D$5:$D$2000,"托克逊基地（托克逊能化）")</f>
        <v/>
      </c>
      <c r="K6" s="12" t="inlineStr">
        <is>
          <t>集团汇总</t>
        </is>
      </c>
      <c r="L6" s="12" t="inlineStr">
        <is>
          <t>省级汇总</t>
        </is>
      </c>
      <c r="M6" s="12" t="inlineStr">
        <is>
          <t>工艺汇总</t>
        </is>
      </c>
    </row>
    <row r="7">
      <c r="A7" s="9" t="inlineStr">
        <is>
          <t>U-P003-02</t>
        </is>
      </c>
      <c r="B7" s="9" t="inlineStr">
        <is>
          <t>托克逊基地（托克逊能化）</t>
        </is>
      </c>
      <c r="C7" s="9" t="inlineStr">
        <is>
          <t>新疆维吾尔自治区</t>
        </is>
      </c>
      <c r="D7" s="9" t="inlineStr">
        <is>
          <t>托克逊县</t>
        </is>
      </c>
      <c r="E7" s="9" t="inlineStr">
        <is>
          <t>新疆中泰化学托克逊能化有限公司</t>
        </is>
      </c>
      <c r="F7" s="9" t="inlineStr">
        <is>
          <t>新疆中泰（集团）有限责任公司</t>
        </is>
      </c>
      <c r="G7" s="9" t="inlineStr">
        <is>
          <t>电石法（乙炔法）</t>
        </is>
      </c>
      <c r="H7" s="9" t="inlineStr">
        <is>
          <t>design</t>
        </is>
      </c>
      <c r="I7" s="11" t="n">
        <v>6</v>
      </c>
      <c r="J7" s="11">
        <f>SUMIFS('06_装置明细'!$L$5:$L$2000,'06_装置明细'!$D$5:$D$2000,"托克逊基地（托克逊能化）")</f>
        <v/>
      </c>
      <c r="K7" s="9" t="inlineStr">
        <is>
          <t>集团汇总</t>
        </is>
      </c>
      <c r="L7" s="9" t="inlineStr">
        <is>
          <t>省级汇总</t>
        </is>
      </c>
      <c r="M7" s="9" t="inlineStr">
        <is>
          <t>工艺汇总</t>
        </is>
      </c>
    </row>
    <row r="8">
      <c r="A8" s="12" t="inlineStr">
        <is>
          <t>U-P003-03</t>
        </is>
      </c>
      <c r="B8" s="12" t="inlineStr">
        <is>
          <t>托克逊基地（托克逊能化）</t>
        </is>
      </c>
      <c r="C8" s="12" t="inlineStr">
        <is>
          <t>新疆维吾尔自治区</t>
        </is>
      </c>
      <c r="D8" s="12" t="inlineStr">
        <is>
          <t>托克逊县</t>
        </is>
      </c>
      <c r="E8" s="12" t="inlineStr">
        <is>
          <t>新疆中泰化学托克逊能化有限公司</t>
        </is>
      </c>
      <c r="F8" s="12" t="inlineStr">
        <is>
          <t>新疆中泰（集团）有限责任公司</t>
        </is>
      </c>
      <c r="G8" s="12" t="inlineStr">
        <is>
          <t>电石法（乙炔法）</t>
        </is>
      </c>
      <c r="H8" s="12" t="inlineStr">
        <is>
          <t>design</t>
        </is>
      </c>
      <c r="I8" s="14" t="n">
        <v>3</v>
      </c>
      <c r="J8" s="14">
        <f>SUMIFS('06_装置明细'!$L$5:$L$2000,'06_装置明细'!$D$5:$D$2000,"托克逊基地（托克逊能化）")</f>
        <v/>
      </c>
      <c r="K8" s="12" t="inlineStr">
        <is>
          <t>集团汇总</t>
        </is>
      </c>
      <c r="L8" s="12" t="inlineStr">
        <is>
          <t>省级汇总</t>
        </is>
      </c>
      <c r="M8" s="12" t="inlineStr">
        <is>
          <t>工艺汇总</t>
        </is>
      </c>
    </row>
    <row r="9">
      <c r="A9" s="9" t="inlineStr">
        <is>
          <t>U-P010-01</t>
        </is>
      </c>
      <c r="B9" s="9" t="inlineStr">
        <is>
          <t>石河子化工园区基地（综合）</t>
        </is>
      </c>
      <c r="C9" s="9" t="inlineStr">
        <is>
          <t>新疆维吾尔自治区</t>
        </is>
      </c>
      <c r="D9" s="9" t="inlineStr">
        <is>
          <t>石河子市</t>
        </is>
      </c>
      <c r="E9" s="9" t="inlineStr">
        <is>
          <t>新疆天业股份有限公司</t>
        </is>
      </c>
      <c r="F9" s="9" t="inlineStr">
        <is>
          <t>新疆天业（集团）有限公司</t>
        </is>
      </c>
      <c r="G9" s="9" t="inlineStr">
        <is>
          <t>电石法（乙炔法）</t>
        </is>
      </c>
      <c r="H9" s="9" t="inlineStr">
        <is>
          <t>design</t>
        </is>
      </c>
      <c r="I9" s="11" t="n">
        <v>114</v>
      </c>
      <c r="J9" s="11">
        <f>SUMIFS('06_装置明细'!$L$5:$L$2000,'06_装置明细'!$D$5:$D$2000,"石河子化工园区基地（综合）")</f>
        <v/>
      </c>
      <c r="K9" s="9" t="inlineStr">
        <is>
          <t>集团汇总</t>
        </is>
      </c>
      <c r="L9" s="9" t="inlineStr">
        <is>
          <t>省级汇总</t>
        </is>
      </c>
      <c r="M9" s="9" t="inlineStr">
        <is>
          <t>工艺汇总</t>
        </is>
      </c>
    </row>
    <row r="10">
      <c r="A10" s="12" t="inlineStr">
        <is>
          <t>U-P010-02</t>
        </is>
      </c>
      <c r="B10" s="12" t="inlineStr">
        <is>
          <t>石河子化工园区基地（综合）</t>
        </is>
      </c>
      <c r="C10" s="12" t="inlineStr">
        <is>
          <t>新疆维吾尔自治区</t>
        </is>
      </c>
      <c r="D10" s="12" t="inlineStr">
        <is>
          <t>石河子市</t>
        </is>
      </c>
      <c r="E10" s="12" t="inlineStr">
        <is>
          <t>新疆天业股份有限公司</t>
        </is>
      </c>
      <c r="F10" s="12" t="inlineStr">
        <is>
          <t>新疆天业（集团）有限公司</t>
        </is>
      </c>
      <c r="G10" s="12" t="inlineStr">
        <is>
          <t>电石法（乙炔法）</t>
        </is>
      </c>
      <c r="H10" s="12" t="inlineStr">
        <is>
          <t>design</t>
        </is>
      </c>
      <c r="I10" s="14" t="n">
        <v>10</v>
      </c>
      <c r="J10" s="14">
        <f>SUMIFS('06_装置明细'!$L$5:$L$2000,'06_装置明细'!$D$5:$D$2000,"石河子化工园区基地（综合）")</f>
        <v/>
      </c>
      <c r="K10" s="12" t="inlineStr">
        <is>
          <t>集团汇总</t>
        </is>
      </c>
      <c r="L10" s="12" t="inlineStr">
        <is>
          <t>省级汇总</t>
        </is>
      </c>
      <c r="M10" s="12" t="inlineStr">
        <is>
          <t>工艺汇总</t>
        </is>
      </c>
    </row>
    <row r="11">
      <c r="A11" s="9" t="inlineStr">
        <is>
          <t>U-P010-03</t>
        </is>
      </c>
      <c r="B11" s="9" t="inlineStr">
        <is>
          <t>石河子化工园区基地（综合）</t>
        </is>
      </c>
      <c r="C11" s="9" t="inlineStr">
        <is>
          <t>新疆维吾尔自治区</t>
        </is>
      </c>
      <c r="D11" s="9" t="inlineStr">
        <is>
          <t>石河子市</t>
        </is>
      </c>
      <c r="E11" s="9" t="inlineStr">
        <is>
          <t>新疆天业股份有限公司</t>
        </is>
      </c>
      <c r="F11" s="9" t="inlineStr">
        <is>
          <t>新疆天业（集团）有限公司</t>
        </is>
      </c>
      <c r="G11" s="9" t="inlineStr">
        <is>
          <t>电石法（乙炔法）</t>
        </is>
      </c>
      <c r="H11" s="9" t="inlineStr">
        <is>
          <t>design</t>
        </is>
      </c>
      <c r="I11" s="11" t="n">
        <v>10</v>
      </c>
      <c r="J11" s="11">
        <f>SUMIFS('06_装置明细'!$L$5:$L$2000,'06_装置明细'!$D$5:$D$2000,"石河子化工园区基地（综合）")</f>
        <v/>
      </c>
      <c r="K11" s="9" t="inlineStr">
        <is>
          <t>集团汇总</t>
        </is>
      </c>
      <c r="L11" s="9" t="inlineStr">
        <is>
          <t>省级汇总</t>
        </is>
      </c>
      <c r="M11" s="9" t="inlineStr">
        <is>
          <t>工艺汇总</t>
        </is>
      </c>
    </row>
    <row r="12">
      <c r="A12" s="12" t="inlineStr">
        <is>
          <t>U-P020-01</t>
        </is>
      </c>
      <c r="B12" s="12" t="inlineStr">
        <is>
          <t>锦界园区基地（北元）</t>
        </is>
      </c>
      <c r="C12" s="12" t="inlineStr">
        <is>
          <t>陕西省</t>
        </is>
      </c>
      <c r="D12" s="12" t="inlineStr">
        <is>
          <t>神木市</t>
        </is>
      </c>
      <c r="E12" s="12" t="inlineStr">
        <is>
          <t>陕西北元化工集团股份有限公司</t>
        </is>
      </c>
      <c r="F12" s="12" t="inlineStr">
        <is>
          <t>陕西北元化工集团股份有限公司（独立上市）</t>
        </is>
      </c>
      <c r="G12" s="12" t="inlineStr">
        <is>
          <t>电石法（乙炔法）</t>
        </is>
      </c>
      <c r="H12" s="12" t="inlineStr">
        <is>
          <t>design</t>
        </is>
      </c>
      <c r="I12" s="14" t="n">
        <v>110</v>
      </c>
      <c r="J12" s="14">
        <f>SUMIFS('06_装置明细'!$L$5:$L$2000,'06_装置明细'!$D$5:$D$2000,"锦界园区基地（北元）")</f>
        <v/>
      </c>
      <c r="K12" s="12" t="inlineStr">
        <is>
          <t>集团汇总</t>
        </is>
      </c>
      <c r="L12" s="12" t="inlineStr">
        <is>
          <t>省级汇总</t>
        </is>
      </c>
      <c r="M12" s="12" t="inlineStr">
        <is>
          <t>工艺汇总</t>
        </is>
      </c>
    </row>
    <row r="13">
      <c r="A13" s="9" t="inlineStr">
        <is>
          <t>U-P030-01</t>
        </is>
      </c>
      <c r="B13" s="9" t="inlineStr">
        <is>
          <t>乌达工业园区基地（君正）</t>
        </is>
      </c>
      <c r="C13" s="9" t="inlineStr">
        <is>
          <t>内蒙古自治区</t>
        </is>
      </c>
      <c r="D13" s="9" t="inlineStr">
        <is>
          <t>乌海市</t>
        </is>
      </c>
      <c r="E13" s="9" t="inlineStr">
        <is>
          <t>内蒙古君正化工有限责任公司</t>
        </is>
      </c>
      <c r="F13" s="9" t="inlineStr">
        <is>
          <t>内蒙古君正能源化工集团股份有限公司（含乌海市君正科技产业集团）</t>
        </is>
      </c>
      <c r="G13" s="9" t="inlineStr">
        <is>
          <t>电石法（乙炔法）</t>
        </is>
      </c>
      <c r="H13" s="9" t="inlineStr">
        <is>
          <t>design</t>
        </is>
      </c>
      <c r="I13" s="11" t="n">
        <v>80</v>
      </c>
      <c r="J13" s="11">
        <f>SUMIFS('06_装置明细'!$L$5:$L$2000,'06_装置明细'!$D$5:$D$2000,"乌达工业园区基地（君正）")</f>
        <v/>
      </c>
      <c r="K13" s="9" t="inlineStr">
        <is>
          <t>集团汇总</t>
        </is>
      </c>
      <c r="L13" s="9" t="inlineStr">
        <is>
          <t>省级汇总</t>
        </is>
      </c>
      <c r="M13" s="9" t="inlineStr">
        <is>
          <t>工艺汇总</t>
        </is>
      </c>
    </row>
    <row r="14">
      <c r="A14" s="12" t="inlineStr">
        <is>
          <t>U-P050-01</t>
        </is>
      </c>
      <c r="B14" s="12" t="inlineStr">
        <is>
          <t>上海化工区基地（氯碱化工）</t>
        </is>
      </c>
      <c r="C14" s="12" t="inlineStr">
        <is>
          <t>上海市</t>
        </is>
      </c>
      <c r="D14" s="12" t="inlineStr">
        <is>
          <t>上海市</t>
        </is>
      </c>
      <c r="E14" s="12" t="inlineStr">
        <is>
          <t>上海氯碱化工股份有限公司</t>
        </is>
      </c>
      <c r="F14" s="12" t="inlineStr">
        <is>
          <t>上海华谊控股集团有限公司</t>
        </is>
      </c>
      <c r="G14" s="12" t="inlineStr">
        <is>
          <t>乙烯法</t>
        </is>
      </c>
      <c r="H14" s="12" t="inlineStr">
        <is>
          <t>design</t>
        </is>
      </c>
      <c r="I14" s="14" t="n">
        <v>40</v>
      </c>
      <c r="J14" s="14">
        <f>SUMIFS('06_装置明细'!$L$5:$L$2000,'06_装置明细'!$D$5:$D$2000,"上海化工区基地（氯碱化工）")</f>
        <v/>
      </c>
      <c r="K14" s="12" t="inlineStr">
        <is>
          <t>集团汇总</t>
        </is>
      </c>
      <c r="L14" s="12" t="inlineStr">
        <is>
          <t>省级汇总</t>
        </is>
      </c>
      <c r="M14" s="12" t="inlineStr">
        <is>
          <t>工艺汇总</t>
        </is>
      </c>
    </row>
    <row r="15">
      <c r="A15" s="9" t="inlineStr">
        <is>
          <t>U-P050-02</t>
        </is>
      </c>
      <c r="B15" s="9" t="inlineStr">
        <is>
          <t>上海化工区基地（氯碱化工）</t>
        </is>
      </c>
      <c r="C15" s="9" t="inlineStr">
        <is>
          <t>上海市</t>
        </is>
      </c>
      <c r="D15" s="9" t="inlineStr">
        <is>
          <t>上海市</t>
        </is>
      </c>
      <c r="E15" s="9" t="inlineStr">
        <is>
          <t>上海氯碱化工股份有限公司</t>
        </is>
      </c>
      <c r="F15" s="9" t="inlineStr">
        <is>
          <t>上海华谊控股集团有限公司</t>
        </is>
      </c>
      <c r="G15" s="9" t="inlineStr">
        <is>
          <t>乙烯法</t>
        </is>
      </c>
      <c r="H15" s="9" t="inlineStr">
        <is>
          <t>design</t>
        </is>
      </c>
      <c r="I15" s="11" t="n">
        <v>8</v>
      </c>
      <c r="J15" s="11">
        <f>SUMIFS('06_装置明细'!$L$5:$L$2000,'06_装置明细'!$D$5:$D$2000,"上海化工区基地（氯碱化工）")</f>
        <v/>
      </c>
      <c r="K15" s="9" t="inlineStr">
        <is>
          <t>集团汇总</t>
        </is>
      </c>
      <c r="L15" s="9" t="inlineStr">
        <is>
          <t>省级汇总</t>
        </is>
      </c>
      <c r="M15" s="9" t="inlineStr">
        <is>
          <t>工艺汇总</t>
        </is>
      </c>
    </row>
    <row r="16">
      <c r="A16" s="12" t="inlineStr">
        <is>
          <t>U-P051-01</t>
        </is>
      </c>
      <c r="B16" s="12" t="inlineStr">
        <is>
          <t>钦州基地（广西氯碱）</t>
        </is>
      </c>
      <c r="C16" s="12" t="inlineStr">
        <is>
          <t>广西壮族自治区</t>
        </is>
      </c>
      <c r="D16" s="12" t="inlineStr">
        <is>
          <t>钦州市</t>
        </is>
      </c>
      <c r="E16" s="12" t="inlineStr">
        <is>
          <t>广西华谊氯碱化工有限公司</t>
        </is>
      </c>
      <c r="F16" s="12" t="inlineStr">
        <is>
          <t>上海华谊控股集团有限公司</t>
        </is>
      </c>
      <c r="G16" s="12" t="inlineStr">
        <is>
          <t>乙烯法</t>
        </is>
      </c>
      <c r="H16" s="12" t="inlineStr">
        <is>
          <t>design</t>
        </is>
      </c>
      <c r="I16" s="14" t="n">
        <v>40</v>
      </c>
      <c r="J16" s="14">
        <f>SUMIFS('06_装置明细'!$L$5:$L$2000,'06_装置明细'!$D$5:$D$2000,"钦州基地（广西氯碱）")</f>
        <v/>
      </c>
      <c r="K16" s="12" t="inlineStr">
        <is>
          <t>集团汇总</t>
        </is>
      </c>
      <c r="L16" s="12" t="inlineStr">
        <is>
          <t>省级汇总</t>
        </is>
      </c>
      <c r="M16" s="12" t="inlineStr">
        <is>
          <t>工艺汇总</t>
        </is>
      </c>
    </row>
    <row r="17">
      <c r="A17" s="9" t="inlineStr">
        <is>
          <t>U-P060-01</t>
        </is>
      </c>
      <c r="B17" s="9" t="inlineStr">
        <is>
          <t>吉兰泰基地（中盐吉兰泰）</t>
        </is>
      </c>
      <c r="C17" s="9" t="inlineStr">
        <is>
          <t>内蒙古自治区</t>
        </is>
      </c>
      <c r="D17" s="9" t="inlineStr">
        <is>
          <t>阿拉善盟</t>
        </is>
      </c>
      <c r="E17" s="9" t="inlineStr">
        <is>
          <t>中盐吉兰泰氯碱化工有限公司</t>
        </is>
      </c>
      <c r="F17" s="9" t="inlineStr">
        <is>
          <t>中盐内蒙古化工股份有限公司（独立上市）</t>
        </is>
      </c>
      <c r="G17" s="9" t="inlineStr">
        <is>
          <t>电石法（乙炔法）</t>
        </is>
      </c>
      <c r="H17" s="9" t="inlineStr">
        <is>
          <t>design</t>
        </is>
      </c>
      <c r="I17" s="11" t="n">
        <v>40</v>
      </c>
      <c r="J17" s="11">
        <f>SUMIFS('06_装置明细'!$L$5:$L$2000,'06_装置明细'!$D$5:$D$2000,"吉兰泰基地（中盐吉兰泰）")</f>
        <v/>
      </c>
      <c r="K17" s="9" t="inlineStr">
        <is>
          <t>集团汇总</t>
        </is>
      </c>
      <c r="L17" s="9" t="inlineStr">
        <is>
          <t>省级汇总</t>
        </is>
      </c>
      <c r="M17" s="9" t="inlineStr">
        <is>
          <t>工艺汇总</t>
        </is>
      </c>
    </row>
    <row r="18">
      <c r="A18" s="12" t="inlineStr">
        <is>
          <t>U-P080-01</t>
        </is>
      </c>
      <c r="B18" s="12" t="inlineStr">
        <is>
          <t>南堡基地（三友氯碱）</t>
        </is>
      </c>
      <c r="C18" s="12" t="inlineStr">
        <is>
          <t>河北省</t>
        </is>
      </c>
      <c r="D18" s="12" t="inlineStr">
        <is>
          <t>唐山市</t>
        </is>
      </c>
      <c r="E18" s="12" t="inlineStr">
        <is>
          <t>唐山三友氯碱有限责任公司</t>
        </is>
      </c>
      <c r="F18" s="12" t="inlineStr">
        <is>
          <t>唐山三友集团有限公司</t>
        </is>
      </c>
      <c r="G18" s="12" t="inlineStr">
        <is>
          <t>电石法（乙炔法）</t>
        </is>
      </c>
      <c r="H18" s="12" t="inlineStr">
        <is>
          <t>design</t>
        </is>
      </c>
      <c r="I18" s="14" t="n">
        <v>40</v>
      </c>
      <c r="J18" s="14">
        <f>SUMIFS('06_装置明细'!$L$5:$L$2000,'06_装置明细'!$D$5:$D$2000,"南堡基地（三友氯碱）")</f>
        <v/>
      </c>
      <c r="K18" s="12" t="inlineStr">
        <is>
          <t>集团汇总</t>
        </is>
      </c>
      <c r="L18" s="12" t="inlineStr">
        <is>
          <t>省级汇总</t>
        </is>
      </c>
      <c r="M18" s="12" t="inlineStr">
        <is>
          <t>工艺汇总</t>
        </is>
      </c>
    </row>
    <row r="19">
      <c r="A19" s="9" t="inlineStr">
        <is>
          <t>U-P080-02</t>
        </is>
      </c>
      <c r="B19" s="9" t="inlineStr">
        <is>
          <t>南堡基地（三友氯碱）</t>
        </is>
      </c>
      <c r="C19" s="9" t="inlineStr">
        <is>
          <t>河北省</t>
        </is>
      </c>
      <c r="D19" s="9" t="inlineStr">
        <is>
          <t>唐山市</t>
        </is>
      </c>
      <c r="E19" s="9" t="inlineStr">
        <is>
          <t>唐山三友氯碱有限责任公司</t>
        </is>
      </c>
      <c r="F19" s="9" t="inlineStr">
        <is>
          <t>唐山三友集团有限公司</t>
        </is>
      </c>
      <c r="G19" s="9" t="inlineStr">
        <is>
          <t>电石法（乙炔法）</t>
        </is>
      </c>
      <c r="H19" s="9" t="inlineStr">
        <is>
          <t>design</t>
        </is>
      </c>
      <c r="I19" s="11" t="n">
        <v>7</v>
      </c>
      <c r="J19" s="11">
        <f>SUMIFS('06_装置明细'!$L$5:$L$2000,'06_装置明细'!$D$5:$D$2000,"南堡基地（三友氯碱）")</f>
        <v/>
      </c>
      <c r="K19" s="9" t="inlineStr">
        <is>
          <t>集团汇总</t>
        </is>
      </c>
      <c r="L19" s="9" t="inlineStr">
        <is>
          <t>省级汇总</t>
        </is>
      </c>
      <c r="M19" s="9" t="inlineStr">
        <is>
          <t>工艺汇总</t>
        </is>
      </c>
    </row>
    <row r="20">
      <c r="A20" s="12" t="inlineStr">
        <is>
          <t>U-P090-01</t>
        </is>
      </c>
      <c r="B20" s="12" t="inlineStr">
        <is>
          <t>定远基地（华塑）</t>
        </is>
      </c>
      <c r="C20" s="12" t="inlineStr">
        <is>
          <t>安徽省</t>
        </is>
      </c>
      <c r="D20" s="12" t="inlineStr">
        <is>
          <t>滁州市</t>
        </is>
      </c>
      <c r="E20" s="12" t="inlineStr">
        <is>
          <t>安徽华塑股份有限公司</t>
        </is>
      </c>
      <c r="F20" s="12" t="inlineStr">
        <is>
          <t>安徽华塑股份有限公司（独立上市）</t>
        </is>
      </c>
      <c r="G20" s="12" t="inlineStr">
        <is>
          <t>电石法（乙炔法）</t>
        </is>
      </c>
      <c r="H20" s="12" t="inlineStr">
        <is>
          <t>design</t>
        </is>
      </c>
      <c r="I20" s="14" t="n">
        <v>64</v>
      </c>
      <c r="J20" s="14">
        <f>SUMIFS('06_装置明细'!$L$5:$L$2000,'06_装置明细'!$D$5:$D$2000,"定远基地（华塑）")</f>
        <v/>
      </c>
      <c r="K20" s="12" t="inlineStr">
        <is>
          <t>集团汇总</t>
        </is>
      </c>
      <c r="L20" s="12" t="inlineStr">
        <is>
          <t>省级汇总</t>
        </is>
      </c>
      <c r="M20" s="12" t="inlineStr">
        <is>
          <t>工艺汇总</t>
        </is>
      </c>
    </row>
    <row r="21">
      <c r="A21" s="9" t="inlineStr">
        <is>
          <t>U-P100-01</t>
        </is>
      </c>
      <c r="B21" s="9" t="inlineStr">
        <is>
          <t>临港基地（大沽化工）</t>
        </is>
      </c>
      <c r="C21" s="9" t="inlineStr">
        <is>
          <t>天津市</t>
        </is>
      </c>
      <c r="D21" s="9" t="inlineStr">
        <is>
          <t>天津市</t>
        </is>
      </c>
      <c r="E21" s="9" t="inlineStr">
        <is>
          <t>天津大沽化工股份有限公司</t>
        </is>
      </c>
      <c r="F21" s="9" t="inlineStr">
        <is>
          <t>天津渤海化工集团有限责任公司</t>
        </is>
      </c>
      <c r="G21" s="9" t="inlineStr">
        <is>
          <t>乙烯法</t>
        </is>
      </c>
      <c r="H21" s="9" t="inlineStr">
        <is>
          <t>design</t>
        </is>
      </c>
      <c r="I21" s="11" t="n">
        <v>40</v>
      </c>
      <c r="J21" s="11">
        <f>SUMIFS('06_装置明细'!$L$5:$L$2000,'06_装置明细'!$D$5:$D$2000,"临港基地（大沽化工）")</f>
        <v/>
      </c>
      <c r="K21" s="9" t="inlineStr">
        <is>
          <t>集团汇总</t>
        </is>
      </c>
      <c r="L21" s="9" t="inlineStr">
        <is>
          <t>省级汇总</t>
        </is>
      </c>
      <c r="M21" s="9" t="inlineStr">
        <is>
          <t>工艺汇总</t>
        </is>
      </c>
    </row>
    <row r="22">
      <c r="A22" s="12" t="inlineStr">
        <is>
          <t>U-P100-02</t>
        </is>
      </c>
      <c r="B22" s="12" t="inlineStr">
        <is>
          <t>临港基地（大沽化工）</t>
        </is>
      </c>
      <c r="C22" s="12" t="inlineStr">
        <is>
          <t>天津市</t>
        </is>
      </c>
      <c r="D22" s="12" t="inlineStr">
        <is>
          <t>天津市</t>
        </is>
      </c>
      <c r="E22" s="12" t="inlineStr">
        <is>
          <t>天津大沽化工股份有限公司</t>
        </is>
      </c>
      <c r="F22" s="12" t="inlineStr">
        <is>
          <t>天津渤海化工集团有限责任公司</t>
        </is>
      </c>
      <c r="G22" s="12" t="inlineStr">
        <is>
          <t>乙烯法</t>
        </is>
      </c>
      <c r="H22" s="12" t="inlineStr">
        <is>
          <t>design</t>
        </is>
      </c>
      <c r="I22" s="14" t="n">
        <v>40</v>
      </c>
      <c r="J22" s="14">
        <f>SUMIFS('06_装置明细'!$L$5:$L$2000,'06_装置明细'!$D$5:$D$2000,"临港基地（大沽化工）")</f>
        <v/>
      </c>
      <c r="K22" s="12" t="inlineStr">
        <is>
          <t>集团汇总</t>
        </is>
      </c>
      <c r="L22" s="12" t="inlineStr">
        <is>
          <t>省级汇总</t>
        </is>
      </c>
      <c r="M22" s="12" t="inlineStr">
        <is>
          <t>工艺汇总</t>
        </is>
      </c>
    </row>
    <row r="23">
      <c r="A23" s="9" t="inlineStr">
        <is>
          <t>U-P110-01</t>
        </is>
      </c>
      <c r="B23" s="9" t="inlineStr">
        <is>
          <t>董家口基地（海湾化学）</t>
        </is>
      </c>
      <c r="C23" s="9" t="inlineStr">
        <is>
          <t>山东省</t>
        </is>
      </c>
      <c r="D23" s="9" t="inlineStr">
        <is>
          <t>青岛市</t>
        </is>
      </c>
      <c r="E23" s="9" t="inlineStr">
        <is>
          <t>青岛海湾化学股份有限公司</t>
        </is>
      </c>
      <c r="F23" s="9" t="inlineStr">
        <is>
          <t>青岛海湾集团有限公司</t>
        </is>
      </c>
      <c r="G23" s="9" t="inlineStr">
        <is>
          <t>乙烯法</t>
        </is>
      </c>
      <c r="H23" s="9" t="inlineStr">
        <is>
          <t>design</t>
        </is>
      </c>
      <c r="I23" s="11" t="n">
        <v>85</v>
      </c>
      <c r="J23" s="11">
        <f>SUMIFS('06_装置明细'!$L$5:$L$2000,'06_装置明细'!$D$5:$D$2000,"董家口基地（海湾化学）")</f>
        <v/>
      </c>
      <c r="K23" s="9" t="inlineStr">
        <is>
          <t>集团汇总</t>
        </is>
      </c>
      <c r="L23" s="9" t="inlineStr">
        <is>
          <t>省级汇总</t>
        </is>
      </c>
      <c r="M23" s="9" t="inlineStr">
        <is>
          <t>工艺汇总</t>
        </is>
      </c>
    </row>
    <row r="24">
      <c r="A24" s="12" t="inlineStr">
        <is>
          <t>U-P120-01</t>
        </is>
      </c>
      <c r="B24" s="12" t="inlineStr">
        <is>
          <t>烟台工业园基地（万华）</t>
        </is>
      </c>
      <c r="C24" s="12" t="inlineStr">
        <is>
          <t>山东省</t>
        </is>
      </c>
      <c r="D24" s="12" t="inlineStr">
        <is>
          <t>烟台市</t>
        </is>
      </c>
      <c r="E24" s="12" t="inlineStr">
        <is>
          <t>万华化学集团股份有限公司</t>
        </is>
      </c>
      <c r="F24" s="12" t="inlineStr">
        <is>
          <t>万华化学集团股份有限公司（独立上市）</t>
        </is>
      </c>
      <c r="G24" s="12" t="inlineStr">
        <is>
          <t>乙烯法</t>
        </is>
      </c>
      <c r="H24" s="12" t="inlineStr">
        <is>
          <t>design</t>
        </is>
      </c>
      <c r="I24" s="14" t="n">
        <v>40</v>
      </c>
      <c r="J24" s="14">
        <f>SUMIFS('06_装置明细'!$L$5:$L$2000,'06_装置明细'!$D$5:$D$2000,"烟台工业园基地（万华）")</f>
        <v/>
      </c>
      <c r="K24" s="12" t="inlineStr">
        <is>
          <t>集团汇总</t>
        </is>
      </c>
      <c r="L24" s="12" t="inlineStr">
        <is>
          <t>省级汇总</t>
        </is>
      </c>
      <c r="M24" s="12" t="inlineStr">
        <is>
          <t>工艺汇总</t>
        </is>
      </c>
    </row>
    <row r="25">
      <c r="A25" s="9" t="inlineStr">
        <is>
          <t>U-P130-01</t>
        </is>
      </c>
      <c r="B25" s="9" t="inlineStr">
        <is>
          <t>阳泉基地（阳煤化工）</t>
        </is>
      </c>
      <c r="C25" s="9" t="inlineStr">
        <is>
          <t>山西省</t>
        </is>
      </c>
      <c r="D25" s="9" t="inlineStr">
        <is>
          <t>阳泉市</t>
        </is>
      </c>
      <c r="E25" s="9" t="inlineStr">
        <is>
          <t>阳煤化工股份有限公司</t>
        </is>
      </c>
      <c r="F25" s="9" t="inlineStr">
        <is>
          <t>潞安化工集团（阳煤化工股份有限公司）</t>
        </is>
      </c>
      <c r="G25" s="9" t="inlineStr">
        <is>
          <t>乙烯法</t>
        </is>
      </c>
      <c r="H25" s="9" t="inlineStr">
        <is>
          <t>design</t>
        </is>
      </c>
      <c r="I25" s="11" t="n">
        <v>30</v>
      </c>
      <c r="J25" s="11">
        <f>SUMIFS('06_装置明细'!$L$5:$L$2000,'06_装置明细'!$D$5:$D$2000,"阳泉基地（阳煤化工）")</f>
        <v/>
      </c>
      <c r="K25" s="9" t="inlineStr">
        <is>
          <t>集团汇总</t>
        </is>
      </c>
      <c r="L25" s="9" t="inlineStr">
        <is>
          <t>省级汇总</t>
        </is>
      </c>
      <c r="M25" s="9" t="inlineStr">
        <is>
          <t>工艺汇总</t>
        </is>
      </c>
    </row>
    <row r="26">
      <c r="A26" s="12" t="inlineStr">
        <is>
          <t>U-P140-01</t>
        </is>
      </c>
      <c r="B26" s="12" t="inlineStr">
        <is>
          <t>达拉特基地（亿利化学）</t>
        </is>
      </c>
      <c r="C26" s="12" t="inlineStr">
        <is>
          <t>内蒙古自治区</t>
        </is>
      </c>
      <c r="D26" s="12" t="inlineStr">
        <is>
          <t>鄂尔多斯市</t>
        </is>
      </c>
      <c r="E26" s="12" t="inlineStr">
        <is>
          <t>内蒙古亿利化学工业有限公司</t>
        </is>
      </c>
      <c r="F26" s="12" t="inlineStr">
        <is>
          <t>亿利资源集团有限公司</t>
        </is>
      </c>
      <c r="G26" s="12" t="inlineStr">
        <is>
          <t>电石法（乙炔法）</t>
        </is>
      </c>
      <c r="H26" s="12" t="inlineStr">
        <is>
          <t>design</t>
        </is>
      </c>
      <c r="I26" s="14" t="n">
        <v>50</v>
      </c>
      <c r="J26" s="14">
        <f>SUMIFS('06_装置明细'!$L$5:$L$2000,'06_装置明细'!$D$5:$D$2000,"达拉特基地（亿利化学）")</f>
        <v/>
      </c>
      <c r="K26" s="12" t="inlineStr">
        <is>
          <t>集团汇总</t>
        </is>
      </c>
      <c r="L26" s="12" t="inlineStr">
        <is>
          <t>省级汇总</t>
        </is>
      </c>
      <c r="M26" s="12" t="inlineStr">
        <is>
          <t>工艺汇总</t>
        </is>
      </c>
    </row>
    <row r="27">
      <c r="A27" s="9" t="inlineStr">
        <is>
          <t>U-P150-01</t>
        </is>
      </c>
      <c r="B27" s="9" t="inlineStr">
        <is>
          <t>棋盘井基地（鄂尔多斯电冶）</t>
        </is>
      </c>
      <c r="C27" s="9" t="inlineStr">
        <is>
          <t>内蒙古自治区</t>
        </is>
      </c>
      <c r="D27" s="9" t="inlineStr">
        <is>
          <t>鄂尔多斯市</t>
        </is>
      </c>
      <c r="E27" s="9" t="inlineStr">
        <is>
          <t>内蒙古鄂尔多斯电力冶金集团股份有限公司氯碱化工分公司</t>
        </is>
      </c>
      <c r="F27" s="9" t="inlineStr">
        <is>
          <t>内蒙古鄂尔多斯电力冶金集团股份有限公司</t>
        </is>
      </c>
      <c r="G27" s="9" t="inlineStr">
        <is>
          <t>电石法（乙炔法）</t>
        </is>
      </c>
      <c r="H27" s="9" t="inlineStr">
        <is>
          <t>design</t>
        </is>
      </c>
      <c r="I27" s="11" t="n">
        <v>40</v>
      </c>
      <c r="J27" s="11">
        <f>SUMIFS('06_装置明细'!$L$5:$L$2000,'06_装置明细'!$D$5:$D$2000,"棋盘井基地（鄂尔多斯电冶）")</f>
        <v/>
      </c>
      <c r="K27" s="9" t="inlineStr">
        <is>
          <t>集团汇总</t>
        </is>
      </c>
      <c r="L27" s="9" t="inlineStr">
        <is>
          <t>省级汇总</t>
        </is>
      </c>
      <c r="M27" s="9" t="inlineStr">
        <is>
          <t>工艺汇总</t>
        </is>
      </c>
    </row>
    <row r="28">
      <c r="A28" s="12" t="inlineStr">
        <is>
          <t>U-P160-01</t>
        </is>
      </c>
      <c r="B28" s="12" t="inlineStr">
        <is>
          <t>察尔汗基地（盐湖镁业）</t>
        </is>
      </c>
      <c r="C28" s="12" t="inlineStr">
        <is>
          <t>青海省</t>
        </is>
      </c>
      <c r="D28" s="12" t="inlineStr">
        <is>
          <t>格尔木市</t>
        </is>
      </c>
      <c r="E28" s="12" t="inlineStr">
        <is>
          <t>青海盐湖镁业有限公司</t>
        </is>
      </c>
      <c r="F28" s="12" t="inlineStr">
        <is>
          <t>青海汇信资产管理有限责任公司（青海盐湖镁业）</t>
        </is>
      </c>
      <c r="G28" s="12" t="inlineStr">
        <is>
          <t>乙烯法</t>
        </is>
      </c>
      <c r="H28" s="12" t="inlineStr">
        <is>
          <t>design</t>
        </is>
      </c>
      <c r="I28" s="14" t="n">
        <v>30</v>
      </c>
      <c r="J28" s="14">
        <f>SUMIFS('06_装置明细'!$L$5:$L$2000,'06_装置明细'!$D$5:$D$2000,"察尔汗基地（盐湖镁业）")</f>
        <v/>
      </c>
      <c r="K28" s="12" t="inlineStr">
        <is>
          <t>集团汇总</t>
        </is>
      </c>
      <c r="L28" s="12" t="inlineStr">
        <is>
          <t>省级汇总</t>
        </is>
      </c>
      <c r="M28" s="12" t="inlineStr">
        <is>
          <t>工艺汇总</t>
        </is>
      </c>
    </row>
    <row r="29">
      <c r="A29" s="9" t="inlineStr">
        <is>
          <t>U-P170-01</t>
        </is>
      </c>
      <c r="B29" s="9" t="inlineStr">
        <is>
          <t>平顶山基地（神马氯碱）</t>
        </is>
      </c>
      <c r="C29" s="9" t="inlineStr">
        <is>
          <t>河南省</t>
        </is>
      </c>
      <c r="D29" s="9" t="inlineStr">
        <is>
          <t>平顶山市</t>
        </is>
      </c>
      <c r="E29" s="9" t="inlineStr">
        <is>
          <t>河南神马氯碱发展有限责任公司</t>
        </is>
      </c>
      <c r="F29" s="9" t="inlineStr">
        <is>
          <t>平煤神马集团（河南神马氯碱发展有限责任公司）</t>
        </is>
      </c>
      <c r="G29" s="9" t="inlineStr">
        <is>
          <t>电石法（乙炔法）</t>
        </is>
      </c>
      <c r="H29" s="9" t="inlineStr">
        <is>
          <t>design</t>
        </is>
      </c>
      <c r="I29" s="11" t="n">
        <v>30</v>
      </c>
      <c r="J29" s="11">
        <f>SUMIFS('06_装置明细'!$L$5:$L$2000,'06_装置明细'!$D$5:$D$2000,"平顶山基地（神马氯碱）")</f>
        <v/>
      </c>
      <c r="K29" s="9" t="inlineStr">
        <is>
          <t>集团汇总</t>
        </is>
      </c>
      <c r="L29" s="9" t="inlineStr">
        <is>
          <t>省级汇总</t>
        </is>
      </c>
      <c r="M29" s="9" t="inlineStr">
        <is>
          <t>工艺汇总</t>
        </is>
      </c>
    </row>
    <row r="30">
      <c r="A30" s="12" t="inlineStr">
        <is>
          <t>U-P180-01</t>
        </is>
      </c>
      <c r="B30" s="12" t="inlineStr">
        <is>
          <t>河南联创基地</t>
        </is>
      </c>
      <c r="C30" s="12" t="inlineStr">
        <is>
          <t>河南省</t>
        </is>
      </c>
      <c r="D30" s="12" t="inlineStr">
        <is>
          <t>（待核）</t>
        </is>
      </c>
      <c r="E30" s="12" t="inlineStr">
        <is>
          <t>河南联创化工有限公司</t>
        </is>
      </c>
      <c r="F30" s="12" t="inlineStr">
        <is>
          <t>河南联创化工有限公司（所属集团待核）</t>
        </is>
      </c>
      <c r="G30" s="12" t="inlineStr">
        <is>
          <t>电石法（乙炔法）</t>
        </is>
      </c>
      <c r="H30" s="12" t="inlineStr">
        <is>
          <t>design</t>
        </is>
      </c>
      <c r="I30" s="14" t="n">
        <v>40</v>
      </c>
      <c r="J30" s="14">
        <f>SUMIFS('06_装置明细'!$L$5:$L$2000,'06_装置明细'!$D$5:$D$2000,"河南联创基地")</f>
        <v/>
      </c>
      <c r="K30" s="12" t="inlineStr">
        <is>
          <t>集团汇总</t>
        </is>
      </c>
      <c r="L30" s="12" t="inlineStr">
        <is>
          <t>省级汇总</t>
        </is>
      </c>
      <c r="M30" s="12" t="inlineStr">
        <is>
          <t>工艺汇总</t>
        </is>
      </c>
    </row>
    <row r="31">
      <c r="A31" s="9" t="inlineStr">
        <is>
          <t>U-P190-01</t>
        </is>
      </c>
      <c r="B31" s="9" t="inlineStr">
        <is>
          <t>广州南沙基地（东曹）</t>
        </is>
      </c>
      <c r="C31" s="9" t="inlineStr">
        <is>
          <t>广东省</t>
        </is>
      </c>
      <c r="D31" s="9" t="inlineStr">
        <is>
          <t>广州市</t>
        </is>
      </c>
      <c r="E31" s="9" t="inlineStr">
        <is>
          <t>东曹（广州）化工有限公司</t>
        </is>
      </c>
      <c r="F31" s="9" t="inlineStr">
        <is>
          <t>东曹株式会社（东曹（广州）化工有限公司）</t>
        </is>
      </c>
      <c r="G31" s="9" t="inlineStr">
        <is>
          <t>乙烯法</t>
        </is>
      </c>
      <c r="H31" s="9" t="inlineStr">
        <is>
          <t>design</t>
        </is>
      </c>
      <c r="I31" s="11" t="n">
        <v>22</v>
      </c>
      <c r="J31" s="11">
        <f>SUMIFS('06_装置明细'!$L$5:$L$2000,'06_装置明细'!$D$5:$D$2000,"广州南沙基地（东曹）")</f>
        <v/>
      </c>
      <c r="K31" s="9" t="inlineStr">
        <is>
          <t>集团汇总</t>
        </is>
      </c>
      <c r="L31" s="9" t="inlineStr">
        <is>
          <t>省级汇总</t>
        </is>
      </c>
      <c r="M31" s="9" t="inlineStr">
        <is>
          <t>工艺汇总</t>
        </is>
      </c>
    </row>
    <row r="32">
      <c r="A32" s="12" t="inlineStr">
        <is>
          <t>U-P060-02</t>
        </is>
      </c>
      <c r="B32" s="12" t="inlineStr">
        <is>
          <t>吉兰泰基地（中盐吉兰泰）</t>
        </is>
      </c>
      <c r="C32" s="12" t="inlineStr">
        <is>
          <t>内蒙古自治区</t>
        </is>
      </c>
      <c r="D32" s="12" t="inlineStr">
        <is>
          <t>阿拉善盟</t>
        </is>
      </c>
      <c r="E32" s="12" t="inlineStr">
        <is>
          <t>中盐吉兰泰氯碱化工有限公司</t>
        </is>
      </c>
      <c r="F32" s="12" t="inlineStr">
        <is>
          <t>中盐内蒙古化工股份有限公司（独立上市）</t>
        </is>
      </c>
      <c r="G32" s="12" t="inlineStr">
        <is>
          <t>电石法（乙炔法）</t>
        </is>
      </c>
      <c r="H32" s="12" t="inlineStr">
        <is>
          <t>design</t>
        </is>
      </c>
      <c r="I32" s="14" t="n">
        <v>24</v>
      </c>
      <c r="J32" s="14">
        <f>SUMIFS('06_装置明细'!$L$5:$L$2000,'06_装置明细'!$D$5:$D$2000,"吉兰泰基地（中盐吉兰泰）")</f>
        <v/>
      </c>
      <c r="K32" s="12" t="inlineStr">
        <is>
          <t>集团汇总</t>
        </is>
      </c>
      <c r="L32" s="12" t="inlineStr">
        <is>
          <t>省级汇总</t>
        </is>
      </c>
      <c r="M32" s="12" t="inlineStr">
        <is>
          <t>工艺汇总</t>
        </is>
      </c>
    </row>
    <row r="33">
      <c r="A33" s="9" t="inlineStr">
        <is>
          <t>U-P400-01</t>
        </is>
      </c>
      <c r="B33" s="9" t="inlineStr">
        <is>
          <t>宜宾基地（天原集团）</t>
        </is>
      </c>
      <c r="C33" s="9" t="inlineStr">
        <is>
          <t>四川省</t>
        </is>
      </c>
      <c r="D33" s="9" t="inlineStr">
        <is>
          <t>宜宾市</t>
        </is>
      </c>
      <c r="E33" s="9" t="inlineStr">
        <is>
          <t>宜宾天原集团股份有限公司</t>
        </is>
      </c>
      <c r="F33" s="9" t="inlineStr">
        <is>
          <t>宜宾天原集团股份有限公司（独立上市）</t>
        </is>
      </c>
      <c r="G33" s="9" t="inlineStr">
        <is>
          <t>电石法（乙炔法）</t>
        </is>
      </c>
      <c r="H33" s="9" t="inlineStr">
        <is>
          <t>design</t>
        </is>
      </c>
      <c r="I33" s="11" t="n">
        <v>50</v>
      </c>
      <c r="J33" s="11">
        <f>SUMIFS('06_装置明细'!$L$5:$L$2000,'06_装置明细'!$D$5:$D$2000,"宜宾基地（天原集团）")</f>
        <v/>
      </c>
      <c r="K33" s="9" t="inlineStr">
        <is>
          <t>集团汇总</t>
        </is>
      </c>
      <c r="L33" s="9" t="inlineStr">
        <is>
          <t>省级汇总</t>
        </is>
      </c>
      <c r="M33" s="9" t="inlineStr">
        <is>
          <t>工艺汇总</t>
        </is>
      </c>
    </row>
    <row r="34">
      <c r="A34" s="12" t="inlineStr">
        <is>
          <t>U-P305-01</t>
        </is>
      </c>
      <c r="B34" s="12" t="inlineStr">
        <is>
          <t>神木基地（金泰氯碱）</t>
        </is>
      </c>
      <c r="C34" s="12" t="inlineStr">
        <is>
          <t>陕西省</t>
        </is>
      </c>
      <c r="D34" s="12" t="inlineStr">
        <is>
          <t>神木市</t>
        </is>
      </c>
      <c r="E34" s="12" t="inlineStr">
        <is>
          <t>陕西金泰氯碱神木化工有限公司</t>
        </is>
      </c>
      <c r="F34" s="12" t="inlineStr">
        <is>
          <t>陕西投资集团有限公司</t>
        </is>
      </c>
      <c r="G34" s="12" t="inlineStr">
        <is>
          <t>电石法（乙炔法）</t>
        </is>
      </c>
      <c r="H34" s="12" t="inlineStr">
        <is>
          <t>design</t>
        </is>
      </c>
      <c r="I34" s="14" t="n">
        <v>60</v>
      </c>
      <c r="J34" s="14">
        <f>SUMIFS('06_装置明细'!$L$5:$L$2000,'06_装置明细'!$D$5:$D$2000,"神木基地（金泰氯碱）")</f>
        <v/>
      </c>
      <c r="K34" s="12" t="inlineStr">
        <is>
          <t>集团汇总</t>
        </is>
      </c>
      <c r="L34" s="12" t="inlineStr">
        <is>
          <t>省级汇总</t>
        </is>
      </c>
      <c r="M34" s="12" t="inlineStr">
        <is>
          <t>工艺汇总</t>
        </is>
      </c>
    </row>
    <row r="35">
      <c r="A35" s="9" t="inlineStr">
        <is>
          <t>U-P306-01</t>
        </is>
      </c>
      <c r="B35" s="9" t="inlineStr">
        <is>
          <t>兰州新区基地（耀望化工）</t>
        </is>
      </c>
      <c r="C35" s="9" t="inlineStr">
        <is>
          <t>甘肃省</t>
        </is>
      </c>
      <c r="D35" s="9" t="inlineStr">
        <is>
          <t>兰州新区</t>
        </is>
      </c>
      <c r="E35" s="9" t="inlineStr">
        <is>
          <t>甘肃耀望化工有限公司</t>
        </is>
      </c>
      <c r="F35" s="9" t="inlineStr">
        <is>
          <t>甘肃耀望化工有限公司（所属集团待核）</t>
        </is>
      </c>
      <c r="G35" s="9" t="inlineStr">
        <is>
          <t>电石法（乙炔法）</t>
        </is>
      </c>
      <c r="H35" s="9" t="inlineStr">
        <is>
          <t>design</t>
        </is>
      </c>
      <c r="I35" s="11" t="n">
        <v>30</v>
      </c>
      <c r="J35" s="11">
        <f>SUMIFS('06_装置明细'!$L$5:$L$2000,'06_装置明细'!$D$5:$D$2000,"兰州新区基地（耀望化工）")</f>
        <v/>
      </c>
      <c r="K35" s="9" t="inlineStr">
        <is>
          <t>集团汇总</t>
        </is>
      </c>
      <c r="L35" s="9" t="inlineStr">
        <is>
          <t>省级汇总</t>
        </is>
      </c>
      <c r="M35" s="9" t="inlineStr">
        <is>
          <t>工艺汇总</t>
        </is>
      </c>
    </row>
    <row r="36">
      <c r="A36" s="12" t="inlineStr">
        <is>
          <t>U-P307-01</t>
        </is>
      </c>
      <c r="B36" s="12" t="inlineStr">
        <is>
          <t>泰兴基地（新浦化学）</t>
        </is>
      </c>
      <c r="C36" s="12" t="inlineStr">
        <is>
          <t>江苏省</t>
        </is>
      </c>
      <c r="D36" s="12" t="inlineStr">
        <is>
          <t>泰兴市</t>
        </is>
      </c>
      <c r="E36" s="12" t="inlineStr">
        <is>
          <t>新浦化学（泰兴）有限公司</t>
        </is>
      </c>
      <c r="F36" s="12" t="inlineStr">
        <is>
          <t>新浦化学（SP Chemicals）</t>
        </is>
      </c>
      <c r="G36" s="12" t="inlineStr">
        <is>
          <t>乙烯法</t>
        </is>
      </c>
      <c r="H36" s="12" t="inlineStr">
        <is>
          <t>design</t>
        </is>
      </c>
      <c r="I36" s="14" t="n">
        <v>50</v>
      </c>
      <c r="J36" s="14">
        <f>SUMIFS('06_装置明细'!$L$5:$L$2000,'06_装置明细'!$D$5:$D$2000,"泰兴基地（新浦化学）")</f>
        <v/>
      </c>
      <c r="K36" s="12" t="inlineStr">
        <is>
          <t>集团汇总</t>
        </is>
      </c>
      <c r="L36" s="12" t="inlineStr">
        <is>
          <t>省级汇总</t>
        </is>
      </c>
      <c r="M36" s="12" t="inlineStr">
        <is>
          <t>工艺汇总</t>
        </is>
      </c>
    </row>
    <row r="37">
      <c r="A37" s="9" t="inlineStr">
        <is>
          <t>U-P304-01</t>
        </is>
      </c>
      <c r="B37" s="9" t="inlineStr">
        <is>
          <t>江阴港城基地（万华福建）</t>
        </is>
      </c>
      <c r="C37" s="9" t="inlineStr">
        <is>
          <t>福建省</t>
        </is>
      </c>
      <c r="D37" s="9" t="inlineStr">
        <is>
          <t>福清市</t>
        </is>
      </c>
      <c r="E37" s="9" t="inlineStr">
        <is>
          <t>万华化学（福建）有限公司</t>
        </is>
      </c>
      <c r="F37" s="9" t="inlineStr">
        <is>
          <t>万华化学集团股份有限公司（独立上市）</t>
        </is>
      </c>
      <c r="G37" s="9" t="inlineStr">
        <is>
          <t>乙烯法</t>
        </is>
      </c>
      <c r="H37" s="9" t="inlineStr">
        <is>
          <t>design</t>
        </is>
      </c>
      <c r="I37" s="11" t="n">
        <v>40</v>
      </c>
      <c r="J37" s="11">
        <f>SUMIFS('06_装置明细'!$L$5:$L$2000,'06_装置明细'!$D$5:$D$2000,"江阴港城基地（万华福建）")</f>
        <v/>
      </c>
      <c r="K37" s="9" t="inlineStr">
        <is>
          <t>集团汇总</t>
        </is>
      </c>
      <c r="L37" s="9" t="inlineStr">
        <is>
          <t>省级汇总</t>
        </is>
      </c>
      <c r="M37" s="9" t="inlineStr">
        <is>
          <t>工艺汇总</t>
        </is>
      </c>
    </row>
    <row r="38">
      <c r="A38" s="12" t="inlineStr">
        <is>
          <t>U-P302-01</t>
        </is>
      </c>
      <c r="B38" s="12" t="inlineStr">
        <is>
          <t>嘉兴港区基地（嘉化能源）</t>
        </is>
      </c>
      <c r="C38" s="12" t="inlineStr">
        <is>
          <t>浙江省</t>
        </is>
      </c>
      <c r="D38" s="12" t="inlineStr">
        <is>
          <t>嘉兴市</t>
        </is>
      </c>
      <c r="E38" s="12" t="inlineStr">
        <is>
          <t>浙江嘉化能源化工股份有限公司</t>
        </is>
      </c>
      <c r="F38" s="12" t="inlineStr">
        <is>
          <t>浙江嘉化能源化工股份有限公司（独立上市）</t>
        </is>
      </c>
      <c r="G38" s="12" t="inlineStr">
        <is>
          <t>乙烯法</t>
        </is>
      </c>
      <c r="H38" s="12" t="inlineStr">
        <is>
          <t>design</t>
        </is>
      </c>
      <c r="I38" s="14" t="n">
        <v>30</v>
      </c>
      <c r="J38" s="14">
        <f>SUMIFS('06_装置明细'!$L$5:$L$2000,'06_装置明细'!$D$5:$D$2000,"嘉兴港区基地（嘉化能源）")</f>
        <v/>
      </c>
      <c r="K38" s="12" t="inlineStr">
        <is>
          <t>集团汇总</t>
        </is>
      </c>
      <c r="L38" s="12" t="inlineStr">
        <is>
          <t>省级汇总</t>
        </is>
      </c>
      <c r="M38" s="12" t="inlineStr">
        <is>
          <t>工艺汇总</t>
        </is>
      </c>
    </row>
    <row r="39">
      <c r="A39" s="9" t="inlineStr">
        <is>
          <t>U-P110-02</t>
        </is>
      </c>
      <c r="B39" s="9" t="inlineStr">
        <is>
          <t>董家口基地（海湾化学）</t>
        </is>
      </c>
      <c r="C39" s="9" t="inlineStr">
        <is>
          <t>山东省</t>
        </is>
      </c>
      <c r="D39" s="9" t="inlineStr">
        <is>
          <t>青岛市</t>
        </is>
      </c>
      <c r="E39" s="9" t="inlineStr">
        <is>
          <t>青岛海湾化学股份有限公司</t>
        </is>
      </c>
      <c r="F39" s="9" t="inlineStr">
        <is>
          <t>青岛海湾集团有限公司</t>
        </is>
      </c>
      <c r="G39" s="9" t="inlineStr">
        <is>
          <t>乙烯法</t>
        </is>
      </c>
      <c r="H39" s="9" t="inlineStr">
        <is>
          <t>design</t>
        </is>
      </c>
      <c r="I39" s="11" t="n">
        <v>20</v>
      </c>
      <c r="J39" s="11">
        <f>SUMIFS('06_装置明细'!$L$5:$L$2000,'06_装置明细'!$D$5:$D$2000,"董家口基地（海湾化学）")</f>
        <v/>
      </c>
      <c r="K39" s="9" t="inlineStr">
        <is>
          <t>集团汇总</t>
        </is>
      </c>
      <c r="L39" s="9" t="inlineStr">
        <is>
          <t>省级汇总</t>
        </is>
      </c>
      <c r="M39" s="9" t="inlineStr">
        <is>
          <t>工艺汇总</t>
        </is>
      </c>
    </row>
    <row r="41">
      <c r="A41" s="15" t="inlineStr">
        <is>
          <t>标准汇总公式</t>
        </is>
      </c>
    </row>
    <row r="42" ht="30" customHeight="1">
      <c r="A42" s="8" t="inlineStr">
        <is>
          <t>汇总项</t>
        </is>
      </c>
      <c r="B42" s="8" t="inlineStr">
        <is>
          <t>公式</t>
        </is>
      </c>
      <c r="C42" s="8" t="inlineStr">
        <is>
          <t>要点</t>
        </is>
      </c>
    </row>
    <row r="43">
      <c r="A43" s="9" t="inlineStr">
        <is>
          <t>集团产能合计</t>
        </is>
      </c>
      <c r="B43" s="9">
        <f>SUMIFS(06_装置明细!L:L, 06_装置明细!F:F, &lt;集团简称&gt;, 06_装置明细!K:K, &lt;口径&gt;)</f>
        <v/>
      </c>
      <c r="C43" s="9" t="inlineStr">
        <is>
          <t>按集团简称+口径双条件求和；同一装置只落在一个集团下</t>
        </is>
      </c>
    </row>
    <row r="44">
      <c r="A44" s="12" t="inlineStr">
        <is>
          <t>法人产能合计</t>
        </is>
      </c>
      <c r="B44" s="12">
        <f>SUMIFS(06_装置明细!L:L, 06_装置明细!E:E, &lt;法人全称&gt;, 06_装置明细!K:K, &lt;口径&gt;)</f>
        <v/>
      </c>
      <c r="C44" s="12" t="inlineStr">
        <is>
          <t>法人是集团与基地之间的唯一桥梁</t>
        </is>
      </c>
    </row>
    <row r="45">
      <c r="A45" s="9" t="inlineStr">
        <is>
          <t>省级产能合计</t>
        </is>
      </c>
      <c r="B45" s="9">
        <f>SUMIFS(06_装置明细!L:L, 06_装置明细!B:B, &lt;省&gt;, 06_装置明细!K:K, &lt;口径&gt;)</f>
        <v/>
      </c>
      <c r="C45" s="9" t="inlineStr"/>
    </row>
    <row r="46">
      <c r="A46" s="12" t="inlineStr">
        <is>
          <t>工艺产能合计</t>
        </is>
      </c>
      <c r="B46" s="12">
        <f>SUMIFS(06_装置明细!L:L, 06_装置明细!I:I, &lt;工艺&gt;, 06_装置明细!K:K, &lt;口径&gt;)</f>
        <v/>
      </c>
      <c r="C46" s="12" t="inlineStr"/>
    </row>
    <row r="47">
      <c r="A47" s="9" t="inlineStr">
        <is>
          <t>CR5（集团）</t>
        </is>
      </c>
      <c r="B47" s="9">
        <f>SUMPRODUCT(LARGE(集团合计,{1;2;3;4;5}))/SUM(集团合计)</f>
        <v/>
      </c>
      <c r="C47" s="9" t="inlineStr">
        <is>
          <t>分子分母必须同口径同范围</t>
        </is>
      </c>
    </row>
    <row r="48">
      <c r="A48" s="12" t="inlineStr">
        <is>
          <t>HHI（集团）</t>
        </is>
      </c>
      <c r="B48" s="12">
        <f>SUMPRODUCT((集团合计/SUM(集团合计)*100)^2)</f>
        <v/>
      </c>
      <c r="C48" s="12" t="inlineStr">
        <is>
          <t>0–10000，&lt;1000 分散</t>
        </is>
      </c>
    </row>
    <row r="49">
      <c r="A49" s="9" t="inlineStr">
        <is>
          <t>样本覆盖率</t>
        </is>
      </c>
      <c r="B49" s="9">
        <f>样本合计/全国口径合计</f>
        <v/>
      </c>
      <c r="C49" s="9" t="inlineStr">
        <is>
          <t>全国口径须有来源并注明年份</t>
        </is>
      </c>
    </row>
    <row r="50">
      <c r="A50" s="12" t="inlineStr">
        <is>
          <t>净新增</t>
        </is>
      </c>
      <c r="B50" s="12">
        <f>毛新增−置换退出</f>
        <v/>
      </c>
      <c r="C50" s="12" t="inlineStr">
        <is>
          <t>任何一项未知则该行净增为空，不估算</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9"/>
  <sheetViews>
    <sheetView showGridLines="0" workbookViewId="0">
      <pane ySplit="4" topLeftCell="A5" activePane="bottomLeft" state="frozen"/>
      <selection pane="bottomLeft" activeCell="A1" sqref="A1"/>
    </sheetView>
  </sheetViews>
  <sheetFormatPr baseColWidth="8" defaultRowHeight="15"/>
  <cols>
    <col width="11" customWidth="1" min="1" max="1"/>
    <col width="28" customWidth="1" min="2" max="2"/>
    <col width="22" customWidth="1" min="3" max="3"/>
    <col width="12" customWidth="1" min="4" max="4"/>
    <col width="12" customWidth="1" min="5" max="5"/>
    <col width="14" customWidth="1" min="6" max="6"/>
    <col width="11" customWidth="1" min="7" max="7"/>
    <col width="11" customWidth="1" min="8" max="8"/>
  </cols>
  <sheetData>
    <row r="1" ht="24" customHeight="1">
      <c r="A1" s="7" t="inlineStr">
        <is>
          <t>不同产能口径对比（禁止相加）</t>
        </is>
      </c>
    </row>
    <row r="2">
      <c r="A2" s="3" t="inlineStr">
        <is>
          <t>同一批装置在不同口径下的数值；缺口如实留空，不做折算</t>
        </is>
      </c>
    </row>
    <row r="4" ht="30" customHeight="1">
      <c r="A4" s="8" t="inlineStr">
        <is>
          <t>装置ID</t>
        </is>
      </c>
      <c r="B4" s="8" t="inlineStr">
        <is>
          <t>基地</t>
        </is>
      </c>
      <c r="C4" s="8" t="inlineStr">
        <is>
          <t>产品/牌号</t>
        </is>
      </c>
      <c r="D4" s="8" t="inlineStr">
        <is>
          <t>设计产能</t>
        </is>
      </c>
      <c r="E4" s="8" t="inlineStr">
        <is>
          <t>有效产能</t>
        </is>
      </c>
      <c r="F4" s="8" t="inlineStr">
        <is>
          <t>实际产量/核定</t>
        </is>
      </c>
      <c r="G4" s="8" t="inlineStr">
        <is>
          <t>有效/设计</t>
        </is>
      </c>
      <c r="H4" s="8" t="inlineStr">
        <is>
          <t>实际/设计</t>
        </is>
      </c>
    </row>
    <row r="5">
      <c r="A5" s="9" t="inlineStr">
        <is>
          <t>U-P001-01</t>
        </is>
      </c>
      <c r="B5" s="9" t="inlineStr">
        <is>
          <t>米东基地（华泰重化工）</t>
        </is>
      </c>
      <c r="C5" s="9" t="inlineStr">
        <is>
          <t>聚氯乙烯树脂</t>
        </is>
      </c>
      <c r="D5" s="11" t="n"/>
      <c r="E5" s="11" t="n"/>
      <c r="F5" s="11" t="n"/>
      <c r="G5" s="23" t="n"/>
      <c r="H5" s="23" t="n"/>
    </row>
    <row r="6">
      <c r="A6" s="12" t="inlineStr">
        <is>
          <t>U-P002-01</t>
        </is>
      </c>
      <c r="B6" s="12" t="inlineStr">
        <is>
          <t>阜康基地（阜康能源）</t>
        </is>
      </c>
      <c r="C6" s="12" t="inlineStr">
        <is>
          <t>聚氯乙烯树脂（悬浮法通用型）</t>
        </is>
      </c>
      <c r="D6" s="14" t="n">
        <v>80</v>
      </c>
      <c r="E6" s="14" t="n"/>
      <c r="F6" s="14" t="n"/>
      <c r="G6" s="24" t="n"/>
      <c r="H6" s="24" t="n"/>
    </row>
    <row r="7">
      <c r="A7" s="9" t="inlineStr">
        <is>
          <t>U-P003-02</t>
        </is>
      </c>
      <c r="B7" s="9" t="inlineStr">
        <is>
          <t>托克逊基地（托克逊能化）</t>
        </is>
      </c>
      <c r="C7" s="9" t="inlineStr">
        <is>
          <t>聚氯乙烯糊树脂（EPVC）</t>
        </is>
      </c>
      <c r="D7" s="11" t="n">
        <v>6</v>
      </c>
      <c r="E7" s="11" t="n"/>
      <c r="F7" s="11" t="n"/>
      <c r="G7" s="23" t="n"/>
      <c r="H7" s="23" t="n"/>
    </row>
    <row r="8">
      <c r="A8" s="12" t="inlineStr">
        <is>
          <t>U-P003-01</t>
        </is>
      </c>
      <c r="B8" s="12" t="inlineStr">
        <is>
          <t>托克逊基地（托克逊能化）</t>
        </is>
      </c>
      <c r="C8" s="12" t="inlineStr">
        <is>
          <t>聚氯乙烯（本体法树脂）</t>
        </is>
      </c>
      <c r="D8" s="14" t="n">
        <v>20</v>
      </c>
      <c r="E8" s="14" t="n"/>
      <c r="F8" s="14" t="n"/>
      <c r="G8" s="24" t="n"/>
      <c r="H8" s="24" t="n"/>
    </row>
    <row r="9">
      <c r="A9" s="9" t="inlineStr">
        <is>
          <t>U-P003-03</t>
        </is>
      </c>
      <c r="B9" s="9" t="inlineStr">
        <is>
          <t>托克逊基地（托克逊能化）</t>
        </is>
      </c>
      <c r="C9" s="9" t="inlineStr">
        <is>
          <t>聚氯乙烯（降粘树脂）</t>
        </is>
      </c>
      <c r="D9" s="11" t="n">
        <v>3</v>
      </c>
      <c r="E9" s="11" t="n"/>
      <c r="F9" s="11" t="n"/>
      <c r="G9" s="23" t="n"/>
      <c r="H9" s="23" t="n"/>
    </row>
    <row r="10">
      <c r="A10" s="12" t="inlineStr">
        <is>
          <t>U-P004-01</t>
        </is>
      </c>
      <c r="B10" s="12" t="inlineStr">
        <is>
          <t>圣雄基地（圣雄能源）</t>
        </is>
      </c>
      <c r="C10" s="12" t="inlineStr">
        <is>
          <t>聚氯乙烯树脂</t>
        </is>
      </c>
      <c r="D10" s="14" t="n"/>
      <c r="E10" s="14" t="n"/>
      <c r="F10" s="14" t="n"/>
      <c r="G10" s="24" t="n"/>
      <c r="H10" s="24" t="n"/>
    </row>
    <row r="11">
      <c r="A11" s="9" t="inlineStr">
        <is>
          <t>U-P010-03</t>
        </is>
      </c>
      <c r="B11" s="9" t="inlineStr">
        <is>
          <t>石河子化工园区基地（综合）</t>
        </is>
      </c>
      <c r="C11" s="9" t="inlineStr">
        <is>
          <t>聚氯乙烯糊树脂（EPVC）</t>
        </is>
      </c>
      <c r="D11" s="11" t="n">
        <v>10</v>
      </c>
      <c r="E11" s="11" t="n"/>
      <c r="F11" s="11" t="n"/>
      <c r="G11" s="23" t="n"/>
      <c r="H11" s="23" t="n"/>
    </row>
    <row r="12">
      <c r="A12" s="12" t="inlineStr">
        <is>
          <t>U-P010-02</t>
        </is>
      </c>
      <c r="B12" s="12" t="inlineStr">
        <is>
          <t>石河子化工园区基地（综合）</t>
        </is>
      </c>
      <c r="C12" s="12" t="inlineStr">
        <is>
          <t>聚氯乙烯（特种树脂 SPVC）</t>
        </is>
      </c>
      <c r="D12" s="14" t="n">
        <v>10</v>
      </c>
      <c r="E12" s="14" t="n"/>
      <c r="F12" s="14" t="n"/>
      <c r="G12" s="24" t="n"/>
      <c r="H12" s="24" t="n"/>
    </row>
    <row r="13">
      <c r="A13" s="9" t="inlineStr">
        <is>
          <t>U-P010-01</t>
        </is>
      </c>
      <c r="B13" s="9" t="inlineStr">
        <is>
          <t>石河子化工园区基地（综合）</t>
        </is>
      </c>
      <c r="C13" s="9" t="inlineStr">
        <is>
          <t>聚氯乙烯（通用 PVC 树脂）</t>
        </is>
      </c>
      <c r="D13" s="11" t="n">
        <v>114</v>
      </c>
      <c r="E13" s="11" t="n"/>
      <c r="F13" s="11" t="n"/>
      <c r="G13" s="23" t="n"/>
      <c r="H13" s="23" t="n"/>
    </row>
    <row r="14">
      <c r="A14" s="12" t="inlineStr">
        <is>
          <t>U-P020-01</t>
        </is>
      </c>
      <c r="B14" s="12" t="inlineStr">
        <is>
          <t>锦界园区基地（北元）</t>
        </is>
      </c>
      <c r="C14" s="12" t="inlineStr">
        <is>
          <t>聚氯乙烯树脂</t>
        </is>
      </c>
      <c r="D14" s="14" t="n">
        <v>110</v>
      </c>
      <c r="E14" s="14" t="n"/>
      <c r="F14" s="14" t="n"/>
      <c r="G14" s="24" t="n"/>
      <c r="H14" s="24" t="n"/>
    </row>
    <row r="15">
      <c r="A15" s="9" t="inlineStr">
        <is>
          <t>U-P030-01</t>
        </is>
      </c>
      <c r="B15" s="9" t="inlineStr">
        <is>
          <t>乌达工业园区基地（君正）</t>
        </is>
      </c>
      <c r="C15" s="9" t="inlineStr">
        <is>
          <t>聚氯乙烯树脂</t>
        </is>
      </c>
      <c r="D15" s="11" t="n">
        <v>80</v>
      </c>
      <c r="E15" s="11" t="n"/>
      <c r="F15" s="11" t="n"/>
      <c r="G15" s="23" t="n"/>
      <c r="H15" s="23" t="n"/>
    </row>
    <row r="16">
      <c r="A16" s="12" t="inlineStr">
        <is>
          <t>U-P040-02</t>
        </is>
      </c>
      <c r="B16" s="12" t="inlineStr">
        <is>
          <t>青海宜化基地</t>
        </is>
      </c>
      <c r="C16" s="12" t="inlineStr">
        <is>
          <t>聚氯乙烯树脂</t>
        </is>
      </c>
      <c r="D16" s="14" t="n"/>
      <c r="E16" s="14" t="n"/>
      <c r="F16" s="14" t="n"/>
      <c r="G16" s="24" t="n"/>
      <c r="H16" s="24" t="n"/>
    </row>
    <row r="17">
      <c r="A17" s="9" t="inlineStr">
        <is>
          <t>U-P042-01</t>
        </is>
      </c>
      <c r="B17" s="9" t="inlineStr">
        <is>
          <t>内蒙古宜化基地</t>
        </is>
      </c>
      <c r="C17" s="9" t="inlineStr">
        <is>
          <t>聚氯乙烯树脂</t>
        </is>
      </c>
      <c r="D17" s="11" t="n"/>
      <c r="E17" s="11" t="n"/>
      <c r="F17" s="11" t="n"/>
      <c r="G17" s="23" t="n"/>
      <c r="H17" s="23" t="n"/>
    </row>
    <row r="18">
      <c r="A18" s="12" t="inlineStr">
        <is>
          <t>U-P050-02</t>
        </is>
      </c>
      <c r="B18" s="12" t="inlineStr">
        <is>
          <t>上海化工区基地（氯碱化工）</t>
        </is>
      </c>
      <c r="C18" s="12" t="inlineStr">
        <is>
          <t>特种聚氯乙烯树脂</t>
        </is>
      </c>
      <c r="D18" s="14" t="n">
        <v>8</v>
      </c>
      <c r="E18" s="14" t="n"/>
      <c r="F18" s="14" t="n"/>
      <c r="G18" s="24" t="n"/>
      <c r="H18" s="24" t="n"/>
    </row>
    <row r="19">
      <c r="A19" s="9" t="inlineStr">
        <is>
          <t>U-P050-01</t>
        </is>
      </c>
      <c r="B19" s="9" t="inlineStr">
        <is>
          <t>上海化工区基地（氯碱化工）</t>
        </is>
      </c>
      <c r="C19" s="9" t="inlineStr">
        <is>
          <t>聚氯乙烯树脂（悬浮法）</t>
        </is>
      </c>
      <c r="D19" s="11" t="n">
        <v>40</v>
      </c>
      <c r="E19" s="11" t="n"/>
      <c r="F19" s="11" t="n"/>
      <c r="G19" s="23" t="n"/>
      <c r="H19" s="23" t="n"/>
    </row>
    <row r="20">
      <c r="A20" s="12" t="inlineStr">
        <is>
          <t>U-P051-01</t>
        </is>
      </c>
      <c r="B20" s="12" t="inlineStr">
        <is>
          <t>钦州基地（广西氯碱）</t>
        </is>
      </c>
      <c r="C20" s="12" t="inlineStr">
        <is>
          <t>聚氯乙烯树脂</t>
        </is>
      </c>
      <c r="D20" s="14" t="n">
        <v>40</v>
      </c>
      <c r="E20" s="14" t="n"/>
      <c r="F20" s="14" t="n"/>
      <c r="G20" s="24" t="n"/>
      <c r="H20" s="24" t="n"/>
    </row>
    <row r="21">
      <c r="A21" s="9" t="inlineStr">
        <is>
          <t>U-P060-01</t>
        </is>
      </c>
      <c r="B21" s="9" t="inlineStr">
        <is>
          <t>吉兰泰基地（中盐吉兰泰）</t>
        </is>
      </c>
      <c r="C21" s="9" t="inlineStr">
        <is>
          <t>聚氯乙烯树脂</t>
        </is>
      </c>
      <c r="D21" s="11" t="n">
        <v>40</v>
      </c>
      <c r="E21" s="11" t="n"/>
      <c r="F21" s="11" t="n"/>
      <c r="G21" s="23" t="n"/>
      <c r="H21" s="23" t="n"/>
    </row>
    <row r="22">
      <c r="A22" s="12" t="inlineStr">
        <is>
          <t>U-P060-02</t>
        </is>
      </c>
      <c r="B22" s="12" t="inlineStr">
        <is>
          <t>吉兰泰基地（中盐吉兰泰）</t>
        </is>
      </c>
      <c r="C22" s="12" t="inlineStr">
        <is>
          <t>聚氯乙烯糊树脂（EPVC）</t>
        </is>
      </c>
      <c r="D22" s="14" t="n">
        <v>24</v>
      </c>
      <c r="E22" s="14" t="n"/>
      <c r="F22" s="14" t="n"/>
      <c r="G22" s="24" t="n"/>
      <c r="H22" s="24" t="n"/>
    </row>
    <row r="23">
      <c r="A23" s="9" t="inlineStr">
        <is>
          <t>U-P070-01</t>
        </is>
      </c>
      <c r="B23" s="9" t="inlineStr">
        <is>
          <t>惠农基地（英力特）</t>
        </is>
      </c>
      <c r="C23" s="9" t="inlineStr">
        <is>
          <t>聚氯乙烯树脂</t>
        </is>
      </c>
      <c r="D23" s="11" t="n">
        <v>22</v>
      </c>
      <c r="E23" s="11" t="n"/>
      <c r="F23" s="11" t="n"/>
      <c r="G23" s="23" t="n"/>
      <c r="H23" s="23" t="n"/>
    </row>
    <row r="24">
      <c r="A24" s="12" t="inlineStr">
        <is>
          <t>U-P070-02</t>
        </is>
      </c>
      <c r="B24" s="12" t="inlineStr">
        <is>
          <t>惠农基地（英力特）</t>
        </is>
      </c>
      <c r="C24" s="12" t="inlineStr">
        <is>
          <t>聚氯乙烯糊树脂（EPVC）</t>
        </is>
      </c>
      <c r="D24" s="14" t="n">
        <v>4</v>
      </c>
      <c r="E24" s="14" t="n"/>
      <c r="F24" s="14" t="n"/>
      <c r="G24" s="24" t="n"/>
      <c r="H24" s="24" t="n"/>
    </row>
    <row r="25">
      <c r="A25" s="9" t="inlineStr">
        <is>
          <t>U-P080-02</t>
        </is>
      </c>
      <c r="B25" s="9" t="inlineStr">
        <is>
          <t>南堡基地（三友氯碱）</t>
        </is>
      </c>
      <c r="C25" s="9" t="inlineStr">
        <is>
          <t>聚氯乙烯专用树脂</t>
        </is>
      </c>
      <c r="D25" s="11" t="n">
        <v>7</v>
      </c>
      <c r="E25" s="11" t="n"/>
      <c r="F25" s="11" t="n"/>
      <c r="G25" s="23" t="n"/>
      <c r="H25" s="23" t="n"/>
    </row>
    <row r="26">
      <c r="A26" s="12" t="inlineStr">
        <is>
          <t>U-P080-01</t>
        </is>
      </c>
      <c r="B26" s="12" t="inlineStr">
        <is>
          <t>南堡基地（三友氯碱）</t>
        </is>
      </c>
      <c r="C26" s="12" t="inlineStr">
        <is>
          <t>聚氯乙烯树脂</t>
        </is>
      </c>
      <c r="D26" s="14" t="n">
        <v>40</v>
      </c>
      <c r="E26" s="14" t="n"/>
      <c r="F26" s="14" t="n"/>
      <c r="G26" s="24" t="n"/>
      <c r="H26" s="24" t="n"/>
    </row>
    <row r="27">
      <c r="A27" s="9" t="inlineStr">
        <is>
          <t>U-P090-01</t>
        </is>
      </c>
      <c r="B27" s="9" t="inlineStr">
        <is>
          <t>定远基地（华塑）</t>
        </is>
      </c>
      <c r="C27" s="9" t="inlineStr">
        <is>
          <t>聚氯乙烯树脂</t>
        </is>
      </c>
      <c r="D27" s="11" t="n">
        <v>64</v>
      </c>
      <c r="E27" s="11" t="n"/>
      <c r="F27" s="11" t="n"/>
      <c r="G27" s="23" t="n"/>
      <c r="H27" s="23" t="n"/>
    </row>
    <row r="28">
      <c r="A28" s="12" t="inlineStr">
        <is>
          <t>U-P100-01</t>
        </is>
      </c>
      <c r="B28" s="12" t="inlineStr">
        <is>
          <t>临港基地（大沽化工）</t>
        </is>
      </c>
      <c r="C28" s="12" t="inlineStr">
        <is>
          <t>聚氯乙烯树脂（悬浮法，一期）</t>
        </is>
      </c>
      <c r="D28" s="14" t="n">
        <v>40</v>
      </c>
      <c r="E28" s="14" t="n"/>
      <c r="F28" s="14" t="n"/>
      <c r="G28" s="24" t="n"/>
      <c r="H28" s="24" t="n"/>
    </row>
    <row r="29">
      <c r="A29" s="9" t="inlineStr">
        <is>
          <t>U-P100-02</t>
        </is>
      </c>
      <c r="B29" s="9" t="inlineStr">
        <is>
          <t>临港基地（大沽化工）</t>
        </is>
      </c>
      <c r="C29" s="9" t="inlineStr">
        <is>
          <t>聚氯乙烯树脂（悬浮法，二期）</t>
        </is>
      </c>
      <c r="D29" s="11" t="n">
        <v>40</v>
      </c>
      <c r="E29" s="11" t="n"/>
      <c r="F29" s="11" t="n"/>
      <c r="G29" s="23" t="n"/>
      <c r="H29" s="23" t="n"/>
    </row>
    <row r="30">
      <c r="A30" s="12" t="inlineStr">
        <is>
          <t>U-P110-02</t>
        </is>
      </c>
      <c r="B30" s="12" t="inlineStr">
        <is>
          <t>董家口基地（海湾化学）</t>
        </is>
      </c>
      <c r="C30" s="12" t="inlineStr">
        <is>
          <t>聚氯乙烯树脂（2025 年新增线）</t>
        </is>
      </c>
      <c r="D30" s="14" t="n">
        <v>20</v>
      </c>
      <c r="E30" s="14" t="n"/>
      <c r="F30" s="14" t="n"/>
      <c r="G30" s="24" t="n"/>
      <c r="H30" s="24" t="n"/>
    </row>
    <row r="31">
      <c r="A31" s="9" t="inlineStr">
        <is>
          <t>U-P110-01</t>
        </is>
      </c>
      <c r="B31" s="9" t="inlineStr">
        <is>
          <t>董家口基地（海湾化学）</t>
        </is>
      </c>
      <c r="C31" s="9" t="inlineStr">
        <is>
          <t>聚氯乙烯树脂（乙烯法）</t>
        </is>
      </c>
      <c r="D31" s="11" t="n">
        <v>85</v>
      </c>
      <c r="E31" s="11" t="n"/>
      <c r="F31" s="11" t="n"/>
      <c r="G31" s="23" t="n"/>
      <c r="H31" s="23" t="n"/>
    </row>
    <row r="32">
      <c r="A32" s="12" t="inlineStr">
        <is>
          <t>U-P120-01</t>
        </is>
      </c>
      <c r="B32" s="12" t="inlineStr">
        <is>
          <t>烟台工业园基地（万华）</t>
        </is>
      </c>
      <c r="C32" s="12" t="inlineStr">
        <is>
          <t>聚氯乙烯树脂（高品质）</t>
        </is>
      </c>
      <c r="D32" s="14" t="n">
        <v>40</v>
      </c>
      <c r="E32" s="14" t="n"/>
      <c r="F32" s="14" t="n"/>
      <c r="G32" s="24" t="n"/>
      <c r="H32" s="24" t="n"/>
    </row>
    <row r="33">
      <c r="A33" s="9" t="inlineStr">
        <is>
          <t>U-P130-01</t>
        </is>
      </c>
      <c r="B33" s="9" t="inlineStr">
        <is>
          <t>阳泉基地（阳煤化工）</t>
        </is>
      </c>
      <c r="C33" s="9" t="inlineStr">
        <is>
          <t>聚氯乙烯树脂</t>
        </is>
      </c>
      <c r="D33" s="11" t="n">
        <v>30</v>
      </c>
      <c r="E33" s="11" t="n"/>
      <c r="F33" s="11" t="n"/>
      <c r="G33" s="23" t="n"/>
      <c r="H33" s="23" t="n"/>
    </row>
    <row r="34">
      <c r="A34" s="12" t="inlineStr">
        <is>
          <t>U-P140-01</t>
        </is>
      </c>
      <c r="B34" s="12" t="inlineStr">
        <is>
          <t>达拉特基地（亿利化学）</t>
        </is>
      </c>
      <c r="C34" s="12" t="inlineStr">
        <is>
          <t>聚氯乙烯树脂</t>
        </is>
      </c>
      <c r="D34" s="14" t="n">
        <v>50</v>
      </c>
      <c r="E34" s="14" t="n"/>
      <c r="F34" s="14" t="n"/>
      <c r="G34" s="24" t="n"/>
      <c r="H34" s="24" t="n"/>
    </row>
    <row r="35">
      <c r="A35" s="9" t="inlineStr">
        <is>
          <t>U-P150-01</t>
        </is>
      </c>
      <c r="B35" s="9" t="inlineStr">
        <is>
          <t>棋盘井基地（鄂尔多斯电冶）</t>
        </is>
      </c>
      <c r="C35" s="9" t="inlineStr">
        <is>
          <t>聚氯乙烯树脂</t>
        </is>
      </c>
      <c r="D35" s="11" t="n">
        <v>40</v>
      </c>
      <c r="E35" s="11" t="n"/>
      <c r="F35" s="11" t="n"/>
      <c r="G35" s="23" t="n"/>
      <c r="H35" s="23" t="n"/>
    </row>
    <row r="36">
      <c r="A36" s="12" t="inlineStr">
        <is>
          <t>U-P160-01</t>
        </is>
      </c>
      <c r="B36" s="12" t="inlineStr">
        <is>
          <t>察尔汗基地（盐湖镁业）</t>
        </is>
      </c>
      <c r="C36" s="12" t="inlineStr">
        <is>
          <t>聚氯乙烯树脂（乙烯法）</t>
        </is>
      </c>
      <c r="D36" s="14" t="n">
        <v>30</v>
      </c>
      <c r="E36" s="14" t="n"/>
      <c r="F36" s="14" t="n"/>
      <c r="G36" s="24" t="n"/>
      <c r="H36" s="24" t="n"/>
    </row>
    <row r="37">
      <c r="A37" s="9" t="inlineStr">
        <is>
          <t>U-P170-01</t>
        </is>
      </c>
      <c r="B37" s="9" t="inlineStr">
        <is>
          <t>平顶山基地（神马氯碱）</t>
        </is>
      </c>
      <c r="C37" s="9" t="inlineStr">
        <is>
          <t>聚氯乙烯树脂</t>
        </is>
      </c>
      <c r="D37" s="11" t="n">
        <v>30</v>
      </c>
      <c r="E37" s="11" t="n"/>
      <c r="F37" s="11" t="n"/>
      <c r="G37" s="23" t="n"/>
      <c r="H37" s="23" t="n"/>
    </row>
    <row r="38">
      <c r="A38" s="12" t="inlineStr">
        <is>
          <t>U-P180-01</t>
        </is>
      </c>
      <c r="B38" s="12" t="inlineStr">
        <is>
          <t>河南联创基地</t>
        </is>
      </c>
      <c r="C38" s="12" t="inlineStr">
        <is>
          <t>聚氯乙烯树脂</t>
        </is>
      </c>
      <c r="D38" s="14" t="n">
        <v>40</v>
      </c>
      <c r="E38" s="14" t="n"/>
      <c r="F38" s="14" t="n"/>
      <c r="G38" s="24" t="n"/>
      <c r="H38" s="24" t="n"/>
    </row>
    <row r="39">
      <c r="A39" s="9" t="inlineStr">
        <is>
          <t>U-P190-01</t>
        </is>
      </c>
      <c r="B39" s="9" t="inlineStr">
        <is>
          <t>广州南沙基地（东曹）</t>
        </is>
      </c>
      <c r="C39" s="9" t="inlineStr">
        <is>
          <t>聚氯乙烯树脂（悬浮法）</t>
        </is>
      </c>
      <c r="D39" s="11" t="n">
        <v>22</v>
      </c>
      <c r="E39" s="11" t="n"/>
      <c r="F39" s="11" t="n"/>
      <c r="G39" s="23" t="n"/>
      <c r="H39" s="23" t="n"/>
    </row>
    <row r="40">
      <c r="A40" s="12" t="inlineStr">
        <is>
          <t>U-P200-01</t>
        </is>
      </c>
      <c r="B40" s="12" t="inlineStr">
        <is>
          <t>海南区海化工业园基地（乌海化工，长期停车）</t>
        </is>
      </c>
      <c r="C40" s="12" t="inlineStr">
        <is>
          <t>聚氯乙烯树脂</t>
        </is>
      </c>
      <c r="D40" s="14" t="n">
        <v>110</v>
      </c>
      <c r="E40" s="14" t="n"/>
      <c r="F40" s="14" t="n"/>
      <c r="G40" s="24" t="n"/>
      <c r="H40" s="24" t="n"/>
    </row>
    <row r="41">
      <c r="A41" s="9" t="inlineStr">
        <is>
          <t>U-P302-01</t>
        </is>
      </c>
      <c r="B41" s="9" t="inlineStr">
        <is>
          <t>嘉兴港区基地（嘉化能源）</t>
        </is>
      </c>
      <c r="C41" s="9" t="inlineStr">
        <is>
          <t>聚氯乙烯树脂（二期）</t>
        </is>
      </c>
      <c r="D41" s="11" t="n">
        <v>30</v>
      </c>
      <c r="E41" s="11" t="n"/>
      <c r="F41" s="11" t="n"/>
      <c r="G41" s="23" t="n"/>
      <c r="H41" s="23" t="n"/>
    </row>
    <row r="42">
      <c r="A42" s="12" t="inlineStr">
        <is>
          <t>U-P304-01</t>
        </is>
      </c>
      <c r="B42" s="12" t="inlineStr">
        <is>
          <t>江阴港城基地（万华福建）</t>
        </is>
      </c>
      <c r="C42" s="12" t="inlineStr">
        <is>
          <t>聚氯乙烯树脂（一期）</t>
        </is>
      </c>
      <c r="D42" s="14" t="n">
        <v>40</v>
      </c>
      <c r="E42" s="14" t="n"/>
      <c r="F42" s="14" t="n"/>
      <c r="G42" s="24" t="n"/>
      <c r="H42" s="24" t="n"/>
    </row>
    <row r="43">
      <c r="A43" s="9" t="inlineStr">
        <is>
          <t>U-P305-01</t>
        </is>
      </c>
      <c r="B43" s="9" t="inlineStr">
        <is>
          <t>神木基地（金泰氯碱）</t>
        </is>
      </c>
      <c r="C43" s="9" t="inlineStr">
        <is>
          <t>聚氯乙烯树脂（电石法无汞）</t>
        </is>
      </c>
      <c r="D43" s="11" t="n">
        <v>60</v>
      </c>
      <c r="E43" s="11" t="n"/>
      <c r="F43" s="11" t="n"/>
      <c r="G43" s="23" t="n"/>
      <c r="H43" s="23" t="n"/>
    </row>
    <row r="44">
      <c r="A44" s="12" t="inlineStr">
        <is>
          <t>U-P306-01</t>
        </is>
      </c>
      <c r="B44" s="12" t="inlineStr">
        <is>
          <t>兰州新区基地（耀望化工）</t>
        </is>
      </c>
      <c r="C44" s="12" t="inlineStr">
        <is>
          <t>聚氯乙烯树脂（电石法无汞）</t>
        </is>
      </c>
      <c r="D44" s="14" t="n">
        <v>30</v>
      </c>
      <c r="E44" s="14" t="n"/>
      <c r="F44" s="14" t="n"/>
      <c r="G44" s="24" t="n"/>
      <c r="H44" s="24" t="n"/>
    </row>
    <row r="45">
      <c r="A45" s="9" t="inlineStr">
        <is>
          <t>U-P307-01</t>
        </is>
      </c>
      <c r="B45" s="9" t="inlineStr">
        <is>
          <t>泰兴基地（新浦化学）</t>
        </is>
      </c>
      <c r="C45" s="9" t="inlineStr">
        <is>
          <t>聚氯乙烯树脂</t>
        </is>
      </c>
      <c r="D45" s="11" t="n">
        <v>50</v>
      </c>
      <c r="E45" s="11" t="n"/>
      <c r="F45" s="11" t="n"/>
      <c r="G45" s="23" t="n"/>
      <c r="H45" s="23" t="n"/>
    </row>
    <row r="46">
      <c r="A46" s="12" t="inlineStr">
        <is>
          <t>U-P308-01</t>
        </is>
      </c>
      <c r="B46" s="12" t="inlineStr">
        <is>
          <t>宁波基地（镇洋发展）</t>
        </is>
      </c>
      <c r="C46" s="12" t="inlineStr">
        <is>
          <t>聚氯乙烯树脂</t>
        </is>
      </c>
      <c r="D46" s="14" t="n">
        <v>30</v>
      </c>
      <c r="E46" s="14" t="n"/>
      <c r="F46" s="14" t="n"/>
      <c r="G46" s="24" t="n"/>
      <c r="H46" s="24" t="n"/>
    </row>
    <row r="47">
      <c r="A47" s="9" t="inlineStr">
        <is>
          <t>U-P400-01</t>
        </is>
      </c>
      <c r="B47" s="9" t="inlineStr">
        <is>
          <t>宜宾基地（天原集团）</t>
        </is>
      </c>
      <c r="C47" s="9" t="inlineStr">
        <is>
          <t>聚氯乙烯树脂</t>
        </is>
      </c>
      <c r="D47" s="11" t="n">
        <v>50</v>
      </c>
      <c r="E47" s="11" t="n"/>
      <c r="F47" s="11" t="n"/>
      <c r="G47" s="23" t="n"/>
      <c r="H47" s="23" t="n"/>
    </row>
    <row r="49">
      <c r="A49" s="27" t="inlineStr">
        <is>
          <t>空白 = 该口径未公开取得（数据缺口），不做任何换算或外推。参见 16_数据缺口。</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9" customWidth="1" min="1" max="1"/>
    <col width="44" customWidth="1" min="2" max="2"/>
    <col width="34" customWidth="1" min="3" max="3"/>
    <col width="20" customWidth="1" min="4" max="4"/>
    <col width="60" customWidth="1" min="5" max="5"/>
    <col width="9" customWidth="1" min="6" max="6"/>
  </cols>
  <sheetData>
    <row r="1" ht="24" customHeight="1">
      <c r="A1" s="7" t="inlineStr">
        <is>
          <t>数据缺口清单</t>
        </is>
      </c>
    </row>
    <row r="2">
      <c r="A2" s="3" t="inlineStr">
        <is>
          <t>缺口如实登记；禁止用行业均值/邻近年份/比例外推补齐</t>
        </is>
      </c>
    </row>
    <row r="4" ht="30" customHeight="1">
      <c r="A4" s="8" t="inlineStr">
        <is>
          <t>编号</t>
        </is>
      </c>
      <c r="B4" s="8" t="inlineStr">
        <is>
          <t>缺口项</t>
        </is>
      </c>
      <c r="C4" s="8" t="inlineStr">
        <is>
          <t>影响范围</t>
        </is>
      </c>
      <c r="D4" s="8" t="inlineStr">
        <is>
          <t>当前状态</t>
        </is>
      </c>
      <c r="E4" s="8" t="inlineStr">
        <is>
          <t>补齐方式</t>
        </is>
      </c>
      <c r="F4" s="8" t="inlineStr">
        <is>
          <t>优先级</t>
        </is>
      </c>
    </row>
    <row r="5">
      <c r="A5" s="9" t="inlineStr">
        <is>
          <t>G-01</t>
        </is>
      </c>
      <c r="B5" s="10" t="inlineStr">
        <is>
          <t>中泰化学各生产基地（米东/阜康/托克逊/吐鲁番圣雄）分厂 PVC 产能</t>
        </is>
      </c>
      <c r="C5" s="10" t="inlineStr">
        <is>
          <t>05_基地清单、省份汇总（新疆）、基地级地图气泡</t>
        </is>
      </c>
      <c r="D5" s="9" t="inlineStr">
        <is>
          <t>年报仅披露合并 260 万吨/年，未拆分</t>
        </is>
      </c>
      <c r="E5" s="10" t="inlineStr">
        <is>
          <t>查各厂建设项目环评公示、可转债/募集说明书、地方工信局项目备案</t>
        </is>
      </c>
      <c r="F5" s="9" t="inlineStr">
        <is>
          <t>高</t>
        </is>
      </c>
    </row>
    <row r="6">
      <c r="A6" s="12" t="inlineStr">
        <is>
          <t>G-02</t>
        </is>
      </c>
      <c r="B6" s="13" t="inlineStr">
        <is>
          <t>新疆天业石河子三家厂（天伟/天能/天辰）分厂产能</t>
        </is>
      </c>
      <c r="C6" s="13" t="inlineStr">
        <is>
          <t>05_基地清单、基地级产能</t>
        </is>
      </c>
      <c r="D6" s="12" t="inlineStr">
        <is>
          <t>仅知上市公司合并 134 万吨及通用/特种/糊树脂结构</t>
        </is>
      </c>
      <c r="E6" s="13" t="inlineStr">
        <is>
          <t>查可转债募集说明书、资产评估报告、母公司减值测试披露</t>
        </is>
      </c>
      <c r="F6" s="12" t="inlineStr">
        <is>
          <t>高</t>
        </is>
      </c>
    </row>
    <row r="7">
      <c r="A7" s="9" t="inlineStr">
        <is>
          <t>G-03</t>
        </is>
      </c>
      <c r="B7" s="10" t="inlineStr">
        <is>
          <t>内蒙古宜化 PVC 实际产能与工艺</t>
        </is>
      </c>
      <c r="C7" s="10" t="inlineStr">
        <is>
          <t>04 法人汇总、内蒙古省级汇总</t>
        </is>
      </c>
      <c r="D7" s="9" t="inlineStr">
        <is>
          <t>安全许可证未列聚氯乙烯条目，与旧资料「40 万吨」冲突</t>
        </is>
      </c>
      <c r="E7" s="10" t="inlineStr">
        <is>
          <t>查内蒙古应急厅安全生产许可证公示、环评批复</t>
        </is>
      </c>
      <c r="F7" s="9" t="inlineStr">
        <is>
          <t>高</t>
        </is>
      </c>
    </row>
    <row r="8">
      <c r="A8" s="12" t="inlineStr">
        <is>
          <t>G-04</t>
        </is>
      </c>
      <c r="B8" s="13" t="inlineStr">
        <is>
          <t>湖北宜化「部分 PVC 装置关停」的具体厂址与关停吨数</t>
        </is>
      </c>
      <c r="C8" s="13" t="inlineStr">
        <is>
          <t>法人汇总、长期停车统计</t>
        </is>
      </c>
      <c r="D8" s="12" t="inlineStr">
        <is>
          <t>年报仅注明存在关停，未给细节</t>
        </is>
      </c>
      <c r="E8" s="13" t="inlineStr">
        <is>
          <t>查公司公告、各子公司安全许可与排污许可变更</t>
        </is>
      </c>
      <c r="F8" s="12" t="inlineStr">
        <is>
          <t>高</t>
        </is>
      </c>
    </row>
    <row r="9">
      <c r="A9" s="9" t="inlineStr">
        <is>
          <t>G-05</t>
        </is>
      </c>
      <c r="B9" s="10" t="inlineStr">
        <is>
          <t>信发集团 PVC 各基地（山东茌平/新疆/山西）产能</t>
        </is>
      </c>
      <c r="C9" s="10" t="inlineStr">
        <is>
          <t>山东、新疆省级汇总</t>
        </is>
      </c>
      <c r="D9" s="9" t="inlineStr">
        <is>
          <t>仅取得「规划 60 万吨聚氯乙烯」与集团官网定性表述</t>
        </is>
      </c>
      <c r="E9" s="10" t="inlineStr">
        <is>
          <t>查信发集团发债评级报告、聊城市/茌平区统计公报</t>
        </is>
      </c>
      <c r="F9" s="9" t="inlineStr">
        <is>
          <t>高</t>
        </is>
      </c>
    </row>
    <row r="10">
      <c r="A10" s="12" t="inlineStr">
        <is>
          <t>G-06</t>
        </is>
      </c>
      <c r="B10" s="13" t="inlineStr">
        <is>
          <t>台塑工业（宁波）PVC 产能</t>
        </is>
      </c>
      <c r="C10" s="13" t="inlineStr">
        <is>
          <t>浙江省汇总、乙烯法汇总</t>
        </is>
      </c>
      <c r="D10" s="12" t="inlineStr">
        <is>
          <t>未取得可引用数字</t>
        </is>
      </c>
      <c r="E10" s="13" t="inlineStr">
        <is>
          <t>查台塑石化年报/台塑工业宁波官网、宁波市发改委项目备案</t>
        </is>
      </c>
      <c r="F10" s="12" t="inlineStr">
        <is>
          <t>中</t>
        </is>
      </c>
    </row>
    <row r="11">
      <c r="A11" s="9" t="inlineStr">
        <is>
          <t>G-07</t>
        </is>
      </c>
      <c r="B11" s="10" t="inlineStr">
        <is>
          <t>山东系（恒通化工、海化、寿光联盟、鲁北）PVC 产能与在产状态</t>
        </is>
      </c>
      <c r="C11" s="10" t="inlineStr">
        <is>
          <t>山东省级汇总</t>
        </is>
      </c>
      <c r="D11" s="9" t="inlineStr">
        <is>
          <t>多记为退出/不确定</t>
        </is>
      </c>
      <c r="E11" s="10" t="inlineStr">
        <is>
          <t>查山东省能效清单、各公司排污许可</t>
        </is>
      </c>
      <c r="F11" s="9" t="inlineStr">
        <is>
          <t>中</t>
        </is>
      </c>
    </row>
    <row r="12">
      <c r="A12" s="12" t="inlineStr">
        <is>
          <t>G-08</t>
        </is>
      </c>
      <c r="B12" s="13" t="inlineStr">
        <is>
          <t>江苏系（华昌、梅兰、新东、索普）PVC 在产状态</t>
        </is>
      </c>
      <c r="C12" s="13" t="inlineStr">
        <is>
          <t>江苏省汇总</t>
        </is>
      </c>
      <c r="D12" s="12" t="inlineStr">
        <is>
          <t>江苏为退出较多省份，具体主体未核实</t>
        </is>
      </c>
      <c r="E12" s="13" t="inlineStr">
        <is>
          <t>查江苏省工信厅去产能公告、企业排污许可</t>
        </is>
      </c>
      <c r="F12" s="12" t="inlineStr">
        <is>
          <t>中</t>
        </is>
      </c>
    </row>
    <row r="13">
      <c r="A13" s="9" t="inlineStr">
        <is>
          <t>G-09</t>
        </is>
      </c>
      <c r="B13" s="10" t="inlineStr">
        <is>
          <t>全样本实际产量（分企业）</t>
        </is>
      </c>
      <c r="C13" s="10" t="inlineStr">
        <is>
          <t>15_口径对比、开工率分析</t>
        </is>
      </c>
      <c r="D13" s="9" t="inlineStr">
        <is>
          <t>仅少部分企业披露利用率</t>
        </is>
      </c>
      <c r="E13" s="10" t="inlineStr">
        <is>
          <t>逐家年报「产能利用率」栏；无披露者留空</t>
        </is>
      </c>
      <c r="F13" s="9" t="inlineStr">
        <is>
          <t>中</t>
        </is>
      </c>
    </row>
    <row r="14">
      <c r="A14" s="12" t="inlineStr">
        <is>
          <t>G-10</t>
        </is>
      </c>
      <c r="B14" s="13" t="inlineStr">
        <is>
          <t>有效产能（扣除长期停车）的行业统一口径</t>
        </is>
      </c>
      <c r="C14" s="13" t="inlineStr">
        <is>
          <t>有效产能切换器</t>
        </is>
      </c>
      <c r="D14" s="12" t="inlineStr">
        <is>
          <t>行业无统一公开口径</t>
        </is>
      </c>
      <c r="E14" s="13" t="inlineStr">
        <is>
          <t>以各企业检修/停产公告汇总；无则不做全口径合计</t>
        </is>
      </c>
      <c r="F14" s="12" t="inlineStr">
        <is>
          <t>中</t>
        </is>
      </c>
    </row>
    <row r="15">
      <c r="A15" s="9" t="inlineStr">
        <is>
          <t>G-11</t>
        </is>
      </c>
      <c r="B15" s="10" t="inlineStr">
        <is>
          <t>在建/拟建项目的置换退出明细</t>
        </is>
      </c>
      <c r="C15" s="10" t="inlineStr">
        <is>
          <t>12_新增净额还原</t>
        </is>
      </c>
      <c r="D15" s="9" t="inlineStr">
        <is>
          <t>多数项目未公开等量替代方案</t>
        </is>
      </c>
      <c r="E15" s="10" t="inlineStr">
        <is>
          <t>查省级产能置换公示（工信厅）</t>
        </is>
      </c>
      <c r="F15" s="9" t="inlineStr">
        <is>
          <t>高</t>
        </is>
      </c>
    </row>
    <row r="16">
      <c r="A16" s="12" t="inlineStr">
        <is>
          <t>G-12</t>
        </is>
      </c>
      <c r="B16" s="13" t="inlineStr">
        <is>
          <t>2026 年以后新增产能的投达产节奏</t>
        </is>
      </c>
      <c r="C16" s="13" t="inlineStr">
        <is>
          <t>未来供给判断</t>
        </is>
      </c>
      <c r="D16" s="12" t="inlineStr">
        <is>
          <t>仅有「2027H1、2028H1 集中投产」的第三方表述</t>
        </is>
      </c>
      <c r="E16" s="13" t="inlineStr">
        <is>
          <t>跟踪环评公示→开工→中交公告</t>
        </is>
      </c>
      <c r="F16" s="12" t="inlineStr">
        <is>
          <t>中</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3"/>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60" customWidth="1" min="3" max="3"/>
    <col width="26" customWidth="1" min="4" max="4"/>
    <col width="11" customWidth="1" min="5" max="5"/>
    <col width="7" customWidth="1" min="6" max="6"/>
    <col width="14" customWidth="1" min="7" max="7"/>
    <col width="60" customWidth="1" min="8" max="8"/>
    <col width="40" customWidth="1" min="9" max="9"/>
  </cols>
  <sheetData>
    <row r="1" ht="24" customHeight="1">
      <c r="A1" s="7" t="inlineStr">
        <is>
          <t>数据来源清单</t>
        </is>
      </c>
    </row>
    <row r="2">
      <c r="A2" s="3" t="inlineStr">
        <is>
          <t>A 一手 / B 权威二手 / C 一般二手 / D 未核实</t>
        </is>
      </c>
    </row>
    <row r="4" ht="30" customHeight="1">
      <c r="A4" s="8" t="inlineStr">
        <is>
          <t>编号</t>
        </is>
      </c>
      <c r="B4" s="8" t="inlineStr">
        <is>
          <t>类型</t>
        </is>
      </c>
      <c r="C4" s="8" t="inlineStr">
        <is>
          <t>标题</t>
        </is>
      </c>
      <c r="D4" s="8" t="inlineStr">
        <is>
          <t>发布机构</t>
        </is>
      </c>
      <c r="E4" s="8" t="inlineStr">
        <is>
          <t>日期</t>
        </is>
      </c>
      <c r="F4" s="8" t="inlineStr">
        <is>
          <t>等级</t>
        </is>
      </c>
      <c r="G4" s="8" t="inlineStr">
        <is>
          <t>等级说明</t>
        </is>
      </c>
      <c r="H4" s="8" t="inlineStr">
        <is>
          <t>URL</t>
        </is>
      </c>
      <c r="I4" s="8" t="inlineStr">
        <is>
          <t>备注</t>
        </is>
      </c>
    </row>
    <row r="5">
      <c r="A5" s="9" t="inlineStr">
        <is>
          <t>S01</t>
        </is>
      </c>
      <c r="B5" s="9" t="inlineStr">
        <is>
          <t>年报</t>
        </is>
      </c>
      <c r="C5" s="10" t="inlineStr">
        <is>
          <t>新疆中泰化学股份有限公司 2025 年年度报告</t>
        </is>
      </c>
      <c r="D5" s="9" t="inlineStr">
        <is>
          <t>巨潮资讯网 / 中泰化学(002092)</t>
        </is>
      </c>
      <c r="E5" s="9" t="inlineStr">
        <is>
          <t>2026-03-26</t>
        </is>
      </c>
      <c r="F5" s="32" t="inlineStr">
        <is>
          <t>A</t>
        </is>
      </c>
      <c r="G5" s="9" t="inlineStr">
        <is>
          <t>A-一手文件</t>
        </is>
      </c>
      <c r="H5" s="10" t="inlineStr">
        <is>
          <t>https://static.cninfo.com.cn/finalpage/2026-03-26/1225033261.PDF</t>
        </is>
      </c>
      <c r="I5" s="10" t="inlineStr">
        <is>
          <t>p15 主要产品产能表：聚氯乙烯树脂 260 万吨/年，利用率 98.00%，在建产能无；p5 释义表确认各子公司法定全称；p36 主要控股参股公司</t>
        </is>
      </c>
    </row>
    <row r="6">
      <c r="A6" s="12" t="inlineStr">
        <is>
          <t>S02</t>
        </is>
      </c>
      <c r="B6" s="12" t="inlineStr">
        <is>
          <t>年报</t>
        </is>
      </c>
      <c r="C6" s="13" t="inlineStr">
        <is>
          <t>新疆天业股份有限公司 2025 年度报告</t>
        </is>
      </c>
      <c r="D6" s="12" t="inlineStr">
        <is>
          <t>巨潮资讯网 / 新疆天业(600075)</t>
        </is>
      </c>
      <c r="E6" s="12" t="inlineStr">
        <is>
          <t>2026-04-10</t>
        </is>
      </c>
      <c r="F6" s="32" t="inlineStr">
        <is>
          <t>A</t>
        </is>
      </c>
      <c r="G6" s="12" t="inlineStr">
        <is>
          <t>A-一手文件</t>
        </is>
      </c>
      <c r="H6" s="13" t="inlineStr">
        <is>
          <t>https://money.finance.sina.com.cn/corp/view/vCB_AllBulletinDetail.php?stockid=600075&amp;id=12071824</t>
        </is>
      </c>
      <c r="I6" s="13" t="inlineStr">
        <is>
          <t>拥有 134 万吨 PVC（114 通用 + 10 特种树脂 + 10 糊树脂）；产能与开工情况表；天域新实 2026-02-14 注销</t>
        </is>
      </c>
    </row>
    <row r="7">
      <c r="A7" s="9" t="inlineStr">
        <is>
          <t>S03</t>
        </is>
      </c>
      <c r="B7" s="9" t="inlineStr">
        <is>
          <t>投资者关系记录</t>
        </is>
      </c>
      <c r="C7" s="10" t="inlineStr">
        <is>
          <t>新疆天业股份有限公司投资者关系活动记录表（2024-04）</t>
        </is>
      </c>
      <c r="D7" s="9" t="inlineStr">
        <is>
          <t>东方财富 / 新疆天业</t>
        </is>
      </c>
      <c r="E7" s="9" t="inlineStr">
        <is>
          <t>2024-04-25</t>
        </is>
      </c>
      <c r="F7" s="32" t="inlineStr">
        <is>
          <t>A</t>
        </is>
      </c>
      <c r="G7" s="9" t="inlineStr">
        <is>
          <t>A-一手文件</t>
        </is>
      </c>
      <c r="H7" s="10" t="inlineStr">
        <is>
          <t>https://pdf.dfcfw.com/pdf/H22_AN202404251631283032_1.pdf</t>
        </is>
      </c>
      <c r="I7" s="10" t="inlineStr">
        <is>
          <t>明确 134 万吨 PVC 的产品结构（114 通用 / 10 特种 / 10 糊树脂）、213 万吨电石、2 个自备电厂；22.5 万吨乙烯法 VCM 可转债募投项目</t>
        </is>
      </c>
    </row>
    <row r="8">
      <c r="A8" s="12" t="inlineStr">
        <is>
          <t>S04</t>
        </is>
      </c>
      <c r="B8" s="12" t="inlineStr">
        <is>
          <t>评级报告</t>
        </is>
      </c>
      <c r="C8" s="13" t="inlineStr">
        <is>
          <t>新疆天业股份有限公司 2025 年度跟踪评级报告</t>
        </is>
      </c>
      <c r="D8" s="12" t="inlineStr">
        <is>
          <t>中诚信国际</t>
        </is>
      </c>
      <c r="E8" s="12" t="inlineStr">
        <is>
          <t>2025-06-07</t>
        </is>
      </c>
      <c r="F8" s="32" t="inlineStr">
        <is>
          <t>A</t>
        </is>
      </c>
      <c r="G8" s="12" t="inlineStr">
        <is>
          <t>A-一手文件</t>
        </is>
      </c>
      <c r="H8" s="13" t="inlineStr">
        <is>
          <t>https://file.finance.qq.com/finance/hs/pdf/2025/06/07/1223800314.PDF</t>
        </is>
      </c>
      <c r="I8" s="13" t="inlineStr">
        <is>
          <t>PVC 年产能 134 万吨、烧碱 97 万吨、电石 213 万吨；石灰 100% 集团内自给</t>
        </is>
      </c>
    </row>
    <row r="9">
      <c r="A9" s="9" t="inlineStr">
        <is>
          <t>S05</t>
        </is>
      </c>
      <c r="B9" s="9" t="inlineStr">
        <is>
          <t>年报</t>
        </is>
      </c>
      <c r="C9" s="10" t="inlineStr">
        <is>
          <t>陕西北元化工集团股份有限公司 2025 年年度报告</t>
        </is>
      </c>
      <c r="D9" s="9" t="inlineStr">
        <is>
          <t>巨潮资讯网 / 北元集团(601568)</t>
        </is>
      </c>
      <c r="E9" s="9" t="inlineStr">
        <is>
          <t>2026-04-23</t>
        </is>
      </c>
      <c r="F9" s="32" t="inlineStr">
        <is>
          <t>A</t>
        </is>
      </c>
      <c r="G9" s="9" t="inlineStr">
        <is>
          <t>A-一手文件</t>
        </is>
      </c>
      <c r="H9" s="10" t="inlineStr">
        <is>
          <t>https://static.cninfo.com.cn/finalpage/2026-04-23/1225144565.PDF</t>
        </is>
      </c>
      <c r="I9" s="10" t="inlineStr">
        <is>
          <t>p9 现具有 110 万吨/年聚氯乙烯、80 万吨/年离子膜烧碱、50 万吨/年电石；p10 全国产能 3,088 万吨（引中国氯碱网）；p25 71 家企业、退出 406.7 万吨；p40 乙烯法占比/前三省</t>
        </is>
      </c>
    </row>
    <row r="10">
      <c r="A10" s="12" t="inlineStr">
        <is>
          <t>S06</t>
        </is>
      </c>
      <c r="B10" s="12" t="inlineStr">
        <is>
          <t>年报</t>
        </is>
      </c>
      <c r="C10" s="13" t="inlineStr">
        <is>
          <t>内蒙古君正能源化工集团股份有限公司 2025 年年度报告</t>
        </is>
      </c>
      <c r="D10" s="12" t="inlineStr">
        <is>
          <t>新浪财经 / 君正集团(601216)</t>
        </is>
      </c>
      <c r="E10" s="12" t="inlineStr">
        <is>
          <t>2026-04-25</t>
        </is>
      </c>
      <c r="F10" s="32" t="inlineStr">
        <is>
          <t>A</t>
        </is>
      </c>
      <c r="G10" s="12" t="inlineStr">
        <is>
          <t>A-一手文件</t>
        </is>
      </c>
      <c r="H10" s="13" t="inlineStr">
        <is>
          <t>https://money.finance.sina.com.cn/corp/view/vCB_AllBulletinDetail.php?stockid=601216&amp;id=12182384</t>
        </is>
      </c>
      <c r="I10" s="13" t="inlineStr">
        <is>
          <t>树脂项目 80 万吨/年，利用率 110.74%；电石 238.3 万吨/年；子公司内蒙古君正化工有限责任公司位于乌海市乌达区工业园区；乙炔法</t>
        </is>
      </c>
    </row>
    <row r="11">
      <c r="A11" s="9" t="inlineStr">
        <is>
          <t>S07</t>
        </is>
      </c>
      <c r="B11" s="9" t="inlineStr">
        <is>
          <t>年报</t>
        </is>
      </c>
      <c r="C11" s="10" t="inlineStr">
        <is>
          <t>内蒙古君正能源化工集团股份有限公司 2024 年年度报告摘要</t>
        </is>
      </c>
      <c r="D11" s="9" t="inlineStr">
        <is>
          <t>君正集团官网</t>
        </is>
      </c>
      <c r="E11" s="9" t="inlineStr">
        <is>
          <t>2025</t>
        </is>
      </c>
      <c r="F11" s="32" t="inlineStr">
        <is>
          <t>A</t>
        </is>
      </c>
      <c r="G11" s="9" t="inlineStr">
        <is>
          <t>A-一手文件</t>
        </is>
      </c>
      <c r="H11" s="10" t="inlineStr">
        <is>
          <t>https://www.junzhenggroup.com/uploads/jzjt/notice/1543/file/677c913aa8eae32c46d89d0683847ff4.pdf</t>
        </is>
      </c>
      <c r="I11" s="10" t="inlineStr">
        <is>
          <t>截至报告期末聚氯乙烯产能 80 万吨、烧碱 55 万吨、电石 238.3 万吨、石灰石 500 万吨、煤炭 90 万吨</t>
        </is>
      </c>
    </row>
    <row r="12">
      <c r="A12" s="12" t="inlineStr">
        <is>
          <t>S08</t>
        </is>
      </c>
      <c r="B12" s="12" t="inlineStr">
        <is>
          <t>年报</t>
        </is>
      </c>
      <c r="C12" s="13" t="inlineStr">
        <is>
          <t>湖北宜化化工股份有限公司 2025 年年度报告</t>
        </is>
      </c>
      <c r="D12" s="12" t="inlineStr">
        <is>
          <t>新浪财经 / 湖北宜化(000422)</t>
        </is>
      </c>
      <c r="E12" s="12" t="inlineStr">
        <is>
          <t>2026-04-14</t>
        </is>
      </c>
      <c r="F12" s="32" t="inlineStr">
        <is>
          <t>A</t>
        </is>
      </c>
      <c r="G12" s="12" t="inlineStr">
        <is>
          <t>A-一手文件</t>
        </is>
      </c>
      <c r="H12" s="13" t="inlineStr">
        <is>
          <t>https://money.finance.sina.com.cn/corp/view/vCB_AllBulletinDetail.php?stockid=000422&amp;id=12190431</t>
        </is>
      </c>
      <c r="I12" s="13" t="inlineStr">
        <is>
          <t>PVC 90 万吨/年，利用率 122.39%；注 2「本年度存在部分 PVC 装置关停」；青海宜化安全许可聚氯乙烯 30 万 t/a；新疆宜化新增 PVC 30 万吨</t>
        </is>
      </c>
    </row>
    <row r="13">
      <c r="A13" s="9" t="inlineStr">
        <is>
          <t>S09</t>
        </is>
      </c>
      <c r="B13" s="9" t="inlineStr">
        <is>
          <t>年报</t>
        </is>
      </c>
      <c r="C13" s="10" t="inlineStr">
        <is>
          <t>上海氯碱化工股份有限公司 2025 年年度报告</t>
        </is>
      </c>
      <c r="D13" s="9" t="inlineStr">
        <is>
          <t>新浪财经 / 氯碱化工(600618)</t>
        </is>
      </c>
      <c r="E13" s="9" t="inlineStr">
        <is>
          <t>2026-04-14</t>
        </is>
      </c>
      <c r="F13" s="32" t="inlineStr">
        <is>
          <t>A</t>
        </is>
      </c>
      <c r="G13" s="9" t="inlineStr">
        <is>
          <t>A-一手文件</t>
        </is>
      </c>
      <c r="H13" s="10" t="inlineStr">
        <is>
          <t>https://money.finance.sina.com.cn/corp/view/vCB_AllBulletinDetail.php?stockid=600618&amp;id=12116978</t>
        </is>
      </c>
      <c r="I13" s="10" t="inlineStr">
        <is>
          <t>烧碱 102 万吨、聚氯乙烯 48 万吨（40 万吨聚氯乙烯 + 8 万吨特种 PVC）</t>
        </is>
      </c>
    </row>
    <row r="14">
      <c r="A14" s="12" t="inlineStr">
        <is>
          <t>S10</t>
        </is>
      </c>
      <c r="B14" s="12" t="inlineStr">
        <is>
          <t>媒体</t>
        </is>
      </c>
      <c r="C14" s="13" t="inlineStr">
        <is>
          <t>氯碱化工拟 6.85 亿收购广西氯碱 40% 股权</t>
        </is>
      </c>
      <c r="D14" s="12" t="inlineStr">
        <is>
          <t>证券时报 stcn.com</t>
        </is>
      </c>
      <c r="E14" s="12" t="inlineStr">
        <is>
          <t>2024-05-23</t>
        </is>
      </c>
      <c r="F14" s="30" t="inlineStr">
        <is>
          <t>B</t>
        </is>
      </c>
      <c r="G14" s="12" t="inlineStr">
        <is>
          <t>B-权威二手</t>
        </is>
      </c>
      <c r="H14" s="13" t="inlineStr">
        <is>
          <t>https://www.stcn.com/article/detail/1213318.html</t>
        </is>
      </c>
      <c r="I14" s="13" t="inlineStr">
        <is>
          <t>广西钦州 30 万吨/年烧碱、40 万吨/年聚氯乙烯项目，2019 年投资建设</t>
        </is>
      </c>
    </row>
    <row r="15">
      <c r="A15" s="9" t="inlineStr">
        <is>
          <t>S11</t>
        </is>
      </c>
      <c r="B15" s="9" t="inlineStr">
        <is>
          <t>年报</t>
        </is>
      </c>
      <c r="C15" s="10" t="inlineStr">
        <is>
          <t>中盐内蒙古化工股份有限公司 2025 年年度报告摘要</t>
        </is>
      </c>
      <c r="D15" s="9" t="inlineStr">
        <is>
          <t>证券日报网 xinpi.zqrb.cn / 中盐化工(600328)</t>
        </is>
      </c>
      <c r="E15" s="9" t="inlineStr">
        <is>
          <t>2026-04-30</t>
        </is>
      </c>
      <c r="F15" s="32" t="inlineStr">
        <is>
          <t>A</t>
        </is>
      </c>
      <c r="G15" s="9" t="inlineStr">
        <is>
          <t>A-一手文件</t>
        </is>
      </c>
      <c r="H15" s="10" t="inlineStr">
        <is>
          <t>http://xinpi.zqrb.cn/pdf/SH/600328/2026/0430/7f22920af9a2cf45f8a2b1b4f84933e7df.pdf</t>
        </is>
      </c>
      <c r="I15" s="10" t="inlineStr">
        <is>
          <t>2025 年 PVC 国内产能约 2,932 万吨，其中电石法 2,055 万吨、乙烯法 877 万吨；全年平均开工率约 81.45%</t>
        </is>
      </c>
    </row>
    <row r="16">
      <c r="A16" s="12" t="inlineStr">
        <is>
          <t>S12</t>
        </is>
      </c>
      <c r="B16" s="12" t="inlineStr">
        <is>
          <t>年报</t>
        </is>
      </c>
      <c r="C16" s="13" t="inlineStr">
        <is>
          <t>宁夏英力特化工股份有限公司 2025 年年度报告摘要</t>
        </is>
      </c>
      <c r="D16" s="12" t="inlineStr">
        <is>
          <t>新浪财经 / 英力特(000635)</t>
        </is>
      </c>
      <c r="E16" s="12" t="inlineStr">
        <is>
          <t>2026-04-21</t>
        </is>
      </c>
      <c r="F16" s="32" t="inlineStr">
        <is>
          <t>A</t>
        </is>
      </c>
      <c r="G16" s="12" t="inlineStr">
        <is>
          <t>A-一手文件</t>
        </is>
      </c>
      <c r="H16" s="13" t="inlineStr">
        <is>
          <t>http://money.finance.sina.com.cn/corp/view/vCB_AllBulletinDetail.php?stockid=000635&amp;id=12125581</t>
        </is>
      </c>
      <c r="I16" s="13" t="inlineStr">
        <is>
          <t>电石法 PVC 年生产规模 26 万吨（含糊树脂 4 万吨）；2025 年国内 PVC 产量约 2,285 万吨、开工率 74%；国内现有产能 3,087.5 万吨（含糊状树脂 164.5 万吨），电石法 70%/乙烯法 30%</t>
        </is>
      </c>
    </row>
    <row r="17">
      <c r="A17" s="9" t="inlineStr">
        <is>
          <t>S13</t>
        </is>
      </c>
      <c r="B17" s="9" t="inlineStr">
        <is>
          <t>官网</t>
        </is>
      </c>
      <c r="C17" s="10" t="inlineStr">
        <is>
          <t>宁夏英力特化工股份有限公司 公司简介</t>
        </is>
      </c>
      <c r="D17" s="9" t="inlineStr">
        <is>
          <t>国家能源集团 英力特官网</t>
        </is>
      </c>
      <c r="E17" s="9" t="inlineStr">
        <is>
          <t>2025</t>
        </is>
      </c>
      <c r="F17" s="32" t="inlineStr">
        <is>
          <t>A</t>
        </is>
      </c>
      <c r="G17" s="9" t="inlineStr">
        <is>
          <t>A-一手文件</t>
        </is>
      </c>
      <c r="H17" s="10" t="inlineStr">
        <is>
          <t>http://ylthg.chnenergy.com.cn/nxyltww/gsjj/listcontent.shtml</t>
        </is>
      </c>
      <c r="I17" s="10" t="inlineStr">
        <is>
          <t>年产电石 40 万吨、聚氯乙烯 26 万吨（含糊树脂 4 万吨）、烧碱 19 万吨；地址 宁夏石嘴山市惠农区钢电路 41 号</t>
        </is>
      </c>
    </row>
    <row r="18">
      <c r="A18" s="12" t="inlineStr">
        <is>
          <t>S14</t>
        </is>
      </c>
      <c r="B18" s="12" t="inlineStr">
        <is>
          <t>年报</t>
        </is>
      </c>
      <c r="C18" s="13" t="inlineStr">
        <is>
          <t>唐山三友化工股份有限公司 2025 年年度报告</t>
        </is>
      </c>
      <c r="D18" s="12" t="inlineStr">
        <is>
          <t>新浪财经 / 三友化工(600409)</t>
        </is>
      </c>
      <c r="E18" s="12" t="inlineStr">
        <is>
          <t>2026-04-25</t>
        </is>
      </c>
      <c r="F18" s="32" t="inlineStr">
        <is>
          <t>A</t>
        </is>
      </c>
      <c r="G18" s="12" t="inlineStr">
        <is>
          <t>A-一手文件</t>
        </is>
      </c>
      <c r="H18" s="13" t="inlineStr">
        <is>
          <t>https://money.finance.sina.com.cn/corp/view/vCB_AllBulletinDetail.php?stockid=600409&amp;id=12180724</t>
        </is>
      </c>
      <c r="I18" s="13" t="inlineStr">
        <is>
          <t>PVC（含专用树脂）产能；子公司唐山三友氯碱有限责任公司</t>
        </is>
      </c>
    </row>
    <row r="19">
      <c r="A19" s="9" t="inlineStr">
        <is>
          <t>S15</t>
        </is>
      </c>
      <c r="B19" s="9" t="inlineStr">
        <is>
          <t>评级报告</t>
        </is>
      </c>
      <c r="C19" s="10" t="inlineStr">
        <is>
          <t>唐山三友化工股份有限公司主体长期信用评级报告</t>
        </is>
      </c>
      <c r="D19" s="9" t="inlineStr">
        <is>
          <t>联合资信 lhratings.com</t>
        </is>
      </c>
      <c r="E19" s="9" t="inlineStr">
        <is>
          <t>2026-10-16</t>
        </is>
      </c>
      <c r="F19" s="32" t="inlineStr">
        <is>
          <t>A</t>
        </is>
      </c>
      <c r="G19" s="9" t="inlineStr">
        <is>
          <t>A-一手文件</t>
        </is>
      </c>
      <c r="H19" s="10" t="inlineStr">
        <is>
          <t>https://www.lhratings.com/uploads/file/20261016/g39fff68a7e.pdf</t>
        </is>
      </c>
      <c r="I19" s="10" t="inlineStr">
        <is>
          <t>氯碱化工板块拥有年产 53 万吨烧碱及 52.5 万吨 PVC 的生产能力</t>
        </is>
      </c>
    </row>
    <row r="20">
      <c r="A20" s="12" t="inlineStr">
        <is>
          <t>S16</t>
        </is>
      </c>
      <c r="B20" s="12" t="inlineStr">
        <is>
          <t>官网</t>
        </is>
      </c>
      <c r="C20" s="13" t="inlineStr">
        <is>
          <t>唐山三友集团 氯碱产品 / 聚氯乙烯树脂（PVC）产品页</t>
        </is>
      </c>
      <c r="D20" s="12" t="inlineStr">
        <is>
          <t>三友集团官网</t>
        </is>
      </c>
      <c r="E20" s="12" t="inlineStr">
        <is>
          <t>2025</t>
        </is>
      </c>
      <c r="F20" s="32" t="inlineStr">
        <is>
          <t>A</t>
        </is>
      </c>
      <c r="G20" s="12" t="inlineStr">
        <is>
          <t>A-一手文件</t>
        </is>
      </c>
      <c r="H20" s="13" t="inlineStr">
        <is>
          <t>http://www.sanyou-group.com.cn/jtwebx/contents/1780/53781.html</t>
        </is>
      </c>
      <c r="I20" s="13" t="inlineStr">
        <is>
          <t>品种 SG3/SG5/SG8/2500；生产工艺：电石法</t>
        </is>
      </c>
    </row>
    <row r="21">
      <c r="A21" s="9" t="inlineStr">
        <is>
          <t>S17</t>
        </is>
      </c>
      <c r="B21" s="9" t="inlineStr">
        <is>
          <t>年报</t>
        </is>
      </c>
      <c r="C21" s="10" t="inlineStr">
        <is>
          <t>安徽华塑股份有限公司 2025 年年度报告</t>
        </is>
      </c>
      <c r="D21" s="9" t="inlineStr">
        <is>
          <t>新浪财经 / 华塑股份(600935)</t>
        </is>
      </c>
      <c r="E21" s="9" t="inlineStr">
        <is>
          <t>2026-04-30</t>
        </is>
      </c>
      <c r="F21" s="32" t="inlineStr">
        <is>
          <t>A</t>
        </is>
      </c>
      <c r="G21" s="9" t="inlineStr">
        <is>
          <t>A-一手文件</t>
        </is>
      </c>
      <c r="H21" s="10" t="inlineStr">
        <is>
          <t>https://vip.stock.finance.sina.com.cn/corp/view/vCB_AllBulletinDetail.php?stockid=600935&amp;id=12093600</t>
        </is>
      </c>
      <c r="I21" s="10" t="inlineStr">
        <is>
          <t>以 PVC 和烧碱为核心；2025 年全国 PVC 出口 382.32 万吨（+46.09%）；另有 2026 半年报「现有 PVC 产能 64 万吨/年、烧碱 48 万吨/年」</t>
        </is>
      </c>
    </row>
    <row r="22">
      <c r="A22" s="12" t="inlineStr">
        <is>
          <t>S18</t>
        </is>
      </c>
      <c r="B22" s="12" t="inlineStr">
        <is>
          <t>半年报</t>
        </is>
      </c>
      <c r="C22" s="13" t="inlineStr">
        <is>
          <t>安徽华塑股份有限公司 2026 年半年度报告</t>
        </is>
      </c>
      <c r="D22" s="12" t="inlineStr">
        <is>
          <t>雪球 stockmc.xueqiu.com / 华塑股份</t>
        </is>
      </c>
      <c r="E22" s="12" t="inlineStr">
        <is>
          <t>2026-08-26</t>
        </is>
      </c>
      <c r="F22" s="32" t="inlineStr">
        <is>
          <t>A</t>
        </is>
      </c>
      <c r="G22" s="12" t="inlineStr">
        <is>
          <t>A-一手文件</t>
        </is>
      </c>
      <c r="H22" s="13" t="inlineStr">
        <is>
          <t>https://stockmc.xueqiu.com/202608/600935_20260826_Q61P.pdf</t>
        </is>
      </c>
      <c r="I22" s="13" t="inlineStr">
        <is>
          <t>现有 PVC 产能 64 万吨/年、烧碱产能 48 万吨/年</t>
        </is>
      </c>
    </row>
    <row r="23">
      <c r="A23" s="9" t="inlineStr">
        <is>
          <t>S19</t>
        </is>
      </c>
      <c r="B23" s="9" t="inlineStr">
        <is>
          <t>官网</t>
        </is>
      </c>
      <c r="C23" s="10" t="inlineStr">
        <is>
          <t>天津渤海化工集团 氯碱化工 产品与服务</t>
        </is>
      </c>
      <c r="D23" s="9" t="inlineStr">
        <is>
          <t>渤海化工集团 bcig.cn</t>
        </is>
      </c>
      <c r="E23" s="9" t="inlineStr">
        <is>
          <t>2025</t>
        </is>
      </c>
      <c r="F23" s="32" t="inlineStr">
        <is>
          <t>A</t>
        </is>
      </c>
      <c r="G23" s="9" t="inlineStr">
        <is>
          <t>A-一手文件</t>
        </is>
      </c>
      <c r="H23" s="10" t="inlineStr">
        <is>
          <t>https://www.bcig.cn/cpfw/6991255165038759936.html</t>
        </is>
      </c>
      <c r="I23" s="10" t="inlineStr">
        <is>
          <t>主要产品年产能：PVC 80 万吨、烧碱 60 万吨、环氧丙烷 15 万吨、苯乙烯 50 万吨、ABS 40 万吨；60 万吨/年离子膜烧碱 / 80 万吨/年 PVC 项目</t>
        </is>
      </c>
    </row>
    <row r="24">
      <c r="A24" s="12" t="inlineStr">
        <is>
          <t>S20</t>
        </is>
      </c>
      <c r="B24" s="12" t="inlineStr">
        <is>
          <t>评级报告</t>
        </is>
      </c>
      <c r="C24" s="13" t="inlineStr">
        <is>
          <t>天津渤海化工集团有限责任公司主体长期信用评级报告</t>
        </is>
      </c>
      <c r="D24" s="12" t="inlineStr">
        <is>
          <t>中国货币网 chinamoney</t>
        </is>
      </c>
      <c r="E24" s="12" t="inlineStr">
        <is>
          <t>2025</t>
        </is>
      </c>
      <c r="F24" s="32" t="inlineStr">
        <is>
          <t>A</t>
        </is>
      </c>
      <c r="G24" s="12" t="inlineStr">
        <is>
          <t>A-一手文件</t>
        </is>
      </c>
      <c r="H24" s="13" t="inlineStr">
        <is>
          <t>https://www.chinamoney.com.cn/dqs/cm-s-notice-query/fileDownLoad.do?contentId=3391694&amp;priority=0&amp;mode=save</t>
        </is>
      </c>
      <c r="I24" s="13" t="inlineStr">
        <is>
          <t>2021 年 12 月烧碱、聚氯乙烯装置试车投产；受两化搬迁与工艺革新影响，2022 年起未再采购电石原料（即由电石法改乙烯法）</t>
        </is>
      </c>
    </row>
    <row r="25">
      <c r="A25" s="9" t="inlineStr">
        <is>
          <t>S21</t>
        </is>
      </c>
      <c r="B25" s="9" t="inlineStr">
        <is>
          <t>评级报告</t>
        </is>
      </c>
      <c r="C25" s="10" t="inlineStr">
        <is>
          <t>天津渤海化工集团 主体长期信用评级报告（2023）</t>
        </is>
      </c>
      <c r="D25" s="9" t="inlineStr">
        <is>
          <t>联合资信 lhratings.com</t>
        </is>
      </c>
      <c r="E25" s="9" t="inlineStr">
        <is>
          <t>2023</t>
        </is>
      </c>
      <c r="F25" s="32" t="inlineStr">
        <is>
          <t>A</t>
        </is>
      </c>
      <c r="G25" s="9" t="inlineStr">
        <is>
          <t>A-一手文件</t>
        </is>
      </c>
      <c r="H25" s="10" t="inlineStr">
        <is>
          <t>https://www.lhratings.com/reports/B021835-P67579-2023.pdf</t>
        </is>
      </c>
      <c r="I25" s="10" t="inlineStr">
        <is>
          <t>聚氯乙烯产能受大沽化工老厂区计划停产及部分反应釜到期退役影响，2020 年下降 5 万吨至 65 万吨</t>
        </is>
      </c>
    </row>
    <row r="26">
      <c r="A26" s="12" t="inlineStr">
        <is>
          <t>S22</t>
        </is>
      </c>
      <c r="B26" s="12" t="inlineStr">
        <is>
          <t>媒体报道</t>
        </is>
      </c>
      <c r="C26" s="13" t="inlineStr">
        <is>
          <t>青岛海湾化学撤回沪主板 IPO 原计划募资 30 亿元</t>
        </is>
      </c>
      <c r="D26" s="12" t="inlineStr">
        <is>
          <t>证券时报 stcn.com</t>
        </is>
      </c>
      <c r="E26" s="12" t="inlineStr">
        <is>
          <t>2024</t>
        </is>
      </c>
      <c r="F26" s="30" t="inlineStr">
        <is>
          <t>B</t>
        </is>
      </c>
      <c r="G26" s="12" t="inlineStr">
        <is>
          <t>B-权威二手</t>
        </is>
      </c>
      <c r="H26" s="13" t="inlineStr">
        <is>
          <t>https://www.stcn.com/article/detail/2185695.html</t>
        </is>
      </c>
      <c r="I26" s="13" t="inlineStr">
        <is>
          <t>已建成投产 85 万吨/年乙烯法 PVC、55.5 万吨/年烧碱；据中国氯碱工业协会统计乙烯法 PVC 产能国内第一位</t>
        </is>
      </c>
    </row>
    <row r="27">
      <c r="A27" s="9" t="inlineStr">
        <is>
          <t>S23</t>
        </is>
      </c>
      <c r="B27" s="9" t="inlineStr">
        <is>
          <t>招股说明书（转引）</t>
        </is>
      </c>
      <c r="C27" s="10" t="inlineStr">
        <is>
          <t>青岛海湾化学冲刺上交所（招股书要点）</t>
        </is>
      </c>
      <c r="D27" s="9" t="inlineStr">
        <is>
          <t>21 世纪经济报道</t>
        </is>
      </c>
      <c r="E27" s="9" t="inlineStr">
        <is>
          <t>2023-01-29</t>
        </is>
      </c>
      <c r="F27" s="30" t="inlineStr">
        <is>
          <t>B</t>
        </is>
      </c>
      <c r="G27" s="9" t="inlineStr">
        <is>
          <t>B-权威二手</t>
        </is>
      </c>
      <c r="H27" s="10" t="inlineStr">
        <is>
          <t>http://www.21jingji.com/article/20230129/herald/ab3e63b2cb91f6d926c23cee14117c1c.html</t>
        </is>
      </c>
      <c r="I27" s="10" t="inlineStr">
        <is>
          <t>引进英国英力士乙烯法技术，2021 年 PVC 产能 70 万吨/年；乙烯法 PVC 产能列国内第一</t>
        </is>
      </c>
    </row>
    <row r="28">
      <c r="A28" s="12" t="inlineStr">
        <is>
          <t>S24</t>
        </is>
      </c>
      <c r="B28" s="12" t="inlineStr">
        <is>
          <t>媒体</t>
        </is>
      </c>
      <c r="C28" s="13" t="inlineStr">
        <is>
          <t>海湾化学：品牌驱动下的高价值增长</t>
        </is>
      </c>
      <c r="D28" s="12" t="inlineStr">
        <is>
          <t>经济观察报 m.eeo.com.cn</t>
        </is>
      </c>
      <c r="E28" s="12" t="inlineStr">
        <is>
          <t>2023-11-03</t>
        </is>
      </c>
      <c r="F28" s="33" t="inlineStr">
        <is>
          <t>C</t>
        </is>
      </c>
      <c r="G28" s="12" t="inlineStr">
        <is>
          <t>C-一般二手</t>
        </is>
      </c>
      <c r="H28" s="13" t="inlineStr">
        <is>
          <t>http://m.eeo.com.cn/2023/1103/611938.shtml</t>
        </is>
      </c>
      <c r="I28" s="13" t="inlineStr">
        <is>
          <t>董家口园区建成 55 万吨烧碱、80 万吨 VCM、80 万吨 PVC</t>
        </is>
      </c>
    </row>
    <row r="29">
      <c r="A29" s="9" t="inlineStr">
        <is>
          <t>S25</t>
        </is>
      </c>
      <c r="B29" s="9" t="inlineStr">
        <is>
          <t>媒体报道</t>
        </is>
      </c>
      <c r="C29" s="10" t="inlineStr">
        <is>
          <t>万华化学计划再投 176 亿实施乙烯二期工程</t>
        </is>
      </c>
      <c r="D29" s="9" t="inlineStr">
        <is>
          <t>证券时报 stcn.com</t>
        </is>
      </c>
      <c r="E29" s="9" t="inlineStr">
        <is>
          <t>2022</t>
        </is>
      </c>
      <c r="F29" s="30" t="inlineStr">
        <is>
          <t>B</t>
        </is>
      </c>
      <c r="G29" s="9" t="inlineStr">
        <is>
          <t>B-权威二手</t>
        </is>
      </c>
      <c r="H29" s="10" t="inlineStr">
        <is>
          <t>https://www.stcn.com/article/detail/755552.html</t>
        </is>
      </c>
      <c r="I29" s="10" t="inlineStr">
        <is>
          <t>乙烯一期新建 100 万吨/年乙烯联合装置、40 万吨/年聚氯乙烯装置</t>
        </is>
      </c>
    </row>
    <row r="30">
      <c r="A30" s="12" t="inlineStr">
        <is>
          <t>S26</t>
        </is>
      </c>
      <c r="B30" s="12" t="inlineStr">
        <is>
          <t>行业媒体</t>
        </is>
      </c>
      <c r="C30" s="13" t="inlineStr">
        <is>
          <t>万华化学再上三个项目（VCM/PVC 改造）</t>
        </is>
      </c>
      <c r="D30" s="12" t="inlineStr">
        <is>
          <t>中化新网/化工新闻 echemi</t>
        </is>
      </c>
      <c r="E30" s="12" t="inlineStr">
        <is>
          <t>2024</t>
        </is>
      </c>
      <c r="F30" s="30" t="inlineStr">
        <is>
          <t>B</t>
        </is>
      </c>
      <c r="G30" s="12" t="inlineStr">
        <is>
          <t>B-权威二手</t>
        </is>
      </c>
      <c r="H30" s="13" t="inlineStr">
        <is>
          <t>https://zh.echemi.com/cn-news-market/1041630.html</t>
        </is>
      </c>
      <c r="I30" s="13" t="inlineStr">
        <is>
          <t>改造后烟台基地 VCM 工序产能达 48 万吨/年，PVC 工序产能不变，高品质 PVC 达 40 万吨/年</t>
        </is>
      </c>
    </row>
    <row r="31">
      <c r="A31" s="9" t="inlineStr">
        <is>
          <t>S27</t>
        </is>
      </c>
      <c r="B31" s="9" t="inlineStr">
        <is>
          <t>年报</t>
        </is>
      </c>
      <c r="C31" s="10" t="inlineStr">
        <is>
          <t>阳煤化工股份有限公司 2024 年年度报告</t>
        </is>
      </c>
      <c r="D31" s="9" t="inlineStr">
        <is>
          <t>雪球 stockn.xueqiu.com / 阳煤化工(600691)</t>
        </is>
      </c>
      <c r="E31" s="9" t="inlineStr">
        <is>
          <t>2025-04-18</t>
        </is>
      </c>
      <c r="F31" s="32" t="inlineStr">
        <is>
          <t>A</t>
        </is>
      </c>
      <c r="G31" s="9" t="inlineStr">
        <is>
          <t>A-一手文件</t>
        </is>
      </c>
      <c r="H31" s="10" t="inlineStr">
        <is>
          <t>https://stockn.xueqiu.com/SH600691/20250418271414.pdf</t>
        </is>
      </c>
      <c r="I31" s="10" t="inlineStr">
        <is>
          <t>聚氯乙烯 25.06 万吨；PVC 生产工艺「以乙烯、氯气、氢气为原料，采用氧氯化平衡法和直接氯化法」即乙烯法；2024-12 山西潞安化工成为控股股东</t>
        </is>
      </c>
    </row>
    <row r="32">
      <c r="A32" s="12" t="inlineStr">
        <is>
          <t>S28</t>
        </is>
      </c>
      <c r="B32" s="12" t="inlineStr">
        <is>
          <t>年报</t>
        </is>
      </c>
      <c r="C32" s="13" t="inlineStr">
        <is>
          <t>阳煤化工股份有限公司 2025 年半年度报告</t>
        </is>
      </c>
      <c r="D32" s="12" t="inlineStr">
        <is>
          <t>新浪财经 / 阳煤化工</t>
        </is>
      </c>
      <c r="E32" s="12" t="inlineStr">
        <is>
          <t>2025-08</t>
        </is>
      </c>
      <c r="F32" s="32" t="inlineStr">
        <is>
          <t>A</t>
        </is>
      </c>
      <c r="G32" s="12" t="inlineStr">
        <is>
          <t>A-一手文件</t>
        </is>
      </c>
      <c r="H32" s="13" t="inlineStr">
        <is>
          <t>http://money.finance.sina.com.cn/corp/view/vCB_AllBulletinDetail.php?stockid=600691&amp;id=11416398</t>
        </is>
      </c>
      <c r="I32" s="13" t="inlineStr">
        <is>
          <t>30 万吨/年聚氯乙烯原料路线改造项目相关政府补助</t>
        </is>
      </c>
    </row>
    <row r="33">
      <c r="A33" s="9" t="inlineStr">
        <is>
          <t>S29</t>
        </is>
      </c>
      <c r="B33" s="9" t="inlineStr">
        <is>
          <t>官网</t>
        </is>
      </c>
      <c r="C33" s="10" t="inlineStr">
        <is>
          <t>东曹（广州）化工有限公司 公司介绍</t>
        </is>
      </c>
      <c r="D33" s="9" t="inlineStr">
        <is>
          <t>东曹株式会社 tososh.com</t>
        </is>
      </c>
      <c r="E33" s="9" t="inlineStr">
        <is>
          <t>2025</t>
        </is>
      </c>
      <c r="F33" s="32" t="inlineStr">
        <is>
          <t>A</t>
        </is>
      </c>
      <c r="G33" s="9" t="inlineStr">
        <is>
          <t>A-一手文件</t>
        </is>
      </c>
      <c r="H33" s="10" t="inlineStr">
        <is>
          <t>https://www.tosoh.com/worldwide-cn/asia-cn</t>
        </is>
      </c>
      <c r="I33" s="10" t="inlineStr">
        <is>
          <t>2004 年成立于广州，生产销售 PVC 树脂，产能 22 万吨/年</t>
        </is>
      </c>
    </row>
    <row r="34">
      <c r="A34" s="12" t="inlineStr">
        <is>
          <t>S30</t>
        </is>
      </c>
      <c r="B34" s="12" t="inlineStr">
        <is>
          <t>行业资料</t>
        </is>
      </c>
      <c r="C34" s="13" t="inlineStr">
        <is>
          <t>国内外 39 家聚氯乙烯 PVC 树脂生产企业介绍</t>
        </is>
      </c>
      <c r="D34" s="12" t="inlineStr">
        <is>
          <t>艾邦高分子 aibang.com</t>
        </is>
      </c>
      <c r="E34" s="12" t="inlineStr">
        <is>
          <t>2022</t>
        </is>
      </c>
      <c r="F34" s="33" t="inlineStr">
        <is>
          <t>C</t>
        </is>
      </c>
      <c r="G34" s="12" t="inlineStr">
        <is>
          <t>C-一般二手</t>
        </is>
      </c>
      <c r="H34" s="13" t="inlineStr">
        <is>
          <t>https://www.aibang.com/a/4566</t>
        </is>
      </c>
      <c r="I34" s="13" t="inlineStr">
        <is>
          <t>行业盘点，口径与年份混杂（明显偏旧），仅作交叉参考，不作单独依据</t>
        </is>
      </c>
    </row>
    <row r="35">
      <c r="A35" s="9" t="inlineStr">
        <is>
          <t>S31</t>
        </is>
      </c>
      <c r="B35" s="9" t="inlineStr">
        <is>
          <t>行业资料</t>
        </is>
      </c>
      <c r="C35" s="10" t="inlineStr">
        <is>
          <t>改色膜原料之聚氯乙烯 PVC 树脂厂商盘点</t>
        </is>
      </c>
      <c r="D35" s="9" t="inlineStr">
        <is>
          <t>CMF/CM 平台 cmpe360.com</t>
        </is>
      </c>
      <c r="E35" s="9" t="inlineStr">
        <is>
          <t>2024</t>
        </is>
      </c>
      <c r="F35" s="33" t="inlineStr">
        <is>
          <t>C</t>
        </is>
      </c>
      <c r="G35" s="9" t="inlineStr">
        <is>
          <t>C-一般二手</t>
        </is>
      </c>
      <c r="H35" s="10" t="inlineStr">
        <is>
          <t>https://www.cmpe360.com/p/240686</t>
        </is>
      </c>
      <c r="I35" s="10" t="inlineStr">
        <is>
          <t>河南联创：聚氯乙烯树脂 40 万吨、离子膜烧碱 35 万吨等产能</t>
        </is>
      </c>
    </row>
    <row r="36">
      <c r="A36" s="12" t="inlineStr">
        <is>
          <t>S32</t>
        </is>
      </c>
      <c r="B36" s="12" t="inlineStr">
        <is>
          <t>企业公告</t>
        </is>
      </c>
      <c r="C36" s="13" t="inlineStr">
        <is>
          <t>鸿达兴业：关于全资子公司被申请破产重整的提示性公告</t>
        </is>
      </c>
      <c r="D36" s="12" t="inlineStr">
        <is>
          <t>同花顺公告中心 notice.10jqka.com.cn</t>
        </is>
      </c>
      <c r="E36" s="12" t="inlineStr">
        <is>
          <t>2023-10</t>
        </is>
      </c>
      <c r="F36" s="32" t="inlineStr">
        <is>
          <t>A</t>
        </is>
      </c>
      <c r="G36" s="12" t="inlineStr">
        <is>
          <t>A-一手文件</t>
        </is>
      </c>
      <c r="H36" s="13" t="inlineStr">
        <is>
          <t>http://notice.10jqka.com.cn/api/pdf/eb0f727e145dd706_1697040660/</t>
        </is>
      </c>
      <c r="I36" s="13" t="inlineStr">
        <is>
          <t>内蒙古乌海化工有限公司 PVC、烧碱及电石装置停产检修已超 2 个月；乌海市中级人民法院裁定受理破产重整；注册地 乌海市海南区海化工业园区</t>
        </is>
      </c>
    </row>
    <row r="37">
      <c r="A37" s="9" t="inlineStr">
        <is>
          <t>S33</t>
        </is>
      </c>
      <c r="B37" s="9" t="inlineStr">
        <is>
          <t>企业公告</t>
        </is>
      </c>
      <c r="C37" s="10" t="inlineStr">
        <is>
          <t>鸿达兴业：关于乌海化工等三家子公司破产重整进展的公告</t>
        </is>
      </c>
      <c r="D37" s="9" t="inlineStr">
        <is>
          <t>巨潮资讯网 / 鸿达兴业(002002)</t>
        </is>
      </c>
      <c r="E37" s="9" t="inlineStr">
        <is>
          <t>2025-03-31</t>
        </is>
      </c>
      <c r="F37" s="32" t="inlineStr">
        <is>
          <t>A</t>
        </is>
      </c>
      <c r="G37" s="9" t="inlineStr">
        <is>
          <t>A-一手文件</t>
        </is>
      </c>
      <c r="H37" s="10" t="inlineStr">
        <is>
          <t>http://static.cninfo.com.cn/finalpage/2025-03-31/1222974064.PDF</t>
        </is>
      </c>
      <c r="I37" s="10" t="inlineStr">
        <is>
          <t>主要生产主体乌海化工等进入破产重整或破产清算</t>
        </is>
      </c>
    </row>
    <row r="38">
      <c r="A38" s="12" t="inlineStr">
        <is>
          <t>S34</t>
        </is>
      </c>
      <c r="B38" s="12" t="inlineStr">
        <is>
          <t>法院公告</t>
        </is>
      </c>
      <c r="C38" s="13" t="inlineStr">
        <is>
          <t>乌海市中级人民法院关于鸿达兴业破产重整案公开选任管理人的公告</t>
        </is>
      </c>
      <c r="D38" s="12" t="inlineStr">
        <is>
          <t>全国企业破产重整案件信息网 pccz.court.gov.cn</t>
        </is>
      </c>
      <c r="E38" s="12" t="inlineStr">
        <is>
          <t>2026-01</t>
        </is>
      </c>
      <c r="F38" s="32" t="inlineStr">
        <is>
          <t>A</t>
        </is>
      </c>
      <c r="G38" s="12" t="inlineStr">
        <is>
          <t>A-一手文件</t>
        </is>
      </c>
      <c r="H38" s="13" t="inlineStr">
        <is>
          <t>https://pccz.court.gov.cn/</t>
        </is>
      </c>
      <c r="I38" s="13" t="inlineStr">
        <is>
          <t>鸿达兴业股份有限公司破产重整（2026）内 03 破申 1 号</t>
        </is>
      </c>
    </row>
    <row r="39">
      <c r="A39" s="9" t="inlineStr">
        <is>
          <t>S35</t>
        </is>
      </c>
      <c r="B39" s="9" t="inlineStr">
        <is>
          <t>媒体报道</t>
        </is>
      </c>
      <c r="C39" s="10" t="inlineStr">
        <is>
          <t>全球首家电石法聚氯乙烯（PVC）无汞化生产技术发布</t>
        </is>
      </c>
      <c r="D39" s="9" t="inlineStr">
        <is>
          <t>新华网 news.cn</t>
        </is>
      </c>
      <c r="E39" s="9" t="inlineStr">
        <is>
          <t>2023-02-20</t>
        </is>
      </c>
      <c r="F39" s="32" t="inlineStr">
        <is>
          <t>A</t>
        </is>
      </c>
      <c r="G39" s="9" t="inlineStr">
        <is>
          <t>A-一手文件</t>
        </is>
      </c>
      <c r="H39" s="10" t="inlineStr">
        <is>
          <t>http://www.news.cn/energy/20230220/468b29ee619b4f1094d1ef66d39f5efc/c.html</t>
        </is>
      </c>
      <c r="I39" s="10" t="inlineStr">
        <is>
          <t>内蒙古鄂尔多斯电力冶金集团股份有限公司氯碱化工分公司年产 40 万吨电石法 PVC 及烧碱项目，已完全装填无汞催化剂</t>
        </is>
      </c>
    </row>
    <row r="40">
      <c r="A40" s="12" t="inlineStr">
        <is>
          <t>S36</t>
        </is>
      </c>
      <c r="B40" s="12" t="inlineStr">
        <is>
          <t>官网/报道</t>
        </is>
      </c>
      <c r="C40" s="13" t="inlineStr">
        <is>
          <t>中控技术中标青海盐湖镁业 PVC&amp;钾碱厂 30 万吨乙烯法 PVC 装置智能化改造</t>
        </is>
      </c>
      <c r="D40" s="12" t="inlineStr">
        <is>
          <t>证券时报/中控技术</t>
        </is>
      </c>
      <c r="E40" s="12" t="inlineStr">
        <is>
          <t>2025-09</t>
        </is>
      </c>
      <c r="F40" s="30" t="inlineStr">
        <is>
          <t>B</t>
        </is>
      </c>
      <c r="G40" s="12" t="inlineStr">
        <is>
          <t>B-权威二手</t>
        </is>
      </c>
      <c r="H40" s="13" t="inlineStr">
        <is>
          <t>https://www.stcn.com/article/kx-tag-detail.html?tag=7eDS25QMj9CV</t>
        </is>
      </c>
      <c r="I40" s="13" t="inlineStr">
        <is>
          <t>青海盐湖镁业 30 万吨乙烯法 PVC 装置 2016 年投产；隶属青海汇信资产管理有限责任公司</t>
        </is>
      </c>
    </row>
    <row r="41">
      <c r="A41" s="9" t="inlineStr">
        <is>
          <t>S37</t>
        </is>
      </c>
      <c r="B41" s="9" t="inlineStr">
        <is>
          <t>企业公告</t>
        </is>
      </c>
      <c r="C41" s="10" t="inlineStr">
        <is>
          <t>青海盐湖工业股份有限公司：高海拔地区年产 30 万吨乙烯法 PVC 产业化示范项目</t>
        </is>
      </c>
      <c r="D41" s="9" t="inlineStr">
        <is>
          <t>新浪财经 / 盐湖股份(000792)</t>
        </is>
      </c>
      <c r="E41" s="9" t="inlineStr">
        <is>
          <t>2020</t>
        </is>
      </c>
      <c r="F41" s="32" t="inlineStr">
        <is>
          <t>A</t>
        </is>
      </c>
      <c r="G41" s="9" t="inlineStr">
        <is>
          <t>A-一手文件</t>
        </is>
      </c>
      <c r="H41" s="10" t="inlineStr">
        <is>
          <t>https://vip.stock.finance.sina.com.cn/corp/view/vCB_AllBulletinDetail.php?stockid=000792&amp;id=6225805</t>
        </is>
      </c>
      <c r="I41" s="10" t="inlineStr">
        <is>
          <t>30 万吨乙烯法 PVC 产业化示范项目（在建工程口径）</t>
        </is>
      </c>
    </row>
    <row r="42">
      <c r="A42" s="12" t="inlineStr">
        <is>
          <t>S38</t>
        </is>
      </c>
      <c r="B42" s="12" t="inlineStr">
        <is>
          <t>媒体报道</t>
        </is>
      </c>
      <c r="C42" s="13" t="inlineStr">
        <is>
          <t>亿利洁能：公司旗下亿利化学公司负责生产经营 PVC 业务</t>
        </is>
      </c>
      <c r="D42" s="12" t="inlineStr">
        <is>
          <t>财联社 cls.cn</t>
        </is>
      </c>
      <c r="E42" s="12" t="inlineStr">
        <is>
          <t>2021</t>
        </is>
      </c>
      <c r="F42" s="30" t="inlineStr">
        <is>
          <t>B</t>
        </is>
      </c>
      <c r="G42" s="12" t="inlineStr">
        <is>
          <t>B-权威二手</t>
        </is>
      </c>
      <c r="H42" s="13" t="inlineStr">
        <is>
          <t>https://www.cls.cn/detail/537069</t>
        </is>
      </c>
      <c r="I42" s="13" t="inlineStr">
        <is>
          <t>50 万吨 PVC、40 万吨离子膜烧碱、64 万吨电石；连续六年突破设计产能</t>
        </is>
      </c>
    </row>
    <row r="43">
      <c r="A43" s="9" t="inlineStr">
        <is>
          <t>S39</t>
        </is>
      </c>
      <c r="B43" s="9" t="inlineStr">
        <is>
          <t>权威二手/年报转引</t>
        </is>
      </c>
      <c r="C43" s="10" t="inlineStr">
        <is>
          <t>亿利洁能 2022 年年度报告（达拉特化工园区业务描述）</t>
        </is>
      </c>
      <c r="D43" s="9" t="inlineStr">
        <is>
          <t>新浪财经 / 亿利洁能(600277)</t>
        </is>
      </c>
      <c r="E43" s="9" t="inlineStr">
        <is>
          <t>2023</t>
        </is>
      </c>
      <c r="F43" s="30" t="inlineStr">
        <is>
          <t>B</t>
        </is>
      </c>
      <c r="G43" s="9" t="inlineStr">
        <is>
          <t>B-权威二手</t>
        </is>
      </c>
      <c r="H43" s="10" t="inlineStr">
        <is>
          <t>https://vip.stock.finance.sina.com.cn/corp/view/vCB_AllBulletinDetail.php?stockid=600277&amp;id=9180288</t>
        </is>
      </c>
      <c r="I43" s="10" t="inlineStr">
        <is>
          <t>聚氯乙烯（PVC）、烧碱由达拉特化工园区亿利化学、达拉特分公司运营</t>
        </is>
      </c>
    </row>
    <row r="44">
      <c r="A44" s="12" t="inlineStr">
        <is>
          <t>S40</t>
        </is>
      </c>
      <c r="B44" s="12" t="inlineStr">
        <is>
          <t>行业资料</t>
        </is>
      </c>
      <c r="C44" s="13" t="inlineStr">
        <is>
          <t>中国氯碱与 PVC 产业 2026 报告</t>
        </is>
      </c>
      <c r="D44" s="12" t="inlineStr">
        <is>
          <t>faxiangongchang.com（行业观察）</t>
        </is>
      </c>
      <c r="E44" s="12" t="inlineStr">
        <is>
          <t>2026</t>
        </is>
      </c>
      <c r="F44" s="34" t="inlineStr">
        <is>
          <t>D</t>
        </is>
      </c>
      <c r="G44" s="12" t="inlineStr">
        <is>
          <t>D-未核实</t>
        </is>
      </c>
      <c r="H44" s="13" t="inlineStr">
        <is>
          <t>https://faxiangongchang.com/reports/china-chlor-alkali-pvc-2026</t>
        </is>
      </c>
      <c r="I44" s="13" t="inlineStr">
        <is>
          <t>含「2025 年 PVC 产能约 2,920 万吨」「电石法五大重镇合计约 1,950 万吨」等表述，未见一手出处，仅作线索</t>
        </is>
      </c>
    </row>
    <row r="45">
      <c r="A45" s="9" t="inlineStr">
        <is>
          <t>S41</t>
        </is>
      </c>
      <c r="B45" s="9" t="inlineStr">
        <is>
          <t>行业资料</t>
        </is>
      </c>
      <c r="C45" s="10" t="inlineStr">
        <is>
          <t>观研天下：我国 PVC 行业 西北产能占比最大 新疆天业、中泰化学等企业位于第一竞争梯队</t>
        </is>
      </c>
      <c r="D45" s="9" t="inlineStr">
        <is>
          <t>观研报告网 chinabaogao.com</t>
        </is>
      </c>
      <c r="E45" s="9" t="inlineStr">
        <is>
          <t>2024-05-21</t>
        </is>
      </c>
      <c r="F45" s="33" t="inlineStr">
        <is>
          <t>C</t>
        </is>
      </c>
      <c r="G45" s="9" t="inlineStr">
        <is>
          <t>C-一般二手</t>
        </is>
      </c>
      <c r="H45" s="10" t="inlineStr">
        <is>
          <t>https://m.chinabaogao.com/detail/708503.html</t>
        </is>
      </c>
      <c r="I45" s="10" t="inlineStr">
        <is>
          <t>2022 年产能 2,728 万吨、产量 2,375 万吨；区域占比 西北 49%、华东 24%、华北 13%；竞争梯队划分</t>
        </is>
      </c>
    </row>
    <row r="46">
      <c r="A46" s="12" t="inlineStr">
        <is>
          <t>S42</t>
        </is>
      </c>
      <c r="B46" s="12" t="inlineStr">
        <is>
          <t>行业资料</t>
        </is>
      </c>
      <c r="C46" s="13" t="inlineStr">
        <is>
          <t>华经产业研究院：2026 年中国 PVC 行业产业链、进出口现状及竞争格局分析</t>
        </is>
      </c>
      <c r="D46" s="12" t="inlineStr">
        <is>
          <t>东方财富财富号 / 华经产业研究院</t>
        </is>
      </c>
      <c r="E46" s="12" t="inlineStr">
        <is>
          <t>2026-08-28</t>
        </is>
      </c>
      <c r="F46" s="33" t="inlineStr">
        <is>
          <t>C</t>
        </is>
      </c>
      <c r="G46" s="12" t="inlineStr">
        <is>
          <t>C-一般二手</t>
        </is>
      </c>
      <c r="H46" s="13" t="inlineStr">
        <is>
          <t>https://caifuhao.eastmoney.com/news/20260828135510504387350</t>
        </is>
      </c>
      <c r="I46" s="13" t="inlineStr">
        <is>
          <t>产能前四大企业合计占比 20.5%；2026 年暂无新增产能，规划新增集中在 2027H1、2028H1 且均为乙烯法</t>
        </is>
      </c>
    </row>
    <row r="47">
      <c r="A47" s="9" t="inlineStr">
        <is>
          <t>S43</t>
        </is>
      </c>
      <c r="B47" s="9" t="inlineStr">
        <is>
          <t>行业资料</t>
        </is>
      </c>
      <c r="C47" s="10" t="inlineStr">
        <is>
          <t>智研咨询：2025 年中国 PVC 行业产业链图谱、产业现状、企业格局</t>
        </is>
      </c>
      <c r="D47" s="9" t="inlineStr">
        <is>
          <t>智研咨询 chyxx.com</t>
        </is>
      </c>
      <c r="E47" s="9" t="inlineStr">
        <is>
          <t>2026</t>
        </is>
      </c>
      <c r="F47" s="33" t="inlineStr">
        <is>
          <t>C</t>
        </is>
      </c>
      <c r="G47" s="9" t="inlineStr">
        <is>
          <t>C-一般二手</t>
        </is>
      </c>
      <c r="H47" s="10" t="inlineStr">
        <is>
          <t>https://www.chyxx.com/industry/1207517.html</t>
        </is>
      </c>
      <c r="I47" s="10" t="inlineStr">
        <is>
          <t>悬浮法占 PVC 产量约 80%；电石法 PVC 产能 2,145 万吨、乙烯法约 736 万吨</t>
        </is>
      </c>
    </row>
    <row r="48">
      <c r="A48" s="12" t="inlineStr">
        <is>
          <t>S44</t>
        </is>
      </c>
      <c r="B48" s="12" t="inlineStr">
        <is>
          <t>行业资讯</t>
        </is>
      </c>
      <c r="C48" s="13" t="inlineStr">
        <is>
          <t>隆众资讯：PVC 产能结构调整加速 行业扩产节奏或趋缓</t>
        </is>
      </c>
      <c r="D48" s="12" t="inlineStr">
        <is>
          <t>隆众资讯 oilchem.net</t>
        </is>
      </c>
      <c r="E48" s="12" t="inlineStr">
        <is>
          <t>2025-09-10</t>
        </is>
      </c>
      <c r="F48" s="30" t="inlineStr">
        <is>
          <t>B</t>
        </is>
      </c>
      <c r="G48" s="12" t="inlineStr">
        <is>
          <t>B-权威二手</t>
        </is>
      </c>
      <c r="H48" s="13" t="inlineStr">
        <is>
          <t>https://www.oilchem.net/25-0910-15-df4126baf5405730.html</t>
        </is>
      </c>
      <c r="I48" s="13" t="inlineStr">
        <is>
          <t>预估 2025 年投产 250 万吨（电石法 60、乙烯法 190）；年底总产能突破 2,972 万吨，电石/乙烯 70:30</t>
        </is>
      </c>
    </row>
    <row r="49">
      <c r="A49" s="9" t="inlineStr">
        <is>
          <t>S45</t>
        </is>
      </c>
      <c r="B49" s="9" t="inlineStr">
        <is>
          <t>行业媒体</t>
        </is>
      </c>
      <c r="C49" s="10" t="inlineStr">
        <is>
          <t>PVC 产业链全景透视</t>
        </is>
      </c>
      <c r="D49" s="9" t="inlineStr">
        <is>
          <t>东方财富 finance.eastmoney.com</t>
        </is>
      </c>
      <c r="E49" s="9" t="inlineStr">
        <is>
          <t>2026-02-26</t>
        </is>
      </c>
      <c r="F49" s="33" t="inlineStr">
        <is>
          <t>C</t>
        </is>
      </c>
      <c r="G49" s="9" t="inlineStr">
        <is>
          <t>C-一般二手</t>
        </is>
      </c>
      <c r="H49" s="10" t="inlineStr">
        <is>
          <t>https://finance.eastmoney.com/a/202602263655255270.html</t>
        </is>
      </c>
      <c r="I49" s="10" t="inlineStr">
        <is>
          <t>总产能近 3,000 万吨，电石法约 72%、乙烯法约 28%</t>
        </is>
      </c>
    </row>
    <row r="50">
      <c r="A50" s="12" t="inlineStr">
        <is>
          <t>S46</t>
        </is>
      </c>
      <c r="B50" s="12" t="inlineStr">
        <is>
          <t>政府网站</t>
        </is>
      </c>
      <c r="C50" s="13" t="inlineStr">
        <is>
          <t>新疆国资委：中泰集团 科技创新为产业发展注入「绿色基因」</t>
        </is>
      </c>
      <c r="D50" s="12" t="inlineStr">
        <is>
          <t>新疆维吾尔自治区国资委 gzw.xinjiang.gov.cn</t>
        </is>
      </c>
      <c r="E50" s="12" t="inlineStr">
        <is>
          <t>2022-07-27</t>
        </is>
      </c>
      <c r="F50" s="32" t="inlineStr">
        <is>
          <t>A</t>
        </is>
      </c>
      <c r="G50" s="12" t="inlineStr">
        <is>
          <t>A-一手文件</t>
        </is>
      </c>
      <c r="H50" s="13" t="inlineStr">
        <is>
          <t>https://gzw.xinjiang.gov.cn/gzw/gzyw/202207/5984c184046d47bb82f3d3c0a883bf63.shtml</t>
        </is>
      </c>
      <c r="I50" s="13" t="inlineStr">
        <is>
          <t>阜康能源年产 80 万吨聚氯乙烯树脂、60 万吨离子膜烧碱循环经济项目 2012 年 9 月一次开车成功；电石法；称「国内最大的氯碱单套装置产业基地」</t>
        </is>
      </c>
    </row>
    <row r="51">
      <c r="A51" s="9" t="inlineStr">
        <is>
          <t>S47</t>
        </is>
      </c>
      <c r="B51" s="9" t="inlineStr">
        <is>
          <t>生态环境厅公示</t>
        </is>
      </c>
      <c r="C51" s="10" t="inlineStr">
        <is>
          <t>新疆中泰化学阜康能源有限公司建设项目环境影响后评价公示</t>
        </is>
      </c>
      <c r="D51" s="9" t="inlineStr">
        <is>
          <t>新疆维吾尔自治区生态环境厅 sthjt.xinjiang.gov.cn</t>
        </is>
      </c>
      <c r="E51" s="9" t="inlineStr">
        <is>
          <t>2023-11</t>
        </is>
      </c>
      <c r="F51" s="32" t="inlineStr">
        <is>
          <t>A</t>
        </is>
      </c>
      <c r="G51" s="9" t="inlineStr">
        <is>
          <t>A-一手文件</t>
        </is>
      </c>
      <c r="H51" s="10" t="inlineStr">
        <is>
          <t>https://sthjt.xinjiang.gov.cn/xjepd/gwwjhpyb/202311/75122071c44249e3b32daa85f9ba3d55.shtml</t>
        </is>
      </c>
      <c r="I51" s="10" t="inlineStr">
        <is>
          <t>项目位于乌鲁木齐市米东高新技术产业园（甘泉堡工业区）东南部，设计生产规模年产聚氯乙烯 40 万吨、离子膜烧碱 30 万吨，以电石为原料</t>
        </is>
      </c>
    </row>
    <row r="52">
      <c r="A52" s="12" t="inlineStr">
        <is>
          <t>S48</t>
        </is>
      </c>
      <c r="B52" s="12" t="inlineStr">
        <is>
          <t>协会网站</t>
        </is>
      </c>
      <c r="C52" s="13" t="inlineStr">
        <is>
          <t>中泰化学托克逊能化 30 万吨高性能树脂项目投产</t>
        </is>
      </c>
      <c r="D52" s="12" t="inlineStr">
        <is>
          <t>中国塑料加工工业协会 cppia.com.cn</t>
        </is>
      </c>
      <c r="E52" s="12" t="inlineStr">
        <is>
          <t>2020</t>
        </is>
      </c>
      <c r="F52" s="30" t="inlineStr">
        <is>
          <t>B</t>
        </is>
      </c>
      <c r="G52" s="12" t="inlineStr">
        <is>
          <t>B-权威二手</t>
        </is>
      </c>
      <c r="H52" s="13" t="inlineStr">
        <is>
          <t>http://www.cppia.com.cn/front/article/20895/500</t>
        </is>
      </c>
      <c r="I52" s="13" t="inlineStr">
        <is>
          <t>总投资 45.56 亿元；年产 30 万吨高纯氯乙烯单体装置、20 万吨本体法 PVC 树脂装置、6 万吨糊树脂装置、3 万吨降粘树脂装置及配套 90 万吨电石渣综合利用</t>
        </is>
      </c>
    </row>
    <row r="53">
      <c r="A53" s="9" t="inlineStr">
        <is>
          <t>S49</t>
        </is>
      </c>
      <c r="B53" s="9" t="inlineStr">
        <is>
          <t>企业官网</t>
        </is>
      </c>
      <c r="C53" s="10" t="inlineStr">
        <is>
          <t>新疆天业（集团）有限公司 企业概况（国聘主页）</t>
        </is>
      </c>
      <c r="D53" s="9" t="inlineStr">
        <is>
          <t>国聘 iguopin.com</t>
        </is>
      </c>
      <c r="E53" s="9" t="inlineStr">
        <is>
          <t>2024</t>
        </is>
      </c>
      <c r="F53" s="30" t="inlineStr">
        <is>
          <t>B</t>
        </is>
      </c>
      <c r="G53" s="9" t="inlineStr">
        <is>
          <t>B-权威二手</t>
        </is>
      </c>
      <c r="H53" s="10" t="inlineStr">
        <is>
          <t>https://www.iguopin.com/company?id=10685385204195785</t>
        </is>
      </c>
      <c r="I53" s="10" t="inlineStr">
        <is>
          <t>天业集团形成 140 万吨聚氯乙烯树脂、100 万吨离子膜烧碱、215 万吨电石产能（集团口径，含上市公司）</t>
        </is>
      </c>
    </row>
    <row r="54">
      <c r="A54" s="12" t="inlineStr">
        <is>
          <t>S50</t>
        </is>
      </c>
      <c r="B54" s="12" t="inlineStr">
        <is>
          <t>媒体报道</t>
        </is>
      </c>
      <c r="C54" s="13" t="inlineStr">
        <is>
          <t>新疆天业：三季度业绩逆势增长 剑指「十五五」高质量发展</t>
        </is>
      </c>
      <c r="D54" s="12" t="inlineStr">
        <is>
          <t>证券时报 stcn.com</t>
        </is>
      </c>
      <c r="E54" s="12" t="inlineStr">
        <is>
          <t>2025</t>
        </is>
      </c>
      <c r="F54" s="30" t="inlineStr">
        <is>
          <t>B</t>
        </is>
      </c>
      <c r="G54" s="12" t="inlineStr">
        <is>
          <t>B-权威二手</t>
        </is>
      </c>
      <c r="H54" s="13" t="inlineStr">
        <is>
          <t>https://stcn.com/article/detail/3411970.html</t>
        </is>
      </c>
      <c r="I54" s="13" t="inlineStr">
        <is>
          <t>规划建设年产 35 万吨离子膜烧碱、50 万吨聚氯乙烯及配套工程，总投资约 140 亿元</t>
        </is>
      </c>
    </row>
    <row r="55">
      <c r="A55" s="9" t="inlineStr">
        <is>
          <t>S51</t>
        </is>
      </c>
      <c r="B55" s="9" t="inlineStr">
        <is>
          <t>企业公告</t>
        </is>
      </c>
      <c r="C55" s="10" t="inlineStr">
        <is>
          <t>新疆天业：关于控股股东代建项目暨关联交易的公告（十户滩示范工程）</t>
        </is>
      </c>
      <c r="D55" s="9" t="inlineStr">
        <is>
          <t>新疆天业(600075) 公告 / 巨潮</t>
        </is>
      </c>
      <c r="E55" s="9" t="inlineStr">
        <is>
          <t>2025-09-01</t>
        </is>
      </c>
      <c r="F55" s="32" t="inlineStr">
        <is>
          <t>A</t>
        </is>
      </c>
      <c r="G55" s="9" t="inlineStr">
        <is>
          <t>A-一手文件</t>
        </is>
      </c>
      <c r="H55" s="10" t="inlineStr">
        <is>
          <t>https://money.finance.sina.com.cn/corp/view/vCB_AllBulletinDetail.php?stockid=600075&amp;id=12071824</t>
        </is>
      </c>
      <c r="I55" s="10" t="inlineStr">
        <is>
          <t>智能生态光伏耦合绿色特种树脂低碳转型升级示范工程（一期）由天业集团代为培育，上市公司不投资、仅享优先购买权</t>
        </is>
      </c>
    </row>
    <row r="56">
      <c r="A56" s="12" t="inlineStr">
        <is>
          <t>S52</t>
        </is>
      </c>
      <c r="B56" s="12" t="inlineStr">
        <is>
          <t>年报</t>
        </is>
      </c>
      <c r="C56" s="13" t="inlineStr">
        <is>
          <t>新疆天业股份有限公司 2025 年半年度报告</t>
        </is>
      </c>
      <c r="D56" s="12" t="inlineStr">
        <is>
          <t>新浪财经 / 新疆天业</t>
        </is>
      </c>
      <c r="E56" s="12" t="inlineStr">
        <is>
          <t>2025-08-28</t>
        </is>
      </c>
      <c r="F56" s="32" t="inlineStr">
        <is>
          <t>A</t>
        </is>
      </c>
      <c r="G56" s="12" t="inlineStr">
        <is>
          <t>A-一手文件</t>
        </is>
      </c>
      <c r="H56" s="13" t="inlineStr">
        <is>
          <t>https://money.finance.sina.com.cn/corp/view/vCB_AllBulletinDetail.php?stockid=600075&amp;id=11382444</t>
        </is>
      </c>
      <c r="I56" s="13" t="inlineStr">
        <is>
          <t>释义表：天伟化工、天能化工、天域新实（已注销）、天业汇祥等子公司全称；SPVC 特种树脂、EPVC 糊状树脂</t>
        </is>
      </c>
    </row>
    <row r="57">
      <c r="A57" s="9" t="inlineStr">
        <is>
          <t>S53</t>
        </is>
      </c>
      <c r="B57" s="9" t="inlineStr">
        <is>
          <t>行业资料</t>
        </is>
      </c>
      <c r="C57" s="10" t="inlineStr">
        <is>
          <t>中国盐业协会：全球 PVC 贸易格局生变</t>
        </is>
      </c>
      <c r="D57" s="9" t="inlineStr">
        <is>
          <t>中国盐业协会 cnsalt.cn</t>
        </is>
      </c>
      <c r="E57" s="9" t="inlineStr">
        <is>
          <t>2025</t>
        </is>
      </c>
      <c r="F57" s="30" t="inlineStr">
        <is>
          <t>B</t>
        </is>
      </c>
      <c r="G57" s="9" t="inlineStr">
        <is>
          <t>B-权威二手</t>
        </is>
      </c>
      <c r="H57" s="10" t="inlineStr">
        <is>
          <t>https://www.cnsalt.cn/article/1463.html</t>
        </is>
      </c>
      <c r="I57" s="10" t="inlineStr">
        <is>
          <t>中国正在建设 8 个 PVC 项目，总产能 370 万吨/年；印度 Adani 2025 年投产 100 万吨</t>
        </is>
      </c>
    </row>
    <row r="58">
      <c r="A58" s="12" t="inlineStr">
        <is>
          <t>S54</t>
        </is>
      </c>
      <c r="B58" s="12" t="inlineStr">
        <is>
          <t>行业媒体</t>
        </is>
      </c>
      <c r="C58" s="13" t="inlineStr">
        <is>
          <t>电石法 PVC 生产企业 2026 年全部纳入强制节能监察</t>
        </is>
      </c>
      <c r="D58" s="12" t="inlineStr">
        <is>
          <t>中国化工网 news.chemnet.com</t>
        </is>
      </c>
      <c r="E58" s="12" t="inlineStr">
        <is>
          <t>2026</t>
        </is>
      </c>
      <c r="F58" s="33" t="inlineStr">
        <is>
          <t>C</t>
        </is>
      </c>
      <c r="G58" s="12" t="inlineStr">
        <is>
          <t>C-一般二手</t>
        </is>
      </c>
      <c r="H58" s="13" t="inlineStr">
        <is>
          <t>https://news.chemnet.com/toutiao/detail-64879.html</t>
        </is>
      </c>
      <c r="I58" s="13" t="inlineStr">
        <is>
          <t>PVC 总产能接近 3,000 万吨，电石法约 72%、乙烯法约 28%；全球电石法 PVC 产能 98% 以上集中在中国</t>
        </is>
      </c>
    </row>
    <row r="59">
      <c r="A59" s="9" t="inlineStr">
        <is>
          <t>S55</t>
        </is>
      </c>
      <c r="B59" s="9" t="inlineStr">
        <is>
          <t>媒体</t>
        </is>
      </c>
      <c r="C59" s="10" t="inlineStr">
        <is>
          <t>新疆天业拟全资收购天能化工</t>
        </is>
      </c>
      <c r="D59" s="9" t="inlineStr">
        <is>
          <t>中国能源报（人民网）</t>
        </is>
      </c>
      <c r="E59" s="9" t="inlineStr">
        <is>
          <t>2019-07-01</t>
        </is>
      </c>
      <c r="F59" s="30" t="inlineStr">
        <is>
          <t>B</t>
        </is>
      </c>
      <c r="G59" s="9" t="inlineStr">
        <is>
          <t>B-权威二手</t>
        </is>
      </c>
      <c r="H59" s="10" t="inlineStr">
        <is>
          <t>http://paper.people.com.cn/zgnyb/html/2019-07/01/content_1933872.htm</t>
        </is>
      </c>
      <c r="I59" s="10" t="inlineStr">
        <is>
          <t>天能化工具备年产 45 万吨聚氯乙烯树脂、33 万吨离子膜烧碱、200 万吨电石渣制水泥能力（2019 年时点）</t>
        </is>
      </c>
    </row>
    <row r="60">
      <c r="A60" s="12" t="inlineStr">
        <is>
          <t>S56</t>
        </is>
      </c>
      <c r="B60" s="12" t="inlineStr">
        <is>
          <t>行业资讯</t>
        </is>
      </c>
      <c r="C60" s="13" t="inlineStr">
        <is>
          <t>信发集团产业链调研（信发华兴化工）</t>
        </is>
      </c>
      <c r="D60" s="12" t="inlineStr">
        <is>
          <t>绿色产业协会 igea-un.org</t>
        </is>
      </c>
      <c r="E60" s="12" t="inlineStr">
        <is>
          <t>2025</t>
        </is>
      </c>
      <c r="F60" s="33" t="inlineStr">
        <is>
          <t>C</t>
        </is>
      </c>
      <c r="G60" s="12" t="inlineStr">
        <is>
          <t>C-一般二手</t>
        </is>
      </c>
      <c r="H60" s="13" t="inlineStr">
        <is>
          <t>http://www.igea-un.org/cms/show-6904.html</t>
        </is>
      </c>
      <c r="I60" s="13" t="inlineStr">
        <is>
          <t>信发华兴化工规划建设 210 万吨液碱、55 万吨片碱、10 万吨液氨、60 万吨聚氯乙烯项目</t>
        </is>
      </c>
    </row>
    <row r="61">
      <c r="A61" s="9" t="inlineStr">
        <is>
          <t>S57</t>
        </is>
      </c>
      <c r="B61" s="9" t="inlineStr">
        <is>
          <t>企业官网</t>
        </is>
      </c>
      <c r="C61" s="10" t="inlineStr">
        <is>
          <t>山东信发化工有限公司 厂区介绍</t>
        </is>
      </c>
      <c r="D61" s="9" t="inlineStr">
        <is>
          <t>信发集团 xinfagroup.com.cn</t>
        </is>
      </c>
      <c r="E61" s="9" t="inlineStr">
        <is>
          <t>2025</t>
        </is>
      </c>
      <c r="F61" s="30" t="inlineStr">
        <is>
          <t>B</t>
        </is>
      </c>
      <c r="G61" s="9" t="inlineStr">
        <is>
          <t>B-权威二手</t>
        </is>
      </c>
      <c r="H61" s="10" t="inlineStr">
        <is>
          <t>https://www.xinfagroup.com.cn/changqujieshao/HuaGong.aspx</t>
        </is>
      </c>
      <c r="I61" s="10" t="inlineStr">
        <is>
          <t>集液碱、聚氯乙烯生产经营销售于一体</t>
        </is>
      </c>
    </row>
    <row r="62">
      <c r="A62" s="12" t="inlineStr">
        <is>
          <t>S58</t>
        </is>
      </c>
      <c r="B62" s="12" t="inlineStr">
        <is>
          <t>企业公告</t>
        </is>
      </c>
      <c r="C62" s="13" t="inlineStr">
        <is>
          <t>英力特：关于部分生产装置临时停产的公告</t>
        </is>
      </c>
      <c r="D62" s="12" t="inlineStr">
        <is>
          <t>英力特(000635) 公告 / 搜狐财经转引</t>
        </is>
      </c>
      <c r="E62" s="12" t="inlineStr">
        <is>
          <t>2026-09-22</t>
        </is>
      </c>
      <c r="F62" s="30" t="inlineStr">
        <is>
          <t>B</t>
        </is>
      </c>
      <c r="G62" s="12" t="inlineStr">
        <is>
          <t>B-权威二手</t>
        </is>
      </c>
      <c r="H62" s="13" t="inlineStr">
        <is>
          <t>https://m.sohu.com/a/1079850947_121010226</t>
        </is>
      </c>
      <c r="I62" s="13" t="inlineStr">
        <is>
          <t>2026-07-20 起对氯碱运行部生产线、电石运行部部分装置实施临时停产检修</t>
        </is>
      </c>
    </row>
    <row r="63">
      <c r="A63" s="9" t="inlineStr">
        <is>
          <t>S59</t>
        </is>
      </c>
      <c r="B63" s="9" t="inlineStr">
        <is>
          <t>年报</t>
        </is>
      </c>
      <c r="C63" s="10" t="inlineStr">
        <is>
          <t>陕西北元化工集团股份有限公司 2020 年年度报告</t>
        </is>
      </c>
      <c r="D63" s="9" t="inlineStr">
        <is>
          <t>东方财富 pdf.dfcfw.com / 北元集团</t>
        </is>
      </c>
      <c r="E63" s="9" t="inlineStr">
        <is>
          <t>2021-04-19</t>
        </is>
      </c>
      <c r="F63" s="32" t="inlineStr">
        <is>
          <t>A</t>
        </is>
      </c>
      <c r="G63" s="9" t="inlineStr">
        <is>
          <t>A-一手文件</t>
        </is>
      </c>
      <c r="H63" s="10" t="inlineStr">
        <is>
          <t>https://pdf.dfcfw.com/pdf/H2_AN202104191486412326_1.pdf</t>
        </is>
      </c>
      <c r="I63" s="10" t="inlineStr">
        <is>
          <t>释义表确认北元集团法定全称、控股股东陕煤集团、化工分公司等</t>
        </is>
      </c>
    </row>
    <row r="64">
      <c r="A64" s="12" t="inlineStr">
        <is>
          <t>S76</t>
        </is>
      </c>
      <c r="B64" s="12" t="inlineStr">
        <is>
          <t>年报</t>
        </is>
      </c>
      <c r="C64" s="13" t="inlineStr">
        <is>
          <t>宜宾天原集团股份有限公司 2025 年年度报告</t>
        </is>
      </c>
      <c r="D64" s="12" t="inlineStr">
        <is>
          <t>巨潮资讯网 / 天原集团(002386)</t>
        </is>
      </c>
      <c r="E64" s="12" t="inlineStr">
        <is>
          <t>2026-04</t>
        </is>
      </c>
      <c r="F64" s="32" t="inlineStr">
        <is>
          <t>A</t>
        </is>
      </c>
      <c r="G64" s="12" t="inlineStr">
        <is>
          <t>A-一手文件</t>
        </is>
      </c>
      <c r="H64" s="13" t="inlineStr">
        <is>
          <t>https://www.cninfo.com.cn/</t>
        </is>
      </c>
      <c r="I64" s="13" t="inlineStr">
        <is>
          <t>PVC 设计产能 50 万吨/年、产能利用率 78.44%；原材料表「电石 谈判、询比价」，2025 年采购额 26.52 亿元，占成本 15.54%，即电石 100% 外购</t>
        </is>
      </c>
    </row>
    <row r="65">
      <c r="A65" s="9" t="inlineStr">
        <is>
          <t>S77</t>
        </is>
      </c>
      <c r="B65" s="9" t="inlineStr">
        <is>
          <t>年报</t>
        </is>
      </c>
      <c r="C65" s="10" t="inlineStr">
        <is>
          <t>中盐内蒙古化工股份有限公司 2025 年年度报告（产能与开工情况表）</t>
        </is>
      </c>
      <c r="D65" s="9" t="inlineStr">
        <is>
          <t>上海证券交易所 / 中盐化工(600328)</t>
        </is>
      </c>
      <c r="E65" s="9" t="inlineStr">
        <is>
          <t>2026-04-30</t>
        </is>
      </c>
      <c r="F65" s="32" t="inlineStr">
        <is>
          <t>A</t>
        </is>
      </c>
      <c r="G65" s="9" t="inlineStr">
        <is>
          <t>A-一手文件</t>
        </is>
      </c>
      <c r="H65" s="10" t="inlineStr">
        <is>
          <t>https://www.cninfo.com.cn/</t>
        </is>
      </c>
      <c r="I65" s="10" t="inlineStr">
        <is>
          <t>树脂 40 万吨 + 糊树脂 24 万吨，产能利用率 106.08%；引全国 PVC 产能 2,932 万吨（电石法 2,055 + 乙烯法 877），开工率约 81.45%</t>
        </is>
      </c>
    </row>
    <row r="66">
      <c r="A66" s="12" t="inlineStr">
        <is>
          <t>S78</t>
        </is>
      </c>
      <c r="B66" s="12" t="inlineStr">
        <is>
          <t>年报</t>
        </is>
      </c>
      <c r="C66" s="13" t="inlineStr">
        <is>
          <t>安徽华塑股份有限公司 2025 年年度报告（产能与开工情况）</t>
        </is>
      </c>
      <c r="D66" s="12" t="inlineStr">
        <is>
          <t>巨潮资讯网 / 华塑股份(600935)</t>
        </is>
      </c>
      <c r="E66" s="12" t="inlineStr">
        <is>
          <t>2026-04-30</t>
        </is>
      </c>
      <c r="F66" s="32" t="inlineStr">
        <is>
          <t>A</t>
        </is>
      </c>
      <c r="G66" s="12" t="inlineStr">
        <is>
          <t>A-一手文件</t>
        </is>
      </c>
      <c r="H66" s="13" t="inlineStr">
        <is>
          <t>https://vip.stock.finance.sina.com.cn/corp/view/vCB_AllBulletinDetail.php?stockid=600935&amp;id=12093600</t>
        </is>
      </c>
      <c r="I66" s="13" t="inlineStr">
        <is>
          <t>PVC 64 万吨/年，产能利用率 90.63%；引全国 PVC 产能 2,993 万吨、71 家企业、平均 43.5 万吨</t>
        </is>
      </c>
    </row>
    <row r="67">
      <c r="A67" s="9" t="inlineStr">
        <is>
          <t>S79</t>
        </is>
      </c>
      <c r="B67" s="9" t="inlineStr">
        <is>
          <t>年报</t>
        </is>
      </c>
      <c r="C67" s="10" t="inlineStr">
        <is>
          <t>内蒙古君正能源化工集团股份有限公司 2025 年年报（引中国氯碱网分省产能）</t>
        </is>
      </c>
      <c r="D67" s="9" t="inlineStr">
        <is>
          <t>上海证券交易所 / 君正集团(601216)</t>
        </is>
      </c>
      <c r="E67" s="9" t="inlineStr">
        <is>
          <t>2026-04</t>
        </is>
      </c>
      <c r="F67" s="32" t="inlineStr">
        <is>
          <t>A</t>
        </is>
      </c>
      <c r="G67" s="9" t="inlineStr">
        <is>
          <t>A-一手文件</t>
        </is>
      </c>
      <c r="H67" s="10" t="inlineStr">
        <is>
          <t>https://www.cninfo.com.cn/</t>
        </is>
      </c>
      <c r="I67" s="10" t="inlineStr">
        <is>
          <t>2025 年末全国 PVC 产能 3,087.5 万吨：电石法 2,016 / 乙烯法 888 / 天然气法 22；71 家企业、平均 43.5 万吨；分省：内蒙古 500、新疆 449、山东 420、青海 100、天津 172、浙江 147、河北 111、山西 105、宁夏 94、四川 82、安徽 77、江苏 133（万吨）</t>
        </is>
      </c>
    </row>
    <row r="68">
      <c r="A68" s="12" t="inlineStr">
        <is>
          <t>S60</t>
        </is>
      </c>
      <c r="B68" s="12" t="inlineStr">
        <is>
          <t>政府口径（转引）</t>
        </is>
      </c>
      <c r="C68" s="13" t="inlineStr">
        <is>
          <t>商务部 PVC 产能口径相关表述</t>
        </is>
      </c>
      <c r="D68" s="12" t="inlineStr">
        <is>
          <t>商务部（经行业媒体转引）</t>
        </is>
      </c>
      <c r="E68" s="12" t="inlineStr">
        <is>
          <t>2026</t>
        </is>
      </c>
      <c r="F68" s="33" t="inlineStr">
        <is>
          <t>C</t>
        </is>
      </c>
      <c r="G68" s="12" t="inlineStr">
        <is>
          <t>C-一般二手</t>
        </is>
      </c>
      <c r="H68" s="13" t="inlineStr"/>
      <c r="I68" s="13" t="inlineStr">
        <is>
          <t>2,962 万吨/年。未能取得可直接引用的一手文件，仅记录为口径线索，不作结论依据。</t>
        </is>
      </c>
    </row>
    <row r="69">
      <c r="A69" s="9" t="inlineStr">
        <is>
          <t>S61</t>
        </is>
      </c>
      <c r="B69" s="9" t="inlineStr">
        <is>
          <t>本报告核查</t>
        </is>
      </c>
      <c r="C69" s="10" t="inlineStr">
        <is>
          <t>中国 PVC 在建/拟建项目逐条核查表（2026-10 基准日）</t>
        </is>
      </c>
      <c r="D69" s="9" t="inlineStr">
        <is>
          <t>本报告项目库</t>
        </is>
      </c>
      <c r="E69" s="9" t="inlineStr">
        <is>
          <t>2026-10-20</t>
        </is>
      </c>
      <c r="F69" s="30" t="inlineStr">
        <is>
          <t>B</t>
        </is>
      </c>
      <c r="G69" s="9" t="inlineStr">
        <is>
          <t>B-权威二手</t>
        </is>
      </c>
      <c r="H69" s="10" t="inlineStr"/>
      <c r="I69" s="10" t="inlineStr">
        <is>
          <t>依据各项目环评公示、项目备案、施工招标公告、上市公司公告逐条落到书面来源；合计 226 万吨/年</t>
        </is>
      </c>
    </row>
    <row r="70">
      <c r="A70" s="12" t="inlineStr">
        <is>
          <t>S62</t>
        </is>
      </c>
      <c r="B70" s="12" t="inlineStr">
        <is>
          <t>环评公示</t>
        </is>
      </c>
      <c r="C70" s="13" t="inlineStr">
        <is>
          <t>万融新材料（福建）有限公司年产 96 万吨聚氯乙烯项目环境影响报告书 第二次公示</t>
        </is>
      </c>
      <c r="D70" s="12" t="inlineStr">
        <is>
          <t>福州市生态环境局 / 万融新材料（福建）有限公司</t>
        </is>
      </c>
      <c r="E70" s="12" t="inlineStr">
        <is>
          <t>2025-06-13</t>
        </is>
      </c>
      <c r="F70" s="30" t="inlineStr">
        <is>
          <t>B</t>
        </is>
      </c>
      <c r="G70" s="12" t="inlineStr">
        <is>
          <t>B-权威二手</t>
        </is>
      </c>
      <c r="H70" s="13" t="inlineStr"/>
      <c r="I70" s="13" t="inlineStr">
        <is>
          <t>福建福清江阴港城经济区东部片区；PVC 96 万吨/年、VCM 96 万吨/年、副产 25% 盐酸 8.6 万吨/年；乙烯法（MDI/TDI 副产氯化氢制 VCM）；建设期 2 年；一次公示 2025-05</t>
        </is>
      </c>
    </row>
    <row r="71">
      <c r="A71" s="9" t="inlineStr">
        <is>
          <t>S63</t>
        </is>
      </c>
      <c r="B71" s="9" t="inlineStr">
        <is>
          <t>招标公告</t>
        </is>
      </c>
      <c r="C71" s="10" t="inlineStr">
        <is>
          <t>新疆天业十户滩新材料工业园「智能生态光伏耦合绿色特种树脂低碳转型升级示范工程（一期）」EPC 招标</t>
        </is>
      </c>
      <c r="D71" s="9" t="inlineStr">
        <is>
          <t>中国招标投标公共服务平台 / 新疆天业（集团）</t>
        </is>
      </c>
      <c r="E71" s="9" t="inlineStr">
        <is>
          <t>2026-10-08</t>
        </is>
      </c>
      <c r="F71" s="30" t="inlineStr">
        <is>
          <t>B</t>
        </is>
      </c>
      <c r="G71" s="9" t="inlineStr">
        <is>
          <t>B-权威二手</t>
        </is>
      </c>
      <c r="H71" s="10" t="inlineStr"/>
      <c r="I71" s="10" t="inlineStr">
        <is>
          <t>乙烯法制 PVC 50 万吨、烧碱 35 万吨、煤基乙醇 60 万吨；煤→甲醇→乙醇→乙烯→VCM→PVC 路线；总投资 139.67 亿元；乙醇装置 EPC 三标段 2026-10-08 废标重新招标，其余标段已定标（气化 航天长征 6.76 亿元、全厂系统 天辰 26.9 亿元）；2026-07 注册资本由 20 亿增至 33.59 亿元</t>
        </is>
      </c>
    </row>
    <row r="72">
      <c r="A72" s="12" t="inlineStr">
        <is>
          <t>S64</t>
        </is>
      </c>
      <c r="B72" s="12" t="inlineStr">
        <is>
          <t>项目备案/招标</t>
        </is>
      </c>
      <c r="C72" s="13" t="inlineStr">
        <is>
          <t>茌平信发华兴化工 PVC 二期 20 万吨项目（立项审批 2026-07-14）</t>
        </is>
      </c>
      <c r="D72" s="12" t="inlineStr">
        <is>
          <t>山东省投资项目在线审批监管平台 / 茌平信发华兴化工有限公司</t>
        </is>
      </c>
      <c r="E72" s="12" t="inlineStr">
        <is>
          <t>2026-07-14</t>
        </is>
      </c>
      <c r="F72" s="30" t="inlineStr">
        <is>
          <t>B</t>
        </is>
      </c>
      <c r="G72" s="12" t="inlineStr">
        <is>
          <t>B-权威二手</t>
        </is>
      </c>
      <c r="H72" s="13" t="inlineStr"/>
      <c r="I72" s="13" t="inlineStr">
        <is>
          <t>山东聊城茌平区乐平铺镇；PVC 20 万吨/年；总投资 15 亿元；建设期 2026Q4—2027Q4；截至 2026-08-14 处于主体施工；2026-07-04 仍在招标乙炔系统（暗示电石法/乙炔路线，但二期未明确）。⚠ 合规风险：国家禁止新建＜20 万吨/年电石法 PVC，单体 20 万吨恰好踩线，是否合规取决于与一期合并计算，无公开文件</t>
        </is>
      </c>
    </row>
    <row r="73">
      <c r="A73" s="9" t="inlineStr">
        <is>
          <t>S65</t>
        </is>
      </c>
      <c r="B73" s="9" t="inlineStr">
        <is>
          <t>上市公司公告</t>
        </is>
      </c>
      <c r="C73" s="10" t="inlineStr">
        <is>
          <t>广西华谊氯碱化工有限公司「先进材料配套废盐综合利用项目」增资暨董事会决议公告</t>
        </is>
      </c>
      <c r="D73" s="9" t="inlineStr">
        <is>
          <t>上海氯碱化工(600618) 公告</t>
        </is>
      </c>
      <c r="E73" s="9" t="inlineStr">
        <is>
          <t>2025-12-19</t>
        </is>
      </c>
      <c r="F73" s="32" t="inlineStr">
        <is>
          <t>A</t>
        </is>
      </c>
      <c r="G73" s="9" t="inlineStr">
        <is>
          <t>A-一手文件</t>
        </is>
      </c>
      <c r="H73" s="10" t="inlineStr"/>
      <c r="I73" s="10" t="inlineStr">
        <is>
          <t>广西钦州港经开区石化产业园；PVC 30 万吨/年、烧碱 30 万吨/年、VCM 25 万吨/年；乙烯法；总投资 29.75 亿元；增资 8.93 亿元</t>
        </is>
      </c>
    </row>
    <row r="74">
      <c r="A74" s="12" t="inlineStr">
        <is>
          <t>S66</t>
        </is>
      </c>
      <c r="B74" s="12" t="inlineStr">
        <is>
          <t>投资者关系/定期报告</t>
        </is>
      </c>
      <c r="C74" s="13" t="inlineStr">
        <is>
          <t>浙江嘉化能源化工股份有限公司 PVC 二期项目进展</t>
        </is>
      </c>
      <c r="D74" s="12" t="inlineStr">
        <is>
          <t>嘉化能源(600273)</t>
        </is>
      </c>
      <c r="E74" s="12" t="inlineStr">
        <is>
          <t>2026-02</t>
        </is>
      </c>
      <c r="F74" s="30" t="inlineStr">
        <is>
          <t>B</t>
        </is>
      </c>
      <c r="G74" s="12" t="inlineStr">
        <is>
          <t>B-权威二手</t>
        </is>
      </c>
      <c r="H74" s="13" t="inlineStr"/>
      <c r="I74" s="13" t="inlineStr">
        <is>
          <t>嘉兴港区；PVC 30 万吨/年，乙烯法（日本 JNC 悬浮法，外购乙烯）；VCM 二期 2025-08-28 开车；PVC 2026 年逐步放量</t>
        </is>
      </c>
    </row>
    <row r="75">
      <c r="A75" s="9" t="inlineStr">
        <is>
          <t>S67</t>
        </is>
      </c>
      <c r="B75" s="9" t="inlineStr">
        <is>
          <t>上市公司公告</t>
        </is>
      </c>
      <c r="C75" s="10" t="inlineStr">
        <is>
          <t>天津渤海化工集团 PVC 二期 40 万吨 2025-09-28 全面投产（PVC 总产能 120 万吨，乙烯法替代电石法）</t>
        </is>
      </c>
      <c r="D75" s="9" t="inlineStr">
        <is>
          <t>渤海化工集团 / 行业媒体转引</t>
        </is>
      </c>
      <c r="E75" s="9" t="inlineStr">
        <is>
          <t>2025-09-28</t>
        </is>
      </c>
      <c r="F75" s="30" t="inlineStr">
        <is>
          <t>B</t>
        </is>
      </c>
      <c r="G75" s="9" t="inlineStr">
        <is>
          <t>B-权威二手</t>
        </is>
      </c>
      <c r="H75" s="10" t="inlineStr"/>
      <c r="I75" s="10" t="inlineStr">
        <is>
          <t>悬浮法；替代原电石法产能；这是本轮核查中唯一置换逻辑清晰的大型项目</t>
        </is>
      </c>
    </row>
    <row r="76">
      <c r="A76" s="12" t="inlineStr">
        <is>
          <t>S68</t>
        </is>
      </c>
      <c r="B76" s="12" t="inlineStr">
        <is>
          <t>上市公司公告</t>
        </is>
      </c>
      <c r="C76" s="13" t="inlineStr">
        <is>
          <t>浙江镇洋发展股份有限公司 关于部分生产装置临时停产的公告</t>
        </is>
      </c>
      <c r="D76" s="12" t="inlineStr">
        <is>
          <t>镇洋发展(603213) 公告</t>
        </is>
      </c>
      <c r="E76" s="12" t="inlineStr">
        <is>
          <t>2026-09-19</t>
        </is>
      </c>
      <c r="F76" s="32" t="inlineStr">
        <is>
          <t>A</t>
        </is>
      </c>
      <c r="G76" s="12" t="inlineStr">
        <is>
          <t>A-一手文件</t>
        </is>
      </c>
      <c r="H76" s="13" t="inlineStr"/>
      <c r="I76" s="13" t="inlineStr">
        <is>
          <t>PVC 30 万吨/年（2023-05 投产）自 2026-09-19 起临时停产，预计不超过 4 个月；原因：原料乙烯价格上涨；2026H1 PVC 毛利率 -23.24%</t>
        </is>
      </c>
    </row>
    <row r="77">
      <c r="A77" s="9" t="inlineStr">
        <is>
          <t>S69</t>
        </is>
      </c>
      <c r="B77" s="9" t="inlineStr">
        <is>
          <t>行业研究</t>
        </is>
      </c>
      <c r="C77" s="10" t="inlineStr">
        <is>
          <t>一德期货：2026 年 PVC 长停装置对开工率影响测算</t>
        </is>
      </c>
      <c r="D77" s="9" t="inlineStr">
        <is>
          <t>一德期货</t>
        </is>
      </c>
      <c r="E77" s="9" t="inlineStr">
        <is>
          <t>2026</t>
        </is>
      </c>
      <c r="F77" s="33" t="inlineStr">
        <is>
          <t>C</t>
        </is>
      </c>
      <c r="G77" s="9" t="inlineStr">
        <is>
          <t>C-一般二手</t>
        </is>
      </c>
      <c r="H77" s="10" t="inlineStr"/>
      <c r="I77" s="10" t="inlineStr">
        <is>
          <t>2026 年 11—12 月长停装置影响开工 4%~7%，折 115~215 万吨。预测性测算，非清单。</t>
        </is>
      </c>
    </row>
    <row r="78">
      <c r="A78" s="12" t="inlineStr">
        <is>
          <t>S70</t>
        </is>
      </c>
      <c r="B78" s="12" t="inlineStr">
        <is>
          <t>政府文件</t>
        </is>
      </c>
      <c r="C78" s="13" t="inlineStr">
        <is>
          <t>工业和信息化部：2026 年对电石法 PVC 企业节能监察全覆盖</t>
        </is>
      </c>
      <c r="D78" s="12" t="inlineStr">
        <is>
          <t>工业和信息化部</t>
        </is>
      </c>
      <c r="E78" s="12" t="inlineStr">
        <is>
          <t>2026-05-13</t>
        </is>
      </c>
      <c r="F78" s="32" t="inlineStr">
        <is>
          <t>A</t>
        </is>
      </c>
      <c r="G78" s="12" t="inlineStr">
        <is>
          <t>A-一手文件</t>
        </is>
      </c>
      <c r="H78" s="13" t="inlineStr"/>
      <c r="I78" s="13" t="inlineStr">
        <is>
          <t>2025 年末电石法 PVC 产能 2,150 万吨、占比约 70%</t>
        </is>
      </c>
    </row>
    <row r="79">
      <c r="A79" s="9" t="inlineStr">
        <is>
          <t>S71</t>
        </is>
      </c>
      <c r="B79" s="9" t="inlineStr">
        <is>
          <t>产业政策</t>
        </is>
      </c>
      <c r="C79" s="10" t="inlineStr">
        <is>
          <t>《产业结构调整指导目录（2024 年本）》</t>
        </is>
      </c>
      <c r="D79" s="9" t="inlineStr">
        <is>
          <t>国家发展和改革委员会</t>
        </is>
      </c>
      <c r="E79" s="9" t="inlineStr">
        <is>
          <t>2024</t>
        </is>
      </c>
      <c r="F79" s="32" t="inlineStr">
        <is>
          <t>A</t>
        </is>
      </c>
      <c r="G79" s="9" t="inlineStr">
        <is>
          <t>A-一手文件</t>
        </is>
      </c>
      <c r="H79" s="10" t="inlineStr">
        <is>
          <t>https://www.gov.cn/zhengce/zhengceku/202401/content_6927062.htm</t>
        </is>
      </c>
      <c r="I79" s="10" t="inlineStr">
        <is>
          <t>禁止新建＜20 万吨/年电石法 PVC、＜30 万吨/年乙烯法 PVC；电石禁止新增（等量替换除外）；淘汰高汞触媒装置</t>
        </is>
      </c>
    </row>
    <row r="80">
      <c r="A80" s="12" t="inlineStr">
        <is>
          <t>S72</t>
        </is>
      </c>
      <c r="B80" s="12" t="inlineStr">
        <is>
          <t>上市公司公告</t>
        </is>
      </c>
      <c r="C80" s="13" t="inlineStr">
        <is>
          <t>陕西金泰氯碱神木化工 60 万吨/年电石法 PVC 无汞示范装置交工验收</t>
        </is>
      </c>
      <c r="D80" s="12" t="inlineStr">
        <is>
          <t>陕西金泰氯碱（陕投集团）/ 行业媒体</t>
        </is>
      </c>
      <c r="E80" s="12" t="inlineStr">
        <is>
          <t>2025-07-11</t>
        </is>
      </c>
      <c r="F80" s="30" t="inlineStr">
        <is>
          <t>B</t>
        </is>
      </c>
      <c r="G80" s="12" t="inlineStr">
        <is>
          <t>B-权威二手</t>
        </is>
      </c>
      <c r="H80" s="13" t="inlineStr"/>
      <c r="I80" s="13" t="inlineStr">
        <is>
          <t>2024-05-11 试生产，2025-07-11 交工验收；全球首套电石法无汞 PVC 示范装置（60 万吨级，神木）</t>
        </is>
      </c>
    </row>
    <row r="81">
      <c r="A81" s="9" t="inlineStr">
        <is>
          <t>S73</t>
        </is>
      </c>
      <c r="B81" s="9" t="inlineStr">
        <is>
          <t>上市公司公告</t>
        </is>
      </c>
      <c r="C81" s="10" t="inlineStr">
        <is>
          <t>甘肃耀望化工 30 万吨/年无汞电石法 PVC 投产（兰州新区）</t>
        </is>
      </c>
      <c r="D81" s="9" t="inlineStr">
        <is>
          <t>行业媒体 / 兰州新区</t>
        </is>
      </c>
      <c r="E81" s="9" t="inlineStr">
        <is>
          <t>2025-11</t>
        </is>
      </c>
      <c r="F81" s="30" t="inlineStr">
        <is>
          <t>B</t>
        </is>
      </c>
      <c r="G81" s="9" t="inlineStr">
        <is>
          <t>B-权威二手</t>
        </is>
      </c>
      <c r="H81" s="10" t="inlineStr"/>
      <c r="I81" s="10" t="inlineStr">
        <is>
          <t>2025-11 投产；无汞催化电石法</t>
        </is>
      </c>
    </row>
    <row r="82">
      <c r="A82" s="12" t="inlineStr">
        <is>
          <t>S74</t>
        </is>
      </c>
      <c r="B82" s="12" t="inlineStr">
        <is>
          <t>上市公司公告</t>
        </is>
      </c>
      <c r="C82" s="13" t="inlineStr">
        <is>
          <t>新浦化学（泰兴）50 万吨/年 PVC 中交与量产</t>
        </is>
      </c>
      <c r="D82" s="12" t="inlineStr">
        <is>
          <t>新浦化学（泰兴）有限公司 / 行业媒体</t>
        </is>
      </c>
      <c r="E82" s="12" t="inlineStr">
        <is>
          <t>2025-02</t>
        </is>
      </c>
      <c r="F82" s="30" t="inlineStr">
        <is>
          <t>B</t>
        </is>
      </c>
      <c r="G82" s="12" t="inlineStr">
        <is>
          <t>B-权威二手</t>
        </is>
      </c>
      <c r="H82" s="13" t="inlineStr"/>
      <c r="I82" s="13" t="inlineStr">
        <is>
          <t>2022-04 中交，2025 年 1—2 月量产；江苏泰兴</t>
        </is>
      </c>
    </row>
    <row r="83">
      <c r="A83" s="9" t="inlineStr">
        <is>
          <t>S75</t>
        </is>
      </c>
      <c r="B83" s="9" t="inlineStr">
        <is>
          <t>媒体报道</t>
        </is>
      </c>
      <c r="C83" s="10" t="inlineStr">
        <is>
          <t>万华化学福建 80 万吨/年 PVC 一期（40 万吨）2025 年试车投产</t>
        </is>
      </c>
      <c r="D83" s="9" t="inlineStr">
        <is>
          <t>卓创资讯 / 万华化学公告</t>
        </is>
      </c>
      <c r="E83" s="9" t="inlineStr">
        <is>
          <t>2025-07</t>
        </is>
      </c>
      <c r="F83" s="30" t="inlineStr">
        <is>
          <t>B</t>
        </is>
      </c>
      <c r="G83" s="9" t="inlineStr">
        <is>
          <t>B-权威二手</t>
        </is>
      </c>
      <c r="H83" s="10" t="inlineStr"/>
      <c r="I83" s="10" t="inlineStr">
        <is>
          <t>2022-02-07 开工；一期 40 万吨 2025 年 5—7 月试车投产（2025-06 与 MDI/TDI 一同检修，2025-07-30 复产公告）；二期 40 万吨状态未知（无投产公告）</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0"/>
  <sheetViews>
    <sheetView showGridLines="0" workbookViewId="0">
      <pane ySplit="4" topLeftCell="A5" activePane="bottomLeft" state="frozen"/>
      <selection pane="bottomLeft" activeCell="A1" sqref="A1"/>
    </sheetView>
  </sheetViews>
  <sheetFormatPr baseColWidth="8" defaultRowHeight="15"/>
  <cols>
    <col width="12" customWidth="1" min="1" max="1"/>
    <col width="46" customWidth="1" min="2" max="2"/>
    <col width="34" customWidth="1" min="3" max="3"/>
    <col width="12" customWidth="1" min="4" max="4"/>
    <col width="22" customWidth="1" min="5" max="5"/>
    <col width="12" customWidth="1" min="6" max="6"/>
    <col width="14" customWidth="1" min="7" max="7"/>
  </cols>
  <sheetData>
    <row r="1" ht="24" customHeight="1">
      <c r="A1" s="7" t="inlineStr">
        <is>
          <t>集团 → 法人 → 基地 → 装置 关系树</t>
        </is>
      </c>
    </row>
    <row r="2">
      <c r="A2" s="3" t="inlineStr">
        <is>
          <t>用于人工核对层级归属，防止集团合计与子公司产能重复计算</t>
        </is>
      </c>
    </row>
    <row r="4" ht="30" customHeight="1">
      <c r="A4" s="8" t="inlineStr">
        <is>
          <t>层级</t>
        </is>
      </c>
      <c r="B4" s="8" t="inlineStr">
        <is>
          <t>名称</t>
        </is>
      </c>
      <c r="C4" s="8" t="inlineStr">
        <is>
          <t>说明/属性</t>
        </is>
      </c>
      <c r="D4" s="8" t="inlineStr">
        <is>
          <t>口径</t>
        </is>
      </c>
      <c r="E4" s="8" t="inlineStr">
        <is>
          <t>产品</t>
        </is>
      </c>
      <c r="F4" s="8" t="inlineStr">
        <is>
          <t>状态</t>
        </is>
      </c>
      <c r="G4" s="8" t="inlineStr">
        <is>
          <t>产能(万吨/年)</t>
        </is>
      </c>
    </row>
    <row r="5">
      <c r="A5" s="9" t="inlineStr">
        <is>
          <t>L1 集团</t>
        </is>
      </c>
      <c r="B5" s="9" t="inlineStr">
        <is>
          <t>新疆天业（集团）有限公司</t>
        </is>
      </c>
      <c r="C5" s="9" t="inlineStr">
        <is>
          <t>新疆生产建设兵团第八师国有资产监督管理委员会</t>
        </is>
      </c>
      <c r="D5" s="9" t="inlineStr"/>
      <c r="E5" s="9" t="inlineStr"/>
      <c r="F5" s="9" t="inlineStr"/>
      <c r="G5" s="11" t="n">
        <v>134</v>
      </c>
    </row>
    <row r="6">
      <c r="A6" s="12" t="inlineStr">
        <is>
          <t xml:space="preserve">　L2 法人</t>
        </is>
      </c>
      <c r="B6" s="12" t="inlineStr">
        <is>
          <t>新疆天业股份有限公司</t>
        </is>
      </c>
      <c r="C6" s="12" t="inlineStr">
        <is>
          <t>600075.SH</t>
        </is>
      </c>
      <c r="D6" s="12" t="inlineStr"/>
      <c r="E6" s="12" t="inlineStr"/>
      <c r="F6" s="12" t="inlineStr"/>
      <c r="G6" s="14" t="n">
        <v>134</v>
      </c>
    </row>
    <row r="7">
      <c r="A7" s="9" t="inlineStr">
        <is>
          <t xml:space="preserve">　　L3 基地</t>
        </is>
      </c>
      <c r="B7" s="9" t="inlineStr">
        <is>
          <t>石河子化工园区基地（综合）</t>
        </is>
      </c>
      <c r="C7" s="9" t="inlineStr">
        <is>
          <t>新疆维吾尔自治区石河子市</t>
        </is>
      </c>
      <c r="D7" s="9" t="inlineStr"/>
      <c r="E7" s="9" t="inlineStr"/>
      <c r="F7" s="9" t="inlineStr"/>
      <c r="G7" s="11" t="n">
        <v>134</v>
      </c>
    </row>
    <row r="8">
      <c r="A8" s="12" t="inlineStr">
        <is>
          <t xml:space="preserve">　　　L4 装置</t>
        </is>
      </c>
      <c r="B8" s="12" t="inlineStr">
        <is>
          <t>U-P010-01</t>
        </is>
      </c>
      <c r="C8" s="12" t="inlineStr">
        <is>
          <t>电石法（乙炔法）</t>
        </is>
      </c>
      <c r="D8" s="12" t="inlineStr">
        <is>
          <t>设计产能</t>
        </is>
      </c>
      <c r="E8" s="12" t="inlineStr">
        <is>
          <t>聚氯乙烯（通用 PVC 树脂）</t>
        </is>
      </c>
      <c r="F8" s="12" t="inlineStr">
        <is>
          <t>在产</t>
        </is>
      </c>
      <c r="G8" s="14" t="n">
        <v>114</v>
      </c>
    </row>
    <row r="9">
      <c r="A9" s="9" t="inlineStr">
        <is>
          <t xml:space="preserve">　　　L4 装置</t>
        </is>
      </c>
      <c r="B9" s="9" t="inlineStr">
        <is>
          <t>U-P010-02</t>
        </is>
      </c>
      <c r="C9" s="9" t="inlineStr">
        <is>
          <t>电石法（乙炔法）</t>
        </is>
      </c>
      <c r="D9" s="9" t="inlineStr">
        <is>
          <t>设计产能</t>
        </is>
      </c>
      <c r="E9" s="9" t="inlineStr">
        <is>
          <t>聚氯乙烯（特种树脂 SPVC）</t>
        </is>
      </c>
      <c r="F9" s="9" t="inlineStr">
        <is>
          <t>在产</t>
        </is>
      </c>
      <c r="G9" s="11" t="n">
        <v>10</v>
      </c>
    </row>
    <row r="10">
      <c r="A10" s="12" t="inlineStr">
        <is>
          <t xml:space="preserve">　　　L4 装置</t>
        </is>
      </c>
      <c r="B10" s="12" t="inlineStr">
        <is>
          <t>U-P010-03</t>
        </is>
      </c>
      <c r="C10" s="12" t="inlineStr">
        <is>
          <t>电石法（乙炔法）</t>
        </is>
      </c>
      <c r="D10" s="12" t="inlineStr">
        <is>
          <t>设计产能</t>
        </is>
      </c>
      <c r="E10" s="12" t="inlineStr">
        <is>
          <t>聚氯乙烯糊树脂（EPVC）</t>
        </is>
      </c>
      <c r="F10" s="12" t="inlineStr">
        <is>
          <t>在产</t>
        </is>
      </c>
      <c r="G10" s="14" t="n">
        <v>10</v>
      </c>
    </row>
    <row r="11">
      <c r="A11" s="9" t="inlineStr">
        <is>
          <t xml:space="preserve">　L2 法人</t>
        </is>
      </c>
      <c r="B11" s="9" t="inlineStr">
        <is>
          <t>天伟化工有限公司</t>
        </is>
      </c>
      <c r="C11" s="9" t="inlineStr">
        <is>
          <t>—</t>
        </is>
      </c>
      <c r="D11" s="9" t="inlineStr"/>
      <c r="E11" s="9" t="inlineStr"/>
      <c r="F11" s="9" t="inlineStr"/>
      <c r="G11" s="11" t="n">
        <v>0</v>
      </c>
    </row>
    <row r="12">
      <c r="A12" s="12" t="inlineStr">
        <is>
          <t xml:space="preserve">　L2 法人</t>
        </is>
      </c>
      <c r="B12" s="12" t="inlineStr">
        <is>
          <t>天能化工有限公司</t>
        </is>
      </c>
      <c r="C12" s="12" t="inlineStr">
        <is>
          <t>—</t>
        </is>
      </c>
      <c r="D12" s="12" t="inlineStr"/>
      <c r="E12" s="12" t="inlineStr"/>
      <c r="F12" s="12" t="inlineStr"/>
      <c r="G12" s="14" t="n">
        <v>0</v>
      </c>
    </row>
    <row r="13">
      <c r="A13" s="9" t="inlineStr">
        <is>
          <t xml:space="preserve">　L2 法人</t>
        </is>
      </c>
      <c r="B13" s="9" t="inlineStr">
        <is>
          <t>天辰化工有限公司</t>
        </is>
      </c>
      <c r="C13" s="9" t="inlineStr">
        <is>
          <t>—</t>
        </is>
      </c>
      <c r="D13" s="9" t="inlineStr"/>
      <c r="E13" s="9" t="inlineStr"/>
      <c r="F13" s="9" t="inlineStr"/>
      <c r="G13" s="11" t="n">
        <v>0</v>
      </c>
    </row>
    <row r="14">
      <c r="A14" s="12" t="inlineStr">
        <is>
          <t xml:space="preserve">　L2 法人</t>
        </is>
      </c>
      <c r="B14" s="12" t="inlineStr">
        <is>
          <t>新疆天业汇祥新材料有限公司</t>
        </is>
      </c>
      <c r="C14" s="12" t="inlineStr">
        <is>
          <t>—</t>
        </is>
      </c>
      <c r="D14" s="12" t="inlineStr"/>
      <c r="E14" s="12" t="inlineStr"/>
      <c r="F14" s="12" t="inlineStr"/>
      <c r="G14" s="14" t="n">
        <v>0</v>
      </c>
    </row>
    <row r="15">
      <c r="A15" s="9" t="inlineStr">
        <is>
          <t xml:space="preserve">　L2 法人</t>
        </is>
      </c>
      <c r="B15" s="9" t="inlineStr">
        <is>
          <t>石河子天域新实化工有限公司</t>
        </is>
      </c>
      <c r="C15" s="9" t="inlineStr">
        <is>
          <t>—</t>
        </is>
      </c>
      <c r="D15" s="9" t="inlineStr"/>
      <c r="E15" s="9" t="inlineStr"/>
      <c r="F15" s="9" t="inlineStr"/>
      <c r="G15" s="11" t="n">
        <v>0</v>
      </c>
    </row>
    <row r="16">
      <c r="A16" s="12" t="inlineStr">
        <is>
          <t xml:space="preserve">　L2 法人</t>
        </is>
      </c>
      <c r="B16" s="12" t="inlineStr">
        <is>
          <t>新疆天业（集团）有限公司</t>
        </is>
      </c>
      <c r="C16" s="12" t="inlineStr">
        <is>
          <t>—</t>
        </is>
      </c>
      <c r="D16" s="12" t="inlineStr"/>
      <c r="E16" s="12" t="inlineStr"/>
      <c r="F16" s="12" t="inlineStr"/>
      <c r="G16" s="14" t="n">
        <v>0</v>
      </c>
    </row>
    <row r="17">
      <c r="A17" s="9" t="inlineStr">
        <is>
          <t xml:space="preserve">　　L3 基地</t>
        </is>
      </c>
      <c r="B17" s="9" t="inlineStr">
        <is>
          <t>十户滩新材料工业园（天业集团）</t>
        </is>
      </c>
      <c r="C17" s="9" t="inlineStr">
        <is>
          <t>新疆维吾尔自治区石河子市</t>
        </is>
      </c>
      <c r="D17" s="9" t="inlineStr"/>
      <c r="E17" s="9" t="inlineStr"/>
      <c r="F17" s="9" t="inlineStr"/>
      <c r="G17" s="11" t="n">
        <v>0</v>
      </c>
    </row>
    <row r="18">
      <c r="A18" s="12" t="inlineStr">
        <is>
          <t>L1 集团</t>
        </is>
      </c>
      <c r="B18" s="12" t="inlineStr">
        <is>
          <t>陕西北元化工集团股份有限公司（独立上市）</t>
        </is>
      </c>
      <c r="C18" s="12" t="inlineStr">
        <is>
          <t>陕西省人民政府国有资产监督管理委员会（控股股东：陕西煤业化工集团有限责任公司）</t>
        </is>
      </c>
      <c r="D18" s="12" t="inlineStr"/>
      <c r="E18" s="12" t="inlineStr"/>
      <c r="F18" s="12" t="inlineStr"/>
      <c r="G18" s="14" t="n">
        <v>110</v>
      </c>
    </row>
    <row r="19">
      <c r="A19" s="9" t="inlineStr">
        <is>
          <t xml:space="preserve">　L2 法人</t>
        </is>
      </c>
      <c r="B19" s="9" t="inlineStr">
        <is>
          <t>陕西北元化工集团股份有限公司</t>
        </is>
      </c>
      <c r="C19" s="9" t="inlineStr">
        <is>
          <t>601568.SH</t>
        </is>
      </c>
      <c r="D19" s="9" t="inlineStr"/>
      <c r="E19" s="9" t="inlineStr"/>
      <c r="F19" s="9" t="inlineStr"/>
      <c r="G19" s="11" t="n">
        <v>110</v>
      </c>
    </row>
    <row r="20">
      <c r="A20" s="12" t="inlineStr">
        <is>
          <t xml:space="preserve">　　L3 基地</t>
        </is>
      </c>
      <c r="B20" s="12" t="inlineStr">
        <is>
          <t>锦界园区基地（北元）</t>
        </is>
      </c>
      <c r="C20" s="12" t="inlineStr">
        <is>
          <t>陕西省神木市</t>
        </is>
      </c>
      <c r="D20" s="12" t="inlineStr"/>
      <c r="E20" s="12" t="inlineStr"/>
      <c r="F20" s="12" t="inlineStr"/>
      <c r="G20" s="14" t="n">
        <v>110</v>
      </c>
    </row>
    <row r="21">
      <c r="A21" s="9" t="inlineStr">
        <is>
          <t xml:space="preserve">　　　L4 装置</t>
        </is>
      </c>
      <c r="B21" s="9" t="inlineStr">
        <is>
          <t>U-P020-01</t>
        </is>
      </c>
      <c r="C21" s="9" t="inlineStr">
        <is>
          <t>电石法（乙炔法）</t>
        </is>
      </c>
      <c r="D21" s="9" t="inlineStr">
        <is>
          <t>设计产能</t>
        </is>
      </c>
      <c r="E21" s="9" t="inlineStr">
        <is>
          <t>聚氯乙烯树脂</t>
        </is>
      </c>
      <c r="F21" s="9" t="inlineStr">
        <is>
          <t>在产</t>
        </is>
      </c>
      <c r="G21" s="11" t="n">
        <v>110</v>
      </c>
    </row>
    <row r="22">
      <c r="A22" s="12" t="inlineStr">
        <is>
          <t>L1 集团</t>
        </is>
      </c>
      <c r="B22" s="12" t="inlineStr">
        <is>
          <t>新疆中泰（集团）有限责任公司</t>
        </is>
      </c>
      <c r="C22" s="12" t="inlineStr">
        <is>
          <t>新疆维吾尔自治区人民政府国有资产监督管理委员会</t>
        </is>
      </c>
      <c r="D22" s="12" t="inlineStr"/>
      <c r="E22" s="12" t="inlineStr"/>
      <c r="F22" s="12" t="inlineStr"/>
      <c r="G22" s="14" t="n">
        <v>109</v>
      </c>
    </row>
    <row r="23">
      <c r="A23" s="9" t="inlineStr">
        <is>
          <t xml:space="preserve">　L2 法人</t>
        </is>
      </c>
      <c r="B23" s="9" t="inlineStr">
        <is>
          <t>新疆中泰化学股份有限公司</t>
        </is>
      </c>
      <c r="C23" s="9" t="inlineStr">
        <is>
          <t>002092.SZ</t>
        </is>
      </c>
      <c r="D23" s="9" t="inlineStr"/>
      <c r="E23" s="9" t="inlineStr"/>
      <c r="F23" s="9" t="inlineStr"/>
      <c r="G23" s="11" t="n">
        <v>0</v>
      </c>
    </row>
    <row r="24">
      <c r="A24" s="12" t="inlineStr">
        <is>
          <t xml:space="preserve">　L2 法人</t>
        </is>
      </c>
      <c r="B24" s="12" t="inlineStr">
        <is>
          <t>新疆华泰重化工有限责任公司</t>
        </is>
      </c>
      <c r="C24" s="12" t="inlineStr">
        <is>
          <t>—</t>
        </is>
      </c>
      <c r="D24" s="12" t="inlineStr"/>
      <c r="E24" s="12" t="inlineStr"/>
      <c r="F24" s="12" t="inlineStr"/>
      <c r="G24" s="14" t="n">
        <v>0</v>
      </c>
    </row>
    <row r="25">
      <c r="A25" s="9" t="inlineStr">
        <is>
          <t xml:space="preserve">　　L3 基地</t>
        </is>
      </c>
      <c r="B25" s="9" t="inlineStr">
        <is>
          <t>米东基地（华泰重化工）</t>
        </is>
      </c>
      <c r="C25" s="9" t="inlineStr">
        <is>
          <t>新疆维吾尔自治区乌鲁木齐市</t>
        </is>
      </c>
      <c r="D25" s="9" t="inlineStr"/>
      <c r="E25" s="9" t="inlineStr"/>
      <c r="F25" s="9" t="inlineStr"/>
      <c r="G25" s="11" t="n">
        <v>0</v>
      </c>
    </row>
    <row r="26">
      <c r="A26" s="12" t="inlineStr">
        <is>
          <t xml:space="preserve">　　　L4 装置</t>
        </is>
      </c>
      <c r="B26" s="12" t="inlineStr">
        <is>
          <t>U-P001-01</t>
        </is>
      </c>
      <c r="C26" s="12" t="inlineStr">
        <is>
          <t>电石法（乙炔法）</t>
        </is>
      </c>
      <c r="D26" s="12" t="inlineStr">
        <is>
          <t>设计产能</t>
        </is>
      </c>
      <c r="E26" s="12" t="inlineStr">
        <is>
          <t>聚氯乙烯树脂</t>
        </is>
      </c>
      <c r="F26" s="12" t="inlineStr">
        <is>
          <t>在产</t>
        </is>
      </c>
      <c r="G26" s="14" t="n"/>
    </row>
    <row r="27">
      <c r="A27" s="9" t="inlineStr">
        <is>
          <t xml:space="preserve">　L2 法人</t>
        </is>
      </c>
      <c r="B27" s="9" t="inlineStr">
        <is>
          <t>新疆中泰化学阜康能源有限公司</t>
        </is>
      </c>
      <c r="C27" s="9" t="inlineStr">
        <is>
          <t>—</t>
        </is>
      </c>
      <c r="D27" s="9" t="inlineStr"/>
      <c r="E27" s="9" t="inlineStr"/>
      <c r="F27" s="9" t="inlineStr"/>
      <c r="G27" s="11" t="n">
        <v>80</v>
      </c>
    </row>
    <row r="28">
      <c r="A28" s="12" t="inlineStr">
        <is>
          <t xml:space="preserve">　　L3 基地</t>
        </is>
      </c>
      <c r="B28" s="12" t="inlineStr">
        <is>
          <t>阜康基地（阜康能源）</t>
        </is>
      </c>
      <c r="C28" s="12" t="inlineStr">
        <is>
          <t>新疆维吾尔自治区阜康市</t>
        </is>
      </c>
      <c r="D28" s="12" t="inlineStr"/>
      <c r="E28" s="12" t="inlineStr"/>
      <c r="F28" s="12" t="inlineStr"/>
      <c r="G28" s="14" t="n">
        <v>80</v>
      </c>
    </row>
    <row r="29">
      <c r="A29" s="9" t="inlineStr">
        <is>
          <t xml:space="preserve">　　　L4 装置</t>
        </is>
      </c>
      <c r="B29" s="9" t="inlineStr">
        <is>
          <t>U-P002-01</t>
        </is>
      </c>
      <c r="C29" s="9" t="inlineStr">
        <is>
          <t>电石法（乙炔法）</t>
        </is>
      </c>
      <c r="D29" s="9" t="inlineStr">
        <is>
          <t>设计产能</t>
        </is>
      </c>
      <c r="E29" s="9" t="inlineStr">
        <is>
          <t>聚氯乙烯树脂（悬浮法通用型）</t>
        </is>
      </c>
      <c r="F29" s="9" t="inlineStr">
        <is>
          <t>在产</t>
        </is>
      </c>
      <c r="G29" s="11" t="n">
        <v>80</v>
      </c>
    </row>
    <row r="30">
      <c r="A30" s="12" t="inlineStr">
        <is>
          <t xml:space="preserve">　L2 法人</t>
        </is>
      </c>
      <c r="B30" s="12" t="inlineStr">
        <is>
          <t>新疆中泰化学托克逊能化有限公司</t>
        </is>
      </c>
      <c r="C30" s="12" t="inlineStr">
        <is>
          <t>—</t>
        </is>
      </c>
      <c r="D30" s="12" t="inlineStr"/>
      <c r="E30" s="12" t="inlineStr"/>
      <c r="F30" s="12" t="inlineStr"/>
      <c r="G30" s="14" t="n">
        <v>29</v>
      </c>
    </row>
    <row r="31">
      <c r="A31" s="9" t="inlineStr">
        <is>
          <t xml:space="preserve">　　L3 基地</t>
        </is>
      </c>
      <c r="B31" s="9" t="inlineStr">
        <is>
          <t>托克逊基地（托克逊能化）</t>
        </is>
      </c>
      <c r="C31" s="9" t="inlineStr">
        <is>
          <t>新疆维吾尔自治区托克逊县</t>
        </is>
      </c>
      <c r="D31" s="9" t="inlineStr"/>
      <c r="E31" s="9" t="inlineStr"/>
      <c r="F31" s="9" t="inlineStr"/>
      <c r="G31" s="11" t="n">
        <v>29</v>
      </c>
    </row>
    <row r="32">
      <c r="A32" s="12" t="inlineStr">
        <is>
          <t xml:space="preserve">　　　L4 装置</t>
        </is>
      </c>
      <c r="B32" s="12" t="inlineStr">
        <is>
          <t>U-P003-01</t>
        </is>
      </c>
      <c r="C32" s="12" t="inlineStr">
        <is>
          <t>电石法（乙炔法）</t>
        </is>
      </c>
      <c r="D32" s="12" t="inlineStr">
        <is>
          <t>设计产能</t>
        </is>
      </c>
      <c r="E32" s="12" t="inlineStr">
        <is>
          <t>聚氯乙烯（本体法树脂）</t>
        </is>
      </c>
      <c r="F32" s="12" t="inlineStr">
        <is>
          <t>在产</t>
        </is>
      </c>
      <c r="G32" s="14" t="n">
        <v>20</v>
      </c>
    </row>
    <row r="33">
      <c r="A33" s="9" t="inlineStr">
        <is>
          <t xml:space="preserve">　　　L4 装置</t>
        </is>
      </c>
      <c r="B33" s="9" t="inlineStr">
        <is>
          <t>U-P003-02</t>
        </is>
      </c>
      <c r="C33" s="9" t="inlineStr">
        <is>
          <t>电石法（乙炔法）</t>
        </is>
      </c>
      <c r="D33" s="9" t="inlineStr">
        <is>
          <t>设计产能</t>
        </is>
      </c>
      <c r="E33" s="9" t="inlineStr">
        <is>
          <t>聚氯乙烯糊树脂（EPVC）</t>
        </is>
      </c>
      <c r="F33" s="9" t="inlineStr">
        <is>
          <t>在产</t>
        </is>
      </c>
      <c r="G33" s="11" t="n">
        <v>6</v>
      </c>
    </row>
    <row r="34">
      <c r="A34" s="12" t="inlineStr">
        <is>
          <t xml:space="preserve">　　　L4 装置</t>
        </is>
      </c>
      <c r="B34" s="12" t="inlineStr">
        <is>
          <t>U-P003-03</t>
        </is>
      </c>
      <c r="C34" s="12" t="inlineStr">
        <is>
          <t>电石法（乙炔法）</t>
        </is>
      </c>
      <c r="D34" s="12" t="inlineStr">
        <is>
          <t>设计产能</t>
        </is>
      </c>
      <c r="E34" s="12" t="inlineStr">
        <is>
          <t>聚氯乙烯（降粘树脂）</t>
        </is>
      </c>
      <c r="F34" s="12" t="inlineStr">
        <is>
          <t>在产</t>
        </is>
      </c>
      <c r="G34" s="14" t="n">
        <v>3</v>
      </c>
    </row>
    <row r="35">
      <c r="A35" s="9" t="inlineStr">
        <is>
          <t xml:space="preserve">　L2 法人</t>
        </is>
      </c>
      <c r="B35" s="9" t="inlineStr">
        <is>
          <t>新疆圣雄能源股份有限公司</t>
        </is>
      </c>
      <c r="C35" s="9" t="inlineStr">
        <is>
          <t>—</t>
        </is>
      </c>
      <c r="D35" s="9" t="inlineStr"/>
      <c r="E35" s="9" t="inlineStr"/>
      <c r="F35" s="9" t="inlineStr"/>
      <c r="G35" s="11" t="n">
        <v>0</v>
      </c>
    </row>
    <row r="36">
      <c r="A36" s="12" t="inlineStr">
        <is>
          <t xml:space="preserve">　　L3 基地</t>
        </is>
      </c>
      <c r="B36" s="12" t="inlineStr">
        <is>
          <t>圣雄基地（圣雄能源）</t>
        </is>
      </c>
      <c r="C36" s="12" t="inlineStr">
        <is>
          <t>新疆维吾尔自治区吐鲁番市</t>
        </is>
      </c>
      <c r="D36" s="12" t="inlineStr"/>
      <c r="E36" s="12" t="inlineStr"/>
      <c r="F36" s="12" t="inlineStr"/>
      <c r="G36" s="14" t="n">
        <v>0</v>
      </c>
    </row>
    <row r="37">
      <c r="A37" s="9" t="inlineStr">
        <is>
          <t xml:space="preserve">　　　L4 装置</t>
        </is>
      </c>
      <c r="B37" s="9" t="inlineStr">
        <is>
          <t>U-P004-01</t>
        </is>
      </c>
      <c r="C37" s="9" t="inlineStr">
        <is>
          <t>电石法（乙炔法）</t>
        </is>
      </c>
      <c r="D37" s="9" t="inlineStr">
        <is>
          <t>设计产能</t>
        </is>
      </c>
      <c r="E37" s="9" t="inlineStr">
        <is>
          <t>聚氯乙烯树脂</t>
        </is>
      </c>
      <c r="F37" s="9" t="inlineStr">
        <is>
          <t>在产</t>
        </is>
      </c>
      <c r="G37" s="11" t="n"/>
    </row>
    <row r="38">
      <c r="A38" s="12" t="inlineStr">
        <is>
          <t xml:space="preserve">　L2 法人</t>
        </is>
      </c>
      <c r="B38" s="12" t="inlineStr">
        <is>
          <t>新疆中泰矿冶有限公司</t>
        </is>
      </c>
      <c r="C38" s="12" t="inlineStr">
        <is>
          <t>—</t>
        </is>
      </c>
      <c r="D38" s="12" t="inlineStr"/>
      <c r="E38" s="12" t="inlineStr"/>
      <c r="F38" s="12" t="inlineStr"/>
      <c r="G38" s="14" t="n">
        <v>0</v>
      </c>
    </row>
    <row r="39">
      <c r="A39" s="9" t="inlineStr">
        <is>
          <t>L1 集团</t>
        </is>
      </c>
      <c r="B39" s="9" t="inlineStr">
        <is>
          <t>青岛海湾集团有限公司</t>
        </is>
      </c>
      <c r="C39" s="9" t="inlineStr">
        <is>
          <t>青岛市国有资产监督管理委员会</t>
        </is>
      </c>
      <c r="D39" s="9" t="inlineStr"/>
      <c r="E39" s="9" t="inlineStr"/>
      <c r="F39" s="9" t="inlineStr"/>
      <c r="G39" s="11" t="n">
        <v>105</v>
      </c>
    </row>
    <row r="40">
      <c r="A40" s="12" t="inlineStr">
        <is>
          <t xml:space="preserve">　L2 法人</t>
        </is>
      </c>
      <c r="B40" s="12" t="inlineStr">
        <is>
          <t>青岛海湾化学股份有限公司</t>
        </is>
      </c>
      <c r="C40" s="12" t="inlineStr">
        <is>
          <t>—</t>
        </is>
      </c>
      <c r="D40" s="12" t="inlineStr"/>
      <c r="E40" s="12" t="inlineStr"/>
      <c r="F40" s="12" t="inlineStr"/>
      <c r="G40" s="14" t="n">
        <v>105</v>
      </c>
    </row>
    <row r="41">
      <c r="A41" s="9" t="inlineStr">
        <is>
          <t xml:space="preserve">　　L3 基地</t>
        </is>
      </c>
      <c r="B41" s="9" t="inlineStr">
        <is>
          <t>董家口基地（海湾化学）</t>
        </is>
      </c>
      <c r="C41" s="9" t="inlineStr">
        <is>
          <t>山东省青岛市</t>
        </is>
      </c>
      <c r="D41" s="9" t="inlineStr"/>
      <c r="E41" s="9" t="inlineStr"/>
      <c r="F41" s="9" t="inlineStr"/>
      <c r="G41" s="11" t="n">
        <v>105</v>
      </c>
    </row>
    <row r="42">
      <c r="A42" s="12" t="inlineStr">
        <is>
          <t xml:space="preserve">　　　L4 装置</t>
        </is>
      </c>
      <c r="B42" s="12" t="inlineStr">
        <is>
          <t>U-P110-01</t>
        </is>
      </c>
      <c r="C42" s="12" t="inlineStr">
        <is>
          <t>乙烯法</t>
        </is>
      </c>
      <c r="D42" s="12" t="inlineStr">
        <is>
          <t>设计产能</t>
        </is>
      </c>
      <c r="E42" s="12" t="inlineStr">
        <is>
          <t>聚氯乙烯树脂（乙烯法）</t>
        </is>
      </c>
      <c r="F42" s="12" t="inlineStr">
        <is>
          <t>在产</t>
        </is>
      </c>
      <c r="G42" s="14" t="n">
        <v>85</v>
      </c>
    </row>
    <row r="43">
      <c r="A43" s="9" t="inlineStr">
        <is>
          <t xml:space="preserve">　　　L4 装置</t>
        </is>
      </c>
      <c r="B43" s="9" t="inlineStr">
        <is>
          <t>U-P110-02</t>
        </is>
      </c>
      <c r="C43" s="9" t="inlineStr">
        <is>
          <t>乙烯法</t>
        </is>
      </c>
      <c r="D43" s="9" t="inlineStr">
        <is>
          <t>设计产能</t>
        </is>
      </c>
      <c r="E43" s="9" t="inlineStr">
        <is>
          <t>聚氯乙烯树脂（2025 年新增线）</t>
        </is>
      </c>
      <c r="F43" s="9" t="inlineStr">
        <is>
          <t>在产</t>
        </is>
      </c>
      <c r="G43" s="11" t="n">
        <v>20</v>
      </c>
    </row>
    <row r="44">
      <c r="A44" s="12" t="inlineStr">
        <is>
          <t>L1 集团</t>
        </is>
      </c>
      <c r="B44" s="12" t="inlineStr">
        <is>
          <t>上海华谊控股集团有限公司</t>
        </is>
      </c>
      <c r="C44" s="12" t="inlineStr">
        <is>
          <t>上海市国有资产监督管理委员会</t>
        </is>
      </c>
      <c r="D44" s="12" t="inlineStr"/>
      <c r="E44" s="12" t="inlineStr"/>
      <c r="F44" s="12" t="inlineStr"/>
      <c r="G44" s="14" t="n">
        <v>88</v>
      </c>
    </row>
    <row r="45">
      <c r="A45" s="9" t="inlineStr">
        <is>
          <t xml:space="preserve">　L2 法人</t>
        </is>
      </c>
      <c r="B45" s="9" t="inlineStr">
        <is>
          <t>上海氯碱化工股份有限公司</t>
        </is>
      </c>
      <c r="C45" s="9" t="inlineStr">
        <is>
          <t>600618.SH</t>
        </is>
      </c>
      <c r="D45" s="9" t="inlineStr"/>
      <c r="E45" s="9" t="inlineStr"/>
      <c r="F45" s="9" t="inlineStr"/>
      <c r="G45" s="11" t="n">
        <v>48</v>
      </c>
    </row>
    <row r="46">
      <c r="A46" s="12" t="inlineStr">
        <is>
          <t xml:space="preserve">　　L3 基地</t>
        </is>
      </c>
      <c r="B46" s="12" t="inlineStr">
        <is>
          <t>上海化工区基地（氯碱化工）</t>
        </is>
      </c>
      <c r="C46" s="12" t="inlineStr">
        <is>
          <t>上海市上海市</t>
        </is>
      </c>
      <c r="D46" s="12" t="inlineStr"/>
      <c r="E46" s="12" t="inlineStr"/>
      <c r="F46" s="12" t="inlineStr"/>
      <c r="G46" s="14" t="n">
        <v>48</v>
      </c>
    </row>
    <row r="47">
      <c r="A47" s="9" t="inlineStr">
        <is>
          <t xml:space="preserve">　　　L4 装置</t>
        </is>
      </c>
      <c r="B47" s="9" t="inlineStr">
        <is>
          <t>U-P050-01</t>
        </is>
      </c>
      <c r="C47" s="9" t="inlineStr">
        <is>
          <t>乙烯法</t>
        </is>
      </c>
      <c r="D47" s="9" t="inlineStr">
        <is>
          <t>设计产能</t>
        </is>
      </c>
      <c r="E47" s="9" t="inlineStr">
        <is>
          <t>聚氯乙烯树脂（悬浮法）</t>
        </is>
      </c>
      <c r="F47" s="9" t="inlineStr">
        <is>
          <t>在产</t>
        </is>
      </c>
      <c r="G47" s="11" t="n">
        <v>40</v>
      </c>
    </row>
    <row r="48">
      <c r="A48" s="12" t="inlineStr">
        <is>
          <t xml:space="preserve">　　　L4 装置</t>
        </is>
      </c>
      <c r="B48" s="12" t="inlineStr">
        <is>
          <t>U-P050-02</t>
        </is>
      </c>
      <c r="C48" s="12" t="inlineStr">
        <is>
          <t>乙烯法</t>
        </is>
      </c>
      <c r="D48" s="12" t="inlineStr">
        <is>
          <t>设计产能</t>
        </is>
      </c>
      <c r="E48" s="12" t="inlineStr">
        <is>
          <t>特种聚氯乙烯树脂</t>
        </is>
      </c>
      <c r="F48" s="12" t="inlineStr">
        <is>
          <t>在产</t>
        </is>
      </c>
      <c r="G48" s="14" t="n">
        <v>8</v>
      </c>
    </row>
    <row r="49">
      <c r="A49" s="9" t="inlineStr">
        <is>
          <t xml:space="preserve">　L2 法人</t>
        </is>
      </c>
      <c r="B49" s="9" t="inlineStr">
        <is>
          <t>广西华谊氯碱化工有限公司</t>
        </is>
      </c>
      <c r="C49" s="9" t="inlineStr">
        <is>
          <t>—</t>
        </is>
      </c>
      <c r="D49" s="9" t="inlineStr"/>
      <c r="E49" s="9" t="inlineStr"/>
      <c r="F49" s="9" t="inlineStr"/>
      <c r="G49" s="11" t="n">
        <v>40</v>
      </c>
    </row>
    <row r="50">
      <c r="A50" s="12" t="inlineStr">
        <is>
          <t xml:space="preserve">　　L3 基地</t>
        </is>
      </c>
      <c r="B50" s="12" t="inlineStr">
        <is>
          <t>钦州基地（广西氯碱）</t>
        </is>
      </c>
      <c r="C50" s="12" t="inlineStr">
        <is>
          <t>广西壮族自治区钦州市</t>
        </is>
      </c>
      <c r="D50" s="12" t="inlineStr"/>
      <c r="E50" s="12" t="inlineStr"/>
      <c r="F50" s="12" t="inlineStr"/>
      <c r="G50" s="14" t="n">
        <v>40</v>
      </c>
    </row>
    <row r="51">
      <c r="A51" s="9" t="inlineStr">
        <is>
          <t xml:space="preserve">　　　L4 装置</t>
        </is>
      </c>
      <c r="B51" s="9" t="inlineStr">
        <is>
          <t>U-P051-01</t>
        </is>
      </c>
      <c r="C51" s="9" t="inlineStr">
        <is>
          <t>乙烯法</t>
        </is>
      </c>
      <c r="D51" s="9" t="inlineStr">
        <is>
          <t>设计产能</t>
        </is>
      </c>
      <c r="E51" s="9" t="inlineStr">
        <is>
          <t>聚氯乙烯树脂</t>
        </is>
      </c>
      <c r="F51" s="9" t="inlineStr">
        <is>
          <t>在产</t>
        </is>
      </c>
      <c r="G51" s="11" t="n">
        <v>40</v>
      </c>
    </row>
    <row r="52">
      <c r="A52" s="12" t="inlineStr">
        <is>
          <t>L1 集团</t>
        </is>
      </c>
      <c r="B52" s="12" t="inlineStr">
        <is>
          <t>内蒙古君正能源化工集团股份有限公司（含乌海市君正科技产业集团）</t>
        </is>
      </c>
      <c r="C52" s="12" t="inlineStr">
        <is>
          <t>杜江涛（自然人，民营控股）</t>
        </is>
      </c>
      <c r="D52" s="12" t="inlineStr"/>
      <c r="E52" s="12" t="inlineStr"/>
      <c r="F52" s="12" t="inlineStr"/>
      <c r="G52" s="14" t="n">
        <v>80</v>
      </c>
    </row>
    <row r="53">
      <c r="A53" s="9" t="inlineStr">
        <is>
          <t xml:space="preserve">　L2 法人</t>
        </is>
      </c>
      <c r="B53" s="9" t="inlineStr">
        <is>
          <t>内蒙古君正化工有限责任公司</t>
        </is>
      </c>
      <c r="C53" s="9" t="inlineStr">
        <is>
          <t>—</t>
        </is>
      </c>
      <c r="D53" s="9" t="inlineStr"/>
      <c r="E53" s="9" t="inlineStr"/>
      <c r="F53" s="9" t="inlineStr"/>
      <c r="G53" s="11" t="n">
        <v>80</v>
      </c>
    </row>
    <row r="54">
      <c r="A54" s="12" t="inlineStr">
        <is>
          <t xml:space="preserve">　　L3 基地</t>
        </is>
      </c>
      <c r="B54" s="12" t="inlineStr">
        <is>
          <t>乌达工业园区基地（君正）</t>
        </is>
      </c>
      <c r="C54" s="12" t="inlineStr">
        <is>
          <t>内蒙古自治区乌海市</t>
        </is>
      </c>
      <c r="D54" s="12" t="inlineStr"/>
      <c r="E54" s="12" t="inlineStr"/>
      <c r="F54" s="12" t="inlineStr"/>
      <c r="G54" s="14" t="n">
        <v>80</v>
      </c>
    </row>
    <row r="55">
      <c r="A55" s="9" t="inlineStr">
        <is>
          <t xml:space="preserve">　　　L4 装置</t>
        </is>
      </c>
      <c r="B55" s="9" t="inlineStr">
        <is>
          <t>U-P030-01</t>
        </is>
      </c>
      <c r="C55" s="9" t="inlineStr">
        <is>
          <t>电石法（乙炔法）</t>
        </is>
      </c>
      <c r="D55" s="9" t="inlineStr">
        <is>
          <t>设计产能</t>
        </is>
      </c>
      <c r="E55" s="9" t="inlineStr">
        <is>
          <t>聚氯乙烯树脂</t>
        </is>
      </c>
      <c r="F55" s="9" t="inlineStr">
        <is>
          <t>在产</t>
        </is>
      </c>
      <c r="G55" s="11" t="n">
        <v>80</v>
      </c>
    </row>
    <row r="56">
      <c r="A56" s="12" t="inlineStr">
        <is>
          <t>L1 集团</t>
        </is>
      </c>
      <c r="B56" s="12" t="inlineStr">
        <is>
          <t>天津渤海化工集团有限责任公司</t>
        </is>
      </c>
      <c r="C56" s="12" t="inlineStr">
        <is>
          <t>天津市国有资产监督管理委员会</t>
        </is>
      </c>
      <c r="D56" s="12" t="inlineStr"/>
      <c r="E56" s="12" t="inlineStr"/>
      <c r="F56" s="12" t="inlineStr"/>
      <c r="G56" s="14" t="n">
        <v>80</v>
      </c>
    </row>
    <row r="57">
      <c r="A57" s="9" t="inlineStr">
        <is>
          <t xml:space="preserve">　L2 法人</t>
        </is>
      </c>
      <c r="B57" s="9" t="inlineStr">
        <is>
          <t>天津大沽化工股份有限公司</t>
        </is>
      </c>
      <c r="C57" s="9" t="inlineStr">
        <is>
          <t>—</t>
        </is>
      </c>
      <c r="D57" s="9" t="inlineStr"/>
      <c r="E57" s="9" t="inlineStr"/>
      <c r="F57" s="9" t="inlineStr"/>
      <c r="G57" s="11" t="n">
        <v>80</v>
      </c>
    </row>
    <row r="58">
      <c r="A58" s="12" t="inlineStr">
        <is>
          <t xml:space="preserve">　　L3 基地</t>
        </is>
      </c>
      <c r="B58" s="12" t="inlineStr">
        <is>
          <t>临港基地（大沽化工）</t>
        </is>
      </c>
      <c r="C58" s="12" t="inlineStr">
        <is>
          <t>天津市天津市</t>
        </is>
      </c>
      <c r="D58" s="12" t="inlineStr"/>
      <c r="E58" s="12" t="inlineStr"/>
      <c r="F58" s="12" t="inlineStr"/>
      <c r="G58" s="14" t="n">
        <v>80</v>
      </c>
    </row>
    <row r="59">
      <c r="A59" s="9" t="inlineStr">
        <is>
          <t xml:space="preserve">　　　L4 装置</t>
        </is>
      </c>
      <c r="B59" s="9" t="inlineStr">
        <is>
          <t>U-P100-01</t>
        </is>
      </c>
      <c r="C59" s="9" t="inlineStr">
        <is>
          <t>乙烯法</t>
        </is>
      </c>
      <c r="D59" s="9" t="inlineStr">
        <is>
          <t>设计产能</t>
        </is>
      </c>
      <c r="E59" s="9" t="inlineStr">
        <is>
          <t>聚氯乙烯树脂（悬浮法，一期）</t>
        </is>
      </c>
      <c r="F59" s="9" t="inlineStr">
        <is>
          <t>在产</t>
        </is>
      </c>
      <c r="G59" s="11" t="n">
        <v>40</v>
      </c>
    </row>
    <row r="60">
      <c r="A60" s="12" t="inlineStr">
        <is>
          <t xml:space="preserve">　　　L4 装置</t>
        </is>
      </c>
      <c r="B60" s="12" t="inlineStr">
        <is>
          <t>U-P100-02</t>
        </is>
      </c>
      <c r="C60" s="12" t="inlineStr">
        <is>
          <t>乙烯法</t>
        </is>
      </c>
      <c r="D60" s="12" t="inlineStr">
        <is>
          <t>设计产能</t>
        </is>
      </c>
      <c r="E60" s="12" t="inlineStr">
        <is>
          <t>聚氯乙烯树脂（悬浮法，二期）</t>
        </is>
      </c>
      <c r="F60" s="12" t="inlineStr">
        <is>
          <t>在产</t>
        </is>
      </c>
      <c r="G60" s="14" t="n">
        <v>40</v>
      </c>
    </row>
    <row r="61">
      <c r="A61" s="9" t="inlineStr">
        <is>
          <t>L1 集团</t>
        </is>
      </c>
      <c r="B61" s="9" t="inlineStr">
        <is>
          <t>万华化学集团股份有限公司（独立上市）</t>
        </is>
      </c>
      <c r="C61" s="9" t="inlineStr">
        <is>
          <t>烟台市国资委（国有控股混合所有制）</t>
        </is>
      </c>
      <c r="D61" s="9" t="inlineStr"/>
      <c r="E61" s="9" t="inlineStr"/>
      <c r="F61" s="9" t="inlineStr"/>
      <c r="G61" s="11" t="n">
        <v>80</v>
      </c>
    </row>
    <row r="62">
      <c r="A62" s="12" t="inlineStr">
        <is>
          <t xml:space="preserve">　L2 法人</t>
        </is>
      </c>
      <c r="B62" s="12" t="inlineStr">
        <is>
          <t>万华化学集团股份有限公司</t>
        </is>
      </c>
      <c r="C62" s="12" t="inlineStr">
        <is>
          <t>600309.SH</t>
        </is>
      </c>
      <c r="D62" s="12" t="inlineStr"/>
      <c r="E62" s="12" t="inlineStr"/>
      <c r="F62" s="12" t="inlineStr"/>
      <c r="G62" s="14" t="n">
        <v>40</v>
      </c>
    </row>
    <row r="63">
      <c r="A63" s="9" t="inlineStr">
        <is>
          <t xml:space="preserve">　　L3 基地</t>
        </is>
      </c>
      <c r="B63" s="9" t="inlineStr">
        <is>
          <t>烟台工业园基地（万华）</t>
        </is>
      </c>
      <c r="C63" s="9" t="inlineStr">
        <is>
          <t>山东省烟台市</t>
        </is>
      </c>
      <c r="D63" s="9" t="inlineStr"/>
      <c r="E63" s="9" t="inlineStr"/>
      <c r="F63" s="9" t="inlineStr"/>
      <c r="G63" s="11" t="n">
        <v>40</v>
      </c>
    </row>
    <row r="64">
      <c r="A64" s="12" t="inlineStr">
        <is>
          <t xml:space="preserve">　　　L4 装置</t>
        </is>
      </c>
      <c r="B64" s="12" t="inlineStr">
        <is>
          <t>U-P120-01</t>
        </is>
      </c>
      <c r="C64" s="12" t="inlineStr">
        <is>
          <t>乙烯法</t>
        </is>
      </c>
      <c r="D64" s="12" t="inlineStr">
        <is>
          <t>设计产能</t>
        </is>
      </c>
      <c r="E64" s="12" t="inlineStr">
        <is>
          <t>聚氯乙烯树脂（高品质）</t>
        </is>
      </c>
      <c r="F64" s="12" t="inlineStr">
        <is>
          <t>在产</t>
        </is>
      </c>
      <c r="G64" s="14" t="n">
        <v>40</v>
      </c>
    </row>
    <row r="65">
      <c r="A65" s="9" t="inlineStr">
        <is>
          <t xml:space="preserve">　L2 法人</t>
        </is>
      </c>
      <c r="B65" s="9" t="inlineStr">
        <is>
          <t>万融新材料（福建）有限公司</t>
        </is>
      </c>
      <c r="C65" s="9" t="inlineStr">
        <is>
          <t>—</t>
        </is>
      </c>
      <c r="D65" s="9" t="inlineStr"/>
      <c r="E65" s="9" t="inlineStr"/>
      <c r="F65" s="9" t="inlineStr"/>
      <c r="G65" s="11" t="n">
        <v>0</v>
      </c>
    </row>
    <row r="66">
      <c r="A66" s="12" t="inlineStr">
        <is>
          <t xml:space="preserve">　　L3 基地</t>
        </is>
      </c>
      <c r="B66" s="12" t="inlineStr">
        <is>
          <t>江阴港城东部片区（万融）</t>
        </is>
      </c>
      <c r="C66" s="12" t="inlineStr">
        <is>
          <t>福建省福清市</t>
        </is>
      </c>
      <c r="D66" s="12" t="inlineStr"/>
      <c r="E66" s="12" t="inlineStr"/>
      <c r="F66" s="12" t="inlineStr"/>
      <c r="G66" s="14" t="n">
        <v>0</v>
      </c>
    </row>
    <row r="67">
      <c r="A67" s="9" t="inlineStr">
        <is>
          <t xml:space="preserve">　L2 法人</t>
        </is>
      </c>
      <c r="B67" s="9" t="inlineStr">
        <is>
          <t>万华化学（福建）有限公司</t>
        </is>
      </c>
      <c r="C67" s="9" t="inlineStr">
        <is>
          <t>—</t>
        </is>
      </c>
      <c r="D67" s="9" t="inlineStr"/>
      <c r="E67" s="9" t="inlineStr"/>
      <c r="F67" s="9" t="inlineStr"/>
      <c r="G67" s="11" t="n">
        <v>40</v>
      </c>
    </row>
    <row r="68">
      <c r="A68" s="12" t="inlineStr">
        <is>
          <t xml:space="preserve">　　L3 基地</t>
        </is>
      </c>
      <c r="B68" s="12" t="inlineStr">
        <is>
          <t>江阴港城基地（万华福建）</t>
        </is>
      </c>
      <c r="C68" s="12" t="inlineStr">
        <is>
          <t>福建省福清市</t>
        </is>
      </c>
      <c r="D68" s="12" t="inlineStr"/>
      <c r="E68" s="12" t="inlineStr"/>
      <c r="F68" s="12" t="inlineStr"/>
      <c r="G68" s="14" t="n">
        <v>40</v>
      </c>
    </row>
    <row r="69">
      <c r="A69" s="9" t="inlineStr">
        <is>
          <t xml:space="preserve">　　　L4 装置</t>
        </is>
      </c>
      <c r="B69" s="9" t="inlineStr">
        <is>
          <t>U-P304-01</t>
        </is>
      </c>
      <c r="C69" s="9" t="inlineStr">
        <is>
          <t>乙烯法</t>
        </is>
      </c>
      <c r="D69" s="9" t="inlineStr">
        <is>
          <t>设计产能</t>
        </is>
      </c>
      <c r="E69" s="9" t="inlineStr">
        <is>
          <t>聚氯乙烯树脂（一期）</t>
        </is>
      </c>
      <c r="F69" s="9" t="inlineStr">
        <is>
          <t>在产</t>
        </is>
      </c>
      <c r="G69" s="11" t="n">
        <v>40</v>
      </c>
    </row>
    <row r="70">
      <c r="A70" s="12" t="inlineStr">
        <is>
          <t>L1 集团</t>
        </is>
      </c>
      <c r="B70" s="12" t="inlineStr">
        <is>
          <t>中盐内蒙古化工股份有限公司（独立上市）</t>
        </is>
      </c>
      <c r="C70" s="12" t="inlineStr">
        <is>
          <t>中国盐业集团有限公司（国务院国资委）</t>
        </is>
      </c>
      <c r="D70" s="12" t="inlineStr"/>
      <c r="E70" s="12" t="inlineStr"/>
      <c r="F70" s="12" t="inlineStr"/>
      <c r="G70" s="14" t="n">
        <v>64</v>
      </c>
    </row>
    <row r="71">
      <c r="A71" s="9" t="inlineStr">
        <is>
          <t xml:space="preserve">　L2 法人</t>
        </is>
      </c>
      <c r="B71" s="9" t="inlineStr">
        <is>
          <t>中盐吉兰泰氯碱化工有限公司</t>
        </is>
      </c>
      <c r="C71" s="9" t="inlineStr">
        <is>
          <t>—</t>
        </is>
      </c>
      <c r="D71" s="9" t="inlineStr"/>
      <c r="E71" s="9" t="inlineStr"/>
      <c r="F71" s="9" t="inlineStr"/>
      <c r="G71" s="11" t="n">
        <v>64</v>
      </c>
    </row>
    <row r="72">
      <c r="A72" s="12" t="inlineStr">
        <is>
          <t xml:space="preserve">　　L3 基地</t>
        </is>
      </c>
      <c r="B72" s="12" t="inlineStr">
        <is>
          <t>吉兰泰基地（中盐吉兰泰）</t>
        </is>
      </c>
      <c r="C72" s="12" t="inlineStr">
        <is>
          <t>内蒙古自治区阿拉善盟</t>
        </is>
      </c>
      <c r="D72" s="12" t="inlineStr"/>
      <c r="E72" s="12" t="inlineStr"/>
      <c r="F72" s="12" t="inlineStr"/>
      <c r="G72" s="14" t="n">
        <v>64</v>
      </c>
    </row>
    <row r="73">
      <c r="A73" s="9" t="inlineStr">
        <is>
          <t xml:space="preserve">　　　L4 装置</t>
        </is>
      </c>
      <c r="B73" s="9" t="inlineStr">
        <is>
          <t>U-P060-01</t>
        </is>
      </c>
      <c r="C73" s="9" t="inlineStr">
        <is>
          <t>电石法（乙炔法）</t>
        </is>
      </c>
      <c r="D73" s="9" t="inlineStr">
        <is>
          <t>设计产能</t>
        </is>
      </c>
      <c r="E73" s="9" t="inlineStr">
        <is>
          <t>聚氯乙烯树脂</t>
        </is>
      </c>
      <c r="F73" s="9" t="inlineStr">
        <is>
          <t>在产</t>
        </is>
      </c>
      <c r="G73" s="11" t="n">
        <v>40</v>
      </c>
    </row>
    <row r="74">
      <c r="A74" s="12" t="inlineStr">
        <is>
          <t xml:space="preserve">　　　L4 装置</t>
        </is>
      </c>
      <c r="B74" s="12" t="inlineStr">
        <is>
          <t>U-P060-02</t>
        </is>
      </c>
      <c r="C74" s="12" t="inlineStr">
        <is>
          <t>电石法（乙炔法）</t>
        </is>
      </c>
      <c r="D74" s="12" t="inlineStr">
        <is>
          <t>设计产能</t>
        </is>
      </c>
      <c r="E74" s="12" t="inlineStr">
        <is>
          <t>聚氯乙烯糊树脂（EPVC）</t>
        </is>
      </c>
      <c r="F74" s="12" t="inlineStr">
        <is>
          <t>在产</t>
        </is>
      </c>
      <c r="G74" s="14" t="n">
        <v>24</v>
      </c>
    </row>
    <row r="75">
      <c r="A75" s="9" t="inlineStr">
        <is>
          <t>L1 集团</t>
        </is>
      </c>
      <c r="B75" s="9" t="inlineStr">
        <is>
          <t>安徽华塑股份有限公司（独立上市）</t>
        </is>
      </c>
      <c r="C75" s="9" t="inlineStr">
        <is>
          <t>安徽省国资委（淮北矿业集团方向，具体持股以年报为准）</t>
        </is>
      </c>
      <c r="D75" s="9" t="inlineStr"/>
      <c r="E75" s="9" t="inlineStr"/>
      <c r="F75" s="9" t="inlineStr"/>
      <c r="G75" s="11" t="n">
        <v>64</v>
      </c>
    </row>
    <row r="76">
      <c r="A76" s="12" t="inlineStr">
        <is>
          <t xml:space="preserve">　L2 法人</t>
        </is>
      </c>
      <c r="B76" s="12" t="inlineStr">
        <is>
          <t>安徽华塑股份有限公司</t>
        </is>
      </c>
      <c r="C76" s="12" t="inlineStr">
        <is>
          <t>600935.SH</t>
        </is>
      </c>
      <c r="D76" s="12" t="inlineStr"/>
      <c r="E76" s="12" t="inlineStr"/>
      <c r="F76" s="12" t="inlineStr"/>
      <c r="G76" s="14" t="n">
        <v>64</v>
      </c>
    </row>
    <row r="77">
      <c r="A77" s="9" t="inlineStr">
        <is>
          <t xml:space="preserve">　　L3 基地</t>
        </is>
      </c>
      <c r="B77" s="9" t="inlineStr">
        <is>
          <t>定远基地（华塑）</t>
        </is>
      </c>
      <c r="C77" s="9" t="inlineStr">
        <is>
          <t>安徽省滁州市</t>
        </is>
      </c>
      <c r="D77" s="9" t="inlineStr"/>
      <c r="E77" s="9" t="inlineStr"/>
      <c r="F77" s="9" t="inlineStr"/>
      <c r="G77" s="11" t="n">
        <v>64</v>
      </c>
    </row>
    <row r="78">
      <c r="A78" s="12" t="inlineStr">
        <is>
          <t xml:space="preserve">　　　L4 装置</t>
        </is>
      </c>
      <c r="B78" s="12" t="inlineStr">
        <is>
          <t>U-P090-01</t>
        </is>
      </c>
      <c r="C78" s="12" t="inlineStr">
        <is>
          <t>电石法（乙炔法）</t>
        </is>
      </c>
      <c r="D78" s="12" t="inlineStr">
        <is>
          <t>设计产能</t>
        </is>
      </c>
      <c r="E78" s="12" t="inlineStr">
        <is>
          <t>聚氯乙烯树脂</t>
        </is>
      </c>
      <c r="F78" s="12" t="inlineStr">
        <is>
          <t>在产</t>
        </is>
      </c>
      <c r="G78" s="14" t="n">
        <v>64</v>
      </c>
    </row>
    <row r="79">
      <c r="A79" s="9" t="inlineStr">
        <is>
          <t>L1 集团</t>
        </is>
      </c>
      <c r="B79" s="9" t="inlineStr">
        <is>
          <t>陕西投资集团有限公司</t>
        </is>
      </c>
      <c r="C79" s="9" t="inlineStr">
        <is>
          <t>陕西省人民政府国有资产监督管理委员会</t>
        </is>
      </c>
      <c r="D79" s="9" t="inlineStr"/>
      <c r="E79" s="9" t="inlineStr"/>
      <c r="F79" s="9" t="inlineStr"/>
      <c r="G79" s="11" t="n">
        <v>60</v>
      </c>
    </row>
    <row r="80">
      <c r="A80" s="12" t="inlineStr">
        <is>
          <t xml:space="preserve">　L2 法人</t>
        </is>
      </c>
      <c r="B80" s="12" t="inlineStr">
        <is>
          <t>陕西金泰氯碱神木化工有限公司</t>
        </is>
      </c>
      <c r="C80" s="12" t="inlineStr">
        <is>
          <t>—</t>
        </is>
      </c>
      <c r="D80" s="12" t="inlineStr"/>
      <c r="E80" s="12" t="inlineStr"/>
      <c r="F80" s="12" t="inlineStr"/>
      <c r="G80" s="14" t="n">
        <v>60</v>
      </c>
    </row>
    <row r="81">
      <c r="A81" s="9" t="inlineStr">
        <is>
          <t xml:space="preserve">　　L3 基地</t>
        </is>
      </c>
      <c r="B81" s="9" t="inlineStr">
        <is>
          <t>神木基地（金泰氯碱）</t>
        </is>
      </c>
      <c r="C81" s="9" t="inlineStr">
        <is>
          <t>陕西省神木市</t>
        </is>
      </c>
      <c r="D81" s="9" t="inlineStr"/>
      <c r="E81" s="9" t="inlineStr"/>
      <c r="F81" s="9" t="inlineStr"/>
      <c r="G81" s="11" t="n">
        <v>60</v>
      </c>
    </row>
    <row r="82">
      <c r="A82" s="12" t="inlineStr">
        <is>
          <t xml:space="preserve">　　　L4 装置</t>
        </is>
      </c>
      <c r="B82" s="12" t="inlineStr">
        <is>
          <t>U-P305-01</t>
        </is>
      </c>
      <c r="C82" s="12" t="inlineStr">
        <is>
          <t>电石法（乙炔法）</t>
        </is>
      </c>
      <c r="D82" s="12" t="inlineStr">
        <is>
          <t>设计产能</t>
        </is>
      </c>
      <c r="E82" s="12" t="inlineStr">
        <is>
          <t>聚氯乙烯树脂（电石法无汞）</t>
        </is>
      </c>
      <c r="F82" s="12" t="inlineStr">
        <is>
          <t>在产</t>
        </is>
      </c>
      <c r="G82" s="14" t="n">
        <v>60</v>
      </c>
    </row>
    <row r="83">
      <c r="A83" s="9" t="inlineStr">
        <is>
          <t>L1 集团</t>
        </is>
      </c>
      <c r="B83" s="9" t="inlineStr">
        <is>
          <t>亿利资源集团有限公司</t>
        </is>
      </c>
      <c r="C83" s="9" t="inlineStr">
        <is>
          <t>王文彪（自然人）/亿利资源集团</t>
        </is>
      </c>
      <c r="D83" s="9" t="inlineStr"/>
      <c r="E83" s="9" t="inlineStr"/>
      <c r="F83" s="9" t="inlineStr"/>
      <c r="G83" s="11" t="n">
        <v>50</v>
      </c>
    </row>
    <row r="84">
      <c r="A84" s="12" t="inlineStr">
        <is>
          <t xml:space="preserve">　L2 法人</t>
        </is>
      </c>
      <c r="B84" s="12" t="inlineStr">
        <is>
          <t>内蒙古亿利化学工业有限公司</t>
        </is>
      </c>
      <c r="C84" s="12" t="inlineStr">
        <is>
          <t>—</t>
        </is>
      </c>
      <c r="D84" s="12" t="inlineStr"/>
      <c r="E84" s="12" t="inlineStr"/>
      <c r="F84" s="12" t="inlineStr"/>
      <c r="G84" s="14" t="n">
        <v>50</v>
      </c>
    </row>
    <row r="85">
      <c r="A85" s="9" t="inlineStr">
        <is>
          <t xml:space="preserve">　　L3 基地</t>
        </is>
      </c>
      <c r="B85" s="9" t="inlineStr">
        <is>
          <t>达拉特基地（亿利化学）</t>
        </is>
      </c>
      <c r="C85" s="9" t="inlineStr">
        <is>
          <t>内蒙古自治区鄂尔多斯市</t>
        </is>
      </c>
      <c r="D85" s="9" t="inlineStr"/>
      <c r="E85" s="9" t="inlineStr"/>
      <c r="F85" s="9" t="inlineStr"/>
      <c r="G85" s="11" t="n">
        <v>50</v>
      </c>
    </row>
    <row r="86">
      <c r="A86" s="12" t="inlineStr">
        <is>
          <t xml:space="preserve">　　　L4 装置</t>
        </is>
      </c>
      <c r="B86" s="12" t="inlineStr">
        <is>
          <t>U-P140-01</t>
        </is>
      </c>
      <c r="C86" s="12" t="inlineStr">
        <is>
          <t>电石法（乙炔法）</t>
        </is>
      </c>
      <c r="D86" s="12" t="inlineStr">
        <is>
          <t>设计产能</t>
        </is>
      </c>
      <c r="E86" s="12" t="inlineStr">
        <is>
          <t>聚氯乙烯树脂</t>
        </is>
      </c>
      <c r="F86" s="12" t="inlineStr">
        <is>
          <t>状态未核实</t>
        </is>
      </c>
      <c r="G86" s="14" t="n">
        <v>50</v>
      </c>
    </row>
    <row r="87">
      <c r="A87" s="9" t="inlineStr">
        <is>
          <t>L1 集团</t>
        </is>
      </c>
      <c r="B87" s="9" t="inlineStr">
        <is>
          <t>宜宾天原集团股份有限公司（独立上市）</t>
        </is>
      </c>
      <c r="C87" s="9" t="inlineStr">
        <is>
          <t>宜宾市国有资产监督管理委员会</t>
        </is>
      </c>
      <c r="D87" s="9" t="inlineStr"/>
      <c r="E87" s="9" t="inlineStr"/>
      <c r="F87" s="9" t="inlineStr"/>
      <c r="G87" s="11" t="n">
        <v>50</v>
      </c>
    </row>
    <row r="88">
      <c r="A88" s="12" t="inlineStr">
        <is>
          <t xml:space="preserve">　L2 法人</t>
        </is>
      </c>
      <c r="B88" s="12" t="inlineStr">
        <is>
          <t>宜宾天原集团股份有限公司</t>
        </is>
      </c>
      <c r="C88" s="12" t="inlineStr">
        <is>
          <t>002386.SZ</t>
        </is>
      </c>
      <c r="D88" s="12" t="inlineStr"/>
      <c r="E88" s="12" t="inlineStr"/>
      <c r="F88" s="12" t="inlineStr"/>
      <c r="G88" s="14" t="n">
        <v>50</v>
      </c>
    </row>
    <row r="89">
      <c r="A89" s="9" t="inlineStr">
        <is>
          <t xml:space="preserve">　　L3 基地</t>
        </is>
      </c>
      <c r="B89" s="9" t="inlineStr">
        <is>
          <t>宜宾基地（天原集团）</t>
        </is>
      </c>
      <c r="C89" s="9" t="inlineStr">
        <is>
          <t>四川省宜宾市</t>
        </is>
      </c>
      <c r="D89" s="9" t="inlineStr"/>
      <c r="E89" s="9" t="inlineStr"/>
      <c r="F89" s="9" t="inlineStr"/>
      <c r="G89" s="11" t="n">
        <v>50</v>
      </c>
    </row>
    <row r="90">
      <c r="A90" s="12" t="inlineStr">
        <is>
          <t xml:space="preserve">　　　L4 装置</t>
        </is>
      </c>
      <c r="B90" s="12" t="inlineStr">
        <is>
          <t>U-P400-01</t>
        </is>
      </c>
      <c r="C90" s="12" t="inlineStr">
        <is>
          <t>电石法（乙炔法）</t>
        </is>
      </c>
      <c r="D90" s="12" t="inlineStr">
        <is>
          <t>设计产能</t>
        </is>
      </c>
      <c r="E90" s="12" t="inlineStr">
        <is>
          <t>聚氯乙烯树脂</t>
        </is>
      </c>
      <c r="F90" s="12" t="inlineStr">
        <is>
          <t>在产</t>
        </is>
      </c>
      <c r="G90" s="14" t="n">
        <v>50</v>
      </c>
    </row>
    <row r="91">
      <c r="A91" s="9" t="inlineStr">
        <is>
          <t>L1 集团</t>
        </is>
      </c>
      <c r="B91" s="9" t="inlineStr">
        <is>
          <t>新浦化学（SP Chemicals）</t>
        </is>
      </c>
      <c r="C91" s="9" t="inlineStr">
        <is>
          <t>新加坡新浦化学（外资）</t>
        </is>
      </c>
      <c r="D91" s="9" t="inlineStr"/>
      <c r="E91" s="9" t="inlineStr"/>
      <c r="F91" s="9" t="inlineStr"/>
      <c r="G91" s="11" t="n">
        <v>50</v>
      </c>
    </row>
    <row r="92">
      <c r="A92" s="12" t="inlineStr">
        <is>
          <t xml:space="preserve">　L2 法人</t>
        </is>
      </c>
      <c r="B92" s="12" t="inlineStr">
        <is>
          <t>新浦化学（泰兴）有限公司</t>
        </is>
      </c>
      <c r="C92" s="12" t="inlineStr">
        <is>
          <t>—</t>
        </is>
      </c>
      <c r="D92" s="12" t="inlineStr"/>
      <c r="E92" s="12" t="inlineStr"/>
      <c r="F92" s="12" t="inlineStr"/>
      <c r="G92" s="14" t="n">
        <v>50</v>
      </c>
    </row>
    <row r="93">
      <c r="A93" s="9" t="inlineStr">
        <is>
          <t xml:space="preserve">　　L3 基地</t>
        </is>
      </c>
      <c r="B93" s="9" t="inlineStr">
        <is>
          <t>泰兴基地（新浦化学）</t>
        </is>
      </c>
      <c r="C93" s="9" t="inlineStr">
        <is>
          <t>江苏省泰兴市</t>
        </is>
      </c>
      <c r="D93" s="9" t="inlineStr"/>
      <c r="E93" s="9" t="inlineStr"/>
      <c r="F93" s="9" t="inlineStr"/>
      <c r="G93" s="11" t="n">
        <v>50</v>
      </c>
    </row>
    <row r="94">
      <c r="A94" s="12" t="inlineStr">
        <is>
          <t xml:space="preserve">　　　L4 装置</t>
        </is>
      </c>
      <c r="B94" s="12" t="inlineStr">
        <is>
          <t>U-P307-01</t>
        </is>
      </c>
      <c r="C94" s="12" t="inlineStr">
        <is>
          <t>乙烯法</t>
        </is>
      </c>
      <c r="D94" s="12" t="inlineStr">
        <is>
          <t>设计产能</t>
        </is>
      </c>
      <c r="E94" s="12" t="inlineStr">
        <is>
          <t>聚氯乙烯树脂</t>
        </is>
      </c>
      <c r="F94" s="12" t="inlineStr">
        <is>
          <t>在产</t>
        </is>
      </c>
      <c r="G94" s="14" t="n">
        <v>50</v>
      </c>
    </row>
    <row r="95">
      <c r="A95" s="9" t="inlineStr">
        <is>
          <t>L1 集团</t>
        </is>
      </c>
      <c r="B95" s="9" t="inlineStr">
        <is>
          <t>唐山三友集团有限公司</t>
        </is>
      </c>
      <c r="C95" s="9" t="inlineStr">
        <is>
          <t>河北省唐山市国资委</t>
        </is>
      </c>
      <c r="D95" s="9" t="inlineStr"/>
      <c r="E95" s="9" t="inlineStr"/>
      <c r="F95" s="9" t="inlineStr"/>
      <c r="G95" s="11" t="n">
        <v>47</v>
      </c>
    </row>
    <row r="96">
      <c r="A96" s="12" t="inlineStr">
        <is>
          <t xml:space="preserve">　L2 法人</t>
        </is>
      </c>
      <c r="B96" s="12" t="inlineStr">
        <is>
          <t>唐山三友氯碱有限责任公司</t>
        </is>
      </c>
      <c r="C96" s="12" t="inlineStr">
        <is>
          <t>—</t>
        </is>
      </c>
      <c r="D96" s="12" t="inlineStr"/>
      <c r="E96" s="12" t="inlineStr"/>
      <c r="F96" s="12" t="inlineStr"/>
      <c r="G96" s="14" t="n">
        <v>47</v>
      </c>
    </row>
    <row r="97">
      <c r="A97" s="9" t="inlineStr">
        <is>
          <t xml:space="preserve">　　L3 基地</t>
        </is>
      </c>
      <c r="B97" s="9" t="inlineStr">
        <is>
          <t>南堡基地（三友氯碱）</t>
        </is>
      </c>
      <c r="C97" s="9" t="inlineStr">
        <is>
          <t>河北省唐山市</t>
        </is>
      </c>
      <c r="D97" s="9" t="inlineStr"/>
      <c r="E97" s="9" t="inlineStr"/>
      <c r="F97" s="9" t="inlineStr"/>
      <c r="G97" s="11" t="n">
        <v>47</v>
      </c>
    </row>
    <row r="98">
      <c r="A98" s="12" t="inlineStr">
        <is>
          <t xml:space="preserve">　　　L4 装置</t>
        </is>
      </c>
      <c r="B98" s="12" t="inlineStr">
        <is>
          <t>U-P080-01</t>
        </is>
      </c>
      <c r="C98" s="12" t="inlineStr">
        <is>
          <t>电石法（乙炔法）</t>
        </is>
      </c>
      <c r="D98" s="12" t="inlineStr">
        <is>
          <t>设计产能</t>
        </is>
      </c>
      <c r="E98" s="12" t="inlineStr">
        <is>
          <t>聚氯乙烯树脂</t>
        </is>
      </c>
      <c r="F98" s="12" t="inlineStr">
        <is>
          <t>在产</t>
        </is>
      </c>
      <c r="G98" s="14" t="n">
        <v>40</v>
      </c>
    </row>
    <row r="99">
      <c r="A99" s="9" t="inlineStr">
        <is>
          <t xml:space="preserve">　　　L4 装置</t>
        </is>
      </c>
      <c r="B99" s="9" t="inlineStr">
        <is>
          <t>U-P080-02</t>
        </is>
      </c>
      <c r="C99" s="9" t="inlineStr">
        <is>
          <t>电石法（乙炔法）</t>
        </is>
      </c>
      <c r="D99" s="9" t="inlineStr">
        <is>
          <t>设计产能</t>
        </is>
      </c>
      <c r="E99" s="9" t="inlineStr">
        <is>
          <t>聚氯乙烯专用树脂</t>
        </is>
      </c>
      <c r="F99" s="9" t="inlineStr">
        <is>
          <t>在产</t>
        </is>
      </c>
      <c r="G99" s="11" t="n">
        <v>7</v>
      </c>
    </row>
    <row r="100">
      <c r="A100" s="12" t="inlineStr">
        <is>
          <t>L1 集团</t>
        </is>
      </c>
      <c r="B100" s="12" t="inlineStr">
        <is>
          <t>内蒙古鄂尔多斯电力冶金集团股份有限公司</t>
        </is>
      </c>
      <c r="C100" s="12" t="inlineStr">
        <is>
          <t>内蒙古鄂尔多斯投资控股集团（民营）</t>
        </is>
      </c>
      <c r="D100" s="12" t="inlineStr"/>
      <c r="E100" s="12" t="inlineStr"/>
      <c r="F100" s="12" t="inlineStr"/>
      <c r="G100" s="14" t="n">
        <v>40</v>
      </c>
    </row>
    <row r="101">
      <c r="A101" s="9" t="inlineStr">
        <is>
          <t xml:space="preserve">　L2 法人</t>
        </is>
      </c>
      <c r="B101" s="9" t="inlineStr">
        <is>
          <t>内蒙古鄂尔多斯电力冶金集团股份有限公司氯碱化工分公司</t>
        </is>
      </c>
      <c r="C101" s="9" t="inlineStr">
        <is>
          <t>—</t>
        </is>
      </c>
      <c r="D101" s="9" t="inlineStr"/>
      <c r="E101" s="9" t="inlineStr"/>
      <c r="F101" s="9" t="inlineStr"/>
      <c r="G101" s="11" t="n">
        <v>40</v>
      </c>
    </row>
    <row r="102">
      <c r="A102" s="12" t="inlineStr">
        <is>
          <t xml:space="preserve">　　L3 基地</t>
        </is>
      </c>
      <c r="B102" s="12" t="inlineStr">
        <is>
          <t>棋盘井基地（鄂尔多斯电冶）</t>
        </is>
      </c>
      <c r="C102" s="12" t="inlineStr">
        <is>
          <t>内蒙古自治区鄂尔多斯市</t>
        </is>
      </c>
      <c r="D102" s="12" t="inlineStr"/>
      <c r="E102" s="12" t="inlineStr"/>
      <c r="F102" s="12" t="inlineStr"/>
      <c r="G102" s="14" t="n">
        <v>40</v>
      </c>
    </row>
    <row r="103">
      <c r="A103" s="9" t="inlineStr">
        <is>
          <t xml:space="preserve">　　　L4 装置</t>
        </is>
      </c>
      <c r="B103" s="9" t="inlineStr">
        <is>
          <t>U-P150-01</t>
        </is>
      </c>
      <c r="C103" s="9" t="inlineStr">
        <is>
          <t>电石法（乙炔法）</t>
        </is>
      </c>
      <c r="D103" s="9" t="inlineStr">
        <is>
          <t>设计产能</t>
        </is>
      </c>
      <c r="E103" s="9" t="inlineStr">
        <is>
          <t>聚氯乙烯树脂</t>
        </is>
      </c>
      <c r="F103" s="9" t="inlineStr">
        <is>
          <t>在产</t>
        </is>
      </c>
      <c r="G103" s="11" t="n">
        <v>40</v>
      </c>
    </row>
    <row r="104">
      <c r="A104" s="12" t="inlineStr">
        <is>
          <t>L1 集团</t>
        </is>
      </c>
      <c r="B104" s="12" t="inlineStr">
        <is>
          <t>河南联创化工有限公司（所属集团待核）</t>
        </is>
      </c>
      <c r="C104" s="12" t="inlineStr">
        <is>
          <t>未知</t>
        </is>
      </c>
      <c r="D104" s="12" t="inlineStr"/>
      <c r="E104" s="12" t="inlineStr"/>
      <c r="F104" s="12" t="inlineStr"/>
      <c r="G104" s="14" t="n">
        <v>40</v>
      </c>
    </row>
    <row r="105">
      <c r="A105" s="9" t="inlineStr">
        <is>
          <t xml:space="preserve">　L2 法人</t>
        </is>
      </c>
      <c r="B105" s="9" t="inlineStr">
        <is>
          <t>河南联创化工有限公司</t>
        </is>
      </c>
      <c r="C105" s="9" t="inlineStr">
        <is>
          <t>—</t>
        </is>
      </c>
      <c r="D105" s="9" t="inlineStr"/>
      <c r="E105" s="9" t="inlineStr"/>
      <c r="F105" s="9" t="inlineStr"/>
      <c r="G105" s="11" t="n">
        <v>40</v>
      </c>
    </row>
    <row r="106">
      <c r="A106" s="12" t="inlineStr">
        <is>
          <t xml:space="preserve">　　L3 基地</t>
        </is>
      </c>
      <c r="B106" s="12" t="inlineStr">
        <is>
          <t>河南联创基地</t>
        </is>
      </c>
      <c r="C106" s="12" t="inlineStr">
        <is>
          <t>河南省（待核）</t>
        </is>
      </c>
      <c r="D106" s="12" t="inlineStr"/>
      <c r="E106" s="12" t="inlineStr"/>
      <c r="F106" s="12" t="inlineStr"/>
      <c r="G106" s="14" t="n">
        <v>40</v>
      </c>
    </row>
    <row r="107">
      <c r="A107" s="9" t="inlineStr">
        <is>
          <t xml:space="preserve">　　　L4 装置</t>
        </is>
      </c>
      <c r="B107" s="9" t="inlineStr">
        <is>
          <t>U-P180-01</t>
        </is>
      </c>
      <c r="C107" s="9" t="inlineStr">
        <is>
          <t>电石法（乙炔法）</t>
        </is>
      </c>
      <c r="D107" s="9" t="inlineStr">
        <is>
          <t>设计产能</t>
        </is>
      </c>
      <c r="E107" s="9" t="inlineStr">
        <is>
          <t>聚氯乙烯树脂</t>
        </is>
      </c>
      <c r="F107" s="9" t="inlineStr">
        <is>
          <t>在产</t>
        </is>
      </c>
      <c r="G107" s="11" t="n">
        <v>40</v>
      </c>
    </row>
    <row r="108">
      <c r="A108" s="12" t="inlineStr">
        <is>
          <t>L1 集团</t>
        </is>
      </c>
      <c r="B108" s="12" t="inlineStr">
        <is>
          <t>潞安化工集团（阳煤化工股份有限公司）</t>
        </is>
      </c>
      <c r="C108" s="12" t="inlineStr">
        <is>
          <t>山西省人民政府国有资产监督管理委员会（2024-12 山西潞安化工成为控股股东）</t>
        </is>
      </c>
      <c r="D108" s="12" t="inlineStr"/>
      <c r="E108" s="12" t="inlineStr"/>
      <c r="F108" s="12" t="inlineStr"/>
      <c r="G108" s="14" t="n">
        <v>30</v>
      </c>
    </row>
    <row r="109">
      <c r="A109" s="9" t="inlineStr">
        <is>
          <t xml:space="preserve">　L2 法人</t>
        </is>
      </c>
      <c r="B109" s="9" t="inlineStr">
        <is>
          <t>阳煤化工股份有限公司</t>
        </is>
      </c>
      <c r="C109" s="9" t="inlineStr">
        <is>
          <t>600691.SH</t>
        </is>
      </c>
      <c r="D109" s="9" t="inlineStr"/>
      <c r="E109" s="9" t="inlineStr"/>
      <c r="F109" s="9" t="inlineStr"/>
      <c r="G109" s="11" t="n">
        <v>30</v>
      </c>
    </row>
    <row r="110">
      <c r="A110" s="12" t="inlineStr">
        <is>
          <t xml:space="preserve">　　L3 基地</t>
        </is>
      </c>
      <c r="B110" s="12" t="inlineStr">
        <is>
          <t>阳泉基地（阳煤化工）</t>
        </is>
      </c>
      <c r="C110" s="12" t="inlineStr">
        <is>
          <t>山西省阳泉市</t>
        </is>
      </c>
      <c r="D110" s="12" t="inlineStr"/>
      <c r="E110" s="12" t="inlineStr"/>
      <c r="F110" s="12" t="inlineStr"/>
      <c r="G110" s="14" t="n">
        <v>30</v>
      </c>
    </row>
    <row r="111">
      <c r="A111" s="9" t="inlineStr">
        <is>
          <t xml:space="preserve">　　　L4 装置</t>
        </is>
      </c>
      <c r="B111" s="9" t="inlineStr">
        <is>
          <t>U-P130-01</t>
        </is>
      </c>
      <c r="C111" s="9" t="inlineStr">
        <is>
          <t>乙烯法</t>
        </is>
      </c>
      <c r="D111" s="9" t="inlineStr">
        <is>
          <t>设计产能</t>
        </is>
      </c>
      <c r="E111" s="9" t="inlineStr">
        <is>
          <t>聚氯乙烯树脂</t>
        </is>
      </c>
      <c r="F111" s="9" t="inlineStr">
        <is>
          <t>在产</t>
        </is>
      </c>
      <c r="G111" s="11" t="n">
        <v>30</v>
      </c>
    </row>
    <row r="112">
      <c r="A112" s="12" t="inlineStr">
        <is>
          <t>L1 集团</t>
        </is>
      </c>
      <c r="B112" s="12" t="inlineStr">
        <is>
          <t>青海汇信资产管理有限责任公司（青海盐湖镁业）</t>
        </is>
      </c>
      <c r="C112" s="12" t="inlineStr">
        <is>
          <t>青海省国资委体系（与盐湖股份、中国五矿盐湖体系存在股权演变，需逐年核对）</t>
        </is>
      </c>
      <c r="D112" s="12" t="inlineStr"/>
      <c r="E112" s="12" t="inlineStr"/>
      <c r="F112" s="12" t="inlineStr"/>
      <c r="G112" s="14" t="n">
        <v>30</v>
      </c>
    </row>
    <row r="113">
      <c r="A113" s="9" t="inlineStr">
        <is>
          <t xml:space="preserve">　L2 法人</t>
        </is>
      </c>
      <c r="B113" s="9" t="inlineStr">
        <is>
          <t>青海盐湖镁业有限公司</t>
        </is>
      </c>
      <c r="C113" s="9" t="inlineStr">
        <is>
          <t>—</t>
        </is>
      </c>
      <c r="D113" s="9" t="inlineStr"/>
      <c r="E113" s="9" t="inlineStr"/>
      <c r="F113" s="9" t="inlineStr"/>
      <c r="G113" s="11" t="n">
        <v>30</v>
      </c>
    </row>
    <row r="114">
      <c r="A114" s="12" t="inlineStr">
        <is>
          <t xml:space="preserve">　　L3 基地</t>
        </is>
      </c>
      <c r="B114" s="12" t="inlineStr">
        <is>
          <t>察尔汗基地（盐湖镁业）</t>
        </is>
      </c>
      <c r="C114" s="12" t="inlineStr">
        <is>
          <t>青海省格尔木市</t>
        </is>
      </c>
      <c r="D114" s="12" t="inlineStr"/>
      <c r="E114" s="12" t="inlineStr"/>
      <c r="F114" s="12" t="inlineStr"/>
      <c r="G114" s="14" t="n">
        <v>30</v>
      </c>
    </row>
    <row r="115">
      <c r="A115" s="9" t="inlineStr">
        <is>
          <t xml:space="preserve">　　　L4 装置</t>
        </is>
      </c>
      <c r="B115" s="9" t="inlineStr">
        <is>
          <t>U-P160-01</t>
        </is>
      </c>
      <c r="C115" s="9" t="inlineStr">
        <is>
          <t>乙烯法</t>
        </is>
      </c>
      <c r="D115" s="9" t="inlineStr">
        <is>
          <t>设计产能</t>
        </is>
      </c>
      <c r="E115" s="9" t="inlineStr">
        <is>
          <t>聚氯乙烯树脂（乙烯法）</t>
        </is>
      </c>
      <c r="F115" s="9" t="inlineStr">
        <is>
          <t>在产</t>
        </is>
      </c>
      <c r="G115" s="11" t="n">
        <v>30</v>
      </c>
    </row>
    <row r="116">
      <c r="A116" s="12" t="inlineStr">
        <is>
          <t>L1 集团</t>
        </is>
      </c>
      <c r="B116" s="12" t="inlineStr">
        <is>
          <t>平煤神马集团（河南神马氯碱发展有限责任公司）</t>
        </is>
      </c>
      <c r="C116" s="12" t="inlineStr">
        <is>
          <t>河南省国资委</t>
        </is>
      </c>
      <c r="D116" s="12" t="inlineStr"/>
      <c r="E116" s="12" t="inlineStr"/>
      <c r="F116" s="12" t="inlineStr"/>
      <c r="G116" s="14" t="n">
        <v>30</v>
      </c>
    </row>
    <row r="117">
      <c r="A117" s="9" t="inlineStr">
        <is>
          <t xml:space="preserve">　L2 法人</t>
        </is>
      </c>
      <c r="B117" s="9" t="inlineStr">
        <is>
          <t>河南神马氯碱发展有限责任公司</t>
        </is>
      </c>
      <c r="C117" s="9" t="inlineStr">
        <is>
          <t>—</t>
        </is>
      </c>
      <c r="D117" s="9" t="inlineStr"/>
      <c r="E117" s="9" t="inlineStr"/>
      <c r="F117" s="9" t="inlineStr"/>
      <c r="G117" s="11" t="n">
        <v>30</v>
      </c>
    </row>
    <row r="118">
      <c r="A118" s="12" t="inlineStr">
        <is>
          <t xml:space="preserve">　　L3 基地</t>
        </is>
      </c>
      <c r="B118" s="12" t="inlineStr">
        <is>
          <t>平顶山基地（神马氯碱）</t>
        </is>
      </c>
      <c r="C118" s="12" t="inlineStr">
        <is>
          <t>河南省平顶山市</t>
        </is>
      </c>
      <c r="D118" s="12" t="inlineStr"/>
      <c r="E118" s="12" t="inlineStr"/>
      <c r="F118" s="12" t="inlineStr"/>
      <c r="G118" s="14" t="n">
        <v>30</v>
      </c>
    </row>
    <row r="119">
      <c r="A119" s="9" t="inlineStr">
        <is>
          <t xml:space="preserve">　　　L4 装置</t>
        </is>
      </c>
      <c r="B119" s="9" t="inlineStr">
        <is>
          <t>U-P170-01</t>
        </is>
      </c>
      <c r="C119" s="9" t="inlineStr">
        <is>
          <t>电石法（乙炔法）</t>
        </is>
      </c>
      <c r="D119" s="9" t="inlineStr">
        <is>
          <t>设计产能</t>
        </is>
      </c>
      <c r="E119" s="9" t="inlineStr">
        <is>
          <t>聚氯乙烯树脂</t>
        </is>
      </c>
      <c r="F119" s="9" t="inlineStr">
        <is>
          <t>状态未核实</t>
        </is>
      </c>
      <c r="G119" s="11" t="n">
        <v>30</v>
      </c>
    </row>
    <row r="120">
      <c r="A120" s="12" t="inlineStr">
        <is>
          <t>L1 集团</t>
        </is>
      </c>
      <c r="B120" s="12" t="inlineStr">
        <is>
          <t>浙江嘉化能源化工股份有限公司（独立上市）</t>
        </is>
      </c>
      <c r="C120" s="12" t="inlineStr">
        <is>
          <t>民营控股</t>
        </is>
      </c>
      <c r="D120" s="12" t="inlineStr"/>
      <c r="E120" s="12" t="inlineStr"/>
      <c r="F120" s="12" t="inlineStr"/>
      <c r="G120" s="14" t="n">
        <v>30</v>
      </c>
    </row>
    <row r="121">
      <c r="A121" s="9" t="inlineStr">
        <is>
          <t xml:space="preserve">　L2 法人</t>
        </is>
      </c>
      <c r="B121" s="9" t="inlineStr">
        <is>
          <t>浙江嘉化能源化工股份有限公司</t>
        </is>
      </c>
      <c r="C121" s="9" t="inlineStr">
        <is>
          <t>600273.SH</t>
        </is>
      </c>
      <c r="D121" s="9" t="inlineStr"/>
      <c r="E121" s="9" t="inlineStr"/>
      <c r="F121" s="9" t="inlineStr"/>
      <c r="G121" s="11" t="n">
        <v>30</v>
      </c>
    </row>
    <row r="122">
      <c r="A122" s="12" t="inlineStr">
        <is>
          <t xml:space="preserve">　　L3 基地</t>
        </is>
      </c>
      <c r="B122" s="12" t="inlineStr">
        <is>
          <t>嘉兴港区基地（嘉化能源）</t>
        </is>
      </c>
      <c r="C122" s="12" t="inlineStr">
        <is>
          <t>浙江省嘉兴市</t>
        </is>
      </c>
      <c r="D122" s="12" t="inlineStr"/>
      <c r="E122" s="12" t="inlineStr"/>
      <c r="F122" s="12" t="inlineStr"/>
      <c r="G122" s="14" t="n">
        <v>30</v>
      </c>
    </row>
    <row r="123">
      <c r="A123" s="9" t="inlineStr">
        <is>
          <t xml:space="preserve">　　　L4 装置</t>
        </is>
      </c>
      <c r="B123" s="9" t="inlineStr">
        <is>
          <t>U-P302-01</t>
        </is>
      </c>
      <c r="C123" s="9" t="inlineStr">
        <is>
          <t>乙烯法</t>
        </is>
      </c>
      <c r="D123" s="9" t="inlineStr">
        <is>
          <t>设计产能</t>
        </is>
      </c>
      <c r="E123" s="9" t="inlineStr">
        <is>
          <t>聚氯乙烯树脂（二期）</t>
        </is>
      </c>
      <c r="F123" s="9" t="inlineStr">
        <is>
          <t>在产</t>
        </is>
      </c>
      <c r="G123" s="11" t="n">
        <v>30</v>
      </c>
    </row>
    <row r="124">
      <c r="A124" s="12" t="inlineStr">
        <is>
          <t>L1 集团</t>
        </is>
      </c>
      <c r="B124" s="12" t="inlineStr">
        <is>
          <t>甘肃耀望化工有限公司（所属集团待核）</t>
        </is>
      </c>
      <c r="C124" s="12" t="inlineStr">
        <is>
          <t>未知</t>
        </is>
      </c>
      <c r="D124" s="12" t="inlineStr"/>
      <c r="E124" s="12" t="inlineStr"/>
      <c r="F124" s="12" t="inlineStr"/>
      <c r="G124" s="14" t="n">
        <v>30</v>
      </c>
    </row>
    <row r="125">
      <c r="A125" s="9" t="inlineStr">
        <is>
          <t xml:space="preserve">　L2 法人</t>
        </is>
      </c>
      <c r="B125" s="9" t="inlineStr">
        <is>
          <t>甘肃耀望化工有限公司</t>
        </is>
      </c>
      <c r="C125" s="9" t="inlineStr">
        <is>
          <t>—</t>
        </is>
      </c>
      <c r="D125" s="9" t="inlineStr"/>
      <c r="E125" s="9" t="inlineStr"/>
      <c r="F125" s="9" t="inlineStr"/>
      <c r="G125" s="11" t="n">
        <v>30</v>
      </c>
    </row>
    <row r="126">
      <c r="A126" s="12" t="inlineStr">
        <is>
          <t xml:space="preserve">　　L3 基地</t>
        </is>
      </c>
      <c r="B126" s="12" t="inlineStr">
        <is>
          <t>兰州新区基地（耀望化工）</t>
        </is>
      </c>
      <c r="C126" s="12" t="inlineStr">
        <is>
          <t>甘肃省兰州新区</t>
        </is>
      </c>
      <c r="D126" s="12" t="inlineStr"/>
      <c r="E126" s="12" t="inlineStr"/>
      <c r="F126" s="12" t="inlineStr"/>
      <c r="G126" s="14" t="n">
        <v>30</v>
      </c>
    </row>
    <row r="127">
      <c r="A127" s="9" t="inlineStr">
        <is>
          <t xml:space="preserve">　　　L4 装置</t>
        </is>
      </c>
      <c r="B127" s="9" t="inlineStr">
        <is>
          <t>U-P306-01</t>
        </is>
      </c>
      <c r="C127" s="9" t="inlineStr">
        <is>
          <t>电石法（乙炔法）</t>
        </is>
      </c>
      <c r="D127" s="9" t="inlineStr">
        <is>
          <t>设计产能</t>
        </is>
      </c>
      <c r="E127" s="9" t="inlineStr">
        <is>
          <t>聚氯乙烯树脂（电石法无汞）</t>
        </is>
      </c>
      <c r="F127" s="9" t="inlineStr">
        <is>
          <t>在产</t>
        </is>
      </c>
      <c r="G127" s="11" t="n">
        <v>30</v>
      </c>
    </row>
    <row r="128">
      <c r="A128" s="12" t="inlineStr">
        <is>
          <t>L1 集团</t>
        </is>
      </c>
      <c r="B128" s="12" t="inlineStr">
        <is>
          <t>东曹株式会社（东曹（广州）化工有限公司）</t>
        </is>
      </c>
      <c r="C128" s="12" t="inlineStr">
        <is>
          <t>东曹株式会社 Tosoh Corporation（日本）</t>
        </is>
      </c>
      <c r="D128" s="12" t="inlineStr"/>
      <c r="E128" s="12" t="inlineStr"/>
      <c r="F128" s="12" t="inlineStr"/>
      <c r="G128" s="14" t="n">
        <v>22</v>
      </c>
    </row>
    <row r="129">
      <c r="A129" s="9" t="inlineStr">
        <is>
          <t xml:space="preserve">　L2 法人</t>
        </is>
      </c>
      <c r="B129" s="9" t="inlineStr">
        <is>
          <t>东曹（广州）化工有限公司</t>
        </is>
      </c>
      <c r="C129" s="9" t="inlineStr">
        <is>
          <t>—</t>
        </is>
      </c>
      <c r="D129" s="9" t="inlineStr"/>
      <c r="E129" s="9" t="inlineStr"/>
      <c r="F129" s="9" t="inlineStr"/>
      <c r="G129" s="11" t="n">
        <v>22</v>
      </c>
    </row>
    <row r="130">
      <c r="A130" s="12" t="inlineStr">
        <is>
          <t xml:space="preserve">　　L3 基地</t>
        </is>
      </c>
      <c r="B130" s="12" t="inlineStr">
        <is>
          <t>广州南沙基地（东曹）</t>
        </is>
      </c>
      <c r="C130" s="12" t="inlineStr">
        <is>
          <t>广东省广州市</t>
        </is>
      </c>
      <c r="D130" s="12" t="inlineStr"/>
      <c r="E130" s="12" t="inlineStr"/>
      <c r="F130" s="12" t="inlineStr"/>
      <c r="G130" s="14" t="n">
        <v>22</v>
      </c>
    </row>
    <row r="131">
      <c r="A131" s="9" t="inlineStr">
        <is>
          <t xml:space="preserve">　　　L4 装置</t>
        </is>
      </c>
      <c r="B131" s="9" t="inlineStr">
        <is>
          <t>U-P190-01</t>
        </is>
      </c>
      <c r="C131" s="9" t="inlineStr">
        <is>
          <t>乙烯法</t>
        </is>
      </c>
      <c r="D131" s="9" t="inlineStr">
        <is>
          <t>设计产能</t>
        </is>
      </c>
      <c r="E131" s="9" t="inlineStr">
        <is>
          <t>聚氯乙烯树脂（悬浮法）</t>
        </is>
      </c>
      <c r="F131" s="9" t="inlineStr">
        <is>
          <t>在产</t>
        </is>
      </c>
      <c r="G131" s="11" t="n">
        <v>22</v>
      </c>
    </row>
    <row r="132">
      <c r="A132" s="12" t="inlineStr">
        <is>
          <t>L1 集团</t>
        </is>
      </c>
      <c r="B132" s="12" t="inlineStr">
        <is>
          <t>湖北宜化集团有限责任公司</t>
        </is>
      </c>
      <c r="C132" s="12" t="inlineStr">
        <is>
          <t>湖北省宜昌市国资（集团层面存在重整权变动历史，需逐年核对）</t>
        </is>
      </c>
      <c r="D132" s="12" t="inlineStr"/>
      <c r="E132" s="12" t="inlineStr"/>
      <c r="F132" s="12" t="inlineStr"/>
      <c r="G132" s="14" t="n">
        <v>0</v>
      </c>
    </row>
    <row r="133">
      <c r="A133" s="9" t="inlineStr">
        <is>
          <t xml:space="preserve">　L2 法人</t>
        </is>
      </c>
      <c r="B133" s="9" t="inlineStr">
        <is>
          <t>青海宜化化工有限责任公司</t>
        </is>
      </c>
      <c r="C133" s="9" t="inlineStr">
        <is>
          <t>—</t>
        </is>
      </c>
      <c r="D133" s="9" t="inlineStr"/>
      <c r="E133" s="9" t="inlineStr"/>
      <c r="F133" s="9" t="inlineStr"/>
      <c r="G133" s="11" t="n">
        <v>0</v>
      </c>
    </row>
    <row r="134">
      <c r="A134" s="12" t="inlineStr">
        <is>
          <t xml:space="preserve">　　L3 基地</t>
        </is>
      </c>
      <c r="B134" s="12" t="inlineStr">
        <is>
          <t>青海宜化基地</t>
        </is>
      </c>
      <c r="C134" s="12" t="inlineStr">
        <is>
          <t>青海省西宁市</t>
        </is>
      </c>
      <c r="D134" s="12" t="inlineStr"/>
      <c r="E134" s="12" t="inlineStr"/>
      <c r="F134" s="12" t="inlineStr"/>
      <c r="G134" s="14" t="n">
        <v>0</v>
      </c>
    </row>
    <row r="135">
      <c r="A135" s="9" t="inlineStr">
        <is>
          <t xml:space="preserve">　　　L4 装置</t>
        </is>
      </c>
      <c r="B135" s="9" t="inlineStr">
        <is>
          <t>U-P040-01</t>
        </is>
      </c>
      <c r="C135" s="9" t="inlineStr">
        <is>
          <t>电石法（乙炔法）</t>
        </is>
      </c>
      <c r="D135" s="9" t="inlineStr">
        <is>
          <t>核定/批复产能</t>
        </is>
      </c>
      <c r="E135" s="9" t="inlineStr">
        <is>
          <t>聚氯乙烯树脂</t>
        </is>
      </c>
      <c r="F135" s="9" t="inlineStr">
        <is>
          <t>在产</t>
        </is>
      </c>
      <c r="G135" s="11" t="n">
        <v>30</v>
      </c>
    </row>
    <row r="136">
      <c r="A136" s="12" t="inlineStr">
        <is>
          <t xml:space="preserve">　　　L4 装置</t>
        </is>
      </c>
      <c r="B136" s="12" t="inlineStr">
        <is>
          <t>U-P040-02</t>
        </is>
      </c>
      <c r="C136" s="12" t="inlineStr">
        <is>
          <t>电石法（乙炔法）</t>
        </is>
      </c>
      <c r="D136" s="12" t="inlineStr">
        <is>
          <t>设计产能</t>
        </is>
      </c>
      <c r="E136" s="12" t="inlineStr">
        <is>
          <t>聚氯乙烯树脂</t>
        </is>
      </c>
      <c r="F136" s="12" t="inlineStr">
        <is>
          <t>状态未核实</t>
        </is>
      </c>
      <c r="G136" s="14" t="n"/>
    </row>
    <row r="137">
      <c r="A137" s="9" t="inlineStr">
        <is>
          <t xml:space="preserve">　L2 法人</t>
        </is>
      </c>
      <c r="B137" s="9" t="inlineStr">
        <is>
          <t>新疆宜化化工有限公司</t>
        </is>
      </c>
      <c r="C137" s="9" t="inlineStr">
        <is>
          <t>—</t>
        </is>
      </c>
      <c r="D137" s="9" t="inlineStr"/>
      <c r="E137" s="9" t="inlineStr"/>
      <c r="F137" s="9" t="inlineStr"/>
      <c r="G137" s="11" t="n">
        <v>0</v>
      </c>
    </row>
    <row r="138">
      <c r="A138" s="12" t="inlineStr">
        <is>
          <t xml:space="preserve">　　L3 基地</t>
        </is>
      </c>
      <c r="B138" s="12" t="inlineStr">
        <is>
          <t>准东五彩湾基地（新疆宜化）</t>
        </is>
      </c>
      <c r="C138" s="12" t="inlineStr">
        <is>
          <t>新疆维吾尔自治区准东经济开发区</t>
        </is>
      </c>
      <c r="D138" s="12" t="inlineStr"/>
      <c r="E138" s="12" t="inlineStr"/>
      <c r="F138" s="12" t="inlineStr"/>
      <c r="G138" s="14" t="n">
        <v>0</v>
      </c>
    </row>
    <row r="139">
      <c r="A139" s="9" t="inlineStr">
        <is>
          <t xml:space="preserve">　　　L4 装置</t>
        </is>
      </c>
      <c r="B139" s="9" t="inlineStr">
        <is>
          <t>U-P041-01</t>
        </is>
      </c>
      <c r="C139" s="9" t="inlineStr">
        <is>
          <t>电石法（乙炔法）</t>
        </is>
      </c>
      <c r="D139" s="9" t="inlineStr">
        <is>
          <t>核定/批复产能</t>
        </is>
      </c>
      <c r="E139" s="9" t="inlineStr">
        <is>
          <t>聚氯乙烯树脂</t>
        </is>
      </c>
      <c r="F139" s="9" t="inlineStr">
        <is>
          <t>在产</t>
        </is>
      </c>
      <c r="G139" s="11" t="n">
        <v>30</v>
      </c>
    </row>
    <row r="140">
      <c r="A140" s="12" t="inlineStr">
        <is>
          <t xml:space="preserve">　L2 法人</t>
        </is>
      </c>
      <c r="B140" s="12" t="inlineStr">
        <is>
          <t>内蒙古宜化化工有限公司</t>
        </is>
      </c>
      <c r="C140" s="12" t="inlineStr">
        <is>
          <t>—</t>
        </is>
      </c>
      <c r="D140" s="12" t="inlineStr"/>
      <c r="E140" s="12" t="inlineStr"/>
      <c r="F140" s="12" t="inlineStr"/>
      <c r="G140" s="14" t="n">
        <v>0</v>
      </c>
    </row>
    <row r="141">
      <c r="A141" s="9" t="inlineStr">
        <is>
          <t xml:space="preserve">　　L3 基地</t>
        </is>
      </c>
      <c r="B141" s="9" t="inlineStr">
        <is>
          <t>内蒙古宜化基地</t>
        </is>
      </c>
      <c r="C141" s="9" t="inlineStr">
        <is>
          <t>内蒙古自治区乌海市</t>
        </is>
      </c>
      <c r="D141" s="9" t="inlineStr"/>
      <c r="E141" s="9" t="inlineStr"/>
      <c r="F141" s="9" t="inlineStr"/>
      <c r="G141" s="11" t="n">
        <v>0</v>
      </c>
    </row>
    <row r="142">
      <c r="A142" s="12" t="inlineStr">
        <is>
          <t xml:space="preserve">　　　L4 装置</t>
        </is>
      </c>
      <c r="B142" s="12" t="inlineStr">
        <is>
          <t>U-P042-01</t>
        </is>
      </c>
      <c r="C142" s="12" t="inlineStr">
        <is>
          <t>工艺未核实</t>
        </is>
      </c>
      <c r="D142" s="12" t="inlineStr">
        <is>
          <t>设计产能</t>
        </is>
      </c>
      <c r="E142" s="12" t="inlineStr">
        <is>
          <t>聚氯乙烯树脂</t>
        </is>
      </c>
      <c r="F142" s="12" t="inlineStr">
        <is>
          <t>状态未核实</t>
        </is>
      </c>
      <c r="G142" s="14" t="n"/>
    </row>
    <row r="143">
      <c r="A143" s="9" t="inlineStr">
        <is>
          <t>L1 集团</t>
        </is>
      </c>
      <c r="B143" s="9" t="inlineStr">
        <is>
          <t>国家能源集团宁夏电力（英力特）</t>
        </is>
      </c>
      <c r="C143" s="9" t="inlineStr">
        <is>
          <t>国家能源投资集团有限责任公司</t>
        </is>
      </c>
      <c r="D143" s="9" t="inlineStr"/>
      <c r="E143" s="9" t="inlineStr"/>
      <c r="F143" s="9" t="inlineStr"/>
      <c r="G143" s="11" t="n">
        <v>0</v>
      </c>
    </row>
    <row r="144">
      <c r="A144" s="12" t="inlineStr">
        <is>
          <t xml:space="preserve">　L2 法人</t>
        </is>
      </c>
      <c r="B144" s="12" t="inlineStr">
        <is>
          <t>宁夏英力特化工股份有限公司</t>
        </is>
      </c>
      <c r="C144" s="12" t="inlineStr">
        <is>
          <t>000635.SZ</t>
        </is>
      </c>
      <c r="D144" s="12" t="inlineStr"/>
      <c r="E144" s="12" t="inlineStr"/>
      <c r="F144" s="12" t="inlineStr"/>
      <c r="G144" s="14" t="n">
        <v>0</v>
      </c>
    </row>
    <row r="145">
      <c r="A145" s="9" t="inlineStr">
        <is>
          <t xml:space="preserve">　　L3 基地</t>
        </is>
      </c>
      <c r="B145" s="9" t="inlineStr">
        <is>
          <t>惠农基地（英力特）</t>
        </is>
      </c>
      <c r="C145" s="9" t="inlineStr">
        <is>
          <t>宁夏回族自治区石嘴山市</t>
        </is>
      </c>
      <c r="D145" s="9" t="inlineStr"/>
      <c r="E145" s="9" t="inlineStr"/>
      <c r="F145" s="9" t="inlineStr"/>
      <c r="G145" s="11" t="n">
        <v>0</v>
      </c>
    </row>
    <row r="146">
      <c r="A146" s="12" t="inlineStr">
        <is>
          <t xml:space="preserve">　　　L4 装置</t>
        </is>
      </c>
      <c r="B146" s="12" t="inlineStr">
        <is>
          <t>U-P070-01</t>
        </is>
      </c>
      <c r="C146" s="12" t="inlineStr">
        <is>
          <t>电石法（乙炔法）</t>
        </is>
      </c>
      <c r="D146" s="12" t="inlineStr">
        <is>
          <t>设计产能</t>
        </is>
      </c>
      <c r="E146" s="12" t="inlineStr">
        <is>
          <t>聚氯乙烯树脂</t>
        </is>
      </c>
      <c r="F146" s="12" t="inlineStr">
        <is>
          <t>长期停车</t>
        </is>
      </c>
      <c r="G146" s="14" t="n">
        <v>22</v>
      </c>
    </row>
    <row r="147">
      <c r="A147" s="9" t="inlineStr">
        <is>
          <t xml:space="preserve">　　　L4 装置</t>
        </is>
      </c>
      <c r="B147" s="9" t="inlineStr">
        <is>
          <t>U-P070-02</t>
        </is>
      </c>
      <c r="C147" s="9" t="inlineStr">
        <is>
          <t>电石法（乙炔法）</t>
        </is>
      </c>
      <c r="D147" s="9" t="inlineStr">
        <is>
          <t>设计产能</t>
        </is>
      </c>
      <c r="E147" s="9" t="inlineStr">
        <is>
          <t>聚氯乙烯糊树脂（EPVC）</t>
        </is>
      </c>
      <c r="F147" s="9" t="inlineStr">
        <is>
          <t>长期停车</t>
        </is>
      </c>
      <c r="G147" s="11" t="n">
        <v>4</v>
      </c>
    </row>
    <row r="148">
      <c r="A148" s="12" t="inlineStr">
        <is>
          <t>L1 集团</t>
        </is>
      </c>
      <c r="B148" s="12" t="inlineStr">
        <is>
          <t>信发集团有限公司</t>
        </is>
      </c>
      <c r="C148" s="12" t="inlineStr">
        <is>
          <t>张学信家族（民营）</t>
        </is>
      </c>
      <c r="D148" s="12" t="inlineStr"/>
      <c r="E148" s="12" t="inlineStr"/>
      <c r="F148" s="12" t="inlineStr"/>
      <c r="G148" s="14" t="n">
        <v>0</v>
      </c>
    </row>
    <row r="149">
      <c r="A149" s="9" t="inlineStr">
        <is>
          <t xml:space="preserve">　L2 法人</t>
        </is>
      </c>
      <c r="B149" s="9" t="inlineStr">
        <is>
          <t>茌平信发华兴化工有限公司</t>
        </is>
      </c>
      <c r="C149" s="9" t="inlineStr">
        <is>
          <t>—</t>
        </is>
      </c>
      <c r="D149" s="9" t="inlineStr"/>
      <c r="E149" s="9" t="inlineStr"/>
      <c r="F149" s="9" t="inlineStr"/>
      <c r="G149" s="11" t="n">
        <v>0</v>
      </c>
    </row>
    <row r="150">
      <c r="A150" s="12" t="inlineStr">
        <is>
          <t xml:space="preserve">　　L3 基地</t>
        </is>
      </c>
      <c r="B150" s="12" t="inlineStr">
        <is>
          <t>乐平铺基地（信发华兴）</t>
        </is>
      </c>
      <c r="C150" s="12" t="inlineStr">
        <is>
          <t>山东省聊城市</t>
        </is>
      </c>
      <c r="D150" s="12" t="inlineStr"/>
      <c r="E150" s="12" t="inlineStr"/>
      <c r="F150" s="12" t="inlineStr"/>
      <c r="G150" s="14" t="n">
        <v>0</v>
      </c>
    </row>
    <row r="151">
      <c r="A151" s="9" t="inlineStr">
        <is>
          <t>L1 集团</t>
        </is>
      </c>
      <c r="B151" s="9" t="inlineStr">
        <is>
          <t>鸿达兴业集团有限公司（原上市主体鸿达兴业 002002）</t>
        </is>
      </c>
      <c r="C151" s="9" t="inlineStr">
        <is>
          <t>待核（集团已进入破产程序）</t>
        </is>
      </c>
      <c r="D151" s="9" t="inlineStr"/>
      <c r="E151" s="9" t="inlineStr"/>
      <c r="F151" s="9" t="inlineStr"/>
      <c r="G151" s="11" t="n">
        <v>0</v>
      </c>
    </row>
    <row r="152">
      <c r="A152" s="12" t="inlineStr">
        <is>
          <t xml:space="preserve">　L2 法人</t>
        </is>
      </c>
      <c r="B152" s="12" t="inlineStr">
        <is>
          <t>内蒙古乌海化工有限公司</t>
        </is>
      </c>
      <c r="C152" s="12" t="inlineStr">
        <is>
          <t>—</t>
        </is>
      </c>
      <c r="D152" s="12" t="inlineStr"/>
      <c r="E152" s="12" t="inlineStr"/>
      <c r="F152" s="12" t="inlineStr"/>
      <c r="G152" s="14" t="n">
        <v>0</v>
      </c>
    </row>
    <row r="153">
      <c r="A153" s="9" t="inlineStr">
        <is>
          <t xml:space="preserve">　　L3 基地</t>
        </is>
      </c>
      <c r="B153" s="9" t="inlineStr">
        <is>
          <t>海南区海化工业园基地（乌海化工，长期停车）</t>
        </is>
      </c>
      <c r="C153" s="9" t="inlineStr">
        <is>
          <t>内蒙古自治区乌海市</t>
        </is>
      </c>
      <c r="D153" s="9" t="inlineStr"/>
      <c r="E153" s="9" t="inlineStr"/>
      <c r="F153" s="9" t="inlineStr"/>
      <c r="G153" s="11" t="n">
        <v>0</v>
      </c>
    </row>
    <row r="154">
      <c r="A154" s="12" t="inlineStr">
        <is>
          <t xml:space="preserve">　　　L4 装置</t>
        </is>
      </c>
      <c r="B154" s="12" t="inlineStr">
        <is>
          <t>U-P200-01</t>
        </is>
      </c>
      <c r="C154" s="12" t="inlineStr">
        <is>
          <t>电石法（乙炔法）</t>
        </is>
      </c>
      <c r="D154" s="12" t="inlineStr">
        <is>
          <t>设计产能</t>
        </is>
      </c>
      <c r="E154" s="12" t="inlineStr">
        <is>
          <t>聚氯乙烯树脂</t>
        </is>
      </c>
      <c r="F154" s="12" t="inlineStr">
        <is>
          <t>已退出</t>
        </is>
      </c>
      <c r="G154" s="14" t="n">
        <v>110</v>
      </c>
    </row>
    <row r="155">
      <c r="A155" s="9" t="inlineStr">
        <is>
          <t>L1 集团</t>
        </is>
      </c>
      <c r="B155" s="9" t="inlineStr">
        <is>
          <t>浙江镇洋发展股份有限公司（独立上市）</t>
        </is>
      </c>
      <c r="C155" s="9" t="inlineStr">
        <is>
          <t>浙江省交通投资集团系（具体持股以年报为准）</t>
        </is>
      </c>
      <c r="D155" s="9" t="inlineStr"/>
      <c r="E155" s="9" t="inlineStr"/>
      <c r="F155" s="9" t="inlineStr"/>
      <c r="G155" s="11" t="n">
        <v>0</v>
      </c>
    </row>
    <row r="156">
      <c r="A156" s="12" t="inlineStr">
        <is>
          <t xml:space="preserve">　L2 法人</t>
        </is>
      </c>
      <c r="B156" s="12" t="inlineStr">
        <is>
          <t>浙江镇洋发展股份有限公司</t>
        </is>
      </c>
      <c r="C156" s="12" t="inlineStr">
        <is>
          <t>603213.SH</t>
        </is>
      </c>
      <c r="D156" s="12" t="inlineStr"/>
      <c r="E156" s="12" t="inlineStr"/>
      <c r="F156" s="12" t="inlineStr"/>
      <c r="G156" s="14" t="n">
        <v>0</v>
      </c>
    </row>
    <row r="157">
      <c r="A157" s="9" t="inlineStr">
        <is>
          <t xml:space="preserve">　　L3 基地</t>
        </is>
      </c>
      <c r="B157" s="9" t="inlineStr">
        <is>
          <t>宁波基地（镇洋发展）</t>
        </is>
      </c>
      <c r="C157" s="9" t="inlineStr">
        <is>
          <t>浙江省宁波市</t>
        </is>
      </c>
      <c r="D157" s="9" t="inlineStr"/>
      <c r="E157" s="9" t="inlineStr"/>
      <c r="F157" s="9" t="inlineStr"/>
      <c r="G157" s="11" t="n">
        <v>0</v>
      </c>
    </row>
    <row r="158">
      <c r="A158" s="12" t="inlineStr">
        <is>
          <t xml:space="preserve">　　　L4 装置</t>
        </is>
      </c>
      <c r="B158" s="12" t="inlineStr">
        <is>
          <t>U-P308-01</t>
        </is>
      </c>
      <c r="C158" s="12" t="inlineStr">
        <is>
          <t>乙烯法</t>
        </is>
      </c>
      <c r="D158" s="12" t="inlineStr">
        <is>
          <t>设计产能</t>
        </is>
      </c>
      <c r="E158" s="12" t="inlineStr">
        <is>
          <t>聚氯乙烯树脂</t>
        </is>
      </c>
      <c r="F158" s="12" t="inlineStr">
        <is>
          <t>长期停车</t>
        </is>
      </c>
      <c r="G158" s="14" t="n">
        <v>30</v>
      </c>
    </row>
    <row r="160">
      <c r="A160" s="27" t="inlineStr">
        <is>
          <t>核对方法：Σ(L2) = L1；Σ(L3) = L2；Σ(L4) = L3。任一不成立即存在重复统计或漏录。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2026-10-20T04:10:16Z</dcterms:created>
  <dcterms:modified xmlns:dcterms="http://purl.org/dc/terms/" xmlns:xsi="http://www.w3.org/2001/XMLSchema-instance" xsi:type="dcterms:W3CDTF">2026-10-20T04:10:17Z</dcterms:modified>
</cp:coreProperties>
</file>
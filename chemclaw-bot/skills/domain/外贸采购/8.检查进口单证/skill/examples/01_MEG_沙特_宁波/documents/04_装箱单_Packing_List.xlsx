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>
    <definedName name="_xlnm.Print_Area" localSheetId="0">'Packing List'!$A$1:$J$36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C00000"/>
      <sz val="9"/>
    </font>
    <font>
      <name val="Microsoft YaHei"/>
      <b val="1"/>
      <color rgb="001F3864"/>
      <sz val="13"/>
    </font>
    <font>
      <name val="Microsoft YaHei"/>
      <color rgb="00808080"/>
      <sz val="8"/>
    </font>
    <font>
      <name val="Microsoft YaHei"/>
      <b val="1"/>
      <color rgb="001F3864"/>
      <sz val="14"/>
    </font>
    <font>
      <name val="Microsoft YaHei"/>
      <b val="1"/>
      <color rgb="001F3864"/>
      <sz val="8"/>
    </font>
    <font>
      <name val="Microsoft YaHei"/>
      <color rgb="00000000"/>
      <sz val="8"/>
    </font>
    <font>
      <name val="Microsoft YaHei"/>
      <b val="1"/>
      <color rgb="00C00000"/>
      <sz val="8"/>
    </font>
    <font>
      <name val="Microsoft YaHei"/>
      <b val="1"/>
      <color rgb="00FFFFFF"/>
      <sz val="8"/>
    </font>
    <font>
      <name val="Microsoft YaHei"/>
      <b val="1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EEF3FA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0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3" fontId="8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3" fontId="9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20" customWidth="1" min="10" max="10"/>
  </cols>
  <sheetData>
    <row r="1">
      <c r="A1" s="1" t="inlineStr">
        <is>
          <t>【模拟单证 · SIMULATED DOCUMENTS · 仅供流程测试，不具任何法律效力】  ·  SIMULATED / NOT A REAL SHIPPING DOCUMENT - FOR PROCESS TESTING ONLY</t>
        </is>
      </c>
    </row>
    <row r="2">
      <c r="A2" s="2" t="inlineStr">
        <is>
          <t>AL-NOOR PETROCHEMICAL TRADING COMPANY</t>
        </is>
      </c>
    </row>
    <row r="3">
      <c r="A3" s="3" t="inlineStr">
        <is>
          <t>P.O. Box 7431, Prince Sultan Road, Al Jubail 31951, Eastern Province, Kingdom of Saudi Arabia</t>
        </is>
      </c>
    </row>
    <row r="4">
      <c r="A4" s="4" t="inlineStr">
        <is>
          <t>PACKING LIST / 装箱单</t>
        </is>
      </c>
    </row>
    <row r="5">
      <c r="A5" s="5" t="inlineStr">
        <is>
          <t>Packing List No. 装箱单号</t>
        </is>
      </c>
      <c r="B5" s="6" t="inlineStr">
        <is>
          <t>ALN-PL-26-0518</t>
        </is>
      </c>
      <c r="C5" s="7" t="n"/>
      <c r="D5" s="7" t="n"/>
      <c r="E5" s="5" t="inlineStr">
        <is>
          <t>Date 日期</t>
        </is>
      </c>
      <c r="F5" s="6" t="inlineStr">
        <is>
          <t>2026-05-15</t>
        </is>
      </c>
      <c r="G5" s="7" t="n"/>
      <c r="H5" s="7" t="n"/>
      <c r="I5" s="7" t="n"/>
      <c r="J5" s="7" t="n"/>
    </row>
    <row r="6">
      <c r="A6" s="5" t="inlineStr">
        <is>
          <t>Invoice No. 发票号</t>
        </is>
      </c>
      <c r="B6" s="6" t="inlineStr">
        <is>
          <t>ALN-INV-26-0518</t>
        </is>
      </c>
      <c r="C6" s="7" t="n"/>
      <c r="D6" s="7" t="n"/>
      <c r="E6" s="5" t="inlineStr">
        <is>
          <t>Contract No. 合同号</t>
        </is>
      </c>
      <c r="F6" s="6" t="inlineStr">
        <is>
          <t>HYNM-2026-0518-MEG</t>
        </is>
      </c>
      <c r="G6" s="7" t="n"/>
      <c r="H6" s="7" t="n"/>
      <c r="I6" s="7" t="n"/>
      <c r="J6" s="7" t="n"/>
    </row>
    <row r="7">
      <c r="A7" s="5" t="inlineStr">
        <is>
          <t>B/L No. 提单号</t>
        </is>
      </c>
      <c r="B7" s="6" t="inlineStr">
        <is>
          <t>MEDUHUB0618825</t>
        </is>
      </c>
      <c r="C7" s="7" t="n"/>
      <c r="D7" s="7" t="n"/>
      <c r="E7" s="5" t="inlineStr">
        <is>
          <t>Vessel / Voyage 船名航次</t>
        </is>
      </c>
      <c r="F7" s="6" t="inlineStr">
        <is>
          <t>MSC ISABELLA V. 2618W</t>
        </is>
      </c>
      <c r="G7" s="7" t="n"/>
      <c r="H7" s="7" t="n"/>
      <c r="I7" s="7" t="n"/>
      <c r="J7" s="7" t="n"/>
    </row>
    <row r="8">
      <c r="A8" s="5" t="inlineStr">
        <is>
          <t>Port of Loading 起运港</t>
        </is>
      </c>
      <c r="B8" s="6" t="inlineStr">
        <is>
          <t>KING ABDULLAH PORT, JUBAIL (SAJUB)</t>
        </is>
      </c>
      <c r="C8" s="7" t="n"/>
      <c r="D8" s="7" t="n"/>
      <c r="E8" s="5" t="inlineStr">
        <is>
          <t>Port of Discharge 卸货港</t>
        </is>
      </c>
      <c r="F8" s="6" t="inlineStr">
        <is>
          <t>NINGBO PORT, CHINA (CNNGB)</t>
        </is>
      </c>
      <c r="G8" s="7" t="n"/>
      <c r="H8" s="7" t="n"/>
      <c r="I8" s="7" t="n"/>
      <c r="J8" s="7" t="n"/>
    </row>
    <row r="9">
      <c r="A9" s="5" t="inlineStr">
        <is>
          <t>Receiver 收货人</t>
        </is>
      </c>
      <c r="B9" s="6" t="inlineStr">
        <is>
          <t>NINGBO HAIYUAN NEW MATERIAL TRADING CO., LTD.</t>
        </is>
      </c>
      <c r="C9" s="7" t="n"/>
      <c r="D9" s="7" t="n"/>
      <c r="E9" s="7" t="n"/>
      <c r="F9" s="5" t="inlineStr">
        <is>
          <t>Notify 通知方</t>
        </is>
      </c>
      <c r="G9" s="6" t="inlineStr">
        <is>
          <t>NINGBO DONGHAI INTERNATIONAL LOGISTICS CO., LTD.</t>
        </is>
      </c>
      <c r="H9" s="7" t="n"/>
      <c r="I9" s="7" t="n"/>
      <c r="J9" s="7" t="n"/>
    </row>
    <row r="11">
      <c r="A11" s="8" t="inlineStr">
        <is>
          <t>SHIPPING MARKS 唛头：ALN-26-0518 / MEG / JUBAIL TO NINGBO / MADE IN SAUDI ARABIA   |   PACKING 包装：BULK IN ISO TANK CONTAINERS (ISOTANK)</t>
        </is>
      </c>
    </row>
    <row r="13" ht="30" customHeight="1">
      <c r="A13" s="9" t="inlineStr">
        <is>
          <t>Item</t>
        </is>
      </c>
      <c r="B13" s="9" t="inlineStr">
        <is>
          <t>Container No. 罐号</t>
        </is>
      </c>
      <c r="C13" s="9" t="inlineStr">
        <is>
          <t>Tank Type</t>
        </is>
      </c>
      <c r="D13" s="9" t="inlineStr">
        <is>
          <t>No. of Tanks 件数</t>
        </is>
      </c>
      <c r="E13" s="9" t="inlineStr">
        <is>
          <t>Net Wt/Tank 单罐净重 KGS</t>
        </is>
      </c>
      <c r="F13" s="9" t="inlineStr">
        <is>
          <t>Gross Wt/Tank 单罐毛重 KGS</t>
        </is>
      </c>
      <c r="G13" s="9" t="inlineStr">
        <is>
          <t>Total Net Wt 净重 KGS</t>
        </is>
      </c>
      <c r="H13" s="9" t="inlineStr">
        <is>
          <t>Total Gross Wt 毛重 KGS</t>
        </is>
      </c>
      <c r="I13" s="9" t="inlineStr">
        <is>
          <t>Batch No. 批号</t>
        </is>
      </c>
      <c r="J13" s="9" t="inlineStr">
        <is>
          <t>Seal No. 封号</t>
        </is>
      </c>
    </row>
    <row r="14">
      <c r="A14" s="10" t="n">
        <v>1</v>
      </c>
      <c r="B14" s="10" t="inlineStr">
        <is>
          <t>TIFU 238137 3</t>
        </is>
      </c>
      <c r="C14" s="10" t="inlineStr">
        <is>
          <t>20FT ISOTANK</t>
        </is>
      </c>
      <c r="D14" s="10" t="n">
        <v>1</v>
      </c>
      <c r="E14" s="11" t="n">
        <v>20000</v>
      </c>
      <c r="F14" s="11" t="n">
        <v>20020</v>
      </c>
      <c r="G14" s="11">
        <f>D14*E14</f>
        <v/>
      </c>
      <c r="H14" s="11">
        <f>D14*F14</f>
        <v/>
      </c>
      <c r="I14" s="10" t="inlineStr">
        <is>
          <t>MEG2605-B12</t>
        </is>
      </c>
      <c r="J14" s="10" t="inlineStr">
        <is>
          <t>MSK-092151</t>
        </is>
      </c>
    </row>
    <row r="15">
      <c r="A15" s="10" t="n">
        <v>2</v>
      </c>
      <c r="B15" s="10" t="inlineStr">
        <is>
          <t>TIFU 238174 3</t>
        </is>
      </c>
      <c r="C15" s="10" t="inlineStr">
        <is>
          <t>20FT ISOTANK</t>
        </is>
      </c>
      <c r="D15" s="10" t="n">
        <v>1</v>
      </c>
      <c r="E15" s="11" t="n">
        <v>20000</v>
      </c>
      <c r="F15" s="11" t="n">
        <v>20020</v>
      </c>
      <c r="G15" s="11">
        <f>D15*E15</f>
        <v/>
      </c>
      <c r="H15" s="11">
        <f>D15*F15</f>
        <v/>
      </c>
      <c r="I15" s="10" t="inlineStr">
        <is>
          <t>MEG2605-B12</t>
        </is>
      </c>
      <c r="J15" s="10" t="inlineStr">
        <is>
          <t>MSK-092152</t>
        </is>
      </c>
    </row>
    <row r="16">
      <c r="A16" s="10" t="n">
        <v>3</v>
      </c>
      <c r="B16" s="10" t="inlineStr">
        <is>
          <t>TIFU 238211 3</t>
        </is>
      </c>
      <c r="C16" s="10" t="inlineStr">
        <is>
          <t>20FT ISOTANK</t>
        </is>
      </c>
      <c r="D16" s="10" t="n">
        <v>1</v>
      </c>
      <c r="E16" s="11" t="n">
        <v>20000</v>
      </c>
      <c r="F16" s="11" t="n">
        <v>20020</v>
      </c>
      <c r="G16" s="11">
        <f>D16*E16</f>
        <v/>
      </c>
      <c r="H16" s="11">
        <f>D16*F16</f>
        <v/>
      </c>
      <c r="I16" s="10" t="inlineStr">
        <is>
          <t>MEG2605-B12</t>
        </is>
      </c>
      <c r="J16" s="10" t="inlineStr">
        <is>
          <t>MSK-092153</t>
        </is>
      </c>
    </row>
    <row r="17">
      <c r="A17" s="10" t="n">
        <v>4</v>
      </c>
      <c r="B17" s="10" t="inlineStr">
        <is>
          <t>TIFU 238248 3</t>
        </is>
      </c>
      <c r="C17" s="10" t="inlineStr">
        <is>
          <t>20FT ISOTANK</t>
        </is>
      </c>
      <c r="D17" s="10" t="n">
        <v>1</v>
      </c>
      <c r="E17" s="11" t="n">
        <v>20000</v>
      </c>
      <c r="F17" s="11" t="n">
        <v>20020</v>
      </c>
      <c r="G17" s="11">
        <f>D17*E17</f>
        <v/>
      </c>
      <c r="H17" s="11">
        <f>D17*F17</f>
        <v/>
      </c>
      <c r="I17" s="10" t="inlineStr">
        <is>
          <t>MEG2605-B12</t>
        </is>
      </c>
      <c r="J17" s="10" t="inlineStr">
        <is>
          <t>MSK-092154</t>
        </is>
      </c>
    </row>
    <row r="18">
      <c r="A18" s="10" t="n">
        <v>5</v>
      </c>
      <c r="B18" s="10" t="inlineStr">
        <is>
          <t>TIFU 238285 3</t>
        </is>
      </c>
      <c r="C18" s="10" t="inlineStr">
        <is>
          <t>20FT ISOTANK</t>
        </is>
      </c>
      <c r="D18" s="10" t="n">
        <v>1</v>
      </c>
      <c r="E18" s="11" t="n">
        <v>20000</v>
      </c>
      <c r="F18" s="11" t="n">
        <v>20020</v>
      </c>
      <c r="G18" s="11">
        <f>D18*E18</f>
        <v/>
      </c>
      <c r="H18" s="11">
        <f>D18*F18</f>
        <v/>
      </c>
      <c r="I18" s="10" t="inlineStr">
        <is>
          <t>MEG2605-B12</t>
        </is>
      </c>
      <c r="J18" s="10" t="inlineStr">
        <is>
          <t>MSK-092155</t>
        </is>
      </c>
    </row>
    <row r="19">
      <c r="A19" s="10" t="n">
        <v>6</v>
      </c>
      <c r="B19" s="10" t="inlineStr">
        <is>
          <t>TIFU 238322 3</t>
        </is>
      </c>
      <c r="C19" s="10" t="inlineStr">
        <is>
          <t>20FT ISOTANK</t>
        </is>
      </c>
      <c r="D19" s="10" t="n">
        <v>1</v>
      </c>
      <c r="E19" s="11" t="n">
        <v>20000</v>
      </c>
      <c r="F19" s="11" t="n">
        <v>20020</v>
      </c>
      <c r="G19" s="11">
        <f>D19*E19</f>
        <v/>
      </c>
      <c r="H19" s="11">
        <f>D19*F19</f>
        <v/>
      </c>
      <c r="I19" s="10" t="inlineStr">
        <is>
          <t>MEG2605-B12</t>
        </is>
      </c>
      <c r="J19" s="10" t="inlineStr">
        <is>
          <t>MSK-092156</t>
        </is>
      </c>
    </row>
    <row r="20">
      <c r="A20" s="10" t="n">
        <v>7</v>
      </c>
      <c r="B20" s="10" t="inlineStr">
        <is>
          <t>TIFU 238359 3</t>
        </is>
      </c>
      <c r="C20" s="10" t="inlineStr">
        <is>
          <t>20FT ISOTANK</t>
        </is>
      </c>
      <c r="D20" s="10" t="n">
        <v>1</v>
      </c>
      <c r="E20" s="11" t="n">
        <v>20000</v>
      </c>
      <c r="F20" s="11" t="n">
        <v>20020</v>
      </c>
      <c r="G20" s="11">
        <f>D20*E20</f>
        <v/>
      </c>
      <c r="H20" s="11">
        <f>D20*F20</f>
        <v/>
      </c>
      <c r="I20" s="10" t="inlineStr">
        <is>
          <t>MEG2605-B12</t>
        </is>
      </c>
      <c r="J20" s="10" t="inlineStr">
        <is>
          <t>MSK-092157</t>
        </is>
      </c>
    </row>
    <row r="21">
      <c r="A21" s="10" t="n">
        <v>8</v>
      </c>
      <c r="B21" s="10" t="inlineStr">
        <is>
          <t>TIFU 238396 3</t>
        </is>
      </c>
      <c r="C21" s="10" t="inlineStr">
        <is>
          <t>20FT ISOTANK</t>
        </is>
      </c>
      <c r="D21" s="10" t="n">
        <v>1</v>
      </c>
      <c r="E21" s="11" t="n">
        <v>20000</v>
      </c>
      <c r="F21" s="11" t="n">
        <v>20020</v>
      </c>
      <c r="G21" s="11">
        <f>D21*E21</f>
        <v/>
      </c>
      <c r="H21" s="11">
        <f>D21*F21</f>
        <v/>
      </c>
      <c r="I21" s="10" t="inlineStr">
        <is>
          <t>MEG2605-B12</t>
        </is>
      </c>
      <c r="J21" s="10" t="inlineStr">
        <is>
          <t>MSK-092158</t>
        </is>
      </c>
    </row>
    <row r="22">
      <c r="A22" s="10" t="n">
        <v>9</v>
      </c>
      <c r="B22" s="10" t="inlineStr">
        <is>
          <t>TIFU 238433 3</t>
        </is>
      </c>
      <c r="C22" s="10" t="inlineStr">
        <is>
          <t>20FT ISOTANK</t>
        </is>
      </c>
      <c r="D22" s="10" t="n">
        <v>1</v>
      </c>
      <c r="E22" s="11" t="n">
        <v>20000</v>
      </c>
      <c r="F22" s="11" t="n">
        <v>20020</v>
      </c>
      <c r="G22" s="11">
        <f>D22*E22</f>
        <v/>
      </c>
      <c r="H22" s="11">
        <f>D22*F22</f>
        <v/>
      </c>
      <c r="I22" s="10" t="inlineStr">
        <is>
          <t>MEG2605-B12</t>
        </is>
      </c>
      <c r="J22" s="10" t="inlineStr">
        <is>
          <t>MSK-092159</t>
        </is>
      </c>
    </row>
    <row r="23">
      <c r="A23" s="12" t="inlineStr">
        <is>
          <t>TOTAL</t>
        </is>
      </c>
      <c r="B23" s="12" t="inlineStr">
        <is>
          <t>9 ISO TANKS</t>
        </is>
      </c>
      <c r="D23" s="12">
        <f>SUM(D14:D22)</f>
        <v/>
      </c>
      <c r="E23" s="12" t="inlineStr"/>
      <c r="F23" s="12" t="inlineStr"/>
      <c r="G23" s="13">
        <f>SUM(G14:G22)</f>
        <v/>
      </c>
      <c r="H23" s="13">
        <f>SUM(H14:H22)</f>
        <v/>
      </c>
      <c r="I23" s="14" t="inlineStr"/>
      <c r="J23" s="14" t="inlineStr"/>
    </row>
    <row r="25">
      <c r="A25" s="5" t="inlineStr">
        <is>
          <t>Total Number of Packages 总件数</t>
        </is>
      </c>
      <c r="B25" s="7" t="n"/>
      <c r="C25" s="7" t="n"/>
      <c r="D25" s="15">
        <f>D23</f>
        <v/>
      </c>
      <c r="E25" s="7" t="n"/>
    </row>
    <row r="26">
      <c r="A26" s="5" t="inlineStr">
        <is>
          <t>Total Net Weight (KGS) 总净重</t>
        </is>
      </c>
      <c r="B26" s="7" t="n"/>
      <c r="C26" s="7" t="n"/>
      <c r="D26" s="15">
        <f>G23</f>
        <v/>
      </c>
      <c r="E26" s="7" t="n"/>
    </row>
    <row r="27">
      <c r="A27" s="5" t="inlineStr">
        <is>
          <t>Total Gross Weight (KGS) 总毛重</t>
        </is>
      </c>
      <c r="B27" s="7" t="n"/>
      <c r="C27" s="7" t="n"/>
      <c r="D27" s="15">
        <f>H23</f>
        <v/>
      </c>
      <c r="E27" s="7" t="n"/>
    </row>
    <row r="28">
      <c r="A28" s="5" t="inlineStr">
        <is>
          <t>Tare Weight (KGS) 皮重</t>
        </is>
      </c>
      <c r="B28" s="7" t="n"/>
      <c r="C28" s="7" t="n"/>
      <c r="D28" s="15">
        <f>H23-G23</f>
        <v/>
      </c>
      <c r="E28" s="7" t="n"/>
    </row>
    <row r="30">
      <c r="A30" s="16" t="inlineStr">
        <is>
          <t>REMARKS / 备注</t>
        </is>
      </c>
    </row>
    <row r="31">
      <c r="A31" s="17" t="inlineStr">
        <is>
          <t>1. Goods are shipped in bulk in ISO tank containers, clean and odour-free for edible/industrial glycol service.</t>
        </is>
      </c>
    </row>
    <row r="32">
      <c r="A32" s="17" t="inlineStr">
        <is>
          <t>2. Tank No. and Seal No. as stated are to be verified against the Bill of Lading and the tank interchange receipt.</t>
        </is>
      </c>
    </row>
    <row r="33">
      <c r="A33" s="17" t="inlineStr">
        <is>
          <t>3. Net weight per tank declared by the shipper from loading weighbridge; destination weighing may differ within scale tolerance.</t>
        </is>
      </c>
    </row>
    <row r="35">
      <c r="A35" s="18" t="inlineStr">
        <is>
          <t>Prepared by: AL-NOOR PETROCHEMICAL TRADING COMPANY — Export Documentation Department</t>
        </is>
      </c>
    </row>
    <row r="36">
      <c r="A36" s="8" t="inlineStr">
        <is>
          <t>SIMULATED DOCUMENT — 仅用于进口单证核对流程测试</t>
        </is>
      </c>
    </row>
  </sheetData>
  <mergeCells count="27">
    <mergeCell ref="A25:C25"/>
    <mergeCell ref="B9:E9"/>
    <mergeCell ref="A32:J32"/>
    <mergeCell ref="B8:D8"/>
    <mergeCell ref="A27:C27"/>
    <mergeCell ref="A4:J4"/>
    <mergeCell ref="F6:J6"/>
    <mergeCell ref="A26:C26"/>
    <mergeCell ref="F7:J7"/>
    <mergeCell ref="G9:J9"/>
    <mergeCell ref="A31:J31"/>
    <mergeCell ref="D27:E27"/>
    <mergeCell ref="B23:C23"/>
    <mergeCell ref="F5:J5"/>
    <mergeCell ref="B6:D6"/>
    <mergeCell ref="F8:J8"/>
    <mergeCell ref="A11:J11"/>
    <mergeCell ref="A28:C28"/>
    <mergeCell ref="A1:J1"/>
    <mergeCell ref="B5:D5"/>
    <mergeCell ref="D28:E28"/>
    <mergeCell ref="B7:D7"/>
    <mergeCell ref="D25:E25"/>
    <mergeCell ref="A3:J3"/>
    <mergeCell ref="A2:J2"/>
    <mergeCell ref="D26:E26"/>
    <mergeCell ref="A33:J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2026-10-20T04:18:05Z</dcterms:created>
  <dcterms:modified xmlns:dcterms="http://purl.org/dc/terms/" xmlns:xsi="http://www.w3.org/2001/XMLSchema-instance" xsi:type="dcterms:W3CDTF">2026-10-20T04:18:05Z</dcterms:modified>
</cp:coreProperties>
</file>
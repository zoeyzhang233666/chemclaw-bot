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FOB" sheetId="2" state="visible" r:id="rId2"/>
    <sheet xmlns:r="http://schemas.openxmlformats.org/officeDocument/2006/relationships" name="CFR" sheetId="3" state="visible" r:id="rId3"/>
    <sheet xmlns:r="http://schemas.openxmlformats.org/officeDocument/2006/relationships" name="CIF" sheetId="4" state="visible" r:id="rId4"/>
    <sheet xmlns:r="http://schemas.openxmlformats.org/officeDocument/2006/relationships" name="口径对照" sheetId="5" state="visible" r:id="rId5"/>
    <sheet xmlns:r="http://schemas.openxmlformats.org/officeDocument/2006/relationships" name="敏感性分析" sheetId="6" state="visible" r:id="rId6"/>
    <sheet xmlns:r="http://schemas.openxmlformats.org/officeDocument/2006/relationships" name="数据来源" sheetId="7" state="visible" r:id="rId7"/>
    <sheet xmlns:r="http://schemas.openxmlformats.org/officeDocument/2006/relationships" name="术语规则" sheetId="8" state="visible" r:id="rId8"/>
  </sheets>
  <definedNames>
    <definedName name="_xlnm.Print_Area" localSheetId="1">'FOB'!$A$1:$F$66</definedName>
    <definedName name="_xlnm.Print_Area" localSheetId="2">'CFR'!$A$1:$F$66</definedName>
    <definedName name="_xlnm.Print_Area" localSheetId="3">'CIF'!$A$1:$F$66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00"/>
    <numFmt numFmtId="166" formatCode="0.000"/>
    <numFmt numFmtId="167" formatCode="0.0000%"/>
    <numFmt numFmtId="168" formatCode="0.0%"/>
  </numFmts>
  <fonts count="12">
    <font>
      <name val="Calibri"/>
      <family val="2"/>
      <color theme="1"/>
      <sz val="11"/>
      <scheme val="minor"/>
    </font>
    <font>
      <name val="微软雅黑"/>
      <b val="1"/>
      <color rgb="0012263A"/>
      <sz val="14"/>
    </font>
    <font>
      <name val="微软雅黑"/>
      <color rgb="00475569"/>
      <sz val="9"/>
    </font>
    <font>
      <name val="微软雅黑"/>
      <b val="1"/>
      <color rgb="0012263A"/>
      <sz val="10"/>
    </font>
    <font>
      <name val="微软雅黑"/>
      <color rgb="001F2937"/>
      <sz val="9.5"/>
    </font>
    <font>
      <name val="Consolas"/>
      <color rgb="001F2937"/>
      <sz val="9.5"/>
    </font>
    <font>
      <name val="微软雅黑"/>
      <b val="1"/>
      <color rgb="00FFFFFF"/>
      <sz val="10"/>
    </font>
    <font>
      <name val="微软雅黑"/>
      <b val="1"/>
      <color rgb="001F2937"/>
      <sz val="9.5"/>
    </font>
    <font>
      <name val="Consolas"/>
      <b val="1"/>
      <color rgb="0012263A"/>
      <sz val="11.5"/>
    </font>
    <font>
      <name val="微软雅黑"/>
      <b val="1"/>
      <color rgb="000E7C86"/>
      <sz val="10"/>
    </font>
    <font>
      <name val="微软雅黑"/>
      <b val="1"/>
      <color rgb="0012263A"/>
      <sz val="16"/>
    </font>
    <font>
      <name val="微软雅黑"/>
      <b val="1"/>
      <color rgb="000E7C86"/>
      <sz val="11"/>
    </font>
  </fonts>
  <fills count="12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8E1"/>
      </patternFill>
    </fill>
    <fill>
      <patternFill patternType="solid">
        <fgColor rgb="00F8FAFC"/>
      </patternFill>
    </fill>
    <fill>
      <patternFill patternType="solid">
        <fgColor rgb="000E7C86"/>
      </patternFill>
    </fill>
    <fill>
      <patternFill patternType="solid">
        <fgColor rgb="00E8F1F2"/>
      </patternFill>
    </fill>
    <fill>
      <patternFill patternType="solid">
        <fgColor rgb="0012263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4" fillId="0" borderId="1" pivotButton="0" quotePrefix="0" xfId="0"/>
    <xf numFmtId="4" fontId="5" fillId="3" borderId="1" pivotButton="0" quotePrefix="0" xfId="0"/>
    <xf numFmtId="0" fontId="2" fillId="0" borderId="1" applyAlignment="1" pivotButton="0" quotePrefix="0" xfId="0">
      <alignment vertical="center" wrapText="1"/>
    </xf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4" borderId="1" pivotButton="0" quotePrefix="0" xfId="0"/>
    <xf numFmtId="0" fontId="6" fillId="5" borderId="1" pivotButton="0" quotePrefix="0" xfId="0"/>
    <xf numFmtId="4" fontId="5" fillId="4" borderId="1" pivotButton="0" quotePrefix="0" xfId="0"/>
    <xf numFmtId="0" fontId="2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4" fontId="5" fillId="6" borderId="1" pivotButton="0" quotePrefix="0" xfId="0"/>
    <xf numFmtId="167" fontId="8" fillId="3" borderId="1" pivotButton="0" quotePrefix="0" xfId="0"/>
    <xf numFmtId="167" fontId="5" fillId="3" borderId="1" pivotButton="0" quotePrefix="0" xfId="0"/>
    <xf numFmtId="4" fontId="8" fillId="6" borderId="1" pivotButton="0" quotePrefix="0" xfId="0"/>
    <xf numFmtId="4" fontId="8" fillId="4" borderId="1" pivotButton="0" quotePrefix="0" xfId="0"/>
    <xf numFmtId="0" fontId="1" fillId="0" borderId="0" pivotButton="0" quotePrefix="0" xfId="0"/>
    <xf numFmtId="0" fontId="6" fillId="7" borderId="1" applyAlignment="1" pivotButton="0" quotePrefix="0" xfId="0">
      <alignment horizontal="center"/>
    </xf>
    <xf numFmtId="4" fontId="5" fillId="0" borderId="1" pivotButton="0" quotePrefix="0" xfId="0"/>
    <xf numFmtId="4" fontId="0" fillId="0" borderId="1" pivotButton="0" quotePrefix="0" xfId="0"/>
    <xf numFmtId="0" fontId="7" fillId="6" borderId="1" pivotButton="0" quotePrefix="0" xfId="0"/>
    <xf numFmtId="4" fontId="0" fillId="6" borderId="1" pivotButton="0" quotePrefix="0" xfId="0"/>
    <xf numFmtId="0" fontId="5" fillId="6" borderId="1" pivotButton="0" quotePrefix="0" xfId="0"/>
    <xf numFmtId="0" fontId="9" fillId="0" borderId="0" pivotButton="0" quotePrefix="0" xfId="0"/>
    <xf numFmtId="4" fontId="8" fillId="0" borderId="1" pivotButton="0" quotePrefix="0" xfId="0"/>
    <xf numFmtId="0" fontId="6" fillId="5" borderId="0" pivotButton="0" quotePrefix="0" xfId="0"/>
    <xf numFmtId="168" fontId="5" fillId="0" borderId="1" pivotButton="0" quotePrefix="0" xfId="0"/>
    <xf numFmtId="10" fontId="5" fillId="0" borderId="1" pivotButton="0" quotePrefix="0" xfId="0"/>
    <xf numFmtId="0" fontId="6" fillId="7" borderId="1" pivotButton="0" quotePrefix="0" xfId="0"/>
    <xf numFmtId="0" fontId="5" fillId="0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三口径到厂成本（元/吨）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'口径对照'!$C$4:$E$4</f>
            </numRef>
          </cat>
          <val>
            <numRef>
              <f>'口径对照'!$C$13:$E$13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263A"/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2" customWidth="1" min="2" max="2"/>
  </cols>
  <sheetData>
    <row r="1">
      <c r="B1" s="1" t="inlineStr">
        <is>
          <t>进口到厂成本计算器 · Excel 版</t>
        </is>
      </c>
    </row>
    <row r="2">
      <c r="B2" s="2" t="inlineStr">
        <is>
          <t>FOB / CFR / CIF 三口径 · 全公式 · 改参数自动重算</t>
        </is>
      </c>
    </row>
    <row r="4">
      <c r="B4" s="3" t="inlineStr">
        <is>
          <t>【30 秒上手】</t>
        </is>
      </c>
    </row>
    <row r="5">
      <c r="B5" s="4" t="inlineStr">
        <is>
          <t>只改黄色单元格：C6 单价、C7 数量、C10 市场汇率、C11 海关计征汇率、C14 海运费（仅 FOB）、C46~C51 境内费用。</t>
        </is>
      </c>
    </row>
    <row r="6">
      <c r="B6" s="4" t="inlineStr">
        <is>
          <t>看三个数：C61 最终经济成本 元/吨（★到厂成本）；C58 整票现金支出；C42 进口环节增值税现金。</t>
        </is>
      </c>
    </row>
    <row r="7">
      <c r="B7" s="4" t="inlineStr">
        <is>
          <t>C64 状态若为「待补全」，说明有关键项没填——先补数据，不要用 C65 已知小计冒充完整到厂价。</t>
        </is>
      </c>
    </row>
    <row r="8">
      <c r="B8" s="4" t="inlineStr"/>
    </row>
    <row r="9">
      <c r="B9" s="3" t="inlineStr">
        <is>
          <t>【三口径怎么防重复计费】</t>
        </is>
      </c>
    </row>
    <row r="10">
      <c r="B10" s="4" t="inlineStr">
        <is>
          <t>CFR 页：C29 海运费自动为 0（报价已含）；CIF 页：C29 与 C30 都为 0（海运+保险均已含）。</t>
        </is>
      </c>
    </row>
    <row r="11">
      <c r="B11" s="4" t="inlineStr">
        <is>
          <t>由此，CFR/CIF 报价里已经付过的运费/保费不会被再加一次。</t>
        </is>
      </c>
    </row>
    <row r="12">
      <c r="B12" s="4" t="inlineStr"/>
    </row>
    <row r="13">
      <c r="B13" s="3" t="inlineStr">
        <is>
          <t>【关税与增值税】</t>
        </is>
      </c>
    </row>
    <row r="14">
      <c r="B14" s="4" t="inlineStr">
        <is>
          <t>关税税率 C33 必须按税则查询后录入；可享优惠时先核验 4 道闸门：协定生效 / 降税清单 / 原产地规则 / 有效证书。</t>
        </is>
      </c>
    </row>
    <row r="15">
      <c r="B15" s="4" t="inlineStr">
        <is>
          <t>增值税分两栏：C42 现金支出 / C43 可抵扣进项；C60 = 现金支出 − 可抵扣。</t>
        </is>
      </c>
    </row>
    <row r="16">
      <c r="B16" s="4" t="inlineStr">
        <is>
          <t>把 C36 改成「否」（不可抵扣），增值税会全额进入最终成本。</t>
        </is>
      </c>
    </row>
    <row r="17">
      <c r="B17" s="4" t="inlineStr"/>
    </row>
    <row r="18">
      <c r="B18" s="3" t="inlineStr">
        <is>
          <t>【税费公式】</t>
        </is>
      </c>
    </row>
    <row r="19">
      <c r="B19" s="4" t="inlineStr">
        <is>
          <t>关税计税价格 =（货值+包装+起运港+出口侧+海运+实际保险+应计入保险）× 海关计征汇率</t>
        </is>
      </c>
    </row>
    <row r="20">
      <c r="B20" s="4" t="inlineStr">
        <is>
          <t>应纳关税 = 关税计税价格 × 关税税率（不可抵扣，一定进成本）</t>
        </is>
      </c>
    </row>
    <row r="21">
      <c r="B21" s="4" t="inlineStr">
        <is>
          <t>组成计税价格 = 计税价格 + 关税 + 反倾销税</t>
        </is>
      </c>
    </row>
    <row r="22">
      <c r="B22" s="4" t="inlineStr">
        <is>
          <t>进口环节增值税 = 组成计税价格 × 13%（现金支出；可抵扣时不计入最终成本）</t>
        </is>
      </c>
    </row>
    <row r="23">
      <c r="B23" s="4" t="inlineStr">
        <is>
          <t>保险费未确定时 =（货价+运费）×0.3‰ ÷ (1−0.3‰)（《确定计税价格办法》第36条）</t>
        </is>
      </c>
    </row>
    <row r="24">
      <c r="B24" s="4" t="inlineStr"/>
    </row>
    <row r="25">
      <c r="B25" s="3" t="inlineStr">
        <is>
          <t>【免责】</t>
        </is>
      </c>
    </row>
    <row r="26">
      <c r="B26" s="4" t="inlineStr">
        <is>
          <t>运费/保险/港杂/仓储为模拟情景；税率须按核验日期重新确认；最终金额以海关核定与实际单据为准。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B1:F6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17" customWidth="1" min="3" max="3"/>
    <col width="13" customWidth="1" min="4" max="4"/>
    <col width="10" customWidth="1" min="5" max="5"/>
    <col width="40" customWidth="1" min="6" max="6"/>
  </cols>
  <sheetData>
    <row r="1" ht="19" customHeight="1">
      <c r="B1" s="5" t="inlineStr">
        <is>
          <t>① 商品与交易信息</t>
        </is>
      </c>
      <c r="C1" s="6" t="n"/>
      <c r="D1" s="6" t="n"/>
      <c r="E1" s="6" t="n"/>
      <c r="F1" s="6" t="n"/>
    </row>
    <row r="2">
      <c r="B2" s="7" t="inlineStr">
        <is>
          <t>产品</t>
        </is>
      </c>
      <c r="C2" s="8" t="inlineStr">
        <is>
          <t>工业级乙二醇 MEG</t>
        </is>
      </c>
      <c r="D2" s="7" t="inlineStr">
        <is>
          <t>规格</t>
        </is>
      </c>
      <c r="E2" s="8" t="inlineStr">
        <is>
          <t>≥99.9% 工业级</t>
        </is>
      </c>
    </row>
    <row r="3">
      <c r="B3" s="7" t="inlineStr">
        <is>
          <t>HS编码</t>
        </is>
      </c>
      <c r="C3" s="8" t="inlineStr">
        <is>
          <t>29053100</t>
        </is>
      </c>
      <c r="D3" s="7" t="inlineStr">
        <is>
          <t>原产国</t>
        </is>
      </c>
      <c r="E3" s="8" t="inlineStr">
        <is>
          <t>SA 沙特阿拉伯</t>
        </is>
      </c>
    </row>
    <row r="4">
      <c r="B4" s="7" t="inlineStr">
        <is>
          <t>目的地</t>
        </is>
      </c>
      <c r="C4" s="8" t="inlineStr">
        <is>
          <t>宁波港 → 江苏苏州</t>
        </is>
      </c>
      <c r="D4" s="7" t="inlineStr">
        <is>
          <t>指定地点</t>
        </is>
      </c>
      <c r="E4" s="8" t="inlineStr">
        <is>
          <t>沙特朱拜勒 Al Jubail</t>
        </is>
      </c>
    </row>
    <row r="5" ht="19" customHeight="1">
      <c r="B5" s="5" t="inlineStr">
        <is>
          <t>② 报价与费用参数（黄色=可改，白色=公式；未填=待确认，绝不当作 0）</t>
        </is>
      </c>
      <c r="C5" s="6" t="n"/>
      <c r="D5" s="6" t="n"/>
      <c r="E5" s="6" t="n"/>
      <c r="F5" s="6" t="n"/>
    </row>
    <row r="6">
      <c r="B6" s="9" t="inlineStr">
        <is>
          <t>供应商单价（原币/计价单位）</t>
        </is>
      </c>
      <c r="C6" s="10" t="n">
        <v>640</v>
      </c>
      <c r="D6" s="6" t="n"/>
      <c r="E6" s="6" t="n"/>
      <c r="F6" s="11" t="inlineStr">
        <is>
          <t>黄色单元格可修改</t>
        </is>
      </c>
    </row>
    <row r="7">
      <c r="B7" s="9" t="inlineStr">
        <is>
          <t>数量（吨）</t>
        </is>
      </c>
      <c r="C7" s="12" t="n">
        <v>62.5</v>
      </c>
      <c r="D7" s="6" t="n"/>
      <c r="E7" s="6" t="n"/>
      <c r="F7" s="11" t="inlineStr">
        <is>
          <t>25×40' ISO 罐 × 25.0 吨</t>
        </is>
      </c>
    </row>
    <row r="8">
      <c r="B8" s="9" t="inlineStr">
        <is>
          <t>单价计价单位（MT / CONTAINER）</t>
        </is>
      </c>
      <c r="C8" s="8" t="inlineStr">
        <is>
          <t>MT</t>
        </is>
      </c>
      <c r="D8" s="6" t="n"/>
      <c r="E8" s="6" t="n"/>
      <c r="F8" s="11" t="inlineStr">
        <is>
          <t>MT=每吨价；CONTAINER=每柜价</t>
        </is>
      </c>
    </row>
    <row r="9">
      <c r="B9" s="9" t="inlineStr">
        <is>
          <t>包装是否已含于单价（TRUE/FALSE）</t>
        </is>
      </c>
      <c r="C9" s="8" t="inlineStr">
        <is>
          <t>TRUE</t>
        </is>
      </c>
      <c r="D9" s="6" t="n"/>
      <c r="E9" s="6" t="n"/>
      <c r="F9" s="11" t="inlineStr">
        <is>
          <t>《关税法》第25条：包装费计入计税价格</t>
        </is>
      </c>
    </row>
    <row r="10">
      <c r="B10" s="9" t="inlineStr">
        <is>
          <t>市场参考汇率 USD/CNY</t>
        </is>
      </c>
      <c r="C10" s="13" t="n">
        <v>6.6807</v>
      </c>
      <c r="D10" s="6" t="n"/>
      <c r="E10" s="6" t="n"/>
      <c r="F10" s="11" t="inlineStr">
        <is>
          <t>ECB 2026-10-19；exchangerate-api 2026-10-20=6.69</t>
        </is>
      </c>
    </row>
    <row r="11">
      <c r="B11" s="9" t="inlineStr">
        <is>
          <t>海关计征汇率 USD/CNY（演示占位值，须替换）</t>
        </is>
      </c>
      <c r="C11" s="13" t="n">
        <v>6.72</v>
      </c>
      <c r="D11" s="6" t="n"/>
      <c r="E11" s="6" t="n"/>
      <c r="F11" s="11" t="inlineStr">
        <is>
          <t>演示占位 6.7200（非2026-09-16官方值）；请替换为申报日对应上月第三个星期三亚行中间价；留空=待补全</t>
        </is>
      </c>
    </row>
    <row r="12">
      <c r="B12" s="9" t="inlineStr">
        <is>
          <t>出口侧费用 USD（EXW/FCA 填）</t>
        </is>
      </c>
      <c r="C12" s="10" t="n"/>
      <c r="D12" s="6" t="n"/>
      <c r="E12" s="6" t="n"/>
      <c r="F12" s="11" t="inlineStr">
        <is>
          <t>其余术语自动置 0</t>
        </is>
      </c>
    </row>
    <row r="13">
      <c r="B13" s="9" t="inlineStr">
        <is>
          <t>起运港费用 USD（EXW/FCA 填）</t>
        </is>
      </c>
      <c r="C13" s="10" t="n"/>
      <c r="D13" s="6" t="n"/>
      <c r="E13" s="6" t="n"/>
      <c r="F13" s="11" t="inlineStr">
        <is>
          <t>FOB 及以上已含，自动置 0</t>
        </is>
      </c>
    </row>
    <row r="14">
      <c r="B14" s="9" t="inlineStr">
        <is>
          <t>海运费 USD/MT（报价未含时填）</t>
        </is>
      </c>
      <c r="C14" s="10" t="n">
        <v>45</v>
      </c>
      <c r="D14" s="6" t="n"/>
      <c r="E14" s="6" t="n"/>
      <c r="F14" s="11" t="inlineStr">
        <is>
          <t>仅 FOB/EXW/FCA/FAS 需要</t>
        </is>
      </c>
    </row>
    <row r="15">
      <c r="B15" s="9" t="inlineStr">
        <is>
          <t>整票海运费 USD（可选）</t>
        </is>
      </c>
      <c r="C15" s="10" t="n"/>
      <c r="D15" s="6" t="n"/>
      <c r="E15" s="6" t="n"/>
      <c r="F15" s="11" t="inlineStr">
        <is>
          <t>货代按整票报价时填，优先于单价</t>
        </is>
      </c>
    </row>
    <row r="16">
      <c r="B16" s="9" t="inlineStr">
        <is>
          <t>保险费率 ‰</t>
        </is>
      </c>
      <c r="C16" s="14" t="n">
        <v>0.55</v>
      </c>
      <c r="D16" s="6" t="n"/>
      <c r="E16" s="6" t="n"/>
      <c r="F16" s="11" t="inlineStr">
        <is>
          <t>保费=(货值+运费)×费率×110%（模拟）</t>
        </is>
      </c>
    </row>
    <row r="17">
      <c r="B17" s="9" t="inlineStr">
        <is>
          <t>实际保险费 USD（可选）</t>
        </is>
      </c>
      <c r="C17" s="10" t="n"/>
      <c r="D17" s="6" t="n"/>
      <c r="E17" s="6" t="n"/>
      <c r="F17" s="11" t="inlineStr">
        <is>
          <t>有保单时填，优先于费率</t>
        </is>
      </c>
    </row>
    <row r="18">
      <c r="B18" s="9" t="inlineStr">
        <is>
          <t>保险是否已含于报价（TRUE/FALSE）</t>
        </is>
      </c>
      <c r="C18" s="8" t="inlineStr">
        <is>
          <t>FALSE</t>
        </is>
      </c>
      <c r="D18" s="6" t="n"/>
      <c r="E18" s="6" t="n"/>
      <c r="F18" s="11" t="inlineStr">
        <is>
          <t>CIF 默认 TRUE</t>
        </is>
      </c>
    </row>
    <row r="19">
      <c r="B19" s="9" t="inlineStr">
        <is>
          <t>包装费另计 USD</t>
        </is>
      </c>
      <c r="C19" s="10" t="n">
        <v>0</v>
      </c>
      <c r="D19" s="6" t="n"/>
      <c r="E19" s="6" t="n"/>
      <c r="F19" s="11" t="inlineStr">
        <is>
          <t>PI 另计包装时填；已含填 0</t>
        </is>
      </c>
    </row>
    <row r="20">
      <c r="B20" s="9" t="inlineStr">
        <is>
          <t>报价已含海运费（按术语判定）</t>
        </is>
      </c>
      <c r="C20" s="15">
        <f>OR("FOB"="CFR","FOB"="CIF","FOB"="CPT","FOB"="CIP","FOB"="DAP","FOB"="DPU","FOB"="DDP")</f>
        <v/>
      </c>
      <c r="D20" s="6" t="n"/>
      <c r="E20" s="6" t="n"/>
      <c r="F20" s="11" t="inlineStr">
        <is>
          <t>Incoterms 2020</t>
        </is>
      </c>
    </row>
    <row r="21">
      <c r="B21" s="9" t="inlineStr">
        <is>
          <t>报价已含保险费（按术语判定）</t>
        </is>
      </c>
      <c r="C21" s="15">
        <f>OR("FOB"="CIF","FOB"="CIP","FOB"="DDP")</f>
        <v/>
      </c>
      <c r="D21" s="6" t="n"/>
      <c r="E21" s="6" t="n"/>
      <c r="F21" s="11" t="inlineStr">
        <is>
          <t>Incoterms 2020</t>
        </is>
      </c>
    </row>
    <row r="22">
      <c r="B22" s="9" t="inlineStr">
        <is>
          <t>报价已含起运港费用（按术语判定）</t>
        </is>
      </c>
      <c r="C22" s="15">
        <f>NOT(OR("FOB"="EXW","FOB"="FCA"))</f>
        <v/>
      </c>
      <c r="D22" s="6" t="n"/>
      <c r="E22" s="6" t="n"/>
      <c r="F22" s="11" t="inlineStr">
        <is>
          <t>EXW/FCA 不含装运港费用</t>
        </is>
      </c>
    </row>
    <row r="23" ht="19" customHeight="1">
      <c r="B23" s="16" t="inlineStr">
        <is>
          <t>③ 第一层：货值 → 到岸（C=原币；D=人民币，按市场参考汇率）</t>
        </is>
      </c>
      <c r="C23" s="6" t="n"/>
      <c r="D23" s="6" t="n"/>
      <c r="E23" s="6" t="n"/>
      <c r="F23" s="6" t="n"/>
    </row>
    <row r="24">
      <c r="B24" s="9" t="inlineStr">
        <is>
          <t>货值（单价×数量）</t>
        </is>
      </c>
      <c r="C24" s="15">
        <f>IF(AND(ISNUMBER(C6),ISNUMBER(C7)),C6*C7,"")</f>
        <v/>
      </c>
      <c r="D24" s="17">
        <f>IF(ISNUMBER(C24),C24*$C$10,"")</f>
        <v/>
      </c>
      <c r="E24" s="18" t="inlineStr">
        <is>
          <t>人民币</t>
        </is>
      </c>
      <c r="F24" s="11" t="inlineStr">
        <is>
          <t>整票货值（原币）</t>
        </is>
      </c>
    </row>
    <row r="25">
      <c r="B25" s="9" t="inlineStr">
        <is>
          <t>单吨货值</t>
        </is>
      </c>
      <c r="C25" s="15">
        <f>IF(AND(ISNUMBER(C24),C7&gt;0),C24/C7,"")</f>
        <v/>
      </c>
      <c r="D25" s="17">
        <f>IF(ISNUMBER(C25),C25*$C$10,"")</f>
        <v/>
      </c>
      <c r="E25" s="18" t="inlineStr">
        <is>
          <t>人民币</t>
        </is>
      </c>
      <c r="F25" s="11" t="inlineStr">
        <is>
          <t>原币/吨</t>
        </is>
      </c>
    </row>
    <row r="26">
      <c r="B26" s="9" t="inlineStr">
        <is>
          <t>包装费（另计）</t>
        </is>
      </c>
      <c r="C26" s="15">
        <f>IF(C9=TRUE,0,IF(ISNUMBER(C19),C19,""))</f>
        <v/>
      </c>
      <c r="D26" s="17">
        <f>IF(ISNUMBER(C26),C26*$C$10,"")</f>
        <v/>
      </c>
      <c r="E26" s="18" t="inlineStr">
        <is>
          <t>人民币</t>
        </is>
      </c>
      <c r="F26" s="11" t="inlineStr">
        <is>
          <t>单价已含包装 → 0</t>
        </is>
      </c>
    </row>
    <row r="27">
      <c r="B27" s="9" t="inlineStr">
        <is>
          <t>起运港费用</t>
        </is>
      </c>
      <c r="C27" s="15">
        <f>IF(C22,0,IF(ISNUMBER(C13),C13,""))</f>
        <v/>
      </c>
      <c r="D27" s="17">
        <f>IF(ISNUMBER(C27),C27*$C$10,"")</f>
        <v/>
      </c>
      <c r="E27" s="18" t="inlineStr">
        <is>
          <t>人民币</t>
        </is>
      </c>
      <c r="F27" s="11" t="inlineStr">
        <is>
          <t>报价已含 → 0</t>
        </is>
      </c>
    </row>
    <row r="28">
      <c r="B28" s="9" t="inlineStr">
        <is>
          <t>出口侧费用</t>
        </is>
      </c>
      <c r="C28" s="15">
        <f>IF(C22,0,IF(ISNUMBER(C12),C12,""))</f>
        <v/>
      </c>
      <c r="D28" s="17">
        <f>IF(ISNUMBER(C28),C28*$C$10,"")</f>
        <v/>
      </c>
      <c r="E28" s="18" t="inlineStr">
        <is>
          <t>人民币</t>
        </is>
      </c>
      <c r="F28" s="11" t="inlineStr">
        <is>
          <t>报价已含 → 0</t>
        </is>
      </c>
    </row>
    <row r="29">
      <c r="B29" s="9" t="inlineStr">
        <is>
          <t>海运费（整票）</t>
        </is>
      </c>
      <c r="C29" s="15">
        <f>IF(C20,0,IF(ISNUMBER(C15),C15,IF(AND(ISNUMBER(C14),ISNUMBER(C7)),C14*C7,"")))</f>
        <v/>
      </c>
      <c r="D29" s="17">
        <f>IF(ISNUMBER(C29),C29*$C$10,"")</f>
        <v/>
      </c>
      <c r="E29" s="18" t="inlineStr">
        <is>
          <t>人民币</t>
        </is>
      </c>
      <c r="F29" s="11" t="inlineStr">
        <is>
          <t>CFR/CIF 已含 → 0（不重复计费）</t>
        </is>
      </c>
    </row>
    <row r="30">
      <c r="B30" s="9" t="inlineStr">
        <is>
          <t>保险费（实际）</t>
        </is>
      </c>
      <c r="C30" s="15">
        <f>IF(C18,0,IF(ISNUMBER(C17),C17,IF(AND(ISNUMBER(C16),ISNUMBER(C24),ISNUMBER(C29)),(C24+C29)*C16/100*1.1,"")))</f>
        <v/>
      </c>
      <c r="D30" s="17">
        <f>IF(ISNUMBER(C30),C30*$C$10,"")</f>
        <v/>
      </c>
      <c r="E30" s="18" t="inlineStr">
        <is>
          <t>人民币</t>
        </is>
      </c>
      <c r="F30" s="11" t="inlineStr">
        <is>
          <t>CIF 已含 → 0；费率按 110% 投保额</t>
        </is>
      </c>
    </row>
    <row r="31">
      <c r="B31" s="19" t="inlineStr">
        <is>
          <t>到岸成本合计（CIF 等值）</t>
        </is>
      </c>
      <c r="C31" s="20">
        <f>IF(COUNT(C24,C26,C27,C28,C29,C30)=6,SUM(C24,C26,C27,C28,C29,C30),"")</f>
        <v/>
      </c>
      <c r="D31" s="21">
        <f>IF(ISNUMBER(C31),C31*$C$10,"")</f>
        <v/>
      </c>
      <c r="E31" s="18" t="inlineStr">
        <is>
          <t>人民币</t>
        </is>
      </c>
      <c r="F31" s="11" t="inlineStr">
        <is>
          <t>货值+包装+起运港+出口侧+海运+保险（原币与人民币两列）</t>
        </is>
      </c>
    </row>
    <row r="32" ht="19" customHeight="1">
      <c r="B32" s="16" t="inlineStr">
        <is>
          <t>④ 第二层：进口税费（关税不可抵扣；增值税分现金/可抵扣两栏）</t>
        </is>
      </c>
      <c r="C32" s="6" t="n"/>
      <c r="D32" s="6" t="n"/>
      <c r="E32" s="6" t="n"/>
      <c r="F32" s="6" t="n"/>
    </row>
    <row r="33">
      <c r="B33" s="19" t="inlineStr">
        <is>
          <t>关税税率（实征，从税则查询录入）</t>
        </is>
      </c>
      <c r="C33" s="22" t="n">
        <v>0.055</v>
      </c>
      <c r="D33" s="6" t="n"/>
      <c r="E33" s="6" t="n"/>
      <c r="F33" s="11" t="inlineStr">
        <is>
          <t>来源与核验日期见【数据来源】页</t>
        </is>
      </c>
    </row>
    <row r="34">
      <c r="B34" s="9" t="inlineStr">
        <is>
          <t>反倾销/反补贴税率</t>
        </is>
      </c>
      <c r="C34" s="23" t="n">
        <v>0</v>
      </c>
      <c r="D34" s="6" t="n"/>
      <c r="E34" s="6" t="n"/>
      <c r="F34" s="11" t="inlineStr">
        <is>
          <t>核验后填写；未查到填 0 并注明（≠不存在）</t>
        </is>
      </c>
    </row>
    <row r="35">
      <c r="B35" s="9" t="inlineStr">
        <is>
          <t>进口环节增值税率</t>
        </is>
      </c>
      <c r="C35" s="23" t="n">
        <v>0.13</v>
      </c>
      <c r="D35" s="6" t="n"/>
      <c r="E35" s="6" t="n"/>
      <c r="F35" s="11" t="inlineStr">
        <is>
          <t>一般货物 13%</t>
        </is>
      </c>
    </row>
    <row r="36">
      <c r="B36" s="9" t="inlineStr">
        <is>
          <t>增值税是否可抵扣（是/否）</t>
        </is>
      </c>
      <c r="C36" s="8" t="inlineStr">
        <is>
          <t>是</t>
        </is>
      </c>
      <c r="D36" s="6" t="n"/>
      <c r="E36" s="6" t="n"/>
      <c r="F36" s="11" t="inlineStr">
        <is>
          <t>一般纳税人且用于应税项目=是</t>
        </is>
      </c>
    </row>
    <row r="37">
      <c r="B37" s="9" t="inlineStr">
        <is>
          <t>其中：计入计税价格的保险费</t>
        </is>
      </c>
      <c r="C37" s="17">
        <f>IF(C18=TRUE,0,IF(ISNUMBER(C30),C30,IF(AND(ISNUMBER(C24),ISNUMBER(C29)),((C24)+IF(C9=TRUE,0,IF(ISNUMBER(C19),C19,0))+IF(C22,0,IF(ISNUMBER(C13),C13,0))+IF(C22,0,IF(ISNUMBER(C12),C12,0))+C29)*0.003/0.997,"")))</f>
        <v/>
      </c>
      <c r="D37" s="6" t="n"/>
      <c r="E37" s="6" t="n"/>
      <c r="F37" s="11" t="inlineStr">
        <is>
          <t>未投保时按（货价+运费）×0.3‰（第36条）</t>
        </is>
      </c>
    </row>
    <row r="38">
      <c r="B38" s="19" t="inlineStr">
        <is>
          <t>关税计税价格（人民币，完税价格）</t>
        </is>
      </c>
      <c r="C38" s="24">
        <f>IF(AND(ISNUMBER(C24),ISNUMBER(C11),ISNUMBER(C26),ISNUMBER(C28),ISNUMBER(C29),ISNUMBER(C30),ISNUMBER(C37)),(C24+C26+IF(ISNUMBER(C27),C27,0)+C28+C29+IF(C18,0,C37))*C11,"")</f>
        <v/>
      </c>
      <c r="D38" s="6" t="n"/>
      <c r="E38" s="6" t="n"/>
      <c r="F38" s="11" t="inlineStr">
        <is>
          <t>＝(货值+包装+起运港+出口侧+海运+实际保险+应计保险)×海关计征汇率</t>
        </is>
      </c>
    </row>
    <row r="39">
      <c r="B39" s="9" t="inlineStr">
        <is>
          <t>应纳关税</t>
        </is>
      </c>
      <c r="C39" s="17">
        <f>IF(AND(ISNUMBER(C38),ISNUMBER(C33)),C38*C33,"")</f>
        <v/>
      </c>
      <c r="D39" s="6" t="n"/>
      <c r="E39" s="6" t="n"/>
      <c r="F39" s="11" t="inlineStr">
        <is>
          <t>＝计税价格×实征税率（不可抵扣，一定进成本）</t>
        </is>
      </c>
    </row>
    <row r="40">
      <c r="B40" s="9" t="inlineStr">
        <is>
          <t>反倾销/反补贴税</t>
        </is>
      </c>
      <c r="C40" s="17">
        <f>IF(AND(ISNUMBER(C38),ISNUMBER(C34)),C38*C34,"")</f>
        <v/>
      </c>
      <c r="D40" s="6" t="n"/>
      <c r="E40" s="6" t="n"/>
      <c r="F40" s="11" t="inlineStr">
        <is>
          <t>＝计税价格×措施税率</t>
        </is>
      </c>
    </row>
    <row r="41">
      <c r="B41" s="9" t="inlineStr">
        <is>
          <t>组成计税价格（增值税基数）</t>
        </is>
      </c>
      <c r="C41" s="17">
        <f>IF(AND(ISNUMBER(C38),ISNUMBER(C39)),C38+C39+C40,"")</f>
        <v/>
      </c>
      <c r="D41" s="6" t="n"/>
      <c r="E41" s="6" t="n"/>
      <c r="F41" s="11" t="inlineStr">
        <is>
          <t>＝计税价格+关税+反倾销税（+消费税，本产品无）</t>
        </is>
      </c>
    </row>
    <row r="42">
      <c r="B42" s="19" t="inlineStr">
        <is>
          <t>进口环节增值税（现金支出）</t>
        </is>
      </c>
      <c r="C42" s="24">
        <f>IF(AND(ISNUMBER(C41),ISNUMBER(C35)),C41*C35,"")</f>
        <v/>
      </c>
      <c r="D42" s="6" t="n"/>
      <c r="E42" s="6" t="n"/>
      <c r="F42" s="11" t="inlineStr">
        <is>
          <t>＝组成计税价格×13%；现金支出，另行列可抵扣</t>
        </is>
      </c>
    </row>
    <row r="43">
      <c r="B43" s="9" t="inlineStr">
        <is>
          <t>其中：可抵扣进项税额</t>
        </is>
      </c>
      <c r="C43" s="17">
        <f>IF(AND(ISNUMBER(C42),LEFT(C36,1)="是"),C42,0)</f>
        <v/>
      </c>
      <c r="D43" s="6" t="n"/>
      <c r="E43" s="6" t="n"/>
      <c r="F43" s="11" t="inlineStr">
        <is>
          <t>可抵扣部分不计入最终经济成本</t>
        </is>
      </c>
    </row>
    <row r="44">
      <c r="B44" s="9" t="inlineStr">
        <is>
          <t>其中：不可抵扣部分（进成本）</t>
        </is>
      </c>
      <c r="C44" s="17">
        <f>IF(ISNUMBER(C42),C42-C43,"")</f>
        <v/>
      </c>
      <c r="D44" s="6" t="n"/>
      <c r="E44" s="6" t="n"/>
      <c r="F44" s="11" t="inlineStr">
        <is>
          <t>不可抵扣时全额进入成本</t>
        </is>
      </c>
    </row>
    <row r="45" ht="19" customHeight="1">
      <c r="B45" s="16" t="inlineStr">
        <is>
          <t>⑤ 第三层：口岸与境内物流（人民币，整票；不进入计税价格）</t>
        </is>
      </c>
      <c r="C45" s="6" t="n"/>
      <c r="D45" s="6" t="n"/>
      <c r="E45" s="6" t="n"/>
      <c r="F45" s="6" t="n"/>
    </row>
    <row r="46">
      <c r="B46" s="9" t="inlineStr">
        <is>
          <t>港杂费</t>
        </is>
      </c>
      <c r="C46" s="10" t="n">
        <v>600</v>
      </c>
      <c r="D46" s="6" t="n"/>
      <c r="E46" s="6" t="n"/>
      <c r="F46" s="11" t="inlineStr">
        <is>
          <t>THC/港建/换单/堆存等</t>
        </is>
      </c>
    </row>
    <row r="47">
      <c r="B47" s="9" t="inlineStr">
        <is>
          <t>报关代理费</t>
        </is>
      </c>
      <c r="C47" s="10" t="n">
        <v>500</v>
      </c>
      <c r="D47" s="6" t="n"/>
      <c r="E47" s="6" t="n"/>
      <c r="F47" s="11" t="inlineStr">
        <is>
          <t>宁波港公示 100–500 元/票</t>
        </is>
      </c>
    </row>
    <row r="48">
      <c r="B48" s="9" t="inlineStr">
        <is>
          <t>检验检测费</t>
        </is>
      </c>
      <c r="C48" s="10" t="n">
        <v>0</v>
      </c>
      <c r="D48" s="6" t="n"/>
      <c r="E48" s="6" t="n"/>
      <c r="F48" s="11" t="inlineStr">
        <is>
          <t>无检验填 0 并注明</t>
        </is>
      </c>
    </row>
    <row r="49">
      <c r="B49" s="9" t="inlineStr">
        <is>
          <t>仓储费</t>
        </is>
      </c>
      <c r="C49" s="10" t="n">
        <v>3000</v>
      </c>
      <c r="D49" s="6" t="n"/>
      <c r="E49" s="6" t="n"/>
      <c r="F49" s="11" t="inlineStr">
        <is>
          <t>无仓储填 0 并注明</t>
        </is>
      </c>
    </row>
    <row r="50">
      <c r="B50" s="9" t="inlineStr">
        <is>
          <t>国内运输费</t>
        </is>
      </c>
      <c r="C50" s="10" t="n">
        <v>7812.5</v>
      </c>
      <c r="D50" s="6" t="n"/>
      <c r="E50" s="6" t="n"/>
      <c r="F50" s="11" t="inlineStr">
        <is>
          <t>0.5 元/吨·km × 250km × 62.5t</t>
        </is>
      </c>
    </row>
    <row r="51">
      <c r="B51" s="9" t="inlineStr">
        <is>
          <t>资金/信用证成本</t>
        </is>
      </c>
      <c r="C51" s="10" t="n">
        <v>0</v>
      </c>
      <c r="D51" s="6" t="n"/>
      <c r="E51" s="6" t="n"/>
      <c r="F51" s="11" t="inlineStr">
        <is>
          <t>不计入计税价格</t>
        </is>
      </c>
    </row>
    <row r="52">
      <c r="B52" s="19" t="inlineStr">
        <is>
          <t>境内费用合计</t>
        </is>
      </c>
      <c r="C52" s="25">
        <f>IF(COUNT(C46:C51)=6,SUM(C46:C51),"")</f>
        <v/>
      </c>
      <c r="D52" s="6" t="n"/>
      <c r="E52" s="6" t="n"/>
      <c r="F52" s="11" t="inlineStr">
        <is>
          <t>人民币，不受汇率影响</t>
        </is>
      </c>
    </row>
    <row r="53" ht="19" customHeight="1">
      <c r="B53" s="5" t="inlineStr">
        <is>
          <t>⑥ 汇总：现金支出 / 可抵扣税额 / 最终经济成本</t>
        </is>
      </c>
      <c r="C53" s="6" t="n"/>
      <c r="D53" s="6" t="n"/>
      <c r="E53" s="6" t="n"/>
      <c r="F53" s="6" t="n"/>
    </row>
    <row r="54">
      <c r="B54" s="9" t="inlineStr">
        <is>
          <t>① 到岸成本（不含进口税费）</t>
        </is>
      </c>
      <c r="C54" s="17">
        <f>IF(ISNUMBER(C31),D31,"")</f>
        <v/>
      </c>
      <c r="D54" s="6" t="n"/>
      <c r="E54" s="6" t="n"/>
      <c r="F54" s="11" t="inlineStr">
        <is>
          <t>货值+运费+保险（市场汇率）</t>
        </is>
      </c>
    </row>
    <row r="55">
      <c r="B55" s="9" t="inlineStr">
        <is>
          <t>② 关税 + 反倾销税</t>
        </is>
      </c>
      <c r="C55" s="17">
        <f>IF(AND(ISNUMBER(C39),ISNUMBER(C40)),C39+C40,"")</f>
        <v/>
      </c>
      <c r="D55" s="6" t="n"/>
      <c r="E55" s="6" t="n"/>
      <c r="F55" s="11" t="inlineStr">
        <is>
          <t>不可抵扣</t>
        </is>
      </c>
    </row>
    <row r="56">
      <c r="B56" s="9" t="inlineStr">
        <is>
          <t>③ 进口环节增值税（现金全额）</t>
        </is>
      </c>
      <c r="C56" s="17">
        <f>IF(ISNUMBER(C42),C42,"")</f>
        <v/>
      </c>
      <c r="D56" s="6" t="n"/>
      <c r="E56" s="6" t="n"/>
      <c r="F56" s="11" t="inlineStr">
        <is>
          <t>现金支出</t>
        </is>
      </c>
    </row>
    <row r="57">
      <c r="B57" s="9" t="inlineStr">
        <is>
          <t>④ 境内费用</t>
        </is>
      </c>
      <c r="C57" s="17">
        <f>IF(ISNUMBER(C52),C52,"")</f>
        <v/>
      </c>
      <c r="D57" s="6" t="n"/>
      <c r="E57" s="6" t="n"/>
      <c r="F57" s="11" t="inlineStr"/>
    </row>
    <row r="58">
      <c r="B58" s="19" t="inlineStr">
        <is>
          <t>整票现金支出 = ①+②+③+④</t>
        </is>
      </c>
      <c r="C58" s="24">
        <f>IF(COUNT(C54:C57)=4,SUM(C54:C57),"")</f>
        <v/>
      </c>
      <c r="D58" s="6" t="n"/>
      <c r="E58" s="6" t="n"/>
      <c r="F58" s="11" t="inlineStr">
        <is>
          <t>所有实际付出去的钱</t>
        </is>
      </c>
    </row>
    <row r="59">
      <c r="B59" s="9" t="inlineStr">
        <is>
          <t>减：可抵扣进项税额</t>
        </is>
      </c>
      <c r="C59" s="17">
        <f>IF(ISNUMBER(C43),-C43,"")</f>
        <v/>
      </c>
      <c r="D59" s="6" t="n"/>
      <c r="E59" s="6" t="n"/>
      <c r="F59" s="11" t="inlineStr">
        <is>
          <t>申报期抵扣、现金回流</t>
        </is>
      </c>
    </row>
    <row r="60">
      <c r="B60" s="19" t="inlineStr">
        <is>
          <t>最终经济成本（整票）= 现金支出 − 可抵扣</t>
        </is>
      </c>
      <c r="C60" s="24">
        <f>IF(ISNUMBER(C58),C58+C59,"")</f>
        <v/>
      </c>
      <c r="D60" s="6" t="n"/>
      <c r="E60" s="6" t="n"/>
      <c r="F60" s="11" t="inlineStr">
        <is>
          <t>可抵扣时已剔除增值税</t>
        </is>
      </c>
    </row>
    <row r="61">
      <c r="B61" s="19" t="inlineStr">
        <is>
          <t>★ 最终经济成本 元/吨（参考到厂成本）</t>
        </is>
      </c>
      <c r="C61" s="24">
        <f>IF(AND(ISNUMBER(C60),C7&gt;0),C60/C7,"")</f>
        <v/>
      </c>
      <c r="D61" s="6" t="n"/>
      <c r="E61" s="6" t="n"/>
      <c r="F61" s="11" t="inlineStr"/>
    </row>
    <row r="62">
      <c r="B62" s="9" t="inlineStr">
        <is>
          <t>现金支出 元/吨</t>
        </is>
      </c>
      <c r="C62" s="17">
        <f>IF(AND(ISNUMBER(C58),C7&gt;0),C58/C7,"")</f>
        <v/>
      </c>
      <c r="D62" s="6" t="n"/>
      <c r="E62" s="6" t="n"/>
      <c r="F62" s="11" t="inlineStr"/>
    </row>
    <row r="63">
      <c r="B63" s="9" t="inlineStr">
        <is>
          <t>到岸成本 元/吨</t>
        </is>
      </c>
      <c r="C63" s="17">
        <f>IF(AND(ISNUMBER(C54),C7&gt;0),C54/C7,"")</f>
        <v/>
      </c>
      <c r="D63" s="6" t="n"/>
      <c r="E63" s="6" t="n"/>
      <c r="F63" s="11" t="inlineStr"/>
    </row>
    <row r="64">
      <c r="B64" s="9" t="inlineStr">
        <is>
          <t>完整到厂成本状态</t>
        </is>
      </c>
      <c r="C64" s="15">
        <f>IF(COUNT(C24,C26,C27,C28,C29,C30,C31,C38,C41,C42,C46,C47,C48,C49,C50,C51)=16,IF(COUNT(C11,C33,C35)=3,"完整","待补全（缺关税税率或海关计征汇率）"),"待补全（缺费用项）")</f>
        <v/>
      </c>
      <c r="D64" s="6" t="n"/>
      <c r="E64" s="6" t="n"/>
      <c r="F64" s="11" t="inlineStr">
        <is>
          <t>未填项不会被当作 0；待补全时完整到厂价不可对外使用</t>
        </is>
      </c>
    </row>
    <row r="65">
      <c r="B65" s="9" t="inlineStr">
        <is>
          <t>已知成本小计（下限参考，非完整到厂价）</t>
        </is>
      </c>
      <c r="C65" s="17">
        <f>IFERROR(SUM(C31,C39,C40,C42,C52),0)</f>
        <v/>
      </c>
      <c r="D65" s="6" t="n"/>
      <c r="E65" s="6" t="n"/>
      <c r="F65" s="11" t="inlineStr">
        <is>
          <t>待补全时只能引用此值</t>
        </is>
      </c>
    </row>
  </sheetData>
  <mergeCells count="6">
    <mergeCell ref="B53:F53"/>
    <mergeCell ref="B5:F5"/>
    <mergeCell ref="B45:F45"/>
    <mergeCell ref="B23:F23"/>
    <mergeCell ref="B1:F1"/>
    <mergeCell ref="B32:F32"/>
  </mergeCells>
  <conditionalFormatting sqref="C64">
    <cfRule type="expression" priority="1" dxfId="0">
      <formula>LEFT($C64,3)="待补全"</formula>
    </cfRule>
    <cfRule type="expression" priority="2" dxfId="1">
      <formula>$C64="完整"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7C86"/>
    <outlinePr summaryBelow="1" summaryRight="1"/>
    <pageSetUpPr/>
  </sheetPr>
  <dimension ref="B1:F6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17" customWidth="1" min="3" max="3"/>
    <col width="13" customWidth="1" min="4" max="4"/>
    <col width="10" customWidth="1" min="5" max="5"/>
    <col width="40" customWidth="1" min="6" max="6"/>
  </cols>
  <sheetData>
    <row r="1" ht="19" customHeight="1">
      <c r="B1" s="5" t="inlineStr">
        <is>
          <t>① 商品与交易信息</t>
        </is>
      </c>
      <c r="C1" s="6" t="n"/>
      <c r="D1" s="6" t="n"/>
      <c r="E1" s="6" t="n"/>
      <c r="F1" s="6" t="n"/>
    </row>
    <row r="2">
      <c r="B2" s="7" t="inlineStr">
        <is>
          <t>产品</t>
        </is>
      </c>
      <c r="C2" s="8" t="inlineStr">
        <is>
          <t>工业级乙二醇 MEG</t>
        </is>
      </c>
      <c r="D2" s="7" t="inlineStr">
        <is>
          <t>规格</t>
        </is>
      </c>
      <c r="E2" s="8" t="inlineStr">
        <is>
          <t>≥99.9% 工业级</t>
        </is>
      </c>
    </row>
    <row r="3">
      <c r="B3" s="7" t="inlineStr">
        <is>
          <t>HS编码</t>
        </is>
      </c>
      <c r="C3" s="8" t="inlineStr">
        <is>
          <t>29053100</t>
        </is>
      </c>
      <c r="D3" s="7" t="inlineStr">
        <is>
          <t>原产国</t>
        </is>
      </c>
      <c r="E3" s="8" t="inlineStr">
        <is>
          <t>SA 沙特阿拉伯</t>
        </is>
      </c>
    </row>
    <row r="4">
      <c r="B4" s="7" t="inlineStr">
        <is>
          <t>目的地</t>
        </is>
      </c>
      <c r="C4" s="8" t="inlineStr">
        <is>
          <t>宁波港 → 江苏苏州</t>
        </is>
      </c>
      <c r="D4" s="7" t="inlineStr">
        <is>
          <t>指定地点</t>
        </is>
      </c>
      <c r="E4" s="8" t="inlineStr">
        <is>
          <t>中国宁波</t>
        </is>
      </c>
    </row>
    <row r="5" ht="19" customHeight="1">
      <c r="B5" s="5" t="inlineStr">
        <is>
          <t>② 报价与费用参数（黄色=可改，白色=公式；未填=待确认，绝不当作 0）</t>
        </is>
      </c>
      <c r="C5" s="6" t="n"/>
      <c r="D5" s="6" t="n"/>
      <c r="E5" s="6" t="n"/>
      <c r="F5" s="6" t="n"/>
    </row>
    <row r="6">
      <c r="B6" s="9" t="inlineStr">
        <is>
          <t>供应商单价（原币/计价单位）</t>
        </is>
      </c>
      <c r="C6" s="10" t="n">
        <v>685</v>
      </c>
      <c r="D6" s="6" t="n"/>
      <c r="E6" s="6" t="n"/>
      <c r="F6" s="11" t="inlineStr">
        <is>
          <t>黄色单元格可修改</t>
        </is>
      </c>
    </row>
    <row r="7">
      <c r="B7" s="9" t="inlineStr">
        <is>
          <t>数量（吨）</t>
        </is>
      </c>
      <c r="C7" s="12" t="n">
        <v>62.5</v>
      </c>
      <c r="D7" s="6" t="n"/>
      <c r="E7" s="6" t="n"/>
      <c r="F7" s="11" t="inlineStr">
        <is>
          <t>25×40' ISO 罐 × 25.0 吨</t>
        </is>
      </c>
    </row>
    <row r="8">
      <c r="B8" s="9" t="inlineStr">
        <is>
          <t>单价计价单位（MT / CONTAINER）</t>
        </is>
      </c>
      <c r="C8" s="8" t="inlineStr">
        <is>
          <t>MT</t>
        </is>
      </c>
      <c r="D8" s="6" t="n"/>
      <c r="E8" s="6" t="n"/>
      <c r="F8" s="11" t="inlineStr">
        <is>
          <t>MT=每吨价；CONTAINER=每柜价</t>
        </is>
      </c>
    </row>
    <row r="9">
      <c r="B9" s="9" t="inlineStr">
        <is>
          <t>包装是否已含于单价（TRUE/FALSE）</t>
        </is>
      </c>
      <c r="C9" s="8" t="inlineStr">
        <is>
          <t>TRUE</t>
        </is>
      </c>
      <c r="D9" s="6" t="n"/>
      <c r="E9" s="6" t="n"/>
      <c r="F9" s="11" t="inlineStr">
        <is>
          <t>《关税法》第25条：包装费计入计税价格</t>
        </is>
      </c>
    </row>
    <row r="10">
      <c r="B10" s="9" t="inlineStr">
        <is>
          <t>市场参考汇率 USD/CNY</t>
        </is>
      </c>
      <c r="C10" s="13" t="n">
        <v>6.6807</v>
      </c>
      <c r="D10" s="6" t="n"/>
      <c r="E10" s="6" t="n"/>
      <c r="F10" s="11" t="inlineStr">
        <is>
          <t>ECB 2026-10-19；exchangerate-api 2026-10-20=6.69</t>
        </is>
      </c>
    </row>
    <row r="11">
      <c r="B11" s="9" t="inlineStr">
        <is>
          <t>海关计征汇率 USD/CNY（演示占位值，须替换）</t>
        </is>
      </c>
      <c r="C11" s="13" t="n">
        <v>6.72</v>
      </c>
      <c r="D11" s="6" t="n"/>
      <c r="E11" s="6" t="n"/>
      <c r="F11" s="11" t="inlineStr">
        <is>
          <t>演示占位 6.7200（非2026-09-16官方值）；请替换为申报日对应上月第三个星期三亚行中间价；留空=待补全</t>
        </is>
      </c>
    </row>
    <row r="12">
      <c r="B12" s="9" t="inlineStr">
        <is>
          <t>出口侧费用 USD（EXW/FCA 填）</t>
        </is>
      </c>
      <c r="C12" s="10" t="n"/>
      <c r="D12" s="6" t="n"/>
      <c r="E12" s="6" t="n"/>
      <c r="F12" s="11" t="inlineStr">
        <is>
          <t>其余术语自动置 0</t>
        </is>
      </c>
    </row>
    <row r="13">
      <c r="B13" s="9" t="inlineStr">
        <is>
          <t>起运港费用 USD（EXW/FCA 填）</t>
        </is>
      </c>
      <c r="C13" s="10" t="n"/>
      <c r="D13" s="6" t="n"/>
      <c r="E13" s="6" t="n"/>
      <c r="F13" s="11" t="inlineStr">
        <is>
          <t>FOB 及以上已含，自动置 0</t>
        </is>
      </c>
    </row>
    <row r="14">
      <c r="B14" s="9" t="inlineStr">
        <is>
          <t>海运费 USD/MT（报价未含时填）</t>
        </is>
      </c>
      <c r="C14" s="10" t="n"/>
      <c r="D14" s="6" t="n"/>
      <c r="E14" s="6" t="n"/>
      <c r="F14" s="11" t="inlineStr">
        <is>
          <t>仅 FOB/EXW/FCA/FAS 需要</t>
        </is>
      </c>
    </row>
    <row r="15">
      <c r="B15" s="9" t="inlineStr">
        <is>
          <t>整票海运费 USD（可选）</t>
        </is>
      </c>
      <c r="C15" s="10" t="n"/>
      <c r="D15" s="6" t="n"/>
      <c r="E15" s="6" t="n"/>
      <c r="F15" s="11" t="inlineStr">
        <is>
          <t>货代按整票报价时填，优先于单价</t>
        </is>
      </c>
    </row>
    <row r="16">
      <c r="B16" s="9" t="inlineStr">
        <is>
          <t>保险费率 ‰</t>
        </is>
      </c>
      <c r="C16" s="14" t="n">
        <v>0.55</v>
      </c>
      <c r="D16" s="6" t="n"/>
      <c r="E16" s="6" t="n"/>
      <c r="F16" s="11" t="inlineStr">
        <is>
          <t>保费=(货值+运费)×费率×110%（模拟）</t>
        </is>
      </c>
    </row>
    <row r="17">
      <c r="B17" s="9" t="inlineStr">
        <is>
          <t>实际保险费 USD（可选）</t>
        </is>
      </c>
      <c r="C17" s="10" t="n"/>
      <c r="D17" s="6" t="n"/>
      <c r="E17" s="6" t="n"/>
      <c r="F17" s="11" t="inlineStr">
        <is>
          <t>有保单时填，优先于费率</t>
        </is>
      </c>
    </row>
    <row r="18">
      <c r="B18" s="9" t="inlineStr">
        <is>
          <t>保险是否已含于报价（TRUE/FALSE）</t>
        </is>
      </c>
      <c r="C18" s="8" t="inlineStr">
        <is>
          <t>FALSE</t>
        </is>
      </c>
      <c r="D18" s="6" t="n"/>
      <c r="E18" s="6" t="n"/>
      <c r="F18" s="11" t="inlineStr">
        <is>
          <t>CIF 默认 TRUE</t>
        </is>
      </c>
    </row>
    <row r="19">
      <c r="B19" s="9" t="inlineStr">
        <is>
          <t>包装费另计 USD</t>
        </is>
      </c>
      <c r="C19" s="10" t="n">
        <v>0</v>
      </c>
      <c r="D19" s="6" t="n"/>
      <c r="E19" s="6" t="n"/>
      <c r="F19" s="11" t="inlineStr">
        <is>
          <t>PI 另计包装时填；已含填 0</t>
        </is>
      </c>
    </row>
    <row r="20">
      <c r="B20" s="9" t="inlineStr">
        <is>
          <t>报价已含海运费（按术语判定）</t>
        </is>
      </c>
      <c r="C20" s="15">
        <f>OR("CFR"="CFR","CFR"="CIF","CFR"="CPT","CFR"="CIP","CFR"="DAP","CFR"="DPU","CFR"="DDP")</f>
        <v/>
      </c>
      <c r="D20" s="6" t="n"/>
      <c r="E20" s="6" t="n"/>
      <c r="F20" s="11" t="inlineStr">
        <is>
          <t>Incoterms 2020</t>
        </is>
      </c>
    </row>
    <row r="21">
      <c r="B21" s="9" t="inlineStr">
        <is>
          <t>报价已含保险费（按术语判定）</t>
        </is>
      </c>
      <c r="C21" s="15">
        <f>OR("CFR"="CIF","CFR"="CIP","CFR"="DDP")</f>
        <v/>
      </c>
      <c r="D21" s="6" t="n"/>
      <c r="E21" s="6" t="n"/>
      <c r="F21" s="11" t="inlineStr">
        <is>
          <t>Incoterms 2020</t>
        </is>
      </c>
    </row>
    <row r="22">
      <c r="B22" s="9" t="inlineStr">
        <is>
          <t>报价已含起运港费用（按术语判定）</t>
        </is>
      </c>
      <c r="C22" s="15">
        <f>NOT(OR("CFR"="EXW","CFR"="FCA"))</f>
        <v/>
      </c>
      <c r="D22" s="6" t="n"/>
      <c r="E22" s="6" t="n"/>
      <c r="F22" s="11" t="inlineStr">
        <is>
          <t>EXW/FCA 不含装运港费用</t>
        </is>
      </c>
    </row>
    <row r="23" ht="19" customHeight="1">
      <c r="B23" s="16" t="inlineStr">
        <is>
          <t>③ 第一层：货值 → 到岸（C=原币；D=人民币，按市场参考汇率）</t>
        </is>
      </c>
      <c r="C23" s="6" t="n"/>
      <c r="D23" s="6" t="n"/>
      <c r="E23" s="6" t="n"/>
      <c r="F23" s="6" t="n"/>
    </row>
    <row r="24">
      <c r="B24" s="9" t="inlineStr">
        <is>
          <t>货值（单价×数量）</t>
        </is>
      </c>
      <c r="C24" s="15">
        <f>IF(AND(ISNUMBER(C6),ISNUMBER(C7)),C6*C7,"")</f>
        <v/>
      </c>
      <c r="D24" s="17">
        <f>IF(ISNUMBER(C24),C24*$C$10,"")</f>
        <v/>
      </c>
      <c r="E24" s="18" t="inlineStr">
        <is>
          <t>人民币</t>
        </is>
      </c>
      <c r="F24" s="11" t="inlineStr">
        <is>
          <t>整票货值（原币）</t>
        </is>
      </c>
    </row>
    <row r="25">
      <c r="B25" s="9" t="inlineStr">
        <is>
          <t>单吨货值</t>
        </is>
      </c>
      <c r="C25" s="15">
        <f>IF(AND(ISNUMBER(C24),C7&gt;0),C24/C7,"")</f>
        <v/>
      </c>
      <c r="D25" s="17">
        <f>IF(ISNUMBER(C25),C25*$C$10,"")</f>
        <v/>
      </c>
      <c r="E25" s="18" t="inlineStr">
        <is>
          <t>人民币</t>
        </is>
      </c>
      <c r="F25" s="11" t="inlineStr">
        <is>
          <t>原币/吨</t>
        </is>
      </c>
    </row>
    <row r="26">
      <c r="B26" s="9" t="inlineStr">
        <is>
          <t>包装费（另计）</t>
        </is>
      </c>
      <c r="C26" s="15">
        <f>IF(C9=TRUE,0,IF(ISNUMBER(C19),C19,""))</f>
        <v/>
      </c>
      <c r="D26" s="17">
        <f>IF(ISNUMBER(C26),C26*$C$10,"")</f>
        <v/>
      </c>
      <c r="E26" s="18" t="inlineStr">
        <is>
          <t>人民币</t>
        </is>
      </c>
      <c r="F26" s="11" t="inlineStr">
        <is>
          <t>单价已含包装 → 0</t>
        </is>
      </c>
    </row>
    <row r="27">
      <c r="B27" s="9" t="inlineStr">
        <is>
          <t>起运港费用</t>
        </is>
      </c>
      <c r="C27" s="15">
        <f>IF(C22,0,IF(ISNUMBER(C13),C13,""))</f>
        <v/>
      </c>
      <c r="D27" s="17">
        <f>IF(ISNUMBER(C27),C27*$C$10,"")</f>
        <v/>
      </c>
      <c r="E27" s="18" t="inlineStr">
        <is>
          <t>人民币</t>
        </is>
      </c>
      <c r="F27" s="11" t="inlineStr">
        <is>
          <t>报价已含 → 0</t>
        </is>
      </c>
    </row>
    <row r="28">
      <c r="B28" s="9" t="inlineStr">
        <is>
          <t>出口侧费用</t>
        </is>
      </c>
      <c r="C28" s="15">
        <f>IF(C22,0,IF(ISNUMBER(C12),C12,""))</f>
        <v/>
      </c>
      <c r="D28" s="17">
        <f>IF(ISNUMBER(C28),C28*$C$10,"")</f>
        <v/>
      </c>
      <c r="E28" s="18" t="inlineStr">
        <is>
          <t>人民币</t>
        </is>
      </c>
      <c r="F28" s="11" t="inlineStr">
        <is>
          <t>报价已含 → 0</t>
        </is>
      </c>
    </row>
    <row r="29">
      <c r="B29" s="9" t="inlineStr">
        <is>
          <t>海运费（整票）</t>
        </is>
      </c>
      <c r="C29" s="15">
        <f>IF(C20,0,IF(ISNUMBER(C15),C15,IF(AND(ISNUMBER(C14),ISNUMBER(C7)),C14*C7,"")))</f>
        <v/>
      </c>
      <c r="D29" s="17">
        <f>IF(ISNUMBER(C29),C29*$C$10,"")</f>
        <v/>
      </c>
      <c r="E29" s="18" t="inlineStr">
        <is>
          <t>人民币</t>
        </is>
      </c>
      <c r="F29" s="11" t="inlineStr">
        <is>
          <t>CFR/CIF 已含 → 0（不重复计费）</t>
        </is>
      </c>
    </row>
    <row r="30">
      <c r="B30" s="9" t="inlineStr">
        <is>
          <t>保险费（实际）</t>
        </is>
      </c>
      <c r="C30" s="15">
        <f>IF(C18,0,IF(ISNUMBER(C17),C17,IF(AND(ISNUMBER(C16),ISNUMBER(C24),ISNUMBER(C29)),(C24+C29)*C16/100*1.1,"")))</f>
        <v/>
      </c>
      <c r="D30" s="17">
        <f>IF(ISNUMBER(C30),C30*$C$10,"")</f>
        <v/>
      </c>
      <c r="E30" s="18" t="inlineStr">
        <is>
          <t>人民币</t>
        </is>
      </c>
      <c r="F30" s="11" t="inlineStr">
        <is>
          <t>CIF 已含 → 0；费率按 110% 投保额</t>
        </is>
      </c>
    </row>
    <row r="31">
      <c r="B31" s="19" t="inlineStr">
        <is>
          <t>到岸成本合计（CIF 等值）</t>
        </is>
      </c>
      <c r="C31" s="20">
        <f>IF(COUNT(C24,C26,C27,C28,C29,C30)=6,SUM(C24,C26,C27,C28,C29,C30),"")</f>
        <v/>
      </c>
      <c r="D31" s="21">
        <f>IF(ISNUMBER(C31),C31*$C$10,"")</f>
        <v/>
      </c>
      <c r="E31" s="18" t="inlineStr">
        <is>
          <t>人民币</t>
        </is>
      </c>
      <c r="F31" s="11" t="inlineStr">
        <is>
          <t>货值+包装+起运港+出口侧+海运+保险（原币与人民币两列）</t>
        </is>
      </c>
    </row>
    <row r="32" ht="19" customHeight="1">
      <c r="B32" s="16" t="inlineStr">
        <is>
          <t>④ 第二层：进口税费（关税不可抵扣；增值税分现金/可抵扣两栏）</t>
        </is>
      </c>
      <c r="C32" s="6" t="n"/>
      <c r="D32" s="6" t="n"/>
      <c r="E32" s="6" t="n"/>
      <c r="F32" s="6" t="n"/>
    </row>
    <row r="33">
      <c r="B33" s="19" t="inlineStr">
        <is>
          <t>关税税率（实征，从税则查询录入）</t>
        </is>
      </c>
      <c r="C33" s="22" t="n">
        <v>0.055</v>
      </c>
      <c r="D33" s="6" t="n"/>
      <c r="E33" s="6" t="n"/>
      <c r="F33" s="11" t="inlineStr">
        <is>
          <t>来源与核验日期见【数据来源】页</t>
        </is>
      </c>
    </row>
    <row r="34">
      <c r="B34" s="9" t="inlineStr">
        <is>
          <t>反倾销/反补贴税率</t>
        </is>
      </c>
      <c r="C34" s="23" t="n">
        <v>0</v>
      </c>
      <c r="D34" s="6" t="n"/>
      <c r="E34" s="6" t="n"/>
      <c r="F34" s="11" t="inlineStr">
        <is>
          <t>核验后填写；未查到填 0 并注明（≠不存在）</t>
        </is>
      </c>
    </row>
    <row r="35">
      <c r="B35" s="9" t="inlineStr">
        <is>
          <t>进口环节增值税率</t>
        </is>
      </c>
      <c r="C35" s="23" t="n">
        <v>0.13</v>
      </c>
      <c r="D35" s="6" t="n"/>
      <c r="E35" s="6" t="n"/>
      <c r="F35" s="11" t="inlineStr">
        <is>
          <t>一般货物 13%</t>
        </is>
      </c>
    </row>
    <row r="36">
      <c r="B36" s="9" t="inlineStr">
        <is>
          <t>增值税是否可抵扣（是/否）</t>
        </is>
      </c>
      <c r="C36" s="8" t="inlineStr">
        <is>
          <t>是</t>
        </is>
      </c>
      <c r="D36" s="6" t="n"/>
      <c r="E36" s="6" t="n"/>
      <c r="F36" s="11" t="inlineStr">
        <is>
          <t>一般纳税人且用于应税项目=是</t>
        </is>
      </c>
    </row>
    <row r="37">
      <c r="B37" s="9" t="inlineStr">
        <is>
          <t>其中：计入计税价格的保险费</t>
        </is>
      </c>
      <c r="C37" s="17">
        <f>IF(C18=TRUE,0,IF(ISNUMBER(C30),C30,IF(AND(ISNUMBER(C24),ISNUMBER(C29)),((C24)+IF(C9=TRUE,0,IF(ISNUMBER(C19),C19,0))+IF(C22,0,IF(ISNUMBER(C13),C13,0))+IF(C22,0,IF(ISNUMBER(C12),C12,0))+C29)*0.003/0.997,"")))</f>
        <v/>
      </c>
      <c r="D37" s="6" t="n"/>
      <c r="E37" s="6" t="n"/>
      <c r="F37" s="11" t="inlineStr">
        <is>
          <t>未投保时按（货价+运费）×0.3‰（第36条）</t>
        </is>
      </c>
    </row>
    <row r="38">
      <c r="B38" s="19" t="inlineStr">
        <is>
          <t>关税计税价格（人民币，完税价格）</t>
        </is>
      </c>
      <c r="C38" s="24">
        <f>IF(AND(ISNUMBER(C24),ISNUMBER(C11),ISNUMBER(C26),ISNUMBER(C28),ISNUMBER(C29),ISNUMBER(C30),ISNUMBER(C37)),(C24+C26+IF(ISNUMBER(C27),C27,0)+C28+C29+IF(C18,0,C37))*C11,"")</f>
        <v/>
      </c>
      <c r="D38" s="6" t="n"/>
      <c r="E38" s="6" t="n"/>
      <c r="F38" s="11" t="inlineStr">
        <is>
          <t>＝(货值+包装+起运港+出口侧+海运+实际保险+应计保险)×海关计征汇率</t>
        </is>
      </c>
    </row>
    <row r="39">
      <c r="B39" s="9" t="inlineStr">
        <is>
          <t>应纳关税</t>
        </is>
      </c>
      <c r="C39" s="17">
        <f>IF(AND(ISNUMBER(C38),ISNUMBER(C33)),C38*C33,"")</f>
        <v/>
      </c>
      <c r="D39" s="6" t="n"/>
      <c r="E39" s="6" t="n"/>
      <c r="F39" s="11" t="inlineStr">
        <is>
          <t>＝计税价格×实征税率（不可抵扣，一定进成本）</t>
        </is>
      </c>
    </row>
    <row r="40">
      <c r="B40" s="9" t="inlineStr">
        <is>
          <t>反倾销/反补贴税</t>
        </is>
      </c>
      <c r="C40" s="17">
        <f>IF(AND(ISNUMBER(C38),ISNUMBER(C34)),C38*C34,"")</f>
        <v/>
      </c>
      <c r="D40" s="6" t="n"/>
      <c r="E40" s="6" t="n"/>
      <c r="F40" s="11" t="inlineStr">
        <is>
          <t>＝计税价格×措施税率</t>
        </is>
      </c>
    </row>
    <row r="41">
      <c r="B41" s="9" t="inlineStr">
        <is>
          <t>组成计税价格（增值税基数）</t>
        </is>
      </c>
      <c r="C41" s="17">
        <f>IF(AND(ISNUMBER(C38),ISNUMBER(C39)),C38+C39+C40,"")</f>
        <v/>
      </c>
      <c r="D41" s="6" t="n"/>
      <c r="E41" s="6" t="n"/>
      <c r="F41" s="11" t="inlineStr">
        <is>
          <t>＝计税价格+关税+反倾销税（+消费税，本产品无）</t>
        </is>
      </c>
    </row>
    <row r="42">
      <c r="B42" s="19" t="inlineStr">
        <is>
          <t>进口环节增值税（现金支出）</t>
        </is>
      </c>
      <c r="C42" s="24">
        <f>IF(AND(ISNUMBER(C41),ISNUMBER(C35)),C41*C35,"")</f>
        <v/>
      </c>
      <c r="D42" s="6" t="n"/>
      <c r="E42" s="6" t="n"/>
      <c r="F42" s="11" t="inlineStr">
        <is>
          <t>＝组成计税价格×13%；现金支出，另行列可抵扣</t>
        </is>
      </c>
    </row>
    <row r="43">
      <c r="B43" s="9" t="inlineStr">
        <is>
          <t>其中：可抵扣进项税额</t>
        </is>
      </c>
      <c r="C43" s="17">
        <f>IF(AND(ISNUMBER(C42),LEFT(C36,1)="是"),C42,0)</f>
        <v/>
      </c>
      <c r="D43" s="6" t="n"/>
      <c r="E43" s="6" t="n"/>
      <c r="F43" s="11" t="inlineStr">
        <is>
          <t>可抵扣部分不计入最终经济成本</t>
        </is>
      </c>
    </row>
    <row r="44">
      <c r="B44" s="9" t="inlineStr">
        <is>
          <t>其中：不可抵扣部分（进成本）</t>
        </is>
      </c>
      <c r="C44" s="17">
        <f>IF(ISNUMBER(C42),C42-C43,"")</f>
        <v/>
      </c>
      <c r="D44" s="6" t="n"/>
      <c r="E44" s="6" t="n"/>
      <c r="F44" s="11" t="inlineStr">
        <is>
          <t>不可抵扣时全额进入成本</t>
        </is>
      </c>
    </row>
    <row r="45" ht="19" customHeight="1">
      <c r="B45" s="16" t="inlineStr">
        <is>
          <t>⑤ 第三层：口岸与境内物流（人民币，整票；不进入计税价格）</t>
        </is>
      </c>
      <c r="C45" s="6" t="n"/>
      <c r="D45" s="6" t="n"/>
      <c r="E45" s="6" t="n"/>
      <c r="F45" s="6" t="n"/>
    </row>
    <row r="46">
      <c r="B46" s="9" t="inlineStr">
        <is>
          <t>港杂费</t>
        </is>
      </c>
      <c r="C46" s="10" t="n">
        <v>600</v>
      </c>
      <c r="D46" s="6" t="n"/>
      <c r="E46" s="6" t="n"/>
      <c r="F46" s="11" t="inlineStr">
        <is>
          <t>THC/港建/换单/堆存等</t>
        </is>
      </c>
    </row>
    <row r="47">
      <c r="B47" s="9" t="inlineStr">
        <is>
          <t>报关代理费</t>
        </is>
      </c>
      <c r="C47" s="10" t="n">
        <v>500</v>
      </c>
      <c r="D47" s="6" t="n"/>
      <c r="E47" s="6" t="n"/>
      <c r="F47" s="11" t="inlineStr">
        <is>
          <t>宁波港公示 100–500 元/票</t>
        </is>
      </c>
    </row>
    <row r="48">
      <c r="B48" s="9" t="inlineStr">
        <is>
          <t>检验检测费</t>
        </is>
      </c>
      <c r="C48" s="10" t="n">
        <v>0</v>
      </c>
      <c r="D48" s="6" t="n"/>
      <c r="E48" s="6" t="n"/>
      <c r="F48" s="11" t="inlineStr">
        <is>
          <t>无检验填 0 并注明</t>
        </is>
      </c>
    </row>
    <row r="49">
      <c r="B49" s="9" t="inlineStr">
        <is>
          <t>仓储费</t>
        </is>
      </c>
      <c r="C49" s="10" t="n">
        <v>3000</v>
      </c>
      <c r="D49" s="6" t="n"/>
      <c r="E49" s="6" t="n"/>
      <c r="F49" s="11" t="inlineStr">
        <is>
          <t>无仓储填 0 并注明</t>
        </is>
      </c>
    </row>
    <row r="50">
      <c r="B50" s="9" t="inlineStr">
        <is>
          <t>国内运输费</t>
        </is>
      </c>
      <c r="C50" s="10" t="n">
        <v>7812.5</v>
      </c>
      <c r="D50" s="6" t="n"/>
      <c r="E50" s="6" t="n"/>
      <c r="F50" s="11" t="inlineStr">
        <is>
          <t>0.5 元/吨·km × 250km × 62.5t</t>
        </is>
      </c>
    </row>
    <row r="51">
      <c r="B51" s="9" t="inlineStr">
        <is>
          <t>资金/信用证成本</t>
        </is>
      </c>
      <c r="C51" s="10" t="n">
        <v>0</v>
      </c>
      <c r="D51" s="6" t="n"/>
      <c r="E51" s="6" t="n"/>
      <c r="F51" s="11" t="inlineStr">
        <is>
          <t>不计入计税价格</t>
        </is>
      </c>
    </row>
    <row r="52">
      <c r="B52" s="19" t="inlineStr">
        <is>
          <t>境内费用合计</t>
        </is>
      </c>
      <c r="C52" s="25">
        <f>IF(COUNT(C46:C51)=6,SUM(C46:C51),"")</f>
        <v/>
      </c>
      <c r="D52" s="6" t="n"/>
      <c r="E52" s="6" t="n"/>
      <c r="F52" s="11" t="inlineStr">
        <is>
          <t>人民币，不受汇率影响</t>
        </is>
      </c>
    </row>
    <row r="53" ht="19" customHeight="1">
      <c r="B53" s="5" t="inlineStr">
        <is>
          <t>⑥ 汇总：现金支出 / 可抵扣税额 / 最终经济成本</t>
        </is>
      </c>
      <c r="C53" s="6" t="n"/>
      <c r="D53" s="6" t="n"/>
      <c r="E53" s="6" t="n"/>
      <c r="F53" s="6" t="n"/>
    </row>
    <row r="54">
      <c r="B54" s="9" t="inlineStr">
        <is>
          <t>① 到岸成本（不含进口税费）</t>
        </is>
      </c>
      <c r="C54" s="17">
        <f>IF(ISNUMBER(C31),D31,"")</f>
        <v/>
      </c>
      <c r="D54" s="6" t="n"/>
      <c r="E54" s="6" t="n"/>
      <c r="F54" s="11" t="inlineStr">
        <is>
          <t>货值+运费+保险（市场汇率）</t>
        </is>
      </c>
    </row>
    <row r="55">
      <c r="B55" s="9" t="inlineStr">
        <is>
          <t>② 关税 + 反倾销税</t>
        </is>
      </c>
      <c r="C55" s="17">
        <f>IF(AND(ISNUMBER(C39),ISNUMBER(C40)),C39+C40,"")</f>
        <v/>
      </c>
      <c r="D55" s="6" t="n"/>
      <c r="E55" s="6" t="n"/>
      <c r="F55" s="11" t="inlineStr">
        <is>
          <t>不可抵扣</t>
        </is>
      </c>
    </row>
    <row r="56">
      <c r="B56" s="9" t="inlineStr">
        <is>
          <t>③ 进口环节增值税（现金全额）</t>
        </is>
      </c>
      <c r="C56" s="17">
        <f>IF(ISNUMBER(C42),C42,"")</f>
        <v/>
      </c>
      <c r="D56" s="6" t="n"/>
      <c r="E56" s="6" t="n"/>
      <c r="F56" s="11" t="inlineStr">
        <is>
          <t>现金支出</t>
        </is>
      </c>
    </row>
    <row r="57">
      <c r="B57" s="9" t="inlineStr">
        <is>
          <t>④ 境内费用</t>
        </is>
      </c>
      <c r="C57" s="17">
        <f>IF(ISNUMBER(C52),C52,"")</f>
        <v/>
      </c>
      <c r="D57" s="6" t="n"/>
      <c r="E57" s="6" t="n"/>
      <c r="F57" s="11" t="inlineStr"/>
    </row>
    <row r="58">
      <c r="B58" s="19" t="inlineStr">
        <is>
          <t>整票现金支出 = ①+②+③+④</t>
        </is>
      </c>
      <c r="C58" s="24">
        <f>IF(COUNT(C54:C57)=4,SUM(C54:C57),"")</f>
        <v/>
      </c>
      <c r="D58" s="6" t="n"/>
      <c r="E58" s="6" t="n"/>
      <c r="F58" s="11" t="inlineStr">
        <is>
          <t>所有实际付出去的钱</t>
        </is>
      </c>
    </row>
    <row r="59">
      <c r="B59" s="9" t="inlineStr">
        <is>
          <t>减：可抵扣进项税额</t>
        </is>
      </c>
      <c r="C59" s="17">
        <f>IF(ISNUMBER(C43),-C43,"")</f>
        <v/>
      </c>
      <c r="D59" s="6" t="n"/>
      <c r="E59" s="6" t="n"/>
      <c r="F59" s="11" t="inlineStr">
        <is>
          <t>申报期抵扣、现金回流</t>
        </is>
      </c>
    </row>
    <row r="60">
      <c r="B60" s="19" t="inlineStr">
        <is>
          <t>最终经济成本（整票）= 现金支出 − 可抵扣</t>
        </is>
      </c>
      <c r="C60" s="24">
        <f>IF(ISNUMBER(C58),C58+C59,"")</f>
        <v/>
      </c>
      <c r="D60" s="6" t="n"/>
      <c r="E60" s="6" t="n"/>
      <c r="F60" s="11" t="inlineStr">
        <is>
          <t>可抵扣时已剔除增值税</t>
        </is>
      </c>
    </row>
    <row r="61">
      <c r="B61" s="19" t="inlineStr">
        <is>
          <t>★ 最终经济成本 元/吨（参考到厂成本）</t>
        </is>
      </c>
      <c r="C61" s="24">
        <f>IF(AND(ISNUMBER(C60),C7&gt;0),C60/C7,"")</f>
        <v/>
      </c>
      <c r="D61" s="6" t="n"/>
      <c r="E61" s="6" t="n"/>
      <c r="F61" s="11" t="inlineStr"/>
    </row>
    <row r="62">
      <c r="B62" s="9" t="inlineStr">
        <is>
          <t>现金支出 元/吨</t>
        </is>
      </c>
      <c r="C62" s="17">
        <f>IF(AND(ISNUMBER(C58),C7&gt;0),C58/C7,"")</f>
        <v/>
      </c>
      <c r="D62" s="6" t="n"/>
      <c r="E62" s="6" t="n"/>
      <c r="F62" s="11" t="inlineStr"/>
    </row>
    <row r="63">
      <c r="B63" s="9" t="inlineStr">
        <is>
          <t>到岸成本 元/吨</t>
        </is>
      </c>
      <c r="C63" s="17">
        <f>IF(AND(ISNUMBER(C54),C7&gt;0),C54/C7,"")</f>
        <v/>
      </c>
      <c r="D63" s="6" t="n"/>
      <c r="E63" s="6" t="n"/>
      <c r="F63" s="11" t="inlineStr"/>
    </row>
    <row r="64">
      <c r="B64" s="9" t="inlineStr">
        <is>
          <t>完整到厂成本状态</t>
        </is>
      </c>
      <c r="C64" s="15">
        <f>IF(COUNT(C24,C26,C27,C28,C29,C30,C31,C38,C41,C42,C46,C47,C48,C49,C50,C51)=16,IF(COUNT(C11,C33,C35)=3,"完整","待补全（缺关税税率或海关计征汇率）"),"待补全（缺费用项）")</f>
        <v/>
      </c>
      <c r="D64" s="6" t="n"/>
      <c r="E64" s="6" t="n"/>
      <c r="F64" s="11" t="inlineStr">
        <is>
          <t>未填项不会被当作 0；待补全时完整到厂价不可对外使用</t>
        </is>
      </c>
    </row>
    <row r="65">
      <c r="B65" s="9" t="inlineStr">
        <is>
          <t>已知成本小计（下限参考，非完整到厂价）</t>
        </is>
      </c>
      <c r="C65" s="17">
        <f>IFERROR(SUM(C31,C39,C40,C42,C52),0)</f>
        <v/>
      </c>
      <c r="D65" s="6" t="n"/>
      <c r="E65" s="6" t="n"/>
      <c r="F65" s="11" t="inlineStr">
        <is>
          <t>待补全时只能引用此值</t>
        </is>
      </c>
    </row>
  </sheetData>
  <mergeCells count="6">
    <mergeCell ref="B53:F53"/>
    <mergeCell ref="B5:F5"/>
    <mergeCell ref="B45:F45"/>
    <mergeCell ref="B23:F23"/>
    <mergeCell ref="B1:F1"/>
    <mergeCell ref="B32:F32"/>
  </mergeCells>
  <conditionalFormatting sqref="C64">
    <cfRule type="expression" priority="1" dxfId="0">
      <formula>LEFT($C64,3)="待补全"</formula>
    </cfRule>
    <cfRule type="expression" priority="2" dxfId="1">
      <formula>$C64="完整"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7C86"/>
    <outlinePr summaryBelow="1" summaryRight="1"/>
    <pageSetUpPr/>
  </sheetPr>
  <dimension ref="B1:F6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17" customWidth="1" min="3" max="3"/>
    <col width="13" customWidth="1" min="4" max="4"/>
    <col width="10" customWidth="1" min="5" max="5"/>
    <col width="40" customWidth="1" min="6" max="6"/>
  </cols>
  <sheetData>
    <row r="1" ht="19" customHeight="1">
      <c r="B1" s="5" t="inlineStr">
        <is>
          <t>① 商品与交易信息</t>
        </is>
      </c>
      <c r="C1" s="6" t="n"/>
      <c r="D1" s="6" t="n"/>
      <c r="E1" s="6" t="n"/>
      <c r="F1" s="6" t="n"/>
    </row>
    <row r="2">
      <c r="B2" s="7" t="inlineStr">
        <is>
          <t>产品</t>
        </is>
      </c>
      <c r="C2" s="8" t="inlineStr">
        <is>
          <t>工业级乙二醇 MEG</t>
        </is>
      </c>
      <c r="D2" s="7" t="inlineStr">
        <is>
          <t>规格</t>
        </is>
      </c>
      <c r="E2" s="8" t="inlineStr">
        <is>
          <t>≥99.9% 工业级</t>
        </is>
      </c>
    </row>
    <row r="3">
      <c r="B3" s="7" t="inlineStr">
        <is>
          <t>HS编码</t>
        </is>
      </c>
      <c r="C3" s="8" t="inlineStr">
        <is>
          <t>29053100</t>
        </is>
      </c>
      <c r="D3" s="7" t="inlineStr">
        <is>
          <t>原产国</t>
        </is>
      </c>
      <c r="E3" s="8" t="inlineStr">
        <is>
          <t>SA 沙特阿拉伯</t>
        </is>
      </c>
    </row>
    <row r="4">
      <c r="B4" s="7" t="inlineStr">
        <is>
          <t>目的地</t>
        </is>
      </c>
      <c r="C4" s="8" t="inlineStr">
        <is>
          <t>宁波港 → 江苏苏州</t>
        </is>
      </c>
      <c r="D4" s="7" t="inlineStr">
        <is>
          <t>指定地点</t>
        </is>
      </c>
      <c r="E4" s="8" t="inlineStr">
        <is>
          <t>中国宁波</t>
        </is>
      </c>
    </row>
    <row r="5" ht="19" customHeight="1">
      <c r="B5" s="5" t="inlineStr">
        <is>
          <t>② 报价与费用参数（黄色=可改，白色=公式；未填=待确认，绝不当作 0）</t>
        </is>
      </c>
      <c r="C5" s="6" t="n"/>
      <c r="D5" s="6" t="n"/>
      <c r="E5" s="6" t="n"/>
      <c r="F5" s="6" t="n"/>
    </row>
    <row r="6">
      <c r="B6" s="9" t="inlineStr">
        <is>
          <t>供应商单价（原币/计价单位）</t>
        </is>
      </c>
      <c r="C6" s="10" t="n">
        <v>685.05</v>
      </c>
      <c r="D6" s="6" t="n"/>
      <c r="E6" s="6" t="n"/>
      <c r="F6" s="11" t="inlineStr">
        <is>
          <t>黄色单元格可修改</t>
        </is>
      </c>
    </row>
    <row r="7">
      <c r="B7" s="9" t="inlineStr">
        <is>
          <t>数量（吨）</t>
        </is>
      </c>
      <c r="C7" s="12" t="n">
        <v>62.5</v>
      </c>
      <c r="D7" s="6" t="n"/>
      <c r="E7" s="6" t="n"/>
      <c r="F7" s="11" t="inlineStr">
        <is>
          <t>25×40' ISO 罐 × 25.0 吨</t>
        </is>
      </c>
    </row>
    <row r="8">
      <c r="B8" s="9" t="inlineStr">
        <is>
          <t>单价计价单位（MT / CONTAINER）</t>
        </is>
      </c>
      <c r="C8" s="8" t="inlineStr">
        <is>
          <t>MT</t>
        </is>
      </c>
      <c r="D8" s="6" t="n"/>
      <c r="E8" s="6" t="n"/>
      <c r="F8" s="11" t="inlineStr">
        <is>
          <t>MT=每吨价；CONTAINER=每柜价</t>
        </is>
      </c>
    </row>
    <row r="9">
      <c r="B9" s="9" t="inlineStr">
        <is>
          <t>包装是否已含于单价（TRUE/FALSE）</t>
        </is>
      </c>
      <c r="C9" s="8" t="inlineStr">
        <is>
          <t>TRUE</t>
        </is>
      </c>
      <c r="D9" s="6" t="n"/>
      <c r="E9" s="6" t="n"/>
      <c r="F9" s="11" t="inlineStr">
        <is>
          <t>《关税法》第25条：包装费计入计税价格</t>
        </is>
      </c>
    </row>
    <row r="10">
      <c r="B10" s="9" t="inlineStr">
        <is>
          <t>市场参考汇率 USD/CNY</t>
        </is>
      </c>
      <c r="C10" s="13" t="n">
        <v>6.6807</v>
      </c>
      <c r="D10" s="6" t="n"/>
      <c r="E10" s="6" t="n"/>
      <c r="F10" s="11" t="inlineStr">
        <is>
          <t>ECB 2026-10-19；exchangerate-api 2026-10-20=6.69</t>
        </is>
      </c>
    </row>
    <row r="11">
      <c r="B11" s="9" t="inlineStr">
        <is>
          <t>海关计征汇率 USD/CNY（演示占位值，须替换）</t>
        </is>
      </c>
      <c r="C11" s="13" t="n">
        <v>6.72</v>
      </c>
      <c r="D11" s="6" t="n"/>
      <c r="E11" s="6" t="n"/>
      <c r="F11" s="11" t="inlineStr">
        <is>
          <t>演示占位 6.7200（非2026-09-16官方值）；请替换为申报日对应上月第三个星期三亚行中间价；留空=待补全</t>
        </is>
      </c>
    </row>
    <row r="12">
      <c r="B12" s="9" t="inlineStr">
        <is>
          <t>出口侧费用 USD（EXW/FCA 填）</t>
        </is>
      </c>
      <c r="C12" s="10" t="n"/>
      <c r="D12" s="6" t="n"/>
      <c r="E12" s="6" t="n"/>
      <c r="F12" s="11" t="inlineStr">
        <is>
          <t>其余术语自动置 0</t>
        </is>
      </c>
    </row>
    <row r="13">
      <c r="B13" s="9" t="inlineStr">
        <is>
          <t>起运港费用 USD（EXW/FCA 填）</t>
        </is>
      </c>
      <c r="C13" s="10" t="n"/>
      <c r="D13" s="6" t="n"/>
      <c r="E13" s="6" t="n"/>
      <c r="F13" s="11" t="inlineStr">
        <is>
          <t>FOB 及以上已含，自动置 0</t>
        </is>
      </c>
    </row>
    <row r="14">
      <c r="B14" s="9" t="inlineStr">
        <is>
          <t>海运费 USD/MT（报价未含时填）</t>
        </is>
      </c>
      <c r="C14" s="10" t="n"/>
      <c r="D14" s="6" t="n"/>
      <c r="E14" s="6" t="n"/>
      <c r="F14" s="11" t="inlineStr">
        <is>
          <t>仅 FOB/EXW/FCA/FAS 需要</t>
        </is>
      </c>
    </row>
    <row r="15">
      <c r="B15" s="9" t="inlineStr">
        <is>
          <t>整票海运费 USD（可选）</t>
        </is>
      </c>
      <c r="C15" s="10" t="n"/>
      <c r="D15" s="6" t="n"/>
      <c r="E15" s="6" t="n"/>
      <c r="F15" s="11" t="inlineStr">
        <is>
          <t>货代按整票报价时填，优先于单价</t>
        </is>
      </c>
    </row>
    <row r="16">
      <c r="B16" s="9" t="inlineStr">
        <is>
          <t>保险费率 ‰</t>
        </is>
      </c>
      <c r="C16" s="14" t="n">
        <v>0.55</v>
      </c>
      <c r="D16" s="6" t="n"/>
      <c r="E16" s="6" t="n"/>
      <c r="F16" s="11" t="inlineStr">
        <is>
          <t>保费=(货值+运费)×费率×110%（模拟）</t>
        </is>
      </c>
    </row>
    <row r="17">
      <c r="B17" s="9" t="inlineStr">
        <is>
          <t>实际保险费 USD（可选）</t>
        </is>
      </c>
      <c r="C17" s="10" t="n"/>
      <c r="D17" s="6" t="n"/>
      <c r="E17" s="6" t="n"/>
      <c r="F17" s="11" t="inlineStr">
        <is>
          <t>有保单时填，优先于费率</t>
        </is>
      </c>
    </row>
    <row r="18">
      <c r="B18" s="9" t="inlineStr">
        <is>
          <t>保险是否已含于报价（TRUE/FALSE）</t>
        </is>
      </c>
      <c r="C18" s="8" t="inlineStr">
        <is>
          <t>TRUE</t>
        </is>
      </c>
      <c r="D18" s="6" t="n"/>
      <c r="E18" s="6" t="n"/>
      <c r="F18" s="11" t="inlineStr">
        <is>
          <t>CIF 默认 TRUE</t>
        </is>
      </c>
    </row>
    <row r="19">
      <c r="B19" s="9" t="inlineStr">
        <is>
          <t>包装费另计 USD</t>
        </is>
      </c>
      <c r="C19" s="10" t="n">
        <v>0</v>
      </c>
      <c r="D19" s="6" t="n"/>
      <c r="E19" s="6" t="n"/>
      <c r="F19" s="11" t="inlineStr">
        <is>
          <t>PI 另计包装时填；已含填 0</t>
        </is>
      </c>
    </row>
    <row r="20">
      <c r="B20" s="9" t="inlineStr">
        <is>
          <t>报价已含海运费（按术语判定）</t>
        </is>
      </c>
      <c r="C20" s="15">
        <f>OR("CIF"="CFR","CIF"="CIF","CIF"="CPT","CIF"="CIP","CIF"="DAP","CIF"="DPU","CIF"="DDP")</f>
        <v/>
      </c>
      <c r="D20" s="6" t="n"/>
      <c r="E20" s="6" t="n"/>
      <c r="F20" s="11" t="inlineStr">
        <is>
          <t>Incoterms 2020</t>
        </is>
      </c>
    </row>
    <row r="21">
      <c r="B21" s="9" t="inlineStr">
        <is>
          <t>报价已含保险费（按术语判定）</t>
        </is>
      </c>
      <c r="C21" s="15">
        <f>OR("CIF"="CIF","CIF"="CIP","CIF"="DDP")</f>
        <v/>
      </c>
      <c r="D21" s="6" t="n"/>
      <c r="E21" s="6" t="n"/>
      <c r="F21" s="11" t="inlineStr">
        <is>
          <t>Incoterms 2020</t>
        </is>
      </c>
    </row>
    <row r="22">
      <c r="B22" s="9" t="inlineStr">
        <is>
          <t>报价已含起运港费用（按术语判定）</t>
        </is>
      </c>
      <c r="C22" s="15">
        <f>NOT(OR("CIF"="EXW","CIF"="FCA"))</f>
        <v/>
      </c>
      <c r="D22" s="6" t="n"/>
      <c r="E22" s="6" t="n"/>
      <c r="F22" s="11" t="inlineStr">
        <is>
          <t>EXW/FCA 不含装运港费用</t>
        </is>
      </c>
    </row>
    <row r="23" ht="19" customHeight="1">
      <c r="B23" s="16" t="inlineStr">
        <is>
          <t>③ 第一层：货值 → 到岸（C=原币；D=人民币，按市场参考汇率）</t>
        </is>
      </c>
      <c r="C23" s="6" t="n"/>
      <c r="D23" s="6" t="n"/>
      <c r="E23" s="6" t="n"/>
      <c r="F23" s="6" t="n"/>
    </row>
    <row r="24">
      <c r="B24" s="9" t="inlineStr">
        <is>
          <t>货值（单价×数量）</t>
        </is>
      </c>
      <c r="C24" s="15">
        <f>IF(AND(ISNUMBER(C6),ISNUMBER(C7)),C6*C7,"")</f>
        <v/>
      </c>
      <c r="D24" s="17">
        <f>IF(ISNUMBER(C24),C24*$C$10,"")</f>
        <v/>
      </c>
      <c r="E24" s="18" t="inlineStr">
        <is>
          <t>人民币</t>
        </is>
      </c>
      <c r="F24" s="11" t="inlineStr">
        <is>
          <t>整票货值（原币）</t>
        </is>
      </c>
    </row>
    <row r="25">
      <c r="B25" s="9" t="inlineStr">
        <is>
          <t>单吨货值</t>
        </is>
      </c>
      <c r="C25" s="15">
        <f>IF(AND(ISNUMBER(C24),C7&gt;0),C24/C7,"")</f>
        <v/>
      </c>
      <c r="D25" s="17">
        <f>IF(ISNUMBER(C25),C25*$C$10,"")</f>
        <v/>
      </c>
      <c r="E25" s="18" t="inlineStr">
        <is>
          <t>人民币</t>
        </is>
      </c>
      <c r="F25" s="11" t="inlineStr">
        <is>
          <t>原币/吨</t>
        </is>
      </c>
    </row>
    <row r="26">
      <c r="B26" s="9" t="inlineStr">
        <is>
          <t>包装费（另计）</t>
        </is>
      </c>
      <c r="C26" s="15">
        <f>IF(C9=TRUE,0,IF(ISNUMBER(C19),C19,""))</f>
        <v/>
      </c>
      <c r="D26" s="17">
        <f>IF(ISNUMBER(C26),C26*$C$10,"")</f>
        <v/>
      </c>
      <c r="E26" s="18" t="inlineStr">
        <is>
          <t>人民币</t>
        </is>
      </c>
      <c r="F26" s="11" t="inlineStr">
        <is>
          <t>单价已含包装 → 0</t>
        </is>
      </c>
    </row>
    <row r="27">
      <c r="B27" s="9" t="inlineStr">
        <is>
          <t>起运港费用</t>
        </is>
      </c>
      <c r="C27" s="15">
        <f>IF(C22,0,IF(ISNUMBER(C13),C13,""))</f>
        <v/>
      </c>
      <c r="D27" s="17">
        <f>IF(ISNUMBER(C27),C27*$C$10,"")</f>
        <v/>
      </c>
      <c r="E27" s="18" t="inlineStr">
        <is>
          <t>人民币</t>
        </is>
      </c>
      <c r="F27" s="11" t="inlineStr">
        <is>
          <t>报价已含 → 0</t>
        </is>
      </c>
    </row>
    <row r="28">
      <c r="B28" s="9" t="inlineStr">
        <is>
          <t>出口侧费用</t>
        </is>
      </c>
      <c r="C28" s="15">
        <f>IF(C22,0,IF(ISNUMBER(C12),C12,""))</f>
        <v/>
      </c>
      <c r="D28" s="17">
        <f>IF(ISNUMBER(C28),C28*$C$10,"")</f>
        <v/>
      </c>
      <c r="E28" s="18" t="inlineStr">
        <is>
          <t>人民币</t>
        </is>
      </c>
      <c r="F28" s="11" t="inlineStr">
        <is>
          <t>报价已含 → 0</t>
        </is>
      </c>
    </row>
    <row r="29">
      <c r="B29" s="9" t="inlineStr">
        <is>
          <t>海运费（整票）</t>
        </is>
      </c>
      <c r="C29" s="15">
        <f>IF(C20,0,IF(ISNUMBER(C15),C15,IF(AND(ISNUMBER(C14),ISNUMBER(C7)),C14*C7,"")))</f>
        <v/>
      </c>
      <c r="D29" s="17">
        <f>IF(ISNUMBER(C29),C29*$C$10,"")</f>
        <v/>
      </c>
      <c r="E29" s="18" t="inlineStr">
        <is>
          <t>人民币</t>
        </is>
      </c>
      <c r="F29" s="11" t="inlineStr">
        <is>
          <t>CFR/CIF 已含 → 0（不重复计费）</t>
        </is>
      </c>
    </row>
    <row r="30">
      <c r="B30" s="9" t="inlineStr">
        <is>
          <t>保险费（实际）</t>
        </is>
      </c>
      <c r="C30" s="15">
        <f>IF(C18,0,IF(ISNUMBER(C17),C17,IF(AND(ISNUMBER(C16),ISNUMBER(C24),ISNUMBER(C29)),(C24+C29)*C16/100*1.1,"")))</f>
        <v/>
      </c>
      <c r="D30" s="17">
        <f>IF(ISNUMBER(C30),C30*$C$10,"")</f>
        <v/>
      </c>
      <c r="E30" s="18" t="inlineStr">
        <is>
          <t>人民币</t>
        </is>
      </c>
      <c r="F30" s="11" t="inlineStr">
        <is>
          <t>CIF 已含 → 0；费率按 110% 投保额</t>
        </is>
      </c>
    </row>
    <row r="31">
      <c r="B31" s="19" t="inlineStr">
        <is>
          <t>到岸成本合计（CIF 等值）</t>
        </is>
      </c>
      <c r="C31" s="20">
        <f>IF(COUNT(C24,C26,C27,C28,C29,C30)=6,SUM(C24,C26,C27,C28,C29,C30),"")</f>
        <v/>
      </c>
      <c r="D31" s="21">
        <f>IF(ISNUMBER(C31),C31*$C$10,"")</f>
        <v/>
      </c>
      <c r="E31" s="18" t="inlineStr">
        <is>
          <t>人民币</t>
        </is>
      </c>
      <c r="F31" s="11" t="inlineStr">
        <is>
          <t>货值+包装+起运港+出口侧+海运+保险（原币与人民币两列）</t>
        </is>
      </c>
    </row>
    <row r="32" ht="19" customHeight="1">
      <c r="B32" s="16" t="inlineStr">
        <is>
          <t>④ 第二层：进口税费（关税不可抵扣；增值税分现金/可抵扣两栏）</t>
        </is>
      </c>
      <c r="C32" s="6" t="n"/>
      <c r="D32" s="6" t="n"/>
      <c r="E32" s="6" t="n"/>
      <c r="F32" s="6" t="n"/>
    </row>
    <row r="33">
      <c r="B33" s="19" t="inlineStr">
        <is>
          <t>关税税率（实征，从税则查询录入）</t>
        </is>
      </c>
      <c r="C33" s="22" t="n">
        <v>0.055</v>
      </c>
      <c r="D33" s="6" t="n"/>
      <c r="E33" s="6" t="n"/>
      <c r="F33" s="11" t="inlineStr">
        <is>
          <t>来源与核验日期见【数据来源】页</t>
        </is>
      </c>
    </row>
    <row r="34">
      <c r="B34" s="9" t="inlineStr">
        <is>
          <t>反倾销/反补贴税率</t>
        </is>
      </c>
      <c r="C34" s="23" t="n">
        <v>0</v>
      </c>
      <c r="D34" s="6" t="n"/>
      <c r="E34" s="6" t="n"/>
      <c r="F34" s="11" t="inlineStr">
        <is>
          <t>核验后填写；未查到填 0 并注明（≠不存在）</t>
        </is>
      </c>
    </row>
    <row r="35">
      <c r="B35" s="9" t="inlineStr">
        <is>
          <t>进口环节增值税率</t>
        </is>
      </c>
      <c r="C35" s="23" t="n">
        <v>0.13</v>
      </c>
      <c r="D35" s="6" t="n"/>
      <c r="E35" s="6" t="n"/>
      <c r="F35" s="11" t="inlineStr">
        <is>
          <t>一般货物 13%</t>
        </is>
      </c>
    </row>
    <row r="36">
      <c r="B36" s="9" t="inlineStr">
        <is>
          <t>增值税是否可抵扣（是/否）</t>
        </is>
      </c>
      <c r="C36" s="8" t="inlineStr">
        <is>
          <t>是</t>
        </is>
      </c>
      <c r="D36" s="6" t="n"/>
      <c r="E36" s="6" t="n"/>
      <c r="F36" s="11" t="inlineStr">
        <is>
          <t>一般纳税人且用于应税项目=是</t>
        </is>
      </c>
    </row>
    <row r="37">
      <c r="B37" s="9" t="inlineStr">
        <is>
          <t>其中：计入计税价格的保险费</t>
        </is>
      </c>
      <c r="C37" s="17">
        <f>IF(C18=TRUE,0,IF(ISNUMBER(C30),C30,IF(AND(ISNUMBER(C24),ISNUMBER(C29)),((C24)+IF(C9=TRUE,0,IF(ISNUMBER(C19),C19,0))+IF(C22,0,IF(ISNUMBER(C13),C13,0))+IF(C22,0,IF(ISNUMBER(C12),C12,0))+C29)*0.003/0.997,"")))</f>
        <v/>
      </c>
      <c r="D37" s="6" t="n"/>
      <c r="E37" s="6" t="n"/>
      <c r="F37" s="11" t="inlineStr">
        <is>
          <t>未投保时按（货价+运费）×0.3‰（第36条）</t>
        </is>
      </c>
    </row>
    <row r="38">
      <c r="B38" s="19" t="inlineStr">
        <is>
          <t>关税计税价格（人民币，完税价格）</t>
        </is>
      </c>
      <c r="C38" s="24">
        <f>IF(AND(ISNUMBER(C24),ISNUMBER(C11),ISNUMBER(C26),ISNUMBER(C28),ISNUMBER(C29),ISNUMBER(C30),ISNUMBER(C37)),(C24+C26+IF(ISNUMBER(C27),C27,0)+C28+C29+IF(C18,0,C37))*C11,"")</f>
        <v/>
      </c>
      <c r="D38" s="6" t="n"/>
      <c r="E38" s="6" t="n"/>
      <c r="F38" s="11" t="inlineStr">
        <is>
          <t>＝(货值+包装+起运港+出口侧+海运+实际保险+应计保险)×海关计征汇率</t>
        </is>
      </c>
    </row>
    <row r="39">
      <c r="B39" s="9" t="inlineStr">
        <is>
          <t>应纳关税</t>
        </is>
      </c>
      <c r="C39" s="17">
        <f>IF(AND(ISNUMBER(C38),ISNUMBER(C33)),C38*C33,"")</f>
        <v/>
      </c>
      <c r="D39" s="6" t="n"/>
      <c r="E39" s="6" t="n"/>
      <c r="F39" s="11" t="inlineStr">
        <is>
          <t>＝计税价格×实征税率（不可抵扣，一定进成本）</t>
        </is>
      </c>
    </row>
    <row r="40">
      <c r="B40" s="9" t="inlineStr">
        <is>
          <t>反倾销/反补贴税</t>
        </is>
      </c>
      <c r="C40" s="17">
        <f>IF(AND(ISNUMBER(C38),ISNUMBER(C34)),C38*C34,"")</f>
        <v/>
      </c>
      <c r="D40" s="6" t="n"/>
      <c r="E40" s="6" t="n"/>
      <c r="F40" s="11" t="inlineStr">
        <is>
          <t>＝计税价格×措施税率</t>
        </is>
      </c>
    </row>
    <row r="41">
      <c r="B41" s="9" t="inlineStr">
        <is>
          <t>组成计税价格（增值税基数）</t>
        </is>
      </c>
      <c r="C41" s="17">
        <f>IF(AND(ISNUMBER(C38),ISNUMBER(C39)),C38+C39+C40,"")</f>
        <v/>
      </c>
      <c r="D41" s="6" t="n"/>
      <c r="E41" s="6" t="n"/>
      <c r="F41" s="11" t="inlineStr">
        <is>
          <t>＝计税价格+关税+反倾销税（+消费税，本产品无）</t>
        </is>
      </c>
    </row>
    <row r="42">
      <c r="B42" s="19" t="inlineStr">
        <is>
          <t>进口环节增值税（现金支出）</t>
        </is>
      </c>
      <c r="C42" s="24">
        <f>IF(AND(ISNUMBER(C41),ISNUMBER(C35)),C41*C35,"")</f>
        <v/>
      </c>
      <c r="D42" s="6" t="n"/>
      <c r="E42" s="6" t="n"/>
      <c r="F42" s="11" t="inlineStr">
        <is>
          <t>＝组成计税价格×13%；现金支出，另行列可抵扣</t>
        </is>
      </c>
    </row>
    <row r="43">
      <c r="B43" s="9" t="inlineStr">
        <is>
          <t>其中：可抵扣进项税额</t>
        </is>
      </c>
      <c r="C43" s="17">
        <f>IF(AND(ISNUMBER(C42),LEFT(C36,1)="是"),C42,0)</f>
        <v/>
      </c>
      <c r="D43" s="6" t="n"/>
      <c r="E43" s="6" t="n"/>
      <c r="F43" s="11" t="inlineStr">
        <is>
          <t>可抵扣部分不计入最终经济成本</t>
        </is>
      </c>
    </row>
    <row r="44">
      <c r="B44" s="9" t="inlineStr">
        <is>
          <t>其中：不可抵扣部分（进成本）</t>
        </is>
      </c>
      <c r="C44" s="17">
        <f>IF(ISNUMBER(C42),C42-C43,"")</f>
        <v/>
      </c>
      <c r="D44" s="6" t="n"/>
      <c r="E44" s="6" t="n"/>
      <c r="F44" s="11" t="inlineStr">
        <is>
          <t>不可抵扣时全额进入成本</t>
        </is>
      </c>
    </row>
    <row r="45" ht="19" customHeight="1">
      <c r="B45" s="16" t="inlineStr">
        <is>
          <t>⑤ 第三层：口岸与境内物流（人民币，整票；不进入计税价格）</t>
        </is>
      </c>
      <c r="C45" s="6" t="n"/>
      <c r="D45" s="6" t="n"/>
      <c r="E45" s="6" t="n"/>
      <c r="F45" s="6" t="n"/>
    </row>
    <row r="46">
      <c r="B46" s="9" t="inlineStr">
        <is>
          <t>港杂费</t>
        </is>
      </c>
      <c r="C46" s="10" t="n">
        <v>600</v>
      </c>
      <c r="D46" s="6" t="n"/>
      <c r="E46" s="6" t="n"/>
      <c r="F46" s="11" t="inlineStr">
        <is>
          <t>THC/港建/换单/堆存等</t>
        </is>
      </c>
    </row>
    <row r="47">
      <c r="B47" s="9" t="inlineStr">
        <is>
          <t>报关代理费</t>
        </is>
      </c>
      <c r="C47" s="10" t="n">
        <v>500</v>
      </c>
      <c r="D47" s="6" t="n"/>
      <c r="E47" s="6" t="n"/>
      <c r="F47" s="11" t="inlineStr">
        <is>
          <t>宁波港公示 100–500 元/票</t>
        </is>
      </c>
    </row>
    <row r="48">
      <c r="B48" s="9" t="inlineStr">
        <is>
          <t>检验检测费</t>
        </is>
      </c>
      <c r="C48" s="10" t="n">
        <v>0</v>
      </c>
      <c r="D48" s="6" t="n"/>
      <c r="E48" s="6" t="n"/>
      <c r="F48" s="11" t="inlineStr">
        <is>
          <t>无检验填 0 并注明</t>
        </is>
      </c>
    </row>
    <row r="49">
      <c r="B49" s="9" t="inlineStr">
        <is>
          <t>仓储费</t>
        </is>
      </c>
      <c r="C49" s="10" t="n">
        <v>3000</v>
      </c>
      <c r="D49" s="6" t="n"/>
      <c r="E49" s="6" t="n"/>
      <c r="F49" s="11" t="inlineStr">
        <is>
          <t>无仓储填 0 并注明</t>
        </is>
      </c>
    </row>
    <row r="50">
      <c r="B50" s="9" t="inlineStr">
        <is>
          <t>国内运输费</t>
        </is>
      </c>
      <c r="C50" s="10" t="n">
        <v>7812.5</v>
      </c>
      <c r="D50" s="6" t="n"/>
      <c r="E50" s="6" t="n"/>
      <c r="F50" s="11" t="inlineStr">
        <is>
          <t>0.5 元/吨·km × 250km × 62.5t</t>
        </is>
      </c>
    </row>
    <row r="51">
      <c r="B51" s="9" t="inlineStr">
        <is>
          <t>资金/信用证成本</t>
        </is>
      </c>
      <c r="C51" s="10" t="n">
        <v>0</v>
      </c>
      <c r="D51" s="6" t="n"/>
      <c r="E51" s="6" t="n"/>
      <c r="F51" s="11" t="inlineStr">
        <is>
          <t>不计入计税价格</t>
        </is>
      </c>
    </row>
    <row r="52">
      <c r="B52" s="19" t="inlineStr">
        <is>
          <t>境内费用合计</t>
        </is>
      </c>
      <c r="C52" s="25">
        <f>IF(COUNT(C46:C51)=6,SUM(C46:C51),"")</f>
        <v/>
      </c>
      <c r="D52" s="6" t="n"/>
      <c r="E52" s="6" t="n"/>
      <c r="F52" s="11" t="inlineStr">
        <is>
          <t>人民币，不受汇率影响</t>
        </is>
      </c>
    </row>
    <row r="53" ht="19" customHeight="1">
      <c r="B53" s="5" t="inlineStr">
        <is>
          <t>⑥ 汇总：现金支出 / 可抵扣税额 / 最终经济成本</t>
        </is>
      </c>
      <c r="C53" s="6" t="n"/>
      <c r="D53" s="6" t="n"/>
      <c r="E53" s="6" t="n"/>
      <c r="F53" s="6" t="n"/>
    </row>
    <row r="54">
      <c r="B54" s="9" t="inlineStr">
        <is>
          <t>① 到岸成本（不含进口税费）</t>
        </is>
      </c>
      <c r="C54" s="17">
        <f>IF(ISNUMBER(C31),D31,"")</f>
        <v/>
      </c>
      <c r="D54" s="6" t="n"/>
      <c r="E54" s="6" t="n"/>
      <c r="F54" s="11" t="inlineStr">
        <is>
          <t>货值+运费+保险（市场汇率）</t>
        </is>
      </c>
    </row>
    <row r="55">
      <c r="B55" s="9" t="inlineStr">
        <is>
          <t>② 关税 + 反倾销税</t>
        </is>
      </c>
      <c r="C55" s="17">
        <f>IF(AND(ISNUMBER(C39),ISNUMBER(C40)),C39+C40,"")</f>
        <v/>
      </c>
      <c r="D55" s="6" t="n"/>
      <c r="E55" s="6" t="n"/>
      <c r="F55" s="11" t="inlineStr">
        <is>
          <t>不可抵扣</t>
        </is>
      </c>
    </row>
    <row r="56">
      <c r="B56" s="9" t="inlineStr">
        <is>
          <t>③ 进口环节增值税（现金全额）</t>
        </is>
      </c>
      <c r="C56" s="17">
        <f>IF(ISNUMBER(C42),C42,"")</f>
        <v/>
      </c>
      <c r="D56" s="6" t="n"/>
      <c r="E56" s="6" t="n"/>
      <c r="F56" s="11" t="inlineStr">
        <is>
          <t>现金支出</t>
        </is>
      </c>
    </row>
    <row r="57">
      <c r="B57" s="9" t="inlineStr">
        <is>
          <t>④ 境内费用</t>
        </is>
      </c>
      <c r="C57" s="17">
        <f>IF(ISNUMBER(C52),C52,"")</f>
        <v/>
      </c>
      <c r="D57" s="6" t="n"/>
      <c r="E57" s="6" t="n"/>
      <c r="F57" s="11" t="inlineStr"/>
    </row>
    <row r="58">
      <c r="B58" s="19" t="inlineStr">
        <is>
          <t>整票现金支出 = ①+②+③+④</t>
        </is>
      </c>
      <c r="C58" s="24">
        <f>IF(COUNT(C54:C57)=4,SUM(C54:C57),"")</f>
        <v/>
      </c>
      <c r="D58" s="6" t="n"/>
      <c r="E58" s="6" t="n"/>
      <c r="F58" s="11" t="inlineStr">
        <is>
          <t>所有实际付出去的钱</t>
        </is>
      </c>
    </row>
    <row r="59">
      <c r="B59" s="9" t="inlineStr">
        <is>
          <t>减：可抵扣进项税额</t>
        </is>
      </c>
      <c r="C59" s="17">
        <f>IF(ISNUMBER(C43),-C43,"")</f>
        <v/>
      </c>
      <c r="D59" s="6" t="n"/>
      <c r="E59" s="6" t="n"/>
      <c r="F59" s="11" t="inlineStr">
        <is>
          <t>申报期抵扣、现金回流</t>
        </is>
      </c>
    </row>
    <row r="60">
      <c r="B60" s="19" t="inlineStr">
        <is>
          <t>最终经济成本（整票）= 现金支出 − 可抵扣</t>
        </is>
      </c>
      <c r="C60" s="24">
        <f>IF(ISNUMBER(C58),C58+C59,"")</f>
        <v/>
      </c>
      <c r="D60" s="6" t="n"/>
      <c r="E60" s="6" t="n"/>
      <c r="F60" s="11" t="inlineStr">
        <is>
          <t>可抵扣时已剔除增值税</t>
        </is>
      </c>
    </row>
    <row r="61">
      <c r="B61" s="19" t="inlineStr">
        <is>
          <t>★ 最终经济成本 元/吨（参考到厂成本）</t>
        </is>
      </c>
      <c r="C61" s="24">
        <f>IF(AND(ISNUMBER(C60),C7&gt;0),C60/C7,"")</f>
        <v/>
      </c>
      <c r="D61" s="6" t="n"/>
      <c r="E61" s="6" t="n"/>
      <c r="F61" s="11" t="inlineStr"/>
    </row>
    <row r="62">
      <c r="B62" s="9" t="inlineStr">
        <is>
          <t>现金支出 元/吨</t>
        </is>
      </c>
      <c r="C62" s="17">
        <f>IF(AND(ISNUMBER(C58),C7&gt;0),C58/C7,"")</f>
        <v/>
      </c>
      <c r="D62" s="6" t="n"/>
      <c r="E62" s="6" t="n"/>
      <c r="F62" s="11" t="inlineStr"/>
    </row>
    <row r="63">
      <c r="B63" s="9" t="inlineStr">
        <is>
          <t>到岸成本 元/吨</t>
        </is>
      </c>
      <c r="C63" s="17">
        <f>IF(AND(ISNUMBER(C54),C7&gt;0),C54/C7,"")</f>
        <v/>
      </c>
      <c r="D63" s="6" t="n"/>
      <c r="E63" s="6" t="n"/>
      <c r="F63" s="11" t="inlineStr"/>
    </row>
    <row r="64">
      <c r="B64" s="9" t="inlineStr">
        <is>
          <t>完整到厂成本状态</t>
        </is>
      </c>
      <c r="C64" s="15">
        <f>IF(COUNT(C24,C26,C27,C28,C29,C30,C31,C38,C41,C42,C46,C47,C48,C49,C50,C51)=16,IF(COUNT(C11,C33,C35)=3,"完整","待补全（缺关税税率或海关计征汇率）"),"待补全（缺费用项）")</f>
        <v/>
      </c>
      <c r="D64" s="6" t="n"/>
      <c r="E64" s="6" t="n"/>
      <c r="F64" s="11" t="inlineStr">
        <is>
          <t>未填项不会被当作 0；待补全时完整到厂价不可对外使用</t>
        </is>
      </c>
    </row>
    <row r="65">
      <c r="B65" s="9" t="inlineStr">
        <is>
          <t>已知成本小计（下限参考，非完整到厂价）</t>
        </is>
      </c>
      <c r="C65" s="17">
        <f>IFERROR(SUM(C31,C39,C40,C42,C52),0)</f>
        <v/>
      </c>
      <c r="D65" s="6" t="n"/>
      <c r="E65" s="6" t="n"/>
      <c r="F65" s="11" t="inlineStr">
        <is>
          <t>待补全时只能引用此值</t>
        </is>
      </c>
    </row>
  </sheetData>
  <mergeCells count="6">
    <mergeCell ref="B53:F53"/>
    <mergeCell ref="B5:F5"/>
    <mergeCell ref="B45:F45"/>
    <mergeCell ref="B23:F23"/>
    <mergeCell ref="B1:F1"/>
    <mergeCell ref="B32:F32"/>
  </mergeCells>
  <conditionalFormatting sqref="C64">
    <cfRule type="expression" priority="1" dxfId="0">
      <formula>LEFT($C64,3)="待补全"</formula>
    </cfRule>
    <cfRule type="expression" priority="2" dxfId="1">
      <formula>$C64="完整"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</cols>
  <sheetData>
    <row r="1">
      <c r="B1" s="26" t="inlineStr">
        <is>
          <t>FOB / CFR / CIF 三口径对照</t>
        </is>
      </c>
    </row>
    <row r="2">
      <c r="B2" s="2" t="inlineStr">
        <is>
          <t>经济实质相同时（FOB 640 + 运费 45 + 保费），三口径到厂成本应基本一致；差异只来自卖方对运费/保险的加价。</t>
        </is>
      </c>
    </row>
    <row r="4">
      <c r="B4" s="27" t="inlineStr">
        <is>
          <t>指标</t>
        </is>
      </c>
      <c r="C4" s="27" t="inlineStr">
        <is>
          <t>FOB 朱拜勒</t>
        </is>
      </c>
      <c r="D4" s="27" t="inlineStr">
        <is>
          <t>CFR 宁波</t>
        </is>
      </c>
      <c r="E4" s="27" t="inlineStr">
        <is>
          <t>CIF 宁波</t>
        </is>
      </c>
      <c r="F4" s="27" t="inlineStr">
        <is>
          <t>CFR−FOB</t>
        </is>
      </c>
      <c r="G4" s="27" t="inlineStr">
        <is>
          <t>CIF−FOB</t>
        </is>
      </c>
    </row>
    <row r="5">
      <c r="B5" s="19" t="inlineStr">
        <is>
          <t>报价（原币/吨）</t>
        </is>
      </c>
      <c r="C5" s="28">
        <f>'FOB'!C6</f>
        <v/>
      </c>
      <c r="D5" s="28">
        <f>'CFR'!C6</f>
        <v/>
      </c>
      <c r="E5" s="28">
        <f>'CIF'!C6</f>
        <v/>
      </c>
      <c r="F5" s="29">
        <f>IF(AND(ISNUMBER(C5),ISNUMBER(D5)),D5-C5,"")</f>
        <v/>
      </c>
      <c r="G5" s="29">
        <f>IF(AND(ISNUMBER(C5),ISNUMBER(E5)),E5-C5,"")</f>
        <v/>
      </c>
    </row>
    <row r="6">
      <c r="B6" s="19" t="inlineStr">
        <is>
          <t>到岸成本 元/吨</t>
        </is>
      </c>
      <c r="C6" s="28">
        <f>'FOB'!C63</f>
        <v/>
      </c>
      <c r="D6" s="28">
        <f>'CFR'!C63</f>
        <v/>
      </c>
      <c r="E6" s="28">
        <f>'CIF'!C63</f>
        <v/>
      </c>
      <c r="F6" s="29">
        <f>IF(AND(ISNUMBER(C6),ISNUMBER(D6)),D6-C6,"")</f>
        <v/>
      </c>
      <c r="G6" s="29">
        <f>IF(AND(ISNUMBER(C6),ISNUMBER(E6)),E6-C6,"")</f>
        <v/>
      </c>
    </row>
    <row r="7">
      <c r="B7" s="19" t="inlineStr">
        <is>
          <t>关税计税价格（元）</t>
        </is>
      </c>
      <c r="C7" s="28">
        <f>'FOB'!C38</f>
        <v/>
      </c>
      <c r="D7" s="28">
        <f>'CFR'!C38</f>
        <v/>
      </c>
      <c r="E7" s="28">
        <f>'CIF'!C38</f>
        <v/>
      </c>
      <c r="F7" s="29">
        <f>IF(AND(ISNUMBER(C7),ISNUMBER(D7)),D7-C7,"")</f>
        <v/>
      </c>
      <c r="G7" s="29">
        <f>IF(AND(ISNUMBER(C7),ISNUMBER(E7)),E7-C7,"")</f>
        <v/>
      </c>
    </row>
    <row r="8">
      <c r="B8" s="19" t="inlineStr">
        <is>
          <t>应纳关税（元）</t>
        </is>
      </c>
      <c r="C8" s="28">
        <f>'FOB'!C39</f>
        <v/>
      </c>
      <c r="D8" s="28">
        <f>'CFR'!C39</f>
        <v/>
      </c>
      <c r="E8" s="28">
        <f>'CIF'!C39</f>
        <v/>
      </c>
      <c r="F8" s="29">
        <f>IF(AND(ISNUMBER(C8),ISNUMBER(D8)),D8-C8,"")</f>
        <v/>
      </c>
      <c r="G8" s="29">
        <f>IF(AND(ISNUMBER(C8),ISNUMBER(E8)),E8-C8,"")</f>
        <v/>
      </c>
    </row>
    <row r="9">
      <c r="B9" s="19" t="inlineStr">
        <is>
          <t>增值税（元，现金）</t>
        </is>
      </c>
      <c r="C9" s="28">
        <f>'FOB'!C42</f>
        <v/>
      </c>
      <c r="D9" s="28">
        <f>'CFR'!C42</f>
        <v/>
      </c>
      <c r="E9" s="28">
        <f>'CIF'!C42</f>
        <v/>
      </c>
      <c r="F9" s="29">
        <f>IF(AND(ISNUMBER(C9),ISNUMBER(D9)),D9-C9,"")</f>
        <v/>
      </c>
      <c r="G9" s="29">
        <f>IF(AND(ISNUMBER(C9),ISNUMBER(E9)),E9-C9,"")</f>
        <v/>
      </c>
    </row>
    <row r="10">
      <c r="B10" s="19" t="inlineStr">
        <is>
          <t>可抵扣进项（元）</t>
        </is>
      </c>
      <c r="C10" s="28">
        <f>'FOB'!C43</f>
        <v/>
      </c>
      <c r="D10" s="28">
        <f>'CFR'!C43</f>
        <v/>
      </c>
      <c r="E10" s="28">
        <f>'CIF'!C43</f>
        <v/>
      </c>
      <c r="F10" s="29">
        <f>IF(AND(ISNUMBER(C10),ISNUMBER(D10)),D10-C10,"")</f>
        <v/>
      </c>
      <c r="G10" s="29">
        <f>IF(AND(ISNUMBER(C10),ISNUMBER(E10)),E10-C10,"")</f>
        <v/>
      </c>
    </row>
    <row r="11">
      <c r="B11" s="30" t="inlineStr">
        <is>
          <t>整票现金支出（元）</t>
        </is>
      </c>
      <c r="C11" s="21">
        <f>'FOB'!C58</f>
        <v/>
      </c>
      <c r="D11" s="21">
        <f>'CFR'!C58</f>
        <v/>
      </c>
      <c r="E11" s="21">
        <f>'CIF'!C58</f>
        <v/>
      </c>
      <c r="F11" s="31">
        <f>IF(AND(ISNUMBER(C11),ISNUMBER(D11)),D11-C11,"")</f>
        <v/>
      </c>
      <c r="G11" s="31">
        <f>IF(AND(ISNUMBER(C11),ISNUMBER(E11)),E11-C11,"")</f>
        <v/>
      </c>
    </row>
    <row r="12">
      <c r="B12" s="30" t="inlineStr">
        <is>
          <t>最终经济成本（元）</t>
        </is>
      </c>
      <c r="C12" s="21">
        <f>'FOB'!C60</f>
        <v/>
      </c>
      <c r="D12" s="21">
        <f>'CFR'!C60</f>
        <v/>
      </c>
      <c r="E12" s="21">
        <f>'CIF'!C60</f>
        <v/>
      </c>
      <c r="F12" s="31">
        <f>IF(AND(ISNUMBER(C12),ISNUMBER(D12)),D12-C12,"")</f>
        <v/>
      </c>
      <c r="G12" s="31">
        <f>IF(AND(ISNUMBER(C12),ISNUMBER(E12)),E12-C12,"")</f>
        <v/>
      </c>
    </row>
    <row r="13">
      <c r="B13" s="30" t="inlineStr">
        <is>
          <t>最终经济成本 元/吨</t>
        </is>
      </c>
      <c r="C13" s="21">
        <f>'FOB'!C61</f>
        <v/>
      </c>
      <c r="D13" s="21">
        <f>'CFR'!C61</f>
        <v/>
      </c>
      <c r="E13" s="21">
        <f>'CIF'!C61</f>
        <v/>
      </c>
      <c r="F13" s="31">
        <f>IF(AND(ISNUMBER(C13),ISNUMBER(D13)),D13-C13,"")</f>
        <v/>
      </c>
      <c r="G13" s="31">
        <f>IF(AND(ISNUMBER(C13),ISNUMBER(E13)),E13-C13,"")</f>
        <v/>
      </c>
    </row>
    <row r="14">
      <c r="B14" s="30" t="inlineStr">
        <is>
          <t>完整状态</t>
        </is>
      </c>
      <c r="C14" s="32">
        <f>'FOB'!C64</f>
        <v/>
      </c>
      <c r="D14" s="32">
        <f>'CFR'!C64</f>
        <v/>
      </c>
      <c r="E14" s="32">
        <f>'CIF'!C64</f>
        <v/>
      </c>
      <c r="F14" s="31">
        <f>IF(AND(ISNUMBER(C14),ISNUMBER(D14)),D14-C14,"")</f>
        <v/>
      </c>
      <c r="G14" s="31">
        <f>IF(AND(ISNUMBER(C14),ISNUMBER(E14)),E14-C14,"")</f>
        <v/>
      </c>
    </row>
    <row r="16">
      <c r="B16" s="33" t="inlineStr">
        <is>
          <t>结论要点</t>
        </is>
      </c>
    </row>
    <row r="17">
      <c r="B17" s="7" t="inlineStr">
        <is>
          <t>① FOB 报价不含海运与保险，测算必须另加；CFR/CIF 已含海运费，绝不能再加一次。</t>
        </is>
      </c>
    </row>
    <row r="18">
      <c r="B18" s="7" t="inlineStr">
        <is>
          <t>② CIF 已含保险；买方另行加保的费用单列，不得与报价内保费重复。</t>
        </is>
      </c>
    </row>
    <row r="19">
      <c r="B19" s="7" t="inlineStr">
        <is>
          <t>③ 三口径到厂成本差异 = 卖方对运费/保险的加价 → 这是议价抓手。</t>
        </is>
      </c>
    </row>
    <row r="20">
      <c r="B20" s="7" t="inlineStr">
        <is>
          <t>④ 关税与增值税的计税价格都以 CIF 等值为基础：FOB 报价看着低，税费基数并不低。</t>
        </is>
      </c>
    </row>
    <row r="21">
      <c r="B21" s="7" t="inlineStr">
        <is>
          <t>⑤ 状态为「待补全」时，该口径的到厂价不可对外使用，只能用「已知成本小计」。</t>
        </is>
      </c>
    </row>
  </sheetData>
  <mergeCells count="5">
    <mergeCell ref="B19:G19"/>
    <mergeCell ref="B20:G20"/>
    <mergeCell ref="B17:G17"/>
    <mergeCell ref="B18:G18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7" customWidth="1" min="4" max="4"/>
    <col width="15" customWidth="1" min="5" max="5"/>
    <col width="11" customWidth="1" min="6" max="6"/>
    <col width="42" customWidth="1" min="7" max="7"/>
  </cols>
  <sheetData>
    <row r="1">
      <c r="B1" s="26" t="inlineStr">
        <is>
          <t>敏感性分析（基准 = FOB 页，全部由公式驱动）</t>
        </is>
      </c>
    </row>
    <row r="2">
      <c r="B2" s="2" t="inlineStr">
        <is>
          <t>每个情景独立复刻计算链：货值→CIF→关税计税价格→关税→增值税→现金支出→可抵扣→元/吨。未做线性近似。</t>
        </is>
      </c>
    </row>
    <row r="4">
      <c r="B4" s="19" t="inlineStr">
        <is>
          <t>基准（FOB 页）</t>
        </is>
      </c>
      <c r="C4" s="29">
        <f>'FOB'!C6</f>
        <v/>
      </c>
      <c r="D4" s="34">
        <f>'FOB'!C61</f>
        <v/>
      </c>
      <c r="E4" s="29">
        <f>'FOB'!C60</f>
        <v/>
      </c>
      <c r="F4" s="6" t="n"/>
      <c r="G4" s="18" t="inlineStr">
        <is>
          <t>C=单价 / D=到厂 元吨 / E=整票</t>
        </is>
      </c>
    </row>
    <row r="6">
      <c r="B6" s="35" t="inlineStr">
        <is>
          <t>① 汇率 ±3%（市场汇率与海关计征汇率同向变动）</t>
        </is>
      </c>
    </row>
    <row r="7">
      <c r="B7" s="27" t="inlineStr">
        <is>
          <t>情景</t>
        </is>
      </c>
      <c r="C7" s="27" t="inlineStr">
        <is>
          <t>情景参数</t>
        </is>
      </c>
      <c r="D7" s="27" t="inlineStr">
        <is>
          <t>到厂成本 元/吨</t>
        </is>
      </c>
      <c r="E7" s="27" t="inlineStr">
        <is>
          <t>Δ 元/吨</t>
        </is>
      </c>
      <c r="F7" s="27" t="inlineStr">
        <is>
          <t>Δ %</t>
        </is>
      </c>
      <c r="G7" s="27" t="inlineStr">
        <is>
          <t>说明</t>
        </is>
      </c>
    </row>
    <row r="9">
      <c r="B9" s="9" t="inlineStr">
        <is>
          <t>汇率 -3%</t>
        </is>
      </c>
      <c r="C9" s="36" t="n">
        <v>-0.03</v>
      </c>
      <c r="D9" s="28">
        <f>IF(AND(ISNUMBER('FOB'!C6),ISNUMBER('FOB'!C7),ISNUMBER('FOB'!C10*(1+-0.03)),ISNUMBER(IF(ISNUMBER('FOB'!C11),'FOB'!C11*(1+-0.03),"")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10*(1+-0.03)),'FOB'!C10*(1+-0.03),0)+IF(ISNUMBER(IF(ISNUMBER('FOB'!C11),'FOB'!C11*(1+-0.03)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-0.03),""),0)*IF(ISNUMBER('FOB'!C33),'FOB'!C33,0)*(1+IF(ISNUMBER('FOB'!C34),'FOB'!C34,0))+(IF(ISNUMBER(IF(ISNUMBER('FOB'!C11),'FOB'!C11*(1+-0.03)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-0.03),""),0)+IF(ISNUMBER(IF(ISNUMBER('FOB'!C11),'FOB'!C11*(1+-0.03)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-0.03),"")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IF(ISNUMBER('FOB'!C11),'FOB'!C11*(1+-0.03)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-0.03),""),0)+IF(ISNUMBER(IF(ISNUMBER('FOB'!C11),'FOB'!C11*(1+-0.03)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-0.03),""),0)*IF(ISNUMBER('FOB'!C33),'FOB'!C33,0)*(1+IF(ISNUMBER('FOB'!C34),'FOB'!C34,0)))*IF(ISNUMBER('FOB'!C35),'FOB'!C35,0),0))/('FOB'!C7),"")</f>
        <v/>
      </c>
      <c r="E9" s="29">
        <f>IF(AND(ISNUMBER(D9),ISNUMBER(D4)),D9-D4,"")</f>
        <v/>
      </c>
      <c r="F9" s="37">
        <f>IF(AND(ISNUMBER(E9),ISNUMBER(D4)),E9/D4,"")</f>
        <v/>
      </c>
      <c r="G9" s="18" t="inlineStr">
        <is>
          <t>市场汇率影响现金，海关计征汇率影响税费基数</t>
        </is>
      </c>
    </row>
    <row r="10">
      <c r="B10" s="9" t="inlineStr">
        <is>
          <t>汇率 +0%</t>
        </is>
      </c>
      <c r="C10" s="36" t="n">
        <v>0</v>
      </c>
      <c r="D10" s="28">
        <f>IF(AND(ISNUMBER('FOB'!C6),ISNUMBER('FOB'!C7),ISNUMBER('FOB'!C10*(1+0.0)),ISNUMBER(IF(ISNUMBER('FOB'!C11),'FOB'!C11*(1+0.0),"")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10*(1+0.0)),'FOB'!C10*(1+0.0),0)+IF(ISNUMBER(IF(ISNUMBER('FOB'!C11),'FOB'!C11*(1+0.0)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+0.0),""),0)*IF(ISNUMBER('FOB'!C33),'FOB'!C33,0)*(1+IF(ISNUMBER('FOB'!C34),'FOB'!C34,0))+(IF(ISNUMBER(IF(ISNUMBER('FOB'!C11),'FOB'!C11*(1+0.0)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+0.0),""),0)+IF(ISNUMBER(IF(ISNUMBER('FOB'!C11),'FOB'!C11*(1+0.0)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+0.0),"")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IF(ISNUMBER('FOB'!C11),'FOB'!C11*(1+0.0)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+0.0),""),0)+IF(ISNUMBER(IF(ISNUMBER('FOB'!C11),'FOB'!C11*(1+0.0)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+0.0),""),0)*IF(ISNUMBER('FOB'!C33),'FOB'!C33,0)*(1+IF(ISNUMBER('FOB'!C34),'FOB'!C34,0)))*IF(ISNUMBER('FOB'!C35),'FOB'!C35,0),0))/('FOB'!C7),"")</f>
        <v/>
      </c>
      <c r="E10" s="29">
        <f>IF(AND(ISNUMBER(D10),ISNUMBER(D4)),D10-D4,"")</f>
        <v/>
      </c>
      <c r="F10" s="37">
        <f>IF(AND(ISNUMBER(E10),ISNUMBER(D4)),E10/D4,"")</f>
        <v/>
      </c>
      <c r="G10" s="18" t="inlineStr"/>
    </row>
    <row r="11">
      <c r="B11" s="9" t="inlineStr">
        <is>
          <t>汇率 +3%</t>
        </is>
      </c>
      <c r="C11" s="36" t="n">
        <v>0.03</v>
      </c>
      <c r="D11" s="28">
        <f>IF(AND(ISNUMBER('FOB'!C6),ISNUMBER('FOB'!C7),ISNUMBER('FOB'!C10*(1+0.03)),ISNUMBER(IF(ISNUMBER('FOB'!C11),'FOB'!C11*(1+0.03),"")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10*(1+0.03)),'FOB'!C10*(1+0.03),0)+IF(ISNUMBER(IF(ISNUMBER('FOB'!C11),'FOB'!C11*(1+0.03)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+0.03),""),0)*IF(ISNUMBER('FOB'!C33),'FOB'!C33,0)*(1+IF(ISNUMBER('FOB'!C34),'FOB'!C34,0))+(IF(ISNUMBER(IF(ISNUMBER('FOB'!C11),'FOB'!C11*(1+0.03)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+0.03),""),0)+IF(ISNUMBER(IF(ISNUMBER('FOB'!C11),'FOB'!C11*(1+0.03)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+0.03),"")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IF(ISNUMBER('FOB'!C11),'FOB'!C11*(1+0.03)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+0.03),""),0)+IF(ISNUMBER(IF(ISNUMBER('FOB'!C11),'FOB'!C11*(1+0.03),""))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+IF('FOB'!C18,0,IF(ISNUMBER('FOB'!C17),'FOB'!C17,IF(ISNUMBER('FOB'!C16),(IF(AND(ISNUMBER('FOB'!C6),ISNUMBER('FOB'!C7)),'FOB'!C6*'FOB'!C7,0)+IF('FOB'!C20,0,IF(ISNUMBER('FOB'!C14),'FOB'!C14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14),'FOB'!C14*'FOB'!C7,0)))*0.003/0.997))))*IF(ISNUMBER('FOB'!C11),'FOB'!C11*(1+0.03),""),0)*IF(ISNUMBER('FOB'!C33),'FOB'!C33,0)*(1+IF(ISNUMBER('FOB'!C34),'FOB'!C34,0)))*IF(ISNUMBER('FOB'!C35),'FOB'!C35,0),0))/('FOB'!C7),"")</f>
        <v/>
      </c>
      <c r="E11" s="29">
        <f>IF(AND(ISNUMBER(D11),ISNUMBER(D4)),D11-D4,"")</f>
        <v/>
      </c>
      <c r="F11" s="37">
        <f>IF(AND(ISNUMBER(E11),ISNUMBER(D4)),E11/D4,"")</f>
        <v/>
      </c>
      <c r="G11" s="18" t="inlineStr"/>
    </row>
    <row r="12">
      <c r="B12" s="35" t="inlineStr">
        <is>
          <t>② 海运费变化（运费会被关税放大）</t>
        </is>
      </c>
    </row>
    <row r="13">
      <c r="B13" s="27" t="inlineStr">
        <is>
          <t>情景</t>
        </is>
      </c>
      <c r="C13" s="27" t="inlineStr">
        <is>
          <t>情景参数</t>
        </is>
      </c>
      <c r="D13" s="27" t="inlineStr">
        <is>
          <t>到厂成本 元/吨</t>
        </is>
      </c>
      <c r="E13" s="27" t="inlineStr">
        <is>
          <t>Δ 元/吨</t>
        </is>
      </c>
      <c r="F13" s="27" t="inlineStr">
        <is>
          <t>Δ %</t>
        </is>
      </c>
      <c r="G13" s="27" t="inlineStr">
        <is>
          <t>说明</t>
        </is>
      </c>
    </row>
    <row r="15">
      <c r="B15" s="9" t="inlineStr">
        <is>
          <t>海运费 -20%</t>
        </is>
      </c>
      <c r="C15" s="28" t="inlineStr">
        <is>
          <t>'FOB'!C14*(1+-0.2)</t>
        </is>
      </c>
      <c r="D15" s="28">
        <f>IF(AND(ISNUMBER('FOB'!C6),ISNUMBER('FOB'!C7),ISNUMBER('FOB'!C10),ISNUMBER('FOB'!C11)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+IF('FOB'!C18,0,IF(ISNUMBER('FOB'!C17),'FOB'!C17,IF(ISNUMBER('FOB'!C16),(IF(AND(ISNUMBER('FOB'!C6),ISNUMBER('FOB'!C7)),'FOB'!C6*'FOB'!C7,0)+IF('FOB'!C20,0,IF(ISNUMBER('FOB'!C14*(1+-0.2)),'FOB'!C14*(1+-0.2)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)*0.003/0.997))))*IF(ISNUMBER('FOB'!C10),'FOB'!C10,0)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+IF('FOB'!C18,0,IF(ISNUMBER('FOB'!C17),'FOB'!C17,IF(ISNUMBER('FOB'!C16),(IF(AND(ISNUMBER('FOB'!C6),ISNUMBER('FOB'!C7)),'FOB'!C6*'FOB'!C7,0)+IF('FOB'!C20,0,IF(ISNUMBER('FOB'!C14*(1+-0.2)),'FOB'!C14*(1+-0.2)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)*0.003/0.997))))*'FOB'!C11,0)*IF(ISNUMBER('FOB'!C33),'FOB'!C33,0)*(1+IF(ISNUMBER('FOB'!C34),'FOB'!C34,0))+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+IF('FOB'!C18,0,IF(ISNUMBER('FOB'!C17),'FOB'!C17,IF(ISNUMBER('FOB'!C16),(IF(AND(ISNUMBER('FOB'!C6),ISNUMBER('FOB'!C7)),'FOB'!C6*'FOB'!C7,0)+IF('FOB'!C20,0,IF(ISNUMBER('FOB'!C14*(1+-0.2)),'FOB'!C14*(1+-0.2)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+IF('FOB'!C18,0,IF(ISNUMBER('FOB'!C17),'FOB'!C17,IF(ISNUMBER('FOB'!C16),(IF(AND(ISNUMBER('FOB'!C6),ISNUMBER('FOB'!C7)),'FOB'!C6*'FOB'!C7,0)+IF('FOB'!C20,0,IF(ISNUMBER('FOB'!C14*(1+-0.2)),'FOB'!C14*(1+-0.2)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+IF('FOB'!C18,0,IF(ISNUMBER('FOB'!C17),'FOB'!C17,IF(ISNUMBER('FOB'!C16),(IF(AND(ISNUMBER('FOB'!C6),ISNUMBER('FOB'!C7)),'FOB'!C6*'FOB'!C7,0)+IF('FOB'!C20,0,IF(ISNUMBER('FOB'!C14*(1+-0.2)),'FOB'!C14*(1+-0.2)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+IF('FOB'!C18,0,IF(ISNUMBER('FOB'!C17),'FOB'!C17,IF(ISNUMBER('FOB'!C16),(IF(AND(ISNUMBER('FOB'!C6),ISNUMBER('FOB'!C7)),'FOB'!C6*'FOB'!C7,0)+IF('FOB'!C20,0,IF(ISNUMBER('FOB'!C14*(1+-0.2)),'FOB'!C14*(1+-0.2)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-0.2)),'FOB'!C14*(1+-0.2)*'FOB'!C7,0)))*0.003/0.997))))*'FOB'!C11,0)*IF(ISNUMBER('FOB'!C33),'FOB'!C33,0)*(1+IF(ISNUMBER('FOB'!C34),'FOB'!C34,0)))*IF(ISNUMBER('FOB'!C35),'FOB'!C35,0),0))/('FOB'!C7),"")</f>
        <v/>
      </c>
      <c r="E15" s="29">
        <f>IF(AND(ISNUMBER(D15),ISNUMBER(D4)),D15-D4,"")</f>
        <v/>
      </c>
      <c r="F15" s="37">
        <f>IF(AND(ISNUMBER(E15),ISNUMBER(D4)),E15/D4,"")</f>
        <v/>
      </c>
      <c r="G15" s="18" t="inlineStr">
        <is>
          <t>运费 +1 USD/MT ≈ +(1+关税率)×汇率 元/吨</t>
        </is>
      </c>
    </row>
    <row r="16">
      <c r="B16" s="9" t="inlineStr">
        <is>
          <t>海运费 -10%</t>
        </is>
      </c>
      <c r="C16" s="28" t="inlineStr">
        <is>
          <t>'FOB'!C14*(1+-0.1)</t>
        </is>
      </c>
      <c r="D16" s="28">
        <f>IF(AND(ISNUMBER('FOB'!C6),ISNUMBER('FOB'!C7),ISNUMBER('FOB'!C10),ISNUMBER('FOB'!C11)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+IF('FOB'!C18,0,IF(ISNUMBER('FOB'!C17),'FOB'!C17,IF(ISNUMBER('FOB'!C16),(IF(AND(ISNUMBER('FOB'!C6),ISNUMBER('FOB'!C7)),'FOB'!C6*'FOB'!C7,0)+IF('FOB'!C20,0,IF(ISNUMBER('FOB'!C14*(1+-0.1)),'FOB'!C14*(1+-0.1)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)*0.003/0.997))))*IF(ISNUMBER('FOB'!C10),'FOB'!C10,0)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+IF('FOB'!C18,0,IF(ISNUMBER('FOB'!C17),'FOB'!C17,IF(ISNUMBER('FOB'!C16),(IF(AND(ISNUMBER('FOB'!C6),ISNUMBER('FOB'!C7)),'FOB'!C6*'FOB'!C7,0)+IF('FOB'!C20,0,IF(ISNUMBER('FOB'!C14*(1+-0.1)),'FOB'!C14*(1+-0.1)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)*0.003/0.997))))*'FOB'!C11,0)*IF(ISNUMBER('FOB'!C33),'FOB'!C33,0)*(1+IF(ISNUMBER('FOB'!C34),'FOB'!C34,0))+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+IF('FOB'!C18,0,IF(ISNUMBER('FOB'!C17),'FOB'!C17,IF(ISNUMBER('FOB'!C16),(IF(AND(ISNUMBER('FOB'!C6),ISNUMBER('FOB'!C7)),'FOB'!C6*'FOB'!C7,0)+IF('FOB'!C20,0,IF(ISNUMBER('FOB'!C14*(1+-0.1)),'FOB'!C14*(1+-0.1)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+IF('FOB'!C18,0,IF(ISNUMBER('FOB'!C17),'FOB'!C17,IF(ISNUMBER('FOB'!C16),(IF(AND(ISNUMBER('FOB'!C6),ISNUMBER('FOB'!C7)),'FOB'!C6*'FOB'!C7,0)+IF('FOB'!C20,0,IF(ISNUMBER('FOB'!C14*(1+-0.1)),'FOB'!C14*(1+-0.1)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+IF('FOB'!C18,0,IF(ISNUMBER('FOB'!C17),'FOB'!C17,IF(ISNUMBER('FOB'!C16),(IF(AND(ISNUMBER('FOB'!C6),ISNUMBER('FOB'!C7)),'FOB'!C6*'FOB'!C7,0)+IF('FOB'!C20,0,IF(ISNUMBER('FOB'!C14*(1+-0.1)),'FOB'!C14*(1+-0.1)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+IF('FOB'!C18,0,IF(ISNUMBER('FOB'!C17),'FOB'!C17,IF(ISNUMBER('FOB'!C16),(IF(AND(ISNUMBER('FOB'!C6),ISNUMBER('FOB'!C7)),'FOB'!C6*'FOB'!C7,0)+IF('FOB'!C20,0,IF(ISNUMBER('FOB'!C14*(1+-0.1)),'FOB'!C14*(1+-0.1)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-0.1)),'FOB'!C14*(1+-0.1)*'FOB'!C7,0)))*0.003/0.997))))*'FOB'!C11,0)*IF(ISNUMBER('FOB'!C33),'FOB'!C33,0)*(1+IF(ISNUMBER('FOB'!C34),'FOB'!C34,0)))*IF(ISNUMBER('FOB'!C35),'FOB'!C35,0),0))/('FOB'!C7),"")</f>
        <v/>
      </c>
      <c r="E16" s="29">
        <f>IF(AND(ISNUMBER(D16),ISNUMBER(D4)),D16-D4,"")</f>
        <v/>
      </c>
      <c r="F16" s="37">
        <f>IF(AND(ISNUMBER(E16),ISNUMBER(D4)),E16/D4,"")</f>
        <v/>
      </c>
      <c r="G16" s="18" t="inlineStr"/>
    </row>
    <row r="17">
      <c r="B17" s="9" t="inlineStr">
        <is>
          <t>海运费 +0%</t>
        </is>
      </c>
      <c r="C17" s="28" t="inlineStr">
        <is>
          <t>'FOB'!C14*(1+0.0)</t>
        </is>
      </c>
      <c r="D17" s="28">
        <f>IF(AND(ISNUMBER('FOB'!C6),ISNUMBER('FOB'!C7),ISNUMBER('FOB'!C10),ISNUMBER('FOB'!C11)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+IF('FOB'!C18,0,IF(ISNUMBER('FOB'!C17),'FOB'!C17,IF(ISNUMBER('FOB'!C16),(IF(AND(ISNUMBER('FOB'!C6),ISNUMBER('FOB'!C7)),'FOB'!C6*'FOB'!C7,0)+IF('FOB'!C20,0,IF(ISNUMBER('FOB'!C14*(1+0.0)),'FOB'!C14*(1+0.0)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)*0.003/0.997))))*IF(ISNUMBER('FOB'!C10),'FOB'!C10,0)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+IF('FOB'!C18,0,IF(ISNUMBER('FOB'!C17),'FOB'!C17,IF(ISNUMBER('FOB'!C16),(IF(AND(ISNUMBER('FOB'!C6),ISNUMBER('FOB'!C7)),'FOB'!C6*'FOB'!C7,0)+IF('FOB'!C20,0,IF(ISNUMBER('FOB'!C14*(1+0.0)),'FOB'!C14*(1+0.0)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)*0.003/0.997))))*'FOB'!C11,0)*IF(ISNUMBER('FOB'!C33),'FOB'!C33,0)*(1+IF(ISNUMBER('FOB'!C34),'FOB'!C34,0))+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+IF('FOB'!C18,0,IF(ISNUMBER('FOB'!C17),'FOB'!C17,IF(ISNUMBER('FOB'!C16),(IF(AND(ISNUMBER('FOB'!C6),ISNUMBER('FOB'!C7)),'FOB'!C6*'FOB'!C7,0)+IF('FOB'!C20,0,IF(ISNUMBER('FOB'!C14*(1+0.0)),'FOB'!C14*(1+0.0)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+IF('FOB'!C18,0,IF(ISNUMBER('FOB'!C17),'FOB'!C17,IF(ISNUMBER('FOB'!C16),(IF(AND(ISNUMBER('FOB'!C6),ISNUMBER('FOB'!C7)),'FOB'!C6*'FOB'!C7,0)+IF('FOB'!C20,0,IF(ISNUMBER('FOB'!C14*(1+0.0)),'FOB'!C14*(1+0.0)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+IF('FOB'!C18,0,IF(ISNUMBER('FOB'!C17),'FOB'!C17,IF(ISNUMBER('FOB'!C16),(IF(AND(ISNUMBER('FOB'!C6),ISNUMBER('FOB'!C7)),'FOB'!C6*'FOB'!C7,0)+IF('FOB'!C20,0,IF(ISNUMBER('FOB'!C14*(1+0.0)),'FOB'!C14*(1+0.0)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+IF('FOB'!C18,0,IF(ISNUMBER('FOB'!C17),'FOB'!C17,IF(ISNUMBER('FOB'!C16),(IF(AND(ISNUMBER('FOB'!C6),ISNUMBER('FOB'!C7)),'FOB'!C6*'FOB'!C7,0)+IF('FOB'!C20,0,IF(ISNUMBER('FOB'!C14*(1+0.0)),'FOB'!C14*(1+0.0)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+0.0)),'FOB'!C14*(1+0.0)*'FOB'!C7,0)))*0.003/0.997))))*'FOB'!C11,0)*IF(ISNUMBER('FOB'!C33),'FOB'!C33,0)*(1+IF(ISNUMBER('FOB'!C34),'FOB'!C34,0)))*IF(ISNUMBER('FOB'!C35),'FOB'!C35,0),0))/('FOB'!C7),"")</f>
        <v/>
      </c>
      <c r="E17" s="29">
        <f>IF(AND(ISNUMBER(D17),ISNUMBER(D4)),D17-D4,"")</f>
        <v/>
      </c>
      <c r="F17" s="37">
        <f>IF(AND(ISNUMBER(E17),ISNUMBER(D4)),E17/D4,"")</f>
        <v/>
      </c>
      <c r="G17" s="18" t="inlineStr"/>
    </row>
    <row r="18">
      <c r="B18" s="9" t="inlineStr">
        <is>
          <t>海运费 +10%</t>
        </is>
      </c>
      <c r="C18" s="28" t="inlineStr">
        <is>
          <t>'FOB'!C14*(1+0.1)</t>
        </is>
      </c>
      <c r="D18" s="28">
        <f>IF(AND(ISNUMBER('FOB'!C6),ISNUMBER('FOB'!C7),ISNUMBER('FOB'!C10),ISNUMBER('FOB'!C11)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+IF('FOB'!C18,0,IF(ISNUMBER('FOB'!C17),'FOB'!C17,IF(ISNUMBER('FOB'!C16),(IF(AND(ISNUMBER('FOB'!C6),ISNUMBER('FOB'!C7)),'FOB'!C6*'FOB'!C7,0)+IF('FOB'!C20,0,IF(ISNUMBER('FOB'!C14*(1+0.1)),'FOB'!C14*(1+0.1)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)*0.003/0.997))))*IF(ISNUMBER('FOB'!C10),'FOB'!C10,0)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+IF('FOB'!C18,0,IF(ISNUMBER('FOB'!C17),'FOB'!C17,IF(ISNUMBER('FOB'!C16),(IF(AND(ISNUMBER('FOB'!C6),ISNUMBER('FOB'!C7)),'FOB'!C6*'FOB'!C7,0)+IF('FOB'!C20,0,IF(ISNUMBER('FOB'!C14*(1+0.1)),'FOB'!C14*(1+0.1)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)*0.003/0.997))))*'FOB'!C11,0)*IF(ISNUMBER('FOB'!C33),'FOB'!C33,0)*(1+IF(ISNUMBER('FOB'!C34),'FOB'!C34,0))+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+IF('FOB'!C18,0,IF(ISNUMBER('FOB'!C17),'FOB'!C17,IF(ISNUMBER('FOB'!C16),(IF(AND(ISNUMBER('FOB'!C6),ISNUMBER('FOB'!C7)),'FOB'!C6*'FOB'!C7,0)+IF('FOB'!C20,0,IF(ISNUMBER('FOB'!C14*(1+0.1)),'FOB'!C14*(1+0.1)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+IF('FOB'!C18,0,IF(ISNUMBER('FOB'!C17),'FOB'!C17,IF(ISNUMBER('FOB'!C16),(IF(AND(ISNUMBER('FOB'!C6),ISNUMBER('FOB'!C7)),'FOB'!C6*'FOB'!C7,0)+IF('FOB'!C20,0,IF(ISNUMBER('FOB'!C14*(1+0.1)),'FOB'!C14*(1+0.1)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+IF('FOB'!C18,0,IF(ISNUMBER('FOB'!C17),'FOB'!C17,IF(ISNUMBER('FOB'!C16),(IF(AND(ISNUMBER('FOB'!C6),ISNUMBER('FOB'!C7)),'FOB'!C6*'FOB'!C7,0)+IF('FOB'!C20,0,IF(ISNUMBER('FOB'!C14*(1+0.1)),'FOB'!C14*(1+0.1)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+IF('FOB'!C18,0,IF(ISNUMBER('FOB'!C17),'FOB'!C17,IF(ISNUMBER('FOB'!C16),(IF(AND(ISNUMBER('FOB'!C6),ISNUMBER('FOB'!C7)),'FOB'!C6*'FOB'!C7,0)+IF('FOB'!C20,0,IF(ISNUMBER('FOB'!C14*(1+0.1)),'FOB'!C14*(1+0.1)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+0.1)),'FOB'!C14*(1+0.1)*'FOB'!C7,0)))*0.003/0.997))))*'FOB'!C11,0)*IF(ISNUMBER('FOB'!C33),'FOB'!C33,0)*(1+IF(ISNUMBER('FOB'!C34),'FOB'!C34,0)))*IF(ISNUMBER('FOB'!C35),'FOB'!C35,0),0))/('FOB'!C7),"")</f>
        <v/>
      </c>
      <c r="E18" s="29">
        <f>IF(AND(ISNUMBER(D18),ISNUMBER(D4)),D18-D4,"")</f>
        <v/>
      </c>
      <c r="F18" s="37">
        <f>IF(AND(ISNUMBER(E18),ISNUMBER(D4)),E18/D4,"")</f>
        <v/>
      </c>
      <c r="G18" s="18" t="inlineStr"/>
    </row>
    <row r="19">
      <c r="B19" s="9" t="inlineStr">
        <is>
          <t>海运费 +20%</t>
        </is>
      </c>
      <c r="C19" s="28" t="inlineStr">
        <is>
          <t>'FOB'!C14*(1+0.2)</t>
        </is>
      </c>
      <c r="D19" s="28">
        <f>IF(AND(ISNUMBER('FOB'!C6),ISNUMBER('FOB'!C7),ISNUMBER('FOB'!C10),ISNUMBER('FOB'!C11),ISNUMBER('FOB'!C33)),(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+IF('FOB'!C18,0,IF(ISNUMBER('FOB'!C17),'FOB'!C17,IF(ISNUMBER('FOB'!C16),(IF(AND(ISNUMBER('FOB'!C6),ISNUMBER('FOB'!C7)),'FOB'!C6*'FOB'!C7,0)+IF('FOB'!C20,0,IF(ISNUMBER('FOB'!C14*(1+0.2)),'FOB'!C14*(1+0.2)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)*0.003/0.997))))*IF(ISNUMBER('FOB'!C10),'FOB'!C10,0)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+IF('FOB'!C18,0,IF(ISNUMBER('FOB'!C17),'FOB'!C17,IF(ISNUMBER('FOB'!C16),(IF(AND(ISNUMBER('FOB'!C6),ISNUMBER('FOB'!C7)),'FOB'!C6*'FOB'!C7,0)+IF('FOB'!C20,0,IF(ISNUMBER('FOB'!C14*(1+0.2)),'FOB'!C14*(1+0.2)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)*0.003/0.997))))*'FOB'!C11,0)*IF(ISNUMBER('FOB'!C33),'FOB'!C33,0)*(1+IF(ISNUMBER('FOB'!C34),'FOB'!C34,0))+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+IF('FOB'!C18,0,IF(ISNUMBER('FOB'!C17),'FOB'!C17,IF(ISNUMBER('FOB'!C16),(IF(AND(ISNUMBER('FOB'!C6),ISNUMBER('FOB'!C7)),'FOB'!C6*'FOB'!C7,0)+IF('FOB'!C20,0,IF(ISNUMBER('FOB'!C14*(1+0.2)),'FOB'!C14*(1+0.2)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+IF('FOB'!C18,0,IF(ISNUMBER('FOB'!C17),'FOB'!C17,IF(ISNUMBER('FOB'!C16),(IF(AND(ISNUMBER('FOB'!C6),ISNUMBER('FOB'!C7)),'FOB'!C6*'FOB'!C7,0)+IF('FOB'!C20,0,IF(ISNUMBER('FOB'!C14*(1+0.2)),'FOB'!C14*(1+0.2)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+IF('FOB'!C18,0,IF(ISNUMBER('FOB'!C17),'FOB'!C17,IF(ISNUMBER('FOB'!C16),(IF(AND(ISNUMBER('FOB'!C6),ISNUMBER('FOB'!C7)),'FOB'!C6*'FOB'!C7,0)+IF('FOB'!C20,0,IF(ISNUMBER('FOB'!C14*(1+0.2)),'FOB'!C14*(1+0.2)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)*0.003/0.997))))*'FOB'!C11,0)+IF(ISNUMBER('FOB'!C11)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+IF('FOB'!C18,0,IF(ISNUMBER('FOB'!C17),'FOB'!C17,IF(ISNUMBER('FOB'!C16),(IF(AND(ISNUMBER('FOB'!C6),ISNUMBER('FOB'!C7)),'FOB'!C6*'FOB'!C7,0)+IF('FOB'!C20,0,IF(ISNUMBER('FOB'!C14*(1+0.2)),'FOB'!C14*(1+0.2)*'FOB'!C7,0)))*'FOB'!C16/100*1.1,(IF(AND(ISNUMBER('FOB'!C6),ISNUMBER('FOB'!C7)),'FOB'!C6*'FOB'!C7,0)+IF('FOB'!C9=TRUE,0,IF(ISNUMBER('FOB'!C19),'FOB'!C19,0))+IF(ISNUMBER('FOB'!C13),IF('FOB'!C22,0,'FOB'!C13),0)+IF(ISNUMBER('FOB'!C12),IF('FOB'!C22,0,'FOB'!C12),0)+IF('FOB'!C20,0,IF(ISNUMBER('FOB'!C14*(1+0.2)),'FOB'!C14*(1+0.2)*'FOB'!C7,0)))*0.003/0.997))))*'FOB'!C11,0)*IF(ISNUMBER('FOB'!C33),'FOB'!C33,0)*(1+IF(ISNUMBER('FOB'!C34),'FOB'!C34,0)))*IF(ISNUMBER('FOB'!C35),'FOB'!C35,0),0))/('FOB'!C7),"")</f>
        <v/>
      </c>
      <c r="E19" s="29">
        <f>IF(AND(ISNUMBER(D19),ISNUMBER(D4)),D19-D4,"")</f>
        <v/>
      </c>
      <c r="F19" s="37">
        <f>IF(AND(ISNUMBER(E19),ISNUMBER(D4)),E19/D4,"")</f>
        <v/>
      </c>
      <c r="G19" s="18" t="inlineStr"/>
    </row>
    <row r="20">
      <c r="B20" s="35" t="inlineStr">
        <is>
          <t>③ 采购数量变化（按票固定费用摊薄）</t>
        </is>
      </c>
    </row>
    <row r="21">
      <c r="B21" s="27" t="inlineStr">
        <is>
          <t>情景</t>
        </is>
      </c>
      <c r="C21" s="27" t="inlineStr">
        <is>
          <t>情景参数</t>
        </is>
      </c>
      <c r="D21" s="27" t="inlineStr">
        <is>
          <t>到厂成本 元/吨</t>
        </is>
      </c>
      <c r="E21" s="27" t="inlineStr">
        <is>
          <t>Δ 元/吨</t>
        </is>
      </c>
      <c r="F21" s="27" t="inlineStr">
        <is>
          <t>Δ %</t>
        </is>
      </c>
      <c r="G21" s="27" t="inlineStr">
        <is>
          <t>说明</t>
        </is>
      </c>
    </row>
    <row r="23">
      <c r="B23" s="9" t="inlineStr">
        <is>
          <t>数量 ×0.5</t>
        </is>
      </c>
      <c r="C23" s="28">
        <f>'FOB'!C7*0.5</f>
        <v/>
      </c>
      <c r="D23" s="28">
        <f>IF(AND(ISNUMBER('FOB'!C6),ISNUMBER('FOB'!C7*0.5),ISNUMBER('FOB'!C10),ISNUMBER('FOB'!C11),ISNUMBER('FOB'!C33)),(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+IF('FOB'!C18,0,IF(ISNUMBER('FOB'!C17),'FOB'!C17,IF(ISNUMBER('FOB'!C16),(IF(AND(ISNUMBER('FOB'!C6),ISNUMBER('FOB'!C7*0.5)),'FOB'!C6*'FOB'!C7*0.5,0)+IF('FOB'!C20,0,IF(ISNUMBER('FOB'!C14),'FOB'!C14*'FOB'!C7*0.5,0)))*'FOB'!C16/100*1.1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)*0.003/0.997))))*IF(ISNUMBER('FOB'!C10),'FOB'!C10,0)+IF(ISNUMBER('FOB'!C11)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+IF('FOB'!C18,0,IF(ISNUMBER('FOB'!C17),'FOB'!C17,IF(ISNUMBER('FOB'!C16),(IF(AND(ISNUMBER('FOB'!C6),ISNUMBER('FOB'!C7*0.5)),'FOB'!C6*'FOB'!C7*0.5,0)+IF('FOB'!C20,0,IF(ISNUMBER('FOB'!C14),'FOB'!C14*'FOB'!C7*0.5,0)))*'FOB'!C16/100*1.1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)*0.003/0.997))))*'FOB'!C11,0)*IF(ISNUMBER('FOB'!C33),'FOB'!C33,0)*(1+IF(ISNUMBER('FOB'!C34),'FOB'!C34,0))+(IF(ISNUMBER('FOB'!C11)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+IF('FOB'!C18,0,IF(ISNUMBER('FOB'!C17),'FOB'!C17,IF(ISNUMBER('FOB'!C16),(IF(AND(ISNUMBER('FOB'!C6),ISNUMBER('FOB'!C7*0.5)),'FOB'!C6*'FOB'!C7*0.5,0)+IF('FOB'!C20,0,IF(ISNUMBER('FOB'!C14),'FOB'!C14*'FOB'!C7*0.5,0)))*'FOB'!C16/100*1.1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)*0.003/0.997))))*'FOB'!C11,0)+IF(ISNUMBER('FOB'!C11)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+IF('FOB'!C18,0,IF(ISNUMBER('FOB'!C17),'FOB'!C17,IF(ISNUMBER('FOB'!C16),(IF(AND(ISNUMBER('FOB'!C6),ISNUMBER('FOB'!C7*0.5)),'FOB'!C6*'FOB'!C7*0.5,0)+IF('FOB'!C20,0,IF(ISNUMBER('FOB'!C14),'FOB'!C14*'FOB'!C7*0.5,0)))*'FOB'!C16/100*1.1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+IF('FOB'!C18,0,IF(ISNUMBER('FOB'!C17),'FOB'!C17,IF(ISNUMBER('FOB'!C16),(IF(AND(ISNUMBER('FOB'!C6),ISNUMBER('FOB'!C7*0.5)),'FOB'!C6*'FOB'!C7*0.5,0)+IF('FOB'!C20,0,IF(ISNUMBER('FOB'!C14),'FOB'!C14*'FOB'!C7*0.5,0)))*'FOB'!C16/100*1.1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)*0.003/0.997))))*'FOB'!C11,0)+IF(ISNUMBER('FOB'!C11)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+IF('FOB'!C18,0,IF(ISNUMBER('FOB'!C17),'FOB'!C17,IF(ISNUMBER('FOB'!C16),(IF(AND(ISNUMBER('FOB'!C6),ISNUMBER('FOB'!C7*0.5)),'FOB'!C6*'FOB'!C7*0.5,0)+IF('FOB'!C20,0,IF(ISNUMBER('FOB'!C14),'FOB'!C14*'FOB'!C7*0.5,0)))*'FOB'!C16/100*1.1,(IF(AND(ISNUMBER('FOB'!C6),ISNUMBER('FOB'!C7*0.5)),'FOB'!C6*'FOB'!C7*0.5,0)+IF('FOB'!C9=TRUE,0,IF(ISNUMBER('FOB'!C19),'FOB'!C19,0))+IF(ISNUMBER('FOB'!C13),IF('FOB'!C22,0,'FOB'!C13),0)+IF(ISNUMBER('FOB'!C12),IF('FOB'!C22,0,'FOB'!C12),0)+IF('FOB'!C20,0,IF(ISNUMBER('FOB'!C14),'FOB'!C14*'FOB'!C7*0.5,0)))*0.003/0.997))))*'FOB'!C11,0)*IF(ISNUMBER('FOB'!C33),'FOB'!C33,0)*(1+IF(ISNUMBER('FOB'!C34),'FOB'!C34,0)))*IF(ISNUMBER('FOB'!C35),'FOB'!C35,0),0))/('FOB'!C7*0.5),"")</f>
        <v/>
      </c>
      <c r="E23" s="29">
        <f>IF(AND(ISNUMBER(D23),ISNUMBER(D4)),D23-D4,"")</f>
        <v/>
      </c>
      <c r="F23" s="37">
        <f>IF(AND(ISNUMBER(E23),ISNUMBER(D4)),E23/D4,"")</f>
        <v/>
      </c>
      <c r="G23" s="18" t="inlineStr">
        <is>
          <t>海运费按 USD/MT 随量；港杂/报关/仓储/国内运输按票不随量</t>
        </is>
      </c>
    </row>
    <row r="24">
      <c r="B24" s="9" t="inlineStr">
        <is>
          <t>数量 ×0.75</t>
        </is>
      </c>
      <c r="C24" s="28">
        <f>'FOB'!C7*0.75</f>
        <v/>
      </c>
      <c r="D24" s="28">
        <f>IF(AND(ISNUMBER('FOB'!C6),ISNUMBER('FOB'!C7*0.75),ISNUMBER('FOB'!C10),ISNUMBER('FOB'!C11),ISNUMBER('FOB'!C33)),(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+IF('FOB'!C18,0,IF(ISNUMBER('FOB'!C17),'FOB'!C17,IF(ISNUMBER('FOB'!C16),(IF(AND(ISNUMBER('FOB'!C6),ISNUMBER('FOB'!C7*0.75)),'FOB'!C6*'FOB'!C7*0.75,0)+IF('FOB'!C20,0,IF(ISNUMBER('FOB'!C14),'FOB'!C14*'FOB'!C7*0.75,0)))*'FOB'!C16/100*1.1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)*0.003/0.997))))*IF(ISNUMBER('FOB'!C10),'FOB'!C10,0)+IF(ISNUMBER('FOB'!C11)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+IF('FOB'!C18,0,IF(ISNUMBER('FOB'!C17),'FOB'!C17,IF(ISNUMBER('FOB'!C16),(IF(AND(ISNUMBER('FOB'!C6),ISNUMBER('FOB'!C7*0.75)),'FOB'!C6*'FOB'!C7*0.75,0)+IF('FOB'!C20,0,IF(ISNUMBER('FOB'!C14),'FOB'!C14*'FOB'!C7*0.75,0)))*'FOB'!C16/100*1.1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)*0.003/0.997))))*'FOB'!C11,0)*IF(ISNUMBER('FOB'!C33),'FOB'!C33,0)*(1+IF(ISNUMBER('FOB'!C34),'FOB'!C34,0))+(IF(ISNUMBER('FOB'!C11)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+IF('FOB'!C18,0,IF(ISNUMBER('FOB'!C17),'FOB'!C17,IF(ISNUMBER('FOB'!C16),(IF(AND(ISNUMBER('FOB'!C6),ISNUMBER('FOB'!C7*0.75)),'FOB'!C6*'FOB'!C7*0.75,0)+IF('FOB'!C20,0,IF(ISNUMBER('FOB'!C14),'FOB'!C14*'FOB'!C7*0.75,0)))*'FOB'!C16/100*1.1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)*0.003/0.997))))*'FOB'!C11,0)+IF(ISNUMBER('FOB'!C11)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+IF('FOB'!C18,0,IF(ISNUMBER('FOB'!C17),'FOB'!C17,IF(ISNUMBER('FOB'!C16),(IF(AND(ISNUMBER('FOB'!C6),ISNUMBER('FOB'!C7*0.75)),'FOB'!C6*'FOB'!C7*0.75,0)+IF('FOB'!C20,0,IF(ISNUMBER('FOB'!C14),'FOB'!C14*'FOB'!C7*0.75,0)))*'FOB'!C16/100*1.1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+IF('FOB'!C18,0,IF(ISNUMBER('FOB'!C17),'FOB'!C17,IF(ISNUMBER('FOB'!C16),(IF(AND(ISNUMBER('FOB'!C6),ISNUMBER('FOB'!C7*0.75)),'FOB'!C6*'FOB'!C7*0.75,0)+IF('FOB'!C20,0,IF(ISNUMBER('FOB'!C14),'FOB'!C14*'FOB'!C7*0.75,0)))*'FOB'!C16/100*1.1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)*0.003/0.997))))*'FOB'!C11,0)+IF(ISNUMBER('FOB'!C11)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+IF('FOB'!C18,0,IF(ISNUMBER('FOB'!C17),'FOB'!C17,IF(ISNUMBER('FOB'!C16),(IF(AND(ISNUMBER('FOB'!C6),ISNUMBER('FOB'!C7*0.75)),'FOB'!C6*'FOB'!C7*0.75,0)+IF('FOB'!C20,0,IF(ISNUMBER('FOB'!C14),'FOB'!C14*'FOB'!C7*0.75,0)))*'FOB'!C16/100*1.1,(IF(AND(ISNUMBER('FOB'!C6),ISNUMBER('FOB'!C7*0.75)),'FOB'!C6*'FOB'!C7*0.75,0)+IF('FOB'!C9=TRUE,0,IF(ISNUMBER('FOB'!C19),'FOB'!C19,0))+IF(ISNUMBER('FOB'!C13),IF('FOB'!C22,0,'FOB'!C13),0)+IF(ISNUMBER('FOB'!C12),IF('FOB'!C22,0,'FOB'!C12),0)+IF('FOB'!C20,0,IF(ISNUMBER('FOB'!C14),'FOB'!C14*'FOB'!C7*0.75,0)))*0.003/0.997))))*'FOB'!C11,0)*IF(ISNUMBER('FOB'!C33),'FOB'!C33,0)*(1+IF(ISNUMBER('FOB'!C34),'FOB'!C34,0)))*IF(ISNUMBER('FOB'!C35),'FOB'!C35,0),0))/('FOB'!C7*0.75),"")</f>
        <v/>
      </c>
      <c r="E24" s="29">
        <f>IF(AND(ISNUMBER(D24),ISNUMBER(D4)),D24-D4,"")</f>
        <v/>
      </c>
      <c r="F24" s="37">
        <f>IF(AND(ISNUMBER(E24),ISNUMBER(D4)),E24/D4,"")</f>
        <v/>
      </c>
      <c r="G24" s="18" t="inlineStr"/>
    </row>
    <row r="25">
      <c r="B25" s="9" t="inlineStr">
        <is>
          <t>数量 ×1</t>
        </is>
      </c>
      <c r="C25" s="28">
        <f>'FOB'!C7*1.0</f>
        <v/>
      </c>
      <c r="D25" s="28">
        <f>IF(AND(ISNUMBER('FOB'!C6),ISNUMBER('FOB'!C7*1.0),ISNUMBER('FOB'!C10),ISNUMBER('FOB'!C11),ISNUMBER('FOB'!C33)),(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+IF('FOB'!C18,0,IF(ISNUMBER('FOB'!C17),'FOB'!C17,IF(ISNUMBER('FOB'!C16),(IF(AND(ISNUMBER('FOB'!C6),ISNUMBER('FOB'!C7*1.0)),'FOB'!C6*'FOB'!C7*1.0,0)+IF('FOB'!C20,0,IF(ISNUMBER('FOB'!C14),'FOB'!C14*'FOB'!C7*1.0,0)))*'FOB'!C16/100*1.1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)*0.003/0.997))))*IF(ISNUMBER('FOB'!C10),'FOB'!C10,0)+IF(ISNUMBER('FOB'!C11)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+IF('FOB'!C18,0,IF(ISNUMBER('FOB'!C17),'FOB'!C17,IF(ISNUMBER('FOB'!C16),(IF(AND(ISNUMBER('FOB'!C6),ISNUMBER('FOB'!C7*1.0)),'FOB'!C6*'FOB'!C7*1.0,0)+IF('FOB'!C20,0,IF(ISNUMBER('FOB'!C14),'FOB'!C14*'FOB'!C7*1.0,0)))*'FOB'!C16/100*1.1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)*0.003/0.997))))*'FOB'!C11,0)*IF(ISNUMBER('FOB'!C33),'FOB'!C33,0)*(1+IF(ISNUMBER('FOB'!C34),'FOB'!C34,0))+(IF(ISNUMBER('FOB'!C11)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+IF('FOB'!C18,0,IF(ISNUMBER('FOB'!C17),'FOB'!C17,IF(ISNUMBER('FOB'!C16),(IF(AND(ISNUMBER('FOB'!C6),ISNUMBER('FOB'!C7*1.0)),'FOB'!C6*'FOB'!C7*1.0,0)+IF('FOB'!C20,0,IF(ISNUMBER('FOB'!C14),'FOB'!C14*'FOB'!C7*1.0,0)))*'FOB'!C16/100*1.1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)*0.003/0.997))))*'FOB'!C11,0)+IF(ISNUMBER('FOB'!C11)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+IF('FOB'!C18,0,IF(ISNUMBER('FOB'!C17),'FOB'!C17,IF(ISNUMBER('FOB'!C16),(IF(AND(ISNUMBER('FOB'!C6),ISNUMBER('FOB'!C7*1.0)),'FOB'!C6*'FOB'!C7*1.0,0)+IF('FOB'!C20,0,IF(ISNUMBER('FOB'!C14),'FOB'!C14*'FOB'!C7*1.0,0)))*'FOB'!C16/100*1.1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+IF('FOB'!C18,0,IF(ISNUMBER('FOB'!C17),'FOB'!C17,IF(ISNUMBER('FOB'!C16),(IF(AND(ISNUMBER('FOB'!C6),ISNUMBER('FOB'!C7*1.0)),'FOB'!C6*'FOB'!C7*1.0,0)+IF('FOB'!C20,0,IF(ISNUMBER('FOB'!C14),'FOB'!C14*'FOB'!C7*1.0,0)))*'FOB'!C16/100*1.1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)*0.003/0.997))))*'FOB'!C11,0)+IF(ISNUMBER('FOB'!C11)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+IF('FOB'!C18,0,IF(ISNUMBER('FOB'!C17),'FOB'!C17,IF(ISNUMBER('FOB'!C16),(IF(AND(ISNUMBER('FOB'!C6),ISNUMBER('FOB'!C7*1.0)),'FOB'!C6*'FOB'!C7*1.0,0)+IF('FOB'!C20,0,IF(ISNUMBER('FOB'!C14),'FOB'!C14*'FOB'!C7*1.0,0)))*'FOB'!C16/100*1.1,(IF(AND(ISNUMBER('FOB'!C6),ISNUMBER('FOB'!C7*1.0)),'FOB'!C6*'FOB'!C7*1.0,0)+IF('FOB'!C9=TRUE,0,IF(ISNUMBER('FOB'!C19),'FOB'!C19,0))+IF(ISNUMBER('FOB'!C13),IF('FOB'!C22,0,'FOB'!C13),0)+IF(ISNUMBER('FOB'!C12),IF('FOB'!C22,0,'FOB'!C12),0)+IF('FOB'!C20,0,IF(ISNUMBER('FOB'!C14),'FOB'!C14*'FOB'!C7*1.0,0)))*0.003/0.997))))*'FOB'!C11,0)*IF(ISNUMBER('FOB'!C33),'FOB'!C33,0)*(1+IF(ISNUMBER('FOB'!C34),'FOB'!C34,0)))*IF(ISNUMBER('FOB'!C35),'FOB'!C35,0),0))/('FOB'!C7*1.0),"")</f>
        <v/>
      </c>
      <c r="E25" s="29">
        <f>IF(AND(ISNUMBER(D25),ISNUMBER(D4)),D25-D4,"")</f>
        <v/>
      </c>
      <c r="F25" s="37">
        <f>IF(AND(ISNUMBER(E25),ISNUMBER(D4)),E25/D4,"")</f>
        <v/>
      </c>
      <c r="G25" s="18" t="inlineStr"/>
    </row>
    <row r="26">
      <c r="B26" s="9" t="inlineStr">
        <is>
          <t>数量 ×1.5</t>
        </is>
      </c>
      <c r="C26" s="28">
        <f>'FOB'!C7*1.5</f>
        <v/>
      </c>
      <c r="D26" s="28">
        <f>IF(AND(ISNUMBER('FOB'!C6),ISNUMBER('FOB'!C7*1.5),ISNUMBER('FOB'!C10),ISNUMBER('FOB'!C11),ISNUMBER('FOB'!C33)),(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+IF('FOB'!C18,0,IF(ISNUMBER('FOB'!C17),'FOB'!C17,IF(ISNUMBER('FOB'!C16),(IF(AND(ISNUMBER('FOB'!C6),ISNUMBER('FOB'!C7*1.5)),'FOB'!C6*'FOB'!C7*1.5,0)+IF('FOB'!C20,0,IF(ISNUMBER('FOB'!C14),'FOB'!C14*'FOB'!C7*1.5,0)))*'FOB'!C16/100*1.1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)*0.003/0.997))))*IF(ISNUMBER('FOB'!C10),'FOB'!C10,0)+IF(ISNUMBER('FOB'!C11)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+IF('FOB'!C18,0,IF(ISNUMBER('FOB'!C17),'FOB'!C17,IF(ISNUMBER('FOB'!C16),(IF(AND(ISNUMBER('FOB'!C6),ISNUMBER('FOB'!C7*1.5)),'FOB'!C6*'FOB'!C7*1.5,0)+IF('FOB'!C20,0,IF(ISNUMBER('FOB'!C14),'FOB'!C14*'FOB'!C7*1.5,0)))*'FOB'!C16/100*1.1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)*0.003/0.997))))*'FOB'!C11,0)*IF(ISNUMBER('FOB'!C33),'FOB'!C33,0)*(1+IF(ISNUMBER('FOB'!C34),'FOB'!C34,0))+(IF(ISNUMBER('FOB'!C11)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+IF('FOB'!C18,0,IF(ISNUMBER('FOB'!C17),'FOB'!C17,IF(ISNUMBER('FOB'!C16),(IF(AND(ISNUMBER('FOB'!C6),ISNUMBER('FOB'!C7*1.5)),'FOB'!C6*'FOB'!C7*1.5,0)+IF('FOB'!C20,0,IF(ISNUMBER('FOB'!C14),'FOB'!C14*'FOB'!C7*1.5,0)))*'FOB'!C16/100*1.1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)*0.003/0.997))))*'FOB'!C11,0)+IF(ISNUMBER('FOB'!C11)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+IF('FOB'!C18,0,IF(ISNUMBER('FOB'!C17),'FOB'!C17,IF(ISNUMBER('FOB'!C16),(IF(AND(ISNUMBER('FOB'!C6),ISNUMBER('FOB'!C7*1.5)),'FOB'!C6*'FOB'!C7*1.5,0)+IF('FOB'!C20,0,IF(ISNUMBER('FOB'!C14),'FOB'!C14*'FOB'!C7*1.5,0)))*'FOB'!C16/100*1.1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+IF('FOB'!C18,0,IF(ISNUMBER('FOB'!C17),'FOB'!C17,IF(ISNUMBER('FOB'!C16),(IF(AND(ISNUMBER('FOB'!C6),ISNUMBER('FOB'!C7*1.5)),'FOB'!C6*'FOB'!C7*1.5,0)+IF('FOB'!C20,0,IF(ISNUMBER('FOB'!C14),'FOB'!C14*'FOB'!C7*1.5,0)))*'FOB'!C16/100*1.1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)*0.003/0.997))))*'FOB'!C11,0)+IF(ISNUMBER('FOB'!C11)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+IF('FOB'!C18,0,IF(ISNUMBER('FOB'!C17),'FOB'!C17,IF(ISNUMBER('FOB'!C16),(IF(AND(ISNUMBER('FOB'!C6),ISNUMBER('FOB'!C7*1.5)),'FOB'!C6*'FOB'!C7*1.5,0)+IF('FOB'!C20,0,IF(ISNUMBER('FOB'!C14),'FOB'!C14*'FOB'!C7*1.5,0)))*'FOB'!C16/100*1.1,(IF(AND(ISNUMBER('FOB'!C6),ISNUMBER('FOB'!C7*1.5)),'FOB'!C6*'FOB'!C7*1.5,0)+IF('FOB'!C9=TRUE,0,IF(ISNUMBER('FOB'!C19),'FOB'!C19,0))+IF(ISNUMBER('FOB'!C13),IF('FOB'!C22,0,'FOB'!C13),0)+IF(ISNUMBER('FOB'!C12),IF('FOB'!C22,0,'FOB'!C12),0)+IF('FOB'!C20,0,IF(ISNUMBER('FOB'!C14),'FOB'!C14*'FOB'!C7*1.5,0)))*0.003/0.997))))*'FOB'!C11,0)*IF(ISNUMBER('FOB'!C33),'FOB'!C33,0)*(1+IF(ISNUMBER('FOB'!C34),'FOB'!C34,0)))*IF(ISNUMBER('FOB'!C35),'FOB'!C35,0),0))/('FOB'!C7*1.5),"")</f>
        <v/>
      </c>
      <c r="E26" s="29">
        <f>IF(AND(ISNUMBER(D26),ISNUMBER(D4)),D26-D4,"")</f>
        <v/>
      </c>
      <c r="F26" s="37">
        <f>IF(AND(ISNUMBER(E26),ISNUMBER(D4)),E26/D4,"")</f>
        <v/>
      </c>
      <c r="G26" s="18" t="inlineStr"/>
    </row>
    <row r="27">
      <c r="B27" s="9" t="inlineStr">
        <is>
          <t>数量 ×2</t>
        </is>
      </c>
      <c r="C27" s="28">
        <f>'FOB'!C7*2.0</f>
        <v/>
      </c>
      <c r="D27" s="28">
        <f>IF(AND(ISNUMBER('FOB'!C6),ISNUMBER('FOB'!C7*2.0),ISNUMBER('FOB'!C10),ISNUMBER('FOB'!C11),ISNUMBER('FOB'!C33)),(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+IF('FOB'!C18,0,IF(ISNUMBER('FOB'!C17),'FOB'!C17,IF(ISNUMBER('FOB'!C16),(IF(AND(ISNUMBER('FOB'!C6),ISNUMBER('FOB'!C7*2.0)),'FOB'!C6*'FOB'!C7*2.0,0)+IF('FOB'!C20,0,IF(ISNUMBER('FOB'!C14),'FOB'!C14*'FOB'!C7*2.0,0)))*'FOB'!C16/100*1.1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)*0.003/0.997))))*IF(ISNUMBER('FOB'!C10),'FOB'!C10,0)+IF(ISNUMBER('FOB'!C11)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+IF('FOB'!C18,0,IF(ISNUMBER('FOB'!C17),'FOB'!C17,IF(ISNUMBER('FOB'!C16),(IF(AND(ISNUMBER('FOB'!C6),ISNUMBER('FOB'!C7*2.0)),'FOB'!C6*'FOB'!C7*2.0,0)+IF('FOB'!C20,0,IF(ISNUMBER('FOB'!C14),'FOB'!C14*'FOB'!C7*2.0,0)))*'FOB'!C16/100*1.1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)*0.003/0.997))))*'FOB'!C11,0)*IF(ISNUMBER('FOB'!C33),'FOB'!C33,0)*(1+IF(ISNUMBER('FOB'!C34),'FOB'!C34,0))+(IF(ISNUMBER('FOB'!C11)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+IF('FOB'!C18,0,IF(ISNUMBER('FOB'!C17),'FOB'!C17,IF(ISNUMBER('FOB'!C16),(IF(AND(ISNUMBER('FOB'!C6),ISNUMBER('FOB'!C7*2.0)),'FOB'!C6*'FOB'!C7*2.0,0)+IF('FOB'!C20,0,IF(ISNUMBER('FOB'!C14),'FOB'!C14*'FOB'!C7*2.0,0)))*'FOB'!C16/100*1.1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)*0.003/0.997))))*'FOB'!C11,0)+IF(ISNUMBER('FOB'!C11)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+IF('FOB'!C18,0,IF(ISNUMBER('FOB'!C17),'FOB'!C17,IF(ISNUMBER('FOB'!C16),(IF(AND(ISNUMBER('FOB'!C6),ISNUMBER('FOB'!C7*2.0)),'FOB'!C6*'FOB'!C7*2.0,0)+IF('FOB'!C20,0,IF(ISNUMBER('FOB'!C14),'FOB'!C14*'FOB'!C7*2.0,0)))*'FOB'!C16/100*1.1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)*0.003/0.997))))*'FOB'!C11,0)*IF(ISNUMBER('FOB'!C33),'FOB'!C33,0)*(1+IF(ISNUMBER('FOB'!C34),'FOB'!C34,0)))*IF(ISNUMBER('FOB'!C35),'FOB'!C35,0)+(IF(ISNUMBER('FOB'!C46),'FOB'!C46,0)+IF(ISNUMBER('FOB'!C47),'FOB'!C47,0)+IF(ISNUMBER('FOB'!C48),'FOB'!C48,0)+IF(ISNUMBER('FOB'!C49),'FOB'!C49,0)+IF(ISNUMBER('FOB'!C50),'FOB'!C50,0)+IF(ISNUMBER('FOB'!C51),'FOB'!C51,0))-IF(LEFT('FOB'!C36,1)="是",(IF(ISNUMBER('FOB'!C11)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+IF('FOB'!C18,0,IF(ISNUMBER('FOB'!C17),'FOB'!C17,IF(ISNUMBER('FOB'!C16),(IF(AND(ISNUMBER('FOB'!C6),ISNUMBER('FOB'!C7*2.0)),'FOB'!C6*'FOB'!C7*2.0,0)+IF('FOB'!C20,0,IF(ISNUMBER('FOB'!C14),'FOB'!C14*'FOB'!C7*2.0,0)))*'FOB'!C16/100*1.1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)*0.003/0.997))))*'FOB'!C11,0)+IF(ISNUMBER('FOB'!C11)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+IF('FOB'!C18,0,IF(ISNUMBER('FOB'!C17),'FOB'!C17,IF(ISNUMBER('FOB'!C16),(IF(AND(ISNUMBER('FOB'!C6),ISNUMBER('FOB'!C7*2.0)),'FOB'!C6*'FOB'!C7*2.0,0)+IF('FOB'!C20,0,IF(ISNUMBER('FOB'!C14),'FOB'!C14*'FOB'!C7*2.0,0)))*'FOB'!C16/100*1.1,(IF(AND(ISNUMBER('FOB'!C6),ISNUMBER('FOB'!C7*2.0)),'FOB'!C6*'FOB'!C7*2.0,0)+IF('FOB'!C9=TRUE,0,IF(ISNUMBER('FOB'!C19),'FOB'!C19,0))+IF(ISNUMBER('FOB'!C13),IF('FOB'!C22,0,'FOB'!C13),0)+IF(ISNUMBER('FOB'!C12),IF('FOB'!C22,0,'FOB'!C12),0)+IF('FOB'!C20,0,IF(ISNUMBER('FOB'!C14),'FOB'!C14*'FOB'!C7*2.0,0)))*0.003/0.997))))*'FOB'!C11,0)*IF(ISNUMBER('FOB'!C33),'FOB'!C33,0)*(1+IF(ISNUMBER('FOB'!C34),'FOB'!C34,0)))*IF(ISNUMBER('FOB'!C35),'FOB'!C35,0),0))/('FOB'!C7*2.0),"")</f>
        <v/>
      </c>
      <c r="E27" s="29">
        <f>IF(AND(ISNUMBER(D27),ISNUMBER(D4)),D27-D4,"")</f>
        <v/>
      </c>
      <c r="F27" s="37">
        <f>IF(AND(ISNUMBER(E27),ISNUMBER(D4)),E27/D4,"")</f>
        <v/>
      </c>
      <c r="G27" s="18" t="inlineStr"/>
    </row>
    <row r="28">
      <c r="B28" s="2" t="inlineStr">
        <is>
          <t>口径说明：情景逐项复刻计算链，未做线性近似。数值已与 Python 引擎对账（scripts/verify_workbook.py 输出 build/workbook_reconciliation.json）。</t>
        </is>
      </c>
    </row>
  </sheetData>
  <mergeCells count="5">
    <mergeCell ref="B2:G2"/>
    <mergeCell ref="B20:G20"/>
    <mergeCell ref="B28:G28"/>
    <mergeCell ref="B12:G12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16" customWidth="1" min="4" max="4"/>
    <col width="62" customWidth="1" min="5" max="5"/>
    <col width="12" customWidth="1" min="6" max="6"/>
  </cols>
  <sheetData>
    <row r="1">
      <c r="B1" s="26" t="inlineStr">
        <is>
          <t>数据来源与核验记录</t>
        </is>
      </c>
    </row>
    <row r="2">
      <c r="B2" s="2" t="inlineStr">
        <is>
          <t>每个数字必须能回答：谁给的、什么时候核验的、失效条件是什么。</t>
        </is>
      </c>
    </row>
    <row r="4">
      <c r="A4" s="38" t="inlineStr">
        <is>
          <t>#</t>
        </is>
      </c>
      <c r="B4" s="38" t="inlineStr">
        <is>
          <t>项目</t>
        </is>
      </c>
      <c r="C4" s="38" t="inlineStr">
        <is>
          <t>取值</t>
        </is>
      </c>
      <c r="D4" s="38" t="inlineStr">
        <is>
          <t>类型</t>
        </is>
      </c>
      <c r="E4" s="38" t="inlineStr">
        <is>
          <t>来源 / 依据</t>
        </is>
      </c>
      <c r="F4" s="38" t="inlineStr">
        <is>
          <t>核验日</t>
        </is>
      </c>
    </row>
    <row r="5">
      <c r="A5" s="39" t="n">
        <v>1</v>
      </c>
      <c r="B5" s="9" t="inlineStr">
        <is>
          <t>HS 编码</t>
        </is>
      </c>
      <c r="C5" s="39" t="inlineStr">
        <is>
          <t>29053100</t>
        </is>
      </c>
      <c r="D5" s="40" t="inlineStr">
        <is>
          <t>公开查询</t>
        </is>
      </c>
      <c r="E5" s="11" t="inlineStr">
        <is>
          <t>2026年进出口税则（zhengdao.ai/tariff/2026/29053100）</t>
        </is>
      </c>
      <c r="F5" s="18" t="inlineStr">
        <is>
          <t>2026-10-20</t>
        </is>
      </c>
    </row>
    <row r="6">
      <c r="A6" s="39" t="n">
        <v>2</v>
      </c>
      <c r="B6" s="9" t="inlineStr">
        <is>
          <t>最惠国关税税率</t>
        </is>
      </c>
      <c r="C6" s="39" t="inlineStr">
        <is>
          <t>5.5%</t>
        </is>
      </c>
      <c r="D6" s="40" t="inlineStr">
        <is>
          <t>公开查询</t>
        </is>
      </c>
      <c r="E6" s="11" t="inlineStr">
        <is>
          <t>2026年进出口税则 29053100（税委会公告2025年第12号）</t>
        </is>
      </c>
      <c r="F6" s="18" t="inlineStr">
        <is>
          <t>2026-07-15</t>
        </is>
      </c>
    </row>
    <row r="7">
      <c r="A7" s="39" t="n">
        <v>3</v>
      </c>
      <c r="B7" s="9" t="inlineStr">
        <is>
          <t>普通税率</t>
        </is>
      </c>
      <c r="C7" s="39" t="inlineStr">
        <is>
          <t>30%</t>
        </is>
      </c>
      <c r="D7" s="40" t="inlineStr">
        <is>
          <t>公开查询</t>
        </is>
      </c>
      <c r="E7" s="11" t="inlineStr">
        <is>
          <t>同上；原产地不明时适用，不适用暂定税率</t>
        </is>
      </c>
      <c r="F7" s="18" t="inlineStr">
        <is>
          <t>2026-07-15</t>
        </is>
      </c>
    </row>
    <row r="8">
      <c r="A8" s="39" t="n">
        <v>4</v>
      </c>
      <c r="B8" s="9" t="inlineStr">
        <is>
          <t>协定税率（沙特）</t>
        </is>
      </c>
      <c r="C8" s="39" t="inlineStr">
        <is>
          <t>不适用</t>
        </is>
      </c>
      <c r="D8" s="40" t="inlineStr">
        <is>
          <t>公开查询</t>
        </is>
      </c>
      <c r="E8" s="11" t="inlineStr">
        <is>
          <t>中国—海合会自贸协定未生效（商务部自贸区服务网）</t>
        </is>
      </c>
      <c r="F8" s="18" t="inlineStr">
        <is>
          <t>2026-10-20</t>
        </is>
      </c>
    </row>
    <row r="9">
      <c r="A9" s="39" t="n">
        <v>5</v>
      </c>
      <c r="B9" s="9" t="inlineStr">
        <is>
          <t>进口环节增值税率</t>
        </is>
      </c>
      <c r="C9" s="39" t="inlineStr">
        <is>
          <t>13%</t>
        </is>
      </c>
      <c r="D9" s="40" t="inlineStr">
        <is>
          <t>公开查询</t>
        </is>
      </c>
      <c r="E9" s="11" t="inlineStr">
        <is>
          <t>一般货物；计税公式见《关税法》第70条</t>
        </is>
      </c>
      <c r="F9" s="18" t="inlineStr">
        <is>
          <t>2026-10-20</t>
        </is>
      </c>
    </row>
    <row r="10">
      <c r="A10" s="39" t="n">
        <v>6</v>
      </c>
      <c r="B10" s="9" t="inlineStr">
        <is>
          <t>市场参考汇率</t>
        </is>
      </c>
      <c r="C10" s="39" t="inlineStr">
        <is>
          <t>6.6807</t>
        </is>
      </c>
      <c r="D10" s="40" t="inlineStr">
        <is>
          <t>公开查询</t>
        </is>
      </c>
      <c r="E10" s="11" t="inlineStr">
        <is>
          <t>ECB 参考汇率交叉（frankfurter.app，2026-10-19）</t>
        </is>
      </c>
      <c r="F10" s="18" t="inlineStr">
        <is>
          <t>2026-10-20</t>
        </is>
      </c>
    </row>
    <row r="11">
      <c r="A11" s="39" t="n">
        <v>7</v>
      </c>
      <c r="B11" s="9" t="inlineStr">
        <is>
          <t>海关计征汇率</t>
        </is>
      </c>
      <c r="C11" s="39" t="inlineStr">
        <is>
          <t>待确认</t>
        </is>
      </c>
      <c r="D11" s="41" t="inlineStr">
        <is>
          <t>待确认</t>
        </is>
      </c>
      <c r="E11" s="11" t="inlineStr">
        <is>
          <t>申报日对应上月第三个星期三（2026-09-16）PBOC 中间价</t>
        </is>
      </c>
      <c r="F11" s="18" t="inlineStr">
        <is>
          <t>2026-10-20</t>
        </is>
      </c>
    </row>
    <row r="12">
      <c r="A12" s="39" t="n">
        <v>8</v>
      </c>
      <c r="B12" s="9" t="inlineStr">
        <is>
          <t>保险费 0.3‰ 口径</t>
        </is>
      </c>
      <c r="C12" s="39" t="inlineStr">
        <is>
          <t>（货价+运费）×0.3‰</t>
        </is>
      </c>
      <c r="D12" s="40" t="inlineStr">
        <is>
          <t>公开查询</t>
        </is>
      </c>
      <c r="E12" s="11" t="inlineStr">
        <is>
          <t>《确定进出口货物计税价格办法》第36条</t>
        </is>
      </c>
      <c r="F12" s="18" t="inlineStr">
        <is>
          <t>2026-10-20</t>
        </is>
      </c>
    </row>
    <row r="13">
      <c r="A13" s="39" t="n">
        <v>9</v>
      </c>
      <c r="B13" s="9" t="inlineStr">
        <is>
          <t>计税价格构成</t>
        </is>
      </c>
      <c r="C13" s="39" t="inlineStr">
        <is>
          <t>成交价格+运保费</t>
        </is>
      </c>
      <c r="D13" s="40" t="inlineStr">
        <is>
          <t>公开查询</t>
        </is>
      </c>
      <c r="E13" s="11" t="inlineStr">
        <is>
          <t>《关税法》第24、25、26条</t>
        </is>
      </c>
      <c r="F13" s="18" t="inlineStr">
        <is>
          <t>2024-12-01</t>
        </is>
      </c>
    </row>
    <row r="14">
      <c r="A14" s="39" t="n">
        <v>10</v>
      </c>
      <c r="B14" s="9" t="inlineStr">
        <is>
          <t>关税计算</t>
        </is>
      </c>
      <c r="C14" s="39" t="inlineStr">
        <is>
          <t>计税价格×税率</t>
        </is>
      </c>
      <c r="D14" s="40" t="inlineStr">
        <is>
          <t>公开查询</t>
        </is>
      </c>
      <c r="E14" s="11" t="inlineStr">
        <is>
          <t>《关税法》第23条</t>
        </is>
      </c>
      <c r="F14" s="18" t="inlineStr">
        <is>
          <t>2024-12-01</t>
        </is>
      </c>
    </row>
    <row r="15">
      <c r="A15" s="39" t="n">
        <v>11</v>
      </c>
      <c r="B15" s="9" t="inlineStr">
        <is>
          <t>FOB 报价</t>
        </is>
      </c>
      <c r="C15" s="39" t="inlineStr">
        <is>
          <t>640.00 USD/MT</t>
        </is>
      </c>
      <c r="D15" s="42" t="inlineStr">
        <is>
          <t>模拟情景</t>
        </is>
      </c>
      <c r="E15" s="11" t="inlineStr">
        <is>
          <t>演示建模假设，非实时市场报价</t>
        </is>
      </c>
      <c r="F15" s="18" t="inlineStr">
        <is>
          <t>—</t>
        </is>
      </c>
    </row>
    <row r="16">
      <c r="A16" s="39" t="n">
        <v>12</v>
      </c>
      <c r="B16" s="9" t="inlineStr">
        <is>
          <t>海运费</t>
        </is>
      </c>
      <c r="C16" s="39" t="inlineStr">
        <is>
          <t>45.00 USD/MT</t>
        </is>
      </c>
      <c r="D16" s="42" t="inlineStr">
        <is>
          <t>模拟情景</t>
        </is>
      </c>
      <c r="E16" s="11" t="inlineStr">
        <is>
          <t>朱拜勒→宁波；非货代实盘报价</t>
        </is>
      </c>
      <c r="F16" s="18" t="inlineStr">
        <is>
          <t>—</t>
        </is>
      </c>
    </row>
    <row r="17">
      <c r="A17" s="39" t="n">
        <v>13</v>
      </c>
      <c r="B17" s="9" t="inlineStr">
        <is>
          <t>保险费率</t>
        </is>
      </c>
      <c r="C17" s="39" t="inlineStr">
        <is>
          <t>0.55‰</t>
        </is>
      </c>
      <c r="D17" s="42" t="inlineStr">
        <is>
          <t>模拟情景</t>
        </is>
      </c>
      <c r="E17" s="11" t="inlineStr">
        <is>
          <t>按 110% 投保额；非保单</t>
        </is>
      </c>
      <c r="F17" s="18" t="inlineStr">
        <is>
          <t>—</t>
        </is>
      </c>
    </row>
    <row r="18">
      <c r="A18" s="39" t="n">
        <v>14</v>
      </c>
      <c r="B18" s="9" t="inlineStr">
        <is>
          <t>港杂费</t>
        </is>
      </c>
      <c r="C18" s="39" t="inlineStr">
        <is>
          <t>600 元/票</t>
        </is>
      </c>
      <c r="D18" s="42" t="inlineStr">
        <is>
          <t>模拟情景</t>
        </is>
      </c>
      <c r="E18" s="11" t="inlineStr">
        <is>
          <t>结构参照宁波港口岸收费公示</t>
        </is>
      </c>
      <c r="F18" s="18" t="inlineStr">
        <is>
          <t>2026-10-20</t>
        </is>
      </c>
    </row>
    <row r="19">
      <c r="A19" s="39" t="n">
        <v>15</v>
      </c>
      <c r="B19" s="9" t="inlineStr">
        <is>
          <t>报关代理费</t>
        </is>
      </c>
      <c r="C19" s="39" t="inlineStr">
        <is>
          <t>500 元/票</t>
        </is>
      </c>
      <c r="D19" s="42" t="inlineStr">
        <is>
          <t>公开区间</t>
        </is>
      </c>
      <c r="E19" s="11" t="inlineStr">
        <is>
          <t>宁波港公示 100–500 元/票</t>
        </is>
      </c>
      <c r="F19" s="18" t="inlineStr">
        <is>
          <t>2026-10-20</t>
        </is>
      </c>
    </row>
    <row r="20">
      <c r="A20" s="39" t="n">
        <v>16</v>
      </c>
      <c r="B20" s="9" t="inlineStr">
        <is>
          <t>仓储费</t>
        </is>
      </c>
      <c r="C20" s="39" t="inlineStr">
        <is>
          <t>3000 元/票</t>
        </is>
      </c>
      <c r="D20" s="42" t="inlineStr">
        <is>
          <t>模拟情景</t>
        </is>
      </c>
      <c r="E20" s="11" t="inlineStr">
        <is>
          <t>免箱期内堆存</t>
        </is>
      </c>
      <c r="F20" s="18" t="inlineStr">
        <is>
          <t>—</t>
        </is>
      </c>
    </row>
    <row r="21">
      <c r="A21" s="39" t="n">
        <v>17</v>
      </c>
      <c r="B21" s="9" t="inlineStr">
        <is>
          <t>国内运输</t>
        </is>
      </c>
      <c r="C21" s="39" t="inlineStr">
        <is>
          <t>7812.5 元/票</t>
        </is>
      </c>
      <c r="D21" s="40" t="inlineStr">
        <is>
          <t>公开费率×假设</t>
        </is>
      </c>
      <c r="E21" s="11" t="inlineStr">
        <is>
          <t>0.5 元/吨·km×250km×62.5t</t>
        </is>
      </c>
      <c r="F21" s="18" t="inlineStr">
        <is>
          <t>2026-10-20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>
      <c r="B1" s="26" t="inlineStr">
        <is>
          <t>Incoterms 2020 成本归属矩阵</t>
        </is>
      </c>
    </row>
    <row r="3">
      <c r="B3" s="27" t="inlineStr">
        <is>
          <t>术语</t>
        </is>
      </c>
      <c r="C3" s="27" t="inlineStr">
        <is>
          <t>中文</t>
        </is>
      </c>
      <c r="D3" s="27" t="inlineStr">
        <is>
          <t>出口报关</t>
        </is>
      </c>
      <c r="E3" s="27" t="inlineStr">
        <is>
          <t>主运费</t>
        </is>
      </c>
      <c r="F3" s="27" t="inlineStr">
        <is>
          <t>保险</t>
        </is>
      </c>
      <c r="G3" s="27" t="inlineStr">
        <is>
          <t>进口关税/清关</t>
        </is>
      </c>
    </row>
    <row r="4">
      <c r="B4" s="43" t="inlineStr">
        <is>
          <t>EXW</t>
        </is>
      </c>
      <c r="C4" s="44" t="inlineStr">
        <is>
          <t>工厂交货</t>
        </is>
      </c>
      <c r="D4" s="45" t="inlineStr">
        <is>
          <t>买方</t>
        </is>
      </c>
      <c r="E4" s="45" t="inlineStr">
        <is>
          <t>买方</t>
        </is>
      </c>
      <c r="F4" s="45" t="inlineStr">
        <is>
          <t>买方</t>
        </is>
      </c>
      <c r="G4" s="45" t="inlineStr">
        <is>
          <t>买方</t>
        </is>
      </c>
    </row>
    <row r="5">
      <c r="B5" s="43" t="inlineStr">
        <is>
          <t>FCA</t>
        </is>
      </c>
      <c r="C5" s="44" t="inlineStr">
        <is>
          <t>货交承运人</t>
        </is>
      </c>
      <c r="D5" s="46" t="inlineStr">
        <is>
          <t>卖方</t>
        </is>
      </c>
      <c r="E5" s="45" t="inlineStr">
        <is>
          <t>买方</t>
        </is>
      </c>
      <c r="F5" s="45" t="inlineStr">
        <is>
          <t>买方</t>
        </is>
      </c>
      <c r="G5" s="45" t="inlineStr">
        <is>
          <t>买方</t>
        </is>
      </c>
    </row>
    <row r="6">
      <c r="B6" s="43" t="inlineStr">
        <is>
          <t>FAS</t>
        </is>
      </c>
      <c r="C6" s="44" t="inlineStr">
        <is>
          <t>船边交货</t>
        </is>
      </c>
      <c r="D6" s="46" t="inlineStr">
        <is>
          <t>卖方</t>
        </is>
      </c>
      <c r="E6" s="45" t="inlineStr">
        <is>
          <t>买方</t>
        </is>
      </c>
      <c r="F6" s="45" t="inlineStr">
        <is>
          <t>买方</t>
        </is>
      </c>
      <c r="G6" s="45" t="inlineStr">
        <is>
          <t>买方</t>
        </is>
      </c>
    </row>
    <row r="7">
      <c r="B7" s="43" t="inlineStr">
        <is>
          <t>FOB</t>
        </is>
      </c>
      <c r="C7" s="44" t="inlineStr">
        <is>
          <t>船上交货</t>
        </is>
      </c>
      <c r="D7" s="46" t="inlineStr">
        <is>
          <t>卖方</t>
        </is>
      </c>
      <c r="E7" s="45" t="inlineStr">
        <is>
          <t>买方</t>
        </is>
      </c>
      <c r="F7" s="45" t="inlineStr">
        <is>
          <t>买方</t>
        </is>
      </c>
      <c r="G7" s="45" t="inlineStr">
        <is>
          <t>买方</t>
        </is>
      </c>
    </row>
    <row r="8">
      <c r="B8" s="43" t="inlineStr">
        <is>
          <t>CFR</t>
        </is>
      </c>
      <c r="C8" s="44" t="inlineStr">
        <is>
          <t>成本加运费</t>
        </is>
      </c>
      <c r="D8" s="46" t="inlineStr">
        <is>
          <t>卖方</t>
        </is>
      </c>
      <c r="E8" s="46" t="inlineStr">
        <is>
          <t>卖方</t>
        </is>
      </c>
      <c r="F8" s="45" t="inlineStr">
        <is>
          <t>买方</t>
        </is>
      </c>
      <c r="G8" s="45" t="inlineStr">
        <is>
          <t>买方</t>
        </is>
      </c>
    </row>
    <row r="9">
      <c r="B9" s="43" t="inlineStr">
        <is>
          <t>CIF</t>
        </is>
      </c>
      <c r="C9" s="44" t="inlineStr">
        <is>
          <t>成本保险费加运费</t>
        </is>
      </c>
      <c r="D9" s="46" t="inlineStr">
        <is>
          <t>卖方</t>
        </is>
      </c>
      <c r="E9" s="46" t="inlineStr">
        <is>
          <t>卖方</t>
        </is>
      </c>
      <c r="F9" s="46" t="inlineStr">
        <is>
          <t>卖方</t>
        </is>
      </c>
      <c r="G9" s="45" t="inlineStr">
        <is>
          <t>买方</t>
        </is>
      </c>
    </row>
    <row r="10">
      <c r="B10" s="43" t="inlineStr">
        <is>
          <t>CPT</t>
        </is>
      </c>
      <c r="C10" s="44" t="inlineStr">
        <is>
          <t>运费付至</t>
        </is>
      </c>
      <c r="D10" s="46" t="inlineStr">
        <is>
          <t>卖方</t>
        </is>
      </c>
      <c r="E10" s="46" t="inlineStr">
        <is>
          <t>卖方</t>
        </is>
      </c>
      <c r="F10" s="45" t="inlineStr">
        <is>
          <t>买方</t>
        </is>
      </c>
      <c r="G10" s="45" t="inlineStr">
        <is>
          <t>买方</t>
        </is>
      </c>
    </row>
    <row r="11">
      <c r="B11" s="43" t="inlineStr">
        <is>
          <t>CIP</t>
        </is>
      </c>
      <c r="C11" s="44" t="inlineStr">
        <is>
          <t>运费保险费付至</t>
        </is>
      </c>
      <c r="D11" s="46" t="inlineStr">
        <is>
          <t>卖方</t>
        </is>
      </c>
      <c r="E11" s="46" t="inlineStr">
        <is>
          <t>卖方</t>
        </is>
      </c>
      <c r="F11" s="46" t="inlineStr">
        <is>
          <t>卖方</t>
        </is>
      </c>
      <c r="G11" s="45" t="inlineStr">
        <is>
          <t>买方</t>
        </is>
      </c>
    </row>
    <row r="12">
      <c r="B12" s="43" t="inlineStr">
        <is>
          <t>DAP</t>
        </is>
      </c>
      <c r="C12" s="44" t="inlineStr">
        <is>
          <t>目的地交货</t>
        </is>
      </c>
      <c r="D12" s="46" t="inlineStr">
        <is>
          <t>卖方</t>
        </is>
      </c>
      <c r="E12" s="46" t="inlineStr">
        <is>
          <t>卖方</t>
        </is>
      </c>
      <c r="F12" s="45" t="inlineStr">
        <is>
          <t>买方</t>
        </is>
      </c>
      <c r="G12" s="45" t="inlineStr">
        <is>
          <t>买方</t>
        </is>
      </c>
    </row>
    <row r="13">
      <c r="B13" s="43" t="inlineStr">
        <is>
          <t>DPU</t>
        </is>
      </c>
      <c r="C13" s="44" t="inlineStr">
        <is>
          <t>卸货地交货</t>
        </is>
      </c>
      <c r="D13" s="46" t="inlineStr">
        <is>
          <t>卖方</t>
        </is>
      </c>
      <c r="E13" s="46" t="inlineStr">
        <is>
          <t>卖方</t>
        </is>
      </c>
      <c r="F13" s="45" t="inlineStr">
        <is>
          <t>买方</t>
        </is>
      </c>
      <c r="G13" s="45" t="inlineStr">
        <is>
          <t>买方</t>
        </is>
      </c>
    </row>
    <row r="14">
      <c r="B14" s="43" t="inlineStr">
        <is>
          <t>DDP</t>
        </is>
      </c>
      <c r="C14" s="44" t="inlineStr">
        <is>
          <t>完税后交货</t>
        </is>
      </c>
      <c r="D14" s="46" t="inlineStr">
        <is>
          <t>卖方</t>
        </is>
      </c>
      <c r="E14" s="46" t="inlineStr">
        <is>
          <t>卖方</t>
        </is>
      </c>
      <c r="F14" s="46" t="inlineStr">
        <is>
          <t>卖方</t>
        </is>
      </c>
      <c r="G14" s="46" t="inlineStr">
        <is>
          <t>卖方</t>
        </is>
      </c>
    </row>
    <row r="16">
      <c r="B16" s="33" t="inlineStr">
        <is>
          <t>要点</t>
        </is>
      </c>
    </row>
    <row r="17">
      <c r="B17" s="7" t="inlineStr">
        <is>
          <t>"卖方承担" = 已含在报价中，测算时不能再加一次。</t>
        </is>
      </c>
    </row>
    <row r="18">
      <c r="B18" s="7" t="inlineStr">
        <is>
          <t>FOB→加海运+保险；CFR→只加保险；CIF→都不加。</t>
        </is>
      </c>
    </row>
    <row r="19">
      <c r="B19" s="7" t="inlineStr">
        <is>
          <t>CIF/CIP 保险最低保障 110% 合同价（2020 版 CIP 为 A 条款）。</t>
        </is>
      </c>
    </row>
    <row r="20">
      <c r="B20" s="7" t="inlineStr">
        <is>
          <t>DDP 卖方付进口关税与清关，但进口环节增值税通常仍由境内进口方承担。</t>
        </is>
      </c>
    </row>
    <row r="21">
      <c r="B21" s="7" t="inlineStr">
        <is>
          <t>术语必须注明指定地点与版本，例：CIF 宁波 Incoterms 2020。</t>
        </is>
      </c>
    </row>
  </sheetData>
  <mergeCells count="5">
    <mergeCell ref="B19:G19"/>
    <mergeCell ref="B20:G20"/>
    <mergeCell ref="B17:G17"/>
    <mergeCell ref="B18:G18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2026-10-20T05:11:16Z</dcterms:created>
  <dcterms:modified xmlns:dcterms="http://purl.org/dc/terms/" xmlns:xsi="http://www.w3.org/2001/XMLSchema-instance" xsi:type="dcterms:W3CDTF">2026-10-20T05:11:16Z</dcterms:modified>
</cp:coreProperties>
</file>
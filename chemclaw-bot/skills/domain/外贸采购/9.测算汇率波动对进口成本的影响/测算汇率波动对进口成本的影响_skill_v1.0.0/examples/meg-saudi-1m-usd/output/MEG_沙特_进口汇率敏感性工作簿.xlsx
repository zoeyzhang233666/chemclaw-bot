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1 参数与汇率" sheetId="1" r:id="rId1"/>
    <sheet name="02 付款额与敏感性" sheetId="2" r:id="rId2"/>
    <sheet name="03 到厂成本" sheetId="3" r:id="rId3"/>
    <sheet name="04 毛利与盈亏平衡" sheetId="4" r:id="rId4"/>
    <sheet name="05 分批付款" sheetId="5" r:id="rId5"/>
    <sheet name="06 历史汇率与分位" sheetId="6" r:id="rId6"/>
    <sheet name="07 汇率口径与法规" sheetId="7" r:id="rId7"/>
  </sheets>
  <calcPr calcId="124519" fullCalcOnLoad="1"/>
</workbook>
</file>

<file path=xl/sharedStrings.xml><?xml version="1.0" encoding="utf-8"?>
<sst xmlns="http://schemas.openxmlformats.org/spreadsheetml/2006/main" count="404" uniqueCount="276">
  <si>
    <t>01 参数与汇率（唯一录入区）</t>
  </si>
  <si>
    <t>所有黄色底色单元格可直接修改；其余表全部由公式联动计算。绿色=真实数据，紫色=模拟值，黄色=演示值。</t>
  </si>
  <si>
    <t>A. 交易基本信息</t>
  </si>
  <si>
    <t>项目</t>
  </si>
  <si>
    <t>数值</t>
  </si>
  <si>
    <t>单位</t>
  </si>
  <si>
    <t>说明 / 来源</t>
  </si>
  <si>
    <t>性质</t>
  </si>
  <si>
    <t>采购金额（外币）</t>
  </si>
  <si>
    <t>USD</t>
  </si>
  <si>
    <t>合同外币金额，必填</t>
  </si>
  <si>
    <t>真实</t>
  </si>
  <si>
    <t>外币币种</t>
  </si>
  <si>
    <t>任意币种（USD/EUR/JPY/SAR…）</t>
  </si>
  <si>
    <t>交易方向</t>
  </si>
  <si>
    <t>IMPORT_PAYMENT</t>
  </si>
  <si>
    <t>进口付汇：人民币贬值 → 人民币成本上升</t>
  </si>
  <si>
    <t>产品 / 规格</t>
  </si>
  <si>
    <t>工业级乙二醇（MEG, Monoethylene Glycol），聚酯级 ≥99.9%</t>
  </si>
  <si>
    <t>HS 编码</t>
  </si>
  <si>
    <t>2905310000</t>
  </si>
  <si>
    <t>以《中华人民共和国进出口税则》为准</t>
  </si>
  <si>
    <t>原产国</t>
  </si>
  <si>
    <t>沙特阿拉伯（Jubail / Al Jubail）</t>
  </si>
  <si>
    <t>贸易术语</t>
  </si>
  <si>
    <t>CFR 中国华东主港</t>
  </si>
  <si>
    <t>合同数量</t>
  </si>
  <si>
    <t>吨</t>
  </si>
  <si>
    <t>按 100 万美元 ÷ 880 美元/吨（MEGlobal 2026年11月 ACP，CFR 亚洲主港）= 1136.4 吨推算，用于单位成本换算；实际提单数量以合同为准。</t>
  </si>
  <si>
    <t>模拟</t>
  </si>
  <si>
    <t>汇率标价方向</t>
  </si>
  <si>
    <t>1 外币 = x 人民币</t>
  </si>
  <si>
    <t>CNY per FC（x 上升=人民币贬值）</t>
  </si>
  <si>
    <t>公司预算汇率</t>
  </si>
  <si>
    <t>CNY/FC</t>
  </si>
  <si>
    <t>内部预算/成本核算用</t>
  </si>
  <si>
    <t>B. 四类汇率口径（务必区分，不可混用）</t>
  </si>
  <si>
    <t>口径</t>
  </si>
  <si>
    <t>汇率（CNY / 1 USD）</t>
  </si>
  <si>
    <t>日期</t>
  </si>
  <si>
    <t>来源 / 定义</t>
  </si>
  <si>
    <t>市场汇率</t>
  </si>
  <si>
    <t>2026-10-19</t>
  </si>
  <si>
    <t>ECB 欧元参考汇率经 EUR/USD 交叉折算（Frankfurter API），2026-10-19</t>
  </si>
  <si>
    <t>人民币汇率中间价（PBOC/CFETS）</t>
  </si>
  <si>
    <t>2026-10-20 09:15</t>
  </si>
  <si>
    <t>中国外汇交易中心 CFETS 人民币汇率中间价 ccpr.json（人民银行授权），2026-10-20 09:15</t>
  </si>
  <si>
    <t>银行实际购汇价（现汇卖出价）</t>
  </si>
  <si>
    <t>2026-10-20</t>
  </si>
  <si>
    <t>DEMO：以 CFETS 中间价 6.7200 为基准 +35bp 模拟的银行现汇卖出价（银行实盘须由用户提供）</t>
  </si>
  <si>
    <t>演示</t>
  </si>
  <si>
    <t>海关计征汇率</t>
  </si>
  <si>
    <t>2026-09-16</t>
  </si>
  <si>
    <t>DEMO：按海关总署令第272号第十三条，取 2026 年 9 月第三个星期三（9/16）CFETS 中间价；实际值须查海关每月公布数据</t>
  </si>
  <si>
    <t>基准汇率取值口径</t>
  </si>
  <si>
    <t>银行实际购汇价</t>
  </si>
  <si>
    <t>下拉选择。进口付汇的实际付款以「银行实际购汇价」为准。</t>
  </si>
  <si>
    <t>设置</t>
  </si>
  <si>
    <t>基准汇率（CNY per FC）</t>
  </si>
  <si>
    <t>计算</t>
  </si>
  <si>
    <t>银行购汇价相对中间价升水</t>
  </si>
  <si>
    <t>bp</t>
  </si>
  <si>
    <t>C. 到厂成本参数</t>
  </si>
  <si>
    <t>说明</t>
  </si>
  <si>
    <t>国际运费（外币）</t>
  </si>
  <si>
    <t>CFR/CIF 已含则填 0</t>
  </si>
  <si>
    <t>保险费（外币）</t>
  </si>
  <si>
    <t>其他外币费用</t>
  </si>
  <si>
    <t>港杂费</t>
  </si>
  <si>
    <t>CNY</t>
  </si>
  <si>
    <t>与汇率无关</t>
  </si>
  <si>
    <t>报关代理费</t>
  </si>
  <si>
    <t>内陆运输费</t>
  </si>
  <si>
    <t>仓储及其他人民币费用</t>
  </si>
  <si>
    <t>银行手续费及汇兑费用</t>
  </si>
  <si>
    <t>进口关税率</t>
  </si>
  <si>
    <t>%</t>
  </si>
  <si>
    <t>乙二醇 2905310000 最惠国 5.5%（无暂定税率）</t>
  </si>
  <si>
    <t>消费税税率</t>
  </si>
  <si>
    <t>MEG 为 0</t>
  </si>
  <si>
    <t>增值税率</t>
  </si>
  <si>
    <t>标准税率 13%</t>
  </si>
  <si>
    <t>增值税口径</t>
  </si>
  <si>
    <t>deductible</t>
  </si>
  <si>
    <t>deductible=可抵扣（不计入成本）；cost=不可抵扣（计入成本）</t>
  </si>
  <si>
    <t>D. 国内销售与毛利参数（可选）</t>
  </si>
  <si>
    <t>国内销售价</t>
  </si>
  <si>
    <t>元/吨</t>
  </si>
  <si>
    <t>【模拟教学值】设定为 7,600 元/吨（含税）。同期华东主流现货为 5,722 元/吨（同花顺 iFinD，2026-10-14），本值显著高于市场价，仅用于演示“毛利随汇率变动 + 零毛利/5%毛利盈亏平衡汇率落在历史区间内”的机理；真实测算须替换为企业实际销售合同价。</t>
  </si>
  <si>
    <t>非汇率相关单位成本</t>
  </si>
  <si>
    <t>【模拟值】仓储、销售费用、资金占用等非汇率相关单位成本，须按企业实际替换。</t>
  </si>
  <si>
    <t>目标毛利率 1</t>
  </si>
  <si>
    <t>用于盈亏平衡汇率</t>
  </si>
  <si>
    <t>目标毛利率 2</t>
  </si>
  <si>
    <t>目标毛利率 3</t>
  </si>
  <si>
    <t>销售价是否含增值税</t>
  </si>
  <si>
    <t>tax_included</t>
  </si>
  <si>
    <t>tax_included=含税价，需 ÷(1+增值税率) 换算不含税收入</t>
  </si>
  <si>
    <t>E. 分批付款条件</t>
  </si>
  <si>
    <t>批次</t>
  </si>
  <si>
    <t>付款比例</t>
  </si>
  <si>
    <t>距基准日天数</t>
  </si>
  <si>
    <t>已锁定汇率（空=随行就市）</t>
  </si>
  <si>
    <t>预付款/T-T 30%（签约后 30 天）</t>
  </si>
  <si>
    <t>已锁定则该批不随情景变动</t>
  </si>
  <si>
    <t>装运前尾款 70%（装船后 90 天）</t>
  </si>
  <si>
    <t>比例合计（应为 100%）</t>
  </si>
  <si>
    <t>校验</t>
  </si>
  <si>
    <t>付款基准日</t>
  </si>
  <si>
    <t>2027-01-18</t>
  </si>
  <si>
    <t>行内结果表的日期仅用于展示，实际结算日以合同为准</t>
  </si>
  <si>
    <t>【口径提示】</t>
  </si>
  <si>
    <t>1) 市场汇率（ECB）与人民币汇率中间价（CFETS/PBOC）用于观察与参考；
2) 银行实际购汇价（现汇卖出价）决定企业实际支付的人民币金额；
3) 海关计征汇率只用于折算完税价格与计税，依法取上一个月第三个星期三中间价；
4) 三者不可互相替代，差额可能达数十个基点。</t>
  </si>
  <si>
    <t>02 人民币付款额与汇率敏感性</t>
  </si>
  <si>
    <t>方向关系：汇率 x 上升 = 外币升值/人民币贬值 → 付汇人民币增加（红色）；x 下降 = 人民币升值 → 减少（绿色）。</t>
  </si>
  <si>
    <t>核心结果</t>
  </si>
  <si>
    <t>公式 / 说明</t>
  </si>
  <si>
    <t>基准汇率（CNY/FC）</t>
  </si>
  <si>
    <t>人民币付款额（基准）</t>
  </si>
  <si>
    <t>汇率敏感性（±1% / ±3% / ±5%，可自行增删行）</t>
  </si>
  <si>
    <t>汇率变动</t>
  </si>
  <si>
    <t>新汇率</t>
  </si>
  <si>
    <t>人民币付款额</t>
  </si>
  <si>
    <t>变动额</t>
  </si>
  <si>
    <t>变动幅度</t>
  </si>
  <si>
    <t>方向判定</t>
  </si>
  <si>
    <t>公式</t>
  </si>
  <si>
    <t>四类汇率口径对照（同一笔付款）</t>
  </si>
  <si>
    <t>汇率</t>
  </si>
  <si>
    <t>人民币付款</t>
  </si>
  <si>
    <t>相对基准差额</t>
  </si>
  <si>
    <t>相对基准%</t>
  </si>
  <si>
    <t>海关计征汇率仅用于计税，不代表实际付款价</t>
  </si>
  <si>
    <t>人民币汇率中间价</t>
  </si>
  <si>
    <t>提醒：中间价、市场汇率、银行购汇价、海关计征汇率是四个不同概念。进口付汇的真实人民币支出由银行购汇价决定；海关计征汇率为上月第三个星期三中间价（海关总署令第272号第十三条），只用于完税价格折算。</t>
  </si>
  <si>
    <t>03 人民币到厂成本构成</t>
  </si>
  <si>
    <t>完税价格按海关计征汇率折算；增值税按 01 表所选口径决定是否计入成本。</t>
  </si>
  <si>
    <t>成本构成（基准汇率情景）</t>
  </si>
  <si>
    <t>成本项</t>
  </si>
  <si>
    <t>金额（元）</t>
  </si>
  <si>
    <t>计算依据</t>
  </si>
  <si>
    <t>占合计</t>
  </si>
  <si>
    <t>货值（外币×汇率）</t>
  </si>
  <si>
    <t>外币金额 × 基准汇率</t>
  </si>
  <si>
    <t>国际运费（外币×汇率）</t>
  </si>
  <si>
    <t>外币运费 × 基准汇率</t>
  </si>
  <si>
    <t>保险费（外币×汇率）</t>
  </si>
  <si>
    <t>外币保费 × 基准汇率</t>
  </si>
  <si>
    <t>其他外币费用（×汇率）</t>
  </si>
  <si>
    <t>外币费用 × 基准汇率</t>
  </si>
  <si>
    <t>海关完税价格（CIF×计征汇率）</t>
  </si>
  <si>
    <t>(货值+运+保+其他外币费用)×计征汇率</t>
  </si>
  <si>
    <t>进口关税</t>
  </si>
  <si>
    <t>完税价格 × 关税率</t>
  </si>
  <si>
    <t>消费税</t>
  </si>
  <si>
    <t>完税价格 × 消费税率</t>
  </si>
  <si>
    <t>进口增值税（计税用）</t>
  </si>
  <si>
    <t>(完税价格+关税+消费税)×增值税率</t>
  </si>
  <si>
    <t>增值税计入成本金额</t>
  </si>
  <si>
    <t>可抵扣 → 0；不可抵扣 → 全额计入</t>
  </si>
  <si>
    <t>人民币固定费用合计</t>
  </si>
  <si>
    <t>港杂+代理+内陆+仓储+银行手续费</t>
  </si>
  <si>
    <t>人民币到厂成本合计</t>
  </si>
  <si>
    <t>各项之和</t>
  </si>
  <si>
    <t>折合单位到厂成本（元/吨）</t>
  </si>
  <si>
    <t>合计 ÷ 数量</t>
  </si>
  <si>
    <t>汇率相关成本占比</t>
  </si>
  <si>
    <t>汇率相关 ÷ 合计</t>
  </si>
  <si>
    <t>到厂成本汇率敏感性</t>
  </si>
  <si>
    <t>货值（人民币）</t>
  </si>
  <si>
    <t>关税</t>
  </si>
  <si>
    <t>到厂成本</t>
  </si>
  <si>
    <t>成本=汇率相关部分×(1+Δ%)+固定费用</t>
  </si>
  <si>
    <t>说明：到厂成本的敏感性小于纯付汇金额的敏感性，因为港杂、内陆运费、代理费等人民币费用不随汇率变动。本表假设海关计征汇率与市场同步按比例变动；若申报月份计征汇率已锁定，应以实际计征汇率重算。</t>
  </si>
  <si>
    <t>04 毛利测算与盈亏平衡汇率</t>
  </si>
  <si>
    <t>仅在销售价、数量、非汇率成本齐备时有效；缺少任一，本表结果将显示为无效值而非臆造利润。</t>
  </si>
  <si>
    <t>毛利构成（基准汇率）</t>
  </si>
  <si>
    <t>合同数量（吨）</t>
  </si>
  <si>
    <t>来自 01 表</t>
  </si>
  <si>
    <t>模拟值，须替换为实际售价</t>
  </si>
  <si>
    <t>不含税售价</t>
  </si>
  <si>
    <t>含税价 ÷(1+增值税率)</t>
  </si>
  <si>
    <t>不含税销售收入</t>
  </si>
  <si>
    <t>元</t>
  </si>
  <si>
    <t>不含税售价 × 数量</t>
  </si>
  <si>
    <t>来自 03 表</t>
  </si>
  <si>
    <t>非汇率相关成本</t>
  </si>
  <si>
    <t>单位成本 × 数量</t>
  </si>
  <si>
    <t>总成本</t>
  </si>
  <si>
    <t>到厂成本 + 非汇率成本</t>
  </si>
  <si>
    <t>毛利额</t>
  </si>
  <si>
    <t>不含税收入 − 总成本</t>
  </si>
  <si>
    <t>毛利率</t>
  </si>
  <si>
    <t>毛利额 ÷ 不含税收入</t>
  </si>
  <si>
    <t>不同汇率下的毛利</t>
  </si>
  <si>
    <t>成本 = 到厂汇率相关部分×(1+Δ%) + 固定部分 + 非汇率成本</t>
  </si>
  <si>
    <t>盈亏平衡汇率（毛利降至目标水平时的汇率）</t>
  </si>
  <si>
    <t>目标毛利率</t>
  </si>
  <si>
    <t>λ*</t>
  </si>
  <si>
    <t>平衡汇率</t>
  </si>
  <si>
    <t>相对当前变动</t>
  </si>
  <si>
    <t>汇率缓冲空间（元）</t>
  </si>
  <si>
    <t>适用性</t>
  </si>
  <si>
    <t>λ*=[R0(1−m)−NF]÷FX0；平衡汇率=基准汇率×λ*</t>
  </si>
  <si>
    <t>解读：平衡汇率表示“在当前销售价与成本结构下，汇率升到多少会把毛利压到目标水平”，用于评估风险敞口大小。
它不是汇率预测，也不代表汇率会走到该位置。λ*&lt;1 表示当前已不达标；‘不适用’表示基准毛利率已低于目标。</t>
  </si>
  <si>
    <t>05 分批付款汇率敏感性</t>
  </si>
  <si>
    <t>各批次按 01 表比例与锁定情况分别计价；锁定批次不随情景变动。</t>
  </si>
  <si>
    <t>分批明细（基准情景）</t>
  </si>
  <si>
    <t>比例</t>
  </si>
  <si>
    <t>外币金额</t>
  </si>
  <si>
    <t>已锁汇率</t>
  </si>
  <si>
    <t>基准人民币</t>
  </si>
  <si>
    <t>结算日</t>
  </si>
  <si>
    <t>外币金额=总额×比例；人民币=外币金额×该批汇率(锁定值或基准)</t>
  </si>
  <si>
    <t>合计</t>
  </si>
  <si>
    <t>情景矩阵（汇率整体变动 Δ% 下的各批人民币金额）</t>
  </si>
  <si>
    <t>预付款人民币</t>
  </si>
  <si>
    <t>尾款人民币</t>
  </si>
  <si>
    <t>相对基准变动</t>
  </si>
  <si>
    <t>锁定批次取锁定价，其余取情景价</t>
  </si>
  <si>
    <t>提示：把某批“已锁汇率”填入 01 表 D 列后，该批在情景矩阵中不再变化，可直观看到部分锁定如何降低整体敏感度。本表仅测算不同结算时点的汇率敞口大小，不涉及任何外汇衍生品选择或交易建议。</t>
  </si>
  <si>
    <t>06 USD/CNY 历史汇率与当前分位</t>
  </si>
  <si>
    <t>数据来源：ECB 欧元参考汇率（经交叉折算）/ Frankfurter 公开接口；已与 ER-API 交叉核对。真实数据，未做任何平滑或伪造。</t>
  </si>
  <si>
    <t>统计摘要（公式基于本表右侧日度数据区间计算）</t>
  </si>
  <si>
    <t>区间</t>
  </si>
  <si>
    <t>起始日</t>
  </si>
  <si>
    <t>观测数</t>
  </si>
  <si>
    <t>最低</t>
  </si>
  <si>
    <t>最高</t>
  </si>
  <si>
    <t>均值</t>
  </si>
  <si>
    <t>当前中间价分位</t>
  </si>
  <si>
    <t>当前市场汇率分位</t>
  </si>
  <si>
    <t>近 1 年</t>
  </si>
  <si>
    <t>分位=区间内≤当前汇率的观测占比；越低说明当前外币越便宜</t>
  </si>
  <si>
    <t>近 3 年</t>
  </si>
  <si>
    <t>近 5 年</t>
  </si>
  <si>
    <t>全部样本</t>
  </si>
  <si>
    <t>2019-12-31</t>
  </si>
  <si>
    <t>说明：历史分位只描述“当前汇率在这段历史中的相对位置”，不代表未来走势。汇率可能长期停留在历史区间之外，分位低不等于汇率必然回升，分位高也不等于必然回落。</t>
  </si>
  <si>
    <t>07 四类汇率口径区分与法规依据</t>
  </si>
  <si>
    <t>用途</t>
  </si>
  <si>
    <t>定义与特征</t>
  </si>
  <si>
    <t>法规 / 权威依据</t>
  </si>
  <si>
    <t>观察、比价、参考</t>
  </si>
  <si>
    <t>境外市场即时成交价（如 ECB 每日参考汇率、离岸价）。反映市场供需，但不等于企业结售汇成交价。</t>
  </si>
  <si>
    <t>欧洲央行 Euro foreign exchange reference rates</t>
  </si>
  <si>
    <t>观察、定价基准</t>
  </si>
  <si>
    <t>人民银行授权中国外汇交易中心每日 9:15 公布，由做市商报价去极值加权平均形成；当日中间价适用于发布后至下一中间价发布前。</t>
  </si>
  <si>
    <t>《中国人民银行关于银行间外汇市场交易汇价和银行挂牌汇价管理有关事项的通知》（2014）；《银行间外汇市场管理规定》（2025年第13号令，2026-02-01 施行）</t>
  </si>
  <si>
    <t>决定企业真实付款</t>
  </si>
  <si>
    <t>企业进口付汇按银行「现汇卖出价」成交（银行视角的卖出）。银行间即期 CNY/USD 可在中间价上下 2% 内浮动；银行为客户提供的当日美元最高现汇卖出价与最低现汇买入价之差不得超过中间价的 3%。</t>
  </si>
  <si>
    <t>中国人民银行公告〔2014〕第5号；银行挂牌汇价管理规定</t>
  </si>
  <si>
    <t>折算完税价格与计税</t>
  </si>
  <si>
    <t>每月使用的计征汇率为「上一个月第三个星期三」人民银行授权外汇交易中心公布的人民币汇率中间价；该日非交易日的，顺延下一交易日。与计征税额相关的汇率发生重大波动时海关总署可另行规定。</t>
  </si>
  <si>
    <t>《中华人民共和国海关进出口货物征税管理办法》（海关总署令第272号，2024-12-01 施行）第十三条</t>
  </si>
  <si>
    <t>计征汇率基准日速查（上月第三个星期三）</t>
  </si>
  <si>
    <t>申报月份</t>
  </si>
  <si>
    <t>适用计征汇率基准日</t>
  </si>
  <si>
    <t>2026-10</t>
  </si>
  <si>
    <t>取 2026-09 第三个星期三中间价</t>
  </si>
  <si>
    <t>2026-11</t>
  </si>
  <si>
    <t>2026-10-21</t>
  </si>
  <si>
    <t>取 2026-10 第三个星期三中间价</t>
  </si>
  <si>
    <t>2026-12</t>
  </si>
  <si>
    <t>2026-11-18</t>
  </si>
  <si>
    <t>取 2026-11 第三个星期三中间价</t>
  </si>
  <si>
    <t>2027-01</t>
  </si>
  <si>
    <t>2026-12-16</t>
  </si>
  <si>
    <t>取 2026-12 第三个星期三中间价</t>
  </si>
  <si>
    <t>2027-02</t>
  </si>
  <si>
    <t>2027-01-20</t>
  </si>
  <si>
    <t>取 2027-01 第三个星期三中间价</t>
  </si>
  <si>
    <t>2027-03</t>
  </si>
  <si>
    <t>2027-02-17</t>
  </si>
  <si>
    <t>取 2027-02 第三个星期三中间价</t>
  </si>
  <si>
    <t>常见错误：
✗ 用市场汇率（ECB/离岸价）直接估算关税与增值税 —— 计税必须用海关计征汇率；
✗ 用中间价估算实际付款 —— 实际付款按银行现汇卖出价，通常高于中间价；
✗ 用当日中间价估算本月进口计税 —— 计征汇率取决于上月第三个星期三。</t>
  </si>
</sst>
</file>

<file path=xl/styles.xml><?xml version="1.0" encoding="utf-8"?>
<styleSheet xmlns="http://schemas.openxmlformats.org/spreadsheetml/2006/main">
  <numFmts count="8">
    <numFmt numFmtId="164" formatCode="#,##0.00####"/>
    <numFmt numFmtId="165" formatCode="0.0000"/>
    <numFmt numFmtId="166" formatCode="#,##0.00"/>
    <numFmt numFmtId="167" formatCode="0.00%"/>
    <numFmt numFmtId="168" formatCode="0.0%"/>
    <numFmt numFmtId="169" formatCode="#,##0"/>
    <numFmt numFmtId="170" formatCode="#,##0;[Red]-#,##0"/>
    <numFmt numFmtId="171" formatCode="yyyy-mm-dd"/>
  </numFmts>
  <fonts count="13">
    <font>
      <sz val="11"/>
      <color theme="1"/>
      <name val="Calibri"/>
      <family val="2"/>
      <scheme val="minor"/>
    </font>
    <font>
      <b/>
      <sz val="16"/>
      <color rgb="FF0D2B4E"/>
      <name val="微软雅黑"/>
      <family val="2"/>
    </font>
    <font>
      <i/>
      <sz val="9.5"/>
      <color rgb="FF5B6B7F"/>
      <name val="微软雅黑"/>
      <family val="2"/>
    </font>
    <font>
      <b/>
      <sz val="11"/>
      <color rgb="FFFFFFFF"/>
      <name val="微软雅黑"/>
      <family val="2"/>
    </font>
    <font>
      <b/>
      <sz val="10"/>
      <color theme="1"/>
      <name val="微软雅黑"/>
      <family val="2"/>
    </font>
    <font>
      <sz val="10"/>
      <color rgb="FF1F4E79"/>
      <name val="微软雅黑"/>
      <family val="2"/>
    </font>
    <font>
      <sz val="10"/>
      <color theme="1"/>
      <name val="微软雅黑"/>
      <family val="2"/>
    </font>
    <font>
      <sz val="10"/>
      <color rgb="FF1C6B2F"/>
      <name val="微软雅黑"/>
      <family val="2"/>
    </font>
    <font>
      <sz val="10"/>
      <color rgb="FF5B2FB0"/>
      <name val="微软雅黑"/>
      <family val="2"/>
    </font>
    <font>
      <b/>
      <sz val="10"/>
      <color rgb="FF1F4E79"/>
      <name val="微软雅黑"/>
      <family val="2"/>
    </font>
    <font>
      <sz val="10"/>
      <color rgb="FF8A5A00"/>
      <name val="微软雅黑"/>
      <family val="2"/>
    </font>
    <font>
      <sz val="9"/>
      <color rgb="FF2F5597"/>
      <name val="Consolas"/>
      <family val="2"/>
    </font>
    <font>
      <sz val="9"/>
      <color rgb="FF6B5A2A"/>
      <name val="微软雅黑"/>
      <family val="2"/>
    </font>
  </fonts>
  <fills count="10">
    <fill>
      <patternFill patternType="none"/>
    </fill>
    <fill>
      <patternFill patternType="gray125"/>
    </fill>
    <fill>
      <patternFill patternType="solid">
        <fgColor rgb="FF1F4E79"/>
        <bgColor indexed="64"/>
      </patternFill>
    </fill>
    <fill>
      <patternFill patternType="solid">
        <fgColor rgb="FFDBE5F1"/>
        <bgColor indexed="64"/>
      </patternFill>
    </fill>
    <fill>
      <patternFill patternType="solid">
        <fgColor rgb="FFFFF7D6"/>
        <bgColor indexed="64"/>
      </patternFill>
    </fill>
    <fill>
      <patternFill patternType="solid">
        <fgColor rgb="FFE8F6E8"/>
        <bgColor indexed="64"/>
      </patternFill>
    </fill>
    <fill>
      <patternFill patternType="solid">
        <fgColor rgb="FFF3ECFF"/>
        <bgColor indexed="64"/>
      </patternFill>
    </fill>
    <fill>
      <patternFill patternType="solid">
        <fgColor rgb="FFFFF3D6"/>
        <bgColor indexed="64"/>
      </patternFill>
    </fill>
    <fill>
      <patternFill patternType="solid">
        <fgColor rgb="FFEAF1F8"/>
        <bgColor indexed="64"/>
      </patternFill>
    </fill>
    <fill>
      <patternFill patternType="solid">
        <fgColor rgb="FFFFFBE8"/>
        <bgColor indexed="64"/>
      </patternFill>
    </fill>
  </fills>
  <borders count="9">
    <border>
      <left/>
      <right/>
      <top/>
      <bottom/>
      <diagonal/>
    </border>
    <border>
      <left style="thin">
        <color rgb="FFB8C6D9"/>
      </left>
      <right style="thin">
        <color rgb="FFB8C6D9"/>
      </right>
      <top style="thin">
        <color rgb="FFB8C6D9"/>
      </top>
      <bottom style="thin">
        <color rgb="FFB8C6D9"/>
      </bottom>
      <diagonal/>
    </border>
    <border>
      <left style="thin">
        <color rgb="FFE3E8EE"/>
      </left>
      <right style="thin">
        <color rgb="FFE3E8EE"/>
      </right>
      <top style="thin">
        <color rgb="FFE3E8EE"/>
      </top>
      <bottom style="thin">
        <color rgb="FFE3E8EE"/>
      </bottom>
      <diagonal/>
    </border>
    <border>
      <left style="thin">
        <color rgb="FFE0C87A"/>
      </left>
      <right style="thin">
        <color rgb="FFE0C87A"/>
      </right>
      <top style="thin">
        <color rgb="FFE0C87A"/>
      </top>
      <bottom style="thin">
        <color rgb="FFE0C87A"/>
      </bottom>
      <diagonal/>
    </border>
    <border>
      <left style="thin">
        <color rgb="FFB7DFB7"/>
      </left>
      <right style="thin">
        <color rgb="FFB7DFB7"/>
      </right>
      <top style="thin">
        <color rgb="FFB7DFB7"/>
      </top>
      <bottom style="thin">
        <color rgb="FFB7DFB7"/>
      </bottom>
      <diagonal/>
    </border>
    <border>
      <left style="thin">
        <color rgb="FFCDB9F0"/>
      </left>
      <right style="thin">
        <color rgb="FFCDB9F0"/>
      </right>
      <top style="thin">
        <color rgb="FFCDB9F0"/>
      </top>
      <bottom style="thin">
        <color rgb="FFCDB9F0"/>
      </bottom>
      <diagonal/>
    </border>
    <border>
      <left style="thin">
        <color rgb="FFE8C98A"/>
      </left>
      <right style="thin">
        <color rgb="FFE8C98A"/>
      </right>
      <top style="thin">
        <color rgb="FFE8C98A"/>
      </top>
      <bottom style="thin">
        <color rgb="FFE8C98A"/>
      </bottom>
      <diagonal/>
    </border>
    <border>
      <left style="thin">
        <color rgb="FFB8C6D9"/>
      </left>
      <right style="thin">
        <color rgb="FFB8C6D9"/>
      </right>
      <top style="medium">
        <color rgb="FFB8C6D9"/>
      </top>
      <bottom style="thin">
        <color rgb="FFB8C6D9"/>
      </bottom>
      <diagonal/>
    </border>
    <border>
      <left style="thin">
        <color rgb="FFECDCAA"/>
      </left>
      <right style="thin">
        <color rgb="FFECDCAA"/>
      </right>
      <top style="thin">
        <color rgb="FFECDCAA"/>
      </top>
      <bottom style="thin">
        <color rgb="FFECDCAA"/>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2" borderId="0" xfId="0" applyFont="1" applyFill="1" applyAlignment="1">
      <alignment horizontal="left" vertical="center" indent="1"/>
    </xf>
    <xf numFmtId="0" fontId="4" fillId="3" borderId="1" xfId="0" applyFont="1" applyFill="1" applyBorder="1" applyAlignment="1">
      <alignment horizontal="center" vertical="center" wrapText="1"/>
    </xf>
    <xf numFmtId="0" fontId="4" fillId="0" borderId="2" xfId="0" applyFont="1" applyBorder="1" applyAlignment="1">
      <alignment horizontal="left" vertical="center"/>
    </xf>
    <xf numFmtId="164" fontId="5" fillId="4" borderId="3" xfId="0" applyNumberFormat="1" applyFont="1" applyFill="1" applyBorder="1"/>
    <xf numFmtId="0" fontId="6" fillId="0" borderId="2" xfId="0" applyFont="1" applyBorder="1" applyAlignment="1">
      <alignment horizontal="left" vertical="center"/>
    </xf>
    <xf numFmtId="0" fontId="7" fillId="5" borderId="4" xfId="0" applyFont="1" applyFill="1" applyBorder="1" applyAlignment="1">
      <alignment horizontal="center"/>
    </xf>
    <xf numFmtId="0" fontId="5" fillId="4" borderId="3" xfId="0" applyFont="1" applyFill="1" applyBorder="1"/>
    <xf numFmtId="0" fontId="8" fillId="6" borderId="5" xfId="0" applyFont="1" applyFill="1" applyBorder="1" applyAlignment="1">
      <alignment horizontal="center"/>
    </xf>
    <xf numFmtId="165" fontId="9" fillId="4" borderId="3" xfId="0" applyNumberFormat="1" applyFont="1" applyFill="1" applyBorder="1"/>
    <xf numFmtId="0" fontId="10" fillId="7" borderId="6" xfId="0" applyFont="1" applyFill="1" applyBorder="1" applyAlignment="1">
      <alignment horizontal="center"/>
    </xf>
    <xf numFmtId="166" fontId="4" fillId="8" borderId="7" xfId="0" applyNumberFormat="1" applyFont="1" applyFill="1" applyBorder="1"/>
    <xf numFmtId="0" fontId="11" fillId="0" borderId="2" xfId="0" applyFont="1" applyBorder="1"/>
    <xf numFmtId="167" fontId="6" fillId="0" borderId="2" xfId="0" applyNumberFormat="1" applyFont="1" applyBorder="1"/>
    <xf numFmtId="168" fontId="5" fillId="4" borderId="3" xfId="0" applyNumberFormat="1" applyFont="1" applyFill="1" applyBorder="1"/>
    <xf numFmtId="0" fontId="12" fillId="9" borderId="8" xfId="0" applyFont="1" applyFill="1" applyBorder="1" applyAlignment="1">
      <alignment vertical="top" wrapText="1"/>
    </xf>
    <xf numFmtId="169" fontId="6" fillId="0" borderId="2" xfId="0" applyNumberFormat="1" applyFont="1" applyBorder="1"/>
    <xf numFmtId="165" fontId="6" fillId="0" borderId="2" xfId="0" applyNumberFormat="1" applyFont="1" applyBorder="1" applyAlignment="1">
      <alignment horizontal="center"/>
    </xf>
    <xf numFmtId="168" fontId="6" fillId="0" borderId="2" xfId="0" applyNumberFormat="1" applyFont="1" applyBorder="1" applyAlignment="1">
      <alignment horizontal="center"/>
    </xf>
    <xf numFmtId="170" fontId="6" fillId="0" borderId="2" xfId="0" applyNumberFormat="1" applyFont="1" applyBorder="1"/>
    <xf numFmtId="166" fontId="6" fillId="0" borderId="2" xfId="0" applyNumberFormat="1" applyFont="1" applyBorder="1"/>
    <xf numFmtId="0" fontId="4" fillId="8" borderId="1" xfId="0" applyFont="1" applyFill="1" applyBorder="1" applyAlignment="1">
      <alignment horizontal="left"/>
    </xf>
    <xf numFmtId="171" fontId="6" fillId="0" borderId="2" xfId="0" applyNumberFormat="1" applyFont="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0"/>
  <sheetViews>
    <sheetView tabSelected="1" workbookViewId="0">
      <pane ySplit="4" topLeftCell="A5" activePane="bottomLeft" state="frozen"/>
      <selection pane="bottomLeft"/>
    </sheetView>
  </sheetViews>
  <sheetFormatPr defaultRowHeight="15"/>
  <cols>
    <col min="1" max="1" width="30.7109375" customWidth="1"/>
    <col min="2" max="2" width="20.7109375" customWidth="1"/>
    <col min="3" max="3" width="14.7109375" customWidth="1"/>
    <col min="4" max="4" width="52.7109375" customWidth="1"/>
    <col min="5" max="5" width="12.7109375" customWidth="1"/>
  </cols>
  <sheetData>
    <row r="1" spans="1:5">
      <c r="A1" s="1" t="s">
        <v>0</v>
      </c>
    </row>
    <row r="2" spans="1:5" ht="26" customHeight="1">
      <c r="A2" s="2" t="s">
        <v>1</v>
      </c>
    </row>
    <row r="4" spans="1:5">
      <c r="A4" s="3" t="s">
        <v>2</v>
      </c>
      <c r="B4" s="3"/>
      <c r="C4" s="3"/>
      <c r="D4" s="3"/>
      <c r="E4" s="3"/>
    </row>
    <row r="5" spans="1:5">
      <c r="A5" s="4" t="s">
        <v>3</v>
      </c>
      <c r="B5" s="4" t="s">
        <v>4</v>
      </c>
      <c r="C5" s="4" t="s">
        <v>5</v>
      </c>
      <c r="D5" s="4" t="s">
        <v>6</v>
      </c>
      <c r="E5" s="4" t="s">
        <v>7</v>
      </c>
    </row>
    <row r="6" spans="1:5">
      <c r="A6" s="5" t="s">
        <v>8</v>
      </c>
      <c r="B6" s="6">
        <v>1000000</v>
      </c>
      <c r="C6" s="7" t="s">
        <v>9</v>
      </c>
      <c r="D6" s="7" t="s">
        <v>10</v>
      </c>
      <c r="E6" s="8" t="s">
        <v>11</v>
      </c>
    </row>
    <row r="7" spans="1:5">
      <c r="A7" s="5" t="s">
        <v>12</v>
      </c>
      <c r="B7" s="9" t="s">
        <v>9</v>
      </c>
      <c r="C7" s="7"/>
      <c r="D7" s="7" t="s">
        <v>13</v>
      </c>
      <c r="E7" s="8" t="s">
        <v>11</v>
      </c>
    </row>
    <row r="8" spans="1:5">
      <c r="A8" s="5" t="s">
        <v>14</v>
      </c>
      <c r="B8" s="7" t="s">
        <v>15</v>
      </c>
      <c r="C8" s="7"/>
      <c r="D8" s="7" t="s">
        <v>16</v>
      </c>
      <c r="E8" s="8" t="s">
        <v>11</v>
      </c>
    </row>
    <row r="9" spans="1:5">
      <c r="A9" s="5" t="s">
        <v>17</v>
      </c>
      <c r="B9" s="9" t="s">
        <v>18</v>
      </c>
      <c r="C9" s="7"/>
      <c r="D9" s="7"/>
      <c r="E9" s="8" t="s">
        <v>11</v>
      </c>
    </row>
    <row r="10" spans="1:5">
      <c r="A10" s="5" t="s">
        <v>19</v>
      </c>
      <c r="B10" s="9" t="s">
        <v>20</v>
      </c>
      <c r="C10" s="7"/>
      <c r="D10" s="7" t="s">
        <v>21</v>
      </c>
      <c r="E10" s="8" t="s">
        <v>11</v>
      </c>
    </row>
    <row r="11" spans="1:5">
      <c r="A11" s="5" t="s">
        <v>22</v>
      </c>
      <c r="B11" s="9" t="s">
        <v>23</v>
      </c>
      <c r="C11" s="7"/>
      <c r="D11" s="7"/>
      <c r="E11" s="8" t="s">
        <v>11</v>
      </c>
    </row>
    <row r="12" spans="1:5">
      <c r="A12" s="5" t="s">
        <v>24</v>
      </c>
      <c r="B12" s="9" t="s">
        <v>25</v>
      </c>
      <c r="C12" s="7"/>
      <c r="D12" s="7"/>
      <c r="E12" s="8" t="s">
        <v>11</v>
      </c>
    </row>
    <row r="13" spans="1:5">
      <c r="A13" s="5" t="s">
        <v>26</v>
      </c>
      <c r="B13" s="6">
        <v>1136.4</v>
      </c>
      <c r="C13" s="7" t="s">
        <v>27</v>
      </c>
      <c r="D13" s="7" t="s">
        <v>28</v>
      </c>
      <c r="E13" s="10" t="s">
        <v>29</v>
      </c>
    </row>
    <row r="14" spans="1:5">
      <c r="A14" s="5" t="s">
        <v>30</v>
      </c>
      <c r="B14" s="7" t="s">
        <v>31</v>
      </c>
      <c r="C14" s="7"/>
      <c r="D14" s="7" t="s">
        <v>32</v>
      </c>
      <c r="E14" s="8" t="s">
        <v>11</v>
      </c>
    </row>
    <row r="15" spans="1:5">
      <c r="A15" s="5" t="s">
        <v>33</v>
      </c>
      <c r="B15" s="6">
        <v>6.8</v>
      </c>
      <c r="C15" s="7" t="s">
        <v>34</v>
      </c>
      <c r="D15" s="7" t="s">
        <v>35</v>
      </c>
      <c r="E15" s="10" t="s">
        <v>29</v>
      </c>
    </row>
    <row r="17" spans="1:5">
      <c r="A17" s="3" t="s">
        <v>36</v>
      </c>
      <c r="B17" s="3"/>
      <c r="C17" s="3"/>
      <c r="D17" s="3"/>
      <c r="E17" s="3"/>
    </row>
    <row r="18" spans="1:5">
      <c r="A18" s="4" t="s">
        <v>37</v>
      </c>
      <c r="B18" s="4" t="s">
        <v>38</v>
      </c>
      <c r="C18" s="4" t="s">
        <v>39</v>
      </c>
      <c r="D18" s="4" t="s">
        <v>40</v>
      </c>
      <c r="E18" s="4" t="s">
        <v>7</v>
      </c>
    </row>
    <row r="19" spans="1:5">
      <c r="A19" s="5" t="s">
        <v>41</v>
      </c>
      <c r="B19" s="11">
        <v>6.6807</v>
      </c>
      <c r="C19" s="7" t="s">
        <v>42</v>
      </c>
      <c r="D19" s="7" t="s">
        <v>43</v>
      </c>
      <c r="E19" s="8" t="s">
        <v>11</v>
      </c>
    </row>
    <row r="20" spans="1:5">
      <c r="A20" s="5" t="s">
        <v>44</v>
      </c>
      <c r="B20" s="11">
        <v>6.72</v>
      </c>
      <c r="C20" s="7" t="s">
        <v>45</v>
      </c>
      <c r="D20" s="7" t="s">
        <v>46</v>
      </c>
      <c r="E20" s="8" t="s">
        <v>11</v>
      </c>
    </row>
    <row r="21" spans="1:5">
      <c r="A21" s="5" t="s">
        <v>47</v>
      </c>
      <c r="B21" s="11">
        <v>6.7435</v>
      </c>
      <c r="C21" s="7" t="s">
        <v>48</v>
      </c>
      <c r="D21" s="7" t="s">
        <v>49</v>
      </c>
      <c r="E21" s="12" t="s">
        <v>50</v>
      </c>
    </row>
    <row r="22" spans="1:5">
      <c r="A22" s="5" t="s">
        <v>51</v>
      </c>
      <c r="B22" s="11">
        <v>6.72</v>
      </c>
      <c r="C22" s="7" t="s">
        <v>52</v>
      </c>
      <c r="D22" s="7" t="s">
        <v>53</v>
      </c>
      <c r="E22" s="12" t="s">
        <v>50</v>
      </c>
    </row>
    <row r="23" spans="1:5">
      <c r="A23" s="5" t="s">
        <v>54</v>
      </c>
      <c r="B23" s="9" t="s">
        <v>55</v>
      </c>
      <c r="C23" s="7"/>
      <c r="D23" s="7" t="s">
        <v>56</v>
      </c>
      <c r="E23" s="7" t="s">
        <v>57</v>
      </c>
    </row>
    <row r="24" spans="1:5">
      <c r="A24" s="5" t="s">
        <v>58</v>
      </c>
      <c r="B24" s="13">
        <f>IF(B23="银行实际购汇价",$B$21,IF(B23="人民币汇率中间价",$B$20,IF(B23="市场汇率",$B$19,$B$22)))</f>
        <v>6.7435</v>
      </c>
      <c r="C24" s="7" t="s">
        <v>34</v>
      </c>
      <c r="D24" s="14">
        <f> INDEX(四口径汇率, MATCH(所选口径, 口径名, 0))</f>
        <v>0</v>
      </c>
      <c r="E24" s="7" t="s">
        <v>59</v>
      </c>
    </row>
    <row r="25" spans="1:5">
      <c r="A25" s="5" t="s">
        <v>60</v>
      </c>
      <c r="B25" s="15">
        <f>IF(B20=0,0,B21/B20-1)</f>
        <v>0</v>
      </c>
      <c r="C25" s="7" t="s">
        <v>61</v>
      </c>
      <c r="D25" s="14">
        <f> 银行购汇价 ÷ 中间价 − 1</f>
        <v>0</v>
      </c>
      <c r="E25" s="7" t="s">
        <v>59</v>
      </c>
    </row>
    <row r="27" spans="1:5">
      <c r="A27" s="3" t="s">
        <v>62</v>
      </c>
      <c r="B27" s="3"/>
      <c r="C27" s="3"/>
      <c r="D27" s="3"/>
      <c r="E27" s="3"/>
    </row>
    <row r="28" spans="1:5">
      <c r="A28" s="4" t="s">
        <v>3</v>
      </c>
      <c r="B28" s="4" t="s">
        <v>4</v>
      </c>
      <c r="C28" s="4" t="s">
        <v>5</v>
      </c>
      <c r="D28" s="4" t="s">
        <v>63</v>
      </c>
      <c r="E28" s="4" t="s">
        <v>7</v>
      </c>
    </row>
    <row r="29" spans="1:5">
      <c r="A29" s="5" t="s">
        <v>64</v>
      </c>
      <c r="B29" s="6">
        <v>0</v>
      </c>
      <c r="C29" s="7" t="s">
        <v>9</v>
      </c>
      <c r="D29" s="7" t="s">
        <v>65</v>
      </c>
      <c r="E29" s="10" t="s">
        <v>29</v>
      </c>
    </row>
    <row r="30" spans="1:5">
      <c r="A30" s="5" t="s">
        <v>66</v>
      </c>
      <c r="B30" s="6">
        <v>0</v>
      </c>
      <c r="C30" s="7" t="s">
        <v>9</v>
      </c>
      <c r="D30" s="7"/>
      <c r="E30" s="10" t="s">
        <v>29</v>
      </c>
    </row>
    <row r="31" spans="1:5">
      <c r="A31" s="5" t="s">
        <v>67</v>
      </c>
      <c r="B31" s="6">
        <v>0</v>
      </c>
      <c r="C31" s="7" t="s">
        <v>9</v>
      </c>
      <c r="D31" s="7"/>
      <c r="E31" s="10" t="s">
        <v>29</v>
      </c>
    </row>
    <row r="32" spans="1:5">
      <c r="A32" s="5" t="s">
        <v>68</v>
      </c>
      <c r="B32" s="6">
        <v>38000</v>
      </c>
      <c r="C32" s="7" t="s">
        <v>69</v>
      </c>
      <c r="D32" s="7" t="s">
        <v>70</v>
      </c>
      <c r="E32" s="10" t="s">
        <v>29</v>
      </c>
    </row>
    <row r="33" spans="1:5">
      <c r="A33" s="5" t="s">
        <v>71</v>
      </c>
      <c r="B33" s="6">
        <v>12000</v>
      </c>
      <c r="C33" s="7" t="s">
        <v>69</v>
      </c>
      <c r="D33" s="7" t="s">
        <v>70</v>
      </c>
      <c r="E33" s="10" t="s">
        <v>29</v>
      </c>
    </row>
    <row r="34" spans="1:5">
      <c r="A34" s="5" t="s">
        <v>72</v>
      </c>
      <c r="B34" s="6">
        <v>26000</v>
      </c>
      <c r="C34" s="7" t="s">
        <v>69</v>
      </c>
      <c r="D34" s="7" t="s">
        <v>70</v>
      </c>
      <c r="E34" s="10" t="s">
        <v>29</v>
      </c>
    </row>
    <row r="35" spans="1:5">
      <c r="A35" s="5" t="s">
        <v>73</v>
      </c>
      <c r="B35" s="6">
        <v>9000</v>
      </c>
      <c r="C35" s="7" t="s">
        <v>69</v>
      </c>
      <c r="D35" s="7" t="s">
        <v>70</v>
      </c>
      <c r="E35" s="10" t="s">
        <v>29</v>
      </c>
    </row>
    <row r="36" spans="1:5">
      <c r="A36" s="5" t="s">
        <v>74</v>
      </c>
      <c r="B36" s="6">
        <v>6800</v>
      </c>
      <c r="C36" s="7" t="s">
        <v>69</v>
      </c>
      <c r="D36" s="7" t="s">
        <v>70</v>
      </c>
      <c r="E36" s="10" t="s">
        <v>29</v>
      </c>
    </row>
    <row r="37" spans="1:5">
      <c r="A37" s="5" t="s">
        <v>75</v>
      </c>
      <c r="B37" s="15">
        <v>0.055</v>
      </c>
      <c r="C37" s="7" t="s">
        <v>76</v>
      </c>
      <c r="D37" s="7" t="s">
        <v>77</v>
      </c>
      <c r="E37" s="8" t="s">
        <v>11</v>
      </c>
    </row>
    <row r="38" spans="1:5">
      <c r="A38" s="5" t="s">
        <v>78</v>
      </c>
      <c r="B38" s="15">
        <v>0</v>
      </c>
      <c r="C38" s="7" t="s">
        <v>76</v>
      </c>
      <c r="D38" s="7" t="s">
        <v>79</v>
      </c>
      <c r="E38" s="8" t="s">
        <v>11</v>
      </c>
    </row>
    <row r="39" spans="1:5">
      <c r="A39" s="5" t="s">
        <v>80</v>
      </c>
      <c r="B39" s="15">
        <v>0.13</v>
      </c>
      <c r="C39" s="7" t="s">
        <v>76</v>
      </c>
      <c r="D39" s="7" t="s">
        <v>81</v>
      </c>
      <c r="E39" s="8" t="s">
        <v>11</v>
      </c>
    </row>
    <row r="40" spans="1:5">
      <c r="A40" s="5" t="s">
        <v>82</v>
      </c>
      <c r="B40" s="9" t="s">
        <v>83</v>
      </c>
      <c r="C40" s="7"/>
      <c r="D40" s="7" t="s">
        <v>84</v>
      </c>
      <c r="E40" s="7" t="s">
        <v>57</v>
      </c>
    </row>
    <row r="42" spans="1:5">
      <c r="A42" s="3" t="s">
        <v>85</v>
      </c>
      <c r="B42" s="3"/>
      <c r="C42" s="3"/>
      <c r="D42" s="3"/>
      <c r="E42" s="3"/>
    </row>
    <row r="43" spans="1:5">
      <c r="A43" s="4" t="s">
        <v>3</v>
      </c>
      <c r="B43" s="4" t="s">
        <v>4</v>
      </c>
      <c r="C43" s="4" t="s">
        <v>5</v>
      </c>
      <c r="D43" s="4" t="s">
        <v>63</v>
      </c>
      <c r="E43" s="4" t="s">
        <v>7</v>
      </c>
    </row>
    <row r="44" spans="1:5">
      <c r="A44" s="5" t="s">
        <v>86</v>
      </c>
      <c r="B44" s="6">
        <v>7600</v>
      </c>
      <c r="C44" s="7" t="s">
        <v>87</v>
      </c>
      <c r="D44" s="7" t="s">
        <v>88</v>
      </c>
      <c r="E44" s="10" t="s">
        <v>29</v>
      </c>
    </row>
    <row r="45" spans="1:5">
      <c r="A45" s="5" t="s">
        <v>89</v>
      </c>
      <c r="B45" s="6">
        <v>260</v>
      </c>
      <c r="C45" s="7" t="s">
        <v>87</v>
      </c>
      <c r="D45" s="7" t="s">
        <v>90</v>
      </c>
      <c r="E45" s="10" t="s">
        <v>29</v>
      </c>
    </row>
    <row r="46" spans="1:5">
      <c r="A46" s="5" t="s">
        <v>91</v>
      </c>
      <c r="B46" s="16">
        <v>0</v>
      </c>
      <c r="C46" s="7" t="s">
        <v>76</v>
      </c>
      <c r="D46" s="7" t="s">
        <v>92</v>
      </c>
      <c r="E46" s="10" t="s">
        <v>29</v>
      </c>
    </row>
    <row r="47" spans="1:5">
      <c r="A47" s="5" t="s">
        <v>93</v>
      </c>
      <c r="B47" s="16">
        <v>0.05</v>
      </c>
      <c r="C47" s="7" t="s">
        <v>76</v>
      </c>
      <c r="D47" s="7"/>
      <c r="E47" s="10" t="s">
        <v>29</v>
      </c>
    </row>
    <row r="48" spans="1:5">
      <c r="A48" s="5" t="s">
        <v>94</v>
      </c>
      <c r="B48" s="16">
        <v>0.1</v>
      </c>
      <c r="C48" s="7" t="s">
        <v>76</v>
      </c>
      <c r="D48" s="7"/>
      <c r="E48" s="10" t="s">
        <v>29</v>
      </c>
    </row>
    <row r="49" spans="1:5">
      <c r="A49" s="5" t="s">
        <v>95</v>
      </c>
      <c r="B49" s="9" t="s">
        <v>96</v>
      </c>
      <c r="C49" s="7"/>
      <c r="D49" s="7" t="s">
        <v>97</v>
      </c>
      <c r="E49" s="7" t="s">
        <v>57</v>
      </c>
    </row>
    <row r="51" spans="1:5">
      <c r="A51" s="3" t="s">
        <v>98</v>
      </c>
      <c r="B51" s="3"/>
      <c r="C51" s="3"/>
      <c r="D51" s="3"/>
      <c r="E51" s="3"/>
    </row>
    <row r="52" spans="1:5">
      <c r="A52" s="4" t="s">
        <v>99</v>
      </c>
      <c r="B52" s="4" t="s">
        <v>100</v>
      </c>
      <c r="C52" s="4" t="s">
        <v>101</v>
      </c>
      <c r="D52" s="4" t="s">
        <v>102</v>
      </c>
      <c r="E52" s="4" t="s">
        <v>63</v>
      </c>
    </row>
    <row r="53" spans="1:5">
      <c r="A53" s="9" t="s">
        <v>103</v>
      </c>
      <c r="B53" s="6">
        <v>0.3</v>
      </c>
      <c r="C53" s="6">
        <v>-60</v>
      </c>
      <c r="D53" s="6"/>
      <c r="E53" s="7" t="s">
        <v>104</v>
      </c>
    </row>
    <row r="54" spans="1:5">
      <c r="A54" s="9" t="s">
        <v>105</v>
      </c>
      <c r="B54" s="6">
        <v>0.7</v>
      </c>
      <c r="C54" s="6">
        <v>0</v>
      </c>
      <c r="D54" s="6"/>
      <c r="E54" s="7" t="s">
        <v>104</v>
      </c>
    </row>
    <row r="55" spans="1:5">
      <c r="A55" s="5" t="s">
        <v>106</v>
      </c>
      <c r="B55" s="13">
        <f>SUM(B53:B54)</f>
        <v>0</v>
      </c>
      <c r="C55" s="7"/>
      <c r="D55" s="7">
        <f>IF(ABS(B55-1)&lt;0.000001,"✔ 比例正确","✘ 比例不等于100%")</f>
        <v>0</v>
      </c>
      <c r="E55" s="7" t="s">
        <v>107</v>
      </c>
    </row>
    <row r="56" spans="1:5">
      <c r="A56" s="5" t="s">
        <v>108</v>
      </c>
      <c r="B56" s="9" t="s">
        <v>109</v>
      </c>
      <c r="C56" s="7"/>
      <c r="D56" s="7" t="s">
        <v>110</v>
      </c>
      <c r="E56" s="7" t="s">
        <v>57</v>
      </c>
    </row>
    <row r="58" spans="1:5">
      <c r="A58" s="5" t="s">
        <v>111</v>
      </c>
      <c r="B58" s="17" t="s">
        <v>112</v>
      </c>
      <c r="C58" s="17"/>
      <c r="D58" s="17"/>
      <c r="E58" s="17"/>
    </row>
    <row r="59" spans="1:5">
      <c r="B59" s="17"/>
      <c r="C59" s="17"/>
      <c r="D59" s="17"/>
      <c r="E59" s="17"/>
    </row>
    <row r="60" spans="1:5">
      <c r="B60" s="17"/>
      <c r="C60" s="17"/>
      <c r="D60" s="17"/>
      <c r="E60" s="17"/>
    </row>
  </sheetData>
  <mergeCells count="6">
    <mergeCell ref="A4:E4"/>
    <mergeCell ref="A17:E17"/>
    <mergeCell ref="A27:E27"/>
    <mergeCell ref="A42:E42"/>
    <mergeCell ref="A51:E51"/>
    <mergeCell ref="B58:E60"/>
  </mergeCells>
  <dataValidations count="3">
    <dataValidation type="list" allowBlank="1" showInputMessage="1" showErrorMessage="1" sqref="B23">
      <formula1>"银行实际购汇价,人民币汇率中间价,市场汇率,海关计征汇率"</formula1>
    </dataValidation>
    <dataValidation type="list" allowBlank="1" showInputMessage="1" showErrorMessage="1" sqref="B40">
      <formula1>"deductible,cost"</formula1>
    </dataValidation>
    <dataValidation type="list" allowBlank="1" showInputMessage="1" showErrorMessage="1" sqref="B49">
      <formula1>"tax_included,tax_excluded"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28"/>
  <sheetViews>
    <sheetView workbookViewId="0"/>
  </sheetViews>
  <sheetFormatPr defaultRowHeight="15"/>
  <cols>
    <col min="1" max="1" width="30.7109375" customWidth="1"/>
    <col min="2" max="8" width="17.7109375" customWidth="1"/>
    <col min="9" max="9" width="48.7109375" customWidth="1"/>
  </cols>
  <sheetData>
    <row r="1" spans="1:9">
      <c r="A1" s="1" t="s">
        <v>113</v>
      </c>
    </row>
    <row r="2" spans="1:9">
      <c r="A2" s="2" t="s">
        <v>114</v>
      </c>
    </row>
    <row r="4" spans="1:9">
      <c r="A4" s="3" t="s">
        <v>115</v>
      </c>
      <c r="B4" s="3"/>
      <c r="C4" s="3"/>
      <c r="D4" s="3"/>
      <c r="E4" s="3"/>
      <c r="F4" s="3"/>
      <c r="G4" s="3"/>
      <c r="H4" s="3"/>
      <c r="I4" s="3"/>
    </row>
    <row r="5" spans="1:9">
      <c r="A5" s="4" t="s">
        <v>3</v>
      </c>
      <c r="B5" s="4" t="s">
        <v>4</v>
      </c>
      <c r="C5" s="4"/>
      <c r="D5" s="4"/>
      <c r="E5" s="4"/>
      <c r="F5" s="4"/>
      <c r="G5" s="4"/>
      <c r="H5" s="4"/>
      <c r="I5" s="4" t="s">
        <v>116</v>
      </c>
    </row>
    <row r="6" spans="1:9">
      <c r="A6" s="5" t="s">
        <v>8</v>
      </c>
      <c r="B6" s="18">
        <f>'01 参数与汇率'!B6</f>
        <v>0</v>
      </c>
      <c r="C6" s="7"/>
      <c r="D6" s="7"/>
      <c r="E6" s="7"/>
      <c r="F6" s="7"/>
      <c r="G6" s="7"/>
      <c r="H6" s="7"/>
      <c r="I6" s="14">
        <f> 01!B4 录入值</f>
        <v>0</v>
      </c>
    </row>
    <row r="7" spans="1:9">
      <c r="A7" s="5" t="s">
        <v>117</v>
      </c>
      <c r="B7" s="19">
        <f>'01 参数与汇率'!B24</f>
        <v>0</v>
      </c>
      <c r="C7" s="7"/>
      <c r="D7" s="7"/>
      <c r="E7" s="7"/>
      <c r="F7" s="7"/>
      <c r="G7" s="7"/>
      <c r="H7" s="7"/>
      <c r="I7" s="14">
        <f> 01 表按所选口径取值（中英文标签 IF 分支）</f>
        <v>0</v>
      </c>
    </row>
    <row r="8" spans="1:9">
      <c r="A8" s="5" t="s">
        <v>118</v>
      </c>
      <c r="B8" s="13">
        <f>B6*B7</f>
        <v>0</v>
      </c>
      <c r="C8" s="7"/>
      <c r="D8" s="7"/>
      <c r="E8" s="7"/>
      <c r="F8" s="7"/>
      <c r="G8" s="7"/>
      <c r="H8" s="7"/>
      <c r="I8" s="14">
        <f> 外币金额 × 汇率</f>
        <v>0</v>
      </c>
    </row>
    <row r="10" spans="1:9">
      <c r="A10" s="3" t="s">
        <v>119</v>
      </c>
      <c r="B10" s="3"/>
      <c r="C10" s="3"/>
      <c r="D10" s="3"/>
      <c r="E10" s="3"/>
      <c r="F10" s="3"/>
      <c r="G10" s="3"/>
      <c r="H10" s="3"/>
      <c r="I10" s="3"/>
    </row>
    <row r="11" spans="1:9">
      <c r="A11" s="4" t="s">
        <v>120</v>
      </c>
      <c r="B11" s="4" t="s">
        <v>121</v>
      </c>
      <c r="C11" s="4" t="s">
        <v>122</v>
      </c>
      <c r="D11" s="4" t="s">
        <v>123</v>
      </c>
      <c r="E11" s="4" t="s">
        <v>124</v>
      </c>
      <c r="F11" s="4" t="s">
        <v>125</v>
      </c>
      <c r="G11" s="4"/>
      <c r="H11" s="4"/>
      <c r="I11" s="4" t="s">
        <v>126</v>
      </c>
    </row>
    <row r="12" spans="1:9">
      <c r="A12" s="20">
        <v>-0.05</v>
      </c>
      <c r="B12" s="19">
        <f>B7*(1+A12)</f>
        <v>0</v>
      </c>
      <c r="C12" s="18">
        <f>B6*B12</f>
        <v>0</v>
      </c>
      <c r="D12" s="21">
        <f>C12-C$15</f>
        <v>0</v>
      </c>
      <c r="E12" s="15">
        <f>IF(C$15=0,0,C12/C$15-1)</f>
        <v>0</v>
      </c>
      <c r="F12" s="7">
        <f>IF(A12&gt;0,"人民币贬值·成本↑",IF(A12&lt;0,"人民币升值·成本↓","基准情景"))</f>
        <v>0</v>
      </c>
      <c r="G12" s="7"/>
      <c r="H12" s="7"/>
      <c r="I12" s="14">
        <f> 金额 × 汇率 ×(1+变动率)；行内变动额相对 0% 行</f>
        <v>0</v>
      </c>
    </row>
    <row r="13" spans="1:9">
      <c r="A13" s="20">
        <v>-0.03</v>
      </c>
      <c r="B13" s="19">
        <f>B7*(1+A13)</f>
        <v>0</v>
      </c>
      <c r="C13" s="18">
        <f>B6*B13</f>
        <v>0</v>
      </c>
      <c r="D13" s="21">
        <f>C13-C$15</f>
        <v>0</v>
      </c>
      <c r="E13" s="15">
        <f>IF(C$15=0,0,C13/C$15-1)</f>
        <v>0</v>
      </c>
      <c r="F13" s="7">
        <f>IF(A13&gt;0,"人民币贬值·成本↑",IF(A13&lt;0,"人民币升值·成本↓","基准情景"))</f>
        <v>0</v>
      </c>
      <c r="G13" s="7"/>
      <c r="H13" s="7"/>
      <c r="I13" s="14">
        <f> 金额 × 汇率 ×(1+变动率)；行内变动额相对 0% 行</f>
        <v>0</v>
      </c>
    </row>
    <row r="14" spans="1:9">
      <c r="A14" s="20">
        <v>-0.01</v>
      </c>
      <c r="B14" s="19">
        <f>B7*(1+A14)</f>
        <v>0</v>
      </c>
      <c r="C14" s="18">
        <f>B6*B14</f>
        <v>0</v>
      </c>
      <c r="D14" s="21">
        <f>C14-C$15</f>
        <v>0</v>
      </c>
      <c r="E14" s="15">
        <f>IF(C$15=0,0,C14/C$15-1)</f>
        <v>0</v>
      </c>
      <c r="F14" s="7">
        <f>IF(A14&gt;0,"人民币贬值·成本↑",IF(A14&lt;0,"人民币升值·成本↓","基准情景"))</f>
        <v>0</v>
      </c>
      <c r="G14" s="7"/>
      <c r="H14" s="7"/>
      <c r="I14" s="14">
        <f> 金额 × 汇率 ×(1+变动率)；行内变动额相对 0% 行</f>
        <v>0</v>
      </c>
    </row>
    <row r="15" spans="1:9">
      <c r="A15" s="20">
        <v>0</v>
      </c>
      <c r="B15" s="19">
        <f>B7*(1+A15)</f>
        <v>0</v>
      </c>
      <c r="C15" s="18">
        <f>B6*B15</f>
        <v>0</v>
      </c>
      <c r="D15" s="21">
        <f>C15-C$15</f>
        <v>0</v>
      </c>
      <c r="E15" s="15">
        <f>IF(C$15=0,0,C15/C$15-1)</f>
        <v>0</v>
      </c>
      <c r="F15" s="7">
        <f>IF(A15&gt;0,"人民币贬值·成本↑",IF(A15&lt;0,"人民币升值·成本↓","基准情景"))</f>
        <v>0</v>
      </c>
      <c r="G15" s="7"/>
      <c r="H15" s="7"/>
      <c r="I15" s="14">
        <f> 金额 × 汇率 ×(1+变动率)；行内变动额相对 0% 行</f>
        <v>0</v>
      </c>
    </row>
    <row r="16" spans="1:9">
      <c r="A16" s="20">
        <v>0.01</v>
      </c>
      <c r="B16" s="19">
        <f>B7*(1+A16)</f>
        <v>0</v>
      </c>
      <c r="C16" s="18">
        <f>B6*B16</f>
        <v>0</v>
      </c>
      <c r="D16" s="21">
        <f>C16-C$15</f>
        <v>0</v>
      </c>
      <c r="E16" s="15">
        <f>IF(C$15=0,0,C16/C$15-1)</f>
        <v>0</v>
      </c>
      <c r="F16" s="7">
        <f>IF(A16&gt;0,"人民币贬值·成本↑",IF(A16&lt;0,"人民币升值·成本↓","基准情景"))</f>
        <v>0</v>
      </c>
      <c r="G16" s="7"/>
      <c r="H16" s="7"/>
      <c r="I16" s="14">
        <f> 金额 × 汇率 ×(1+变动率)；行内变动额相对 0% 行</f>
        <v>0</v>
      </c>
    </row>
    <row r="17" spans="1:9">
      <c r="A17" s="20">
        <v>0.03</v>
      </c>
      <c r="B17" s="19">
        <f>B7*(1+A17)</f>
        <v>0</v>
      </c>
      <c r="C17" s="18">
        <f>B6*B17</f>
        <v>0</v>
      </c>
      <c r="D17" s="21">
        <f>C17-C$15</f>
        <v>0</v>
      </c>
      <c r="E17" s="15">
        <f>IF(C$15=0,0,C17/C$15-1)</f>
        <v>0</v>
      </c>
      <c r="F17" s="7">
        <f>IF(A17&gt;0,"人民币贬值·成本↑",IF(A17&lt;0,"人民币升值·成本↓","基准情景"))</f>
        <v>0</v>
      </c>
      <c r="G17" s="7"/>
      <c r="H17" s="7"/>
      <c r="I17" s="14">
        <f> 金额 × 汇率 ×(1+变动率)；行内变动额相对 0% 行</f>
        <v>0</v>
      </c>
    </row>
    <row r="18" spans="1:9">
      <c r="A18" s="20">
        <v>0.05</v>
      </c>
      <c r="B18" s="19">
        <f>B7*(1+A18)</f>
        <v>0</v>
      </c>
      <c r="C18" s="18">
        <f>B6*B18</f>
        <v>0</v>
      </c>
      <c r="D18" s="21">
        <f>C18-C$15</f>
        <v>0</v>
      </c>
      <c r="E18" s="15">
        <f>IF(C$15=0,0,C18/C$15-1)</f>
        <v>0</v>
      </c>
      <c r="F18" s="7">
        <f>IF(A18&gt;0,"人民币贬值·成本↑",IF(A18&lt;0,"人民币升值·成本↓","基准情景"))</f>
        <v>0</v>
      </c>
      <c r="G18" s="7"/>
      <c r="H18" s="7"/>
      <c r="I18" s="14">
        <f> 金额 × 汇率 ×(1+变动率)；行内变动额相对 0% 行</f>
        <v>0</v>
      </c>
    </row>
    <row r="20" spans="1:9">
      <c r="A20" s="3" t="s">
        <v>127</v>
      </c>
      <c r="B20" s="3"/>
      <c r="C20" s="3"/>
      <c r="D20" s="3"/>
      <c r="E20" s="3"/>
      <c r="F20" s="3"/>
      <c r="G20" s="3"/>
      <c r="H20" s="3"/>
      <c r="I20" s="3"/>
    </row>
    <row r="21" spans="1:9">
      <c r="A21" s="4" t="s">
        <v>37</v>
      </c>
      <c r="B21" s="4" t="s">
        <v>128</v>
      </c>
      <c r="C21" s="4" t="s">
        <v>39</v>
      </c>
      <c r="D21" s="4" t="s">
        <v>129</v>
      </c>
      <c r="E21" s="4" t="s">
        <v>130</v>
      </c>
      <c r="F21" s="4" t="s">
        <v>131</v>
      </c>
      <c r="G21" s="4"/>
      <c r="H21" s="4"/>
      <c r="I21" s="4" t="s">
        <v>63</v>
      </c>
    </row>
    <row r="22" spans="1:9">
      <c r="A22" s="5" t="s">
        <v>41</v>
      </c>
      <c r="B22" s="19">
        <f>'01 参数与汇率'!B19</f>
        <v>0</v>
      </c>
      <c r="C22" s="7" t="s">
        <v>42</v>
      </c>
      <c r="D22" s="18">
        <f>B6*B22</f>
        <v>0</v>
      </c>
      <c r="E22" s="21">
        <f>D22-$'02 付款额与敏感性'!B8</f>
        <v>0</v>
      </c>
      <c r="F22" s="15">
        <f>IF($'02 付款额与敏感性'!B8=0,0,D22/$'02 付款额与敏感性'!B8-1)</f>
        <v>0</v>
      </c>
      <c r="G22" s="7"/>
      <c r="H22" s="7"/>
      <c r="I22" t="s">
        <v>132</v>
      </c>
    </row>
    <row r="23" spans="1:9">
      <c r="A23" s="5" t="s">
        <v>133</v>
      </c>
      <c r="B23" s="19">
        <f>'01 参数与汇率'!B20</f>
        <v>0</v>
      </c>
      <c r="C23" s="7" t="s">
        <v>45</v>
      </c>
      <c r="D23" s="18">
        <f>B6*B23</f>
        <v>0</v>
      </c>
      <c r="E23" s="21">
        <f>D23-$'02 付款额与敏感性'!B8</f>
        <v>0</v>
      </c>
      <c r="F23" s="15">
        <f>IF($'02 付款额与敏感性'!B8=0,0,D23/$'02 付款额与敏感性'!B8-1)</f>
        <v>0</v>
      </c>
      <c r="G23" s="7"/>
      <c r="H23" s="7"/>
      <c r="I23" t="s">
        <v>132</v>
      </c>
    </row>
    <row r="24" spans="1:9">
      <c r="A24" s="5" t="s">
        <v>55</v>
      </c>
      <c r="B24" s="19">
        <f>'01 参数与汇率'!B21</f>
        <v>0</v>
      </c>
      <c r="C24" s="7" t="s">
        <v>48</v>
      </c>
      <c r="D24" s="18">
        <f>B6*B24</f>
        <v>0</v>
      </c>
      <c r="E24" s="21">
        <f>D24-$'02 付款额与敏感性'!B8</f>
        <v>0</v>
      </c>
      <c r="F24" s="15">
        <f>IF($'02 付款额与敏感性'!B8=0,0,D24/$'02 付款额与敏感性'!B8-1)</f>
        <v>0</v>
      </c>
      <c r="G24" s="7"/>
      <c r="H24" s="7"/>
      <c r="I24" t="s">
        <v>132</v>
      </c>
    </row>
    <row r="25" spans="1:9">
      <c r="A25" s="5" t="s">
        <v>51</v>
      </c>
      <c r="B25" s="19">
        <f>'01 参数与汇率'!B22</f>
        <v>0</v>
      </c>
      <c r="C25" s="7" t="s">
        <v>52</v>
      </c>
      <c r="D25" s="18">
        <f>B6*B25</f>
        <v>0</v>
      </c>
      <c r="E25" s="21">
        <f>D25-$'02 付款额与敏感性'!B8</f>
        <v>0</v>
      </c>
      <c r="F25" s="15">
        <f>IF($'02 付款额与敏感性'!B8=0,0,D25/$'02 付款额与敏感性'!B8-1)</f>
        <v>0</v>
      </c>
      <c r="G25" s="7"/>
      <c r="H25" s="7"/>
      <c r="I25" s="14" t="s">
        <v>132</v>
      </c>
    </row>
    <row r="27" spans="1:9">
      <c r="A27" s="17" t="s">
        <v>134</v>
      </c>
      <c r="B27" s="17"/>
      <c r="C27" s="17"/>
      <c r="D27" s="17"/>
      <c r="E27" s="17"/>
      <c r="F27" s="17"/>
      <c r="G27" s="17"/>
      <c r="H27" s="17"/>
      <c r="I27" s="17"/>
    </row>
    <row r="28" spans="1:9">
      <c r="A28" s="17"/>
      <c r="B28" s="17"/>
      <c r="C28" s="17"/>
      <c r="D28" s="17"/>
      <c r="E28" s="17"/>
      <c r="F28" s="17"/>
      <c r="G28" s="17"/>
      <c r="H28" s="17"/>
      <c r="I28" s="17"/>
    </row>
  </sheetData>
  <mergeCells count="18">
    <mergeCell ref="A4:I4"/>
    <mergeCell ref="C6:H6"/>
    <mergeCell ref="C7:H7"/>
    <mergeCell ref="C8:H8"/>
    <mergeCell ref="A10:I10"/>
    <mergeCell ref="G12:H12"/>
    <mergeCell ref="G13:H13"/>
    <mergeCell ref="G14:H14"/>
    <mergeCell ref="G15:H15"/>
    <mergeCell ref="G16:H16"/>
    <mergeCell ref="G17:H17"/>
    <mergeCell ref="G18:H18"/>
    <mergeCell ref="A20:I20"/>
    <mergeCell ref="G22:H22"/>
    <mergeCell ref="G23:H23"/>
    <mergeCell ref="G24:H24"/>
    <mergeCell ref="G25:H25"/>
    <mergeCell ref="A27:I28"/>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31"/>
  <sheetViews>
    <sheetView workbookViewId="0"/>
  </sheetViews>
  <sheetFormatPr defaultRowHeight="15"/>
  <cols>
    <col min="1" max="1" width="34.7109375" customWidth="1"/>
    <col min="2" max="7" width="17.7109375" customWidth="1"/>
    <col min="8" max="8" width="52.7109375" customWidth="1"/>
  </cols>
  <sheetData>
    <row r="1" spans="1:8">
      <c r="A1" s="1" t="s">
        <v>135</v>
      </c>
    </row>
    <row r="2" spans="1:8">
      <c r="A2" s="2" t="s">
        <v>136</v>
      </c>
    </row>
    <row r="4" spans="1:8">
      <c r="A4" s="3" t="s">
        <v>137</v>
      </c>
      <c r="B4" s="3"/>
      <c r="C4" s="3"/>
      <c r="D4" s="3"/>
      <c r="E4" s="3"/>
      <c r="F4" s="3"/>
      <c r="G4" s="3"/>
      <c r="H4" s="3"/>
    </row>
    <row r="5" spans="1:8">
      <c r="A5" s="4" t="s">
        <v>138</v>
      </c>
      <c r="B5" s="4" t="s">
        <v>139</v>
      </c>
      <c r="C5" s="4" t="s">
        <v>140</v>
      </c>
      <c r="D5" s="4" t="s">
        <v>141</v>
      </c>
      <c r="E5" s="4"/>
      <c r="F5" s="4"/>
      <c r="G5" s="4"/>
      <c r="H5" s="4" t="s">
        <v>126</v>
      </c>
    </row>
    <row r="6" spans="1:8">
      <c r="A6" s="7" t="s">
        <v>142</v>
      </c>
      <c r="B6" s="22">
        <f>'02 付款额与敏感性'!B6*'02 付款额与敏感性'!B7</f>
        <v>0</v>
      </c>
      <c r="C6" s="7" t="s">
        <v>143</v>
      </c>
      <c r="D6" s="15">
        <f>IF($B$16=0,0,B6/$B$16)</f>
        <v>0</v>
      </c>
      <c r="E6" s="7"/>
      <c r="F6" s="7"/>
      <c r="G6" s="7"/>
      <c r="H6" s="14">
        <f>'02 付款额与敏感性'!B6*'02 付款额与敏感性'!B7</f>
        <v>0</v>
      </c>
    </row>
    <row r="7" spans="1:8">
      <c r="A7" s="7" t="s">
        <v>144</v>
      </c>
      <c r="B7" s="22">
        <f>'01 参数与汇率'!B29*'02 付款额与敏感性'!B7</f>
        <v>0</v>
      </c>
      <c r="C7" s="7" t="s">
        <v>145</v>
      </c>
      <c r="D7" s="15">
        <f>IF($B$16=0,0,B7/$B$16)</f>
        <v>0</v>
      </c>
      <c r="E7" s="7"/>
      <c r="F7" s="7"/>
      <c r="G7" s="7"/>
      <c r="H7" s="14">
        <f>'01 参数与汇率'!B29*'02 付款额与敏感性'!B7</f>
        <v>0</v>
      </c>
    </row>
    <row r="8" spans="1:8">
      <c r="A8" s="7" t="s">
        <v>146</v>
      </c>
      <c r="B8" s="22">
        <f>'01 参数与汇率'!B30*'02 付款额与敏感性'!B7</f>
        <v>0</v>
      </c>
      <c r="C8" s="7" t="s">
        <v>147</v>
      </c>
      <c r="D8" s="15">
        <f>IF($B$16=0,0,B8/$B$16)</f>
        <v>0</v>
      </c>
      <c r="E8" s="7"/>
      <c r="F8" s="7"/>
      <c r="G8" s="7"/>
      <c r="H8" s="14">
        <f>'01 参数与汇率'!B30*'02 付款额与敏感性'!B7</f>
        <v>0</v>
      </c>
    </row>
    <row r="9" spans="1:8">
      <c r="A9" s="7" t="s">
        <v>148</v>
      </c>
      <c r="B9" s="22">
        <f>'01 参数与汇率'!B31*'02 付款额与敏感性'!B7</f>
        <v>0</v>
      </c>
      <c r="C9" s="7" t="s">
        <v>149</v>
      </c>
      <c r="D9" s="15">
        <f>IF($B$16=0,0,B9/$B$16)</f>
        <v>0</v>
      </c>
      <c r="E9" s="7"/>
      <c r="F9" s="7"/>
      <c r="G9" s="7"/>
      <c r="H9" s="14">
        <f>'01 参数与汇率'!B31*'02 付款额与敏感性'!B7</f>
        <v>0</v>
      </c>
    </row>
    <row r="10" spans="1:8">
      <c r="A10" s="5" t="s">
        <v>150</v>
      </c>
      <c r="B10" s="22">
        <f>SUM(B6:B9)/'02 付款额与敏感性'!B7*'01 参数与汇率'!B22</f>
        <v>0</v>
      </c>
      <c r="C10" s="7" t="s">
        <v>151</v>
      </c>
      <c r="D10" s="15">
        <f>IF($B$16=0,0,B10/$B$16)</f>
        <v>0</v>
      </c>
      <c r="E10" s="7"/>
      <c r="F10" s="7"/>
      <c r="G10" s="7"/>
      <c r="H10" s="14">
        <f> (CIF 外币合计) ÷ 基准汇率 × 计征汇率</f>
        <v>0</v>
      </c>
    </row>
    <row r="11" spans="1:8">
      <c r="A11" s="5" t="s">
        <v>152</v>
      </c>
      <c r="B11" s="22">
        <f>B10*'01 参数与汇率'!B37</f>
        <v>0</v>
      </c>
      <c r="C11" s="7" t="s">
        <v>153</v>
      </c>
      <c r="D11" s="15">
        <f>IF($B$16=0,0,B11/$B$16)</f>
        <v>0</v>
      </c>
      <c r="E11" s="7"/>
      <c r="F11" s="7"/>
      <c r="G11" s="7"/>
      <c r="H11" s="14">
        <f> 完税价格 × 关税率</f>
        <v>0</v>
      </c>
    </row>
    <row r="12" spans="1:8">
      <c r="A12" s="5" t="s">
        <v>154</v>
      </c>
      <c r="B12" s="22">
        <f>B10*'01 参数与汇率'!B38</f>
        <v>0</v>
      </c>
      <c r="C12" s="7" t="s">
        <v>155</v>
      </c>
      <c r="D12" s="15">
        <f>IF($B$16=0,0,B12/$B$16)</f>
        <v>0</v>
      </c>
      <c r="E12" s="7"/>
      <c r="F12" s="7"/>
      <c r="G12" s="7"/>
      <c r="H12" s="14">
        <f> 完税价格 × 消费税率</f>
        <v>0</v>
      </c>
    </row>
    <row r="13" spans="1:8">
      <c r="A13" s="5" t="s">
        <v>156</v>
      </c>
      <c r="B13" s="22">
        <f>(B10+B11+B12)*'01 参数与汇率'!B39</f>
        <v>0</v>
      </c>
      <c r="C13" s="7" t="s">
        <v>157</v>
      </c>
      <c r="D13" s="15">
        <f>IF($B$16=0,0,B13/$B$16)</f>
        <v>0</v>
      </c>
      <c r="E13" s="7"/>
      <c r="F13" s="7"/>
      <c r="G13" s="7"/>
      <c r="H13" s="14">
        <f> (完税价格+关税+消费税) × 增值税率</f>
        <v>0</v>
      </c>
    </row>
    <row r="14" spans="1:8">
      <c r="A14" s="5" t="s">
        <v>158</v>
      </c>
      <c r="B14" s="22">
        <f>IF('01 参数与汇率'!B40="cost",B13,0)</f>
        <v>0</v>
      </c>
      <c r="C14" s="7" t="s">
        <v>159</v>
      </c>
      <c r="D14" s="15">
        <f>IF($B$16=0,0,B14/$B$16)</f>
        <v>0</v>
      </c>
      <c r="E14" s="7"/>
      <c r="F14" s="7"/>
      <c r="G14" s="7"/>
      <c r="H14" s="14">
        <f> IF(增值税口径="cost", 增值税, 0)</f>
        <v>0</v>
      </c>
    </row>
    <row r="15" spans="1:8">
      <c r="A15" s="5" t="s">
        <v>160</v>
      </c>
      <c r="B15" s="22">
        <f>'01 参数与汇率'!B32+'01 参数与汇率'!B33+'01 参数与汇率'!B34+'01 参数与汇率'!B35+'01 参数与汇率'!B36</f>
        <v>0</v>
      </c>
      <c r="C15" s="7" t="s">
        <v>161</v>
      </c>
      <c r="D15" s="15">
        <f>IF($B$16=0,0,B15/$B$16)</f>
        <v>0</v>
      </c>
      <c r="E15" s="7"/>
      <c r="F15" s="7"/>
      <c r="G15" s="7"/>
      <c r="H15" s="14">
        <f> 各项人民币费用之和（与汇率无关）</f>
        <v>0</v>
      </c>
    </row>
    <row r="16" spans="1:8">
      <c r="A16" s="23" t="s">
        <v>162</v>
      </c>
      <c r="B16" s="13">
        <f>B6+B7+B8+B9+B11+B12+B14+B15</f>
        <v>0</v>
      </c>
      <c r="C16" s="23" t="s">
        <v>163</v>
      </c>
      <c r="D16" s="15">
        <f>1</f>
        <v>0</v>
      </c>
      <c r="E16" s="23"/>
      <c r="F16" s="23"/>
      <c r="G16" s="23"/>
      <c r="H16" s="14">
        <f> 货值+运费+保费+其他+关税+消费税+增值税(入成本)+人民币费用</f>
        <v>0</v>
      </c>
    </row>
    <row r="17" spans="1:8">
      <c r="A17" s="5" t="s">
        <v>164</v>
      </c>
      <c r="B17" s="22">
        <f>IF('01 参数与汇率'!B13=0,0,B16/'01 参数与汇率'!B13)</f>
        <v>0</v>
      </c>
      <c r="C17" s="7" t="s">
        <v>165</v>
      </c>
      <c r="D17" s="7"/>
      <c r="E17" s="7"/>
      <c r="F17" s="7"/>
      <c r="G17" s="7"/>
      <c r="H17" s="14">
        <f> 到厂成本合计 ÷ 合同数量</f>
        <v>0</v>
      </c>
    </row>
    <row r="18" spans="1:8">
      <c r="A18" s="5" t="s">
        <v>166</v>
      </c>
      <c r="B18" s="15">
        <f>IF(B16=0,0,(B6+B7+B8+B9+B11+B12+B14)/B16)</f>
        <v>0</v>
      </c>
      <c r="C18" s="7" t="s">
        <v>167</v>
      </c>
      <c r="D18" s="7"/>
      <c r="E18" s="7"/>
      <c r="F18" s="7"/>
      <c r="G18" s="7"/>
      <c r="H18" s="14">
        <f> (汇率相关成本) ÷ 合计；其余为人民币固定费用，稀释了敏感性</f>
        <v>0</v>
      </c>
    </row>
    <row r="20" spans="1:8">
      <c r="A20" s="3" t="s">
        <v>168</v>
      </c>
      <c r="B20" s="3"/>
      <c r="C20" s="3"/>
      <c r="D20" s="3"/>
      <c r="E20" s="3"/>
      <c r="F20" s="3"/>
      <c r="G20" s="3"/>
      <c r="H20" s="3"/>
    </row>
    <row r="21" spans="1:8">
      <c r="A21" s="4" t="s">
        <v>120</v>
      </c>
      <c r="B21" s="4" t="s">
        <v>121</v>
      </c>
      <c r="C21" s="4" t="s">
        <v>169</v>
      </c>
      <c r="D21" s="4" t="s">
        <v>170</v>
      </c>
      <c r="E21" s="4" t="s">
        <v>171</v>
      </c>
      <c r="F21" s="4" t="s">
        <v>123</v>
      </c>
      <c r="G21" s="4" t="s">
        <v>124</v>
      </c>
      <c r="H21" s="4" t="s">
        <v>126</v>
      </c>
    </row>
    <row r="22" spans="1:8">
      <c r="A22" s="20">
        <v>-0.05</v>
      </c>
      <c r="B22" s="19">
        <f>'02 付款额与敏感性'!B7*(1+A22)</f>
        <v>0</v>
      </c>
      <c r="C22" s="18">
        <f>'02 付款额与敏感性'!B6*B22</f>
        <v>0</v>
      </c>
      <c r="D22" s="18">
        <f>B11*B22/'02 付款额与敏感性'!B7</f>
        <v>0</v>
      </c>
      <c r="E22" s="18">
        <f>B16*B18*B22/'02 付款额与敏感性'!B7+B16*(1-B18)</f>
        <v>0</v>
      </c>
      <c r="F22" s="21">
        <f>E22-E$25</f>
        <v>0</v>
      </c>
      <c r="G22" s="15">
        <f>IF(E$25=0,0,E22/E$25-1)</f>
        <v>0</v>
      </c>
      <c r="H22" s="14" t="s">
        <v>172</v>
      </c>
    </row>
    <row r="23" spans="1:8">
      <c r="A23" s="20">
        <v>-0.03</v>
      </c>
      <c r="B23" s="19">
        <f>'02 付款额与敏感性'!B7*(1+A23)</f>
        <v>0</v>
      </c>
      <c r="C23" s="18">
        <f>'02 付款额与敏感性'!B6*B23</f>
        <v>0</v>
      </c>
      <c r="D23" s="18">
        <f>B11*B23/'02 付款额与敏感性'!B7</f>
        <v>0</v>
      </c>
      <c r="E23" s="18">
        <f>B16*B18*B23/'02 付款额与敏感性'!B7+B16*(1-B18)</f>
        <v>0</v>
      </c>
      <c r="F23" s="21">
        <f>E23-E$25</f>
        <v>0</v>
      </c>
      <c r="G23" s="15">
        <f>IF(E$25=0,0,E23/E$25-1)</f>
        <v>0</v>
      </c>
      <c r="H23" s="14"/>
    </row>
    <row r="24" spans="1:8">
      <c r="A24" s="20">
        <v>-0.01</v>
      </c>
      <c r="B24" s="19">
        <f>'02 付款额与敏感性'!B7*(1+A24)</f>
        <v>0</v>
      </c>
      <c r="C24" s="18">
        <f>'02 付款额与敏感性'!B6*B24</f>
        <v>0</v>
      </c>
      <c r="D24" s="18">
        <f>B11*B24/'02 付款额与敏感性'!B7</f>
        <v>0</v>
      </c>
      <c r="E24" s="18">
        <f>B16*B18*B24/'02 付款额与敏感性'!B7+B16*(1-B18)</f>
        <v>0</v>
      </c>
      <c r="F24" s="21">
        <f>E24-E$25</f>
        <v>0</v>
      </c>
      <c r="G24" s="15">
        <f>IF(E$25=0,0,E24/E$25-1)</f>
        <v>0</v>
      </c>
      <c r="H24" s="14"/>
    </row>
    <row r="25" spans="1:8">
      <c r="A25" s="20">
        <v>0</v>
      </c>
      <c r="B25" s="19">
        <f>'02 付款额与敏感性'!B7*(1+A25)</f>
        <v>0</v>
      </c>
      <c r="C25" s="18">
        <f>'02 付款额与敏感性'!B6*B25</f>
        <v>0</v>
      </c>
      <c r="D25" s="18">
        <f>B11*B25/'02 付款额与敏感性'!B7</f>
        <v>0</v>
      </c>
      <c r="E25" s="18">
        <f>B16*B18*B25/'02 付款额与敏感性'!B7+B16*(1-B18)</f>
        <v>0</v>
      </c>
      <c r="F25" s="21">
        <f>E25-E$25</f>
        <v>0</v>
      </c>
      <c r="G25" s="15">
        <f>IF(E$25=0,0,E25/E$25-1)</f>
        <v>0</v>
      </c>
      <c r="H25" s="14"/>
    </row>
    <row r="26" spans="1:8">
      <c r="A26" s="20">
        <v>0.01</v>
      </c>
      <c r="B26" s="19">
        <f>'02 付款额与敏感性'!B7*(1+A26)</f>
        <v>0</v>
      </c>
      <c r="C26" s="18">
        <f>'02 付款额与敏感性'!B6*B26</f>
        <v>0</v>
      </c>
      <c r="D26" s="18">
        <f>B11*B26/'02 付款额与敏感性'!B7</f>
        <v>0</v>
      </c>
      <c r="E26" s="18">
        <f>B16*B18*B26/'02 付款额与敏感性'!B7+B16*(1-B18)</f>
        <v>0</v>
      </c>
      <c r="F26" s="21">
        <f>E26-E$25</f>
        <v>0</v>
      </c>
      <c r="G26" s="15">
        <f>IF(E$25=0,0,E26/E$25-1)</f>
        <v>0</v>
      </c>
      <c r="H26" s="14"/>
    </row>
    <row r="27" spans="1:8">
      <c r="A27" s="20">
        <v>0.03</v>
      </c>
      <c r="B27" s="19">
        <f>'02 付款额与敏感性'!B7*(1+A27)</f>
        <v>0</v>
      </c>
      <c r="C27" s="18">
        <f>'02 付款额与敏感性'!B6*B27</f>
        <v>0</v>
      </c>
      <c r="D27" s="18">
        <f>B11*B27/'02 付款额与敏感性'!B7</f>
        <v>0</v>
      </c>
      <c r="E27" s="18">
        <f>B16*B18*B27/'02 付款额与敏感性'!B7+B16*(1-B18)</f>
        <v>0</v>
      </c>
      <c r="F27" s="21">
        <f>E27-E$25</f>
        <v>0</v>
      </c>
      <c r="G27" s="15">
        <f>IF(E$25=0,0,E27/E$25-1)</f>
        <v>0</v>
      </c>
      <c r="H27" s="14"/>
    </row>
    <row r="28" spans="1:8">
      <c r="A28" s="20">
        <v>0.05</v>
      </c>
      <c r="B28" s="19">
        <f>'02 付款额与敏感性'!B7*(1+A28)</f>
        <v>0</v>
      </c>
      <c r="C28" s="18">
        <f>'02 付款额与敏感性'!B6*B28</f>
        <v>0</v>
      </c>
      <c r="D28" s="18">
        <f>B11*B28/'02 付款额与敏感性'!B7</f>
        <v>0</v>
      </c>
      <c r="E28" s="18">
        <f>B16*B18*B28/'02 付款额与敏感性'!B7+B16*(1-B18)</f>
        <v>0</v>
      </c>
      <c r="F28" s="21">
        <f>E28-E$25</f>
        <v>0</v>
      </c>
      <c r="G28" s="15">
        <f>IF(E$25=0,0,E28/E$25-1)</f>
        <v>0</v>
      </c>
      <c r="H28" s="14"/>
    </row>
    <row r="30" spans="1:8">
      <c r="A30" s="17" t="s">
        <v>173</v>
      </c>
      <c r="B30" s="17"/>
      <c r="C30" s="17"/>
      <c r="D30" s="17"/>
      <c r="E30" s="17"/>
      <c r="F30" s="17"/>
      <c r="G30" s="17"/>
      <c r="H30" s="17"/>
    </row>
    <row r="31" spans="1:8">
      <c r="A31" s="17"/>
      <c r="B31" s="17"/>
      <c r="C31" s="17"/>
      <c r="D31" s="17"/>
      <c r="E31" s="17"/>
      <c r="F31" s="17"/>
      <c r="G31" s="17"/>
      <c r="H31" s="17"/>
    </row>
  </sheetData>
  <mergeCells count="16">
    <mergeCell ref="A4:H4"/>
    <mergeCell ref="E6:G6"/>
    <mergeCell ref="E7:G7"/>
    <mergeCell ref="E8:G8"/>
    <mergeCell ref="E9:G9"/>
    <mergeCell ref="E10:G10"/>
    <mergeCell ref="E11:G11"/>
    <mergeCell ref="E12:G12"/>
    <mergeCell ref="E13:G13"/>
    <mergeCell ref="E14:G14"/>
    <mergeCell ref="E15:G15"/>
    <mergeCell ref="E16:G16"/>
    <mergeCell ref="D17:G17"/>
    <mergeCell ref="D18:G18"/>
    <mergeCell ref="A20:H20"/>
    <mergeCell ref="A30:H3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34"/>
  <sheetViews>
    <sheetView workbookViewId="0"/>
  </sheetViews>
  <sheetFormatPr defaultRowHeight="15"/>
  <cols>
    <col min="1" max="1" width="32.7109375" customWidth="1"/>
    <col min="2" max="8" width="17.7109375" customWidth="1"/>
    <col min="9" max="9" width="50.7109375" customWidth="1"/>
  </cols>
  <sheetData>
    <row r="1" spans="1:9">
      <c r="A1" s="1" t="s">
        <v>174</v>
      </c>
    </row>
    <row r="2" spans="1:9">
      <c r="A2" s="2" t="s">
        <v>175</v>
      </c>
    </row>
    <row r="4" spans="1:9">
      <c r="A4" s="3" t="s">
        <v>176</v>
      </c>
      <c r="B4" s="3"/>
      <c r="C4" s="3"/>
      <c r="D4" s="3"/>
      <c r="E4" s="3"/>
      <c r="F4" s="3"/>
      <c r="G4" s="3"/>
      <c r="H4" s="3"/>
      <c r="I4" s="3"/>
    </row>
    <row r="5" spans="1:9">
      <c r="A5" s="4" t="s">
        <v>3</v>
      </c>
      <c r="B5" s="4" t="s">
        <v>4</v>
      </c>
      <c r="C5" s="4" t="s">
        <v>5</v>
      </c>
      <c r="D5" s="4"/>
      <c r="E5" s="4"/>
      <c r="F5" s="4"/>
      <c r="G5" s="4"/>
      <c r="H5" s="4"/>
      <c r="I5" s="4" t="s">
        <v>126</v>
      </c>
    </row>
    <row r="6" spans="1:9">
      <c r="A6" s="5" t="s">
        <v>177</v>
      </c>
      <c r="B6" s="22">
        <f>'01 参数与汇率'!B13</f>
        <v>0</v>
      </c>
      <c r="C6" s="7" t="s">
        <v>27</v>
      </c>
      <c r="D6" s="7"/>
      <c r="E6" s="7"/>
      <c r="F6" s="7"/>
      <c r="G6" s="7"/>
      <c r="H6" s="7"/>
      <c r="I6" s="14" t="s">
        <v>178</v>
      </c>
    </row>
    <row r="7" spans="1:9">
      <c r="A7" s="5" t="s">
        <v>86</v>
      </c>
      <c r="B7" s="22">
        <f>'01 参数与汇率'!B44</f>
        <v>0</v>
      </c>
      <c r="C7" s="7" t="s">
        <v>87</v>
      </c>
      <c r="D7" s="7"/>
      <c r="E7" s="7"/>
      <c r="F7" s="7"/>
      <c r="G7" s="7"/>
      <c r="H7" s="7"/>
      <c r="I7" s="14" t="s">
        <v>179</v>
      </c>
    </row>
    <row r="8" spans="1:9">
      <c r="A8" s="5" t="s">
        <v>180</v>
      </c>
      <c r="B8" s="22">
        <f>IF('01 参数与汇率'!B49="tax_included",B7/(1+'01 参数与汇率'!B39),B7)</f>
        <v>0</v>
      </c>
      <c r="C8" s="7" t="s">
        <v>87</v>
      </c>
      <c r="D8" s="7"/>
      <c r="E8" s="7"/>
      <c r="F8" s="7"/>
      <c r="G8" s="7"/>
      <c r="H8" s="7"/>
      <c r="I8" s="14" t="s">
        <v>181</v>
      </c>
    </row>
    <row r="9" spans="1:9">
      <c r="A9" s="5" t="s">
        <v>182</v>
      </c>
      <c r="B9" s="13">
        <f>B8*B6</f>
        <v>0</v>
      </c>
      <c r="C9" s="7" t="s">
        <v>183</v>
      </c>
      <c r="D9" s="7"/>
      <c r="E9" s="7"/>
      <c r="F9" s="7"/>
      <c r="G9" s="7"/>
      <c r="H9" s="7"/>
      <c r="I9" s="14" t="s">
        <v>184</v>
      </c>
    </row>
    <row r="10" spans="1:9">
      <c r="A10" s="5" t="s">
        <v>171</v>
      </c>
      <c r="B10" s="22">
        <f>'03 到厂成本'!B16</f>
        <v>0</v>
      </c>
      <c r="C10" s="7" t="s">
        <v>183</v>
      </c>
      <c r="D10" s="7"/>
      <c r="E10" s="7"/>
      <c r="F10" s="7"/>
      <c r="G10" s="7"/>
      <c r="H10" s="7"/>
      <c r="I10" s="14" t="s">
        <v>185</v>
      </c>
    </row>
    <row r="11" spans="1:9">
      <c r="A11" s="5" t="s">
        <v>186</v>
      </c>
      <c r="B11" s="22">
        <f>'01 参数与汇率'!B45*B6</f>
        <v>0</v>
      </c>
      <c r="C11" s="7" t="s">
        <v>183</v>
      </c>
      <c r="D11" s="7"/>
      <c r="E11" s="7"/>
      <c r="F11" s="7"/>
      <c r="G11" s="7"/>
      <c r="H11" s="7"/>
      <c r="I11" s="14" t="s">
        <v>187</v>
      </c>
    </row>
    <row r="12" spans="1:9">
      <c r="A12" s="5" t="s">
        <v>188</v>
      </c>
      <c r="B12" s="22">
        <f>B10+B11</f>
        <v>0</v>
      </c>
      <c r="C12" s="7" t="s">
        <v>183</v>
      </c>
      <c r="D12" s="7"/>
      <c r="E12" s="7"/>
      <c r="F12" s="7"/>
      <c r="G12" s="7"/>
      <c r="H12" s="7"/>
      <c r="I12" s="14" t="s">
        <v>189</v>
      </c>
    </row>
    <row r="13" spans="1:9">
      <c r="A13" s="5" t="s">
        <v>190</v>
      </c>
      <c r="B13" s="13">
        <f>B9-B12</f>
        <v>0</v>
      </c>
      <c r="C13" s="7" t="s">
        <v>183</v>
      </c>
      <c r="D13" s="7"/>
      <c r="E13" s="7"/>
      <c r="F13" s="7"/>
      <c r="G13" s="7"/>
      <c r="H13" s="7"/>
      <c r="I13" s="14" t="s">
        <v>191</v>
      </c>
    </row>
    <row r="14" spans="1:9">
      <c r="A14" s="5" t="s">
        <v>192</v>
      </c>
      <c r="B14" s="13">
        <f>IF(B9=0,0,B13/B9)</f>
        <v>0</v>
      </c>
      <c r="C14" s="7" t="s">
        <v>76</v>
      </c>
      <c r="D14" s="7"/>
      <c r="E14" s="7"/>
      <c r="F14" s="7"/>
      <c r="G14" s="7"/>
      <c r="H14" s="7"/>
      <c r="I14" s="14" t="s">
        <v>193</v>
      </c>
    </row>
    <row r="16" spans="1:9">
      <c r="A16" s="3" t="s">
        <v>194</v>
      </c>
      <c r="B16" s="3"/>
      <c r="C16" s="3"/>
      <c r="D16" s="3"/>
      <c r="E16" s="3"/>
      <c r="F16" s="3"/>
      <c r="G16" s="3"/>
      <c r="H16" s="3"/>
      <c r="I16" s="3"/>
    </row>
    <row r="17" spans="1:9">
      <c r="A17" s="4" t="s">
        <v>120</v>
      </c>
      <c r="B17" s="4" t="s">
        <v>121</v>
      </c>
      <c r="C17" s="4" t="s">
        <v>171</v>
      </c>
      <c r="D17" s="4" t="s">
        <v>188</v>
      </c>
      <c r="E17" s="4" t="s">
        <v>190</v>
      </c>
      <c r="F17" s="4" t="s">
        <v>192</v>
      </c>
      <c r="G17" s="4"/>
      <c r="H17" s="4"/>
      <c r="I17" s="4" t="s">
        <v>126</v>
      </c>
    </row>
    <row r="18" spans="1:9">
      <c r="A18" s="20">
        <v>-0.05</v>
      </c>
      <c r="B18" s="19">
        <f>'02 付款额与敏感性'!B7*(1+A18)</f>
        <v>0</v>
      </c>
      <c r="C18" s="18">
        <f>B10*B18*B18/'02 付款额与敏感性'!B7+B10*(1-B18)</f>
        <v>0</v>
      </c>
      <c r="D18" s="18">
        <f>C18+B11</f>
        <v>0</v>
      </c>
      <c r="E18" s="21">
        <f>B9-D18</f>
        <v>0</v>
      </c>
      <c r="F18" s="15">
        <f>IF(B9=0,0,E18/B9)</f>
        <v>0</v>
      </c>
      <c r="G18" s="7"/>
      <c r="H18" s="7"/>
      <c r="I18" s="14" t="s">
        <v>195</v>
      </c>
    </row>
    <row r="19" spans="1:9">
      <c r="A19" s="20">
        <v>-0.03</v>
      </c>
      <c r="B19" s="19">
        <f>'02 付款额与敏感性'!B7*(1+A19)</f>
        <v>0</v>
      </c>
      <c r="C19" s="18">
        <f>B10*B18*B19/'02 付款额与敏感性'!B7+B10*(1-B18)</f>
        <v>0</v>
      </c>
      <c r="D19" s="18">
        <f>C19+B11</f>
        <v>0</v>
      </c>
      <c r="E19" s="21">
        <f>B9-D19</f>
        <v>0</v>
      </c>
      <c r="F19" s="15">
        <f>IF(B9=0,0,E19/B9)</f>
        <v>0</v>
      </c>
      <c r="G19" s="7"/>
      <c r="H19" s="7"/>
      <c r="I19" s="14"/>
    </row>
    <row r="20" spans="1:9">
      <c r="A20" s="20">
        <v>-0.01</v>
      </c>
      <c r="B20" s="19">
        <f>'02 付款额与敏感性'!B7*(1+A20)</f>
        <v>0</v>
      </c>
      <c r="C20" s="18">
        <f>B10*B18*B20/'02 付款额与敏感性'!B7+B10*(1-B18)</f>
        <v>0</v>
      </c>
      <c r="D20" s="18">
        <f>C20+B11</f>
        <v>0</v>
      </c>
      <c r="E20" s="21">
        <f>B9-D20</f>
        <v>0</v>
      </c>
      <c r="F20" s="15">
        <f>IF(B9=0,0,E20/B9)</f>
        <v>0</v>
      </c>
      <c r="G20" s="7"/>
      <c r="H20" s="7"/>
      <c r="I20" s="14"/>
    </row>
    <row r="21" spans="1:9">
      <c r="A21" s="20">
        <v>0</v>
      </c>
      <c r="B21" s="19">
        <f>'02 付款额与敏感性'!B7*(1+A21)</f>
        <v>0</v>
      </c>
      <c r="C21" s="18">
        <f>B10*B18*B21/'02 付款额与敏感性'!B7+B10*(1-B18)</f>
        <v>0</v>
      </c>
      <c r="D21" s="18">
        <f>C21+B11</f>
        <v>0</v>
      </c>
      <c r="E21" s="21">
        <f>B9-D21</f>
        <v>0</v>
      </c>
      <c r="F21" s="15">
        <f>IF(B9=0,0,E21/B9)</f>
        <v>0</v>
      </c>
      <c r="G21" s="7"/>
      <c r="H21" s="7"/>
      <c r="I21" s="14"/>
    </row>
    <row r="22" spans="1:9">
      <c r="A22" s="20">
        <v>0.01</v>
      </c>
      <c r="B22" s="19">
        <f>'02 付款额与敏感性'!B7*(1+A22)</f>
        <v>0</v>
      </c>
      <c r="C22" s="18">
        <f>B10*B18*B22/'02 付款额与敏感性'!B7+B10*(1-B18)</f>
        <v>0</v>
      </c>
      <c r="D22" s="18">
        <f>C22+B11</f>
        <v>0</v>
      </c>
      <c r="E22" s="21">
        <f>B9-D22</f>
        <v>0</v>
      </c>
      <c r="F22" s="15">
        <f>IF(B9=0,0,E22/B9)</f>
        <v>0</v>
      </c>
      <c r="G22" s="7"/>
      <c r="H22" s="7"/>
      <c r="I22" s="14"/>
    </row>
    <row r="23" spans="1:9">
      <c r="A23" s="20">
        <v>0.03</v>
      </c>
      <c r="B23" s="19">
        <f>'02 付款额与敏感性'!B7*(1+A23)</f>
        <v>0</v>
      </c>
      <c r="C23" s="18">
        <f>B10*B18*B23/'02 付款额与敏感性'!B7+B10*(1-B18)</f>
        <v>0</v>
      </c>
      <c r="D23" s="18">
        <f>C23+B11</f>
        <v>0</v>
      </c>
      <c r="E23" s="21">
        <f>B9-D23</f>
        <v>0</v>
      </c>
      <c r="F23" s="15">
        <f>IF(B9=0,0,E23/B9)</f>
        <v>0</v>
      </c>
      <c r="G23" s="7"/>
      <c r="H23" s="7"/>
      <c r="I23" s="14"/>
    </row>
    <row r="24" spans="1:9">
      <c r="A24" s="20">
        <v>0.05</v>
      </c>
      <c r="B24" s="19">
        <f>'02 付款额与敏感性'!B7*(1+A24)</f>
        <v>0</v>
      </c>
      <c r="C24" s="18">
        <f>B10*B18*B24/'02 付款额与敏感性'!B7+B10*(1-B18)</f>
        <v>0</v>
      </c>
      <c r="D24" s="18">
        <f>C24+B11</f>
        <v>0</v>
      </c>
      <c r="E24" s="21">
        <f>B9-D24</f>
        <v>0</v>
      </c>
      <c r="F24" s="15">
        <f>IF(B9=0,0,E24/B9)</f>
        <v>0</v>
      </c>
      <c r="G24" s="7"/>
      <c r="H24" s="7"/>
      <c r="I24" s="14"/>
    </row>
    <row r="26" spans="1:9">
      <c r="A26" s="3" t="s">
        <v>196</v>
      </c>
      <c r="B26" s="3"/>
      <c r="C26" s="3"/>
      <c r="D26" s="3"/>
      <c r="E26" s="3"/>
      <c r="F26" s="3"/>
      <c r="G26" s="3"/>
      <c r="H26" s="3"/>
      <c r="I26" s="3"/>
    </row>
    <row r="27" spans="1:9">
      <c r="A27" s="4" t="s">
        <v>197</v>
      </c>
      <c r="B27" s="4" t="s">
        <v>198</v>
      </c>
      <c r="C27" s="4" t="s">
        <v>199</v>
      </c>
      <c r="D27" s="4" t="s">
        <v>200</v>
      </c>
      <c r="E27" s="4" t="s">
        <v>201</v>
      </c>
      <c r="F27" s="4" t="s">
        <v>202</v>
      </c>
      <c r="G27" s="4"/>
      <c r="H27" s="4"/>
      <c r="I27" s="4" t="s">
        <v>126</v>
      </c>
    </row>
    <row r="28" spans="1:9">
      <c r="A28" s="20">
        <f>'01 参数与汇率'!B46</f>
        <v>0</v>
      </c>
      <c r="B28" s="22">
        <f>IF(OR(('03 到厂成本'!B6+'03 到厂成本'!B7+'03 到厂成本'!B8+'03 到厂成本'!B9+'03 到厂成本'!B11+'03 到厂成本'!B12+'03 到厂成本'!B14)&lt;=0,B14&lt;A28,(B9*(1-A28)-((B10-('03 到厂成本'!B6+'03 到厂成本'!B7+'03 到厂成本'!B8+'03 到厂成本'!B9+'03 到厂成本'!B11+'03 到厂成本'!B12+'03 到厂成本'!B14))+B11))&lt;=0),"",(B9*(1-A28)-((B10-('03 到厂成本'!B6+'03 到厂成本'!B7+'03 到厂成本'!B8+'03 到厂成本'!B9+'03 到厂成本'!B11+'03 到厂成本'!B12+'03 到厂成本'!B14))+B11))/('03 到厂成本'!B6+'03 到厂成本'!B7+'03 到厂成本'!B8+'03 到厂成本'!B9+'03 到厂成本'!B11+'03 到厂成本'!B12+'03 到厂成本'!B14))</f>
        <v>0</v>
      </c>
      <c r="C28" s="19">
        <f>IF(ISNUMBER(B28),'02 付款额与敏感性'!B7*B28,"")</f>
        <v>0</v>
      </c>
      <c r="D28" s="15">
        <f>IF(ISNUMBER(B28),B28-1,"")</f>
        <v>0</v>
      </c>
      <c r="E28" s="21">
        <f>IF(ISNUMBER(B28),(B28-1)*('03 到厂成本'!B6+'03 到厂成本'!B7+'03 到厂成本'!B8+'03 到厂成本'!B9+'03 到厂成本'!B11+'03 到厂成本'!B12+'03 到厂成本'!B14),"")</f>
        <v>0</v>
      </c>
      <c r="F28" s="7">
        <f>IF(B14&lt;A28,"不适用：基准毛利率已低于目标","适用")</f>
        <v>0</v>
      </c>
      <c r="G28" s="7"/>
      <c r="H28" s="7"/>
      <c r="I28" s="14" t="s">
        <v>203</v>
      </c>
    </row>
    <row r="29" spans="1:9">
      <c r="A29" s="20">
        <f>'01 参数与汇率'!B47</f>
        <v>0</v>
      </c>
      <c r="B29" s="22">
        <f>IF(OR(('03 到厂成本'!B6+'03 到厂成本'!B7+'03 到厂成本'!B8+'03 到厂成本'!B9+'03 到厂成本'!B11+'03 到厂成本'!B12+'03 到厂成本'!B14)&lt;=0,B14&lt;A29,(B9*(1-A29)-((B10-('03 到厂成本'!B6+'03 到厂成本'!B7+'03 到厂成本'!B8+'03 到厂成本'!B9+'03 到厂成本'!B11+'03 到厂成本'!B12+'03 到厂成本'!B14))+B11))&lt;=0),"",(B9*(1-A29)-((B10-('03 到厂成本'!B6+'03 到厂成本'!B7+'03 到厂成本'!B8+'03 到厂成本'!B9+'03 到厂成本'!B11+'03 到厂成本'!B12+'03 到厂成本'!B14))+B11))/('03 到厂成本'!B6+'03 到厂成本'!B7+'03 到厂成本'!B8+'03 到厂成本'!B9+'03 到厂成本'!B11+'03 到厂成本'!B12+'03 到厂成本'!B14))</f>
        <v>0</v>
      </c>
      <c r="C29" s="19">
        <f>IF(ISNUMBER(B29),'02 付款额与敏感性'!B7*B29,"")</f>
        <v>0</v>
      </c>
      <c r="D29" s="15">
        <f>IF(ISNUMBER(B29),B29-1,"")</f>
        <v>0</v>
      </c>
      <c r="E29" s="21">
        <f>IF(ISNUMBER(B29),(B29-1)*('03 到厂成本'!B6+'03 到厂成本'!B7+'03 到厂成本'!B8+'03 到厂成本'!B9+'03 到厂成本'!B11+'03 到厂成本'!B12+'03 到厂成本'!B14),"")</f>
        <v>0</v>
      </c>
      <c r="F29" s="7">
        <f>IF(B14&lt;A29,"不适用：基准毛利率已低于目标","适用")</f>
        <v>0</v>
      </c>
      <c r="G29" s="7"/>
      <c r="H29" s="7"/>
      <c r="I29" t="s">
        <v>203</v>
      </c>
    </row>
    <row r="30" spans="1:9">
      <c r="A30" s="20">
        <f>'01 参数与汇率'!B48</f>
        <v>0</v>
      </c>
      <c r="B30" s="22">
        <f>IF(OR(('03 到厂成本'!B6+'03 到厂成本'!B7+'03 到厂成本'!B8+'03 到厂成本'!B9+'03 到厂成本'!B11+'03 到厂成本'!B12+'03 到厂成本'!B14)&lt;=0,B14&lt;A30,(B9*(1-A30)-((B10-('03 到厂成本'!B6+'03 到厂成本'!B7+'03 到厂成本'!B8+'03 到厂成本'!B9+'03 到厂成本'!B11+'03 到厂成本'!B12+'03 到厂成本'!B14))+B11))&lt;=0),"",(B9*(1-A30)-((B10-('03 到厂成本'!B6+'03 到厂成本'!B7+'03 到厂成本'!B8+'03 到厂成本'!B9+'03 到厂成本'!B11+'03 到厂成本'!B12+'03 到厂成本'!B14))+B11))/('03 到厂成本'!B6+'03 到厂成本'!B7+'03 到厂成本'!B8+'03 到厂成本'!B9+'03 到厂成本'!B11+'03 到厂成本'!B12+'03 到厂成本'!B14))</f>
        <v>0</v>
      </c>
      <c r="C30" s="19">
        <f>IF(ISNUMBER(B30),'02 付款额与敏感性'!B7*B30,"")</f>
        <v>0</v>
      </c>
      <c r="D30" s="15">
        <f>IF(ISNUMBER(B30),B30-1,"")</f>
        <v>0</v>
      </c>
      <c r="E30" s="21">
        <f>IF(ISNUMBER(B30),(B30-1)*('03 到厂成本'!B6+'03 到厂成本'!B7+'03 到厂成本'!B8+'03 到厂成本'!B9+'03 到厂成本'!B11+'03 到厂成本'!B12+'03 到厂成本'!B14),"")</f>
        <v>0</v>
      </c>
      <c r="F30" s="7">
        <f>IF(B14&lt;A30,"不适用：基准毛利率已低于目标","适用")</f>
        <v>0</v>
      </c>
      <c r="G30" s="7"/>
      <c r="H30" s="7"/>
      <c r="I30" t="s">
        <v>203</v>
      </c>
    </row>
    <row r="32" spans="1:9">
      <c r="A32" s="17" t="s">
        <v>204</v>
      </c>
      <c r="B32" s="17"/>
      <c r="C32" s="17"/>
      <c r="D32" s="17"/>
      <c r="E32" s="17"/>
      <c r="F32" s="17"/>
      <c r="G32" s="17"/>
      <c r="H32" s="17"/>
      <c r="I32" s="17"/>
    </row>
    <row r="33" spans="1:9">
      <c r="A33" s="17"/>
      <c r="B33" s="17"/>
      <c r="C33" s="17"/>
      <c r="D33" s="17"/>
      <c r="E33" s="17"/>
      <c r="F33" s="17"/>
      <c r="G33" s="17"/>
      <c r="H33" s="17"/>
      <c r="I33" s="17"/>
    </row>
    <row r="34" spans="1:9">
      <c r="A34" s="17"/>
      <c r="B34" s="17"/>
      <c r="C34" s="17"/>
      <c r="D34" s="17"/>
      <c r="E34" s="17"/>
      <c r="F34" s="17"/>
      <c r="G34" s="17"/>
      <c r="H34" s="17"/>
      <c r="I34" s="17"/>
    </row>
  </sheetData>
  <mergeCells count="23">
    <mergeCell ref="A4:I4"/>
    <mergeCell ref="D6:H6"/>
    <mergeCell ref="D7:H7"/>
    <mergeCell ref="D8:H8"/>
    <mergeCell ref="D9:H9"/>
    <mergeCell ref="D10:H10"/>
    <mergeCell ref="D11:H11"/>
    <mergeCell ref="D12:H12"/>
    <mergeCell ref="D13:H13"/>
    <mergeCell ref="D14:H14"/>
    <mergeCell ref="A16:I16"/>
    <mergeCell ref="G18:H18"/>
    <mergeCell ref="G19:H19"/>
    <mergeCell ref="G20:H20"/>
    <mergeCell ref="G21:H21"/>
    <mergeCell ref="G22:H22"/>
    <mergeCell ref="G23:H23"/>
    <mergeCell ref="G24:H24"/>
    <mergeCell ref="A26:I26"/>
    <mergeCell ref="G28:H28"/>
    <mergeCell ref="G29:H29"/>
    <mergeCell ref="G30:H30"/>
    <mergeCell ref="A32:I34"/>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30.7109375" customWidth="1"/>
    <col min="2" max="11" width="15.7109375" customWidth="1"/>
    <col min="12" max="12" width="46.7109375" customWidth="1"/>
  </cols>
  <sheetData>
    <row r="1" spans="1:12">
      <c r="A1" s="1" t="s">
        <v>205</v>
      </c>
    </row>
    <row r="2" spans="1:12">
      <c r="A2" s="2" t="s">
        <v>206</v>
      </c>
    </row>
    <row r="4" spans="1:12">
      <c r="A4" s="3" t="s">
        <v>207</v>
      </c>
      <c r="B4" s="3"/>
      <c r="C4" s="3"/>
      <c r="D4" s="3"/>
      <c r="E4" s="3"/>
      <c r="F4" s="3"/>
      <c r="G4" s="3"/>
      <c r="H4" s="3"/>
      <c r="I4" s="3"/>
      <c r="J4" s="3"/>
      <c r="K4" s="3"/>
      <c r="L4" s="3"/>
    </row>
    <row r="5" spans="1:12">
      <c r="A5" s="4" t="s">
        <v>99</v>
      </c>
      <c r="B5" s="4" t="s">
        <v>208</v>
      </c>
      <c r="C5" s="4" t="s">
        <v>209</v>
      </c>
      <c r="D5" s="4" t="s">
        <v>210</v>
      </c>
      <c r="E5" s="4" t="s">
        <v>211</v>
      </c>
      <c r="F5" s="4" t="s">
        <v>212</v>
      </c>
      <c r="G5" s="4"/>
      <c r="H5" s="4"/>
      <c r="I5" s="4"/>
      <c r="J5" s="4"/>
      <c r="K5" s="4"/>
      <c r="L5" s="4" t="s">
        <v>126</v>
      </c>
    </row>
    <row r="6" spans="1:12">
      <c r="A6" s="7">
        <f>'01 参数与汇率'!A53</f>
        <v>0</v>
      </c>
      <c r="B6" s="20">
        <f>'01 参数与汇率'!B53</f>
        <v>0</v>
      </c>
      <c r="C6" s="18">
        <f>'02 付款额与敏感性'!B6*B6</f>
        <v>0</v>
      </c>
      <c r="D6" s="19">
        <f>IF('01 参数与汇率'!D53="",'02 付款额与敏感性'!B7,'01 参数与汇率'!D53)</f>
        <v>0</v>
      </c>
      <c r="E6" s="18">
        <f>C6*D6</f>
        <v>0</v>
      </c>
      <c r="F6" s="7">
        <f>IF('01 参数与汇率'!B56="","",TEXT('01 参数与汇率'!B56+'01 参数与汇率'!C53,"yyyy-mm-dd"))</f>
        <v>0</v>
      </c>
      <c r="G6" s="7"/>
      <c r="H6" s="7"/>
      <c r="I6" s="7"/>
      <c r="J6" s="7"/>
      <c r="K6" s="7"/>
      <c r="L6" s="14" t="s">
        <v>213</v>
      </c>
    </row>
    <row r="7" spans="1:12">
      <c r="A7" s="7">
        <f>'01 参数与汇率'!A54</f>
        <v>0</v>
      </c>
      <c r="B7" s="20">
        <f>'01 参数与汇率'!B54</f>
        <v>0</v>
      </c>
      <c r="C7" s="18">
        <f>'02 付款额与敏感性'!B6*B7</f>
        <v>0</v>
      </c>
      <c r="D7" s="19">
        <f>IF('01 参数与汇率'!D54="",'02 付款额与敏感性'!B7,'01 参数与汇率'!D54)</f>
        <v>0</v>
      </c>
      <c r="E7" s="18">
        <f>C7*D7</f>
        <v>0</v>
      </c>
      <c r="F7" s="7">
        <f>IF('01 参数与汇率'!B56="","",TEXT('01 参数与汇率'!B56+'01 参数与汇率'!C54,"yyyy-mm-dd"))</f>
        <v>0</v>
      </c>
      <c r="G7" s="7"/>
      <c r="H7" s="7"/>
      <c r="I7" s="7"/>
      <c r="J7" s="7"/>
      <c r="K7" s="7"/>
      <c r="L7" t="s">
        <v>213</v>
      </c>
    </row>
    <row r="8" spans="1:12">
      <c r="A8" s="23" t="s">
        <v>214</v>
      </c>
      <c r="B8" s="13">
        <f>SUM(B6:B7)</f>
        <v>0</v>
      </c>
      <c r="C8" s="13">
        <f>SUM(C6:C7)</f>
        <v>0</v>
      </c>
      <c r="D8" s="13"/>
      <c r="E8" s="13">
        <f>SUM(E6:E7)</f>
        <v>0</v>
      </c>
      <c r="F8" s="13"/>
      <c r="G8" s="13"/>
      <c r="H8" s="13"/>
      <c r="I8" s="13"/>
      <c r="J8" s="13"/>
      <c r="K8" s="13"/>
      <c r="L8" s="14">
        <f>SUM(各批次)</f>
        <v>0</v>
      </c>
    </row>
    <row r="10" spans="1:12">
      <c r="A10" s="3" t="s">
        <v>215</v>
      </c>
      <c r="B10" s="3"/>
      <c r="C10" s="3"/>
      <c r="D10" s="3"/>
      <c r="E10" s="3"/>
      <c r="F10" s="3"/>
      <c r="G10" s="3"/>
      <c r="H10" s="3"/>
      <c r="I10" s="3"/>
      <c r="J10" s="3"/>
      <c r="K10" s="3"/>
      <c r="L10" s="3"/>
    </row>
    <row r="11" spans="1:12">
      <c r="A11" s="4" t="s">
        <v>120</v>
      </c>
      <c r="B11" s="4" t="s">
        <v>121</v>
      </c>
      <c r="C11" s="4" t="s">
        <v>216</v>
      </c>
      <c r="D11" s="4" t="s">
        <v>217</v>
      </c>
      <c r="E11" s="4" t="s">
        <v>214</v>
      </c>
      <c r="F11" s="4" t="s">
        <v>218</v>
      </c>
      <c r="G11" s="4" t="s">
        <v>124</v>
      </c>
      <c r="H11" s="4"/>
      <c r="I11" s="4"/>
      <c r="J11" s="4"/>
      <c r="K11" s="4"/>
      <c r="L11" s="4" t="s">
        <v>126</v>
      </c>
    </row>
    <row r="12" spans="1:12">
      <c r="A12" s="20">
        <v>-0.05</v>
      </c>
      <c r="B12" s="19">
        <f>'02 付款额与敏感性'!B7*(1+A12)</f>
        <v>0</v>
      </c>
      <c r="C12" s="18">
        <f>C6*IF('01 参数与汇率'!D53="",B12,'01 参数与汇率'!D53)</f>
        <v>0</v>
      </c>
      <c r="D12" s="18">
        <f>C7*IF('01 参数与汇率'!D54="",B12,'01 参数与汇率'!D54)</f>
        <v>0</v>
      </c>
      <c r="E12" s="18">
        <f>C12+D12</f>
        <v>0</v>
      </c>
      <c r="F12" s="21">
        <f>E12-$E8</f>
        <v>0</v>
      </c>
      <c r="G12" s="15">
        <f>IF($E8=0,0,E12/$E8-1)</f>
        <v>0</v>
      </c>
      <c r="H12" s="7"/>
      <c r="I12" s="7"/>
      <c r="J12" s="7"/>
      <c r="K12" s="7"/>
      <c r="L12" s="14" t="s">
        <v>219</v>
      </c>
    </row>
    <row r="13" spans="1:12">
      <c r="A13" s="20">
        <v>-0.03</v>
      </c>
      <c r="B13" s="19">
        <f>'02 付款额与敏感性'!B7*(1+A13)</f>
        <v>0</v>
      </c>
      <c r="C13" s="18">
        <f>C6*IF('01 参数与汇率'!D53="",B13,'01 参数与汇率'!D53)</f>
        <v>0</v>
      </c>
      <c r="D13" s="18">
        <f>C7*IF('01 参数与汇率'!D54="",B13,'01 参数与汇率'!D54)</f>
        <v>0</v>
      </c>
      <c r="E13" s="18">
        <f>C13+D13</f>
        <v>0</v>
      </c>
      <c r="F13" s="21">
        <f>E13-$E8</f>
        <v>0</v>
      </c>
      <c r="G13" s="15">
        <f>IF($E8=0,0,E13/$E8-1)</f>
        <v>0</v>
      </c>
      <c r="H13" s="7"/>
      <c r="I13" s="7"/>
      <c r="J13" s="7"/>
      <c r="K13" s="7"/>
      <c r="L13" s="14"/>
    </row>
    <row r="14" spans="1:12">
      <c r="A14" s="20">
        <v>-0.01</v>
      </c>
      <c r="B14" s="19">
        <f>'02 付款额与敏感性'!B7*(1+A14)</f>
        <v>0</v>
      </c>
      <c r="C14" s="18">
        <f>C6*IF('01 参数与汇率'!D53="",B14,'01 参数与汇率'!D53)</f>
        <v>0</v>
      </c>
      <c r="D14" s="18">
        <f>C7*IF('01 参数与汇率'!D54="",B14,'01 参数与汇率'!D54)</f>
        <v>0</v>
      </c>
      <c r="E14" s="18">
        <f>C14+D14</f>
        <v>0</v>
      </c>
      <c r="F14" s="21">
        <f>E14-$E8</f>
        <v>0</v>
      </c>
      <c r="G14" s="15">
        <f>IF($E8=0,0,E14/$E8-1)</f>
        <v>0</v>
      </c>
      <c r="H14" s="7"/>
      <c r="I14" s="7"/>
      <c r="J14" s="7"/>
      <c r="K14" s="7"/>
      <c r="L14" s="14"/>
    </row>
    <row r="15" spans="1:12">
      <c r="A15" s="20">
        <v>0</v>
      </c>
      <c r="B15" s="19">
        <f>'02 付款额与敏感性'!B7*(1+A15)</f>
        <v>0</v>
      </c>
      <c r="C15" s="18">
        <f>C6*IF('01 参数与汇率'!D53="",B15,'01 参数与汇率'!D53)</f>
        <v>0</v>
      </c>
      <c r="D15" s="18">
        <f>C7*IF('01 参数与汇率'!D54="",B15,'01 参数与汇率'!D54)</f>
        <v>0</v>
      </c>
      <c r="E15" s="18">
        <f>C15+D15</f>
        <v>0</v>
      </c>
      <c r="F15" s="21">
        <f>E15-$E8</f>
        <v>0</v>
      </c>
      <c r="G15" s="15">
        <f>IF($E8=0,0,E15/$E8-1)</f>
        <v>0</v>
      </c>
      <c r="H15" s="7"/>
      <c r="I15" s="7"/>
      <c r="J15" s="7"/>
      <c r="K15" s="7"/>
      <c r="L15" s="14"/>
    </row>
    <row r="16" spans="1:12">
      <c r="A16" s="20">
        <v>0.01</v>
      </c>
      <c r="B16" s="19">
        <f>'02 付款额与敏感性'!B7*(1+A16)</f>
        <v>0</v>
      </c>
      <c r="C16" s="18">
        <f>C6*IF('01 参数与汇率'!D53="",B16,'01 参数与汇率'!D53)</f>
        <v>0</v>
      </c>
      <c r="D16" s="18">
        <f>C7*IF('01 参数与汇率'!D54="",B16,'01 参数与汇率'!D54)</f>
        <v>0</v>
      </c>
      <c r="E16" s="18">
        <f>C16+D16</f>
        <v>0</v>
      </c>
      <c r="F16" s="21">
        <f>E16-$E8</f>
        <v>0</v>
      </c>
      <c r="G16" s="15">
        <f>IF($E8=0,0,E16/$E8-1)</f>
        <v>0</v>
      </c>
      <c r="H16" s="7"/>
      <c r="I16" s="7"/>
      <c r="J16" s="7"/>
      <c r="K16" s="7"/>
      <c r="L16" s="14"/>
    </row>
    <row r="17" spans="1:12">
      <c r="A17" s="20">
        <v>0.03</v>
      </c>
      <c r="B17" s="19">
        <f>'02 付款额与敏感性'!B7*(1+A17)</f>
        <v>0</v>
      </c>
      <c r="C17" s="18">
        <f>C6*IF('01 参数与汇率'!D53="",B17,'01 参数与汇率'!D53)</f>
        <v>0</v>
      </c>
      <c r="D17" s="18">
        <f>C7*IF('01 参数与汇率'!D54="",B17,'01 参数与汇率'!D54)</f>
        <v>0</v>
      </c>
      <c r="E17" s="18">
        <f>C17+D17</f>
        <v>0</v>
      </c>
      <c r="F17" s="21">
        <f>E17-$E8</f>
        <v>0</v>
      </c>
      <c r="G17" s="15">
        <f>IF($E8=0,0,E17/$E8-1)</f>
        <v>0</v>
      </c>
      <c r="H17" s="7"/>
      <c r="I17" s="7"/>
      <c r="J17" s="7"/>
      <c r="K17" s="7"/>
      <c r="L17" s="14"/>
    </row>
    <row r="18" spans="1:12">
      <c r="A18" s="20">
        <v>0.05</v>
      </c>
      <c r="B18" s="19">
        <f>'02 付款额与敏感性'!B7*(1+A18)</f>
        <v>0</v>
      </c>
      <c r="C18" s="18">
        <f>C6*IF('01 参数与汇率'!D53="",B18,'01 参数与汇率'!D53)</f>
        <v>0</v>
      </c>
      <c r="D18" s="18">
        <f>C7*IF('01 参数与汇率'!D54="",B18,'01 参数与汇率'!D54)</f>
        <v>0</v>
      </c>
      <c r="E18" s="18">
        <f>C18+D18</f>
        <v>0</v>
      </c>
      <c r="F18" s="21">
        <f>E18-$E8</f>
        <v>0</v>
      </c>
      <c r="G18" s="15">
        <f>IF($E8=0,0,E18/$E8-1)</f>
        <v>0</v>
      </c>
      <c r="H18" s="7"/>
      <c r="I18" s="7"/>
      <c r="J18" s="7"/>
      <c r="K18" s="7"/>
      <c r="L18" s="14"/>
    </row>
    <row r="20" spans="1:12">
      <c r="A20" s="17" t="s">
        <v>220</v>
      </c>
      <c r="B20" s="17"/>
      <c r="C20" s="17"/>
      <c r="D20" s="17"/>
      <c r="E20" s="17"/>
      <c r="F20" s="17"/>
      <c r="G20" s="17"/>
      <c r="H20" s="17"/>
      <c r="I20" s="17"/>
      <c r="J20" s="17"/>
      <c r="K20" s="17"/>
      <c r="L20" s="17"/>
    </row>
    <row r="21" spans="1:12">
      <c r="A21" s="17"/>
      <c r="B21" s="17"/>
      <c r="C21" s="17"/>
      <c r="D21" s="17"/>
      <c r="E21" s="17"/>
      <c r="F21" s="17"/>
      <c r="G21" s="17"/>
      <c r="H21" s="17"/>
      <c r="I21" s="17"/>
      <c r="J21" s="17"/>
      <c r="K21" s="17"/>
      <c r="L21" s="17"/>
    </row>
  </sheetData>
  <mergeCells count="13">
    <mergeCell ref="A4:L4"/>
    <mergeCell ref="G6:K6"/>
    <mergeCell ref="G7:K7"/>
    <mergeCell ref="F8:K8"/>
    <mergeCell ref="A10:L10"/>
    <mergeCell ref="H12:K12"/>
    <mergeCell ref="H13:K13"/>
    <mergeCell ref="H14:K14"/>
    <mergeCell ref="H15:K15"/>
    <mergeCell ref="H16:K16"/>
    <mergeCell ref="H17:K17"/>
    <mergeCell ref="H18:K18"/>
    <mergeCell ref="A20:L2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745"/>
  <sheetViews>
    <sheetView workbookViewId="0">
      <pane ySplit="2" topLeftCell="A3" activePane="bottomLeft" state="frozen"/>
      <selection pane="bottomLeft"/>
    </sheetView>
  </sheetViews>
  <sheetFormatPr defaultRowHeight="15"/>
  <cols>
    <col min="1" max="1" width="14.7109375" customWidth="1"/>
    <col min="2" max="4" width="16.7109375" customWidth="1"/>
    <col min="5" max="9" width="20.7109375" customWidth="1"/>
  </cols>
  <sheetData>
    <row r="1" spans="1:13">
      <c r="A1" s="1" t="s">
        <v>221</v>
      </c>
    </row>
    <row r="2" spans="1:13">
      <c r="A2" s="2" t="s">
        <v>222</v>
      </c>
      <c r="L2" s="4" t="s">
        <v>39</v>
      </c>
      <c r="M2" s="4" t="s">
        <v>128</v>
      </c>
    </row>
    <row r="3" spans="1:13">
      <c r="L3" s="24">
        <v>43830</v>
      </c>
      <c r="M3" s="19">
        <v>6.9615</v>
      </c>
    </row>
    <row r="4" spans="1:13">
      <c r="A4" s="3" t="s">
        <v>223</v>
      </c>
      <c r="B4" s="3"/>
      <c r="C4" s="3"/>
      <c r="D4" s="3"/>
      <c r="E4" s="3"/>
      <c r="F4" s="3"/>
      <c r="G4" s="3"/>
      <c r="H4" s="3"/>
      <c r="I4" s="3"/>
      <c r="L4" s="24">
        <v>43832</v>
      </c>
      <c r="M4" s="19">
        <v>6.9638</v>
      </c>
    </row>
    <row r="5" spans="1:13">
      <c r="A5" s="4" t="s">
        <v>224</v>
      </c>
      <c r="B5" s="4" t="s">
        <v>225</v>
      </c>
      <c r="C5" s="4" t="s">
        <v>226</v>
      </c>
      <c r="D5" s="4" t="s">
        <v>227</v>
      </c>
      <c r="E5" s="4" t="s">
        <v>228</v>
      </c>
      <c r="F5" s="4" t="s">
        <v>229</v>
      </c>
      <c r="G5" s="4" t="s">
        <v>230</v>
      </c>
      <c r="H5" s="4" t="s">
        <v>231</v>
      </c>
      <c r="I5" s="4" t="s">
        <v>63</v>
      </c>
      <c r="L5" s="24">
        <v>43833</v>
      </c>
      <c r="M5" s="19">
        <v>6.9716</v>
      </c>
    </row>
    <row r="6" spans="1:13">
      <c r="A6" s="5" t="s">
        <v>232</v>
      </c>
      <c r="B6" s="24">
        <v>45949</v>
      </c>
      <c r="C6" s="18">
        <f>COUNTIFS($L$3:$L$1745,"&gt;="&amp;B6)</f>
        <v>0</v>
      </c>
      <c r="D6" s="19">
        <f>MINIFS($M$3:$M$1745,$L$3:$L$1745,"&gt;="&amp;B6)</f>
        <v>0</v>
      </c>
      <c r="E6" s="19">
        <f>MAXIFS($M$3:$M$1745,$L$3:$L$1745,"&gt;="&amp;B6)</f>
        <v>0</v>
      </c>
      <c r="F6" s="19">
        <f>AVERAGEIFS($M$3:$M$1745,$L$3:$L$1745,"&gt;="&amp;B6)</f>
        <v>0</v>
      </c>
      <c r="G6" s="15">
        <f>IF(C6=0,0,COUNTIFS($M$3:$M$1745,"&lt;="&amp;'01 参数与汇率'!B20,$L$3:$L$1745,"&gt;="&amp;B6)/C6)</f>
        <v>0</v>
      </c>
      <c r="H6" s="15">
        <f>IF(C6=0,0,COUNTIFS($M$3:$M$1745,"&lt;="&amp;'01 参数与汇率'!B19,$L$3:$L$1745,"&gt;="&amp;B6)/C6)</f>
        <v>0</v>
      </c>
      <c r="I6" s="7" t="s">
        <v>233</v>
      </c>
      <c r="L6" s="24">
        <v>43836</v>
      </c>
      <c r="M6" s="19">
        <v>6.9724</v>
      </c>
    </row>
    <row r="7" spans="1:13">
      <c r="A7" s="5" t="s">
        <v>234</v>
      </c>
      <c r="B7" s="24">
        <v>45218</v>
      </c>
      <c r="C7" s="18">
        <f>COUNTIFS($L$3:$L$1745,"&gt;="&amp;B7)</f>
        <v>0</v>
      </c>
      <c r="D7" s="19">
        <f>MINIFS($M$3:$M$1745,$L$3:$L$1745,"&gt;="&amp;B7)</f>
        <v>0</v>
      </c>
      <c r="E7" s="19">
        <f>MAXIFS($M$3:$M$1745,$L$3:$L$1745,"&gt;="&amp;B7)</f>
        <v>0</v>
      </c>
      <c r="F7" s="19">
        <f>AVERAGEIFS($M$3:$M$1745,$L$3:$L$1745,"&gt;="&amp;B7)</f>
        <v>0</v>
      </c>
      <c r="G7" s="15">
        <f>IF(C7=0,0,COUNTIFS($M$3:$M$1745,"&lt;="&amp;'01 参数与汇率'!B20,$L$3:$L$1745,"&gt;="&amp;B7)/C7)</f>
        <v>0</v>
      </c>
      <c r="H7" s="15">
        <f>IF(C7=0,0,COUNTIFS($M$3:$M$1745,"&lt;="&amp;'01 参数与汇率'!B19,$L$3:$L$1745,"&gt;="&amp;B7)/C7)</f>
        <v>0</v>
      </c>
      <c r="I7" s="7" t="s">
        <v>233</v>
      </c>
      <c r="L7" s="24">
        <v>43837</v>
      </c>
      <c r="M7" s="19">
        <v>6.9425</v>
      </c>
    </row>
    <row r="8" spans="1:13">
      <c r="A8" s="5" t="s">
        <v>235</v>
      </c>
      <c r="B8" s="24">
        <v>44488</v>
      </c>
      <c r="C8" s="18">
        <f>COUNTIFS($L$3:$L$1745,"&gt;="&amp;B8)</f>
        <v>0</v>
      </c>
      <c r="D8" s="19">
        <f>MINIFS($M$3:$M$1745,$L$3:$L$1745,"&gt;="&amp;B8)</f>
        <v>0</v>
      </c>
      <c r="E8" s="19">
        <f>MAXIFS($M$3:$M$1745,$L$3:$L$1745,"&gt;="&amp;B8)</f>
        <v>0</v>
      </c>
      <c r="F8" s="19">
        <f>AVERAGEIFS($M$3:$M$1745,$L$3:$L$1745,"&gt;="&amp;B8)</f>
        <v>0</v>
      </c>
      <c r="G8" s="15">
        <f>IF(C8=0,0,COUNTIFS($M$3:$M$1745,"&lt;="&amp;'01 参数与汇率'!B20,$L$3:$L$1745,"&gt;="&amp;B8)/C8)</f>
        <v>0</v>
      </c>
      <c r="H8" s="15">
        <f>IF(C8=0,0,COUNTIFS($M$3:$M$1745,"&lt;="&amp;'01 参数与汇率'!B19,$L$3:$L$1745,"&gt;="&amp;B8)/C8)</f>
        <v>0</v>
      </c>
      <c r="I8" s="7" t="s">
        <v>233</v>
      </c>
      <c r="L8" s="24">
        <v>43838</v>
      </c>
      <c r="M8" s="19">
        <v>6.9441</v>
      </c>
    </row>
    <row r="9" spans="1:13">
      <c r="A9" s="5" t="s">
        <v>236</v>
      </c>
      <c r="B9" s="7" t="s">
        <v>237</v>
      </c>
      <c r="C9" s="18">
        <f>COUNT($M$3:$M$1745)</f>
        <v>0</v>
      </c>
      <c r="D9" s="19">
        <f>MIN($M$3:$M$1745)</f>
        <v>0</v>
      </c>
      <c r="E9" s="19">
        <f>MAX($M$3:$M$1745)</f>
        <v>0</v>
      </c>
      <c r="F9" s="19">
        <f>AVERAGE($M$3:$M$1745)</f>
        <v>0</v>
      </c>
      <c r="G9" s="15">
        <f>COUNTIFS($M$3:$M$1745,"&lt;="&amp;'01 参数与汇率'!B20)/C9</f>
        <v>0</v>
      </c>
      <c r="H9" s="15">
        <f>COUNTIFS($M$3:$M$1745,"&lt;="&amp;'01 参数与汇率'!B19)/C9</f>
        <v>0</v>
      </c>
      <c r="I9" s="7"/>
      <c r="L9" s="24">
        <v>43839</v>
      </c>
      <c r="M9" s="19">
        <v>6.9317</v>
      </c>
    </row>
    <row r="10" spans="1:13">
      <c r="L10" s="24">
        <v>43840</v>
      </c>
      <c r="M10" s="19">
        <v>6.9221</v>
      </c>
    </row>
    <row r="11" spans="1:13">
      <c r="A11" s="17" t="s">
        <v>238</v>
      </c>
      <c r="B11" s="17"/>
      <c r="C11" s="17"/>
      <c r="D11" s="17"/>
      <c r="E11" s="17"/>
      <c r="F11" s="17"/>
      <c r="G11" s="17"/>
      <c r="H11" s="17"/>
      <c r="I11" s="17"/>
      <c r="L11" s="24">
        <v>43843</v>
      </c>
      <c r="M11" s="19">
        <v>6.8935</v>
      </c>
    </row>
    <row r="12" spans="1:13">
      <c r="A12" s="17"/>
      <c r="B12" s="17"/>
      <c r="C12" s="17"/>
      <c r="D12" s="17"/>
      <c r="E12" s="17"/>
      <c r="F12" s="17"/>
      <c r="G12" s="17"/>
      <c r="H12" s="17"/>
      <c r="I12" s="17"/>
      <c r="L12" s="24">
        <v>43844</v>
      </c>
      <c r="M12" s="19">
        <v>6.8858</v>
      </c>
    </row>
    <row r="13" spans="1:13">
      <c r="A13" s="17"/>
      <c r="B13" s="17"/>
      <c r="C13" s="17"/>
      <c r="D13" s="17"/>
      <c r="E13" s="17"/>
      <c r="F13" s="17"/>
      <c r="G13" s="17"/>
      <c r="H13" s="17"/>
      <c r="I13" s="17"/>
      <c r="L13" s="24">
        <v>43845</v>
      </c>
      <c r="M13" s="19">
        <v>6.888</v>
      </c>
    </row>
    <row r="14" spans="1:13">
      <c r="L14" s="24">
        <v>43846</v>
      </c>
      <c r="M14" s="19">
        <v>6.8795</v>
      </c>
    </row>
    <row r="15" spans="1:13">
      <c r="L15" s="24">
        <v>43847</v>
      </c>
      <c r="M15" s="19">
        <v>6.8587</v>
      </c>
    </row>
    <row r="16" spans="1:13">
      <c r="L16" s="24">
        <v>43850</v>
      </c>
      <c r="M16" s="19">
        <v>6.8662</v>
      </c>
    </row>
    <row r="17" spans="12:13">
      <c r="L17" s="24">
        <v>43851</v>
      </c>
      <c r="M17" s="19">
        <v>6.9035</v>
      </c>
    </row>
    <row r="18" spans="12:13">
      <c r="L18" s="24">
        <v>43852</v>
      </c>
      <c r="M18" s="19">
        <v>6.9021</v>
      </c>
    </row>
    <row r="19" spans="12:13">
      <c r="L19" s="24">
        <v>43853</v>
      </c>
      <c r="M19" s="19">
        <v>6.9333</v>
      </c>
    </row>
    <row r="20" spans="12:13">
      <c r="L20" s="24">
        <v>43854</v>
      </c>
      <c r="M20" s="19">
        <v>6.9333</v>
      </c>
    </row>
    <row r="21" spans="12:13">
      <c r="L21" s="24">
        <v>43857</v>
      </c>
      <c r="M21" s="19">
        <v>6.9367</v>
      </c>
    </row>
    <row r="22" spans="12:13">
      <c r="L22" s="24">
        <v>43858</v>
      </c>
      <c r="M22" s="19">
        <v>6.9367</v>
      </c>
    </row>
    <row r="23" spans="12:13">
      <c r="L23" s="24">
        <v>43859</v>
      </c>
      <c r="M23" s="19">
        <v>6.9366</v>
      </c>
    </row>
    <row r="24" spans="12:13">
      <c r="L24" s="24">
        <v>43860</v>
      </c>
      <c r="M24" s="19">
        <v>6.9366</v>
      </c>
    </row>
    <row r="25" spans="12:13">
      <c r="L25" s="24">
        <v>43861</v>
      </c>
      <c r="M25" s="19">
        <v>6.9367</v>
      </c>
    </row>
    <row r="26" spans="12:13">
      <c r="L26" s="24">
        <v>43864</v>
      </c>
      <c r="M26" s="19">
        <v>7.0198</v>
      </c>
    </row>
    <row r="27" spans="12:13">
      <c r="L27" s="24">
        <v>43865</v>
      </c>
      <c r="M27" s="19">
        <v>6.9966</v>
      </c>
    </row>
    <row r="28" spans="12:13">
      <c r="L28" s="24">
        <v>43866</v>
      </c>
      <c r="M28" s="19">
        <v>6.9725</v>
      </c>
    </row>
    <row r="29" spans="12:13">
      <c r="L29" s="24">
        <v>43867</v>
      </c>
      <c r="M29" s="19">
        <v>6.9686</v>
      </c>
    </row>
    <row r="30" spans="12:13">
      <c r="L30" s="24">
        <v>43868</v>
      </c>
      <c r="M30" s="19">
        <v>6.9934</v>
      </c>
    </row>
    <row r="31" spans="12:13">
      <c r="L31" s="24">
        <v>43871</v>
      </c>
      <c r="M31" s="19">
        <v>6.983</v>
      </c>
    </row>
    <row r="32" spans="12:13">
      <c r="L32" s="24">
        <v>43872</v>
      </c>
      <c r="M32" s="19">
        <v>6.9741</v>
      </c>
    </row>
    <row r="33" spans="12:13">
      <c r="L33" s="24">
        <v>43873</v>
      </c>
      <c r="M33" s="19">
        <v>6.9702</v>
      </c>
    </row>
    <row r="34" spans="12:13">
      <c r="L34" s="24">
        <v>43874</v>
      </c>
      <c r="M34" s="19">
        <v>6.9835</v>
      </c>
    </row>
    <row r="35" spans="12:13">
      <c r="L35" s="24">
        <v>43875</v>
      </c>
      <c r="M35" s="19">
        <v>6.9874</v>
      </c>
    </row>
    <row r="36" spans="12:13">
      <c r="L36" s="24">
        <v>43878</v>
      </c>
      <c r="M36" s="19">
        <v>6.9815</v>
      </c>
    </row>
    <row r="37" spans="12:13">
      <c r="L37" s="24">
        <v>43879</v>
      </c>
      <c r="M37" s="19">
        <v>7.0018</v>
      </c>
    </row>
    <row r="38" spans="12:13">
      <c r="L38" s="24">
        <v>43880</v>
      </c>
      <c r="M38" s="19">
        <v>6.9943</v>
      </c>
    </row>
    <row r="39" spans="12:13">
      <c r="L39" s="24">
        <v>43881</v>
      </c>
      <c r="M39" s="19">
        <v>7.0238</v>
      </c>
    </row>
    <row r="40" spans="12:13">
      <c r="L40" s="24">
        <v>43882</v>
      </c>
      <c r="M40" s="19">
        <v>7.0313</v>
      </c>
    </row>
    <row r="41" spans="12:13">
      <c r="L41" s="24">
        <v>43885</v>
      </c>
      <c r="M41" s="19">
        <v>7.0348</v>
      </c>
    </row>
    <row r="42" spans="12:13">
      <c r="L42" s="24">
        <v>43886</v>
      </c>
      <c r="M42" s="19">
        <v>7.0152</v>
      </c>
    </row>
    <row r="43" spans="12:13">
      <c r="L43" s="24">
        <v>43887</v>
      </c>
      <c r="M43" s="19">
        <v>7.0188</v>
      </c>
    </row>
    <row r="44" spans="12:13">
      <c r="L44" s="24">
        <v>43888</v>
      </c>
      <c r="M44" s="19">
        <v>7.0059</v>
      </c>
    </row>
    <row r="45" spans="12:13">
      <c r="L45" s="24">
        <v>43889</v>
      </c>
      <c r="M45" s="19">
        <v>6.9839</v>
      </c>
    </row>
    <row r="46" spans="12:13">
      <c r="L46" s="24">
        <v>43892</v>
      </c>
      <c r="M46" s="19">
        <v>6.9654</v>
      </c>
    </row>
    <row r="47" spans="12:13">
      <c r="L47" s="24">
        <v>43893</v>
      </c>
      <c r="M47" s="19">
        <v>6.9778</v>
      </c>
    </row>
    <row r="48" spans="12:13">
      <c r="L48" s="24">
        <v>43894</v>
      </c>
      <c r="M48" s="19">
        <v>6.9226</v>
      </c>
    </row>
    <row r="49" spans="12:13">
      <c r="L49" s="24">
        <v>43895</v>
      </c>
      <c r="M49" s="19">
        <v>6.9347</v>
      </c>
    </row>
    <row r="50" spans="12:13">
      <c r="L50" s="24">
        <v>43896</v>
      </c>
      <c r="M50" s="19">
        <v>6.9258</v>
      </c>
    </row>
    <row r="51" spans="12:13">
      <c r="L51" s="24">
        <v>43899</v>
      </c>
      <c r="M51" s="19">
        <v>6.9483</v>
      </c>
    </row>
    <row r="52" spans="12:13">
      <c r="L52" s="24">
        <v>43900</v>
      </c>
      <c r="M52" s="19">
        <v>6.957</v>
      </c>
    </row>
    <row r="53" spans="12:13">
      <c r="L53" s="24">
        <v>43901</v>
      </c>
      <c r="M53" s="19">
        <v>6.9514</v>
      </c>
    </row>
    <row r="54" spans="12:13">
      <c r="L54" s="24">
        <v>43902</v>
      </c>
      <c r="M54" s="19">
        <v>7.0175</v>
      </c>
    </row>
    <row r="55" spans="12:13">
      <c r="L55" s="24">
        <v>43903</v>
      </c>
      <c r="M55" s="19">
        <v>6.9873</v>
      </c>
    </row>
    <row r="56" spans="12:13">
      <c r="L56" s="24">
        <v>43906</v>
      </c>
      <c r="M56" s="19">
        <v>7.0226</v>
      </c>
    </row>
    <row r="57" spans="12:13">
      <c r="L57" s="24">
        <v>43907</v>
      </c>
      <c r="M57" s="19">
        <v>7.0201</v>
      </c>
    </row>
    <row r="58" spans="12:13">
      <c r="L58" s="24">
        <v>43908</v>
      </c>
      <c r="M58" s="19">
        <v>7.0354</v>
      </c>
    </row>
    <row r="59" spans="12:13">
      <c r="L59" s="24">
        <v>43909</v>
      </c>
      <c r="M59" s="19">
        <v>7.115</v>
      </c>
    </row>
    <row r="60" spans="12:13">
      <c r="L60" s="24">
        <v>43910</v>
      </c>
      <c r="M60" s="19">
        <v>7.0906</v>
      </c>
    </row>
    <row r="61" spans="12:13">
      <c r="L61" s="24">
        <v>43913</v>
      </c>
      <c r="M61" s="19">
        <v>7.0838</v>
      </c>
    </row>
    <row r="62" spans="12:13">
      <c r="L62" s="24">
        <v>43914</v>
      </c>
      <c r="M62" s="19">
        <v>7.0598</v>
      </c>
    </row>
    <row r="63" spans="12:13">
      <c r="L63" s="24">
        <v>43915</v>
      </c>
      <c r="M63" s="19">
        <v>7.0974</v>
      </c>
    </row>
    <row r="64" spans="12:13">
      <c r="L64" s="24">
        <v>43916</v>
      </c>
      <c r="M64" s="19">
        <v>7.0736</v>
      </c>
    </row>
    <row r="65" spans="12:13">
      <c r="L65" s="24">
        <v>43917</v>
      </c>
      <c r="M65" s="19">
        <v>7.0961</v>
      </c>
    </row>
    <row r="66" spans="12:13">
      <c r="L66" s="24">
        <v>43920</v>
      </c>
      <c r="M66" s="19">
        <v>7.0996</v>
      </c>
    </row>
    <row r="67" spans="12:13">
      <c r="L67" s="24">
        <v>43921</v>
      </c>
      <c r="M67" s="19">
        <v>7.0997</v>
      </c>
    </row>
    <row r="68" spans="12:13">
      <c r="L68" s="24">
        <v>43922</v>
      </c>
      <c r="M68" s="19">
        <v>7.1007</v>
      </c>
    </row>
    <row r="69" spans="12:13">
      <c r="L69" s="24">
        <v>43923</v>
      </c>
      <c r="M69" s="19">
        <v>7.0958</v>
      </c>
    </row>
    <row r="70" spans="12:13">
      <c r="L70" s="24">
        <v>43924</v>
      </c>
      <c r="M70" s="19">
        <v>7.091</v>
      </c>
    </row>
    <row r="71" spans="12:13">
      <c r="L71" s="24">
        <v>43927</v>
      </c>
      <c r="M71" s="19">
        <v>7.091</v>
      </c>
    </row>
    <row r="72" spans="12:13">
      <c r="L72" s="24">
        <v>43928</v>
      </c>
      <c r="M72" s="19">
        <v>7.0558</v>
      </c>
    </row>
    <row r="73" spans="12:13">
      <c r="L73" s="24">
        <v>43929</v>
      </c>
      <c r="M73" s="19">
        <v>7.0663</v>
      </c>
    </row>
    <row r="74" spans="12:13">
      <c r="L74" s="24">
        <v>43930</v>
      </c>
      <c r="M74" s="19">
        <v>7.0589</v>
      </c>
    </row>
    <row r="75" spans="12:13">
      <c r="L75" s="24">
        <v>43935</v>
      </c>
      <c r="M75" s="19">
        <v>7.057</v>
      </c>
    </row>
    <row r="76" spans="12:13">
      <c r="L76" s="24">
        <v>43936</v>
      </c>
      <c r="M76" s="19">
        <v>7.0621</v>
      </c>
    </row>
    <row r="77" spans="12:13">
      <c r="L77" s="24">
        <v>43937</v>
      </c>
      <c r="M77" s="19">
        <v>7.0712</v>
      </c>
    </row>
    <row r="78" spans="12:13">
      <c r="L78" s="24">
        <v>43938</v>
      </c>
      <c r="M78" s="19">
        <v>7.0738</v>
      </c>
    </row>
    <row r="79" spans="12:13">
      <c r="L79" s="24">
        <v>43941</v>
      </c>
      <c r="M79" s="19">
        <v>7.0736</v>
      </c>
    </row>
    <row r="80" spans="12:13">
      <c r="L80" s="24">
        <v>43942</v>
      </c>
      <c r="M80" s="19">
        <v>7.095</v>
      </c>
    </row>
    <row r="81" spans="12:13">
      <c r="L81" s="24">
        <v>43943</v>
      </c>
      <c r="M81" s="19">
        <v>7.0824</v>
      </c>
    </row>
    <row r="82" spans="12:13">
      <c r="L82" s="24">
        <v>43944</v>
      </c>
      <c r="M82" s="19">
        <v>7.0794</v>
      </c>
    </row>
    <row r="83" spans="12:13">
      <c r="L83" s="24">
        <v>43945</v>
      </c>
      <c r="M83" s="19">
        <v>7.0792</v>
      </c>
    </row>
    <row r="84" spans="12:13">
      <c r="L84" s="24">
        <v>43948</v>
      </c>
      <c r="M84" s="19">
        <v>7.0826</v>
      </c>
    </row>
    <row r="85" spans="12:13">
      <c r="L85" s="24">
        <v>43949</v>
      </c>
      <c r="M85" s="19">
        <v>7.077</v>
      </c>
    </row>
    <row r="86" spans="12:13">
      <c r="L86" s="24">
        <v>43950</v>
      </c>
      <c r="M86" s="19">
        <v>7.0765</v>
      </c>
    </row>
    <row r="87" spans="12:13">
      <c r="L87" s="24">
        <v>43951</v>
      </c>
      <c r="M87" s="19">
        <v>7.049</v>
      </c>
    </row>
    <row r="88" spans="12:13">
      <c r="L88" s="24">
        <v>43955</v>
      </c>
      <c r="M88" s="19">
        <v>7.0622</v>
      </c>
    </row>
    <row r="89" spans="12:13">
      <c r="L89" s="24">
        <v>43956</v>
      </c>
      <c r="M89" s="19">
        <v>7.0622</v>
      </c>
    </row>
    <row r="90" spans="12:13">
      <c r="L90" s="24">
        <v>43957</v>
      </c>
      <c r="M90" s="19">
        <v>7.0979</v>
      </c>
    </row>
    <row r="91" spans="12:13">
      <c r="L91" s="24">
        <v>43958</v>
      </c>
      <c r="M91" s="19">
        <v>7.0877</v>
      </c>
    </row>
    <row r="92" spans="12:13">
      <c r="L92" s="24">
        <v>43959</v>
      </c>
      <c r="M92" s="19">
        <v>7.0754</v>
      </c>
    </row>
    <row r="93" spans="12:13">
      <c r="L93" s="24">
        <v>43962</v>
      </c>
      <c r="M93" s="19">
        <v>7.0938</v>
      </c>
    </row>
    <row r="94" spans="12:13">
      <c r="L94" s="24">
        <v>43963</v>
      </c>
      <c r="M94" s="19">
        <v>7.0854</v>
      </c>
    </row>
    <row r="95" spans="12:13">
      <c r="L95" s="24">
        <v>43964</v>
      </c>
      <c r="M95" s="19">
        <v>7.0898</v>
      </c>
    </row>
    <row r="96" spans="12:13">
      <c r="L96" s="24">
        <v>43965</v>
      </c>
      <c r="M96" s="19">
        <v>7.1029</v>
      </c>
    </row>
    <row r="97" spans="12:13">
      <c r="L97" s="24">
        <v>43966</v>
      </c>
      <c r="M97" s="19">
        <v>7.1086</v>
      </c>
    </row>
    <row r="98" spans="12:13">
      <c r="L98" s="24">
        <v>43969</v>
      </c>
      <c r="M98" s="19">
        <v>7.1148</v>
      </c>
    </row>
    <row r="99" spans="12:13">
      <c r="L99" s="24">
        <v>43970</v>
      </c>
      <c r="M99" s="19">
        <v>7.1065</v>
      </c>
    </row>
    <row r="100" spans="12:13">
      <c r="L100" s="24">
        <v>43971</v>
      </c>
      <c r="M100" s="19">
        <v>7.1004</v>
      </c>
    </row>
    <row r="101" spans="12:13">
      <c r="L101" s="24">
        <v>43972</v>
      </c>
      <c r="M101" s="19">
        <v>7.1048</v>
      </c>
    </row>
    <row r="102" spans="12:13">
      <c r="L102" s="24">
        <v>43973</v>
      </c>
      <c r="M102" s="19">
        <v>7.1347</v>
      </c>
    </row>
    <row r="103" spans="12:13">
      <c r="L103" s="24">
        <v>43976</v>
      </c>
      <c r="M103" s="19">
        <v>7.1362</v>
      </c>
    </row>
    <row r="104" spans="12:13">
      <c r="L104" s="24">
        <v>43977</v>
      </c>
      <c r="M104" s="19">
        <v>7.1316</v>
      </c>
    </row>
    <row r="105" spans="12:13">
      <c r="L105" s="24">
        <v>43978</v>
      </c>
      <c r="M105" s="19">
        <v>7.1588</v>
      </c>
    </row>
    <row r="106" spans="12:13">
      <c r="L106" s="24">
        <v>43979</v>
      </c>
      <c r="M106" s="19">
        <v>7.1536</v>
      </c>
    </row>
    <row r="107" spans="12:13">
      <c r="L107" s="24">
        <v>43980</v>
      </c>
      <c r="M107" s="19">
        <v>7.1351</v>
      </c>
    </row>
    <row r="108" spans="12:13">
      <c r="L108" s="24">
        <v>43983</v>
      </c>
      <c r="M108" s="19">
        <v>7.1363</v>
      </c>
    </row>
    <row r="109" spans="12:13">
      <c r="L109" s="24">
        <v>43984</v>
      </c>
      <c r="M109" s="19">
        <v>7.1069</v>
      </c>
    </row>
    <row r="110" spans="12:13">
      <c r="L110" s="24">
        <v>43985</v>
      </c>
      <c r="M110" s="19">
        <v>7.1109</v>
      </c>
    </row>
    <row r="111" spans="12:13">
      <c r="L111" s="24">
        <v>43986</v>
      </c>
      <c r="M111" s="19">
        <v>7.117</v>
      </c>
    </row>
    <row r="112" spans="12:13">
      <c r="L112" s="24">
        <v>43987</v>
      </c>
      <c r="M112" s="19">
        <v>7.0917</v>
      </c>
    </row>
    <row r="113" spans="12:13">
      <c r="L113" s="24">
        <v>43990</v>
      </c>
      <c r="M113" s="19">
        <v>7.0745</v>
      </c>
    </row>
    <row r="114" spans="12:13">
      <c r="L114" s="24">
        <v>43991</v>
      </c>
      <c r="M114" s="19">
        <v>7.0856</v>
      </c>
    </row>
    <row r="115" spans="12:13">
      <c r="L115" s="24">
        <v>43992</v>
      </c>
      <c r="M115" s="19">
        <v>7.0598</v>
      </c>
    </row>
    <row r="116" spans="12:13">
      <c r="L116" s="24">
        <v>43993</v>
      </c>
      <c r="M116" s="19">
        <v>7.0717</v>
      </c>
    </row>
    <row r="117" spans="12:13">
      <c r="L117" s="24">
        <v>43994</v>
      </c>
      <c r="M117" s="19">
        <v>7.0763</v>
      </c>
    </row>
    <row r="118" spans="12:13">
      <c r="L118" s="24">
        <v>43997</v>
      </c>
      <c r="M118" s="19">
        <v>7.095</v>
      </c>
    </row>
    <row r="119" spans="12:13">
      <c r="L119" s="24">
        <v>43998</v>
      </c>
      <c r="M119" s="19">
        <v>7.0783</v>
      </c>
    </row>
    <row r="120" spans="12:13">
      <c r="L120" s="24">
        <v>43999</v>
      </c>
      <c r="M120" s="19">
        <v>7.0871</v>
      </c>
    </row>
    <row r="121" spans="12:13">
      <c r="L121" s="24">
        <v>44000</v>
      </c>
      <c r="M121" s="19">
        <v>7.0883</v>
      </c>
    </row>
    <row r="122" spans="12:13">
      <c r="L122" s="24">
        <v>44001</v>
      </c>
      <c r="M122" s="19">
        <v>7.0769</v>
      </c>
    </row>
    <row r="123" spans="12:13">
      <c r="L123" s="24">
        <v>44004</v>
      </c>
      <c r="M123" s="19">
        <v>7.0764</v>
      </c>
    </row>
    <row r="124" spans="12:13">
      <c r="L124" s="24">
        <v>44005</v>
      </c>
      <c r="M124" s="19">
        <v>7.0634</v>
      </c>
    </row>
    <row r="125" spans="12:13">
      <c r="L125" s="24">
        <v>44006</v>
      </c>
      <c r="M125" s="19">
        <v>7.072</v>
      </c>
    </row>
    <row r="126" spans="12:13">
      <c r="L126" s="24">
        <v>44007</v>
      </c>
      <c r="M126" s="19">
        <v>7.072</v>
      </c>
    </row>
    <row r="127" spans="12:13">
      <c r="L127" s="24">
        <v>44008</v>
      </c>
      <c r="M127" s="19">
        <v>7.072</v>
      </c>
    </row>
    <row r="128" spans="12:13">
      <c r="L128" s="24">
        <v>44011</v>
      </c>
      <c r="M128" s="19">
        <v>7.0756</v>
      </c>
    </row>
    <row r="129" spans="12:13">
      <c r="L129" s="24">
        <v>44012</v>
      </c>
      <c r="M129" s="19">
        <v>7.0744</v>
      </c>
    </row>
    <row r="130" spans="12:13">
      <c r="L130" s="24">
        <v>44013</v>
      </c>
      <c r="M130" s="19">
        <v>7.0671</v>
      </c>
    </row>
    <row r="131" spans="12:13">
      <c r="L131" s="24">
        <v>44014</v>
      </c>
      <c r="M131" s="19">
        <v>7.0671</v>
      </c>
    </row>
    <row r="132" spans="12:13">
      <c r="L132" s="24">
        <v>44015</v>
      </c>
      <c r="M132" s="19">
        <v>7.0661</v>
      </c>
    </row>
    <row r="133" spans="12:13">
      <c r="L133" s="24">
        <v>44018</v>
      </c>
      <c r="M133" s="19">
        <v>7.0197</v>
      </c>
    </row>
    <row r="134" spans="12:13">
      <c r="L134" s="24">
        <v>44019</v>
      </c>
      <c r="M134" s="19">
        <v>7.0228</v>
      </c>
    </row>
    <row r="135" spans="12:13">
      <c r="L135" s="24">
        <v>44020</v>
      </c>
      <c r="M135" s="19">
        <v>7.0143</v>
      </c>
    </row>
    <row r="136" spans="12:13">
      <c r="L136" s="24">
        <v>44021</v>
      </c>
      <c r="M136" s="19">
        <v>6.9855</v>
      </c>
    </row>
    <row r="137" spans="12:13">
      <c r="L137" s="24">
        <v>44022</v>
      </c>
      <c r="M137" s="19">
        <v>7.0018</v>
      </c>
    </row>
    <row r="138" spans="12:13">
      <c r="L138" s="24">
        <v>44025</v>
      </c>
      <c r="M138" s="19">
        <v>7.0005</v>
      </c>
    </row>
    <row r="139" spans="12:13">
      <c r="L139" s="24">
        <v>44026</v>
      </c>
      <c r="M139" s="19">
        <v>7.0158</v>
      </c>
    </row>
    <row r="140" spans="12:13">
      <c r="L140" s="24">
        <v>44027</v>
      </c>
      <c r="M140" s="19">
        <v>6.9884</v>
      </c>
    </row>
    <row r="141" spans="12:13">
      <c r="L141" s="24">
        <v>44028</v>
      </c>
      <c r="M141" s="19">
        <v>6.9968</v>
      </c>
    </row>
    <row r="142" spans="12:13">
      <c r="L142" s="24">
        <v>44029</v>
      </c>
      <c r="M142" s="19">
        <v>6.9982</v>
      </c>
    </row>
    <row r="143" spans="12:13">
      <c r="L143" s="24">
        <v>44032</v>
      </c>
      <c r="M143" s="19">
        <v>6.9874</v>
      </c>
    </row>
    <row r="144" spans="12:13">
      <c r="L144" s="24">
        <v>44033</v>
      </c>
      <c r="M144" s="19">
        <v>6.9896</v>
      </c>
    </row>
    <row r="145" spans="12:13">
      <c r="L145" s="24">
        <v>44034</v>
      </c>
      <c r="M145" s="19">
        <v>6.9959</v>
      </c>
    </row>
    <row r="146" spans="12:13">
      <c r="L146" s="24">
        <v>44035</v>
      </c>
      <c r="M146" s="19">
        <v>7.0064</v>
      </c>
    </row>
    <row r="147" spans="12:13">
      <c r="L147" s="24">
        <v>44036</v>
      </c>
      <c r="M147" s="19">
        <v>7.017</v>
      </c>
    </row>
    <row r="148" spans="12:13">
      <c r="L148" s="24">
        <v>44039</v>
      </c>
      <c r="M148" s="19">
        <v>7.002</v>
      </c>
    </row>
    <row r="149" spans="12:13">
      <c r="L149" s="24">
        <v>44040</v>
      </c>
      <c r="M149" s="19">
        <v>7.0019</v>
      </c>
    </row>
    <row r="150" spans="12:13">
      <c r="L150" s="24">
        <v>44041</v>
      </c>
      <c r="M150" s="19">
        <v>6.9993</v>
      </c>
    </row>
    <row r="151" spans="12:13">
      <c r="L151" s="24">
        <v>44042</v>
      </c>
      <c r="M151" s="19">
        <v>7.0033</v>
      </c>
    </row>
    <row r="152" spans="12:13">
      <c r="L152" s="24">
        <v>44043</v>
      </c>
      <c r="M152" s="19">
        <v>6.9748</v>
      </c>
    </row>
    <row r="153" spans="12:13">
      <c r="L153" s="24">
        <v>44046</v>
      </c>
      <c r="M153" s="19">
        <v>6.9845</v>
      </c>
    </row>
    <row r="154" spans="12:13">
      <c r="L154" s="24">
        <v>44047</v>
      </c>
      <c r="M154" s="19">
        <v>6.9832</v>
      </c>
    </row>
    <row r="155" spans="12:13">
      <c r="L155" s="24">
        <v>44048</v>
      </c>
      <c r="M155" s="19">
        <v>6.9409</v>
      </c>
    </row>
    <row r="156" spans="12:13">
      <c r="L156" s="24">
        <v>44049</v>
      </c>
      <c r="M156" s="19">
        <v>6.9514</v>
      </c>
    </row>
    <row r="157" spans="12:13">
      <c r="L157" s="24">
        <v>44050</v>
      </c>
      <c r="M157" s="19">
        <v>6.9593</v>
      </c>
    </row>
    <row r="158" spans="12:13">
      <c r="L158" s="24">
        <v>44053</v>
      </c>
      <c r="M158" s="19">
        <v>6.9713</v>
      </c>
    </row>
    <row r="159" spans="12:13">
      <c r="L159" s="24">
        <v>44054</v>
      </c>
      <c r="M159" s="19">
        <v>6.947</v>
      </c>
    </row>
    <row r="160" spans="12:13">
      <c r="L160" s="24">
        <v>44055</v>
      </c>
      <c r="M160" s="19">
        <v>6.9457</v>
      </c>
    </row>
    <row r="161" spans="12:13">
      <c r="L161" s="24">
        <v>44056</v>
      </c>
      <c r="M161" s="19">
        <v>6.9456</v>
      </c>
    </row>
    <row r="162" spans="12:13">
      <c r="L162" s="24">
        <v>44057</v>
      </c>
      <c r="M162" s="19">
        <v>6.95</v>
      </c>
    </row>
    <row r="163" spans="12:13">
      <c r="L163" s="24">
        <v>44060</v>
      </c>
      <c r="M163" s="19">
        <v>6.9402</v>
      </c>
    </row>
    <row r="164" spans="12:13">
      <c r="L164" s="24">
        <v>44061</v>
      </c>
      <c r="M164" s="19">
        <v>6.9215</v>
      </c>
    </row>
    <row r="165" spans="12:13">
      <c r="L165" s="24">
        <v>44062</v>
      </c>
      <c r="M165" s="19">
        <v>6.9113</v>
      </c>
    </row>
    <row r="166" spans="12:13">
      <c r="L166" s="24">
        <v>44063</v>
      </c>
      <c r="M166" s="19">
        <v>6.9186</v>
      </c>
    </row>
    <row r="167" spans="12:13">
      <c r="L167" s="24">
        <v>44064</v>
      </c>
      <c r="M167" s="19">
        <v>6.9235</v>
      </c>
    </row>
    <row r="168" spans="12:13">
      <c r="L168" s="24">
        <v>44067</v>
      </c>
      <c r="M168" s="19">
        <v>6.9129</v>
      </c>
    </row>
    <row r="169" spans="12:13">
      <c r="L169" s="24">
        <v>44068</v>
      </c>
      <c r="M169" s="19">
        <v>6.9131</v>
      </c>
    </row>
    <row r="170" spans="12:13">
      <c r="L170" s="24">
        <v>44069</v>
      </c>
      <c r="M170" s="19">
        <v>6.893</v>
      </c>
    </row>
    <row r="171" spans="12:13">
      <c r="L171" s="24">
        <v>44070</v>
      </c>
      <c r="M171" s="19">
        <v>6.8883</v>
      </c>
    </row>
    <row r="172" spans="12:13">
      <c r="L172" s="24">
        <v>44071</v>
      </c>
      <c r="M172" s="19">
        <v>6.861</v>
      </c>
    </row>
    <row r="173" spans="12:13">
      <c r="L173" s="24">
        <v>44074</v>
      </c>
      <c r="M173" s="19">
        <v>6.8435</v>
      </c>
    </row>
    <row r="174" spans="12:13">
      <c r="L174" s="24">
        <v>44075</v>
      </c>
      <c r="M174" s="19">
        <v>6.819</v>
      </c>
    </row>
    <row r="175" spans="12:13">
      <c r="L175" s="24">
        <v>44076</v>
      </c>
      <c r="M175" s="19">
        <v>6.8271</v>
      </c>
    </row>
    <row r="176" spans="12:13">
      <c r="L176" s="24">
        <v>44077</v>
      </c>
      <c r="M176" s="19">
        <v>6.8401</v>
      </c>
    </row>
    <row r="177" spans="12:13">
      <c r="L177" s="24">
        <v>44078</v>
      </c>
      <c r="M177" s="19">
        <v>6.8406</v>
      </c>
    </row>
    <row r="178" spans="12:13">
      <c r="L178" s="24">
        <v>44081</v>
      </c>
      <c r="M178" s="19">
        <v>6.8326</v>
      </c>
    </row>
    <row r="179" spans="12:13">
      <c r="L179" s="24">
        <v>44082</v>
      </c>
      <c r="M179" s="19">
        <v>6.8441</v>
      </c>
    </row>
    <row r="180" spans="12:13">
      <c r="L180" s="24">
        <v>44083</v>
      </c>
      <c r="M180" s="19">
        <v>6.8448</v>
      </c>
    </row>
    <row r="181" spans="12:13">
      <c r="L181" s="24">
        <v>44084</v>
      </c>
      <c r="M181" s="19">
        <v>6.8379</v>
      </c>
    </row>
    <row r="182" spans="12:13">
      <c r="L182" s="24">
        <v>44085</v>
      </c>
      <c r="M182" s="19">
        <v>6.8368</v>
      </c>
    </row>
    <row r="183" spans="12:13">
      <c r="L183" s="24">
        <v>44088</v>
      </c>
      <c r="M183" s="19">
        <v>6.8194</v>
      </c>
    </row>
    <row r="184" spans="12:13">
      <c r="L184" s="24">
        <v>44089</v>
      </c>
      <c r="M184" s="19">
        <v>6.7714</v>
      </c>
    </row>
    <row r="185" spans="12:13">
      <c r="L185" s="24">
        <v>44090</v>
      </c>
      <c r="M185" s="19">
        <v>6.7595</v>
      </c>
    </row>
    <row r="186" spans="12:13">
      <c r="L186" s="24">
        <v>44091</v>
      </c>
      <c r="M186" s="19">
        <v>6.7696</v>
      </c>
    </row>
    <row r="187" spans="12:13">
      <c r="L187" s="24">
        <v>44092</v>
      </c>
      <c r="M187" s="19">
        <v>6.7731</v>
      </c>
    </row>
    <row r="188" spans="12:13">
      <c r="L188" s="24">
        <v>44095</v>
      </c>
      <c r="M188" s="19">
        <v>6.7865</v>
      </c>
    </row>
    <row r="189" spans="12:13">
      <c r="L189" s="24">
        <v>44096</v>
      </c>
      <c r="M189" s="19">
        <v>6.776</v>
      </c>
    </row>
    <row r="190" spans="12:13">
      <c r="L190" s="24">
        <v>44097</v>
      </c>
      <c r="M190" s="19">
        <v>6.7938</v>
      </c>
    </row>
    <row r="191" spans="12:13">
      <c r="L191" s="24">
        <v>44098</v>
      </c>
      <c r="M191" s="19">
        <v>6.8293</v>
      </c>
    </row>
    <row r="192" spans="12:13">
      <c r="L192" s="24">
        <v>44099</v>
      </c>
      <c r="M192" s="19">
        <v>6.8292</v>
      </c>
    </row>
    <row r="193" spans="12:13">
      <c r="L193" s="24">
        <v>44102</v>
      </c>
      <c r="M193" s="19">
        <v>6.8132</v>
      </c>
    </row>
    <row r="194" spans="12:13">
      <c r="L194" s="24">
        <v>44103</v>
      </c>
      <c r="M194" s="19">
        <v>6.8174</v>
      </c>
    </row>
    <row r="195" spans="12:13">
      <c r="L195" s="24">
        <v>44104</v>
      </c>
      <c r="M195" s="19">
        <v>6.809</v>
      </c>
    </row>
    <row r="196" spans="12:13">
      <c r="L196" s="24">
        <v>44105</v>
      </c>
      <c r="M196" s="19">
        <v>6.7908</v>
      </c>
    </row>
    <row r="197" spans="12:13">
      <c r="L197" s="24">
        <v>44106</v>
      </c>
      <c r="M197" s="19">
        <v>6.7908</v>
      </c>
    </row>
    <row r="198" spans="12:13">
      <c r="L198" s="24">
        <v>44109</v>
      </c>
      <c r="M198" s="19">
        <v>6.809</v>
      </c>
    </row>
    <row r="199" spans="12:13">
      <c r="L199" s="24">
        <v>44110</v>
      </c>
      <c r="M199" s="19">
        <v>6.7919</v>
      </c>
    </row>
    <row r="200" spans="12:13">
      <c r="L200" s="24">
        <v>44111</v>
      </c>
      <c r="M200" s="19">
        <v>6.7913</v>
      </c>
    </row>
    <row r="201" spans="12:13">
      <c r="L201" s="24">
        <v>44112</v>
      </c>
      <c r="M201" s="19">
        <v>6.7908</v>
      </c>
    </row>
    <row r="202" spans="12:13">
      <c r="L202" s="24">
        <v>44113</v>
      </c>
      <c r="M202" s="19">
        <v>6.7017</v>
      </c>
    </row>
    <row r="203" spans="12:13">
      <c r="L203" s="24">
        <v>44116</v>
      </c>
      <c r="M203" s="19">
        <v>6.7445</v>
      </c>
    </row>
    <row r="204" spans="12:13">
      <c r="L204" s="24">
        <v>44117</v>
      </c>
      <c r="M204" s="19">
        <v>6.7352</v>
      </c>
    </row>
    <row r="205" spans="12:13">
      <c r="L205" s="24">
        <v>44118</v>
      </c>
      <c r="M205" s="19">
        <v>6.7312</v>
      </c>
    </row>
    <row r="206" spans="12:13">
      <c r="L206" s="24">
        <v>44119</v>
      </c>
      <c r="M206" s="19">
        <v>6.7324</v>
      </c>
    </row>
    <row r="207" spans="12:13">
      <c r="L207" s="24">
        <v>44120</v>
      </c>
      <c r="M207" s="19">
        <v>6.6978</v>
      </c>
    </row>
    <row r="208" spans="12:13">
      <c r="L208" s="24">
        <v>44123</v>
      </c>
      <c r="M208" s="19">
        <v>6.6837</v>
      </c>
    </row>
    <row r="209" spans="12:13">
      <c r="L209" s="24">
        <v>44124</v>
      </c>
      <c r="M209" s="19">
        <v>6.6823</v>
      </c>
    </row>
    <row r="210" spans="12:13">
      <c r="L210" s="24">
        <v>44125</v>
      </c>
      <c r="M210" s="19">
        <v>6.6553</v>
      </c>
    </row>
    <row r="211" spans="12:13">
      <c r="L211" s="24">
        <v>44126</v>
      </c>
      <c r="M211" s="19">
        <v>6.6813</v>
      </c>
    </row>
    <row r="212" spans="12:13">
      <c r="L212" s="24">
        <v>44127</v>
      </c>
      <c r="M212" s="19">
        <v>6.6765</v>
      </c>
    </row>
    <row r="213" spans="12:13">
      <c r="L213" s="24">
        <v>44130</v>
      </c>
      <c r="M213" s="19">
        <v>6.7131</v>
      </c>
    </row>
    <row r="214" spans="12:13">
      <c r="L214" s="24">
        <v>44131</v>
      </c>
      <c r="M214" s="19">
        <v>6.706</v>
      </c>
    </row>
    <row r="215" spans="12:13">
      <c r="L215" s="24">
        <v>44132</v>
      </c>
      <c r="M215" s="19">
        <v>6.7234</v>
      </c>
    </row>
    <row r="216" spans="12:13">
      <c r="L216" s="24">
        <v>44133</v>
      </c>
      <c r="M216" s="19">
        <v>6.7098</v>
      </c>
    </row>
    <row r="217" spans="12:13">
      <c r="L217" s="24">
        <v>44134</v>
      </c>
      <c r="M217" s="19">
        <v>6.6813</v>
      </c>
    </row>
    <row r="218" spans="12:13">
      <c r="L218" s="24">
        <v>44137</v>
      </c>
      <c r="M218" s="19">
        <v>6.6909</v>
      </c>
    </row>
    <row r="219" spans="12:13">
      <c r="L219" s="24">
        <v>44138</v>
      </c>
      <c r="M219" s="19">
        <v>6.6824</v>
      </c>
    </row>
    <row r="220" spans="12:13">
      <c r="L220" s="24">
        <v>44139</v>
      </c>
      <c r="M220" s="19">
        <v>6.658</v>
      </c>
    </row>
    <row r="221" spans="12:13">
      <c r="L221" s="24">
        <v>44140</v>
      </c>
      <c r="M221" s="19">
        <v>6.6074</v>
      </c>
    </row>
    <row r="222" spans="12:13">
      <c r="L222" s="24">
        <v>44141</v>
      </c>
      <c r="M222" s="19">
        <v>6.6106</v>
      </c>
    </row>
    <row r="223" spans="12:13">
      <c r="L223" s="24">
        <v>44144</v>
      </c>
      <c r="M223" s="19">
        <v>6.604</v>
      </c>
    </row>
    <row r="224" spans="12:13">
      <c r="L224" s="24">
        <v>44145</v>
      </c>
      <c r="M224" s="19">
        <v>6.6148</v>
      </c>
    </row>
    <row r="225" spans="12:13">
      <c r="L225" s="24">
        <v>44146</v>
      </c>
      <c r="M225" s="19">
        <v>6.6244</v>
      </c>
    </row>
    <row r="226" spans="12:13">
      <c r="L226" s="24">
        <v>44147</v>
      </c>
      <c r="M226" s="19">
        <v>6.6241</v>
      </c>
    </row>
    <row r="227" spans="12:13">
      <c r="L227" s="24">
        <v>44148</v>
      </c>
      <c r="M227" s="19">
        <v>6.6078</v>
      </c>
    </row>
    <row r="228" spans="12:13">
      <c r="L228" s="24">
        <v>44151</v>
      </c>
      <c r="M228" s="19">
        <v>6.5888</v>
      </c>
    </row>
    <row r="229" spans="12:13">
      <c r="L229" s="24">
        <v>44152</v>
      </c>
      <c r="M229" s="19">
        <v>6.5555</v>
      </c>
    </row>
    <row r="230" spans="12:13">
      <c r="L230" s="24">
        <v>44153</v>
      </c>
      <c r="M230" s="19">
        <v>6.5571</v>
      </c>
    </row>
    <row r="231" spans="12:13">
      <c r="L231" s="24">
        <v>44154</v>
      </c>
      <c r="M231" s="19">
        <v>6.5861</v>
      </c>
    </row>
    <row r="232" spans="12:13">
      <c r="L232" s="24">
        <v>44155</v>
      </c>
      <c r="M232" s="19">
        <v>6.568</v>
      </c>
    </row>
    <row r="233" spans="12:13">
      <c r="L233" s="24">
        <v>44158</v>
      </c>
      <c r="M233" s="19">
        <v>6.569</v>
      </c>
    </row>
    <row r="234" spans="12:13">
      <c r="L234" s="24">
        <v>44159</v>
      </c>
      <c r="M234" s="19">
        <v>6.5868</v>
      </c>
    </row>
    <row r="235" spans="12:13">
      <c r="L235" s="24">
        <v>44160</v>
      </c>
      <c r="M235" s="19">
        <v>6.576</v>
      </c>
    </row>
    <row r="236" spans="12:13">
      <c r="L236" s="24">
        <v>44161</v>
      </c>
      <c r="M236" s="19">
        <v>6.576</v>
      </c>
    </row>
    <row r="237" spans="12:13">
      <c r="L237" s="24">
        <v>44162</v>
      </c>
      <c r="M237" s="19">
        <v>6.5779</v>
      </c>
    </row>
    <row r="238" spans="12:13">
      <c r="L238" s="24">
        <v>44165</v>
      </c>
      <c r="M238" s="19">
        <v>6.5775</v>
      </c>
    </row>
    <row r="239" spans="12:13">
      <c r="L239" s="24">
        <v>44166</v>
      </c>
      <c r="M239" s="19">
        <v>6.5708</v>
      </c>
    </row>
    <row r="240" spans="12:13">
      <c r="L240" s="24">
        <v>44167</v>
      </c>
      <c r="M240" s="19">
        <v>6.5641</v>
      </c>
    </row>
    <row r="241" spans="12:13">
      <c r="L241" s="24">
        <v>44168</v>
      </c>
      <c r="M241" s="19">
        <v>6.5482</v>
      </c>
    </row>
    <row r="242" spans="12:13">
      <c r="L242" s="24">
        <v>44169</v>
      </c>
      <c r="M242" s="19">
        <v>6.5319</v>
      </c>
    </row>
    <row r="243" spans="12:13">
      <c r="L243" s="24">
        <v>44172</v>
      </c>
      <c r="M243" s="19">
        <v>6.5394</v>
      </c>
    </row>
    <row r="244" spans="12:13">
      <c r="L244" s="24">
        <v>44173</v>
      </c>
      <c r="M244" s="19">
        <v>6.5309</v>
      </c>
    </row>
    <row r="245" spans="12:13">
      <c r="L245" s="24">
        <v>44174</v>
      </c>
      <c r="M245" s="19">
        <v>6.5379</v>
      </c>
    </row>
    <row r="246" spans="12:13">
      <c r="L246" s="24">
        <v>44175</v>
      </c>
      <c r="M246" s="19">
        <v>6.5418</v>
      </c>
    </row>
    <row r="247" spans="12:13">
      <c r="L247" s="24">
        <v>44176</v>
      </c>
      <c r="M247" s="19">
        <v>6.5462</v>
      </c>
    </row>
    <row r="248" spans="12:13">
      <c r="L248" s="24">
        <v>44179</v>
      </c>
      <c r="M248" s="19">
        <v>6.544</v>
      </c>
    </row>
    <row r="249" spans="12:13">
      <c r="L249" s="24">
        <v>44180</v>
      </c>
      <c r="M249" s="19">
        <v>6.5455</v>
      </c>
    </row>
    <row r="250" spans="12:13">
      <c r="L250" s="24">
        <v>44181</v>
      </c>
      <c r="M250" s="19">
        <v>6.5332</v>
      </c>
    </row>
    <row r="251" spans="12:13">
      <c r="L251" s="24">
        <v>44182</v>
      </c>
      <c r="M251" s="19">
        <v>6.5332</v>
      </c>
    </row>
    <row r="252" spans="12:13">
      <c r="L252" s="24">
        <v>44183</v>
      </c>
      <c r="M252" s="19">
        <v>6.5377</v>
      </c>
    </row>
    <row r="253" spans="12:13">
      <c r="L253" s="24">
        <v>44186</v>
      </c>
      <c r="M253" s="19">
        <v>6.5542</v>
      </c>
    </row>
    <row r="254" spans="12:13">
      <c r="L254" s="24">
        <v>44187</v>
      </c>
      <c r="M254" s="19">
        <v>6.5411</v>
      </c>
    </row>
    <row r="255" spans="12:13">
      <c r="L255" s="24">
        <v>44188</v>
      </c>
      <c r="M255" s="19">
        <v>6.5386</v>
      </c>
    </row>
    <row r="256" spans="12:13">
      <c r="L256" s="24">
        <v>44189</v>
      </c>
      <c r="M256" s="19">
        <v>6.5303</v>
      </c>
    </row>
    <row r="257" spans="12:13">
      <c r="L257" s="24">
        <v>44193</v>
      </c>
      <c r="M257" s="19">
        <v>6.5395</v>
      </c>
    </row>
    <row r="258" spans="12:13">
      <c r="L258" s="24">
        <v>44194</v>
      </c>
      <c r="M258" s="19">
        <v>6.5315</v>
      </c>
    </row>
    <row r="259" spans="12:13">
      <c r="L259" s="24">
        <v>44195</v>
      </c>
      <c r="M259" s="19">
        <v>6.525</v>
      </c>
    </row>
    <row r="260" spans="12:13">
      <c r="L260" s="24">
        <v>44196</v>
      </c>
      <c r="M260" s="19">
        <v>6.5378</v>
      </c>
    </row>
    <row r="261" spans="12:13">
      <c r="L261" s="24">
        <v>44200</v>
      </c>
      <c r="M261" s="19">
        <v>6.4642</v>
      </c>
    </row>
    <row r="262" spans="12:13">
      <c r="L262" s="24">
        <v>44201</v>
      </c>
      <c r="M262" s="19">
        <v>6.4636</v>
      </c>
    </row>
    <row r="263" spans="12:13">
      <c r="L263" s="24">
        <v>44202</v>
      </c>
      <c r="M263" s="19">
        <v>6.4559</v>
      </c>
    </row>
    <row r="264" spans="12:13">
      <c r="L264" s="24">
        <v>44203</v>
      </c>
      <c r="M264" s="19">
        <v>6.4673</v>
      </c>
    </row>
    <row r="265" spans="12:13">
      <c r="L265" s="24">
        <v>44204</v>
      </c>
      <c r="M265" s="19">
        <v>6.464</v>
      </c>
    </row>
    <row r="266" spans="12:13">
      <c r="L266" s="24">
        <v>44207</v>
      </c>
      <c r="M266" s="19">
        <v>6.4792</v>
      </c>
    </row>
    <row r="267" spans="12:13">
      <c r="L267" s="24">
        <v>44208</v>
      </c>
      <c r="M267" s="19">
        <v>6.4613</v>
      </c>
    </row>
    <row r="268" spans="12:13">
      <c r="L268" s="24">
        <v>44209</v>
      </c>
      <c r="M268" s="19">
        <v>6.4702</v>
      </c>
    </row>
    <row r="269" spans="12:13">
      <c r="L269" s="24">
        <v>44210</v>
      </c>
      <c r="M269" s="19">
        <v>6.4673</v>
      </c>
    </row>
    <row r="270" spans="12:13">
      <c r="L270" s="24">
        <v>44211</v>
      </c>
      <c r="M270" s="19">
        <v>6.4752</v>
      </c>
    </row>
    <row r="271" spans="12:13">
      <c r="L271" s="24">
        <v>44214</v>
      </c>
      <c r="M271" s="19">
        <v>6.4953</v>
      </c>
    </row>
    <row r="272" spans="12:13">
      <c r="L272" s="24">
        <v>44215</v>
      </c>
      <c r="M272" s="19">
        <v>6.4796</v>
      </c>
    </row>
    <row r="273" spans="12:13">
      <c r="L273" s="24">
        <v>44216</v>
      </c>
      <c r="M273" s="19">
        <v>6.4699</v>
      </c>
    </row>
    <row r="274" spans="12:13">
      <c r="L274" s="24">
        <v>44217</v>
      </c>
      <c r="M274" s="19">
        <v>6.4609</v>
      </c>
    </row>
    <row r="275" spans="12:13">
      <c r="L275" s="24">
        <v>44218</v>
      </c>
      <c r="M275" s="19">
        <v>6.4831</v>
      </c>
    </row>
    <row r="276" spans="12:13">
      <c r="L276" s="24">
        <v>44221</v>
      </c>
      <c r="M276" s="19">
        <v>6.4773</v>
      </c>
    </row>
    <row r="277" spans="12:13">
      <c r="L277" s="24">
        <v>44222</v>
      </c>
      <c r="M277" s="19">
        <v>6.4677</v>
      </c>
    </row>
    <row r="278" spans="12:13">
      <c r="L278" s="24">
        <v>44223</v>
      </c>
      <c r="M278" s="19">
        <v>6.4728</v>
      </c>
    </row>
    <row r="279" spans="12:13">
      <c r="L279" s="24">
        <v>44224</v>
      </c>
      <c r="M279" s="19">
        <v>6.4698</v>
      </c>
    </row>
    <row r="280" spans="12:13">
      <c r="L280" s="24">
        <v>44225</v>
      </c>
      <c r="M280" s="19">
        <v>6.431</v>
      </c>
    </row>
    <row r="281" spans="12:13">
      <c r="L281" s="24">
        <v>44228</v>
      </c>
      <c r="M281" s="19">
        <v>6.4667</v>
      </c>
    </row>
    <row r="282" spans="12:13">
      <c r="L282" s="24">
        <v>44229</v>
      </c>
      <c r="M282" s="19">
        <v>6.456</v>
      </c>
    </row>
    <row r="283" spans="12:13">
      <c r="L283" s="24">
        <v>44230</v>
      </c>
      <c r="M283" s="19">
        <v>6.4594</v>
      </c>
    </row>
    <row r="284" spans="12:13">
      <c r="L284" s="24">
        <v>44231</v>
      </c>
      <c r="M284" s="19">
        <v>6.464</v>
      </c>
    </row>
    <row r="285" spans="12:13">
      <c r="L285" s="24">
        <v>44232</v>
      </c>
      <c r="M285" s="19">
        <v>6.4704</v>
      </c>
    </row>
    <row r="286" spans="12:13">
      <c r="L286" s="24">
        <v>44235</v>
      </c>
      <c r="M286" s="19">
        <v>6.4547</v>
      </c>
    </row>
    <row r="287" spans="12:13">
      <c r="L287" s="24">
        <v>44236</v>
      </c>
      <c r="M287" s="19">
        <v>6.4354</v>
      </c>
    </row>
    <row r="288" spans="12:13">
      <c r="L288" s="24">
        <v>44237</v>
      </c>
      <c r="M288" s="19">
        <v>6.4513</v>
      </c>
    </row>
    <row r="289" spans="12:13">
      <c r="L289" s="24">
        <v>44238</v>
      </c>
      <c r="M289" s="19">
        <v>6.4582</v>
      </c>
    </row>
    <row r="290" spans="12:13">
      <c r="L290" s="24">
        <v>44239</v>
      </c>
      <c r="M290" s="19">
        <v>6.4591</v>
      </c>
    </row>
    <row r="291" spans="12:13">
      <c r="L291" s="24">
        <v>44242</v>
      </c>
      <c r="M291" s="19">
        <v>6.4582</v>
      </c>
    </row>
    <row r="292" spans="12:13">
      <c r="L292" s="24">
        <v>44243</v>
      </c>
      <c r="M292" s="19">
        <v>6.4582</v>
      </c>
    </row>
    <row r="293" spans="12:13">
      <c r="L293" s="24">
        <v>44244</v>
      </c>
      <c r="M293" s="19">
        <v>6.4582</v>
      </c>
    </row>
    <row r="294" spans="12:13">
      <c r="L294" s="24">
        <v>44245</v>
      </c>
      <c r="M294" s="19">
        <v>6.469</v>
      </c>
    </row>
    <row r="295" spans="12:13">
      <c r="L295" s="24">
        <v>44246</v>
      </c>
      <c r="M295" s="19">
        <v>6.4518</v>
      </c>
    </row>
    <row r="296" spans="12:13">
      <c r="L296" s="24">
        <v>44249</v>
      </c>
      <c r="M296" s="19">
        <v>6.4656</v>
      </c>
    </row>
    <row r="297" spans="12:13">
      <c r="L297" s="24">
        <v>44250</v>
      </c>
      <c r="M297" s="19">
        <v>6.4651</v>
      </c>
    </row>
    <row r="298" spans="12:13">
      <c r="L298" s="24">
        <v>44251</v>
      </c>
      <c r="M298" s="19">
        <v>6.4517</v>
      </c>
    </row>
    <row r="299" spans="12:13">
      <c r="L299" s="24">
        <v>44252</v>
      </c>
      <c r="M299" s="19">
        <v>6.4538</v>
      </c>
    </row>
    <row r="300" spans="12:13">
      <c r="L300" s="24">
        <v>44253</v>
      </c>
      <c r="M300" s="19">
        <v>6.4669</v>
      </c>
    </row>
    <row r="301" spans="12:13">
      <c r="L301" s="24">
        <v>44256</v>
      </c>
      <c r="M301" s="19">
        <v>6.4689</v>
      </c>
    </row>
    <row r="302" spans="12:13">
      <c r="L302" s="24">
        <v>44257</v>
      </c>
      <c r="M302" s="19">
        <v>6.4716</v>
      </c>
    </row>
    <row r="303" spans="12:13">
      <c r="L303" s="24">
        <v>44258</v>
      </c>
      <c r="M303" s="19">
        <v>6.4656</v>
      </c>
    </row>
    <row r="304" spans="12:13">
      <c r="L304" s="24">
        <v>44259</v>
      </c>
      <c r="M304" s="19">
        <v>6.4688</v>
      </c>
    </row>
    <row r="305" spans="12:13">
      <c r="L305" s="24">
        <v>44260</v>
      </c>
      <c r="M305" s="19">
        <v>6.491</v>
      </c>
    </row>
    <row r="306" spans="12:13">
      <c r="L306" s="24">
        <v>44263</v>
      </c>
      <c r="M306" s="19">
        <v>6.5267</v>
      </c>
    </row>
    <row r="307" spans="12:13">
      <c r="L307" s="24">
        <v>44264</v>
      </c>
      <c r="M307" s="19">
        <v>6.514</v>
      </c>
    </row>
    <row r="308" spans="12:13">
      <c r="L308" s="24">
        <v>44265</v>
      </c>
      <c r="M308" s="19">
        <v>6.5114</v>
      </c>
    </row>
    <row r="309" spans="12:13">
      <c r="L309" s="24">
        <v>44266</v>
      </c>
      <c r="M309" s="19">
        <v>6.4846</v>
      </c>
    </row>
    <row r="310" spans="12:13">
      <c r="L310" s="24">
        <v>44267</v>
      </c>
      <c r="M310" s="19">
        <v>6.506</v>
      </c>
    </row>
    <row r="311" spans="12:13">
      <c r="L311" s="24">
        <v>44270</v>
      </c>
      <c r="M311" s="19">
        <v>6.5023</v>
      </c>
    </row>
    <row r="312" spans="12:13">
      <c r="L312" s="24">
        <v>44271</v>
      </c>
      <c r="M312" s="19">
        <v>6.5</v>
      </c>
    </row>
    <row r="313" spans="12:13">
      <c r="L313" s="24">
        <v>44272</v>
      </c>
      <c r="M313" s="19">
        <v>6.5033</v>
      </c>
    </row>
    <row r="314" spans="12:13">
      <c r="L314" s="24">
        <v>44273</v>
      </c>
      <c r="M314" s="19">
        <v>6.5066</v>
      </c>
    </row>
    <row r="315" spans="12:13">
      <c r="L315" s="24">
        <v>44274</v>
      </c>
      <c r="M315" s="19">
        <v>6.5102</v>
      </c>
    </row>
    <row r="316" spans="12:13">
      <c r="L316" s="24">
        <v>44277</v>
      </c>
      <c r="M316" s="19">
        <v>6.5053</v>
      </c>
    </row>
    <row r="317" spans="12:13">
      <c r="L317" s="24">
        <v>44278</v>
      </c>
      <c r="M317" s="19">
        <v>6.5107</v>
      </c>
    </row>
    <row r="318" spans="12:13">
      <c r="L318" s="24">
        <v>44279</v>
      </c>
      <c r="M318" s="19">
        <v>6.5229</v>
      </c>
    </row>
    <row r="319" spans="12:13">
      <c r="L319" s="24">
        <v>44280</v>
      </c>
      <c r="M319" s="19">
        <v>6.543</v>
      </c>
    </row>
    <row r="320" spans="12:13">
      <c r="L320" s="24">
        <v>44281</v>
      </c>
      <c r="M320" s="19">
        <v>6.5407</v>
      </c>
    </row>
    <row r="321" spans="12:13">
      <c r="L321" s="24">
        <v>44284</v>
      </c>
      <c r="M321" s="19">
        <v>6.5626</v>
      </c>
    </row>
    <row r="322" spans="12:13">
      <c r="L322" s="24">
        <v>44285</v>
      </c>
      <c r="M322" s="19">
        <v>6.5713</v>
      </c>
    </row>
    <row r="323" spans="12:13">
      <c r="L323" s="24">
        <v>44286</v>
      </c>
      <c r="M323" s="19">
        <v>6.5511</v>
      </c>
    </row>
    <row r="324" spans="12:13">
      <c r="L324" s="24">
        <v>44287</v>
      </c>
      <c r="M324" s="19">
        <v>6.572</v>
      </c>
    </row>
    <row r="325" spans="12:13">
      <c r="L325" s="24">
        <v>44292</v>
      </c>
      <c r="M325" s="19">
        <v>6.5518</v>
      </c>
    </row>
    <row r="326" spans="12:13">
      <c r="L326" s="24">
        <v>44293</v>
      </c>
      <c r="M326" s="19">
        <v>6.5433</v>
      </c>
    </row>
    <row r="327" spans="12:13">
      <c r="L327" s="24">
        <v>44294</v>
      </c>
      <c r="M327" s="19">
        <v>6.5484</v>
      </c>
    </row>
    <row r="328" spans="12:13">
      <c r="L328" s="24">
        <v>44295</v>
      </c>
      <c r="M328" s="19">
        <v>6.5557</v>
      </c>
    </row>
    <row r="329" spans="12:13">
      <c r="L329" s="24">
        <v>44298</v>
      </c>
      <c r="M329" s="19">
        <v>6.5446</v>
      </c>
    </row>
    <row r="330" spans="12:13">
      <c r="L330" s="24">
        <v>44299</v>
      </c>
      <c r="M330" s="19">
        <v>6.5488</v>
      </c>
    </row>
    <row r="331" spans="12:13">
      <c r="L331" s="24">
        <v>44300</v>
      </c>
      <c r="M331" s="19">
        <v>6.5318</v>
      </c>
    </row>
    <row r="332" spans="12:13">
      <c r="L332" s="24">
        <v>44301</v>
      </c>
      <c r="M332" s="19">
        <v>6.5271</v>
      </c>
    </row>
    <row r="333" spans="12:13">
      <c r="L333" s="24">
        <v>44302</v>
      </c>
      <c r="M333" s="19">
        <v>6.5207</v>
      </c>
    </row>
    <row r="334" spans="12:13">
      <c r="L334" s="24">
        <v>44305</v>
      </c>
      <c r="M334" s="19">
        <v>6.5079</v>
      </c>
    </row>
    <row r="335" spans="12:13">
      <c r="L335" s="24">
        <v>44306</v>
      </c>
      <c r="M335" s="19">
        <v>6.4976</v>
      </c>
    </row>
    <row r="336" spans="12:13">
      <c r="L336" s="24">
        <v>44307</v>
      </c>
      <c r="M336" s="19">
        <v>6.4971</v>
      </c>
    </row>
    <row r="337" spans="12:13">
      <c r="L337" s="24">
        <v>44308</v>
      </c>
      <c r="M337" s="19">
        <v>6.4902</v>
      </c>
    </row>
    <row r="338" spans="12:13">
      <c r="L338" s="24">
        <v>44309</v>
      </c>
      <c r="M338" s="19">
        <v>6.491</v>
      </c>
    </row>
    <row r="339" spans="12:13">
      <c r="L339" s="24">
        <v>44312</v>
      </c>
      <c r="M339" s="19">
        <v>6.4856</v>
      </c>
    </row>
    <row r="340" spans="12:13">
      <c r="L340" s="24">
        <v>44313</v>
      </c>
      <c r="M340" s="19">
        <v>6.4835</v>
      </c>
    </row>
    <row r="341" spans="12:13">
      <c r="L341" s="24">
        <v>44314</v>
      </c>
      <c r="M341" s="19">
        <v>6.4845</v>
      </c>
    </row>
    <row r="342" spans="12:13">
      <c r="L342" s="24">
        <v>44315</v>
      </c>
      <c r="M342" s="19">
        <v>6.469</v>
      </c>
    </row>
    <row r="343" spans="12:13">
      <c r="L343" s="24">
        <v>44316</v>
      </c>
      <c r="M343" s="19">
        <v>6.467</v>
      </c>
    </row>
    <row r="344" spans="12:13">
      <c r="L344" s="24">
        <v>44319</v>
      </c>
      <c r="M344" s="19">
        <v>6.4735</v>
      </c>
    </row>
    <row r="345" spans="12:13">
      <c r="L345" s="24">
        <v>44320</v>
      </c>
      <c r="M345" s="19">
        <v>6.5</v>
      </c>
    </row>
    <row r="346" spans="12:13">
      <c r="L346" s="24">
        <v>44321</v>
      </c>
      <c r="M346" s="19">
        <v>6.467</v>
      </c>
    </row>
    <row r="347" spans="12:13">
      <c r="L347" s="24">
        <v>44322</v>
      </c>
      <c r="M347" s="19">
        <v>6.4721</v>
      </c>
    </row>
    <row r="348" spans="12:13">
      <c r="L348" s="24">
        <v>44323</v>
      </c>
      <c r="M348" s="19">
        <v>6.4524</v>
      </c>
    </row>
    <row r="349" spans="12:13">
      <c r="L349" s="24">
        <v>44326</v>
      </c>
      <c r="M349" s="19">
        <v>6.4134</v>
      </c>
    </row>
    <row r="350" spans="12:13">
      <c r="L350" s="24">
        <v>44327</v>
      </c>
      <c r="M350" s="19">
        <v>6.4237</v>
      </c>
    </row>
    <row r="351" spans="12:13">
      <c r="L351" s="24">
        <v>44328</v>
      </c>
      <c r="M351" s="19">
        <v>6.4409</v>
      </c>
    </row>
    <row r="352" spans="12:13">
      <c r="L352" s="24">
        <v>44329</v>
      </c>
      <c r="M352" s="19">
        <v>6.4539</v>
      </c>
    </row>
    <row r="353" spans="12:13">
      <c r="L353" s="24">
        <v>44330</v>
      </c>
      <c r="M353" s="19">
        <v>6.436</v>
      </c>
    </row>
    <row r="354" spans="12:13">
      <c r="L354" s="24">
        <v>44333</v>
      </c>
      <c r="M354" s="19">
        <v>6.4421</v>
      </c>
    </row>
    <row r="355" spans="12:13">
      <c r="L355" s="24">
        <v>44334</v>
      </c>
      <c r="M355" s="19">
        <v>6.4229</v>
      </c>
    </row>
    <row r="356" spans="12:13">
      <c r="L356" s="24">
        <v>44335</v>
      </c>
      <c r="M356" s="19">
        <v>6.4358</v>
      </c>
    </row>
    <row r="357" spans="12:13">
      <c r="L357" s="24">
        <v>44336</v>
      </c>
      <c r="M357" s="19">
        <v>6.438</v>
      </c>
    </row>
    <row r="358" spans="12:13">
      <c r="L358" s="24">
        <v>44337</v>
      </c>
      <c r="M358" s="19">
        <v>6.432</v>
      </c>
    </row>
    <row r="359" spans="12:13">
      <c r="L359" s="24">
        <v>44340</v>
      </c>
      <c r="M359" s="19">
        <v>6.427</v>
      </c>
    </row>
    <row r="360" spans="12:13">
      <c r="L360" s="24">
        <v>44341</v>
      </c>
      <c r="M360" s="19">
        <v>6.4057</v>
      </c>
    </row>
    <row r="361" spans="12:13">
      <c r="L361" s="24">
        <v>44342</v>
      </c>
      <c r="M361" s="19">
        <v>6.3905</v>
      </c>
    </row>
    <row r="362" spans="12:13">
      <c r="L362" s="24">
        <v>44343</v>
      </c>
      <c r="M362" s="19">
        <v>6.3788</v>
      </c>
    </row>
    <row r="363" spans="12:13">
      <c r="L363" s="24">
        <v>44344</v>
      </c>
      <c r="M363" s="19">
        <v>6.3764</v>
      </c>
    </row>
    <row r="364" spans="12:13">
      <c r="L364" s="24">
        <v>44347</v>
      </c>
      <c r="M364" s="19">
        <v>6.3701</v>
      </c>
    </row>
    <row r="365" spans="12:13">
      <c r="L365" s="24">
        <v>44348</v>
      </c>
      <c r="M365" s="19">
        <v>6.3839</v>
      </c>
    </row>
    <row r="366" spans="12:13">
      <c r="L366" s="24">
        <v>44349</v>
      </c>
      <c r="M366" s="19">
        <v>6.3854</v>
      </c>
    </row>
    <row r="367" spans="12:13">
      <c r="L367" s="24">
        <v>44350</v>
      </c>
      <c r="M367" s="19">
        <v>6.3929</v>
      </c>
    </row>
    <row r="368" spans="12:13">
      <c r="L368" s="24">
        <v>44351</v>
      </c>
      <c r="M368" s="19">
        <v>6.4098</v>
      </c>
    </row>
    <row r="369" spans="12:13">
      <c r="L369" s="24">
        <v>44354</v>
      </c>
      <c r="M369" s="19">
        <v>6.3966</v>
      </c>
    </row>
    <row r="370" spans="12:13">
      <c r="L370" s="24">
        <v>44355</v>
      </c>
      <c r="M370" s="19">
        <v>6.3978</v>
      </c>
    </row>
    <row r="371" spans="12:13">
      <c r="L371" s="24">
        <v>44356</v>
      </c>
      <c r="M371" s="19">
        <v>6.3861</v>
      </c>
    </row>
    <row r="372" spans="12:13">
      <c r="L372" s="24">
        <v>44357</v>
      </c>
      <c r="M372" s="19">
        <v>6.393</v>
      </c>
    </row>
    <row r="373" spans="12:13">
      <c r="L373" s="24">
        <v>44358</v>
      </c>
      <c r="M373" s="19">
        <v>6.3933</v>
      </c>
    </row>
    <row r="374" spans="12:13">
      <c r="L374" s="24">
        <v>44361</v>
      </c>
      <c r="M374" s="19">
        <v>6.3987</v>
      </c>
    </row>
    <row r="375" spans="12:13">
      <c r="L375" s="24">
        <v>44362</v>
      </c>
      <c r="M375" s="19">
        <v>6.4009</v>
      </c>
    </row>
    <row r="376" spans="12:13">
      <c r="L376" s="24">
        <v>44363</v>
      </c>
      <c r="M376" s="19">
        <v>6.399</v>
      </c>
    </row>
    <row r="377" spans="12:13">
      <c r="L377" s="24">
        <v>44364</v>
      </c>
      <c r="M377" s="19">
        <v>6.4402</v>
      </c>
    </row>
    <row r="378" spans="12:13">
      <c r="L378" s="24">
        <v>44365</v>
      </c>
      <c r="M378" s="19">
        <v>6.4397</v>
      </c>
    </row>
    <row r="379" spans="12:13">
      <c r="L379" s="24">
        <v>44368</v>
      </c>
      <c r="M379" s="19">
        <v>6.4684</v>
      </c>
    </row>
    <row r="380" spans="12:13">
      <c r="L380" s="24">
        <v>44369</v>
      </c>
      <c r="M380" s="19">
        <v>6.475</v>
      </c>
    </row>
    <row r="381" spans="12:13">
      <c r="L381" s="24">
        <v>44370</v>
      </c>
      <c r="M381" s="19">
        <v>6.4759</v>
      </c>
    </row>
    <row r="382" spans="12:13">
      <c r="L382" s="24">
        <v>44371</v>
      </c>
      <c r="M382" s="19">
        <v>6.4672</v>
      </c>
    </row>
    <row r="383" spans="12:13">
      <c r="L383" s="24">
        <v>44372</v>
      </c>
      <c r="M383" s="19">
        <v>6.4551</v>
      </c>
    </row>
    <row r="384" spans="12:13">
      <c r="L384" s="24">
        <v>44375</v>
      </c>
      <c r="M384" s="19">
        <v>6.4586</v>
      </c>
    </row>
    <row r="385" spans="12:13">
      <c r="L385" s="24">
        <v>44376</v>
      </c>
      <c r="M385" s="19">
        <v>6.4615</v>
      </c>
    </row>
    <row r="386" spans="12:13">
      <c r="L386" s="24">
        <v>44377</v>
      </c>
      <c r="M386" s="19">
        <v>6.4576</v>
      </c>
    </row>
    <row r="387" spans="12:13">
      <c r="L387" s="24">
        <v>44378</v>
      </c>
      <c r="M387" s="19">
        <v>6.466</v>
      </c>
    </row>
    <row r="388" spans="12:13">
      <c r="L388" s="24">
        <v>44379</v>
      </c>
      <c r="M388" s="19">
        <v>6.4784</v>
      </c>
    </row>
    <row r="389" spans="12:13">
      <c r="L389" s="24">
        <v>44382</v>
      </c>
      <c r="M389" s="19">
        <v>6.4619</v>
      </c>
    </row>
    <row r="390" spans="12:13">
      <c r="L390" s="24">
        <v>44383</v>
      </c>
      <c r="M390" s="19">
        <v>6.466</v>
      </c>
    </row>
    <row r="391" spans="12:13">
      <c r="L391" s="24">
        <v>44384</v>
      </c>
      <c r="M391" s="19">
        <v>6.4642</v>
      </c>
    </row>
    <row r="392" spans="12:13">
      <c r="L392" s="24">
        <v>44385</v>
      </c>
      <c r="M392" s="19">
        <v>6.4903</v>
      </c>
    </row>
    <row r="393" spans="12:13">
      <c r="L393" s="24">
        <v>44386</v>
      </c>
      <c r="M393" s="19">
        <v>6.4795</v>
      </c>
    </row>
    <row r="394" spans="12:13">
      <c r="L394" s="24">
        <v>44389</v>
      </c>
      <c r="M394" s="19">
        <v>6.4758</v>
      </c>
    </row>
    <row r="395" spans="12:13">
      <c r="L395" s="24">
        <v>44390</v>
      </c>
      <c r="M395" s="19">
        <v>6.4672</v>
      </c>
    </row>
    <row r="396" spans="12:13">
      <c r="L396" s="24">
        <v>44391</v>
      </c>
      <c r="M396" s="19">
        <v>6.4568</v>
      </c>
    </row>
    <row r="397" spans="12:13">
      <c r="L397" s="24">
        <v>44392</v>
      </c>
      <c r="M397" s="19">
        <v>6.4615</v>
      </c>
    </row>
    <row r="398" spans="12:13">
      <c r="L398" s="24">
        <v>44393</v>
      </c>
      <c r="M398" s="19">
        <v>6.4712</v>
      </c>
    </row>
    <row r="399" spans="12:13">
      <c r="L399" s="24">
        <v>44396</v>
      </c>
      <c r="M399" s="19">
        <v>6.4885</v>
      </c>
    </row>
    <row r="400" spans="12:13">
      <c r="L400" s="24">
        <v>44397</v>
      </c>
      <c r="M400" s="19">
        <v>6.4803</v>
      </c>
    </row>
    <row r="401" spans="12:13">
      <c r="L401" s="24">
        <v>44398</v>
      </c>
      <c r="M401" s="19">
        <v>6.4731</v>
      </c>
    </row>
    <row r="402" spans="12:13">
      <c r="L402" s="24">
        <v>44399</v>
      </c>
      <c r="M402" s="19">
        <v>6.4673</v>
      </c>
    </row>
    <row r="403" spans="12:13">
      <c r="L403" s="24">
        <v>44400</v>
      </c>
      <c r="M403" s="19">
        <v>6.4778</v>
      </c>
    </row>
    <row r="404" spans="12:13">
      <c r="L404" s="24">
        <v>44403</v>
      </c>
      <c r="M404" s="19">
        <v>6.4839</v>
      </c>
    </row>
    <row r="405" spans="12:13">
      <c r="L405" s="24">
        <v>44404</v>
      </c>
      <c r="M405" s="19">
        <v>6.5029</v>
      </c>
    </row>
    <row r="406" spans="12:13">
      <c r="L406" s="24">
        <v>44405</v>
      </c>
      <c r="M406" s="19">
        <v>6.498</v>
      </c>
    </row>
    <row r="407" spans="12:13">
      <c r="L407" s="24">
        <v>44406</v>
      </c>
      <c r="M407" s="19">
        <v>6.4593</v>
      </c>
    </row>
    <row r="408" spans="12:13">
      <c r="L408" s="24">
        <v>44407</v>
      </c>
      <c r="M408" s="19">
        <v>6.4619</v>
      </c>
    </row>
    <row r="409" spans="12:13">
      <c r="L409" s="24">
        <v>44410</v>
      </c>
      <c r="M409" s="19">
        <v>6.462</v>
      </c>
    </row>
    <row r="410" spans="12:13">
      <c r="L410" s="24">
        <v>44411</v>
      </c>
      <c r="M410" s="19">
        <v>6.4634</v>
      </c>
    </row>
    <row r="411" spans="12:13">
      <c r="L411" s="24">
        <v>44412</v>
      </c>
      <c r="M411" s="19">
        <v>6.4613</v>
      </c>
    </row>
    <row r="412" spans="12:13">
      <c r="L412" s="24">
        <v>44413</v>
      </c>
      <c r="M412" s="19">
        <v>6.4603</v>
      </c>
    </row>
    <row r="413" spans="12:13">
      <c r="L413" s="24">
        <v>44414</v>
      </c>
      <c r="M413" s="19">
        <v>6.469</v>
      </c>
    </row>
    <row r="414" spans="12:13">
      <c r="L414" s="24">
        <v>44417</v>
      </c>
      <c r="M414" s="19">
        <v>6.4782</v>
      </c>
    </row>
    <row r="415" spans="12:13">
      <c r="L415" s="24">
        <v>44418</v>
      </c>
      <c r="M415" s="19">
        <v>6.4814</v>
      </c>
    </row>
    <row r="416" spans="12:13">
      <c r="L416" s="24">
        <v>44419</v>
      </c>
      <c r="M416" s="19">
        <v>6.4854</v>
      </c>
    </row>
    <row r="417" spans="12:13">
      <c r="L417" s="24">
        <v>44420</v>
      </c>
      <c r="M417" s="19">
        <v>6.4772</v>
      </c>
    </row>
    <row r="418" spans="12:13">
      <c r="L418" s="24">
        <v>44421</v>
      </c>
      <c r="M418" s="19">
        <v>6.48</v>
      </c>
    </row>
    <row r="419" spans="12:13">
      <c r="L419" s="24">
        <v>44424</v>
      </c>
      <c r="M419" s="19">
        <v>6.4766</v>
      </c>
    </row>
    <row r="420" spans="12:13">
      <c r="L420" s="24">
        <v>44425</v>
      </c>
      <c r="M420" s="19">
        <v>6.4795</v>
      </c>
    </row>
    <row r="421" spans="12:13">
      <c r="L421" s="24">
        <v>44426</v>
      </c>
      <c r="M421" s="19">
        <v>6.4809</v>
      </c>
    </row>
    <row r="422" spans="12:13">
      <c r="L422" s="24">
        <v>44427</v>
      </c>
      <c r="M422" s="19">
        <v>6.4895</v>
      </c>
    </row>
    <row r="423" spans="12:13">
      <c r="L423" s="24">
        <v>44428</v>
      </c>
      <c r="M423" s="19">
        <v>6.4994</v>
      </c>
    </row>
    <row r="424" spans="12:13">
      <c r="L424" s="24">
        <v>44431</v>
      </c>
      <c r="M424" s="19">
        <v>6.4849</v>
      </c>
    </row>
    <row r="425" spans="12:13">
      <c r="L425" s="24">
        <v>44432</v>
      </c>
      <c r="M425" s="19">
        <v>6.4772</v>
      </c>
    </row>
    <row r="426" spans="12:13">
      <c r="L426" s="24">
        <v>44433</v>
      </c>
      <c r="M426" s="19">
        <v>6.4784</v>
      </c>
    </row>
    <row r="427" spans="12:13">
      <c r="L427" s="24">
        <v>44434</v>
      </c>
      <c r="M427" s="19">
        <v>6.483</v>
      </c>
    </row>
    <row r="428" spans="12:13">
      <c r="L428" s="24">
        <v>44435</v>
      </c>
      <c r="M428" s="19">
        <v>6.4786</v>
      </c>
    </row>
    <row r="429" spans="12:13">
      <c r="L429" s="24">
        <v>44438</v>
      </c>
      <c r="M429" s="19">
        <v>6.4695</v>
      </c>
    </row>
    <row r="430" spans="12:13">
      <c r="L430" s="24">
        <v>44439</v>
      </c>
      <c r="M430" s="19">
        <v>6.4615</v>
      </c>
    </row>
    <row r="431" spans="12:13">
      <c r="L431" s="24">
        <v>44440</v>
      </c>
      <c r="M431" s="19">
        <v>6.467</v>
      </c>
    </row>
    <row r="432" spans="12:13">
      <c r="L432" s="24">
        <v>44441</v>
      </c>
      <c r="M432" s="19">
        <v>6.4581</v>
      </c>
    </row>
    <row r="433" spans="12:13">
      <c r="L433" s="24">
        <v>44442</v>
      </c>
      <c r="M433" s="19">
        <v>6.4484</v>
      </c>
    </row>
    <row r="434" spans="12:13">
      <c r="L434" s="24">
        <v>44445</v>
      </c>
      <c r="M434" s="19">
        <v>6.4574</v>
      </c>
    </row>
    <row r="435" spans="12:13">
      <c r="L435" s="24">
        <v>44446</v>
      </c>
      <c r="M435" s="19">
        <v>6.4646</v>
      </c>
    </row>
    <row r="436" spans="12:13">
      <c r="L436" s="24">
        <v>44447</v>
      </c>
      <c r="M436" s="19">
        <v>6.4578</v>
      </c>
    </row>
    <row r="437" spans="12:13">
      <c r="L437" s="24">
        <v>44448</v>
      </c>
      <c r="M437" s="19">
        <v>6.454</v>
      </c>
    </row>
    <row r="438" spans="12:13">
      <c r="L438" s="24">
        <v>44449</v>
      </c>
      <c r="M438" s="19">
        <v>6.4376</v>
      </c>
    </row>
    <row r="439" spans="12:13">
      <c r="L439" s="24">
        <v>44452</v>
      </c>
      <c r="M439" s="19">
        <v>6.4566</v>
      </c>
    </row>
    <row r="440" spans="12:13">
      <c r="L440" s="24">
        <v>44453</v>
      </c>
      <c r="M440" s="19">
        <v>6.4473</v>
      </c>
    </row>
    <row r="441" spans="12:13">
      <c r="L441" s="24">
        <v>44454</v>
      </c>
      <c r="M441" s="19">
        <v>6.4334</v>
      </c>
    </row>
    <row r="442" spans="12:13">
      <c r="L442" s="24">
        <v>44455</v>
      </c>
      <c r="M442" s="19">
        <v>6.4481</v>
      </c>
    </row>
    <row r="443" spans="12:13">
      <c r="L443" s="24">
        <v>44456</v>
      </c>
      <c r="M443" s="19">
        <v>6.4553</v>
      </c>
    </row>
    <row r="444" spans="12:13">
      <c r="L444" s="24">
        <v>44459</v>
      </c>
      <c r="M444" s="19">
        <v>6.4662</v>
      </c>
    </row>
    <row r="445" spans="12:13">
      <c r="L445" s="24">
        <v>44460</v>
      </c>
      <c r="M445" s="19">
        <v>6.47</v>
      </c>
    </row>
    <row r="446" spans="12:13">
      <c r="L446" s="24">
        <v>44461</v>
      </c>
      <c r="M446" s="19">
        <v>6.4669</v>
      </c>
    </row>
    <row r="447" spans="12:13">
      <c r="L447" s="24">
        <v>44462</v>
      </c>
      <c r="M447" s="19">
        <v>6.4569</v>
      </c>
    </row>
    <row r="448" spans="12:13">
      <c r="L448" s="24">
        <v>44463</v>
      </c>
      <c r="M448" s="19">
        <v>6.4684</v>
      </c>
    </row>
    <row r="449" spans="12:13">
      <c r="L449" s="24">
        <v>44466</v>
      </c>
      <c r="M449" s="19">
        <v>6.4634</v>
      </c>
    </row>
    <row r="450" spans="12:13">
      <c r="L450" s="24">
        <v>44467</v>
      </c>
      <c r="M450" s="19">
        <v>6.4594</v>
      </c>
    </row>
    <row r="451" spans="12:13">
      <c r="L451" s="24">
        <v>44468</v>
      </c>
      <c r="M451" s="19">
        <v>6.4653</v>
      </c>
    </row>
    <row r="452" spans="12:13">
      <c r="L452" s="24">
        <v>44469</v>
      </c>
      <c r="M452" s="19">
        <v>6.464</v>
      </c>
    </row>
    <row r="453" spans="12:13">
      <c r="L453" s="24">
        <v>44470</v>
      </c>
      <c r="M453" s="19">
        <v>6.4466</v>
      </c>
    </row>
    <row r="454" spans="12:13">
      <c r="L454" s="24">
        <v>44473</v>
      </c>
      <c r="M454" s="19">
        <v>6.4466</v>
      </c>
    </row>
    <row r="455" spans="12:13">
      <c r="L455" s="24">
        <v>44474</v>
      </c>
      <c r="M455" s="19">
        <v>6.4476</v>
      </c>
    </row>
    <row r="456" spans="12:13">
      <c r="L456" s="24">
        <v>44475</v>
      </c>
      <c r="M456" s="19">
        <v>6.4466</v>
      </c>
    </row>
    <row r="457" spans="12:13">
      <c r="L457" s="24">
        <v>44476</v>
      </c>
      <c r="M457" s="19">
        <v>6.4466</v>
      </c>
    </row>
    <row r="458" spans="12:13">
      <c r="L458" s="24">
        <v>44477</v>
      </c>
      <c r="M458" s="19">
        <v>6.4475</v>
      </c>
    </row>
    <row r="459" spans="12:13">
      <c r="L459" s="24">
        <v>44480</v>
      </c>
      <c r="M459" s="19">
        <v>6.4493</v>
      </c>
    </row>
    <row r="460" spans="12:13">
      <c r="L460" s="24">
        <v>44481</v>
      </c>
      <c r="M460" s="19">
        <v>6.4493</v>
      </c>
    </row>
    <row r="461" spans="12:13">
      <c r="L461" s="24">
        <v>44482</v>
      </c>
      <c r="M461" s="19">
        <v>6.442</v>
      </c>
    </row>
    <row r="462" spans="12:13">
      <c r="L462" s="24">
        <v>44483</v>
      </c>
      <c r="M462" s="19">
        <v>6.4371</v>
      </c>
    </row>
    <row r="463" spans="12:13">
      <c r="L463" s="24">
        <v>44484</v>
      </c>
      <c r="M463" s="19">
        <v>6.4354</v>
      </c>
    </row>
    <row r="464" spans="12:13">
      <c r="L464" s="24">
        <v>44487</v>
      </c>
      <c r="M464" s="19">
        <v>6.4303</v>
      </c>
    </row>
    <row r="465" spans="12:13">
      <c r="L465" s="24">
        <v>44488</v>
      </c>
      <c r="M465" s="19">
        <v>6.389</v>
      </c>
    </row>
    <row r="466" spans="12:13">
      <c r="L466" s="24">
        <v>44489</v>
      </c>
      <c r="M466" s="19">
        <v>6.3927</v>
      </c>
    </row>
    <row r="467" spans="12:13">
      <c r="L467" s="24">
        <v>44490</v>
      </c>
      <c r="M467" s="19">
        <v>6.3988</v>
      </c>
    </row>
    <row r="468" spans="12:13">
      <c r="L468" s="24">
        <v>44491</v>
      </c>
      <c r="M468" s="19">
        <v>6.3918</v>
      </c>
    </row>
    <row r="469" spans="12:13">
      <c r="L469" s="24">
        <v>44494</v>
      </c>
      <c r="M469" s="19">
        <v>6.3899</v>
      </c>
    </row>
    <row r="470" spans="12:13">
      <c r="L470" s="24">
        <v>44495</v>
      </c>
      <c r="M470" s="19">
        <v>6.3801</v>
      </c>
    </row>
    <row r="471" spans="12:13">
      <c r="L471" s="24">
        <v>44496</v>
      </c>
      <c r="M471" s="19">
        <v>6.3924</v>
      </c>
    </row>
    <row r="472" spans="12:13">
      <c r="L472" s="24">
        <v>44497</v>
      </c>
      <c r="M472" s="19">
        <v>6.3977</v>
      </c>
    </row>
    <row r="473" spans="12:13">
      <c r="L473" s="24">
        <v>44498</v>
      </c>
      <c r="M473" s="19">
        <v>6.3966</v>
      </c>
    </row>
    <row r="474" spans="12:13">
      <c r="L474" s="24">
        <v>44501</v>
      </c>
      <c r="M474" s="19">
        <v>6.3981</v>
      </c>
    </row>
    <row r="475" spans="12:13">
      <c r="L475" s="24">
        <v>44502</v>
      </c>
      <c r="M475" s="19">
        <v>6.3983</v>
      </c>
    </row>
    <row r="476" spans="12:13">
      <c r="L476" s="24">
        <v>44503</v>
      </c>
      <c r="M476" s="19">
        <v>6.3985</v>
      </c>
    </row>
    <row r="477" spans="12:13">
      <c r="L477" s="24">
        <v>44504</v>
      </c>
      <c r="M477" s="19">
        <v>6.3949</v>
      </c>
    </row>
    <row r="478" spans="12:13">
      <c r="L478" s="24">
        <v>44505</v>
      </c>
      <c r="M478" s="19">
        <v>6.403</v>
      </c>
    </row>
    <row r="479" spans="12:13">
      <c r="L479" s="24">
        <v>44508</v>
      </c>
      <c r="M479" s="19">
        <v>6.395</v>
      </c>
    </row>
    <row r="480" spans="12:13">
      <c r="L480" s="24">
        <v>44509</v>
      </c>
      <c r="M480" s="19">
        <v>6.391</v>
      </c>
    </row>
    <row r="481" spans="12:13">
      <c r="L481" s="24">
        <v>44510</v>
      </c>
      <c r="M481" s="19">
        <v>6.3909</v>
      </c>
    </row>
    <row r="482" spans="12:13">
      <c r="L482" s="24">
        <v>44511</v>
      </c>
      <c r="M482" s="19">
        <v>6.3955</v>
      </c>
    </row>
    <row r="483" spans="12:13">
      <c r="L483" s="24">
        <v>44512</v>
      </c>
      <c r="M483" s="19">
        <v>6.3808</v>
      </c>
    </row>
    <row r="484" spans="12:13">
      <c r="L484" s="24">
        <v>44515</v>
      </c>
      <c r="M484" s="19">
        <v>6.3819</v>
      </c>
    </row>
    <row r="485" spans="12:13">
      <c r="L485" s="24">
        <v>44516</v>
      </c>
      <c r="M485" s="19">
        <v>6.3887</v>
      </c>
    </row>
    <row r="486" spans="12:13">
      <c r="L486" s="24">
        <v>44517</v>
      </c>
      <c r="M486" s="19">
        <v>6.3777</v>
      </c>
    </row>
    <row r="487" spans="12:13">
      <c r="L487" s="24">
        <v>44518</v>
      </c>
      <c r="M487" s="19">
        <v>6.3833</v>
      </c>
    </row>
    <row r="488" spans="12:13">
      <c r="L488" s="24">
        <v>44519</v>
      </c>
      <c r="M488" s="19">
        <v>6.3905</v>
      </c>
    </row>
    <row r="489" spans="12:13">
      <c r="L489" s="24">
        <v>44522</v>
      </c>
      <c r="M489" s="19">
        <v>6.3819</v>
      </c>
    </row>
    <row r="490" spans="12:13">
      <c r="L490" s="24">
        <v>44523</v>
      </c>
      <c r="M490" s="19">
        <v>6.3898</v>
      </c>
    </row>
    <row r="491" spans="12:13">
      <c r="L491" s="24">
        <v>44524</v>
      </c>
      <c r="M491" s="19">
        <v>6.3894</v>
      </c>
    </row>
    <row r="492" spans="12:13">
      <c r="L492" s="24">
        <v>44525</v>
      </c>
      <c r="M492" s="19">
        <v>6.3865</v>
      </c>
    </row>
    <row r="493" spans="12:13">
      <c r="L493" s="24">
        <v>44526</v>
      </c>
      <c r="M493" s="19">
        <v>6.39</v>
      </c>
    </row>
    <row r="494" spans="12:13">
      <c r="L494" s="24">
        <v>44529</v>
      </c>
      <c r="M494" s="19">
        <v>6.3854</v>
      </c>
    </row>
    <row r="495" spans="12:13">
      <c r="L495" s="24">
        <v>44530</v>
      </c>
      <c r="M495" s="19">
        <v>6.3711</v>
      </c>
    </row>
    <row r="496" spans="12:13">
      <c r="L496" s="24">
        <v>44531</v>
      </c>
      <c r="M496" s="19">
        <v>6.3695</v>
      </c>
    </row>
    <row r="497" spans="12:13">
      <c r="L497" s="24">
        <v>44532</v>
      </c>
      <c r="M497" s="19">
        <v>6.376</v>
      </c>
    </row>
    <row r="498" spans="12:13">
      <c r="L498" s="24">
        <v>44533</v>
      </c>
      <c r="M498" s="19">
        <v>6.371</v>
      </c>
    </row>
    <row r="499" spans="12:13">
      <c r="L499" s="24">
        <v>44536</v>
      </c>
      <c r="M499" s="19">
        <v>6.3778</v>
      </c>
    </row>
    <row r="500" spans="12:13">
      <c r="L500" s="24">
        <v>44537</v>
      </c>
      <c r="M500" s="19">
        <v>6.3674</v>
      </c>
    </row>
    <row r="501" spans="12:13">
      <c r="L501" s="24">
        <v>44538</v>
      </c>
      <c r="M501" s="19">
        <v>6.348</v>
      </c>
    </row>
    <row r="502" spans="12:13">
      <c r="L502" s="24">
        <v>44539</v>
      </c>
      <c r="M502" s="19">
        <v>6.3756</v>
      </c>
    </row>
    <row r="503" spans="12:13">
      <c r="L503" s="24">
        <v>44540</v>
      </c>
      <c r="M503" s="19">
        <v>6.3704</v>
      </c>
    </row>
    <row r="504" spans="12:13">
      <c r="L504" s="24">
        <v>44543</v>
      </c>
      <c r="M504" s="19">
        <v>6.3643</v>
      </c>
    </row>
    <row r="505" spans="12:13">
      <c r="L505" s="24">
        <v>44544</v>
      </c>
      <c r="M505" s="19">
        <v>6.3627</v>
      </c>
    </row>
    <row r="506" spans="12:13">
      <c r="L506" s="24">
        <v>44545</v>
      </c>
      <c r="M506" s="19">
        <v>6.3657</v>
      </c>
    </row>
    <row r="507" spans="12:13">
      <c r="L507" s="24">
        <v>44546</v>
      </c>
      <c r="M507" s="19">
        <v>6.3676</v>
      </c>
    </row>
    <row r="508" spans="12:13">
      <c r="L508" s="24">
        <v>44547</v>
      </c>
      <c r="M508" s="19">
        <v>6.3755</v>
      </c>
    </row>
    <row r="509" spans="12:13">
      <c r="L509" s="24">
        <v>44550</v>
      </c>
      <c r="M509" s="19">
        <v>6.3765</v>
      </c>
    </row>
    <row r="510" spans="12:13">
      <c r="L510" s="24">
        <v>44551</v>
      </c>
      <c r="M510" s="19">
        <v>6.3714</v>
      </c>
    </row>
    <row r="511" spans="12:13">
      <c r="L511" s="24">
        <v>44552</v>
      </c>
      <c r="M511" s="19">
        <v>6.371</v>
      </c>
    </row>
    <row r="512" spans="12:13">
      <c r="L512" s="24">
        <v>44553</v>
      </c>
      <c r="M512" s="19">
        <v>6.371</v>
      </c>
    </row>
    <row r="513" spans="12:13">
      <c r="L513" s="24">
        <v>44554</v>
      </c>
      <c r="M513" s="19">
        <v>6.3678</v>
      </c>
    </row>
    <row r="514" spans="12:13">
      <c r="L514" s="24">
        <v>44557</v>
      </c>
      <c r="M514" s="19">
        <v>6.3726</v>
      </c>
    </row>
    <row r="515" spans="12:13">
      <c r="L515" s="24">
        <v>44558</v>
      </c>
      <c r="M515" s="19">
        <v>6.3683</v>
      </c>
    </row>
    <row r="516" spans="12:13">
      <c r="L516" s="24">
        <v>44559</v>
      </c>
      <c r="M516" s="19">
        <v>6.3695</v>
      </c>
    </row>
    <row r="517" spans="12:13">
      <c r="L517" s="24">
        <v>44560</v>
      </c>
      <c r="M517" s="19">
        <v>6.3729</v>
      </c>
    </row>
    <row r="518" spans="12:13">
      <c r="L518" s="24">
        <v>44561</v>
      </c>
      <c r="M518" s="19">
        <v>6.3524</v>
      </c>
    </row>
    <row r="519" spans="12:13">
      <c r="L519" s="24">
        <v>44564</v>
      </c>
      <c r="M519" s="19">
        <v>6.3561</v>
      </c>
    </row>
    <row r="520" spans="12:13">
      <c r="L520" s="24">
        <v>44565</v>
      </c>
      <c r="M520" s="19">
        <v>6.3768</v>
      </c>
    </row>
    <row r="521" spans="12:13">
      <c r="L521" s="24">
        <v>44566</v>
      </c>
      <c r="M521" s="19">
        <v>6.3687</v>
      </c>
    </row>
    <row r="522" spans="12:13">
      <c r="L522" s="24">
        <v>44567</v>
      </c>
      <c r="M522" s="19">
        <v>6.3798</v>
      </c>
    </row>
    <row r="523" spans="12:13">
      <c r="L523" s="24">
        <v>44568</v>
      </c>
      <c r="M523" s="19">
        <v>6.3781</v>
      </c>
    </row>
    <row r="524" spans="12:13">
      <c r="L524" s="24">
        <v>44571</v>
      </c>
      <c r="M524" s="19">
        <v>6.3729</v>
      </c>
    </row>
    <row r="525" spans="12:13">
      <c r="L525" s="24">
        <v>44572</v>
      </c>
      <c r="M525" s="19">
        <v>6.3739</v>
      </c>
    </row>
    <row r="526" spans="12:13">
      <c r="L526" s="24">
        <v>44573</v>
      </c>
      <c r="M526" s="19">
        <v>6.3658</v>
      </c>
    </row>
    <row r="527" spans="12:13">
      <c r="L527" s="24">
        <v>44574</v>
      </c>
      <c r="M527" s="19">
        <v>6.3607</v>
      </c>
    </row>
    <row r="528" spans="12:13">
      <c r="L528" s="24">
        <v>44575</v>
      </c>
      <c r="M528" s="19">
        <v>6.3535</v>
      </c>
    </row>
    <row r="529" spans="12:13">
      <c r="L529" s="24">
        <v>44578</v>
      </c>
      <c r="M529" s="19">
        <v>6.3494</v>
      </c>
    </row>
    <row r="530" spans="12:13">
      <c r="L530" s="24">
        <v>44579</v>
      </c>
      <c r="M530" s="19">
        <v>6.3528</v>
      </c>
    </row>
    <row r="531" spans="12:13">
      <c r="L531" s="24">
        <v>44580</v>
      </c>
      <c r="M531" s="19">
        <v>6.3467</v>
      </c>
    </row>
    <row r="532" spans="12:13">
      <c r="L532" s="24">
        <v>44581</v>
      </c>
      <c r="M532" s="19">
        <v>6.3447</v>
      </c>
    </row>
    <row r="533" spans="12:13">
      <c r="L533" s="24">
        <v>44582</v>
      </c>
      <c r="M533" s="19">
        <v>6.34</v>
      </c>
    </row>
    <row r="534" spans="12:13">
      <c r="L534" s="24">
        <v>44585</v>
      </c>
      <c r="M534" s="19">
        <v>6.3281</v>
      </c>
    </row>
    <row r="535" spans="12:13">
      <c r="L535" s="24">
        <v>44586</v>
      </c>
      <c r="M535" s="19">
        <v>6.3299</v>
      </c>
    </row>
    <row r="536" spans="12:13">
      <c r="L536" s="24">
        <v>44587</v>
      </c>
      <c r="M536" s="19">
        <v>6.322</v>
      </c>
    </row>
    <row r="537" spans="12:13">
      <c r="L537" s="24">
        <v>44588</v>
      </c>
      <c r="M537" s="19">
        <v>6.3675</v>
      </c>
    </row>
    <row r="538" spans="12:13">
      <c r="L538" s="24">
        <v>44589</v>
      </c>
      <c r="M538" s="19">
        <v>6.3617</v>
      </c>
    </row>
    <row r="539" spans="12:13">
      <c r="L539" s="24">
        <v>44592</v>
      </c>
      <c r="M539" s="19">
        <v>6.361</v>
      </c>
    </row>
    <row r="540" spans="12:13">
      <c r="L540" s="24">
        <v>44593</v>
      </c>
      <c r="M540" s="19">
        <v>6.361</v>
      </c>
    </row>
    <row r="541" spans="12:13">
      <c r="L541" s="24">
        <v>44594</v>
      </c>
      <c r="M541" s="19">
        <v>6.361</v>
      </c>
    </row>
    <row r="542" spans="12:13">
      <c r="L542" s="24">
        <v>44595</v>
      </c>
      <c r="M542" s="19">
        <v>6.3614</v>
      </c>
    </row>
    <row r="543" spans="12:13">
      <c r="L543" s="24">
        <v>44596</v>
      </c>
      <c r="M543" s="19">
        <v>6.361</v>
      </c>
    </row>
    <row r="544" spans="12:13">
      <c r="L544" s="24">
        <v>44599</v>
      </c>
      <c r="M544" s="19">
        <v>6.3604</v>
      </c>
    </row>
    <row r="545" spans="12:13">
      <c r="L545" s="24">
        <v>44600</v>
      </c>
      <c r="M545" s="19">
        <v>6.3671</v>
      </c>
    </row>
    <row r="546" spans="12:13">
      <c r="L546" s="24">
        <v>44601</v>
      </c>
      <c r="M546" s="19">
        <v>6.3628</v>
      </c>
    </row>
    <row r="547" spans="12:13">
      <c r="L547" s="24">
        <v>44602</v>
      </c>
      <c r="M547" s="19">
        <v>6.3574</v>
      </c>
    </row>
    <row r="548" spans="12:13">
      <c r="L548" s="24">
        <v>44603</v>
      </c>
      <c r="M548" s="19">
        <v>6.3558</v>
      </c>
    </row>
    <row r="549" spans="12:13">
      <c r="L549" s="24">
        <v>44606</v>
      </c>
      <c r="M549" s="19">
        <v>6.3571</v>
      </c>
    </row>
    <row r="550" spans="12:13">
      <c r="L550" s="24">
        <v>44607</v>
      </c>
      <c r="M550" s="19">
        <v>6.3437</v>
      </c>
    </row>
    <row r="551" spans="12:13">
      <c r="L551" s="24">
        <v>44608</v>
      </c>
      <c r="M551" s="19">
        <v>6.3402</v>
      </c>
    </row>
    <row r="552" spans="12:13">
      <c r="L552" s="24">
        <v>44609</v>
      </c>
      <c r="M552" s="19">
        <v>6.3377</v>
      </c>
    </row>
    <row r="553" spans="12:13">
      <c r="L553" s="24">
        <v>44610</v>
      </c>
      <c r="M553" s="19">
        <v>6.3273</v>
      </c>
    </row>
    <row r="554" spans="12:13">
      <c r="L554" s="24">
        <v>44613</v>
      </c>
      <c r="M554" s="19">
        <v>6.3354</v>
      </c>
    </row>
    <row r="555" spans="12:13">
      <c r="L555" s="24">
        <v>44614</v>
      </c>
      <c r="M555" s="19">
        <v>6.3279</v>
      </c>
    </row>
    <row r="556" spans="12:13">
      <c r="L556" s="24">
        <v>44615</v>
      </c>
      <c r="M556" s="19">
        <v>6.3178</v>
      </c>
    </row>
    <row r="557" spans="12:13">
      <c r="L557" s="24">
        <v>44616</v>
      </c>
      <c r="M557" s="19">
        <v>6.3246</v>
      </c>
    </row>
    <row r="558" spans="12:13">
      <c r="L558" s="24">
        <v>44617</v>
      </c>
      <c r="M558" s="19">
        <v>6.3149</v>
      </c>
    </row>
    <row r="559" spans="12:13">
      <c r="L559" s="24">
        <v>44620</v>
      </c>
      <c r="M559" s="19">
        <v>6.3104</v>
      </c>
    </row>
    <row r="560" spans="12:13">
      <c r="L560" s="24">
        <v>44621</v>
      </c>
      <c r="M560" s="19">
        <v>6.3127</v>
      </c>
    </row>
    <row r="561" spans="12:13">
      <c r="L561" s="24">
        <v>44622</v>
      </c>
      <c r="M561" s="19">
        <v>6.3167</v>
      </c>
    </row>
    <row r="562" spans="12:13">
      <c r="L562" s="24">
        <v>44623</v>
      </c>
      <c r="M562" s="19">
        <v>6.3196</v>
      </c>
    </row>
    <row r="563" spans="12:13">
      <c r="L563" s="24">
        <v>44624</v>
      </c>
      <c r="M563" s="19">
        <v>6.3194</v>
      </c>
    </row>
    <row r="564" spans="12:13">
      <c r="L564" s="24">
        <v>44627</v>
      </c>
      <c r="M564" s="19">
        <v>6.319</v>
      </c>
    </row>
    <row r="565" spans="12:13">
      <c r="L565" s="24">
        <v>44628</v>
      </c>
      <c r="M565" s="19">
        <v>6.317</v>
      </c>
    </row>
    <row r="566" spans="12:13">
      <c r="L566" s="24">
        <v>44629</v>
      </c>
      <c r="M566" s="19">
        <v>6.318</v>
      </c>
    </row>
    <row r="567" spans="12:13">
      <c r="L567" s="24">
        <v>44630</v>
      </c>
      <c r="M567" s="19">
        <v>6.3211</v>
      </c>
    </row>
    <row r="568" spans="12:13">
      <c r="L568" s="24">
        <v>44631</v>
      </c>
      <c r="M568" s="19">
        <v>6.336</v>
      </c>
    </row>
    <row r="569" spans="12:13">
      <c r="L569" s="24">
        <v>44634</v>
      </c>
      <c r="M569" s="19">
        <v>6.363</v>
      </c>
    </row>
    <row r="570" spans="12:13">
      <c r="L570" s="24">
        <v>44635</v>
      </c>
      <c r="M570" s="19">
        <v>6.3795</v>
      </c>
    </row>
    <row r="571" spans="12:13">
      <c r="L571" s="24">
        <v>44636</v>
      </c>
      <c r="M571" s="19">
        <v>6.3505</v>
      </c>
    </row>
    <row r="572" spans="12:13">
      <c r="L572" s="24">
        <v>44637</v>
      </c>
      <c r="M572" s="19">
        <v>6.3502</v>
      </c>
    </row>
    <row r="573" spans="12:13">
      <c r="L573" s="24">
        <v>44638</v>
      </c>
      <c r="M573" s="19">
        <v>6.3618</v>
      </c>
    </row>
    <row r="574" spans="12:13">
      <c r="L574" s="24">
        <v>44641</v>
      </c>
      <c r="M574" s="19">
        <v>6.3555</v>
      </c>
    </row>
    <row r="575" spans="12:13">
      <c r="L575" s="24">
        <v>44642</v>
      </c>
      <c r="M575" s="19">
        <v>6.3622</v>
      </c>
    </row>
    <row r="576" spans="12:13">
      <c r="L576" s="24">
        <v>44643</v>
      </c>
      <c r="M576" s="19">
        <v>6.3726</v>
      </c>
    </row>
    <row r="577" spans="12:13">
      <c r="L577" s="24">
        <v>44644</v>
      </c>
      <c r="M577" s="19">
        <v>6.3703</v>
      </c>
    </row>
    <row r="578" spans="12:13">
      <c r="L578" s="24">
        <v>44645</v>
      </c>
      <c r="M578" s="19">
        <v>6.3631</v>
      </c>
    </row>
    <row r="579" spans="12:13">
      <c r="L579" s="24">
        <v>44648</v>
      </c>
      <c r="M579" s="19">
        <v>6.3708</v>
      </c>
    </row>
    <row r="580" spans="12:13">
      <c r="L580" s="24">
        <v>44649</v>
      </c>
      <c r="M580" s="19">
        <v>6.3645</v>
      </c>
    </row>
    <row r="581" spans="12:13">
      <c r="L581" s="24">
        <v>44650</v>
      </c>
      <c r="M581" s="19">
        <v>6.3514</v>
      </c>
    </row>
    <row r="582" spans="12:13">
      <c r="L582" s="24">
        <v>44651</v>
      </c>
      <c r="M582" s="19">
        <v>6.342</v>
      </c>
    </row>
    <row r="583" spans="12:13">
      <c r="L583" s="24">
        <v>44652</v>
      </c>
      <c r="M583" s="19">
        <v>6.3618</v>
      </c>
    </row>
    <row r="584" spans="12:13">
      <c r="L584" s="24">
        <v>44655</v>
      </c>
      <c r="M584" s="19">
        <v>6.3631</v>
      </c>
    </row>
    <row r="585" spans="12:13">
      <c r="L585" s="24">
        <v>44656</v>
      </c>
      <c r="M585" s="19">
        <v>6.3618</v>
      </c>
    </row>
    <row r="586" spans="12:13">
      <c r="L586" s="24">
        <v>44657</v>
      </c>
      <c r="M586" s="19">
        <v>6.3625</v>
      </c>
    </row>
    <row r="587" spans="12:13">
      <c r="L587" s="24">
        <v>44658</v>
      </c>
      <c r="M587" s="19">
        <v>6.362</v>
      </c>
    </row>
    <row r="588" spans="12:13">
      <c r="L588" s="24">
        <v>44659</v>
      </c>
      <c r="M588" s="19">
        <v>6.3636</v>
      </c>
    </row>
    <row r="589" spans="12:13">
      <c r="L589" s="24">
        <v>44662</v>
      </c>
      <c r="M589" s="19">
        <v>6.3674</v>
      </c>
    </row>
    <row r="590" spans="12:13">
      <c r="L590" s="24">
        <v>44663</v>
      </c>
      <c r="M590" s="19">
        <v>6.3713</v>
      </c>
    </row>
    <row r="591" spans="12:13">
      <c r="L591" s="24">
        <v>44664</v>
      </c>
      <c r="M591" s="19">
        <v>6.3679</v>
      </c>
    </row>
    <row r="592" spans="12:13">
      <c r="L592" s="24">
        <v>44665</v>
      </c>
      <c r="M592" s="19">
        <v>6.3725</v>
      </c>
    </row>
    <row r="593" spans="12:13">
      <c r="L593" s="24">
        <v>44670</v>
      </c>
      <c r="M593" s="19">
        <v>6.3879</v>
      </c>
    </row>
    <row r="594" spans="12:13">
      <c r="L594" s="24">
        <v>44671</v>
      </c>
      <c r="M594" s="19">
        <v>6.4126</v>
      </c>
    </row>
    <row r="595" spans="12:13">
      <c r="L595" s="24">
        <v>44672</v>
      </c>
      <c r="M595" s="19">
        <v>6.4506</v>
      </c>
    </row>
    <row r="596" spans="12:13">
      <c r="L596" s="24">
        <v>44673</v>
      </c>
      <c r="M596" s="19">
        <v>6.502</v>
      </c>
    </row>
    <row r="597" spans="12:13">
      <c r="L597" s="24">
        <v>44676</v>
      </c>
      <c r="M597" s="19">
        <v>6.5511</v>
      </c>
    </row>
    <row r="598" spans="12:13">
      <c r="L598" s="24">
        <v>44677</v>
      </c>
      <c r="M598" s="19">
        <v>6.5427</v>
      </c>
    </row>
    <row r="599" spans="12:13">
      <c r="L599" s="24">
        <v>44678</v>
      </c>
      <c r="M599" s="19">
        <v>6.5555</v>
      </c>
    </row>
    <row r="600" spans="12:13">
      <c r="L600" s="24">
        <v>44679</v>
      </c>
      <c r="M600" s="19">
        <v>6.6172</v>
      </c>
    </row>
    <row r="601" spans="12:13">
      <c r="L601" s="24">
        <v>44680</v>
      </c>
      <c r="M601" s="19">
        <v>6.5883</v>
      </c>
    </row>
    <row r="602" spans="12:13">
      <c r="L602" s="24">
        <v>44683</v>
      </c>
      <c r="M602" s="19">
        <v>6.6085</v>
      </c>
    </row>
    <row r="603" spans="12:13">
      <c r="L603" s="24">
        <v>44684</v>
      </c>
      <c r="M603" s="19">
        <v>6.6085</v>
      </c>
    </row>
    <row r="604" spans="12:13">
      <c r="L604" s="24">
        <v>44685</v>
      </c>
      <c r="M604" s="19">
        <v>6.6085</v>
      </c>
    </row>
    <row r="605" spans="12:13">
      <c r="L605" s="24">
        <v>44686</v>
      </c>
      <c r="M605" s="19">
        <v>6.6185</v>
      </c>
    </row>
    <row r="606" spans="12:13">
      <c r="L606" s="24">
        <v>44687</v>
      </c>
      <c r="M606" s="19">
        <v>6.6704</v>
      </c>
    </row>
    <row r="607" spans="12:13">
      <c r="L607" s="24">
        <v>44690</v>
      </c>
      <c r="M607" s="19">
        <v>6.7133</v>
      </c>
    </row>
    <row r="608" spans="12:13">
      <c r="L608" s="24">
        <v>44691</v>
      </c>
      <c r="M608" s="19">
        <v>6.7242</v>
      </c>
    </row>
    <row r="609" spans="12:13">
      <c r="L609" s="24">
        <v>44692</v>
      </c>
      <c r="M609" s="19">
        <v>6.7178</v>
      </c>
    </row>
    <row r="610" spans="12:13">
      <c r="L610" s="24">
        <v>44693</v>
      </c>
      <c r="M610" s="19">
        <v>6.792</v>
      </c>
    </row>
    <row r="611" spans="12:13">
      <c r="L611" s="24">
        <v>44694</v>
      </c>
      <c r="M611" s="19">
        <v>6.7899</v>
      </c>
    </row>
    <row r="612" spans="12:13">
      <c r="L612" s="24">
        <v>44697</v>
      </c>
      <c r="M612" s="19">
        <v>6.792</v>
      </c>
    </row>
    <row r="613" spans="12:13">
      <c r="L613" s="24">
        <v>44698</v>
      </c>
      <c r="M613" s="19">
        <v>6.726</v>
      </c>
    </row>
    <row r="614" spans="12:13">
      <c r="L614" s="24">
        <v>44699</v>
      </c>
      <c r="M614" s="19">
        <v>6.7445</v>
      </c>
    </row>
    <row r="615" spans="12:13">
      <c r="L615" s="24">
        <v>44700</v>
      </c>
      <c r="M615" s="19">
        <v>6.7485</v>
      </c>
    </row>
    <row r="616" spans="12:13">
      <c r="L616" s="24">
        <v>44701</v>
      </c>
      <c r="M616" s="19">
        <v>6.6785</v>
      </c>
    </row>
    <row r="617" spans="12:13">
      <c r="L617" s="24">
        <v>44704</v>
      </c>
      <c r="M617" s="19">
        <v>6.647</v>
      </c>
    </row>
    <row r="618" spans="12:13">
      <c r="L618" s="24">
        <v>44705</v>
      </c>
      <c r="M618" s="19">
        <v>6.665</v>
      </c>
    </row>
    <row r="619" spans="12:13">
      <c r="L619" s="24">
        <v>44706</v>
      </c>
      <c r="M619" s="19">
        <v>6.6943</v>
      </c>
    </row>
    <row r="620" spans="12:13">
      <c r="L620" s="24">
        <v>44707</v>
      </c>
      <c r="M620" s="19">
        <v>6.7331</v>
      </c>
    </row>
    <row r="621" spans="12:13">
      <c r="L621" s="24">
        <v>44708</v>
      </c>
      <c r="M621" s="19">
        <v>6.6994</v>
      </c>
    </row>
    <row r="622" spans="12:13">
      <c r="L622" s="24">
        <v>44711</v>
      </c>
      <c r="M622" s="19">
        <v>6.6643</v>
      </c>
    </row>
    <row r="623" spans="12:13">
      <c r="L623" s="24">
        <v>44712</v>
      </c>
      <c r="M623" s="19">
        <v>6.665</v>
      </c>
    </row>
    <row r="624" spans="12:13">
      <c r="L624" s="24">
        <v>44713</v>
      </c>
      <c r="M624" s="19">
        <v>6.6828</v>
      </c>
    </row>
    <row r="625" spans="12:13">
      <c r="L625" s="24">
        <v>44714</v>
      </c>
      <c r="M625" s="19">
        <v>6.6732</v>
      </c>
    </row>
    <row r="626" spans="12:13">
      <c r="L626" s="24">
        <v>44715</v>
      </c>
      <c r="M626" s="19">
        <v>6.6603</v>
      </c>
    </row>
    <row r="627" spans="12:13">
      <c r="L627" s="24">
        <v>44718</v>
      </c>
      <c r="M627" s="19">
        <v>6.6402</v>
      </c>
    </row>
    <row r="628" spans="12:13">
      <c r="L628" s="24">
        <v>44719</v>
      </c>
      <c r="M628" s="19">
        <v>6.6729</v>
      </c>
    </row>
    <row r="629" spans="12:13">
      <c r="L629" s="24">
        <v>44720</v>
      </c>
      <c r="M629" s="19">
        <v>6.6845</v>
      </c>
    </row>
    <row r="630" spans="12:13">
      <c r="L630" s="24">
        <v>44721</v>
      </c>
      <c r="M630" s="19">
        <v>6.6762</v>
      </c>
    </row>
    <row r="631" spans="12:13">
      <c r="L631" s="24">
        <v>44722</v>
      </c>
      <c r="M631" s="19">
        <v>6.6996</v>
      </c>
    </row>
    <row r="632" spans="12:13">
      <c r="L632" s="24">
        <v>44725</v>
      </c>
      <c r="M632" s="19">
        <v>6.7369</v>
      </c>
    </row>
    <row r="633" spans="12:13">
      <c r="L633" s="24">
        <v>44726</v>
      </c>
      <c r="M633" s="19">
        <v>6.7372</v>
      </c>
    </row>
    <row r="634" spans="12:13">
      <c r="L634" s="24">
        <v>44727</v>
      </c>
      <c r="M634" s="19">
        <v>6.712</v>
      </c>
    </row>
    <row r="635" spans="12:13">
      <c r="L635" s="24">
        <v>44728</v>
      </c>
      <c r="M635" s="19">
        <v>6.7158</v>
      </c>
    </row>
    <row r="636" spans="12:13">
      <c r="L636" s="24">
        <v>44729</v>
      </c>
      <c r="M636" s="19">
        <v>6.7049</v>
      </c>
    </row>
    <row r="637" spans="12:13">
      <c r="L637" s="24">
        <v>44732</v>
      </c>
      <c r="M637" s="19">
        <v>6.6888</v>
      </c>
    </row>
    <row r="638" spans="12:13">
      <c r="L638" s="24">
        <v>44733</v>
      </c>
      <c r="M638" s="19">
        <v>6.6995</v>
      </c>
    </row>
    <row r="639" spans="12:13">
      <c r="L639" s="24">
        <v>44734</v>
      </c>
      <c r="M639" s="19">
        <v>6.7108</v>
      </c>
    </row>
    <row r="640" spans="12:13">
      <c r="L640" s="24">
        <v>44735</v>
      </c>
      <c r="M640" s="19">
        <v>6.7061</v>
      </c>
    </row>
    <row r="641" spans="12:13">
      <c r="L641" s="24">
        <v>44736</v>
      </c>
      <c r="M641" s="19">
        <v>6.6969</v>
      </c>
    </row>
    <row r="642" spans="12:13">
      <c r="L642" s="24">
        <v>44739</v>
      </c>
      <c r="M642" s="19">
        <v>6.691</v>
      </c>
    </row>
    <row r="643" spans="12:13">
      <c r="L643" s="24">
        <v>44740</v>
      </c>
      <c r="M643" s="19">
        <v>6.7015</v>
      </c>
    </row>
    <row r="644" spans="12:13">
      <c r="L644" s="24">
        <v>44741</v>
      </c>
      <c r="M644" s="19">
        <v>6.6922</v>
      </c>
    </row>
    <row r="645" spans="12:13">
      <c r="L645" s="24">
        <v>44742</v>
      </c>
      <c r="M645" s="19">
        <v>6.703</v>
      </c>
    </row>
    <row r="646" spans="12:13">
      <c r="L646" s="24">
        <v>44743</v>
      </c>
      <c r="M646" s="19">
        <v>6.7022</v>
      </c>
    </row>
    <row r="647" spans="12:13">
      <c r="L647" s="24">
        <v>44746</v>
      </c>
      <c r="M647" s="19">
        <v>6.6932</v>
      </c>
    </row>
    <row r="648" spans="12:13">
      <c r="L648" s="24">
        <v>44747</v>
      </c>
      <c r="M648" s="19">
        <v>6.7084</v>
      </c>
    </row>
    <row r="649" spans="12:13">
      <c r="L649" s="24">
        <v>44748</v>
      </c>
      <c r="M649" s="19">
        <v>6.7101</v>
      </c>
    </row>
    <row r="650" spans="12:13">
      <c r="L650" s="24">
        <v>44749</v>
      </c>
      <c r="M650" s="19">
        <v>6.7024</v>
      </c>
    </row>
    <row r="651" spans="12:13">
      <c r="L651" s="24">
        <v>44750</v>
      </c>
      <c r="M651" s="19">
        <v>6.7003</v>
      </c>
    </row>
    <row r="652" spans="12:13">
      <c r="L652" s="24">
        <v>44753</v>
      </c>
      <c r="M652" s="19">
        <v>6.7135</v>
      </c>
    </row>
    <row r="653" spans="12:13">
      <c r="L653" s="24">
        <v>44754</v>
      </c>
      <c r="M653" s="19">
        <v>6.7236</v>
      </c>
    </row>
    <row r="654" spans="12:13">
      <c r="L654" s="24">
        <v>44755</v>
      </c>
      <c r="M654" s="19">
        <v>6.7271</v>
      </c>
    </row>
    <row r="655" spans="12:13">
      <c r="L655" s="24">
        <v>44756</v>
      </c>
      <c r="M655" s="19">
        <v>6.7584</v>
      </c>
    </row>
    <row r="656" spans="12:13">
      <c r="L656" s="24">
        <v>44757</v>
      </c>
      <c r="M656" s="19">
        <v>6.7544</v>
      </c>
    </row>
    <row r="657" spans="12:13">
      <c r="L657" s="24">
        <v>44760</v>
      </c>
      <c r="M657" s="19">
        <v>6.7383</v>
      </c>
    </row>
    <row r="658" spans="12:13">
      <c r="L658" s="24">
        <v>44761</v>
      </c>
      <c r="M658" s="19">
        <v>6.7412</v>
      </c>
    </row>
    <row r="659" spans="12:13">
      <c r="L659" s="24">
        <v>44762</v>
      </c>
      <c r="M659" s="19">
        <v>6.7548</v>
      </c>
    </row>
    <row r="660" spans="12:13">
      <c r="L660" s="24">
        <v>44763</v>
      </c>
      <c r="M660" s="19">
        <v>6.7693</v>
      </c>
    </row>
    <row r="661" spans="12:13">
      <c r="L661" s="24">
        <v>44764</v>
      </c>
      <c r="M661" s="19">
        <v>6.7568</v>
      </c>
    </row>
    <row r="662" spans="12:13">
      <c r="L662" s="24">
        <v>44767</v>
      </c>
      <c r="M662" s="19">
        <v>6.7501</v>
      </c>
    </row>
    <row r="663" spans="12:13">
      <c r="L663" s="24">
        <v>44768</v>
      </c>
      <c r="M663" s="19">
        <v>6.7613</v>
      </c>
    </row>
    <row r="664" spans="12:13">
      <c r="L664" s="24">
        <v>44769</v>
      </c>
      <c r="M664" s="19">
        <v>6.7508</v>
      </c>
    </row>
    <row r="665" spans="12:13">
      <c r="L665" s="24">
        <v>44770</v>
      </c>
      <c r="M665" s="19">
        <v>6.7501</v>
      </c>
    </row>
    <row r="666" spans="12:13">
      <c r="L666" s="24">
        <v>44771</v>
      </c>
      <c r="M666" s="19">
        <v>6.7371</v>
      </c>
    </row>
    <row r="667" spans="12:13">
      <c r="L667" s="24">
        <v>44774</v>
      </c>
      <c r="M667" s="19">
        <v>6.7532</v>
      </c>
    </row>
    <row r="668" spans="12:13">
      <c r="L668" s="24">
        <v>44775</v>
      </c>
      <c r="M668" s="19">
        <v>6.7603</v>
      </c>
    </row>
    <row r="669" spans="12:13">
      <c r="L669" s="24">
        <v>44776</v>
      </c>
      <c r="M669" s="19">
        <v>6.752</v>
      </c>
    </row>
    <row r="670" spans="12:13">
      <c r="L670" s="24">
        <v>44777</v>
      </c>
      <c r="M670" s="19">
        <v>6.7546</v>
      </c>
    </row>
    <row r="671" spans="12:13">
      <c r="L671" s="24">
        <v>44778</v>
      </c>
      <c r="M671" s="19">
        <v>6.7495</v>
      </c>
    </row>
    <row r="672" spans="12:13">
      <c r="L672" s="24">
        <v>44781</v>
      </c>
      <c r="M672" s="19">
        <v>6.7586</v>
      </c>
    </row>
    <row r="673" spans="12:13">
      <c r="L673" s="24">
        <v>44782</v>
      </c>
      <c r="M673" s="19">
        <v>6.7526</v>
      </c>
    </row>
    <row r="674" spans="12:13">
      <c r="L674" s="24">
        <v>44783</v>
      </c>
      <c r="M674" s="19">
        <v>6.752</v>
      </c>
    </row>
    <row r="675" spans="12:13">
      <c r="L675" s="24">
        <v>44784</v>
      </c>
      <c r="M675" s="19">
        <v>6.739</v>
      </c>
    </row>
    <row r="676" spans="12:13">
      <c r="L676" s="24">
        <v>44785</v>
      </c>
      <c r="M676" s="19">
        <v>6.743</v>
      </c>
    </row>
    <row r="677" spans="12:13">
      <c r="L677" s="24">
        <v>44788</v>
      </c>
      <c r="M677" s="19">
        <v>6.7729</v>
      </c>
    </row>
    <row r="678" spans="12:13">
      <c r="L678" s="24">
        <v>44789</v>
      </c>
      <c r="M678" s="19">
        <v>6.7878</v>
      </c>
    </row>
    <row r="679" spans="12:13">
      <c r="L679" s="24">
        <v>44790</v>
      </c>
      <c r="M679" s="19">
        <v>6.7805</v>
      </c>
    </row>
    <row r="680" spans="12:13">
      <c r="L680" s="24">
        <v>44791</v>
      </c>
      <c r="M680" s="19">
        <v>6.7852</v>
      </c>
    </row>
    <row r="681" spans="12:13">
      <c r="L681" s="24">
        <v>44792</v>
      </c>
      <c r="M681" s="19">
        <v>6.8163</v>
      </c>
    </row>
    <row r="682" spans="12:13">
      <c r="L682" s="24">
        <v>44795</v>
      </c>
      <c r="M682" s="19">
        <v>6.845</v>
      </c>
    </row>
    <row r="683" spans="12:13">
      <c r="L683" s="24">
        <v>44796</v>
      </c>
      <c r="M683" s="19">
        <v>6.8452</v>
      </c>
    </row>
    <row r="684" spans="12:13">
      <c r="L684" s="24">
        <v>44797</v>
      </c>
      <c r="M684" s="19">
        <v>6.8673</v>
      </c>
    </row>
    <row r="685" spans="12:13">
      <c r="L685" s="24">
        <v>44798</v>
      </c>
      <c r="M685" s="19">
        <v>6.8523</v>
      </c>
    </row>
    <row r="686" spans="12:13">
      <c r="L686" s="24">
        <v>44799</v>
      </c>
      <c r="M686" s="19">
        <v>6.8623</v>
      </c>
    </row>
    <row r="687" spans="12:13">
      <c r="L687" s="24">
        <v>44802</v>
      </c>
      <c r="M687" s="19">
        <v>6.9141</v>
      </c>
    </row>
    <row r="688" spans="12:13">
      <c r="L688" s="24">
        <v>44803</v>
      </c>
      <c r="M688" s="19">
        <v>6.8998</v>
      </c>
    </row>
    <row r="689" spans="12:13">
      <c r="L689" s="24">
        <v>44804</v>
      </c>
      <c r="M689" s="19">
        <v>6.8947</v>
      </c>
    </row>
    <row r="690" spans="12:13">
      <c r="L690" s="24">
        <v>44805</v>
      </c>
      <c r="M690" s="19">
        <v>6.8989</v>
      </c>
    </row>
    <row r="691" spans="12:13">
      <c r="L691" s="24">
        <v>44806</v>
      </c>
      <c r="M691" s="19">
        <v>6.9079</v>
      </c>
    </row>
    <row r="692" spans="12:13">
      <c r="L692" s="24">
        <v>44809</v>
      </c>
      <c r="M692" s="19">
        <v>6.9323</v>
      </c>
    </row>
    <row r="693" spans="12:13">
      <c r="L693" s="24">
        <v>44810</v>
      </c>
      <c r="M693" s="19">
        <v>6.9592</v>
      </c>
    </row>
    <row r="694" spans="12:13">
      <c r="L694" s="24">
        <v>44811</v>
      </c>
      <c r="M694" s="19">
        <v>6.977</v>
      </c>
    </row>
    <row r="695" spans="12:13">
      <c r="L695" s="24">
        <v>44812</v>
      </c>
      <c r="M695" s="19">
        <v>6.9501</v>
      </c>
    </row>
    <row r="696" spans="12:13">
      <c r="L696" s="24">
        <v>44813</v>
      </c>
      <c r="M696" s="19">
        <v>6.9204</v>
      </c>
    </row>
    <row r="697" spans="12:13">
      <c r="L697" s="24">
        <v>44816</v>
      </c>
      <c r="M697" s="19">
        <v>6.9274</v>
      </c>
    </row>
    <row r="698" spans="12:13">
      <c r="L698" s="24">
        <v>44817</v>
      </c>
      <c r="M698" s="19">
        <v>6.9255</v>
      </c>
    </row>
    <row r="699" spans="12:13">
      <c r="L699" s="24">
        <v>44818</v>
      </c>
      <c r="M699" s="19">
        <v>6.962</v>
      </c>
    </row>
    <row r="700" spans="12:13">
      <c r="L700" s="24">
        <v>44819</v>
      </c>
      <c r="M700" s="19">
        <v>6.9908</v>
      </c>
    </row>
    <row r="701" spans="12:13">
      <c r="L701" s="24">
        <v>44820</v>
      </c>
      <c r="M701" s="19">
        <v>7.011</v>
      </c>
    </row>
    <row r="702" spans="12:13">
      <c r="L702" s="24">
        <v>44823</v>
      </c>
      <c r="M702" s="19">
        <v>7.0136</v>
      </c>
    </row>
    <row r="703" spans="12:13">
      <c r="L703" s="24">
        <v>44824</v>
      </c>
      <c r="M703" s="19">
        <v>7.0128</v>
      </c>
    </row>
    <row r="704" spans="12:13">
      <c r="L704" s="24">
        <v>44825</v>
      </c>
      <c r="M704" s="19">
        <v>7.0484</v>
      </c>
    </row>
    <row r="705" spans="12:13">
      <c r="L705" s="24">
        <v>44826</v>
      </c>
      <c r="M705" s="19">
        <v>7.0623</v>
      </c>
    </row>
    <row r="706" spans="12:13">
      <c r="L706" s="24">
        <v>44827</v>
      </c>
      <c r="M706" s="19">
        <v>7.1193</v>
      </c>
    </row>
    <row r="707" spans="12:13">
      <c r="L707" s="24">
        <v>44830</v>
      </c>
      <c r="M707" s="19">
        <v>7.161</v>
      </c>
    </row>
    <row r="708" spans="12:13">
      <c r="L708" s="24">
        <v>44831</v>
      </c>
      <c r="M708" s="19">
        <v>7.1709</v>
      </c>
    </row>
    <row r="709" spans="12:13">
      <c r="L709" s="24">
        <v>44832</v>
      </c>
      <c r="M709" s="19">
        <v>7.2346</v>
      </c>
    </row>
    <row r="710" spans="12:13">
      <c r="L710" s="24">
        <v>44833</v>
      </c>
      <c r="M710" s="19">
        <v>7.132</v>
      </c>
    </row>
    <row r="711" spans="12:13">
      <c r="L711" s="24">
        <v>44834</v>
      </c>
      <c r="M711" s="19">
        <v>7.1161</v>
      </c>
    </row>
    <row r="712" spans="12:13">
      <c r="L712" s="24">
        <v>44837</v>
      </c>
      <c r="M712" s="19">
        <v>7.116</v>
      </c>
    </row>
    <row r="713" spans="12:13">
      <c r="L713" s="24">
        <v>44838</v>
      </c>
      <c r="M713" s="19">
        <v>7.116</v>
      </c>
    </row>
    <row r="714" spans="12:13">
      <c r="L714" s="24">
        <v>44839</v>
      </c>
      <c r="M714" s="19">
        <v>7.116</v>
      </c>
    </row>
    <row r="715" spans="12:13">
      <c r="L715" s="24">
        <v>44840</v>
      </c>
      <c r="M715" s="19">
        <v>7.116</v>
      </c>
    </row>
    <row r="716" spans="12:13">
      <c r="L716" s="24">
        <v>44841</v>
      </c>
      <c r="M716" s="19">
        <v>7.116</v>
      </c>
    </row>
    <row r="717" spans="12:13">
      <c r="L717" s="24">
        <v>44844</v>
      </c>
      <c r="M717" s="19">
        <v>7.1511</v>
      </c>
    </row>
    <row r="718" spans="12:13">
      <c r="L718" s="24">
        <v>44845</v>
      </c>
      <c r="M718" s="19">
        <v>7.1654</v>
      </c>
    </row>
    <row r="719" spans="12:13">
      <c r="L719" s="24">
        <v>44846</v>
      </c>
      <c r="M719" s="19">
        <v>7.1711</v>
      </c>
    </row>
    <row r="720" spans="12:13">
      <c r="L720" s="24">
        <v>44847</v>
      </c>
      <c r="M720" s="19">
        <v>7.1819</v>
      </c>
    </row>
    <row r="721" spans="12:13">
      <c r="L721" s="24">
        <v>44848</v>
      </c>
      <c r="M721" s="19">
        <v>7.1989</v>
      </c>
    </row>
    <row r="722" spans="12:13">
      <c r="L722" s="24">
        <v>44851</v>
      </c>
      <c r="M722" s="19">
        <v>7.2009</v>
      </c>
    </row>
    <row r="723" spans="12:13">
      <c r="L723" s="24">
        <v>44852</v>
      </c>
      <c r="M723" s="19">
        <v>7.1993</v>
      </c>
    </row>
    <row r="724" spans="12:13">
      <c r="L724" s="24">
        <v>44853</v>
      </c>
      <c r="M724" s="19">
        <v>7.2277</v>
      </c>
    </row>
    <row r="725" spans="12:13">
      <c r="L725" s="24">
        <v>44854</v>
      </c>
      <c r="M725" s="19">
        <v>7.2223</v>
      </c>
    </row>
    <row r="726" spans="12:13">
      <c r="L726" s="24">
        <v>44855</v>
      </c>
      <c r="M726" s="19">
        <v>7.246</v>
      </c>
    </row>
    <row r="727" spans="12:13">
      <c r="L727" s="24">
        <v>44858</v>
      </c>
      <c r="M727" s="19">
        <v>7.2626</v>
      </c>
    </row>
    <row r="728" spans="12:13">
      <c r="L728" s="24">
        <v>44859</v>
      </c>
      <c r="M728" s="19">
        <v>7.3088</v>
      </c>
    </row>
    <row r="729" spans="12:13">
      <c r="L729" s="24">
        <v>44860</v>
      </c>
      <c r="M729" s="19">
        <v>7.1783</v>
      </c>
    </row>
    <row r="730" spans="12:13">
      <c r="L730" s="24">
        <v>44861</v>
      </c>
      <c r="M730" s="19">
        <v>7.2285</v>
      </c>
    </row>
    <row r="731" spans="12:13">
      <c r="L731" s="24">
        <v>44862</v>
      </c>
      <c r="M731" s="19">
        <v>7.2514</v>
      </c>
    </row>
    <row r="732" spans="12:13">
      <c r="L732" s="24">
        <v>44865</v>
      </c>
      <c r="M732" s="19">
        <v>7.3008</v>
      </c>
    </row>
    <row r="733" spans="12:13">
      <c r="L733" s="24">
        <v>44866</v>
      </c>
      <c r="M733" s="19">
        <v>7.255</v>
      </c>
    </row>
    <row r="734" spans="12:13">
      <c r="L734" s="24">
        <v>44867</v>
      </c>
      <c r="M734" s="19">
        <v>7.2826</v>
      </c>
    </row>
    <row r="735" spans="12:13">
      <c r="L735" s="24">
        <v>44868</v>
      </c>
      <c r="M735" s="19">
        <v>7.3174</v>
      </c>
    </row>
    <row r="736" spans="12:13">
      <c r="L736" s="24">
        <v>44869</v>
      </c>
      <c r="M736" s="19">
        <v>7.1813</v>
      </c>
    </row>
    <row r="737" spans="12:13">
      <c r="L737" s="24">
        <v>44872</v>
      </c>
      <c r="M737" s="19">
        <v>7.224</v>
      </c>
    </row>
    <row r="738" spans="12:13">
      <c r="L738" s="24">
        <v>44873</v>
      </c>
      <c r="M738" s="19">
        <v>7.2524</v>
      </c>
    </row>
    <row r="739" spans="12:13">
      <c r="L739" s="24">
        <v>44874</v>
      </c>
      <c r="M739" s="19">
        <v>7.253</v>
      </c>
    </row>
    <row r="740" spans="12:13">
      <c r="L740" s="24">
        <v>44875</v>
      </c>
      <c r="M740" s="19">
        <v>7.2518</v>
      </c>
    </row>
    <row r="741" spans="12:13">
      <c r="L741" s="24">
        <v>44876</v>
      </c>
      <c r="M741" s="19">
        <v>7.1078</v>
      </c>
    </row>
    <row r="742" spans="12:13">
      <c r="L742" s="24">
        <v>44879</v>
      </c>
      <c r="M742" s="19">
        <v>7.0652</v>
      </c>
    </row>
    <row r="743" spans="12:13">
      <c r="L743" s="24">
        <v>44880</v>
      </c>
      <c r="M743" s="19">
        <v>7.0453</v>
      </c>
    </row>
    <row r="744" spans="12:13">
      <c r="L744" s="24">
        <v>44881</v>
      </c>
      <c r="M744" s="19">
        <v>7.0803</v>
      </c>
    </row>
    <row r="745" spans="12:13">
      <c r="L745" s="24">
        <v>44882</v>
      </c>
      <c r="M745" s="19">
        <v>7.1576</v>
      </c>
    </row>
    <row r="746" spans="12:13">
      <c r="L746" s="24">
        <v>44883</v>
      </c>
      <c r="M746" s="19">
        <v>7.1185</v>
      </c>
    </row>
    <row r="747" spans="12:13">
      <c r="L747" s="24">
        <v>44886</v>
      </c>
      <c r="M747" s="19">
        <v>7.1656</v>
      </c>
    </row>
    <row r="748" spans="12:13">
      <c r="L748" s="24">
        <v>44887</v>
      </c>
      <c r="M748" s="19">
        <v>7.1388</v>
      </c>
    </row>
    <row r="749" spans="12:13">
      <c r="L749" s="24">
        <v>44888</v>
      </c>
      <c r="M749" s="19">
        <v>7.1653</v>
      </c>
    </row>
    <row r="750" spans="12:13">
      <c r="L750" s="24">
        <v>44889</v>
      </c>
      <c r="M750" s="19">
        <v>7.1489</v>
      </c>
    </row>
    <row r="751" spans="12:13">
      <c r="L751" s="24">
        <v>44890</v>
      </c>
      <c r="M751" s="19">
        <v>7.1735</v>
      </c>
    </row>
    <row r="752" spans="12:13">
      <c r="L752" s="24">
        <v>44893</v>
      </c>
      <c r="M752" s="19">
        <v>7.1993</v>
      </c>
    </row>
    <row r="753" spans="12:13">
      <c r="L753" s="24">
        <v>44894</v>
      </c>
      <c r="M753" s="19">
        <v>7.1666</v>
      </c>
    </row>
    <row r="754" spans="12:13">
      <c r="L754" s="24">
        <v>44895</v>
      </c>
      <c r="M754" s="19">
        <v>7.0776</v>
      </c>
    </row>
    <row r="755" spans="12:13">
      <c r="L755" s="24">
        <v>44896</v>
      </c>
      <c r="M755" s="19">
        <v>7.0753</v>
      </c>
    </row>
    <row r="756" spans="12:13">
      <c r="L756" s="24">
        <v>44897</v>
      </c>
      <c r="M756" s="19">
        <v>7.0195</v>
      </c>
    </row>
    <row r="757" spans="12:13">
      <c r="L757" s="24">
        <v>44900</v>
      </c>
      <c r="M757" s="19">
        <v>6.9494</v>
      </c>
    </row>
    <row r="758" spans="12:13">
      <c r="L758" s="24">
        <v>44901</v>
      </c>
      <c r="M758" s="19">
        <v>6.9888</v>
      </c>
    </row>
    <row r="759" spans="12:13">
      <c r="L759" s="24">
        <v>44902</v>
      </c>
      <c r="M759" s="19">
        <v>6.9784</v>
      </c>
    </row>
    <row r="760" spans="12:13">
      <c r="L760" s="24">
        <v>44903</v>
      </c>
      <c r="M760" s="19">
        <v>6.9706</v>
      </c>
    </row>
    <row r="761" spans="12:13">
      <c r="L761" s="24">
        <v>44904</v>
      </c>
      <c r="M761" s="19">
        <v>6.9585</v>
      </c>
    </row>
    <row r="762" spans="12:13">
      <c r="L762" s="24">
        <v>44907</v>
      </c>
      <c r="M762" s="19">
        <v>6.975</v>
      </c>
    </row>
    <row r="763" spans="12:13">
      <c r="L763" s="24">
        <v>44908</v>
      </c>
      <c r="M763" s="19">
        <v>6.9831</v>
      </c>
    </row>
    <row r="764" spans="12:13">
      <c r="L764" s="24">
        <v>44909</v>
      </c>
      <c r="M764" s="19">
        <v>6.9499</v>
      </c>
    </row>
    <row r="765" spans="12:13">
      <c r="L765" s="24">
        <v>44910</v>
      </c>
      <c r="M765" s="19">
        <v>6.968</v>
      </c>
    </row>
    <row r="766" spans="12:13">
      <c r="L766" s="24">
        <v>44911</v>
      </c>
      <c r="M766" s="19">
        <v>6.9721</v>
      </c>
    </row>
    <row r="767" spans="12:13">
      <c r="L767" s="24">
        <v>44914</v>
      </c>
      <c r="M767" s="19">
        <v>6.9731</v>
      </c>
    </row>
    <row r="768" spans="12:13">
      <c r="L768" s="24">
        <v>44915</v>
      </c>
      <c r="M768" s="19">
        <v>6.9724</v>
      </c>
    </row>
    <row r="769" spans="12:13">
      <c r="L769" s="24">
        <v>44916</v>
      </c>
      <c r="M769" s="19">
        <v>6.9781</v>
      </c>
    </row>
    <row r="770" spans="12:13">
      <c r="L770" s="24">
        <v>44917</v>
      </c>
      <c r="M770" s="19">
        <v>6.981</v>
      </c>
    </row>
    <row r="771" spans="12:13">
      <c r="L771" s="24">
        <v>44918</v>
      </c>
      <c r="M771" s="19">
        <v>6.9853</v>
      </c>
    </row>
    <row r="772" spans="12:13">
      <c r="L772" s="24">
        <v>44922</v>
      </c>
      <c r="M772" s="19">
        <v>6.9648</v>
      </c>
    </row>
    <row r="773" spans="12:13">
      <c r="L773" s="24">
        <v>44923</v>
      </c>
      <c r="M773" s="19">
        <v>6.9759</v>
      </c>
    </row>
    <row r="774" spans="12:13">
      <c r="L774" s="24">
        <v>44924</v>
      </c>
      <c r="M774" s="19">
        <v>6.9632</v>
      </c>
    </row>
    <row r="775" spans="12:13">
      <c r="L775" s="24">
        <v>44925</v>
      </c>
      <c r="M775" s="19">
        <v>6.8987</v>
      </c>
    </row>
    <row r="776" spans="12:13">
      <c r="L776" s="24">
        <v>44928</v>
      </c>
      <c r="M776" s="19">
        <v>6.8986</v>
      </c>
    </row>
    <row r="777" spans="12:13">
      <c r="L777" s="24">
        <v>44929</v>
      </c>
      <c r="M777" s="19">
        <v>6.9097</v>
      </c>
    </row>
    <row r="778" spans="12:13">
      <c r="L778" s="24">
        <v>44930</v>
      </c>
      <c r="M778" s="19">
        <v>6.886</v>
      </c>
    </row>
    <row r="779" spans="12:13">
      <c r="L779" s="24">
        <v>44931</v>
      </c>
      <c r="M779" s="19">
        <v>6.8732</v>
      </c>
    </row>
    <row r="780" spans="12:13">
      <c r="L780" s="24">
        <v>44932</v>
      </c>
      <c r="M780" s="19">
        <v>6.8614</v>
      </c>
    </row>
    <row r="781" spans="12:13">
      <c r="L781" s="24">
        <v>44935</v>
      </c>
      <c r="M781" s="19">
        <v>6.7825</v>
      </c>
    </row>
    <row r="782" spans="12:13">
      <c r="L782" s="24">
        <v>44936</v>
      </c>
      <c r="M782" s="19">
        <v>6.7828</v>
      </c>
    </row>
    <row r="783" spans="12:13">
      <c r="L783" s="24">
        <v>44937</v>
      </c>
      <c r="M783" s="19">
        <v>6.7746</v>
      </c>
    </row>
    <row r="784" spans="12:13">
      <c r="L784" s="24">
        <v>44938</v>
      </c>
      <c r="M784" s="19">
        <v>6.749</v>
      </c>
    </row>
    <row r="785" spans="12:13">
      <c r="L785" s="24">
        <v>44939</v>
      </c>
      <c r="M785" s="19">
        <v>6.7254</v>
      </c>
    </row>
    <row r="786" spans="12:13">
      <c r="L786" s="24">
        <v>44942</v>
      </c>
      <c r="M786" s="19">
        <v>6.7324</v>
      </c>
    </row>
    <row r="787" spans="12:13">
      <c r="L787" s="24">
        <v>44943</v>
      </c>
      <c r="M787" s="19">
        <v>6.7761</v>
      </c>
    </row>
    <row r="788" spans="12:13">
      <c r="L788" s="24">
        <v>44944</v>
      </c>
      <c r="M788" s="19">
        <v>6.7527</v>
      </c>
    </row>
    <row r="789" spans="12:13">
      <c r="L789" s="24">
        <v>44945</v>
      </c>
      <c r="M789" s="19">
        <v>6.7891</v>
      </c>
    </row>
    <row r="790" spans="12:13">
      <c r="L790" s="24">
        <v>44946</v>
      </c>
      <c r="M790" s="19">
        <v>6.7823</v>
      </c>
    </row>
    <row r="791" spans="12:13">
      <c r="L791" s="24">
        <v>44949</v>
      </c>
      <c r="M791" s="19">
        <v>6.7823</v>
      </c>
    </row>
    <row r="792" spans="12:13">
      <c r="L792" s="24">
        <v>44950</v>
      </c>
      <c r="M792" s="19">
        <v>6.7823</v>
      </c>
    </row>
    <row r="793" spans="12:13">
      <c r="L793" s="24">
        <v>44951</v>
      </c>
      <c r="M793" s="19">
        <v>6.7823</v>
      </c>
    </row>
    <row r="794" spans="12:13">
      <c r="L794" s="24">
        <v>44952</v>
      </c>
      <c r="M794" s="19">
        <v>6.7823</v>
      </c>
    </row>
    <row r="795" spans="12:13">
      <c r="L795" s="24">
        <v>44953</v>
      </c>
      <c r="M795" s="19">
        <v>6.7823</v>
      </c>
    </row>
    <row r="796" spans="12:13">
      <c r="L796" s="24">
        <v>44956</v>
      </c>
      <c r="M796" s="19">
        <v>6.7505</v>
      </c>
    </row>
    <row r="797" spans="12:13">
      <c r="L797" s="24">
        <v>44957</v>
      </c>
      <c r="M797" s="19">
        <v>6.7569</v>
      </c>
    </row>
    <row r="798" spans="12:13">
      <c r="L798" s="24">
        <v>44958</v>
      </c>
      <c r="M798" s="19">
        <v>6.7424</v>
      </c>
    </row>
    <row r="799" spans="12:13">
      <c r="L799" s="24">
        <v>44959</v>
      </c>
      <c r="M799" s="19">
        <v>6.7235</v>
      </c>
    </row>
    <row r="800" spans="12:13">
      <c r="L800" s="24">
        <v>44960</v>
      </c>
      <c r="M800" s="19">
        <v>6.7376</v>
      </c>
    </row>
    <row r="801" spans="12:13">
      <c r="L801" s="24">
        <v>44963</v>
      </c>
      <c r="M801" s="19">
        <v>6.7827</v>
      </c>
    </row>
    <row r="802" spans="12:13">
      <c r="L802" s="24">
        <v>44964</v>
      </c>
      <c r="M802" s="19">
        <v>6.7858</v>
      </c>
    </row>
    <row r="803" spans="12:13">
      <c r="L803" s="24">
        <v>44965</v>
      </c>
      <c r="M803" s="19">
        <v>6.7854</v>
      </c>
    </row>
    <row r="804" spans="12:13">
      <c r="L804" s="24">
        <v>44966</v>
      </c>
      <c r="M804" s="19">
        <v>6.7767</v>
      </c>
    </row>
    <row r="805" spans="12:13">
      <c r="L805" s="24">
        <v>44967</v>
      </c>
      <c r="M805" s="19">
        <v>6.8136</v>
      </c>
    </row>
    <row r="806" spans="12:13">
      <c r="L806" s="24">
        <v>44970</v>
      </c>
      <c r="M806" s="19">
        <v>6.8248</v>
      </c>
    </row>
    <row r="807" spans="12:13">
      <c r="L807" s="24">
        <v>44971</v>
      </c>
      <c r="M807" s="19">
        <v>6.8142</v>
      </c>
    </row>
    <row r="808" spans="12:13">
      <c r="L808" s="24">
        <v>44972</v>
      </c>
      <c r="M808" s="19">
        <v>6.8438</v>
      </c>
    </row>
    <row r="809" spans="12:13">
      <c r="L809" s="24">
        <v>44973</v>
      </c>
      <c r="M809" s="19">
        <v>6.8552</v>
      </c>
    </row>
    <row r="810" spans="12:13">
      <c r="L810" s="24">
        <v>44974</v>
      </c>
      <c r="M810" s="19">
        <v>6.8782</v>
      </c>
    </row>
    <row r="811" spans="12:13">
      <c r="L811" s="24">
        <v>44977</v>
      </c>
      <c r="M811" s="19">
        <v>6.8569</v>
      </c>
    </row>
    <row r="812" spans="12:13">
      <c r="L812" s="24">
        <v>44978</v>
      </c>
      <c r="M812" s="19">
        <v>6.8803</v>
      </c>
    </row>
    <row r="813" spans="12:13">
      <c r="L813" s="24">
        <v>44979</v>
      </c>
      <c r="M813" s="19">
        <v>6.8928</v>
      </c>
    </row>
    <row r="814" spans="12:13">
      <c r="L814" s="24">
        <v>44980</v>
      </c>
      <c r="M814" s="19">
        <v>6.8978</v>
      </c>
    </row>
    <row r="815" spans="12:13">
      <c r="L815" s="24">
        <v>44981</v>
      </c>
      <c r="M815" s="19">
        <v>6.944</v>
      </c>
    </row>
    <row r="816" spans="12:13">
      <c r="L816" s="24">
        <v>44984</v>
      </c>
      <c r="M816" s="19">
        <v>6.9526</v>
      </c>
    </row>
    <row r="817" spans="12:13">
      <c r="L817" s="24">
        <v>44985</v>
      </c>
      <c r="M817" s="19">
        <v>6.9369</v>
      </c>
    </row>
    <row r="818" spans="12:13">
      <c r="L818" s="24">
        <v>44986</v>
      </c>
      <c r="M818" s="19">
        <v>6.8653</v>
      </c>
    </row>
    <row r="819" spans="12:13">
      <c r="L819" s="24">
        <v>44987</v>
      </c>
      <c r="M819" s="19">
        <v>6.9104</v>
      </c>
    </row>
    <row r="820" spans="12:13">
      <c r="L820" s="24">
        <v>44988</v>
      </c>
      <c r="M820" s="19">
        <v>6.9078</v>
      </c>
    </row>
    <row r="821" spans="12:13">
      <c r="L821" s="24">
        <v>44991</v>
      </c>
      <c r="M821" s="19">
        <v>6.9324</v>
      </c>
    </row>
    <row r="822" spans="12:13">
      <c r="L822" s="24">
        <v>44992</v>
      </c>
      <c r="M822" s="19">
        <v>6.9362</v>
      </c>
    </row>
    <row r="823" spans="12:13">
      <c r="L823" s="24">
        <v>44993</v>
      </c>
      <c r="M823" s="19">
        <v>6.9526</v>
      </c>
    </row>
    <row r="824" spans="12:13">
      <c r="L824" s="24">
        <v>44994</v>
      </c>
      <c r="M824" s="19">
        <v>6.9656</v>
      </c>
    </row>
    <row r="825" spans="12:13">
      <c r="L825" s="24">
        <v>44995</v>
      </c>
      <c r="M825" s="19">
        <v>6.952</v>
      </c>
    </row>
    <row r="826" spans="12:13">
      <c r="L826" s="24">
        <v>44998</v>
      </c>
      <c r="M826" s="19">
        <v>6.8572</v>
      </c>
    </row>
    <row r="827" spans="12:13">
      <c r="L827" s="24">
        <v>44999</v>
      </c>
      <c r="M827" s="19">
        <v>6.8695</v>
      </c>
    </row>
    <row r="828" spans="12:13">
      <c r="L828" s="24">
        <v>45000</v>
      </c>
      <c r="M828" s="19">
        <v>6.9073</v>
      </c>
    </row>
    <row r="829" spans="12:13">
      <c r="L829" s="24">
        <v>45001</v>
      </c>
      <c r="M829" s="19">
        <v>6.8943</v>
      </c>
    </row>
    <row r="830" spans="12:13">
      <c r="L830" s="24">
        <v>45002</v>
      </c>
      <c r="M830" s="19">
        <v>6.8829</v>
      </c>
    </row>
    <row r="831" spans="12:13">
      <c r="L831" s="24">
        <v>45005</v>
      </c>
      <c r="M831" s="19">
        <v>6.8806</v>
      </c>
    </row>
    <row r="832" spans="12:13">
      <c r="L832" s="24">
        <v>45006</v>
      </c>
      <c r="M832" s="19">
        <v>6.8725</v>
      </c>
    </row>
    <row r="833" spans="12:13">
      <c r="L833" s="24">
        <v>45007</v>
      </c>
      <c r="M833" s="19">
        <v>6.8834</v>
      </c>
    </row>
    <row r="834" spans="12:13">
      <c r="L834" s="24">
        <v>45008</v>
      </c>
      <c r="M834" s="19">
        <v>6.8308</v>
      </c>
    </row>
    <row r="835" spans="12:13">
      <c r="L835" s="24">
        <v>45009</v>
      </c>
      <c r="M835" s="19">
        <v>6.8707</v>
      </c>
    </row>
    <row r="836" spans="12:13">
      <c r="L836" s="24">
        <v>45012</v>
      </c>
      <c r="M836" s="19">
        <v>6.8812</v>
      </c>
    </row>
    <row r="837" spans="12:13">
      <c r="L837" s="24">
        <v>45013</v>
      </c>
      <c r="M837" s="19">
        <v>6.877</v>
      </c>
    </row>
    <row r="838" spans="12:13">
      <c r="L838" s="24">
        <v>45014</v>
      </c>
      <c r="M838" s="19">
        <v>6.8848</v>
      </c>
    </row>
    <row r="839" spans="12:13">
      <c r="L839" s="24">
        <v>45015</v>
      </c>
      <c r="M839" s="19">
        <v>6.8802</v>
      </c>
    </row>
    <row r="840" spans="12:13">
      <c r="L840" s="24">
        <v>45016</v>
      </c>
      <c r="M840" s="19">
        <v>6.8748</v>
      </c>
    </row>
    <row r="841" spans="12:13">
      <c r="L841" s="24">
        <v>45019</v>
      </c>
      <c r="M841" s="19">
        <v>6.8843</v>
      </c>
    </row>
    <row r="842" spans="12:13">
      <c r="L842" s="24">
        <v>45020</v>
      </c>
      <c r="M842" s="19">
        <v>6.8832</v>
      </c>
    </row>
    <row r="843" spans="12:13">
      <c r="L843" s="24">
        <v>45021</v>
      </c>
      <c r="M843" s="19">
        <v>6.8798</v>
      </c>
    </row>
    <row r="844" spans="12:13">
      <c r="L844" s="24">
        <v>45022</v>
      </c>
      <c r="M844" s="19">
        <v>6.8726</v>
      </c>
    </row>
    <row r="845" spans="12:13">
      <c r="L845" s="24">
        <v>45027</v>
      </c>
      <c r="M845" s="19">
        <v>6.8849</v>
      </c>
    </row>
    <row r="846" spans="12:13">
      <c r="L846" s="24">
        <v>45028</v>
      </c>
      <c r="M846" s="19">
        <v>6.8836</v>
      </c>
    </row>
    <row r="847" spans="12:13">
      <c r="L847" s="24">
        <v>45029</v>
      </c>
      <c r="M847" s="19">
        <v>6.8777</v>
      </c>
    </row>
    <row r="848" spans="12:13">
      <c r="L848" s="24">
        <v>45030</v>
      </c>
      <c r="M848" s="19">
        <v>6.8519</v>
      </c>
    </row>
    <row r="849" spans="12:13">
      <c r="L849" s="24">
        <v>45033</v>
      </c>
      <c r="M849" s="19">
        <v>6.8694</v>
      </c>
    </row>
    <row r="850" spans="12:13">
      <c r="L850" s="24">
        <v>45034</v>
      </c>
      <c r="M850" s="19">
        <v>6.8753</v>
      </c>
    </row>
    <row r="851" spans="12:13">
      <c r="L851" s="24">
        <v>45035</v>
      </c>
      <c r="M851" s="19">
        <v>6.8971</v>
      </c>
    </row>
    <row r="852" spans="12:13">
      <c r="L852" s="24">
        <v>45036</v>
      </c>
      <c r="M852" s="19">
        <v>6.8803</v>
      </c>
    </row>
    <row r="853" spans="12:13">
      <c r="L853" s="24">
        <v>45037</v>
      </c>
      <c r="M853" s="19">
        <v>6.8882</v>
      </c>
    </row>
    <row r="854" spans="12:13">
      <c r="L854" s="24">
        <v>45040</v>
      </c>
      <c r="M854" s="19">
        <v>6.893</v>
      </c>
    </row>
    <row r="855" spans="12:13">
      <c r="L855" s="24">
        <v>45041</v>
      </c>
      <c r="M855" s="19">
        <v>6.9215</v>
      </c>
    </row>
    <row r="856" spans="12:13">
      <c r="L856" s="24">
        <v>45042</v>
      </c>
      <c r="M856" s="19">
        <v>6.9231</v>
      </c>
    </row>
    <row r="857" spans="12:13">
      <c r="L857" s="24">
        <v>45043</v>
      </c>
      <c r="M857" s="19">
        <v>6.9239</v>
      </c>
    </row>
    <row r="858" spans="12:13">
      <c r="L858" s="24">
        <v>45044</v>
      </c>
      <c r="M858" s="19">
        <v>6.9191</v>
      </c>
    </row>
    <row r="859" spans="12:13">
      <c r="L859" s="24">
        <v>45048</v>
      </c>
      <c r="M859" s="19">
        <v>6.9121</v>
      </c>
    </row>
    <row r="860" spans="12:13">
      <c r="L860" s="24">
        <v>45049</v>
      </c>
      <c r="M860" s="19">
        <v>6.9121</v>
      </c>
    </row>
    <row r="861" spans="12:13">
      <c r="L861" s="24">
        <v>45050</v>
      </c>
      <c r="M861" s="19">
        <v>6.9115</v>
      </c>
    </row>
    <row r="862" spans="12:13">
      <c r="L862" s="24">
        <v>45051</v>
      </c>
      <c r="M862" s="19">
        <v>6.9105</v>
      </c>
    </row>
    <row r="863" spans="12:13">
      <c r="L863" s="24">
        <v>45054</v>
      </c>
      <c r="M863" s="19">
        <v>6.9174</v>
      </c>
    </row>
    <row r="864" spans="12:13">
      <c r="L864" s="24">
        <v>45055</v>
      </c>
      <c r="M864" s="19">
        <v>6.9215</v>
      </c>
    </row>
    <row r="865" spans="12:13">
      <c r="L865" s="24">
        <v>45056</v>
      </c>
      <c r="M865" s="19">
        <v>6.924</v>
      </c>
    </row>
    <row r="866" spans="12:13">
      <c r="L866" s="24">
        <v>45057</v>
      </c>
      <c r="M866" s="19">
        <v>6.9366</v>
      </c>
    </row>
    <row r="867" spans="12:13">
      <c r="L867" s="24">
        <v>45058</v>
      </c>
      <c r="M867" s="19">
        <v>6.9521</v>
      </c>
    </row>
    <row r="868" spans="12:13">
      <c r="L868" s="24">
        <v>45061</v>
      </c>
      <c r="M868" s="19">
        <v>6.953</v>
      </c>
    </row>
    <row r="869" spans="12:13">
      <c r="L869" s="24">
        <v>45062</v>
      </c>
      <c r="M869" s="19">
        <v>6.9656</v>
      </c>
    </row>
    <row r="870" spans="12:13">
      <c r="L870" s="24">
        <v>45063</v>
      </c>
      <c r="M870" s="19">
        <v>6.9962</v>
      </c>
    </row>
    <row r="871" spans="12:13">
      <c r="L871" s="24">
        <v>45064</v>
      </c>
      <c r="M871" s="19">
        <v>7.027</v>
      </c>
    </row>
    <row r="872" spans="12:13">
      <c r="L872" s="24">
        <v>45065</v>
      </c>
      <c r="M872" s="19">
        <v>7.0102</v>
      </c>
    </row>
    <row r="873" spans="12:13">
      <c r="L873" s="24">
        <v>45068</v>
      </c>
      <c r="M873" s="19">
        <v>7.0289</v>
      </c>
    </row>
    <row r="874" spans="12:13">
      <c r="L874" s="24">
        <v>45069</v>
      </c>
      <c r="M874" s="19">
        <v>7.0544</v>
      </c>
    </row>
    <row r="875" spans="12:13">
      <c r="L875" s="24">
        <v>45070</v>
      </c>
      <c r="M875" s="19">
        <v>7.0473</v>
      </c>
    </row>
    <row r="876" spans="12:13">
      <c r="L876" s="24">
        <v>45071</v>
      </c>
      <c r="M876" s="19">
        <v>7.0695</v>
      </c>
    </row>
    <row r="877" spans="12:13">
      <c r="L877" s="24">
        <v>45072</v>
      </c>
      <c r="M877" s="19">
        <v>7.0574</v>
      </c>
    </row>
    <row r="878" spans="12:13">
      <c r="L878" s="24">
        <v>45075</v>
      </c>
      <c r="M878" s="19">
        <v>7.0761</v>
      </c>
    </row>
    <row r="879" spans="12:13">
      <c r="L879" s="24">
        <v>45076</v>
      </c>
      <c r="M879" s="19">
        <v>7.0728</v>
      </c>
    </row>
    <row r="880" spans="12:13">
      <c r="L880" s="24">
        <v>45077</v>
      </c>
      <c r="M880" s="19">
        <v>7.1072</v>
      </c>
    </row>
    <row r="881" spans="12:13">
      <c r="L881" s="24">
        <v>45078</v>
      </c>
      <c r="M881" s="19">
        <v>7.111</v>
      </c>
    </row>
    <row r="882" spans="12:13">
      <c r="L882" s="24">
        <v>45079</v>
      </c>
      <c r="M882" s="19">
        <v>7.0673</v>
      </c>
    </row>
    <row r="883" spans="12:13">
      <c r="L883" s="24">
        <v>45082</v>
      </c>
      <c r="M883" s="19">
        <v>7.1152</v>
      </c>
    </row>
    <row r="884" spans="12:13">
      <c r="L884" s="24">
        <v>45083</v>
      </c>
      <c r="M884" s="19">
        <v>7.1179</v>
      </c>
    </row>
    <row r="885" spans="12:13">
      <c r="L885" s="24">
        <v>45084</v>
      </c>
      <c r="M885" s="19">
        <v>7.1135</v>
      </c>
    </row>
    <row r="886" spans="12:13">
      <c r="L886" s="24">
        <v>45085</v>
      </c>
      <c r="M886" s="19">
        <v>7.1287</v>
      </c>
    </row>
    <row r="887" spans="12:13">
      <c r="L887" s="24">
        <v>45086</v>
      </c>
      <c r="M887" s="19">
        <v>7.1279</v>
      </c>
    </row>
    <row r="888" spans="12:13">
      <c r="L888" s="24">
        <v>45089</v>
      </c>
      <c r="M888" s="19">
        <v>7.1424</v>
      </c>
    </row>
    <row r="889" spans="12:13">
      <c r="L889" s="24">
        <v>45090</v>
      </c>
      <c r="M889" s="19">
        <v>7.1497</v>
      </c>
    </row>
    <row r="890" spans="12:13">
      <c r="L890" s="24">
        <v>45091</v>
      </c>
      <c r="M890" s="19">
        <v>7.1573</v>
      </c>
    </row>
    <row r="891" spans="12:13">
      <c r="L891" s="24">
        <v>45092</v>
      </c>
      <c r="M891" s="19">
        <v>7.1625</v>
      </c>
    </row>
    <row r="892" spans="12:13">
      <c r="L892" s="24">
        <v>45093</v>
      </c>
      <c r="M892" s="19">
        <v>7.122</v>
      </c>
    </row>
    <row r="893" spans="12:13">
      <c r="L893" s="24">
        <v>45096</v>
      </c>
      <c r="M893" s="19">
        <v>7.1582</v>
      </c>
    </row>
    <row r="894" spans="12:13">
      <c r="L894" s="24">
        <v>45097</v>
      </c>
      <c r="M894" s="19">
        <v>7.1766</v>
      </c>
    </row>
    <row r="895" spans="12:13">
      <c r="L895" s="24">
        <v>45098</v>
      </c>
      <c r="M895" s="19">
        <v>7.1884</v>
      </c>
    </row>
    <row r="896" spans="12:13">
      <c r="L896" s="24">
        <v>45099</v>
      </c>
      <c r="M896" s="19">
        <v>7.1794</v>
      </c>
    </row>
    <row r="897" spans="12:13">
      <c r="L897" s="24">
        <v>45100</v>
      </c>
      <c r="M897" s="19">
        <v>7.1794</v>
      </c>
    </row>
    <row r="898" spans="12:13">
      <c r="L898" s="24">
        <v>45103</v>
      </c>
      <c r="M898" s="19">
        <v>7.2332</v>
      </c>
    </row>
    <row r="899" spans="12:13">
      <c r="L899" s="24">
        <v>45104</v>
      </c>
      <c r="M899" s="19">
        <v>7.2118</v>
      </c>
    </row>
    <row r="900" spans="12:13">
      <c r="L900" s="24">
        <v>45105</v>
      </c>
      <c r="M900" s="19">
        <v>7.2465</v>
      </c>
    </row>
    <row r="901" spans="12:13">
      <c r="L901" s="24">
        <v>45106</v>
      </c>
      <c r="M901" s="19">
        <v>7.2353</v>
      </c>
    </row>
    <row r="902" spans="12:13">
      <c r="L902" s="24">
        <v>45107</v>
      </c>
      <c r="M902" s="19">
        <v>7.2688</v>
      </c>
    </row>
    <row r="903" spans="12:13">
      <c r="L903" s="24">
        <v>45110</v>
      </c>
      <c r="M903" s="19">
        <v>7.249</v>
      </c>
    </row>
    <row r="904" spans="12:13">
      <c r="L904" s="24">
        <v>45111</v>
      </c>
      <c r="M904" s="19">
        <v>7.2185</v>
      </c>
    </row>
    <row r="905" spans="12:13">
      <c r="L905" s="24">
        <v>45112</v>
      </c>
      <c r="M905" s="19">
        <v>7.2431</v>
      </c>
    </row>
    <row r="906" spans="12:13">
      <c r="L906" s="24">
        <v>45113</v>
      </c>
      <c r="M906" s="19">
        <v>7.2319</v>
      </c>
    </row>
    <row r="907" spans="12:13">
      <c r="L907" s="24">
        <v>45114</v>
      </c>
      <c r="M907" s="19">
        <v>7.2348</v>
      </c>
    </row>
    <row r="908" spans="12:13">
      <c r="L908" s="24">
        <v>45117</v>
      </c>
      <c r="M908" s="19">
        <v>7.2372</v>
      </c>
    </row>
    <row r="909" spans="12:13">
      <c r="L909" s="24">
        <v>45118</v>
      </c>
      <c r="M909" s="19">
        <v>7.202</v>
      </c>
    </row>
    <row r="910" spans="12:13">
      <c r="L910" s="24">
        <v>45119</v>
      </c>
      <c r="M910" s="19">
        <v>7.1923</v>
      </c>
    </row>
    <row r="911" spans="12:13">
      <c r="L911" s="24">
        <v>45120</v>
      </c>
      <c r="M911" s="19">
        <v>7.1631</v>
      </c>
    </row>
    <row r="912" spans="12:13">
      <c r="L912" s="24">
        <v>45121</v>
      </c>
      <c r="M912" s="19">
        <v>7.1363</v>
      </c>
    </row>
    <row r="913" spans="12:13">
      <c r="L913" s="24">
        <v>45124</v>
      </c>
      <c r="M913" s="19">
        <v>7.1645</v>
      </c>
    </row>
    <row r="914" spans="12:13">
      <c r="L914" s="24">
        <v>45125</v>
      </c>
      <c r="M914" s="19">
        <v>7.1741</v>
      </c>
    </row>
    <row r="915" spans="12:13">
      <c r="L915" s="24">
        <v>45126</v>
      </c>
      <c r="M915" s="19">
        <v>7.2192</v>
      </c>
    </row>
    <row r="916" spans="12:13">
      <c r="L916" s="24">
        <v>45127</v>
      </c>
      <c r="M916" s="19">
        <v>7.1662</v>
      </c>
    </row>
    <row r="917" spans="12:13">
      <c r="L917" s="24">
        <v>45128</v>
      </c>
      <c r="M917" s="19">
        <v>7.1797</v>
      </c>
    </row>
    <row r="918" spans="12:13">
      <c r="L918" s="24">
        <v>45131</v>
      </c>
      <c r="M918" s="19">
        <v>7.1872</v>
      </c>
    </row>
    <row r="919" spans="12:13">
      <c r="L919" s="24">
        <v>45132</v>
      </c>
      <c r="M919" s="19">
        <v>7.141</v>
      </c>
    </row>
    <row r="920" spans="12:13">
      <c r="L920" s="24">
        <v>45133</v>
      </c>
      <c r="M920" s="19">
        <v>7.1534</v>
      </c>
    </row>
    <row r="921" spans="12:13">
      <c r="L921" s="24">
        <v>45134</v>
      </c>
      <c r="M921" s="19">
        <v>7.147</v>
      </c>
    </row>
    <row r="922" spans="12:13">
      <c r="L922" s="24">
        <v>45135</v>
      </c>
      <c r="M922" s="19">
        <v>7.157</v>
      </c>
    </row>
    <row r="923" spans="12:13">
      <c r="L923" s="24">
        <v>45138</v>
      </c>
      <c r="M923" s="19">
        <v>7.1494</v>
      </c>
    </row>
    <row r="924" spans="12:13">
      <c r="L924" s="24">
        <v>45139</v>
      </c>
      <c r="M924" s="19">
        <v>7.1668</v>
      </c>
    </row>
    <row r="925" spans="12:13">
      <c r="L925" s="24">
        <v>45140</v>
      </c>
      <c r="M925" s="19">
        <v>7.1761</v>
      </c>
    </row>
    <row r="926" spans="12:13">
      <c r="L926" s="24">
        <v>45141</v>
      </c>
      <c r="M926" s="19">
        <v>7.1713</v>
      </c>
    </row>
    <row r="927" spans="12:13">
      <c r="L927" s="24">
        <v>45142</v>
      </c>
      <c r="M927" s="19">
        <v>7.1863</v>
      </c>
    </row>
    <row r="928" spans="12:13">
      <c r="L928" s="24">
        <v>45145</v>
      </c>
      <c r="M928" s="19">
        <v>7.1901</v>
      </c>
    </row>
    <row r="929" spans="12:13">
      <c r="L929" s="24">
        <v>45146</v>
      </c>
      <c r="M929" s="19">
        <v>7.214</v>
      </c>
    </row>
    <row r="930" spans="12:13">
      <c r="L930" s="24">
        <v>45147</v>
      </c>
      <c r="M930" s="19">
        <v>7.2055</v>
      </c>
    </row>
    <row r="931" spans="12:13">
      <c r="L931" s="24">
        <v>45148</v>
      </c>
      <c r="M931" s="19">
        <v>7.2088</v>
      </c>
    </row>
    <row r="932" spans="12:13">
      <c r="L932" s="24">
        <v>45149</v>
      </c>
      <c r="M932" s="19">
        <v>7.2323</v>
      </c>
    </row>
    <row r="933" spans="12:13">
      <c r="L933" s="24">
        <v>45152</v>
      </c>
      <c r="M933" s="19">
        <v>7.2604</v>
      </c>
    </row>
    <row r="934" spans="12:13">
      <c r="L934" s="24">
        <v>45153</v>
      </c>
      <c r="M934" s="19">
        <v>7.2858</v>
      </c>
    </row>
    <row r="935" spans="12:13">
      <c r="L935" s="24">
        <v>45154</v>
      </c>
      <c r="M935" s="19">
        <v>7.2973</v>
      </c>
    </row>
    <row r="936" spans="12:13">
      <c r="L936" s="24">
        <v>45155</v>
      </c>
      <c r="M936" s="19">
        <v>7.2832</v>
      </c>
    </row>
    <row r="937" spans="12:13">
      <c r="L937" s="24">
        <v>45156</v>
      </c>
      <c r="M937" s="19">
        <v>7.2878</v>
      </c>
    </row>
    <row r="938" spans="12:13">
      <c r="L938" s="24">
        <v>45159</v>
      </c>
      <c r="M938" s="19">
        <v>7.2842</v>
      </c>
    </row>
    <row r="939" spans="12:13">
      <c r="L939" s="24">
        <v>45160</v>
      </c>
      <c r="M939" s="19">
        <v>7.2919</v>
      </c>
    </row>
    <row r="940" spans="12:13">
      <c r="L940" s="24">
        <v>45161</v>
      </c>
      <c r="M940" s="19">
        <v>7.2925</v>
      </c>
    </row>
    <row r="941" spans="12:13">
      <c r="L941" s="24">
        <v>45162</v>
      </c>
      <c r="M941" s="19">
        <v>7.2817</v>
      </c>
    </row>
    <row r="942" spans="12:13">
      <c r="L942" s="24">
        <v>45163</v>
      </c>
      <c r="M942" s="19">
        <v>7.2893</v>
      </c>
    </row>
    <row r="943" spans="12:13">
      <c r="L943" s="24">
        <v>45166</v>
      </c>
      <c r="M943" s="19">
        <v>7.2929</v>
      </c>
    </row>
    <row r="944" spans="12:13">
      <c r="L944" s="24">
        <v>45167</v>
      </c>
      <c r="M944" s="19">
        <v>7.2943</v>
      </c>
    </row>
    <row r="945" spans="12:13">
      <c r="L945" s="24">
        <v>45168</v>
      </c>
      <c r="M945" s="19">
        <v>7.2889</v>
      </c>
    </row>
    <row r="946" spans="12:13">
      <c r="L946" s="24">
        <v>45169</v>
      </c>
      <c r="M946" s="19">
        <v>7.2871</v>
      </c>
    </row>
    <row r="947" spans="12:13">
      <c r="L947" s="24">
        <v>45170</v>
      </c>
      <c r="M947" s="19">
        <v>7.2555</v>
      </c>
    </row>
    <row r="948" spans="12:13">
      <c r="L948" s="24">
        <v>45173</v>
      </c>
      <c r="M948" s="19">
        <v>7.2704</v>
      </c>
    </row>
    <row r="949" spans="12:13">
      <c r="L949" s="24">
        <v>45174</v>
      </c>
      <c r="M949" s="19">
        <v>7.3041</v>
      </c>
    </row>
    <row r="950" spans="12:13">
      <c r="L950" s="24">
        <v>45175</v>
      </c>
      <c r="M950" s="19">
        <v>7.3035</v>
      </c>
    </row>
    <row r="951" spans="12:13">
      <c r="L951" s="24">
        <v>45176</v>
      </c>
      <c r="M951" s="19">
        <v>7.3285</v>
      </c>
    </row>
    <row r="952" spans="12:13">
      <c r="L952" s="24">
        <v>45177</v>
      </c>
      <c r="M952" s="19">
        <v>7.3398</v>
      </c>
    </row>
    <row r="953" spans="12:13">
      <c r="L953" s="24">
        <v>45180</v>
      </c>
      <c r="M953" s="19">
        <v>7.2949</v>
      </c>
    </row>
    <row r="954" spans="12:13">
      <c r="L954" s="24">
        <v>45181</v>
      </c>
      <c r="M954" s="19">
        <v>7.2916</v>
      </c>
    </row>
    <row r="955" spans="12:13">
      <c r="L955" s="24">
        <v>45182</v>
      </c>
      <c r="M955" s="19">
        <v>7.2807</v>
      </c>
    </row>
    <row r="956" spans="12:13">
      <c r="L956" s="24">
        <v>45183</v>
      </c>
      <c r="M956" s="19">
        <v>7.278</v>
      </c>
    </row>
    <row r="957" spans="12:13">
      <c r="L957" s="24">
        <v>45184</v>
      </c>
      <c r="M957" s="19">
        <v>7.2773</v>
      </c>
    </row>
    <row r="958" spans="12:13">
      <c r="L958" s="24">
        <v>45187</v>
      </c>
      <c r="M958" s="19">
        <v>7.2959</v>
      </c>
    </row>
    <row r="959" spans="12:13">
      <c r="L959" s="24">
        <v>45188</v>
      </c>
      <c r="M959" s="19">
        <v>7.2912</v>
      </c>
    </row>
    <row r="960" spans="12:13">
      <c r="L960" s="24">
        <v>45189</v>
      </c>
      <c r="M960" s="19">
        <v>7.2939</v>
      </c>
    </row>
    <row r="961" spans="12:13">
      <c r="L961" s="24">
        <v>45190</v>
      </c>
      <c r="M961" s="19">
        <v>7.3056</v>
      </c>
    </row>
    <row r="962" spans="12:13">
      <c r="L962" s="24">
        <v>45191</v>
      </c>
      <c r="M962" s="19">
        <v>7.304</v>
      </c>
    </row>
    <row r="963" spans="12:13">
      <c r="L963" s="24">
        <v>45194</v>
      </c>
      <c r="M963" s="19">
        <v>7.3101</v>
      </c>
    </row>
    <row r="964" spans="12:13">
      <c r="L964" s="24">
        <v>45195</v>
      </c>
      <c r="M964" s="19">
        <v>7.3095</v>
      </c>
    </row>
    <row r="965" spans="12:13">
      <c r="L965" s="24">
        <v>45196</v>
      </c>
      <c r="M965" s="19">
        <v>7.3112</v>
      </c>
    </row>
    <row r="966" spans="12:13">
      <c r="L966" s="24">
        <v>45197</v>
      </c>
      <c r="M966" s="19">
        <v>7.3049</v>
      </c>
    </row>
    <row r="967" spans="12:13">
      <c r="L967" s="24">
        <v>45198</v>
      </c>
      <c r="M967" s="19">
        <v>7.3015</v>
      </c>
    </row>
    <row r="968" spans="12:13">
      <c r="L968" s="24">
        <v>45201</v>
      </c>
      <c r="M968" s="19">
        <v>7.3015</v>
      </c>
    </row>
    <row r="969" spans="12:13">
      <c r="L969" s="24">
        <v>45202</v>
      </c>
      <c r="M969" s="19">
        <v>7.3015</v>
      </c>
    </row>
    <row r="970" spans="12:13">
      <c r="L970" s="24">
        <v>45203</v>
      </c>
      <c r="M970" s="19">
        <v>7.3015</v>
      </c>
    </row>
    <row r="971" spans="12:13">
      <c r="L971" s="24">
        <v>45204</v>
      </c>
      <c r="M971" s="19">
        <v>7.3015</v>
      </c>
    </row>
    <row r="972" spans="12:13">
      <c r="L972" s="24">
        <v>45205</v>
      </c>
      <c r="M972" s="19">
        <v>7.3049</v>
      </c>
    </row>
    <row r="973" spans="12:13">
      <c r="L973" s="24">
        <v>45208</v>
      </c>
      <c r="M973" s="19">
        <v>7.2912</v>
      </c>
    </row>
    <row r="974" spans="12:13">
      <c r="L974" s="24">
        <v>45209</v>
      </c>
      <c r="M974" s="19">
        <v>7.299</v>
      </c>
    </row>
    <row r="975" spans="12:13">
      <c r="L975" s="24">
        <v>45210</v>
      </c>
      <c r="M975" s="19">
        <v>7.3022</v>
      </c>
    </row>
    <row r="976" spans="12:13">
      <c r="L976" s="24">
        <v>45211</v>
      </c>
      <c r="M976" s="19">
        <v>7.2996</v>
      </c>
    </row>
    <row r="977" spans="12:13">
      <c r="L977" s="24">
        <v>45212</v>
      </c>
      <c r="M977" s="19">
        <v>7.3073</v>
      </c>
    </row>
    <row r="978" spans="12:13">
      <c r="L978" s="24">
        <v>45215</v>
      </c>
      <c r="M978" s="19">
        <v>7.3124</v>
      </c>
    </row>
    <row r="979" spans="12:13">
      <c r="L979" s="24">
        <v>45216</v>
      </c>
      <c r="M979" s="19">
        <v>7.3127</v>
      </c>
    </row>
    <row r="980" spans="12:13">
      <c r="L980" s="24">
        <v>45217</v>
      </c>
      <c r="M980" s="19">
        <v>7.3145</v>
      </c>
    </row>
    <row r="981" spans="12:13">
      <c r="L981" s="24">
        <v>45218</v>
      </c>
      <c r="M981" s="19">
        <v>7.3151</v>
      </c>
    </row>
    <row r="982" spans="12:13">
      <c r="L982" s="24">
        <v>45219</v>
      </c>
      <c r="M982" s="19">
        <v>7.3165</v>
      </c>
    </row>
    <row r="983" spans="12:13">
      <c r="L983" s="24">
        <v>45222</v>
      </c>
      <c r="M983" s="19">
        <v>7.3161</v>
      </c>
    </row>
    <row r="984" spans="12:13">
      <c r="L984" s="24">
        <v>45223</v>
      </c>
      <c r="M984" s="19">
        <v>7.31</v>
      </c>
    </row>
    <row r="985" spans="12:13">
      <c r="L985" s="24">
        <v>45224</v>
      </c>
      <c r="M985" s="19">
        <v>7.3167</v>
      </c>
    </row>
    <row r="986" spans="12:13">
      <c r="L986" s="24">
        <v>45225</v>
      </c>
      <c r="M986" s="19">
        <v>7.319</v>
      </c>
    </row>
    <row r="987" spans="12:13">
      <c r="L987" s="24">
        <v>45226</v>
      </c>
      <c r="M987" s="19">
        <v>7.3184</v>
      </c>
    </row>
    <row r="988" spans="12:13">
      <c r="L988" s="24">
        <v>45229</v>
      </c>
      <c r="M988" s="19">
        <v>7.3168</v>
      </c>
    </row>
    <row r="989" spans="12:13">
      <c r="L989" s="24">
        <v>45230</v>
      </c>
      <c r="M989" s="19">
        <v>7.3158</v>
      </c>
    </row>
    <row r="990" spans="12:13">
      <c r="L990" s="24">
        <v>45231</v>
      </c>
      <c r="M990" s="19">
        <v>7.319</v>
      </c>
    </row>
    <row r="991" spans="12:13">
      <c r="L991" s="24">
        <v>45232</v>
      </c>
      <c r="M991" s="19">
        <v>7.3172</v>
      </c>
    </row>
    <row r="992" spans="12:13">
      <c r="L992" s="24">
        <v>45233</v>
      </c>
      <c r="M992" s="19">
        <v>7.3064</v>
      </c>
    </row>
    <row r="993" spans="12:13">
      <c r="L993" s="24">
        <v>45236</v>
      </c>
      <c r="M993" s="19">
        <v>7.2706</v>
      </c>
    </row>
    <row r="994" spans="12:13">
      <c r="L994" s="24">
        <v>45237</v>
      </c>
      <c r="M994" s="19">
        <v>7.2842</v>
      </c>
    </row>
    <row r="995" spans="12:13">
      <c r="L995" s="24">
        <v>45238</v>
      </c>
      <c r="M995" s="19">
        <v>7.2813</v>
      </c>
    </row>
    <row r="996" spans="12:13">
      <c r="L996" s="24">
        <v>45239</v>
      </c>
      <c r="M996" s="19">
        <v>7.2852</v>
      </c>
    </row>
    <row r="997" spans="12:13">
      <c r="L997" s="24">
        <v>45240</v>
      </c>
      <c r="M997" s="19">
        <v>7.2895</v>
      </c>
    </row>
    <row r="998" spans="12:13">
      <c r="L998" s="24">
        <v>45243</v>
      </c>
      <c r="M998" s="19">
        <v>7.2909</v>
      </c>
    </row>
    <row r="999" spans="12:13">
      <c r="L999" s="24">
        <v>45244</v>
      </c>
      <c r="M999" s="19">
        <v>7.2894</v>
      </c>
    </row>
    <row r="1000" spans="12:13">
      <c r="L1000" s="24">
        <v>45245</v>
      </c>
      <c r="M1000" s="19">
        <v>7.2416</v>
      </c>
    </row>
    <row r="1001" spans="12:13">
      <c r="L1001" s="24">
        <v>45246</v>
      </c>
      <c r="M1001" s="19">
        <v>7.25</v>
      </c>
    </row>
    <row r="1002" spans="12:13">
      <c r="L1002" s="24">
        <v>45247</v>
      </c>
      <c r="M1002" s="19">
        <v>7.2125</v>
      </c>
    </row>
    <row r="1003" spans="12:13">
      <c r="L1003" s="24">
        <v>45250</v>
      </c>
      <c r="M1003" s="19">
        <v>7.1722</v>
      </c>
    </row>
    <row r="1004" spans="12:13">
      <c r="L1004" s="24">
        <v>45251</v>
      </c>
      <c r="M1004" s="19">
        <v>7.1363</v>
      </c>
    </row>
    <row r="1005" spans="12:13">
      <c r="L1005" s="24">
        <v>45252</v>
      </c>
      <c r="M1005" s="19">
        <v>7.1501</v>
      </c>
    </row>
    <row r="1006" spans="12:13">
      <c r="L1006" s="24">
        <v>45253</v>
      </c>
      <c r="M1006" s="19">
        <v>7.1424</v>
      </c>
    </row>
    <row r="1007" spans="12:13">
      <c r="L1007" s="24">
        <v>45254</v>
      </c>
      <c r="M1007" s="19">
        <v>7.1537</v>
      </c>
    </row>
    <row r="1008" spans="12:13">
      <c r="L1008" s="24">
        <v>45257</v>
      </c>
      <c r="M1008" s="19">
        <v>7.1529</v>
      </c>
    </row>
    <row r="1009" spans="12:13">
      <c r="L1009" s="24">
        <v>45258</v>
      </c>
      <c r="M1009" s="19">
        <v>7.1534</v>
      </c>
    </row>
    <row r="1010" spans="12:13">
      <c r="L1010" s="24">
        <v>45259</v>
      </c>
      <c r="M1010" s="19">
        <v>7.1275</v>
      </c>
    </row>
    <row r="1011" spans="12:13">
      <c r="L1011" s="24">
        <v>45260</v>
      </c>
      <c r="M1011" s="19">
        <v>7.1364</v>
      </c>
    </row>
    <row r="1012" spans="12:13">
      <c r="L1012" s="24">
        <v>45261</v>
      </c>
      <c r="M1012" s="19">
        <v>7.1434</v>
      </c>
    </row>
    <row r="1013" spans="12:13">
      <c r="L1013" s="24">
        <v>45264</v>
      </c>
      <c r="M1013" s="19">
        <v>7.1384</v>
      </c>
    </row>
    <row r="1014" spans="12:13">
      <c r="L1014" s="24">
        <v>45265</v>
      </c>
      <c r="M1014" s="19">
        <v>7.1433</v>
      </c>
    </row>
    <row r="1015" spans="12:13">
      <c r="L1015" s="24">
        <v>45266</v>
      </c>
      <c r="M1015" s="19">
        <v>7.1579</v>
      </c>
    </row>
    <row r="1016" spans="12:13">
      <c r="L1016" s="24">
        <v>45267</v>
      </c>
      <c r="M1016" s="19">
        <v>7.1542</v>
      </c>
    </row>
    <row r="1017" spans="12:13">
      <c r="L1017" s="24">
        <v>45268</v>
      </c>
      <c r="M1017" s="19">
        <v>7.1615</v>
      </c>
    </row>
    <row r="1018" spans="12:13">
      <c r="L1018" s="24">
        <v>45271</v>
      </c>
      <c r="M1018" s="19">
        <v>7.1773</v>
      </c>
    </row>
    <row r="1019" spans="12:13">
      <c r="L1019" s="24">
        <v>45272</v>
      </c>
      <c r="M1019" s="19">
        <v>7.1684</v>
      </c>
    </row>
    <row r="1020" spans="12:13">
      <c r="L1020" s="24">
        <v>45273</v>
      </c>
      <c r="M1020" s="19">
        <v>7.1777</v>
      </c>
    </row>
    <row r="1021" spans="12:13">
      <c r="L1021" s="24">
        <v>45274</v>
      </c>
      <c r="M1021" s="19">
        <v>7.1312</v>
      </c>
    </row>
    <row r="1022" spans="12:13">
      <c r="L1022" s="24">
        <v>45275</v>
      </c>
      <c r="M1022" s="19">
        <v>7.1087</v>
      </c>
    </row>
    <row r="1023" spans="12:13">
      <c r="L1023" s="24">
        <v>45278</v>
      </c>
      <c r="M1023" s="19">
        <v>7.1344</v>
      </c>
    </row>
    <row r="1024" spans="12:13">
      <c r="L1024" s="24">
        <v>45279</v>
      </c>
      <c r="M1024" s="19">
        <v>7.1366</v>
      </c>
    </row>
    <row r="1025" spans="12:13">
      <c r="L1025" s="24">
        <v>45280</v>
      </c>
      <c r="M1025" s="19">
        <v>7.1382</v>
      </c>
    </row>
    <row r="1026" spans="12:13">
      <c r="L1026" s="24">
        <v>45281</v>
      </c>
      <c r="M1026" s="19">
        <v>7.1407</v>
      </c>
    </row>
    <row r="1027" spans="12:13">
      <c r="L1027" s="24">
        <v>45282</v>
      </c>
      <c r="M1027" s="19">
        <v>7.1342</v>
      </c>
    </row>
    <row r="1028" spans="12:13">
      <c r="L1028" s="24">
        <v>45287</v>
      </c>
      <c r="M1028" s="19">
        <v>7.1474</v>
      </c>
    </row>
    <row r="1029" spans="12:13">
      <c r="L1029" s="24">
        <v>45288</v>
      </c>
      <c r="M1029" s="19">
        <v>7.1028</v>
      </c>
    </row>
    <row r="1030" spans="12:13">
      <c r="L1030" s="24">
        <v>45289</v>
      </c>
      <c r="M1030" s="19">
        <v>7.1049</v>
      </c>
    </row>
    <row r="1031" spans="12:13">
      <c r="L1031" s="24">
        <v>45293</v>
      </c>
      <c r="M1031" s="19">
        <v>7.1435</v>
      </c>
    </row>
    <row r="1032" spans="12:13">
      <c r="L1032" s="24">
        <v>45294</v>
      </c>
      <c r="M1032" s="19">
        <v>7.1487</v>
      </c>
    </row>
    <row r="1033" spans="12:13">
      <c r="L1033" s="24">
        <v>45295</v>
      </c>
      <c r="M1033" s="19">
        <v>7.1515</v>
      </c>
    </row>
    <row r="1034" spans="12:13">
      <c r="L1034" s="24">
        <v>45296</v>
      </c>
      <c r="M1034" s="19">
        <v>7.1541</v>
      </c>
    </row>
    <row r="1035" spans="12:13">
      <c r="L1035" s="24">
        <v>45299</v>
      </c>
      <c r="M1035" s="19">
        <v>7.1622</v>
      </c>
    </row>
    <row r="1036" spans="12:13">
      <c r="L1036" s="24">
        <v>45300</v>
      </c>
      <c r="M1036" s="19">
        <v>7.1646</v>
      </c>
    </row>
    <row r="1037" spans="12:13">
      <c r="L1037" s="24">
        <v>45301</v>
      </c>
      <c r="M1037" s="19">
        <v>7.1694</v>
      </c>
    </row>
    <row r="1038" spans="12:13">
      <c r="L1038" s="24">
        <v>45302</v>
      </c>
      <c r="M1038" s="19">
        <v>7.1584</v>
      </c>
    </row>
    <row r="1039" spans="12:13">
      <c r="L1039" s="24">
        <v>45303</v>
      </c>
      <c r="M1039" s="19">
        <v>7.1697</v>
      </c>
    </row>
    <row r="1040" spans="12:13">
      <c r="L1040" s="24">
        <v>45306</v>
      </c>
      <c r="M1040" s="19">
        <v>7.1749</v>
      </c>
    </row>
    <row r="1041" spans="12:13">
      <c r="L1041" s="24">
        <v>45307</v>
      </c>
      <c r="M1041" s="19">
        <v>7.1896</v>
      </c>
    </row>
    <row r="1042" spans="12:13">
      <c r="L1042" s="24">
        <v>45308</v>
      </c>
      <c r="M1042" s="19">
        <v>7.1952</v>
      </c>
    </row>
    <row r="1043" spans="12:13">
      <c r="L1043" s="24">
        <v>45309</v>
      </c>
      <c r="M1043" s="19">
        <v>7.1937</v>
      </c>
    </row>
    <row r="1044" spans="12:13">
      <c r="L1044" s="24">
        <v>45310</v>
      </c>
      <c r="M1044" s="19">
        <v>7.1912</v>
      </c>
    </row>
    <row r="1045" spans="12:13">
      <c r="L1045" s="24">
        <v>45313</v>
      </c>
      <c r="M1045" s="19">
        <v>7.1946</v>
      </c>
    </row>
    <row r="1046" spans="12:13">
      <c r="L1046" s="24">
        <v>45314</v>
      </c>
      <c r="M1046" s="19">
        <v>7.1701</v>
      </c>
    </row>
    <row r="1047" spans="12:13">
      <c r="L1047" s="24">
        <v>45315</v>
      </c>
      <c r="M1047" s="19">
        <v>7.1523</v>
      </c>
    </row>
    <row r="1048" spans="12:13">
      <c r="L1048" s="24">
        <v>45316</v>
      </c>
      <c r="M1048" s="19">
        <v>7.1691</v>
      </c>
    </row>
    <row r="1049" spans="12:13">
      <c r="L1049" s="24">
        <v>45317</v>
      </c>
      <c r="M1049" s="19">
        <v>7.1745</v>
      </c>
    </row>
    <row r="1050" spans="12:13">
      <c r="L1050" s="24">
        <v>45320</v>
      </c>
      <c r="M1050" s="19">
        <v>7.1793</v>
      </c>
    </row>
    <row r="1051" spans="12:13">
      <c r="L1051" s="24">
        <v>45321</v>
      </c>
      <c r="M1051" s="19">
        <v>7.1792</v>
      </c>
    </row>
    <row r="1052" spans="12:13">
      <c r="L1052" s="24">
        <v>45322</v>
      </c>
      <c r="M1052" s="19">
        <v>7.1781</v>
      </c>
    </row>
    <row r="1053" spans="12:13">
      <c r="L1053" s="24">
        <v>45323</v>
      </c>
      <c r="M1053" s="19">
        <v>7.1822</v>
      </c>
    </row>
    <row r="1054" spans="12:13">
      <c r="L1054" s="24">
        <v>45324</v>
      </c>
      <c r="M1054" s="19">
        <v>7.1773</v>
      </c>
    </row>
    <row r="1055" spans="12:13">
      <c r="L1055" s="24">
        <v>45327</v>
      </c>
      <c r="M1055" s="19">
        <v>7.198</v>
      </c>
    </row>
    <row r="1056" spans="12:13">
      <c r="L1056" s="24">
        <v>45328</v>
      </c>
      <c r="M1056" s="19">
        <v>7.189</v>
      </c>
    </row>
    <row r="1057" spans="12:13">
      <c r="L1057" s="24">
        <v>45329</v>
      </c>
      <c r="M1057" s="19">
        <v>7.1946</v>
      </c>
    </row>
    <row r="1058" spans="12:13">
      <c r="L1058" s="24">
        <v>45330</v>
      </c>
      <c r="M1058" s="19">
        <v>7.1965</v>
      </c>
    </row>
    <row r="1059" spans="12:13">
      <c r="L1059" s="24">
        <v>45331</v>
      </c>
      <c r="M1059" s="19">
        <v>7.1936</v>
      </c>
    </row>
    <row r="1060" spans="12:13">
      <c r="L1060" s="24">
        <v>45334</v>
      </c>
      <c r="M1060" s="19">
        <v>7.1936</v>
      </c>
    </row>
    <row r="1061" spans="12:13">
      <c r="L1061" s="24">
        <v>45335</v>
      </c>
      <c r="M1061" s="19">
        <v>7.1936</v>
      </c>
    </row>
    <row r="1062" spans="12:13">
      <c r="L1062" s="24">
        <v>45336</v>
      </c>
      <c r="M1062" s="19">
        <v>7.1936</v>
      </c>
    </row>
    <row r="1063" spans="12:13">
      <c r="L1063" s="24">
        <v>45337</v>
      </c>
      <c r="M1063" s="19">
        <v>7.1943</v>
      </c>
    </row>
    <row r="1064" spans="12:13">
      <c r="L1064" s="24">
        <v>45338</v>
      </c>
      <c r="M1064" s="19">
        <v>7.1936</v>
      </c>
    </row>
    <row r="1065" spans="12:13">
      <c r="L1065" s="24">
        <v>45341</v>
      </c>
      <c r="M1065" s="19">
        <v>7.1984</v>
      </c>
    </row>
    <row r="1066" spans="12:13">
      <c r="L1066" s="24">
        <v>45342</v>
      </c>
      <c r="M1066" s="19">
        <v>7.1948</v>
      </c>
    </row>
    <row r="1067" spans="12:13">
      <c r="L1067" s="24">
        <v>45343</v>
      </c>
      <c r="M1067" s="19">
        <v>7.1912</v>
      </c>
    </row>
    <row r="1068" spans="12:13">
      <c r="L1068" s="24">
        <v>45344</v>
      </c>
      <c r="M1068" s="19">
        <v>7.1918</v>
      </c>
    </row>
    <row r="1069" spans="12:13">
      <c r="L1069" s="24">
        <v>45345</v>
      </c>
      <c r="M1069" s="19">
        <v>7.197</v>
      </c>
    </row>
    <row r="1070" spans="12:13">
      <c r="L1070" s="24">
        <v>45348</v>
      </c>
      <c r="M1070" s="19">
        <v>7.1968</v>
      </c>
    </row>
    <row r="1071" spans="12:13">
      <c r="L1071" s="24">
        <v>45349</v>
      </c>
      <c r="M1071" s="19">
        <v>7.1979</v>
      </c>
    </row>
    <row r="1072" spans="12:13">
      <c r="L1072" s="24">
        <v>45350</v>
      </c>
      <c r="M1072" s="19">
        <v>7.199</v>
      </c>
    </row>
    <row r="1073" spans="12:13">
      <c r="L1073" s="24">
        <v>45351</v>
      </c>
      <c r="M1073" s="19">
        <v>7.1945</v>
      </c>
    </row>
    <row r="1074" spans="12:13">
      <c r="L1074" s="24">
        <v>45352</v>
      </c>
      <c r="M1074" s="19">
        <v>7.1985</v>
      </c>
    </row>
    <row r="1075" spans="12:13">
      <c r="L1075" s="24">
        <v>45355</v>
      </c>
      <c r="M1075" s="19">
        <v>7.1993</v>
      </c>
    </row>
    <row r="1076" spans="12:13">
      <c r="L1076" s="24">
        <v>45356</v>
      </c>
      <c r="M1076" s="19">
        <v>7.1992</v>
      </c>
    </row>
    <row r="1077" spans="12:13">
      <c r="L1077" s="24">
        <v>45357</v>
      </c>
      <c r="M1077" s="19">
        <v>7.1989</v>
      </c>
    </row>
    <row r="1078" spans="12:13">
      <c r="L1078" s="24">
        <v>45358</v>
      </c>
      <c r="M1078" s="19">
        <v>7.1971</v>
      </c>
    </row>
    <row r="1079" spans="12:13">
      <c r="L1079" s="24">
        <v>45359</v>
      </c>
      <c r="M1079" s="19">
        <v>7.1894</v>
      </c>
    </row>
    <row r="1080" spans="12:13">
      <c r="L1080" s="24">
        <v>45362</v>
      </c>
      <c r="M1080" s="19">
        <v>7.182</v>
      </c>
    </row>
    <row r="1081" spans="12:13">
      <c r="L1081" s="24">
        <v>45363</v>
      </c>
      <c r="M1081" s="19">
        <v>7.1775</v>
      </c>
    </row>
    <row r="1082" spans="12:13">
      <c r="L1082" s="24">
        <v>45364</v>
      </c>
      <c r="M1082" s="19">
        <v>7.1924</v>
      </c>
    </row>
    <row r="1083" spans="12:13">
      <c r="L1083" s="24">
        <v>45365</v>
      </c>
      <c r="M1083" s="19">
        <v>7.1912</v>
      </c>
    </row>
    <row r="1084" spans="12:13">
      <c r="L1084" s="24">
        <v>45366</v>
      </c>
      <c r="M1084" s="19">
        <v>7.1961</v>
      </c>
    </row>
    <row r="1085" spans="12:13">
      <c r="L1085" s="24">
        <v>45369</v>
      </c>
      <c r="M1085" s="19">
        <v>7.1981</v>
      </c>
    </row>
    <row r="1086" spans="12:13">
      <c r="L1086" s="24">
        <v>45370</v>
      </c>
      <c r="M1086" s="19">
        <v>7.1992</v>
      </c>
    </row>
    <row r="1087" spans="12:13">
      <c r="L1087" s="24">
        <v>45371</v>
      </c>
      <c r="M1087" s="19">
        <v>7.1983</v>
      </c>
    </row>
    <row r="1088" spans="12:13">
      <c r="L1088" s="24">
        <v>45372</v>
      </c>
      <c r="M1088" s="19">
        <v>7.199</v>
      </c>
    </row>
    <row r="1089" spans="12:13">
      <c r="L1089" s="24">
        <v>45373</v>
      </c>
      <c r="M1089" s="19">
        <v>7.2295</v>
      </c>
    </row>
    <row r="1090" spans="12:13">
      <c r="L1090" s="24">
        <v>45376</v>
      </c>
      <c r="M1090" s="19">
        <v>7.2113</v>
      </c>
    </row>
    <row r="1091" spans="12:13">
      <c r="L1091" s="24">
        <v>45377</v>
      </c>
      <c r="M1091" s="19">
        <v>7.2186</v>
      </c>
    </row>
    <row r="1092" spans="12:13">
      <c r="L1092" s="24">
        <v>45378</v>
      </c>
      <c r="M1092" s="19">
        <v>7.2284</v>
      </c>
    </row>
    <row r="1093" spans="12:13">
      <c r="L1093" s="24">
        <v>45379</v>
      </c>
      <c r="M1093" s="19">
        <v>7.2282</v>
      </c>
    </row>
    <row r="1094" spans="12:13">
      <c r="L1094" s="24">
        <v>45384</v>
      </c>
      <c r="M1094" s="19">
        <v>7.2359</v>
      </c>
    </row>
    <row r="1095" spans="12:13">
      <c r="L1095" s="24">
        <v>45385</v>
      </c>
      <c r="M1095" s="19">
        <v>7.2357</v>
      </c>
    </row>
    <row r="1096" spans="12:13">
      <c r="L1096" s="24">
        <v>45386</v>
      </c>
      <c r="M1096" s="19">
        <v>7.2338</v>
      </c>
    </row>
    <row r="1097" spans="12:13">
      <c r="L1097" s="24">
        <v>45387</v>
      </c>
      <c r="M1097" s="19">
        <v>7.2337</v>
      </c>
    </row>
    <row r="1098" spans="12:13">
      <c r="L1098" s="24">
        <v>45390</v>
      </c>
      <c r="M1098" s="19">
        <v>7.2329</v>
      </c>
    </row>
    <row r="1099" spans="12:13">
      <c r="L1099" s="24">
        <v>45391</v>
      </c>
      <c r="M1099" s="19">
        <v>7.2332</v>
      </c>
    </row>
    <row r="1100" spans="12:13">
      <c r="L1100" s="24">
        <v>45392</v>
      </c>
      <c r="M1100" s="19">
        <v>7.2328</v>
      </c>
    </row>
    <row r="1101" spans="12:13">
      <c r="L1101" s="24">
        <v>45393</v>
      </c>
      <c r="M1101" s="19">
        <v>7.237</v>
      </c>
    </row>
    <row r="1102" spans="12:13">
      <c r="L1102" s="24">
        <v>45394</v>
      </c>
      <c r="M1102" s="19">
        <v>7.2375</v>
      </c>
    </row>
    <row r="1103" spans="12:13">
      <c r="L1103" s="24">
        <v>45397</v>
      </c>
      <c r="M1103" s="19">
        <v>7.2386</v>
      </c>
    </row>
    <row r="1104" spans="12:13">
      <c r="L1104" s="24">
        <v>45398</v>
      </c>
      <c r="M1104" s="19">
        <v>7.2384</v>
      </c>
    </row>
    <row r="1105" spans="12:13">
      <c r="L1105" s="24">
        <v>45399</v>
      </c>
      <c r="M1105" s="19">
        <v>7.2388</v>
      </c>
    </row>
    <row r="1106" spans="12:13">
      <c r="L1106" s="24">
        <v>45400</v>
      </c>
      <c r="M1106" s="19">
        <v>7.2379</v>
      </c>
    </row>
    <row r="1107" spans="12:13">
      <c r="L1107" s="24">
        <v>45401</v>
      </c>
      <c r="M1107" s="19">
        <v>7.2411</v>
      </c>
    </row>
    <row r="1108" spans="12:13">
      <c r="L1108" s="24">
        <v>45404</v>
      </c>
      <c r="M1108" s="19">
        <v>7.2434</v>
      </c>
    </row>
    <row r="1109" spans="12:13">
      <c r="L1109" s="24">
        <v>45405</v>
      </c>
      <c r="M1109" s="19">
        <v>7.2469</v>
      </c>
    </row>
    <row r="1110" spans="12:13">
      <c r="L1110" s="24">
        <v>45406</v>
      </c>
      <c r="M1110" s="19">
        <v>7.246</v>
      </c>
    </row>
    <row r="1111" spans="12:13">
      <c r="L1111" s="24">
        <v>45407</v>
      </c>
      <c r="M1111" s="19">
        <v>7.2465</v>
      </c>
    </row>
    <row r="1112" spans="12:13">
      <c r="L1112" s="24">
        <v>45408</v>
      </c>
      <c r="M1112" s="19">
        <v>7.2464</v>
      </c>
    </row>
    <row r="1113" spans="12:13">
      <c r="L1113" s="24">
        <v>45411</v>
      </c>
      <c r="M1113" s="19">
        <v>7.2413</v>
      </c>
    </row>
    <row r="1114" spans="12:13">
      <c r="L1114" s="24">
        <v>45412</v>
      </c>
      <c r="M1114" s="19">
        <v>7.241</v>
      </c>
    </row>
    <row r="1115" spans="12:13">
      <c r="L1115" s="24">
        <v>45414</v>
      </c>
      <c r="M1115" s="19">
        <v>7.2411</v>
      </c>
    </row>
    <row r="1116" spans="12:13">
      <c r="L1116" s="24">
        <v>45415</v>
      </c>
      <c r="M1116" s="19">
        <v>7.2411</v>
      </c>
    </row>
    <row r="1117" spans="12:13">
      <c r="L1117" s="24">
        <v>45418</v>
      </c>
      <c r="M1117" s="19">
        <v>7.2069</v>
      </c>
    </row>
    <row r="1118" spans="12:13">
      <c r="L1118" s="24">
        <v>45419</v>
      </c>
      <c r="M1118" s="19">
        <v>7.2178</v>
      </c>
    </row>
    <row r="1119" spans="12:13">
      <c r="L1119" s="24">
        <v>45420</v>
      </c>
      <c r="M1119" s="19">
        <v>7.2281</v>
      </c>
    </row>
    <row r="1120" spans="12:13">
      <c r="L1120" s="24">
        <v>45421</v>
      </c>
      <c r="M1120" s="19">
        <v>7.2264</v>
      </c>
    </row>
    <row r="1121" spans="12:13">
      <c r="L1121" s="24">
        <v>45422</v>
      </c>
      <c r="M1121" s="19">
        <v>7.2249</v>
      </c>
    </row>
    <row r="1122" spans="12:13">
      <c r="L1122" s="24">
        <v>45425</v>
      </c>
      <c r="M1122" s="19">
        <v>7.2344</v>
      </c>
    </row>
    <row r="1123" spans="12:13">
      <c r="L1123" s="24">
        <v>45426</v>
      </c>
      <c r="M1123" s="19">
        <v>7.2344</v>
      </c>
    </row>
    <row r="1124" spans="12:13">
      <c r="L1124" s="24">
        <v>45427</v>
      </c>
      <c r="M1124" s="19">
        <v>7.2205</v>
      </c>
    </row>
    <row r="1125" spans="12:13">
      <c r="L1125" s="24">
        <v>45428</v>
      </c>
      <c r="M1125" s="19">
        <v>7.2179</v>
      </c>
    </row>
    <row r="1126" spans="12:13">
      <c r="L1126" s="24">
        <v>45429</v>
      </c>
      <c r="M1126" s="19">
        <v>7.227</v>
      </c>
    </row>
    <row r="1127" spans="12:13">
      <c r="L1127" s="24">
        <v>45432</v>
      </c>
      <c r="M1127" s="19">
        <v>7.2332</v>
      </c>
    </row>
    <row r="1128" spans="12:13">
      <c r="L1128" s="24">
        <v>45433</v>
      </c>
      <c r="M1128" s="19">
        <v>7.2358</v>
      </c>
    </row>
    <row r="1129" spans="12:13">
      <c r="L1129" s="24">
        <v>45434</v>
      </c>
      <c r="M1129" s="19">
        <v>7.2404</v>
      </c>
    </row>
    <row r="1130" spans="12:13">
      <c r="L1130" s="24">
        <v>45435</v>
      </c>
      <c r="M1130" s="19">
        <v>7.2395</v>
      </c>
    </row>
    <row r="1131" spans="12:13">
      <c r="L1131" s="24">
        <v>45436</v>
      </c>
      <c r="M1131" s="19">
        <v>7.2437</v>
      </c>
    </row>
    <row r="1132" spans="12:13">
      <c r="L1132" s="24">
        <v>45439</v>
      </c>
      <c r="M1132" s="19">
        <v>7.2438</v>
      </c>
    </row>
    <row r="1133" spans="12:13">
      <c r="L1133" s="24">
        <v>45440</v>
      </c>
      <c r="M1133" s="19">
        <v>7.2452</v>
      </c>
    </row>
    <row r="1134" spans="12:13">
      <c r="L1134" s="24">
        <v>45441</v>
      </c>
      <c r="M1134" s="19">
        <v>7.2493</v>
      </c>
    </row>
    <row r="1135" spans="12:13">
      <c r="L1135" s="24">
        <v>45442</v>
      </c>
      <c r="M1135" s="19">
        <v>7.2363</v>
      </c>
    </row>
    <row r="1136" spans="12:13">
      <c r="L1136" s="24">
        <v>45443</v>
      </c>
      <c r="M1136" s="19">
        <v>7.2408</v>
      </c>
    </row>
    <row r="1137" spans="12:13">
      <c r="L1137" s="24">
        <v>45446</v>
      </c>
      <c r="M1137" s="19">
        <v>7.2461</v>
      </c>
    </row>
    <row r="1138" spans="12:13">
      <c r="L1138" s="24">
        <v>45447</v>
      </c>
      <c r="M1138" s="19">
        <v>7.237</v>
      </c>
    </row>
    <row r="1139" spans="12:13">
      <c r="L1139" s="24">
        <v>45448</v>
      </c>
      <c r="M1139" s="19">
        <v>7.2475</v>
      </c>
    </row>
    <row r="1140" spans="12:13">
      <c r="L1140" s="24">
        <v>45449</v>
      </c>
      <c r="M1140" s="19">
        <v>7.2448</v>
      </c>
    </row>
    <row r="1141" spans="12:13">
      <c r="L1141" s="24">
        <v>45450</v>
      </c>
      <c r="M1141" s="19">
        <v>7.2413</v>
      </c>
    </row>
    <row r="1142" spans="12:13">
      <c r="L1142" s="24">
        <v>45453</v>
      </c>
      <c r="M1142" s="19">
        <v>7.2478</v>
      </c>
    </row>
    <row r="1143" spans="12:13">
      <c r="L1143" s="24">
        <v>45454</v>
      </c>
      <c r="M1143" s="19">
        <v>7.2543</v>
      </c>
    </row>
    <row r="1144" spans="12:13">
      <c r="L1144" s="24">
        <v>45455</v>
      </c>
      <c r="M1144" s="19">
        <v>7.2537</v>
      </c>
    </row>
    <row r="1145" spans="12:13">
      <c r="L1145" s="24">
        <v>45456</v>
      </c>
      <c r="M1145" s="19">
        <v>7.2525</v>
      </c>
    </row>
    <row r="1146" spans="12:13">
      <c r="L1146" s="24">
        <v>45457</v>
      </c>
      <c r="M1146" s="19">
        <v>7.2552</v>
      </c>
    </row>
    <row r="1147" spans="12:13">
      <c r="L1147" s="24">
        <v>45460</v>
      </c>
      <c r="M1147" s="19">
        <v>7.2562</v>
      </c>
    </row>
    <row r="1148" spans="12:13">
      <c r="L1148" s="24">
        <v>45461</v>
      </c>
      <c r="M1148" s="19">
        <v>7.256</v>
      </c>
    </row>
    <row r="1149" spans="12:13">
      <c r="L1149" s="24">
        <v>45462</v>
      </c>
      <c r="M1149" s="19">
        <v>7.257</v>
      </c>
    </row>
    <row r="1150" spans="12:13">
      <c r="L1150" s="24">
        <v>45463</v>
      </c>
      <c r="M1150" s="19">
        <v>7.2605</v>
      </c>
    </row>
    <row r="1151" spans="12:13">
      <c r="L1151" s="24">
        <v>45464</v>
      </c>
      <c r="M1151" s="19">
        <v>7.2607</v>
      </c>
    </row>
    <row r="1152" spans="12:13">
      <c r="L1152" s="24">
        <v>45467</v>
      </c>
      <c r="M1152" s="19">
        <v>7.2592</v>
      </c>
    </row>
    <row r="1153" spans="12:13">
      <c r="L1153" s="24">
        <v>45468</v>
      </c>
      <c r="M1153" s="19">
        <v>7.2626</v>
      </c>
    </row>
    <row r="1154" spans="12:13">
      <c r="L1154" s="24">
        <v>45469</v>
      </c>
      <c r="M1154" s="19">
        <v>7.2666</v>
      </c>
    </row>
    <row r="1155" spans="12:13">
      <c r="L1155" s="24">
        <v>45470</v>
      </c>
      <c r="M1155" s="19">
        <v>7.2686</v>
      </c>
    </row>
    <row r="1156" spans="12:13">
      <c r="L1156" s="24">
        <v>45471</v>
      </c>
      <c r="M1156" s="19">
        <v>7.2628</v>
      </c>
    </row>
    <row r="1157" spans="12:13">
      <c r="L1157" s="24">
        <v>45474</v>
      </c>
      <c r="M1157" s="19">
        <v>7.2682</v>
      </c>
    </row>
    <row r="1158" spans="12:13">
      <c r="L1158" s="24">
        <v>45475</v>
      </c>
      <c r="M1158" s="19">
        <v>7.2713</v>
      </c>
    </row>
    <row r="1159" spans="12:13">
      <c r="L1159" s="24">
        <v>45476</v>
      </c>
      <c r="M1159" s="19">
        <v>7.2734</v>
      </c>
    </row>
    <row r="1160" spans="12:13">
      <c r="L1160" s="24">
        <v>45477</v>
      </c>
      <c r="M1160" s="19">
        <v>7.2699</v>
      </c>
    </row>
    <row r="1161" spans="12:13">
      <c r="L1161" s="24">
        <v>45478</v>
      </c>
      <c r="M1161" s="19">
        <v>7.2667</v>
      </c>
    </row>
    <row r="1162" spans="12:13">
      <c r="L1162" s="24">
        <v>45481</v>
      </c>
      <c r="M1162" s="19">
        <v>7.2696</v>
      </c>
    </row>
    <row r="1163" spans="12:13">
      <c r="L1163" s="24">
        <v>45482</v>
      </c>
      <c r="M1163" s="19">
        <v>7.272</v>
      </c>
    </row>
    <row r="1164" spans="12:13">
      <c r="L1164" s="24">
        <v>45483</v>
      </c>
      <c r="M1164" s="19">
        <v>7.276</v>
      </c>
    </row>
    <row r="1165" spans="12:13">
      <c r="L1165" s="24">
        <v>45484</v>
      </c>
      <c r="M1165" s="19">
        <v>7.265</v>
      </c>
    </row>
    <row r="1166" spans="12:13">
      <c r="L1166" s="24">
        <v>45485</v>
      </c>
      <c r="M1166" s="19">
        <v>7.2529</v>
      </c>
    </row>
    <row r="1167" spans="12:13">
      <c r="L1167" s="24">
        <v>45488</v>
      </c>
      <c r="M1167" s="19">
        <v>7.2619</v>
      </c>
    </row>
    <row r="1168" spans="12:13">
      <c r="L1168" s="24">
        <v>45489</v>
      </c>
      <c r="M1168" s="19">
        <v>7.2668</v>
      </c>
    </row>
    <row r="1169" spans="12:13">
      <c r="L1169" s="24">
        <v>45490</v>
      </c>
      <c r="M1169" s="19">
        <v>7.2592</v>
      </c>
    </row>
    <row r="1170" spans="12:13">
      <c r="L1170" s="24">
        <v>45491</v>
      </c>
      <c r="M1170" s="19">
        <v>7.2577</v>
      </c>
    </row>
    <row r="1171" spans="12:13">
      <c r="L1171" s="24">
        <v>45492</v>
      </c>
      <c r="M1171" s="19">
        <v>7.2695</v>
      </c>
    </row>
    <row r="1172" spans="12:13">
      <c r="L1172" s="24">
        <v>45495</v>
      </c>
      <c r="M1172" s="19">
        <v>7.2732</v>
      </c>
    </row>
    <row r="1173" spans="12:13">
      <c r="L1173" s="24">
        <v>45496</v>
      </c>
      <c r="M1173" s="19">
        <v>7.2747</v>
      </c>
    </row>
    <row r="1174" spans="12:13">
      <c r="L1174" s="24">
        <v>45497</v>
      </c>
      <c r="M1174" s="19">
        <v>7.2764</v>
      </c>
    </row>
    <row r="1175" spans="12:13">
      <c r="L1175" s="24">
        <v>45498</v>
      </c>
      <c r="M1175" s="19">
        <v>7.2188</v>
      </c>
    </row>
    <row r="1176" spans="12:13">
      <c r="L1176" s="24">
        <v>45499</v>
      </c>
      <c r="M1176" s="19">
        <v>7.2514</v>
      </c>
    </row>
    <row r="1177" spans="12:13">
      <c r="L1177" s="24">
        <v>45502</v>
      </c>
      <c r="M1177" s="19">
        <v>7.2588</v>
      </c>
    </row>
    <row r="1178" spans="12:13">
      <c r="L1178" s="24">
        <v>45503</v>
      </c>
      <c r="M1178" s="19">
        <v>7.2514</v>
      </c>
    </row>
    <row r="1179" spans="12:13">
      <c r="L1179" s="24">
        <v>45504</v>
      </c>
      <c r="M1179" s="19">
        <v>7.2215</v>
      </c>
    </row>
    <row r="1180" spans="12:13">
      <c r="L1180" s="24">
        <v>45505</v>
      </c>
      <c r="M1180" s="19">
        <v>7.2484</v>
      </c>
    </row>
    <row r="1181" spans="12:13">
      <c r="L1181" s="24">
        <v>45506</v>
      </c>
      <c r="M1181" s="19">
        <v>7.2058</v>
      </c>
    </row>
    <row r="1182" spans="12:13">
      <c r="L1182" s="24">
        <v>45509</v>
      </c>
      <c r="M1182" s="19">
        <v>7.1171</v>
      </c>
    </row>
    <row r="1183" spans="12:13">
      <c r="L1183" s="24">
        <v>45510</v>
      </c>
      <c r="M1183" s="19">
        <v>7.1526</v>
      </c>
    </row>
    <row r="1184" spans="12:13">
      <c r="L1184" s="24">
        <v>45511</v>
      </c>
      <c r="M1184" s="19">
        <v>7.1805</v>
      </c>
    </row>
    <row r="1185" spans="12:13">
      <c r="L1185" s="24">
        <v>45512</v>
      </c>
      <c r="M1185" s="19">
        <v>7.1723</v>
      </c>
    </row>
    <row r="1186" spans="12:13">
      <c r="L1186" s="24">
        <v>45513</v>
      </c>
      <c r="M1186" s="19">
        <v>7.1705</v>
      </c>
    </row>
    <row r="1187" spans="12:13">
      <c r="L1187" s="24">
        <v>45516</v>
      </c>
      <c r="M1187" s="19">
        <v>7.1798</v>
      </c>
    </row>
    <row r="1188" spans="12:13">
      <c r="L1188" s="24">
        <v>45517</v>
      </c>
      <c r="M1188" s="19">
        <v>7.1632</v>
      </c>
    </row>
    <row r="1189" spans="12:13">
      <c r="L1189" s="24">
        <v>45518</v>
      </c>
      <c r="M1189" s="19">
        <v>7.1356</v>
      </c>
    </row>
    <row r="1190" spans="12:13">
      <c r="L1190" s="24">
        <v>45519</v>
      </c>
      <c r="M1190" s="19">
        <v>7.1579</v>
      </c>
    </row>
    <row r="1191" spans="12:13">
      <c r="L1191" s="24">
        <v>45520</v>
      </c>
      <c r="M1191" s="19">
        <v>7.1637</v>
      </c>
    </row>
    <row r="1192" spans="12:13">
      <c r="L1192" s="24">
        <v>45523</v>
      </c>
      <c r="M1192" s="19">
        <v>7.1414</v>
      </c>
    </row>
    <row r="1193" spans="12:13">
      <c r="L1193" s="24">
        <v>45524</v>
      </c>
      <c r="M1193" s="19">
        <v>7.1447</v>
      </c>
    </row>
    <row r="1194" spans="12:13">
      <c r="L1194" s="24">
        <v>45525</v>
      </c>
      <c r="M1194" s="19">
        <v>7.1344</v>
      </c>
    </row>
    <row r="1195" spans="12:13">
      <c r="L1195" s="24">
        <v>45526</v>
      </c>
      <c r="M1195" s="19">
        <v>7.1388</v>
      </c>
    </row>
    <row r="1196" spans="12:13">
      <c r="L1196" s="24">
        <v>45527</v>
      </c>
      <c r="M1196" s="19">
        <v>7.1364</v>
      </c>
    </row>
    <row r="1197" spans="12:13">
      <c r="L1197" s="24">
        <v>45530</v>
      </c>
      <c r="M1197" s="19">
        <v>7.1228</v>
      </c>
    </row>
    <row r="1198" spans="12:13">
      <c r="L1198" s="24">
        <v>45531</v>
      </c>
      <c r="M1198" s="19">
        <v>7.1266</v>
      </c>
    </row>
    <row r="1199" spans="12:13">
      <c r="L1199" s="24">
        <v>45532</v>
      </c>
      <c r="M1199" s="19">
        <v>7.129</v>
      </c>
    </row>
    <row r="1200" spans="12:13">
      <c r="L1200" s="24">
        <v>45533</v>
      </c>
      <c r="M1200" s="19">
        <v>7.0935</v>
      </c>
    </row>
    <row r="1201" spans="12:13">
      <c r="L1201" s="24">
        <v>45534</v>
      </c>
      <c r="M1201" s="19">
        <v>7.088</v>
      </c>
    </row>
    <row r="1202" spans="12:13">
      <c r="L1202" s="24">
        <v>45537</v>
      </c>
      <c r="M1202" s="19">
        <v>7.113</v>
      </c>
    </row>
    <row r="1203" spans="12:13">
      <c r="L1203" s="24">
        <v>45538</v>
      </c>
      <c r="M1203" s="19">
        <v>7.1241</v>
      </c>
    </row>
    <row r="1204" spans="12:13">
      <c r="L1204" s="24">
        <v>45539</v>
      </c>
      <c r="M1204" s="19">
        <v>7.1175</v>
      </c>
    </row>
    <row r="1205" spans="12:13">
      <c r="L1205" s="24">
        <v>45540</v>
      </c>
      <c r="M1205" s="19">
        <v>7.0955</v>
      </c>
    </row>
    <row r="1206" spans="12:13">
      <c r="L1206" s="24">
        <v>45541</v>
      </c>
      <c r="M1206" s="19">
        <v>7.0837</v>
      </c>
    </row>
    <row r="1207" spans="12:13">
      <c r="L1207" s="24">
        <v>45544</v>
      </c>
      <c r="M1207" s="19">
        <v>7.1166</v>
      </c>
    </row>
    <row r="1208" spans="12:13">
      <c r="L1208" s="24">
        <v>45545</v>
      </c>
      <c r="M1208" s="19">
        <v>7.119</v>
      </c>
    </row>
    <row r="1209" spans="12:13">
      <c r="L1209" s="24">
        <v>45546</v>
      </c>
      <c r="M1209" s="19">
        <v>7.1117</v>
      </c>
    </row>
    <row r="1210" spans="12:13">
      <c r="L1210" s="24">
        <v>45547</v>
      </c>
      <c r="M1210" s="19">
        <v>7.1206</v>
      </c>
    </row>
    <row r="1211" spans="12:13">
      <c r="L1211" s="24">
        <v>45548</v>
      </c>
      <c r="M1211" s="19">
        <v>7.0963</v>
      </c>
    </row>
    <row r="1212" spans="12:13">
      <c r="L1212" s="24">
        <v>45551</v>
      </c>
      <c r="M1212" s="19">
        <v>7.0963</v>
      </c>
    </row>
    <row r="1213" spans="12:13">
      <c r="L1213" s="24">
        <v>45552</v>
      </c>
      <c r="M1213" s="19">
        <v>7.0963</v>
      </c>
    </row>
    <row r="1214" spans="12:13">
      <c r="L1214" s="24">
        <v>45553</v>
      </c>
      <c r="M1214" s="19">
        <v>7.0835</v>
      </c>
    </row>
    <row r="1215" spans="12:13">
      <c r="L1215" s="24">
        <v>45554</v>
      </c>
      <c r="M1215" s="19">
        <v>7.0659</v>
      </c>
    </row>
    <row r="1216" spans="12:13">
      <c r="L1216" s="24">
        <v>45555</v>
      </c>
      <c r="M1216" s="19">
        <v>7.055</v>
      </c>
    </row>
    <row r="1217" spans="12:13">
      <c r="L1217" s="24">
        <v>45558</v>
      </c>
      <c r="M1217" s="19">
        <v>7.0544</v>
      </c>
    </row>
    <row r="1218" spans="12:13">
      <c r="L1218" s="24">
        <v>45559</v>
      </c>
      <c r="M1218" s="19">
        <v>7.0322</v>
      </c>
    </row>
    <row r="1219" spans="12:13">
      <c r="L1219" s="24">
        <v>45560</v>
      </c>
      <c r="M1219" s="19">
        <v>7.0298</v>
      </c>
    </row>
    <row r="1220" spans="12:13">
      <c r="L1220" s="24">
        <v>45561</v>
      </c>
      <c r="M1220" s="19">
        <v>7.0115</v>
      </c>
    </row>
    <row r="1221" spans="12:13">
      <c r="L1221" s="24">
        <v>45562</v>
      </c>
      <c r="M1221" s="19">
        <v>7.0111</v>
      </c>
    </row>
    <row r="1222" spans="12:13">
      <c r="L1222" s="24">
        <v>45565</v>
      </c>
      <c r="M1222" s="19">
        <v>7.0124</v>
      </c>
    </row>
    <row r="1223" spans="12:13">
      <c r="L1223" s="24">
        <v>45566</v>
      </c>
      <c r="M1223" s="19">
        <v>7.0185</v>
      </c>
    </row>
    <row r="1224" spans="12:13">
      <c r="L1224" s="24">
        <v>45567</v>
      </c>
      <c r="M1224" s="19">
        <v>7.0185</v>
      </c>
    </row>
    <row r="1225" spans="12:13">
      <c r="L1225" s="24">
        <v>45568</v>
      </c>
      <c r="M1225" s="19">
        <v>7.0185</v>
      </c>
    </row>
    <row r="1226" spans="12:13">
      <c r="L1226" s="24">
        <v>45569</v>
      </c>
      <c r="M1226" s="19">
        <v>7.0185</v>
      </c>
    </row>
    <row r="1227" spans="12:13">
      <c r="L1227" s="24">
        <v>45572</v>
      </c>
      <c r="M1227" s="19">
        <v>7.0185</v>
      </c>
    </row>
    <row r="1228" spans="12:13">
      <c r="L1228" s="24">
        <v>45573</v>
      </c>
      <c r="M1228" s="19">
        <v>7.0524</v>
      </c>
    </row>
    <row r="1229" spans="12:13">
      <c r="L1229" s="24">
        <v>45574</v>
      </c>
      <c r="M1229" s="19">
        <v>7.0672</v>
      </c>
    </row>
    <row r="1230" spans="12:13">
      <c r="L1230" s="24">
        <v>45575</v>
      </c>
      <c r="M1230" s="19">
        <v>7.0779</v>
      </c>
    </row>
    <row r="1231" spans="12:13">
      <c r="L1231" s="24">
        <v>45576</v>
      </c>
      <c r="M1231" s="19">
        <v>7.0655</v>
      </c>
    </row>
    <row r="1232" spans="12:13">
      <c r="L1232" s="24">
        <v>45579</v>
      </c>
      <c r="M1232" s="19">
        <v>7.0849</v>
      </c>
    </row>
    <row r="1233" spans="12:13">
      <c r="L1233" s="24">
        <v>45580</v>
      </c>
      <c r="M1233" s="19">
        <v>7.1149</v>
      </c>
    </row>
    <row r="1234" spans="12:13">
      <c r="L1234" s="24">
        <v>45581</v>
      </c>
      <c r="M1234" s="19">
        <v>7.1131</v>
      </c>
    </row>
    <row r="1235" spans="12:13">
      <c r="L1235" s="24">
        <v>45582</v>
      </c>
      <c r="M1235" s="19">
        <v>7.1218</v>
      </c>
    </row>
    <row r="1236" spans="12:13">
      <c r="L1236" s="24">
        <v>45583</v>
      </c>
      <c r="M1236" s="19">
        <v>7.1047</v>
      </c>
    </row>
    <row r="1237" spans="12:13">
      <c r="L1237" s="24">
        <v>45586</v>
      </c>
      <c r="M1237" s="19">
        <v>7.1131</v>
      </c>
    </row>
    <row r="1238" spans="12:13">
      <c r="L1238" s="24">
        <v>45587</v>
      </c>
      <c r="M1238" s="19">
        <v>7.1206</v>
      </c>
    </row>
    <row r="1239" spans="12:13">
      <c r="L1239" s="24">
        <v>45588</v>
      </c>
      <c r="M1239" s="19">
        <v>7.1291</v>
      </c>
    </row>
    <row r="1240" spans="12:13">
      <c r="L1240" s="24">
        <v>45589</v>
      </c>
      <c r="M1240" s="19">
        <v>7.1149</v>
      </c>
    </row>
    <row r="1241" spans="12:13">
      <c r="L1241" s="24">
        <v>45590</v>
      </c>
      <c r="M1241" s="19">
        <v>7.1245</v>
      </c>
    </row>
    <row r="1242" spans="12:13">
      <c r="L1242" s="24">
        <v>45593</v>
      </c>
      <c r="M1242" s="19">
        <v>7.1269</v>
      </c>
    </row>
    <row r="1243" spans="12:13">
      <c r="L1243" s="24">
        <v>45594</v>
      </c>
      <c r="M1243" s="19">
        <v>7.1371</v>
      </c>
    </row>
    <row r="1244" spans="12:13">
      <c r="L1244" s="24">
        <v>45595</v>
      </c>
      <c r="M1244" s="19">
        <v>7.1247</v>
      </c>
    </row>
    <row r="1245" spans="12:13">
      <c r="L1245" s="24">
        <v>45596</v>
      </c>
      <c r="M1245" s="19">
        <v>7.116</v>
      </c>
    </row>
    <row r="1246" spans="12:13">
      <c r="L1246" s="24">
        <v>45597</v>
      </c>
      <c r="M1246" s="19">
        <v>7.111</v>
      </c>
    </row>
    <row r="1247" spans="12:13">
      <c r="L1247" s="24">
        <v>45600</v>
      </c>
      <c r="M1247" s="19">
        <v>7.0949</v>
      </c>
    </row>
    <row r="1248" spans="12:13">
      <c r="L1248" s="24">
        <v>45601</v>
      </c>
      <c r="M1248" s="19">
        <v>7.1033</v>
      </c>
    </row>
    <row r="1249" spans="12:13">
      <c r="L1249" s="24">
        <v>45602</v>
      </c>
      <c r="M1249" s="19">
        <v>7.179</v>
      </c>
    </row>
    <row r="1250" spans="12:13">
      <c r="L1250" s="24">
        <v>45603</v>
      </c>
      <c r="M1250" s="19">
        <v>7.1543</v>
      </c>
    </row>
    <row r="1251" spans="12:13">
      <c r="L1251" s="24">
        <v>45604</v>
      </c>
      <c r="M1251" s="19">
        <v>7.1698</v>
      </c>
    </row>
    <row r="1252" spans="12:13">
      <c r="L1252" s="24">
        <v>45607</v>
      </c>
      <c r="M1252" s="19">
        <v>7.203</v>
      </c>
    </row>
    <row r="1253" spans="12:13">
      <c r="L1253" s="24">
        <v>45608</v>
      </c>
      <c r="M1253" s="19">
        <v>7.2319</v>
      </c>
    </row>
    <row r="1254" spans="12:13">
      <c r="L1254" s="24">
        <v>45609</v>
      </c>
      <c r="M1254" s="19">
        <v>7.2091</v>
      </c>
    </row>
    <row r="1255" spans="12:13">
      <c r="L1255" s="24">
        <v>45610</v>
      </c>
      <c r="M1255" s="19">
        <v>7.2408</v>
      </c>
    </row>
    <row r="1256" spans="12:13">
      <c r="L1256" s="24">
        <v>45611</v>
      </c>
      <c r="M1256" s="19">
        <v>7.2278</v>
      </c>
    </row>
    <row r="1257" spans="12:13">
      <c r="L1257" s="24">
        <v>45614</v>
      </c>
      <c r="M1257" s="19">
        <v>7.2443</v>
      </c>
    </row>
    <row r="1258" spans="12:13">
      <c r="L1258" s="24">
        <v>45615</v>
      </c>
      <c r="M1258" s="19">
        <v>7.2394</v>
      </c>
    </row>
    <row r="1259" spans="12:13">
      <c r="L1259" s="24">
        <v>45616</v>
      </c>
      <c r="M1259" s="19">
        <v>7.2456</v>
      </c>
    </row>
    <row r="1260" spans="12:13">
      <c r="L1260" s="24">
        <v>45617</v>
      </c>
      <c r="M1260" s="19">
        <v>7.2396</v>
      </c>
    </row>
    <row r="1261" spans="12:13">
      <c r="L1261" s="24">
        <v>45618</v>
      </c>
      <c r="M1261" s="19">
        <v>7.2472</v>
      </c>
    </row>
    <row r="1262" spans="12:13">
      <c r="L1262" s="24">
        <v>45621</v>
      </c>
      <c r="M1262" s="19">
        <v>7.2433</v>
      </c>
    </row>
    <row r="1263" spans="12:13">
      <c r="L1263" s="24">
        <v>45622</v>
      </c>
      <c r="M1263" s="19">
        <v>7.2481</v>
      </c>
    </row>
    <row r="1264" spans="12:13">
      <c r="L1264" s="24">
        <v>45623</v>
      </c>
      <c r="M1264" s="19">
        <v>7.2497</v>
      </c>
    </row>
    <row r="1265" spans="12:13">
      <c r="L1265" s="24">
        <v>45624</v>
      </c>
      <c r="M1265" s="19">
        <v>7.2475</v>
      </c>
    </row>
    <row r="1266" spans="12:13">
      <c r="L1266" s="24">
        <v>45625</v>
      </c>
      <c r="M1266" s="19">
        <v>7.2414</v>
      </c>
    </row>
    <row r="1267" spans="12:13">
      <c r="L1267" s="24">
        <v>45628</v>
      </c>
      <c r="M1267" s="19">
        <v>7.2733</v>
      </c>
    </row>
    <row r="1268" spans="12:13">
      <c r="L1268" s="24">
        <v>45629</v>
      </c>
      <c r="M1268" s="19">
        <v>7.2859</v>
      </c>
    </row>
    <row r="1269" spans="12:13">
      <c r="L1269" s="24">
        <v>45630</v>
      </c>
      <c r="M1269" s="19">
        <v>7.2708</v>
      </c>
    </row>
    <row r="1270" spans="12:13">
      <c r="L1270" s="24">
        <v>45631</v>
      </c>
      <c r="M1270" s="19">
        <v>7.2654</v>
      </c>
    </row>
    <row r="1271" spans="12:13">
      <c r="L1271" s="24">
        <v>45632</v>
      </c>
      <c r="M1271" s="19">
        <v>7.2632</v>
      </c>
    </row>
    <row r="1272" spans="12:13">
      <c r="L1272" s="24">
        <v>45635</v>
      </c>
      <c r="M1272" s="19">
        <v>7.2644</v>
      </c>
    </row>
    <row r="1273" spans="12:13">
      <c r="L1273" s="24">
        <v>45636</v>
      </c>
      <c r="M1273" s="19">
        <v>7.2532</v>
      </c>
    </row>
    <row r="1274" spans="12:13">
      <c r="L1274" s="24">
        <v>45637</v>
      </c>
      <c r="M1274" s="19">
        <v>7.2635</v>
      </c>
    </row>
    <row r="1275" spans="12:13">
      <c r="L1275" s="24">
        <v>45638</v>
      </c>
      <c r="M1275" s="19">
        <v>7.2702</v>
      </c>
    </row>
    <row r="1276" spans="12:13">
      <c r="L1276" s="24">
        <v>45639</v>
      </c>
      <c r="M1276" s="19">
        <v>7.2742</v>
      </c>
    </row>
    <row r="1277" spans="12:13">
      <c r="L1277" s="24">
        <v>45642</v>
      </c>
      <c r="M1277" s="19">
        <v>7.2836</v>
      </c>
    </row>
    <row r="1278" spans="12:13">
      <c r="L1278" s="24">
        <v>45643</v>
      </c>
      <c r="M1278" s="19">
        <v>7.2844</v>
      </c>
    </row>
    <row r="1279" spans="12:13">
      <c r="L1279" s="24">
        <v>45644</v>
      </c>
      <c r="M1279" s="19">
        <v>7.285</v>
      </c>
    </row>
    <row r="1280" spans="12:13">
      <c r="L1280" s="24">
        <v>45645</v>
      </c>
      <c r="M1280" s="19">
        <v>7.2975</v>
      </c>
    </row>
    <row r="1281" spans="12:13">
      <c r="L1281" s="24">
        <v>45646</v>
      </c>
      <c r="M1281" s="19">
        <v>7.2985</v>
      </c>
    </row>
    <row r="1282" spans="12:13">
      <c r="L1282" s="24">
        <v>45649</v>
      </c>
      <c r="M1282" s="19">
        <v>7.2992</v>
      </c>
    </row>
    <row r="1283" spans="12:13">
      <c r="L1283" s="24">
        <v>45650</v>
      </c>
      <c r="M1283" s="19">
        <v>7.2961</v>
      </c>
    </row>
    <row r="1284" spans="12:13">
      <c r="L1284" s="24">
        <v>45653</v>
      </c>
      <c r="M1284" s="19">
        <v>7.2994</v>
      </c>
    </row>
    <row r="1285" spans="12:13">
      <c r="L1285" s="24">
        <v>45656</v>
      </c>
      <c r="M1285" s="19">
        <v>7.2993</v>
      </c>
    </row>
    <row r="1286" spans="12:13">
      <c r="L1286" s="24">
        <v>45657</v>
      </c>
      <c r="M1286" s="19">
        <v>7.2994</v>
      </c>
    </row>
    <row r="1287" spans="12:13">
      <c r="L1287" s="24">
        <v>45659</v>
      </c>
      <c r="M1287" s="19">
        <v>7.2995</v>
      </c>
    </row>
    <row r="1288" spans="12:13">
      <c r="L1288" s="24">
        <v>45660</v>
      </c>
      <c r="M1288" s="19">
        <v>7.3183</v>
      </c>
    </row>
    <row r="1289" spans="12:13">
      <c r="L1289" s="24">
        <v>45663</v>
      </c>
      <c r="M1289" s="19">
        <v>7.3167</v>
      </c>
    </row>
    <row r="1290" spans="12:13">
      <c r="L1290" s="24">
        <v>45664</v>
      </c>
      <c r="M1290" s="19">
        <v>7.3263</v>
      </c>
    </row>
    <row r="1291" spans="12:13">
      <c r="L1291" s="24">
        <v>45665</v>
      </c>
      <c r="M1291" s="19">
        <v>7.3316</v>
      </c>
    </row>
    <row r="1292" spans="12:13">
      <c r="L1292" s="24">
        <v>45666</v>
      </c>
      <c r="M1292" s="19">
        <v>7.3322</v>
      </c>
    </row>
    <row r="1293" spans="12:13">
      <c r="L1293" s="24">
        <v>45667</v>
      </c>
      <c r="M1293" s="19">
        <v>7.3313</v>
      </c>
    </row>
    <row r="1294" spans="12:13">
      <c r="L1294" s="24">
        <v>45670</v>
      </c>
      <c r="M1294" s="19">
        <v>7.3319</v>
      </c>
    </row>
    <row r="1295" spans="12:13">
      <c r="L1295" s="24">
        <v>45671</v>
      </c>
      <c r="M1295" s="19">
        <v>7.3312</v>
      </c>
    </row>
    <row r="1296" spans="12:13">
      <c r="L1296" s="24">
        <v>45672</v>
      </c>
      <c r="M1296" s="19">
        <v>7.3316</v>
      </c>
    </row>
    <row r="1297" spans="12:13">
      <c r="L1297" s="24">
        <v>45673</v>
      </c>
      <c r="M1297" s="19">
        <v>7.3317</v>
      </c>
    </row>
    <row r="1298" spans="12:13">
      <c r="L1298" s="24">
        <v>45674</v>
      </c>
      <c r="M1298" s="19">
        <v>7.329</v>
      </c>
    </row>
    <row r="1299" spans="12:13">
      <c r="L1299" s="24">
        <v>45677</v>
      </c>
      <c r="M1299" s="19">
        <v>7.312</v>
      </c>
    </row>
    <row r="1300" spans="12:13">
      <c r="L1300" s="24">
        <v>45678</v>
      </c>
      <c r="M1300" s="19">
        <v>7.2843</v>
      </c>
    </row>
    <row r="1301" spans="12:13">
      <c r="L1301" s="24">
        <v>45679</v>
      </c>
      <c r="M1301" s="19">
        <v>7.2673</v>
      </c>
    </row>
    <row r="1302" spans="12:13">
      <c r="L1302" s="24">
        <v>45680</v>
      </c>
      <c r="M1302" s="19">
        <v>7.2884</v>
      </c>
    </row>
    <row r="1303" spans="12:13">
      <c r="L1303" s="24">
        <v>45681</v>
      </c>
      <c r="M1303" s="19">
        <v>7.247</v>
      </c>
    </row>
    <row r="1304" spans="12:13">
      <c r="L1304" s="24">
        <v>45684</v>
      </c>
      <c r="M1304" s="19">
        <v>7.2465</v>
      </c>
    </row>
    <row r="1305" spans="12:13">
      <c r="L1305" s="24">
        <v>45685</v>
      </c>
      <c r="M1305" s="19">
        <v>7.2466</v>
      </c>
    </row>
    <row r="1306" spans="12:13">
      <c r="L1306" s="24">
        <v>45686</v>
      </c>
      <c r="M1306" s="19">
        <v>7.2513</v>
      </c>
    </row>
    <row r="1307" spans="12:13">
      <c r="L1307" s="24">
        <v>45687</v>
      </c>
      <c r="M1307" s="19">
        <v>7.2514</v>
      </c>
    </row>
    <row r="1308" spans="12:13">
      <c r="L1308" s="24">
        <v>45688</v>
      </c>
      <c r="M1308" s="19">
        <v>7.2513</v>
      </c>
    </row>
    <row r="1309" spans="12:13">
      <c r="L1309" s="24">
        <v>45691</v>
      </c>
      <c r="M1309" s="19">
        <v>7.2513</v>
      </c>
    </row>
    <row r="1310" spans="12:13">
      <c r="L1310" s="24">
        <v>45692</v>
      </c>
      <c r="M1310" s="19">
        <v>7.2514</v>
      </c>
    </row>
    <row r="1311" spans="12:13">
      <c r="L1311" s="24">
        <v>45693</v>
      </c>
      <c r="M1311" s="19">
        <v>7.2728</v>
      </c>
    </row>
    <row r="1312" spans="12:13">
      <c r="L1312" s="24">
        <v>45694</v>
      </c>
      <c r="M1312" s="19">
        <v>7.2887</v>
      </c>
    </row>
    <row r="1313" spans="12:13">
      <c r="L1313" s="24">
        <v>45695</v>
      </c>
      <c r="M1313" s="19">
        <v>7.2886</v>
      </c>
    </row>
    <row r="1314" spans="12:13">
      <c r="L1314" s="24">
        <v>45698</v>
      </c>
      <c r="M1314" s="19">
        <v>7.3057</v>
      </c>
    </row>
    <row r="1315" spans="12:13">
      <c r="L1315" s="24">
        <v>45699</v>
      </c>
      <c r="M1315" s="19">
        <v>7.3072</v>
      </c>
    </row>
    <row r="1316" spans="12:13">
      <c r="L1316" s="24">
        <v>45700</v>
      </c>
      <c r="M1316" s="19">
        <v>7.309</v>
      </c>
    </row>
    <row r="1317" spans="12:13">
      <c r="L1317" s="24">
        <v>45701</v>
      </c>
      <c r="M1317" s="19">
        <v>7.2971</v>
      </c>
    </row>
    <row r="1318" spans="12:13">
      <c r="L1318" s="24">
        <v>45702</v>
      </c>
      <c r="M1318" s="19">
        <v>7.2667</v>
      </c>
    </row>
    <row r="1319" spans="12:13">
      <c r="L1319" s="24">
        <v>45705</v>
      </c>
      <c r="M1319" s="19">
        <v>7.2631</v>
      </c>
    </row>
    <row r="1320" spans="12:13">
      <c r="L1320" s="24">
        <v>45706</v>
      </c>
      <c r="M1320" s="19">
        <v>7.2802</v>
      </c>
    </row>
    <row r="1321" spans="12:13">
      <c r="L1321" s="24">
        <v>45707</v>
      </c>
      <c r="M1321" s="19">
        <v>7.2855</v>
      </c>
    </row>
    <row r="1322" spans="12:13">
      <c r="L1322" s="24">
        <v>45708</v>
      </c>
      <c r="M1322" s="19">
        <v>7.2591</v>
      </c>
    </row>
    <row r="1323" spans="12:13">
      <c r="L1323" s="24">
        <v>45709</v>
      </c>
      <c r="M1323" s="19">
        <v>7.2559</v>
      </c>
    </row>
    <row r="1324" spans="12:13">
      <c r="L1324" s="24">
        <v>45712</v>
      </c>
      <c r="M1324" s="19">
        <v>7.25</v>
      </c>
    </row>
    <row r="1325" spans="12:13">
      <c r="L1325" s="24">
        <v>45713</v>
      </c>
      <c r="M1325" s="19">
        <v>7.261</v>
      </c>
    </row>
    <row r="1326" spans="12:13">
      <c r="L1326" s="24">
        <v>45714</v>
      </c>
      <c r="M1326" s="19">
        <v>7.259</v>
      </c>
    </row>
    <row r="1327" spans="12:13">
      <c r="L1327" s="24">
        <v>45715</v>
      </c>
      <c r="M1327" s="19">
        <v>7.2661</v>
      </c>
    </row>
    <row r="1328" spans="12:13">
      <c r="L1328" s="24">
        <v>45716</v>
      </c>
      <c r="M1328" s="19">
        <v>7.279</v>
      </c>
    </row>
    <row r="1329" spans="12:13">
      <c r="L1329" s="24">
        <v>45719</v>
      </c>
      <c r="M1329" s="19">
        <v>7.2892</v>
      </c>
    </row>
    <row r="1330" spans="12:13">
      <c r="L1330" s="24">
        <v>45720</v>
      </c>
      <c r="M1330" s="19">
        <v>7.2572</v>
      </c>
    </row>
    <row r="1331" spans="12:13">
      <c r="L1331" s="24">
        <v>45721</v>
      </c>
      <c r="M1331" s="19">
        <v>7.2634</v>
      </c>
    </row>
    <row r="1332" spans="12:13">
      <c r="L1332" s="24">
        <v>45722</v>
      </c>
      <c r="M1332" s="19">
        <v>7.2478</v>
      </c>
    </row>
    <row r="1333" spans="12:13">
      <c r="L1333" s="24">
        <v>45723</v>
      </c>
      <c r="M1333" s="19">
        <v>7.236</v>
      </c>
    </row>
    <row r="1334" spans="12:13">
      <c r="L1334" s="24">
        <v>45726</v>
      </c>
      <c r="M1334" s="19">
        <v>7.2585</v>
      </c>
    </row>
    <row r="1335" spans="12:13">
      <c r="L1335" s="24">
        <v>45727</v>
      </c>
      <c r="M1335" s="19">
        <v>7.2332</v>
      </c>
    </row>
    <row r="1336" spans="12:13">
      <c r="L1336" s="24">
        <v>45728</v>
      </c>
      <c r="M1336" s="19">
        <v>7.2431</v>
      </c>
    </row>
    <row r="1337" spans="12:13">
      <c r="L1337" s="24">
        <v>45729</v>
      </c>
      <c r="M1337" s="19">
        <v>7.2477</v>
      </c>
    </row>
    <row r="1338" spans="12:13">
      <c r="L1338" s="24">
        <v>45730</v>
      </c>
      <c r="M1338" s="19">
        <v>7.2387</v>
      </c>
    </row>
    <row r="1339" spans="12:13">
      <c r="L1339" s="24">
        <v>45733</v>
      </c>
      <c r="M1339" s="19">
        <v>7.2337</v>
      </c>
    </row>
    <row r="1340" spans="12:13">
      <c r="L1340" s="24">
        <v>45734</v>
      </c>
      <c r="M1340" s="19">
        <v>7.2272</v>
      </c>
    </row>
    <row r="1341" spans="12:13">
      <c r="L1341" s="24">
        <v>45735</v>
      </c>
      <c r="M1341" s="19">
        <v>7.2301</v>
      </c>
    </row>
    <row r="1342" spans="12:13">
      <c r="L1342" s="24">
        <v>45736</v>
      </c>
      <c r="M1342" s="19">
        <v>7.2446</v>
      </c>
    </row>
    <row r="1343" spans="12:13">
      <c r="L1343" s="24">
        <v>45737</v>
      </c>
      <c r="M1343" s="19">
        <v>7.2483</v>
      </c>
    </row>
    <row r="1344" spans="12:13">
      <c r="L1344" s="24">
        <v>45740</v>
      </c>
      <c r="M1344" s="19">
        <v>7.2536</v>
      </c>
    </row>
    <row r="1345" spans="12:13">
      <c r="L1345" s="24">
        <v>45741</v>
      </c>
      <c r="M1345" s="19">
        <v>7.2583</v>
      </c>
    </row>
    <row r="1346" spans="12:13">
      <c r="L1346" s="24">
        <v>45742</v>
      </c>
      <c r="M1346" s="19">
        <v>7.2656</v>
      </c>
    </row>
    <row r="1347" spans="12:13">
      <c r="L1347" s="24">
        <v>45743</v>
      </c>
      <c r="M1347" s="19">
        <v>7.2657</v>
      </c>
    </row>
    <row r="1348" spans="12:13">
      <c r="L1348" s="24">
        <v>45744</v>
      </c>
      <c r="M1348" s="19">
        <v>7.2654</v>
      </c>
    </row>
    <row r="1349" spans="12:13">
      <c r="L1349" s="24">
        <v>45747</v>
      </c>
      <c r="M1349" s="19">
        <v>7.2531</v>
      </c>
    </row>
    <row r="1350" spans="12:13">
      <c r="L1350" s="24">
        <v>45748</v>
      </c>
      <c r="M1350" s="19">
        <v>7.2702</v>
      </c>
    </row>
    <row r="1351" spans="12:13">
      <c r="L1351" s="24">
        <v>45749</v>
      </c>
      <c r="M1351" s="19">
        <v>7.2692</v>
      </c>
    </row>
    <row r="1352" spans="12:13">
      <c r="L1352" s="24">
        <v>45750</v>
      </c>
      <c r="M1352" s="19">
        <v>7.292</v>
      </c>
    </row>
    <row r="1353" spans="12:13">
      <c r="L1353" s="24">
        <v>45751</v>
      </c>
      <c r="M1353" s="19">
        <v>7.2821</v>
      </c>
    </row>
    <row r="1354" spans="12:13">
      <c r="L1354" s="24">
        <v>45754</v>
      </c>
      <c r="M1354" s="19">
        <v>7.3087</v>
      </c>
    </row>
    <row r="1355" spans="12:13">
      <c r="L1355" s="24">
        <v>45755</v>
      </c>
      <c r="M1355" s="19">
        <v>7.3387</v>
      </c>
    </row>
    <row r="1356" spans="12:13">
      <c r="L1356" s="24">
        <v>45756</v>
      </c>
      <c r="M1356" s="19">
        <v>7.3498</v>
      </c>
    </row>
    <row r="1357" spans="12:13">
      <c r="L1357" s="24">
        <v>45757</v>
      </c>
      <c r="M1357" s="19">
        <v>7.3215</v>
      </c>
    </row>
    <row r="1358" spans="12:13">
      <c r="L1358" s="24">
        <v>45758</v>
      </c>
      <c r="M1358" s="19">
        <v>7.2994</v>
      </c>
    </row>
    <row r="1359" spans="12:13">
      <c r="L1359" s="24">
        <v>45761</v>
      </c>
      <c r="M1359" s="19">
        <v>7.3126</v>
      </c>
    </row>
    <row r="1360" spans="12:13">
      <c r="L1360" s="24">
        <v>45762</v>
      </c>
      <c r="M1360" s="19">
        <v>7.315</v>
      </c>
    </row>
    <row r="1361" spans="12:13">
      <c r="L1361" s="24">
        <v>45763</v>
      </c>
      <c r="M1361" s="19">
        <v>7.3061</v>
      </c>
    </row>
    <row r="1362" spans="12:13">
      <c r="L1362" s="24">
        <v>45764</v>
      </c>
      <c r="M1362" s="19">
        <v>7.2975</v>
      </c>
    </row>
    <row r="1363" spans="12:13">
      <c r="L1363" s="24">
        <v>45769</v>
      </c>
      <c r="M1363" s="19">
        <v>7.3134</v>
      </c>
    </row>
    <row r="1364" spans="12:13">
      <c r="L1364" s="24">
        <v>45770</v>
      </c>
      <c r="M1364" s="19">
        <v>7.2886</v>
      </c>
    </row>
    <row r="1365" spans="12:13">
      <c r="L1365" s="24">
        <v>45771</v>
      </c>
      <c r="M1365" s="19">
        <v>7.2895</v>
      </c>
    </row>
    <row r="1366" spans="12:13">
      <c r="L1366" s="24">
        <v>45772</v>
      </c>
      <c r="M1366" s="19">
        <v>7.2883</v>
      </c>
    </row>
    <row r="1367" spans="12:13">
      <c r="L1367" s="24">
        <v>45775</v>
      </c>
      <c r="M1367" s="19">
        <v>7.298</v>
      </c>
    </row>
    <row r="1368" spans="12:13">
      <c r="L1368" s="24">
        <v>45776</v>
      </c>
      <c r="M1368" s="19">
        <v>7.2729</v>
      </c>
    </row>
    <row r="1369" spans="12:13">
      <c r="L1369" s="24">
        <v>45777</v>
      </c>
      <c r="M1369" s="19">
        <v>7.2659</v>
      </c>
    </row>
    <row r="1370" spans="12:13">
      <c r="L1370" s="24">
        <v>45779</v>
      </c>
      <c r="M1370" s="19">
        <v>7.2714</v>
      </c>
    </row>
    <row r="1371" spans="12:13">
      <c r="L1371" s="24">
        <v>45782</v>
      </c>
      <c r="M1371" s="19">
        <v>7.2714</v>
      </c>
    </row>
    <row r="1372" spans="12:13">
      <c r="L1372" s="24">
        <v>45783</v>
      </c>
      <c r="M1372" s="19">
        <v>7.2172</v>
      </c>
    </row>
    <row r="1373" spans="12:13">
      <c r="L1373" s="24">
        <v>45784</v>
      </c>
      <c r="M1373" s="19">
        <v>7.2253</v>
      </c>
    </row>
    <row r="1374" spans="12:13">
      <c r="L1374" s="24">
        <v>45785</v>
      </c>
      <c r="M1374" s="19">
        <v>7.2377</v>
      </c>
    </row>
    <row r="1375" spans="12:13">
      <c r="L1375" s="24">
        <v>45786</v>
      </c>
      <c r="M1375" s="19">
        <v>7.2405</v>
      </c>
    </row>
    <row r="1376" spans="12:13">
      <c r="L1376" s="24">
        <v>45789</v>
      </c>
      <c r="M1376" s="19">
        <v>7.2032</v>
      </c>
    </row>
    <row r="1377" spans="12:13">
      <c r="L1377" s="24">
        <v>45790</v>
      </c>
      <c r="M1377" s="19">
        <v>7.2013</v>
      </c>
    </row>
    <row r="1378" spans="12:13">
      <c r="L1378" s="24">
        <v>45791</v>
      </c>
      <c r="M1378" s="19">
        <v>7.2047</v>
      </c>
    </row>
    <row r="1379" spans="12:13">
      <c r="L1379" s="24">
        <v>45792</v>
      </c>
      <c r="M1379" s="19">
        <v>7.2115</v>
      </c>
    </row>
    <row r="1380" spans="12:13">
      <c r="L1380" s="24">
        <v>45793</v>
      </c>
      <c r="M1380" s="19">
        <v>7.2056</v>
      </c>
    </row>
    <row r="1381" spans="12:13">
      <c r="L1381" s="24">
        <v>45796</v>
      </c>
      <c r="M1381" s="19">
        <v>7.2123</v>
      </c>
    </row>
    <row r="1382" spans="12:13">
      <c r="L1382" s="24">
        <v>45797</v>
      </c>
      <c r="M1382" s="19">
        <v>7.2195</v>
      </c>
    </row>
    <row r="1383" spans="12:13">
      <c r="L1383" s="24">
        <v>45798</v>
      </c>
      <c r="M1383" s="19">
        <v>7.2034</v>
      </c>
    </row>
    <row r="1384" spans="12:13">
      <c r="L1384" s="24">
        <v>45799</v>
      </c>
      <c r="M1384" s="19">
        <v>7.2046</v>
      </c>
    </row>
    <row r="1385" spans="12:13">
      <c r="L1385" s="24">
        <v>45800</v>
      </c>
      <c r="M1385" s="19">
        <v>7.1849</v>
      </c>
    </row>
    <row r="1386" spans="12:13">
      <c r="L1386" s="24">
        <v>45803</v>
      </c>
      <c r="M1386" s="19">
        <v>7.187</v>
      </c>
    </row>
    <row r="1387" spans="12:13">
      <c r="L1387" s="24">
        <v>45804</v>
      </c>
      <c r="M1387" s="19">
        <v>7.1952</v>
      </c>
    </row>
    <row r="1388" spans="12:13">
      <c r="L1388" s="24">
        <v>45805</v>
      </c>
      <c r="M1388" s="19">
        <v>7.1929</v>
      </c>
    </row>
    <row r="1389" spans="12:13">
      <c r="L1389" s="24">
        <v>45806</v>
      </c>
      <c r="M1389" s="19">
        <v>7.1885</v>
      </c>
    </row>
    <row r="1390" spans="12:13">
      <c r="L1390" s="24">
        <v>45807</v>
      </c>
      <c r="M1390" s="19">
        <v>7.1943</v>
      </c>
    </row>
    <row r="1391" spans="12:13">
      <c r="L1391" s="24">
        <v>45810</v>
      </c>
      <c r="M1391" s="19">
        <v>7.1998</v>
      </c>
    </row>
    <row r="1392" spans="12:13">
      <c r="L1392" s="24">
        <v>45811</v>
      </c>
      <c r="M1392" s="19">
        <v>7.1879</v>
      </c>
    </row>
    <row r="1393" spans="12:13">
      <c r="L1393" s="24">
        <v>45812</v>
      </c>
      <c r="M1393" s="19">
        <v>7.1886</v>
      </c>
    </row>
    <row r="1394" spans="12:13">
      <c r="L1394" s="24">
        <v>45813</v>
      </c>
      <c r="M1394" s="19">
        <v>7.1792</v>
      </c>
    </row>
    <row r="1395" spans="12:13">
      <c r="L1395" s="24">
        <v>45814</v>
      </c>
      <c r="M1395" s="19">
        <v>7.1821</v>
      </c>
    </row>
    <row r="1396" spans="12:13">
      <c r="L1396" s="24">
        <v>45817</v>
      </c>
      <c r="M1396" s="19">
        <v>7.1817</v>
      </c>
    </row>
    <row r="1397" spans="12:13">
      <c r="L1397" s="24">
        <v>45818</v>
      </c>
      <c r="M1397" s="19">
        <v>7.1848</v>
      </c>
    </row>
    <row r="1398" spans="12:13">
      <c r="L1398" s="24">
        <v>45819</v>
      </c>
      <c r="M1398" s="19">
        <v>7.1873</v>
      </c>
    </row>
    <row r="1399" spans="12:13">
      <c r="L1399" s="24">
        <v>45820</v>
      </c>
      <c r="M1399" s="19">
        <v>7.1762</v>
      </c>
    </row>
    <row r="1400" spans="12:13">
      <c r="L1400" s="24">
        <v>45821</v>
      </c>
      <c r="M1400" s="19">
        <v>7.1822</v>
      </c>
    </row>
    <row r="1401" spans="12:13">
      <c r="L1401" s="24">
        <v>45824</v>
      </c>
      <c r="M1401" s="19">
        <v>7.1801</v>
      </c>
    </row>
    <row r="1402" spans="12:13">
      <c r="L1402" s="24">
        <v>45825</v>
      </c>
      <c r="M1402" s="19">
        <v>7.1828</v>
      </c>
    </row>
    <row r="1403" spans="12:13">
      <c r="L1403" s="24">
        <v>45826</v>
      </c>
      <c r="M1403" s="19">
        <v>7.1883</v>
      </c>
    </row>
    <row r="1404" spans="12:13">
      <c r="L1404" s="24">
        <v>45827</v>
      </c>
      <c r="M1404" s="19">
        <v>7.1873</v>
      </c>
    </row>
    <row r="1405" spans="12:13">
      <c r="L1405" s="24">
        <v>45828</v>
      </c>
      <c r="M1405" s="19">
        <v>7.177</v>
      </c>
    </row>
    <row r="1406" spans="12:13">
      <c r="L1406" s="24">
        <v>45831</v>
      </c>
      <c r="M1406" s="19">
        <v>7.1864</v>
      </c>
    </row>
    <row r="1407" spans="12:13">
      <c r="L1407" s="24">
        <v>45832</v>
      </c>
      <c r="M1407" s="19">
        <v>7.1734</v>
      </c>
    </row>
    <row r="1408" spans="12:13">
      <c r="L1408" s="24">
        <v>45833</v>
      </c>
      <c r="M1408" s="19">
        <v>7.1745</v>
      </c>
    </row>
    <row r="1409" spans="12:13">
      <c r="L1409" s="24">
        <v>45834</v>
      </c>
      <c r="M1409" s="19">
        <v>7.1708</v>
      </c>
    </row>
    <row r="1410" spans="12:13">
      <c r="L1410" s="24">
        <v>45835</v>
      </c>
      <c r="M1410" s="19">
        <v>7.1718</v>
      </c>
    </row>
    <row r="1411" spans="12:13">
      <c r="L1411" s="24">
        <v>45838</v>
      </c>
      <c r="M1411" s="19">
        <v>7.1647</v>
      </c>
    </row>
    <row r="1412" spans="12:13">
      <c r="L1412" s="24">
        <v>45839</v>
      </c>
      <c r="M1412" s="19">
        <v>7.1621</v>
      </c>
    </row>
    <row r="1413" spans="12:13">
      <c r="L1413" s="24">
        <v>45840</v>
      </c>
      <c r="M1413" s="19">
        <v>7.1693</v>
      </c>
    </row>
    <row r="1414" spans="12:13">
      <c r="L1414" s="24">
        <v>45841</v>
      </c>
      <c r="M1414" s="19">
        <v>7.1615</v>
      </c>
    </row>
    <row r="1415" spans="12:13">
      <c r="L1415" s="24">
        <v>45842</v>
      </c>
      <c r="M1415" s="19">
        <v>7.1628</v>
      </c>
    </row>
    <row r="1416" spans="12:13">
      <c r="L1416" s="24">
        <v>45845</v>
      </c>
      <c r="M1416" s="19">
        <v>7.1733</v>
      </c>
    </row>
    <row r="1417" spans="12:13">
      <c r="L1417" s="24">
        <v>45846</v>
      </c>
      <c r="M1417" s="19">
        <v>7.1741</v>
      </c>
    </row>
    <row r="1418" spans="12:13">
      <c r="L1418" s="24">
        <v>45847</v>
      </c>
      <c r="M1418" s="19">
        <v>7.1801</v>
      </c>
    </row>
    <row r="1419" spans="12:13">
      <c r="L1419" s="24">
        <v>45848</v>
      </c>
      <c r="M1419" s="19">
        <v>7.1748</v>
      </c>
    </row>
    <row r="1420" spans="12:13">
      <c r="L1420" s="24">
        <v>45849</v>
      </c>
      <c r="M1420" s="19">
        <v>7.1678</v>
      </c>
    </row>
    <row r="1421" spans="12:13">
      <c r="L1421" s="24">
        <v>45852</v>
      </c>
      <c r="M1421" s="19">
        <v>7.1672</v>
      </c>
    </row>
    <row r="1422" spans="12:13">
      <c r="L1422" s="24">
        <v>45853</v>
      </c>
      <c r="M1422" s="19">
        <v>7.173</v>
      </c>
    </row>
    <row r="1423" spans="12:13">
      <c r="L1423" s="24">
        <v>45854</v>
      </c>
      <c r="M1423" s="19">
        <v>7.1806</v>
      </c>
    </row>
    <row r="1424" spans="12:13">
      <c r="L1424" s="24">
        <v>45855</v>
      </c>
      <c r="M1424" s="19">
        <v>7.1817</v>
      </c>
    </row>
    <row r="1425" spans="12:13">
      <c r="L1425" s="24">
        <v>45856</v>
      </c>
      <c r="M1425" s="19">
        <v>7.1779</v>
      </c>
    </row>
    <row r="1426" spans="12:13">
      <c r="L1426" s="24">
        <v>45859</v>
      </c>
      <c r="M1426" s="19">
        <v>7.1763</v>
      </c>
    </row>
    <row r="1427" spans="12:13">
      <c r="L1427" s="24">
        <v>45860</v>
      </c>
      <c r="M1427" s="19">
        <v>7.175</v>
      </c>
    </row>
    <row r="1428" spans="12:13">
      <c r="L1428" s="24">
        <v>45861</v>
      </c>
      <c r="M1428" s="19">
        <v>7.1602</v>
      </c>
    </row>
    <row r="1429" spans="12:13">
      <c r="L1429" s="24">
        <v>45862</v>
      </c>
      <c r="M1429" s="19">
        <v>7.1574</v>
      </c>
    </row>
    <row r="1430" spans="12:13">
      <c r="L1430" s="24">
        <v>45863</v>
      </c>
      <c r="M1430" s="19">
        <v>7.1687</v>
      </c>
    </row>
    <row r="1431" spans="12:13">
      <c r="L1431" s="24">
        <v>45866</v>
      </c>
      <c r="M1431" s="19">
        <v>7.1739</v>
      </c>
    </row>
    <row r="1432" spans="12:13">
      <c r="L1432" s="24">
        <v>45867</v>
      </c>
      <c r="M1432" s="19">
        <v>7.1775</v>
      </c>
    </row>
    <row r="1433" spans="12:13">
      <c r="L1433" s="24">
        <v>45868</v>
      </c>
      <c r="M1433" s="19">
        <v>7.1817</v>
      </c>
    </row>
    <row r="1434" spans="12:13">
      <c r="L1434" s="24">
        <v>45869</v>
      </c>
      <c r="M1434" s="19">
        <v>7.1947</v>
      </c>
    </row>
    <row r="1435" spans="12:13">
      <c r="L1435" s="24">
        <v>45870</v>
      </c>
      <c r="M1435" s="19">
        <v>7.2118</v>
      </c>
    </row>
    <row r="1436" spans="12:13">
      <c r="L1436" s="24">
        <v>45873</v>
      </c>
      <c r="M1436" s="19">
        <v>7.1762</v>
      </c>
    </row>
    <row r="1437" spans="12:13">
      <c r="L1437" s="24">
        <v>45874</v>
      </c>
      <c r="M1437" s="19">
        <v>7.1874</v>
      </c>
    </row>
    <row r="1438" spans="12:13">
      <c r="L1438" s="24">
        <v>45875</v>
      </c>
      <c r="M1438" s="19">
        <v>7.1857</v>
      </c>
    </row>
    <row r="1439" spans="12:13">
      <c r="L1439" s="24">
        <v>45876</v>
      </c>
      <c r="M1439" s="19">
        <v>7.1792</v>
      </c>
    </row>
    <row r="1440" spans="12:13">
      <c r="L1440" s="24">
        <v>45877</v>
      </c>
      <c r="M1440" s="19">
        <v>7.1838</v>
      </c>
    </row>
    <row r="1441" spans="12:13">
      <c r="L1441" s="24">
        <v>45880</v>
      </c>
      <c r="M1441" s="19">
        <v>7.1846</v>
      </c>
    </row>
    <row r="1442" spans="12:13">
      <c r="L1442" s="24">
        <v>45881</v>
      </c>
      <c r="M1442" s="19">
        <v>7.1873</v>
      </c>
    </row>
    <row r="1443" spans="12:13">
      <c r="L1443" s="24">
        <v>45882</v>
      </c>
      <c r="M1443" s="19">
        <v>7.1745</v>
      </c>
    </row>
    <row r="1444" spans="12:13">
      <c r="L1444" s="24">
        <v>45883</v>
      </c>
      <c r="M1444" s="19">
        <v>7.1706</v>
      </c>
    </row>
    <row r="1445" spans="12:13">
      <c r="L1445" s="24">
        <v>45884</v>
      </c>
      <c r="M1445" s="19">
        <v>7.1791</v>
      </c>
    </row>
    <row r="1446" spans="12:13">
      <c r="L1446" s="24">
        <v>45887</v>
      </c>
      <c r="M1446" s="19">
        <v>7.1788</v>
      </c>
    </row>
    <row r="1447" spans="12:13">
      <c r="L1447" s="24">
        <v>45888</v>
      </c>
      <c r="M1447" s="19">
        <v>7.1791</v>
      </c>
    </row>
    <row r="1448" spans="12:13">
      <c r="L1448" s="24">
        <v>45889</v>
      </c>
      <c r="M1448" s="19">
        <v>7.1761</v>
      </c>
    </row>
    <row r="1449" spans="12:13">
      <c r="L1449" s="24">
        <v>45890</v>
      </c>
      <c r="M1449" s="19">
        <v>7.1782</v>
      </c>
    </row>
    <row r="1450" spans="12:13">
      <c r="L1450" s="24">
        <v>45891</v>
      </c>
      <c r="M1450" s="19">
        <v>7.1789</v>
      </c>
    </row>
    <row r="1451" spans="12:13">
      <c r="L1451" s="24">
        <v>45894</v>
      </c>
      <c r="M1451" s="19">
        <v>7.1565</v>
      </c>
    </row>
    <row r="1452" spans="12:13">
      <c r="L1452" s="24">
        <v>45895</v>
      </c>
      <c r="M1452" s="19">
        <v>7.1574</v>
      </c>
    </row>
    <row r="1453" spans="12:13">
      <c r="L1453" s="24">
        <v>45896</v>
      </c>
      <c r="M1453" s="19">
        <v>7.1618</v>
      </c>
    </row>
    <row r="1454" spans="12:13">
      <c r="L1454" s="24">
        <v>45897</v>
      </c>
      <c r="M1454" s="19">
        <v>7.1314</v>
      </c>
    </row>
    <row r="1455" spans="12:13">
      <c r="L1455" s="24">
        <v>45898</v>
      </c>
      <c r="M1455" s="19">
        <v>7.1329</v>
      </c>
    </row>
    <row r="1456" spans="12:13">
      <c r="L1456" s="24">
        <v>45901</v>
      </c>
      <c r="M1456" s="19">
        <v>7.1345</v>
      </c>
    </row>
    <row r="1457" spans="12:13">
      <c r="L1457" s="24">
        <v>45902</v>
      </c>
      <c r="M1457" s="19">
        <v>7.1443</v>
      </c>
    </row>
    <row r="1458" spans="12:13">
      <c r="L1458" s="24">
        <v>45903</v>
      </c>
      <c r="M1458" s="19">
        <v>7.1456</v>
      </c>
    </row>
    <row r="1459" spans="12:13">
      <c r="L1459" s="24">
        <v>45904</v>
      </c>
      <c r="M1459" s="19">
        <v>7.1407</v>
      </c>
    </row>
    <row r="1460" spans="12:13">
      <c r="L1460" s="24">
        <v>45905</v>
      </c>
      <c r="M1460" s="19">
        <v>7.1376</v>
      </c>
    </row>
    <row r="1461" spans="12:13">
      <c r="L1461" s="24">
        <v>45908</v>
      </c>
      <c r="M1461" s="19">
        <v>7.1299</v>
      </c>
    </row>
    <row r="1462" spans="12:13">
      <c r="L1462" s="24">
        <v>45909</v>
      </c>
      <c r="M1462" s="19">
        <v>7.1215</v>
      </c>
    </row>
    <row r="1463" spans="12:13">
      <c r="L1463" s="24">
        <v>45910</v>
      </c>
      <c r="M1463" s="19">
        <v>7.1228</v>
      </c>
    </row>
    <row r="1464" spans="12:13">
      <c r="L1464" s="24">
        <v>45911</v>
      </c>
      <c r="M1464" s="19">
        <v>7.1247</v>
      </c>
    </row>
    <row r="1465" spans="12:13">
      <c r="L1465" s="24">
        <v>45912</v>
      </c>
      <c r="M1465" s="19">
        <v>7.1225</v>
      </c>
    </row>
    <row r="1466" spans="12:13">
      <c r="L1466" s="24">
        <v>45915</v>
      </c>
      <c r="M1466" s="19">
        <v>7.1218</v>
      </c>
    </row>
    <row r="1467" spans="12:13">
      <c r="L1467" s="24">
        <v>45916</v>
      </c>
      <c r="M1467" s="19">
        <v>7.1153</v>
      </c>
    </row>
    <row r="1468" spans="12:13">
      <c r="L1468" s="24">
        <v>45917</v>
      </c>
      <c r="M1468" s="19">
        <v>7.1042</v>
      </c>
    </row>
    <row r="1469" spans="12:13">
      <c r="L1469" s="24">
        <v>45918</v>
      </c>
      <c r="M1469" s="19">
        <v>7.1055</v>
      </c>
    </row>
    <row r="1470" spans="12:13">
      <c r="L1470" s="24">
        <v>45919</v>
      </c>
      <c r="M1470" s="19">
        <v>7.1157</v>
      </c>
    </row>
    <row r="1471" spans="12:13">
      <c r="L1471" s="24">
        <v>45922</v>
      </c>
      <c r="M1471" s="19">
        <v>7.1121</v>
      </c>
    </row>
    <row r="1472" spans="12:13">
      <c r="L1472" s="24">
        <v>45923</v>
      </c>
      <c r="M1472" s="19">
        <v>7.1118</v>
      </c>
    </row>
    <row r="1473" spans="12:13">
      <c r="L1473" s="24">
        <v>45924</v>
      </c>
      <c r="M1473" s="19">
        <v>7.1271</v>
      </c>
    </row>
    <row r="1474" spans="12:13">
      <c r="L1474" s="24">
        <v>45925</v>
      </c>
      <c r="M1474" s="19">
        <v>7.1241</v>
      </c>
    </row>
    <row r="1475" spans="12:13">
      <c r="L1475" s="24">
        <v>45926</v>
      </c>
      <c r="M1475" s="19">
        <v>7.1374</v>
      </c>
    </row>
    <row r="1476" spans="12:13">
      <c r="L1476" s="24">
        <v>45929</v>
      </c>
      <c r="M1476" s="19">
        <v>7.1212</v>
      </c>
    </row>
    <row r="1477" spans="12:13">
      <c r="L1477" s="24">
        <v>45930</v>
      </c>
      <c r="M1477" s="19">
        <v>7.1196</v>
      </c>
    </row>
    <row r="1478" spans="12:13">
      <c r="L1478" s="24">
        <v>45931</v>
      </c>
      <c r="M1478" s="19">
        <v>7.1196</v>
      </c>
    </row>
    <row r="1479" spans="12:13">
      <c r="L1479" s="24">
        <v>45932</v>
      </c>
      <c r="M1479" s="19">
        <v>7.1195</v>
      </c>
    </row>
    <row r="1480" spans="12:13">
      <c r="L1480" s="24">
        <v>45933</v>
      </c>
      <c r="M1480" s="19">
        <v>7.1196</v>
      </c>
    </row>
    <row r="1481" spans="12:13">
      <c r="L1481" s="24">
        <v>45936</v>
      </c>
      <c r="M1481" s="19">
        <v>7.1195</v>
      </c>
    </row>
    <row r="1482" spans="12:13">
      <c r="L1482" s="24">
        <v>45937</v>
      </c>
      <c r="M1482" s="19">
        <v>7.1196</v>
      </c>
    </row>
    <row r="1483" spans="12:13">
      <c r="L1483" s="24">
        <v>45938</v>
      </c>
      <c r="M1483" s="19">
        <v>7.1195</v>
      </c>
    </row>
    <row r="1484" spans="12:13">
      <c r="L1484" s="24">
        <v>45939</v>
      </c>
      <c r="M1484" s="19">
        <v>7.1224</v>
      </c>
    </row>
    <row r="1485" spans="12:13">
      <c r="L1485" s="24">
        <v>45940</v>
      </c>
      <c r="M1485" s="19">
        <v>7.1228</v>
      </c>
    </row>
    <row r="1486" spans="12:13">
      <c r="L1486" s="24">
        <v>45943</v>
      </c>
      <c r="M1486" s="19">
        <v>7.1321</v>
      </c>
    </row>
    <row r="1487" spans="12:13">
      <c r="L1487" s="24">
        <v>45944</v>
      </c>
      <c r="M1487" s="19">
        <v>7.14</v>
      </c>
    </row>
    <row r="1488" spans="12:13">
      <c r="L1488" s="24">
        <v>45945</v>
      </c>
      <c r="M1488" s="19">
        <v>7.1264</v>
      </c>
    </row>
    <row r="1489" spans="12:13">
      <c r="L1489" s="24">
        <v>45946</v>
      </c>
      <c r="M1489" s="19">
        <v>7.1258</v>
      </c>
    </row>
    <row r="1490" spans="12:13">
      <c r="L1490" s="24">
        <v>45947</v>
      </c>
      <c r="M1490" s="19">
        <v>7.1223</v>
      </c>
    </row>
    <row r="1491" spans="12:13">
      <c r="L1491" s="24">
        <v>45950</v>
      </c>
      <c r="M1491" s="19">
        <v>7.1235</v>
      </c>
    </row>
    <row r="1492" spans="12:13">
      <c r="L1492" s="24">
        <v>45951</v>
      </c>
      <c r="M1492" s="19">
        <v>7.1186</v>
      </c>
    </row>
    <row r="1493" spans="12:13">
      <c r="L1493" s="24">
        <v>45952</v>
      </c>
      <c r="M1493" s="19">
        <v>7.1266</v>
      </c>
    </row>
    <row r="1494" spans="12:13">
      <c r="L1494" s="24">
        <v>45953</v>
      </c>
      <c r="M1494" s="19">
        <v>7.1244</v>
      </c>
    </row>
    <row r="1495" spans="12:13">
      <c r="L1495" s="24">
        <v>45954</v>
      </c>
      <c r="M1495" s="19">
        <v>7.1225</v>
      </c>
    </row>
    <row r="1496" spans="12:13">
      <c r="L1496" s="24">
        <v>45957</v>
      </c>
      <c r="M1496" s="19">
        <v>7.1075</v>
      </c>
    </row>
    <row r="1497" spans="12:13">
      <c r="L1497" s="24">
        <v>45958</v>
      </c>
      <c r="M1497" s="19">
        <v>7.1014</v>
      </c>
    </row>
    <row r="1498" spans="12:13">
      <c r="L1498" s="24">
        <v>45959</v>
      </c>
      <c r="M1498" s="19">
        <v>7.0994</v>
      </c>
    </row>
    <row r="1499" spans="12:13">
      <c r="L1499" s="24">
        <v>45960</v>
      </c>
      <c r="M1499" s="19">
        <v>7.1143</v>
      </c>
    </row>
    <row r="1500" spans="12:13">
      <c r="L1500" s="24">
        <v>45961</v>
      </c>
      <c r="M1500" s="19">
        <v>7.1162</v>
      </c>
    </row>
    <row r="1501" spans="12:13">
      <c r="L1501" s="24">
        <v>45964</v>
      </c>
      <c r="M1501" s="19">
        <v>7.1206</v>
      </c>
    </row>
    <row r="1502" spans="12:13">
      <c r="L1502" s="24">
        <v>45965</v>
      </c>
      <c r="M1502" s="19">
        <v>7.1253</v>
      </c>
    </row>
    <row r="1503" spans="12:13">
      <c r="L1503" s="24">
        <v>45966</v>
      </c>
      <c r="M1503" s="19">
        <v>7.1271</v>
      </c>
    </row>
    <row r="1504" spans="12:13">
      <c r="L1504" s="24">
        <v>45967</v>
      </c>
      <c r="M1504" s="19">
        <v>7.1195</v>
      </c>
    </row>
    <row r="1505" spans="12:13">
      <c r="L1505" s="24">
        <v>45968</v>
      </c>
      <c r="M1505" s="19">
        <v>7.1208</v>
      </c>
    </row>
    <row r="1506" spans="12:13">
      <c r="L1506" s="24">
        <v>45971</v>
      </c>
      <c r="M1506" s="19">
        <v>7.1193</v>
      </c>
    </row>
    <row r="1507" spans="12:13">
      <c r="L1507" s="24">
        <v>45972</v>
      </c>
      <c r="M1507" s="19">
        <v>7.1185</v>
      </c>
    </row>
    <row r="1508" spans="12:13">
      <c r="L1508" s="24">
        <v>45973</v>
      </c>
      <c r="M1508" s="19">
        <v>7.1165</v>
      </c>
    </row>
    <row r="1509" spans="12:13">
      <c r="L1509" s="24">
        <v>45974</v>
      </c>
      <c r="M1509" s="19">
        <v>7.0961</v>
      </c>
    </row>
    <row r="1510" spans="12:13">
      <c r="L1510" s="24">
        <v>45975</v>
      </c>
      <c r="M1510" s="19">
        <v>7.0961</v>
      </c>
    </row>
    <row r="1511" spans="12:13">
      <c r="L1511" s="24">
        <v>45978</v>
      </c>
      <c r="M1511" s="19">
        <v>7.1076</v>
      </c>
    </row>
    <row r="1512" spans="12:13">
      <c r="L1512" s="24">
        <v>45979</v>
      </c>
      <c r="M1512" s="19">
        <v>7.1104</v>
      </c>
    </row>
    <row r="1513" spans="12:13">
      <c r="L1513" s="24">
        <v>45980</v>
      </c>
      <c r="M1513" s="19">
        <v>7.1103</v>
      </c>
    </row>
    <row r="1514" spans="12:13">
      <c r="L1514" s="24">
        <v>45981</v>
      </c>
      <c r="M1514" s="19">
        <v>7.1138</v>
      </c>
    </row>
    <row r="1515" spans="12:13">
      <c r="L1515" s="24">
        <v>45982</v>
      </c>
      <c r="M1515" s="19">
        <v>7.1098</v>
      </c>
    </row>
    <row r="1516" spans="12:13">
      <c r="L1516" s="24">
        <v>45985</v>
      </c>
      <c r="M1516" s="19">
        <v>7.0888</v>
      </c>
    </row>
    <row r="1517" spans="12:13">
      <c r="L1517" s="24">
        <v>45986</v>
      </c>
      <c r="M1517" s="19">
        <v>7.0855</v>
      </c>
    </row>
    <row r="1518" spans="12:13">
      <c r="L1518" s="24">
        <v>45987</v>
      </c>
      <c r="M1518" s="19">
        <v>7.0795</v>
      </c>
    </row>
    <row r="1519" spans="12:13">
      <c r="L1519" s="24">
        <v>45988</v>
      </c>
      <c r="M1519" s="19">
        <v>7.0834</v>
      </c>
    </row>
    <row r="1520" spans="12:13">
      <c r="L1520" s="24">
        <v>45989</v>
      </c>
      <c r="M1520" s="19">
        <v>7.0756</v>
      </c>
    </row>
    <row r="1521" spans="12:13">
      <c r="L1521" s="24">
        <v>45992</v>
      </c>
      <c r="M1521" s="19">
        <v>7.0718</v>
      </c>
    </row>
    <row r="1522" spans="12:13">
      <c r="L1522" s="24">
        <v>45993</v>
      </c>
      <c r="M1522" s="19">
        <v>7.071</v>
      </c>
    </row>
    <row r="1523" spans="12:13">
      <c r="L1523" s="24">
        <v>45994</v>
      </c>
      <c r="M1523" s="19">
        <v>7.0638</v>
      </c>
    </row>
    <row r="1524" spans="12:13">
      <c r="L1524" s="24">
        <v>45995</v>
      </c>
      <c r="M1524" s="19">
        <v>7.0717</v>
      </c>
    </row>
    <row r="1525" spans="12:13">
      <c r="L1525" s="24">
        <v>45996</v>
      </c>
      <c r="M1525" s="19">
        <v>7.0702</v>
      </c>
    </row>
    <row r="1526" spans="12:13">
      <c r="L1526" s="24">
        <v>45999</v>
      </c>
      <c r="M1526" s="19">
        <v>7.068</v>
      </c>
    </row>
    <row r="1527" spans="12:13">
      <c r="L1527" s="24">
        <v>46000</v>
      </c>
      <c r="M1527" s="19">
        <v>7.0643</v>
      </c>
    </row>
    <row r="1528" spans="12:13">
      <c r="L1528" s="24">
        <v>46001</v>
      </c>
      <c r="M1528" s="19">
        <v>7.0625</v>
      </c>
    </row>
    <row r="1529" spans="12:13">
      <c r="L1529" s="24">
        <v>46002</v>
      </c>
      <c r="M1529" s="19">
        <v>7.0581</v>
      </c>
    </row>
    <row r="1530" spans="12:13">
      <c r="L1530" s="24">
        <v>46003</v>
      </c>
      <c r="M1530" s="19">
        <v>7.0547</v>
      </c>
    </row>
    <row r="1531" spans="12:13">
      <c r="L1531" s="24">
        <v>46006</v>
      </c>
      <c r="M1531" s="19">
        <v>7.0471</v>
      </c>
    </row>
    <row r="1532" spans="12:13">
      <c r="L1532" s="24">
        <v>46007</v>
      </c>
      <c r="M1532" s="19">
        <v>7.0423</v>
      </c>
    </row>
    <row r="1533" spans="12:13">
      <c r="L1533" s="24">
        <v>46008</v>
      </c>
      <c r="M1533" s="19">
        <v>7.0439</v>
      </c>
    </row>
    <row r="1534" spans="12:13">
      <c r="L1534" s="24">
        <v>46009</v>
      </c>
      <c r="M1534" s="19">
        <v>7.0413</v>
      </c>
    </row>
    <row r="1535" spans="12:13">
      <c r="L1535" s="24">
        <v>46010</v>
      </c>
      <c r="M1535" s="19">
        <v>7.0411</v>
      </c>
    </row>
    <row r="1536" spans="12:13">
      <c r="L1536" s="24">
        <v>46013</v>
      </c>
      <c r="M1536" s="19">
        <v>7.037</v>
      </c>
    </row>
    <row r="1537" spans="12:13">
      <c r="L1537" s="24">
        <v>46014</v>
      </c>
      <c r="M1537" s="19">
        <v>7.0281</v>
      </c>
    </row>
    <row r="1538" spans="12:13">
      <c r="L1538" s="24">
        <v>46015</v>
      </c>
      <c r="M1538" s="19">
        <v>7.0144</v>
      </c>
    </row>
    <row r="1539" spans="12:13">
      <c r="L1539" s="24">
        <v>46020</v>
      </c>
      <c r="M1539" s="19">
        <v>7.0065</v>
      </c>
    </row>
    <row r="1540" spans="12:13">
      <c r="L1540" s="24">
        <v>46021</v>
      </c>
      <c r="M1540" s="19">
        <v>6.9929</v>
      </c>
    </row>
    <row r="1541" spans="12:13">
      <c r="L1541" s="24">
        <v>46022</v>
      </c>
      <c r="M1541" s="19">
        <v>7.001</v>
      </c>
    </row>
    <row r="1542" spans="12:13">
      <c r="L1542" s="24">
        <v>46024</v>
      </c>
      <c r="M1542" s="19">
        <v>6.9937</v>
      </c>
    </row>
    <row r="1543" spans="12:13">
      <c r="L1543" s="24">
        <v>46027</v>
      </c>
      <c r="M1543" s="19">
        <v>6.9854</v>
      </c>
    </row>
    <row r="1544" spans="12:13">
      <c r="L1544" s="24">
        <v>46028</v>
      </c>
      <c r="M1544" s="19">
        <v>6.9844</v>
      </c>
    </row>
    <row r="1545" spans="12:13">
      <c r="L1545" s="24">
        <v>46029</v>
      </c>
      <c r="M1545" s="19">
        <v>6.9912</v>
      </c>
    </row>
    <row r="1546" spans="12:13">
      <c r="L1546" s="24">
        <v>46030</v>
      </c>
      <c r="M1546" s="19">
        <v>6.9818</v>
      </c>
    </row>
    <row r="1547" spans="12:13">
      <c r="L1547" s="24">
        <v>46031</v>
      </c>
      <c r="M1547" s="19">
        <v>6.9823</v>
      </c>
    </row>
    <row r="1548" spans="12:13">
      <c r="L1548" s="24">
        <v>46034</v>
      </c>
      <c r="M1548" s="19">
        <v>6.9731</v>
      </c>
    </row>
    <row r="1549" spans="12:13">
      <c r="L1549" s="24">
        <v>46035</v>
      </c>
      <c r="M1549" s="19">
        <v>6.9756</v>
      </c>
    </row>
    <row r="1550" spans="12:13">
      <c r="L1550" s="24">
        <v>46036</v>
      </c>
      <c r="M1550" s="19">
        <v>6.9734</v>
      </c>
    </row>
    <row r="1551" spans="12:13">
      <c r="L1551" s="24">
        <v>46037</v>
      </c>
      <c r="M1551" s="19">
        <v>6.9673</v>
      </c>
    </row>
    <row r="1552" spans="12:13">
      <c r="L1552" s="24">
        <v>46038</v>
      </c>
      <c r="M1552" s="19">
        <v>6.9697</v>
      </c>
    </row>
    <row r="1553" spans="12:13">
      <c r="L1553" s="24">
        <v>46041</v>
      </c>
      <c r="M1553" s="19">
        <v>6.9634</v>
      </c>
    </row>
    <row r="1554" spans="12:13">
      <c r="L1554" s="24">
        <v>46042</v>
      </c>
      <c r="M1554" s="19">
        <v>6.9589</v>
      </c>
    </row>
    <row r="1555" spans="12:13">
      <c r="L1555" s="24">
        <v>46043</v>
      </c>
      <c r="M1555" s="19">
        <v>6.9639</v>
      </c>
    </row>
    <row r="1556" spans="12:13">
      <c r="L1556" s="24">
        <v>46044</v>
      </c>
      <c r="M1556" s="19">
        <v>6.9757</v>
      </c>
    </row>
    <row r="1557" spans="12:13">
      <c r="L1557" s="24">
        <v>46045</v>
      </c>
      <c r="M1557" s="19">
        <v>6.9646</v>
      </c>
    </row>
    <row r="1558" spans="12:13">
      <c r="L1558" s="24">
        <v>46048</v>
      </c>
      <c r="M1558" s="19">
        <v>6.9544</v>
      </c>
    </row>
    <row r="1559" spans="12:13">
      <c r="L1559" s="24">
        <v>46049</v>
      </c>
      <c r="M1559" s="19">
        <v>6.9548</v>
      </c>
    </row>
    <row r="1560" spans="12:13">
      <c r="L1560" s="24">
        <v>46050</v>
      </c>
      <c r="M1560" s="19">
        <v>6.9464</v>
      </c>
    </row>
    <row r="1561" spans="12:13">
      <c r="L1561" s="24">
        <v>46051</v>
      </c>
      <c r="M1561" s="19">
        <v>6.9462</v>
      </c>
    </row>
    <row r="1562" spans="12:13">
      <c r="L1562" s="24">
        <v>46052</v>
      </c>
      <c r="M1562" s="19">
        <v>6.9497</v>
      </c>
    </row>
    <row r="1563" spans="12:13">
      <c r="L1563" s="24">
        <v>46055</v>
      </c>
      <c r="M1563" s="19">
        <v>6.9434</v>
      </c>
    </row>
    <row r="1564" spans="12:13">
      <c r="L1564" s="24">
        <v>46056</v>
      </c>
      <c r="M1564" s="19">
        <v>6.9381</v>
      </c>
    </row>
    <row r="1565" spans="12:13">
      <c r="L1565" s="24">
        <v>46057</v>
      </c>
      <c r="M1565" s="19">
        <v>6.9417</v>
      </c>
    </row>
    <row r="1566" spans="12:13">
      <c r="L1566" s="24">
        <v>46058</v>
      </c>
      <c r="M1566" s="19">
        <v>6.9392</v>
      </c>
    </row>
    <row r="1567" spans="12:13">
      <c r="L1567" s="24">
        <v>46059</v>
      </c>
      <c r="M1567" s="19">
        <v>6.939</v>
      </c>
    </row>
    <row r="1568" spans="12:13">
      <c r="L1568" s="24">
        <v>46062</v>
      </c>
      <c r="M1568" s="19">
        <v>6.9225</v>
      </c>
    </row>
    <row r="1569" spans="12:13">
      <c r="L1569" s="24">
        <v>46063</v>
      </c>
      <c r="M1569" s="19">
        <v>6.9148</v>
      </c>
    </row>
    <row r="1570" spans="12:13">
      <c r="L1570" s="24">
        <v>46064</v>
      </c>
      <c r="M1570" s="19">
        <v>6.9113</v>
      </c>
    </row>
    <row r="1571" spans="12:13">
      <c r="L1571" s="24">
        <v>46065</v>
      </c>
      <c r="M1571" s="19">
        <v>6.9011</v>
      </c>
    </row>
    <row r="1572" spans="12:13">
      <c r="L1572" s="24">
        <v>46066</v>
      </c>
      <c r="M1572" s="19">
        <v>6.9086</v>
      </c>
    </row>
    <row r="1573" spans="12:13">
      <c r="L1573" s="24">
        <v>46069</v>
      </c>
      <c r="M1573" s="19">
        <v>6.9086</v>
      </c>
    </row>
    <row r="1574" spans="12:13">
      <c r="L1574" s="24">
        <v>46070</v>
      </c>
      <c r="M1574" s="19">
        <v>6.9087</v>
      </c>
    </row>
    <row r="1575" spans="12:13">
      <c r="L1575" s="24">
        <v>46071</v>
      </c>
      <c r="M1575" s="19">
        <v>6.9087</v>
      </c>
    </row>
    <row r="1576" spans="12:13">
      <c r="L1576" s="24">
        <v>46072</v>
      </c>
      <c r="M1576" s="19">
        <v>6.9086</v>
      </c>
    </row>
    <row r="1577" spans="12:13">
      <c r="L1577" s="24">
        <v>46073</v>
      </c>
      <c r="M1577" s="19">
        <v>6.9086</v>
      </c>
    </row>
    <row r="1578" spans="12:13">
      <c r="L1578" s="24">
        <v>46076</v>
      </c>
      <c r="M1578" s="19">
        <v>6.9087</v>
      </c>
    </row>
    <row r="1579" spans="12:13">
      <c r="L1579" s="24">
        <v>46077</v>
      </c>
      <c r="M1579" s="19">
        <v>6.8817</v>
      </c>
    </row>
    <row r="1580" spans="12:13">
      <c r="L1580" s="24">
        <v>46078</v>
      </c>
      <c r="M1580" s="19">
        <v>6.8695</v>
      </c>
    </row>
    <row r="1581" spans="12:13">
      <c r="L1581" s="24">
        <v>46079</v>
      </c>
      <c r="M1581" s="19">
        <v>6.8413</v>
      </c>
    </row>
    <row r="1582" spans="12:13">
      <c r="L1582" s="24">
        <v>46080</v>
      </c>
      <c r="M1582" s="19">
        <v>6.8582</v>
      </c>
    </row>
    <row r="1583" spans="12:13">
      <c r="L1583" s="24">
        <v>46083</v>
      </c>
      <c r="M1583" s="19">
        <v>6.8825</v>
      </c>
    </row>
    <row r="1584" spans="12:13">
      <c r="L1584" s="24">
        <v>46084</v>
      </c>
      <c r="M1584" s="19">
        <v>6.9076</v>
      </c>
    </row>
    <row r="1585" spans="12:13">
      <c r="L1585" s="24">
        <v>46085</v>
      </c>
      <c r="M1585" s="19">
        <v>6.8973</v>
      </c>
    </row>
    <row r="1586" spans="12:13">
      <c r="L1586" s="24">
        <v>46086</v>
      </c>
      <c r="M1586" s="19">
        <v>6.9011</v>
      </c>
    </row>
    <row r="1587" spans="12:13">
      <c r="L1587" s="24">
        <v>46087</v>
      </c>
      <c r="M1587" s="19">
        <v>6.9047</v>
      </c>
    </row>
    <row r="1588" spans="12:13">
      <c r="L1588" s="24">
        <v>46090</v>
      </c>
      <c r="M1588" s="19">
        <v>6.9173</v>
      </c>
    </row>
    <row r="1589" spans="12:13">
      <c r="L1589" s="24">
        <v>46091</v>
      </c>
      <c r="M1589" s="19">
        <v>6.8772</v>
      </c>
    </row>
    <row r="1590" spans="12:13">
      <c r="L1590" s="24">
        <v>46092</v>
      </c>
      <c r="M1590" s="19">
        <v>6.8662</v>
      </c>
    </row>
    <row r="1591" spans="12:13">
      <c r="L1591" s="24">
        <v>46093</v>
      </c>
      <c r="M1591" s="19">
        <v>6.869</v>
      </c>
    </row>
    <row r="1592" spans="12:13">
      <c r="L1592" s="24">
        <v>46094</v>
      </c>
      <c r="M1592" s="19">
        <v>6.8966</v>
      </c>
    </row>
    <row r="1593" spans="12:13">
      <c r="L1593" s="24">
        <v>46097</v>
      </c>
      <c r="M1593" s="19">
        <v>6.8961</v>
      </c>
    </row>
    <row r="1594" spans="12:13">
      <c r="L1594" s="24">
        <v>46098</v>
      </c>
      <c r="M1594" s="19">
        <v>6.8868</v>
      </c>
    </row>
    <row r="1595" spans="12:13">
      <c r="L1595" s="24">
        <v>46099</v>
      </c>
      <c r="M1595" s="19">
        <v>6.8882</v>
      </c>
    </row>
    <row r="1596" spans="12:13">
      <c r="L1596" s="24">
        <v>46100</v>
      </c>
      <c r="M1596" s="19">
        <v>6.9004</v>
      </c>
    </row>
    <row r="1597" spans="12:13">
      <c r="L1597" s="24">
        <v>46101</v>
      </c>
      <c r="M1597" s="19">
        <v>6.8943</v>
      </c>
    </row>
    <row r="1598" spans="12:13">
      <c r="L1598" s="24">
        <v>46104</v>
      </c>
      <c r="M1598" s="19">
        <v>6.8917</v>
      </c>
    </row>
    <row r="1599" spans="12:13">
      <c r="L1599" s="24">
        <v>46105</v>
      </c>
      <c r="M1599" s="19">
        <v>6.8934</v>
      </c>
    </row>
    <row r="1600" spans="12:13">
      <c r="L1600" s="24">
        <v>46106</v>
      </c>
      <c r="M1600" s="19">
        <v>6.8995</v>
      </c>
    </row>
    <row r="1601" spans="12:13">
      <c r="L1601" s="24">
        <v>46107</v>
      </c>
      <c r="M1601" s="19">
        <v>6.9102</v>
      </c>
    </row>
    <row r="1602" spans="12:13">
      <c r="L1602" s="24">
        <v>46108</v>
      </c>
      <c r="M1602" s="19">
        <v>6.9138</v>
      </c>
    </row>
    <row r="1603" spans="12:13">
      <c r="L1603" s="24">
        <v>46111</v>
      </c>
      <c r="M1603" s="19">
        <v>6.9114</v>
      </c>
    </row>
    <row r="1604" spans="12:13">
      <c r="L1604" s="24">
        <v>46112</v>
      </c>
      <c r="M1604" s="19">
        <v>6.9004</v>
      </c>
    </row>
    <row r="1605" spans="12:13">
      <c r="L1605" s="24">
        <v>46113</v>
      </c>
      <c r="M1605" s="19">
        <v>6.8738</v>
      </c>
    </row>
    <row r="1606" spans="12:13">
      <c r="L1606" s="24">
        <v>46114</v>
      </c>
      <c r="M1606" s="19">
        <v>6.8976</v>
      </c>
    </row>
    <row r="1607" spans="12:13">
      <c r="L1607" s="24">
        <v>46119</v>
      </c>
      <c r="M1607" s="19">
        <v>6.8574</v>
      </c>
    </row>
    <row r="1608" spans="12:13">
      <c r="L1608" s="24">
        <v>46120</v>
      </c>
      <c r="M1608" s="19">
        <v>6.8297</v>
      </c>
    </row>
    <row r="1609" spans="12:13">
      <c r="L1609" s="24">
        <v>46121</v>
      </c>
      <c r="M1609" s="19">
        <v>6.8347</v>
      </c>
    </row>
    <row r="1610" spans="12:13">
      <c r="L1610" s="24">
        <v>46122</v>
      </c>
      <c r="M1610" s="19">
        <v>6.8284</v>
      </c>
    </row>
    <row r="1611" spans="12:13">
      <c r="L1611" s="24">
        <v>46125</v>
      </c>
      <c r="M1611" s="19">
        <v>6.8322</v>
      </c>
    </row>
    <row r="1612" spans="12:13">
      <c r="L1612" s="24">
        <v>46126</v>
      </c>
      <c r="M1612" s="19">
        <v>6.8158</v>
      </c>
    </row>
    <row r="1613" spans="12:13">
      <c r="L1613" s="24">
        <v>46127</v>
      </c>
      <c r="M1613" s="19">
        <v>6.8211</v>
      </c>
    </row>
    <row r="1614" spans="12:13">
      <c r="L1614" s="24">
        <v>46128</v>
      </c>
      <c r="M1614" s="19">
        <v>6.8213</v>
      </c>
    </row>
    <row r="1615" spans="12:13">
      <c r="L1615" s="24">
        <v>46129</v>
      </c>
      <c r="M1615" s="19">
        <v>6.8223</v>
      </c>
    </row>
    <row r="1616" spans="12:13">
      <c r="L1616" s="24">
        <v>46132</v>
      </c>
      <c r="M1616" s="19">
        <v>6.8177</v>
      </c>
    </row>
    <row r="1617" spans="12:13">
      <c r="L1617" s="24">
        <v>46133</v>
      </c>
      <c r="M1617" s="19">
        <v>6.8158</v>
      </c>
    </row>
    <row r="1618" spans="12:13">
      <c r="L1618" s="24">
        <v>46134</v>
      </c>
      <c r="M1618" s="19">
        <v>6.8244</v>
      </c>
    </row>
    <row r="1619" spans="12:13">
      <c r="L1619" s="24">
        <v>46135</v>
      </c>
      <c r="M1619" s="19">
        <v>6.835</v>
      </c>
    </row>
    <row r="1620" spans="12:13">
      <c r="L1620" s="24">
        <v>46136</v>
      </c>
      <c r="M1620" s="19">
        <v>6.8363</v>
      </c>
    </row>
    <row r="1621" spans="12:13">
      <c r="L1621" s="24">
        <v>46139</v>
      </c>
      <c r="M1621" s="19">
        <v>6.8231</v>
      </c>
    </row>
    <row r="1622" spans="12:13">
      <c r="L1622" s="24">
        <v>46140</v>
      </c>
      <c r="M1622" s="19">
        <v>6.8388</v>
      </c>
    </row>
    <row r="1623" spans="12:13">
      <c r="L1623" s="24">
        <v>46141</v>
      </c>
      <c r="M1623" s="19">
        <v>6.8335</v>
      </c>
    </row>
    <row r="1624" spans="12:13">
      <c r="L1624" s="24">
        <v>46142</v>
      </c>
      <c r="M1624" s="19">
        <v>6.8287</v>
      </c>
    </row>
    <row r="1625" spans="12:13">
      <c r="L1625" s="24">
        <v>46146</v>
      </c>
      <c r="M1625" s="19">
        <v>6.8303</v>
      </c>
    </row>
    <row r="1626" spans="12:13">
      <c r="L1626" s="24">
        <v>46147</v>
      </c>
      <c r="M1626" s="19">
        <v>6.8302</v>
      </c>
    </row>
    <row r="1627" spans="12:13">
      <c r="L1627" s="24">
        <v>46148</v>
      </c>
      <c r="M1627" s="19">
        <v>6.8112</v>
      </c>
    </row>
    <row r="1628" spans="12:13">
      <c r="L1628" s="24">
        <v>46149</v>
      </c>
      <c r="M1628" s="19">
        <v>6.8019</v>
      </c>
    </row>
    <row r="1629" spans="12:13">
      <c r="L1629" s="24">
        <v>46150</v>
      </c>
      <c r="M1629" s="19">
        <v>6.8012</v>
      </c>
    </row>
    <row r="1630" spans="12:13">
      <c r="L1630" s="24">
        <v>46153</v>
      </c>
      <c r="M1630" s="19">
        <v>6.7965</v>
      </c>
    </row>
    <row r="1631" spans="12:13">
      <c r="L1631" s="24">
        <v>46154</v>
      </c>
      <c r="M1631" s="19">
        <v>6.7921</v>
      </c>
    </row>
    <row r="1632" spans="12:13">
      <c r="L1632" s="24">
        <v>46155</v>
      </c>
      <c r="M1632" s="19">
        <v>6.791</v>
      </c>
    </row>
    <row r="1633" spans="12:13">
      <c r="L1633" s="24">
        <v>46156</v>
      </c>
      <c r="M1633" s="19">
        <v>6.7852</v>
      </c>
    </row>
    <row r="1634" spans="12:13">
      <c r="L1634" s="24">
        <v>46157</v>
      </c>
      <c r="M1634" s="19">
        <v>6.8106</v>
      </c>
    </row>
    <row r="1635" spans="12:13">
      <c r="L1635" s="24">
        <v>46160</v>
      </c>
      <c r="M1635" s="19">
        <v>6.8002</v>
      </c>
    </row>
    <row r="1636" spans="12:13">
      <c r="L1636" s="24">
        <v>46161</v>
      </c>
      <c r="M1636" s="19">
        <v>6.8061</v>
      </c>
    </row>
    <row r="1637" spans="12:13">
      <c r="L1637" s="24">
        <v>46162</v>
      </c>
      <c r="M1637" s="19">
        <v>6.8028</v>
      </c>
    </row>
    <row r="1638" spans="12:13">
      <c r="L1638" s="24">
        <v>46163</v>
      </c>
      <c r="M1638" s="19">
        <v>6.8022</v>
      </c>
    </row>
    <row r="1639" spans="12:13">
      <c r="L1639" s="24">
        <v>46164</v>
      </c>
      <c r="M1639" s="19">
        <v>6.7953</v>
      </c>
    </row>
    <row r="1640" spans="12:13">
      <c r="L1640" s="24">
        <v>46167</v>
      </c>
      <c r="M1640" s="19">
        <v>6.7843</v>
      </c>
    </row>
    <row r="1641" spans="12:13">
      <c r="L1641" s="24">
        <v>46168</v>
      </c>
      <c r="M1641" s="19">
        <v>6.7852</v>
      </c>
    </row>
    <row r="1642" spans="12:13">
      <c r="L1642" s="24">
        <v>46169</v>
      </c>
      <c r="M1642" s="19">
        <v>6.7821</v>
      </c>
    </row>
    <row r="1643" spans="12:13">
      <c r="L1643" s="24">
        <v>46170</v>
      </c>
      <c r="M1643" s="19">
        <v>6.7799</v>
      </c>
    </row>
    <row r="1644" spans="12:13">
      <c r="L1644" s="24">
        <v>46171</v>
      </c>
      <c r="M1644" s="19">
        <v>6.7668</v>
      </c>
    </row>
    <row r="1645" spans="12:13">
      <c r="L1645" s="24">
        <v>46174</v>
      </c>
      <c r="M1645" s="19">
        <v>6.7651</v>
      </c>
    </row>
    <row r="1646" spans="12:13">
      <c r="L1646" s="24">
        <v>46175</v>
      </c>
      <c r="M1646" s="19">
        <v>6.7626</v>
      </c>
    </row>
    <row r="1647" spans="12:13">
      <c r="L1647" s="24">
        <v>46176</v>
      </c>
      <c r="M1647" s="19">
        <v>6.7694</v>
      </c>
    </row>
    <row r="1648" spans="12:13">
      <c r="L1648" s="24">
        <v>46177</v>
      </c>
      <c r="M1648" s="19">
        <v>6.7739</v>
      </c>
    </row>
    <row r="1649" spans="12:13">
      <c r="L1649" s="24">
        <v>46178</v>
      </c>
      <c r="M1649" s="19">
        <v>6.7656</v>
      </c>
    </row>
    <row r="1650" spans="12:13">
      <c r="L1650" s="24">
        <v>46181</v>
      </c>
      <c r="M1650" s="19">
        <v>6.7819</v>
      </c>
    </row>
    <row r="1651" spans="12:13">
      <c r="L1651" s="24">
        <v>46182</v>
      </c>
      <c r="M1651" s="19">
        <v>6.7715</v>
      </c>
    </row>
    <row r="1652" spans="12:13">
      <c r="L1652" s="24">
        <v>46183</v>
      </c>
      <c r="M1652" s="19">
        <v>6.7807</v>
      </c>
    </row>
    <row r="1653" spans="12:13">
      <c r="L1653" s="24">
        <v>46184</v>
      </c>
      <c r="M1653" s="19">
        <v>6.7774</v>
      </c>
    </row>
    <row r="1654" spans="12:13">
      <c r="L1654" s="24">
        <v>46185</v>
      </c>
      <c r="M1654" s="19">
        <v>6.7623</v>
      </c>
    </row>
    <row r="1655" spans="12:13">
      <c r="L1655" s="24">
        <v>46188</v>
      </c>
      <c r="M1655" s="19">
        <v>6.757</v>
      </c>
    </row>
    <row r="1656" spans="12:13">
      <c r="L1656" s="24">
        <v>46189</v>
      </c>
      <c r="M1656" s="19">
        <v>6.7564</v>
      </c>
    </row>
    <row r="1657" spans="12:13">
      <c r="L1657" s="24">
        <v>46190</v>
      </c>
      <c r="M1657" s="19">
        <v>6.7595</v>
      </c>
    </row>
    <row r="1658" spans="12:13">
      <c r="L1658" s="24">
        <v>46191</v>
      </c>
      <c r="M1658" s="19">
        <v>6.7716</v>
      </c>
    </row>
    <row r="1659" spans="12:13">
      <c r="L1659" s="24">
        <v>46192</v>
      </c>
      <c r="M1659" s="19">
        <v>6.7693</v>
      </c>
    </row>
    <row r="1660" spans="12:13">
      <c r="L1660" s="24">
        <v>46195</v>
      </c>
      <c r="M1660" s="19">
        <v>6.7748</v>
      </c>
    </row>
    <row r="1661" spans="12:13">
      <c r="L1661" s="24">
        <v>46196</v>
      </c>
      <c r="M1661" s="19">
        <v>6.7857</v>
      </c>
    </row>
    <row r="1662" spans="12:13">
      <c r="L1662" s="24">
        <v>46197</v>
      </c>
      <c r="M1662" s="19">
        <v>6.8109</v>
      </c>
    </row>
    <row r="1663" spans="12:13">
      <c r="L1663" s="24">
        <v>46198</v>
      </c>
      <c r="M1663" s="19">
        <v>6.7982</v>
      </c>
    </row>
    <row r="1664" spans="12:13">
      <c r="L1664" s="24">
        <v>46199</v>
      </c>
      <c r="M1664" s="19">
        <v>6.7982</v>
      </c>
    </row>
    <row r="1665" spans="12:13">
      <c r="L1665" s="24">
        <v>46202</v>
      </c>
      <c r="M1665" s="19">
        <v>6.794</v>
      </c>
    </row>
    <row r="1666" spans="12:13">
      <c r="L1666" s="24">
        <v>46203</v>
      </c>
      <c r="M1666" s="19">
        <v>6.7855</v>
      </c>
    </row>
    <row r="1667" spans="12:13">
      <c r="L1667" s="24">
        <v>46204</v>
      </c>
      <c r="M1667" s="19">
        <v>6.7945</v>
      </c>
    </row>
    <row r="1668" spans="12:13">
      <c r="L1668" s="24">
        <v>46205</v>
      </c>
      <c r="M1668" s="19">
        <v>6.789</v>
      </c>
    </row>
    <row r="1669" spans="12:13">
      <c r="L1669" s="24">
        <v>46206</v>
      </c>
      <c r="M1669" s="19">
        <v>6.7814</v>
      </c>
    </row>
    <row r="1670" spans="12:13">
      <c r="L1670" s="24">
        <v>46209</v>
      </c>
      <c r="M1670" s="19">
        <v>6.7957</v>
      </c>
    </row>
    <row r="1671" spans="12:13">
      <c r="L1671" s="24">
        <v>46210</v>
      </c>
      <c r="M1671" s="19">
        <v>6.7935</v>
      </c>
    </row>
    <row r="1672" spans="12:13">
      <c r="L1672" s="24">
        <v>46211</v>
      </c>
      <c r="M1672" s="19">
        <v>6.8002</v>
      </c>
    </row>
    <row r="1673" spans="12:13">
      <c r="L1673" s="24">
        <v>46212</v>
      </c>
      <c r="M1673" s="19">
        <v>6.796</v>
      </c>
    </row>
    <row r="1674" spans="12:13">
      <c r="L1674" s="24">
        <v>46213</v>
      </c>
      <c r="M1674" s="19">
        <v>6.7745</v>
      </c>
    </row>
    <row r="1675" spans="12:13">
      <c r="L1675" s="24">
        <v>46216</v>
      </c>
      <c r="M1675" s="19">
        <v>6.7776</v>
      </c>
    </row>
    <row r="1676" spans="12:13">
      <c r="L1676" s="24">
        <v>46217</v>
      </c>
      <c r="M1676" s="19">
        <v>6.7801</v>
      </c>
    </row>
    <row r="1677" spans="12:13">
      <c r="L1677" s="24">
        <v>46218</v>
      </c>
      <c r="M1677" s="19">
        <v>6.7743</v>
      </c>
    </row>
    <row r="1678" spans="12:13">
      <c r="L1678" s="24">
        <v>46219</v>
      </c>
      <c r="M1678" s="19">
        <v>6.7669</v>
      </c>
    </row>
    <row r="1679" spans="12:13">
      <c r="L1679" s="24">
        <v>46220</v>
      </c>
      <c r="M1679" s="19">
        <v>6.7775</v>
      </c>
    </row>
    <row r="1680" spans="12:13">
      <c r="L1680" s="24">
        <v>46223</v>
      </c>
      <c r="M1680" s="19">
        <v>6.7669</v>
      </c>
    </row>
    <row r="1681" spans="12:13">
      <c r="L1681" s="24">
        <v>46224</v>
      </c>
      <c r="M1681" s="19">
        <v>6.7661</v>
      </c>
    </row>
    <row r="1682" spans="12:13">
      <c r="L1682" s="24">
        <v>46225</v>
      </c>
      <c r="M1682" s="19">
        <v>6.773</v>
      </c>
    </row>
    <row r="1683" spans="12:13">
      <c r="L1683" s="24">
        <v>46226</v>
      </c>
      <c r="M1683" s="19">
        <v>6.7703</v>
      </c>
    </row>
    <row r="1684" spans="12:13">
      <c r="L1684" s="24">
        <v>46227</v>
      </c>
      <c r="M1684" s="19">
        <v>6.7722</v>
      </c>
    </row>
    <row r="1685" spans="12:13">
      <c r="L1685" s="24">
        <v>46230</v>
      </c>
      <c r="M1685" s="19">
        <v>6.7661</v>
      </c>
    </row>
    <row r="1686" spans="12:13">
      <c r="L1686" s="24">
        <v>46231</v>
      </c>
      <c r="M1686" s="19">
        <v>6.7713</v>
      </c>
    </row>
    <row r="1687" spans="12:13">
      <c r="L1687" s="24">
        <v>46232</v>
      </c>
      <c r="M1687" s="19">
        <v>6.7663</v>
      </c>
    </row>
    <row r="1688" spans="12:13">
      <c r="L1688" s="24">
        <v>46233</v>
      </c>
      <c r="M1688" s="19">
        <v>6.7551</v>
      </c>
    </row>
    <row r="1689" spans="12:13">
      <c r="L1689" s="24">
        <v>46234</v>
      </c>
      <c r="M1689" s="19">
        <v>6.7513</v>
      </c>
    </row>
    <row r="1690" spans="12:13">
      <c r="L1690" s="24">
        <v>46237</v>
      </c>
      <c r="M1690" s="19">
        <v>6.7526</v>
      </c>
    </row>
    <row r="1691" spans="12:13">
      <c r="L1691" s="24">
        <v>46238</v>
      </c>
      <c r="M1691" s="19">
        <v>6.7535</v>
      </c>
    </row>
    <row r="1692" spans="12:13">
      <c r="L1692" s="24">
        <v>46239</v>
      </c>
      <c r="M1692" s="19">
        <v>6.75</v>
      </c>
    </row>
    <row r="1693" spans="12:13">
      <c r="L1693" s="24">
        <v>46240</v>
      </c>
      <c r="M1693" s="19">
        <v>6.7491</v>
      </c>
    </row>
    <row r="1694" spans="12:13">
      <c r="L1694" s="24">
        <v>46241</v>
      </c>
      <c r="M1694" s="19">
        <v>6.7476</v>
      </c>
    </row>
    <row r="1695" spans="12:13">
      <c r="L1695" s="24">
        <v>46244</v>
      </c>
      <c r="M1695" s="19">
        <v>6.7444</v>
      </c>
    </row>
    <row r="1696" spans="12:13">
      <c r="L1696" s="24">
        <v>46245</v>
      </c>
      <c r="M1696" s="19">
        <v>6.7453</v>
      </c>
    </row>
    <row r="1697" spans="12:13">
      <c r="L1697" s="24">
        <v>46246</v>
      </c>
      <c r="M1697" s="19">
        <v>6.7432</v>
      </c>
    </row>
    <row r="1698" spans="12:13">
      <c r="L1698" s="24">
        <v>46247</v>
      </c>
      <c r="M1698" s="19">
        <v>6.743</v>
      </c>
    </row>
    <row r="1699" spans="12:13">
      <c r="L1699" s="24">
        <v>46248</v>
      </c>
      <c r="M1699" s="19">
        <v>6.7413</v>
      </c>
    </row>
    <row r="1700" spans="12:13">
      <c r="L1700" s="24">
        <v>46251</v>
      </c>
      <c r="M1700" s="19">
        <v>6.7394</v>
      </c>
    </row>
    <row r="1701" spans="12:13">
      <c r="L1701" s="24">
        <v>46252</v>
      </c>
      <c r="M1701" s="19">
        <v>6.7423</v>
      </c>
    </row>
    <row r="1702" spans="12:13">
      <c r="L1702" s="24">
        <v>46253</v>
      </c>
      <c r="M1702" s="19">
        <v>6.7382</v>
      </c>
    </row>
    <row r="1703" spans="12:13">
      <c r="L1703" s="24">
        <v>46254</v>
      </c>
      <c r="M1703" s="19">
        <v>6.7236</v>
      </c>
    </row>
    <row r="1704" spans="12:13">
      <c r="L1704" s="24">
        <v>46255</v>
      </c>
      <c r="M1704" s="19">
        <v>6.7206</v>
      </c>
    </row>
    <row r="1705" spans="12:13">
      <c r="L1705" s="24">
        <v>46258</v>
      </c>
      <c r="M1705" s="19">
        <v>6.7227</v>
      </c>
    </row>
    <row r="1706" spans="12:13">
      <c r="L1706" s="24">
        <v>46259</v>
      </c>
      <c r="M1706" s="19">
        <v>6.7198</v>
      </c>
    </row>
    <row r="1707" spans="12:13">
      <c r="L1707" s="24">
        <v>46260</v>
      </c>
      <c r="M1707" s="19">
        <v>6.7205</v>
      </c>
    </row>
    <row r="1708" spans="12:13">
      <c r="L1708" s="24">
        <v>46261</v>
      </c>
      <c r="M1708" s="19">
        <v>6.7203</v>
      </c>
    </row>
    <row r="1709" spans="12:13">
      <c r="L1709" s="24">
        <v>46262</v>
      </c>
      <c r="M1709" s="19">
        <v>6.7209</v>
      </c>
    </row>
    <row r="1710" spans="12:13">
      <c r="L1710" s="24">
        <v>46265</v>
      </c>
      <c r="M1710" s="19">
        <v>6.7197</v>
      </c>
    </row>
    <row r="1711" spans="12:13">
      <c r="L1711" s="24">
        <v>46266</v>
      </c>
      <c r="M1711" s="19">
        <v>6.7223</v>
      </c>
    </row>
    <row r="1712" spans="12:13">
      <c r="L1712" s="24">
        <v>46267</v>
      </c>
      <c r="M1712" s="19">
        <v>6.7215</v>
      </c>
    </row>
    <row r="1713" spans="12:13">
      <c r="L1713" s="24">
        <v>46268</v>
      </c>
      <c r="M1713" s="19">
        <v>6.7191</v>
      </c>
    </row>
    <row r="1714" spans="12:13">
      <c r="L1714" s="24">
        <v>46269</v>
      </c>
      <c r="M1714" s="19">
        <v>6.7109</v>
      </c>
    </row>
    <row r="1715" spans="12:13">
      <c r="L1715" s="24">
        <v>46272</v>
      </c>
      <c r="M1715" s="19">
        <v>6.711</v>
      </c>
    </row>
    <row r="1716" spans="12:13">
      <c r="L1716" s="24">
        <v>46273</v>
      </c>
      <c r="M1716" s="19">
        <v>6.7105</v>
      </c>
    </row>
    <row r="1717" spans="12:13">
      <c r="L1717" s="24">
        <v>46274</v>
      </c>
      <c r="M1717" s="19">
        <v>6.7078</v>
      </c>
    </row>
    <row r="1718" spans="12:13">
      <c r="L1718" s="24">
        <v>46275</v>
      </c>
      <c r="M1718" s="19">
        <v>6.7063</v>
      </c>
    </row>
    <row r="1719" spans="12:13">
      <c r="L1719" s="24">
        <v>46276</v>
      </c>
      <c r="M1719" s="19">
        <v>6.7082</v>
      </c>
    </row>
    <row r="1720" spans="12:13">
      <c r="L1720" s="24">
        <v>46279</v>
      </c>
      <c r="M1720" s="19">
        <v>6.7084</v>
      </c>
    </row>
    <row r="1721" spans="12:13">
      <c r="L1721" s="24">
        <v>46280</v>
      </c>
      <c r="M1721" s="19">
        <v>6.7115</v>
      </c>
    </row>
    <row r="1722" spans="12:13">
      <c r="L1722" s="24">
        <v>46281</v>
      </c>
      <c r="M1722" s="19">
        <v>6.7071</v>
      </c>
    </row>
    <row r="1723" spans="12:13">
      <c r="L1723" s="24">
        <v>46282</v>
      </c>
      <c r="M1723" s="19">
        <v>6.7075</v>
      </c>
    </row>
    <row r="1724" spans="12:13">
      <c r="L1724" s="24">
        <v>46283</v>
      </c>
      <c r="M1724" s="19">
        <v>6.6976</v>
      </c>
    </row>
    <row r="1725" spans="12:13">
      <c r="L1725" s="24">
        <v>46286</v>
      </c>
      <c r="M1725" s="19">
        <v>6.6954</v>
      </c>
    </row>
    <row r="1726" spans="12:13">
      <c r="L1726" s="24">
        <v>46287</v>
      </c>
      <c r="M1726" s="19">
        <v>6.7001</v>
      </c>
    </row>
    <row r="1727" spans="12:13">
      <c r="L1727" s="24">
        <v>46288</v>
      </c>
      <c r="M1727" s="19">
        <v>6.7074</v>
      </c>
    </row>
    <row r="1728" spans="12:13">
      <c r="L1728" s="24">
        <v>46289</v>
      </c>
      <c r="M1728" s="19">
        <v>6.7126</v>
      </c>
    </row>
    <row r="1729" spans="12:13">
      <c r="L1729" s="24">
        <v>46290</v>
      </c>
      <c r="M1729" s="19">
        <v>6.7132</v>
      </c>
    </row>
    <row r="1730" spans="12:13">
      <c r="L1730" s="24">
        <v>46293</v>
      </c>
      <c r="M1730" s="19">
        <v>6.7105</v>
      </c>
    </row>
    <row r="1731" spans="12:13">
      <c r="L1731" s="24">
        <v>46294</v>
      </c>
      <c r="M1731" s="19">
        <v>6.7034</v>
      </c>
    </row>
    <row r="1732" spans="12:13">
      <c r="L1732" s="24">
        <v>46295</v>
      </c>
      <c r="M1732" s="19">
        <v>6.7045</v>
      </c>
    </row>
    <row r="1733" spans="12:13">
      <c r="L1733" s="24">
        <v>46296</v>
      </c>
      <c r="M1733" s="19">
        <v>6.7045</v>
      </c>
    </row>
    <row r="1734" spans="12:13">
      <c r="L1734" s="24">
        <v>46297</v>
      </c>
      <c r="M1734" s="19">
        <v>6.7046</v>
      </c>
    </row>
    <row r="1735" spans="12:13">
      <c r="L1735" s="24">
        <v>46300</v>
      </c>
      <c r="M1735" s="19">
        <v>6.7046</v>
      </c>
    </row>
    <row r="1736" spans="12:13">
      <c r="L1736" s="24">
        <v>46301</v>
      </c>
      <c r="M1736" s="19">
        <v>6.7046</v>
      </c>
    </row>
    <row r="1737" spans="12:13">
      <c r="L1737" s="24">
        <v>46302</v>
      </c>
      <c r="M1737" s="19">
        <v>6.7046</v>
      </c>
    </row>
    <row r="1738" spans="12:13">
      <c r="L1738" s="24">
        <v>46303</v>
      </c>
      <c r="M1738" s="19">
        <v>6.7023</v>
      </c>
    </row>
    <row r="1739" spans="12:13">
      <c r="L1739" s="24">
        <v>46304</v>
      </c>
      <c r="M1739" s="19">
        <v>6.6921</v>
      </c>
    </row>
    <row r="1740" spans="12:13">
      <c r="L1740" s="24">
        <v>46307</v>
      </c>
      <c r="M1740" s="19">
        <v>6.6928</v>
      </c>
    </row>
    <row r="1741" spans="12:13">
      <c r="L1741" s="24">
        <v>46308</v>
      </c>
      <c r="M1741" s="19">
        <v>6.6938</v>
      </c>
    </row>
    <row r="1742" spans="12:13">
      <c r="L1742" s="24">
        <v>46309</v>
      </c>
      <c r="M1742" s="19">
        <v>6.6927</v>
      </c>
    </row>
    <row r="1743" spans="12:13">
      <c r="L1743" s="24">
        <v>46310</v>
      </c>
      <c r="M1743" s="19">
        <v>6.691</v>
      </c>
    </row>
    <row r="1744" spans="12:13">
      <c r="L1744" s="24">
        <v>46311</v>
      </c>
      <c r="M1744" s="19">
        <v>6.6862</v>
      </c>
    </row>
    <row r="1745" spans="12:13">
      <c r="L1745" s="24">
        <v>46314</v>
      </c>
      <c r="M1745" s="19">
        <v>6.6807</v>
      </c>
    </row>
  </sheetData>
  <mergeCells count="2">
    <mergeCell ref="A4:I4"/>
    <mergeCell ref="A11:I13"/>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20"/>
  <sheetViews>
    <sheetView workbookViewId="0"/>
  </sheetViews>
  <sheetFormatPr defaultRowHeight="15"/>
  <cols>
    <col min="1" max="1" width="22.7109375" customWidth="1"/>
    <col min="2" max="2" width="26.7109375" customWidth="1"/>
    <col min="3" max="3" width="56.7109375" customWidth="1"/>
    <col min="4" max="4" width="46.7109375" customWidth="1"/>
  </cols>
  <sheetData>
    <row r="1" spans="1:4">
      <c r="A1" s="1" t="s">
        <v>239</v>
      </c>
    </row>
    <row r="3" spans="1:4">
      <c r="A3" s="4" t="s">
        <v>37</v>
      </c>
      <c r="B3" s="4" t="s">
        <v>240</v>
      </c>
      <c r="C3" s="4" t="s">
        <v>241</v>
      </c>
      <c r="D3" s="4" t="s">
        <v>242</v>
      </c>
    </row>
    <row r="4" spans="1:4" ht="52" customHeight="1">
      <c r="A4" s="5" t="s">
        <v>41</v>
      </c>
      <c r="B4" s="7" t="s">
        <v>243</v>
      </c>
      <c r="C4" s="7" t="s">
        <v>244</v>
      </c>
      <c r="D4" s="7" t="s">
        <v>245</v>
      </c>
    </row>
    <row r="5" spans="1:4" ht="52" customHeight="1">
      <c r="A5" s="5" t="s">
        <v>133</v>
      </c>
      <c r="B5" s="7" t="s">
        <v>246</v>
      </c>
      <c r="C5" s="7" t="s">
        <v>247</v>
      </c>
      <c r="D5" s="7" t="s">
        <v>248</v>
      </c>
    </row>
    <row r="6" spans="1:4" ht="52" customHeight="1">
      <c r="A6" s="5" t="s">
        <v>55</v>
      </c>
      <c r="B6" s="7" t="s">
        <v>249</v>
      </c>
      <c r="C6" s="7" t="s">
        <v>250</v>
      </c>
      <c r="D6" s="7" t="s">
        <v>251</v>
      </c>
    </row>
    <row r="7" spans="1:4" ht="52" customHeight="1">
      <c r="A7" s="5" t="s">
        <v>51</v>
      </c>
      <c r="B7" s="7" t="s">
        <v>252</v>
      </c>
      <c r="C7" s="7" t="s">
        <v>253</v>
      </c>
      <c r="D7" s="7" t="s">
        <v>254</v>
      </c>
    </row>
    <row r="9" spans="1:4">
      <c r="A9" s="3" t="s">
        <v>255</v>
      </c>
      <c r="B9" s="3"/>
      <c r="C9" s="3"/>
      <c r="D9" s="3"/>
    </row>
    <row r="10" spans="1:4">
      <c r="A10" s="4" t="s">
        <v>256</v>
      </c>
      <c r="B10" s="4" t="s">
        <v>257</v>
      </c>
      <c r="C10" s="4" t="s">
        <v>63</v>
      </c>
      <c r="D10" s="4"/>
    </row>
    <row r="11" spans="1:4">
      <c r="A11" s="5" t="s">
        <v>258</v>
      </c>
      <c r="B11" s="7" t="s">
        <v>52</v>
      </c>
      <c r="C11" s="7" t="s">
        <v>259</v>
      </c>
    </row>
    <row r="12" spans="1:4">
      <c r="A12" s="5" t="s">
        <v>260</v>
      </c>
      <c r="B12" s="7" t="s">
        <v>261</v>
      </c>
      <c r="C12" s="7" t="s">
        <v>262</v>
      </c>
    </row>
    <row r="13" spans="1:4">
      <c r="A13" s="5" t="s">
        <v>263</v>
      </c>
      <c r="B13" s="7" t="s">
        <v>264</v>
      </c>
      <c r="C13" s="7" t="s">
        <v>265</v>
      </c>
    </row>
    <row r="14" spans="1:4">
      <c r="A14" s="5" t="s">
        <v>266</v>
      </c>
      <c r="B14" s="7" t="s">
        <v>267</v>
      </c>
      <c r="C14" s="7" t="s">
        <v>268</v>
      </c>
    </row>
    <row r="15" spans="1:4">
      <c r="A15" s="5" t="s">
        <v>269</v>
      </c>
      <c r="B15" s="7" t="s">
        <v>270</v>
      </c>
      <c r="C15" s="7" t="s">
        <v>271</v>
      </c>
    </row>
    <row r="16" spans="1:4">
      <c r="A16" s="5" t="s">
        <v>272</v>
      </c>
      <c r="B16" s="7" t="s">
        <v>273</v>
      </c>
      <c r="C16" s="7" t="s">
        <v>274</v>
      </c>
    </row>
    <row r="18" spans="1:4">
      <c r="A18" s="17" t="s">
        <v>275</v>
      </c>
      <c r="B18" s="17"/>
      <c r="C18" s="17"/>
      <c r="D18" s="17"/>
    </row>
    <row r="19" spans="1:4">
      <c r="A19" s="17"/>
      <c r="B19" s="17"/>
      <c r="C19" s="17"/>
      <c r="D19" s="17"/>
    </row>
    <row r="20" spans="1:4">
      <c r="A20" s="17"/>
      <c r="B20" s="17"/>
      <c r="C20" s="17"/>
      <c r="D20" s="17"/>
    </row>
  </sheetData>
  <mergeCells count="2">
    <mergeCell ref="A9:D9"/>
    <mergeCell ref="A18:D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01 参数与汇率</vt:lpstr>
      <vt:lpstr>02 付款额与敏感性</vt:lpstr>
      <vt:lpstr>03 到厂成本</vt:lpstr>
      <vt:lpstr>04 毛利与盈亏平衡</vt:lpstr>
      <vt:lpstr>05 分批付款</vt:lpstr>
      <vt:lpstr>06 历史汇率与分位</vt:lpstr>
      <vt:lpstr>07 汇率口径与法规</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工业级乙二醇（MEG, Monoethylene Glycol），聚酯级 ≥99.9% 汇率敏感性分析工作簿</dc:title>
  <dc:subject>进口付汇汇率风险测算（不构成汇率预测或交易建议）</dc:subject>
  <dc:creator>fx-import-cost-sensitivity skill</dc:creator>
  <dc:description>历史汇率来自 ECB 参考汇率与 CFETS 中间价等公开真实数据。</dc:description>
  <cp:lastModifiedBy>fx-import-cost-sensitivity skill</cp:lastModifiedBy>
  <dcterms:created xsi:type="dcterms:W3CDTF">2026-10-20T04:54:42Z</dcterms:created>
  <dcterms:modified xsi:type="dcterms:W3CDTF">2026-10-20T04:54:42Z</dcterms:modified>
</cp:coreProperties>
</file>